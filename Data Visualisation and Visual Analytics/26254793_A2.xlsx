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dataset" sheetId="1" r:id="rId5"/>
    <sheet state="visible" name="Import-dataset" sheetId="2" r:id="rId6"/>
    <sheet state="visible" name="Export_Statistical" sheetId="3" r:id="rId7"/>
    <sheet state="visible" name="Import_Statistical" sheetId="4" r:id="rId8"/>
    <sheet state="visible" name="Export_Analytical" sheetId="5" r:id="rId9"/>
    <sheet state="visible" name="Import_Analytical" sheetId="6" r:id="rId10"/>
    <sheet state="visible" name="Dollar-Combined" sheetId="7" r:id="rId11"/>
    <sheet state="visible" name="Statistical-Combined" sheetId="8" r:id="rId12"/>
    <sheet state="visible" name="Analytical-Combined" sheetId="9" r:id="rId13"/>
  </sheets>
  <definedNames>
    <definedName name="B82C81">Export_Statistical!$B$82</definedName>
  </definedNames>
  <calcPr/>
</workbook>
</file>

<file path=xl/sharedStrings.xml><?xml version="1.0" encoding="utf-8"?>
<sst xmlns="http://schemas.openxmlformats.org/spreadsheetml/2006/main" count="2708" uniqueCount="277">
  <si>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</si>
  <si>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</si>
  <si>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</si>
  <si>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</si>
  <si>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</si>
  <si>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</si>
  <si>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</si>
  <si>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</si>
  <si>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</si>
  <si>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</si>
  <si>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</si>
  <si>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</si>
  <si>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</si>
  <si>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</si>
  <si>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</si>
  <si>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</si>
  <si>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</si>
  <si>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</si>
  <si>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</si>
  <si>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</si>
  <si>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</si>
  <si>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</si>
  <si>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</si>
  <si>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</si>
  <si>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</si>
  <si>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</si>
  <si>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31 Coal, coke and briquettes ;</t>
  </si>
  <si>
    <t>32 Petroleum, petroleum products and related materials ;</t>
  </si>
  <si>
    <t>33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</si>
  <si>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</si>
  <si>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</si>
  <si>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</si>
  <si>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</si>
  <si>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</si>
  <si>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</si>
  <si>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</si>
  <si>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</si>
  <si>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</si>
  <si>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</si>
  <si>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</si>
  <si>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</si>
  <si>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</si>
  <si>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</si>
  <si>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</si>
  <si>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</si>
  <si>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</si>
  <si>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</si>
  <si>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</si>
  <si>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</si>
  <si>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</si>
  <si>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</si>
  <si>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</si>
  <si>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</si>
  <si>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</si>
  <si>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</si>
  <si>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</si>
  <si>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</si>
  <si>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</si>
  <si>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</si>
  <si>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</si>
  <si>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</si>
  <si>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</si>
  <si>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</si>
  <si>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</si>
  <si>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</si>
  <si>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</si>
  <si>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</si>
  <si>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</si>
  <si>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</si>
  <si>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</si>
  <si>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</si>
  <si>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</si>
  <si>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</si>
  <si>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91 Special transactions and commodities not classified according to kind ;</t>
  </si>
  <si>
    <t>92 Gold coin whether or not legal tender, and other coin being legal tender ;</t>
  </si>
  <si>
    <t>93 Coin (excl. gold coin) not being legal tender ;</t>
  </si>
  <si>
    <t>94 Gold, non-monetary (excl. gold ores and concentrates) ;</t>
  </si>
  <si>
    <t>95 Combined confidential items excluding some of SITC 28099 (exports only) and some of SITC 51099 (imports only) ;</t>
  </si>
  <si>
    <t>-1 TOTAL ;</t>
  </si>
  <si>
    <t>Unit</t>
  </si>
  <si>
    <t>$ Millions</t>
  </si>
  <si>
    <t>Series ID</t>
  </si>
  <si>
    <t>A1827804K</t>
  </si>
  <si>
    <t>A1827805L</t>
  </si>
  <si>
    <t>A1827806R</t>
  </si>
  <si>
    <t>A1827807T</t>
  </si>
  <si>
    <t>A1827808V</t>
  </si>
  <si>
    <t>A1827809W</t>
  </si>
  <si>
    <t>A1827810F</t>
  </si>
  <si>
    <t>A1827811J</t>
  </si>
  <si>
    <t>A1827812K</t>
  </si>
  <si>
    <t>A1827813L</t>
  </si>
  <si>
    <t>A1827814R</t>
  </si>
  <si>
    <t>A1827815T</t>
  </si>
  <si>
    <t>A1827816V</t>
  </si>
  <si>
    <t>A1827817W</t>
  </si>
  <si>
    <t>A1827818X</t>
  </si>
  <si>
    <t>A1827819A</t>
  </si>
  <si>
    <t>A1827820K</t>
  </si>
  <si>
    <t>A1827821L</t>
  </si>
  <si>
    <t>A1827822R</t>
  </si>
  <si>
    <t>A1827823T</t>
  </si>
  <si>
    <t>A1827824V</t>
  </si>
  <si>
    <t>A1827825W</t>
  </si>
  <si>
    <t>A1827826X</t>
  </si>
  <si>
    <t>A1827827A</t>
  </si>
  <si>
    <t>A1827828C</t>
  </si>
  <si>
    <t>A1827829F</t>
  </si>
  <si>
    <t>A1827830R</t>
  </si>
  <si>
    <t>A1827831T</t>
  </si>
  <si>
    <t>A1827832V</t>
  </si>
  <si>
    <t>A1827833W</t>
  </si>
  <si>
    <t>A1827834X</t>
  </si>
  <si>
    <t>A1827835A</t>
  </si>
  <si>
    <t>A1827836C</t>
  </si>
  <si>
    <t>A1827837F</t>
  </si>
  <si>
    <t>A1827838J</t>
  </si>
  <si>
    <t>A1827839K</t>
  </si>
  <si>
    <t>A1827840V</t>
  </si>
  <si>
    <t>A1827841W</t>
  </si>
  <si>
    <t>A1827842X</t>
  </si>
  <si>
    <t>A1827843A</t>
  </si>
  <si>
    <t>A1827844C</t>
  </si>
  <si>
    <t>A1827845F</t>
  </si>
  <si>
    <t>A1827846J</t>
  </si>
  <si>
    <t>A1827847K</t>
  </si>
  <si>
    <t>A1827848L</t>
  </si>
  <si>
    <t>A1827849R</t>
  </si>
  <si>
    <t>A1827850X</t>
  </si>
  <si>
    <t>A1827851A</t>
  </si>
  <si>
    <t>A1827852C</t>
  </si>
  <si>
    <t>A1827853F</t>
  </si>
  <si>
    <t>A1827854J</t>
  </si>
  <si>
    <t>A1827855K</t>
  </si>
  <si>
    <t>A1827856L</t>
  </si>
  <si>
    <t>A1827857R</t>
  </si>
  <si>
    <t>A1827858T</t>
  </si>
  <si>
    <t>A1827859V</t>
  </si>
  <si>
    <t>A1827860C</t>
  </si>
  <si>
    <t>A1827861F</t>
  </si>
  <si>
    <t>A1827862J</t>
  </si>
  <si>
    <t>A1827863K</t>
  </si>
  <si>
    <t>A1827864L</t>
  </si>
  <si>
    <t>A1827865R</t>
  </si>
  <si>
    <t>A1827866T</t>
  </si>
  <si>
    <t>A1827867V</t>
  </si>
  <si>
    <t>A1827868W</t>
  </si>
  <si>
    <t>A1827869X</t>
  </si>
  <si>
    <t>A1827870J</t>
  </si>
  <si>
    <t>A1827871K</t>
  </si>
  <si>
    <t>A1827872L</t>
  </si>
  <si>
    <t>A1827873R</t>
  </si>
  <si>
    <t>A1827874T</t>
  </si>
  <si>
    <t>A1827875V</t>
  </si>
  <si>
    <t>A1827876W</t>
  </si>
  <si>
    <t>A1827877X</t>
  </si>
  <si>
    <t>A1827878A</t>
  </si>
  <si>
    <t>A1827879C</t>
  </si>
  <si>
    <t>A1827880L</t>
  </si>
  <si>
    <t>A1827881R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</si>
  <si>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</si>
  <si>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</si>
  <si>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</si>
  <si>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</si>
  <si>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</si>
  <si>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</si>
  <si>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</si>
  <si>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</si>
  <si>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</si>
  <si>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</si>
  <si>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</si>
  <si>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</si>
  <si>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</si>
  <si>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</si>
  <si>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</si>
  <si>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</si>
  <si>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</si>
  <si>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</si>
  <si>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</si>
  <si>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</si>
  <si>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</si>
  <si>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</si>
  <si>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</si>
  <si>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</si>
  <si>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</si>
  <si>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</si>
  <si>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</si>
  <si>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</si>
  <si>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</si>
  <si>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</si>
  <si>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</si>
  <si>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</si>
  <si>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</si>
  <si>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</si>
  <si>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</si>
  <si>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</si>
  <si>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</si>
  <si>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A1828644C</t>
  </si>
  <si>
    <t>A1828645F</t>
  </si>
  <si>
    <t>A1828646J</t>
  </si>
  <si>
    <t>A1828647K</t>
  </si>
  <si>
    <t>A1828648L</t>
  </si>
  <si>
    <t>A1828649R</t>
  </si>
  <si>
    <t>A1828650X</t>
  </si>
  <si>
    <t>A1828651A</t>
  </si>
  <si>
    <t>A1828652C</t>
  </si>
  <si>
    <t>A1828653F</t>
  </si>
  <si>
    <t>A1828654J</t>
  </si>
  <si>
    <t>A1828655K</t>
  </si>
  <si>
    <t>A1828656L</t>
  </si>
  <si>
    <t>A1828657R</t>
  </si>
  <si>
    <t>A1828658T</t>
  </si>
  <si>
    <t>A1828659V</t>
  </si>
  <si>
    <t>A1828660C</t>
  </si>
  <si>
    <t>A1828661F</t>
  </si>
  <si>
    <t>A1828662J</t>
  </si>
  <si>
    <t>A1828663K</t>
  </si>
  <si>
    <t>A1828664L</t>
  </si>
  <si>
    <t>A1828665R</t>
  </si>
  <si>
    <t>A1828666T</t>
  </si>
  <si>
    <t>A1828667V</t>
  </si>
  <si>
    <t>A1828668W</t>
  </si>
  <si>
    <t>A1828669X</t>
  </si>
  <si>
    <t>A1828670J</t>
  </si>
  <si>
    <t>A1828671K</t>
  </si>
  <si>
    <t>A1828672L</t>
  </si>
  <si>
    <t>A1828673R</t>
  </si>
  <si>
    <t>A1828674T</t>
  </si>
  <si>
    <t>A1828675V</t>
  </si>
  <si>
    <t>A1828676W</t>
  </si>
  <si>
    <t>A1828677X</t>
  </si>
  <si>
    <t>A1828678A</t>
  </si>
  <si>
    <t>A1828679C</t>
  </si>
  <si>
    <t>A1828680L</t>
  </si>
  <si>
    <t>A1828681R</t>
  </si>
  <si>
    <t>A1828682T</t>
  </si>
  <si>
    <t>A1828683V</t>
  </si>
  <si>
    <t>A1828684W</t>
  </si>
  <si>
    <t>A1828685X</t>
  </si>
  <si>
    <t>A1828686A</t>
  </si>
  <si>
    <t>A1828687C</t>
  </si>
  <si>
    <t>A1828688F</t>
  </si>
  <si>
    <t>A1828689J</t>
  </si>
  <si>
    <t>A1828690T</t>
  </si>
  <si>
    <t>A1828691V</t>
  </si>
  <si>
    <t>A1828692W</t>
  </si>
  <si>
    <t>A1828693X</t>
  </si>
  <si>
    <t>A1828694A</t>
  </si>
  <si>
    <t>A1828695C</t>
  </si>
  <si>
    <t>A1828696F</t>
  </si>
  <si>
    <t>A1828697J</t>
  </si>
  <si>
    <t>A1828698K</t>
  </si>
  <si>
    <t>A1828699L</t>
  </si>
  <si>
    <t>A1828700K</t>
  </si>
  <si>
    <t>A1828701L</t>
  </si>
  <si>
    <t>A1828702R</t>
  </si>
  <si>
    <t>A1828703T</t>
  </si>
  <si>
    <t>A1828704V</t>
  </si>
  <si>
    <t>A1828705W</t>
  </si>
  <si>
    <t>A1828706X</t>
  </si>
  <si>
    <t>A1828707A</t>
  </si>
  <si>
    <t>A1828708C</t>
  </si>
  <si>
    <t>A1828709F</t>
  </si>
  <si>
    <t>A1828710R</t>
  </si>
  <si>
    <t>A1828711T</t>
  </si>
  <si>
    <t>A1828712V</t>
  </si>
  <si>
    <t>A1828713W</t>
  </si>
  <si>
    <t>A1828714X</t>
  </si>
  <si>
    <t>A1828715A</t>
  </si>
  <si>
    <t>A1828716C</t>
  </si>
  <si>
    <t>A1828717F</t>
  </si>
  <si>
    <t>A1828718J</t>
  </si>
  <si>
    <t>A1828719K</t>
  </si>
  <si>
    <t>A1828720V</t>
  </si>
  <si>
    <t>A1828721W</t>
  </si>
  <si>
    <t>Year</t>
  </si>
  <si>
    <t>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</si>
</sst>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10" xfId="0" applyAlignment="1" applyFont="1" applyNumberForma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center" wrapText="1"/>
    </xf>
    <xf borderId="0" fillId="0" fontId="2" numFmtId="10" xfId="0" applyAlignment="1" applyFont="1" applyNumberFormat="1">
      <alignment shrinkToFit="0" vertical="center" wrapText="1"/>
    </xf>
    <xf borderId="0" fillId="3" fontId="3" numFmtId="0" xfId="0" applyFill="1" applyFont="1"/>
    <xf borderId="0" fillId="0" fontId="2" numFmtId="0" xfId="0" applyFont="1"/>
    <xf borderId="0" fillId="4" fontId="3" numFmtId="0" xfId="0" applyFill="1" applyFont="1"/>
    <xf borderId="0" fillId="0" fontId="2" numFmtId="10" xfId="0" applyFont="1" applyNumberFormat="1"/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3.29"/>
    <col customWidth="1" min="3" max="79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>
      <c r="A2" s="2" t="s">
        <v>79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2" t="s">
        <v>80</v>
      </c>
      <c r="Q2" s="2" t="s">
        <v>80</v>
      </c>
      <c r="R2" s="2" t="s">
        <v>80</v>
      </c>
      <c r="S2" s="2" t="s">
        <v>80</v>
      </c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2" t="s">
        <v>80</v>
      </c>
      <c r="BN2" s="2" t="s">
        <v>80</v>
      </c>
      <c r="BO2" s="2" t="s">
        <v>80</v>
      </c>
      <c r="BP2" s="2" t="s">
        <v>80</v>
      </c>
      <c r="BQ2" s="2" t="s">
        <v>80</v>
      </c>
      <c r="BR2" s="2" t="s">
        <v>80</v>
      </c>
      <c r="BS2" s="2" t="s">
        <v>80</v>
      </c>
      <c r="BT2" s="2" t="s">
        <v>80</v>
      </c>
      <c r="BU2" s="2" t="s">
        <v>80</v>
      </c>
      <c r="BV2" s="2" t="s">
        <v>80</v>
      </c>
      <c r="BW2" s="2" t="s">
        <v>80</v>
      </c>
      <c r="BX2" s="2" t="s">
        <v>80</v>
      </c>
      <c r="BY2" s="2" t="s">
        <v>80</v>
      </c>
      <c r="BZ2" s="2" t="s">
        <v>80</v>
      </c>
      <c r="CA2" s="2" t="s">
        <v>80</v>
      </c>
    </row>
    <row r="3">
      <c r="A3" s="2" t="s">
        <v>81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  <c r="M3" s="2" t="s">
        <v>93</v>
      </c>
      <c r="N3" s="2" t="s">
        <v>94</v>
      </c>
      <c r="O3" s="2" t="s">
        <v>95</v>
      </c>
      <c r="P3" s="2" t="s">
        <v>96</v>
      </c>
      <c r="Q3" s="2" t="s">
        <v>97</v>
      </c>
      <c r="R3" s="2" t="s">
        <v>98</v>
      </c>
      <c r="S3" s="2" t="s">
        <v>99</v>
      </c>
      <c r="T3" s="2" t="s">
        <v>100</v>
      </c>
      <c r="U3" s="2" t="s">
        <v>101</v>
      </c>
      <c r="V3" s="2" t="s">
        <v>102</v>
      </c>
      <c r="W3" s="2" t="s">
        <v>103</v>
      </c>
      <c r="X3" s="2" t="s">
        <v>104</v>
      </c>
      <c r="Y3" s="2" t="s">
        <v>105</v>
      </c>
      <c r="Z3" s="2" t="s">
        <v>106</v>
      </c>
      <c r="AA3" s="2" t="s">
        <v>107</v>
      </c>
      <c r="AB3" s="2" t="s">
        <v>108</v>
      </c>
      <c r="AC3" s="2" t="s">
        <v>109</v>
      </c>
      <c r="AD3" s="2" t="s">
        <v>110</v>
      </c>
      <c r="AE3" s="2" t="s">
        <v>111</v>
      </c>
      <c r="AF3" s="2" t="s">
        <v>112</v>
      </c>
      <c r="AG3" s="2" t="s">
        <v>113</v>
      </c>
      <c r="AH3" s="2" t="s">
        <v>114</v>
      </c>
      <c r="AI3" s="2" t="s">
        <v>115</v>
      </c>
      <c r="AJ3" s="2" t="s">
        <v>116</v>
      </c>
      <c r="AK3" s="2" t="s">
        <v>117</v>
      </c>
      <c r="AL3" s="2" t="s">
        <v>118</v>
      </c>
      <c r="AM3" s="2" t="s">
        <v>119</v>
      </c>
      <c r="AN3" s="2" t="s">
        <v>120</v>
      </c>
      <c r="AO3" s="2" t="s">
        <v>121</v>
      </c>
      <c r="AP3" s="2" t="s">
        <v>122</v>
      </c>
      <c r="AQ3" s="2" t="s">
        <v>123</v>
      </c>
      <c r="AR3" s="2" t="s">
        <v>124</v>
      </c>
      <c r="AS3" s="2" t="s">
        <v>125</v>
      </c>
      <c r="AT3" s="2" t="s">
        <v>126</v>
      </c>
      <c r="AU3" s="2" t="s">
        <v>127</v>
      </c>
      <c r="AV3" s="2" t="s">
        <v>128</v>
      </c>
      <c r="AW3" s="2" t="s">
        <v>129</v>
      </c>
      <c r="AX3" s="2" t="s">
        <v>130</v>
      </c>
      <c r="AY3" s="2" t="s">
        <v>131</v>
      </c>
      <c r="AZ3" s="2" t="s">
        <v>132</v>
      </c>
      <c r="BA3" s="2" t="s">
        <v>133</v>
      </c>
      <c r="BB3" s="2" t="s">
        <v>134</v>
      </c>
      <c r="BC3" s="2" t="s">
        <v>135</v>
      </c>
      <c r="BD3" s="2" t="s">
        <v>136</v>
      </c>
      <c r="BE3" s="2" t="s">
        <v>137</v>
      </c>
      <c r="BF3" s="2" t="s">
        <v>138</v>
      </c>
      <c r="BG3" s="2" t="s">
        <v>139</v>
      </c>
      <c r="BH3" s="2" t="s">
        <v>140</v>
      </c>
      <c r="BI3" s="2" t="s">
        <v>141</v>
      </c>
      <c r="BJ3" s="2" t="s">
        <v>142</v>
      </c>
      <c r="BK3" s="2" t="s">
        <v>143</v>
      </c>
      <c r="BL3" s="2" t="s">
        <v>144</v>
      </c>
      <c r="BM3" s="2" t="s">
        <v>145</v>
      </c>
      <c r="BN3" s="2" t="s">
        <v>146</v>
      </c>
      <c r="BO3" s="2" t="s">
        <v>147</v>
      </c>
      <c r="BP3" s="2" t="s">
        <v>148</v>
      </c>
      <c r="BQ3" s="2" t="s">
        <v>149</v>
      </c>
      <c r="BR3" s="2" t="s">
        <v>150</v>
      </c>
      <c r="BS3" s="2" t="s">
        <v>151</v>
      </c>
      <c r="BT3" s="2" t="s">
        <v>152</v>
      </c>
      <c r="BU3" s="2" t="s">
        <v>153</v>
      </c>
      <c r="BV3" s="2" t="s">
        <v>154</v>
      </c>
      <c r="BW3" s="2" t="s">
        <v>155</v>
      </c>
      <c r="BX3" s="2" t="s">
        <v>156</v>
      </c>
      <c r="BY3" s="2" t="s">
        <v>157</v>
      </c>
      <c r="BZ3" s="2" t="s">
        <v>158</v>
      </c>
      <c r="CA3" s="2" t="s">
        <v>159</v>
      </c>
    </row>
    <row r="4">
      <c r="A4" s="2" t="s">
        <v>160</v>
      </c>
      <c r="B4" s="2">
        <v>7903.0</v>
      </c>
      <c r="C4" s="2">
        <v>322.0</v>
      </c>
      <c r="D4" s="2">
        <v>2423.0</v>
      </c>
      <c r="E4" s="2">
        <v>529.0</v>
      </c>
      <c r="F4" s="2">
        <v>663.0</v>
      </c>
      <c r="G4" s="2">
        <v>2071.0</v>
      </c>
      <c r="H4" s="2">
        <v>604.0</v>
      </c>
      <c r="I4" s="2">
        <v>859.0</v>
      </c>
      <c r="J4" s="2">
        <v>68.0</v>
      </c>
      <c r="K4" s="2">
        <v>273.0</v>
      </c>
      <c r="L4" s="2">
        <v>91.0</v>
      </c>
      <c r="M4" s="2">
        <v>272.0</v>
      </c>
      <c r="N4" s="2">
        <v>250.0</v>
      </c>
      <c r="O4" s="2">
        <v>22.0</v>
      </c>
      <c r="P4" s="2">
        <v>13373.0</v>
      </c>
      <c r="Q4" s="2">
        <v>614.0</v>
      </c>
      <c r="R4" s="2">
        <v>63.0</v>
      </c>
      <c r="S4" s="2">
        <v>10.0</v>
      </c>
      <c r="T4" s="2">
        <v>439.0</v>
      </c>
      <c r="U4" s="2">
        <v>37.0</v>
      </c>
      <c r="V4" s="2">
        <v>6270.0</v>
      </c>
      <c r="W4" s="2">
        <v>221.0</v>
      </c>
      <c r="X4" s="2">
        <v>5595.0</v>
      </c>
      <c r="Y4" s="2">
        <v>124.0</v>
      </c>
      <c r="Z4" s="2">
        <v>6461.0</v>
      </c>
      <c r="AA4" s="2">
        <v>4636.0</v>
      </c>
      <c r="AB4" s="2">
        <v>1615.0</v>
      </c>
      <c r="AC4" s="2">
        <v>210.0</v>
      </c>
      <c r="AD4" s="2">
        <v>146.0</v>
      </c>
      <c r="AE4" s="2">
        <v>122.0</v>
      </c>
      <c r="AF4" s="2">
        <v>14.0</v>
      </c>
      <c r="AG4" s="2">
        <v>10.0</v>
      </c>
      <c r="AH4" s="2">
        <v>1041.0</v>
      </c>
      <c r="AI4" s="2">
        <v>102.0</v>
      </c>
      <c r="AJ4" s="2">
        <v>86.0</v>
      </c>
      <c r="AK4" s="2">
        <v>109.0</v>
      </c>
      <c r="AL4" s="2">
        <v>229.0</v>
      </c>
      <c r="AM4" s="2">
        <v>89.0</v>
      </c>
      <c r="AN4" s="2">
        <v>9.0</v>
      </c>
      <c r="AO4" s="2">
        <v>157.0</v>
      </c>
      <c r="AP4" s="2">
        <v>61.0</v>
      </c>
      <c r="AQ4" s="2">
        <v>199.0</v>
      </c>
      <c r="AR4" s="2">
        <v>5344.0</v>
      </c>
      <c r="AS4" s="2">
        <v>165.0</v>
      </c>
      <c r="AT4" s="2">
        <v>72.0</v>
      </c>
      <c r="AU4" s="2">
        <v>15.0</v>
      </c>
      <c r="AV4" s="2">
        <v>116.0</v>
      </c>
      <c r="AW4" s="2">
        <v>148.0</v>
      </c>
      <c r="AX4" s="2">
        <v>318.0</v>
      </c>
      <c r="AY4" s="2">
        <v>501.0</v>
      </c>
      <c r="AZ4" s="2">
        <v>3703.0</v>
      </c>
      <c r="BA4" s="2">
        <v>306.0</v>
      </c>
      <c r="BB4" s="2">
        <v>2744.0</v>
      </c>
      <c r="BC4" s="2">
        <v>366.0</v>
      </c>
      <c r="BD4" s="2">
        <v>336.0</v>
      </c>
      <c r="BE4" s="2">
        <v>39.0</v>
      </c>
      <c r="BF4" s="2">
        <v>322.0</v>
      </c>
      <c r="BG4" s="2">
        <v>406.0</v>
      </c>
      <c r="BH4" s="2">
        <v>142.0</v>
      </c>
      <c r="BI4" s="2">
        <v>280.0</v>
      </c>
      <c r="BJ4" s="2">
        <v>392.0</v>
      </c>
      <c r="BK4" s="2">
        <v>461.0</v>
      </c>
      <c r="BL4" s="2">
        <v>1075.0</v>
      </c>
      <c r="BM4" s="2">
        <v>31.0</v>
      </c>
      <c r="BN4" s="2">
        <v>36.0</v>
      </c>
      <c r="BO4" s="2">
        <v>2.0</v>
      </c>
      <c r="BP4" s="2">
        <v>65.0</v>
      </c>
      <c r="BQ4" s="2">
        <v>14.0</v>
      </c>
      <c r="BR4" s="2">
        <v>196.0</v>
      </c>
      <c r="BS4" s="2">
        <v>277.0</v>
      </c>
      <c r="BT4" s="2">
        <v>454.0</v>
      </c>
      <c r="BU4" s="2">
        <v>4006.0</v>
      </c>
      <c r="BV4" s="2">
        <v>156.0</v>
      </c>
      <c r="BW4" s="2">
        <v>196.0</v>
      </c>
      <c r="BX4" s="2">
        <v>1.0</v>
      </c>
      <c r="BY4" s="2">
        <v>2674.0</v>
      </c>
      <c r="BZ4" s="2">
        <v>979.0</v>
      </c>
      <c r="CA4" s="2">
        <v>42365.0</v>
      </c>
    </row>
    <row r="5">
      <c r="A5" s="2" t="s">
        <v>161</v>
      </c>
      <c r="B5" s="2">
        <v>9487.0</v>
      </c>
      <c r="C5" s="2">
        <v>244.0</v>
      </c>
      <c r="D5" s="2">
        <v>2639.0</v>
      </c>
      <c r="E5" s="2">
        <v>682.0</v>
      </c>
      <c r="F5" s="2">
        <v>646.0</v>
      </c>
      <c r="G5" s="2">
        <v>3205.0</v>
      </c>
      <c r="H5" s="2">
        <v>514.0</v>
      </c>
      <c r="I5" s="2">
        <v>1128.0</v>
      </c>
      <c r="J5" s="2">
        <v>65.0</v>
      </c>
      <c r="K5" s="2">
        <v>267.0</v>
      </c>
      <c r="L5" s="2">
        <v>97.0</v>
      </c>
      <c r="M5" s="2">
        <v>228.0</v>
      </c>
      <c r="N5" s="2">
        <v>211.0</v>
      </c>
      <c r="O5" s="2">
        <v>17.0</v>
      </c>
      <c r="P5" s="2">
        <v>14124.0</v>
      </c>
      <c r="Q5" s="2">
        <v>515.0</v>
      </c>
      <c r="R5" s="2">
        <v>44.0</v>
      </c>
      <c r="S5" s="2">
        <v>14.0</v>
      </c>
      <c r="T5" s="2">
        <v>409.0</v>
      </c>
      <c r="U5" s="2">
        <v>33.0</v>
      </c>
      <c r="V5" s="2">
        <v>5642.0</v>
      </c>
      <c r="W5" s="2">
        <v>206.0</v>
      </c>
      <c r="X5" s="2">
        <v>7128.0</v>
      </c>
      <c r="Y5" s="2">
        <v>133.0</v>
      </c>
      <c r="Z5" s="2">
        <v>7234.0</v>
      </c>
      <c r="AA5" s="2">
        <v>5314.0</v>
      </c>
      <c r="AB5" s="2">
        <v>1660.0</v>
      </c>
      <c r="AC5" s="2">
        <v>260.0</v>
      </c>
      <c r="AD5" s="2">
        <v>111.0</v>
      </c>
      <c r="AE5" s="2">
        <v>100.0</v>
      </c>
      <c r="AF5" s="2">
        <v>1.0</v>
      </c>
      <c r="AG5" s="2">
        <v>10.0</v>
      </c>
      <c r="AH5" s="2">
        <v>1174.0</v>
      </c>
      <c r="AI5" s="2">
        <v>90.0</v>
      </c>
      <c r="AJ5" s="2">
        <v>117.0</v>
      </c>
      <c r="AK5" s="2">
        <v>236.0</v>
      </c>
      <c r="AL5" s="2">
        <v>246.0</v>
      </c>
      <c r="AM5" s="2">
        <v>92.0</v>
      </c>
      <c r="AN5" s="2">
        <v>9.0</v>
      </c>
      <c r="AO5" s="2">
        <v>145.0</v>
      </c>
      <c r="AP5" s="2">
        <v>57.0</v>
      </c>
      <c r="AQ5" s="2">
        <v>182.0</v>
      </c>
      <c r="AR5" s="2">
        <v>6063.0</v>
      </c>
      <c r="AS5" s="2">
        <v>151.0</v>
      </c>
      <c r="AT5" s="2">
        <v>62.0</v>
      </c>
      <c r="AU5" s="2">
        <v>13.0</v>
      </c>
      <c r="AV5" s="2">
        <v>137.0</v>
      </c>
      <c r="AW5" s="2">
        <v>168.0</v>
      </c>
      <c r="AX5" s="2">
        <v>447.0</v>
      </c>
      <c r="AY5" s="2">
        <v>584.0</v>
      </c>
      <c r="AZ5" s="2">
        <v>4153.0</v>
      </c>
      <c r="BA5" s="2">
        <v>348.0</v>
      </c>
      <c r="BB5" s="2">
        <v>3286.0</v>
      </c>
      <c r="BC5" s="2">
        <v>378.0</v>
      </c>
      <c r="BD5" s="2">
        <v>382.0</v>
      </c>
      <c r="BE5" s="2">
        <v>54.0</v>
      </c>
      <c r="BF5" s="2">
        <v>351.0</v>
      </c>
      <c r="BG5" s="2">
        <v>480.0</v>
      </c>
      <c r="BH5" s="2">
        <v>219.0</v>
      </c>
      <c r="BI5" s="2">
        <v>327.0</v>
      </c>
      <c r="BJ5" s="2">
        <v>508.0</v>
      </c>
      <c r="BK5" s="2">
        <v>587.0</v>
      </c>
      <c r="BL5" s="2">
        <v>1257.0</v>
      </c>
      <c r="BM5" s="2">
        <v>28.0</v>
      </c>
      <c r="BN5" s="2">
        <v>35.0</v>
      </c>
      <c r="BO5" s="2">
        <v>3.0</v>
      </c>
      <c r="BP5" s="2">
        <v>88.0</v>
      </c>
      <c r="BQ5" s="2">
        <v>23.0</v>
      </c>
      <c r="BR5" s="2">
        <v>241.0</v>
      </c>
      <c r="BS5" s="2">
        <v>250.0</v>
      </c>
      <c r="BT5" s="2">
        <v>589.0</v>
      </c>
      <c r="BU5" s="2">
        <v>4035.0</v>
      </c>
      <c r="BV5" s="2">
        <v>153.0</v>
      </c>
      <c r="BW5" s="2">
        <v>205.0</v>
      </c>
      <c r="BX5" s="2">
        <v>0.0</v>
      </c>
      <c r="BY5" s="2">
        <v>2590.0</v>
      </c>
      <c r="BZ5" s="2">
        <v>1087.0</v>
      </c>
      <c r="CA5" s="2">
        <v>46999.0</v>
      </c>
    </row>
    <row r="6">
      <c r="A6" s="2" t="s">
        <v>162</v>
      </c>
      <c r="B6" s="2">
        <v>9726.0</v>
      </c>
      <c r="C6" s="2">
        <v>163.0</v>
      </c>
      <c r="D6" s="2">
        <v>3090.0</v>
      </c>
      <c r="E6" s="2">
        <v>676.0</v>
      </c>
      <c r="F6" s="2">
        <v>676.0</v>
      </c>
      <c r="G6" s="2">
        <v>3014.0</v>
      </c>
      <c r="H6" s="2">
        <v>581.0</v>
      </c>
      <c r="I6" s="2">
        <v>1101.0</v>
      </c>
      <c r="J6" s="2">
        <v>82.0</v>
      </c>
      <c r="K6" s="2">
        <v>238.0</v>
      </c>
      <c r="L6" s="2">
        <v>105.0</v>
      </c>
      <c r="M6" s="2">
        <v>285.0</v>
      </c>
      <c r="N6" s="2">
        <v>266.0</v>
      </c>
      <c r="O6" s="2">
        <v>19.0</v>
      </c>
      <c r="P6" s="2">
        <v>13461.0</v>
      </c>
      <c r="Q6" s="2">
        <v>528.0</v>
      </c>
      <c r="R6" s="2">
        <v>51.0</v>
      </c>
      <c r="S6" s="2">
        <v>8.0</v>
      </c>
      <c r="T6" s="2">
        <v>402.0</v>
      </c>
      <c r="U6" s="2">
        <v>21.0</v>
      </c>
      <c r="V6" s="2">
        <v>3939.0</v>
      </c>
      <c r="W6" s="2">
        <v>240.0</v>
      </c>
      <c r="X6" s="2">
        <v>8113.0</v>
      </c>
      <c r="Y6" s="2">
        <v>159.0</v>
      </c>
      <c r="Z6" s="2">
        <v>9596.0</v>
      </c>
      <c r="AA6" s="2">
        <v>6024.0</v>
      </c>
      <c r="AB6" s="2">
        <v>2882.0</v>
      </c>
      <c r="AC6" s="2">
        <v>690.0</v>
      </c>
      <c r="AD6" s="2">
        <v>126.0</v>
      </c>
      <c r="AE6" s="2">
        <v>113.0</v>
      </c>
      <c r="AF6" s="2">
        <v>1.0</v>
      </c>
      <c r="AG6" s="2">
        <v>12.0</v>
      </c>
      <c r="AH6" s="2">
        <v>1295.0</v>
      </c>
      <c r="AI6" s="2">
        <v>106.0</v>
      </c>
      <c r="AJ6" s="2">
        <v>175.0</v>
      </c>
      <c r="AK6" s="2">
        <v>221.0</v>
      </c>
      <c r="AL6" s="2">
        <v>293.0</v>
      </c>
      <c r="AM6" s="2">
        <v>105.0</v>
      </c>
      <c r="AN6" s="2">
        <v>12.0</v>
      </c>
      <c r="AO6" s="2">
        <v>136.0</v>
      </c>
      <c r="AP6" s="2">
        <v>76.0</v>
      </c>
      <c r="AQ6" s="2">
        <v>171.0</v>
      </c>
      <c r="AR6" s="2">
        <v>6257.0</v>
      </c>
      <c r="AS6" s="2">
        <v>180.0</v>
      </c>
      <c r="AT6" s="2">
        <v>67.0</v>
      </c>
      <c r="AU6" s="2">
        <v>33.0</v>
      </c>
      <c r="AV6" s="2">
        <v>168.0</v>
      </c>
      <c r="AW6" s="2">
        <v>196.0</v>
      </c>
      <c r="AX6" s="2">
        <v>464.0</v>
      </c>
      <c r="AY6" s="2">
        <v>909.0</v>
      </c>
      <c r="AZ6" s="2">
        <v>3833.0</v>
      </c>
      <c r="BA6" s="2">
        <v>407.0</v>
      </c>
      <c r="BB6" s="2">
        <v>4117.0</v>
      </c>
      <c r="BC6" s="2">
        <v>490.0</v>
      </c>
      <c r="BD6" s="2">
        <v>459.0</v>
      </c>
      <c r="BE6" s="2">
        <v>80.0</v>
      </c>
      <c r="BF6" s="2">
        <v>430.0</v>
      </c>
      <c r="BG6" s="2">
        <v>635.0</v>
      </c>
      <c r="BH6" s="2">
        <v>291.0</v>
      </c>
      <c r="BI6" s="2">
        <v>413.0</v>
      </c>
      <c r="BJ6" s="2">
        <v>736.0</v>
      </c>
      <c r="BK6" s="2">
        <v>583.0</v>
      </c>
      <c r="BL6" s="2">
        <v>1306.0</v>
      </c>
      <c r="BM6" s="2">
        <v>37.0</v>
      </c>
      <c r="BN6" s="2">
        <v>42.0</v>
      </c>
      <c r="BO6" s="2">
        <v>5.0</v>
      </c>
      <c r="BP6" s="2">
        <v>125.0</v>
      </c>
      <c r="BQ6" s="2">
        <v>22.0</v>
      </c>
      <c r="BR6" s="2">
        <v>252.0</v>
      </c>
      <c r="BS6" s="2">
        <v>241.0</v>
      </c>
      <c r="BT6" s="2">
        <v>582.0</v>
      </c>
      <c r="BU6" s="2">
        <v>4723.0</v>
      </c>
      <c r="BV6" s="2">
        <v>186.0</v>
      </c>
      <c r="BW6" s="2">
        <v>250.0</v>
      </c>
      <c r="BX6" s="2">
        <v>2.0</v>
      </c>
      <c r="BY6" s="2">
        <v>3440.0</v>
      </c>
      <c r="BZ6" s="2">
        <v>845.0</v>
      </c>
      <c r="CA6" s="2">
        <v>50892.0</v>
      </c>
    </row>
    <row r="7">
      <c r="A7" s="2" t="s">
        <v>163</v>
      </c>
      <c r="B7" s="2">
        <v>9311.0</v>
      </c>
      <c r="C7" s="2">
        <v>182.0</v>
      </c>
      <c r="D7" s="2">
        <v>3239.0</v>
      </c>
      <c r="E7" s="2">
        <v>793.0</v>
      </c>
      <c r="F7" s="2">
        <v>739.0</v>
      </c>
      <c r="G7" s="2">
        <v>2411.0</v>
      </c>
      <c r="H7" s="2">
        <v>651.0</v>
      </c>
      <c r="I7" s="2">
        <v>765.0</v>
      </c>
      <c r="J7" s="2">
        <v>92.0</v>
      </c>
      <c r="K7" s="2">
        <v>304.0</v>
      </c>
      <c r="L7" s="2">
        <v>135.0</v>
      </c>
      <c r="M7" s="2">
        <v>334.0</v>
      </c>
      <c r="N7" s="2">
        <v>313.0</v>
      </c>
      <c r="O7" s="2">
        <v>21.0</v>
      </c>
      <c r="P7" s="2">
        <v>13673.0</v>
      </c>
      <c r="Q7" s="2">
        <v>346.0</v>
      </c>
      <c r="R7" s="2">
        <v>59.0</v>
      </c>
      <c r="S7" s="2">
        <v>8.0</v>
      </c>
      <c r="T7" s="2">
        <v>461.0</v>
      </c>
      <c r="U7" s="2">
        <v>20.0</v>
      </c>
      <c r="V7" s="2">
        <v>4371.0</v>
      </c>
      <c r="W7" s="2">
        <v>290.0</v>
      </c>
      <c r="X7" s="2">
        <v>7955.0</v>
      </c>
      <c r="Y7" s="2">
        <v>163.0</v>
      </c>
      <c r="Z7" s="2">
        <v>10877.0</v>
      </c>
      <c r="AA7" s="2">
        <v>6857.0</v>
      </c>
      <c r="AB7" s="2">
        <v>2915.0</v>
      </c>
      <c r="AC7" s="2">
        <v>1105.0</v>
      </c>
      <c r="AD7" s="2">
        <v>136.0</v>
      </c>
      <c r="AE7" s="2">
        <v>117.0</v>
      </c>
      <c r="AF7" s="2">
        <v>1.0</v>
      </c>
      <c r="AG7" s="2">
        <v>18.0</v>
      </c>
      <c r="AH7" s="2">
        <v>1531.0</v>
      </c>
      <c r="AI7" s="2">
        <v>106.0</v>
      </c>
      <c r="AJ7" s="2">
        <v>253.0</v>
      </c>
      <c r="AK7" s="2">
        <v>188.0</v>
      </c>
      <c r="AL7" s="2">
        <v>381.0</v>
      </c>
      <c r="AM7" s="2">
        <v>125.0</v>
      </c>
      <c r="AN7" s="2">
        <v>17.0</v>
      </c>
      <c r="AO7" s="2">
        <v>181.0</v>
      </c>
      <c r="AP7" s="2">
        <v>82.0</v>
      </c>
      <c r="AQ7" s="2">
        <v>198.0</v>
      </c>
      <c r="AR7" s="2">
        <v>6484.0</v>
      </c>
      <c r="AS7" s="2">
        <v>187.0</v>
      </c>
      <c r="AT7" s="2">
        <v>67.0</v>
      </c>
      <c r="AU7" s="2">
        <v>50.0</v>
      </c>
      <c r="AV7" s="2">
        <v>209.0</v>
      </c>
      <c r="AW7" s="2">
        <v>218.0</v>
      </c>
      <c r="AX7" s="2">
        <v>556.0</v>
      </c>
      <c r="AY7" s="2">
        <v>1027.0</v>
      </c>
      <c r="AZ7" s="2">
        <v>3621.0</v>
      </c>
      <c r="BA7" s="2">
        <v>549.0</v>
      </c>
      <c r="BB7" s="2">
        <v>4862.0</v>
      </c>
      <c r="BC7" s="2">
        <v>566.0</v>
      </c>
      <c r="BD7" s="2">
        <v>523.0</v>
      </c>
      <c r="BE7" s="2">
        <v>79.0</v>
      </c>
      <c r="BF7" s="2">
        <v>511.0</v>
      </c>
      <c r="BG7" s="2">
        <v>808.0</v>
      </c>
      <c r="BH7" s="2">
        <v>317.0</v>
      </c>
      <c r="BI7" s="2">
        <v>542.0</v>
      </c>
      <c r="BJ7" s="2">
        <v>820.0</v>
      </c>
      <c r="BK7" s="2">
        <v>696.0</v>
      </c>
      <c r="BL7" s="2">
        <v>1423.0</v>
      </c>
      <c r="BM7" s="2">
        <v>38.0</v>
      </c>
      <c r="BN7" s="2">
        <v>36.0</v>
      </c>
      <c r="BO7" s="2">
        <v>2.0</v>
      </c>
      <c r="BP7" s="2">
        <v>142.0</v>
      </c>
      <c r="BQ7" s="2">
        <v>30.0</v>
      </c>
      <c r="BR7" s="2">
        <v>311.0</v>
      </c>
      <c r="BS7" s="2">
        <v>260.0</v>
      </c>
      <c r="BT7" s="2">
        <v>604.0</v>
      </c>
      <c r="BU7" s="2">
        <v>5074.0</v>
      </c>
      <c r="BV7" s="2">
        <v>197.0</v>
      </c>
      <c r="BW7" s="2">
        <v>321.0</v>
      </c>
      <c r="BX7" s="2">
        <v>0.0</v>
      </c>
      <c r="BY7" s="2">
        <v>3702.0</v>
      </c>
      <c r="BZ7" s="2">
        <v>854.0</v>
      </c>
      <c r="CA7" s="2">
        <v>53705.0</v>
      </c>
    </row>
    <row r="8">
      <c r="A8" s="2" t="s">
        <v>164</v>
      </c>
      <c r="B8" s="2">
        <v>10585.0</v>
      </c>
      <c r="C8" s="2">
        <v>226.0</v>
      </c>
      <c r="D8" s="2">
        <v>3669.0</v>
      </c>
      <c r="E8" s="2">
        <v>957.0</v>
      </c>
      <c r="F8" s="2">
        <v>913.0</v>
      </c>
      <c r="G8" s="2">
        <v>2449.0</v>
      </c>
      <c r="H8" s="2">
        <v>825.0</v>
      </c>
      <c r="I8" s="2">
        <v>888.0</v>
      </c>
      <c r="J8" s="2">
        <v>112.0</v>
      </c>
      <c r="K8" s="2">
        <v>405.0</v>
      </c>
      <c r="L8" s="2">
        <v>141.0</v>
      </c>
      <c r="M8" s="2">
        <v>377.0</v>
      </c>
      <c r="N8" s="2">
        <v>355.0</v>
      </c>
      <c r="O8" s="2">
        <v>22.0</v>
      </c>
      <c r="P8" s="2">
        <v>13497.0</v>
      </c>
      <c r="Q8" s="2">
        <v>398.0</v>
      </c>
      <c r="R8" s="2">
        <v>61.0</v>
      </c>
      <c r="S8" s="2">
        <v>11.0</v>
      </c>
      <c r="T8" s="2">
        <v>419.0</v>
      </c>
      <c r="U8" s="2">
        <v>9.0</v>
      </c>
      <c r="V8" s="2">
        <v>4539.0</v>
      </c>
      <c r="W8" s="2">
        <v>328.0</v>
      </c>
      <c r="X8" s="2">
        <v>7539.0</v>
      </c>
      <c r="Y8" s="2">
        <v>193.0</v>
      </c>
      <c r="Z8" s="2">
        <v>11612.0</v>
      </c>
      <c r="AA8" s="2">
        <v>7345.0</v>
      </c>
      <c r="AB8" s="2">
        <v>3123.0</v>
      </c>
      <c r="AC8" s="2">
        <v>1144.0</v>
      </c>
      <c r="AD8" s="2">
        <v>154.0</v>
      </c>
      <c r="AE8" s="2">
        <v>131.0</v>
      </c>
      <c r="AF8" s="2">
        <v>1.0</v>
      </c>
      <c r="AG8" s="2">
        <v>22.0</v>
      </c>
      <c r="AH8" s="2">
        <v>1817.0</v>
      </c>
      <c r="AI8" s="2">
        <v>77.0</v>
      </c>
      <c r="AJ8" s="2">
        <v>195.0</v>
      </c>
      <c r="AK8" s="2">
        <v>297.0</v>
      </c>
      <c r="AL8" s="2">
        <v>517.0</v>
      </c>
      <c r="AM8" s="2">
        <v>155.0</v>
      </c>
      <c r="AN8" s="2">
        <v>15.0</v>
      </c>
      <c r="AO8" s="2">
        <v>192.0</v>
      </c>
      <c r="AP8" s="2">
        <v>94.0</v>
      </c>
      <c r="AQ8" s="2">
        <v>275.0</v>
      </c>
      <c r="AR8" s="2">
        <v>7078.0</v>
      </c>
      <c r="AS8" s="2">
        <v>259.0</v>
      </c>
      <c r="AT8" s="2">
        <v>98.0</v>
      </c>
      <c r="AU8" s="2">
        <v>61.0</v>
      </c>
      <c r="AV8" s="2">
        <v>247.0</v>
      </c>
      <c r="AW8" s="2">
        <v>268.0</v>
      </c>
      <c r="AX8" s="2">
        <v>603.0</v>
      </c>
      <c r="AY8" s="2">
        <v>1179.0</v>
      </c>
      <c r="AZ8" s="2">
        <v>3816.0</v>
      </c>
      <c r="BA8" s="2">
        <v>547.0</v>
      </c>
      <c r="BB8" s="2">
        <v>5721.0</v>
      </c>
      <c r="BC8" s="2">
        <v>614.0</v>
      </c>
      <c r="BD8" s="2">
        <v>629.0</v>
      </c>
      <c r="BE8" s="2">
        <v>95.0</v>
      </c>
      <c r="BF8" s="2">
        <v>618.0</v>
      </c>
      <c r="BG8" s="2">
        <v>904.0</v>
      </c>
      <c r="BH8" s="2">
        <v>401.0</v>
      </c>
      <c r="BI8" s="2">
        <v>656.0</v>
      </c>
      <c r="BJ8" s="2">
        <v>887.0</v>
      </c>
      <c r="BK8" s="2">
        <v>917.0</v>
      </c>
      <c r="BL8" s="2">
        <v>1772.0</v>
      </c>
      <c r="BM8" s="2">
        <v>91.0</v>
      </c>
      <c r="BN8" s="2">
        <v>45.0</v>
      </c>
      <c r="BO8" s="2">
        <v>4.0</v>
      </c>
      <c r="BP8" s="2">
        <v>175.0</v>
      </c>
      <c r="BQ8" s="2">
        <v>36.0</v>
      </c>
      <c r="BR8" s="2">
        <v>367.0</v>
      </c>
      <c r="BS8" s="2">
        <v>338.0</v>
      </c>
      <c r="BT8" s="2">
        <v>716.0</v>
      </c>
      <c r="BU8" s="2">
        <v>5759.0</v>
      </c>
      <c r="BV8" s="2">
        <v>203.0</v>
      </c>
      <c r="BW8" s="2">
        <v>289.0</v>
      </c>
      <c r="BX8" s="2">
        <v>0.0</v>
      </c>
      <c r="BY8" s="2">
        <v>4476.0</v>
      </c>
      <c r="BZ8" s="2">
        <v>791.0</v>
      </c>
      <c r="CA8" s="2">
        <v>58372.0</v>
      </c>
    </row>
    <row r="9">
      <c r="A9" s="2" t="s">
        <v>165</v>
      </c>
      <c r="B9" s="2">
        <v>12435.0</v>
      </c>
      <c r="C9" s="2">
        <v>289.0</v>
      </c>
      <c r="D9" s="2">
        <v>3958.0</v>
      </c>
      <c r="E9" s="2">
        <v>1169.0</v>
      </c>
      <c r="F9" s="2">
        <v>1058.0</v>
      </c>
      <c r="G9" s="2">
        <v>3102.0</v>
      </c>
      <c r="H9" s="2">
        <v>912.0</v>
      </c>
      <c r="I9" s="2">
        <v>1210.0</v>
      </c>
      <c r="J9" s="2">
        <v>146.0</v>
      </c>
      <c r="K9" s="2">
        <v>430.0</v>
      </c>
      <c r="L9" s="2">
        <v>161.0</v>
      </c>
      <c r="M9" s="2">
        <v>492.0</v>
      </c>
      <c r="N9" s="2">
        <v>457.0</v>
      </c>
      <c r="O9" s="2">
        <v>35.0</v>
      </c>
      <c r="P9" s="2">
        <v>12753.0</v>
      </c>
      <c r="Q9" s="2">
        <v>378.0</v>
      </c>
      <c r="R9" s="2">
        <v>84.0</v>
      </c>
      <c r="S9" s="2">
        <v>10.0</v>
      </c>
      <c r="T9" s="2">
        <v>531.0</v>
      </c>
      <c r="U9" s="2">
        <v>13.0</v>
      </c>
      <c r="V9" s="2">
        <v>3662.0</v>
      </c>
      <c r="W9" s="2">
        <v>370.0</v>
      </c>
      <c r="X9" s="2">
        <v>7499.0</v>
      </c>
      <c r="Y9" s="2">
        <v>206.0</v>
      </c>
      <c r="Z9" s="2">
        <v>11983.0</v>
      </c>
      <c r="AA9" s="2">
        <v>7798.0</v>
      </c>
      <c r="AB9" s="2">
        <v>2964.0</v>
      </c>
      <c r="AC9" s="2">
        <v>1221.0</v>
      </c>
      <c r="AD9" s="2">
        <v>209.0</v>
      </c>
      <c r="AE9" s="2">
        <v>173.0</v>
      </c>
      <c r="AF9" s="2">
        <v>2.0</v>
      </c>
      <c r="AG9" s="2">
        <v>34.0</v>
      </c>
      <c r="AH9" s="2">
        <v>2189.0</v>
      </c>
      <c r="AI9" s="2">
        <v>83.0</v>
      </c>
      <c r="AJ9" s="2">
        <v>221.0</v>
      </c>
      <c r="AK9" s="2">
        <v>354.0</v>
      </c>
      <c r="AL9" s="2">
        <v>639.0</v>
      </c>
      <c r="AM9" s="2">
        <v>191.0</v>
      </c>
      <c r="AN9" s="2">
        <v>14.0</v>
      </c>
      <c r="AO9" s="2">
        <v>211.0</v>
      </c>
      <c r="AP9" s="2">
        <v>111.0</v>
      </c>
      <c r="AQ9" s="2">
        <v>365.0</v>
      </c>
      <c r="AR9" s="2">
        <v>7575.0</v>
      </c>
      <c r="AS9" s="2">
        <v>327.0</v>
      </c>
      <c r="AT9" s="2">
        <v>117.0</v>
      </c>
      <c r="AU9" s="2">
        <v>88.0</v>
      </c>
      <c r="AV9" s="2">
        <v>253.0</v>
      </c>
      <c r="AW9" s="2">
        <v>355.0</v>
      </c>
      <c r="AX9" s="2">
        <v>580.0</v>
      </c>
      <c r="AY9" s="2">
        <v>1380.0</v>
      </c>
      <c r="AZ9" s="2">
        <v>3895.0</v>
      </c>
      <c r="BA9" s="2">
        <v>580.0</v>
      </c>
      <c r="BB9" s="2">
        <v>7020.0</v>
      </c>
      <c r="BC9" s="2">
        <v>624.0</v>
      </c>
      <c r="BD9" s="2">
        <v>801.0</v>
      </c>
      <c r="BE9" s="2">
        <v>97.0</v>
      </c>
      <c r="BF9" s="2">
        <v>817.0</v>
      </c>
      <c r="BG9" s="2">
        <v>1169.0</v>
      </c>
      <c r="BH9" s="2">
        <v>436.0</v>
      </c>
      <c r="BI9" s="2">
        <v>886.0</v>
      </c>
      <c r="BJ9" s="2">
        <v>1096.0</v>
      </c>
      <c r="BK9" s="2">
        <v>1094.0</v>
      </c>
      <c r="BL9" s="2">
        <v>2000.0</v>
      </c>
      <c r="BM9" s="2">
        <v>46.0</v>
      </c>
      <c r="BN9" s="2">
        <v>75.0</v>
      </c>
      <c r="BO9" s="2">
        <v>10.0</v>
      </c>
      <c r="BP9" s="2">
        <v>222.0</v>
      </c>
      <c r="BQ9" s="2">
        <v>52.0</v>
      </c>
      <c r="BR9" s="2">
        <v>388.0</v>
      </c>
      <c r="BS9" s="2">
        <v>445.0</v>
      </c>
      <c r="BT9" s="2">
        <v>762.0</v>
      </c>
      <c r="BU9" s="2">
        <v>6093.0</v>
      </c>
      <c r="BV9" s="2">
        <v>295.0</v>
      </c>
      <c r="BW9" s="2">
        <v>222.0</v>
      </c>
      <c r="BX9" s="2">
        <v>0.0</v>
      </c>
      <c r="BY9" s="2">
        <v>4683.0</v>
      </c>
      <c r="BZ9" s="2">
        <v>893.0</v>
      </c>
      <c r="CA9" s="2">
        <v>62749.0</v>
      </c>
    </row>
    <row r="10">
      <c r="A10" s="2" t="s">
        <v>166</v>
      </c>
      <c r="B10" s="2">
        <v>13394.0</v>
      </c>
      <c r="C10" s="2">
        <v>359.0</v>
      </c>
      <c r="D10" s="2">
        <v>3799.0</v>
      </c>
      <c r="E10" s="2">
        <v>1423.0</v>
      </c>
      <c r="F10" s="2">
        <v>1092.0</v>
      </c>
      <c r="G10" s="2">
        <v>3340.0</v>
      </c>
      <c r="H10" s="2">
        <v>926.0</v>
      </c>
      <c r="I10" s="2">
        <v>1672.0</v>
      </c>
      <c r="J10" s="2">
        <v>173.0</v>
      </c>
      <c r="K10" s="2">
        <v>403.0</v>
      </c>
      <c r="L10" s="2">
        <v>207.0</v>
      </c>
      <c r="M10" s="2">
        <v>531.0</v>
      </c>
      <c r="N10" s="2">
        <v>493.0</v>
      </c>
      <c r="O10" s="2">
        <v>38.0</v>
      </c>
      <c r="P10" s="2">
        <v>13074.0</v>
      </c>
      <c r="Q10" s="2">
        <v>452.0</v>
      </c>
      <c r="R10" s="2">
        <v>128.0</v>
      </c>
      <c r="S10" s="2">
        <v>12.0</v>
      </c>
      <c r="T10" s="2">
        <v>531.0</v>
      </c>
      <c r="U10" s="2">
        <v>27.0</v>
      </c>
      <c r="V10" s="2">
        <v>4287.0</v>
      </c>
      <c r="W10" s="2">
        <v>352.0</v>
      </c>
      <c r="X10" s="2">
        <v>7074.0</v>
      </c>
      <c r="Y10" s="2">
        <v>211.0</v>
      </c>
      <c r="Z10" s="2">
        <v>10671.0</v>
      </c>
      <c r="AA10" s="2">
        <v>6750.0</v>
      </c>
      <c r="AB10" s="2">
        <v>2705.0</v>
      </c>
      <c r="AC10" s="2">
        <v>1216.0</v>
      </c>
      <c r="AD10" s="2">
        <v>223.0</v>
      </c>
      <c r="AE10" s="2">
        <v>184.0</v>
      </c>
      <c r="AF10" s="2">
        <v>7.0</v>
      </c>
      <c r="AG10" s="2">
        <v>32.0</v>
      </c>
      <c r="AH10" s="2">
        <v>2467.0</v>
      </c>
      <c r="AI10" s="2">
        <v>85.0</v>
      </c>
      <c r="AJ10" s="2">
        <v>277.0</v>
      </c>
      <c r="AK10" s="2">
        <v>372.0</v>
      </c>
      <c r="AL10" s="2">
        <v>729.0</v>
      </c>
      <c r="AM10" s="2">
        <v>235.0</v>
      </c>
      <c r="AN10" s="2">
        <v>23.0</v>
      </c>
      <c r="AO10" s="2">
        <v>209.0</v>
      </c>
      <c r="AP10" s="2">
        <v>123.0</v>
      </c>
      <c r="AQ10" s="2">
        <v>414.0</v>
      </c>
      <c r="AR10" s="2">
        <v>8280.0</v>
      </c>
      <c r="AS10" s="2">
        <v>426.0</v>
      </c>
      <c r="AT10" s="2">
        <v>126.0</v>
      </c>
      <c r="AU10" s="2">
        <v>89.0</v>
      </c>
      <c r="AV10" s="2">
        <v>253.0</v>
      </c>
      <c r="AW10" s="2">
        <v>417.0</v>
      </c>
      <c r="AX10" s="2">
        <v>787.0</v>
      </c>
      <c r="AY10" s="2">
        <v>1505.0</v>
      </c>
      <c r="AZ10" s="2">
        <v>3994.0</v>
      </c>
      <c r="BA10" s="2">
        <v>683.0</v>
      </c>
      <c r="BB10" s="2">
        <v>7606.0</v>
      </c>
      <c r="BC10" s="2">
        <v>602.0</v>
      </c>
      <c r="BD10" s="2">
        <v>806.0</v>
      </c>
      <c r="BE10" s="2">
        <v>120.0</v>
      </c>
      <c r="BF10" s="2">
        <v>935.0</v>
      </c>
      <c r="BG10" s="2">
        <v>1509.0</v>
      </c>
      <c r="BH10" s="2">
        <v>689.0</v>
      </c>
      <c r="BI10" s="2">
        <v>1088.0</v>
      </c>
      <c r="BJ10" s="2">
        <v>1014.0</v>
      </c>
      <c r="BK10" s="2">
        <v>843.0</v>
      </c>
      <c r="BL10" s="2">
        <v>2235.0</v>
      </c>
      <c r="BM10" s="2">
        <v>48.0</v>
      </c>
      <c r="BN10" s="2">
        <v>75.0</v>
      </c>
      <c r="BO10" s="2">
        <v>13.0</v>
      </c>
      <c r="BP10" s="2">
        <v>288.0</v>
      </c>
      <c r="BQ10" s="2">
        <v>56.0</v>
      </c>
      <c r="BR10" s="2">
        <v>444.0</v>
      </c>
      <c r="BS10" s="2">
        <v>483.0</v>
      </c>
      <c r="BT10" s="2">
        <v>828.0</v>
      </c>
      <c r="BU10" s="2">
        <v>6281.0</v>
      </c>
      <c r="BV10" s="2">
        <v>381.0</v>
      </c>
      <c r="BW10" s="2">
        <v>246.0</v>
      </c>
      <c r="BX10" s="2">
        <v>0.0</v>
      </c>
      <c r="BY10" s="2">
        <v>4671.0</v>
      </c>
      <c r="BZ10" s="2">
        <v>983.0</v>
      </c>
      <c r="CA10" s="2">
        <v>64762.0</v>
      </c>
    </row>
    <row r="11">
      <c r="A11" s="2" t="s">
        <v>167</v>
      </c>
      <c r="B11" s="2">
        <v>13073.0</v>
      </c>
      <c r="C11" s="2">
        <v>576.0</v>
      </c>
      <c r="D11" s="2">
        <v>3539.0</v>
      </c>
      <c r="E11" s="2">
        <v>1495.0</v>
      </c>
      <c r="F11" s="2">
        <v>1160.0</v>
      </c>
      <c r="G11" s="2">
        <v>2689.0</v>
      </c>
      <c r="H11" s="2">
        <v>921.0</v>
      </c>
      <c r="I11" s="2">
        <v>1877.0</v>
      </c>
      <c r="J11" s="2">
        <v>181.0</v>
      </c>
      <c r="K11" s="2">
        <v>412.0</v>
      </c>
      <c r="L11" s="2">
        <v>223.0</v>
      </c>
      <c r="M11" s="2">
        <v>585.0</v>
      </c>
      <c r="N11" s="2">
        <v>542.0</v>
      </c>
      <c r="O11" s="2">
        <v>43.0</v>
      </c>
      <c r="P11" s="2">
        <v>14647.0</v>
      </c>
      <c r="Q11" s="2">
        <v>492.0</v>
      </c>
      <c r="R11" s="2">
        <v>122.0</v>
      </c>
      <c r="S11" s="2">
        <v>13.0</v>
      </c>
      <c r="T11" s="2">
        <v>647.0</v>
      </c>
      <c r="U11" s="2">
        <v>47.0</v>
      </c>
      <c r="V11" s="2">
        <v>4404.0</v>
      </c>
      <c r="W11" s="2">
        <v>427.0</v>
      </c>
      <c r="X11" s="2">
        <v>8270.0</v>
      </c>
      <c r="Y11" s="2">
        <v>225.0</v>
      </c>
      <c r="Z11" s="2">
        <v>11980.0</v>
      </c>
      <c r="AA11" s="2">
        <v>7433.0</v>
      </c>
      <c r="AB11" s="2">
        <v>3029.0</v>
      </c>
      <c r="AC11" s="2">
        <v>1518.0</v>
      </c>
      <c r="AD11" s="2">
        <v>256.0</v>
      </c>
      <c r="AE11" s="2">
        <v>216.0</v>
      </c>
      <c r="AF11" s="2">
        <v>2.0</v>
      </c>
      <c r="AG11" s="2">
        <v>38.0</v>
      </c>
      <c r="AH11" s="2">
        <v>2908.0</v>
      </c>
      <c r="AI11" s="2">
        <v>80.0</v>
      </c>
      <c r="AJ11" s="2">
        <v>356.0</v>
      </c>
      <c r="AK11" s="2">
        <v>425.0</v>
      </c>
      <c r="AL11" s="2">
        <v>834.0</v>
      </c>
      <c r="AM11" s="2">
        <v>279.0</v>
      </c>
      <c r="AN11" s="2">
        <v>29.0</v>
      </c>
      <c r="AO11" s="2">
        <v>340.0</v>
      </c>
      <c r="AP11" s="2">
        <v>159.0</v>
      </c>
      <c r="AQ11" s="2">
        <v>406.0</v>
      </c>
      <c r="AR11" s="2">
        <v>9791.0</v>
      </c>
      <c r="AS11" s="2">
        <v>504.0</v>
      </c>
      <c r="AT11" s="2">
        <v>151.0</v>
      </c>
      <c r="AU11" s="2">
        <v>103.0</v>
      </c>
      <c r="AV11" s="2">
        <v>280.0</v>
      </c>
      <c r="AW11" s="2">
        <v>518.0</v>
      </c>
      <c r="AX11" s="2">
        <v>680.0</v>
      </c>
      <c r="AY11" s="2">
        <v>1767.0</v>
      </c>
      <c r="AZ11" s="2">
        <v>5094.0</v>
      </c>
      <c r="BA11" s="2">
        <v>694.0</v>
      </c>
      <c r="BB11" s="2">
        <v>9164.0</v>
      </c>
      <c r="BC11" s="2">
        <v>799.0</v>
      </c>
      <c r="BD11" s="2">
        <v>1063.0</v>
      </c>
      <c r="BE11" s="2">
        <v>142.0</v>
      </c>
      <c r="BF11" s="2">
        <v>1015.0</v>
      </c>
      <c r="BG11" s="2">
        <v>1753.0</v>
      </c>
      <c r="BH11" s="2">
        <v>689.0</v>
      </c>
      <c r="BI11" s="2">
        <v>1359.0</v>
      </c>
      <c r="BJ11" s="2">
        <v>1126.0</v>
      </c>
      <c r="BK11" s="2">
        <v>1218.0</v>
      </c>
      <c r="BL11" s="2">
        <v>2496.0</v>
      </c>
      <c r="BM11" s="2">
        <v>65.0</v>
      </c>
      <c r="BN11" s="2">
        <v>86.0</v>
      </c>
      <c r="BO11" s="2">
        <v>12.0</v>
      </c>
      <c r="BP11" s="2">
        <v>302.0</v>
      </c>
      <c r="BQ11" s="2">
        <v>63.0</v>
      </c>
      <c r="BR11" s="2">
        <v>469.0</v>
      </c>
      <c r="BS11" s="2">
        <v>530.0</v>
      </c>
      <c r="BT11" s="2">
        <v>969.0</v>
      </c>
      <c r="BU11" s="2">
        <v>6785.0</v>
      </c>
      <c r="BV11" s="2">
        <v>424.0</v>
      </c>
      <c r="BW11" s="2">
        <v>163.0</v>
      </c>
      <c r="BX11" s="2">
        <v>0.0</v>
      </c>
      <c r="BY11" s="2">
        <v>5263.0</v>
      </c>
      <c r="BZ11" s="2">
        <v>935.0</v>
      </c>
      <c r="CA11" s="2">
        <v>71685.0</v>
      </c>
    </row>
    <row r="12">
      <c r="A12" s="2" t="s">
        <v>168</v>
      </c>
      <c r="B12" s="2">
        <v>15804.0</v>
      </c>
      <c r="C12" s="2">
        <v>659.0</v>
      </c>
      <c r="D12" s="2">
        <v>2892.0</v>
      </c>
      <c r="E12" s="2">
        <v>1760.0</v>
      </c>
      <c r="F12" s="2">
        <v>1050.0</v>
      </c>
      <c r="G12" s="2">
        <v>5761.0</v>
      </c>
      <c r="H12" s="2">
        <v>1084.0</v>
      </c>
      <c r="I12" s="2">
        <v>1649.0</v>
      </c>
      <c r="J12" s="2">
        <v>196.0</v>
      </c>
      <c r="K12" s="2">
        <v>500.0</v>
      </c>
      <c r="L12" s="2">
        <v>253.0</v>
      </c>
      <c r="M12" s="2">
        <v>740.0</v>
      </c>
      <c r="N12" s="2">
        <v>677.0</v>
      </c>
      <c r="O12" s="2">
        <v>63.0</v>
      </c>
      <c r="P12" s="2">
        <v>15023.0</v>
      </c>
      <c r="Q12" s="2">
        <v>496.0</v>
      </c>
      <c r="R12" s="2">
        <v>218.0</v>
      </c>
      <c r="S12" s="2">
        <v>12.0</v>
      </c>
      <c r="T12" s="2">
        <v>621.0</v>
      </c>
      <c r="U12" s="2">
        <v>14.0</v>
      </c>
      <c r="V12" s="2">
        <v>4285.0</v>
      </c>
      <c r="W12" s="2">
        <v>384.0</v>
      </c>
      <c r="X12" s="2">
        <v>8771.0</v>
      </c>
      <c r="Y12" s="2">
        <v>222.0</v>
      </c>
      <c r="Z12" s="2">
        <v>13002.0</v>
      </c>
      <c r="AA12" s="2">
        <v>7818.0</v>
      </c>
      <c r="AB12" s="2">
        <v>3508.0</v>
      </c>
      <c r="AC12" s="2">
        <v>1676.0</v>
      </c>
      <c r="AD12" s="2">
        <v>237.0</v>
      </c>
      <c r="AE12" s="2">
        <v>194.0</v>
      </c>
      <c r="AF12" s="2">
        <v>10.0</v>
      </c>
      <c r="AG12" s="2">
        <v>33.0</v>
      </c>
      <c r="AH12" s="2">
        <v>3001.0</v>
      </c>
      <c r="AI12" s="2">
        <v>91.0</v>
      </c>
      <c r="AJ12" s="2">
        <v>333.0</v>
      </c>
      <c r="AK12" s="2">
        <v>420.0</v>
      </c>
      <c r="AL12" s="2">
        <v>942.0</v>
      </c>
      <c r="AM12" s="2">
        <v>300.0</v>
      </c>
      <c r="AN12" s="2">
        <v>23.0</v>
      </c>
      <c r="AO12" s="2">
        <v>299.0</v>
      </c>
      <c r="AP12" s="2">
        <v>153.0</v>
      </c>
      <c r="AQ12" s="2">
        <v>440.0</v>
      </c>
      <c r="AR12" s="2">
        <v>9429.0</v>
      </c>
      <c r="AS12" s="2">
        <v>471.0</v>
      </c>
      <c r="AT12" s="2">
        <v>159.0</v>
      </c>
      <c r="AU12" s="2">
        <v>109.0</v>
      </c>
      <c r="AV12" s="2">
        <v>343.0</v>
      </c>
      <c r="AW12" s="2">
        <v>566.0</v>
      </c>
      <c r="AX12" s="2">
        <v>770.0</v>
      </c>
      <c r="AY12" s="2">
        <v>1623.0</v>
      </c>
      <c r="AZ12" s="2">
        <v>4619.0</v>
      </c>
      <c r="BA12" s="2">
        <v>769.0</v>
      </c>
      <c r="BB12" s="2">
        <v>9955.0</v>
      </c>
      <c r="BC12" s="2">
        <v>878.0</v>
      </c>
      <c r="BD12" s="2">
        <v>1089.0</v>
      </c>
      <c r="BE12" s="2">
        <v>200.0</v>
      </c>
      <c r="BF12" s="2">
        <v>1219.0</v>
      </c>
      <c r="BG12" s="2">
        <v>1781.0</v>
      </c>
      <c r="BH12" s="2">
        <v>655.0</v>
      </c>
      <c r="BI12" s="2">
        <v>1347.0</v>
      </c>
      <c r="BJ12" s="2">
        <v>1538.0</v>
      </c>
      <c r="BK12" s="2">
        <v>1248.0</v>
      </c>
      <c r="BL12" s="2">
        <v>2813.0</v>
      </c>
      <c r="BM12" s="2">
        <v>85.0</v>
      </c>
      <c r="BN12" s="2">
        <v>99.0</v>
      </c>
      <c r="BO12" s="2">
        <v>14.0</v>
      </c>
      <c r="BP12" s="2">
        <v>339.0</v>
      </c>
      <c r="BQ12" s="2">
        <v>64.0</v>
      </c>
      <c r="BR12" s="2">
        <v>596.0</v>
      </c>
      <c r="BS12" s="2">
        <v>578.0</v>
      </c>
      <c r="BT12" s="2">
        <v>1038.0</v>
      </c>
      <c r="BU12" s="2">
        <v>6987.0</v>
      </c>
      <c r="BV12" s="2">
        <v>508.0</v>
      </c>
      <c r="BW12" s="2">
        <v>126.0</v>
      </c>
      <c r="BX12" s="2">
        <v>0.0</v>
      </c>
      <c r="BY12" s="2">
        <v>5236.0</v>
      </c>
      <c r="BZ12" s="2">
        <v>1117.0</v>
      </c>
      <c r="CA12" s="2">
        <v>76991.0</v>
      </c>
    </row>
    <row r="13">
      <c r="A13" s="2" t="s">
        <v>169</v>
      </c>
      <c r="B13" s="2">
        <v>17197.0</v>
      </c>
      <c r="C13" s="2">
        <v>743.0</v>
      </c>
      <c r="D13" s="2">
        <v>3442.0</v>
      </c>
      <c r="E13" s="2">
        <v>1834.0</v>
      </c>
      <c r="F13" s="2">
        <v>1203.0</v>
      </c>
      <c r="G13" s="2">
        <v>6042.0</v>
      </c>
      <c r="H13" s="2">
        <v>1156.0</v>
      </c>
      <c r="I13" s="2">
        <v>1723.0</v>
      </c>
      <c r="J13" s="2">
        <v>193.0</v>
      </c>
      <c r="K13" s="2">
        <v>558.0</v>
      </c>
      <c r="L13" s="2">
        <v>303.0</v>
      </c>
      <c r="M13" s="2">
        <v>890.0</v>
      </c>
      <c r="N13" s="2">
        <v>835.0</v>
      </c>
      <c r="O13" s="2">
        <v>55.0</v>
      </c>
      <c r="P13" s="2">
        <v>17150.0</v>
      </c>
      <c r="Q13" s="2">
        <v>546.0</v>
      </c>
      <c r="R13" s="2">
        <v>255.0</v>
      </c>
      <c r="S13" s="2">
        <v>11.0</v>
      </c>
      <c r="T13" s="2">
        <v>683.0</v>
      </c>
      <c r="U13" s="2">
        <v>19.0</v>
      </c>
      <c r="V13" s="2">
        <v>5225.0</v>
      </c>
      <c r="W13" s="2">
        <v>383.0</v>
      </c>
      <c r="X13" s="2">
        <v>9801.0</v>
      </c>
      <c r="Y13" s="2">
        <v>227.0</v>
      </c>
      <c r="Z13" s="2">
        <v>14966.0</v>
      </c>
      <c r="AA13" s="2">
        <v>8821.0</v>
      </c>
      <c r="AB13" s="2">
        <v>4102.0</v>
      </c>
      <c r="AC13" s="2">
        <v>2043.0</v>
      </c>
      <c r="AD13" s="2">
        <v>270.0</v>
      </c>
      <c r="AE13" s="2">
        <v>196.0</v>
      </c>
      <c r="AF13" s="2">
        <v>30.0</v>
      </c>
      <c r="AG13" s="2">
        <v>44.0</v>
      </c>
      <c r="AH13" s="2">
        <v>3213.0</v>
      </c>
      <c r="AI13" s="2">
        <v>143.0</v>
      </c>
      <c r="AJ13" s="2">
        <v>328.0</v>
      </c>
      <c r="AK13" s="2">
        <v>439.0</v>
      </c>
      <c r="AL13" s="2">
        <v>1058.0</v>
      </c>
      <c r="AM13" s="2">
        <v>298.0</v>
      </c>
      <c r="AN13" s="2">
        <v>21.0</v>
      </c>
      <c r="AO13" s="2">
        <v>318.0</v>
      </c>
      <c r="AP13" s="2">
        <v>162.0</v>
      </c>
      <c r="AQ13" s="2">
        <v>446.0</v>
      </c>
      <c r="AR13" s="2">
        <v>9917.0</v>
      </c>
      <c r="AS13" s="2">
        <v>510.0</v>
      </c>
      <c r="AT13" s="2">
        <v>163.0</v>
      </c>
      <c r="AU13" s="2">
        <v>107.0</v>
      </c>
      <c r="AV13" s="2">
        <v>416.0</v>
      </c>
      <c r="AW13" s="2">
        <v>626.0</v>
      </c>
      <c r="AX13" s="2">
        <v>783.0</v>
      </c>
      <c r="AY13" s="2">
        <v>1666.0</v>
      </c>
      <c r="AZ13" s="2">
        <v>4897.0</v>
      </c>
      <c r="BA13" s="2">
        <v>749.0</v>
      </c>
      <c r="BB13" s="2">
        <v>11314.0</v>
      </c>
      <c r="BC13" s="2">
        <v>1035.0</v>
      </c>
      <c r="BD13" s="2">
        <v>1189.0</v>
      </c>
      <c r="BE13" s="2">
        <v>221.0</v>
      </c>
      <c r="BF13" s="2">
        <v>1146.0</v>
      </c>
      <c r="BG13" s="2">
        <v>1674.0</v>
      </c>
      <c r="BH13" s="2">
        <v>987.0</v>
      </c>
      <c r="BI13" s="2">
        <v>1262.0</v>
      </c>
      <c r="BJ13" s="2">
        <v>1869.0</v>
      </c>
      <c r="BK13" s="2">
        <v>1931.0</v>
      </c>
      <c r="BL13" s="2">
        <v>3051.0</v>
      </c>
      <c r="BM13" s="2">
        <v>87.0</v>
      </c>
      <c r="BN13" s="2">
        <v>97.0</v>
      </c>
      <c r="BO13" s="2">
        <v>14.0</v>
      </c>
      <c r="BP13" s="2">
        <v>376.0</v>
      </c>
      <c r="BQ13" s="2">
        <v>59.0</v>
      </c>
      <c r="BR13" s="2">
        <v>710.0</v>
      </c>
      <c r="BS13" s="2">
        <v>665.0</v>
      </c>
      <c r="BT13" s="2">
        <v>1043.0</v>
      </c>
      <c r="BU13" s="2">
        <v>6802.0</v>
      </c>
      <c r="BV13" s="2">
        <v>530.0</v>
      </c>
      <c r="BW13" s="2">
        <v>128.0</v>
      </c>
      <c r="BX13" s="2">
        <v>1.0</v>
      </c>
      <c r="BY13" s="2">
        <v>4923.0</v>
      </c>
      <c r="BZ13" s="2">
        <v>1220.0</v>
      </c>
      <c r="CA13" s="2">
        <v>84770.0</v>
      </c>
    </row>
    <row r="14">
      <c r="A14" s="2" t="s">
        <v>170</v>
      </c>
      <c r="B14" s="2">
        <v>15152.0</v>
      </c>
      <c r="C14" s="2">
        <v>567.0</v>
      </c>
      <c r="D14" s="2">
        <v>3911.0</v>
      </c>
      <c r="E14" s="2">
        <v>2142.0</v>
      </c>
      <c r="F14" s="2">
        <v>1178.0</v>
      </c>
      <c r="G14" s="2">
        <v>5017.0</v>
      </c>
      <c r="H14" s="2">
        <v>1135.0</v>
      </c>
      <c r="I14" s="2">
        <v>180.0</v>
      </c>
      <c r="J14" s="2">
        <v>176.0</v>
      </c>
      <c r="K14" s="2">
        <v>545.0</v>
      </c>
      <c r="L14" s="2">
        <v>301.0</v>
      </c>
      <c r="M14" s="2">
        <v>1154.0</v>
      </c>
      <c r="N14" s="2">
        <v>1084.0</v>
      </c>
      <c r="O14" s="2">
        <v>70.0</v>
      </c>
      <c r="P14" s="2">
        <v>17908.0</v>
      </c>
      <c r="Q14" s="2">
        <v>510.0</v>
      </c>
      <c r="R14" s="2">
        <v>452.0</v>
      </c>
      <c r="S14" s="2">
        <v>10.0</v>
      </c>
      <c r="T14" s="2">
        <v>699.0</v>
      </c>
      <c r="U14" s="2">
        <v>22.0</v>
      </c>
      <c r="V14" s="2">
        <v>4503.0</v>
      </c>
      <c r="W14" s="2">
        <v>449.0</v>
      </c>
      <c r="X14" s="2">
        <v>11015.0</v>
      </c>
      <c r="Y14" s="2">
        <v>248.0</v>
      </c>
      <c r="Z14" s="2">
        <v>15078.0</v>
      </c>
      <c r="AA14" s="2">
        <v>9849.0</v>
      </c>
      <c r="AB14" s="2">
        <v>3374.0</v>
      </c>
      <c r="AC14" s="2">
        <v>1855.0</v>
      </c>
      <c r="AD14" s="2">
        <v>385.0</v>
      </c>
      <c r="AE14" s="2">
        <v>265.0</v>
      </c>
      <c r="AF14" s="2">
        <v>70.0</v>
      </c>
      <c r="AG14" s="2">
        <v>50.0</v>
      </c>
      <c r="AH14" s="2">
        <v>3388.0</v>
      </c>
      <c r="AI14" s="2">
        <v>139.0</v>
      </c>
      <c r="AJ14" s="2">
        <v>316.0</v>
      </c>
      <c r="AK14" s="2">
        <v>525.0</v>
      </c>
      <c r="AL14" s="2">
        <v>1225.0</v>
      </c>
      <c r="AM14" s="2">
        <v>283.0</v>
      </c>
      <c r="AN14" s="2">
        <v>32.0</v>
      </c>
      <c r="AO14" s="2">
        <v>237.0</v>
      </c>
      <c r="AP14" s="2">
        <v>164.0</v>
      </c>
      <c r="AQ14" s="2">
        <v>467.0</v>
      </c>
      <c r="AR14" s="2">
        <v>10428.0</v>
      </c>
      <c r="AS14" s="2">
        <v>497.0</v>
      </c>
      <c r="AT14" s="2">
        <v>169.0</v>
      </c>
      <c r="AU14" s="2">
        <v>104.0</v>
      </c>
      <c r="AV14" s="2">
        <v>421.0</v>
      </c>
      <c r="AW14" s="2">
        <v>593.0</v>
      </c>
      <c r="AX14" s="2">
        <v>698.0</v>
      </c>
      <c r="AY14" s="2">
        <v>1826.0</v>
      </c>
      <c r="AZ14" s="2">
        <v>5418.0</v>
      </c>
      <c r="BA14" s="2">
        <v>702.0</v>
      </c>
      <c r="BB14" s="2">
        <v>10656.0</v>
      </c>
      <c r="BC14" s="2">
        <v>808.0</v>
      </c>
      <c r="BD14" s="2">
        <v>1365.0</v>
      </c>
      <c r="BE14" s="2">
        <v>181.0</v>
      </c>
      <c r="BF14" s="2">
        <v>1034.0</v>
      </c>
      <c r="BG14" s="2">
        <v>1565.0</v>
      </c>
      <c r="BH14" s="2">
        <v>862.0</v>
      </c>
      <c r="BI14" s="2">
        <v>1277.0</v>
      </c>
      <c r="BJ14" s="2">
        <v>1863.0</v>
      </c>
      <c r="BK14" s="2">
        <v>1701.0</v>
      </c>
      <c r="BL14" s="2">
        <v>3345.0</v>
      </c>
      <c r="BM14" s="2">
        <v>85.0</v>
      </c>
      <c r="BN14" s="2">
        <v>98.0</v>
      </c>
      <c r="BO14" s="2">
        <v>12.0</v>
      </c>
      <c r="BP14" s="2">
        <v>365.0</v>
      </c>
      <c r="BQ14" s="2">
        <v>62.0</v>
      </c>
      <c r="BR14" s="2">
        <v>872.0</v>
      </c>
      <c r="BS14" s="2">
        <v>671.0</v>
      </c>
      <c r="BT14" s="2">
        <v>1180.0</v>
      </c>
      <c r="BU14" s="2">
        <v>11493.0</v>
      </c>
      <c r="BV14" s="2">
        <v>766.0</v>
      </c>
      <c r="BW14" s="2">
        <v>135.0</v>
      </c>
      <c r="BX14" s="2">
        <v>2.0</v>
      </c>
      <c r="BY14" s="2">
        <v>7642.0</v>
      </c>
      <c r="BZ14" s="2">
        <v>2948.0</v>
      </c>
      <c r="CA14" s="2">
        <v>88987.0</v>
      </c>
    </row>
    <row r="15">
      <c r="A15" s="2" t="s">
        <v>171</v>
      </c>
      <c r="B15" s="2">
        <v>15878.0</v>
      </c>
      <c r="C15" s="2">
        <v>698.0</v>
      </c>
      <c r="D15" s="2">
        <v>4163.0</v>
      </c>
      <c r="E15" s="2">
        <v>2209.0</v>
      </c>
      <c r="F15" s="2">
        <v>1387.0</v>
      </c>
      <c r="G15" s="2">
        <v>4882.0</v>
      </c>
      <c r="H15" s="2">
        <v>1192.0</v>
      </c>
      <c r="I15" s="2">
        <v>164.0</v>
      </c>
      <c r="J15" s="2">
        <v>213.0</v>
      </c>
      <c r="K15" s="2">
        <v>626.0</v>
      </c>
      <c r="L15" s="2">
        <v>344.0</v>
      </c>
      <c r="M15" s="2">
        <v>1402.0</v>
      </c>
      <c r="N15" s="2">
        <v>1345.0</v>
      </c>
      <c r="O15" s="2">
        <v>57.0</v>
      </c>
      <c r="P15" s="2">
        <v>16669.0</v>
      </c>
      <c r="Q15" s="2">
        <v>343.0</v>
      </c>
      <c r="R15" s="2">
        <v>777.0</v>
      </c>
      <c r="S15" s="2">
        <v>13.0</v>
      </c>
      <c r="T15" s="2">
        <v>698.0</v>
      </c>
      <c r="U15" s="2">
        <v>30.0</v>
      </c>
      <c r="V15" s="2">
        <v>3972.0</v>
      </c>
      <c r="W15" s="2">
        <v>415.0</v>
      </c>
      <c r="X15" s="2">
        <v>10164.0</v>
      </c>
      <c r="Y15" s="2">
        <v>257.0</v>
      </c>
      <c r="Z15" s="2">
        <v>14460.0</v>
      </c>
      <c r="AA15" s="2">
        <v>8406.0</v>
      </c>
      <c r="AB15" s="2">
        <v>4174.0</v>
      </c>
      <c r="AC15" s="2">
        <v>1880.0</v>
      </c>
      <c r="AD15" s="2">
        <v>328.0</v>
      </c>
      <c r="AE15" s="2">
        <v>226.0</v>
      </c>
      <c r="AF15" s="2">
        <v>51.0</v>
      </c>
      <c r="AG15" s="2">
        <v>51.0</v>
      </c>
      <c r="AH15" s="2">
        <v>3855.0</v>
      </c>
      <c r="AI15" s="2">
        <v>159.0</v>
      </c>
      <c r="AJ15" s="2">
        <v>380.0</v>
      </c>
      <c r="AK15" s="2">
        <v>524.0</v>
      </c>
      <c r="AL15" s="2">
        <v>1481.0</v>
      </c>
      <c r="AM15" s="2">
        <v>334.0</v>
      </c>
      <c r="AN15" s="2">
        <v>31.0</v>
      </c>
      <c r="AO15" s="2">
        <v>232.0</v>
      </c>
      <c r="AP15" s="2">
        <v>178.0</v>
      </c>
      <c r="AQ15" s="2">
        <v>536.0</v>
      </c>
      <c r="AR15" s="2">
        <v>10684.0</v>
      </c>
      <c r="AS15" s="2">
        <v>430.0</v>
      </c>
      <c r="AT15" s="2">
        <v>180.0</v>
      </c>
      <c r="AU15" s="2">
        <v>138.0</v>
      </c>
      <c r="AV15" s="2">
        <v>470.0</v>
      </c>
      <c r="AW15" s="2">
        <v>604.0</v>
      </c>
      <c r="AX15" s="2">
        <v>868.0</v>
      </c>
      <c r="AY15" s="2">
        <v>1362.0</v>
      </c>
      <c r="AZ15" s="2">
        <v>5974.0</v>
      </c>
      <c r="BA15" s="2">
        <v>658.0</v>
      </c>
      <c r="BB15" s="2">
        <v>10988.0</v>
      </c>
      <c r="BC15" s="2">
        <v>793.0</v>
      </c>
      <c r="BD15" s="2">
        <v>1096.0</v>
      </c>
      <c r="BE15" s="2">
        <v>197.0</v>
      </c>
      <c r="BF15" s="2">
        <v>1029.0</v>
      </c>
      <c r="BG15" s="2">
        <v>1405.0</v>
      </c>
      <c r="BH15" s="2">
        <v>906.0</v>
      </c>
      <c r="BI15" s="2">
        <v>1298.0</v>
      </c>
      <c r="BJ15" s="2">
        <v>2441.0</v>
      </c>
      <c r="BK15" s="2">
        <v>1823.0</v>
      </c>
      <c r="BL15" s="2">
        <v>3618.0</v>
      </c>
      <c r="BM15" s="2">
        <v>77.0</v>
      </c>
      <c r="BN15" s="2">
        <v>127.0</v>
      </c>
      <c r="BO15" s="2">
        <v>12.0</v>
      </c>
      <c r="BP15" s="2">
        <v>331.0</v>
      </c>
      <c r="BQ15" s="2">
        <v>63.0</v>
      </c>
      <c r="BR15" s="2">
        <v>1004.0</v>
      </c>
      <c r="BS15" s="2">
        <v>784.0</v>
      </c>
      <c r="BT15" s="2">
        <v>1220.0</v>
      </c>
      <c r="BU15" s="2">
        <v>9018.0</v>
      </c>
      <c r="BV15" s="2">
        <v>1807.0</v>
      </c>
      <c r="BW15" s="2">
        <v>98.0</v>
      </c>
      <c r="BX15" s="2">
        <v>8.0</v>
      </c>
      <c r="BY15" s="2">
        <v>4810.0</v>
      </c>
      <c r="BZ15" s="2">
        <v>2295.0</v>
      </c>
      <c r="CA15" s="2">
        <v>86900.0</v>
      </c>
    </row>
    <row r="16">
      <c r="A16" s="2" t="s">
        <v>172</v>
      </c>
      <c r="B16" s="2">
        <v>18974.0</v>
      </c>
      <c r="C16" s="2">
        <v>798.0</v>
      </c>
      <c r="D16" s="2">
        <v>5038.0</v>
      </c>
      <c r="E16" s="2">
        <v>2724.0</v>
      </c>
      <c r="F16" s="2">
        <v>1690.0</v>
      </c>
      <c r="G16" s="2">
        <v>5406.0</v>
      </c>
      <c r="H16" s="2">
        <v>1460.0</v>
      </c>
      <c r="I16" s="2">
        <v>209.0</v>
      </c>
      <c r="J16" s="2">
        <v>257.0</v>
      </c>
      <c r="K16" s="2">
        <v>977.0</v>
      </c>
      <c r="L16" s="2">
        <v>415.0</v>
      </c>
      <c r="M16" s="2">
        <v>1771.0</v>
      </c>
      <c r="N16" s="2">
        <v>1715.0</v>
      </c>
      <c r="O16" s="2">
        <v>56.0</v>
      </c>
      <c r="P16" s="2">
        <v>21236.0</v>
      </c>
      <c r="Q16" s="2">
        <v>594.0</v>
      </c>
      <c r="R16" s="2">
        <v>723.0</v>
      </c>
      <c r="S16" s="2">
        <v>11.0</v>
      </c>
      <c r="T16" s="2">
        <v>871.0</v>
      </c>
      <c r="U16" s="2">
        <v>52.0</v>
      </c>
      <c r="V16" s="2">
        <v>4879.0</v>
      </c>
      <c r="W16" s="2">
        <v>451.0</v>
      </c>
      <c r="X16" s="2">
        <v>13382.0</v>
      </c>
      <c r="Y16" s="2">
        <v>273.0</v>
      </c>
      <c r="Z16" s="2">
        <v>23041.0</v>
      </c>
      <c r="AA16" s="2">
        <v>9349.0</v>
      </c>
      <c r="AB16" s="2">
        <v>10465.0</v>
      </c>
      <c r="AC16" s="2">
        <v>3227.0</v>
      </c>
      <c r="AD16" s="2">
        <v>307.0</v>
      </c>
      <c r="AE16" s="2">
        <v>215.0</v>
      </c>
      <c r="AF16" s="2">
        <v>42.0</v>
      </c>
      <c r="AG16" s="2">
        <v>50.0</v>
      </c>
      <c r="AH16" s="2">
        <v>4716.0</v>
      </c>
      <c r="AI16" s="2">
        <v>123.0</v>
      </c>
      <c r="AJ16" s="2">
        <v>489.0</v>
      </c>
      <c r="AK16" s="2">
        <v>620.0</v>
      </c>
      <c r="AL16" s="2">
        <v>2016.0</v>
      </c>
      <c r="AM16" s="2">
        <v>377.0</v>
      </c>
      <c r="AN16" s="2">
        <v>74.0</v>
      </c>
      <c r="AO16" s="2">
        <v>218.0</v>
      </c>
      <c r="AP16" s="2">
        <v>201.0</v>
      </c>
      <c r="AQ16" s="2">
        <v>598.0</v>
      </c>
      <c r="AR16" s="2">
        <v>13571.0</v>
      </c>
      <c r="AS16" s="2">
        <v>504.0</v>
      </c>
      <c r="AT16" s="2">
        <v>165.0</v>
      </c>
      <c r="AU16" s="2">
        <v>174.0</v>
      </c>
      <c r="AV16" s="2">
        <v>565.0</v>
      </c>
      <c r="AW16" s="2">
        <v>600.0</v>
      </c>
      <c r="AX16" s="2">
        <v>1010.0</v>
      </c>
      <c r="AY16" s="2">
        <v>1172.0</v>
      </c>
      <c r="AZ16" s="2">
        <v>8715.0</v>
      </c>
      <c r="BA16" s="2">
        <v>666.0</v>
      </c>
      <c r="BB16" s="2">
        <v>12494.0</v>
      </c>
      <c r="BC16" s="2">
        <v>966.0</v>
      </c>
      <c r="BD16" s="2">
        <v>1235.0</v>
      </c>
      <c r="BE16" s="2">
        <v>256.0</v>
      </c>
      <c r="BF16" s="2">
        <v>1119.0</v>
      </c>
      <c r="BG16" s="2">
        <v>1404.0</v>
      </c>
      <c r="BH16" s="2">
        <v>1450.0</v>
      </c>
      <c r="BI16" s="2">
        <v>1502.0</v>
      </c>
      <c r="BJ16" s="2">
        <v>3275.0</v>
      </c>
      <c r="BK16" s="2">
        <v>1287.0</v>
      </c>
      <c r="BL16" s="2">
        <v>4166.0</v>
      </c>
      <c r="BM16" s="2">
        <v>84.0</v>
      </c>
      <c r="BN16" s="2">
        <v>121.0</v>
      </c>
      <c r="BO16" s="2">
        <v>14.0</v>
      </c>
      <c r="BP16" s="2">
        <v>340.0</v>
      </c>
      <c r="BQ16" s="2">
        <v>65.0</v>
      </c>
      <c r="BR16" s="2">
        <v>1132.0</v>
      </c>
      <c r="BS16" s="2">
        <v>1061.0</v>
      </c>
      <c r="BT16" s="2">
        <v>1349.0</v>
      </c>
      <c r="BU16" s="2">
        <v>10092.0</v>
      </c>
      <c r="BV16" s="2">
        <v>1792.0</v>
      </c>
      <c r="BW16" s="2">
        <v>83.0</v>
      </c>
      <c r="BX16" s="2">
        <v>5.0</v>
      </c>
      <c r="BY16" s="2">
        <v>4952.0</v>
      </c>
      <c r="BZ16" s="2">
        <v>3260.0</v>
      </c>
      <c r="CA16" s="2">
        <v>110368.0</v>
      </c>
    </row>
    <row r="17">
      <c r="A17" s="2" t="s">
        <v>173</v>
      </c>
      <c r="B17" s="2">
        <v>21988.0</v>
      </c>
      <c r="C17" s="2">
        <v>1030.0</v>
      </c>
      <c r="D17" s="2">
        <v>6369.0</v>
      </c>
      <c r="E17" s="2">
        <v>3049.0</v>
      </c>
      <c r="F17" s="2">
        <v>1711.0</v>
      </c>
      <c r="G17" s="2">
        <v>6281.0</v>
      </c>
      <c r="H17" s="2">
        <v>1634.0</v>
      </c>
      <c r="I17" s="2">
        <v>224.0</v>
      </c>
      <c r="J17" s="2">
        <v>258.0</v>
      </c>
      <c r="K17" s="2">
        <v>997.0</v>
      </c>
      <c r="L17" s="2">
        <v>435.0</v>
      </c>
      <c r="M17" s="2">
        <v>2187.0</v>
      </c>
      <c r="N17" s="2">
        <v>2115.0</v>
      </c>
      <c r="O17" s="2">
        <v>72.0</v>
      </c>
      <c r="P17" s="2">
        <v>23774.0</v>
      </c>
      <c r="Q17" s="2">
        <v>828.0</v>
      </c>
      <c r="R17" s="2">
        <v>735.0</v>
      </c>
      <c r="S17" s="2">
        <v>17.0</v>
      </c>
      <c r="T17" s="2">
        <v>859.0</v>
      </c>
      <c r="U17" s="2">
        <v>51.0</v>
      </c>
      <c r="V17" s="2">
        <v>5582.0</v>
      </c>
      <c r="W17" s="2">
        <v>531.0</v>
      </c>
      <c r="X17" s="2">
        <v>14868.0</v>
      </c>
      <c r="Y17" s="2">
        <v>303.0</v>
      </c>
      <c r="Z17" s="2">
        <v>25430.0</v>
      </c>
      <c r="AA17" s="2">
        <v>12514.0</v>
      </c>
      <c r="AB17" s="2">
        <v>9212.0</v>
      </c>
      <c r="AC17" s="2">
        <v>3704.0</v>
      </c>
      <c r="AD17" s="2">
        <v>309.0</v>
      </c>
      <c r="AE17" s="2">
        <v>217.0</v>
      </c>
      <c r="AF17" s="2">
        <v>44.0</v>
      </c>
      <c r="AG17" s="2">
        <v>48.0</v>
      </c>
      <c r="AH17" s="2">
        <v>5425.0</v>
      </c>
      <c r="AI17" s="2">
        <v>136.0</v>
      </c>
      <c r="AJ17" s="2">
        <v>564.0</v>
      </c>
      <c r="AK17" s="2">
        <v>647.0</v>
      </c>
      <c r="AL17" s="2">
        <v>2434.0</v>
      </c>
      <c r="AM17" s="2">
        <v>394.0</v>
      </c>
      <c r="AN17" s="2">
        <v>152.0</v>
      </c>
      <c r="AO17" s="2">
        <v>234.0</v>
      </c>
      <c r="AP17" s="2">
        <v>229.0</v>
      </c>
      <c r="AQ17" s="2">
        <v>635.0</v>
      </c>
      <c r="AR17" s="2">
        <v>13923.0</v>
      </c>
      <c r="AS17" s="2">
        <v>545.0</v>
      </c>
      <c r="AT17" s="2">
        <v>173.0</v>
      </c>
      <c r="AU17" s="2">
        <v>217.0</v>
      </c>
      <c r="AV17" s="2">
        <v>661.0</v>
      </c>
      <c r="AW17" s="2">
        <v>568.0</v>
      </c>
      <c r="AX17" s="2">
        <v>952.0</v>
      </c>
      <c r="AY17" s="2">
        <v>737.0</v>
      </c>
      <c r="AZ17" s="2">
        <v>9319.0</v>
      </c>
      <c r="BA17" s="2">
        <v>751.0</v>
      </c>
      <c r="BB17" s="2">
        <v>13842.0</v>
      </c>
      <c r="BC17" s="2">
        <v>750.0</v>
      </c>
      <c r="BD17" s="2">
        <v>1376.0</v>
      </c>
      <c r="BE17" s="2">
        <v>208.0</v>
      </c>
      <c r="BF17" s="2">
        <v>1303.0</v>
      </c>
      <c r="BG17" s="2">
        <v>1638.0</v>
      </c>
      <c r="BH17" s="2">
        <v>1357.0</v>
      </c>
      <c r="BI17" s="2">
        <v>1709.0</v>
      </c>
      <c r="BJ17" s="2">
        <v>4250.0</v>
      </c>
      <c r="BK17" s="2">
        <v>1251.0</v>
      </c>
      <c r="BL17" s="2">
        <v>4561.0</v>
      </c>
      <c r="BM17" s="2">
        <v>95.0</v>
      </c>
      <c r="BN17" s="2">
        <v>148.0</v>
      </c>
      <c r="BO17" s="2">
        <v>13.0</v>
      </c>
      <c r="BP17" s="2">
        <v>369.0</v>
      </c>
      <c r="BQ17" s="2">
        <v>62.0</v>
      </c>
      <c r="BR17" s="2">
        <v>1291.0</v>
      </c>
      <c r="BS17" s="2">
        <v>1113.0</v>
      </c>
      <c r="BT17" s="2">
        <v>1470.0</v>
      </c>
      <c r="BU17" s="2">
        <v>11095.0</v>
      </c>
      <c r="BV17" s="2">
        <v>2232.0</v>
      </c>
      <c r="BW17" s="2">
        <v>61.0</v>
      </c>
      <c r="BX17" s="2">
        <v>0.0</v>
      </c>
      <c r="BY17" s="2">
        <v>5157.0</v>
      </c>
      <c r="BZ17" s="2">
        <v>3645.0</v>
      </c>
      <c r="CA17" s="2">
        <v>122534.0</v>
      </c>
    </row>
    <row r="18">
      <c r="A18" s="2" t="s">
        <v>174</v>
      </c>
      <c r="B18" s="2">
        <v>21146.0</v>
      </c>
      <c r="C18" s="2">
        <v>1168.0</v>
      </c>
      <c r="D18" s="2">
        <v>5952.0</v>
      </c>
      <c r="E18" s="2">
        <v>2887.0</v>
      </c>
      <c r="F18" s="2">
        <v>1627.0</v>
      </c>
      <c r="G18" s="2">
        <v>5959.0</v>
      </c>
      <c r="H18" s="2">
        <v>1644.0</v>
      </c>
      <c r="I18" s="2">
        <v>230.0</v>
      </c>
      <c r="J18" s="2">
        <v>281.0</v>
      </c>
      <c r="K18" s="2">
        <v>959.0</v>
      </c>
      <c r="L18" s="2">
        <v>439.0</v>
      </c>
      <c r="M18" s="2">
        <v>2616.0</v>
      </c>
      <c r="N18" s="2">
        <v>2516.0</v>
      </c>
      <c r="O18" s="2">
        <v>100.0</v>
      </c>
      <c r="P18" s="2">
        <v>22042.0</v>
      </c>
      <c r="Q18" s="2">
        <v>658.0</v>
      </c>
      <c r="R18" s="2">
        <v>757.0</v>
      </c>
      <c r="S18" s="2">
        <v>19.0</v>
      </c>
      <c r="T18" s="2">
        <v>972.0</v>
      </c>
      <c r="U18" s="2">
        <v>48.0</v>
      </c>
      <c r="V18" s="2">
        <v>4896.0</v>
      </c>
      <c r="W18" s="2">
        <v>502.0</v>
      </c>
      <c r="X18" s="2">
        <v>13889.0</v>
      </c>
      <c r="Y18" s="2">
        <v>301.0</v>
      </c>
      <c r="Z18" s="2">
        <v>24700.0</v>
      </c>
      <c r="AA18" s="2">
        <v>12877.0</v>
      </c>
      <c r="AB18" s="2">
        <v>8622.0</v>
      </c>
      <c r="AC18" s="2">
        <v>3201.0</v>
      </c>
      <c r="AD18" s="2">
        <v>320.0</v>
      </c>
      <c r="AE18" s="2">
        <v>208.0</v>
      </c>
      <c r="AF18" s="2">
        <v>55.0</v>
      </c>
      <c r="AG18" s="2">
        <v>57.0</v>
      </c>
      <c r="AH18" s="2">
        <v>5073.0</v>
      </c>
      <c r="AI18" s="2">
        <v>131.0</v>
      </c>
      <c r="AJ18" s="2">
        <v>548.0</v>
      </c>
      <c r="AK18" s="2">
        <v>679.0</v>
      </c>
      <c r="AL18" s="2">
        <v>1944.0</v>
      </c>
      <c r="AM18" s="2">
        <v>492.0</v>
      </c>
      <c r="AN18" s="2">
        <v>118.0</v>
      </c>
      <c r="AO18" s="2">
        <v>234.0</v>
      </c>
      <c r="AP18" s="2">
        <v>253.0</v>
      </c>
      <c r="AQ18" s="2">
        <v>674.0</v>
      </c>
      <c r="AR18" s="2">
        <v>13461.0</v>
      </c>
      <c r="AS18" s="2">
        <v>622.0</v>
      </c>
      <c r="AT18" s="2">
        <v>141.0</v>
      </c>
      <c r="AU18" s="2">
        <v>222.0</v>
      </c>
      <c r="AV18" s="2">
        <v>790.0</v>
      </c>
      <c r="AW18" s="2">
        <v>518.0</v>
      </c>
      <c r="AX18" s="2">
        <v>923.0</v>
      </c>
      <c r="AY18" s="2">
        <v>795.0</v>
      </c>
      <c r="AZ18" s="2">
        <v>8637.0</v>
      </c>
      <c r="BA18" s="2">
        <v>813.0</v>
      </c>
      <c r="BB18" s="2">
        <v>14192.0</v>
      </c>
      <c r="BC18" s="2">
        <v>675.0</v>
      </c>
      <c r="BD18" s="2">
        <v>1367.0</v>
      </c>
      <c r="BE18" s="2">
        <v>143.0</v>
      </c>
      <c r="BF18" s="2">
        <v>1259.0</v>
      </c>
      <c r="BG18" s="2">
        <v>1610.0</v>
      </c>
      <c r="BH18" s="2">
        <v>751.0</v>
      </c>
      <c r="BI18" s="2">
        <v>1724.0</v>
      </c>
      <c r="BJ18" s="2">
        <v>4263.0</v>
      </c>
      <c r="BK18" s="2">
        <v>2400.0</v>
      </c>
      <c r="BL18" s="2">
        <v>4426.0</v>
      </c>
      <c r="BM18" s="2">
        <v>127.0</v>
      </c>
      <c r="BN18" s="2">
        <v>177.0</v>
      </c>
      <c r="BO18" s="2">
        <v>15.0</v>
      </c>
      <c r="BP18" s="2">
        <v>320.0</v>
      </c>
      <c r="BQ18" s="2">
        <v>57.0</v>
      </c>
      <c r="BR18" s="2">
        <v>1335.0</v>
      </c>
      <c r="BS18" s="2">
        <v>725.0</v>
      </c>
      <c r="BT18" s="2">
        <v>1670.0</v>
      </c>
      <c r="BU18" s="2">
        <v>11471.0</v>
      </c>
      <c r="BV18" s="2">
        <v>2493.0</v>
      </c>
      <c r="BW18" s="2">
        <v>68.0</v>
      </c>
      <c r="BX18" s="2">
        <v>0.0</v>
      </c>
      <c r="BY18" s="2">
        <v>5307.0</v>
      </c>
      <c r="BZ18" s="2">
        <v>3603.0</v>
      </c>
      <c r="CA18" s="2">
        <v>119447.0</v>
      </c>
    </row>
    <row r="19">
      <c r="A19" s="2" t="s">
        <v>175</v>
      </c>
      <c r="B19" s="2">
        <v>16388.0</v>
      </c>
      <c r="C19" s="2">
        <v>969.0</v>
      </c>
      <c r="D19" s="2">
        <v>5309.0</v>
      </c>
      <c r="E19" s="2">
        <v>2071.0</v>
      </c>
      <c r="F19" s="2">
        <v>1351.0</v>
      </c>
      <c r="G19" s="2">
        <v>3651.0</v>
      </c>
      <c r="H19" s="2">
        <v>1231.0</v>
      </c>
      <c r="I19" s="2">
        <v>178.0</v>
      </c>
      <c r="J19" s="2">
        <v>281.0</v>
      </c>
      <c r="K19" s="2">
        <v>868.0</v>
      </c>
      <c r="L19" s="2">
        <v>479.0</v>
      </c>
      <c r="M19" s="2">
        <v>2626.0</v>
      </c>
      <c r="N19" s="2">
        <v>2528.0</v>
      </c>
      <c r="O19" s="2">
        <v>98.0</v>
      </c>
      <c r="P19" s="2">
        <v>20198.0</v>
      </c>
      <c r="Q19" s="2">
        <v>637.0</v>
      </c>
      <c r="R19" s="2">
        <v>373.0</v>
      </c>
      <c r="S19" s="2">
        <v>16.0</v>
      </c>
      <c r="T19" s="2">
        <v>959.0</v>
      </c>
      <c r="U19" s="2">
        <v>56.0</v>
      </c>
      <c r="V19" s="2">
        <v>3497.0</v>
      </c>
      <c r="W19" s="2">
        <v>450.0</v>
      </c>
      <c r="X19" s="2">
        <v>13968.0</v>
      </c>
      <c r="Y19" s="2">
        <v>242.0</v>
      </c>
      <c r="Z19" s="2">
        <v>21345.0</v>
      </c>
      <c r="AA19" s="2">
        <v>10900.0</v>
      </c>
      <c r="AB19" s="2">
        <v>7244.0</v>
      </c>
      <c r="AC19" s="2">
        <v>3201.0</v>
      </c>
      <c r="AD19" s="2">
        <v>328.0</v>
      </c>
      <c r="AE19" s="2">
        <v>239.0</v>
      </c>
      <c r="AF19" s="2">
        <v>38.0</v>
      </c>
      <c r="AG19" s="2">
        <v>51.0</v>
      </c>
      <c r="AH19" s="2">
        <v>5193.0</v>
      </c>
      <c r="AI19" s="2">
        <v>145.0</v>
      </c>
      <c r="AJ19" s="2">
        <v>522.0</v>
      </c>
      <c r="AK19" s="2">
        <v>618.0</v>
      </c>
      <c r="AL19" s="2">
        <v>2236.0</v>
      </c>
      <c r="AM19" s="2">
        <v>432.0</v>
      </c>
      <c r="AN19" s="2">
        <v>151.0</v>
      </c>
      <c r="AO19" s="2">
        <v>203.0</v>
      </c>
      <c r="AP19" s="2">
        <v>243.0</v>
      </c>
      <c r="AQ19" s="2">
        <v>643.0</v>
      </c>
      <c r="AR19" s="2">
        <v>11374.0</v>
      </c>
      <c r="AS19" s="2">
        <v>520.0</v>
      </c>
      <c r="AT19" s="2">
        <v>135.0</v>
      </c>
      <c r="AU19" s="2">
        <v>195.0</v>
      </c>
      <c r="AV19" s="2">
        <v>745.0</v>
      </c>
      <c r="AW19" s="2">
        <v>475.0</v>
      </c>
      <c r="AX19" s="2">
        <v>870.0</v>
      </c>
      <c r="AY19" s="2">
        <v>893.0</v>
      </c>
      <c r="AZ19" s="2">
        <v>6770.0</v>
      </c>
      <c r="BA19" s="2">
        <v>771.0</v>
      </c>
      <c r="BB19" s="2">
        <v>12451.0</v>
      </c>
      <c r="BC19" s="2">
        <v>746.0</v>
      </c>
      <c r="BD19" s="2">
        <v>1178.0</v>
      </c>
      <c r="BE19" s="2">
        <v>141.0</v>
      </c>
      <c r="BF19" s="2">
        <v>1247.0</v>
      </c>
      <c r="BG19" s="2">
        <v>1338.0</v>
      </c>
      <c r="BH19" s="2">
        <v>779.0</v>
      </c>
      <c r="BI19" s="2">
        <v>1536.0</v>
      </c>
      <c r="BJ19" s="2">
        <v>4101.0</v>
      </c>
      <c r="BK19" s="2">
        <v>1385.0</v>
      </c>
      <c r="BL19" s="2">
        <v>4291.0</v>
      </c>
      <c r="BM19" s="2">
        <v>97.0</v>
      </c>
      <c r="BN19" s="2">
        <v>158.0</v>
      </c>
      <c r="BO19" s="2">
        <v>21.0</v>
      </c>
      <c r="BP19" s="2">
        <v>331.0</v>
      </c>
      <c r="BQ19" s="2">
        <v>50.0</v>
      </c>
      <c r="BR19" s="2">
        <v>1205.0</v>
      </c>
      <c r="BS19" s="2">
        <v>583.0</v>
      </c>
      <c r="BT19" s="2">
        <v>1846.0</v>
      </c>
      <c r="BU19" s="2">
        <v>13766.0</v>
      </c>
      <c r="BV19" s="2">
        <v>2703.0</v>
      </c>
      <c r="BW19" s="2">
        <v>80.0</v>
      </c>
      <c r="BX19" s="2">
        <v>0.0</v>
      </c>
      <c r="BY19" s="2">
        <v>5863.0</v>
      </c>
      <c r="BZ19" s="2">
        <v>5120.0</v>
      </c>
      <c r="CA19" s="2">
        <v>107960.0</v>
      </c>
    </row>
    <row r="20">
      <c r="A20" s="2" t="s">
        <v>176</v>
      </c>
      <c r="B20" s="2">
        <v>20435.0</v>
      </c>
      <c r="C20" s="2">
        <v>829.0</v>
      </c>
      <c r="D20" s="2">
        <v>6552.0</v>
      </c>
      <c r="E20" s="2">
        <v>2377.0</v>
      </c>
      <c r="F20" s="2">
        <v>1231.0</v>
      </c>
      <c r="G20" s="2">
        <v>6192.0</v>
      </c>
      <c r="H20" s="2">
        <v>1285.0</v>
      </c>
      <c r="I20" s="2">
        <v>200.0</v>
      </c>
      <c r="J20" s="2">
        <v>286.0</v>
      </c>
      <c r="K20" s="2">
        <v>1017.0</v>
      </c>
      <c r="L20" s="2">
        <v>466.0</v>
      </c>
      <c r="M20" s="2">
        <v>2942.0</v>
      </c>
      <c r="N20" s="2">
        <v>2837.0</v>
      </c>
      <c r="O20" s="2">
        <v>105.0</v>
      </c>
      <c r="P20" s="2">
        <v>23058.0</v>
      </c>
      <c r="Q20" s="2">
        <v>686.0</v>
      </c>
      <c r="R20" s="2">
        <v>635.0</v>
      </c>
      <c r="S20" s="2">
        <v>15.0</v>
      </c>
      <c r="T20" s="2">
        <v>1043.0</v>
      </c>
      <c r="U20" s="2">
        <v>69.0</v>
      </c>
      <c r="V20" s="2">
        <v>3580.0</v>
      </c>
      <c r="W20" s="2">
        <v>420.0</v>
      </c>
      <c r="X20" s="2">
        <v>16333.0</v>
      </c>
      <c r="Y20" s="2">
        <v>277.0</v>
      </c>
      <c r="Z20" s="2">
        <v>23836.0</v>
      </c>
      <c r="AA20" s="2">
        <v>13475.0</v>
      </c>
      <c r="AB20" s="2">
        <v>7088.0</v>
      </c>
      <c r="AC20" s="2">
        <v>3273.0</v>
      </c>
      <c r="AD20" s="2">
        <v>366.0</v>
      </c>
      <c r="AE20" s="2">
        <v>240.0</v>
      </c>
      <c r="AF20" s="2">
        <v>61.0</v>
      </c>
      <c r="AG20" s="2">
        <v>65.0</v>
      </c>
      <c r="AH20" s="2">
        <v>5526.0</v>
      </c>
      <c r="AI20" s="2">
        <v>131.0</v>
      </c>
      <c r="AJ20" s="2">
        <v>512.0</v>
      </c>
      <c r="AK20" s="2">
        <v>627.0</v>
      </c>
      <c r="AL20" s="2">
        <v>2599.0</v>
      </c>
      <c r="AM20" s="2">
        <v>417.0</v>
      </c>
      <c r="AN20" s="2">
        <v>136.0</v>
      </c>
      <c r="AO20" s="2">
        <v>215.0</v>
      </c>
      <c r="AP20" s="2">
        <v>282.0</v>
      </c>
      <c r="AQ20" s="2">
        <v>607.0</v>
      </c>
      <c r="AR20" s="2">
        <v>12011.0</v>
      </c>
      <c r="AS20" s="2">
        <v>452.0</v>
      </c>
      <c r="AT20" s="2">
        <v>145.0</v>
      </c>
      <c r="AU20" s="2">
        <v>232.0</v>
      </c>
      <c r="AV20" s="2">
        <v>764.0</v>
      </c>
      <c r="AW20" s="2">
        <v>445.0</v>
      </c>
      <c r="AX20" s="2">
        <v>829.0</v>
      </c>
      <c r="AY20" s="2">
        <v>867.0</v>
      </c>
      <c r="AZ20" s="2">
        <v>7506.0</v>
      </c>
      <c r="BA20" s="2">
        <v>771.0</v>
      </c>
      <c r="BB20" s="2">
        <v>11970.0</v>
      </c>
      <c r="BC20" s="2">
        <v>935.0</v>
      </c>
      <c r="BD20" s="2">
        <v>1187.0</v>
      </c>
      <c r="BE20" s="2">
        <v>137.0</v>
      </c>
      <c r="BF20" s="2">
        <v>1370.0</v>
      </c>
      <c r="BG20" s="2">
        <v>1128.0</v>
      </c>
      <c r="BH20" s="2">
        <v>859.0</v>
      </c>
      <c r="BI20" s="2">
        <v>1537.0</v>
      </c>
      <c r="BJ20" s="2">
        <v>3947.0</v>
      </c>
      <c r="BK20" s="2">
        <v>870.0</v>
      </c>
      <c r="BL20" s="2">
        <v>4406.0</v>
      </c>
      <c r="BM20" s="2">
        <v>99.0</v>
      </c>
      <c r="BN20" s="2">
        <v>132.0</v>
      </c>
      <c r="BO20" s="2">
        <v>21.0</v>
      </c>
      <c r="BP20" s="2">
        <v>290.0</v>
      </c>
      <c r="BQ20" s="2">
        <v>44.0</v>
      </c>
      <c r="BR20" s="2">
        <v>1307.0</v>
      </c>
      <c r="BS20" s="2">
        <v>567.0</v>
      </c>
      <c r="BT20" s="2">
        <v>1946.0</v>
      </c>
      <c r="BU20" s="2">
        <v>13216.0</v>
      </c>
      <c r="BV20" s="2">
        <v>1936.0</v>
      </c>
      <c r="BW20" s="2">
        <v>109.0</v>
      </c>
      <c r="BX20" s="2">
        <v>0.0</v>
      </c>
      <c r="BY20" s="2">
        <v>5641.0</v>
      </c>
      <c r="BZ20" s="2">
        <v>5530.0</v>
      </c>
      <c r="CA20" s="2">
        <v>117766.0</v>
      </c>
    </row>
    <row r="21" ht="15.75" customHeight="1">
      <c r="A21" s="2" t="s">
        <v>177</v>
      </c>
      <c r="B21" s="2">
        <v>18738.0</v>
      </c>
      <c r="C21" s="2">
        <v>817.0</v>
      </c>
      <c r="D21" s="2">
        <v>6860.0</v>
      </c>
      <c r="E21" s="2">
        <v>2439.0</v>
      </c>
      <c r="F21" s="2">
        <v>1222.0</v>
      </c>
      <c r="G21" s="2">
        <v>4406.0</v>
      </c>
      <c r="H21" s="2">
        <v>1289.0</v>
      </c>
      <c r="I21" s="2">
        <v>212.0</v>
      </c>
      <c r="J21" s="2">
        <v>245.0</v>
      </c>
      <c r="K21" s="2">
        <v>806.0</v>
      </c>
      <c r="L21" s="2">
        <v>442.0</v>
      </c>
      <c r="M21" s="2">
        <v>2961.0</v>
      </c>
      <c r="N21" s="2">
        <v>2884.0</v>
      </c>
      <c r="O21" s="2">
        <v>77.0</v>
      </c>
      <c r="P21" s="2">
        <v>30128.0</v>
      </c>
      <c r="Q21" s="2">
        <v>623.0</v>
      </c>
      <c r="R21" s="2">
        <v>398.0</v>
      </c>
      <c r="S21" s="2">
        <v>9.0</v>
      </c>
      <c r="T21" s="2">
        <v>1017.0</v>
      </c>
      <c r="U21" s="2">
        <v>131.0</v>
      </c>
      <c r="V21" s="2">
        <v>3362.0</v>
      </c>
      <c r="W21" s="2">
        <v>503.0</v>
      </c>
      <c r="X21" s="2">
        <v>23806.0</v>
      </c>
      <c r="Y21" s="2">
        <v>279.0</v>
      </c>
      <c r="Z21" s="2">
        <v>35571.0</v>
      </c>
      <c r="AA21" s="2">
        <v>21895.0</v>
      </c>
      <c r="AB21" s="2">
        <v>9054.0</v>
      </c>
      <c r="AC21" s="2">
        <v>4622.0</v>
      </c>
      <c r="AD21" s="2">
        <v>296.0</v>
      </c>
      <c r="AE21" s="2">
        <v>204.0</v>
      </c>
      <c r="AF21" s="2">
        <v>56.0</v>
      </c>
      <c r="AG21" s="2">
        <v>36.0</v>
      </c>
      <c r="AH21" s="2">
        <v>6460.0</v>
      </c>
      <c r="AI21" s="2">
        <v>134.0</v>
      </c>
      <c r="AJ21" s="2">
        <v>541.0</v>
      </c>
      <c r="AK21" s="2">
        <v>625.0</v>
      </c>
      <c r="AL21" s="2">
        <v>3229.0</v>
      </c>
      <c r="AM21" s="2">
        <v>462.0</v>
      </c>
      <c r="AN21" s="2">
        <v>188.0</v>
      </c>
      <c r="AO21" s="2">
        <v>310.0</v>
      </c>
      <c r="AP21" s="2">
        <v>317.0</v>
      </c>
      <c r="AQ21" s="2">
        <v>654.0</v>
      </c>
      <c r="AR21" s="2">
        <v>12935.0</v>
      </c>
      <c r="AS21" s="2">
        <v>398.0</v>
      </c>
      <c r="AT21" s="2">
        <v>168.0</v>
      </c>
      <c r="AU21" s="2">
        <v>236.0</v>
      </c>
      <c r="AV21" s="2">
        <v>701.0</v>
      </c>
      <c r="AW21" s="2">
        <v>430.0</v>
      </c>
      <c r="AX21" s="2">
        <v>858.0</v>
      </c>
      <c r="AY21" s="2">
        <v>746.0</v>
      </c>
      <c r="AZ21" s="2">
        <v>8540.0</v>
      </c>
      <c r="BA21" s="2">
        <v>858.0</v>
      </c>
      <c r="BB21" s="2">
        <v>13141.0</v>
      </c>
      <c r="BC21" s="2">
        <v>1119.0</v>
      </c>
      <c r="BD21" s="2">
        <v>1424.0</v>
      </c>
      <c r="BE21" s="2">
        <v>183.0</v>
      </c>
      <c r="BF21" s="2">
        <v>1494.0</v>
      </c>
      <c r="BG21" s="2">
        <v>1215.0</v>
      </c>
      <c r="BH21" s="2">
        <v>794.0</v>
      </c>
      <c r="BI21" s="2">
        <v>1523.0</v>
      </c>
      <c r="BJ21" s="2">
        <v>4287.0</v>
      </c>
      <c r="BK21" s="2">
        <v>1102.0</v>
      </c>
      <c r="BL21" s="2">
        <v>4445.0</v>
      </c>
      <c r="BM21" s="2">
        <v>116.0</v>
      </c>
      <c r="BN21" s="2">
        <v>131.0</v>
      </c>
      <c r="BO21" s="2">
        <v>24.0</v>
      </c>
      <c r="BP21" s="2">
        <v>271.0</v>
      </c>
      <c r="BQ21" s="2">
        <v>44.0</v>
      </c>
      <c r="BR21" s="2">
        <v>1500.0</v>
      </c>
      <c r="BS21" s="2">
        <v>338.0</v>
      </c>
      <c r="BT21" s="2">
        <v>2021.0</v>
      </c>
      <c r="BU21" s="2">
        <v>14404.0</v>
      </c>
      <c r="BV21" s="2">
        <v>2017.0</v>
      </c>
      <c r="BW21" s="2">
        <v>113.0</v>
      </c>
      <c r="BX21" s="2">
        <v>0.0</v>
      </c>
      <c r="BY21" s="2">
        <v>5823.0</v>
      </c>
      <c r="BZ21" s="2">
        <v>6451.0</v>
      </c>
      <c r="CA21" s="2">
        <v>139079.0</v>
      </c>
    </row>
    <row r="22" ht="15.75" customHeight="1">
      <c r="A22" s="2" t="s">
        <v>178</v>
      </c>
      <c r="B22" s="2">
        <v>20065.0</v>
      </c>
      <c r="C22" s="2">
        <v>881.0</v>
      </c>
      <c r="D22" s="2">
        <v>7084.0</v>
      </c>
      <c r="E22" s="2">
        <v>2424.0</v>
      </c>
      <c r="F22" s="2">
        <v>1222.0</v>
      </c>
      <c r="G22" s="2">
        <v>5193.0</v>
      </c>
      <c r="H22" s="2">
        <v>1453.0</v>
      </c>
      <c r="I22" s="2">
        <v>278.0</v>
      </c>
      <c r="J22" s="2">
        <v>217.0</v>
      </c>
      <c r="K22" s="2">
        <v>874.0</v>
      </c>
      <c r="L22" s="2">
        <v>439.0</v>
      </c>
      <c r="M22" s="2">
        <v>3008.0</v>
      </c>
      <c r="N22" s="2">
        <v>2892.0</v>
      </c>
      <c r="O22" s="2">
        <v>116.0</v>
      </c>
      <c r="P22" s="2">
        <v>39187.0</v>
      </c>
      <c r="Q22" s="2">
        <v>661.0</v>
      </c>
      <c r="R22" s="2">
        <v>366.0</v>
      </c>
      <c r="S22" s="2">
        <v>0.0</v>
      </c>
      <c r="T22" s="2">
        <v>1143.0</v>
      </c>
      <c r="U22" s="2">
        <v>158.0</v>
      </c>
      <c r="V22" s="2">
        <v>3415.0</v>
      </c>
      <c r="W22" s="2">
        <v>542.0</v>
      </c>
      <c r="X22" s="2">
        <v>32664.0</v>
      </c>
      <c r="Y22" s="2">
        <v>238.0</v>
      </c>
      <c r="Z22" s="2">
        <v>39335.0</v>
      </c>
      <c r="AA22" s="2">
        <v>23357.0</v>
      </c>
      <c r="AB22" s="2">
        <v>9812.0</v>
      </c>
      <c r="AC22" s="2">
        <v>6166.0</v>
      </c>
      <c r="AD22" s="2">
        <v>284.0</v>
      </c>
      <c r="AE22" s="2">
        <v>206.0</v>
      </c>
      <c r="AF22" s="2">
        <v>65.0</v>
      </c>
      <c r="AG22" s="2">
        <v>13.0</v>
      </c>
      <c r="AH22" s="2">
        <v>6904.0</v>
      </c>
      <c r="AI22" s="2">
        <v>157.0</v>
      </c>
      <c r="AJ22" s="2">
        <v>648.0</v>
      </c>
      <c r="AK22" s="2">
        <v>641.0</v>
      </c>
      <c r="AL22" s="2">
        <v>3450.0</v>
      </c>
      <c r="AM22" s="2">
        <v>485.0</v>
      </c>
      <c r="AN22" s="2">
        <v>148.0</v>
      </c>
      <c r="AO22" s="2">
        <v>269.0</v>
      </c>
      <c r="AP22" s="2">
        <v>353.0</v>
      </c>
      <c r="AQ22" s="2">
        <v>753.0</v>
      </c>
      <c r="AR22" s="2">
        <v>17287.0</v>
      </c>
      <c r="AS22" s="2">
        <v>419.0</v>
      </c>
      <c r="AT22" s="2">
        <v>182.0</v>
      </c>
      <c r="AU22" s="2">
        <v>202.0</v>
      </c>
      <c r="AV22" s="2">
        <v>721.0</v>
      </c>
      <c r="AW22" s="2">
        <v>414.0</v>
      </c>
      <c r="AX22" s="2">
        <v>896.0</v>
      </c>
      <c r="AY22" s="2">
        <v>1062.0</v>
      </c>
      <c r="AZ22" s="2">
        <v>12413.0</v>
      </c>
      <c r="BA22" s="2">
        <v>978.0</v>
      </c>
      <c r="BB22" s="2">
        <v>13001.0</v>
      </c>
      <c r="BC22" s="2">
        <v>1292.0</v>
      </c>
      <c r="BD22" s="2">
        <v>1439.0</v>
      </c>
      <c r="BE22" s="2">
        <v>177.0</v>
      </c>
      <c r="BF22" s="2">
        <v>1609.0</v>
      </c>
      <c r="BG22" s="2">
        <v>1262.0</v>
      </c>
      <c r="BH22" s="2">
        <v>764.0</v>
      </c>
      <c r="BI22" s="2">
        <v>1638.0</v>
      </c>
      <c r="BJ22" s="2">
        <v>3836.0</v>
      </c>
      <c r="BK22" s="2">
        <v>984.0</v>
      </c>
      <c r="BL22" s="2">
        <v>4796.0</v>
      </c>
      <c r="BM22" s="2">
        <v>108.0</v>
      </c>
      <c r="BN22" s="2">
        <v>141.0</v>
      </c>
      <c r="BO22" s="2">
        <v>25.0</v>
      </c>
      <c r="BP22" s="2">
        <v>244.0</v>
      </c>
      <c r="BQ22" s="2">
        <v>43.0</v>
      </c>
      <c r="BR22" s="2">
        <v>1691.0</v>
      </c>
      <c r="BS22" s="2">
        <v>358.0</v>
      </c>
      <c r="BT22" s="2">
        <v>2186.0</v>
      </c>
      <c r="BU22" s="2">
        <v>19869.0</v>
      </c>
      <c r="BV22" s="2">
        <v>2696.0</v>
      </c>
      <c r="BW22" s="2">
        <v>151.0</v>
      </c>
      <c r="BX22" s="2">
        <v>0.0</v>
      </c>
      <c r="BY22" s="2">
        <v>9153.0</v>
      </c>
      <c r="BZ22" s="2">
        <v>7869.0</v>
      </c>
      <c r="CA22" s="2">
        <v>163736.0</v>
      </c>
    </row>
    <row r="23" ht="15.75" customHeight="1">
      <c r="A23" s="2" t="s">
        <v>179</v>
      </c>
      <c r="B23" s="2">
        <v>17428.0</v>
      </c>
      <c r="C23" s="2">
        <v>928.0</v>
      </c>
      <c r="D23" s="2">
        <v>6624.0</v>
      </c>
      <c r="E23" s="2">
        <v>2435.0</v>
      </c>
      <c r="F23" s="2">
        <v>1110.0</v>
      </c>
      <c r="G23" s="2">
        <v>3362.0</v>
      </c>
      <c r="H23" s="2">
        <v>1285.0</v>
      </c>
      <c r="I23" s="2">
        <v>223.0</v>
      </c>
      <c r="J23" s="2">
        <v>256.0</v>
      </c>
      <c r="K23" s="2">
        <v>761.0</v>
      </c>
      <c r="L23" s="2">
        <v>444.0</v>
      </c>
      <c r="M23" s="2">
        <v>3248.0</v>
      </c>
      <c r="N23" s="2">
        <v>3101.0</v>
      </c>
      <c r="O23" s="2">
        <v>147.0</v>
      </c>
      <c r="P23" s="2">
        <v>42059.0</v>
      </c>
      <c r="Q23" s="2">
        <v>734.0</v>
      </c>
      <c r="R23" s="2">
        <v>150.0</v>
      </c>
      <c r="S23" s="2">
        <v>3.0</v>
      </c>
      <c r="T23" s="2">
        <v>1254.0</v>
      </c>
      <c r="U23" s="2">
        <v>227.0</v>
      </c>
      <c r="V23" s="2">
        <v>3339.0</v>
      </c>
      <c r="W23" s="2">
        <v>543.0</v>
      </c>
      <c r="X23" s="2">
        <v>35606.0</v>
      </c>
      <c r="Y23" s="2">
        <v>203.0</v>
      </c>
      <c r="Z23" s="2">
        <v>38264.0</v>
      </c>
      <c r="AA23" s="2">
        <v>20875.0</v>
      </c>
      <c r="AB23" s="2">
        <v>11211.0</v>
      </c>
      <c r="AC23" s="2">
        <v>6178.0</v>
      </c>
      <c r="AD23" s="2">
        <v>363.0</v>
      </c>
      <c r="AE23" s="2">
        <v>282.0</v>
      </c>
      <c r="AF23" s="2">
        <v>68.0</v>
      </c>
      <c r="AG23" s="2">
        <v>13.0</v>
      </c>
      <c r="AH23" s="2">
        <v>7898.0</v>
      </c>
      <c r="AI23" s="2">
        <v>160.0</v>
      </c>
      <c r="AJ23" s="2">
        <v>814.0</v>
      </c>
      <c r="AK23" s="2">
        <v>616.0</v>
      </c>
      <c r="AL23" s="2">
        <v>3948.0</v>
      </c>
      <c r="AM23" s="2">
        <v>531.0</v>
      </c>
      <c r="AN23" s="2">
        <v>259.0</v>
      </c>
      <c r="AO23" s="2">
        <v>373.0</v>
      </c>
      <c r="AP23" s="2">
        <v>349.0</v>
      </c>
      <c r="AQ23" s="2">
        <v>848.0</v>
      </c>
      <c r="AR23" s="2">
        <v>18579.0</v>
      </c>
      <c r="AS23" s="2">
        <v>381.0</v>
      </c>
      <c r="AT23" s="2">
        <v>243.0</v>
      </c>
      <c r="AU23" s="2">
        <v>167.0</v>
      </c>
      <c r="AV23" s="2">
        <v>709.0</v>
      </c>
      <c r="AW23" s="2">
        <v>410.0</v>
      </c>
      <c r="AX23" s="2">
        <v>768.0</v>
      </c>
      <c r="AY23" s="2">
        <v>1203.0</v>
      </c>
      <c r="AZ23" s="2">
        <v>13642.0</v>
      </c>
      <c r="BA23" s="2">
        <v>1056.0</v>
      </c>
      <c r="BB23" s="2">
        <v>13770.0</v>
      </c>
      <c r="BC23" s="2">
        <v>1169.0</v>
      </c>
      <c r="BD23" s="2">
        <v>1720.0</v>
      </c>
      <c r="BE23" s="2">
        <v>204.0</v>
      </c>
      <c r="BF23" s="2">
        <v>1665.0</v>
      </c>
      <c r="BG23" s="2">
        <v>1155.0</v>
      </c>
      <c r="BH23" s="2">
        <v>879.0</v>
      </c>
      <c r="BI23" s="2">
        <v>1847.0</v>
      </c>
      <c r="BJ23" s="2">
        <v>4095.0</v>
      </c>
      <c r="BK23" s="2">
        <v>1036.0</v>
      </c>
      <c r="BL23" s="2">
        <v>5061.0</v>
      </c>
      <c r="BM23" s="2">
        <v>137.0</v>
      </c>
      <c r="BN23" s="2">
        <v>110.0</v>
      </c>
      <c r="BO23" s="2">
        <v>30.0</v>
      </c>
      <c r="BP23" s="2">
        <v>241.0</v>
      </c>
      <c r="BQ23" s="2">
        <v>45.0</v>
      </c>
      <c r="BR23" s="2">
        <v>1811.0</v>
      </c>
      <c r="BS23" s="2">
        <v>321.0</v>
      </c>
      <c r="BT23" s="2">
        <v>2366.0</v>
      </c>
      <c r="BU23" s="2">
        <v>21710.0</v>
      </c>
      <c r="BV23" s="2">
        <v>1350.0</v>
      </c>
      <c r="BW23" s="2">
        <v>209.0</v>
      </c>
      <c r="BX23" s="2">
        <v>0.0</v>
      </c>
      <c r="BY23" s="2">
        <v>11361.0</v>
      </c>
      <c r="BZ23" s="2">
        <v>8790.0</v>
      </c>
      <c r="CA23" s="2">
        <v>168380.0</v>
      </c>
    </row>
    <row r="24" ht="15.75" customHeight="1">
      <c r="A24" s="2" t="s">
        <v>180</v>
      </c>
      <c r="B24" s="2">
        <v>21816.0</v>
      </c>
      <c r="C24" s="2">
        <v>1119.0</v>
      </c>
      <c r="D24" s="2">
        <v>7197.0</v>
      </c>
      <c r="E24" s="2">
        <v>2655.0</v>
      </c>
      <c r="F24" s="2">
        <v>1106.0</v>
      </c>
      <c r="G24" s="2">
        <v>6098.0</v>
      </c>
      <c r="H24" s="2">
        <v>1407.0</v>
      </c>
      <c r="I24" s="2">
        <v>239.0</v>
      </c>
      <c r="J24" s="2">
        <v>269.0</v>
      </c>
      <c r="K24" s="2">
        <v>1119.0</v>
      </c>
      <c r="L24" s="2">
        <v>607.0</v>
      </c>
      <c r="M24" s="2">
        <v>2774.0</v>
      </c>
      <c r="N24" s="2">
        <v>2649.0</v>
      </c>
      <c r="O24" s="2">
        <v>125.0</v>
      </c>
      <c r="P24" s="2">
        <v>56263.0</v>
      </c>
      <c r="Q24" s="2">
        <v>720.0</v>
      </c>
      <c r="R24" s="2">
        <v>395.0</v>
      </c>
      <c r="S24" s="2">
        <v>11.0</v>
      </c>
      <c r="T24" s="2">
        <v>1374.0</v>
      </c>
      <c r="U24" s="2">
        <v>292.0</v>
      </c>
      <c r="V24" s="2">
        <v>2783.0</v>
      </c>
      <c r="W24" s="2">
        <v>400.0</v>
      </c>
      <c r="X24" s="2">
        <v>50045.0</v>
      </c>
      <c r="Y24" s="2">
        <v>243.0</v>
      </c>
      <c r="Z24" s="2">
        <v>71108.0</v>
      </c>
      <c r="AA24" s="2">
        <v>46868.0</v>
      </c>
      <c r="AB24" s="2">
        <v>13808.0</v>
      </c>
      <c r="AC24" s="2">
        <v>10432.0</v>
      </c>
      <c r="AD24" s="2">
        <v>572.0</v>
      </c>
      <c r="AE24" s="2">
        <v>392.0</v>
      </c>
      <c r="AF24" s="2">
        <v>167.0</v>
      </c>
      <c r="AG24" s="2">
        <v>13.0</v>
      </c>
      <c r="AH24" s="2">
        <v>8467.0</v>
      </c>
      <c r="AI24" s="2">
        <v>185.0</v>
      </c>
      <c r="AJ24" s="2">
        <v>768.0</v>
      </c>
      <c r="AK24" s="2">
        <v>584.0</v>
      </c>
      <c r="AL24" s="2">
        <v>3982.0</v>
      </c>
      <c r="AM24" s="2">
        <v>593.0</v>
      </c>
      <c r="AN24" s="2">
        <v>649.0</v>
      </c>
      <c r="AO24" s="2">
        <v>331.0</v>
      </c>
      <c r="AP24" s="2">
        <v>362.0</v>
      </c>
      <c r="AQ24" s="2">
        <v>1013.0</v>
      </c>
      <c r="AR24" s="2">
        <v>18013.0</v>
      </c>
      <c r="AS24" s="2">
        <v>325.0</v>
      </c>
      <c r="AT24" s="2">
        <v>276.0</v>
      </c>
      <c r="AU24" s="2">
        <v>163.0</v>
      </c>
      <c r="AV24" s="2">
        <v>717.0</v>
      </c>
      <c r="AW24" s="2">
        <v>379.0</v>
      </c>
      <c r="AX24" s="2">
        <v>814.0</v>
      </c>
      <c r="AY24" s="2">
        <v>1705.0</v>
      </c>
      <c r="AZ24" s="2">
        <v>12494.0</v>
      </c>
      <c r="BA24" s="2">
        <v>1140.0</v>
      </c>
      <c r="BB24" s="2">
        <v>15283.0</v>
      </c>
      <c r="BC24" s="2">
        <v>1057.0</v>
      </c>
      <c r="BD24" s="2">
        <v>1872.0</v>
      </c>
      <c r="BE24" s="2">
        <v>202.0</v>
      </c>
      <c r="BF24" s="2">
        <v>1827.0</v>
      </c>
      <c r="BG24" s="2">
        <v>1191.0</v>
      </c>
      <c r="BH24" s="2">
        <v>1034.0</v>
      </c>
      <c r="BI24" s="2">
        <v>1857.0</v>
      </c>
      <c r="BJ24" s="2">
        <v>4842.0</v>
      </c>
      <c r="BK24" s="2">
        <v>1401.0</v>
      </c>
      <c r="BL24" s="2">
        <v>5372.0</v>
      </c>
      <c r="BM24" s="2">
        <v>134.0</v>
      </c>
      <c r="BN24" s="2">
        <v>118.0</v>
      </c>
      <c r="BO24" s="2">
        <v>32.0</v>
      </c>
      <c r="BP24" s="2">
        <v>253.0</v>
      </c>
      <c r="BQ24" s="2">
        <v>51.0</v>
      </c>
      <c r="BR24" s="2">
        <v>2065.0</v>
      </c>
      <c r="BS24" s="2">
        <v>353.0</v>
      </c>
      <c r="BT24" s="2">
        <v>2366.0</v>
      </c>
      <c r="BU24" s="2">
        <v>22678.0</v>
      </c>
      <c r="BV24" s="2">
        <v>1362.0</v>
      </c>
      <c r="BW24" s="2">
        <v>415.0</v>
      </c>
      <c r="BX24" s="2">
        <v>0.0</v>
      </c>
      <c r="BY24" s="2">
        <v>14298.0</v>
      </c>
      <c r="BZ24" s="2">
        <v>6603.0</v>
      </c>
      <c r="CA24" s="2">
        <v>222346.0</v>
      </c>
    </row>
    <row r="25" ht="15.75" customHeight="1">
      <c r="A25" s="2" t="s">
        <v>181</v>
      </c>
      <c r="B25" s="2">
        <v>21623.0</v>
      </c>
      <c r="C25" s="2">
        <v>1151.0</v>
      </c>
      <c r="D25" s="2">
        <v>6635.0</v>
      </c>
      <c r="E25" s="2">
        <v>2137.0</v>
      </c>
      <c r="F25" s="2">
        <v>1034.0</v>
      </c>
      <c r="G25" s="2">
        <v>6483.0</v>
      </c>
      <c r="H25" s="2">
        <v>1689.0</v>
      </c>
      <c r="I25" s="2">
        <v>272.0</v>
      </c>
      <c r="J25" s="2">
        <v>304.0</v>
      </c>
      <c r="K25" s="2">
        <v>1263.0</v>
      </c>
      <c r="L25" s="2">
        <v>655.0</v>
      </c>
      <c r="M25" s="2">
        <v>2591.0</v>
      </c>
      <c r="N25" s="2">
        <v>2462.0</v>
      </c>
      <c r="O25" s="2">
        <v>129.0</v>
      </c>
      <c r="P25" s="2">
        <v>51326.0</v>
      </c>
      <c r="Q25" s="2">
        <v>523.0</v>
      </c>
      <c r="R25" s="2">
        <v>765.0</v>
      </c>
      <c r="S25" s="2">
        <v>12.0</v>
      </c>
      <c r="T25" s="2">
        <v>1090.0</v>
      </c>
      <c r="U25" s="2">
        <v>210.0</v>
      </c>
      <c r="V25" s="2">
        <v>2426.0</v>
      </c>
      <c r="W25" s="2">
        <v>289.0</v>
      </c>
      <c r="X25" s="2">
        <v>45798.0</v>
      </c>
      <c r="Y25" s="2">
        <v>213.0</v>
      </c>
      <c r="Z25" s="2">
        <v>57833.0</v>
      </c>
      <c r="AA25" s="2">
        <v>39602.0</v>
      </c>
      <c r="AB25" s="2">
        <v>9600.0</v>
      </c>
      <c r="AC25" s="2">
        <v>8631.0</v>
      </c>
      <c r="AD25" s="2">
        <v>448.0</v>
      </c>
      <c r="AE25" s="2">
        <v>272.0</v>
      </c>
      <c r="AF25" s="2">
        <v>161.0</v>
      </c>
      <c r="AG25" s="2">
        <v>15.0</v>
      </c>
      <c r="AH25" s="2">
        <v>8094.0</v>
      </c>
      <c r="AI25" s="2">
        <v>154.0</v>
      </c>
      <c r="AJ25" s="2">
        <v>518.0</v>
      </c>
      <c r="AK25" s="2">
        <v>676.0</v>
      </c>
      <c r="AL25" s="2">
        <v>4071.0</v>
      </c>
      <c r="AM25" s="2">
        <v>602.0</v>
      </c>
      <c r="AN25" s="2">
        <v>405.0</v>
      </c>
      <c r="AO25" s="2">
        <v>253.0</v>
      </c>
      <c r="AP25" s="2">
        <v>419.0</v>
      </c>
      <c r="AQ25" s="2">
        <v>996.0</v>
      </c>
      <c r="AR25" s="2">
        <v>13722.0</v>
      </c>
      <c r="AS25" s="2">
        <v>249.0</v>
      </c>
      <c r="AT25" s="2">
        <v>203.0</v>
      </c>
      <c r="AU25" s="2">
        <v>156.0</v>
      </c>
      <c r="AV25" s="2">
        <v>657.0</v>
      </c>
      <c r="AW25" s="2">
        <v>308.0</v>
      </c>
      <c r="AX25" s="2">
        <v>831.0</v>
      </c>
      <c r="AY25" s="2">
        <v>860.0</v>
      </c>
      <c r="AZ25" s="2">
        <v>9388.0</v>
      </c>
      <c r="BA25" s="2">
        <v>1070.0</v>
      </c>
      <c r="BB25" s="2">
        <v>11904.0</v>
      </c>
      <c r="BC25" s="2">
        <v>785.0</v>
      </c>
      <c r="BD25" s="2">
        <v>1863.0</v>
      </c>
      <c r="BE25" s="2">
        <v>146.0</v>
      </c>
      <c r="BF25" s="2">
        <v>1764.0</v>
      </c>
      <c r="BG25" s="2">
        <v>1019.0</v>
      </c>
      <c r="BH25" s="2">
        <v>1006.0</v>
      </c>
      <c r="BI25" s="2">
        <v>1535.0</v>
      </c>
      <c r="BJ25" s="2">
        <v>2501.0</v>
      </c>
      <c r="BK25" s="2">
        <v>1285.0</v>
      </c>
      <c r="BL25" s="2">
        <v>5068.0</v>
      </c>
      <c r="BM25" s="2">
        <v>143.0</v>
      </c>
      <c r="BN25" s="2">
        <v>108.0</v>
      </c>
      <c r="BO25" s="2">
        <v>33.0</v>
      </c>
      <c r="BP25" s="2">
        <v>231.0</v>
      </c>
      <c r="BQ25" s="2">
        <v>43.0</v>
      </c>
      <c r="BR25" s="2">
        <v>2092.0</v>
      </c>
      <c r="BS25" s="2">
        <v>332.0</v>
      </c>
      <c r="BT25" s="2">
        <v>2086.0</v>
      </c>
      <c r="BU25" s="2">
        <v>23957.0</v>
      </c>
      <c r="BV25" s="2">
        <v>1944.0</v>
      </c>
      <c r="BW25" s="2">
        <v>551.0</v>
      </c>
      <c r="BX25" s="2">
        <v>0.0</v>
      </c>
      <c r="BY25" s="2">
        <v>15052.0</v>
      </c>
      <c r="BZ25" s="2">
        <v>6410.0</v>
      </c>
      <c r="CA25" s="2">
        <v>196566.0</v>
      </c>
    </row>
    <row r="26" ht="15.75" customHeight="1">
      <c r="A26" s="2" t="s">
        <v>182</v>
      </c>
      <c r="B26" s="2">
        <v>20880.0</v>
      </c>
      <c r="C26" s="2">
        <v>1145.0</v>
      </c>
      <c r="D26" s="2">
        <v>6709.0</v>
      </c>
      <c r="E26" s="2">
        <v>2160.0</v>
      </c>
      <c r="F26" s="2">
        <v>1019.0</v>
      </c>
      <c r="G26" s="2">
        <v>5862.0</v>
      </c>
      <c r="H26" s="2">
        <v>1555.0</v>
      </c>
      <c r="I26" s="2">
        <v>337.0</v>
      </c>
      <c r="J26" s="2">
        <v>285.0</v>
      </c>
      <c r="K26" s="2">
        <v>1010.0</v>
      </c>
      <c r="L26" s="2">
        <v>798.0</v>
      </c>
      <c r="M26" s="2">
        <v>2419.0</v>
      </c>
      <c r="N26" s="2">
        <v>2292.0</v>
      </c>
      <c r="O26" s="2">
        <v>127.0</v>
      </c>
      <c r="P26" s="2">
        <v>75897.0</v>
      </c>
      <c r="Q26" s="2">
        <v>720.0</v>
      </c>
      <c r="R26" s="2">
        <v>584.0</v>
      </c>
      <c r="S26" s="2">
        <v>15.0</v>
      </c>
      <c r="T26" s="2">
        <v>1216.0</v>
      </c>
      <c r="U26" s="2">
        <v>264.0</v>
      </c>
      <c r="V26" s="2">
        <v>3318.0</v>
      </c>
      <c r="W26" s="2">
        <v>361.0</v>
      </c>
      <c r="X26" s="2">
        <v>69212.0</v>
      </c>
      <c r="Y26" s="2">
        <v>207.0</v>
      </c>
      <c r="Z26" s="2">
        <v>66590.0</v>
      </c>
      <c r="AA26" s="2">
        <v>43125.0</v>
      </c>
      <c r="AB26" s="2">
        <v>12957.0</v>
      </c>
      <c r="AC26" s="2">
        <v>10508.0</v>
      </c>
      <c r="AD26" s="2">
        <v>470.0</v>
      </c>
      <c r="AE26" s="2">
        <v>306.0</v>
      </c>
      <c r="AF26" s="2">
        <v>152.0</v>
      </c>
      <c r="AG26" s="2">
        <v>12.0</v>
      </c>
      <c r="AH26" s="2">
        <v>8079.0</v>
      </c>
      <c r="AI26" s="2">
        <v>183.0</v>
      </c>
      <c r="AJ26" s="2">
        <v>566.0</v>
      </c>
      <c r="AK26" s="2">
        <v>663.0</v>
      </c>
      <c r="AL26" s="2">
        <v>3998.0</v>
      </c>
      <c r="AM26" s="2">
        <v>653.0</v>
      </c>
      <c r="AN26" s="2">
        <v>326.0</v>
      </c>
      <c r="AO26" s="2">
        <v>347.0</v>
      </c>
      <c r="AP26" s="2">
        <v>346.0</v>
      </c>
      <c r="AQ26" s="2">
        <v>997.0</v>
      </c>
      <c r="AR26" s="2">
        <v>15250.0</v>
      </c>
      <c r="AS26" s="2">
        <v>276.0</v>
      </c>
      <c r="AT26" s="2">
        <v>187.0</v>
      </c>
      <c r="AU26" s="2">
        <v>151.0</v>
      </c>
      <c r="AV26" s="2">
        <v>796.0</v>
      </c>
      <c r="AW26" s="2">
        <v>265.0</v>
      </c>
      <c r="AX26" s="2">
        <v>728.0</v>
      </c>
      <c r="AY26" s="2">
        <v>1404.0</v>
      </c>
      <c r="AZ26" s="2">
        <v>10383.0</v>
      </c>
      <c r="BA26" s="2">
        <v>1060.0</v>
      </c>
      <c r="BB26" s="2">
        <v>12229.0</v>
      </c>
      <c r="BC26" s="2">
        <v>834.0</v>
      </c>
      <c r="BD26" s="2">
        <v>1903.0</v>
      </c>
      <c r="BE26" s="2">
        <v>136.0</v>
      </c>
      <c r="BF26" s="2">
        <v>1794.0</v>
      </c>
      <c r="BG26" s="2">
        <v>1182.0</v>
      </c>
      <c r="BH26" s="2">
        <v>933.0</v>
      </c>
      <c r="BI26" s="2">
        <v>1545.0</v>
      </c>
      <c r="BJ26" s="2">
        <v>2894.0</v>
      </c>
      <c r="BK26" s="2">
        <v>1008.0</v>
      </c>
      <c r="BL26" s="2">
        <v>4873.0</v>
      </c>
      <c r="BM26" s="2">
        <v>144.0</v>
      </c>
      <c r="BN26" s="2">
        <v>101.0</v>
      </c>
      <c r="BO26" s="2">
        <v>31.0</v>
      </c>
      <c r="BP26" s="2">
        <v>241.0</v>
      </c>
      <c r="BQ26" s="2">
        <v>42.0</v>
      </c>
      <c r="BR26" s="2">
        <v>1948.0</v>
      </c>
      <c r="BS26" s="2">
        <v>266.0</v>
      </c>
      <c r="BT26" s="2">
        <v>2100.0</v>
      </c>
      <c r="BU26" s="2">
        <v>24448.0</v>
      </c>
      <c r="BV26" s="2">
        <v>1577.0</v>
      </c>
      <c r="BW26" s="2">
        <v>569.0</v>
      </c>
      <c r="BX26" s="2">
        <v>0.0</v>
      </c>
      <c r="BY26" s="2">
        <v>14436.0</v>
      </c>
      <c r="BZ26" s="2">
        <v>7866.0</v>
      </c>
      <c r="CA26" s="2">
        <v>231135.0</v>
      </c>
    </row>
    <row r="27" ht="15.75" customHeight="1">
      <c r="A27" s="2" t="s">
        <v>183</v>
      </c>
      <c r="B27" s="2">
        <v>24189.0</v>
      </c>
      <c r="C27" s="2">
        <v>1072.0</v>
      </c>
      <c r="D27" s="2">
        <v>7130.0</v>
      </c>
      <c r="E27" s="2">
        <v>2172.0</v>
      </c>
      <c r="F27" s="2">
        <v>1063.0</v>
      </c>
      <c r="G27" s="2">
        <v>8490.0</v>
      </c>
      <c r="H27" s="2">
        <v>1672.0</v>
      </c>
      <c r="I27" s="2">
        <v>330.0</v>
      </c>
      <c r="J27" s="2">
        <v>294.0</v>
      </c>
      <c r="K27" s="2">
        <v>1076.0</v>
      </c>
      <c r="L27" s="2">
        <v>890.0</v>
      </c>
      <c r="M27" s="2">
        <v>2209.0</v>
      </c>
      <c r="N27" s="2">
        <v>2088.0</v>
      </c>
      <c r="O27" s="2">
        <v>121.0</v>
      </c>
      <c r="P27" s="2">
        <v>95780.0</v>
      </c>
      <c r="Q27" s="2">
        <v>850.0</v>
      </c>
      <c r="R27" s="2">
        <v>1307.0</v>
      </c>
      <c r="S27" s="2">
        <v>17.0</v>
      </c>
      <c r="T27" s="2">
        <v>1092.0</v>
      </c>
      <c r="U27" s="2">
        <v>249.0</v>
      </c>
      <c r="V27" s="2">
        <v>5427.0</v>
      </c>
      <c r="W27" s="2">
        <v>415.0</v>
      </c>
      <c r="X27" s="2">
        <v>86221.0</v>
      </c>
      <c r="Y27" s="2">
        <v>202.0</v>
      </c>
      <c r="Z27" s="2">
        <v>73391.0</v>
      </c>
      <c r="AA27" s="2">
        <v>46948.0</v>
      </c>
      <c r="AB27" s="2">
        <v>14396.0</v>
      </c>
      <c r="AC27" s="2">
        <v>12047.0</v>
      </c>
      <c r="AD27" s="2">
        <v>599.0</v>
      </c>
      <c r="AE27" s="2">
        <v>413.0</v>
      </c>
      <c r="AF27" s="2">
        <v>174.0</v>
      </c>
      <c r="AG27" s="2">
        <v>12.0</v>
      </c>
      <c r="AH27" s="2">
        <v>7898.0</v>
      </c>
      <c r="AI27" s="2">
        <v>189.0</v>
      </c>
      <c r="AJ27" s="2">
        <v>586.0</v>
      </c>
      <c r="AK27" s="2">
        <v>775.0</v>
      </c>
      <c r="AL27" s="2">
        <v>3743.0</v>
      </c>
      <c r="AM27" s="2">
        <v>623.0</v>
      </c>
      <c r="AN27" s="2">
        <v>396.0</v>
      </c>
      <c r="AO27" s="2">
        <v>301.0</v>
      </c>
      <c r="AP27" s="2">
        <v>325.0</v>
      </c>
      <c r="AQ27" s="2">
        <v>960.0</v>
      </c>
      <c r="AR27" s="2">
        <v>15978.0</v>
      </c>
      <c r="AS27" s="2">
        <v>242.0</v>
      </c>
      <c r="AT27" s="2">
        <v>204.0</v>
      </c>
      <c r="AU27" s="2">
        <v>117.0</v>
      </c>
      <c r="AV27" s="2">
        <v>848.0</v>
      </c>
      <c r="AW27" s="2">
        <v>264.0</v>
      </c>
      <c r="AX27" s="2">
        <v>653.0</v>
      </c>
      <c r="AY27" s="2">
        <v>1234.0</v>
      </c>
      <c r="AZ27" s="2">
        <v>11376.0</v>
      </c>
      <c r="BA27" s="2">
        <v>1040.0</v>
      </c>
      <c r="BB27" s="2">
        <v>12588.0</v>
      </c>
      <c r="BC27" s="2">
        <v>961.0</v>
      </c>
      <c r="BD27" s="2">
        <v>1949.0</v>
      </c>
      <c r="BE27" s="2">
        <v>161.0</v>
      </c>
      <c r="BF27" s="2">
        <v>1835.0</v>
      </c>
      <c r="BG27" s="2">
        <v>1151.0</v>
      </c>
      <c r="BH27" s="2">
        <v>974.0</v>
      </c>
      <c r="BI27" s="2">
        <v>1557.0</v>
      </c>
      <c r="BJ27" s="2">
        <v>2541.0</v>
      </c>
      <c r="BK27" s="2">
        <v>1459.0</v>
      </c>
      <c r="BL27" s="2">
        <v>5187.0</v>
      </c>
      <c r="BM27" s="2">
        <v>118.0</v>
      </c>
      <c r="BN27" s="2">
        <v>98.0</v>
      </c>
      <c r="BO27" s="2">
        <v>31.0</v>
      </c>
      <c r="BP27" s="2">
        <v>250.0</v>
      </c>
      <c r="BQ27" s="2">
        <v>52.0</v>
      </c>
      <c r="BR27" s="2">
        <v>1939.0</v>
      </c>
      <c r="BS27" s="2">
        <v>260.0</v>
      </c>
      <c r="BT27" s="2">
        <v>2439.0</v>
      </c>
      <c r="BU27" s="2">
        <v>23879.0</v>
      </c>
      <c r="BV27" s="2">
        <v>1282.0</v>
      </c>
      <c r="BW27" s="2">
        <v>896.0</v>
      </c>
      <c r="BX27" s="2">
        <v>0.0</v>
      </c>
      <c r="BY27" s="2">
        <v>15075.0</v>
      </c>
      <c r="BZ27" s="2">
        <v>6626.0</v>
      </c>
      <c r="CA27" s="2">
        <v>261698.0</v>
      </c>
    </row>
    <row r="28" ht="15.75" customHeight="1">
      <c r="A28" s="2" t="s">
        <v>184</v>
      </c>
      <c r="B28" s="2">
        <v>25256.0</v>
      </c>
      <c r="C28" s="2">
        <v>1049.0</v>
      </c>
      <c r="D28" s="2">
        <v>7201.0</v>
      </c>
      <c r="E28" s="2">
        <v>2170.0</v>
      </c>
      <c r="F28" s="2">
        <v>953.0</v>
      </c>
      <c r="G28" s="2">
        <v>9037.0</v>
      </c>
      <c r="H28" s="2">
        <v>2082.0</v>
      </c>
      <c r="I28" s="2">
        <v>295.0</v>
      </c>
      <c r="J28" s="2">
        <v>253.0</v>
      </c>
      <c r="K28" s="2">
        <v>1302.0</v>
      </c>
      <c r="L28" s="2">
        <v>914.0</v>
      </c>
      <c r="M28" s="2">
        <v>2153.0</v>
      </c>
      <c r="N28" s="2">
        <v>2070.0</v>
      </c>
      <c r="O28" s="2">
        <v>83.0</v>
      </c>
      <c r="P28" s="2">
        <v>86231.0</v>
      </c>
      <c r="Q28" s="2">
        <v>818.0</v>
      </c>
      <c r="R28" s="2">
        <v>1797.0</v>
      </c>
      <c r="S28" s="2">
        <v>22.0</v>
      </c>
      <c r="T28" s="2">
        <v>888.0</v>
      </c>
      <c r="U28" s="2">
        <v>236.0</v>
      </c>
      <c r="V28" s="2">
        <v>5214.0</v>
      </c>
      <c r="W28" s="2">
        <v>428.0</v>
      </c>
      <c r="X28" s="2">
        <v>76571.0</v>
      </c>
      <c r="Y28" s="2">
        <v>257.0</v>
      </c>
      <c r="Z28" s="2">
        <v>70344.0</v>
      </c>
      <c r="AA28" s="2">
        <v>41566.0</v>
      </c>
      <c r="AB28" s="2">
        <v>14286.0</v>
      </c>
      <c r="AC28" s="2">
        <v>14492.0</v>
      </c>
      <c r="AD28" s="2">
        <v>508.0</v>
      </c>
      <c r="AE28" s="2">
        <v>339.0</v>
      </c>
      <c r="AF28" s="2">
        <v>159.0</v>
      </c>
      <c r="AG28" s="2">
        <v>10.0</v>
      </c>
      <c r="AH28" s="2">
        <v>8423.0</v>
      </c>
      <c r="AI28" s="2">
        <v>223.0</v>
      </c>
      <c r="AJ28" s="2">
        <v>698.0</v>
      </c>
      <c r="AK28" s="2">
        <v>669.0</v>
      </c>
      <c r="AL28" s="2">
        <v>4321.0</v>
      </c>
      <c r="AM28" s="2">
        <v>625.0</v>
      </c>
      <c r="AN28" s="2">
        <v>309.0</v>
      </c>
      <c r="AO28" s="2">
        <v>329.0</v>
      </c>
      <c r="AP28" s="2">
        <v>313.0</v>
      </c>
      <c r="AQ28" s="2">
        <v>936.0</v>
      </c>
      <c r="AR28" s="2">
        <v>13822.0</v>
      </c>
      <c r="AS28" s="2">
        <v>196.0</v>
      </c>
      <c r="AT28" s="2">
        <v>210.0</v>
      </c>
      <c r="AU28" s="2">
        <v>95.0</v>
      </c>
      <c r="AV28" s="2">
        <v>802.0</v>
      </c>
      <c r="AW28" s="2">
        <v>247.0</v>
      </c>
      <c r="AX28" s="2">
        <v>610.0</v>
      </c>
      <c r="AY28" s="2">
        <v>710.0</v>
      </c>
      <c r="AZ28" s="2">
        <v>9879.0</v>
      </c>
      <c r="BA28" s="2">
        <v>1073.0</v>
      </c>
      <c r="BB28" s="2">
        <v>13305.0</v>
      </c>
      <c r="BC28" s="2">
        <v>843.0</v>
      </c>
      <c r="BD28" s="2">
        <v>2125.0</v>
      </c>
      <c r="BE28" s="2">
        <v>170.0</v>
      </c>
      <c r="BF28" s="2">
        <v>1890.0</v>
      </c>
      <c r="BG28" s="2">
        <v>1109.0</v>
      </c>
      <c r="BH28" s="2">
        <v>1008.0</v>
      </c>
      <c r="BI28" s="2">
        <v>1579.0</v>
      </c>
      <c r="BJ28" s="2">
        <v>3023.0</v>
      </c>
      <c r="BK28" s="2">
        <v>1558.0</v>
      </c>
      <c r="BL28" s="2">
        <v>4919.0</v>
      </c>
      <c r="BM28" s="2">
        <v>135.0</v>
      </c>
      <c r="BN28" s="2">
        <v>83.0</v>
      </c>
      <c r="BO28" s="2">
        <v>36.0</v>
      </c>
      <c r="BP28" s="2">
        <v>256.0</v>
      </c>
      <c r="BQ28" s="2">
        <v>49.0</v>
      </c>
      <c r="BR28" s="2">
        <v>1810.0</v>
      </c>
      <c r="BS28" s="2">
        <v>238.0</v>
      </c>
      <c r="BT28" s="2">
        <v>2312.0</v>
      </c>
      <c r="BU28" s="2">
        <v>22775.0</v>
      </c>
      <c r="BV28" s="2">
        <v>1034.0</v>
      </c>
      <c r="BW28" s="2">
        <v>732.0</v>
      </c>
      <c r="BX28" s="2">
        <v>0.0</v>
      </c>
      <c r="BY28" s="2">
        <v>15526.0</v>
      </c>
      <c r="BZ28" s="2">
        <v>5483.0</v>
      </c>
      <c r="CA28" s="2">
        <v>247736.0</v>
      </c>
    </row>
    <row r="29" ht="15.75" customHeight="1">
      <c r="A29" s="2" t="s">
        <v>185</v>
      </c>
      <c r="B29" s="2">
        <v>27115.0</v>
      </c>
      <c r="C29" s="2">
        <v>1036.0</v>
      </c>
      <c r="D29" s="2">
        <v>8651.0</v>
      </c>
      <c r="E29" s="2">
        <v>2305.0</v>
      </c>
      <c r="F29" s="2">
        <v>1024.0</v>
      </c>
      <c r="G29" s="2">
        <v>9079.0</v>
      </c>
      <c r="H29" s="2">
        <v>2220.0</v>
      </c>
      <c r="I29" s="2">
        <v>287.0</v>
      </c>
      <c r="J29" s="2">
        <v>256.0</v>
      </c>
      <c r="K29" s="2">
        <v>1164.0</v>
      </c>
      <c r="L29" s="2">
        <v>1093.0</v>
      </c>
      <c r="M29" s="2">
        <v>2102.0</v>
      </c>
      <c r="N29" s="2">
        <v>2046.0</v>
      </c>
      <c r="O29" s="2">
        <v>56.0</v>
      </c>
      <c r="P29" s="2">
        <v>101759.0</v>
      </c>
      <c r="Q29" s="2">
        <v>1030.0</v>
      </c>
      <c r="R29" s="2">
        <v>2543.0</v>
      </c>
      <c r="S29" s="2">
        <v>19.0</v>
      </c>
      <c r="T29" s="2">
        <v>973.0</v>
      </c>
      <c r="U29" s="2">
        <v>231.0</v>
      </c>
      <c r="V29" s="2">
        <v>5287.0</v>
      </c>
      <c r="W29" s="2">
        <v>324.0</v>
      </c>
      <c r="X29" s="2">
        <v>91067.0</v>
      </c>
      <c r="Y29" s="2">
        <v>285.0</v>
      </c>
      <c r="Z29" s="2">
        <v>67513.0</v>
      </c>
      <c r="AA29" s="2">
        <v>40009.0</v>
      </c>
      <c r="AB29" s="2">
        <v>11783.0</v>
      </c>
      <c r="AC29" s="2">
        <v>15721.0</v>
      </c>
      <c r="AD29" s="2">
        <v>644.0</v>
      </c>
      <c r="AE29" s="2">
        <v>405.0</v>
      </c>
      <c r="AF29" s="2">
        <v>217.0</v>
      </c>
      <c r="AG29" s="2">
        <v>22.0</v>
      </c>
      <c r="AH29" s="2">
        <v>7788.0</v>
      </c>
      <c r="AI29" s="2">
        <v>168.0</v>
      </c>
      <c r="AJ29" s="2">
        <v>837.0</v>
      </c>
      <c r="AK29" s="2">
        <v>688.0</v>
      </c>
      <c r="AL29" s="2">
        <v>3563.0</v>
      </c>
      <c r="AM29" s="2">
        <v>689.0</v>
      </c>
      <c r="AN29" s="2">
        <v>207.0</v>
      </c>
      <c r="AO29" s="2">
        <v>292.0</v>
      </c>
      <c r="AP29" s="2">
        <v>327.0</v>
      </c>
      <c r="AQ29" s="2">
        <v>1017.0</v>
      </c>
      <c r="AR29" s="2">
        <v>14472.0</v>
      </c>
      <c r="AS29" s="2">
        <v>217.0</v>
      </c>
      <c r="AT29" s="2">
        <v>200.0</v>
      </c>
      <c r="AU29" s="2">
        <v>75.0</v>
      </c>
      <c r="AV29" s="2">
        <v>935.0</v>
      </c>
      <c r="AW29" s="2">
        <v>233.0</v>
      </c>
      <c r="AX29" s="2">
        <v>825.0</v>
      </c>
      <c r="AY29" s="2">
        <v>692.0</v>
      </c>
      <c r="AZ29" s="2">
        <v>10227.0</v>
      </c>
      <c r="BA29" s="2">
        <v>1068.0</v>
      </c>
      <c r="BB29" s="2">
        <v>13620.0</v>
      </c>
      <c r="BC29" s="2">
        <v>899.0</v>
      </c>
      <c r="BD29" s="2">
        <v>1980.0</v>
      </c>
      <c r="BE29" s="2">
        <v>163.0</v>
      </c>
      <c r="BF29" s="2">
        <v>1903.0</v>
      </c>
      <c r="BG29" s="2">
        <v>1267.0</v>
      </c>
      <c r="BH29" s="2">
        <v>1135.0</v>
      </c>
      <c r="BI29" s="2">
        <v>1482.0</v>
      </c>
      <c r="BJ29" s="2">
        <v>3067.0</v>
      </c>
      <c r="BK29" s="2">
        <v>1724.0</v>
      </c>
      <c r="BL29" s="2">
        <v>5037.0</v>
      </c>
      <c r="BM29" s="2">
        <v>167.0</v>
      </c>
      <c r="BN29" s="2">
        <v>86.0</v>
      </c>
      <c r="BO29" s="2">
        <v>39.0</v>
      </c>
      <c r="BP29" s="2">
        <v>238.0</v>
      </c>
      <c r="BQ29" s="2">
        <v>57.0</v>
      </c>
      <c r="BR29" s="2">
        <v>1873.0</v>
      </c>
      <c r="BS29" s="2">
        <v>246.0</v>
      </c>
      <c r="BT29" s="2">
        <v>2331.0</v>
      </c>
      <c r="BU29" s="2">
        <v>21907.0</v>
      </c>
      <c r="BV29" s="2">
        <v>1145.0</v>
      </c>
      <c r="BW29" s="2">
        <v>1042.0</v>
      </c>
      <c r="BX29" s="2">
        <v>0.0</v>
      </c>
      <c r="BY29" s="2">
        <v>13898.0</v>
      </c>
      <c r="BZ29" s="2">
        <v>5822.0</v>
      </c>
      <c r="CA29" s="2">
        <v>261957.0</v>
      </c>
    </row>
    <row r="30" ht="15.75" customHeight="1">
      <c r="A30" s="2" t="s">
        <v>186</v>
      </c>
      <c r="B30" s="2">
        <v>31106.0</v>
      </c>
      <c r="C30" s="2">
        <v>1617.0</v>
      </c>
      <c r="D30" s="2">
        <v>11574.0</v>
      </c>
      <c r="E30" s="2">
        <v>2560.0</v>
      </c>
      <c r="F30" s="2">
        <v>1210.0</v>
      </c>
      <c r="G30" s="2">
        <v>8975.0</v>
      </c>
      <c r="H30" s="2">
        <v>2363.0</v>
      </c>
      <c r="I30" s="2">
        <v>244.0</v>
      </c>
      <c r="J30" s="2">
        <v>296.0</v>
      </c>
      <c r="K30" s="2">
        <v>1162.0</v>
      </c>
      <c r="L30" s="2">
        <v>1105.0</v>
      </c>
      <c r="M30" s="2">
        <v>2150.0</v>
      </c>
      <c r="N30" s="2">
        <v>2086.0</v>
      </c>
      <c r="O30" s="2">
        <v>64.0</v>
      </c>
      <c r="P30" s="2">
        <v>97437.0</v>
      </c>
      <c r="Q30" s="2">
        <v>1027.0</v>
      </c>
      <c r="R30" s="2">
        <v>1627.0</v>
      </c>
      <c r="S30" s="2">
        <v>14.0</v>
      </c>
      <c r="T30" s="2">
        <v>1260.0</v>
      </c>
      <c r="U30" s="2">
        <v>235.0</v>
      </c>
      <c r="V30" s="2">
        <v>4500.0</v>
      </c>
      <c r="W30" s="2">
        <v>437.0</v>
      </c>
      <c r="X30" s="2">
        <v>88010.0</v>
      </c>
      <c r="Y30" s="2">
        <v>327.0</v>
      </c>
      <c r="Z30" s="2">
        <v>70511.0</v>
      </c>
      <c r="AA30" s="2">
        <v>38193.0</v>
      </c>
      <c r="AB30" s="2">
        <v>13401.0</v>
      </c>
      <c r="AC30" s="2">
        <v>18917.0</v>
      </c>
      <c r="AD30" s="2">
        <v>650.0</v>
      </c>
      <c r="AE30" s="2">
        <v>422.0</v>
      </c>
      <c r="AF30" s="2">
        <v>209.0</v>
      </c>
      <c r="AG30" s="2">
        <v>19.0</v>
      </c>
      <c r="AH30" s="2">
        <v>7336.0</v>
      </c>
      <c r="AI30" s="2">
        <v>168.0</v>
      </c>
      <c r="AJ30" s="2">
        <v>800.0</v>
      </c>
      <c r="AK30" s="2">
        <v>779.0</v>
      </c>
      <c r="AL30" s="2">
        <v>2923.0</v>
      </c>
      <c r="AM30" s="2">
        <v>719.0</v>
      </c>
      <c r="AN30" s="2">
        <v>242.0</v>
      </c>
      <c r="AO30" s="2">
        <v>331.0</v>
      </c>
      <c r="AP30" s="2">
        <v>345.0</v>
      </c>
      <c r="AQ30" s="2">
        <v>1029.0</v>
      </c>
      <c r="AR30" s="2">
        <v>15366.0</v>
      </c>
      <c r="AS30" s="2">
        <v>241.0</v>
      </c>
      <c r="AT30" s="2">
        <v>208.0</v>
      </c>
      <c r="AU30" s="2">
        <v>101.0</v>
      </c>
      <c r="AV30" s="2">
        <v>985.0</v>
      </c>
      <c r="AW30" s="2">
        <v>238.0</v>
      </c>
      <c r="AX30" s="2">
        <v>930.0</v>
      </c>
      <c r="AY30" s="2">
        <v>676.0</v>
      </c>
      <c r="AZ30" s="2">
        <v>10909.0</v>
      </c>
      <c r="BA30" s="2">
        <v>1078.0</v>
      </c>
      <c r="BB30" s="2">
        <v>14713.0</v>
      </c>
      <c r="BC30" s="2">
        <v>915.0</v>
      </c>
      <c r="BD30" s="2">
        <v>1988.0</v>
      </c>
      <c r="BE30" s="2">
        <v>189.0</v>
      </c>
      <c r="BF30" s="2">
        <v>1978.0</v>
      </c>
      <c r="BG30" s="2">
        <v>1531.0</v>
      </c>
      <c r="BH30" s="2">
        <v>1347.0</v>
      </c>
      <c r="BI30" s="2">
        <v>1544.0</v>
      </c>
      <c r="BJ30" s="2">
        <v>2996.0</v>
      </c>
      <c r="BK30" s="2">
        <v>2225.0</v>
      </c>
      <c r="BL30" s="2">
        <v>5390.0</v>
      </c>
      <c r="BM30" s="2">
        <v>146.0</v>
      </c>
      <c r="BN30" s="2">
        <v>100.0</v>
      </c>
      <c r="BO30" s="2">
        <v>44.0</v>
      </c>
      <c r="BP30" s="2">
        <v>247.0</v>
      </c>
      <c r="BQ30" s="2">
        <v>68.0</v>
      </c>
      <c r="BR30" s="2">
        <v>2127.0</v>
      </c>
      <c r="BS30" s="2">
        <v>286.0</v>
      </c>
      <c r="BT30" s="2">
        <v>2372.0</v>
      </c>
      <c r="BU30" s="2">
        <v>21269.0</v>
      </c>
      <c r="BV30" s="2">
        <v>1292.0</v>
      </c>
      <c r="BW30" s="2">
        <v>710.0</v>
      </c>
      <c r="BX30" s="2">
        <v>1.0</v>
      </c>
      <c r="BY30" s="2">
        <v>13459.0</v>
      </c>
      <c r="BZ30" s="2">
        <v>5807.0</v>
      </c>
      <c r="CA30" s="2">
        <v>265928.0</v>
      </c>
    </row>
    <row r="31" ht="15.75" customHeight="1">
      <c r="A31" s="2" t="s">
        <v>187</v>
      </c>
      <c r="B31" s="2">
        <v>35648.0</v>
      </c>
      <c r="C31" s="2">
        <v>1897.0</v>
      </c>
      <c r="D31" s="2">
        <v>13138.0</v>
      </c>
      <c r="E31" s="2">
        <v>2388.0</v>
      </c>
      <c r="F31" s="2">
        <v>1396.0</v>
      </c>
      <c r="G31" s="2">
        <v>9339.0</v>
      </c>
      <c r="H31" s="2">
        <v>3894.0</v>
      </c>
      <c r="I31" s="2">
        <v>281.0</v>
      </c>
      <c r="J31" s="2">
        <v>328.0</v>
      </c>
      <c r="K31" s="2">
        <v>1208.0</v>
      </c>
      <c r="L31" s="2">
        <v>1779.0</v>
      </c>
      <c r="M31" s="2">
        <v>2521.0</v>
      </c>
      <c r="N31" s="2">
        <v>2455.0</v>
      </c>
      <c r="O31" s="2">
        <v>66.0</v>
      </c>
      <c r="P31" s="2">
        <v>81543.0</v>
      </c>
      <c r="Q31" s="2">
        <v>1023.0</v>
      </c>
      <c r="R31" s="2">
        <v>1606.0</v>
      </c>
      <c r="S31" s="2">
        <v>11.0</v>
      </c>
      <c r="T31" s="2">
        <v>1553.0</v>
      </c>
      <c r="U31" s="2">
        <v>254.0</v>
      </c>
      <c r="V31" s="2">
        <v>4071.0</v>
      </c>
      <c r="W31" s="2">
        <v>594.0</v>
      </c>
      <c r="X31" s="2">
        <v>71950.0</v>
      </c>
      <c r="Y31" s="2">
        <v>481.0</v>
      </c>
      <c r="Z31" s="2">
        <v>62249.0</v>
      </c>
      <c r="AA31" s="2">
        <v>37110.0</v>
      </c>
      <c r="AB31" s="2">
        <v>8085.0</v>
      </c>
      <c r="AC31" s="2">
        <v>17054.0</v>
      </c>
      <c r="AD31" s="2">
        <v>654.0</v>
      </c>
      <c r="AE31" s="2">
        <v>393.0</v>
      </c>
      <c r="AF31" s="2">
        <v>236.0</v>
      </c>
      <c r="AG31" s="2">
        <v>25.0</v>
      </c>
      <c r="AH31" s="2">
        <v>7332.0</v>
      </c>
      <c r="AI31" s="2">
        <v>207.0</v>
      </c>
      <c r="AJ31" s="2">
        <v>832.0</v>
      </c>
      <c r="AK31" s="2">
        <v>845.0</v>
      </c>
      <c r="AL31" s="2">
        <v>2473.0</v>
      </c>
      <c r="AM31" s="2">
        <v>823.0</v>
      </c>
      <c r="AN31" s="2">
        <v>363.0</v>
      </c>
      <c r="AO31" s="2">
        <v>364.0</v>
      </c>
      <c r="AP31" s="2">
        <v>376.0</v>
      </c>
      <c r="AQ31" s="2">
        <v>1049.0</v>
      </c>
      <c r="AR31" s="2">
        <v>14716.0</v>
      </c>
      <c r="AS31" s="2">
        <v>252.0</v>
      </c>
      <c r="AT31" s="2">
        <v>242.0</v>
      </c>
      <c r="AU31" s="2">
        <v>103.0</v>
      </c>
      <c r="AV31" s="2">
        <v>1003.0</v>
      </c>
      <c r="AW31" s="2">
        <v>282.0</v>
      </c>
      <c r="AX31" s="2">
        <v>1080.0</v>
      </c>
      <c r="AY31" s="2">
        <v>680.0</v>
      </c>
      <c r="AZ31" s="2">
        <v>10002.0</v>
      </c>
      <c r="BA31" s="2">
        <v>1072.0</v>
      </c>
      <c r="BB31" s="2">
        <v>16035.0</v>
      </c>
      <c r="BC31" s="2">
        <v>998.0</v>
      </c>
      <c r="BD31" s="2">
        <v>1938.0</v>
      </c>
      <c r="BE31" s="2">
        <v>160.0</v>
      </c>
      <c r="BF31" s="2">
        <v>2163.0</v>
      </c>
      <c r="BG31" s="2">
        <v>1756.0</v>
      </c>
      <c r="BH31" s="2">
        <v>1704.0</v>
      </c>
      <c r="BI31" s="2">
        <v>1646.0</v>
      </c>
      <c r="BJ31" s="2">
        <v>3339.0</v>
      </c>
      <c r="BK31" s="2">
        <v>2331.0</v>
      </c>
      <c r="BL31" s="2">
        <v>6301.0</v>
      </c>
      <c r="BM31" s="2">
        <v>184.0</v>
      </c>
      <c r="BN31" s="2">
        <v>128.0</v>
      </c>
      <c r="BO31" s="2">
        <v>45.0</v>
      </c>
      <c r="BP31" s="2">
        <v>303.0</v>
      </c>
      <c r="BQ31" s="2">
        <v>82.0</v>
      </c>
      <c r="BR31" s="2">
        <v>2433.0</v>
      </c>
      <c r="BS31" s="2">
        <v>390.0</v>
      </c>
      <c r="BT31" s="2">
        <v>2736.0</v>
      </c>
      <c r="BU31" s="2">
        <v>22612.0</v>
      </c>
      <c r="BV31" s="2">
        <v>1302.0</v>
      </c>
      <c r="BW31" s="2">
        <v>838.0</v>
      </c>
      <c r="BX31" s="2">
        <v>5.0</v>
      </c>
      <c r="BY31" s="2">
        <v>14504.0</v>
      </c>
      <c r="BZ31" s="2">
        <v>5963.0</v>
      </c>
      <c r="CA31" s="2">
        <v>249611.0</v>
      </c>
    </row>
    <row r="32" ht="15.75" customHeight="1">
      <c r="A32" s="2" t="s">
        <v>188</v>
      </c>
      <c r="B32" s="2">
        <v>32616.0</v>
      </c>
      <c r="C32" s="2">
        <v>1874.0</v>
      </c>
      <c r="D32" s="2">
        <v>11088.0</v>
      </c>
      <c r="E32" s="2">
        <v>2208.0</v>
      </c>
      <c r="F32" s="2">
        <v>1379.0</v>
      </c>
      <c r="G32" s="2">
        <v>7580.0</v>
      </c>
      <c r="H32" s="2">
        <v>4153.0</v>
      </c>
      <c r="I32" s="2">
        <v>319.0</v>
      </c>
      <c r="J32" s="2">
        <v>363.0</v>
      </c>
      <c r="K32" s="2">
        <v>1174.0</v>
      </c>
      <c r="L32" s="2">
        <v>2478.0</v>
      </c>
      <c r="M32" s="2">
        <v>2678.0</v>
      </c>
      <c r="N32" s="2">
        <v>2610.0</v>
      </c>
      <c r="O32" s="2">
        <v>68.0</v>
      </c>
      <c r="P32" s="2">
        <v>83617.0</v>
      </c>
      <c r="Q32" s="2">
        <v>827.0</v>
      </c>
      <c r="R32" s="2">
        <v>1415.0</v>
      </c>
      <c r="S32" s="2">
        <v>7.0</v>
      </c>
      <c r="T32" s="2">
        <v>1769.0</v>
      </c>
      <c r="U32" s="2">
        <v>242.0</v>
      </c>
      <c r="V32" s="2">
        <v>4722.0</v>
      </c>
      <c r="W32" s="2">
        <v>665.0</v>
      </c>
      <c r="X32" s="2">
        <v>73494.0</v>
      </c>
      <c r="Y32" s="2">
        <v>476.0</v>
      </c>
      <c r="Z32" s="2">
        <v>67699.0</v>
      </c>
      <c r="AA32" s="2">
        <v>42273.0</v>
      </c>
      <c r="AB32" s="2">
        <v>6946.0</v>
      </c>
      <c r="AC32" s="2">
        <v>18480.0</v>
      </c>
      <c r="AD32" s="2">
        <v>676.0</v>
      </c>
      <c r="AE32" s="2">
        <v>422.0</v>
      </c>
      <c r="AF32" s="2">
        <v>217.0</v>
      </c>
      <c r="AG32" s="2">
        <v>37.0</v>
      </c>
      <c r="AH32" s="2">
        <v>8369.0</v>
      </c>
      <c r="AI32" s="2">
        <v>227.0</v>
      </c>
      <c r="AJ32" s="2">
        <v>657.0</v>
      </c>
      <c r="AK32" s="2">
        <v>847.0</v>
      </c>
      <c r="AL32" s="2">
        <v>3486.0</v>
      </c>
      <c r="AM32" s="2">
        <v>985.0</v>
      </c>
      <c r="AN32" s="2">
        <v>369.0</v>
      </c>
      <c r="AO32" s="2">
        <v>315.0</v>
      </c>
      <c r="AP32" s="2">
        <v>418.0</v>
      </c>
      <c r="AQ32" s="2">
        <v>1065.0</v>
      </c>
      <c r="AR32" s="2">
        <v>13404.0</v>
      </c>
      <c r="AS32" s="2">
        <v>184.0</v>
      </c>
      <c r="AT32" s="2">
        <v>246.0</v>
      </c>
      <c r="AU32" s="2">
        <v>111.0</v>
      </c>
      <c r="AV32" s="2">
        <v>984.0</v>
      </c>
      <c r="AW32" s="2">
        <v>268.0</v>
      </c>
      <c r="AX32" s="2">
        <v>1060.0</v>
      </c>
      <c r="AY32" s="2">
        <v>602.0</v>
      </c>
      <c r="AZ32" s="2">
        <v>8842.0</v>
      </c>
      <c r="BA32" s="2">
        <v>1107.0</v>
      </c>
      <c r="BB32" s="2">
        <v>15389.0</v>
      </c>
      <c r="BC32" s="2">
        <v>872.0</v>
      </c>
      <c r="BD32" s="2">
        <v>1872.0</v>
      </c>
      <c r="BE32" s="2">
        <v>161.0</v>
      </c>
      <c r="BF32" s="2">
        <v>2269.0</v>
      </c>
      <c r="BG32" s="2">
        <v>1542.0</v>
      </c>
      <c r="BH32" s="2">
        <v>1752.0</v>
      </c>
      <c r="BI32" s="2">
        <v>1691.0</v>
      </c>
      <c r="BJ32" s="2">
        <v>2940.0</v>
      </c>
      <c r="BK32" s="2">
        <v>2290.0</v>
      </c>
      <c r="BL32" s="2">
        <v>6556.0</v>
      </c>
      <c r="BM32" s="2">
        <v>136.0</v>
      </c>
      <c r="BN32" s="2">
        <v>133.0</v>
      </c>
      <c r="BO32" s="2">
        <v>64.0</v>
      </c>
      <c r="BP32" s="2">
        <v>328.0</v>
      </c>
      <c r="BQ32" s="2">
        <v>92.0</v>
      </c>
      <c r="BR32" s="2">
        <v>2532.0</v>
      </c>
      <c r="BS32" s="2">
        <v>409.0</v>
      </c>
      <c r="BT32" s="2">
        <v>2862.0</v>
      </c>
      <c r="BU32" s="2">
        <v>27453.0</v>
      </c>
      <c r="BV32" s="2">
        <v>1563.0</v>
      </c>
      <c r="BW32" s="2">
        <v>989.0</v>
      </c>
      <c r="BX32" s="2">
        <v>1.0</v>
      </c>
      <c r="BY32" s="2">
        <v>18857.0</v>
      </c>
      <c r="BZ32" s="2">
        <v>6043.0</v>
      </c>
      <c r="CA32" s="2">
        <v>258457.0</v>
      </c>
    </row>
    <row r="33" ht="15.75" customHeight="1">
      <c r="A33" s="2" t="s">
        <v>189</v>
      </c>
      <c r="B33" s="2">
        <v>36596.0</v>
      </c>
      <c r="C33" s="2">
        <v>1618.0</v>
      </c>
      <c r="D33" s="2">
        <v>11834.0</v>
      </c>
      <c r="E33" s="2">
        <v>2345.0</v>
      </c>
      <c r="F33" s="2">
        <v>1424.0</v>
      </c>
      <c r="G33" s="2">
        <v>9336.0</v>
      </c>
      <c r="H33" s="2">
        <v>5099.0</v>
      </c>
      <c r="I33" s="2">
        <v>330.0</v>
      </c>
      <c r="J33" s="2">
        <v>369.0</v>
      </c>
      <c r="K33" s="2">
        <v>1230.0</v>
      </c>
      <c r="L33" s="2">
        <v>3011.0</v>
      </c>
      <c r="M33" s="2">
        <v>3029.0</v>
      </c>
      <c r="N33" s="2">
        <v>2962.0</v>
      </c>
      <c r="O33" s="2">
        <v>67.0</v>
      </c>
      <c r="P33" s="2">
        <v>99472.0</v>
      </c>
      <c r="Q33" s="2">
        <v>808.0</v>
      </c>
      <c r="R33" s="2">
        <v>1906.0</v>
      </c>
      <c r="S33" s="2">
        <v>0.0</v>
      </c>
      <c r="T33" s="2">
        <v>1975.0</v>
      </c>
      <c r="U33" s="2">
        <v>277.0</v>
      </c>
      <c r="V33" s="2">
        <v>5852.0</v>
      </c>
      <c r="W33" s="2">
        <v>1575.0</v>
      </c>
      <c r="X33" s="2">
        <v>86583.0</v>
      </c>
      <c r="Y33" s="2">
        <v>496.0</v>
      </c>
      <c r="Z33" s="2">
        <v>91150.0</v>
      </c>
      <c r="AA33" s="2">
        <v>57133.0</v>
      </c>
      <c r="AB33" s="2">
        <v>7662.0</v>
      </c>
      <c r="AC33" s="2">
        <v>26355.0</v>
      </c>
      <c r="AD33" s="2">
        <v>680.0</v>
      </c>
      <c r="AE33" s="2">
        <v>390.0</v>
      </c>
      <c r="AF33" s="2">
        <v>241.0</v>
      </c>
      <c r="AG33" s="2">
        <v>49.0</v>
      </c>
      <c r="AH33" s="2">
        <v>8637.0</v>
      </c>
      <c r="AI33" s="2">
        <v>199.0</v>
      </c>
      <c r="AJ33" s="2">
        <v>702.0</v>
      </c>
      <c r="AK33" s="2">
        <v>959.0</v>
      </c>
      <c r="AL33" s="2">
        <v>3478.0</v>
      </c>
      <c r="AM33" s="2">
        <v>1180.0</v>
      </c>
      <c r="AN33" s="2">
        <v>265.0</v>
      </c>
      <c r="AO33" s="2">
        <v>339.0</v>
      </c>
      <c r="AP33" s="2">
        <v>443.0</v>
      </c>
      <c r="AQ33" s="2">
        <v>1072.0</v>
      </c>
      <c r="AR33" s="2">
        <v>14752.0</v>
      </c>
      <c r="AS33" s="2">
        <v>166.0</v>
      </c>
      <c r="AT33" s="2">
        <v>294.0</v>
      </c>
      <c r="AU33" s="2">
        <v>115.0</v>
      </c>
      <c r="AV33" s="2">
        <v>1013.0</v>
      </c>
      <c r="AW33" s="2">
        <v>274.0</v>
      </c>
      <c r="AX33" s="2">
        <v>902.0</v>
      </c>
      <c r="AY33" s="2">
        <v>917.0</v>
      </c>
      <c r="AZ33" s="2">
        <v>9957.0</v>
      </c>
      <c r="BA33" s="2">
        <v>1114.0</v>
      </c>
      <c r="BB33" s="2">
        <v>14639.0</v>
      </c>
      <c r="BC33" s="2">
        <v>742.0</v>
      </c>
      <c r="BD33" s="2">
        <v>1886.0</v>
      </c>
      <c r="BE33" s="2">
        <v>188.0</v>
      </c>
      <c r="BF33" s="2">
        <v>2191.0</v>
      </c>
      <c r="BG33" s="2">
        <v>1226.0</v>
      </c>
      <c r="BH33" s="2">
        <v>2012.0</v>
      </c>
      <c r="BI33" s="2">
        <v>1847.0</v>
      </c>
      <c r="BJ33" s="2">
        <v>2264.0</v>
      </c>
      <c r="BK33" s="2">
        <v>2283.0</v>
      </c>
      <c r="BL33" s="2">
        <v>6861.0</v>
      </c>
      <c r="BM33" s="2">
        <v>144.0</v>
      </c>
      <c r="BN33" s="2">
        <v>141.0</v>
      </c>
      <c r="BO33" s="2">
        <v>70.0</v>
      </c>
      <c r="BP33" s="2">
        <v>328.0</v>
      </c>
      <c r="BQ33" s="2">
        <v>115.0</v>
      </c>
      <c r="BR33" s="2">
        <v>2619.0</v>
      </c>
      <c r="BS33" s="2">
        <v>427.0</v>
      </c>
      <c r="BT33" s="2">
        <v>3017.0</v>
      </c>
      <c r="BU33" s="2">
        <v>25521.0</v>
      </c>
      <c r="BV33" s="2">
        <v>1474.0</v>
      </c>
      <c r="BW33" s="2">
        <v>677.0</v>
      </c>
      <c r="BX33" s="2">
        <v>1.0</v>
      </c>
      <c r="BY33" s="2">
        <v>17620.0</v>
      </c>
      <c r="BZ33" s="2">
        <v>5749.0</v>
      </c>
      <c r="CA33" s="2">
        <v>301337.0</v>
      </c>
    </row>
    <row r="34" ht="15.75" customHeight="1">
      <c r="A34" s="2" t="s">
        <v>190</v>
      </c>
      <c r="B34" s="2">
        <v>35271.0</v>
      </c>
      <c r="C34" s="2">
        <v>1825.0</v>
      </c>
      <c r="D34" s="2">
        <v>13605.0</v>
      </c>
      <c r="E34" s="2">
        <v>2481.0</v>
      </c>
      <c r="F34" s="2">
        <v>1469.0</v>
      </c>
      <c r="G34" s="2">
        <v>7326.0</v>
      </c>
      <c r="H34" s="2">
        <v>3567.0</v>
      </c>
      <c r="I34" s="2">
        <v>300.0</v>
      </c>
      <c r="J34" s="2">
        <v>393.0</v>
      </c>
      <c r="K34" s="2">
        <v>1359.0</v>
      </c>
      <c r="L34" s="2">
        <v>2946.0</v>
      </c>
      <c r="M34" s="2">
        <v>3377.0</v>
      </c>
      <c r="N34" s="2">
        <v>3318.0</v>
      </c>
      <c r="O34" s="2">
        <v>59.0</v>
      </c>
      <c r="P34" s="2">
        <v>106880.0</v>
      </c>
      <c r="Q34" s="2">
        <v>731.0</v>
      </c>
      <c r="R34" s="2">
        <v>1398.0</v>
      </c>
      <c r="S34" s="2">
        <v>15.0</v>
      </c>
      <c r="T34" s="2">
        <v>2218.0</v>
      </c>
      <c r="U34" s="2">
        <v>238.0</v>
      </c>
      <c r="V34" s="2">
        <v>6474.0</v>
      </c>
      <c r="W34" s="2">
        <v>2110.0</v>
      </c>
      <c r="X34" s="2">
        <v>93112.0</v>
      </c>
      <c r="Y34" s="2">
        <v>584.0</v>
      </c>
      <c r="Z34" s="2">
        <v>122268.0</v>
      </c>
      <c r="AA34" s="2">
        <v>66848.0</v>
      </c>
      <c r="AB34" s="2">
        <v>11191.0</v>
      </c>
      <c r="AC34" s="2">
        <v>44229.0</v>
      </c>
      <c r="AD34" s="2">
        <v>663.0</v>
      </c>
      <c r="AE34" s="2">
        <v>368.0</v>
      </c>
      <c r="AF34" s="2">
        <v>240.0</v>
      </c>
      <c r="AG34" s="2">
        <v>55.0</v>
      </c>
      <c r="AH34" s="2">
        <v>10509.0</v>
      </c>
      <c r="AI34" s="2">
        <v>201.0</v>
      </c>
      <c r="AJ34" s="2">
        <v>937.0</v>
      </c>
      <c r="AK34" s="2">
        <v>1029.0</v>
      </c>
      <c r="AL34" s="2">
        <v>4750.0</v>
      </c>
      <c r="AM34" s="2">
        <v>1346.0</v>
      </c>
      <c r="AN34" s="2">
        <v>320.0</v>
      </c>
      <c r="AO34" s="2">
        <v>298.0</v>
      </c>
      <c r="AP34" s="2">
        <v>443.0</v>
      </c>
      <c r="AQ34" s="2">
        <v>1185.0</v>
      </c>
      <c r="AR34" s="2">
        <v>17032.0</v>
      </c>
      <c r="AS34" s="2">
        <v>166.0</v>
      </c>
      <c r="AT34" s="2">
        <v>307.0</v>
      </c>
      <c r="AU34" s="2">
        <v>97.0</v>
      </c>
      <c r="AV34" s="2">
        <v>1145.0</v>
      </c>
      <c r="AW34" s="2">
        <v>273.0</v>
      </c>
      <c r="AX34" s="2">
        <v>927.0</v>
      </c>
      <c r="AY34" s="2">
        <v>1029.0</v>
      </c>
      <c r="AZ34" s="2">
        <v>11823.0</v>
      </c>
      <c r="BA34" s="2">
        <v>1265.0</v>
      </c>
      <c r="BB34" s="2">
        <v>15351.0</v>
      </c>
      <c r="BC34" s="2">
        <v>939.0</v>
      </c>
      <c r="BD34" s="2">
        <v>1833.0</v>
      </c>
      <c r="BE34" s="2">
        <v>275.0</v>
      </c>
      <c r="BF34" s="2">
        <v>2296.0</v>
      </c>
      <c r="BG34" s="2">
        <v>1284.0</v>
      </c>
      <c r="BH34" s="2">
        <v>2008.0</v>
      </c>
      <c r="BI34" s="2">
        <v>2078.0</v>
      </c>
      <c r="BJ34" s="2">
        <v>1693.0</v>
      </c>
      <c r="BK34" s="2">
        <v>2945.0</v>
      </c>
      <c r="BL34" s="2">
        <v>7290.0</v>
      </c>
      <c r="BM34" s="2">
        <v>162.0</v>
      </c>
      <c r="BN34" s="2">
        <v>152.0</v>
      </c>
      <c r="BO34" s="2">
        <v>80.0</v>
      </c>
      <c r="BP34" s="2">
        <v>336.0</v>
      </c>
      <c r="BQ34" s="2">
        <v>124.0</v>
      </c>
      <c r="BR34" s="2">
        <v>2765.0</v>
      </c>
      <c r="BS34" s="2">
        <v>440.0</v>
      </c>
      <c r="BT34" s="2">
        <v>3231.0</v>
      </c>
      <c r="BU34" s="2">
        <v>25972.0</v>
      </c>
      <c r="BV34" s="2">
        <v>1371.0</v>
      </c>
      <c r="BW34" s="2">
        <v>814.0</v>
      </c>
      <c r="BX34" s="2">
        <v>0.0</v>
      </c>
      <c r="BY34" s="2">
        <v>19136.0</v>
      </c>
      <c r="BZ34" s="2">
        <v>4651.0</v>
      </c>
      <c r="CA34" s="2">
        <v>344613.0</v>
      </c>
    </row>
    <row r="35" ht="15.75" customHeight="1">
      <c r="A35" s="2" t="s">
        <v>191</v>
      </c>
      <c r="B35" s="2">
        <v>37652.0</v>
      </c>
      <c r="C35" s="2">
        <v>2126.0</v>
      </c>
      <c r="D35" s="2">
        <v>16462.0</v>
      </c>
      <c r="E35" s="2">
        <v>2488.0</v>
      </c>
      <c r="F35" s="2">
        <v>1529.0</v>
      </c>
      <c r="G35" s="2">
        <v>5891.0</v>
      </c>
      <c r="H35" s="2">
        <v>4112.0</v>
      </c>
      <c r="I35" s="2">
        <v>268.0</v>
      </c>
      <c r="J35" s="2">
        <v>425.0</v>
      </c>
      <c r="K35" s="2">
        <v>1374.0</v>
      </c>
      <c r="L35" s="2">
        <v>2977.0</v>
      </c>
      <c r="M35" s="2">
        <v>3582.0</v>
      </c>
      <c r="N35" s="2">
        <v>3523.0</v>
      </c>
      <c r="O35" s="2">
        <v>59.0</v>
      </c>
      <c r="P35" s="2">
        <v>136414.0</v>
      </c>
      <c r="Q35" s="2">
        <v>579.0</v>
      </c>
      <c r="R35" s="2">
        <v>1051.0</v>
      </c>
      <c r="S35" s="2">
        <v>20.0</v>
      </c>
      <c r="T35" s="2">
        <v>2225.0</v>
      </c>
      <c r="U35" s="2">
        <v>183.0</v>
      </c>
      <c r="V35" s="2">
        <v>4844.0</v>
      </c>
      <c r="W35" s="2">
        <v>1717.0</v>
      </c>
      <c r="X35" s="2">
        <v>125211.0</v>
      </c>
      <c r="Y35" s="2">
        <v>584.0</v>
      </c>
      <c r="Z35" s="2">
        <v>126289.0</v>
      </c>
      <c r="AA35" s="2">
        <v>63941.0</v>
      </c>
      <c r="AB35" s="2">
        <v>12224.0</v>
      </c>
      <c r="AC35" s="2">
        <v>50124.0</v>
      </c>
      <c r="AD35" s="2">
        <v>649.0</v>
      </c>
      <c r="AE35" s="2">
        <v>359.0</v>
      </c>
      <c r="AF35" s="2">
        <v>243.0</v>
      </c>
      <c r="AG35" s="2">
        <v>47.0</v>
      </c>
      <c r="AH35" s="2">
        <v>11967.0</v>
      </c>
      <c r="AI35" s="2">
        <v>212.0</v>
      </c>
      <c r="AJ35" s="2">
        <v>754.0</v>
      </c>
      <c r="AK35" s="2">
        <v>1008.0</v>
      </c>
      <c r="AL35" s="2">
        <v>6249.0</v>
      </c>
      <c r="AM35" s="2">
        <v>1532.0</v>
      </c>
      <c r="AN35" s="2">
        <v>262.0</v>
      </c>
      <c r="AO35" s="2">
        <v>328.0</v>
      </c>
      <c r="AP35" s="2">
        <v>397.0</v>
      </c>
      <c r="AQ35" s="2">
        <v>1225.0</v>
      </c>
      <c r="AR35" s="2">
        <v>17566.0</v>
      </c>
      <c r="AS35" s="2">
        <v>141.0</v>
      </c>
      <c r="AT35" s="2">
        <v>325.0</v>
      </c>
      <c r="AU35" s="2">
        <v>108.0</v>
      </c>
      <c r="AV35" s="2">
        <v>1094.0</v>
      </c>
      <c r="AW35" s="2">
        <v>305.0</v>
      </c>
      <c r="AX35" s="2">
        <v>1005.0</v>
      </c>
      <c r="AY35" s="2">
        <v>1217.0</v>
      </c>
      <c r="AZ35" s="2">
        <v>11999.0</v>
      </c>
      <c r="BA35" s="2">
        <v>1372.0</v>
      </c>
      <c r="BB35" s="2">
        <v>16998.0</v>
      </c>
      <c r="BC35" s="2">
        <v>1064.0</v>
      </c>
      <c r="BD35" s="2">
        <v>1961.0</v>
      </c>
      <c r="BE35" s="2">
        <v>192.0</v>
      </c>
      <c r="BF35" s="2">
        <v>2456.0</v>
      </c>
      <c r="BG35" s="2">
        <v>1410.0</v>
      </c>
      <c r="BH35" s="2">
        <v>2657.0</v>
      </c>
      <c r="BI35" s="2">
        <v>2131.0</v>
      </c>
      <c r="BJ35" s="2">
        <v>1919.0</v>
      </c>
      <c r="BK35" s="2">
        <v>3208.0</v>
      </c>
      <c r="BL35" s="2">
        <v>8205.0</v>
      </c>
      <c r="BM35" s="2">
        <v>157.0</v>
      </c>
      <c r="BN35" s="2">
        <v>182.0</v>
      </c>
      <c r="BO35" s="2">
        <v>94.0</v>
      </c>
      <c r="BP35" s="2">
        <v>377.0</v>
      </c>
      <c r="BQ35" s="2">
        <v>122.0</v>
      </c>
      <c r="BR35" s="2">
        <v>3906.0</v>
      </c>
      <c r="BS35" s="2">
        <v>466.0</v>
      </c>
      <c r="BT35" s="2">
        <v>2901.0</v>
      </c>
      <c r="BU35" s="2">
        <v>30660.0</v>
      </c>
      <c r="BV35" s="2">
        <v>1239.0</v>
      </c>
      <c r="BW35" s="2">
        <v>861.0</v>
      </c>
      <c r="BX35" s="2">
        <v>0.0</v>
      </c>
      <c r="BY35" s="2">
        <v>23372.0</v>
      </c>
      <c r="BZ35" s="2">
        <v>5188.0</v>
      </c>
      <c r="CA35" s="2">
        <v>389982.0</v>
      </c>
    </row>
    <row r="36" ht="15.75" customHeight="1">
      <c r="A36" s="2" t="s">
        <v>192</v>
      </c>
      <c r="B36" s="2">
        <v>35625.0</v>
      </c>
      <c r="C36" s="2">
        <v>1949.0</v>
      </c>
      <c r="D36" s="2">
        <v>14705.0</v>
      </c>
      <c r="E36" s="2">
        <v>2544.0</v>
      </c>
      <c r="F36" s="2">
        <v>1229.0</v>
      </c>
      <c r="G36" s="2">
        <v>6440.0</v>
      </c>
      <c r="H36" s="2">
        <v>4127.0</v>
      </c>
      <c r="I36" s="2">
        <v>283.0</v>
      </c>
      <c r="J36" s="2">
        <v>447.0</v>
      </c>
      <c r="K36" s="2">
        <v>1310.0</v>
      </c>
      <c r="L36" s="2">
        <v>2591.0</v>
      </c>
      <c r="M36" s="2">
        <v>3283.0</v>
      </c>
      <c r="N36" s="2">
        <v>3246.0</v>
      </c>
      <c r="O36" s="2">
        <v>37.0</v>
      </c>
      <c r="P36" s="2">
        <v>151969.0</v>
      </c>
      <c r="Q36" s="2">
        <v>414.0</v>
      </c>
      <c r="R36" s="2">
        <v>1183.0</v>
      </c>
      <c r="S36" s="2">
        <v>10.0</v>
      </c>
      <c r="T36" s="2">
        <v>1669.0</v>
      </c>
      <c r="U36" s="2">
        <v>172.0</v>
      </c>
      <c r="V36" s="2">
        <v>2739.0</v>
      </c>
      <c r="W36" s="2">
        <v>1163.0</v>
      </c>
      <c r="X36" s="2">
        <v>144068.0</v>
      </c>
      <c r="Y36" s="2">
        <v>551.0</v>
      </c>
      <c r="Z36" s="2">
        <v>88821.0</v>
      </c>
      <c r="AA36" s="2">
        <v>43367.0</v>
      </c>
      <c r="AB36" s="2">
        <v>7755.0</v>
      </c>
      <c r="AC36" s="2">
        <v>37699.0</v>
      </c>
      <c r="AD36" s="2">
        <v>759.0</v>
      </c>
      <c r="AE36" s="2">
        <v>444.0</v>
      </c>
      <c r="AF36" s="2">
        <v>282.0</v>
      </c>
      <c r="AG36" s="2">
        <v>33.0</v>
      </c>
      <c r="AH36" s="2">
        <v>11097.0</v>
      </c>
      <c r="AI36" s="2">
        <v>227.0</v>
      </c>
      <c r="AJ36" s="2">
        <v>641.0</v>
      </c>
      <c r="AK36" s="2">
        <v>894.0</v>
      </c>
      <c r="AL36" s="2">
        <v>5547.0</v>
      </c>
      <c r="AM36" s="2">
        <v>1590.0</v>
      </c>
      <c r="AN36" s="2">
        <v>330.0</v>
      </c>
      <c r="AO36" s="2">
        <v>232.0</v>
      </c>
      <c r="AP36" s="2">
        <v>311.0</v>
      </c>
      <c r="AQ36" s="2">
        <v>1325.0</v>
      </c>
      <c r="AR36" s="2">
        <v>14710.0</v>
      </c>
      <c r="AS36" s="2">
        <v>112.0</v>
      </c>
      <c r="AT36" s="2">
        <v>260.0</v>
      </c>
      <c r="AU36" s="2">
        <v>103.0</v>
      </c>
      <c r="AV36" s="2">
        <v>934.0</v>
      </c>
      <c r="AW36" s="2">
        <v>276.0</v>
      </c>
      <c r="AX36" s="2">
        <v>736.0</v>
      </c>
      <c r="AY36" s="2">
        <v>920.0</v>
      </c>
      <c r="AZ36" s="2">
        <v>10215.0</v>
      </c>
      <c r="BA36" s="2">
        <v>1154.0</v>
      </c>
      <c r="BB36" s="2">
        <v>14681.0</v>
      </c>
      <c r="BC36" s="2">
        <v>1068.0</v>
      </c>
      <c r="BD36" s="2">
        <v>1769.0</v>
      </c>
      <c r="BE36" s="2">
        <v>138.0</v>
      </c>
      <c r="BF36" s="2">
        <v>2164.0</v>
      </c>
      <c r="BG36" s="2">
        <v>1300.0</v>
      </c>
      <c r="BH36" s="2">
        <v>2251.0</v>
      </c>
      <c r="BI36" s="2">
        <v>2006.0</v>
      </c>
      <c r="BJ36" s="2">
        <v>1598.0</v>
      </c>
      <c r="BK36" s="2">
        <v>2387.0</v>
      </c>
      <c r="BL36" s="2">
        <v>7377.0</v>
      </c>
      <c r="BM36" s="2">
        <v>161.0</v>
      </c>
      <c r="BN36" s="2">
        <v>136.0</v>
      </c>
      <c r="BO36" s="2">
        <v>112.0</v>
      </c>
      <c r="BP36" s="2">
        <v>387.0</v>
      </c>
      <c r="BQ36" s="2">
        <v>129.0</v>
      </c>
      <c r="BR36" s="2">
        <v>3526.0</v>
      </c>
      <c r="BS36" s="2">
        <v>432.0</v>
      </c>
      <c r="BT36" s="2">
        <v>2494.0</v>
      </c>
      <c r="BU36" s="2">
        <v>34411.0</v>
      </c>
      <c r="BV36" s="2">
        <v>1063.0</v>
      </c>
      <c r="BW36" s="2">
        <v>1303.0</v>
      </c>
      <c r="BX36" s="2">
        <v>2.0</v>
      </c>
      <c r="BY36" s="2">
        <v>25492.0</v>
      </c>
      <c r="BZ36" s="2">
        <v>6551.0</v>
      </c>
      <c r="CA36" s="2">
        <v>362733.0</v>
      </c>
    </row>
    <row r="37" ht="15.75" customHeight="1">
      <c r="A37" s="2" t="s">
        <v>193</v>
      </c>
      <c r="B37" s="2">
        <v>43541.0</v>
      </c>
      <c r="C37" s="2">
        <v>1646.0</v>
      </c>
      <c r="D37" s="2">
        <v>14801.0</v>
      </c>
      <c r="E37" s="2">
        <v>2947.0</v>
      </c>
      <c r="F37" s="2">
        <v>1207.0</v>
      </c>
      <c r="G37" s="2">
        <v>14105.0</v>
      </c>
      <c r="H37" s="2">
        <v>4512.0</v>
      </c>
      <c r="I37" s="2">
        <v>318.0</v>
      </c>
      <c r="J37" s="2">
        <v>476.0</v>
      </c>
      <c r="K37" s="2">
        <v>1424.0</v>
      </c>
      <c r="L37" s="2">
        <v>2105.0</v>
      </c>
      <c r="M37" s="2">
        <v>2524.0</v>
      </c>
      <c r="N37" s="2">
        <v>2503.0</v>
      </c>
      <c r="O37" s="2">
        <v>21.0</v>
      </c>
      <c r="P37" s="2">
        <v>198186.0</v>
      </c>
      <c r="Q37" s="2">
        <v>504.0</v>
      </c>
      <c r="R37" s="2">
        <v>3166.0</v>
      </c>
      <c r="S37" s="2">
        <v>11.0</v>
      </c>
      <c r="T37" s="2">
        <v>1338.0</v>
      </c>
      <c r="U37" s="2">
        <v>266.0</v>
      </c>
      <c r="V37" s="2">
        <v>5081.0</v>
      </c>
      <c r="W37" s="2">
        <v>1948.0</v>
      </c>
      <c r="X37" s="2">
        <v>185259.0</v>
      </c>
      <c r="Y37" s="2">
        <v>613.0</v>
      </c>
      <c r="Z37" s="2">
        <v>126398.0</v>
      </c>
      <c r="AA37" s="2">
        <v>63504.0</v>
      </c>
      <c r="AB37" s="2">
        <v>11715.0</v>
      </c>
      <c r="AC37" s="2">
        <v>51179.0</v>
      </c>
      <c r="AD37" s="2">
        <v>1083.0</v>
      </c>
      <c r="AE37" s="2">
        <v>669.0</v>
      </c>
      <c r="AF37" s="2">
        <v>360.0</v>
      </c>
      <c r="AG37" s="2">
        <v>54.0</v>
      </c>
      <c r="AH37" s="2">
        <v>10053.0</v>
      </c>
      <c r="AI37" s="2">
        <v>239.0</v>
      </c>
      <c r="AJ37" s="2">
        <v>808.0</v>
      </c>
      <c r="AK37" s="2">
        <v>1036.0</v>
      </c>
      <c r="AL37" s="2">
        <v>3630.0</v>
      </c>
      <c r="AM37" s="2">
        <v>1663.0</v>
      </c>
      <c r="AN37" s="2">
        <v>490.0</v>
      </c>
      <c r="AO37" s="2">
        <v>368.0</v>
      </c>
      <c r="AP37" s="2">
        <v>345.0</v>
      </c>
      <c r="AQ37" s="2">
        <v>1474.0</v>
      </c>
      <c r="AR37" s="2">
        <v>16705.0</v>
      </c>
      <c r="AS37" s="2">
        <v>160.0</v>
      </c>
      <c r="AT37" s="2">
        <v>257.0</v>
      </c>
      <c r="AU37" s="2">
        <v>96.0</v>
      </c>
      <c r="AV37" s="2">
        <v>948.0</v>
      </c>
      <c r="AW37" s="2">
        <v>333.0</v>
      </c>
      <c r="AX37" s="2">
        <v>570.0</v>
      </c>
      <c r="AY37" s="2">
        <v>793.0</v>
      </c>
      <c r="AZ37" s="2">
        <v>12328.0</v>
      </c>
      <c r="BA37" s="2">
        <v>1220.0</v>
      </c>
      <c r="BB37" s="2">
        <v>14730.0</v>
      </c>
      <c r="BC37" s="2">
        <v>872.0</v>
      </c>
      <c r="BD37" s="2">
        <v>1678.0</v>
      </c>
      <c r="BE37" s="2">
        <v>175.0</v>
      </c>
      <c r="BF37" s="2">
        <v>2230.0</v>
      </c>
      <c r="BG37" s="2">
        <v>1376.0</v>
      </c>
      <c r="BH37" s="2">
        <v>2331.0</v>
      </c>
      <c r="BI37" s="2">
        <v>2227.0</v>
      </c>
      <c r="BJ37" s="2">
        <v>1853.0</v>
      </c>
      <c r="BK37" s="2">
        <v>1988.0</v>
      </c>
      <c r="BL37" s="2">
        <v>8037.0</v>
      </c>
      <c r="BM37" s="2">
        <v>203.0</v>
      </c>
      <c r="BN37" s="2">
        <v>145.0</v>
      </c>
      <c r="BO37" s="2">
        <v>116.0</v>
      </c>
      <c r="BP37" s="2">
        <v>480.0</v>
      </c>
      <c r="BQ37" s="2">
        <v>119.0</v>
      </c>
      <c r="BR37" s="2">
        <v>3875.0</v>
      </c>
      <c r="BS37" s="2">
        <v>453.0</v>
      </c>
      <c r="BT37" s="2">
        <v>2646.0</v>
      </c>
      <c r="BU37" s="2">
        <v>36931.0</v>
      </c>
      <c r="BV37" s="2">
        <v>1789.0</v>
      </c>
      <c r="BW37" s="2">
        <v>2576.0</v>
      </c>
      <c r="BX37" s="2">
        <v>2.0</v>
      </c>
      <c r="BY37" s="2">
        <v>23281.0</v>
      </c>
      <c r="BZ37" s="2">
        <v>9283.0</v>
      </c>
      <c r="CA37" s="2">
        <v>458188.0</v>
      </c>
    </row>
    <row r="38" ht="15.75" customHeight="1">
      <c r="A38" s="2" t="s">
        <v>194</v>
      </c>
      <c r="B38" s="2">
        <v>53124.0</v>
      </c>
      <c r="C38" s="2">
        <v>1518.0</v>
      </c>
      <c r="D38" s="2">
        <v>16600.0</v>
      </c>
      <c r="E38" s="2">
        <v>3385.0</v>
      </c>
      <c r="F38" s="2">
        <v>1205.0</v>
      </c>
      <c r="G38" s="2">
        <v>20672.0</v>
      </c>
      <c r="H38" s="2">
        <v>5027.0</v>
      </c>
      <c r="I38" s="2">
        <v>321.0</v>
      </c>
      <c r="J38" s="2">
        <v>517.0</v>
      </c>
      <c r="K38" s="2">
        <v>1719.0</v>
      </c>
      <c r="L38" s="2">
        <v>2160.0</v>
      </c>
      <c r="M38" s="2">
        <v>2572.0</v>
      </c>
      <c r="N38" s="2">
        <v>2553.0</v>
      </c>
      <c r="O38" s="2">
        <v>19.0</v>
      </c>
      <c r="P38" s="2">
        <v>188292.0</v>
      </c>
      <c r="Q38" s="2">
        <v>454.0</v>
      </c>
      <c r="R38" s="2">
        <v>7762.0</v>
      </c>
      <c r="S38" s="2">
        <v>9.0</v>
      </c>
      <c r="T38" s="2">
        <v>1523.0</v>
      </c>
      <c r="U38" s="2">
        <v>307.0</v>
      </c>
      <c r="V38" s="2">
        <v>7710.0</v>
      </c>
      <c r="W38" s="2">
        <v>12384.0</v>
      </c>
      <c r="X38" s="2">
        <v>157451.0</v>
      </c>
      <c r="Y38" s="2">
        <v>692.0</v>
      </c>
      <c r="Z38" s="2">
        <v>251334.0</v>
      </c>
      <c r="AA38" s="2">
        <v>142345.0</v>
      </c>
      <c r="AB38" s="2">
        <v>17341.0</v>
      </c>
      <c r="AC38" s="2">
        <v>91648.0</v>
      </c>
      <c r="AD38" s="2">
        <v>1682.0</v>
      </c>
      <c r="AE38" s="2">
        <v>1080.0</v>
      </c>
      <c r="AF38" s="2">
        <v>538.0</v>
      </c>
      <c r="AG38" s="2">
        <v>64.0</v>
      </c>
      <c r="AH38" s="2">
        <v>12576.0</v>
      </c>
      <c r="AI38" s="2">
        <v>245.0</v>
      </c>
      <c r="AJ38" s="2">
        <v>1675.0</v>
      </c>
      <c r="AK38" s="2">
        <v>1068.0</v>
      </c>
      <c r="AL38" s="2">
        <v>4328.0</v>
      </c>
      <c r="AM38" s="2">
        <v>1768.0</v>
      </c>
      <c r="AN38" s="2">
        <v>731.0</v>
      </c>
      <c r="AO38" s="2">
        <v>303.0</v>
      </c>
      <c r="AP38" s="2">
        <v>451.0</v>
      </c>
      <c r="AQ38" s="2">
        <v>2007.0</v>
      </c>
      <c r="AR38" s="2">
        <v>19429.0</v>
      </c>
      <c r="AS38" s="2">
        <v>148.0</v>
      </c>
      <c r="AT38" s="2">
        <v>363.0</v>
      </c>
      <c r="AU38" s="2">
        <v>96.0</v>
      </c>
      <c r="AV38" s="2">
        <v>1014.0</v>
      </c>
      <c r="AW38" s="2">
        <v>356.0</v>
      </c>
      <c r="AX38" s="2">
        <v>604.0</v>
      </c>
      <c r="AY38" s="2">
        <v>1340.0</v>
      </c>
      <c r="AZ38" s="2">
        <v>14078.0</v>
      </c>
      <c r="BA38" s="2">
        <v>1430.0</v>
      </c>
      <c r="BB38" s="2">
        <v>16519.0</v>
      </c>
      <c r="BC38" s="2">
        <v>1027.0</v>
      </c>
      <c r="BD38" s="2">
        <v>1911.0</v>
      </c>
      <c r="BE38" s="2">
        <v>260.0</v>
      </c>
      <c r="BF38" s="2">
        <v>2489.0</v>
      </c>
      <c r="BG38" s="2">
        <v>1545.0</v>
      </c>
      <c r="BH38" s="2">
        <v>2337.0</v>
      </c>
      <c r="BI38" s="2">
        <v>2692.0</v>
      </c>
      <c r="BJ38" s="2">
        <v>2013.0</v>
      </c>
      <c r="BK38" s="2">
        <v>2245.0</v>
      </c>
      <c r="BL38" s="2">
        <v>9081.0</v>
      </c>
      <c r="BM38" s="2">
        <v>175.0</v>
      </c>
      <c r="BN38" s="2">
        <v>166.0</v>
      </c>
      <c r="BO38" s="2">
        <v>201.0</v>
      </c>
      <c r="BP38" s="2">
        <v>649.0</v>
      </c>
      <c r="BQ38" s="2">
        <v>141.0</v>
      </c>
      <c r="BR38" s="2">
        <v>4409.0</v>
      </c>
      <c r="BS38" s="2">
        <v>506.0</v>
      </c>
      <c r="BT38" s="2">
        <v>2834.0</v>
      </c>
      <c r="BU38" s="2">
        <v>39254.0</v>
      </c>
      <c r="BV38" s="2">
        <v>764.0</v>
      </c>
      <c r="BW38" s="2">
        <v>3046.0</v>
      </c>
      <c r="BX38" s="2">
        <v>9.0</v>
      </c>
      <c r="BY38" s="2">
        <v>23514.0</v>
      </c>
      <c r="BZ38" s="2">
        <v>11921.0</v>
      </c>
      <c r="CA38" s="2">
        <v>593863.0</v>
      </c>
    </row>
    <row r="39" ht="15.75" customHeight="1">
      <c r="A39" s="2" t="s">
        <v>195</v>
      </c>
      <c r="B39" s="2">
        <v>54927.0</v>
      </c>
      <c r="C39" s="2">
        <v>1239.0</v>
      </c>
      <c r="D39" s="2">
        <v>17910.0</v>
      </c>
      <c r="E39" s="2">
        <v>3010.0</v>
      </c>
      <c r="F39" s="2">
        <v>1351.0</v>
      </c>
      <c r="G39" s="2">
        <v>20643.0</v>
      </c>
      <c r="H39" s="2">
        <v>5915.0</v>
      </c>
      <c r="I39" s="2">
        <v>294.0</v>
      </c>
      <c r="J39" s="2">
        <v>497.0</v>
      </c>
      <c r="K39" s="2">
        <v>1746.0</v>
      </c>
      <c r="L39" s="2">
        <v>2322.0</v>
      </c>
      <c r="M39" s="2">
        <v>2569.0</v>
      </c>
      <c r="N39" s="2">
        <v>2545.0</v>
      </c>
      <c r="O39" s="2">
        <v>24.0</v>
      </c>
      <c r="P39" s="2">
        <v>202833.0</v>
      </c>
      <c r="Q39" s="2">
        <v>454.0</v>
      </c>
      <c r="R39" s="2">
        <v>5507.0</v>
      </c>
      <c r="S39" s="2">
        <v>14.0</v>
      </c>
      <c r="T39" s="2">
        <v>1442.0</v>
      </c>
      <c r="U39" s="2">
        <v>206.0</v>
      </c>
      <c r="V39" s="2">
        <v>7452.0</v>
      </c>
      <c r="W39" s="2">
        <v>19318.0</v>
      </c>
      <c r="X39" s="2">
        <v>167787.0</v>
      </c>
      <c r="Y39" s="2">
        <v>653.0</v>
      </c>
      <c r="Z39" s="2">
        <v>194429.0</v>
      </c>
      <c r="AA39" s="2">
        <v>101958.0</v>
      </c>
      <c r="AB39" s="2">
        <v>15802.0</v>
      </c>
      <c r="AC39" s="2">
        <v>76669.0</v>
      </c>
      <c r="AD39" s="2">
        <v>1610.0</v>
      </c>
      <c r="AE39" s="2">
        <v>1052.0</v>
      </c>
      <c r="AF39" s="2">
        <v>422.0</v>
      </c>
      <c r="AG39" s="2">
        <v>136.0</v>
      </c>
      <c r="AH39" s="2">
        <v>11510.0</v>
      </c>
      <c r="AI39" s="2">
        <v>223.0</v>
      </c>
      <c r="AJ39" s="2">
        <v>1263.0</v>
      </c>
      <c r="AK39" s="2">
        <v>924.0</v>
      </c>
      <c r="AL39" s="2">
        <v>4753.0</v>
      </c>
      <c r="AM39" s="2">
        <v>1695.0</v>
      </c>
      <c r="AN39" s="2">
        <v>338.0</v>
      </c>
      <c r="AO39" s="2">
        <v>266.0</v>
      </c>
      <c r="AP39" s="2">
        <v>387.0</v>
      </c>
      <c r="AQ39" s="2">
        <v>1661.0</v>
      </c>
      <c r="AR39" s="2">
        <v>19417.0</v>
      </c>
      <c r="AS39" s="2">
        <v>111.0</v>
      </c>
      <c r="AT39" s="2">
        <v>398.0</v>
      </c>
      <c r="AU39" s="2">
        <v>99.0</v>
      </c>
      <c r="AV39" s="2">
        <v>893.0</v>
      </c>
      <c r="AW39" s="2">
        <v>366.0</v>
      </c>
      <c r="AX39" s="2">
        <v>858.0</v>
      </c>
      <c r="AY39" s="2">
        <v>1166.0</v>
      </c>
      <c r="AZ39" s="2">
        <v>14075.0</v>
      </c>
      <c r="BA39" s="2">
        <v>1451.0</v>
      </c>
      <c r="BB39" s="2">
        <v>18668.0</v>
      </c>
      <c r="BC39" s="2">
        <v>1303.0</v>
      </c>
      <c r="BD39" s="2">
        <v>2127.0</v>
      </c>
      <c r="BE39" s="2">
        <v>273.0</v>
      </c>
      <c r="BF39" s="2">
        <v>3059.0</v>
      </c>
      <c r="BG39" s="2">
        <v>1488.0</v>
      </c>
      <c r="BH39" s="2">
        <v>2683.0</v>
      </c>
      <c r="BI39" s="2">
        <v>2963.0</v>
      </c>
      <c r="BJ39" s="2">
        <v>2190.0</v>
      </c>
      <c r="BK39" s="2">
        <v>2582.0</v>
      </c>
      <c r="BL39" s="2">
        <v>10537.0</v>
      </c>
      <c r="BM39" s="2">
        <v>170.0</v>
      </c>
      <c r="BN39" s="2">
        <v>189.0</v>
      </c>
      <c r="BO39" s="2">
        <v>189.0</v>
      </c>
      <c r="BP39" s="2">
        <v>702.0</v>
      </c>
      <c r="BQ39" s="2">
        <v>183.0</v>
      </c>
      <c r="BR39" s="2">
        <v>4878.0</v>
      </c>
      <c r="BS39" s="2">
        <v>578.0</v>
      </c>
      <c r="BT39" s="2">
        <v>3648.0</v>
      </c>
      <c r="BU39" s="2">
        <v>41294.0</v>
      </c>
      <c r="BV39" s="2">
        <v>616.0</v>
      </c>
      <c r="BW39" s="2">
        <v>2011.0</v>
      </c>
      <c r="BX39" s="2">
        <v>11.0</v>
      </c>
      <c r="BY39" s="2">
        <v>28353.0</v>
      </c>
      <c r="BZ39" s="2">
        <v>10303.0</v>
      </c>
      <c r="CA39" s="2">
        <v>557794.0</v>
      </c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</row>
    <row r="44" ht="14.25" customHeight="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3"/>
    </row>
    <row r="45" ht="14.25" customHeight="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ht="14.25" customHeight="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ht="14.25" customHeight="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ht="14.25" customHeight="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ht="14.25" customHeight="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ht="14.25" customHeight="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ht="14.25" customHeight="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ht="14.25" customHeight="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ht="14.25" customHeight="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ht="14.25" customHeight="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ht="14.25" customHeight="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ht="14.25" customHeight="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ht="14.25" customHeight="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ht="14.25" customHeight="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ht="14.25" customHeight="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ht="14.25" customHeight="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ht="14.25" customHeight="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ht="14.25" customHeight="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ht="14.25" customHeight="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ht="14.25" customHeight="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ht="14.25" customHeight="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ht="14.25" customHeight="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ht="14.25" customHeight="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ht="14.25" customHeight="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ht="14.25" customHeight="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ht="14.2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ht="14.2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ht="14.25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ht="14.25" customHeight="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ht="14.25" customHeight="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ht="14.25" customHeight="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ht="14.25" customHeight="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ht="14.25" customHeight="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ht="14.25" customHeight="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ht="14.25" customHeight="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ht="14.25" customHeight="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bottom="0.75" footer="0.0" header="0.0" left="0.7" right="0.7" top="0.75"/>
  <pageSetup paperSize="9" cellComments="atEnd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9" width="13.0"/>
  </cols>
  <sheetData>
    <row r="1">
      <c r="A1" s="5" t="s">
        <v>196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</row>
    <row r="2" ht="14.25" customHeight="1">
      <c r="A2" s="6" t="s">
        <v>79</v>
      </c>
      <c r="B2" s="6" t="s">
        <v>80</v>
      </c>
      <c r="C2" s="6" t="s">
        <v>80</v>
      </c>
      <c r="D2" s="6" t="s">
        <v>80</v>
      </c>
      <c r="E2" s="6" t="s">
        <v>80</v>
      </c>
      <c r="F2" s="6" t="s">
        <v>80</v>
      </c>
      <c r="G2" s="6" t="s">
        <v>80</v>
      </c>
      <c r="H2" s="6" t="s">
        <v>80</v>
      </c>
      <c r="I2" s="6" t="s">
        <v>80</v>
      </c>
      <c r="J2" s="6" t="s">
        <v>80</v>
      </c>
      <c r="K2" s="6" t="s">
        <v>80</v>
      </c>
      <c r="L2" s="6" t="s">
        <v>80</v>
      </c>
      <c r="M2" s="6" t="s">
        <v>80</v>
      </c>
      <c r="N2" s="6" t="s">
        <v>80</v>
      </c>
      <c r="O2" s="6" t="s">
        <v>80</v>
      </c>
      <c r="P2" s="6" t="s">
        <v>80</v>
      </c>
      <c r="Q2" s="6" t="s">
        <v>80</v>
      </c>
      <c r="R2" s="6" t="s">
        <v>80</v>
      </c>
      <c r="S2" s="6" t="s">
        <v>80</v>
      </c>
      <c r="T2" s="6" t="s">
        <v>80</v>
      </c>
      <c r="U2" s="6" t="s">
        <v>80</v>
      </c>
      <c r="V2" s="6" t="s">
        <v>80</v>
      </c>
      <c r="W2" s="6" t="s">
        <v>80</v>
      </c>
      <c r="X2" s="6" t="s">
        <v>80</v>
      </c>
      <c r="Y2" s="6" t="s">
        <v>80</v>
      </c>
      <c r="Z2" s="6" t="s">
        <v>80</v>
      </c>
      <c r="AA2" s="6" t="s">
        <v>80</v>
      </c>
      <c r="AB2" s="6" t="s">
        <v>80</v>
      </c>
      <c r="AC2" s="6" t="s">
        <v>80</v>
      </c>
      <c r="AD2" s="6" t="s">
        <v>80</v>
      </c>
      <c r="AE2" s="6" t="s">
        <v>80</v>
      </c>
      <c r="AF2" s="6" t="s">
        <v>80</v>
      </c>
      <c r="AG2" s="6" t="s">
        <v>80</v>
      </c>
      <c r="AH2" s="6" t="s">
        <v>80</v>
      </c>
      <c r="AI2" s="6" t="s">
        <v>80</v>
      </c>
      <c r="AJ2" s="6" t="s">
        <v>80</v>
      </c>
      <c r="AK2" s="6" t="s">
        <v>80</v>
      </c>
      <c r="AL2" s="6" t="s">
        <v>80</v>
      </c>
      <c r="AM2" s="6" t="s">
        <v>80</v>
      </c>
      <c r="AN2" s="6" t="s">
        <v>80</v>
      </c>
      <c r="AO2" s="6" t="s">
        <v>80</v>
      </c>
      <c r="AP2" s="6" t="s">
        <v>80</v>
      </c>
      <c r="AQ2" s="6" t="s">
        <v>80</v>
      </c>
      <c r="AR2" s="6" t="s">
        <v>80</v>
      </c>
      <c r="AS2" s="6" t="s">
        <v>80</v>
      </c>
      <c r="AT2" s="6" t="s">
        <v>80</v>
      </c>
      <c r="AU2" s="6" t="s">
        <v>80</v>
      </c>
      <c r="AV2" s="6" t="s">
        <v>80</v>
      </c>
      <c r="AW2" s="6" t="s">
        <v>80</v>
      </c>
      <c r="AX2" s="6" t="s">
        <v>80</v>
      </c>
      <c r="AY2" s="6" t="s">
        <v>80</v>
      </c>
      <c r="AZ2" s="6" t="s">
        <v>80</v>
      </c>
      <c r="BA2" s="6" t="s">
        <v>80</v>
      </c>
      <c r="BB2" s="6" t="s">
        <v>80</v>
      </c>
      <c r="BC2" s="6" t="s">
        <v>80</v>
      </c>
      <c r="BD2" s="6" t="s">
        <v>80</v>
      </c>
      <c r="BE2" s="6" t="s">
        <v>80</v>
      </c>
      <c r="BF2" s="6" t="s">
        <v>80</v>
      </c>
      <c r="BG2" s="6" t="s">
        <v>80</v>
      </c>
      <c r="BH2" s="6" t="s">
        <v>80</v>
      </c>
      <c r="BI2" s="6" t="s">
        <v>80</v>
      </c>
      <c r="BJ2" s="6" t="s">
        <v>80</v>
      </c>
      <c r="BK2" s="6" t="s">
        <v>80</v>
      </c>
      <c r="BL2" s="6" t="s">
        <v>80</v>
      </c>
      <c r="BM2" s="6" t="s">
        <v>80</v>
      </c>
      <c r="BN2" s="6" t="s">
        <v>80</v>
      </c>
      <c r="BO2" s="6" t="s">
        <v>80</v>
      </c>
      <c r="BP2" s="6" t="s">
        <v>80</v>
      </c>
      <c r="BQ2" s="6" t="s">
        <v>80</v>
      </c>
      <c r="BR2" s="6" t="s">
        <v>80</v>
      </c>
      <c r="BS2" s="6" t="s">
        <v>80</v>
      </c>
      <c r="BT2" s="6" t="s">
        <v>80</v>
      </c>
      <c r="BU2" s="6" t="s">
        <v>80</v>
      </c>
      <c r="BV2" s="6" t="s">
        <v>80</v>
      </c>
      <c r="BW2" s="6" t="s">
        <v>80</v>
      </c>
      <c r="BX2" s="6" t="s">
        <v>80</v>
      </c>
      <c r="BY2" s="6" t="s">
        <v>80</v>
      </c>
      <c r="BZ2" s="6" t="s">
        <v>80</v>
      </c>
      <c r="CA2" s="6" t="s">
        <v>80</v>
      </c>
    </row>
    <row r="3" ht="14.25" customHeight="1">
      <c r="A3" s="6" t="s">
        <v>81</v>
      </c>
      <c r="B3" s="6" t="s">
        <v>197</v>
      </c>
      <c r="C3" s="6" t="s">
        <v>198</v>
      </c>
      <c r="D3" s="6" t="s">
        <v>199</v>
      </c>
      <c r="E3" s="6" t="s">
        <v>200</v>
      </c>
      <c r="F3" s="6" t="s">
        <v>201</v>
      </c>
      <c r="G3" s="6" t="s">
        <v>202</v>
      </c>
      <c r="H3" s="6" t="s">
        <v>203</v>
      </c>
      <c r="I3" s="6" t="s">
        <v>204</v>
      </c>
      <c r="J3" s="6" t="s">
        <v>205</v>
      </c>
      <c r="K3" s="6" t="s">
        <v>206</v>
      </c>
      <c r="L3" s="6" t="s">
        <v>207</v>
      </c>
      <c r="M3" s="6" t="s">
        <v>208</v>
      </c>
      <c r="N3" s="6" t="s">
        <v>209</v>
      </c>
      <c r="O3" s="6" t="s">
        <v>210</v>
      </c>
      <c r="P3" s="6" t="s">
        <v>211</v>
      </c>
      <c r="Q3" s="6" t="s">
        <v>212</v>
      </c>
      <c r="R3" s="6" t="s">
        <v>213</v>
      </c>
      <c r="S3" s="6" t="s">
        <v>214</v>
      </c>
      <c r="T3" s="6" t="s">
        <v>215</v>
      </c>
      <c r="U3" s="6" t="s">
        <v>216</v>
      </c>
      <c r="V3" s="6" t="s">
        <v>217</v>
      </c>
      <c r="W3" s="6" t="s">
        <v>218</v>
      </c>
      <c r="X3" s="6" t="s">
        <v>219</v>
      </c>
      <c r="Y3" s="6" t="s">
        <v>220</v>
      </c>
      <c r="Z3" s="6" t="s">
        <v>221</v>
      </c>
      <c r="AA3" s="6" t="s">
        <v>222</v>
      </c>
      <c r="AB3" s="6" t="s">
        <v>223</v>
      </c>
      <c r="AC3" s="6" t="s">
        <v>224</v>
      </c>
      <c r="AD3" s="6" t="s">
        <v>225</v>
      </c>
      <c r="AE3" s="6" t="s">
        <v>226</v>
      </c>
      <c r="AF3" s="6" t="s">
        <v>227</v>
      </c>
      <c r="AG3" s="6" t="s">
        <v>228</v>
      </c>
      <c r="AH3" s="6" t="s">
        <v>229</v>
      </c>
      <c r="AI3" s="6" t="s">
        <v>230</v>
      </c>
      <c r="AJ3" s="6" t="s">
        <v>231</v>
      </c>
      <c r="AK3" s="6" t="s">
        <v>232</v>
      </c>
      <c r="AL3" s="6" t="s">
        <v>233</v>
      </c>
      <c r="AM3" s="6" t="s">
        <v>234</v>
      </c>
      <c r="AN3" s="6" t="s">
        <v>235</v>
      </c>
      <c r="AO3" s="6" t="s">
        <v>236</v>
      </c>
      <c r="AP3" s="6" t="s">
        <v>237</v>
      </c>
      <c r="AQ3" s="6" t="s">
        <v>238</v>
      </c>
      <c r="AR3" s="6" t="s">
        <v>239</v>
      </c>
      <c r="AS3" s="6" t="s">
        <v>240</v>
      </c>
      <c r="AT3" s="6" t="s">
        <v>241</v>
      </c>
      <c r="AU3" s="6" t="s">
        <v>242</v>
      </c>
      <c r="AV3" s="6" t="s">
        <v>243</v>
      </c>
      <c r="AW3" s="6" t="s">
        <v>244</v>
      </c>
      <c r="AX3" s="6" t="s">
        <v>245</v>
      </c>
      <c r="AY3" s="6" t="s">
        <v>246</v>
      </c>
      <c r="AZ3" s="6" t="s">
        <v>247</v>
      </c>
      <c r="BA3" s="6" t="s">
        <v>248</v>
      </c>
      <c r="BB3" s="6" t="s">
        <v>249</v>
      </c>
      <c r="BC3" s="6" t="s">
        <v>250</v>
      </c>
      <c r="BD3" s="6" t="s">
        <v>251</v>
      </c>
      <c r="BE3" s="6" t="s">
        <v>252</v>
      </c>
      <c r="BF3" s="6" t="s">
        <v>253</v>
      </c>
      <c r="BG3" s="6" t="s">
        <v>254</v>
      </c>
      <c r="BH3" s="6" t="s">
        <v>255</v>
      </c>
      <c r="BI3" s="6" t="s">
        <v>256</v>
      </c>
      <c r="BJ3" s="6" t="s">
        <v>257</v>
      </c>
      <c r="BK3" s="6" t="s">
        <v>258</v>
      </c>
      <c r="BL3" s="6" t="s">
        <v>259</v>
      </c>
      <c r="BM3" s="6" t="s">
        <v>260</v>
      </c>
      <c r="BN3" s="6" t="s">
        <v>261</v>
      </c>
      <c r="BO3" s="6" t="s">
        <v>262</v>
      </c>
      <c r="BP3" s="6" t="s">
        <v>263</v>
      </c>
      <c r="BQ3" s="6" t="s">
        <v>264</v>
      </c>
      <c r="BR3" s="6" t="s">
        <v>265</v>
      </c>
      <c r="BS3" s="6" t="s">
        <v>266</v>
      </c>
      <c r="BT3" s="6" t="s">
        <v>267</v>
      </c>
      <c r="BU3" s="6" t="s">
        <v>268</v>
      </c>
      <c r="BV3" s="6" t="s">
        <v>269</v>
      </c>
      <c r="BW3" s="6" t="s">
        <v>270</v>
      </c>
      <c r="BX3" s="6" t="s">
        <v>271</v>
      </c>
      <c r="BY3" s="6" t="s">
        <v>272</v>
      </c>
      <c r="BZ3" s="6" t="s">
        <v>273</v>
      </c>
      <c r="CA3" s="6" t="s">
        <v>274</v>
      </c>
    </row>
    <row r="4" ht="14.25" customHeight="1">
      <c r="A4" s="6" t="s">
        <v>160</v>
      </c>
      <c r="B4" s="6">
        <v>1689.0</v>
      </c>
      <c r="C4" s="6">
        <v>154.0</v>
      </c>
      <c r="D4" s="6">
        <v>25.0</v>
      </c>
      <c r="E4" s="6">
        <v>90.0</v>
      </c>
      <c r="F4" s="6">
        <v>406.0</v>
      </c>
      <c r="G4" s="6">
        <v>69.0</v>
      </c>
      <c r="H4" s="6">
        <v>312.0</v>
      </c>
      <c r="I4" s="6">
        <v>37.0</v>
      </c>
      <c r="J4" s="6">
        <v>359.0</v>
      </c>
      <c r="K4" s="6">
        <v>60.0</v>
      </c>
      <c r="L4" s="6">
        <v>177.0</v>
      </c>
      <c r="M4" s="6">
        <v>367.0</v>
      </c>
      <c r="N4" s="6">
        <v>264.0</v>
      </c>
      <c r="O4" s="6">
        <v>103.0</v>
      </c>
      <c r="P4" s="6">
        <v>1518.0</v>
      </c>
      <c r="Q4" s="6">
        <v>13.0</v>
      </c>
      <c r="R4" s="6">
        <v>43.0</v>
      </c>
      <c r="S4" s="6">
        <v>111.0</v>
      </c>
      <c r="T4" s="6">
        <v>483.0</v>
      </c>
      <c r="U4" s="6">
        <v>232.0</v>
      </c>
      <c r="V4" s="6">
        <v>185.0</v>
      </c>
      <c r="W4" s="6">
        <v>266.0</v>
      </c>
      <c r="X4" s="6">
        <v>81.0</v>
      </c>
      <c r="Y4" s="6">
        <v>104.0</v>
      </c>
      <c r="Z4" s="6">
        <v>1699.0</v>
      </c>
      <c r="AA4" s="6">
        <v>3.0</v>
      </c>
      <c r="AB4" s="6">
        <v>1693.0</v>
      </c>
      <c r="AC4" s="6">
        <v>3.0</v>
      </c>
      <c r="AD4" s="6">
        <v>105.0</v>
      </c>
      <c r="AE4" s="6">
        <v>0.0</v>
      </c>
      <c r="AF4" s="6">
        <v>94.0</v>
      </c>
      <c r="AG4" s="6">
        <v>11.0</v>
      </c>
      <c r="AH4" s="6">
        <v>4644.0</v>
      </c>
      <c r="AI4" s="6">
        <v>1172.0</v>
      </c>
      <c r="AJ4" s="6">
        <v>594.0</v>
      </c>
      <c r="AK4" s="6">
        <v>200.0</v>
      </c>
      <c r="AL4" s="6">
        <v>687.0</v>
      </c>
      <c r="AM4" s="6">
        <v>270.0</v>
      </c>
      <c r="AN4" s="6">
        <v>171.0</v>
      </c>
      <c r="AO4" s="6">
        <v>597.0</v>
      </c>
      <c r="AP4" s="6">
        <v>421.0</v>
      </c>
      <c r="AQ4" s="6">
        <v>532.0</v>
      </c>
      <c r="AR4" s="6">
        <v>7271.0</v>
      </c>
      <c r="AS4" s="6">
        <v>150.0</v>
      </c>
      <c r="AT4" s="6">
        <v>621.0</v>
      </c>
      <c r="AU4" s="6">
        <v>214.0</v>
      </c>
      <c r="AV4" s="6">
        <v>1212.0</v>
      </c>
      <c r="AW4" s="6">
        <v>1911.0</v>
      </c>
      <c r="AX4" s="6">
        <v>885.0</v>
      </c>
      <c r="AY4" s="6">
        <v>892.0</v>
      </c>
      <c r="AZ4" s="6">
        <v>297.0</v>
      </c>
      <c r="BA4" s="6">
        <v>1089.0</v>
      </c>
      <c r="BB4" s="6">
        <v>17882.0</v>
      </c>
      <c r="BC4" s="6">
        <v>1123.0</v>
      </c>
      <c r="BD4" s="6">
        <v>2131.0</v>
      </c>
      <c r="BE4" s="6">
        <v>354.0</v>
      </c>
      <c r="BF4" s="6">
        <v>2326.0</v>
      </c>
      <c r="BG4" s="6">
        <v>2899.0</v>
      </c>
      <c r="BH4" s="6">
        <v>1543.0</v>
      </c>
      <c r="BI4" s="6">
        <v>2213.0</v>
      </c>
      <c r="BJ4" s="6">
        <v>3852.0</v>
      </c>
      <c r="BK4" s="6">
        <v>1441.0</v>
      </c>
      <c r="BL4" s="6">
        <v>5959.0</v>
      </c>
      <c r="BM4" s="6">
        <v>116.0</v>
      </c>
      <c r="BN4" s="6">
        <v>251.0</v>
      </c>
      <c r="BO4" s="6">
        <v>175.0</v>
      </c>
      <c r="BP4" s="6">
        <v>700.0</v>
      </c>
      <c r="BQ4" s="6">
        <v>304.0</v>
      </c>
      <c r="BR4" s="6">
        <v>993.0</v>
      </c>
      <c r="BS4" s="6">
        <v>763.0</v>
      </c>
      <c r="BT4" s="6">
        <v>2657.0</v>
      </c>
      <c r="BU4" s="6">
        <v>1285.0</v>
      </c>
      <c r="BV4" s="6">
        <v>935.0</v>
      </c>
      <c r="BW4" s="6">
        <v>17.0</v>
      </c>
      <c r="BX4" s="6">
        <v>0.0</v>
      </c>
      <c r="BY4" s="6">
        <v>104.0</v>
      </c>
      <c r="BZ4" s="6">
        <v>229.0</v>
      </c>
      <c r="CA4" s="6">
        <v>42419.0</v>
      </c>
    </row>
    <row r="5" ht="14.25" customHeight="1">
      <c r="A5" s="6" t="s">
        <v>161</v>
      </c>
      <c r="B5" s="6">
        <v>1928.0</v>
      </c>
      <c r="C5" s="6">
        <v>151.0</v>
      </c>
      <c r="D5" s="6">
        <v>30.0</v>
      </c>
      <c r="E5" s="6">
        <v>96.0</v>
      </c>
      <c r="F5" s="6">
        <v>441.0</v>
      </c>
      <c r="G5" s="6">
        <v>86.0</v>
      </c>
      <c r="H5" s="6">
        <v>418.0</v>
      </c>
      <c r="I5" s="6">
        <v>49.0</v>
      </c>
      <c r="J5" s="6">
        <v>357.0</v>
      </c>
      <c r="K5" s="6">
        <v>67.0</v>
      </c>
      <c r="L5" s="6">
        <v>233.0</v>
      </c>
      <c r="M5" s="6">
        <v>386.0</v>
      </c>
      <c r="N5" s="6">
        <v>298.0</v>
      </c>
      <c r="O5" s="6">
        <v>88.0</v>
      </c>
      <c r="P5" s="6">
        <v>1608.0</v>
      </c>
      <c r="Q5" s="6">
        <v>10.0</v>
      </c>
      <c r="R5" s="6">
        <v>33.0</v>
      </c>
      <c r="S5" s="6">
        <v>103.0</v>
      </c>
      <c r="T5" s="6">
        <v>571.0</v>
      </c>
      <c r="U5" s="6">
        <v>239.0</v>
      </c>
      <c r="V5" s="6">
        <v>159.0</v>
      </c>
      <c r="W5" s="6">
        <v>256.0</v>
      </c>
      <c r="X5" s="6">
        <v>118.0</v>
      </c>
      <c r="Y5" s="6">
        <v>119.0</v>
      </c>
      <c r="Z5" s="6">
        <v>2643.0</v>
      </c>
      <c r="AA5" s="6">
        <v>23.0</v>
      </c>
      <c r="AB5" s="6">
        <v>2612.0</v>
      </c>
      <c r="AC5" s="6">
        <v>8.0</v>
      </c>
      <c r="AD5" s="6">
        <v>120.0</v>
      </c>
      <c r="AE5" s="6">
        <v>1.0</v>
      </c>
      <c r="AF5" s="6">
        <v>107.0</v>
      </c>
      <c r="AG5" s="6">
        <v>12.0</v>
      </c>
      <c r="AH5" s="6">
        <v>5188.0</v>
      </c>
      <c r="AI5" s="6">
        <v>1123.0</v>
      </c>
      <c r="AJ5" s="6">
        <v>760.0</v>
      </c>
      <c r="AK5" s="6">
        <v>233.0</v>
      </c>
      <c r="AL5" s="6">
        <v>739.0</v>
      </c>
      <c r="AM5" s="6">
        <v>327.0</v>
      </c>
      <c r="AN5" s="6">
        <v>227.0</v>
      </c>
      <c r="AO5" s="6">
        <v>699.0</v>
      </c>
      <c r="AP5" s="6">
        <v>483.0</v>
      </c>
      <c r="AQ5" s="6">
        <v>597.0</v>
      </c>
      <c r="AR5" s="6">
        <v>8579.0</v>
      </c>
      <c r="AS5" s="6">
        <v>146.0</v>
      </c>
      <c r="AT5" s="6">
        <v>734.0</v>
      </c>
      <c r="AU5" s="6">
        <v>243.0</v>
      </c>
      <c r="AV5" s="6">
        <v>1342.0</v>
      </c>
      <c r="AW5" s="6">
        <v>2045.0</v>
      </c>
      <c r="AX5" s="6">
        <v>1078.0</v>
      </c>
      <c r="AY5" s="6">
        <v>1218.0</v>
      </c>
      <c r="AZ5" s="6">
        <v>414.0</v>
      </c>
      <c r="BA5" s="6">
        <v>1359.0</v>
      </c>
      <c r="BB5" s="6">
        <v>23456.0</v>
      </c>
      <c r="BC5" s="6">
        <v>1240.0</v>
      </c>
      <c r="BD5" s="6">
        <v>2752.0</v>
      </c>
      <c r="BE5" s="6">
        <v>388.0</v>
      </c>
      <c r="BF5" s="6">
        <v>2891.0</v>
      </c>
      <c r="BG5" s="6">
        <v>3531.0</v>
      </c>
      <c r="BH5" s="6">
        <v>1880.0</v>
      </c>
      <c r="BI5" s="6">
        <v>2621.0</v>
      </c>
      <c r="BJ5" s="6">
        <v>5397.0</v>
      </c>
      <c r="BK5" s="6">
        <v>2756.0</v>
      </c>
      <c r="BL5" s="6">
        <v>6813.0</v>
      </c>
      <c r="BM5" s="6">
        <v>140.0</v>
      </c>
      <c r="BN5" s="6">
        <v>339.0</v>
      </c>
      <c r="BO5" s="6">
        <v>215.0</v>
      </c>
      <c r="BP5" s="6">
        <v>848.0</v>
      </c>
      <c r="BQ5" s="6">
        <v>342.0</v>
      </c>
      <c r="BR5" s="6">
        <v>1138.0</v>
      </c>
      <c r="BS5" s="6">
        <v>806.0</v>
      </c>
      <c r="BT5" s="6">
        <v>2985.0</v>
      </c>
      <c r="BU5" s="6">
        <v>995.0</v>
      </c>
      <c r="BV5" s="6">
        <v>651.0</v>
      </c>
      <c r="BW5" s="6">
        <v>25.0</v>
      </c>
      <c r="BX5" s="6">
        <v>3.0</v>
      </c>
      <c r="BY5" s="6">
        <v>189.0</v>
      </c>
      <c r="BZ5" s="6">
        <v>127.0</v>
      </c>
      <c r="CA5" s="6">
        <v>51716.0</v>
      </c>
    </row>
    <row r="6" ht="14.25" customHeight="1">
      <c r="A6" s="6" t="s">
        <v>162</v>
      </c>
      <c r="B6" s="6">
        <v>1915.0</v>
      </c>
      <c r="C6" s="6">
        <v>121.0</v>
      </c>
      <c r="D6" s="6">
        <v>28.0</v>
      </c>
      <c r="E6" s="6">
        <v>115.0</v>
      </c>
      <c r="F6" s="6">
        <v>438.0</v>
      </c>
      <c r="G6" s="6">
        <v>101.0</v>
      </c>
      <c r="H6" s="6">
        <v>388.0</v>
      </c>
      <c r="I6" s="6">
        <v>61.0</v>
      </c>
      <c r="J6" s="6">
        <v>316.0</v>
      </c>
      <c r="K6" s="6">
        <v>69.0</v>
      </c>
      <c r="L6" s="6">
        <v>278.0</v>
      </c>
      <c r="M6" s="6">
        <v>403.0</v>
      </c>
      <c r="N6" s="6">
        <v>301.0</v>
      </c>
      <c r="O6" s="6">
        <v>102.0</v>
      </c>
      <c r="P6" s="6">
        <v>1405.0</v>
      </c>
      <c r="Q6" s="6">
        <v>14.0</v>
      </c>
      <c r="R6" s="6">
        <v>53.0</v>
      </c>
      <c r="S6" s="6">
        <v>83.0</v>
      </c>
      <c r="T6" s="6">
        <v>456.0</v>
      </c>
      <c r="U6" s="6">
        <v>207.0</v>
      </c>
      <c r="V6" s="6">
        <v>141.0</v>
      </c>
      <c r="W6" s="6">
        <v>186.0</v>
      </c>
      <c r="X6" s="6">
        <v>148.0</v>
      </c>
      <c r="Y6" s="6">
        <v>117.0</v>
      </c>
      <c r="Z6" s="6">
        <v>2806.0</v>
      </c>
      <c r="AA6" s="6">
        <v>3.0</v>
      </c>
      <c r="AB6" s="6">
        <v>2787.0</v>
      </c>
      <c r="AC6" s="6">
        <v>16.0</v>
      </c>
      <c r="AD6" s="6">
        <v>122.0</v>
      </c>
      <c r="AE6" s="6">
        <v>0.0</v>
      </c>
      <c r="AF6" s="6">
        <v>110.0</v>
      </c>
      <c r="AG6" s="6">
        <v>12.0</v>
      </c>
      <c r="AH6" s="6">
        <v>5129.0</v>
      </c>
      <c r="AI6" s="6">
        <v>984.0</v>
      </c>
      <c r="AJ6" s="6">
        <v>695.0</v>
      </c>
      <c r="AK6" s="6">
        <v>229.0</v>
      </c>
      <c r="AL6" s="6">
        <v>904.0</v>
      </c>
      <c r="AM6" s="6">
        <v>339.0</v>
      </c>
      <c r="AN6" s="6">
        <v>261.0</v>
      </c>
      <c r="AO6" s="6">
        <v>613.0</v>
      </c>
      <c r="AP6" s="6">
        <v>459.0</v>
      </c>
      <c r="AQ6" s="6">
        <v>645.0</v>
      </c>
      <c r="AR6" s="6">
        <v>7627.0</v>
      </c>
      <c r="AS6" s="6">
        <v>128.0</v>
      </c>
      <c r="AT6" s="6">
        <v>703.0</v>
      </c>
      <c r="AU6" s="6">
        <v>221.0</v>
      </c>
      <c r="AV6" s="6">
        <v>1255.0</v>
      </c>
      <c r="AW6" s="6">
        <v>1856.0</v>
      </c>
      <c r="AX6" s="6">
        <v>996.0</v>
      </c>
      <c r="AY6" s="6">
        <v>834.0</v>
      </c>
      <c r="AZ6" s="6">
        <v>373.0</v>
      </c>
      <c r="BA6" s="6">
        <v>1261.0</v>
      </c>
      <c r="BB6" s="6">
        <v>22381.0</v>
      </c>
      <c r="BC6" s="6">
        <v>1361.0</v>
      </c>
      <c r="BD6" s="6">
        <v>2446.0</v>
      </c>
      <c r="BE6" s="6">
        <v>354.0</v>
      </c>
      <c r="BF6" s="6">
        <v>2789.0</v>
      </c>
      <c r="BG6" s="6">
        <v>3462.0</v>
      </c>
      <c r="BH6" s="6">
        <v>1778.0</v>
      </c>
      <c r="BI6" s="6">
        <v>2615.0</v>
      </c>
      <c r="BJ6" s="6">
        <v>4825.0</v>
      </c>
      <c r="BK6" s="6">
        <v>2751.0</v>
      </c>
      <c r="BL6" s="6">
        <v>6918.0</v>
      </c>
      <c r="BM6" s="6">
        <v>139.0</v>
      </c>
      <c r="BN6" s="6">
        <v>314.0</v>
      </c>
      <c r="BO6" s="6">
        <v>209.0</v>
      </c>
      <c r="BP6" s="6">
        <v>914.0</v>
      </c>
      <c r="BQ6" s="6">
        <v>359.0</v>
      </c>
      <c r="BR6" s="6">
        <v>1155.0</v>
      </c>
      <c r="BS6" s="6">
        <v>786.0</v>
      </c>
      <c r="BT6" s="6">
        <v>3042.0</v>
      </c>
      <c r="BU6" s="6">
        <v>1092.0</v>
      </c>
      <c r="BV6" s="6">
        <v>493.0</v>
      </c>
      <c r="BW6" s="6">
        <v>28.0</v>
      </c>
      <c r="BX6" s="6">
        <v>7.0</v>
      </c>
      <c r="BY6" s="6">
        <v>427.0</v>
      </c>
      <c r="BZ6" s="6">
        <v>137.0</v>
      </c>
      <c r="CA6" s="6">
        <v>49798.0</v>
      </c>
    </row>
    <row r="7" ht="14.25" customHeight="1">
      <c r="A7" s="6" t="s">
        <v>163</v>
      </c>
      <c r="B7" s="6">
        <v>2009.0</v>
      </c>
      <c r="C7" s="6">
        <v>62.0</v>
      </c>
      <c r="D7" s="6">
        <v>40.0</v>
      </c>
      <c r="E7" s="6">
        <v>133.0</v>
      </c>
      <c r="F7" s="6">
        <v>453.0</v>
      </c>
      <c r="G7" s="6">
        <v>108.0</v>
      </c>
      <c r="H7" s="6">
        <v>433.0</v>
      </c>
      <c r="I7" s="6">
        <v>57.0</v>
      </c>
      <c r="J7" s="6">
        <v>310.0</v>
      </c>
      <c r="K7" s="6">
        <v>85.0</v>
      </c>
      <c r="L7" s="6">
        <v>328.0</v>
      </c>
      <c r="M7" s="6">
        <v>388.0</v>
      </c>
      <c r="N7" s="6">
        <v>286.0</v>
      </c>
      <c r="O7" s="6">
        <v>102.0</v>
      </c>
      <c r="P7" s="6">
        <v>1195.0</v>
      </c>
      <c r="Q7" s="6">
        <v>9.0</v>
      </c>
      <c r="R7" s="6">
        <v>58.0</v>
      </c>
      <c r="S7" s="6">
        <v>79.0</v>
      </c>
      <c r="T7" s="6">
        <v>437.0</v>
      </c>
      <c r="U7" s="6">
        <v>130.0</v>
      </c>
      <c r="V7" s="6">
        <v>134.0</v>
      </c>
      <c r="W7" s="6">
        <v>123.0</v>
      </c>
      <c r="X7" s="6">
        <v>115.0</v>
      </c>
      <c r="Y7" s="6">
        <v>110.0</v>
      </c>
      <c r="Z7" s="6">
        <v>2949.0</v>
      </c>
      <c r="AA7" s="6">
        <v>4.0</v>
      </c>
      <c r="AB7" s="6">
        <v>2938.0</v>
      </c>
      <c r="AC7" s="6">
        <v>7.0</v>
      </c>
      <c r="AD7" s="6">
        <v>137.0</v>
      </c>
      <c r="AE7" s="6">
        <v>0.0</v>
      </c>
      <c r="AF7" s="6">
        <v>124.0</v>
      </c>
      <c r="AG7" s="6">
        <v>13.0</v>
      </c>
      <c r="AH7" s="6">
        <v>5252.0</v>
      </c>
      <c r="AI7" s="6">
        <v>1044.0</v>
      </c>
      <c r="AJ7" s="6">
        <v>718.0</v>
      </c>
      <c r="AK7" s="6">
        <v>245.0</v>
      </c>
      <c r="AL7" s="6">
        <v>937.0</v>
      </c>
      <c r="AM7" s="6">
        <v>350.0</v>
      </c>
      <c r="AN7" s="6">
        <v>284.0</v>
      </c>
      <c r="AO7" s="6">
        <v>602.0</v>
      </c>
      <c r="AP7" s="6">
        <v>454.0</v>
      </c>
      <c r="AQ7" s="6">
        <v>618.0</v>
      </c>
      <c r="AR7" s="6">
        <v>7575.0</v>
      </c>
      <c r="AS7" s="6">
        <v>118.0</v>
      </c>
      <c r="AT7" s="6">
        <v>704.0</v>
      </c>
      <c r="AU7" s="6">
        <v>225.0</v>
      </c>
      <c r="AV7" s="6">
        <v>1209.0</v>
      </c>
      <c r="AW7" s="6">
        <v>1907.0</v>
      </c>
      <c r="AX7" s="6">
        <v>925.0</v>
      </c>
      <c r="AY7" s="6">
        <v>895.0</v>
      </c>
      <c r="AZ7" s="6">
        <v>371.0</v>
      </c>
      <c r="BA7" s="6">
        <v>1221.0</v>
      </c>
      <c r="BB7" s="6">
        <v>21886.0</v>
      </c>
      <c r="BC7" s="6">
        <v>1311.0</v>
      </c>
      <c r="BD7" s="6">
        <v>2023.0</v>
      </c>
      <c r="BE7" s="6">
        <v>315.0</v>
      </c>
      <c r="BF7" s="6">
        <v>2764.0</v>
      </c>
      <c r="BG7" s="6">
        <v>3406.0</v>
      </c>
      <c r="BH7" s="6">
        <v>1823.0</v>
      </c>
      <c r="BI7" s="6">
        <v>2645.0</v>
      </c>
      <c r="BJ7" s="6">
        <v>4280.0</v>
      </c>
      <c r="BK7" s="6">
        <v>3319.0</v>
      </c>
      <c r="BL7" s="6">
        <v>7281.0</v>
      </c>
      <c r="BM7" s="6">
        <v>154.0</v>
      </c>
      <c r="BN7" s="6">
        <v>301.0</v>
      </c>
      <c r="BO7" s="6">
        <v>221.0</v>
      </c>
      <c r="BP7" s="6">
        <v>1027.0</v>
      </c>
      <c r="BQ7" s="6">
        <v>384.0</v>
      </c>
      <c r="BR7" s="6">
        <v>1241.0</v>
      </c>
      <c r="BS7" s="6">
        <v>793.0</v>
      </c>
      <c r="BT7" s="6">
        <v>3160.0</v>
      </c>
      <c r="BU7" s="6">
        <v>998.0</v>
      </c>
      <c r="BV7" s="6">
        <v>28.0</v>
      </c>
      <c r="BW7" s="6">
        <v>11.0</v>
      </c>
      <c r="BX7" s="6">
        <v>0.0</v>
      </c>
      <c r="BY7" s="6">
        <v>866.0</v>
      </c>
      <c r="BZ7" s="6">
        <v>93.0</v>
      </c>
      <c r="CA7" s="6">
        <v>49670.0</v>
      </c>
    </row>
    <row r="8" ht="14.25" customHeight="1">
      <c r="A8" s="6" t="s">
        <v>164</v>
      </c>
      <c r="B8" s="6">
        <v>2148.0</v>
      </c>
      <c r="C8" s="6">
        <v>59.0</v>
      </c>
      <c r="D8" s="6">
        <v>39.0</v>
      </c>
      <c r="E8" s="6">
        <v>152.0</v>
      </c>
      <c r="F8" s="6">
        <v>483.0</v>
      </c>
      <c r="G8" s="6">
        <v>131.0</v>
      </c>
      <c r="H8" s="6">
        <v>475.0</v>
      </c>
      <c r="I8" s="6">
        <v>73.0</v>
      </c>
      <c r="J8" s="6">
        <v>328.0</v>
      </c>
      <c r="K8" s="6">
        <v>70.0</v>
      </c>
      <c r="L8" s="6">
        <v>338.0</v>
      </c>
      <c r="M8" s="6">
        <v>410.0</v>
      </c>
      <c r="N8" s="6">
        <v>303.0</v>
      </c>
      <c r="O8" s="6">
        <v>107.0</v>
      </c>
      <c r="P8" s="6">
        <v>1419.0</v>
      </c>
      <c r="Q8" s="6">
        <v>0.0</v>
      </c>
      <c r="R8" s="6">
        <v>58.0</v>
      </c>
      <c r="S8" s="6">
        <v>93.0</v>
      </c>
      <c r="T8" s="6">
        <v>516.0</v>
      </c>
      <c r="U8" s="6">
        <v>153.0</v>
      </c>
      <c r="V8" s="6">
        <v>142.0</v>
      </c>
      <c r="W8" s="6">
        <v>154.0</v>
      </c>
      <c r="X8" s="6">
        <v>170.0</v>
      </c>
      <c r="Y8" s="6">
        <v>133.0</v>
      </c>
      <c r="Z8" s="6">
        <v>3242.0</v>
      </c>
      <c r="AA8" s="6">
        <v>5.0</v>
      </c>
      <c r="AB8" s="6">
        <v>3222.0</v>
      </c>
      <c r="AC8" s="6">
        <v>15.0</v>
      </c>
      <c r="AD8" s="6">
        <v>174.0</v>
      </c>
      <c r="AE8" s="6">
        <v>0.0</v>
      </c>
      <c r="AF8" s="6">
        <v>156.0</v>
      </c>
      <c r="AG8" s="6">
        <v>18.0</v>
      </c>
      <c r="AH8" s="6">
        <v>6220.0</v>
      </c>
      <c r="AI8" s="6">
        <v>1284.0</v>
      </c>
      <c r="AJ8" s="6">
        <v>700.0</v>
      </c>
      <c r="AK8" s="6">
        <v>305.0</v>
      </c>
      <c r="AL8" s="6">
        <v>1275.0</v>
      </c>
      <c r="AM8" s="6">
        <v>438.0</v>
      </c>
      <c r="AN8" s="6">
        <v>310.0</v>
      </c>
      <c r="AO8" s="6">
        <v>650.0</v>
      </c>
      <c r="AP8" s="6">
        <v>531.0</v>
      </c>
      <c r="AQ8" s="6">
        <v>727.0</v>
      </c>
      <c r="AR8" s="6">
        <v>8433.0</v>
      </c>
      <c r="AS8" s="6">
        <v>132.0</v>
      </c>
      <c r="AT8" s="6">
        <v>781.0</v>
      </c>
      <c r="AU8" s="6">
        <v>245.0</v>
      </c>
      <c r="AV8" s="6">
        <v>1387.0</v>
      </c>
      <c r="AW8" s="6">
        <v>2090.0</v>
      </c>
      <c r="AX8" s="6">
        <v>1024.0</v>
      </c>
      <c r="AY8" s="6">
        <v>856.0</v>
      </c>
      <c r="AZ8" s="6">
        <v>440.0</v>
      </c>
      <c r="BA8" s="6">
        <v>1478.0</v>
      </c>
      <c r="BB8" s="6">
        <v>23732.0</v>
      </c>
      <c r="BC8" s="6">
        <v>1345.0</v>
      </c>
      <c r="BD8" s="6">
        <v>2350.0</v>
      </c>
      <c r="BE8" s="6">
        <v>314.0</v>
      </c>
      <c r="BF8" s="6">
        <v>2892.0</v>
      </c>
      <c r="BG8" s="6">
        <v>3949.0</v>
      </c>
      <c r="BH8" s="6">
        <v>2188.0</v>
      </c>
      <c r="BI8" s="6">
        <v>3093.0</v>
      </c>
      <c r="BJ8" s="6">
        <v>5576.0</v>
      </c>
      <c r="BK8" s="6">
        <v>2025.0</v>
      </c>
      <c r="BL8" s="6">
        <v>8515.0</v>
      </c>
      <c r="BM8" s="6">
        <v>166.0</v>
      </c>
      <c r="BN8" s="6">
        <v>342.0</v>
      </c>
      <c r="BO8" s="6">
        <v>273.0</v>
      </c>
      <c r="BP8" s="6">
        <v>1208.0</v>
      </c>
      <c r="BQ8" s="6">
        <v>481.0</v>
      </c>
      <c r="BR8" s="6">
        <v>1444.0</v>
      </c>
      <c r="BS8" s="6">
        <v>931.0</v>
      </c>
      <c r="BT8" s="6">
        <v>3670.0</v>
      </c>
      <c r="BU8" s="6">
        <v>1198.0</v>
      </c>
      <c r="BV8" s="6">
        <v>27.0</v>
      </c>
      <c r="BW8" s="6">
        <v>1.0</v>
      </c>
      <c r="BX8" s="6">
        <v>0.0</v>
      </c>
      <c r="BY8" s="6">
        <v>1104.0</v>
      </c>
      <c r="BZ8" s="6">
        <v>66.0</v>
      </c>
      <c r="CA8" s="6">
        <v>55491.0</v>
      </c>
    </row>
    <row r="9" ht="14.25" customHeight="1">
      <c r="A9" s="6" t="s">
        <v>165</v>
      </c>
      <c r="B9" s="6">
        <v>2381.0</v>
      </c>
      <c r="C9" s="6">
        <v>65.0</v>
      </c>
      <c r="D9" s="6">
        <v>39.0</v>
      </c>
      <c r="E9" s="6">
        <v>159.0</v>
      </c>
      <c r="F9" s="6">
        <v>538.0</v>
      </c>
      <c r="G9" s="6">
        <v>139.0</v>
      </c>
      <c r="H9" s="6">
        <v>501.0</v>
      </c>
      <c r="I9" s="6">
        <v>73.0</v>
      </c>
      <c r="J9" s="6">
        <v>358.0</v>
      </c>
      <c r="K9" s="6">
        <v>87.0</v>
      </c>
      <c r="L9" s="6">
        <v>422.0</v>
      </c>
      <c r="M9" s="6">
        <v>451.0</v>
      </c>
      <c r="N9" s="6">
        <v>318.0</v>
      </c>
      <c r="O9" s="6">
        <v>133.0</v>
      </c>
      <c r="P9" s="6">
        <v>1548.0</v>
      </c>
      <c r="Q9" s="6">
        <v>4.0</v>
      </c>
      <c r="R9" s="6">
        <v>65.0</v>
      </c>
      <c r="S9" s="6">
        <v>111.0</v>
      </c>
      <c r="T9" s="6">
        <v>652.0</v>
      </c>
      <c r="U9" s="6">
        <v>141.0</v>
      </c>
      <c r="V9" s="6">
        <v>153.0</v>
      </c>
      <c r="W9" s="6">
        <v>139.0</v>
      </c>
      <c r="X9" s="6">
        <v>128.0</v>
      </c>
      <c r="Y9" s="6">
        <v>155.0</v>
      </c>
      <c r="Z9" s="6">
        <v>3819.0</v>
      </c>
      <c r="AA9" s="6">
        <v>16.0</v>
      </c>
      <c r="AB9" s="6">
        <v>3781.0</v>
      </c>
      <c r="AC9" s="6">
        <v>22.0</v>
      </c>
      <c r="AD9" s="6">
        <v>196.0</v>
      </c>
      <c r="AE9" s="6">
        <v>0.0</v>
      </c>
      <c r="AF9" s="6">
        <v>179.0</v>
      </c>
      <c r="AG9" s="6">
        <v>17.0</v>
      </c>
      <c r="AH9" s="6">
        <v>6843.0</v>
      </c>
      <c r="AI9" s="6">
        <v>1491.0</v>
      </c>
      <c r="AJ9" s="6">
        <v>582.0</v>
      </c>
      <c r="AK9" s="6">
        <v>335.0</v>
      </c>
      <c r="AL9" s="6">
        <v>1393.0</v>
      </c>
      <c r="AM9" s="6">
        <v>491.0</v>
      </c>
      <c r="AN9" s="6">
        <v>376.0</v>
      </c>
      <c r="AO9" s="6">
        <v>728.0</v>
      </c>
      <c r="AP9" s="6">
        <v>606.0</v>
      </c>
      <c r="AQ9" s="6">
        <v>841.0</v>
      </c>
      <c r="AR9" s="6">
        <v>9137.0</v>
      </c>
      <c r="AS9" s="6">
        <v>137.0</v>
      </c>
      <c r="AT9" s="6">
        <v>883.0</v>
      </c>
      <c r="AU9" s="6">
        <v>274.0</v>
      </c>
      <c r="AV9" s="6">
        <v>1485.0</v>
      </c>
      <c r="AW9" s="6">
        <v>2208.0</v>
      </c>
      <c r="AX9" s="6">
        <v>1038.0</v>
      </c>
      <c r="AY9" s="6">
        <v>1038.0</v>
      </c>
      <c r="AZ9" s="6">
        <v>476.0</v>
      </c>
      <c r="BA9" s="6">
        <v>1598.0</v>
      </c>
      <c r="BB9" s="6">
        <v>27486.0</v>
      </c>
      <c r="BC9" s="6">
        <v>1665.0</v>
      </c>
      <c r="BD9" s="6">
        <v>2717.0</v>
      </c>
      <c r="BE9" s="6">
        <v>324.0</v>
      </c>
      <c r="BF9" s="6">
        <v>3425.0</v>
      </c>
      <c r="BG9" s="6">
        <v>4576.0</v>
      </c>
      <c r="BH9" s="6">
        <v>2488.0</v>
      </c>
      <c r="BI9" s="6">
        <v>3752.0</v>
      </c>
      <c r="BJ9" s="6">
        <v>6695.0</v>
      </c>
      <c r="BK9" s="6">
        <v>1844.0</v>
      </c>
      <c r="BL9" s="6">
        <v>9421.0</v>
      </c>
      <c r="BM9" s="6">
        <v>182.0</v>
      </c>
      <c r="BN9" s="6">
        <v>369.0</v>
      </c>
      <c r="BO9" s="6">
        <v>272.0</v>
      </c>
      <c r="BP9" s="6">
        <v>1454.0</v>
      </c>
      <c r="BQ9" s="6">
        <v>515.0</v>
      </c>
      <c r="BR9" s="6">
        <v>1648.0</v>
      </c>
      <c r="BS9" s="6">
        <v>1024.0</v>
      </c>
      <c r="BT9" s="6">
        <v>3957.0</v>
      </c>
      <c r="BU9" s="6">
        <v>1109.0</v>
      </c>
      <c r="BV9" s="6">
        <v>37.0</v>
      </c>
      <c r="BW9" s="6">
        <v>1.0</v>
      </c>
      <c r="BX9" s="6">
        <v>0.0</v>
      </c>
      <c r="BY9" s="6">
        <v>1003.0</v>
      </c>
      <c r="BZ9" s="6">
        <v>68.0</v>
      </c>
      <c r="CA9" s="6">
        <v>62391.0</v>
      </c>
    </row>
    <row r="10" ht="14.25" customHeight="1">
      <c r="A10" s="6" t="s">
        <v>166</v>
      </c>
      <c r="B10" s="6">
        <v>2583.0</v>
      </c>
      <c r="C10" s="6">
        <v>81.0</v>
      </c>
      <c r="D10" s="6">
        <v>42.0</v>
      </c>
      <c r="E10" s="6">
        <v>161.0</v>
      </c>
      <c r="F10" s="6">
        <v>582.0</v>
      </c>
      <c r="G10" s="6">
        <v>148.0</v>
      </c>
      <c r="H10" s="6">
        <v>504.0</v>
      </c>
      <c r="I10" s="6">
        <v>75.0</v>
      </c>
      <c r="J10" s="6">
        <v>437.0</v>
      </c>
      <c r="K10" s="6">
        <v>107.0</v>
      </c>
      <c r="L10" s="6">
        <v>446.0</v>
      </c>
      <c r="M10" s="6">
        <v>501.0</v>
      </c>
      <c r="N10" s="6">
        <v>338.0</v>
      </c>
      <c r="O10" s="6">
        <v>163.0</v>
      </c>
      <c r="P10" s="6">
        <v>1650.0</v>
      </c>
      <c r="Q10" s="6">
        <v>4.0</v>
      </c>
      <c r="R10" s="6">
        <v>105.0</v>
      </c>
      <c r="S10" s="6">
        <v>128.0</v>
      </c>
      <c r="T10" s="6">
        <v>605.0</v>
      </c>
      <c r="U10" s="6">
        <v>131.0</v>
      </c>
      <c r="V10" s="6">
        <v>174.0</v>
      </c>
      <c r="W10" s="6">
        <v>163.0</v>
      </c>
      <c r="X10" s="6">
        <v>169.0</v>
      </c>
      <c r="Y10" s="6">
        <v>171.0</v>
      </c>
      <c r="Z10" s="6">
        <v>3264.0</v>
      </c>
      <c r="AA10" s="6">
        <v>26.0</v>
      </c>
      <c r="AB10" s="6">
        <v>3212.0</v>
      </c>
      <c r="AC10" s="6">
        <v>26.0</v>
      </c>
      <c r="AD10" s="6">
        <v>209.0</v>
      </c>
      <c r="AE10" s="6">
        <v>2.0</v>
      </c>
      <c r="AF10" s="6">
        <v>187.0</v>
      </c>
      <c r="AG10" s="6">
        <v>20.0</v>
      </c>
      <c r="AH10" s="6">
        <v>7359.0</v>
      </c>
      <c r="AI10" s="6">
        <v>1706.0</v>
      </c>
      <c r="AJ10" s="6">
        <v>462.0</v>
      </c>
      <c r="AK10" s="6">
        <v>355.0</v>
      </c>
      <c r="AL10" s="6">
        <v>1504.0</v>
      </c>
      <c r="AM10" s="6">
        <v>547.0</v>
      </c>
      <c r="AN10" s="6">
        <v>443.0</v>
      </c>
      <c r="AO10" s="6">
        <v>804.0</v>
      </c>
      <c r="AP10" s="6">
        <v>666.0</v>
      </c>
      <c r="AQ10" s="6">
        <v>872.0</v>
      </c>
      <c r="AR10" s="6">
        <v>10019.0</v>
      </c>
      <c r="AS10" s="6">
        <v>156.0</v>
      </c>
      <c r="AT10" s="6">
        <v>998.0</v>
      </c>
      <c r="AU10" s="6">
        <v>305.0</v>
      </c>
      <c r="AV10" s="6">
        <v>1639.0</v>
      </c>
      <c r="AW10" s="6">
        <v>2368.0</v>
      </c>
      <c r="AX10" s="6">
        <v>1144.0</v>
      </c>
      <c r="AY10" s="6">
        <v>1101.0</v>
      </c>
      <c r="AZ10" s="6">
        <v>588.0</v>
      </c>
      <c r="BA10" s="6">
        <v>1720.0</v>
      </c>
      <c r="BB10" s="6">
        <v>31427.0</v>
      </c>
      <c r="BC10" s="6">
        <v>1759.0</v>
      </c>
      <c r="BD10" s="6">
        <v>3341.0</v>
      </c>
      <c r="BE10" s="6">
        <v>436.0</v>
      </c>
      <c r="BF10" s="6">
        <v>3912.0</v>
      </c>
      <c r="BG10" s="6">
        <v>5201.0</v>
      </c>
      <c r="BH10" s="6">
        <v>2874.0</v>
      </c>
      <c r="BI10" s="6">
        <v>4375.0</v>
      </c>
      <c r="BJ10" s="6">
        <v>7963.0</v>
      </c>
      <c r="BK10" s="6">
        <v>1566.0</v>
      </c>
      <c r="BL10" s="6">
        <v>10229.0</v>
      </c>
      <c r="BM10" s="6">
        <v>206.0</v>
      </c>
      <c r="BN10" s="6">
        <v>425.0</v>
      </c>
      <c r="BO10" s="6">
        <v>314.0</v>
      </c>
      <c r="BP10" s="6">
        <v>1547.0</v>
      </c>
      <c r="BQ10" s="6">
        <v>557.0</v>
      </c>
      <c r="BR10" s="6">
        <v>1762.0</v>
      </c>
      <c r="BS10" s="6">
        <v>1140.0</v>
      </c>
      <c r="BT10" s="6">
        <v>4278.0</v>
      </c>
      <c r="BU10" s="6">
        <v>861.0</v>
      </c>
      <c r="BV10" s="6">
        <v>25.0</v>
      </c>
      <c r="BW10" s="6">
        <v>1.0</v>
      </c>
      <c r="BX10" s="6">
        <v>0.0</v>
      </c>
      <c r="BY10" s="6">
        <v>773.0</v>
      </c>
      <c r="BZ10" s="6">
        <v>62.0</v>
      </c>
      <c r="CA10" s="6">
        <v>68102.0</v>
      </c>
    </row>
    <row r="11" ht="14.25" customHeight="1">
      <c r="A11" s="6" t="s">
        <v>167</v>
      </c>
      <c r="B11" s="6">
        <v>2947.0</v>
      </c>
      <c r="C11" s="6">
        <v>106.0</v>
      </c>
      <c r="D11" s="6">
        <v>51.0</v>
      </c>
      <c r="E11" s="6">
        <v>185.0</v>
      </c>
      <c r="F11" s="6">
        <v>598.0</v>
      </c>
      <c r="G11" s="6">
        <v>218.0</v>
      </c>
      <c r="H11" s="6">
        <v>575.0</v>
      </c>
      <c r="I11" s="6">
        <v>88.0</v>
      </c>
      <c r="J11" s="6">
        <v>525.0</v>
      </c>
      <c r="K11" s="6">
        <v>104.0</v>
      </c>
      <c r="L11" s="6">
        <v>497.0</v>
      </c>
      <c r="M11" s="6">
        <v>504.0</v>
      </c>
      <c r="N11" s="6">
        <v>341.0</v>
      </c>
      <c r="O11" s="6">
        <v>163.0</v>
      </c>
      <c r="P11" s="6">
        <v>1746.0</v>
      </c>
      <c r="Q11" s="6">
        <v>1.0</v>
      </c>
      <c r="R11" s="6">
        <v>131.0</v>
      </c>
      <c r="S11" s="6">
        <v>166.0</v>
      </c>
      <c r="T11" s="6">
        <v>522.0</v>
      </c>
      <c r="U11" s="6">
        <v>205.0</v>
      </c>
      <c r="V11" s="6">
        <v>182.0</v>
      </c>
      <c r="W11" s="6">
        <v>157.0</v>
      </c>
      <c r="X11" s="6">
        <v>182.0</v>
      </c>
      <c r="Y11" s="6">
        <v>200.0</v>
      </c>
      <c r="Z11" s="6">
        <v>3887.0</v>
      </c>
      <c r="AA11" s="6">
        <v>14.0</v>
      </c>
      <c r="AB11" s="6">
        <v>3823.0</v>
      </c>
      <c r="AC11" s="6">
        <v>50.0</v>
      </c>
      <c r="AD11" s="6">
        <v>251.0</v>
      </c>
      <c r="AE11" s="6">
        <v>2.0</v>
      </c>
      <c r="AF11" s="6">
        <v>226.0</v>
      </c>
      <c r="AG11" s="6">
        <v>23.0</v>
      </c>
      <c r="AH11" s="6">
        <v>8599.0</v>
      </c>
      <c r="AI11" s="6">
        <v>1862.0</v>
      </c>
      <c r="AJ11" s="6">
        <v>797.0</v>
      </c>
      <c r="AK11" s="6">
        <v>370.0</v>
      </c>
      <c r="AL11" s="6">
        <v>1691.0</v>
      </c>
      <c r="AM11" s="6">
        <v>598.0</v>
      </c>
      <c r="AN11" s="6">
        <v>584.0</v>
      </c>
      <c r="AO11" s="6">
        <v>980.0</v>
      </c>
      <c r="AP11" s="6">
        <v>774.0</v>
      </c>
      <c r="AQ11" s="6">
        <v>943.0</v>
      </c>
      <c r="AR11" s="6">
        <v>11353.0</v>
      </c>
      <c r="AS11" s="6">
        <v>168.0</v>
      </c>
      <c r="AT11" s="6">
        <v>1084.0</v>
      </c>
      <c r="AU11" s="6">
        <v>327.0</v>
      </c>
      <c r="AV11" s="6">
        <v>2048.0</v>
      </c>
      <c r="AW11" s="6">
        <v>2416.0</v>
      </c>
      <c r="AX11" s="6">
        <v>1211.0</v>
      </c>
      <c r="AY11" s="6">
        <v>1459.0</v>
      </c>
      <c r="AZ11" s="6">
        <v>689.0</v>
      </c>
      <c r="BA11" s="6">
        <v>1951.0</v>
      </c>
      <c r="BB11" s="6">
        <v>36393.0</v>
      </c>
      <c r="BC11" s="6">
        <v>1845.0</v>
      </c>
      <c r="BD11" s="6">
        <v>3914.0</v>
      </c>
      <c r="BE11" s="6">
        <v>558.0</v>
      </c>
      <c r="BF11" s="6">
        <v>4379.0</v>
      </c>
      <c r="BG11" s="6">
        <v>5969.0</v>
      </c>
      <c r="BH11" s="6">
        <v>3684.0</v>
      </c>
      <c r="BI11" s="6">
        <v>5298.0</v>
      </c>
      <c r="BJ11" s="6">
        <v>8433.0</v>
      </c>
      <c r="BK11" s="6">
        <v>2313.0</v>
      </c>
      <c r="BL11" s="6">
        <v>10963.0</v>
      </c>
      <c r="BM11" s="6">
        <v>218.0</v>
      </c>
      <c r="BN11" s="6">
        <v>457.0</v>
      </c>
      <c r="BO11" s="6">
        <v>359.0</v>
      </c>
      <c r="BP11" s="6">
        <v>1703.0</v>
      </c>
      <c r="BQ11" s="6">
        <v>568.0</v>
      </c>
      <c r="BR11" s="6">
        <v>1887.0</v>
      </c>
      <c r="BS11" s="6">
        <v>1230.0</v>
      </c>
      <c r="BT11" s="6">
        <v>4541.0</v>
      </c>
      <c r="BU11" s="6">
        <v>827.0</v>
      </c>
      <c r="BV11" s="6">
        <v>27.0</v>
      </c>
      <c r="BW11" s="6">
        <v>1.0</v>
      </c>
      <c r="BX11" s="6">
        <v>0.0</v>
      </c>
      <c r="BY11" s="6">
        <v>731.0</v>
      </c>
      <c r="BZ11" s="6">
        <v>68.0</v>
      </c>
      <c r="CA11" s="6">
        <v>77470.0</v>
      </c>
    </row>
    <row r="12" ht="14.25" customHeight="1">
      <c r="A12" s="6" t="s">
        <v>168</v>
      </c>
      <c r="B12" s="6">
        <v>2919.0</v>
      </c>
      <c r="C12" s="6">
        <v>92.0</v>
      </c>
      <c r="D12" s="6">
        <v>56.0</v>
      </c>
      <c r="E12" s="6">
        <v>201.0</v>
      </c>
      <c r="F12" s="6">
        <v>605.0</v>
      </c>
      <c r="G12" s="6">
        <v>165.0</v>
      </c>
      <c r="H12" s="6">
        <v>597.0</v>
      </c>
      <c r="I12" s="6">
        <v>87.0</v>
      </c>
      <c r="J12" s="6">
        <v>484.0</v>
      </c>
      <c r="K12" s="6">
        <v>105.0</v>
      </c>
      <c r="L12" s="6">
        <v>527.0</v>
      </c>
      <c r="M12" s="6">
        <v>511.0</v>
      </c>
      <c r="N12" s="6">
        <v>341.0</v>
      </c>
      <c r="O12" s="6">
        <v>170.0</v>
      </c>
      <c r="P12" s="6">
        <v>1503.0</v>
      </c>
      <c r="Q12" s="6">
        <v>0.0</v>
      </c>
      <c r="R12" s="6">
        <v>100.0</v>
      </c>
      <c r="S12" s="6">
        <v>144.0</v>
      </c>
      <c r="T12" s="6">
        <v>419.0</v>
      </c>
      <c r="U12" s="6">
        <v>155.0</v>
      </c>
      <c r="V12" s="6">
        <v>166.0</v>
      </c>
      <c r="W12" s="6">
        <v>131.0</v>
      </c>
      <c r="X12" s="6">
        <v>171.0</v>
      </c>
      <c r="Y12" s="6">
        <v>217.0</v>
      </c>
      <c r="Z12" s="6">
        <v>4898.0</v>
      </c>
      <c r="AA12" s="6">
        <v>15.0</v>
      </c>
      <c r="AB12" s="6">
        <v>4800.0</v>
      </c>
      <c r="AC12" s="6">
        <v>83.0</v>
      </c>
      <c r="AD12" s="6">
        <v>263.0</v>
      </c>
      <c r="AE12" s="6">
        <v>4.0</v>
      </c>
      <c r="AF12" s="6">
        <v>236.0</v>
      </c>
      <c r="AG12" s="6">
        <v>23.0</v>
      </c>
      <c r="AH12" s="6">
        <v>9078.0</v>
      </c>
      <c r="AI12" s="6">
        <v>2007.0</v>
      </c>
      <c r="AJ12" s="6">
        <v>795.0</v>
      </c>
      <c r="AK12" s="6">
        <v>404.0</v>
      </c>
      <c r="AL12" s="6">
        <v>1937.0</v>
      </c>
      <c r="AM12" s="6">
        <v>623.0</v>
      </c>
      <c r="AN12" s="6">
        <v>746.0</v>
      </c>
      <c r="AO12" s="6">
        <v>869.0</v>
      </c>
      <c r="AP12" s="6">
        <v>719.0</v>
      </c>
      <c r="AQ12" s="6">
        <v>978.0</v>
      </c>
      <c r="AR12" s="6">
        <v>10610.0</v>
      </c>
      <c r="AS12" s="6">
        <v>159.0</v>
      </c>
      <c r="AT12" s="6">
        <v>1119.0</v>
      </c>
      <c r="AU12" s="6">
        <v>319.0</v>
      </c>
      <c r="AV12" s="6">
        <v>1770.0</v>
      </c>
      <c r="AW12" s="6">
        <v>2319.0</v>
      </c>
      <c r="AX12" s="6">
        <v>1208.0</v>
      </c>
      <c r="AY12" s="6">
        <v>1264.0</v>
      </c>
      <c r="AZ12" s="6">
        <v>601.0</v>
      </c>
      <c r="BA12" s="6">
        <v>1851.0</v>
      </c>
      <c r="BB12" s="6">
        <v>36813.0</v>
      </c>
      <c r="BC12" s="6">
        <v>2037.0</v>
      </c>
      <c r="BD12" s="6">
        <v>4107.0</v>
      </c>
      <c r="BE12" s="6">
        <v>606.0</v>
      </c>
      <c r="BF12" s="6">
        <v>4567.0</v>
      </c>
      <c r="BG12" s="6">
        <v>5882.0</v>
      </c>
      <c r="BH12" s="6">
        <v>3724.0</v>
      </c>
      <c r="BI12" s="6">
        <v>5100.0</v>
      </c>
      <c r="BJ12" s="6">
        <v>8243.0</v>
      </c>
      <c r="BK12" s="6">
        <v>2547.0</v>
      </c>
      <c r="BL12" s="6">
        <v>11055.0</v>
      </c>
      <c r="BM12" s="6">
        <v>225.0</v>
      </c>
      <c r="BN12" s="6">
        <v>495.0</v>
      </c>
      <c r="BO12" s="6">
        <v>343.0</v>
      </c>
      <c r="BP12" s="6">
        <v>1802.0</v>
      </c>
      <c r="BQ12" s="6">
        <v>610.0</v>
      </c>
      <c r="BR12" s="6">
        <v>1892.0</v>
      </c>
      <c r="BS12" s="6">
        <v>1241.0</v>
      </c>
      <c r="BT12" s="6">
        <v>4447.0</v>
      </c>
      <c r="BU12" s="6">
        <v>751.0</v>
      </c>
      <c r="BV12" s="6">
        <v>31.0</v>
      </c>
      <c r="BW12" s="6">
        <v>9.0</v>
      </c>
      <c r="BX12" s="6">
        <v>0.0</v>
      </c>
      <c r="BY12" s="6">
        <v>643.0</v>
      </c>
      <c r="BZ12" s="6">
        <v>68.0</v>
      </c>
      <c r="CA12" s="6">
        <v>78401.0</v>
      </c>
    </row>
    <row r="13" ht="14.25" customHeight="1">
      <c r="A13" s="6" t="s">
        <v>169</v>
      </c>
      <c r="B13" s="6">
        <v>3192.0</v>
      </c>
      <c r="C13" s="6">
        <v>120.0</v>
      </c>
      <c r="D13" s="6">
        <v>69.0</v>
      </c>
      <c r="E13" s="6">
        <v>193.0</v>
      </c>
      <c r="F13" s="6">
        <v>631.0</v>
      </c>
      <c r="G13" s="6">
        <v>204.0</v>
      </c>
      <c r="H13" s="6">
        <v>590.0</v>
      </c>
      <c r="I13" s="6">
        <v>90.0</v>
      </c>
      <c r="J13" s="6">
        <v>582.0</v>
      </c>
      <c r="K13" s="6">
        <v>134.0</v>
      </c>
      <c r="L13" s="6">
        <v>579.0</v>
      </c>
      <c r="M13" s="6">
        <v>544.0</v>
      </c>
      <c r="N13" s="6">
        <v>401.0</v>
      </c>
      <c r="O13" s="6">
        <v>143.0</v>
      </c>
      <c r="P13" s="6">
        <v>1562.0</v>
      </c>
      <c r="Q13" s="6">
        <v>1.0</v>
      </c>
      <c r="R13" s="6">
        <v>91.0</v>
      </c>
      <c r="S13" s="6">
        <v>130.0</v>
      </c>
      <c r="T13" s="6">
        <v>462.0</v>
      </c>
      <c r="U13" s="6">
        <v>124.0</v>
      </c>
      <c r="V13" s="6">
        <v>149.0</v>
      </c>
      <c r="W13" s="6">
        <v>165.0</v>
      </c>
      <c r="X13" s="6">
        <v>199.0</v>
      </c>
      <c r="Y13" s="6">
        <v>241.0</v>
      </c>
      <c r="Z13" s="6">
        <v>5023.0</v>
      </c>
      <c r="AA13" s="6">
        <v>13.0</v>
      </c>
      <c r="AB13" s="6">
        <v>4916.0</v>
      </c>
      <c r="AC13" s="6">
        <v>94.0</v>
      </c>
      <c r="AD13" s="6">
        <v>270.0</v>
      </c>
      <c r="AE13" s="6">
        <v>9.0</v>
      </c>
      <c r="AF13" s="6">
        <v>240.0</v>
      </c>
      <c r="AG13" s="6">
        <v>21.0</v>
      </c>
      <c r="AH13" s="6">
        <v>9400.0</v>
      </c>
      <c r="AI13" s="6">
        <v>2070.0</v>
      </c>
      <c r="AJ13" s="6">
        <v>634.0</v>
      </c>
      <c r="AK13" s="6">
        <v>425.0</v>
      </c>
      <c r="AL13" s="6">
        <v>2215.0</v>
      </c>
      <c r="AM13" s="6">
        <v>676.0</v>
      </c>
      <c r="AN13" s="6">
        <v>661.0</v>
      </c>
      <c r="AO13" s="6">
        <v>926.0</v>
      </c>
      <c r="AP13" s="6">
        <v>754.0</v>
      </c>
      <c r="AQ13" s="6">
        <v>1039.0</v>
      </c>
      <c r="AR13" s="6">
        <v>11533.0</v>
      </c>
      <c r="AS13" s="6">
        <v>159.0</v>
      </c>
      <c r="AT13" s="6">
        <v>1143.0</v>
      </c>
      <c r="AU13" s="6">
        <v>368.0</v>
      </c>
      <c r="AV13" s="6">
        <v>1833.0</v>
      </c>
      <c r="AW13" s="6">
        <v>2385.0</v>
      </c>
      <c r="AX13" s="6">
        <v>1336.0</v>
      </c>
      <c r="AY13" s="6">
        <v>1466.0</v>
      </c>
      <c r="AZ13" s="6">
        <v>692.0</v>
      </c>
      <c r="BA13" s="6">
        <v>2151.0</v>
      </c>
      <c r="BB13" s="6">
        <v>38694.0</v>
      </c>
      <c r="BC13" s="6">
        <v>1952.0</v>
      </c>
      <c r="BD13" s="6">
        <v>4032.0</v>
      </c>
      <c r="BE13" s="6">
        <v>596.0</v>
      </c>
      <c r="BF13" s="6">
        <v>5040.0</v>
      </c>
      <c r="BG13" s="6">
        <v>6496.0</v>
      </c>
      <c r="BH13" s="6">
        <v>3764.0</v>
      </c>
      <c r="BI13" s="6">
        <v>5085.0</v>
      </c>
      <c r="BJ13" s="6">
        <v>9590.0</v>
      </c>
      <c r="BK13" s="6">
        <v>2139.0</v>
      </c>
      <c r="BL13" s="6">
        <v>12286.0</v>
      </c>
      <c r="BM13" s="6">
        <v>258.0</v>
      </c>
      <c r="BN13" s="6">
        <v>613.0</v>
      </c>
      <c r="BO13" s="6">
        <v>358.0</v>
      </c>
      <c r="BP13" s="6">
        <v>2049.0</v>
      </c>
      <c r="BQ13" s="6">
        <v>658.0</v>
      </c>
      <c r="BR13" s="6">
        <v>2138.0</v>
      </c>
      <c r="BS13" s="6">
        <v>1315.0</v>
      </c>
      <c r="BT13" s="6">
        <v>4897.0</v>
      </c>
      <c r="BU13" s="6">
        <v>917.0</v>
      </c>
      <c r="BV13" s="6">
        <v>37.0</v>
      </c>
      <c r="BW13" s="6">
        <v>9.0</v>
      </c>
      <c r="BX13" s="6">
        <v>0.0</v>
      </c>
      <c r="BY13" s="6">
        <v>796.0</v>
      </c>
      <c r="BZ13" s="6">
        <v>75.0</v>
      </c>
      <c r="CA13" s="6">
        <v>83421.0</v>
      </c>
    </row>
    <row r="14" ht="14.25" customHeight="1">
      <c r="A14" s="6" t="s">
        <v>170</v>
      </c>
      <c r="B14" s="6">
        <v>3663.0</v>
      </c>
      <c r="C14" s="6">
        <v>120.0</v>
      </c>
      <c r="D14" s="6">
        <v>59.0</v>
      </c>
      <c r="E14" s="6">
        <v>239.0</v>
      </c>
      <c r="F14" s="6">
        <v>729.0</v>
      </c>
      <c r="G14" s="6">
        <v>230.0</v>
      </c>
      <c r="H14" s="6">
        <v>666.0</v>
      </c>
      <c r="I14" s="6">
        <v>104.0</v>
      </c>
      <c r="J14" s="6">
        <v>678.0</v>
      </c>
      <c r="K14" s="6">
        <v>155.0</v>
      </c>
      <c r="L14" s="6">
        <v>683.0</v>
      </c>
      <c r="M14" s="6">
        <v>589.0</v>
      </c>
      <c r="N14" s="6">
        <v>434.0</v>
      </c>
      <c r="O14" s="6">
        <v>155.0</v>
      </c>
      <c r="P14" s="6">
        <v>1624.0</v>
      </c>
      <c r="Q14" s="6">
        <v>0.0</v>
      </c>
      <c r="R14" s="6">
        <v>64.0</v>
      </c>
      <c r="S14" s="6">
        <v>118.0</v>
      </c>
      <c r="T14" s="6">
        <v>480.0</v>
      </c>
      <c r="U14" s="6">
        <v>173.0</v>
      </c>
      <c r="V14" s="6">
        <v>139.0</v>
      </c>
      <c r="W14" s="6">
        <v>191.0</v>
      </c>
      <c r="X14" s="6">
        <v>200.0</v>
      </c>
      <c r="Y14" s="6">
        <v>259.0</v>
      </c>
      <c r="Z14" s="6">
        <v>4323.0</v>
      </c>
      <c r="AA14" s="6">
        <v>28.0</v>
      </c>
      <c r="AB14" s="6">
        <v>4223.0</v>
      </c>
      <c r="AC14" s="6">
        <v>72.0</v>
      </c>
      <c r="AD14" s="6">
        <v>268.0</v>
      </c>
      <c r="AE14" s="6">
        <v>6.0</v>
      </c>
      <c r="AF14" s="6">
        <v>238.0</v>
      </c>
      <c r="AG14" s="6">
        <v>24.0</v>
      </c>
      <c r="AH14" s="6">
        <v>11037.0</v>
      </c>
      <c r="AI14" s="6">
        <v>2265.0</v>
      </c>
      <c r="AJ14" s="6">
        <v>779.0</v>
      </c>
      <c r="AK14" s="6">
        <v>472.0</v>
      </c>
      <c r="AL14" s="6">
        <v>2843.0</v>
      </c>
      <c r="AM14" s="6">
        <v>825.0</v>
      </c>
      <c r="AN14" s="6">
        <v>775.0</v>
      </c>
      <c r="AO14" s="6">
        <v>1010.0</v>
      </c>
      <c r="AP14" s="6">
        <v>871.0</v>
      </c>
      <c r="AQ14" s="6">
        <v>1197.0</v>
      </c>
      <c r="AR14" s="6">
        <v>13019.0</v>
      </c>
      <c r="AS14" s="6">
        <v>137.0</v>
      </c>
      <c r="AT14" s="6">
        <v>1318.0</v>
      </c>
      <c r="AU14" s="6">
        <v>419.0</v>
      </c>
      <c r="AV14" s="6">
        <v>2092.0</v>
      </c>
      <c r="AW14" s="6">
        <v>2600.0</v>
      </c>
      <c r="AX14" s="6">
        <v>1555.0</v>
      </c>
      <c r="AY14" s="6">
        <v>1609.0</v>
      </c>
      <c r="AZ14" s="6">
        <v>874.0</v>
      </c>
      <c r="BA14" s="6">
        <v>2415.0</v>
      </c>
      <c r="BB14" s="6">
        <v>44333.0</v>
      </c>
      <c r="BC14" s="6">
        <v>2163.0</v>
      </c>
      <c r="BD14" s="6">
        <v>4455.0</v>
      </c>
      <c r="BE14" s="6">
        <v>531.0</v>
      </c>
      <c r="BF14" s="6">
        <v>5855.0</v>
      </c>
      <c r="BG14" s="6">
        <v>7089.0</v>
      </c>
      <c r="BH14" s="6">
        <v>4140.0</v>
      </c>
      <c r="BI14" s="6">
        <v>5716.0</v>
      </c>
      <c r="BJ14" s="6">
        <v>11724.0</v>
      </c>
      <c r="BK14" s="6">
        <v>2660.0</v>
      </c>
      <c r="BL14" s="6">
        <v>14555.0</v>
      </c>
      <c r="BM14" s="6">
        <v>309.0</v>
      </c>
      <c r="BN14" s="6">
        <v>751.0</v>
      </c>
      <c r="BO14" s="6">
        <v>360.0</v>
      </c>
      <c r="BP14" s="6">
        <v>2419.0</v>
      </c>
      <c r="BQ14" s="6">
        <v>780.0</v>
      </c>
      <c r="BR14" s="6">
        <v>2457.0</v>
      </c>
      <c r="BS14" s="6">
        <v>1421.0</v>
      </c>
      <c r="BT14" s="6">
        <v>6058.0</v>
      </c>
      <c r="BU14" s="6">
        <v>3369.0</v>
      </c>
      <c r="BV14" s="6">
        <v>43.0</v>
      </c>
      <c r="BW14" s="6">
        <v>4.0</v>
      </c>
      <c r="BX14" s="6">
        <v>0.0</v>
      </c>
      <c r="BY14" s="6">
        <v>3174.0</v>
      </c>
      <c r="BZ14" s="6">
        <v>148.0</v>
      </c>
      <c r="CA14" s="6">
        <v>96780.0</v>
      </c>
    </row>
    <row r="15" ht="14.25" customHeight="1">
      <c r="A15" s="6" t="s">
        <v>171</v>
      </c>
      <c r="B15" s="6">
        <v>3844.0</v>
      </c>
      <c r="C15" s="6">
        <v>125.0</v>
      </c>
      <c r="D15" s="6">
        <v>98.0</v>
      </c>
      <c r="E15" s="6">
        <v>274.0</v>
      </c>
      <c r="F15" s="6">
        <v>779.0</v>
      </c>
      <c r="G15" s="6">
        <v>253.0</v>
      </c>
      <c r="H15" s="6">
        <v>742.0</v>
      </c>
      <c r="I15" s="6">
        <v>106.0</v>
      </c>
      <c r="J15" s="6">
        <v>630.0</v>
      </c>
      <c r="K15" s="6">
        <v>144.0</v>
      </c>
      <c r="L15" s="6">
        <v>693.0</v>
      </c>
      <c r="M15" s="6">
        <v>672.0</v>
      </c>
      <c r="N15" s="6">
        <v>496.0</v>
      </c>
      <c r="O15" s="6">
        <v>176.0</v>
      </c>
      <c r="P15" s="6">
        <v>1621.0</v>
      </c>
      <c r="Q15" s="6">
        <v>0.0</v>
      </c>
      <c r="R15" s="6">
        <v>68.0</v>
      </c>
      <c r="S15" s="6">
        <v>104.0</v>
      </c>
      <c r="T15" s="6">
        <v>486.0</v>
      </c>
      <c r="U15" s="6">
        <v>203.0</v>
      </c>
      <c r="V15" s="6">
        <v>139.0</v>
      </c>
      <c r="W15" s="6">
        <v>157.0</v>
      </c>
      <c r="X15" s="6">
        <v>182.0</v>
      </c>
      <c r="Y15" s="6">
        <v>282.0</v>
      </c>
      <c r="Z15" s="6">
        <v>5909.0</v>
      </c>
      <c r="AA15" s="6">
        <v>26.0</v>
      </c>
      <c r="AB15" s="6">
        <v>5797.0</v>
      </c>
      <c r="AC15" s="6">
        <v>86.0</v>
      </c>
      <c r="AD15" s="6">
        <v>284.0</v>
      </c>
      <c r="AE15" s="6">
        <v>6.0</v>
      </c>
      <c r="AF15" s="6">
        <v>244.0</v>
      </c>
      <c r="AG15" s="6">
        <v>34.0</v>
      </c>
      <c r="AH15" s="6">
        <v>11762.0</v>
      </c>
      <c r="AI15" s="6">
        <v>2557.0</v>
      </c>
      <c r="AJ15" s="6">
        <v>660.0</v>
      </c>
      <c r="AK15" s="6">
        <v>500.0</v>
      </c>
      <c r="AL15" s="6">
        <v>3212.0</v>
      </c>
      <c r="AM15" s="6">
        <v>884.0</v>
      </c>
      <c r="AN15" s="6">
        <v>746.0</v>
      </c>
      <c r="AO15" s="6">
        <v>1041.0</v>
      </c>
      <c r="AP15" s="6">
        <v>901.0</v>
      </c>
      <c r="AQ15" s="6">
        <v>1261.0</v>
      </c>
      <c r="AR15" s="6">
        <v>12934.0</v>
      </c>
      <c r="AS15" s="6">
        <v>159.0</v>
      </c>
      <c r="AT15" s="6">
        <v>1231.0</v>
      </c>
      <c r="AU15" s="6">
        <v>510.0</v>
      </c>
      <c r="AV15" s="6">
        <v>2186.0</v>
      </c>
      <c r="AW15" s="6">
        <v>2579.0</v>
      </c>
      <c r="AX15" s="6">
        <v>1678.0</v>
      </c>
      <c r="AY15" s="6">
        <v>1413.0</v>
      </c>
      <c r="AZ15" s="6">
        <v>794.0</v>
      </c>
      <c r="BA15" s="6">
        <v>2384.0</v>
      </c>
      <c r="BB15" s="6">
        <v>47801.0</v>
      </c>
      <c r="BC15" s="6">
        <v>2363.0</v>
      </c>
      <c r="BD15" s="6">
        <v>4063.0</v>
      </c>
      <c r="BE15" s="6">
        <v>436.0</v>
      </c>
      <c r="BF15" s="6">
        <v>5355.0</v>
      </c>
      <c r="BG15" s="6">
        <v>7199.0</v>
      </c>
      <c r="BH15" s="6">
        <v>5907.0</v>
      </c>
      <c r="BI15" s="6">
        <v>5897.0</v>
      </c>
      <c r="BJ15" s="6">
        <v>12373.0</v>
      </c>
      <c r="BK15" s="6">
        <v>4208.0</v>
      </c>
      <c r="BL15" s="6">
        <v>14513.0</v>
      </c>
      <c r="BM15" s="6">
        <v>325.0</v>
      </c>
      <c r="BN15" s="6">
        <v>893.0</v>
      </c>
      <c r="BO15" s="6">
        <v>382.0</v>
      </c>
      <c r="BP15" s="6">
        <v>2573.0</v>
      </c>
      <c r="BQ15" s="6">
        <v>782.0</v>
      </c>
      <c r="BR15" s="6">
        <v>2494.0</v>
      </c>
      <c r="BS15" s="6">
        <v>1447.0</v>
      </c>
      <c r="BT15" s="6">
        <v>5617.0</v>
      </c>
      <c r="BU15" s="6">
        <v>2166.0</v>
      </c>
      <c r="BV15" s="6">
        <v>37.0</v>
      </c>
      <c r="BW15" s="6">
        <v>7.0</v>
      </c>
      <c r="BX15" s="6">
        <v>5.0</v>
      </c>
      <c r="BY15" s="6">
        <v>2005.0</v>
      </c>
      <c r="BZ15" s="6">
        <v>112.0</v>
      </c>
      <c r="CA15" s="6">
        <v>101506.0</v>
      </c>
    </row>
    <row r="16" ht="14.25" customHeight="1">
      <c r="A16" s="6" t="s">
        <v>172</v>
      </c>
      <c r="B16" s="6">
        <v>4078.0</v>
      </c>
      <c r="C16" s="6">
        <v>97.0</v>
      </c>
      <c r="D16" s="6">
        <v>162.0</v>
      </c>
      <c r="E16" s="6">
        <v>277.0</v>
      </c>
      <c r="F16" s="6">
        <v>803.0</v>
      </c>
      <c r="G16" s="6">
        <v>296.0</v>
      </c>
      <c r="H16" s="6">
        <v>744.0</v>
      </c>
      <c r="I16" s="6">
        <v>118.0</v>
      </c>
      <c r="J16" s="6">
        <v>602.0</v>
      </c>
      <c r="K16" s="6">
        <v>152.0</v>
      </c>
      <c r="L16" s="6">
        <v>827.0</v>
      </c>
      <c r="M16" s="6">
        <v>797.0</v>
      </c>
      <c r="N16" s="6">
        <v>611.0</v>
      </c>
      <c r="O16" s="6">
        <v>186.0</v>
      </c>
      <c r="P16" s="6">
        <v>2038.0</v>
      </c>
      <c r="Q16" s="6">
        <v>0.0</v>
      </c>
      <c r="R16" s="6">
        <v>91.0</v>
      </c>
      <c r="S16" s="6">
        <v>117.0</v>
      </c>
      <c r="T16" s="6">
        <v>666.0</v>
      </c>
      <c r="U16" s="6">
        <v>337.0</v>
      </c>
      <c r="V16" s="6">
        <v>146.0</v>
      </c>
      <c r="W16" s="6">
        <v>176.0</v>
      </c>
      <c r="X16" s="6">
        <v>233.0</v>
      </c>
      <c r="Y16" s="6">
        <v>272.0</v>
      </c>
      <c r="Z16" s="6">
        <v>9493.0</v>
      </c>
      <c r="AA16" s="6">
        <v>16.0</v>
      </c>
      <c r="AB16" s="6">
        <v>9315.0</v>
      </c>
      <c r="AC16" s="6">
        <v>162.0</v>
      </c>
      <c r="AD16" s="6">
        <v>281.0</v>
      </c>
      <c r="AE16" s="6">
        <v>9.0</v>
      </c>
      <c r="AF16" s="6">
        <v>237.0</v>
      </c>
      <c r="AG16" s="6">
        <v>35.0</v>
      </c>
      <c r="AH16" s="6">
        <v>13313.0</v>
      </c>
      <c r="AI16" s="6">
        <v>2904.0</v>
      </c>
      <c r="AJ16" s="6">
        <v>745.0</v>
      </c>
      <c r="AK16" s="6">
        <v>546.0</v>
      </c>
      <c r="AL16" s="6">
        <v>4002.0</v>
      </c>
      <c r="AM16" s="6">
        <v>954.0</v>
      </c>
      <c r="AN16" s="6">
        <v>729.0</v>
      </c>
      <c r="AO16" s="6">
        <v>1141.0</v>
      </c>
      <c r="AP16" s="6">
        <v>974.0</v>
      </c>
      <c r="AQ16" s="6">
        <v>1318.0</v>
      </c>
      <c r="AR16" s="6">
        <v>14165.0</v>
      </c>
      <c r="AS16" s="6">
        <v>177.0</v>
      </c>
      <c r="AT16" s="6">
        <v>1312.0</v>
      </c>
      <c r="AU16" s="6">
        <v>571.0</v>
      </c>
      <c r="AV16" s="6">
        <v>2467.0</v>
      </c>
      <c r="AW16" s="6">
        <v>2662.0</v>
      </c>
      <c r="AX16" s="6">
        <v>1940.0</v>
      </c>
      <c r="AY16" s="6">
        <v>1506.0</v>
      </c>
      <c r="AZ16" s="6">
        <v>846.0</v>
      </c>
      <c r="BA16" s="6">
        <v>2684.0</v>
      </c>
      <c r="BB16" s="6">
        <v>54474.0</v>
      </c>
      <c r="BC16" s="6">
        <v>2721.0</v>
      </c>
      <c r="BD16" s="6">
        <v>3972.0</v>
      </c>
      <c r="BE16" s="6">
        <v>435.0</v>
      </c>
      <c r="BF16" s="6">
        <v>5576.0</v>
      </c>
      <c r="BG16" s="6">
        <v>8498.0</v>
      </c>
      <c r="BH16" s="6">
        <v>8231.0</v>
      </c>
      <c r="BI16" s="6">
        <v>6765.0</v>
      </c>
      <c r="BJ16" s="6">
        <v>14122.0</v>
      </c>
      <c r="BK16" s="6">
        <v>4154.0</v>
      </c>
      <c r="BL16" s="6">
        <v>16451.0</v>
      </c>
      <c r="BM16" s="6">
        <v>375.0</v>
      </c>
      <c r="BN16" s="6">
        <v>1110.0</v>
      </c>
      <c r="BO16" s="6">
        <v>454.0</v>
      </c>
      <c r="BP16" s="6">
        <v>3058.0</v>
      </c>
      <c r="BQ16" s="6">
        <v>903.0</v>
      </c>
      <c r="BR16" s="6">
        <v>2656.0</v>
      </c>
      <c r="BS16" s="6">
        <v>1597.0</v>
      </c>
      <c r="BT16" s="6">
        <v>6298.0</v>
      </c>
      <c r="BU16" s="6">
        <v>1849.0</v>
      </c>
      <c r="BV16" s="6">
        <v>59.0</v>
      </c>
      <c r="BW16" s="6">
        <v>9.0</v>
      </c>
      <c r="BX16" s="6">
        <v>1.0</v>
      </c>
      <c r="BY16" s="6">
        <v>1646.0</v>
      </c>
      <c r="BZ16" s="6">
        <v>134.0</v>
      </c>
      <c r="CA16" s="6">
        <v>116939.0</v>
      </c>
    </row>
    <row r="17" ht="14.25" customHeight="1">
      <c r="A17" s="6" t="s">
        <v>173</v>
      </c>
      <c r="B17" s="6">
        <v>4459.0</v>
      </c>
      <c r="C17" s="6">
        <v>68.0</v>
      </c>
      <c r="D17" s="6">
        <v>175.0</v>
      </c>
      <c r="E17" s="6">
        <v>328.0</v>
      </c>
      <c r="F17" s="6">
        <v>905.0</v>
      </c>
      <c r="G17" s="6">
        <v>299.0</v>
      </c>
      <c r="H17" s="6">
        <v>798.0</v>
      </c>
      <c r="I17" s="6">
        <v>128.0</v>
      </c>
      <c r="J17" s="6">
        <v>604.0</v>
      </c>
      <c r="K17" s="6">
        <v>236.0</v>
      </c>
      <c r="L17" s="6">
        <v>918.0</v>
      </c>
      <c r="M17" s="6">
        <v>936.0</v>
      </c>
      <c r="N17" s="6">
        <v>719.0</v>
      </c>
      <c r="O17" s="6">
        <v>217.0</v>
      </c>
      <c r="P17" s="6">
        <v>1740.0</v>
      </c>
      <c r="Q17" s="6">
        <v>2.0</v>
      </c>
      <c r="R17" s="6">
        <v>41.0</v>
      </c>
      <c r="S17" s="6">
        <v>131.0</v>
      </c>
      <c r="T17" s="6">
        <v>435.0</v>
      </c>
      <c r="U17" s="6">
        <v>247.0</v>
      </c>
      <c r="V17" s="6">
        <v>145.0</v>
      </c>
      <c r="W17" s="6">
        <v>204.0</v>
      </c>
      <c r="X17" s="6">
        <v>266.0</v>
      </c>
      <c r="Y17" s="6">
        <v>269.0</v>
      </c>
      <c r="Z17" s="6">
        <v>9944.0</v>
      </c>
      <c r="AA17" s="6">
        <v>12.0</v>
      </c>
      <c r="AB17" s="6">
        <v>9801.0</v>
      </c>
      <c r="AC17" s="6">
        <v>131.0</v>
      </c>
      <c r="AD17" s="6">
        <v>287.0</v>
      </c>
      <c r="AE17" s="6">
        <v>16.0</v>
      </c>
      <c r="AF17" s="6">
        <v>238.0</v>
      </c>
      <c r="AG17" s="6">
        <v>33.0</v>
      </c>
      <c r="AH17" s="6">
        <v>14584.0</v>
      </c>
      <c r="AI17" s="6">
        <v>2694.0</v>
      </c>
      <c r="AJ17" s="6">
        <v>1089.0</v>
      </c>
      <c r="AK17" s="6">
        <v>564.0</v>
      </c>
      <c r="AL17" s="6">
        <v>4618.0</v>
      </c>
      <c r="AM17" s="6">
        <v>1170.0</v>
      </c>
      <c r="AN17" s="6">
        <v>832.0</v>
      </c>
      <c r="AO17" s="6">
        <v>1197.0</v>
      </c>
      <c r="AP17" s="6">
        <v>981.0</v>
      </c>
      <c r="AQ17" s="6">
        <v>1439.0</v>
      </c>
      <c r="AR17" s="6">
        <v>14188.0</v>
      </c>
      <c r="AS17" s="6">
        <v>198.0</v>
      </c>
      <c r="AT17" s="6">
        <v>1530.0</v>
      </c>
      <c r="AU17" s="6">
        <v>532.0</v>
      </c>
      <c r="AV17" s="6">
        <v>2320.0</v>
      </c>
      <c r="AW17" s="6">
        <v>2515.0</v>
      </c>
      <c r="AX17" s="6">
        <v>1884.0</v>
      </c>
      <c r="AY17" s="6">
        <v>1584.0</v>
      </c>
      <c r="AZ17" s="6">
        <v>911.0</v>
      </c>
      <c r="BA17" s="6">
        <v>2714.0</v>
      </c>
      <c r="BB17" s="6">
        <v>52223.0</v>
      </c>
      <c r="BC17" s="6">
        <v>3056.0</v>
      </c>
      <c r="BD17" s="6">
        <v>3902.0</v>
      </c>
      <c r="BE17" s="6">
        <v>520.0</v>
      </c>
      <c r="BF17" s="6">
        <v>6114.0</v>
      </c>
      <c r="BG17" s="6">
        <v>7830.0</v>
      </c>
      <c r="BH17" s="6">
        <v>7056.0</v>
      </c>
      <c r="BI17" s="6">
        <v>6614.0</v>
      </c>
      <c r="BJ17" s="6">
        <v>14209.0</v>
      </c>
      <c r="BK17" s="6">
        <v>2922.0</v>
      </c>
      <c r="BL17" s="6">
        <v>17041.0</v>
      </c>
      <c r="BM17" s="6">
        <v>389.0</v>
      </c>
      <c r="BN17" s="6">
        <v>1129.0</v>
      </c>
      <c r="BO17" s="6">
        <v>477.0</v>
      </c>
      <c r="BP17" s="6">
        <v>3168.0</v>
      </c>
      <c r="BQ17" s="6">
        <v>939.0</v>
      </c>
      <c r="BR17" s="6">
        <v>2972.0</v>
      </c>
      <c r="BS17" s="6">
        <v>1613.0</v>
      </c>
      <c r="BT17" s="6">
        <v>6354.0</v>
      </c>
      <c r="BU17" s="6">
        <v>2343.0</v>
      </c>
      <c r="BV17" s="6">
        <v>43.0</v>
      </c>
      <c r="BW17" s="6">
        <v>7.0</v>
      </c>
      <c r="BX17" s="6">
        <v>0.0</v>
      </c>
      <c r="BY17" s="6">
        <v>2155.0</v>
      </c>
      <c r="BZ17" s="6">
        <v>138.0</v>
      </c>
      <c r="CA17" s="6">
        <v>117745.0</v>
      </c>
    </row>
    <row r="18" ht="14.25" customHeight="1">
      <c r="A18" s="6" t="s">
        <v>174</v>
      </c>
      <c r="B18" s="6">
        <v>4775.0</v>
      </c>
      <c r="C18" s="6">
        <v>85.0</v>
      </c>
      <c r="D18" s="6">
        <v>219.0</v>
      </c>
      <c r="E18" s="6">
        <v>296.0</v>
      </c>
      <c r="F18" s="6">
        <v>918.0</v>
      </c>
      <c r="G18" s="6">
        <v>302.0</v>
      </c>
      <c r="H18" s="6">
        <v>869.0</v>
      </c>
      <c r="I18" s="6">
        <v>151.0</v>
      </c>
      <c r="J18" s="6">
        <v>666.0</v>
      </c>
      <c r="K18" s="6">
        <v>302.0</v>
      </c>
      <c r="L18" s="6">
        <v>967.0</v>
      </c>
      <c r="M18" s="6">
        <v>965.0</v>
      </c>
      <c r="N18" s="6">
        <v>681.0</v>
      </c>
      <c r="O18" s="6">
        <v>284.0</v>
      </c>
      <c r="P18" s="6">
        <v>1885.0</v>
      </c>
      <c r="Q18" s="6">
        <v>3.0</v>
      </c>
      <c r="R18" s="6">
        <v>45.0</v>
      </c>
      <c r="S18" s="6">
        <v>122.0</v>
      </c>
      <c r="T18" s="6">
        <v>561.0</v>
      </c>
      <c r="U18" s="6">
        <v>251.0</v>
      </c>
      <c r="V18" s="6">
        <v>163.0</v>
      </c>
      <c r="W18" s="6">
        <v>206.0</v>
      </c>
      <c r="X18" s="6">
        <v>251.0</v>
      </c>
      <c r="Y18" s="6">
        <v>283.0</v>
      </c>
      <c r="Z18" s="6">
        <v>9306.0</v>
      </c>
      <c r="AA18" s="6">
        <v>22.0</v>
      </c>
      <c r="AB18" s="6">
        <v>9163.0</v>
      </c>
      <c r="AC18" s="6">
        <v>121.0</v>
      </c>
      <c r="AD18" s="6">
        <v>341.0</v>
      </c>
      <c r="AE18" s="6">
        <v>18.0</v>
      </c>
      <c r="AF18" s="6">
        <v>283.0</v>
      </c>
      <c r="AG18" s="6">
        <v>40.0</v>
      </c>
      <c r="AH18" s="6">
        <v>14743.0</v>
      </c>
      <c r="AI18" s="6">
        <v>2452.0</v>
      </c>
      <c r="AJ18" s="6">
        <v>708.0</v>
      </c>
      <c r="AK18" s="6">
        <v>543.0</v>
      </c>
      <c r="AL18" s="6">
        <v>5198.0</v>
      </c>
      <c r="AM18" s="6">
        <v>1215.0</v>
      </c>
      <c r="AN18" s="6">
        <v>789.0</v>
      </c>
      <c r="AO18" s="6">
        <v>1299.0</v>
      </c>
      <c r="AP18" s="6">
        <v>1028.0</v>
      </c>
      <c r="AQ18" s="6">
        <v>1511.0</v>
      </c>
      <c r="AR18" s="6">
        <v>15600.0</v>
      </c>
      <c r="AS18" s="6">
        <v>215.0</v>
      </c>
      <c r="AT18" s="6">
        <v>1710.0</v>
      </c>
      <c r="AU18" s="6">
        <v>663.0</v>
      </c>
      <c r="AV18" s="6">
        <v>2441.0</v>
      </c>
      <c r="AW18" s="6">
        <v>2707.0</v>
      </c>
      <c r="AX18" s="6">
        <v>2087.0</v>
      </c>
      <c r="AY18" s="6">
        <v>1837.0</v>
      </c>
      <c r="AZ18" s="6">
        <v>955.0</v>
      </c>
      <c r="BA18" s="6">
        <v>2985.0</v>
      </c>
      <c r="BB18" s="6">
        <v>58456.0</v>
      </c>
      <c r="BC18" s="6">
        <v>3097.0</v>
      </c>
      <c r="BD18" s="6">
        <v>4456.0</v>
      </c>
      <c r="BE18" s="6">
        <v>601.0</v>
      </c>
      <c r="BF18" s="6">
        <v>6709.0</v>
      </c>
      <c r="BG18" s="6">
        <v>7961.0</v>
      </c>
      <c r="BH18" s="6">
        <v>6795.0</v>
      </c>
      <c r="BI18" s="6">
        <v>6788.0</v>
      </c>
      <c r="BJ18" s="6">
        <v>15832.0</v>
      </c>
      <c r="BK18" s="6">
        <v>6217.0</v>
      </c>
      <c r="BL18" s="6">
        <v>18388.0</v>
      </c>
      <c r="BM18" s="6">
        <v>419.0</v>
      </c>
      <c r="BN18" s="6">
        <v>1384.0</v>
      </c>
      <c r="BO18" s="6">
        <v>467.0</v>
      </c>
      <c r="BP18" s="6">
        <v>3342.0</v>
      </c>
      <c r="BQ18" s="6">
        <v>1033.0</v>
      </c>
      <c r="BR18" s="6">
        <v>2982.0</v>
      </c>
      <c r="BS18" s="6">
        <v>1556.0</v>
      </c>
      <c r="BT18" s="6">
        <v>7205.0</v>
      </c>
      <c r="BU18" s="6">
        <v>3204.0</v>
      </c>
      <c r="BV18" s="6">
        <v>40.0</v>
      </c>
      <c r="BW18" s="6">
        <v>8.0</v>
      </c>
      <c r="BX18" s="6">
        <v>0.0</v>
      </c>
      <c r="BY18" s="6">
        <v>2513.0</v>
      </c>
      <c r="BZ18" s="6">
        <v>643.0</v>
      </c>
      <c r="CA18" s="6">
        <v>127663.0</v>
      </c>
    </row>
    <row r="19" ht="14.25" customHeight="1">
      <c r="A19" s="6" t="s">
        <v>175</v>
      </c>
      <c r="B19" s="6">
        <v>5171.0</v>
      </c>
      <c r="C19" s="6">
        <v>82.0</v>
      </c>
      <c r="D19" s="6">
        <v>234.0</v>
      </c>
      <c r="E19" s="6">
        <v>319.0</v>
      </c>
      <c r="F19" s="6">
        <v>949.0</v>
      </c>
      <c r="G19" s="6">
        <v>409.0</v>
      </c>
      <c r="H19" s="6">
        <v>957.0</v>
      </c>
      <c r="I19" s="6">
        <v>192.0</v>
      </c>
      <c r="J19" s="6">
        <v>670.0</v>
      </c>
      <c r="K19" s="6">
        <v>310.0</v>
      </c>
      <c r="L19" s="6">
        <v>1049.0</v>
      </c>
      <c r="M19" s="6">
        <v>959.0</v>
      </c>
      <c r="N19" s="6">
        <v>705.0</v>
      </c>
      <c r="O19" s="6">
        <v>254.0</v>
      </c>
      <c r="P19" s="6">
        <v>1937.0</v>
      </c>
      <c r="Q19" s="6">
        <v>2.0</v>
      </c>
      <c r="R19" s="6">
        <v>71.0</v>
      </c>
      <c r="S19" s="6">
        <v>133.0</v>
      </c>
      <c r="T19" s="6">
        <v>598.0</v>
      </c>
      <c r="U19" s="6">
        <v>233.0</v>
      </c>
      <c r="V19" s="6">
        <v>167.0</v>
      </c>
      <c r="W19" s="6">
        <v>189.0</v>
      </c>
      <c r="X19" s="6">
        <v>270.0</v>
      </c>
      <c r="Y19" s="6">
        <v>274.0</v>
      </c>
      <c r="Z19" s="6">
        <v>10033.0</v>
      </c>
      <c r="AA19" s="6">
        <v>17.0</v>
      </c>
      <c r="AB19" s="6">
        <v>9917.0</v>
      </c>
      <c r="AC19" s="6">
        <v>99.0</v>
      </c>
      <c r="AD19" s="6">
        <v>357.0</v>
      </c>
      <c r="AE19" s="6">
        <v>25.0</v>
      </c>
      <c r="AF19" s="6">
        <v>290.0</v>
      </c>
      <c r="AG19" s="6">
        <v>42.0</v>
      </c>
      <c r="AH19" s="6">
        <v>14938.0</v>
      </c>
      <c r="AI19" s="6">
        <v>2371.0</v>
      </c>
      <c r="AJ19" s="6">
        <v>692.0</v>
      </c>
      <c r="AK19" s="6">
        <v>537.0</v>
      </c>
      <c r="AL19" s="6">
        <v>5526.0</v>
      </c>
      <c r="AM19" s="6">
        <v>1268.0</v>
      </c>
      <c r="AN19" s="6">
        <v>767.0</v>
      </c>
      <c r="AO19" s="6">
        <v>1279.0</v>
      </c>
      <c r="AP19" s="6">
        <v>1040.0</v>
      </c>
      <c r="AQ19" s="6">
        <v>1458.0</v>
      </c>
      <c r="AR19" s="6">
        <v>15804.0</v>
      </c>
      <c r="AS19" s="6">
        <v>174.0</v>
      </c>
      <c r="AT19" s="6">
        <v>1731.0</v>
      </c>
      <c r="AU19" s="6">
        <v>657.0</v>
      </c>
      <c r="AV19" s="6">
        <v>2475.0</v>
      </c>
      <c r="AW19" s="6">
        <v>2551.0</v>
      </c>
      <c r="AX19" s="6">
        <v>2054.0</v>
      </c>
      <c r="AY19" s="6">
        <v>1998.0</v>
      </c>
      <c r="AZ19" s="6">
        <v>1044.0</v>
      </c>
      <c r="BA19" s="6">
        <v>3120.0</v>
      </c>
      <c r="BB19" s="6">
        <v>59165.0</v>
      </c>
      <c r="BC19" s="6">
        <v>3011.0</v>
      </c>
      <c r="BD19" s="6">
        <v>4559.0</v>
      </c>
      <c r="BE19" s="6">
        <v>813.0</v>
      </c>
      <c r="BF19" s="6">
        <v>6956.0</v>
      </c>
      <c r="BG19" s="6">
        <v>7519.0</v>
      </c>
      <c r="BH19" s="6">
        <v>7028.0</v>
      </c>
      <c r="BI19" s="6">
        <v>6897.0</v>
      </c>
      <c r="BJ19" s="6">
        <v>17210.0</v>
      </c>
      <c r="BK19" s="6">
        <v>5172.0</v>
      </c>
      <c r="BL19" s="6">
        <v>18346.0</v>
      </c>
      <c r="BM19" s="6">
        <v>451.0</v>
      </c>
      <c r="BN19" s="6">
        <v>1515.0</v>
      </c>
      <c r="BO19" s="6">
        <v>469.0</v>
      </c>
      <c r="BP19" s="6">
        <v>3363.0</v>
      </c>
      <c r="BQ19" s="6">
        <v>917.0</v>
      </c>
      <c r="BR19" s="6">
        <v>3065.0</v>
      </c>
      <c r="BS19" s="6">
        <v>1378.0</v>
      </c>
      <c r="BT19" s="6">
        <v>7188.0</v>
      </c>
      <c r="BU19" s="6">
        <v>3265.0</v>
      </c>
      <c r="BV19" s="6">
        <v>29.0</v>
      </c>
      <c r="BW19" s="6">
        <v>2.0</v>
      </c>
      <c r="BX19" s="6">
        <v>0.0</v>
      </c>
      <c r="BY19" s="6">
        <v>2913.0</v>
      </c>
      <c r="BZ19" s="6">
        <v>321.0</v>
      </c>
      <c r="CA19" s="6">
        <v>129975.0</v>
      </c>
    </row>
    <row r="20" ht="14.25" customHeight="1">
      <c r="A20" s="6" t="s">
        <v>176</v>
      </c>
      <c r="B20" s="6">
        <v>5270.0</v>
      </c>
      <c r="C20" s="6">
        <v>66.0</v>
      </c>
      <c r="D20" s="6">
        <v>285.0</v>
      </c>
      <c r="E20" s="6">
        <v>354.0</v>
      </c>
      <c r="F20" s="6">
        <v>920.0</v>
      </c>
      <c r="G20" s="6">
        <v>381.0</v>
      </c>
      <c r="H20" s="6">
        <v>1061.0</v>
      </c>
      <c r="I20" s="6">
        <v>174.0</v>
      </c>
      <c r="J20" s="6">
        <v>671.0</v>
      </c>
      <c r="K20" s="6">
        <v>267.0</v>
      </c>
      <c r="L20" s="6">
        <v>1091.0</v>
      </c>
      <c r="M20" s="6">
        <v>950.0</v>
      </c>
      <c r="N20" s="6">
        <v>785.0</v>
      </c>
      <c r="O20" s="6">
        <v>165.0</v>
      </c>
      <c r="P20" s="6">
        <v>1889.0</v>
      </c>
      <c r="Q20" s="6">
        <v>0.0</v>
      </c>
      <c r="R20" s="6">
        <v>64.0</v>
      </c>
      <c r="S20" s="6">
        <v>135.0</v>
      </c>
      <c r="T20" s="6">
        <v>601.0</v>
      </c>
      <c r="U20" s="6">
        <v>240.0</v>
      </c>
      <c r="V20" s="6">
        <v>155.0</v>
      </c>
      <c r="W20" s="6">
        <v>178.0</v>
      </c>
      <c r="X20" s="6">
        <v>254.0</v>
      </c>
      <c r="Y20" s="6">
        <v>262.0</v>
      </c>
      <c r="Z20" s="6">
        <v>12865.0</v>
      </c>
      <c r="AA20" s="6">
        <v>18.0</v>
      </c>
      <c r="AB20" s="6">
        <v>12700.0</v>
      </c>
      <c r="AC20" s="6">
        <v>147.0</v>
      </c>
      <c r="AD20" s="6">
        <v>384.0</v>
      </c>
      <c r="AE20" s="6">
        <v>18.0</v>
      </c>
      <c r="AF20" s="6">
        <v>323.0</v>
      </c>
      <c r="AG20" s="6">
        <v>43.0</v>
      </c>
      <c r="AH20" s="6">
        <v>16363.0</v>
      </c>
      <c r="AI20" s="6">
        <v>2572.0</v>
      </c>
      <c r="AJ20" s="6">
        <v>725.0</v>
      </c>
      <c r="AK20" s="6">
        <v>531.0</v>
      </c>
      <c r="AL20" s="6">
        <v>6525.0</v>
      </c>
      <c r="AM20" s="6">
        <v>1295.0</v>
      </c>
      <c r="AN20" s="6">
        <v>883.0</v>
      </c>
      <c r="AO20" s="6">
        <v>1243.0</v>
      </c>
      <c r="AP20" s="6">
        <v>1068.0</v>
      </c>
      <c r="AQ20" s="6">
        <v>1521.0</v>
      </c>
      <c r="AR20" s="6">
        <v>16728.0</v>
      </c>
      <c r="AS20" s="6">
        <v>164.0</v>
      </c>
      <c r="AT20" s="6">
        <v>1767.0</v>
      </c>
      <c r="AU20" s="6">
        <v>666.0</v>
      </c>
      <c r="AV20" s="6">
        <v>2508.0</v>
      </c>
      <c r="AW20" s="6">
        <v>2483.0</v>
      </c>
      <c r="AX20" s="6">
        <v>2167.0</v>
      </c>
      <c r="AY20" s="6">
        <v>2493.0</v>
      </c>
      <c r="AZ20" s="6">
        <v>965.0</v>
      </c>
      <c r="BA20" s="6">
        <v>3515.0</v>
      </c>
      <c r="BB20" s="6">
        <v>64233.0</v>
      </c>
      <c r="BC20" s="6">
        <v>3121.0</v>
      </c>
      <c r="BD20" s="6">
        <v>5517.0</v>
      </c>
      <c r="BE20" s="6">
        <v>645.0</v>
      </c>
      <c r="BF20" s="6">
        <v>7720.0</v>
      </c>
      <c r="BG20" s="6">
        <v>8206.0</v>
      </c>
      <c r="BH20" s="6">
        <v>8514.0</v>
      </c>
      <c r="BI20" s="6">
        <v>7517.0</v>
      </c>
      <c r="BJ20" s="6">
        <v>18417.0</v>
      </c>
      <c r="BK20" s="6">
        <v>4576.0</v>
      </c>
      <c r="BL20" s="6">
        <v>19875.0</v>
      </c>
      <c r="BM20" s="6">
        <v>494.0</v>
      </c>
      <c r="BN20" s="6">
        <v>1799.0</v>
      </c>
      <c r="BO20" s="6">
        <v>528.0</v>
      </c>
      <c r="BP20" s="6">
        <v>3625.0</v>
      </c>
      <c r="BQ20" s="6">
        <v>961.0</v>
      </c>
      <c r="BR20" s="6">
        <v>3478.0</v>
      </c>
      <c r="BS20" s="6">
        <v>1337.0</v>
      </c>
      <c r="BT20" s="6">
        <v>7653.0</v>
      </c>
      <c r="BU20" s="6">
        <v>2708.0</v>
      </c>
      <c r="BV20" s="6">
        <v>29.0</v>
      </c>
      <c r="BW20" s="6">
        <v>7.0</v>
      </c>
      <c r="BX20" s="6">
        <v>17.0</v>
      </c>
      <c r="BY20" s="6">
        <v>2453.0</v>
      </c>
      <c r="BZ20" s="6">
        <v>202.0</v>
      </c>
      <c r="CA20" s="6">
        <v>141265.0</v>
      </c>
    </row>
    <row r="21" ht="14.25" customHeight="1">
      <c r="A21" s="6" t="s">
        <v>177</v>
      </c>
      <c r="B21" s="6">
        <v>5770.0</v>
      </c>
      <c r="C21" s="6">
        <v>94.0</v>
      </c>
      <c r="D21" s="6">
        <v>364.0</v>
      </c>
      <c r="E21" s="6">
        <v>394.0</v>
      </c>
      <c r="F21" s="6">
        <v>987.0</v>
      </c>
      <c r="G21" s="6">
        <v>425.0</v>
      </c>
      <c r="H21" s="6">
        <v>1126.0</v>
      </c>
      <c r="I21" s="6">
        <v>182.0</v>
      </c>
      <c r="J21" s="6">
        <v>740.0</v>
      </c>
      <c r="K21" s="6">
        <v>286.0</v>
      </c>
      <c r="L21" s="6">
        <v>1172.0</v>
      </c>
      <c r="M21" s="6">
        <v>1032.0</v>
      </c>
      <c r="N21" s="6">
        <v>850.0</v>
      </c>
      <c r="O21" s="6">
        <v>182.0</v>
      </c>
      <c r="P21" s="6">
        <v>1951.0</v>
      </c>
      <c r="Q21" s="6">
        <v>0.0</v>
      </c>
      <c r="R21" s="6">
        <v>67.0</v>
      </c>
      <c r="S21" s="6">
        <v>152.0</v>
      </c>
      <c r="T21" s="6">
        <v>581.0</v>
      </c>
      <c r="U21" s="6">
        <v>236.0</v>
      </c>
      <c r="V21" s="6">
        <v>143.0</v>
      </c>
      <c r="W21" s="6">
        <v>179.0</v>
      </c>
      <c r="X21" s="6">
        <v>333.0</v>
      </c>
      <c r="Y21" s="6">
        <v>260.0</v>
      </c>
      <c r="Z21" s="6">
        <v>17218.0</v>
      </c>
      <c r="AA21" s="6">
        <v>23.0</v>
      </c>
      <c r="AB21" s="6">
        <v>17040.0</v>
      </c>
      <c r="AC21" s="6">
        <v>155.0</v>
      </c>
      <c r="AD21" s="6">
        <v>368.0</v>
      </c>
      <c r="AE21" s="6">
        <v>19.0</v>
      </c>
      <c r="AF21" s="6">
        <v>305.0</v>
      </c>
      <c r="AG21" s="6">
        <v>44.0</v>
      </c>
      <c r="AH21" s="6">
        <v>18095.0</v>
      </c>
      <c r="AI21" s="6">
        <v>2892.0</v>
      </c>
      <c r="AJ21" s="6">
        <v>1034.0</v>
      </c>
      <c r="AK21" s="6">
        <v>537.0</v>
      </c>
      <c r="AL21" s="6">
        <v>7149.0</v>
      </c>
      <c r="AM21" s="6">
        <v>1430.0</v>
      </c>
      <c r="AN21" s="6">
        <v>1023.0</v>
      </c>
      <c r="AO21" s="6">
        <v>1334.0</v>
      </c>
      <c r="AP21" s="6">
        <v>1111.0</v>
      </c>
      <c r="AQ21" s="6">
        <v>1585.0</v>
      </c>
      <c r="AR21" s="6">
        <v>18139.0</v>
      </c>
      <c r="AS21" s="6">
        <v>140.0</v>
      </c>
      <c r="AT21" s="6">
        <v>1926.0</v>
      </c>
      <c r="AU21" s="6">
        <v>589.0</v>
      </c>
      <c r="AV21" s="6">
        <v>2564.0</v>
      </c>
      <c r="AW21" s="6">
        <v>2312.0</v>
      </c>
      <c r="AX21" s="6">
        <v>2132.0</v>
      </c>
      <c r="AY21" s="6">
        <v>3453.0</v>
      </c>
      <c r="AZ21" s="6">
        <v>1096.0</v>
      </c>
      <c r="BA21" s="6">
        <v>3927.0</v>
      </c>
      <c r="BB21" s="6">
        <v>68795.0</v>
      </c>
      <c r="BC21" s="6">
        <v>3503.0</v>
      </c>
      <c r="BD21" s="6">
        <v>6243.0</v>
      </c>
      <c r="BE21" s="6">
        <v>870.0</v>
      </c>
      <c r="BF21" s="6">
        <v>8156.0</v>
      </c>
      <c r="BG21" s="6">
        <v>8790.0</v>
      </c>
      <c r="BH21" s="6">
        <v>8528.0</v>
      </c>
      <c r="BI21" s="6">
        <v>7791.0</v>
      </c>
      <c r="BJ21" s="6">
        <v>20400.0</v>
      </c>
      <c r="BK21" s="6">
        <v>4514.0</v>
      </c>
      <c r="BL21" s="6">
        <v>21270.0</v>
      </c>
      <c r="BM21" s="6">
        <v>511.0</v>
      </c>
      <c r="BN21" s="6">
        <v>1962.0</v>
      </c>
      <c r="BO21" s="6">
        <v>562.0</v>
      </c>
      <c r="BP21" s="6">
        <v>4085.0</v>
      </c>
      <c r="BQ21" s="6">
        <v>1051.0</v>
      </c>
      <c r="BR21" s="6">
        <v>3686.0</v>
      </c>
      <c r="BS21" s="6">
        <v>1322.0</v>
      </c>
      <c r="BT21" s="6">
        <v>8091.0</v>
      </c>
      <c r="BU21" s="6">
        <v>2966.0</v>
      </c>
      <c r="BV21" s="6">
        <v>30.0</v>
      </c>
      <c r="BW21" s="6">
        <v>3.0</v>
      </c>
      <c r="BX21" s="6">
        <v>0.0</v>
      </c>
      <c r="BY21" s="6">
        <v>2797.0</v>
      </c>
      <c r="BZ21" s="6">
        <v>136.0</v>
      </c>
      <c r="CA21" s="6">
        <v>155604.0</v>
      </c>
    </row>
    <row r="22" ht="14.25" customHeight="1">
      <c r="A22" s="6" t="s">
        <v>178</v>
      </c>
      <c r="B22" s="6">
        <v>6395.0</v>
      </c>
      <c r="C22" s="6">
        <v>124.0</v>
      </c>
      <c r="D22" s="6">
        <v>382.0</v>
      </c>
      <c r="E22" s="6">
        <v>440.0</v>
      </c>
      <c r="F22" s="6">
        <v>1132.0</v>
      </c>
      <c r="G22" s="6">
        <v>498.0</v>
      </c>
      <c r="H22" s="6">
        <v>1239.0</v>
      </c>
      <c r="I22" s="6">
        <v>187.0</v>
      </c>
      <c r="J22" s="6">
        <v>796.0</v>
      </c>
      <c r="K22" s="6">
        <v>357.0</v>
      </c>
      <c r="L22" s="6">
        <v>1240.0</v>
      </c>
      <c r="M22" s="6">
        <v>1279.0</v>
      </c>
      <c r="N22" s="6">
        <v>1047.0</v>
      </c>
      <c r="O22" s="6">
        <v>232.0</v>
      </c>
      <c r="P22" s="6">
        <v>2216.0</v>
      </c>
      <c r="Q22" s="6">
        <v>0.0</v>
      </c>
      <c r="R22" s="6">
        <v>63.0</v>
      </c>
      <c r="S22" s="6">
        <v>186.0</v>
      </c>
      <c r="T22" s="6">
        <v>549.0</v>
      </c>
      <c r="U22" s="6">
        <v>245.0</v>
      </c>
      <c r="V22" s="6">
        <v>149.0</v>
      </c>
      <c r="W22" s="6">
        <v>171.0</v>
      </c>
      <c r="X22" s="6">
        <v>561.0</v>
      </c>
      <c r="Y22" s="6">
        <v>292.0</v>
      </c>
      <c r="Z22" s="6">
        <v>23182.0</v>
      </c>
      <c r="AA22" s="6">
        <v>19.0</v>
      </c>
      <c r="AB22" s="6">
        <v>22358.0</v>
      </c>
      <c r="AC22" s="6">
        <v>805.0</v>
      </c>
      <c r="AD22" s="6">
        <v>479.0</v>
      </c>
      <c r="AE22" s="6">
        <v>19.0</v>
      </c>
      <c r="AF22" s="6">
        <v>409.0</v>
      </c>
      <c r="AG22" s="6">
        <v>51.0</v>
      </c>
      <c r="AH22" s="6">
        <v>18979.0</v>
      </c>
      <c r="AI22" s="6">
        <v>3200.0</v>
      </c>
      <c r="AJ22" s="6">
        <v>1092.0</v>
      </c>
      <c r="AK22" s="6">
        <v>603.0</v>
      </c>
      <c r="AL22" s="6">
        <v>7280.0</v>
      </c>
      <c r="AM22" s="6">
        <v>1551.0</v>
      </c>
      <c r="AN22" s="6">
        <v>778.0</v>
      </c>
      <c r="AO22" s="6">
        <v>1527.0</v>
      </c>
      <c r="AP22" s="6">
        <v>1218.0</v>
      </c>
      <c r="AQ22" s="6">
        <v>1730.0</v>
      </c>
      <c r="AR22" s="6">
        <v>19444.0</v>
      </c>
      <c r="AS22" s="6">
        <v>146.0</v>
      </c>
      <c r="AT22" s="6">
        <v>2321.0</v>
      </c>
      <c r="AU22" s="6">
        <v>630.0</v>
      </c>
      <c r="AV22" s="6">
        <v>2627.0</v>
      </c>
      <c r="AW22" s="6">
        <v>2437.0</v>
      </c>
      <c r="AX22" s="6">
        <v>2266.0</v>
      </c>
      <c r="AY22" s="6">
        <v>3297.0</v>
      </c>
      <c r="AZ22" s="6">
        <v>1481.0</v>
      </c>
      <c r="BA22" s="6">
        <v>4239.0</v>
      </c>
      <c r="BB22" s="6">
        <v>74838.0</v>
      </c>
      <c r="BC22" s="6">
        <v>3661.0</v>
      </c>
      <c r="BD22" s="6">
        <v>6831.0</v>
      </c>
      <c r="BE22" s="6">
        <v>726.0</v>
      </c>
      <c r="BF22" s="6">
        <v>9314.0</v>
      </c>
      <c r="BG22" s="6">
        <v>9699.0</v>
      </c>
      <c r="BH22" s="6">
        <v>9771.0</v>
      </c>
      <c r="BI22" s="6">
        <v>8427.0</v>
      </c>
      <c r="BJ22" s="6">
        <v>21484.0</v>
      </c>
      <c r="BK22" s="6">
        <v>4925.0</v>
      </c>
      <c r="BL22" s="6">
        <v>23216.0</v>
      </c>
      <c r="BM22" s="6">
        <v>591.0</v>
      </c>
      <c r="BN22" s="6">
        <v>2249.0</v>
      </c>
      <c r="BO22" s="6">
        <v>599.0</v>
      </c>
      <c r="BP22" s="6">
        <v>4352.0</v>
      </c>
      <c r="BQ22" s="6">
        <v>1163.0</v>
      </c>
      <c r="BR22" s="6">
        <v>4061.0</v>
      </c>
      <c r="BS22" s="6">
        <v>1317.0</v>
      </c>
      <c r="BT22" s="6">
        <v>8884.0</v>
      </c>
      <c r="BU22" s="6">
        <v>5994.0</v>
      </c>
      <c r="BV22" s="6">
        <v>41.0</v>
      </c>
      <c r="BW22" s="6">
        <v>1.0</v>
      </c>
      <c r="BX22" s="6">
        <v>0.0</v>
      </c>
      <c r="BY22" s="6">
        <v>5791.0</v>
      </c>
      <c r="BZ22" s="6">
        <v>161.0</v>
      </c>
      <c r="CA22" s="6">
        <v>176022.0</v>
      </c>
    </row>
    <row r="23" ht="14.25" customHeight="1">
      <c r="A23" s="6" t="s">
        <v>179</v>
      </c>
      <c r="B23" s="6">
        <v>7193.0</v>
      </c>
      <c r="C23" s="6">
        <v>108.0</v>
      </c>
      <c r="D23" s="6">
        <v>475.0</v>
      </c>
      <c r="E23" s="6">
        <v>483.0</v>
      </c>
      <c r="F23" s="6">
        <v>1153.0</v>
      </c>
      <c r="G23" s="6">
        <v>568.0</v>
      </c>
      <c r="H23" s="6">
        <v>1405.0</v>
      </c>
      <c r="I23" s="6">
        <v>225.0</v>
      </c>
      <c r="J23" s="6">
        <v>907.0</v>
      </c>
      <c r="K23" s="6">
        <v>508.0</v>
      </c>
      <c r="L23" s="6">
        <v>1361.0</v>
      </c>
      <c r="M23" s="6">
        <v>1431.0</v>
      </c>
      <c r="N23" s="6">
        <v>1210.0</v>
      </c>
      <c r="O23" s="6">
        <v>221.0</v>
      </c>
      <c r="P23" s="6">
        <v>2472.0</v>
      </c>
      <c r="Q23" s="6">
        <v>0.0</v>
      </c>
      <c r="R23" s="6">
        <v>71.0</v>
      </c>
      <c r="S23" s="6">
        <v>167.0</v>
      </c>
      <c r="T23" s="6">
        <v>642.0</v>
      </c>
      <c r="U23" s="6">
        <v>286.0</v>
      </c>
      <c r="V23" s="6">
        <v>141.0</v>
      </c>
      <c r="W23" s="6">
        <v>179.0</v>
      </c>
      <c r="X23" s="6">
        <v>690.0</v>
      </c>
      <c r="Y23" s="6">
        <v>296.0</v>
      </c>
      <c r="Z23" s="6">
        <v>24444.0</v>
      </c>
      <c r="AA23" s="6">
        <v>19.0</v>
      </c>
      <c r="AB23" s="6">
        <v>23419.0</v>
      </c>
      <c r="AC23" s="6">
        <v>1006.0</v>
      </c>
      <c r="AD23" s="6">
        <v>534.0</v>
      </c>
      <c r="AE23" s="6">
        <v>29.0</v>
      </c>
      <c r="AF23" s="6">
        <v>455.0</v>
      </c>
      <c r="AG23" s="6">
        <v>50.0</v>
      </c>
      <c r="AH23" s="6">
        <v>20432.0</v>
      </c>
      <c r="AI23" s="6">
        <v>3388.0</v>
      </c>
      <c r="AJ23" s="6">
        <v>1072.0</v>
      </c>
      <c r="AK23" s="6">
        <v>599.0</v>
      </c>
      <c r="AL23" s="6">
        <v>7993.0</v>
      </c>
      <c r="AM23" s="6">
        <v>1609.0</v>
      </c>
      <c r="AN23" s="6">
        <v>924.0</v>
      </c>
      <c r="AO23" s="6">
        <v>1743.0</v>
      </c>
      <c r="AP23" s="6">
        <v>1305.0</v>
      </c>
      <c r="AQ23" s="6">
        <v>1799.0</v>
      </c>
      <c r="AR23" s="6">
        <v>21252.0</v>
      </c>
      <c r="AS23" s="6">
        <v>172.0</v>
      </c>
      <c r="AT23" s="6">
        <v>2460.0</v>
      </c>
      <c r="AU23" s="6">
        <v>647.0</v>
      </c>
      <c r="AV23" s="6">
        <v>2750.0</v>
      </c>
      <c r="AW23" s="6">
        <v>2473.0</v>
      </c>
      <c r="AX23" s="6">
        <v>2382.0</v>
      </c>
      <c r="AY23" s="6">
        <v>3794.0</v>
      </c>
      <c r="AZ23" s="6">
        <v>1880.0</v>
      </c>
      <c r="BA23" s="6">
        <v>4694.0</v>
      </c>
      <c r="BB23" s="6">
        <v>78962.0</v>
      </c>
      <c r="BC23" s="6">
        <v>3950.0</v>
      </c>
      <c r="BD23" s="6">
        <v>7087.0</v>
      </c>
      <c r="BE23" s="6">
        <v>809.0</v>
      </c>
      <c r="BF23" s="6">
        <v>9910.0</v>
      </c>
      <c r="BG23" s="6">
        <v>8979.0</v>
      </c>
      <c r="BH23" s="6">
        <v>10917.0</v>
      </c>
      <c r="BI23" s="6">
        <v>8909.0</v>
      </c>
      <c r="BJ23" s="6">
        <v>24309.0</v>
      </c>
      <c r="BK23" s="6">
        <v>4092.0</v>
      </c>
      <c r="BL23" s="6">
        <v>24485.0</v>
      </c>
      <c r="BM23" s="6">
        <v>662.0</v>
      </c>
      <c r="BN23" s="6">
        <v>2435.0</v>
      </c>
      <c r="BO23" s="6">
        <v>658.0</v>
      </c>
      <c r="BP23" s="6">
        <v>4465.0</v>
      </c>
      <c r="BQ23" s="6">
        <v>1170.0</v>
      </c>
      <c r="BR23" s="6">
        <v>4222.0</v>
      </c>
      <c r="BS23" s="6">
        <v>1346.0</v>
      </c>
      <c r="BT23" s="6">
        <v>9527.0</v>
      </c>
      <c r="BU23" s="6">
        <v>6577.0</v>
      </c>
      <c r="BV23" s="6">
        <v>38.0</v>
      </c>
      <c r="BW23" s="6">
        <v>3.0</v>
      </c>
      <c r="BX23" s="6">
        <v>0.0</v>
      </c>
      <c r="BY23" s="6">
        <v>6128.0</v>
      </c>
      <c r="BZ23" s="6">
        <v>408.0</v>
      </c>
      <c r="CA23" s="6">
        <v>187782.0</v>
      </c>
    </row>
    <row r="24" ht="14.25" customHeight="1">
      <c r="A24" s="6" t="s">
        <v>180</v>
      </c>
      <c r="B24" s="6">
        <v>8282.0</v>
      </c>
      <c r="C24" s="6">
        <v>139.0</v>
      </c>
      <c r="D24" s="6">
        <v>491.0</v>
      </c>
      <c r="E24" s="6">
        <v>679.0</v>
      </c>
      <c r="F24" s="6">
        <v>1215.0</v>
      </c>
      <c r="G24" s="6">
        <v>764.0</v>
      </c>
      <c r="H24" s="6">
        <v>1655.0</v>
      </c>
      <c r="I24" s="6">
        <v>237.0</v>
      </c>
      <c r="J24" s="6">
        <v>1087.0</v>
      </c>
      <c r="K24" s="6">
        <v>566.0</v>
      </c>
      <c r="L24" s="6">
        <v>1449.0</v>
      </c>
      <c r="M24" s="6">
        <v>1657.0</v>
      </c>
      <c r="N24" s="6">
        <v>1470.0</v>
      </c>
      <c r="O24" s="6">
        <v>187.0</v>
      </c>
      <c r="P24" s="6">
        <v>2876.0</v>
      </c>
      <c r="Q24" s="6">
        <v>0.0</v>
      </c>
      <c r="R24" s="6">
        <v>58.0</v>
      </c>
      <c r="S24" s="6">
        <v>228.0</v>
      </c>
      <c r="T24" s="6">
        <v>662.0</v>
      </c>
      <c r="U24" s="6">
        <v>324.0</v>
      </c>
      <c r="V24" s="6">
        <v>140.0</v>
      </c>
      <c r="W24" s="6">
        <v>547.0</v>
      </c>
      <c r="X24" s="6">
        <v>580.0</v>
      </c>
      <c r="Y24" s="6">
        <v>337.0</v>
      </c>
      <c r="Z24" s="6">
        <v>35493.0</v>
      </c>
      <c r="AA24" s="6">
        <v>27.0</v>
      </c>
      <c r="AB24" s="6">
        <v>33635.0</v>
      </c>
      <c r="AC24" s="6">
        <v>1831.0</v>
      </c>
      <c r="AD24" s="6">
        <v>605.0</v>
      </c>
      <c r="AE24" s="6">
        <v>39.0</v>
      </c>
      <c r="AF24" s="6">
        <v>498.0</v>
      </c>
      <c r="AG24" s="6">
        <v>68.0</v>
      </c>
      <c r="AH24" s="6">
        <v>23845.0</v>
      </c>
      <c r="AI24" s="6">
        <v>3633.0</v>
      </c>
      <c r="AJ24" s="6">
        <v>1827.0</v>
      </c>
      <c r="AK24" s="6">
        <v>700.0</v>
      </c>
      <c r="AL24" s="6">
        <v>8337.0</v>
      </c>
      <c r="AM24" s="6">
        <v>1706.0</v>
      </c>
      <c r="AN24" s="6">
        <v>2252.0</v>
      </c>
      <c r="AO24" s="6">
        <v>1827.0</v>
      </c>
      <c r="AP24" s="6">
        <v>1413.0</v>
      </c>
      <c r="AQ24" s="6">
        <v>2150.0</v>
      </c>
      <c r="AR24" s="6">
        <v>25108.0</v>
      </c>
      <c r="AS24" s="6">
        <v>189.0</v>
      </c>
      <c r="AT24" s="6">
        <v>2712.0</v>
      </c>
      <c r="AU24" s="6">
        <v>711.0</v>
      </c>
      <c r="AV24" s="6">
        <v>2896.0</v>
      </c>
      <c r="AW24" s="6">
        <v>2606.0</v>
      </c>
      <c r="AX24" s="6">
        <v>2752.0</v>
      </c>
      <c r="AY24" s="6">
        <v>5404.0</v>
      </c>
      <c r="AZ24" s="6">
        <v>2274.0</v>
      </c>
      <c r="BA24" s="6">
        <v>5564.0</v>
      </c>
      <c r="BB24" s="6">
        <v>88027.0</v>
      </c>
      <c r="BC24" s="6">
        <v>5094.0</v>
      </c>
      <c r="BD24" s="6">
        <v>8613.0</v>
      </c>
      <c r="BE24" s="6">
        <v>786.0</v>
      </c>
      <c r="BF24" s="6">
        <v>10930.0</v>
      </c>
      <c r="BG24" s="6">
        <v>8946.0</v>
      </c>
      <c r="BH24" s="6">
        <v>11197.0</v>
      </c>
      <c r="BI24" s="6">
        <v>9836.0</v>
      </c>
      <c r="BJ24" s="6">
        <v>26458.0</v>
      </c>
      <c r="BK24" s="6">
        <v>6167.0</v>
      </c>
      <c r="BL24" s="6">
        <v>27863.0</v>
      </c>
      <c r="BM24" s="6">
        <v>785.0</v>
      </c>
      <c r="BN24" s="6">
        <v>2803.0</v>
      </c>
      <c r="BO24" s="6">
        <v>762.0</v>
      </c>
      <c r="BP24" s="6">
        <v>5049.0</v>
      </c>
      <c r="BQ24" s="6">
        <v>1303.0</v>
      </c>
      <c r="BR24" s="6">
        <v>4843.0</v>
      </c>
      <c r="BS24" s="6">
        <v>1426.0</v>
      </c>
      <c r="BT24" s="6">
        <v>10892.0</v>
      </c>
      <c r="BU24" s="6">
        <v>12189.0</v>
      </c>
      <c r="BV24" s="6">
        <v>51.0</v>
      </c>
      <c r="BW24" s="6">
        <v>6.0</v>
      </c>
      <c r="BX24" s="6">
        <v>0.0</v>
      </c>
      <c r="BY24" s="6">
        <v>9733.0</v>
      </c>
      <c r="BZ24" s="6">
        <v>2399.0</v>
      </c>
      <c r="CA24" s="6">
        <v>225945.0</v>
      </c>
    </row>
    <row r="25" ht="14.25" customHeight="1">
      <c r="A25" s="6" t="s">
        <v>181</v>
      </c>
      <c r="B25" s="6">
        <v>8640.0</v>
      </c>
      <c r="C25" s="6">
        <v>101.0</v>
      </c>
      <c r="D25" s="6">
        <v>574.0</v>
      </c>
      <c r="E25" s="6">
        <v>542.0</v>
      </c>
      <c r="F25" s="6">
        <v>1267.0</v>
      </c>
      <c r="G25" s="6">
        <v>833.0</v>
      </c>
      <c r="H25" s="6">
        <v>1611.0</v>
      </c>
      <c r="I25" s="6">
        <v>285.0</v>
      </c>
      <c r="J25" s="6">
        <v>1209.0</v>
      </c>
      <c r="K25" s="6">
        <v>595.0</v>
      </c>
      <c r="L25" s="6">
        <v>1623.0</v>
      </c>
      <c r="M25" s="6">
        <v>1747.0</v>
      </c>
      <c r="N25" s="6">
        <v>1470.0</v>
      </c>
      <c r="O25" s="6">
        <v>277.0</v>
      </c>
      <c r="P25" s="6">
        <v>2001.0</v>
      </c>
      <c r="Q25" s="6">
        <v>0.0</v>
      </c>
      <c r="R25" s="6">
        <v>50.0</v>
      </c>
      <c r="S25" s="6">
        <v>129.0</v>
      </c>
      <c r="T25" s="6">
        <v>568.0</v>
      </c>
      <c r="U25" s="6">
        <v>181.0</v>
      </c>
      <c r="V25" s="6">
        <v>138.0</v>
      </c>
      <c r="W25" s="6">
        <v>154.0</v>
      </c>
      <c r="X25" s="6">
        <v>443.0</v>
      </c>
      <c r="Y25" s="6">
        <v>338.0</v>
      </c>
      <c r="Z25" s="6">
        <v>25412.0</v>
      </c>
      <c r="AA25" s="6">
        <v>25.0</v>
      </c>
      <c r="AB25" s="6">
        <v>23124.0</v>
      </c>
      <c r="AC25" s="6">
        <v>2263.0</v>
      </c>
      <c r="AD25" s="6">
        <v>561.0</v>
      </c>
      <c r="AE25" s="6">
        <v>30.0</v>
      </c>
      <c r="AF25" s="6">
        <v>467.0</v>
      </c>
      <c r="AG25" s="6">
        <v>64.0</v>
      </c>
      <c r="AH25" s="6">
        <v>21929.0</v>
      </c>
      <c r="AI25" s="6">
        <v>3199.0</v>
      </c>
      <c r="AJ25" s="6">
        <v>1341.0</v>
      </c>
      <c r="AK25" s="6">
        <v>619.0</v>
      </c>
      <c r="AL25" s="6">
        <v>9371.0</v>
      </c>
      <c r="AM25" s="6">
        <v>1841.0</v>
      </c>
      <c r="AN25" s="6">
        <v>941.0</v>
      </c>
      <c r="AO25" s="6">
        <v>1303.0</v>
      </c>
      <c r="AP25" s="6">
        <v>1349.0</v>
      </c>
      <c r="AQ25" s="6">
        <v>1965.0</v>
      </c>
      <c r="AR25" s="6">
        <v>21688.0</v>
      </c>
      <c r="AS25" s="6">
        <v>142.0</v>
      </c>
      <c r="AT25" s="6">
        <v>2633.0</v>
      </c>
      <c r="AU25" s="6">
        <v>629.0</v>
      </c>
      <c r="AV25" s="6">
        <v>2628.0</v>
      </c>
      <c r="AW25" s="6">
        <v>2431.0</v>
      </c>
      <c r="AX25" s="6">
        <v>2634.0</v>
      </c>
      <c r="AY25" s="6">
        <v>3621.0</v>
      </c>
      <c r="AZ25" s="6">
        <v>1804.0</v>
      </c>
      <c r="BA25" s="6">
        <v>5166.0</v>
      </c>
      <c r="BB25" s="6">
        <v>76440.0</v>
      </c>
      <c r="BC25" s="6">
        <v>4818.0</v>
      </c>
      <c r="BD25" s="6">
        <v>6918.0</v>
      </c>
      <c r="BE25" s="6">
        <v>635.0</v>
      </c>
      <c r="BF25" s="6">
        <v>12115.0</v>
      </c>
      <c r="BG25" s="6">
        <v>8520.0</v>
      </c>
      <c r="BH25" s="6">
        <v>11691.0</v>
      </c>
      <c r="BI25" s="6">
        <v>9569.0</v>
      </c>
      <c r="BJ25" s="6">
        <v>19969.0</v>
      </c>
      <c r="BK25" s="6">
        <v>2205.0</v>
      </c>
      <c r="BL25" s="6">
        <v>27393.0</v>
      </c>
      <c r="BM25" s="6">
        <v>787.0</v>
      </c>
      <c r="BN25" s="6">
        <v>2633.0</v>
      </c>
      <c r="BO25" s="6">
        <v>782.0</v>
      </c>
      <c r="BP25" s="6">
        <v>5122.0</v>
      </c>
      <c r="BQ25" s="6">
        <v>1315.0</v>
      </c>
      <c r="BR25" s="6">
        <v>4772.0</v>
      </c>
      <c r="BS25" s="6">
        <v>1461.0</v>
      </c>
      <c r="BT25" s="6">
        <v>10521.0</v>
      </c>
      <c r="BU25" s="6">
        <v>14740.0</v>
      </c>
      <c r="BV25" s="6">
        <v>51.0</v>
      </c>
      <c r="BW25" s="6">
        <v>4.0</v>
      </c>
      <c r="BX25" s="6">
        <v>0.0</v>
      </c>
      <c r="BY25" s="6">
        <v>9198.0</v>
      </c>
      <c r="BZ25" s="6">
        <v>5487.0</v>
      </c>
      <c r="CA25" s="6">
        <v>200551.0</v>
      </c>
    </row>
    <row r="26" ht="14.25" customHeight="1">
      <c r="A26" s="6" t="s">
        <v>182</v>
      </c>
      <c r="B26" s="6">
        <v>8646.0</v>
      </c>
      <c r="C26" s="6">
        <v>114.0</v>
      </c>
      <c r="D26" s="6">
        <v>574.0</v>
      </c>
      <c r="E26" s="6">
        <v>670.0</v>
      </c>
      <c r="F26" s="6">
        <v>1271.0</v>
      </c>
      <c r="G26" s="6">
        <v>770.0</v>
      </c>
      <c r="H26" s="6">
        <v>1557.0</v>
      </c>
      <c r="I26" s="6">
        <v>306.0</v>
      </c>
      <c r="J26" s="6">
        <v>1185.0</v>
      </c>
      <c r="K26" s="6">
        <v>561.0</v>
      </c>
      <c r="L26" s="6">
        <v>1638.0</v>
      </c>
      <c r="M26" s="6">
        <v>1706.0</v>
      </c>
      <c r="N26" s="6">
        <v>1454.0</v>
      </c>
      <c r="O26" s="6">
        <v>252.0</v>
      </c>
      <c r="P26" s="6">
        <v>2331.0</v>
      </c>
      <c r="Q26" s="6">
        <v>0.0</v>
      </c>
      <c r="R26" s="6">
        <v>52.0</v>
      </c>
      <c r="S26" s="6">
        <v>128.0</v>
      </c>
      <c r="T26" s="6">
        <v>672.0</v>
      </c>
      <c r="U26" s="6">
        <v>188.0</v>
      </c>
      <c r="V26" s="6">
        <v>108.0</v>
      </c>
      <c r="W26" s="6">
        <v>197.0</v>
      </c>
      <c r="X26" s="6">
        <v>677.0</v>
      </c>
      <c r="Y26" s="6">
        <v>309.0</v>
      </c>
      <c r="Z26" s="6">
        <v>28843.0</v>
      </c>
      <c r="AA26" s="6">
        <v>43.0</v>
      </c>
      <c r="AB26" s="6">
        <v>26722.0</v>
      </c>
      <c r="AC26" s="6">
        <v>2078.0</v>
      </c>
      <c r="AD26" s="6">
        <v>525.0</v>
      </c>
      <c r="AE26" s="6">
        <v>37.0</v>
      </c>
      <c r="AF26" s="6">
        <v>432.0</v>
      </c>
      <c r="AG26" s="6">
        <v>56.0</v>
      </c>
      <c r="AH26" s="6">
        <v>22836.0</v>
      </c>
      <c r="AI26" s="6">
        <v>3385.0</v>
      </c>
      <c r="AJ26" s="6">
        <v>1101.0</v>
      </c>
      <c r="AK26" s="6">
        <v>628.0</v>
      </c>
      <c r="AL26" s="6">
        <v>9625.0</v>
      </c>
      <c r="AM26" s="6">
        <v>1837.0</v>
      </c>
      <c r="AN26" s="6">
        <v>1325.0</v>
      </c>
      <c r="AO26" s="6">
        <v>1461.0</v>
      </c>
      <c r="AP26" s="6">
        <v>1407.0</v>
      </c>
      <c r="AQ26" s="6">
        <v>2067.0</v>
      </c>
      <c r="AR26" s="6">
        <v>22882.0</v>
      </c>
      <c r="AS26" s="6">
        <v>141.0</v>
      </c>
      <c r="AT26" s="6">
        <v>2957.0</v>
      </c>
      <c r="AU26" s="6">
        <v>717.0</v>
      </c>
      <c r="AV26" s="6">
        <v>2835.0</v>
      </c>
      <c r="AW26" s="6">
        <v>2431.0</v>
      </c>
      <c r="AX26" s="6">
        <v>2546.0</v>
      </c>
      <c r="AY26" s="6">
        <v>3726.0</v>
      </c>
      <c r="AZ26" s="6">
        <v>2482.0</v>
      </c>
      <c r="BA26" s="6">
        <v>5047.0</v>
      </c>
      <c r="BB26" s="6">
        <v>82235.0</v>
      </c>
      <c r="BC26" s="6">
        <v>4256.0</v>
      </c>
      <c r="BD26" s="6">
        <v>6931.0</v>
      </c>
      <c r="BE26" s="6">
        <v>631.0</v>
      </c>
      <c r="BF26" s="6">
        <v>10491.0</v>
      </c>
      <c r="BG26" s="6">
        <v>9547.0</v>
      </c>
      <c r="BH26" s="6">
        <v>11418.0</v>
      </c>
      <c r="BI26" s="6">
        <v>10716.0</v>
      </c>
      <c r="BJ26" s="6">
        <v>26292.0</v>
      </c>
      <c r="BK26" s="6">
        <v>1953.0</v>
      </c>
      <c r="BL26" s="6">
        <v>27278.0</v>
      </c>
      <c r="BM26" s="6">
        <v>867.0</v>
      </c>
      <c r="BN26" s="6">
        <v>2629.0</v>
      </c>
      <c r="BO26" s="6">
        <v>760.0</v>
      </c>
      <c r="BP26" s="6">
        <v>5379.0</v>
      </c>
      <c r="BQ26" s="6">
        <v>1343.0</v>
      </c>
      <c r="BR26" s="6">
        <v>4771.0</v>
      </c>
      <c r="BS26" s="6">
        <v>1365.0</v>
      </c>
      <c r="BT26" s="6">
        <v>10164.0</v>
      </c>
      <c r="BU26" s="6">
        <v>13200.0</v>
      </c>
      <c r="BV26" s="6">
        <v>38.0</v>
      </c>
      <c r="BW26" s="6">
        <v>13.0</v>
      </c>
      <c r="BX26" s="6">
        <v>2.0</v>
      </c>
      <c r="BY26" s="6">
        <v>7048.0</v>
      </c>
      <c r="BZ26" s="6">
        <v>6099.0</v>
      </c>
      <c r="CA26" s="6">
        <v>210482.0</v>
      </c>
    </row>
    <row r="27" ht="14.25" customHeight="1">
      <c r="A27" s="6" t="s">
        <v>183</v>
      </c>
      <c r="B27" s="6">
        <v>9249.0</v>
      </c>
      <c r="C27" s="6">
        <v>111.0</v>
      </c>
      <c r="D27" s="6">
        <v>552.0</v>
      </c>
      <c r="E27" s="6">
        <v>670.0</v>
      </c>
      <c r="F27" s="6">
        <v>1305.0</v>
      </c>
      <c r="G27" s="6">
        <v>804.0</v>
      </c>
      <c r="H27" s="6">
        <v>1842.0</v>
      </c>
      <c r="I27" s="6">
        <v>378.0</v>
      </c>
      <c r="J27" s="6">
        <v>1355.0</v>
      </c>
      <c r="K27" s="6">
        <v>549.0</v>
      </c>
      <c r="L27" s="6">
        <v>1683.0</v>
      </c>
      <c r="M27" s="6">
        <v>1815.0</v>
      </c>
      <c r="N27" s="6">
        <v>1537.0</v>
      </c>
      <c r="O27" s="6">
        <v>278.0</v>
      </c>
      <c r="P27" s="6">
        <v>2769.0</v>
      </c>
      <c r="Q27" s="6">
        <v>0.0</v>
      </c>
      <c r="R27" s="6">
        <v>46.0</v>
      </c>
      <c r="S27" s="6">
        <v>150.0</v>
      </c>
      <c r="T27" s="6">
        <v>659.0</v>
      </c>
      <c r="U27" s="6">
        <v>183.0</v>
      </c>
      <c r="V27" s="6">
        <v>114.0</v>
      </c>
      <c r="W27" s="6">
        <v>288.0</v>
      </c>
      <c r="X27" s="6">
        <v>989.0</v>
      </c>
      <c r="Y27" s="6">
        <v>340.0</v>
      </c>
      <c r="Z27" s="6">
        <v>38279.0</v>
      </c>
      <c r="AA27" s="6">
        <v>66.0</v>
      </c>
      <c r="AB27" s="6">
        <v>35795.0</v>
      </c>
      <c r="AC27" s="6">
        <v>2418.0</v>
      </c>
      <c r="AD27" s="6">
        <v>543.0</v>
      </c>
      <c r="AE27" s="6">
        <v>40.0</v>
      </c>
      <c r="AF27" s="6">
        <v>438.0</v>
      </c>
      <c r="AG27" s="6">
        <v>65.0</v>
      </c>
      <c r="AH27" s="6">
        <v>24346.0</v>
      </c>
      <c r="AI27" s="6">
        <v>3062.0</v>
      </c>
      <c r="AJ27" s="6">
        <v>1425.0</v>
      </c>
      <c r="AK27" s="6">
        <v>637.0</v>
      </c>
      <c r="AL27" s="6">
        <v>10569.0</v>
      </c>
      <c r="AM27" s="6">
        <v>1878.0</v>
      </c>
      <c r="AN27" s="6">
        <v>1614.0</v>
      </c>
      <c r="AO27" s="6">
        <v>1556.0</v>
      </c>
      <c r="AP27" s="6">
        <v>1429.0</v>
      </c>
      <c r="AQ27" s="6">
        <v>2176.0</v>
      </c>
      <c r="AR27" s="6">
        <v>24862.0</v>
      </c>
      <c r="AS27" s="6">
        <v>149.0</v>
      </c>
      <c r="AT27" s="6">
        <v>3523.0</v>
      </c>
      <c r="AU27" s="6">
        <v>763.0</v>
      </c>
      <c r="AV27" s="6">
        <v>2579.0</v>
      </c>
      <c r="AW27" s="6">
        <v>2472.0</v>
      </c>
      <c r="AX27" s="6">
        <v>2410.0</v>
      </c>
      <c r="AY27" s="6">
        <v>3590.0</v>
      </c>
      <c r="AZ27" s="6">
        <v>3254.0</v>
      </c>
      <c r="BA27" s="6">
        <v>6122.0</v>
      </c>
      <c r="BB27" s="6">
        <v>83761.0</v>
      </c>
      <c r="BC27" s="6">
        <v>4601.0</v>
      </c>
      <c r="BD27" s="6">
        <v>8450.0</v>
      </c>
      <c r="BE27" s="6">
        <v>682.0</v>
      </c>
      <c r="BF27" s="6">
        <v>10415.0</v>
      </c>
      <c r="BG27" s="6">
        <v>9361.0</v>
      </c>
      <c r="BH27" s="6">
        <v>11505.0</v>
      </c>
      <c r="BI27" s="6">
        <v>11284.0</v>
      </c>
      <c r="BJ27" s="6">
        <v>24708.0</v>
      </c>
      <c r="BK27" s="6">
        <v>2755.0</v>
      </c>
      <c r="BL27" s="6">
        <v>28098.0</v>
      </c>
      <c r="BM27" s="6">
        <v>1125.0</v>
      </c>
      <c r="BN27" s="6">
        <v>2782.0</v>
      </c>
      <c r="BO27" s="6">
        <v>829.0</v>
      </c>
      <c r="BP27" s="6">
        <v>5681.0</v>
      </c>
      <c r="BQ27" s="6">
        <v>1324.0</v>
      </c>
      <c r="BR27" s="6">
        <v>4822.0</v>
      </c>
      <c r="BS27" s="6">
        <v>1388.0</v>
      </c>
      <c r="BT27" s="6">
        <v>10147.0</v>
      </c>
      <c r="BU27" s="6">
        <v>13194.0</v>
      </c>
      <c r="BV27" s="6">
        <v>45.0</v>
      </c>
      <c r="BW27" s="6">
        <v>19.0</v>
      </c>
      <c r="BX27" s="6">
        <v>4.0</v>
      </c>
      <c r="BY27" s="6">
        <v>6398.0</v>
      </c>
      <c r="BZ27" s="6">
        <v>6728.0</v>
      </c>
      <c r="CA27" s="6">
        <v>226916.0</v>
      </c>
    </row>
    <row r="28" ht="14.25" customHeight="1">
      <c r="A28" s="6" t="s">
        <v>184</v>
      </c>
      <c r="B28" s="6">
        <v>9592.0</v>
      </c>
      <c r="C28" s="6">
        <v>100.0</v>
      </c>
      <c r="D28" s="6">
        <v>619.0</v>
      </c>
      <c r="E28" s="6">
        <v>634.0</v>
      </c>
      <c r="F28" s="6">
        <v>1416.0</v>
      </c>
      <c r="G28" s="6">
        <v>849.0</v>
      </c>
      <c r="H28" s="6">
        <v>1804.0</v>
      </c>
      <c r="I28" s="6">
        <v>356.0</v>
      </c>
      <c r="J28" s="6">
        <v>1351.0</v>
      </c>
      <c r="K28" s="6">
        <v>635.0</v>
      </c>
      <c r="L28" s="6">
        <v>1828.0</v>
      </c>
      <c r="M28" s="6">
        <v>1995.0</v>
      </c>
      <c r="N28" s="6">
        <v>1686.0</v>
      </c>
      <c r="O28" s="6">
        <v>309.0</v>
      </c>
      <c r="P28" s="6">
        <v>2517.0</v>
      </c>
      <c r="Q28" s="6">
        <v>1.0</v>
      </c>
      <c r="R28" s="6">
        <v>58.0</v>
      </c>
      <c r="S28" s="6">
        <v>134.0</v>
      </c>
      <c r="T28" s="6">
        <v>635.0</v>
      </c>
      <c r="U28" s="6">
        <v>145.0</v>
      </c>
      <c r="V28" s="6">
        <v>91.0</v>
      </c>
      <c r="W28" s="6">
        <v>313.0</v>
      </c>
      <c r="X28" s="6">
        <v>732.0</v>
      </c>
      <c r="Y28" s="6">
        <v>408.0</v>
      </c>
      <c r="Z28" s="6">
        <v>40855.0</v>
      </c>
      <c r="AA28" s="6">
        <v>18.0</v>
      </c>
      <c r="AB28" s="6">
        <v>38217.0</v>
      </c>
      <c r="AC28" s="6">
        <v>2620.0</v>
      </c>
      <c r="AD28" s="6">
        <v>546.0</v>
      </c>
      <c r="AE28" s="6">
        <v>61.0</v>
      </c>
      <c r="AF28" s="6">
        <v>411.0</v>
      </c>
      <c r="AG28" s="6">
        <v>74.0</v>
      </c>
      <c r="AH28" s="6">
        <v>24488.0</v>
      </c>
      <c r="AI28" s="6">
        <v>2937.0</v>
      </c>
      <c r="AJ28" s="6">
        <v>1695.0</v>
      </c>
      <c r="AK28" s="6">
        <v>617.0</v>
      </c>
      <c r="AL28" s="6">
        <v>10411.0</v>
      </c>
      <c r="AM28" s="6">
        <v>1988.0</v>
      </c>
      <c r="AN28" s="6">
        <v>1649.0</v>
      </c>
      <c r="AO28" s="6">
        <v>1517.0</v>
      </c>
      <c r="AP28" s="6">
        <v>1442.0</v>
      </c>
      <c r="AQ28" s="6">
        <v>2232.0</v>
      </c>
      <c r="AR28" s="6">
        <v>25976.0</v>
      </c>
      <c r="AS28" s="6">
        <v>142.0</v>
      </c>
      <c r="AT28" s="6">
        <v>3991.0</v>
      </c>
      <c r="AU28" s="6">
        <v>804.0</v>
      </c>
      <c r="AV28" s="6">
        <v>2658.0</v>
      </c>
      <c r="AW28" s="6">
        <v>2501.0</v>
      </c>
      <c r="AX28" s="6">
        <v>2427.0</v>
      </c>
      <c r="AY28" s="6">
        <v>4317.0</v>
      </c>
      <c r="AZ28" s="6">
        <v>2538.0</v>
      </c>
      <c r="BA28" s="6">
        <v>6598.0</v>
      </c>
      <c r="BB28" s="6">
        <v>95687.0</v>
      </c>
      <c r="BC28" s="6">
        <v>5014.0</v>
      </c>
      <c r="BD28" s="6">
        <v>11748.0</v>
      </c>
      <c r="BE28" s="6">
        <v>702.0</v>
      </c>
      <c r="BF28" s="6">
        <v>12213.0</v>
      </c>
      <c r="BG28" s="6">
        <v>9214.0</v>
      </c>
      <c r="BH28" s="6">
        <v>11469.0</v>
      </c>
      <c r="BI28" s="6">
        <v>11303.0</v>
      </c>
      <c r="BJ28" s="6">
        <v>30452.0</v>
      </c>
      <c r="BK28" s="6">
        <v>3572.0</v>
      </c>
      <c r="BL28" s="6">
        <v>29104.0</v>
      </c>
      <c r="BM28" s="6">
        <v>1341.0</v>
      </c>
      <c r="BN28" s="6">
        <v>2904.0</v>
      </c>
      <c r="BO28" s="6">
        <v>926.0</v>
      </c>
      <c r="BP28" s="6">
        <v>5893.0</v>
      </c>
      <c r="BQ28" s="6">
        <v>1480.0</v>
      </c>
      <c r="BR28" s="6">
        <v>5251.0</v>
      </c>
      <c r="BS28" s="6">
        <v>1413.0</v>
      </c>
      <c r="BT28" s="6">
        <v>9896.0</v>
      </c>
      <c r="BU28" s="6">
        <v>11088.0</v>
      </c>
      <c r="BV28" s="6">
        <v>45.0</v>
      </c>
      <c r="BW28" s="6">
        <v>44.0</v>
      </c>
      <c r="BX28" s="6">
        <v>4.0</v>
      </c>
      <c r="BY28" s="6">
        <v>5841.0</v>
      </c>
      <c r="BZ28" s="6">
        <v>5154.0</v>
      </c>
      <c r="CA28" s="6">
        <v>241848.0</v>
      </c>
    </row>
    <row r="29" ht="14.25" customHeight="1">
      <c r="A29" s="6" t="s">
        <v>185</v>
      </c>
      <c r="B29" s="6">
        <v>10637.0</v>
      </c>
      <c r="C29" s="6">
        <v>97.0</v>
      </c>
      <c r="D29" s="6">
        <v>627.0</v>
      </c>
      <c r="E29" s="6">
        <v>744.0</v>
      </c>
      <c r="F29" s="6">
        <v>1604.0</v>
      </c>
      <c r="G29" s="6">
        <v>1020.0</v>
      </c>
      <c r="H29" s="6">
        <v>1940.0</v>
      </c>
      <c r="I29" s="6">
        <v>379.0</v>
      </c>
      <c r="J29" s="6">
        <v>1430.0</v>
      </c>
      <c r="K29" s="6">
        <v>737.0</v>
      </c>
      <c r="L29" s="6">
        <v>2059.0</v>
      </c>
      <c r="M29" s="6">
        <v>2425.0</v>
      </c>
      <c r="N29" s="6">
        <v>1922.0</v>
      </c>
      <c r="O29" s="6">
        <v>503.0</v>
      </c>
      <c r="P29" s="6">
        <v>2344.0</v>
      </c>
      <c r="Q29" s="6">
        <v>1.0</v>
      </c>
      <c r="R29" s="6">
        <v>68.0</v>
      </c>
      <c r="S29" s="6">
        <v>105.0</v>
      </c>
      <c r="T29" s="6">
        <v>649.0</v>
      </c>
      <c r="U29" s="6">
        <v>179.0</v>
      </c>
      <c r="V29" s="6">
        <v>97.0</v>
      </c>
      <c r="W29" s="6">
        <v>278.0</v>
      </c>
      <c r="X29" s="6">
        <v>538.0</v>
      </c>
      <c r="Y29" s="6">
        <v>429.0</v>
      </c>
      <c r="Z29" s="6">
        <v>42163.0</v>
      </c>
      <c r="AA29" s="6">
        <v>37.0</v>
      </c>
      <c r="AB29" s="6">
        <v>39314.0</v>
      </c>
      <c r="AC29" s="6">
        <v>2812.0</v>
      </c>
      <c r="AD29" s="6">
        <v>532.0</v>
      </c>
      <c r="AE29" s="6">
        <v>56.0</v>
      </c>
      <c r="AF29" s="6">
        <v>423.0</v>
      </c>
      <c r="AG29" s="6">
        <v>53.0</v>
      </c>
      <c r="AH29" s="6">
        <v>24000.0</v>
      </c>
      <c r="AI29" s="6">
        <v>2260.0</v>
      </c>
      <c r="AJ29" s="6">
        <v>1369.0</v>
      </c>
      <c r="AK29" s="6">
        <v>643.0</v>
      </c>
      <c r="AL29" s="6">
        <v>10221.0</v>
      </c>
      <c r="AM29" s="6">
        <v>2219.0</v>
      </c>
      <c r="AN29" s="6">
        <v>1526.0</v>
      </c>
      <c r="AO29" s="6">
        <v>1718.0</v>
      </c>
      <c r="AP29" s="6">
        <v>1582.0</v>
      </c>
      <c r="AQ29" s="6">
        <v>2462.0</v>
      </c>
      <c r="AR29" s="6">
        <v>26618.0</v>
      </c>
      <c r="AS29" s="6">
        <v>145.0</v>
      </c>
      <c r="AT29" s="6">
        <v>3616.0</v>
      </c>
      <c r="AU29" s="6">
        <v>864.0</v>
      </c>
      <c r="AV29" s="6">
        <v>2689.0</v>
      </c>
      <c r="AW29" s="6">
        <v>2716.0</v>
      </c>
      <c r="AX29" s="6">
        <v>2674.0</v>
      </c>
      <c r="AY29" s="6">
        <v>3591.0</v>
      </c>
      <c r="AZ29" s="6">
        <v>2628.0</v>
      </c>
      <c r="BA29" s="6">
        <v>7695.0</v>
      </c>
      <c r="BB29" s="6">
        <v>91666.0</v>
      </c>
      <c r="BC29" s="6">
        <v>4669.0</v>
      </c>
      <c r="BD29" s="6">
        <v>7641.0</v>
      </c>
      <c r="BE29" s="6">
        <v>555.0</v>
      </c>
      <c r="BF29" s="6">
        <v>14510.0</v>
      </c>
      <c r="BG29" s="6">
        <v>9358.0</v>
      </c>
      <c r="BH29" s="6">
        <v>11560.0</v>
      </c>
      <c r="BI29" s="6">
        <v>11343.0</v>
      </c>
      <c r="BJ29" s="6">
        <v>29669.0</v>
      </c>
      <c r="BK29" s="6">
        <v>2361.0</v>
      </c>
      <c r="BL29" s="6">
        <v>31222.0</v>
      </c>
      <c r="BM29" s="6">
        <v>1401.0</v>
      </c>
      <c r="BN29" s="6">
        <v>3177.0</v>
      </c>
      <c r="BO29" s="6">
        <v>1062.0</v>
      </c>
      <c r="BP29" s="6">
        <v>6509.0</v>
      </c>
      <c r="BQ29" s="6">
        <v>1611.0</v>
      </c>
      <c r="BR29" s="6">
        <v>5245.0</v>
      </c>
      <c r="BS29" s="6">
        <v>1522.0</v>
      </c>
      <c r="BT29" s="6">
        <v>10695.0</v>
      </c>
      <c r="BU29" s="6">
        <v>9412.0</v>
      </c>
      <c r="BV29" s="6">
        <v>18.0</v>
      </c>
      <c r="BW29" s="6">
        <v>47.0</v>
      </c>
      <c r="BX29" s="6">
        <v>8.0</v>
      </c>
      <c r="BY29" s="6">
        <v>4796.0</v>
      </c>
      <c r="BZ29" s="6">
        <v>4543.0</v>
      </c>
      <c r="CA29" s="6">
        <v>241019.0</v>
      </c>
    </row>
    <row r="30" ht="14.25" customHeight="1">
      <c r="A30" s="6" t="s">
        <v>186</v>
      </c>
      <c r="B30" s="6">
        <v>12136.0</v>
      </c>
      <c r="C30" s="6">
        <v>108.0</v>
      </c>
      <c r="D30" s="6">
        <v>727.0</v>
      </c>
      <c r="E30" s="6">
        <v>896.0</v>
      </c>
      <c r="F30" s="6">
        <v>1805.0</v>
      </c>
      <c r="G30" s="6">
        <v>1131.0</v>
      </c>
      <c r="H30" s="6">
        <v>2260.0</v>
      </c>
      <c r="I30" s="6">
        <v>449.0</v>
      </c>
      <c r="J30" s="6">
        <v>1690.0</v>
      </c>
      <c r="K30" s="6">
        <v>805.0</v>
      </c>
      <c r="L30" s="6">
        <v>2265.0</v>
      </c>
      <c r="M30" s="6">
        <v>2735.0</v>
      </c>
      <c r="N30" s="6">
        <v>2027.0</v>
      </c>
      <c r="O30" s="6">
        <v>708.0</v>
      </c>
      <c r="P30" s="6">
        <v>2915.0</v>
      </c>
      <c r="Q30" s="6">
        <v>2.0</v>
      </c>
      <c r="R30" s="6">
        <v>94.0</v>
      </c>
      <c r="S30" s="6">
        <v>112.0</v>
      </c>
      <c r="T30" s="6">
        <v>800.0</v>
      </c>
      <c r="U30" s="6">
        <v>215.0</v>
      </c>
      <c r="V30" s="6">
        <v>102.0</v>
      </c>
      <c r="W30" s="6">
        <v>335.0</v>
      </c>
      <c r="X30" s="6">
        <v>758.0</v>
      </c>
      <c r="Y30" s="6">
        <v>497.0</v>
      </c>
      <c r="Z30" s="6">
        <v>39805.0</v>
      </c>
      <c r="AA30" s="6">
        <v>56.0</v>
      </c>
      <c r="AB30" s="6">
        <v>39423.0</v>
      </c>
      <c r="AC30" s="6">
        <v>326.0</v>
      </c>
      <c r="AD30" s="6">
        <v>609.0</v>
      </c>
      <c r="AE30" s="6">
        <v>59.0</v>
      </c>
      <c r="AF30" s="6">
        <v>503.0</v>
      </c>
      <c r="AG30" s="6">
        <v>47.0</v>
      </c>
      <c r="AH30" s="6">
        <v>25160.0</v>
      </c>
      <c r="AI30" s="6">
        <v>2372.0</v>
      </c>
      <c r="AJ30" s="6">
        <v>1475.0</v>
      </c>
      <c r="AK30" s="6">
        <v>699.0</v>
      </c>
      <c r="AL30" s="6">
        <v>9923.0</v>
      </c>
      <c r="AM30" s="6">
        <v>2434.0</v>
      </c>
      <c r="AN30" s="6">
        <v>1763.0</v>
      </c>
      <c r="AO30" s="6">
        <v>1908.0</v>
      </c>
      <c r="AP30" s="6">
        <v>1729.0</v>
      </c>
      <c r="AQ30" s="6">
        <v>2857.0</v>
      </c>
      <c r="AR30" s="6">
        <v>28810.0</v>
      </c>
      <c r="AS30" s="6">
        <v>176.0</v>
      </c>
      <c r="AT30" s="6">
        <v>3425.0</v>
      </c>
      <c r="AU30" s="6">
        <v>1050.0</v>
      </c>
      <c r="AV30" s="6">
        <v>2892.0</v>
      </c>
      <c r="AW30" s="6">
        <v>3016.0</v>
      </c>
      <c r="AX30" s="6">
        <v>3200.0</v>
      </c>
      <c r="AY30" s="6">
        <v>4439.0</v>
      </c>
      <c r="AZ30" s="6">
        <v>3032.0</v>
      </c>
      <c r="BA30" s="6">
        <v>7580.0</v>
      </c>
      <c r="BB30" s="6">
        <v>94962.0</v>
      </c>
      <c r="BC30" s="6">
        <v>4889.0</v>
      </c>
      <c r="BD30" s="6">
        <v>7087.0</v>
      </c>
      <c r="BE30" s="6">
        <v>546.0</v>
      </c>
      <c r="BF30" s="6">
        <v>16643.0</v>
      </c>
      <c r="BG30" s="6">
        <v>9877.0</v>
      </c>
      <c r="BH30" s="6">
        <v>12366.0</v>
      </c>
      <c r="BI30" s="6">
        <v>12018.0</v>
      </c>
      <c r="BJ30" s="6">
        <v>28533.0</v>
      </c>
      <c r="BK30" s="6">
        <v>3003.0</v>
      </c>
      <c r="BL30" s="6">
        <v>34802.0</v>
      </c>
      <c r="BM30" s="6">
        <v>1425.0</v>
      </c>
      <c r="BN30" s="6">
        <v>3625.0</v>
      </c>
      <c r="BO30" s="6">
        <v>1177.0</v>
      </c>
      <c r="BP30" s="6">
        <v>7251.0</v>
      </c>
      <c r="BQ30" s="6">
        <v>1781.0</v>
      </c>
      <c r="BR30" s="6">
        <v>5968.0</v>
      </c>
      <c r="BS30" s="6">
        <v>1716.0</v>
      </c>
      <c r="BT30" s="6">
        <v>11859.0</v>
      </c>
      <c r="BU30" s="6">
        <v>10841.0</v>
      </c>
      <c r="BV30" s="6">
        <v>8.0</v>
      </c>
      <c r="BW30" s="6">
        <v>44.0</v>
      </c>
      <c r="BX30" s="6">
        <v>1.0</v>
      </c>
      <c r="BY30" s="6">
        <v>4004.0</v>
      </c>
      <c r="BZ30" s="6">
        <v>6784.0</v>
      </c>
      <c r="CA30" s="6">
        <v>252775.0</v>
      </c>
    </row>
    <row r="31" ht="14.25" customHeight="1">
      <c r="A31" s="6" t="s">
        <v>187</v>
      </c>
      <c r="B31" s="6">
        <v>13519.0</v>
      </c>
      <c r="C31" s="6">
        <v>99.0</v>
      </c>
      <c r="D31" s="6">
        <v>810.0</v>
      </c>
      <c r="E31" s="6">
        <v>955.0</v>
      </c>
      <c r="F31" s="6">
        <v>1772.0</v>
      </c>
      <c r="G31" s="6">
        <v>1271.0</v>
      </c>
      <c r="H31" s="6">
        <v>2535.0</v>
      </c>
      <c r="I31" s="6">
        <v>513.0</v>
      </c>
      <c r="J31" s="6">
        <v>2051.0</v>
      </c>
      <c r="K31" s="6">
        <v>857.0</v>
      </c>
      <c r="L31" s="6">
        <v>2656.0</v>
      </c>
      <c r="M31" s="6">
        <v>3208.0</v>
      </c>
      <c r="N31" s="6">
        <v>2244.0</v>
      </c>
      <c r="O31" s="6">
        <v>964.0</v>
      </c>
      <c r="P31" s="6">
        <v>3215.0</v>
      </c>
      <c r="Q31" s="6">
        <v>5.0</v>
      </c>
      <c r="R31" s="6">
        <v>105.0</v>
      </c>
      <c r="S31" s="6">
        <v>106.0</v>
      </c>
      <c r="T31" s="6">
        <v>881.0</v>
      </c>
      <c r="U31" s="6">
        <v>232.0</v>
      </c>
      <c r="V31" s="6">
        <v>106.0</v>
      </c>
      <c r="W31" s="6">
        <v>361.0</v>
      </c>
      <c r="X31" s="6">
        <v>837.0</v>
      </c>
      <c r="Y31" s="6">
        <v>582.0</v>
      </c>
      <c r="Z31" s="6">
        <v>28850.0</v>
      </c>
      <c r="AA31" s="6">
        <v>68.0</v>
      </c>
      <c r="AB31" s="6">
        <v>28513.0</v>
      </c>
      <c r="AC31" s="6">
        <v>269.0</v>
      </c>
      <c r="AD31" s="6">
        <v>655.0</v>
      </c>
      <c r="AE31" s="6">
        <v>81.0</v>
      </c>
      <c r="AF31" s="6">
        <v>528.0</v>
      </c>
      <c r="AG31" s="6">
        <v>46.0</v>
      </c>
      <c r="AH31" s="6">
        <v>27188.0</v>
      </c>
      <c r="AI31" s="6">
        <v>2672.0</v>
      </c>
      <c r="AJ31" s="6">
        <v>1662.0</v>
      </c>
      <c r="AK31" s="6">
        <v>895.0</v>
      </c>
      <c r="AL31" s="6">
        <v>10335.0</v>
      </c>
      <c r="AM31" s="6">
        <v>2916.0</v>
      </c>
      <c r="AN31" s="6">
        <v>1865.0</v>
      </c>
      <c r="AO31" s="6">
        <v>1964.0</v>
      </c>
      <c r="AP31" s="6">
        <v>1977.0</v>
      </c>
      <c r="AQ31" s="6">
        <v>2902.0</v>
      </c>
      <c r="AR31" s="6">
        <v>32526.0</v>
      </c>
      <c r="AS31" s="6">
        <v>214.0</v>
      </c>
      <c r="AT31" s="6">
        <v>3483.0</v>
      </c>
      <c r="AU31" s="6">
        <v>1250.0</v>
      </c>
      <c r="AV31" s="6">
        <v>3114.0</v>
      </c>
      <c r="AW31" s="6">
        <v>3602.0</v>
      </c>
      <c r="AX31" s="6">
        <v>3670.0</v>
      </c>
      <c r="AY31" s="6">
        <v>5041.0</v>
      </c>
      <c r="AZ31" s="6">
        <v>3025.0</v>
      </c>
      <c r="BA31" s="6">
        <v>9127.0</v>
      </c>
      <c r="BB31" s="6">
        <v>106111.0</v>
      </c>
      <c r="BC31" s="6">
        <v>4517.0</v>
      </c>
      <c r="BD31" s="6">
        <v>9391.0</v>
      </c>
      <c r="BE31" s="6">
        <v>563.0</v>
      </c>
      <c r="BF31" s="6">
        <v>17025.0</v>
      </c>
      <c r="BG31" s="6">
        <v>11278.0</v>
      </c>
      <c r="BH31" s="6">
        <v>14511.0</v>
      </c>
      <c r="BI31" s="6">
        <v>13478.0</v>
      </c>
      <c r="BJ31" s="6">
        <v>32660.0</v>
      </c>
      <c r="BK31" s="6">
        <v>2688.0</v>
      </c>
      <c r="BL31" s="6">
        <v>40377.0</v>
      </c>
      <c r="BM31" s="6">
        <v>1685.0</v>
      </c>
      <c r="BN31" s="6">
        <v>4337.0</v>
      </c>
      <c r="BO31" s="6">
        <v>1405.0</v>
      </c>
      <c r="BP31" s="6">
        <v>8808.0</v>
      </c>
      <c r="BQ31" s="6">
        <v>2219.0</v>
      </c>
      <c r="BR31" s="6">
        <v>6594.0</v>
      </c>
      <c r="BS31" s="6">
        <v>2081.0</v>
      </c>
      <c r="BT31" s="6">
        <v>13248.0</v>
      </c>
      <c r="BU31" s="6">
        <v>11422.0</v>
      </c>
      <c r="BV31" s="6">
        <v>5.0</v>
      </c>
      <c r="BW31" s="6">
        <v>47.0</v>
      </c>
      <c r="BX31" s="6">
        <v>5.0</v>
      </c>
      <c r="BY31" s="6">
        <v>4456.0</v>
      </c>
      <c r="BZ31" s="6">
        <v>6909.0</v>
      </c>
      <c r="CA31" s="6">
        <v>267071.0</v>
      </c>
    </row>
    <row r="32" ht="14.25" customHeight="1">
      <c r="A32" s="6" t="s">
        <v>188</v>
      </c>
      <c r="B32" s="6">
        <v>13979.0</v>
      </c>
      <c r="C32" s="6">
        <v>121.0</v>
      </c>
      <c r="D32" s="6">
        <v>780.0</v>
      </c>
      <c r="E32" s="6">
        <v>1075.0</v>
      </c>
      <c r="F32" s="6">
        <v>1852.0</v>
      </c>
      <c r="G32" s="6">
        <v>1265.0</v>
      </c>
      <c r="H32" s="6">
        <v>2601.0</v>
      </c>
      <c r="I32" s="6">
        <v>483.0</v>
      </c>
      <c r="J32" s="6">
        <v>1975.0</v>
      </c>
      <c r="K32" s="6">
        <v>919.0</v>
      </c>
      <c r="L32" s="6">
        <v>2908.0</v>
      </c>
      <c r="M32" s="6">
        <v>3268.0</v>
      </c>
      <c r="N32" s="6">
        <v>2241.0</v>
      </c>
      <c r="O32" s="6">
        <v>1027.0</v>
      </c>
      <c r="P32" s="6">
        <v>3201.0</v>
      </c>
      <c r="Q32" s="6">
        <v>5.0</v>
      </c>
      <c r="R32" s="6">
        <v>88.0</v>
      </c>
      <c r="S32" s="6">
        <v>102.0</v>
      </c>
      <c r="T32" s="6">
        <v>816.0</v>
      </c>
      <c r="U32" s="6">
        <v>212.0</v>
      </c>
      <c r="V32" s="6">
        <v>99.0</v>
      </c>
      <c r="W32" s="6">
        <v>311.0</v>
      </c>
      <c r="X32" s="6">
        <v>1017.0</v>
      </c>
      <c r="Y32" s="6">
        <v>551.0</v>
      </c>
      <c r="Z32" s="6">
        <v>23604.0</v>
      </c>
      <c r="AA32" s="6">
        <v>51.0</v>
      </c>
      <c r="AB32" s="6">
        <v>23315.0</v>
      </c>
      <c r="AC32" s="6">
        <v>238.0</v>
      </c>
      <c r="AD32" s="6">
        <v>701.0</v>
      </c>
      <c r="AE32" s="6">
        <v>61.0</v>
      </c>
      <c r="AF32" s="6">
        <v>596.0</v>
      </c>
      <c r="AG32" s="6">
        <v>44.0</v>
      </c>
      <c r="AH32" s="6">
        <v>27703.0</v>
      </c>
      <c r="AI32" s="6">
        <v>2410.0</v>
      </c>
      <c r="AJ32" s="6">
        <v>1567.0</v>
      </c>
      <c r="AK32" s="6">
        <v>997.0</v>
      </c>
      <c r="AL32" s="6">
        <v>11226.0</v>
      </c>
      <c r="AM32" s="6">
        <v>2938.0</v>
      </c>
      <c r="AN32" s="6">
        <v>1682.0</v>
      </c>
      <c r="AO32" s="6">
        <v>1958.0</v>
      </c>
      <c r="AP32" s="6">
        <v>1947.0</v>
      </c>
      <c r="AQ32" s="6">
        <v>2978.0</v>
      </c>
      <c r="AR32" s="6">
        <v>28224.0</v>
      </c>
      <c r="AS32" s="6">
        <v>164.0</v>
      </c>
      <c r="AT32" s="6">
        <v>3399.0</v>
      </c>
      <c r="AU32" s="6">
        <v>1305.0</v>
      </c>
      <c r="AV32" s="6">
        <v>2999.0</v>
      </c>
      <c r="AW32" s="6">
        <v>3577.0</v>
      </c>
      <c r="AX32" s="6">
        <v>3847.0</v>
      </c>
      <c r="AY32" s="6">
        <v>2532.0</v>
      </c>
      <c r="AZ32" s="6">
        <v>2691.0</v>
      </c>
      <c r="BA32" s="6">
        <v>7710.0</v>
      </c>
      <c r="BB32" s="6">
        <v>103334.0</v>
      </c>
      <c r="BC32" s="6">
        <v>4429.0</v>
      </c>
      <c r="BD32" s="6">
        <v>7665.0</v>
      </c>
      <c r="BE32" s="6">
        <v>595.0</v>
      </c>
      <c r="BF32" s="6">
        <v>14478.0</v>
      </c>
      <c r="BG32" s="6">
        <v>9773.0</v>
      </c>
      <c r="BH32" s="6">
        <v>14598.0</v>
      </c>
      <c r="BI32" s="6">
        <v>13089.0</v>
      </c>
      <c r="BJ32" s="6">
        <v>34412.0</v>
      </c>
      <c r="BK32" s="6">
        <v>4295.0</v>
      </c>
      <c r="BL32" s="6">
        <v>40368.0</v>
      </c>
      <c r="BM32" s="6">
        <v>1661.0</v>
      </c>
      <c r="BN32" s="6">
        <v>4276.0</v>
      </c>
      <c r="BO32" s="6">
        <v>1462.0</v>
      </c>
      <c r="BP32" s="6">
        <v>8611.0</v>
      </c>
      <c r="BQ32" s="6">
        <v>2202.0</v>
      </c>
      <c r="BR32" s="6">
        <v>6756.0</v>
      </c>
      <c r="BS32" s="6">
        <v>1853.0</v>
      </c>
      <c r="BT32" s="6">
        <v>13547.0</v>
      </c>
      <c r="BU32" s="6">
        <v>9960.0</v>
      </c>
      <c r="BV32" s="6">
        <v>4.0</v>
      </c>
      <c r="BW32" s="6">
        <v>41.0</v>
      </c>
      <c r="BX32" s="6">
        <v>7.0</v>
      </c>
      <c r="BY32" s="6">
        <v>7468.0</v>
      </c>
      <c r="BZ32" s="6">
        <v>2440.0</v>
      </c>
      <c r="CA32" s="6">
        <v>254342.0</v>
      </c>
    </row>
    <row r="33" ht="14.25" customHeight="1">
      <c r="A33" s="6" t="s">
        <v>189</v>
      </c>
      <c r="B33" s="6">
        <v>14301.0</v>
      </c>
      <c r="C33" s="6">
        <v>155.0</v>
      </c>
      <c r="D33" s="6">
        <v>833.0</v>
      </c>
      <c r="E33" s="6">
        <v>1321.0</v>
      </c>
      <c r="F33" s="6">
        <v>1950.0</v>
      </c>
      <c r="G33" s="6">
        <v>1309.0</v>
      </c>
      <c r="H33" s="6">
        <v>2684.0</v>
      </c>
      <c r="I33" s="6">
        <v>460.0</v>
      </c>
      <c r="J33" s="6">
        <v>2057.0</v>
      </c>
      <c r="K33" s="6">
        <v>939.0</v>
      </c>
      <c r="L33" s="6">
        <v>2593.0</v>
      </c>
      <c r="M33" s="6">
        <v>3286.0</v>
      </c>
      <c r="N33" s="6">
        <v>2280.0</v>
      </c>
      <c r="O33" s="6">
        <v>1006.0</v>
      </c>
      <c r="P33" s="6">
        <v>3542.0</v>
      </c>
      <c r="Q33" s="6">
        <v>3.0</v>
      </c>
      <c r="R33" s="6">
        <v>111.0</v>
      </c>
      <c r="S33" s="6">
        <v>165.0</v>
      </c>
      <c r="T33" s="6">
        <v>836.0</v>
      </c>
      <c r="U33" s="6">
        <v>232.0</v>
      </c>
      <c r="V33" s="6">
        <v>91.0</v>
      </c>
      <c r="W33" s="6">
        <v>286.0</v>
      </c>
      <c r="X33" s="6">
        <v>1221.0</v>
      </c>
      <c r="Y33" s="6">
        <v>597.0</v>
      </c>
      <c r="Z33" s="6">
        <v>29807.0</v>
      </c>
      <c r="AA33" s="6">
        <v>139.0</v>
      </c>
      <c r="AB33" s="6">
        <v>29365.0</v>
      </c>
      <c r="AC33" s="6">
        <v>303.0</v>
      </c>
      <c r="AD33" s="6">
        <v>700.0</v>
      </c>
      <c r="AE33" s="6">
        <v>56.0</v>
      </c>
      <c r="AF33" s="6">
        <v>591.0</v>
      </c>
      <c r="AG33" s="6">
        <v>53.0</v>
      </c>
      <c r="AH33" s="6">
        <v>28056.0</v>
      </c>
      <c r="AI33" s="6">
        <v>2363.0</v>
      </c>
      <c r="AJ33" s="6">
        <v>1578.0</v>
      </c>
      <c r="AK33" s="6">
        <v>1019.0</v>
      </c>
      <c r="AL33" s="6">
        <v>11138.0</v>
      </c>
      <c r="AM33" s="6">
        <v>3084.0</v>
      </c>
      <c r="AN33" s="6">
        <v>1640.0</v>
      </c>
      <c r="AO33" s="6">
        <v>2109.0</v>
      </c>
      <c r="AP33" s="6">
        <v>1994.0</v>
      </c>
      <c r="AQ33" s="6">
        <v>3131.0</v>
      </c>
      <c r="AR33" s="6">
        <v>28704.0</v>
      </c>
      <c r="AS33" s="6">
        <v>160.0</v>
      </c>
      <c r="AT33" s="6">
        <v>3580.0</v>
      </c>
      <c r="AU33" s="6">
        <v>1408.0</v>
      </c>
      <c r="AV33" s="6">
        <v>2935.0</v>
      </c>
      <c r="AW33" s="6">
        <v>3604.0</v>
      </c>
      <c r="AX33" s="6">
        <v>3794.0</v>
      </c>
      <c r="AY33" s="6">
        <v>3059.0</v>
      </c>
      <c r="AZ33" s="6">
        <v>2479.0</v>
      </c>
      <c r="BA33" s="6">
        <v>7685.0</v>
      </c>
      <c r="BB33" s="6">
        <v>117936.0</v>
      </c>
      <c r="BC33" s="6">
        <v>4763.0</v>
      </c>
      <c r="BD33" s="6">
        <v>8870.0</v>
      </c>
      <c r="BE33" s="6">
        <v>639.0</v>
      </c>
      <c r="BF33" s="6">
        <v>13380.0</v>
      </c>
      <c r="BG33" s="6">
        <v>10489.0</v>
      </c>
      <c r="BH33" s="6">
        <v>15584.0</v>
      </c>
      <c r="BI33" s="6">
        <v>14637.0</v>
      </c>
      <c r="BJ33" s="6">
        <v>37308.0</v>
      </c>
      <c r="BK33" s="6">
        <v>12266.0</v>
      </c>
      <c r="BL33" s="6">
        <v>40567.0</v>
      </c>
      <c r="BM33" s="6">
        <v>1629.0</v>
      </c>
      <c r="BN33" s="6">
        <v>4256.0</v>
      </c>
      <c r="BO33" s="6">
        <v>1537.0</v>
      </c>
      <c r="BP33" s="6">
        <v>8736.0</v>
      </c>
      <c r="BQ33" s="6">
        <v>2177.0</v>
      </c>
      <c r="BR33" s="6">
        <v>6544.0</v>
      </c>
      <c r="BS33" s="6">
        <v>1821.0</v>
      </c>
      <c r="BT33" s="6">
        <v>13867.0</v>
      </c>
      <c r="BU33" s="6">
        <v>21396.0</v>
      </c>
      <c r="BV33" s="6">
        <v>12.0</v>
      </c>
      <c r="BW33" s="6">
        <v>21.0</v>
      </c>
      <c r="BX33" s="6">
        <v>3.0</v>
      </c>
      <c r="BY33" s="6">
        <v>6220.0</v>
      </c>
      <c r="BZ33" s="6">
        <v>15140.0</v>
      </c>
      <c r="CA33" s="6">
        <v>288295.0</v>
      </c>
    </row>
    <row r="34" ht="14.25" customHeight="1">
      <c r="A34" s="6" t="s">
        <v>190</v>
      </c>
      <c r="B34" s="6">
        <v>15133.0</v>
      </c>
      <c r="C34" s="6">
        <v>168.0</v>
      </c>
      <c r="D34" s="6">
        <v>822.0</v>
      </c>
      <c r="E34" s="6">
        <v>1420.0</v>
      </c>
      <c r="F34" s="6">
        <v>2013.0</v>
      </c>
      <c r="G34" s="6">
        <v>1479.0</v>
      </c>
      <c r="H34" s="6">
        <v>2647.0</v>
      </c>
      <c r="I34" s="6">
        <v>483.0</v>
      </c>
      <c r="J34" s="6">
        <v>2031.0</v>
      </c>
      <c r="K34" s="6">
        <v>1100.0</v>
      </c>
      <c r="L34" s="6">
        <v>2970.0</v>
      </c>
      <c r="M34" s="6">
        <v>3543.0</v>
      </c>
      <c r="N34" s="6">
        <v>2480.0</v>
      </c>
      <c r="O34" s="6">
        <v>1063.0</v>
      </c>
      <c r="P34" s="6">
        <v>3985.0</v>
      </c>
      <c r="Q34" s="6">
        <v>2.0</v>
      </c>
      <c r="R34" s="6">
        <v>115.0</v>
      </c>
      <c r="S34" s="6">
        <v>160.0</v>
      </c>
      <c r="T34" s="6">
        <v>1041.0</v>
      </c>
      <c r="U34" s="6">
        <v>284.0</v>
      </c>
      <c r="V34" s="6">
        <v>99.0</v>
      </c>
      <c r="W34" s="6">
        <v>316.0</v>
      </c>
      <c r="X34" s="6">
        <v>1306.0</v>
      </c>
      <c r="Y34" s="6">
        <v>662.0</v>
      </c>
      <c r="Z34" s="6">
        <v>40515.0</v>
      </c>
      <c r="AA34" s="6">
        <v>178.0</v>
      </c>
      <c r="AB34" s="6">
        <v>39947.0</v>
      </c>
      <c r="AC34" s="6">
        <v>390.0</v>
      </c>
      <c r="AD34" s="6">
        <v>751.0</v>
      </c>
      <c r="AE34" s="6">
        <v>70.0</v>
      </c>
      <c r="AF34" s="6">
        <v>627.0</v>
      </c>
      <c r="AG34" s="6">
        <v>54.0</v>
      </c>
      <c r="AH34" s="6">
        <v>29834.0</v>
      </c>
      <c r="AI34" s="6">
        <v>2507.0</v>
      </c>
      <c r="AJ34" s="6">
        <v>1107.0</v>
      </c>
      <c r="AK34" s="6">
        <v>1111.0</v>
      </c>
      <c r="AL34" s="6">
        <v>11782.0</v>
      </c>
      <c r="AM34" s="6">
        <v>3595.0</v>
      </c>
      <c r="AN34" s="6">
        <v>1915.0</v>
      </c>
      <c r="AO34" s="6">
        <v>2460.0</v>
      </c>
      <c r="AP34" s="6">
        <v>2196.0</v>
      </c>
      <c r="AQ34" s="6">
        <v>3161.0</v>
      </c>
      <c r="AR34" s="6">
        <v>32448.0</v>
      </c>
      <c r="AS34" s="6">
        <v>154.0</v>
      </c>
      <c r="AT34" s="6">
        <v>3966.0</v>
      </c>
      <c r="AU34" s="6">
        <v>1596.0</v>
      </c>
      <c r="AV34" s="6">
        <v>3163.0</v>
      </c>
      <c r="AW34" s="6">
        <v>3816.0</v>
      </c>
      <c r="AX34" s="6">
        <v>4038.0</v>
      </c>
      <c r="AY34" s="6">
        <v>3901.0</v>
      </c>
      <c r="AZ34" s="6">
        <v>2775.0</v>
      </c>
      <c r="BA34" s="6">
        <v>9039.0</v>
      </c>
      <c r="BB34" s="6">
        <v>121404.0</v>
      </c>
      <c r="BC34" s="6">
        <v>5936.0</v>
      </c>
      <c r="BD34" s="6">
        <v>10484.0</v>
      </c>
      <c r="BE34" s="6">
        <v>751.0</v>
      </c>
      <c r="BF34" s="6">
        <v>14952.0</v>
      </c>
      <c r="BG34" s="6">
        <v>11907.0</v>
      </c>
      <c r="BH34" s="6">
        <v>17166.0</v>
      </c>
      <c r="BI34" s="6">
        <v>16823.0</v>
      </c>
      <c r="BJ34" s="6">
        <v>39091.0</v>
      </c>
      <c r="BK34" s="6">
        <v>4294.0</v>
      </c>
      <c r="BL34" s="6">
        <v>44298.0</v>
      </c>
      <c r="BM34" s="6">
        <v>1789.0</v>
      </c>
      <c r="BN34" s="6">
        <v>4874.0</v>
      </c>
      <c r="BO34" s="6">
        <v>1843.0</v>
      </c>
      <c r="BP34" s="6">
        <v>9479.0</v>
      </c>
      <c r="BQ34" s="6">
        <v>2324.0</v>
      </c>
      <c r="BR34" s="6">
        <v>7364.0</v>
      </c>
      <c r="BS34" s="6">
        <v>1934.0</v>
      </c>
      <c r="BT34" s="6">
        <v>14691.0</v>
      </c>
      <c r="BU34" s="6">
        <v>12138.0</v>
      </c>
      <c r="BV34" s="6">
        <v>5.0</v>
      </c>
      <c r="BW34" s="6">
        <v>30.0</v>
      </c>
      <c r="BX34" s="6">
        <v>7.0</v>
      </c>
      <c r="BY34" s="6">
        <v>6385.0</v>
      </c>
      <c r="BZ34" s="6">
        <v>5711.0</v>
      </c>
      <c r="CA34" s="6">
        <v>304049.0</v>
      </c>
    </row>
    <row r="35" ht="14.25" customHeight="1">
      <c r="A35" s="6" t="s">
        <v>191</v>
      </c>
      <c r="B35" s="6">
        <v>16939.0</v>
      </c>
      <c r="C35" s="6">
        <v>145.0</v>
      </c>
      <c r="D35" s="6">
        <v>1029.0</v>
      </c>
      <c r="E35" s="6">
        <v>1477.0</v>
      </c>
      <c r="F35" s="6">
        <v>2034.0</v>
      </c>
      <c r="G35" s="6">
        <v>1916.0</v>
      </c>
      <c r="H35" s="6">
        <v>2806.0</v>
      </c>
      <c r="I35" s="6">
        <v>485.0</v>
      </c>
      <c r="J35" s="6">
        <v>2131.0</v>
      </c>
      <c r="K35" s="6">
        <v>1238.0</v>
      </c>
      <c r="L35" s="6">
        <v>3678.0</v>
      </c>
      <c r="M35" s="6">
        <v>3801.0</v>
      </c>
      <c r="N35" s="6">
        <v>2688.0</v>
      </c>
      <c r="O35" s="6">
        <v>1113.0</v>
      </c>
      <c r="P35" s="6">
        <v>3135.0</v>
      </c>
      <c r="Q35" s="6">
        <v>7.0</v>
      </c>
      <c r="R35" s="6">
        <v>127.0</v>
      </c>
      <c r="S35" s="6">
        <v>147.0</v>
      </c>
      <c r="T35" s="6">
        <v>801.0</v>
      </c>
      <c r="U35" s="6">
        <v>260.0</v>
      </c>
      <c r="V35" s="6">
        <v>98.0</v>
      </c>
      <c r="W35" s="6">
        <v>286.0</v>
      </c>
      <c r="X35" s="6">
        <v>744.0</v>
      </c>
      <c r="Y35" s="6">
        <v>665.0</v>
      </c>
      <c r="Z35" s="6">
        <v>38796.0</v>
      </c>
      <c r="AA35" s="6">
        <v>203.0</v>
      </c>
      <c r="AB35" s="6">
        <v>38357.0</v>
      </c>
      <c r="AC35" s="6">
        <v>236.0</v>
      </c>
      <c r="AD35" s="6">
        <v>726.0</v>
      </c>
      <c r="AE35" s="6">
        <v>83.0</v>
      </c>
      <c r="AF35" s="6">
        <v>579.0</v>
      </c>
      <c r="AG35" s="6">
        <v>64.0</v>
      </c>
      <c r="AH35" s="6">
        <v>31029.0</v>
      </c>
      <c r="AI35" s="6">
        <v>2260.0</v>
      </c>
      <c r="AJ35" s="6">
        <v>1031.0</v>
      </c>
      <c r="AK35" s="6">
        <v>1084.0</v>
      </c>
      <c r="AL35" s="6">
        <v>13112.0</v>
      </c>
      <c r="AM35" s="6">
        <v>3865.0</v>
      </c>
      <c r="AN35" s="6">
        <v>2150.0</v>
      </c>
      <c r="AO35" s="6">
        <v>2211.0</v>
      </c>
      <c r="AP35" s="6">
        <v>2226.0</v>
      </c>
      <c r="AQ35" s="6">
        <v>3090.0</v>
      </c>
      <c r="AR35" s="6">
        <v>32284.0</v>
      </c>
      <c r="AS35" s="6">
        <v>143.0</v>
      </c>
      <c r="AT35" s="6">
        <v>4242.0</v>
      </c>
      <c r="AU35" s="6">
        <v>1517.0</v>
      </c>
      <c r="AV35" s="6">
        <v>3336.0</v>
      </c>
      <c r="AW35" s="6">
        <v>3834.0</v>
      </c>
      <c r="AX35" s="6">
        <v>4110.0</v>
      </c>
      <c r="AY35" s="6">
        <v>3271.0</v>
      </c>
      <c r="AZ35" s="6">
        <v>2874.0</v>
      </c>
      <c r="BA35" s="6">
        <v>8957.0</v>
      </c>
      <c r="BB35" s="6">
        <v>123290.0</v>
      </c>
      <c r="BC35" s="6">
        <v>6310.0</v>
      </c>
      <c r="BD35" s="6">
        <v>10688.0</v>
      </c>
      <c r="BE35" s="6">
        <v>864.0</v>
      </c>
      <c r="BF35" s="6">
        <v>15646.0</v>
      </c>
      <c r="BG35" s="6">
        <v>11737.0</v>
      </c>
      <c r="BH35" s="6">
        <v>17648.0</v>
      </c>
      <c r="BI35" s="6">
        <v>17451.0</v>
      </c>
      <c r="BJ35" s="6">
        <v>37286.0</v>
      </c>
      <c r="BK35" s="6">
        <v>5660.0</v>
      </c>
      <c r="BL35" s="6">
        <v>46317.0</v>
      </c>
      <c r="BM35" s="6">
        <v>1742.0</v>
      </c>
      <c r="BN35" s="6">
        <v>4983.0</v>
      </c>
      <c r="BO35" s="6">
        <v>1886.0</v>
      </c>
      <c r="BP35" s="6">
        <v>10205.0</v>
      </c>
      <c r="BQ35" s="6">
        <v>2564.0</v>
      </c>
      <c r="BR35" s="6">
        <v>7726.0</v>
      </c>
      <c r="BS35" s="6">
        <v>2078.0</v>
      </c>
      <c r="BT35" s="6">
        <v>15133.0</v>
      </c>
      <c r="BU35" s="6">
        <v>11246.0</v>
      </c>
      <c r="BV35" s="6">
        <v>5.0</v>
      </c>
      <c r="BW35" s="6">
        <v>33.0</v>
      </c>
      <c r="BX35" s="6">
        <v>2.0</v>
      </c>
      <c r="BY35" s="6">
        <v>6772.0</v>
      </c>
      <c r="BZ35" s="6">
        <v>4434.0</v>
      </c>
      <c r="CA35" s="6">
        <v>307563.0</v>
      </c>
    </row>
    <row r="36" ht="14.25" customHeight="1">
      <c r="A36" s="6" t="s">
        <v>192</v>
      </c>
      <c r="B36" s="6">
        <v>17604.0</v>
      </c>
      <c r="C36" s="6">
        <v>157.0</v>
      </c>
      <c r="D36" s="6">
        <v>905.0</v>
      </c>
      <c r="E36" s="6">
        <v>1589.0</v>
      </c>
      <c r="F36" s="6">
        <v>1882.0</v>
      </c>
      <c r="G36" s="6">
        <v>2088.0</v>
      </c>
      <c r="H36" s="6">
        <v>3107.0</v>
      </c>
      <c r="I36" s="6">
        <v>489.0</v>
      </c>
      <c r="J36" s="6">
        <v>2208.0</v>
      </c>
      <c r="K36" s="6">
        <v>1355.0</v>
      </c>
      <c r="L36" s="6">
        <v>3824.0</v>
      </c>
      <c r="M36" s="6">
        <v>3476.0</v>
      </c>
      <c r="N36" s="6">
        <v>2585.0</v>
      </c>
      <c r="O36" s="6">
        <v>891.0</v>
      </c>
      <c r="P36" s="6">
        <v>3262.0</v>
      </c>
      <c r="Q36" s="6">
        <v>7.0</v>
      </c>
      <c r="R36" s="6">
        <v>141.0</v>
      </c>
      <c r="S36" s="6">
        <v>122.0</v>
      </c>
      <c r="T36" s="6">
        <v>801.0</v>
      </c>
      <c r="U36" s="6">
        <v>240.0</v>
      </c>
      <c r="V36" s="6">
        <v>97.0</v>
      </c>
      <c r="W36" s="6">
        <v>298.0</v>
      </c>
      <c r="X36" s="6">
        <v>870.0</v>
      </c>
      <c r="Y36" s="6">
        <v>686.0</v>
      </c>
      <c r="Z36" s="6">
        <v>23110.0</v>
      </c>
      <c r="AA36" s="6">
        <v>148.0</v>
      </c>
      <c r="AB36" s="6">
        <v>22720.0</v>
      </c>
      <c r="AC36" s="6">
        <v>242.0</v>
      </c>
      <c r="AD36" s="6">
        <v>767.0</v>
      </c>
      <c r="AE36" s="6">
        <v>85.0</v>
      </c>
      <c r="AF36" s="6">
        <v>627.0</v>
      </c>
      <c r="AG36" s="6">
        <v>55.0</v>
      </c>
      <c r="AH36" s="6">
        <v>33288.0</v>
      </c>
      <c r="AI36" s="6">
        <v>2668.0</v>
      </c>
      <c r="AJ36" s="6">
        <v>1043.0</v>
      </c>
      <c r="AK36" s="6">
        <v>1084.0</v>
      </c>
      <c r="AL36" s="6">
        <v>13802.0</v>
      </c>
      <c r="AM36" s="6">
        <v>3970.0</v>
      </c>
      <c r="AN36" s="6">
        <v>2122.0</v>
      </c>
      <c r="AO36" s="6">
        <v>2138.0</v>
      </c>
      <c r="AP36" s="6">
        <v>2294.0</v>
      </c>
      <c r="AQ36" s="6">
        <v>4167.0</v>
      </c>
      <c r="AR36" s="6">
        <v>34400.0</v>
      </c>
      <c r="AS36" s="6">
        <v>135.0</v>
      </c>
      <c r="AT36" s="6">
        <v>4089.0</v>
      </c>
      <c r="AU36" s="6">
        <v>1419.0</v>
      </c>
      <c r="AV36" s="6">
        <v>3274.0</v>
      </c>
      <c r="AW36" s="6">
        <v>5896.0</v>
      </c>
      <c r="AX36" s="6">
        <v>3869.0</v>
      </c>
      <c r="AY36" s="6">
        <v>3134.0</v>
      </c>
      <c r="AZ36" s="6">
        <v>3596.0</v>
      </c>
      <c r="BA36" s="6">
        <v>8988.0</v>
      </c>
      <c r="BB36" s="6">
        <v>119740.0</v>
      </c>
      <c r="BC36" s="6">
        <v>5691.0</v>
      </c>
      <c r="BD36" s="6">
        <v>10600.0</v>
      </c>
      <c r="BE36" s="6">
        <v>751.0</v>
      </c>
      <c r="BF36" s="6">
        <v>15673.0</v>
      </c>
      <c r="BG36" s="6">
        <v>12455.0</v>
      </c>
      <c r="BH36" s="6">
        <v>17588.0</v>
      </c>
      <c r="BI36" s="6">
        <v>17885.0</v>
      </c>
      <c r="BJ36" s="6">
        <v>33502.0</v>
      </c>
      <c r="BK36" s="6">
        <v>5595.0</v>
      </c>
      <c r="BL36" s="6">
        <v>46041.0</v>
      </c>
      <c r="BM36" s="6">
        <v>1726.0</v>
      </c>
      <c r="BN36" s="6">
        <v>5224.0</v>
      </c>
      <c r="BO36" s="6">
        <v>1512.0</v>
      </c>
      <c r="BP36" s="6">
        <v>10186.0</v>
      </c>
      <c r="BQ36" s="6">
        <v>2107.0</v>
      </c>
      <c r="BR36" s="6">
        <v>7758.0</v>
      </c>
      <c r="BS36" s="6">
        <v>1879.0</v>
      </c>
      <c r="BT36" s="6">
        <v>15649.0</v>
      </c>
      <c r="BU36" s="6">
        <v>11914.0</v>
      </c>
      <c r="BV36" s="6">
        <v>2.0</v>
      </c>
      <c r="BW36" s="6">
        <v>60.0</v>
      </c>
      <c r="BX36" s="6">
        <v>12.0</v>
      </c>
      <c r="BY36" s="6">
        <v>9208.0</v>
      </c>
      <c r="BZ36" s="6">
        <v>2632.0</v>
      </c>
      <c r="CA36" s="6">
        <v>293602.0</v>
      </c>
    </row>
    <row r="37" ht="14.25" customHeight="1">
      <c r="A37" s="6" t="s">
        <v>193</v>
      </c>
      <c r="B37" s="6">
        <v>16408.0</v>
      </c>
      <c r="C37" s="6">
        <v>156.0</v>
      </c>
      <c r="D37" s="6">
        <v>966.0</v>
      </c>
      <c r="E37" s="6">
        <v>1438.0</v>
      </c>
      <c r="F37" s="6">
        <v>1874.0</v>
      </c>
      <c r="G37" s="6">
        <v>1727.0</v>
      </c>
      <c r="H37" s="6">
        <v>2837.0</v>
      </c>
      <c r="I37" s="6">
        <v>491.0</v>
      </c>
      <c r="J37" s="6">
        <v>2164.0</v>
      </c>
      <c r="K37" s="6">
        <v>1220.0</v>
      </c>
      <c r="L37" s="6">
        <v>3535.0</v>
      </c>
      <c r="M37" s="6">
        <v>3448.0</v>
      </c>
      <c r="N37" s="6">
        <v>2744.0</v>
      </c>
      <c r="O37" s="6">
        <v>704.0</v>
      </c>
      <c r="P37" s="6">
        <v>4248.0</v>
      </c>
      <c r="Q37" s="6">
        <v>2.0</v>
      </c>
      <c r="R37" s="6">
        <v>102.0</v>
      </c>
      <c r="S37" s="6">
        <v>134.0</v>
      </c>
      <c r="T37" s="6">
        <v>1051.0</v>
      </c>
      <c r="U37" s="6">
        <v>281.0</v>
      </c>
      <c r="V37" s="6">
        <v>115.0</v>
      </c>
      <c r="W37" s="6">
        <v>426.0</v>
      </c>
      <c r="X37" s="6">
        <v>1425.0</v>
      </c>
      <c r="Y37" s="6">
        <v>712.0</v>
      </c>
      <c r="Z37" s="6">
        <v>34554.0</v>
      </c>
      <c r="AA37" s="6">
        <v>200.0</v>
      </c>
      <c r="AB37" s="6">
        <v>34044.0</v>
      </c>
      <c r="AC37" s="6">
        <v>310.0</v>
      </c>
      <c r="AD37" s="6">
        <v>831.0</v>
      </c>
      <c r="AE37" s="6">
        <v>90.0</v>
      </c>
      <c r="AF37" s="6">
        <v>680.0</v>
      </c>
      <c r="AG37" s="6">
        <v>61.0</v>
      </c>
      <c r="AH37" s="6">
        <v>37024.0</v>
      </c>
      <c r="AI37" s="6">
        <v>3051.0</v>
      </c>
      <c r="AJ37" s="6">
        <v>1286.0</v>
      </c>
      <c r="AK37" s="6">
        <v>1152.0</v>
      </c>
      <c r="AL37" s="6">
        <v>14770.0</v>
      </c>
      <c r="AM37" s="6">
        <v>3861.0</v>
      </c>
      <c r="AN37" s="6">
        <v>3289.0</v>
      </c>
      <c r="AO37" s="6">
        <v>2677.0</v>
      </c>
      <c r="AP37" s="6">
        <v>2448.0</v>
      </c>
      <c r="AQ37" s="6">
        <v>4490.0</v>
      </c>
      <c r="AR37" s="6">
        <v>36976.0</v>
      </c>
      <c r="AS37" s="6">
        <v>174.0</v>
      </c>
      <c r="AT37" s="6">
        <v>4349.0</v>
      </c>
      <c r="AU37" s="6">
        <v>1678.0</v>
      </c>
      <c r="AV37" s="6">
        <v>3217.0</v>
      </c>
      <c r="AW37" s="6">
        <v>4692.0</v>
      </c>
      <c r="AX37" s="6">
        <v>4281.0</v>
      </c>
      <c r="AY37" s="6">
        <v>4050.0</v>
      </c>
      <c r="AZ37" s="6">
        <v>4056.0</v>
      </c>
      <c r="BA37" s="6">
        <v>10479.0</v>
      </c>
      <c r="BB37" s="6">
        <v>135404.0</v>
      </c>
      <c r="BC37" s="6">
        <v>5352.0</v>
      </c>
      <c r="BD37" s="6">
        <v>12971.0</v>
      </c>
      <c r="BE37" s="6">
        <v>971.0</v>
      </c>
      <c r="BF37" s="6">
        <v>16935.0</v>
      </c>
      <c r="BG37" s="6">
        <v>13204.0</v>
      </c>
      <c r="BH37" s="6">
        <v>17682.0</v>
      </c>
      <c r="BI37" s="6">
        <v>19654.0</v>
      </c>
      <c r="BJ37" s="6">
        <v>42876.0</v>
      </c>
      <c r="BK37" s="6">
        <v>5759.0</v>
      </c>
      <c r="BL37" s="6">
        <v>50134.0</v>
      </c>
      <c r="BM37" s="6">
        <v>1958.0</v>
      </c>
      <c r="BN37" s="6">
        <v>5647.0</v>
      </c>
      <c r="BO37" s="6">
        <v>1632.0</v>
      </c>
      <c r="BP37" s="6">
        <v>10984.0</v>
      </c>
      <c r="BQ37" s="6">
        <v>2411.0</v>
      </c>
      <c r="BR37" s="6">
        <v>8175.0</v>
      </c>
      <c r="BS37" s="6">
        <v>2067.0</v>
      </c>
      <c r="BT37" s="6">
        <v>17260.0</v>
      </c>
      <c r="BU37" s="6">
        <v>11211.0</v>
      </c>
      <c r="BV37" s="6">
        <v>4.0</v>
      </c>
      <c r="BW37" s="6">
        <v>56.0</v>
      </c>
      <c r="BX37" s="6">
        <v>11.0</v>
      </c>
      <c r="BY37" s="6">
        <v>6525.0</v>
      </c>
      <c r="BZ37" s="6">
        <v>4615.0</v>
      </c>
      <c r="CA37" s="6">
        <v>330238.0</v>
      </c>
    </row>
    <row r="38" ht="14.25" customHeight="1">
      <c r="A38" s="6" t="s">
        <v>194</v>
      </c>
      <c r="B38" s="6">
        <v>19523.0</v>
      </c>
      <c r="C38" s="6">
        <v>167.0</v>
      </c>
      <c r="D38" s="6">
        <v>1070.0</v>
      </c>
      <c r="E38" s="6">
        <v>1809.0</v>
      </c>
      <c r="F38" s="6">
        <v>2449.0</v>
      </c>
      <c r="G38" s="6">
        <v>2011.0</v>
      </c>
      <c r="H38" s="6">
        <v>3163.0</v>
      </c>
      <c r="I38" s="6">
        <v>565.0</v>
      </c>
      <c r="J38" s="6">
        <v>2566.0</v>
      </c>
      <c r="K38" s="6">
        <v>1660.0</v>
      </c>
      <c r="L38" s="6">
        <v>4063.0</v>
      </c>
      <c r="M38" s="6">
        <v>3852.0</v>
      </c>
      <c r="N38" s="6">
        <v>3170.0</v>
      </c>
      <c r="O38" s="6">
        <v>682.0</v>
      </c>
      <c r="P38" s="6">
        <v>4651.0</v>
      </c>
      <c r="Q38" s="6">
        <v>4.0</v>
      </c>
      <c r="R38" s="6">
        <v>135.0</v>
      </c>
      <c r="S38" s="6">
        <v>148.0</v>
      </c>
      <c r="T38" s="6">
        <v>1444.0</v>
      </c>
      <c r="U38" s="6">
        <v>365.0</v>
      </c>
      <c r="V38" s="6">
        <v>125.0</v>
      </c>
      <c r="W38" s="6">
        <v>604.0</v>
      </c>
      <c r="X38" s="6">
        <v>945.0</v>
      </c>
      <c r="Y38" s="6">
        <v>881.0</v>
      </c>
      <c r="Z38" s="6">
        <v>65809.0</v>
      </c>
      <c r="AA38" s="6">
        <v>375.0</v>
      </c>
      <c r="AB38" s="6">
        <v>65082.0</v>
      </c>
      <c r="AC38" s="6">
        <v>352.0</v>
      </c>
      <c r="AD38" s="6">
        <v>1092.0</v>
      </c>
      <c r="AE38" s="6">
        <v>128.0</v>
      </c>
      <c r="AF38" s="6">
        <v>888.0</v>
      </c>
      <c r="AG38" s="6">
        <v>76.0</v>
      </c>
      <c r="AH38" s="6">
        <v>51390.0</v>
      </c>
      <c r="AI38" s="6">
        <v>3755.0</v>
      </c>
      <c r="AJ38" s="6">
        <v>3401.0</v>
      </c>
      <c r="AK38" s="6">
        <v>1267.0</v>
      </c>
      <c r="AL38" s="6">
        <v>19106.0</v>
      </c>
      <c r="AM38" s="6">
        <v>4657.0</v>
      </c>
      <c r="AN38" s="6">
        <v>5706.0</v>
      </c>
      <c r="AO38" s="6">
        <v>3148.0</v>
      </c>
      <c r="AP38" s="6">
        <v>2866.0</v>
      </c>
      <c r="AQ38" s="6">
        <v>7484.0</v>
      </c>
      <c r="AR38" s="6">
        <v>44017.0</v>
      </c>
      <c r="AS38" s="6">
        <v>202.0</v>
      </c>
      <c r="AT38" s="6">
        <v>5123.0</v>
      </c>
      <c r="AU38" s="6">
        <v>2045.0</v>
      </c>
      <c r="AV38" s="6">
        <v>3802.0</v>
      </c>
      <c r="AW38" s="6">
        <v>5323.0</v>
      </c>
      <c r="AX38" s="6">
        <v>4835.0</v>
      </c>
      <c r="AY38" s="6">
        <v>5214.0</v>
      </c>
      <c r="AZ38" s="6">
        <v>5023.0</v>
      </c>
      <c r="BA38" s="6">
        <v>12450.0</v>
      </c>
      <c r="BB38" s="6">
        <v>156901.0</v>
      </c>
      <c r="BC38" s="6">
        <v>6250.0</v>
      </c>
      <c r="BD38" s="6">
        <v>15810.0</v>
      </c>
      <c r="BE38" s="6">
        <v>1095.0</v>
      </c>
      <c r="BF38" s="6">
        <v>19875.0</v>
      </c>
      <c r="BG38" s="6">
        <v>14727.0</v>
      </c>
      <c r="BH38" s="6">
        <v>20341.0</v>
      </c>
      <c r="BI38" s="6">
        <v>23299.0</v>
      </c>
      <c r="BJ38" s="6">
        <v>50050.0</v>
      </c>
      <c r="BK38" s="6">
        <v>5454.0</v>
      </c>
      <c r="BL38" s="6">
        <v>57475.0</v>
      </c>
      <c r="BM38" s="6">
        <v>2136.0</v>
      </c>
      <c r="BN38" s="6">
        <v>6266.0</v>
      </c>
      <c r="BO38" s="6">
        <v>2203.0</v>
      </c>
      <c r="BP38" s="6">
        <v>12829.0</v>
      </c>
      <c r="BQ38" s="6">
        <v>3104.0</v>
      </c>
      <c r="BR38" s="6">
        <v>9104.0</v>
      </c>
      <c r="BS38" s="6">
        <v>2481.0</v>
      </c>
      <c r="BT38" s="6">
        <v>19352.0</v>
      </c>
      <c r="BU38" s="6">
        <v>12288.0</v>
      </c>
      <c r="BV38" s="6">
        <v>3.0</v>
      </c>
      <c r="BW38" s="6">
        <v>80.0</v>
      </c>
      <c r="BX38" s="6">
        <v>17.0</v>
      </c>
      <c r="BY38" s="6">
        <v>6959.0</v>
      </c>
      <c r="BZ38" s="6">
        <v>5229.0</v>
      </c>
      <c r="CA38" s="6">
        <v>416998.0</v>
      </c>
    </row>
    <row r="39" ht="14.25" customHeight="1">
      <c r="A39" s="6" t="s">
        <v>195</v>
      </c>
      <c r="B39" s="6">
        <v>19679.0</v>
      </c>
      <c r="C39" s="6">
        <v>212.0</v>
      </c>
      <c r="D39" s="6">
        <v>1035.0</v>
      </c>
      <c r="E39" s="6">
        <v>2034.0</v>
      </c>
      <c r="F39" s="6">
        <v>2230.0</v>
      </c>
      <c r="G39" s="6">
        <v>2137.0</v>
      </c>
      <c r="H39" s="6">
        <v>3365.0</v>
      </c>
      <c r="I39" s="6">
        <v>611.0</v>
      </c>
      <c r="J39" s="6">
        <v>2582.0</v>
      </c>
      <c r="K39" s="6">
        <v>1438.0</v>
      </c>
      <c r="L39" s="6">
        <v>4035.0</v>
      </c>
      <c r="M39" s="6">
        <v>3516.0</v>
      </c>
      <c r="N39" s="6">
        <v>2928.0</v>
      </c>
      <c r="O39" s="6">
        <v>588.0</v>
      </c>
      <c r="P39" s="6">
        <v>3930.0</v>
      </c>
      <c r="Q39" s="6">
        <v>2.0</v>
      </c>
      <c r="R39" s="6">
        <v>120.0</v>
      </c>
      <c r="S39" s="6">
        <v>130.0</v>
      </c>
      <c r="T39" s="6">
        <v>841.0</v>
      </c>
      <c r="U39" s="6">
        <v>280.0</v>
      </c>
      <c r="V39" s="6">
        <v>119.0</v>
      </c>
      <c r="W39" s="6">
        <v>478.0</v>
      </c>
      <c r="X39" s="6">
        <v>1019.0</v>
      </c>
      <c r="Y39" s="6">
        <v>941.0</v>
      </c>
      <c r="Z39" s="6">
        <v>60980.0</v>
      </c>
      <c r="AA39" s="6">
        <v>306.0</v>
      </c>
      <c r="AB39" s="6">
        <v>60381.0</v>
      </c>
      <c r="AC39" s="6">
        <v>293.0</v>
      </c>
      <c r="AD39" s="6">
        <v>991.0</v>
      </c>
      <c r="AE39" s="6">
        <v>162.0</v>
      </c>
      <c r="AF39" s="6">
        <v>751.0</v>
      </c>
      <c r="AG39" s="6">
        <v>78.0</v>
      </c>
      <c r="AH39" s="6">
        <v>42832.0</v>
      </c>
      <c r="AI39" s="6">
        <v>2720.0</v>
      </c>
      <c r="AJ39" s="6">
        <v>2830.0</v>
      </c>
      <c r="AK39" s="6">
        <v>1148.0</v>
      </c>
      <c r="AL39" s="6">
        <v>17001.0</v>
      </c>
      <c r="AM39" s="6">
        <v>5168.0</v>
      </c>
      <c r="AN39" s="6">
        <v>3563.0</v>
      </c>
      <c r="AO39" s="6">
        <v>2728.0</v>
      </c>
      <c r="AP39" s="6">
        <v>2702.0</v>
      </c>
      <c r="AQ39" s="6">
        <v>4972.0</v>
      </c>
      <c r="AR39" s="6">
        <v>40646.0</v>
      </c>
      <c r="AS39" s="6">
        <v>176.0</v>
      </c>
      <c r="AT39" s="6">
        <v>5190.0</v>
      </c>
      <c r="AU39" s="6">
        <v>1733.0</v>
      </c>
      <c r="AV39" s="6">
        <v>3827.0</v>
      </c>
      <c r="AW39" s="6">
        <v>4277.0</v>
      </c>
      <c r="AX39" s="6">
        <v>4605.0</v>
      </c>
      <c r="AY39" s="6">
        <v>4746.0</v>
      </c>
      <c r="AZ39" s="6">
        <v>4174.0</v>
      </c>
      <c r="BA39" s="6">
        <v>11918.0</v>
      </c>
      <c r="BB39" s="6">
        <v>173529.0</v>
      </c>
      <c r="BC39" s="6">
        <v>7399.0</v>
      </c>
      <c r="BD39" s="6">
        <v>18320.0</v>
      </c>
      <c r="BE39" s="6">
        <v>1171.0</v>
      </c>
      <c r="BF39" s="6">
        <v>20855.0</v>
      </c>
      <c r="BG39" s="6">
        <v>12526.0</v>
      </c>
      <c r="BH39" s="6">
        <v>20205.0</v>
      </c>
      <c r="BI39" s="6">
        <v>23991.0</v>
      </c>
      <c r="BJ39" s="6">
        <v>63067.0</v>
      </c>
      <c r="BK39" s="6">
        <v>5995.0</v>
      </c>
      <c r="BL39" s="6">
        <v>55706.0</v>
      </c>
      <c r="BM39" s="6">
        <v>1960.0</v>
      </c>
      <c r="BN39" s="6">
        <v>5336.0</v>
      </c>
      <c r="BO39" s="6">
        <v>2249.0</v>
      </c>
      <c r="BP39" s="6">
        <v>12165.0</v>
      </c>
      <c r="BQ39" s="6">
        <v>2886.0</v>
      </c>
      <c r="BR39" s="6">
        <v>10011.0</v>
      </c>
      <c r="BS39" s="6">
        <v>2601.0</v>
      </c>
      <c r="BT39" s="6">
        <v>18498.0</v>
      </c>
      <c r="BU39" s="6">
        <v>12573.0</v>
      </c>
      <c r="BV39" s="6">
        <v>6.0</v>
      </c>
      <c r="BW39" s="6">
        <v>66.0</v>
      </c>
      <c r="BX39" s="6">
        <v>19.0</v>
      </c>
      <c r="BY39" s="6">
        <v>8565.0</v>
      </c>
      <c r="BZ39" s="6">
        <v>3917.0</v>
      </c>
      <c r="CA39" s="6">
        <v>414382.0</v>
      </c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</row>
    <row r="44" ht="14.25" customHeight="1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</row>
    <row r="45" ht="14.25" customHeight="1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</row>
    <row r="46" ht="14.25" customHeight="1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</row>
    <row r="47" ht="14.25" customHeight="1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</row>
    <row r="48" ht="14.25" customHeight="1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</row>
    <row r="49" ht="14.25" customHeight="1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</row>
    <row r="50" ht="14.25" customHeight="1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</row>
    <row r="51" ht="14.25" customHeight="1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</row>
    <row r="52" ht="14.25" customHeight="1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</row>
    <row r="53" ht="14.25" customHeight="1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</row>
    <row r="54" ht="14.25" customHeight="1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</row>
    <row r="55" ht="14.25" customHeight="1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</row>
    <row r="56" ht="14.25" customHeight="1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</row>
    <row r="57" ht="14.25" customHeight="1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</row>
    <row r="58" ht="14.25" customHeight="1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</row>
    <row r="59" ht="14.25" customHeight="1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</row>
    <row r="60" ht="14.25" customHeight="1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</row>
    <row r="61" ht="14.25" customHeight="1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</row>
    <row r="62" ht="14.25" customHeight="1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</row>
    <row r="63" ht="14.25" customHeight="1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</row>
    <row r="64" ht="14.25" customHeight="1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</row>
    <row r="65" ht="14.25" customHeight="1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</row>
    <row r="66" ht="14.25" customHeight="1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</row>
    <row r="67" ht="14.25" customHeight="1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</row>
    <row r="68" ht="14.25" customHeight="1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</row>
    <row r="69" ht="14.25" customHeight="1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</row>
    <row r="70" ht="14.25" customHeight="1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</row>
    <row r="71" ht="14.25" customHeight="1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</row>
    <row r="72" ht="14.25" customHeight="1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</row>
    <row r="73" ht="14.25" customHeight="1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</row>
    <row r="74" ht="14.25" customHeight="1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</row>
    <row r="75" ht="14.25" customHeight="1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</row>
    <row r="76" ht="14.25" customHeight="1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</row>
    <row r="77" ht="14.25" customHeight="1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</row>
    <row r="78" ht="14.25" customHeight="1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</row>
    <row r="79" ht="14.25" customHeight="1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</row>
    <row r="80" ht="14.25" customHeight="1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6" width="14.43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</row>
    <row r="2">
      <c r="A2" s="8" t="s">
        <v>79</v>
      </c>
      <c r="B2" s="8" t="s">
        <v>80</v>
      </c>
      <c r="C2" s="8" t="s">
        <v>80</v>
      </c>
      <c r="D2" s="8" t="s">
        <v>80</v>
      </c>
      <c r="E2" s="8" t="s">
        <v>80</v>
      </c>
      <c r="F2" s="8" t="s">
        <v>80</v>
      </c>
      <c r="G2" s="8" t="s">
        <v>80</v>
      </c>
      <c r="H2" s="8" t="s">
        <v>80</v>
      </c>
      <c r="I2" s="8" t="s">
        <v>80</v>
      </c>
      <c r="J2" s="8" t="s">
        <v>80</v>
      </c>
      <c r="K2" s="8" t="s">
        <v>80</v>
      </c>
      <c r="L2" s="8" t="s">
        <v>80</v>
      </c>
      <c r="M2" s="8" t="s">
        <v>80</v>
      </c>
      <c r="N2" s="8" t="s">
        <v>80</v>
      </c>
      <c r="O2" s="8" t="s">
        <v>80</v>
      </c>
      <c r="P2" s="8" t="s">
        <v>80</v>
      </c>
      <c r="Q2" s="8" t="s">
        <v>80</v>
      </c>
      <c r="R2" s="8" t="s">
        <v>80</v>
      </c>
      <c r="S2" s="8" t="s">
        <v>80</v>
      </c>
      <c r="T2" s="8" t="s">
        <v>80</v>
      </c>
      <c r="U2" s="8" t="s">
        <v>80</v>
      </c>
      <c r="V2" s="8" t="s">
        <v>80</v>
      </c>
      <c r="W2" s="8" t="s">
        <v>80</v>
      </c>
      <c r="X2" s="8" t="s">
        <v>80</v>
      </c>
      <c r="Y2" s="8" t="s">
        <v>80</v>
      </c>
      <c r="Z2" s="8" t="s">
        <v>80</v>
      </c>
      <c r="AA2" s="8" t="s">
        <v>80</v>
      </c>
      <c r="AB2" s="8" t="s">
        <v>80</v>
      </c>
      <c r="AC2" s="8" t="s">
        <v>80</v>
      </c>
      <c r="AD2" s="8" t="s">
        <v>80</v>
      </c>
      <c r="AE2" s="8" t="s">
        <v>80</v>
      </c>
      <c r="AF2" s="8" t="s">
        <v>80</v>
      </c>
      <c r="AG2" s="8" t="s">
        <v>80</v>
      </c>
      <c r="AH2" s="8" t="s">
        <v>80</v>
      </c>
      <c r="AI2" s="8" t="s">
        <v>80</v>
      </c>
      <c r="AJ2" s="8" t="s">
        <v>80</v>
      </c>
      <c r="AK2" s="8" t="s">
        <v>80</v>
      </c>
      <c r="AL2" s="8" t="s">
        <v>80</v>
      </c>
      <c r="AM2" s="8" t="s">
        <v>80</v>
      </c>
      <c r="AN2" s="8" t="s">
        <v>80</v>
      </c>
      <c r="AO2" s="8" t="s">
        <v>80</v>
      </c>
      <c r="AP2" s="8" t="s">
        <v>80</v>
      </c>
      <c r="AQ2" s="8" t="s">
        <v>80</v>
      </c>
      <c r="AR2" s="8" t="s">
        <v>80</v>
      </c>
      <c r="AS2" s="8" t="s">
        <v>80</v>
      </c>
      <c r="AT2" s="8" t="s">
        <v>80</v>
      </c>
      <c r="AU2" s="8" t="s">
        <v>80</v>
      </c>
      <c r="AV2" s="8" t="s">
        <v>80</v>
      </c>
      <c r="AW2" s="8" t="s">
        <v>80</v>
      </c>
      <c r="AX2" s="8" t="s">
        <v>80</v>
      </c>
      <c r="AY2" s="8" t="s">
        <v>80</v>
      </c>
      <c r="AZ2" s="8" t="s">
        <v>80</v>
      </c>
      <c r="BA2" s="8" t="s">
        <v>80</v>
      </c>
      <c r="BB2" s="8" t="s">
        <v>80</v>
      </c>
      <c r="BC2" s="8" t="s">
        <v>80</v>
      </c>
      <c r="BD2" s="8" t="s">
        <v>80</v>
      </c>
      <c r="BE2" s="8" t="s">
        <v>80</v>
      </c>
      <c r="BF2" s="8" t="s">
        <v>80</v>
      </c>
      <c r="BG2" s="8" t="s">
        <v>80</v>
      </c>
      <c r="BH2" s="8" t="s">
        <v>80</v>
      </c>
      <c r="BI2" s="8" t="s">
        <v>80</v>
      </c>
      <c r="BJ2" s="8" t="s">
        <v>80</v>
      </c>
      <c r="BK2" s="8" t="s">
        <v>80</v>
      </c>
      <c r="BL2" s="8" t="s">
        <v>80</v>
      </c>
      <c r="BM2" s="8" t="s">
        <v>80</v>
      </c>
      <c r="BN2" s="8" t="s">
        <v>80</v>
      </c>
      <c r="BO2" s="8" t="s">
        <v>80</v>
      </c>
      <c r="BP2" s="8" t="s">
        <v>80</v>
      </c>
      <c r="BQ2" s="8" t="s">
        <v>80</v>
      </c>
      <c r="BR2" s="8" t="s">
        <v>80</v>
      </c>
      <c r="BS2" s="8" t="s">
        <v>80</v>
      </c>
      <c r="BT2" s="8" t="s">
        <v>80</v>
      </c>
      <c r="BU2" s="8" t="s">
        <v>80</v>
      </c>
      <c r="BV2" s="8" t="s">
        <v>80</v>
      </c>
      <c r="BW2" s="8" t="s">
        <v>80</v>
      </c>
      <c r="BX2" s="8" t="s">
        <v>80</v>
      </c>
      <c r="BY2" s="8" t="s">
        <v>80</v>
      </c>
      <c r="BZ2" s="8" t="s">
        <v>80</v>
      </c>
      <c r="CA2" s="8" t="s">
        <v>80</v>
      </c>
    </row>
    <row r="3">
      <c r="A3" s="8" t="s">
        <v>81</v>
      </c>
      <c r="B3" s="8" t="s">
        <v>82</v>
      </c>
      <c r="C3" s="8" t="s">
        <v>83</v>
      </c>
      <c r="D3" s="8" t="s">
        <v>84</v>
      </c>
      <c r="E3" s="8" t="s">
        <v>85</v>
      </c>
      <c r="F3" s="8" t="s">
        <v>86</v>
      </c>
      <c r="G3" s="8" t="s">
        <v>87</v>
      </c>
      <c r="H3" s="8" t="s">
        <v>88</v>
      </c>
      <c r="I3" s="8" t="s">
        <v>89</v>
      </c>
      <c r="J3" s="8" t="s">
        <v>90</v>
      </c>
      <c r="K3" s="8" t="s">
        <v>91</v>
      </c>
      <c r="L3" s="8" t="s">
        <v>92</v>
      </c>
      <c r="M3" s="8" t="s">
        <v>93</v>
      </c>
      <c r="N3" s="8" t="s">
        <v>94</v>
      </c>
      <c r="O3" s="8" t="s">
        <v>95</v>
      </c>
      <c r="P3" s="8" t="s">
        <v>96</v>
      </c>
      <c r="Q3" s="8" t="s">
        <v>97</v>
      </c>
      <c r="R3" s="8" t="s">
        <v>98</v>
      </c>
      <c r="S3" s="8" t="s">
        <v>99</v>
      </c>
      <c r="T3" s="8" t="s">
        <v>100</v>
      </c>
      <c r="U3" s="8" t="s">
        <v>101</v>
      </c>
      <c r="V3" s="8" t="s">
        <v>102</v>
      </c>
      <c r="W3" s="8" t="s">
        <v>103</v>
      </c>
      <c r="X3" s="8" t="s">
        <v>104</v>
      </c>
      <c r="Y3" s="8" t="s">
        <v>105</v>
      </c>
      <c r="Z3" s="8" t="s">
        <v>106</v>
      </c>
      <c r="AA3" s="8" t="s">
        <v>107</v>
      </c>
      <c r="AB3" s="8" t="s">
        <v>108</v>
      </c>
      <c r="AC3" s="8" t="s">
        <v>109</v>
      </c>
      <c r="AD3" s="8" t="s">
        <v>110</v>
      </c>
      <c r="AE3" s="8" t="s">
        <v>111</v>
      </c>
      <c r="AF3" s="8" t="s">
        <v>112</v>
      </c>
      <c r="AG3" s="8" t="s">
        <v>113</v>
      </c>
      <c r="AH3" s="8" t="s">
        <v>114</v>
      </c>
      <c r="AI3" s="8" t="s">
        <v>115</v>
      </c>
      <c r="AJ3" s="8" t="s">
        <v>116</v>
      </c>
      <c r="AK3" s="8" t="s">
        <v>117</v>
      </c>
      <c r="AL3" s="8" t="s">
        <v>118</v>
      </c>
      <c r="AM3" s="8" t="s">
        <v>119</v>
      </c>
      <c r="AN3" s="8" t="s">
        <v>120</v>
      </c>
      <c r="AO3" s="8" t="s">
        <v>121</v>
      </c>
      <c r="AP3" s="8" t="s">
        <v>122</v>
      </c>
      <c r="AQ3" s="8" t="s">
        <v>123</v>
      </c>
      <c r="AR3" s="8" t="s">
        <v>124</v>
      </c>
      <c r="AS3" s="8" t="s">
        <v>125</v>
      </c>
      <c r="AT3" s="8" t="s">
        <v>126</v>
      </c>
      <c r="AU3" s="8" t="s">
        <v>127</v>
      </c>
      <c r="AV3" s="8" t="s">
        <v>128</v>
      </c>
      <c r="AW3" s="8" t="s">
        <v>129</v>
      </c>
      <c r="AX3" s="8" t="s">
        <v>130</v>
      </c>
      <c r="AY3" s="8" t="s">
        <v>131</v>
      </c>
      <c r="AZ3" s="8" t="s">
        <v>132</v>
      </c>
      <c r="BA3" s="8" t="s">
        <v>133</v>
      </c>
      <c r="BB3" s="8" t="s">
        <v>134</v>
      </c>
      <c r="BC3" s="8" t="s">
        <v>135</v>
      </c>
      <c r="BD3" s="8" t="s">
        <v>136</v>
      </c>
      <c r="BE3" s="8" t="s">
        <v>137</v>
      </c>
      <c r="BF3" s="8" t="s">
        <v>138</v>
      </c>
      <c r="BG3" s="8" t="s">
        <v>139</v>
      </c>
      <c r="BH3" s="8" t="s">
        <v>140</v>
      </c>
      <c r="BI3" s="8" t="s">
        <v>141</v>
      </c>
      <c r="BJ3" s="8" t="s">
        <v>142</v>
      </c>
      <c r="BK3" s="8" t="s">
        <v>143</v>
      </c>
      <c r="BL3" s="8" t="s">
        <v>144</v>
      </c>
      <c r="BM3" s="8" t="s">
        <v>145</v>
      </c>
      <c r="BN3" s="8" t="s">
        <v>146</v>
      </c>
      <c r="BO3" s="8" t="s">
        <v>147</v>
      </c>
      <c r="BP3" s="8" t="s">
        <v>148</v>
      </c>
      <c r="BQ3" s="8" t="s">
        <v>149</v>
      </c>
      <c r="BR3" s="8" t="s">
        <v>150</v>
      </c>
      <c r="BS3" s="8" t="s">
        <v>151</v>
      </c>
      <c r="BT3" s="8" t="s">
        <v>152</v>
      </c>
      <c r="BU3" s="8" t="s">
        <v>153</v>
      </c>
      <c r="BV3" s="8" t="s">
        <v>154</v>
      </c>
      <c r="BW3" s="8" t="s">
        <v>155</v>
      </c>
      <c r="BX3" s="8" t="s">
        <v>156</v>
      </c>
      <c r="BY3" s="8" t="s">
        <v>157</v>
      </c>
      <c r="BZ3" s="8" t="s">
        <v>158</v>
      </c>
      <c r="CA3" s="8" t="s">
        <v>159</v>
      </c>
    </row>
    <row r="4">
      <c r="A4" s="9" t="s">
        <v>160</v>
      </c>
      <c r="B4" s="9">
        <v>7903.0</v>
      </c>
      <c r="C4" s="9">
        <v>322.0</v>
      </c>
      <c r="D4" s="9">
        <v>2423.0</v>
      </c>
      <c r="E4" s="9">
        <v>529.0</v>
      </c>
      <c r="F4" s="9">
        <v>663.0</v>
      </c>
      <c r="G4" s="9">
        <v>2071.0</v>
      </c>
      <c r="H4" s="9">
        <v>604.0</v>
      </c>
      <c r="I4" s="9">
        <v>859.0</v>
      </c>
      <c r="J4" s="9">
        <v>68.0</v>
      </c>
      <c r="K4" s="9">
        <v>273.0</v>
      </c>
      <c r="L4" s="9">
        <v>91.0</v>
      </c>
      <c r="M4" s="9">
        <v>272.0</v>
      </c>
      <c r="N4" s="9">
        <v>250.0</v>
      </c>
      <c r="O4" s="9">
        <v>22.0</v>
      </c>
      <c r="P4" s="9">
        <v>13373.0</v>
      </c>
      <c r="Q4" s="9">
        <v>614.0</v>
      </c>
      <c r="R4" s="9">
        <v>63.0</v>
      </c>
      <c r="S4" s="9">
        <v>10.0</v>
      </c>
      <c r="T4" s="9">
        <v>439.0</v>
      </c>
      <c r="U4" s="9">
        <v>37.0</v>
      </c>
      <c r="V4" s="9">
        <v>6270.0</v>
      </c>
      <c r="W4" s="9">
        <v>221.0</v>
      </c>
      <c r="X4" s="9">
        <v>5595.0</v>
      </c>
      <c r="Y4" s="9">
        <v>124.0</v>
      </c>
      <c r="Z4" s="9">
        <v>6461.0</v>
      </c>
      <c r="AA4" s="9">
        <v>4636.0</v>
      </c>
      <c r="AB4" s="9">
        <v>1615.0</v>
      </c>
      <c r="AC4" s="9">
        <v>210.0</v>
      </c>
      <c r="AD4" s="9">
        <v>146.0</v>
      </c>
      <c r="AE4" s="9">
        <v>122.0</v>
      </c>
      <c r="AF4" s="9">
        <v>14.0</v>
      </c>
      <c r="AG4" s="9">
        <v>10.0</v>
      </c>
      <c r="AH4" s="9">
        <v>1041.0</v>
      </c>
      <c r="AI4" s="9">
        <v>102.0</v>
      </c>
      <c r="AJ4" s="9">
        <v>86.0</v>
      </c>
      <c r="AK4" s="9">
        <v>109.0</v>
      </c>
      <c r="AL4" s="9">
        <v>229.0</v>
      </c>
      <c r="AM4" s="9">
        <v>89.0</v>
      </c>
      <c r="AN4" s="9">
        <v>9.0</v>
      </c>
      <c r="AO4" s="9">
        <v>157.0</v>
      </c>
      <c r="AP4" s="9">
        <v>61.0</v>
      </c>
      <c r="AQ4" s="9">
        <v>199.0</v>
      </c>
      <c r="AR4" s="9">
        <v>5344.0</v>
      </c>
      <c r="AS4" s="9">
        <v>165.0</v>
      </c>
      <c r="AT4" s="9">
        <v>72.0</v>
      </c>
      <c r="AU4" s="9">
        <v>15.0</v>
      </c>
      <c r="AV4" s="9">
        <v>116.0</v>
      </c>
      <c r="AW4" s="9">
        <v>148.0</v>
      </c>
      <c r="AX4" s="9">
        <v>318.0</v>
      </c>
      <c r="AY4" s="9">
        <v>501.0</v>
      </c>
      <c r="AZ4" s="9">
        <v>3703.0</v>
      </c>
      <c r="BA4" s="9">
        <v>306.0</v>
      </c>
      <c r="BB4" s="9">
        <v>2744.0</v>
      </c>
      <c r="BC4" s="9">
        <v>366.0</v>
      </c>
      <c r="BD4" s="9">
        <v>336.0</v>
      </c>
      <c r="BE4" s="9">
        <v>39.0</v>
      </c>
      <c r="BF4" s="9">
        <v>322.0</v>
      </c>
      <c r="BG4" s="9">
        <v>406.0</v>
      </c>
      <c r="BH4" s="9">
        <v>142.0</v>
      </c>
      <c r="BI4" s="9">
        <v>280.0</v>
      </c>
      <c r="BJ4" s="9">
        <v>392.0</v>
      </c>
      <c r="BK4" s="9">
        <v>461.0</v>
      </c>
      <c r="BL4" s="9">
        <v>1075.0</v>
      </c>
      <c r="BM4" s="9">
        <v>31.0</v>
      </c>
      <c r="BN4" s="9">
        <v>36.0</v>
      </c>
      <c r="BO4" s="9">
        <v>2.0</v>
      </c>
      <c r="BP4" s="9">
        <v>65.0</v>
      </c>
      <c r="BQ4" s="9">
        <v>14.0</v>
      </c>
      <c r="BR4" s="9">
        <v>196.0</v>
      </c>
      <c r="BS4" s="9">
        <v>277.0</v>
      </c>
      <c r="BT4" s="9">
        <v>454.0</v>
      </c>
      <c r="BU4" s="9">
        <v>4006.0</v>
      </c>
      <c r="BV4" s="9">
        <v>156.0</v>
      </c>
      <c r="BW4" s="9">
        <v>196.0</v>
      </c>
      <c r="BX4" s="9">
        <v>1.0</v>
      </c>
      <c r="BY4" s="9">
        <v>2674.0</v>
      </c>
      <c r="BZ4" s="9">
        <v>979.0</v>
      </c>
      <c r="CA4" s="9">
        <v>42365.0</v>
      </c>
    </row>
    <row r="5">
      <c r="A5" s="9" t="s">
        <v>161</v>
      </c>
      <c r="B5" s="9">
        <v>9487.0</v>
      </c>
      <c r="C5" s="9">
        <v>244.0</v>
      </c>
      <c r="D5" s="9">
        <v>2639.0</v>
      </c>
      <c r="E5" s="9">
        <v>682.0</v>
      </c>
      <c r="F5" s="9">
        <v>646.0</v>
      </c>
      <c r="G5" s="9">
        <v>3205.0</v>
      </c>
      <c r="H5" s="9">
        <v>514.0</v>
      </c>
      <c r="I5" s="9">
        <v>1128.0</v>
      </c>
      <c r="J5" s="9">
        <v>65.0</v>
      </c>
      <c r="K5" s="9">
        <v>267.0</v>
      </c>
      <c r="L5" s="9">
        <v>97.0</v>
      </c>
      <c r="M5" s="9">
        <v>228.0</v>
      </c>
      <c r="N5" s="9">
        <v>211.0</v>
      </c>
      <c r="O5" s="9">
        <v>17.0</v>
      </c>
      <c r="P5" s="9">
        <v>14124.0</v>
      </c>
      <c r="Q5" s="9">
        <v>515.0</v>
      </c>
      <c r="R5" s="9">
        <v>44.0</v>
      </c>
      <c r="S5" s="9">
        <v>14.0</v>
      </c>
      <c r="T5" s="9">
        <v>409.0</v>
      </c>
      <c r="U5" s="9">
        <v>33.0</v>
      </c>
      <c r="V5" s="9">
        <v>5642.0</v>
      </c>
      <c r="W5" s="9">
        <v>206.0</v>
      </c>
      <c r="X5" s="9">
        <v>7128.0</v>
      </c>
      <c r="Y5" s="9">
        <v>133.0</v>
      </c>
      <c r="Z5" s="9">
        <v>7234.0</v>
      </c>
      <c r="AA5" s="9">
        <v>5314.0</v>
      </c>
      <c r="AB5" s="9">
        <v>1660.0</v>
      </c>
      <c r="AC5" s="9">
        <v>260.0</v>
      </c>
      <c r="AD5" s="9">
        <v>111.0</v>
      </c>
      <c r="AE5" s="9">
        <v>100.0</v>
      </c>
      <c r="AF5" s="9">
        <v>1.0</v>
      </c>
      <c r="AG5" s="9">
        <v>10.0</v>
      </c>
      <c r="AH5" s="9">
        <v>1174.0</v>
      </c>
      <c r="AI5" s="9">
        <v>90.0</v>
      </c>
      <c r="AJ5" s="9">
        <v>117.0</v>
      </c>
      <c r="AK5" s="9">
        <v>236.0</v>
      </c>
      <c r="AL5" s="9">
        <v>246.0</v>
      </c>
      <c r="AM5" s="9">
        <v>92.0</v>
      </c>
      <c r="AN5" s="9">
        <v>9.0</v>
      </c>
      <c r="AO5" s="9">
        <v>145.0</v>
      </c>
      <c r="AP5" s="9">
        <v>57.0</v>
      </c>
      <c r="AQ5" s="9">
        <v>182.0</v>
      </c>
      <c r="AR5" s="9">
        <v>6063.0</v>
      </c>
      <c r="AS5" s="9">
        <v>151.0</v>
      </c>
      <c r="AT5" s="9">
        <v>62.0</v>
      </c>
      <c r="AU5" s="9">
        <v>13.0</v>
      </c>
      <c r="AV5" s="9">
        <v>137.0</v>
      </c>
      <c r="AW5" s="9">
        <v>168.0</v>
      </c>
      <c r="AX5" s="9">
        <v>447.0</v>
      </c>
      <c r="AY5" s="9">
        <v>584.0</v>
      </c>
      <c r="AZ5" s="9">
        <v>4153.0</v>
      </c>
      <c r="BA5" s="9">
        <v>348.0</v>
      </c>
      <c r="BB5" s="9">
        <v>3286.0</v>
      </c>
      <c r="BC5" s="9">
        <v>378.0</v>
      </c>
      <c r="BD5" s="9">
        <v>382.0</v>
      </c>
      <c r="BE5" s="9">
        <v>54.0</v>
      </c>
      <c r="BF5" s="9">
        <v>351.0</v>
      </c>
      <c r="BG5" s="9">
        <v>480.0</v>
      </c>
      <c r="BH5" s="9">
        <v>219.0</v>
      </c>
      <c r="BI5" s="9">
        <v>327.0</v>
      </c>
      <c r="BJ5" s="9">
        <v>508.0</v>
      </c>
      <c r="BK5" s="9">
        <v>587.0</v>
      </c>
      <c r="BL5" s="9">
        <v>1257.0</v>
      </c>
      <c r="BM5" s="9">
        <v>28.0</v>
      </c>
      <c r="BN5" s="9">
        <v>35.0</v>
      </c>
      <c r="BO5" s="9">
        <v>3.0</v>
      </c>
      <c r="BP5" s="9">
        <v>88.0</v>
      </c>
      <c r="BQ5" s="9">
        <v>23.0</v>
      </c>
      <c r="BR5" s="9">
        <v>241.0</v>
      </c>
      <c r="BS5" s="9">
        <v>250.0</v>
      </c>
      <c r="BT5" s="9">
        <v>589.0</v>
      </c>
      <c r="BU5" s="9">
        <v>4035.0</v>
      </c>
      <c r="BV5" s="9">
        <v>153.0</v>
      </c>
      <c r="BW5" s="9">
        <v>205.0</v>
      </c>
      <c r="BX5" s="9">
        <v>0.0</v>
      </c>
      <c r="BY5" s="9">
        <v>2590.0</v>
      </c>
      <c r="BZ5" s="9">
        <v>1087.0</v>
      </c>
      <c r="CA5" s="9">
        <v>46999.0</v>
      </c>
    </row>
    <row r="6">
      <c r="A6" s="9" t="s">
        <v>162</v>
      </c>
      <c r="B6" s="9">
        <v>9726.0</v>
      </c>
      <c r="C6" s="9">
        <v>163.0</v>
      </c>
      <c r="D6" s="9">
        <v>3090.0</v>
      </c>
      <c r="E6" s="9">
        <v>676.0</v>
      </c>
      <c r="F6" s="9">
        <v>676.0</v>
      </c>
      <c r="G6" s="9">
        <v>3014.0</v>
      </c>
      <c r="H6" s="9">
        <v>581.0</v>
      </c>
      <c r="I6" s="9">
        <v>1101.0</v>
      </c>
      <c r="J6" s="9">
        <v>82.0</v>
      </c>
      <c r="K6" s="9">
        <v>238.0</v>
      </c>
      <c r="L6" s="9">
        <v>105.0</v>
      </c>
      <c r="M6" s="9">
        <v>285.0</v>
      </c>
      <c r="N6" s="9">
        <v>266.0</v>
      </c>
      <c r="O6" s="9">
        <v>19.0</v>
      </c>
      <c r="P6" s="9">
        <v>13461.0</v>
      </c>
      <c r="Q6" s="9">
        <v>528.0</v>
      </c>
      <c r="R6" s="9">
        <v>51.0</v>
      </c>
      <c r="S6" s="9">
        <v>8.0</v>
      </c>
      <c r="T6" s="9">
        <v>402.0</v>
      </c>
      <c r="U6" s="9">
        <v>21.0</v>
      </c>
      <c r="V6" s="9">
        <v>3939.0</v>
      </c>
      <c r="W6" s="9">
        <v>240.0</v>
      </c>
      <c r="X6" s="9">
        <v>8113.0</v>
      </c>
      <c r="Y6" s="9">
        <v>159.0</v>
      </c>
      <c r="Z6" s="9">
        <v>9596.0</v>
      </c>
      <c r="AA6" s="9">
        <v>6024.0</v>
      </c>
      <c r="AB6" s="9">
        <v>2882.0</v>
      </c>
      <c r="AC6" s="9">
        <v>690.0</v>
      </c>
      <c r="AD6" s="9">
        <v>126.0</v>
      </c>
      <c r="AE6" s="9">
        <v>113.0</v>
      </c>
      <c r="AF6" s="9">
        <v>1.0</v>
      </c>
      <c r="AG6" s="9">
        <v>12.0</v>
      </c>
      <c r="AH6" s="9">
        <v>1295.0</v>
      </c>
      <c r="AI6" s="9">
        <v>106.0</v>
      </c>
      <c r="AJ6" s="9">
        <v>175.0</v>
      </c>
      <c r="AK6" s="9">
        <v>221.0</v>
      </c>
      <c r="AL6" s="9">
        <v>293.0</v>
      </c>
      <c r="AM6" s="9">
        <v>105.0</v>
      </c>
      <c r="AN6" s="9">
        <v>12.0</v>
      </c>
      <c r="AO6" s="9">
        <v>136.0</v>
      </c>
      <c r="AP6" s="9">
        <v>76.0</v>
      </c>
      <c r="AQ6" s="9">
        <v>171.0</v>
      </c>
      <c r="AR6" s="9">
        <v>6257.0</v>
      </c>
      <c r="AS6" s="9">
        <v>180.0</v>
      </c>
      <c r="AT6" s="9">
        <v>67.0</v>
      </c>
      <c r="AU6" s="9">
        <v>33.0</v>
      </c>
      <c r="AV6" s="9">
        <v>168.0</v>
      </c>
      <c r="AW6" s="9">
        <v>196.0</v>
      </c>
      <c r="AX6" s="9">
        <v>464.0</v>
      </c>
      <c r="AY6" s="9">
        <v>909.0</v>
      </c>
      <c r="AZ6" s="9">
        <v>3833.0</v>
      </c>
      <c r="BA6" s="9">
        <v>407.0</v>
      </c>
      <c r="BB6" s="9">
        <v>4117.0</v>
      </c>
      <c r="BC6" s="9">
        <v>490.0</v>
      </c>
      <c r="BD6" s="9">
        <v>459.0</v>
      </c>
      <c r="BE6" s="9">
        <v>80.0</v>
      </c>
      <c r="BF6" s="9">
        <v>430.0</v>
      </c>
      <c r="BG6" s="9">
        <v>635.0</v>
      </c>
      <c r="BH6" s="9">
        <v>291.0</v>
      </c>
      <c r="BI6" s="9">
        <v>413.0</v>
      </c>
      <c r="BJ6" s="9">
        <v>736.0</v>
      </c>
      <c r="BK6" s="9">
        <v>583.0</v>
      </c>
      <c r="BL6" s="9">
        <v>1306.0</v>
      </c>
      <c r="BM6" s="9">
        <v>37.0</v>
      </c>
      <c r="BN6" s="9">
        <v>42.0</v>
      </c>
      <c r="BO6" s="9">
        <v>5.0</v>
      </c>
      <c r="BP6" s="9">
        <v>125.0</v>
      </c>
      <c r="BQ6" s="9">
        <v>22.0</v>
      </c>
      <c r="BR6" s="9">
        <v>252.0</v>
      </c>
      <c r="BS6" s="9">
        <v>241.0</v>
      </c>
      <c r="BT6" s="9">
        <v>582.0</v>
      </c>
      <c r="BU6" s="9">
        <v>4723.0</v>
      </c>
      <c r="BV6" s="9">
        <v>186.0</v>
      </c>
      <c r="BW6" s="9">
        <v>250.0</v>
      </c>
      <c r="BX6" s="9">
        <v>2.0</v>
      </c>
      <c r="BY6" s="9">
        <v>3440.0</v>
      </c>
      <c r="BZ6" s="9">
        <v>845.0</v>
      </c>
      <c r="CA6" s="9">
        <v>50892.0</v>
      </c>
    </row>
    <row r="7">
      <c r="A7" s="9" t="s">
        <v>163</v>
      </c>
      <c r="B7" s="9">
        <v>9311.0</v>
      </c>
      <c r="C7" s="9">
        <v>182.0</v>
      </c>
      <c r="D7" s="9">
        <v>3239.0</v>
      </c>
      <c r="E7" s="9">
        <v>793.0</v>
      </c>
      <c r="F7" s="9">
        <v>739.0</v>
      </c>
      <c r="G7" s="9">
        <v>2411.0</v>
      </c>
      <c r="H7" s="9">
        <v>651.0</v>
      </c>
      <c r="I7" s="9">
        <v>765.0</v>
      </c>
      <c r="J7" s="9">
        <v>92.0</v>
      </c>
      <c r="K7" s="9">
        <v>304.0</v>
      </c>
      <c r="L7" s="9">
        <v>135.0</v>
      </c>
      <c r="M7" s="9">
        <v>334.0</v>
      </c>
      <c r="N7" s="9">
        <v>313.0</v>
      </c>
      <c r="O7" s="9">
        <v>21.0</v>
      </c>
      <c r="P7" s="9">
        <v>13673.0</v>
      </c>
      <c r="Q7" s="9">
        <v>346.0</v>
      </c>
      <c r="R7" s="9">
        <v>59.0</v>
      </c>
      <c r="S7" s="9">
        <v>8.0</v>
      </c>
      <c r="T7" s="9">
        <v>461.0</v>
      </c>
      <c r="U7" s="9">
        <v>20.0</v>
      </c>
      <c r="V7" s="9">
        <v>4371.0</v>
      </c>
      <c r="W7" s="9">
        <v>290.0</v>
      </c>
      <c r="X7" s="9">
        <v>7955.0</v>
      </c>
      <c r="Y7" s="9">
        <v>163.0</v>
      </c>
      <c r="Z7" s="9">
        <v>10877.0</v>
      </c>
      <c r="AA7" s="9">
        <v>6857.0</v>
      </c>
      <c r="AB7" s="9">
        <v>2915.0</v>
      </c>
      <c r="AC7" s="9">
        <v>1105.0</v>
      </c>
      <c r="AD7" s="9">
        <v>136.0</v>
      </c>
      <c r="AE7" s="9">
        <v>117.0</v>
      </c>
      <c r="AF7" s="9">
        <v>1.0</v>
      </c>
      <c r="AG7" s="9">
        <v>18.0</v>
      </c>
      <c r="AH7" s="9">
        <v>1531.0</v>
      </c>
      <c r="AI7" s="9">
        <v>106.0</v>
      </c>
      <c r="AJ7" s="9">
        <v>253.0</v>
      </c>
      <c r="AK7" s="9">
        <v>188.0</v>
      </c>
      <c r="AL7" s="9">
        <v>381.0</v>
      </c>
      <c r="AM7" s="9">
        <v>125.0</v>
      </c>
      <c r="AN7" s="9">
        <v>17.0</v>
      </c>
      <c r="AO7" s="9">
        <v>181.0</v>
      </c>
      <c r="AP7" s="9">
        <v>82.0</v>
      </c>
      <c r="AQ7" s="9">
        <v>198.0</v>
      </c>
      <c r="AR7" s="9">
        <v>6484.0</v>
      </c>
      <c r="AS7" s="9">
        <v>187.0</v>
      </c>
      <c r="AT7" s="9">
        <v>67.0</v>
      </c>
      <c r="AU7" s="9">
        <v>50.0</v>
      </c>
      <c r="AV7" s="9">
        <v>209.0</v>
      </c>
      <c r="AW7" s="9">
        <v>218.0</v>
      </c>
      <c r="AX7" s="9">
        <v>556.0</v>
      </c>
      <c r="AY7" s="9">
        <v>1027.0</v>
      </c>
      <c r="AZ7" s="9">
        <v>3621.0</v>
      </c>
      <c r="BA7" s="9">
        <v>549.0</v>
      </c>
      <c r="BB7" s="9">
        <v>4862.0</v>
      </c>
      <c r="BC7" s="9">
        <v>566.0</v>
      </c>
      <c r="BD7" s="9">
        <v>523.0</v>
      </c>
      <c r="BE7" s="9">
        <v>79.0</v>
      </c>
      <c r="BF7" s="9">
        <v>511.0</v>
      </c>
      <c r="BG7" s="9">
        <v>808.0</v>
      </c>
      <c r="BH7" s="9">
        <v>317.0</v>
      </c>
      <c r="BI7" s="9">
        <v>542.0</v>
      </c>
      <c r="BJ7" s="9">
        <v>820.0</v>
      </c>
      <c r="BK7" s="9">
        <v>696.0</v>
      </c>
      <c r="BL7" s="9">
        <v>1423.0</v>
      </c>
      <c r="BM7" s="9">
        <v>38.0</v>
      </c>
      <c r="BN7" s="9">
        <v>36.0</v>
      </c>
      <c r="BO7" s="9">
        <v>2.0</v>
      </c>
      <c r="BP7" s="9">
        <v>142.0</v>
      </c>
      <c r="BQ7" s="9">
        <v>30.0</v>
      </c>
      <c r="BR7" s="9">
        <v>311.0</v>
      </c>
      <c r="BS7" s="9">
        <v>260.0</v>
      </c>
      <c r="BT7" s="9">
        <v>604.0</v>
      </c>
      <c r="BU7" s="9">
        <v>5074.0</v>
      </c>
      <c r="BV7" s="9">
        <v>197.0</v>
      </c>
      <c r="BW7" s="9">
        <v>321.0</v>
      </c>
      <c r="BX7" s="9">
        <v>0.0</v>
      </c>
      <c r="BY7" s="9">
        <v>3702.0</v>
      </c>
      <c r="BZ7" s="9">
        <v>854.0</v>
      </c>
      <c r="CA7" s="9">
        <v>53705.0</v>
      </c>
    </row>
    <row r="8">
      <c r="A8" s="9" t="s">
        <v>164</v>
      </c>
      <c r="B8" s="9">
        <v>10585.0</v>
      </c>
      <c r="C8" s="9">
        <v>226.0</v>
      </c>
      <c r="D8" s="9">
        <v>3669.0</v>
      </c>
      <c r="E8" s="9">
        <v>957.0</v>
      </c>
      <c r="F8" s="9">
        <v>913.0</v>
      </c>
      <c r="G8" s="9">
        <v>2449.0</v>
      </c>
      <c r="H8" s="9">
        <v>825.0</v>
      </c>
      <c r="I8" s="9">
        <v>888.0</v>
      </c>
      <c r="J8" s="9">
        <v>112.0</v>
      </c>
      <c r="K8" s="9">
        <v>405.0</v>
      </c>
      <c r="L8" s="9">
        <v>141.0</v>
      </c>
      <c r="M8" s="9">
        <v>377.0</v>
      </c>
      <c r="N8" s="9">
        <v>355.0</v>
      </c>
      <c r="O8" s="9">
        <v>22.0</v>
      </c>
      <c r="P8" s="9">
        <v>13497.0</v>
      </c>
      <c r="Q8" s="9">
        <v>398.0</v>
      </c>
      <c r="R8" s="9">
        <v>61.0</v>
      </c>
      <c r="S8" s="9">
        <v>11.0</v>
      </c>
      <c r="T8" s="9">
        <v>419.0</v>
      </c>
      <c r="U8" s="9">
        <v>9.0</v>
      </c>
      <c r="V8" s="9">
        <v>4539.0</v>
      </c>
      <c r="W8" s="9">
        <v>328.0</v>
      </c>
      <c r="X8" s="9">
        <v>7539.0</v>
      </c>
      <c r="Y8" s="9">
        <v>193.0</v>
      </c>
      <c r="Z8" s="9">
        <v>11612.0</v>
      </c>
      <c r="AA8" s="9">
        <v>7345.0</v>
      </c>
      <c r="AB8" s="9">
        <v>3123.0</v>
      </c>
      <c r="AC8" s="9">
        <v>1144.0</v>
      </c>
      <c r="AD8" s="9">
        <v>154.0</v>
      </c>
      <c r="AE8" s="9">
        <v>131.0</v>
      </c>
      <c r="AF8" s="9">
        <v>1.0</v>
      </c>
      <c r="AG8" s="9">
        <v>22.0</v>
      </c>
      <c r="AH8" s="9">
        <v>1817.0</v>
      </c>
      <c r="AI8" s="9">
        <v>77.0</v>
      </c>
      <c r="AJ8" s="9">
        <v>195.0</v>
      </c>
      <c r="AK8" s="9">
        <v>297.0</v>
      </c>
      <c r="AL8" s="9">
        <v>517.0</v>
      </c>
      <c r="AM8" s="9">
        <v>155.0</v>
      </c>
      <c r="AN8" s="9">
        <v>15.0</v>
      </c>
      <c r="AO8" s="9">
        <v>192.0</v>
      </c>
      <c r="AP8" s="9">
        <v>94.0</v>
      </c>
      <c r="AQ8" s="9">
        <v>275.0</v>
      </c>
      <c r="AR8" s="9">
        <v>7078.0</v>
      </c>
      <c r="AS8" s="9">
        <v>259.0</v>
      </c>
      <c r="AT8" s="9">
        <v>98.0</v>
      </c>
      <c r="AU8" s="9">
        <v>61.0</v>
      </c>
      <c r="AV8" s="9">
        <v>247.0</v>
      </c>
      <c r="AW8" s="9">
        <v>268.0</v>
      </c>
      <c r="AX8" s="9">
        <v>603.0</v>
      </c>
      <c r="AY8" s="9">
        <v>1179.0</v>
      </c>
      <c r="AZ8" s="9">
        <v>3816.0</v>
      </c>
      <c r="BA8" s="9">
        <v>547.0</v>
      </c>
      <c r="BB8" s="9">
        <v>5721.0</v>
      </c>
      <c r="BC8" s="9">
        <v>614.0</v>
      </c>
      <c r="BD8" s="9">
        <v>629.0</v>
      </c>
      <c r="BE8" s="9">
        <v>95.0</v>
      </c>
      <c r="BF8" s="9">
        <v>618.0</v>
      </c>
      <c r="BG8" s="9">
        <v>904.0</v>
      </c>
      <c r="BH8" s="9">
        <v>401.0</v>
      </c>
      <c r="BI8" s="9">
        <v>656.0</v>
      </c>
      <c r="BJ8" s="9">
        <v>887.0</v>
      </c>
      <c r="BK8" s="9">
        <v>917.0</v>
      </c>
      <c r="BL8" s="9">
        <v>1772.0</v>
      </c>
      <c r="BM8" s="9">
        <v>91.0</v>
      </c>
      <c r="BN8" s="9">
        <v>45.0</v>
      </c>
      <c r="BO8" s="9">
        <v>4.0</v>
      </c>
      <c r="BP8" s="9">
        <v>175.0</v>
      </c>
      <c r="BQ8" s="9">
        <v>36.0</v>
      </c>
      <c r="BR8" s="9">
        <v>367.0</v>
      </c>
      <c r="BS8" s="9">
        <v>338.0</v>
      </c>
      <c r="BT8" s="9">
        <v>716.0</v>
      </c>
      <c r="BU8" s="9">
        <v>5759.0</v>
      </c>
      <c r="BV8" s="9">
        <v>203.0</v>
      </c>
      <c r="BW8" s="9">
        <v>289.0</v>
      </c>
      <c r="BX8" s="9">
        <v>0.0</v>
      </c>
      <c r="BY8" s="9">
        <v>4476.0</v>
      </c>
      <c r="BZ8" s="9">
        <v>791.0</v>
      </c>
      <c r="CA8" s="9">
        <v>58372.0</v>
      </c>
    </row>
    <row r="9">
      <c r="A9" s="9" t="s">
        <v>165</v>
      </c>
      <c r="B9" s="9">
        <v>12435.0</v>
      </c>
      <c r="C9" s="9">
        <v>289.0</v>
      </c>
      <c r="D9" s="9">
        <v>3958.0</v>
      </c>
      <c r="E9" s="9">
        <v>1169.0</v>
      </c>
      <c r="F9" s="9">
        <v>1058.0</v>
      </c>
      <c r="G9" s="9">
        <v>3102.0</v>
      </c>
      <c r="H9" s="9">
        <v>912.0</v>
      </c>
      <c r="I9" s="9">
        <v>1210.0</v>
      </c>
      <c r="J9" s="9">
        <v>146.0</v>
      </c>
      <c r="K9" s="9">
        <v>430.0</v>
      </c>
      <c r="L9" s="9">
        <v>161.0</v>
      </c>
      <c r="M9" s="9">
        <v>492.0</v>
      </c>
      <c r="N9" s="9">
        <v>457.0</v>
      </c>
      <c r="O9" s="9">
        <v>35.0</v>
      </c>
      <c r="P9" s="9">
        <v>12753.0</v>
      </c>
      <c r="Q9" s="9">
        <v>378.0</v>
      </c>
      <c r="R9" s="9">
        <v>84.0</v>
      </c>
      <c r="S9" s="9">
        <v>10.0</v>
      </c>
      <c r="T9" s="9">
        <v>531.0</v>
      </c>
      <c r="U9" s="9">
        <v>13.0</v>
      </c>
      <c r="V9" s="9">
        <v>3662.0</v>
      </c>
      <c r="W9" s="9">
        <v>370.0</v>
      </c>
      <c r="X9" s="9">
        <v>7499.0</v>
      </c>
      <c r="Y9" s="9">
        <v>206.0</v>
      </c>
      <c r="Z9" s="9">
        <v>11983.0</v>
      </c>
      <c r="AA9" s="9">
        <v>7798.0</v>
      </c>
      <c r="AB9" s="9">
        <v>2964.0</v>
      </c>
      <c r="AC9" s="9">
        <v>1221.0</v>
      </c>
      <c r="AD9" s="9">
        <v>209.0</v>
      </c>
      <c r="AE9" s="9">
        <v>173.0</v>
      </c>
      <c r="AF9" s="9">
        <v>2.0</v>
      </c>
      <c r="AG9" s="9">
        <v>34.0</v>
      </c>
      <c r="AH9" s="9">
        <v>2189.0</v>
      </c>
      <c r="AI9" s="9">
        <v>83.0</v>
      </c>
      <c r="AJ9" s="9">
        <v>221.0</v>
      </c>
      <c r="AK9" s="9">
        <v>354.0</v>
      </c>
      <c r="AL9" s="9">
        <v>639.0</v>
      </c>
      <c r="AM9" s="9">
        <v>191.0</v>
      </c>
      <c r="AN9" s="9">
        <v>14.0</v>
      </c>
      <c r="AO9" s="9">
        <v>211.0</v>
      </c>
      <c r="AP9" s="9">
        <v>111.0</v>
      </c>
      <c r="AQ9" s="9">
        <v>365.0</v>
      </c>
      <c r="AR9" s="9">
        <v>7575.0</v>
      </c>
      <c r="AS9" s="9">
        <v>327.0</v>
      </c>
      <c r="AT9" s="9">
        <v>117.0</v>
      </c>
      <c r="AU9" s="9">
        <v>88.0</v>
      </c>
      <c r="AV9" s="9">
        <v>253.0</v>
      </c>
      <c r="AW9" s="9">
        <v>355.0</v>
      </c>
      <c r="AX9" s="9">
        <v>580.0</v>
      </c>
      <c r="AY9" s="9">
        <v>1380.0</v>
      </c>
      <c r="AZ9" s="9">
        <v>3895.0</v>
      </c>
      <c r="BA9" s="9">
        <v>580.0</v>
      </c>
      <c r="BB9" s="9">
        <v>7020.0</v>
      </c>
      <c r="BC9" s="9">
        <v>624.0</v>
      </c>
      <c r="BD9" s="9">
        <v>801.0</v>
      </c>
      <c r="BE9" s="9">
        <v>97.0</v>
      </c>
      <c r="BF9" s="9">
        <v>817.0</v>
      </c>
      <c r="BG9" s="9">
        <v>1169.0</v>
      </c>
      <c r="BH9" s="9">
        <v>436.0</v>
      </c>
      <c r="BI9" s="9">
        <v>886.0</v>
      </c>
      <c r="BJ9" s="9">
        <v>1096.0</v>
      </c>
      <c r="BK9" s="9">
        <v>1094.0</v>
      </c>
      <c r="BL9" s="9">
        <v>2000.0</v>
      </c>
      <c r="BM9" s="9">
        <v>46.0</v>
      </c>
      <c r="BN9" s="9">
        <v>75.0</v>
      </c>
      <c r="BO9" s="9">
        <v>10.0</v>
      </c>
      <c r="BP9" s="9">
        <v>222.0</v>
      </c>
      <c r="BQ9" s="9">
        <v>52.0</v>
      </c>
      <c r="BR9" s="9">
        <v>388.0</v>
      </c>
      <c r="BS9" s="9">
        <v>445.0</v>
      </c>
      <c r="BT9" s="9">
        <v>762.0</v>
      </c>
      <c r="BU9" s="9">
        <v>6093.0</v>
      </c>
      <c r="BV9" s="9">
        <v>295.0</v>
      </c>
      <c r="BW9" s="9">
        <v>222.0</v>
      </c>
      <c r="BX9" s="9">
        <v>0.0</v>
      </c>
      <c r="BY9" s="9">
        <v>4683.0</v>
      </c>
      <c r="BZ9" s="9">
        <v>893.0</v>
      </c>
      <c r="CA9" s="9">
        <v>62749.0</v>
      </c>
    </row>
    <row r="10">
      <c r="A10" s="9" t="s">
        <v>166</v>
      </c>
      <c r="B10" s="9">
        <v>13394.0</v>
      </c>
      <c r="C10" s="9">
        <v>359.0</v>
      </c>
      <c r="D10" s="9">
        <v>3799.0</v>
      </c>
      <c r="E10" s="9">
        <v>1423.0</v>
      </c>
      <c r="F10" s="9">
        <v>1092.0</v>
      </c>
      <c r="G10" s="9">
        <v>3340.0</v>
      </c>
      <c r="H10" s="9">
        <v>926.0</v>
      </c>
      <c r="I10" s="9">
        <v>1672.0</v>
      </c>
      <c r="J10" s="9">
        <v>173.0</v>
      </c>
      <c r="K10" s="9">
        <v>403.0</v>
      </c>
      <c r="L10" s="9">
        <v>207.0</v>
      </c>
      <c r="M10" s="9">
        <v>531.0</v>
      </c>
      <c r="N10" s="9">
        <v>493.0</v>
      </c>
      <c r="O10" s="9">
        <v>38.0</v>
      </c>
      <c r="P10" s="9">
        <v>13074.0</v>
      </c>
      <c r="Q10" s="9">
        <v>452.0</v>
      </c>
      <c r="R10" s="9">
        <v>128.0</v>
      </c>
      <c r="S10" s="9">
        <v>12.0</v>
      </c>
      <c r="T10" s="9">
        <v>531.0</v>
      </c>
      <c r="U10" s="9">
        <v>27.0</v>
      </c>
      <c r="V10" s="9">
        <v>4287.0</v>
      </c>
      <c r="W10" s="9">
        <v>352.0</v>
      </c>
      <c r="X10" s="9">
        <v>7074.0</v>
      </c>
      <c r="Y10" s="9">
        <v>211.0</v>
      </c>
      <c r="Z10" s="9">
        <v>10671.0</v>
      </c>
      <c r="AA10" s="9">
        <v>6750.0</v>
      </c>
      <c r="AB10" s="9">
        <v>2705.0</v>
      </c>
      <c r="AC10" s="9">
        <v>1216.0</v>
      </c>
      <c r="AD10" s="9">
        <v>223.0</v>
      </c>
      <c r="AE10" s="9">
        <v>184.0</v>
      </c>
      <c r="AF10" s="9">
        <v>7.0</v>
      </c>
      <c r="AG10" s="9">
        <v>32.0</v>
      </c>
      <c r="AH10" s="9">
        <v>2467.0</v>
      </c>
      <c r="AI10" s="9">
        <v>85.0</v>
      </c>
      <c r="AJ10" s="9">
        <v>277.0</v>
      </c>
      <c r="AK10" s="9">
        <v>372.0</v>
      </c>
      <c r="AL10" s="9">
        <v>729.0</v>
      </c>
      <c r="AM10" s="9">
        <v>235.0</v>
      </c>
      <c r="AN10" s="9">
        <v>23.0</v>
      </c>
      <c r="AO10" s="9">
        <v>209.0</v>
      </c>
      <c r="AP10" s="9">
        <v>123.0</v>
      </c>
      <c r="AQ10" s="9">
        <v>414.0</v>
      </c>
      <c r="AR10" s="9">
        <v>8280.0</v>
      </c>
      <c r="AS10" s="9">
        <v>426.0</v>
      </c>
      <c r="AT10" s="9">
        <v>126.0</v>
      </c>
      <c r="AU10" s="9">
        <v>89.0</v>
      </c>
      <c r="AV10" s="9">
        <v>253.0</v>
      </c>
      <c r="AW10" s="9">
        <v>417.0</v>
      </c>
      <c r="AX10" s="9">
        <v>787.0</v>
      </c>
      <c r="AY10" s="9">
        <v>1505.0</v>
      </c>
      <c r="AZ10" s="9">
        <v>3994.0</v>
      </c>
      <c r="BA10" s="9">
        <v>683.0</v>
      </c>
      <c r="BB10" s="9">
        <v>7606.0</v>
      </c>
      <c r="BC10" s="9">
        <v>602.0</v>
      </c>
      <c r="BD10" s="9">
        <v>806.0</v>
      </c>
      <c r="BE10" s="9">
        <v>120.0</v>
      </c>
      <c r="BF10" s="9">
        <v>935.0</v>
      </c>
      <c r="BG10" s="9">
        <v>1509.0</v>
      </c>
      <c r="BH10" s="9">
        <v>689.0</v>
      </c>
      <c r="BI10" s="9">
        <v>1088.0</v>
      </c>
      <c r="BJ10" s="9">
        <v>1014.0</v>
      </c>
      <c r="BK10" s="9">
        <v>843.0</v>
      </c>
      <c r="BL10" s="9">
        <v>2235.0</v>
      </c>
      <c r="BM10" s="9">
        <v>48.0</v>
      </c>
      <c r="BN10" s="9">
        <v>75.0</v>
      </c>
      <c r="BO10" s="9">
        <v>13.0</v>
      </c>
      <c r="BP10" s="9">
        <v>288.0</v>
      </c>
      <c r="BQ10" s="9">
        <v>56.0</v>
      </c>
      <c r="BR10" s="9">
        <v>444.0</v>
      </c>
      <c r="BS10" s="9">
        <v>483.0</v>
      </c>
      <c r="BT10" s="9">
        <v>828.0</v>
      </c>
      <c r="BU10" s="9">
        <v>6281.0</v>
      </c>
      <c r="BV10" s="9">
        <v>381.0</v>
      </c>
      <c r="BW10" s="9">
        <v>246.0</v>
      </c>
      <c r="BX10" s="9">
        <v>0.0</v>
      </c>
      <c r="BY10" s="9">
        <v>4671.0</v>
      </c>
      <c r="BZ10" s="9">
        <v>983.0</v>
      </c>
      <c r="CA10" s="9">
        <v>64762.0</v>
      </c>
    </row>
    <row r="11">
      <c r="A11" s="9" t="s">
        <v>167</v>
      </c>
      <c r="B11" s="9">
        <v>13073.0</v>
      </c>
      <c r="C11" s="9">
        <v>576.0</v>
      </c>
      <c r="D11" s="9">
        <v>3539.0</v>
      </c>
      <c r="E11" s="9">
        <v>1495.0</v>
      </c>
      <c r="F11" s="9">
        <v>1160.0</v>
      </c>
      <c r="G11" s="9">
        <v>2689.0</v>
      </c>
      <c r="H11" s="9">
        <v>921.0</v>
      </c>
      <c r="I11" s="9">
        <v>1877.0</v>
      </c>
      <c r="J11" s="9">
        <v>181.0</v>
      </c>
      <c r="K11" s="9">
        <v>412.0</v>
      </c>
      <c r="L11" s="9">
        <v>223.0</v>
      </c>
      <c r="M11" s="9">
        <v>585.0</v>
      </c>
      <c r="N11" s="9">
        <v>542.0</v>
      </c>
      <c r="O11" s="9">
        <v>43.0</v>
      </c>
      <c r="P11" s="9">
        <v>14647.0</v>
      </c>
      <c r="Q11" s="9">
        <v>492.0</v>
      </c>
      <c r="R11" s="9">
        <v>122.0</v>
      </c>
      <c r="S11" s="9">
        <v>13.0</v>
      </c>
      <c r="T11" s="9">
        <v>647.0</v>
      </c>
      <c r="U11" s="9">
        <v>47.0</v>
      </c>
      <c r="V11" s="9">
        <v>4404.0</v>
      </c>
      <c r="W11" s="9">
        <v>427.0</v>
      </c>
      <c r="X11" s="9">
        <v>8270.0</v>
      </c>
      <c r="Y11" s="9">
        <v>225.0</v>
      </c>
      <c r="Z11" s="9">
        <v>11980.0</v>
      </c>
      <c r="AA11" s="9">
        <v>7433.0</v>
      </c>
      <c r="AB11" s="9">
        <v>3029.0</v>
      </c>
      <c r="AC11" s="9">
        <v>1518.0</v>
      </c>
      <c r="AD11" s="9">
        <v>256.0</v>
      </c>
      <c r="AE11" s="9">
        <v>216.0</v>
      </c>
      <c r="AF11" s="9">
        <v>2.0</v>
      </c>
      <c r="AG11" s="9">
        <v>38.0</v>
      </c>
      <c r="AH11" s="9">
        <v>2908.0</v>
      </c>
      <c r="AI11" s="9">
        <v>80.0</v>
      </c>
      <c r="AJ11" s="9">
        <v>356.0</v>
      </c>
      <c r="AK11" s="9">
        <v>425.0</v>
      </c>
      <c r="AL11" s="9">
        <v>834.0</v>
      </c>
      <c r="AM11" s="9">
        <v>279.0</v>
      </c>
      <c r="AN11" s="9">
        <v>29.0</v>
      </c>
      <c r="AO11" s="9">
        <v>340.0</v>
      </c>
      <c r="AP11" s="9">
        <v>159.0</v>
      </c>
      <c r="AQ11" s="9">
        <v>406.0</v>
      </c>
      <c r="AR11" s="9">
        <v>9791.0</v>
      </c>
      <c r="AS11" s="9">
        <v>504.0</v>
      </c>
      <c r="AT11" s="9">
        <v>151.0</v>
      </c>
      <c r="AU11" s="9">
        <v>103.0</v>
      </c>
      <c r="AV11" s="9">
        <v>280.0</v>
      </c>
      <c r="AW11" s="9">
        <v>518.0</v>
      </c>
      <c r="AX11" s="9">
        <v>680.0</v>
      </c>
      <c r="AY11" s="9">
        <v>1767.0</v>
      </c>
      <c r="AZ11" s="9">
        <v>5094.0</v>
      </c>
      <c r="BA11" s="9">
        <v>694.0</v>
      </c>
      <c r="BB11" s="9">
        <v>9164.0</v>
      </c>
      <c r="BC11" s="9">
        <v>799.0</v>
      </c>
      <c r="BD11" s="9">
        <v>1063.0</v>
      </c>
      <c r="BE11" s="9">
        <v>142.0</v>
      </c>
      <c r="BF11" s="9">
        <v>1015.0</v>
      </c>
      <c r="BG11" s="9">
        <v>1753.0</v>
      </c>
      <c r="BH11" s="9">
        <v>689.0</v>
      </c>
      <c r="BI11" s="9">
        <v>1359.0</v>
      </c>
      <c r="BJ11" s="9">
        <v>1126.0</v>
      </c>
      <c r="BK11" s="9">
        <v>1218.0</v>
      </c>
      <c r="BL11" s="9">
        <v>2496.0</v>
      </c>
      <c r="BM11" s="9">
        <v>65.0</v>
      </c>
      <c r="BN11" s="9">
        <v>86.0</v>
      </c>
      <c r="BO11" s="9">
        <v>12.0</v>
      </c>
      <c r="BP11" s="9">
        <v>302.0</v>
      </c>
      <c r="BQ11" s="9">
        <v>63.0</v>
      </c>
      <c r="BR11" s="9">
        <v>469.0</v>
      </c>
      <c r="BS11" s="9">
        <v>530.0</v>
      </c>
      <c r="BT11" s="9">
        <v>969.0</v>
      </c>
      <c r="BU11" s="9">
        <v>6785.0</v>
      </c>
      <c r="BV11" s="9">
        <v>424.0</v>
      </c>
      <c r="BW11" s="9">
        <v>163.0</v>
      </c>
      <c r="BX11" s="9">
        <v>0.0</v>
      </c>
      <c r="BY11" s="9">
        <v>5263.0</v>
      </c>
      <c r="BZ11" s="9">
        <v>935.0</v>
      </c>
      <c r="CA11" s="9">
        <v>71685.0</v>
      </c>
    </row>
    <row r="12">
      <c r="A12" s="9" t="s">
        <v>168</v>
      </c>
      <c r="B12" s="9">
        <v>15804.0</v>
      </c>
      <c r="C12" s="9">
        <v>659.0</v>
      </c>
      <c r="D12" s="9">
        <v>2892.0</v>
      </c>
      <c r="E12" s="9">
        <v>1760.0</v>
      </c>
      <c r="F12" s="9">
        <v>1050.0</v>
      </c>
      <c r="G12" s="9">
        <v>5761.0</v>
      </c>
      <c r="H12" s="9">
        <v>1084.0</v>
      </c>
      <c r="I12" s="9">
        <v>1649.0</v>
      </c>
      <c r="J12" s="9">
        <v>196.0</v>
      </c>
      <c r="K12" s="9">
        <v>500.0</v>
      </c>
      <c r="L12" s="9">
        <v>253.0</v>
      </c>
      <c r="M12" s="9">
        <v>740.0</v>
      </c>
      <c r="N12" s="9">
        <v>677.0</v>
      </c>
      <c r="O12" s="9">
        <v>63.0</v>
      </c>
      <c r="P12" s="9">
        <v>15023.0</v>
      </c>
      <c r="Q12" s="9">
        <v>496.0</v>
      </c>
      <c r="R12" s="9">
        <v>218.0</v>
      </c>
      <c r="S12" s="9">
        <v>12.0</v>
      </c>
      <c r="T12" s="9">
        <v>621.0</v>
      </c>
      <c r="U12" s="9">
        <v>14.0</v>
      </c>
      <c r="V12" s="9">
        <v>4285.0</v>
      </c>
      <c r="W12" s="9">
        <v>384.0</v>
      </c>
      <c r="X12" s="9">
        <v>8771.0</v>
      </c>
      <c r="Y12" s="9">
        <v>222.0</v>
      </c>
      <c r="Z12" s="9">
        <v>13002.0</v>
      </c>
      <c r="AA12" s="9">
        <v>7818.0</v>
      </c>
      <c r="AB12" s="9">
        <v>3508.0</v>
      </c>
      <c r="AC12" s="9">
        <v>1676.0</v>
      </c>
      <c r="AD12" s="9">
        <v>237.0</v>
      </c>
      <c r="AE12" s="9">
        <v>194.0</v>
      </c>
      <c r="AF12" s="9">
        <v>10.0</v>
      </c>
      <c r="AG12" s="9">
        <v>33.0</v>
      </c>
      <c r="AH12" s="9">
        <v>3001.0</v>
      </c>
      <c r="AI12" s="9">
        <v>91.0</v>
      </c>
      <c r="AJ12" s="9">
        <v>333.0</v>
      </c>
      <c r="AK12" s="9">
        <v>420.0</v>
      </c>
      <c r="AL12" s="9">
        <v>942.0</v>
      </c>
      <c r="AM12" s="9">
        <v>300.0</v>
      </c>
      <c r="AN12" s="9">
        <v>23.0</v>
      </c>
      <c r="AO12" s="9">
        <v>299.0</v>
      </c>
      <c r="AP12" s="9">
        <v>153.0</v>
      </c>
      <c r="AQ12" s="9">
        <v>440.0</v>
      </c>
      <c r="AR12" s="9">
        <v>9429.0</v>
      </c>
      <c r="AS12" s="9">
        <v>471.0</v>
      </c>
      <c r="AT12" s="9">
        <v>159.0</v>
      </c>
      <c r="AU12" s="9">
        <v>109.0</v>
      </c>
      <c r="AV12" s="9">
        <v>343.0</v>
      </c>
      <c r="AW12" s="9">
        <v>566.0</v>
      </c>
      <c r="AX12" s="9">
        <v>770.0</v>
      </c>
      <c r="AY12" s="9">
        <v>1623.0</v>
      </c>
      <c r="AZ12" s="9">
        <v>4619.0</v>
      </c>
      <c r="BA12" s="9">
        <v>769.0</v>
      </c>
      <c r="BB12" s="9">
        <v>9955.0</v>
      </c>
      <c r="BC12" s="9">
        <v>878.0</v>
      </c>
      <c r="BD12" s="9">
        <v>1089.0</v>
      </c>
      <c r="BE12" s="9">
        <v>200.0</v>
      </c>
      <c r="BF12" s="9">
        <v>1219.0</v>
      </c>
      <c r="BG12" s="9">
        <v>1781.0</v>
      </c>
      <c r="BH12" s="9">
        <v>655.0</v>
      </c>
      <c r="BI12" s="9">
        <v>1347.0</v>
      </c>
      <c r="BJ12" s="9">
        <v>1538.0</v>
      </c>
      <c r="BK12" s="9">
        <v>1248.0</v>
      </c>
      <c r="BL12" s="9">
        <v>2813.0</v>
      </c>
      <c r="BM12" s="9">
        <v>85.0</v>
      </c>
      <c r="BN12" s="9">
        <v>99.0</v>
      </c>
      <c r="BO12" s="9">
        <v>14.0</v>
      </c>
      <c r="BP12" s="9">
        <v>339.0</v>
      </c>
      <c r="BQ12" s="9">
        <v>64.0</v>
      </c>
      <c r="BR12" s="9">
        <v>596.0</v>
      </c>
      <c r="BS12" s="9">
        <v>578.0</v>
      </c>
      <c r="BT12" s="9">
        <v>1038.0</v>
      </c>
      <c r="BU12" s="9">
        <v>6987.0</v>
      </c>
      <c r="BV12" s="9">
        <v>508.0</v>
      </c>
      <c r="BW12" s="9">
        <v>126.0</v>
      </c>
      <c r="BX12" s="9">
        <v>0.0</v>
      </c>
      <c r="BY12" s="9">
        <v>5236.0</v>
      </c>
      <c r="BZ12" s="9">
        <v>1117.0</v>
      </c>
      <c r="CA12" s="9">
        <v>76991.0</v>
      </c>
    </row>
    <row r="13">
      <c r="A13" s="9" t="s">
        <v>169</v>
      </c>
      <c r="B13" s="9">
        <v>17197.0</v>
      </c>
      <c r="C13" s="9">
        <v>743.0</v>
      </c>
      <c r="D13" s="9">
        <v>3442.0</v>
      </c>
      <c r="E13" s="9">
        <v>1834.0</v>
      </c>
      <c r="F13" s="9">
        <v>1203.0</v>
      </c>
      <c r="G13" s="9">
        <v>6042.0</v>
      </c>
      <c r="H13" s="9">
        <v>1156.0</v>
      </c>
      <c r="I13" s="9">
        <v>1723.0</v>
      </c>
      <c r="J13" s="9">
        <v>193.0</v>
      </c>
      <c r="K13" s="9">
        <v>558.0</v>
      </c>
      <c r="L13" s="9">
        <v>303.0</v>
      </c>
      <c r="M13" s="9">
        <v>890.0</v>
      </c>
      <c r="N13" s="9">
        <v>835.0</v>
      </c>
      <c r="O13" s="9">
        <v>55.0</v>
      </c>
      <c r="P13" s="9">
        <v>17150.0</v>
      </c>
      <c r="Q13" s="9">
        <v>546.0</v>
      </c>
      <c r="R13" s="9">
        <v>255.0</v>
      </c>
      <c r="S13" s="9">
        <v>11.0</v>
      </c>
      <c r="T13" s="9">
        <v>683.0</v>
      </c>
      <c r="U13" s="9">
        <v>19.0</v>
      </c>
      <c r="V13" s="9">
        <v>5225.0</v>
      </c>
      <c r="W13" s="9">
        <v>383.0</v>
      </c>
      <c r="X13" s="9">
        <v>9801.0</v>
      </c>
      <c r="Y13" s="9">
        <v>227.0</v>
      </c>
      <c r="Z13" s="9">
        <v>14966.0</v>
      </c>
      <c r="AA13" s="9">
        <v>8821.0</v>
      </c>
      <c r="AB13" s="9">
        <v>4102.0</v>
      </c>
      <c r="AC13" s="9">
        <v>2043.0</v>
      </c>
      <c r="AD13" s="9">
        <v>270.0</v>
      </c>
      <c r="AE13" s="9">
        <v>196.0</v>
      </c>
      <c r="AF13" s="9">
        <v>30.0</v>
      </c>
      <c r="AG13" s="9">
        <v>44.0</v>
      </c>
      <c r="AH13" s="9">
        <v>3213.0</v>
      </c>
      <c r="AI13" s="9">
        <v>143.0</v>
      </c>
      <c r="AJ13" s="9">
        <v>328.0</v>
      </c>
      <c r="AK13" s="9">
        <v>439.0</v>
      </c>
      <c r="AL13" s="9">
        <v>1058.0</v>
      </c>
      <c r="AM13" s="9">
        <v>298.0</v>
      </c>
      <c r="AN13" s="9">
        <v>21.0</v>
      </c>
      <c r="AO13" s="9">
        <v>318.0</v>
      </c>
      <c r="AP13" s="9">
        <v>162.0</v>
      </c>
      <c r="AQ13" s="9">
        <v>446.0</v>
      </c>
      <c r="AR13" s="9">
        <v>9917.0</v>
      </c>
      <c r="AS13" s="9">
        <v>510.0</v>
      </c>
      <c r="AT13" s="9">
        <v>163.0</v>
      </c>
      <c r="AU13" s="9">
        <v>107.0</v>
      </c>
      <c r="AV13" s="9">
        <v>416.0</v>
      </c>
      <c r="AW13" s="9">
        <v>626.0</v>
      </c>
      <c r="AX13" s="9">
        <v>783.0</v>
      </c>
      <c r="AY13" s="9">
        <v>1666.0</v>
      </c>
      <c r="AZ13" s="9">
        <v>4897.0</v>
      </c>
      <c r="BA13" s="9">
        <v>749.0</v>
      </c>
      <c r="BB13" s="9">
        <v>11314.0</v>
      </c>
      <c r="BC13" s="9">
        <v>1035.0</v>
      </c>
      <c r="BD13" s="9">
        <v>1189.0</v>
      </c>
      <c r="BE13" s="9">
        <v>221.0</v>
      </c>
      <c r="BF13" s="9">
        <v>1146.0</v>
      </c>
      <c r="BG13" s="9">
        <v>1674.0</v>
      </c>
      <c r="BH13" s="9">
        <v>987.0</v>
      </c>
      <c r="BI13" s="9">
        <v>1262.0</v>
      </c>
      <c r="BJ13" s="9">
        <v>1869.0</v>
      </c>
      <c r="BK13" s="9">
        <v>1931.0</v>
      </c>
      <c r="BL13" s="9">
        <v>3051.0</v>
      </c>
      <c r="BM13" s="9">
        <v>87.0</v>
      </c>
      <c r="BN13" s="9">
        <v>97.0</v>
      </c>
      <c r="BO13" s="9">
        <v>14.0</v>
      </c>
      <c r="BP13" s="9">
        <v>376.0</v>
      </c>
      <c r="BQ13" s="9">
        <v>59.0</v>
      </c>
      <c r="BR13" s="9">
        <v>710.0</v>
      </c>
      <c r="BS13" s="9">
        <v>665.0</v>
      </c>
      <c r="BT13" s="9">
        <v>1043.0</v>
      </c>
      <c r="BU13" s="9">
        <v>6802.0</v>
      </c>
      <c r="BV13" s="9">
        <v>530.0</v>
      </c>
      <c r="BW13" s="9">
        <v>128.0</v>
      </c>
      <c r="BX13" s="9">
        <v>1.0</v>
      </c>
      <c r="BY13" s="9">
        <v>4923.0</v>
      </c>
      <c r="BZ13" s="9">
        <v>1220.0</v>
      </c>
      <c r="CA13" s="9">
        <v>84770.0</v>
      </c>
    </row>
    <row r="14">
      <c r="A14" s="9" t="s">
        <v>170</v>
      </c>
      <c r="B14" s="9">
        <v>15152.0</v>
      </c>
      <c r="C14" s="9">
        <v>567.0</v>
      </c>
      <c r="D14" s="9">
        <v>3911.0</v>
      </c>
      <c r="E14" s="9">
        <v>2142.0</v>
      </c>
      <c r="F14" s="9">
        <v>1178.0</v>
      </c>
      <c r="G14" s="9">
        <v>5017.0</v>
      </c>
      <c r="H14" s="9">
        <v>1135.0</v>
      </c>
      <c r="I14" s="9">
        <v>180.0</v>
      </c>
      <c r="J14" s="9">
        <v>176.0</v>
      </c>
      <c r="K14" s="9">
        <v>545.0</v>
      </c>
      <c r="L14" s="9">
        <v>301.0</v>
      </c>
      <c r="M14" s="9">
        <v>1154.0</v>
      </c>
      <c r="N14" s="9">
        <v>1084.0</v>
      </c>
      <c r="O14" s="9">
        <v>70.0</v>
      </c>
      <c r="P14" s="9">
        <v>17908.0</v>
      </c>
      <c r="Q14" s="9">
        <v>510.0</v>
      </c>
      <c r="R14" s="9">
        <v>452.0</v>
      </c>
      <c r="S14" s="9">
        <v>10.0</v>
      </c>
      <c r="T14" s="9">
        <v>699.0</v>
      </c>
      <c r="U14" s="9">
        <v>22.0</v>
      </c>
      <c r="V14" s="9">
        <v>4503.0</v>
      </c>
      <c r="W14" s="9">
        <v>449.0</v>
      </c>
      <c r="X14" s="9">
        <v>11015.0</v>
      </c>
      <c r="Y14" s="9">
        <v>248.0</v>
      </c>
      <c r="Z14" s="9">
        <v>15078.0</v>
      </c>
      <c r="AA14" s="9">
        <v>9849.0</v>
      </c>
      <c r="AB14" s="9">
        <v>3374.0</v>
      </c>
      <c r="AC14" s="9">
        <v>1855.0</v>
      </c>
      <c r="AD14" s="9">
        <v>385.0</v>
      </c>
      <c r="AE14" s="9">
        <v>265.0</v>
      </c>
      <c r="AF14" s="9">
        <v>70.0</v>
      </c>
      <c r="AG14" s="9">
        <v>50.0</v>
      </c>
      <c r="AH14" s="9">
        <v>3388.0</v>
      </c>
      <c r="AI14" s="9">
        <v>139.0</v>
      </c>
      <c r="AJ14" s="9">
        <v>316.0</v>
      </c>
      <c r="AK14" s="9">
        <v>525.0</v>
      </c>
      <c r="AL14" s="9">
        <v>1225.0</v>
      </c>
      <c r="AM14" s="9">
        <v>283.0</v>
      </c>
      <c r="AN14" s="9">
        <v>32.0</v>
      </c>
      <c r="AO14" s="9">
        <v>237.0</v>
      </c>
      <c r="AP14" s="9">
        <v>164.0</v>
      </c>
      <c r="AQ14" s="9">
        <v>467.0</v>
      </c>
      <c r="AR14" s="9">
        <v>10428.0</v>
      </c>
      <c r="AS14" s="9">
        <v>497.0</v>
      </c>
      <c r="AT14" s="9">
        <v>169.0</v>
      </c>
      <c r="AU14" s="9">
        <v>104.0</v>
      </c>
      <c r="AV14" s="9">
        <v>421.0</v>
      </c>
      <c r="AW14" s="9">
        <v>593.0</v>
      </c>
      <c r="AX14" s="9">
        <v>698.0</v>
      </c>
      <c r="AY14" s="9">
        <v>1826.0</v>
      </c>
      <c r="AZ14" s="9">
        <v>5418.0</v>
      </c>
      <c r="BA14" s="9">
        <v>702.0</v>
      </c>
      <c r="BB14" s="9">
        <v>10656.0</v>
      </c>
      <c r="BC14" s="9">
        <v>808.0</v>
      </c>
      <c r="BD14" s="9">
        <v>1365.0</v>
      </c>
      <c r="BE14" s="9">
        <v>181.0</v>
      </c>
      <c r="BF14" s="9">
        <v>1034.0</v>
      </c>
      <c r="BG14" s="9">
        <v>1565.0</v>
      </c>
      <c r="BH14" s="9">
        <v>862.0</v>
      </c>
      <c r="BI14" s="9">
        <v>1277.0</v>
      </c>
      <c r="BJ14" s="9">
        <v>1863.0</v>
      </c>
      <c r="BK14" s="9">
        <v>1701.0</v>
      </c>
      <c r="BL14" s="9">
        <v>3345.0</v>
      </c>
      <c r="BM14" s="9">
        <v>85.0</v>
      </c>
      <c r="BN14" s="9">
        <v>98.0</v>
      </c>
      <c r="BO14" s="9">
        <v>12.0</v>
      </c>
      <c r="BP14" s="9">
        <v>365.0</v>
      </c>
      <c r="BQ14" s="9">
        <v>62.0</v>
      </c>
      <c r="BR14" s="9">
        <v>872.0</v>
      </c>
      <c r="BS14" s="9">
        <v>671.0</v>
      </c>
      <c r="BT14" s="9">
        <v>1180.0</v>
      </c>
      <c r="BU14" s="9">
        <v>11493.0</v>
      </c>
      <c r="BV14" s="9">
        <v>766.0</v>
      </c>
      <c r="BW14" s="9">
        <v>135.0</v>
      </c>
      <c r="BX14" s="9">
        <v>2.0</v>
      </c>
      <c r="BY14" s="9">
        <v>7642.0</v>
      </c>
      <c r="BZ14" s="9">
        <v>2948.0</v>
      </c>
      <c r="CA14" s="9">
        <v>88987.0</v>
      </c>
    </row>
    <row r="15">
      <c r="A15" s="9" t="s">
        <v>171</v>
      </c>
      <c r="B15" s="9">
        <v>15878.0</v>
      </c>
      <c r="C15" s="9">
        <v>698.0</v>
      </c>
      <c r="D15" s="9">
        <v>4163.0</v>
      </c>
      <c r="E15" s="9">
        <v>2209.0</v>
      </c>
      <c r="F15" s="9">
        <v>1387.0</v>
      </c>
      <c r="G15" s="9">
        <v>4882.0</v>
      </c>
      <c r="H15" s="9">
        <v>1192.0</v>
      </c>
      <c r="I15" s="9">
        <v>164.0</v>
      </c>
      <c r="J15" s="9">
        <v>213.0</v>
      </c>
      <c r="K15" s="9">
        <v>626.0</v>
      </c>
      <c r="L15" s="9">
        <v>344.0</v>
      </c>
      <c r="M15" s="9">
        <v>1402.0</v>
      </c>
      <c r="N15" s="9">
        <v>1345.0</v>
      </c>
      <c r="O15" s="9">
        <v>57.0</v>
      </c>
      <c r="P15" s="9">
        <v>16669.0</v>
      </c>
      <c r="Q15" s="9">
        <v>343.0</v>
      </c>
      <c r="R15" s="9">
        <v>777.0</v>
      </c>
      <c r="S15" s="9">
        <v>13.0</v>
      </c>
      <c r="T15" s="9">
        <v>698.0</v>
      </c>
      <c r="U15" s="9">
        <v>30.0</v>
      </c>
      <c r="V15" s="9">
        <v>3972.0</v>
      </c>
      <c r="W15" s="9">
        <v>415.0</v>
      </c>
      <c r="X15" s="9">
        <v>10164.0</v>
      </c>
      <c r="Y15" s="9">
        <v>257.0</v>
      </c>
      <c r="Z15" s="9">
        <v>14460.0</v>
      </c>
      <c r="AA15" s="9">
        <v>8406.0</v>
      </c>
      <c r="AB15" s="9">
        <v>4174.0</v>
      </c>
      <c r="AC15" s="9">
        <v>1880.0</v>
      </c>
      <c r="AD15" s="9">
        <v>328.0</v>
      </c>
      <c r="AE15" s="9">
        <v>226.0</v>
      </c>
      <c r="AF15" s="9">
        <v>51.0</v>
      </c>
      <c r="AG15" s="9">
        <v>51.0</v>
      </c>
      <c r="AH15" s="9">
        <v>3855.0</v>
      </c>
      <c r="AI15" s="9">
        <v>159.0</v>
      </c>
      <c r="AJ15" s="9">
        <v>380.0</v>
      </c>
      <c r="AK15" s="9">
        <v>524.0</v>
      </c>
      <c r="AL15" s="9">
        <v>1481.0</v>
      </c>
      <c r="AM15" s="9">
        <v>334.0</v>
      </c>
      <c r="AN15" s="9">
        <v>31.0</v>
      </c>
      <c r="AO15" s="9">
        <v>232.0</v>
      </c>
      <c r="AP15" s="9">
        <v>178.0</v>
      </c>
      <c r="AQ15" s="9">
        <v>536.0</v>
      </c>
      <c r="AR15" s="9">
        <v>10684.0</v>
      </c>
      <c r="AS15" s="9">
        <v>430.0</v>
      </c>
      <c r="AT15" s="9">
        <v>180.0</v>
      </c>
      <c r="AU15" s="9">
        <v>138.0</v>
      </c>
      <c r="AV15" s="9">
        <v>470.0</v>
      </c>
      <c r="AW15" s="9">
        <v>604.0</v>
      </c>
      <c r="AX15" s="9">
        <v>868.0</v>
      </c>
      <c r="AY15" s="9">
        <v>1362.0</v>
      </c>
      <c r="AZ15" s="9">
        <v>5974.0</v>
      </c>
      <c r="BA15" s="9">
        <v>658.0</v>
      </c>
      <c r="BB15" s="9">
        <v>10988.0</v>
      </c>
      <c r="BC15" s="9">
        <v>793.0</v>
      </c>
      <c r="BD15" s="9">
        <v>1096.0</v>
      </c>
      <c r="BE15" s="9">
        <v>197.0</v>
      </c>
      <c r="BF15" s="9">
        <v>1029.0</v>
      </c>
      <c r="BG15" s="9">
        <v>1405.0</v>
      </c>
      <c r="BH15" s="9">
        <v>906.0</v>
      </c>
      <c r="BI15" s="9">
        <v>1298.0</v>
      </c>
      <c r="BJ15" s="9">
        <v>2441.0</v>
      </c>
      <c r="BK15" s="9">
        <v>1823.0</v>
      </c>
      <c r="BL15" s="9">
        <v>3618.0</v>
      </c>
      <c r="BM15" s="9">
        <v>77.0</v>
      </c>
      <c r="BN15" s="9">
        <v>127.0</v>
      </c>
      <c r="BO15" s="9">
        <v>12.0</v>
      </c>
      <c r="BP15" s="9">
        <v>331.0</v>
      </c>
      <c r="BQ15" s="9">
        <v>63.0</v>
      </c>
      <c r="BR15" s="9">
        <v>1004.0</v>
      </c>
      <c r="BS15" s="9">
        <v>784.0</v>
      </c>
      <c r="BT15" s="9">
        <v>1220.0</v>
      </c>
      <c r="BU15" s="9">
        <v>9018.0</v>
      </c>
      <c r="BV15" s="9">
        <v>1807.0</v>
      </c>
      <c r="BW15" s="9">
        <v>98.0</v>
      </c>
      <c r="BX15" s="9">
        <v>8.0</v>
      </c>
      <c r="BY15" s="9">
        <v>4810.0</v>
      </c>
      <c r="BZ15" s="9">
        <v>2295.0</v>
      </c>
      <c r="CA15" s="9">
        <v>86900.0</v>
      </c>
    </row>
    <row r="16">
      <c r="A16" s="9" t="s">
        <v>172</v>
      </c>
      <c r="B16" s="9">
        <v>18974.0</v>
      </c>
      <c r="C16" s="9">
        <v>798.0</v>
      </c>
      <c r="D16" s="9">
        <v>5038.0</v>
      </c>
      <c r="E16" s="9">
        <v>2724.0</v>
      </c>
      <c r="F16" s="9">
        <v>1690.0</v>
      </c>
      <c r="G16" s="9">
        <v>5406.0</v>
      </c>
      <c r="H16" s="9">
        <v>1460.0</v>
      </c>
      <c r="I16" s="9">
        <v>209.0</v>
      </c>
      <c r="J16" s="9">
        <v>257.0</v>
      </c>
      <c r="K16" s="9">
        <v>977.0</v>
      </c>
      <c r="L16" s="9">
        <v>415.0</v>
      </c>
      <c r="M16" s="9">
        <v>1771.0</v>
      </c>
      <c r="N16" s="9">
        <v>1715.0</v>
      </c>
      <c r="O16" s="9">
        <v>56.0</v>
      </c>
      <c r="P16" s="9">
        <v>21236.0</v>
      </c>
      <c r="Q16" s="9">
        <v>594.0</v>
      </c>
      <c r="R16" s="9">
        <v>723.0</v>
      </c>
      <c r="S16" s="9">
        <v>11.0</v>
      </c>
      <c r="T16" s="9">
        <v>871.0</v>
      </c>
      <c r="U16" s="9">
        <v>52.0</v>
      </c>
      <c r="V16" s="9">
        <v>4879.0</v>
      </c>
      <c r="W16" s="9">
        <v>451.0</v>
      </c>
      <c r="X16" s="9">
        <v>13382.0</v>
      </c>
      <c r="Y16" s="9">
        <v>273.0</v>
      </c>
      <c r="Z16" s="9">
        <v>23041.0</v>
      </c>
      <c r="AA16" s="9">
        <v>9349.0</v>
      </c>
      <c r="AB16" s="9">
        <v>10465.0</v>
      </c>
      <c r="AC16" s="9">
        <v>3227.0</v>
      </c>
      <c r="AD16" s="9">
        <v>307.0</v>
      </c>
      <c r="AE16" s="9">
        <v>215.0</v>
      </c>
      <c r="AF16" s="9">
        <v>42.0</v>
      </c>
      <c r="AG16" s="9">
        <v>50.0</v>
      </c>
      <c r="AH16" s="9">
        <v>4716.0</v>
      </c>
      <c r="AI16" s="9">
        <v>123.0</v>
      </c>
      <c r="AJ16" s="9">
        <v>489.0</v>
      </c>
      <c r="AK16" s="9">
        <v>620.0</v>
      </c>
      <c r="AL16" s="9">
        <v>2016.0</v>
      </c>
      <c r="AM16" s="9">
        <v>377.0</v>
      </c>
      <c r="AN16" s="9">
        <v>74.0</v>
      </c>
      <c r="AO16" s="9">
        <v>218.0</v>
      </c>
      <c r="AP16" s="9">
        <v>201.0</v>
      </c>
      <c r="AQ16" s="9">
        <v>598.0</v>
      </c>
      <c r="AR16" s="9">
        <v>13571.0</v>
      </c>
      <c r="AS16" s="9">
        <v>504.0</v>
      </c>
      <c r="AT16" s="9">
        <v>165.0</v>
      </c>
      <c r="AU16" s="9">
        <v>174.0</v>
      </c>
      <c r="AV16" s="9">
        <v>565.0</v>
      </c>
      <c r="AW16" s="9">
        <v>600.0</v>
      </c>
      <c r="AX16" s="9">
        <v>1010.0</v>
      </c>
      <c r="AY16" s="9">
        <v>1172.0</v>
      </c>
      <c r="AZ16" s="9">
        <v>8715.0</v>
      </c>
      <c r="BA16" s="9">
        <v>666.0</v>
      </c>
      <c r="BB16" s="9">
        <v>12494.0</v>
      </c>
      <c r="BC16" s="9">
        <v>966.0</v>
      </c>
      <c r="BD16" s="9">
        <v>1235.0</v>
      </c>
      <c r="BE16" s="9">
        <v>256.0</v>
      </c>
      <c r="BF16" s="9">
        <v>1119.0</v>
      </c>
      <c r="BG16" s="9">
        <v>1404.0</v>
      </c>
      <c r="BH16" s="9">
        <v>1450.0</v>
      </c>
      <c r="BI16" s="9">
        <v>1502.0</v>
      </c>
      <c r="BJ16" s="9">
        <v>3275.0</v>
      </c>
      <c r="BK16" s="9">
        <v>1287.0</v>
      </c>
      <c r="BL16" s="9">
        <v>4166.0</v>
      </c>
      <c r="BM16" s="9">
        <v>84.0</v>
      </c>
      <c r="BN16" s="9">
        <v>121.0</v>
      </c>
      <c r="BO16" s="9">
        <v>14.0</v>
      </c>
      <c r="BP16" s="9">
        <v>340.0</v>
      </c>
      <c r="BQ16" s="9">
        <v>65.0</v>
      </c>
      <c r="BR16" s="9">
        <v>1132.0</v>
      </c>
      <c r="BS16" s="9">
        <v>1061.0</v>
      </c>
      <c r="BT16" s="9">
        <v>1349.0</v>
      </c>
      <c r="BU16" s="9">
        <v>10092.0</v>
      </c>
      <c r="BV16" s="9">
        <v>1792.0</v>
      </c>
      <c r="BW16" s="9">
        <v>83.0</v>
      </c>
      <c r="BX16" s="9">
        <v>5.0</v>
      </c>
      <c r="BY16" s="9">
        <v>4952.0</v>
      </c>
      <c r="BZ16" s="9">
        <v>3260.0</v>
      </c>
      <c r="CA16" s="9">
        <v>110368.0</v>
      </c>
    </row>
    <row r="17">
      <c r="A17" s="9" t="s">
        <v>173</v>
      </c>
      <c r="B17" s="9">
        <v>21988.0</v>
      </c>
      <c r="C17" s="9">
        <v>1030.0</v>
      </c>
      <c r="D17" s="9">
        <v>6369.0</v>
      </c>
      <c r="E17" s="9">
        <v>3049.0</v>
      </c>
      <c r="F17" s="9">
        <v>1711.0</v>
      </c>
      <c r="G17" s="9">
        <v>6281.0</v>
      </c>
      <c r="H17" s="9">
        <v>1634.0</v>
      </c>
      <c r="I17" s="9">
        <v>224.0</v>
      </c>
      <c r="J17" s="9">
        <v>258.0</v>
      </c>
      <c r="K17" s="9">
        <v>997.0</v>
      </c>
      <c r="L17" s="9">
        <v>435.0</v>
      </c>
      <c r="M17" s="9">
        <v>2187.0</v>
      </c>
      <c r="N17" s="9">
        <v>2115.0</v>
      </c>
      <c r="O17" s="9">
        <v>72.0</v>
      </c>
      <c r="P17" s="9">
        <v>23774.0</v>
      </c>
      <c r="Q17" s="9">
        <v>828.0</v>
      </c>
      <c r="R17" s="9">
        <v>735.0</v>
      </c>
      <c r="S17" s="9">
        <v>17.0</v>
      </c>
      <c r="T17" s="9">
        <v>859.0</v>
      </c>
      <c r="U17" s="9">
        <v>51.0</v>
      </c>
      <c r="V17" s="9">
        <v>5582.0</v>
      </c>
      <c r="W17" s="9">
        <v>531.0</v>
      </c>
      <c r="X17" s="9">
        <v>14868.0</v>
      </c>
      <c r="Y17" s="9">
        <v>303.0</v>
      </c>
      <c r="Z17" s="9">
        <v>25430.0</v>
      </c>
      <c r="AA17" s="9">
        <v>12514.0</v>
      </c>
      <c r="AB17" s="9">
        <v>9212.0</v>
      </c>
      <c r="AC17" s="9">
        <v>3704.0</v>
      </c>
      <c r="AD17" s="9">
        <v>309.0</v>
      </c>
      <c r="AE17" s="9">
        <v>217.0</v>
      </c>
      <c r="AF17" s="9">
        <v>44.0</v>
      </c>
      <c r="AG17" s="9">
        <v>48.0</v>
      </c>
      <c r="AH17" s="9">
        <v>5425.0</v>
      </c>
      <c r="AI17" s="9">
        <v>136.0</v>
      </c>
      <c r="AJ17" s="9">
        <v>564.0</v>
      </c>
      <c r="AK17" s="9">
        <v>647.0</v>
      </c>
      <c r="AL17" s="9">
        <v>2434.0</v>
      </c>
      <c r="AM17" s="9">
        <v>394.0</v>
      </c>
      <c r="AN17" s="9">
        <v>152.0</v>
      </c>
      <c r="AO17" s="9">
        <v>234.0</v>
      </c>
      <c r="AP17" s="9">
        <v>229.0</v>
      </c>
      <c r="AQ17" s="9">
        <v>635.0</v>
      </c>
      <c r="AR17" s="9">
        <v>13923.0</v>
      </c>
      <c r="AS17" s="9">
        <v>545.0</v>
      </c>
      <c r="AT17" s="9">
        <v>173.0</v>
      </c>
      <c r="AU17" s="9">
        <v>217.0</v>
      </c>
      <c r="AV17" s="9">
        <v>661.0</v>
      </c>
      <c r="AW17" s="9">
        <v>568.0</v>
      </c>
      <c r="AX17" s="9">
        <v>952.0</v>
      </c>
      <c r="AY17" s="9">
        <v>737.0</v>
      </c>
      <c r="AZ17" s="9">
        <v>9319.0</v>
      </c>
      <c r="BA17" s="9">
        <v>751.0</v>
      </c>
      <c r="BB17" s="9">
        <v>13842.0</v>
      </c>
      <c r="BC17" s="9">
        <v>750.0</v>
      </c>
      <c r="BD17" s="9">
        <v>1376.0</v>
      </c>
      <c r="BE17" s="9">
        <v>208.0</v>
      </c>
      <c r="BF17" s="9">
        <v>1303.0</v>
      </c>
      <c r="BG17" s="9">
        <v>1638.0</v>
      </c>
      <c r="BH17" s="9">
        <v>1357.0</v>
      </c>
      <c r="BI17" s="9">
        <v>1709.0</v>
      </c>
      <c r="BJ17" s="9">
        <v>4250.0</v>
      </c>
      <c r="BK17" s="9">
        <v>1251.0</v>
      </c>
      <c r="BL17" s="9">
        <v>4561.0</v>
      </c>
      <c r="BM17" s="9">
        <v>95.0</v>
      </c>
      <c r="BN17" s="9">
        <v>148.0</v>
      </c>
      <c r="BO17" s="9">
        <v>13.0</v>
      </c>
      <c r="BP17" s="9">
        <v>369.0</v>
      </c>
      <c r="BQ17" s="9">
        <v>62.0</v>
      </c>
      <c r="BR17" s="9">
        <v>1291.0</v>
      </c>
      <c r="BS17" s="9">
        <v>1113.0</v>
      </c>
      <c r="BT17" s="9">
        <v>1470.0</v>
      </c>
      <c r="BU17" s="9">
        <v>11095.0</v>
      </c>
      <c r="BV17" s="9">
        <v>2232.0</v>
      </c>
      <c r="BW17" s="9">
        <v>61.0</v>
      </c>
      <c r="BX17" s="9">
        <v>0.0</v>
      </c>
      <c r="BY17" s="9">
        <v>5157.0</v>
      </c>
      <c r="BZ17" s="9">
        <v>3645.0</v>
      </c>
      <c r="CA17" s="9">
        <v>122534.0</v>
      </c>
    </row>
    <row r="18">
      <c r="A18" s="9" t="s">
        <v>174</v>
      </c>
      <c r="B18" s="9">
        <v>21146.0</v>
      </c>
      <c r="C18" s="9">
        <v>1168.0</v>
      </c>
      <c r="D18" s="9">
        <v>5952.0</v>
      </c>
      <c r="E18" s="9">
        <v>2887.0</v>
      </c>
      <c r="F18" s="9">
        <v>1627.0</v>
      </c>
      <c r="G18" s="9">
        <v>5959.0</v>
      </c>
      <c r="H18" s="9">
        <v>1644.0</v>
      </c>
      <c r="I18" s="9">
        <v>230.0</v>
      </c>
      <c r="J18" s="9">
        <v>281.0</v>
      </c>
      <c r="K18" s="9">
        <v>959.0</v>
      </c>
      <c r="L18" s="9">
        <v>439.0</v>
      </c>
      <c r="M18" s="9">
        <v>2616.0</v>
      </c>
      <c r="N18" s="9">
        <v>2516.0</v>
      </c>
      <c r="O18" s="9">
        <v>100.0</v>
      </c>
      <c r="P18" s="9">
        <v>22042.0</v>
      </c>
      <c r="Q18" s="9">
        <v>658.0</v>
      </c>
      <c r="R18" s="9">
        <v>757.0</v>
      </c>
      <c r="S18" s="9">
        <v>19.0</v>
      </c>
      <c r="T18" s="9">
        <v>972.0</v>
      </c>
      <c r="U18" s="9">
        <v>48.0</v>
      </c>
      <c r="V18" s="9">
        <v>4896.0</v>
      </c>
      <c r="W18" s="9">
        <v>502.0</v>
      </c>
      <c r="X18" s="9">
        <v>13889.0</v>
      </c>
      <c r="Y18" s="9">
        <v>301.0</v>
      </c>
      <c r="Z18" s="9">
        <v>24700.0</v>
      </c>
      <c r="AA18" s="9">
        <v>12877.0</v>
      </c>
      <c r="AB18" s="9">
        <v>8622.0</v>
      </c>
      <c r="AC18" s="9">
        <v>3201.0</v>
      </c>
      <c r="AD18" s="9">
        <v>320.0</v>
      </c>
      <c r="AE18" s="9">
        <v>208.0</v>
      </c>
      <c r="AF18" s="9">
        <v>55.0</v>
      </c>
      <c r="AG18" s="9">
        <v>57.0</v>
      </c>
      <c r="AH18" s="9">
        <v>5073.0</v>
      </c>
      <c r="AI18" s="9">
        <v>131.0</v>
      </c>
      <c r="AJ18" s="9">
        <v>548.0</v>
      </c>
      <c r="AK18" s="9">
        <v>679.0</v>
      </c>
      <c r="AL18" s="9">
        <v>1944.0</v>
      </c>
      <c r="AM18" s="9">
        <v>492.0</v>
      </c>
      <c r="AN18" s="9">
        <v>118.0</v>
      </c>
      <c r="AO18" s="9">
        <v>234.0</v>
      </c>
      <c r="AP18" s="9">
        <v>253.0</v>
      </c>
      <c r="AQ18" s="9">
        <v>674.0</v>
      </c>
      <c r="AR18" s="9">
        <v>13461.0</v>
      </c>
      <c r="AS18" s="9">
        <v>622.0</v>
      </c>
      <c r="AT18" s="9">
        <v>141.0</v>
      </c>
      <c r="AU18" s="9">
        <v>222.0</v>
      </c>
      <c r="AV18" s="9">
        <v>790.0</v>
      </c>
      <c r="AW18" s="9">
        <v>518.0</v>
      </c>
      <c r="AX18" s="9">
        <v>923.0</v>
      </c>
      <c r="AY18" s="9">
        <v>795.0</v>
      </c>
      <c r="AZ18" s="9">
        <v>8637.0</v>
      </c>
      <c r="BA18" s="9">
        <v>813.0</v>
      </c>
      <c r="BB18" s="9">
        <v>14192.0</v>
      </c>
      <c r="BC18" s="9">
        <v>675.0</v>
      </c>
      <c r="BD18" s="9">
        <v>1367.0</v>
      </c>
      <c r="BE18" s="9">
        <v>143.0</v>
      </c>
      <c r="BF18" s="9">
        <v>1259.0</v>
      </c>
      <c r="BG18" s="9">
        <v>1610.0</v>
      </c>
      <c r="BH18" s="9">
        <v>751.0</v>
      </c>
      <c r="BI18" s="9">
        <v>1724.0</v>
      </c>
      <c r="BJ18" s="9">
        <v>4263.0</v>
      </c>
      <c r="BK18" s="9">
        <v>2400.0</v>
      </c>
      <c r="BL18" s="9">
        <v>4426.0</v>
      </c>
      <c r="BM18" s="9">
        <v>127.0</v>
      </c>
      <c r="BN18" s="9">
        <v>177.0</v>
      </c>
      <c r="BO18" s="9">
        <v>15.0</v>
      </c>
      <c r="BP18" s="9">
        <v>320.0</v>
      </c>
      <c r="BQ18" s="9">
        <v>57.0</v>
      </c>
      <c r="BR18" s="9">
        <v>1335.0</v>
      </c>
      <c r="BS18" s="9">
        <v>725.0</v>
      </c>
      <c r="BT18" s="9">
        <v>1670.0</v>
      </c>
      <c r="BU18" s="9">
        <v>11471.0</v>
      </c>
      <c r="BV18" s="9">
        <v>2493.0</v>
      </c>
      <c r="BW18" s="9">
        <v>68.0</v>
      </c>
      <c r="BX18" s="9">
        <v>0.0</v>
      </c>
      <c r="BY18" s="9">
        <v>5307.0</v>
      </c>
      <c r="BZ18" s="9">
        <v>3603.0</v>
      </c>
      <c r="CA18" s="9">
        <v>119447.0</v>
      </c>
    </row>
    <row r="19">
      <c r="A19" s="9" t="s">
        <v>175</v>
      </c>
      <c r="B19" s="9">
        <v>16388.0</v>
      </c>
      <c r="C19" s="9">
        <v>969.0</v>
      </c>
      <c r="D19" s="9">
        <v>5309.0</v>
      </c>
      <c r="E19" s="9">
        <v>2071.0</v>
      </c>
      <c r="F19" s="9">
        <v>1351.0</v>
      </c>
      <c r="G19" s="9">
        <v>3651.0</v>
      </c>
      <c r="H19" s="9">
        <v>1231.0</v>
      </c>
      <c r="I19" s="9">
        <v>178.0</v>
      </c>
      <c r="J19" s="9">
        <v>281.0</v>
      </c>
      <c r="K19" s="9">
        <v>868.0</v>
      </c>
      <c r="L19" s="9">
        <v>479.0</v>
      </c>
      <c r="M19" s="9">
        <v>2626.0</v>
      </c>
      <c r="N19" s="9">
        <v>2528.0</v>
      </c>
      <c r="O19" s="9">
        <v>98.0</v>
      </c>
      <c r="P19" s="9">
        <v>20198.0</v>
      </c>
      <c r="Q19" s="9">
        <v>637.0</v>
      </c>
      <c r="R19" s="9">
        <v>373.0</v>
      </c>
      <c r="S19" s="9">
        <v>16.0</v>
      </c>
      <c r="T19" s="9">
        <v>959.0</v>
      </c>
      <c r="U19" s="9">
        <v>56.0</v>
      </c>
      <c r="V19" s="9">
        <v>3497.0</v>
      </c>
      <c r="W19" s="9">
        <v>450.0</v>
      </c>
      <c r="X19" s="9">
        <v>13968.0</v>
      </c>
      <c r="Y19" s="9">
        <v>242.0</v>
      </c>
      <c r="Z19" s="9">
        <v>21345.0</v>
      </c>
      <c r="AA19" s="9">
        <v>10900.0</v>
      </c>
      <c r="AB19" s="9">
        <v>7244.0</v>
      </c>
      <c r="AC19" s="9">
        <v>3201.0</v>
      </c>
      <c r="AD19" s="9">
        <v>328.0</v>
      </c>
      <c r="AE19" s="9">
        <v>239.0</v>
      </c>
      <c r="AF19" s="9">
        <v>38.0</v>
      </c>
      <c r="AG19" s="9">
        <v>51.0</v>
      </c>
      <c r="AH19" s="9">
        <v>5193.0</v>
      </c>
      <c r="AI19" s="9">
        <v>145.0</v>
      </c>
      <c r="AJ19" s="9">
        <v>522.0</v>
      </c>
      <c r="AK19" s="9">
        <v>618.0</v>
      </c>
      <c r="AL19" s="9">
        <v>2236.0</v>
      </c>
      <c r="AM19" s="9">
        <v>432.0</v>
      </c>
      <c r="AN19" s="9">
        <v>151.0</v>
      </c>
      <c r="AO19" s="9">
        <v>203.0</v>
      </c>
      <c r="AP19" s="9">
        <v>243.0</v>
      </c>
      <c r="AQ19" s="9">
        <v>643.0</v>
      </c>
      <c r="AR19" s="9">
        <v>11374.0</v>
      </c>
      <c r="AS19" s="9">
        <v>520.0</v>
      </c>
      <c r="AT19" s="9">
        <v>135.0</v>
      </c>
      <c r="AU19" s="9">
        <v>195.0</v>
      </c>
      <c r="AV19" s="9">
        <v>745.0</v>
      </c>
      <c r="AW19" s="9">
        <v>475.0</v>
      </c>
      <c r="AX19" s="9">
        <v>870.0</v>
      </c>
      <c r="AY19" s="9">
        <v>893.0</v>
      </c>
      <c r="AZ19" s="9">
        <v>6770.0</v>
      </c>
      <c r="BA19" s="9">
        <v>771.0</v>
      </c>
      <c r="BB19" s="9">
        <v>12451.0</v>
      </c>
      <c r="BC19" s="9">
        <v>746.0</v>
      </c>
      <c r="BD19" s="9">
        <v>1178.0</v>
      </c>
      <c r="BE19" s="9">
        <v>141.0</v>
      </c>
      <c r="BF19" s="9">
        <v>1247.0</v>
      </c>
      <c r="BG19" s="9">
        <v>1338.0</v>
      </c>
      <c r="BH19" s="9">
        <v>779.0</v>
      </c>
      <c r="BI19" s="9">
        <v>1536.0</v>
      </c>
      <c r="BJ19" s="9">
        <v>4101.0</v>
      </c>
      <c r="BK19" s="9">
        <v>1385.0</v>
      </c>
      <c r="BL19" s="9">
        <v>4291.0</v>
      </c>
      <c r="BM19" s="9">
        <v>97.0</v>
      </c>
      <c r="BN19" s="9">
        <v>158.0</v>
      </c>
      <c r="BO19" s="9">
        <v>21.0</v>
      </c>
      <c r="BP19" s="9">
        <v>331.0</v>
      </c>
      <c r="BQ19" s="9">
        <v>50.0</v>
      </c>
      <c r="BR19" s="9">
        <v>1205.0</v>
      </c>
      <c r="BS19" s="9">
        <v>583.0</v>
      </c>
      <c r="BT19" s="9">
        <v>1846.0</v>
      </c>
      <c r="BU19" s="9">
        <v>13766.0</v>
      </c>
      <c r="BV19" s="9">
        <v>2703.0</v>
      </c>
      <c r="BW19" s="9">
        <v>80.0</v>
      </c>
      <c r="BX19" s="9">
        <v>0.0</v>
      </c>
      <c r="BY19" s="9">
        <v>5863.0</v>
      </c>
      <c r="BZ19" s="9">
        <v>5120.0</v>
      </c>
      <c r="CA19" s="9">
        <v>107960.0</v>
      </c>
    </row>
    <row r="20">
      <c r="A20" s="9" t="s">
        <v>176</v>
      </c>
      <c r="B20" s="9">
        <v>20435.0</v>
      </c>
      <c r="C20" s="9">
        <v>829.0</v>
      </c>
      <c r="D20" s="9">
        <v>6552.0</v>
      </c>
      <c r="E20" s="9">
        <v>2377.0</v>
      </c>
      <c r="F20" s="9">
        <v>1231.0</v>
      </c>
      <c r="G20" s="9">
        <v>6192.0</v>
      </c>
      <c r="H20" s="9">
        <v>1285.0</v>
      </c>
      <c r="I20" s="9">
        <v>200.0</v>
      </c>
      <c r="J20" s="9">
        <v>286.0</v>
      </c>
      <c r="K20" s="9">
        <v>1017.0</v>
      </c>
      <c r="L20" s="9">
        <v>466.0</v>
      </c>
      <c r="M20" s="9">
        <v>2942.0</v>
      </c>
      <c r="N20" s="9">
        <v>2837.0</v>
      </c>
      <c r="O20" s="9">
        <v>105.0</v>
      </c>
      <c r="P20" s="9">
        <v>23058.0</v>
      </c>
      <c r="Q20" s="9">
        <v>686.0</v>
      </c>
      <c r="R20" s="9">
        <v>635.0</v>
      </c>
      <c r="S20" s="9">
        <v>15.0</v>
      </c>
      <c r="T20" s="9">
        <v>1043.0</v>
      </c>
      <c r="U20" s="9">
        <v>69.0</v>
      </c>
      <c r="V20" s="9">
        <v>3580.0</v>
      </c>
      <c r="W20" s="9">
        <v>420.0</v>
      </c>
      <c r="X20" s="9">
        <v>16333.0</v>
      </c>
      <c r="Y20" s="9">
        <v>277.0</v>
      </c>
      <c r="Z20" s="9">
        <v>23836.0</v>
      </c>
      <c r="AA20" s="9">
        <v>13475.0</v>
      </c>
      <c r="AB20" s="9">
        <v>7088.0</v>
      </c>
      <c r="AC20" s="9">
        <v>3273.0</v>
      </c>
      <c r="AD20" s="9">
        <v>366.0</v>
      </c>
      <c r="AE20" s="9">
        <v>240.0</v>
      </c>
      <c r="AF20" s="9">
        <v>61.0</v>
      </c>
      <c r="AG20" s="9">
        <v>65.0</v>
      </c>
      <c r="AH20" s="9">
        <v>5526.0</v>
      </c>
      <c r="AI20" s="9">
        <v>131.0</v>
      </c>
      <c r="AJ20" s="9">
        <v>512.0</v>
      </c>
      <c r="AK20" s="9">
        <v>627.0</v>
      </c>
      <c r="AL20" s="9">
        <v>2599.0</v>
      </c>
      <c r="AM20" s="9">
        <v>417.0</v>
      </c>
      <c r="AN20" s="9">
        <v>136.0</v>
      </c>
      <c r="AO20" s="9">
        <v>215.0</v>
      </c>
      <c r="AP20" s="9">
        <v>282.0</v>
      </c>
      <c r="AQ20" s="9">
        <v>607.0</v>
      </c>
      <c r="AR20" s="9">
        <v>12011.0</v>
      </c>
      <c r="AS20" s="9">
        <v>452.0</v>
      </c>
      <c r="AT20" s="9">
        <v>145.0</v>
      </c>
      <c r="AU20" s="9">
        <v>232.0</v>
      </c>
      <c r="AV20" s="9">
        <v>764.0</v>
      </c>
      <c r="AW20" s="9">
        <v>445.0</v>
      </c>
      <c r="AX20" s="9">
        <v>829.0</v>
      </c>
      <c r="AY20" s="9">
        <v>867.0</v>
      </c>
      <c r="AZ20" s="9">
        <v>7506.0</v>
      </c>
      <c r="BA20" s="9">
        <v>771.0</v>
      </c>
      <c r="BB20" s="9">
        <v>11970.0</v>
      </c>
      <c r="BC20" s="9">
        <v>935.0</v>
      </c>
      <c r="BD20" s="9">
        <v>1187.0</v>
      </c>
      <c r="BE20" s="9">
        <v>137.0</v>
      </c>
      <c r="BF20" s="9">
        <v>1370.0</v>
      </c>
      <c r="BG20" s="9">
        <v>1128.0</v>
      </c>
      <c r="BH20" s="9">
        <v>859.0</v>
      </c>
      <c r="BI20" s="9">
        <v>1537.0</v>
      </c>
      <c r="BJ20" s="9">
        <v>3947.0</v>
      </c>
      <c r="BK20" s="9">
        <v>870.0</v>
      </c>
      <c r="BL20" s="9">
        <v>4406.0</v>
      </c>
      <c r="BM20" s="9">
        <v>99.0</v>
      </c>
      <c r="BN20" s="9">
        <v>132.0</v>
      </c>
      <c r="BO20" s="9">
        <v>21.0</v>
      </c>
      <c r="BP20" s="9">
        <v>290.0</v>
      </c>
      <c r="BQ20" s="9">
        <v>44.0</v>
      </c>
      <c r="BR20" s="9">
        <v>1307.0</v>
      </c>
      <c r="BS20" s="9">
        <v>567.0</v>
      </c>
      <c r="BT20" s="9">
        <v>1946.0</v>
      </c>
      <c r="BU20" s="9">
        <v>13216.0</v>
      </c>
      <c r="BV20" s="9">
        <v>1936.0</v>
      </c>
      <c r="BW20" s="9">
        <v>109.0</v>
      </c>
      <c r="BX20" s="9">
        <v>0.0</v>
      </c>
      <c r="BY20" s="9">
        <v>5641.0</v>
      </c>
      <c r="BZ20" s="9">
        <v>5530.0</v>
      </c>
      <c r="CA20" s="9">
        <v>117766.0</v>
      </c>
    </row>
    <row r="21" ht="15.75" customHeight="1">
      <c r="A21" s="9" t="s">
        <v>177</v>
      </c>
      <c r="B21" s="9">
        <v>18738.0</v>
      </c>
      <c r="C21" s="9">
        <v>817.0</v>
      </c>
      <c r="D21" s="9">
        <v>6860.0</v>
      </c>
      <c r="E21" s="9">
        <v>2439.0</v>
      </c>
      <c r="F21" s="9">
        <v>1222.0</v>
      </c>
      <c r="G21" s="9">
        <v>4406.0</v>
      </c>
      <c r="H21" s="9">
        <v>1289.0</v>
      </c>
      <c r="I21" s="9">
        <v>212.0</v>
      </c>
      <c r="J21" s="9">
        <v>245.0</v>
      </c>
      <c r="K21" s="9">
        <v>806.0</v>
      </c>
      <c r="L21" s="9">
        <v>442.0</v>
      </c>
      <c r="M21" s="9">
        <v>2961.0</v>
      </c>
      <c r="N21" s="9">
        <v>2884.0</v>
      </c>
      <c r="O21" s="9">
        <v>77.0</v>
      </c>
      <c r="P21" s="9">
        <v>30128.0</v>
      </c>
      <c r="Q21" s="9">
        <v>623.0</v>
      </c>
      <c r="R21" s="9">
        <v>398.0</v>
      </c>
      <c r="S21" s="9">
        <v>9.0</v>
      </c>
      <c r="T21" s="9">
        <v>1017.0</v>
      </c>
      <c r="U21" s="9">
        <v>131.0</v>
      </c>
      <c r="V21" s="9">
        <v>3362.0</v>
      </c>
      <c r="W21" s="9">
        <v>503.0</v>
      </c>
      <c r="X21" s="9">
        <v>23806.0</v>
      </c>
      <c r="Y21" s="9">
        <v>279.0</v>
      </c>
      <c r="Z21" s="9">
        <v>35571.0</v>
      </c>
      <c r="AA21" s="9">
        <v>21895.0</v>
      </c>
      <c r="AB21" s="9">
        <v>9054.0</v>
      </c>
      <c r="AC21" s="9">
        <v>4622.0</v>
      </c>
      <c r="AD21" s="9">
        <v>296.0</v>
      </c>
      <c r="AE21" s="9">
        <v>204.0</v>
      </c>
      <c r="AF21" s="9">
        <v>56.0</v>
      </c>
      <c r="AG21" s="9">
        <v>36.0</v>
      </c>
      <c r="AH21" s="9">
        <v>6460.0</v>
      </c>
      <c r="AI21" s="9">
        <v>134.0</v>
      </c>
      <c r="AJ21" s="9">
        <v>541.0</v>
      </c>
      <c r="AK21" s="9">
        <v>625.0</v>
      </c>
      <c r="AL21" s="9">
        <v>3229.0</v>
      </c>
      <c r="AM21" s="9">
        <v>462.0</v>
      </c>
      <c r="AN21" s="9">
        <v>188.0</v>
      </c>
      <c r="AO21" s="9">
        <v>310.0</v>
      </c>
      <c r="AP21" s="9">
        <v>317.0</v>
      </c>
      <c r="AQ21" s="9">
        <v>654.0</v>
      </c>
      <c r="AR21" s="9">
        <v>12935.0</v>
      </c>
      <c r="AS21" s="9">
        <v>398.0</v>
      </c>
      <c r="AT21" s="9">
        <v>168.0</v>
      </c>
      <c r="AU21" s="9">
        <v>236.0</v>
      </c>
      <c r="AV21" s="9">
        <v>701.0</v>
      </c>
      <c r="AW21" s="9">
        <v>430.0</v>
      </c>
      <c r="AX21" s="9">
        <v>858.0</v>
      </c>
      <c r="AY21" s="9">
        <v>746.0</v>
      </c>
      <c r="AZ21" s="9">
        <v>8540.0</v>
      </c>
      <c r="BA21" s="9">
        <v>858.0</v>
      </c>
      <c r="BB21" s="9">
        <v>13141.0</v>
      </c>
      <c r="BC21" s="9">
        <v>1119.0</v>
      </c>
      <c r="BD21" s="9">
        <v>1424.0</v>
      </c>
      <c r="BE21" s="9">
        <v>183.0</v>
      </c>
      <c r="BF21" s="9">
        <v>1494.0</v>
      </c>
      <c r="BG21" s="9">
        <v>1215.0</v>
      </c>
      <c r="BH21" s="9">
        <v>794.0</v>
      </c>
      <c r="BI21" s="9">
        <v>1523.0</v>
      </c>
      <c r="BJ21" s="9">
        <v>4287.0</v>
      </c>
      <c r="BK21" s="9">
        <v>1102.0</v>
      </c>
      <c r="BL21" s="9">
        <v>4445.0</v>
      </c>
      <c r="BM21" s="9">
        <v>116.0</v>
      </c>
      <c r="BN21" s="9">
        <v>131.0</v>
      </c>
      <c r="BO21" s="9">
        <v>24.0</v>
      </c>
      <c r="BP21" s="9">
        <v>271.0</v>
      </c>
      <c r="BQ21" s="9">
        <v>44.0</v>
      </c>
      <c r="BR21" s="9">
        <v>1500.0</v>
      </c>
      <c r="BS21" s="9">
        <v>338.0</v>
      </c>
      <c r="BT21" s="9">
        <v>2021.0</v>
      </c>
      <c r="BU21" s="9">
        <v>14404.0</v>
      </c>
      <c r="BV21" s="9">
        <v>2017.0</v>
      </c>
      <c r="BW21" s="9">
        <v>113.0</v>
      </c>
      <c r="BX21" s="9">
        <v>0.0</v>
      </c>
      <c r="BY21" s="9">
        <v>5823.0</v>
      </c>
      <c r="BZ21" s="9">
        <v>6451.0</v>
      </c>
      <c r="CA21" s="9">
        <v>139079.0</v>
      </c>
    </row>
    <row r="22" ht="15.75" customHeight="1">
      <c r="A22" s="9" t="s">
        <v>178</v>
      </c>
      <c r="B22" s="9">
        <v>20065.0</v>
      </c>
      <c r="C22" s="9">
        <v>881.0</v>
      </c>
      <c r="D22" s="9">
        <v>7084.0</v>
      </c>
      <c r="E22" s="9">
        <v>2424.0</v>
      </c>
      <c r="F22" s="9">
        <v>1222.0</v>
      </c>
      <c r="G22" s="9">
        <v>5193.0</v>
      </c>
      <c r="H22" s="9">
        <v>1453.0</v>
      </c>
      <c r="I22" s="9">
        <v>278.0</v>
      </c>
      <c r="J22" s="9">
        <v>217.0</v>
      </c>
      <c r="K22" s="9">
        <v>874.0</v>
      </c>
      <c r="L22" s="9">
        <v>439.0</v>
      </c>
      <c r="M22" s="9">
        <v>3008.0</v>
      </c>
      <c r="N22" s="9">
        <v>2892.0</v>
      </c>
      <c r="O22" s="9">
        <v>116.0</v>
      </c>
      <c r="P22" s="9">
        <v>39187.0</v>
      </c>
      <c r="Q22" s="9">
        <v>661.0</v>
      </c>
      <c r="R22" s="9">
        <v>366.0</v>
      </c>
      <c r="S22" s="9">
        <v>0.0</v>
      </c>
      <c r="T22" s="9">
        <v>1143.0</v>
      </c>
      <c r="U22" s="9">
        <v>158.0</v>
      </c>
      <c r="V22" s="9">
        <v>3415.0</v>
      </c>
      <c r="W22" s="9">
        <v>542.0</v>
      </c>
      <c r="X22" s="9">
        <v>32664.0</v>
      </c>
      <c r="Y22" s="9">
        <v>238.0</v>
      </c>
      <c r="Z22" s="9">
        <v>39335.0</v>
      </c>
      <c r="AA22" s="9">
        <v>23357.0</v>
      </c>
      <c r="AB22" s="9">
        <v>9812.0</v>
      </c>
      <c r="AC22" s="9">
        <v>6166.0</v>
      </c>
      <c r="AD22" s="9">
        <v>284.0</v>
      </c>
      <c r="AE22" s="9">
        <v>206.0</v>
      </c>
      <c r="AF22" s="9">
        <v>65.0</v>
      </c>
      <c r="AG22" s="9">
        <v>13.0</v>
      </c>
      <c r="AH22" s="9">
        <v>6904.0</v>
      </c>
      <c r="AI22" s="9">
        <v>157.0</v>
      </c>
      <c r="AJ22" s="9">
        <v>648.0</v>
      </c>
      <c r="AK22" s="9">
        <v>641.0</v>
      </c>
      <c r="AL22" s="9">
        <v>3450.0</v>
      </c>
      <c r="AM22" s="9">
        <v>485.0</v>
      </c>
      <c r="AN22" s="9">
        <v>148.0</v>
      </c>
      <c r="AO22" s="9">
        <v>269.0</v>
      </c>
      <c r="AP22" s="9">
        <v>353.0</v>
      </c>
      <c r="AQ22" s="9">
        <v>753.0</v>
      </c>
      <c r="AR22" s="9">
        <v>17287.0</v>
      </c>
      <c r="AS22" s="9">
        <v>419.0</v>
      </c>
      <c r="AT22" s="9">
        <v>182.0</v>
      </c>
      <c r="AU22" s="9">
        <v>202.0</v>
      </c>
      <c r="AV22" s="9">
        <v>721.0</v>
      </c>
      <c r="AW22" s="9">
        <v>414.0</v>
      </c>
      <c r="AX22" s="9">
        <v>896.0</v>
      </c>
      <c r="AY22" s="9">
        <v>1062.0</v>
      </c>
      <c r="AZ22" s="9">
        <v>12413.0</v>
      </c>
      <c r="BA22" s="9">
        <v>978.0</v>
      </c>
      <c r="BB22" s="9">
        <v>13001.0</v>
      </c>
      <c r="BC22" s="9">
        <v>1292.0</v>
      </c>
      <c r="BD22" s="9">
        <v>1439.0</v>
      </c>
      <c r="BE22" s="9">
        <v>177.0</v>
      </c>
      <c r="BF22" s="9">
        <v>1609.0</v>
      </c>
      <c r="BG22" s="9">
        <v>1262.0</v>
      </c>
      <c r="BH22" s="9">
        <v>764.0</v>
      </c>
      <c r="BI22" s="9">
        <v>1638.0</v>
      </c>
      <c r="BJ22" s="9">
        <v>3836.0</v>
      </c>
      <c r="BK22" s="9">
        <v>984.0</v>
      </c>
      <c r="BL22" s="9">
        <v>4796.0</v>
      </c>
      <c r="BM22" s="9">
        <v>108.0</v>
      </c>
      <c r="BN22" s="9">
        <v>141.0</v>
      </c>
      <c r="BO22" s="9">
        <v>25.0</v>
      </c>
      <c r="BP22" s="9">
        <v>244.0</v>
      </c>
      <c r="BQ22" s="9">
        <v>43.0</v>
      </c>
      <c r="BR22" s="9">
        <v>1691.0</v>
      </c>
      <c r="BS22" s="9">
        <v>358.0</v>
      </c>
      <c r="BT22" s="9">
        <v>2186.0</v>
      </c>
      <c r="BU22" s="9">
        <v>19869.0</v>
      </c>
      <c r="BV22" s="9">
        <v>2696.0</v>
      </c>
      <c r="BW22" s="9">
        <v>151.0</v>
      </c>
      <c r="BX22" s="9">
        <v>0.0</v>
      </c>
      <c r="BY22" s="9">
        <v>9153.0</v>
      </c>
      <c r="BZ22" s="9">
        <v>7869.0</v>
      </c>
      <c r="CA22" s="9">
        <v>163736.0</v>
      </c>
    </row>
    <row r="23" ht="15.75" customHeight="1">
      <c r="A23" s="9" t="s">
        <v>179</v>
      </c>
      <c r="B23" s="9">
        <v>17428.0</v>
      </c>
      <c r="C23" s="9">
        <v>928.0</v>
      </c>
      <c r="D23" s="9">
        <v>6624.0</v>
      </c>
      <c r="E23" s="9">
        <v>2435.0</v>
      </c>
      <c r="F23" s="9">
        <v>1110.0</v>
      </c>
      <c r="G23" s="9">
        <v>3362.0</v>
      </c>
      <c r="H23" s="9">
        <v>1285.0</v>
      </c>
      <c r="I23" s="9">
        <v>223.0</v>
      </c>
      <c r="J23" s="9">
        <v>256.0</v>
      </c>
      <c r="K23" s="9">
        <v>761.0</v>
      </c>
      <c r="L23" s="9">
        <v>444.0</v>
      </c>
      <c r="M23" s="9">
        <v>3248.0</v>
      </c>
      <c r="N23" s="9">
        <v>3101.0</v>
      </c>
      <c r="O23" s="9">
        <v>147.0</v>
      </c>
      <c r="P23" s="9">
        <v>42059.0</v>
      </c>
      <c r="Q23" s="9">
        <v>734.0</v>
      </c>
      <c r="R23" s="9">
        <v>150.0</v>
      </c>
      <c r="S23" s="9">
        <v>3.0</v>
      </c>
      <c r="T23" s="9">
        <v>1254.0</v>
      </c>
      <c r="U23" s="9">
        <v>227.0</v>
      </c>
      <c r="V23" s="9">
        <v>3339.0</v>
      </c>
      <c r="W23" s="9">
        <v>543.0</v>
      </c>
      <c r="X23" s="9">
        <v>35606.0</v>
      </c>
      <c r="Y23" s="9">
        <v>203.0</v>
      </c>
      <c r="Z23" s="9">
        <v>38264.0</v>
      </c>
      <c r="AA23" s="9">
        <v>20875.0</v>
      </c>
      <c r="AB23" s="9">
        <v>11211.0</v>
      </c>
      <c r="AC23" s="9">
        <v>6178.0</v>
      </c>
      <c r="AD23" s="9">
        <v>363.0</v>
      </c>
      <c r="AE23" s="9">
        <v>282.0</v>
      </c>
      <c r="AF23" s="9">
        <v>68.0</v>
      </c>
      <c r="AG23" s="9">
        <v>13.0</v>
      </c>
      <c r="AH23" s="9">
        <v>7898.0</v>
      </c>
      <c r="AI23" s="9">
        <v>160.0</v>
      </c>
      <c r="AJ23" s="9">
        <v>814.0</v>
      </c>
      <c r="AK23" s="9">
        <v>616.0</v>
      </c>
      <c r="AL23" s="9">
        <v>3948.0</v>
      </c>
      <c r="AM23" s="9">
        <v>531.0</v>
      </c>
      <c r="AN23" s="9">
        <v>259.0</v>
      </c>
      <c r="AO23" s="9">
        <v>373.0</v>
      </c>
      <c r="AP23" s="9">
        <v>349.0</v>
      </c>
      <c r="AQ23" s="9">
        <v>848.0</v>
      </c>
      <c r="AR23" s="9">
        <v>18579.0</v>
      </c>
      <c r="AS23" s="9">
        <v>381.0</v>
      </c>
      <c r="AT23" s="9">
        <v>243.0</v>
      </c>
      <c r="AU23" s="9">
        <v>167.0</v>
      </c>
      <c r="AV23" s="9">
        <v>709.0</v>
      </c>
      <c r="AW23" s="9">
        <v>410.0</v>
      </c>
      <c r="AX23" s="9">
        <v>768.0</v>
      </c>
      <c r="AY23" s="9">
        <v>1203.0</v>
      </c>
      <c r="AZ23" s="9">
        <v>13642.0</v>
      </c>
      <c r="BA23" s="9">
        <v>1056.0</v>
      </c>
      <c r="BB23" s="9">
        <v>13770.0</v>
      </c>
      <c r="BC23" s="9">
        <v>1169.0</v>
      </c>
      <c r="BD23" s="9">
        <v>1720.0</v>
      </c>
      <c r="BE23" s="9">
        <v>204.0</v>
      </c>
      <c r="BF23" s="9">
        <v>1665.0</v>
      </c>
      <c r="BG23" s="9">
        <v>1155.0</v>
      </c>
      <c r="BH23" s="9">
        <v>879.0</v>
      </c>
      <c r="BI23" s="9">
        <v>1847.0</v>
      </c>
      <c r="BJ23" s="9">
        <v>4095.0</v>
      </c>
      <c r="BK23" s="9">
        <v>1036.0</v>
      </c>
      <c r="BL23" s="9">
        <v>5061.0</v>
      </c>
      <c r="BM23" s="9">
        <v>137.0</v>
      </c>
      <c r="BN23" s="9">
        <v>110.0</v>
      </c>
      <c r="BO23" s="9">
        <v>30.0</v>
      </c>
      <c r="BP23" s="9">
        <v>241.0</v>
      </c>
      <c r="BQ23" s="9">
        <v>45.0</v>
      </c>
      <c r="BR23" s="9">
        <v>1811.0</v>
      </c>
      <c r="BS23" s="9">
        <v>321.0</v>
      </c>
      <c r="BT23" s="9">
        <v>2366.0</v>
      </c>
      <c r="BU23" s="9">
        <v>21710.0</v>
      </c>
      <c r="BV23" s="9">
        <v>1350.0</v>
      </c>
      <c r="BW23" s="9">
        <v>209.0</v>
      </c>
      <c r="BX23" s="9">
        <v>0.0</v>
      </c>
      <c r="BY23" s="9">
        <v>11361.0</v>
      </c>
      <c r="BZ23" s="9">
        <v>8790.0</v>
      </c>
      <c r="CA23" s="9">
        <v>168380.0</v>
      </c>
    </row>
    <row r="24" ht="15.75" customHeight="1">
      <c r="A24" s="9" t="s">
        <v>180</v>
      </c>
      <c r="B24" s="9">
        <v>21816.0</v>
      </c>
      <c r="C24" s="9">
        <v>1119.0</v>
      </c>
      <c r="D24" s="9">
        <v>7197.0</v>
      </c>
      <c r="E24" s="9">
        <v>2655.0</v>
      </c>
      <c r="F24" s="9">
        <v>1106.0</v>
      </c>
      <c r="G24" s="9">
        <v>6098.0</v>
      </c>
      <c r="H24" s="9">
        <v>1407.0</v>
      </c>
      <c r="I24" s="9">
        <v>239.0</v>
      </c>
      <c r="J24" s="9">
        <v>269.0</v>
      </c>
      <c r="K24" s="9">
        <v>1119.0</v>
      </c>
      <c r="L24" s="9">
        <v>607.0</v>
      </c>
      <c r="M24" s="9">
        <v>2774.0</v>
      </c>
      <c r="N24" s="9">
        <v>2649.0</v>
      </c>
      <c r="O24" s="9">
        <v>125.0</v>
      </c>
      <c r="P24" s="9">
        <v>56263.0</v>
      </c>
      <c r="Q24" s="9">
        <v>720.0</v>
      </c>
      <c r="R24" s="9">
        <v>395.0</v>
      </c>
      <c r="S24" s="9">
        <v>11.0</v>
      </c>
      <c r="T24" s="9">
        <v>1374.0</v>
      </c>
      <c r="U24" s="9">
        <v>292.0</v>
      </c>
      <c r="V24" s="9">
        <v>2783.0</v>
      </c>
      <c r="W24" s="9">
        <v>400.0</v>
      </c>
      <c r="X24" s="9">
        <v>50045.0</v>
      </c>
      <c r="Y24" s="9">
        <v>243.0</v>
      </c>
      <c r="Z24" s="9">
        <v>71108.0</v>
      </c>
      <c r="AA24" s="9">
        <v>46868.0</v>
      </c>
      <c r="AB24" s="9">
        <v>13808.0</v>
      </c>
      <c r="AC24" s="9">
        <v>10432.0</v>
      </c>
      <c r="AD24" s="9">
        <v>572.0</v>
      </c>
      <c r="AE24" s="9">
        <v>392.0</v>
      </c>
      <c r="AF24" s="9">
        <v>167.0</v>
      </c>
      <c r="AG24" s="9">
        <v>13.0</v>
      </c>
      <c r="AH24" s="9">
        <v>8467.0</v>
      </c>
      <c r="AI24" s="9">
        <v>185.0</v>
      </c>
      <c r="AJ24" s="9">
        <v>768.0</v>
      </c>
      <c r="AK24" s="9">
        <v>584.0</v>
      </c>
      <c r="AL24" s="9">
        <v>3982.0</v>
      </c>
      <c r="AM24" s="9">
        <v>593.0</v>
      </c>
      <c r="AN24" s="9">
        <v>649.0</v>
      </c>
      <c r="AO24" s="9">
        <v>331.0</v>
      </c>
      <c r="AP24" s="9">
        <v>362.0</v>
      </c>
      <c r="AQ24" s="9">
        <v>1013.0</v>
      </c>
      <c r="AR24" s="9">
        <v>18013.0</v>
      </c>
      <c r="AS24" s="9">
        <v>325.0</v>
      </c>
      <c r="AT24" s="9">
        <v>276.0</v>
      </c>
      <c r="AU24" s="9">
        <v>163.0</v>
      </c>
      <c r="AV24" s="9">
        <v>717.0</v>
      </c>
      <c r="AW24" s="9">
        <v>379.0</v>
      </c>
      <c r="AX24" s="9">
        <v>814.0</v>
      </c>
      <c r="AY24" s="9">
        <v>1705.0</v>
      </c>
      <c r="AZ24" s="9">
        <v>12494.0</v>
      </c>
      <c r="BA24" s="9">
        <v>1140.0</v>
      </c>
      <c r="BB24" s="9">
        <v>15283.0</v>
      </c>
      <c r="BC24" s="9">
        <v>1057.0</v>
      </c>
      <c r="BD24" s="9">
        <v>1872.0</v>
      </c>
      <c r="BE24" s="9">
        <v>202.0</v>
      </c>
      <c r="BF24" s="9">
        <v>1827.0</v>
      </c>
      <c r="BG24" s="9">
        <v>1191.0</v>
      </c>
      <c r="BH24" s="9">
        <v>1034.0</v>
      </c>
      <c r="BI24" s="9">
        <v>1857.0</v>
      </c>
      <c r="BJ24" s="9">
        <v>4842.0</v>
      </c>
      <c r="BK24" s="9">
        <v>1401.0</v>
      </c>
      <c r="BL24" s="9">
        <v>5372.0</v>
      </c>
      <c r="BM24" s="9">
        <v>134.0</v>
      </c>
      <c r="BN24" s="9">
        <v>118.0</v>
      </c>
      <c r="BO24" s="9">
        <v>32.0</v>
      </c>
      <c r="BP24" s="9">
        <v>253.0</v>
      </c>
      <c r="BQ24" s="9">
        <v>51.0</v>
      </c>
      <c r="BR24" s="9">
        <v>2065.0</v>
      </c>
      <c r="BS24" s="9">
        <v>353.0</v>
      </c>
      <c r="BT24" s="9">
        <v>2366.0</v>
      </c>
      <c r="BU24" s="9">
        <v>22678.0</v>
      </c>
      <c r="BV24" s="9">
        <v>1362.0</v>
      </c>
      <c r="BW24" s="9">
        <v>415.0</v>
      </c>
      <c r="BX24" s="9">
        <v>0.0</v>
      </c>
      <c r="BY24" s="9">
        <v>14298.0</v>
      </c>
      <c r="BZ24" s="9">
        <v>6603.0</v>
      </c>
      <c r="CA24" s="9">
        <v>222346.0</v>
      </c>
    </row>
    <row r="25" ht="15.75" customHeight="1">
      <c r="A25" s="9" t="s">
        <v>181</v>
      </c>
      <c r="B25" s="9">
        <v>21623.0</v>
      </c>
      <c r="C25" s="9">
        <v>1151.0</v>
      </c>
      <c r="D25" s="9">
        <v>6635.0</v>
      </c>
      <c r="E25" s="9">
        <v>2137.0</v>
      </c>
      <c r="F25" s="9">
        <v>1034.0</v>
      </c>
      <c r="G25" s="9">
        <v>6483.0</v>
      </c>
      <c r="H25" s="9">
        <v>1689.0</v>
      </c>
      <c r="I25" s="9">
        <v>272.0</v>
      </c>
      <c r="J25" s="9">
        <v>304.0</v>
      </c>
      <c r="K25" s="9">
        <v>1263.0</v>
      </c>
      <c r="L25" s="9">
        <v>655.0</v>
      </c>
      <c r="M25" s="9">
        <v>2591.0</v>
      </c>
      <c r="N25" s="9">
        <v>2462.0</v>
      </c>
      <c r="O25" s="9">
        <v>129.0</v>
      </c>
      <c r="P25" s="9">
        <v>51326.0</v>
      </c>
      <c r="Q25" s="9">
        <v>523.0</v>
      </c>
      <c r="R25" s="9">
        <v>765.0</v>
      </c>
      <c r="S25" s="9">
        <v>12.0</v>
      </c>
      <c r="T25" s="9">
        <v>1090.0</v>
      </c>
      <c r="U25" s="9">
        <v>210.0</v>
      </c>
      <c r="V25" s="9">
        <v>2426.0</v>
      </c>
      <c r="W25" s="9">
        <v>289.0</v>
      </c>
      <c r="X25" s="9">
        <v>45798.0</v>
      </c>
      <c r="Y25" s="9">
        <v>213.0</v>
      </c>
      <c r="Z25" s="9">
        <v>57833.0</v>
      </c>
      <c r="AA25" s="9">
        <v>39602.0</v>
      </c>
      <c r="AB25" s="9">
        <v>9600.0</v>
      </c>
      <c r="AC25" s="9">
        <v>8631.0</v>
      </c>
      <c r="AD25" s="9">
        <v>448.0</v>
      </c>
      <c r="AE25" s="9">
        <v>272.0</v>
      </c>
      <c r="AF25" s="9">
        <v>161.0</v>
      </c>
      <c r="AG25" s="9">
        <v>15.0</v>
      </c>
      <c r="AH25" s="9">
        <v>8094.0</v>
      </c>
      <c r="AI25" s="9">
        <v>154.0</v>
      </c>
      <c r="AJ25" s="9">
        <v>518.0</v>
      </c>
      <c r="AK25" s="9">
        <v>676.0</v>
      </c>
      <c r="AL25" s="9">
        <v>4071.0</v>
      </c>
      <c r="AM25" s="9">
        <v>602.0</v>
      </c>
      <c r="AN25" s="9">
        <v>405.0</v>
      </c>
      <c r="AO25" s="9">
        <v>253.0</v>
      </c>
      <c r="AP25" s="9">
        <v>419.0</v>
      </c>
      <c r="AQ25" s="9">
        <v>996.0</v>
      </c>
      <c r="AR25" s="9">
        <v>13722.0</v>
      </c>
      <c r="AS25" s="9">
        <v>249.0</v>
      </c>
      <c r="AT25" s="9">
        <v>203.0</v>
      </c>
      <c r="AU25" s="9">
        <v>156.0</v>
      </c>
      <c r="AV25" s="9">
        <v>657.0</v>
      </c>
      <c r="AW25" s="9">
        <v>308.0</v>
      </c>
      <c r="AX25" s="9">
        <v>831.0</v>
      </c>
      <c r="AY25" s="9">
        <v>860.0</v>
      </c>
      <c r="AZ25" s="9">
        <v>9388.0</v>
      </c>
      <c r="BA25" s="9">
        <v>1070.0</v>
      </c>
      <c r="BB25" s="9">
        <v>11904.0</v>
      </c>
      <c r="BC25" s="9">
        <v>785.0</v>
      </c>
      <c r="BD25" s="9">
        <v>1863.0</v>
      </c>
      <c r="BE25" s="9">
        <v>146.0</v>
      </c>
      <c r="BF25" s="9">
        <v>1764.0</v>
      </c>
      <c r="BG25" s="9">
        <v>1019.0</v>
      </c>
      <c r="BH25" s="9">
        <v>1006.0</v>
      </c>
      <c r="BI25" s="9">
        <v>1535.0</v>
      </c>
      <c r="BJ25" s="9">
        <v>2501.0</v>
      </c>
      <c r="BK25" s="9">
        <v>1285.0</v>
      </c>
      <c r="BL25" s="9">
        <v>5068.0</v>
      </c>
      <c r="BM25" s="9">
        <v>143.0</v>
      </c>
      <c r="BN25" s="9">
        <v>108.0</v>
      </c>
      <c r="BO25" s="9">
        <v>33.0</v>
      </c>
      <c r="BP25" s="9">
        <v>231.0</v>
      </c>
      <c r="BQ25" s="9">
        <v>43.0</v>
      </c>
      <c r="BR25" s="9">
        <v>2092.0</v>
      </c>
      <c r="BS25" s="9">
        <v>332.0</v>
      </c>
      <c r="BT25" s="9">
        <v>2086.0</v>
      </c>
      <c r="BU25" s="9">
        <v>23957.0</v>
      </c>
      <c r="BV25" s="9">
        <v>1944.0</v>
      </c>
      <c r="BW25" s="9">
        <v>551.0</v>
      </c>
      <c r="BX25" s="9">
        <v>0.0</v>
      </c>
      <c r="BY25" s="9">
        <v>15052.0</v>
      </c>
      <c r="BZ25" s="9">
        <v>6410.0</v>
      </c>
      <c r="CA25" s="9">
        <v>196566.0</v>
      </c>
    </row>
    <row r="26" ht="15.75" customHeight="1">
      <c r="A26" s="9" t="s">
        <v>182</v>
      </c>
      <c r="B26" s="9">
        <v>20880.0</v>
      </c>
      <c r="C26" s="9">
        <v>1145.0</v>
      </c>
      <c r="D26" s="9">
        <v>6709.0</v>
      </c>
      <c r="E26" s="9">
        <v>2160.0</v>
      </c>
      <c r="F26" s="9">
        <v>1019.0</v>
      </c>
      <c r="G26" s="9">
        <v>5862.0</v>
      </c>
      <c r="H26" s="9">
        <v>1555.0</v>
      </c>
      <c r="I26" s="9">
        <v>337.0</v>
      </c>
      <c r="J26" s="9">
        <v>285.0</v>
      </c>
      <c r="K26" s="9">
        <v>1010.0</v>
      </c>
      <c r="L26" s="9">
        <v>798.0</v>
      </c>
      <c r="M26" s="9">
        <v>2419.0</v>
      </c>
      <c r="N26" s="9">
        <v>2292.0</v>
      </c>
      <c r="O26" s="9">
        <v>127.0</v>
      </c>
      <c r="P26" s="9">
        <v>75897.0</v>
      </c>
      <c r="Q26" s="9">
        <v>720.0</v>
      </c>
      <c r="R26" s="9">
        <v>584.0</v>
      </c>
      <c r="S26" s="9">
        <v>15.0</v>
      </c>
      <c r="T26" s="9">
        <v>1216.0</v>
      </c>
      <c r="U26" s="9">
        <v>264.0</v>
      </c>
      <c r="V26" s="9">
        <v>3318.0</v>
      </c>
      <c r="W26" s="9">
        <v>361.0</v>
      </c>
      <c r="X26" s="9">
        <v>69212.0</v>
      </c>
      <c r="Y26" s="9">
        <v>207.0</v>
      </c>
      <c r="Z26" s="9">
        <v>66590.0</v>
      </c>
      <c r="AA26" s="9">
        <v>43125.0</v>
      </c>
      <c r="AB26" s="9">
        <v>12957.0</v>
      </c>
      <c r="AC26" s="9">
        <v>10508.0</v>
      </c>
      <c r="AD26" s="9">
        <v>470.0</v>
      </c>
      <c r="AE26" s="9">
        <v>306.0</v>
      </c>
      <c r="AF26" s="9">
        <v>152.0</v>
      </c>
      <c r="AG26" s="9">
        <v>12.0</v>
      </c>
      <c r="AH26" s="9">
        <v>8079.0</v>
      </c>
      <c r="AI26" s="9">
        <v>183.0</v>
      </c>
      <c r="AJ26" s="9">
        <v>566.0</v>
      </c>
      <c r="AK26" s="9">
        <v>663.0</v>
      </c>
      <c r="AL26" s="9">
        <v>3998.0</v>
      </c>
      <c r="AM26" s="9">
        <v>653.0</v>
      </c>
      <c r="AN26" s="9">
        <v>326.0</v>
      </c>
      <c r="AO26" s="9">
        <v>347.0</v>
      </c>
      <c r="AP26" s="9">
        <v>346.0</v>
      </c>
      <c r="AQ26" s="9">
        <v>997.0</v>
      </c>
      <c r="AR26" s="9">
        <v>15250.0</v>
      </c>
      <c r="AS26" s="9">
        <v>276.0</v>
      </c>
      <c r="AT26" s="9">
        <v>187.0</v>
      </c>
      <c r="AU26" s="9">
        <v>151.0</v>
      </c>
      <c r="AV26" s="9">
        <v>796.0</v>
      </c>
      <c r="AW26" s="9">
        <v>265.0</v>
      </c>
      <c r="AX26" s="9">
        <v>728.0</v>
      </c>
      <c r="AY26" s="9">
        <v>1404.0</v>
      </c>
      <c r="AZ26" s="9">
        <v>10383.0</v>
      </c>
      <c r="BA26" s="9">
        <v>1060.0</v>
      </c>
      <c r="BB26" s="9">
        <v>12229.0</v>
      </c>
      <c r="BC26" s="9">
        <v>834.0</v>
      </c>
      <c r="BD26" s="9">
        <v>1903.0</v>
      </c>
      <c r="BE26" s="9">
        <v>136.0</v>
      </c>
      <c r="BF26" s="9">
        <v>1794.0</v>
      </c>
      <c r="BG26" s="9">
        <v>1182.0</v>
      </c>
      <c r="BH26" s="9">
        <v>933.0</v>
      </c>
      <c r="BI26" s="9">
        <v>1545.0</v>
      </c>
      <c r="BJ26" s="9">
        <v>2894.0</v>
      </c>
      <c r="BK26" s="9">
        <v>1008.0</v>
      </c>
      <c r="BL26" s="9">
        <v>4873.0</v>
      </c>
      <c r="BM26" s="9">
        <v>144.0</v>
      </c>
      <c r="BN26" s="9">
        <v>101.0</v>
      </c>
      <c r="BO26" s="9">
        <v>31.0</v>
      </c>
      <c r="BP26" s="9">
        <v>241.0</v>
      </c>
      <c r="BQ26" s="9">
        <v>42.0</v>
      </c>
      <c r="BR26" s="9">
        <v>1948.0</v>
      </c>
      <c r="BS26" s="9">
        <v>266.0</v>
      </c>
      <c r="BT26" s="9">
        <v>2100.0</v>
      </c>
      <c r="BU26" s="9">
        <v>24448.0</v>
      </c>
      <c r="BV26" s="9">
        <v>1577.0</v>
      </c>
      <c r="BW26" s="9">
        <v>569.0</v>
      </c>
      <c r="BX26" s="9">
        <v>0.0</v>
      </c>
      <c r="BY26" s="9">
        <v>14436.0</v>
      </c>
      <c r="BZ26" s="9">
        <v>7866.0</v>
      </c>
      <c r="CA26" s="9">
        <v>231135.0</v>
      </c>
    </row>
    <row r="27" ht="15.75" customHeight="1">
      <c r="A27" s="9" t="s">
        <v>183</v>
      </c>
      <c r="B27" s="9">
        <v>24189.0</v>
      </c>
      <c r="C27" s="9">
        <v>1072.0</v>
      </c>
      <c r="D27" s="9">
        <v>7130.0</v>
      </c>
      <c r="E27" s="9">
        <v>2172.0</v>
      </c>
      <c r="F27" s="9">
        <v>1063.0</v>
      </c>
      <c r="G27" s="9">
        <v>8490.0</v>
      </c>
      <c r="H27" s="9">
        <v>1672.0</v>
      </c>
      <c r="I27" s="9">
        <v>330.0</v>
      </c>
      <c r="J27" s="9">
        <v>294.0</v>
      </c>
      <c r="K27" s="9">
        <v>1076.0</v>
      </c>
      <c r="L27" s="9">
        <v>890.0</v>
      </c>
      <c r="M27" s="9">
        <v>2209.0</v>
      </c>
      <c r="N27" s="9">
        <v>2088.0</v>
      </c>
      <c r="O27" s="9">
        <v>121.0</v>
      </c>
      <c r="P27" s="9">
        <v>95780.0</v>
      </c>
      <c r="Q27" s="9">
        <v>850.0</v>
      </c>
      <c r="R27" s="9">
        <v>1307.0</v>
      </c>
      <c r="S27" s="9">
        <v>17.0</v>
      </c>
      <c r="T27" s="9">
        <v>1092.0</v>
      </c>
      <c r="U27" s="9">
        <v>249.0</v>
      </c>
      <c r="V27" s="9">
        <v>5427.0</v>
      </c>
      <c r="W27" s="9">
        <v>415.0</v>
      </c>
      <c r="X27" s="9">
        <v>86221.0</v>
      </c>
      <c r="Y27" s="9">
        <v>202.0</v>
      </c>
      <c r="Z27" s="9">
        <v>73391.0</v>
      </c>
      <c r="AA27" s="9">
        <v>46948.0</v>
      </c>
      <c r="AB27" s="9">
        <v>14396.0</v>
      </c>
      <c r="AC27" s="9">
        <v>12047.0</v>
      </c>
      <c r="AD27" s="9">
        <v>599.0</v>
      </c>
      <c r="AE27" s="9">
        <v>413.0</v>
      </c>
      <c r="AF27" s="9">
        <v>174.0</v>
      </c>
      <c r="AG27" s="9">
        <v>12.0</v>
      </c>
      <c r="AH27" s="9">
        <v>7898.0</v>
      </c>
      <c r="AI27" s="9">
        <v>189.0</v>
      </c>
      <c r="AJ27" s="9">
        <v>586.0</v>
      </c>
      <c r="AK27" s="9">
        <v>775.0</v>
      </c>
      <c r="AL27" s="9">
        <v>3743.0</v>
      </c>
      <c r="AM27" s="9">
        <v>623.0</v>
      </c>
      <c r="AN27" s="9">
        <v>396.0</v>
      </c>
      <c r="AO27" s="9">
        <v>301.0</v>
      </c>
      <c r="AP27" s="9">
        <v>325.0</v>
      </c>
      <c r="AQ27" s="9">
        <v>960.0</v>
      </c>
      <c r="AR27" s="9">
        <v>15978.0</v>
      </c>
      <c r="AS27" s="9">
        <v>242.0</v>
      </c>
      <c r="AT27" s="9">
        <v>204.0</v>
      </c>
      <c r="AU27" s="9">
        <v>117.0</v>
      </c>
      <c r="AV27" s="9">
        <v>848.0</v>
      </c>
      <c r="AW27" s="9">
        <v>264.0</v>
      </c>
      <c r="AX27" s="9">
        <v>653.0</v>
      </c>
      <c r="AY27" s="9">
        <v>1234.0</v>
      </c>
      <c r="AZ27" s="9">
        <v>11376.0</v>
      </c>
      <c r="BA27" s="9">
        <v>1040.0</v>
      </c>
      <c r="BB27" s="9">
        <v>12588.0</v>
      </c>
      <c r="BC27" s="9">
        <v>961.0</v>
      </c>
      <c r="BD27" s="9">
        <v>1949.0</v>
      </c>
      <c r="BE27" s="9">
        <v>161.0</v>
      </c>
      <c r="BF27" s="9">
        <v>1835.0</v>
      </c>
      <c r="BG27" s="9">
        <v>1151.0</v>
      </c>
      <c r="BH27" s="9">
        <v>974.0</v>
      </c>
      <c r="BI27" s="9">
        <v>1557.0</v>
      </c>
      <c r="BJ27" s="9">
        <v>2541.0</v>
      </c>
      <c r="BK27" s="9">
        <v>1459.0</v>
      </c>
      <c r="BL27" s="9">
        <v>5187.0</v>
      </c>
      <c r="BM27" s="9">
        <v>118.0</v>
      </c>
      <c r="BN27" s="9">
        <v>98.0</v>
      </c>
      <c r="BO27" s="9">
        <v>31.0</v>
      </c>
      <c r="BP27" s="9">
        <v>250.0</v>
      </c>
      <c r="BQ27" s="9">
        <v>52.0</v>
      </c>
      <c r="BR27" s="9">
        <v>1939.0</v>
      </c>
      <c r="BS27" s="9">
        <v>260.0</v>
      </c>
      <c r="BT27" s="9">
        <v>2439.0</v>
      </c>
      <c r="BU27" s="9">
        <v>23879.0</v>
      </c>
      <c r="BV27" s="9">
        <v>1282.0</v>
      </c>
      <c r="BW27" s="9">
        <v>896.0</v>
      </c>
      <c r="BX27" s="9">
        <v>0.0</v>
      </c>
      <c r="BY27" s="9">
        <v>15075.0</v>
      </c>
      <c r="BZ27" s="9">
        <v>6626.0</v>
      </c>
      <c r="CA27" s="9">
        <v>261698.0</v>
      </c>
    </row>
    <row r="28" ht="15.75" customHeight="1">
      <c r="A28" s="9" t="s">
        <v>184</v>
      </c>
      <c r="B28" s="9">
        <v>25256.0</v>
      </c>
      <c r="C28" s="9">
        <v>1049.0</v>
      </c>
      <c r="D28" s="9">
        <v>7201.0</v>
      </c>
      <c r="E28" s="9">
        <v>2170.0</v>
      </c>
      <c r="F28" s="9">
        <v>953.0</v>
      </c>
      <c r="G28" s="9">
        <v>9037.0</v>
      </c>
      <c r="H28" s="9">
        <v>2082.0</v>
      </c>
      <c r="I28" s="9">
        <v>295.0</v>
      </c>
      <c r="J28" s="9">
        <v>253.0</v>
      </c>
      <c r="K28" s="9">
        <v>1302.0</v>
      </c>
      <c r="L28" s="9">
        <v>914.0</v>
      </c>
      <c r="M28" s="9">
        <v>2153.0</v>
      </c>
      <c r="N28" s="9">
        <v>2070.0</v>
      </c>
      <c r="O28" s="9">
        <v>83.0</v>
      </c>
      <c r="P28" s="9">
        <v>86231.0</v>
      </c>
      <c r="Q28" s="9">
        <v>818.0</v>
      </c>
      <c r="R28" s="9">
        <v>1797.0</v>
      </c>
      <c r="S28" s="9">
        <v>22.0</v>
      </c>
      <c r="T28" s="9">
        <v>888.0</v>
      </c>
      <c r="U28" s="9">
        <v>236.0</v>
      </c>
      <c r="V28" s="9">
        <v>5214.0</v>
      </c>
      <c r="W28" s="9">
        <v>428.0</v>
      </c>
      <c r="X28" s="9">
        <v>76571.0</v>
      </c>
      <c r="Y28" s="9">
        <v>257.0</v>
      </c>
      <c r="Z28" s="9">
        <v>70344.0</v>
      </c>
      <c r="AA28" s="9">
        <v>41566.0</v>
      </c>
      <c r="AB28" s="9">
        <v>14286.0</v>
      </c>
      <c r="AC28" s="9">
        <v>14492.0</v>
      </c>
      <c r="AD28" s="9">
        <v>508.0</v>
      </c>
      <c r="AE28" s="9">
        <v>339.0</v>
      </c>
      <c r="AF28" s="9">
        <v>159.0</v>
      </c>
      <c r="AG28" s="9">
        <v>10.0</v>
      </c>
      <c r="AH28" s="9">
        <v>8423.0</v>
      </c>
      <c r="AI28" s="9">
        <v>223.0</v>
      </c>
      <c r="AJ28" s="9">
        <v>698.0</v>
      </c>
      <c r="AK28" s="9">
        <v>669.0</v>
      </c>
      <c r="AL28" s="9">
        <v>4321.0</v>
      </c>
      <c r="AM28" s="9">
        <v>625.0</v>
      </c>
      <c r="AN28" s="9">
        <v>309.0</v>
      </c>
      <c r="AO28" s="9">
        <v>329.0</v>
      </c>
      <c r="AP28" s="9">
        <v>313.0</v>
      </c>
      <c r="AQ28" s="9">
        <v>936.0</v>
      </c>
      <c r="AR28" s="9">
        <v>13822.0</v>
      </c>
      <c r="AS28" s="9">
        <v>196.0</v>
      </c>
      <c r="AT28" s="9">
        <v>210.0</v>
      </c>
      <c r="AU28" s="9">
        <v>95.0</v>
      </c>
      <c r="AV28" s="9">
        <v>802.0</v>
      </c>
      <c r="AW28" s="9">
        <v>247.0</v>
      </c>
      <c r="AX28" s="9">
        <v>610.0</v>
      </c>
      <c r="AY28" s="9">
        <v>710.0</v>
      </c>
      <c r="AZ28" s="9">
        <v>9879.0</v>
      </c>
      <c r="BA28" s="9">
        <v>1073.0</v>
      </c>
      <c r="BB28" s="9">
        <v>13305.0</v>
      </c>
      <c r="BC28" s="9">
        <v>843.0</v>
      </c>
      <c r="BD28" s="9">
        <v>2125.0</v>
      </c>
      <c r="BE28" s="9">
        <v>170.0</v>
      </c>
      <c r="BF28" s="9">
        <v>1890.0</v>
      </c>
      <c r="BG28" s="9">
        <v>1109.0</v>
      </c>
      <c r="BH28" s="9">
        <v>1008.0</v>
      </c>
      <c r="BI28" s="9">
        <v>1579.0</v>
      </c>
      <c r="BJ28" s="9">
        <v>3023.0</v>
      </c>
      <c r="BK28" s="9">
        <v>1558.0</v>
      </c>
      <c r="BL28" s="9">
        <v>4919.0</v>
      </c>
      <c r="BM28" s="9">
        <v>135.0</v>
      </c>
      <c r="BN28" s="9">
        <v>83.0</v>
      </c>
      <c r="BO28" s="9">
        <v>36.0</v>
      </c>
      <c r="BP28" s="9">
        <v>256.0</v>
      </c>
      <c r="BQ28" s="9">
        <v>49.0</v>
      </c>
      <c r="BR28" s="9">
        <v>1810.0</v>
      </c>
      <c r="BS28" s="9">
        <v>238.0</v>
      </c>
      <c r="BT28" s="9">
        <v>2312.0</v>
      </c>
      <c r="BU28" s="9">
        <v>22775.0</v>
      </c>
      <c r="BV28" s="9">
        <v>1034.0</v>
      </c>
      <c r="BW28" s="9">
        <v>732.0</v>
      </c>
      <c r="BX28" s="9">
        <v>0.0</v>
      </c>
      <c r="BY28" s="9">
        <v>15526.0</v>
      </c>
      <c r="BZ28" s="9">
        <v>5483.0</v>
      </c>
      <c r="CA28" s="9">
        <v>247736.0</v>
      </c>
    </row>
    <row r="29" ht="15.75" customHeight="1">
      <c r="A29" s="9" t="s">
        <v>185</v>
      </c>
      <c r="B29" s="9">
        <v>27115.0</v>
      </c>
      <c r="C29" s="9">
        <v>1036.0</v>
      </c>
      <c r="D29" s="9">
        <v>8651.0</v>
      </c>
      <c r="E29" s="9">
        <v>2305.0</v>
      </c>
      <c r="F29" s="9">
        <v>1024.0</v>
      </c>
      <c r="G29" s="9">
        <v>9079.0</v>
      </c>
      <c r="H29" s="9">
        <v>2220.0</v>
      </c>
      <c r="I29" s="9">
        <v>287.0</v>
      </c>
      <c r="J29" s="9">
        <v>256.0</v>
      </c>
      <c r="K29" s="9">
        <v>1164.0</v>
      </c>
      <c r="L29" s="9">
        <v>1093.0</v>
      </c>
      <c r="M29" s="9">
        <v>2102.0</v>
      </c>
      <c r="N29" s="9">
        <v>2046.0</v>
      </c>
      <c r="O29" s="9">
        <v>56.0</v>
      </c>
      <c r="P29" s="9">
        <v>101759.0</v>
      </c>
      <c r="Q29" s="9">
        <v>1030.0</v>
      </c>
      <c r="R29" s="9">
        <v>2543.0</v>
      </c>
      <c r="S29" s="9">
        <v>19.0</v>
      </c>
      <c r="T29" s="9">
        <v>973.0</v>
      </c>
      <c r="U29" s="9">
        <v>231.0</v>
      </c>
      <c r="V29" s="9">
        <v>5287.0</v>
      </c>
      <c r="W29" s="9">
        <v>324.0</v>
      </c>
      <c r="X29" s="9">
        <v>91067.0</v>
      </c>
      <c r="Y29" s="9">
        <v>285.0</v>
      </c>
      <c r="Z29" s="9">
        <v>67513.0</v>
      </c>
      <c r="AA29" s="9">
        <v>40009.0</v>
      </c>
      <c r="AB29" s="9">
        <v>11783.0</v>
      </c>
      <c r="AC29" s="9">
        <v>15721.0</v>
      </c>
      <c r="AD29" s="9">
        <v>644.0</v>
      </c>
      <c r="AE29" s="9">
        <v>405.0</v>
      </c>
      <c r="AF29" s="9">
        <v>217.0</v>
      </c>
      <c r="AG29" s="9">
        <v>22.0</v>
      </c>
      <c r="AH29" s="9">
        <v>7788.0</v>
      </c>
      <c r="AI29" s="9">
        <v>168.0</v>
      </c>
      <c r="AJ29" s="9">
        <v>837.0</v>
      </c>
      <c r="AK29" s="9">
        <v>688.0</v>
      </c>
      <c r="AL29" s="9">
        <v>3563.0</v>
      </c>
      <c r="AM29" s="9">
        <v>689.0</v>
      </c>
      <c r="AN29" s="9">
        <v>207.0</v>
      </c>
      <c r="AO29" s="9">
        <v>292.0</v>
      </c>
      <c r="AP29" s="9">
        <v>327.0</v>
      </c>
      <c r="AQ29" s="9">
        <v>1017.0</v>
      </c>
      <c r="AR29" s="9">
        <v>14472.0</v>
      </c>
      <c r="AS29" s="9">
        <v>217.0</v>
      </c>
      <c r="AT29" s="9">
        <v>200.0</v>
      </c>
      <c r="AU29" s="9">
        <v>75.0</v>
      </c>
      <c r="AV29" s="9">
        <v>935.0</v>
      </c>
      <c r="AW29" s="9">
        <v>233.0</v>
      </c>
      <c r="AX29" s="9">
        <v>825.0</v>
      </c>
      <c r="AY29" s="9">
        <v>692.0</v>
      </c>
      <c r="AZ29" s="9">
        <v>10227.0</v>
      </c>
      <c r="BA29" s="9">
        <v>1068.0</v>
      </c>
      <c r="BB29" s="9">
        <v>13620.0</v>
      </c>
      <c r="BC29" s="9">
        <v>899.0</v>
      </c>
      <c r="BD29" s="9">
        <v>1980.0</v>
      </c>
      <c r="BE29" s="9">
        <v>163.0</v>
      </c>
      <c r="BF29" s="9">
        <v>1903.0</v>
      </c>
      <c r="BG29" s="9">
        <v>1267.0</v>
      </c>
      <c r="BH29" s="9">
        <v>1135.0</v>
      </c>
      <c r="BI29" s="9">
        <v>1482.0</v>
      </c>
      <c r="BJ29" s="9">
        <v>3067.0</v>
      </c>
      <c r="BK29" s="9">
        <v>1724.0</v>
      </c>
      <c r="BL29" s="9">
        <v>5037.0</v>
      </c>
      <c r="BM29" s="9">
        <v>167.0</v>
      </c>
      <c r="BN29" s="9">
        <v>86.0</v>
      </c>
      <c r="BO29" s="9">
        <v>39.0</v>
      </c>
      <c r="BP29" s="9">
        <v>238.0</v>
      </c>
      <c r="BQ29" s="9">
        <v>57.0</v>
      </c>
      <c r="BR29" s="9">
        <v>1873.0</v>
      </c>
      <c r="BS29" s="9">
        <v>246.0</v>
      </c>
      <c r="BT29" s="9">
        <v>2331.0</v>
      </c>
      <c r="BU29" s="9">
        <v>21907.0</v>
      </c>
      <c r="BV29" s="9">
        <v>1145.0</v>
      </c>
      <c r="BW29" s="9">
        <v>1042.0</v>
      </c>
      <c r="BX29" s="9">
        <v>0.0</v>
      </c>
      <c r="BY29" s="9">
        <v>13898.0</v>
      </c>
      <c r="BZ29" s="9">
        <v>5822.0</v>
      </c>
      <c r="CA29" s="9">
        <v>261957.0</v>
      </c>
    </row>
    <row r="30" ht="15.75" customHeight="1">
      <c r="A30" s="9" t="s">
        <v>186</v>
      </c>
      <c r="B30" s="9">
        <v>31106.0</v>
      </c>
      <c r="C30" s="9">
        <v>1617.0</v>
      </c>
      <c r="D30" s="9">
        <v>11574.0</v>
      </c>
      <c r="E30" s="9">
        <v>2560.0</v>
      </c>
      <c r="F30" s="9">
        <v>1210.0</v>
      </c>
      <c r="G30" s="9">
        <v>8975.0</v>
      </c>
      <c r="H30" s="9">
        <v>2363.0</v>
      </c>
      <c r="I30" s="9">
        <v>244.0</v>
      </c>
      <c r="J30" s="9">
        <v>296.0</v>
      </c>
      <c r="K30" s="9">
        <v>1162.0</v>
      </c>
      <c r="L30" s="9">
        <v>1105.0</v>
      </c>
      <c r="M30" s="9">
        <v>2150.0</v>
      </c>
      <c r="N30" s="9">
        <v>2086.0</v>
      </c>
      <c r="O30" s="9">
        <v>64.0</v>
      </c>
      <c r="P30" s="9">
        <v>97437.0</v>
      </c>
      <c r="Q30" s="9">
        <v>1027.0</v>
      </c>
      <c r="R30" s="9">
        <v>1627.0</v>
      </c>
      <c r="S30" s="9">
        <v>14.0</v>
      </c>
      <c r="T30" s="9">
        <v>1260.0</v>
      </c>
      <c r="U30" s="9">
        <v>235.0</v>
      </c>
      <c r="V30" s="9">
        <v>4500.0</v>
      </c>
      <c r="W30" s="9">
        <v>437.0</v>
      </c>
      <c r="X30" s="9">
        <v>88010.0</v>
      </c>
      <c r="Y30" s="9">
        <v>327.0</v>
      </c>
      <c r="Z30" s="9">
        <v>70511.0</v>
      </c>
      <c r="AA30" s="9">
        <v>38193.0</v>
      </c>
      <c r="AB30" s="9">
        <v>13401.0</v>
      </c>
      <c r="AC30" s="9">
        <v>18917.0</v>
      </c>
      <c r="AD30" s="9">
        <v>650.0</v>
      </c>
      <c r="AE30" s="9">
        <v>422.0</v>
      </c>
      <c r="AF30" s="9">
        <v>209.0</v>
      </c>
      <c r="AG30" s="9">
        <v>19.0</v>
      </c>
      <c r="AH30" s="9">
        <v>7336.0</v>
      </c>
      <c r="AI30" s="9">
        <v>168.0</v>
      </c>
      <c r="AJ30" s="9">
        <v>800.0</v>
      </c>
      <c r="AK30" s="9">
        <v>779.0</v>
      </c>
      <c r="AL30" s="9">
        <v>2923.0</v>
      </c>
      <c r="AM30" s="9">
        <v>719.0</v>
      </c>
      <c r="AN30" s="9">
        <v>242.0</v>
      </c>
      <c r="AO30" s="9">
        <v>331.0</v>
      </c>
      <c r="AP30" s="9">
        <v>345.0</v>
      </c>
      <c r="AQ30" s="9">
        <v>1029.0</v>
      </c>
      <c r="AR30" s="9">
        <v>15366.0</v>
      </c>
      <c r="AS30" s="9">
        <v>241.0</v>
      </c>
      <c r="AT30" s="9">
        <v>208.0</v>
      </c>
      <c r="AU30" s="9">
        <v>101.0</v>
      </c>
      <c r="AV30" s="9">
        <v>985.0</v>
      </c>
      <c r="AW30" s="9">
        <v>238.0</v>
      </c>
      <c r="AX30" s="9">
        <v>930.0</v>
      </c>
      <c r="AY30" s="9">
        <v>676.0</v>
      </c>
      <c r="AZ30" s="9">
        <v>10909.0</v>
      </c>
      <c r="BA30" s="9">
        <v>1078.0</v>
      </c>
      <c r="BB30" s="9">
        <v>14713.0</v>
      </c>
      <c r="BC30" s="9">
        <v>915.0</v>
      </c>
      <c r="BD30" s="9">
        <v>1988.0</v>
      </c>
      <c r="BE30" s="9">
        <v>189.0</v>
      </c>
      <c r="BF30" s="9">
        <v>1978.0</v>
      </c>
      <c r="BG30" s="9">
        <v>1531.0</v>
      </c>
      <c r="BH30" s="9">
        <v>1347.0</v>
      </c>
      <c r="BI30" s="9">
        <v>1544.0</v>
      </c>
      <c r="BJ30" s="9">
        <v>2996.0</v>
      </c>
      <c r="BK30" s="9">
        <v>2225.0</v>
      </c>
      <c r="BL30" s="9">
        <v>5390.0</v>
      </c>
      <c r="BM30" s="9">
        <v>146.0</v>
      </c>
      <c r="BN30" s="9">
        <v>100.0</v>
      </c>
      <c r="BO30" s="9">
        <v>44.0</v>
      </c>
      <c r="BP30" s="9">
        <v>247.0</v>
      </c>
      <c r="BQ30" s="9">
        <v>68.0</v>
      </c>
      <c r="BR30" s="9">
        <v>2127.0</v>
      </c>
      <c r="BS30" s="9">
        <v>286.0</v>
      </c>
      <c r="BT30" s="9">
        <v>2372.0</v>
      </c>
      <c r="BU30" s="9">
        <v>21269.0</v>
      </c>
      <c r="BV30" s="9">
        <v>1292.0</v>
      </c>
      <c r="BW30" s="9">
        <v>710.0</v>
      </c>
      <c r="BX30" s="9">
        <v>1.0</v>
      </c>
      <c r="BY30" s="9">
        <v>13459.0</v>
      </c>
      <c r="BZ30" s="9">
        <v>5807.0</v>
      </c>
      <c r="CA30" s="9">
        <v>265928.0</v>
      </c>
    </row>
    <row r="31" ht="15.75" customHeight="1">
      <c r="A31" s="9" t="s">
        <v>187</v>
      </c>
      <c r="B31" s="9">
        <v>35648.0</v>
      </c>
      <c r="C31" s="9">
        <v>1897.0</v>
      </c>
      <c r="D31" s="9">
        <v>13138.0</v>
      </c>
      <c r="E31" s="9">
        <v>2388.0</v>
      </c>
      <c r="F31" s="9">
        <v>1396.0</v>
      </c>
      <c r="G31" s="9">
        <v>9339.0</v>
      </c>
      <c r="H31" s="9">
        <v>3894.0</v>
      </c>
      <c r="I31" s="9">
        <v>281.0</v>
      </c>
      <c r="J31" s="9">
        <v>328.0</v>
      </c>
      <c r="K31" s="9">
        <v>1208.0</v>
      </c>
      <c r="L31" s="9">
        <v>1779.0</v>
      </c>
      <c r="M31" s="9">
        <v>2521.0</v>
      </c>
      <c r="N31" s="9">
        <v>2455.0</v>
      </c>
      <c r="O31" s="9">
        <v>66.0</v>
      </c>
      <c r="P31" s="9">
        <v>81543.0</v>
      </c>
      <c r="Q31" s="9">
        <v>1023.0</v>
      </c>
      <c r="R31" s="9">
        <v>1606.0</v>
      </c>
      <c r="S31" s="9">
        <v>11.0</v>
      </c>
      <c r="T31" s="9">
        <v>1553.0</v>
      </c>
      <c r="U31" s="9">
        <v>254.0</v>
      </c>
      <c r="V31" s="9">
        <v>4071.0</v>
      </c>
      <c r="W31" s="9">
        <v>594.0</v>
      </c>
      <c r="X31" s="9">
        <v>71950.0</v>
      </c>
      <c r="Y31" s="9">
        <v>481.0</v>
      </c>
      <c r="Z31" s="9">
        <v>62249.0</v>
      </c>
      <c r="AA31" s="9">
        <v>37110.0</v>
      </c>
      <c r="AB31" s="9">
        <v>8085.0</v>
      </c>
      <c r="AC31" s="9">
        <v>17054.0</v>
      </c>
      <c r="AD31" s="9">
        <v>654.0</v>
      </c>
      <c r="AE31" s="9">
        <v>393.0</v>
      </c>
      <c r="AF31" s="9">
        <v>236.0</v>
      </c>
      <c r="AG31" s="9">
        <v>25.0</v>
      </c>
      <c r="AH31" s="9">
        <v>7332.0</v>
      </c>
      <c r="AI31" s="9">
        <v>207.0</v>
      </c>
      <c r="AJ31" s="9">
        <v>832.0</v>
      </c>
      <c r="AK31" s="9">
        <v>845.0</v>
      </c>
      <c r="AL31" s="9">
        <v>2473.0</v>
      </c>
      <c r="AM31" s="9">
        <v>823.0</v>
      </c>
      <c r="AN31" s="9">
        <v>363.0</v>
      </c>
      <c r="AO31" s="9">
        <v>364.0</v>
      </c>
      <c r="AP31" s="9">
        <v>376.0</v>
      </c>
      <c r="AQ31" s="9">
        <v>1049.0</v>
      </c>
      <c r="AR31" s="9">
        <v>14716.0</v>
      </c>
      <c r="AS31" s="9">
        <v>252.0</v>
      </c>
      <c r="AT31" s="9">
        <v>242.0</v>
      </c>
      <c r="AU31" s="9">
        <v>103.0</v>
      </c>
      <c r="AV31" s="9">
        <v>1003.0</v>
      </c>
      <c r="AW31" s="9">
        <v>282.0</v>
      </c>
      <c r="AX31" s="9">
        <v>1080.0</v>
      </c>
      <c r="AY31" s="9">
        <v>680.0</v>
      </c>
      <c r="AZ31" s="9">
        <v>10002.0</v>
      </c>
      <c r="BA31" s="9">
        <v>1072.0</v>
      </c>
      <c r="BB31" s="9">
        <v>16035.0</v>
      </c>
      <c r="BC31" s="9">
        <v>998.0</v>
      </c>
      <c r="BD31" s="9">
        <v>1938.0</v>
      </c>
      <c r="BE31" s="9">
        <v>160.0</v>
      </c>
      <c r="BF31" s="9">
        <v>2163.0</v>
      </c>
      <c r="BG31" s="9">
        <v>1756.0</v>
      </c>
      <c r="BH31" s="9">
        <v>1704.0</v>
      </c>
      <c r="BI31" s="9">
        <v>1646.0</v>
      </c>
      <c r="BJ31" s="9">
        <v>3339.0</v>
      </c>
      <c r="BK31" s="9">
        <v>2331.0</v>
      </c>
      <c r="BL31" s="9">
        <v>6301.0</v>
      </c>
      <c r="BM31" s="9">
        <v>184.0</v>
      </c>
      <c r="BN31" s="9">
        <v>128.0</v>
      </c>
      <c r="BO31" s="9">
        <v>45.0</v>
      </c>
      <c r="BP31" s="9">
        <v>303.0</v>
      </c>
      <c r="BQ31" s="9">
        <v>82.0</v>
      </c>
      <c r="BR31" s="9">
        <v>2433.0</v>
      </c>
      <c r="BS31" s="9">
        <v>390.0</v>
      </c>
      <c r="BT31" s="9">
        <v>2736.0</v>
      </c>
      <c r="BU31" s="9">
        <v>22612.0</v>
      </c>
      <c r="BV31" s="9">
        <v>1302.0</v>
      </c>
      <c r="BW31" s="9">
        <v>838.0</v>
      </c>
      <c r="BX31" s="9">
        <v>5.0</v>
      </c>
      <c r="BY31" s="9">
        <v>14504.0</v>
      </c>
      <c r="BZ31" s="9">
        <v>5963.0</v>
      </c>
      <c r="CA31" s="9">
        <v>249611.0</v>
      </c>
    </row>
    <row r="32" ht="15.75" customHeight="1">
      <c r="A32" s="9" t="s">
        <v>188</v>
      </c>
      <c r="B32" s="9">
        <v>32616.0</v>
      </c>
      <c r="C32" s="9">
        <v>1874.0</v>
      </c>
      <c r="D32" s="9">
        <v>11088.0</v>
      </c>
      <c r="E32" s="9">
        <v>2208.0</v>
      </c>
      <c r="F32" s="9">
        <v>1379.0</v>
      </c>
      <c r="G32" s="9">
        <v>7580.0</v>
      </c>
      <c r="H32" s="9">
        <v>4153.0</v>
      </c>
      <c r="I32" s="9">
        <v>319.0</v>
      </c>
      <c r="J32" s="9">
        <v>363.0</v>
      </c>
      <c r="K32" s="9">
        <v>1174.0</v>
      </c>
      <c r="L32" s="9">
        <v>2478.0</v>
      </c>
      <c r="M32" s="9">
        <v>2678.0</v>
      </c>
      <c r="N32" s="9">
        <v>2610.0</v>
      </c>
      <c r="O32" s="9">
        <v>68.0</v>
      </c>
      <c r="P32" s="9">
        <v>83617.0</v>
      </c>
      <c r="Q32" s="9">
        <v>827.0</v>
      </c>
      <c r="R32" s="9">
        <v>1415.0</v>
      </c>
      <c r="S32" s="9">
        <v>7.0</v>
      </c>
      <c r="T32" s="9">
        <v>1769.0</v>
      </c>
      <c r="U32" s="9">
        <v>242.0</v>
      </c>
      <c r="V32" s="9">
        <v>4722.0</v>
      </c>
      <c r="W32" s="9">
        <v>665.0</v>
      </c>
      <c r="X32" s="9">
        <v>73494.0</v>
      </c>
      <c r="Y32" s="9">
        <v>476.0</v>
      </c>
      <c r="Z32" s="9">
        <v>67699.0</v>
      </c>
      <c r="AA32" s="9">
        <v>42273.0</v>
      </c>
      <c r="AB32" s="9">
        <v>6946.0</v>
      </c>
      <c r="AC32" s="9">
        <v>18480.0</v>
      </c>
      <c r="AD32" s="9">
        <v>676.0</v>
      </c>
      <c r="AE32" s="9">
        <v>422.0</v>
      </c>
      <c r="AF32" s="9">
        <v>217.0</v>
      </c>
      <c r="AG32" s="9">
        <v>37.0</v>
      </c>
      <c r="AH32" s="9">
        <v>8369.0</v>
      </c>
      <c r="AI32" s="9">
        <v>227.0</v>
      </c>
      <c r="AJ32" s="9">
        <v>657.0</v>
      </c>
      <c r="AK32" s="9">
        <v>847.0</v>
      </c>
      <c r="AL32" s="9">
        <v>3486.0</v>
      </c>
      <c r="AM32" s="9">
        <v>985.0</v>
      </c>
      <c r="AN32" s="9">
        <v>369.0</v>
      </c>
      <c r="AO32" s="9">
        <v>315.0</v>
      </c>
      <c r="AP32" s="9">
        <v>418.0</v>
      </c>
      <c r="AQ32" s="9">
        <v>1065.0</v>
      </c>
      <c r="AR32" s="9">
        <v>13404.0</v>
      </c>
      <c r="AS32" s="9">
        <v>184.0</v>
      </c>
      <c r="AT32" s="9">
        <v>246.0</v>
      </c>
      <c r="AU32" s="9">
        <v>111.0</v>
      </c>
      <c r="AV32" s="9">
        <v>984.0</v>
      </c>
      <c r="AW32" s="9">
        <v>268.0</v>
      </c>
      <c r="AX32" s="9">
        <v>1060.0</v>
      </c>
      <c r="AY32" s="9">
        <v>602.0</v>
      </c>
      <c r="AZ32" s="9">
        <v>8842.0</v>
      </c>
      <c r="BA32" s="9">
        <v>1107.0</v>
      </c>
      <c r="BB32" s="9">
        <v>15389.0</v>
      </c>
      <c r="BC32" s="9">
        <v>872.0</v>
      </c>
      <c r="BD32" s="9">
        <v>1872.0</v>
      </c>
      <c r="BE32" s="9">
        <v>161.0</v>
      </c>
      <c r="BF32" s="9">
        <v>2269.0</v>
      </c>
      <c r="BG32" s="9">
        <v>1542.0</v>
      </c>
      <c r="BH32" s="9">
        <v>1752.0</v>
      </c>
      <c r="BI32" s="9">
        <v>1691.0</v>
      </c>
      <c r="BJ32" s="9">
        <v>2940.0</v>
      </c>
      <c r="BK32" s="9">
        <v>2290.0</v>
      </c>
      <c r="BL32" s="9">
        <v>6556.0</v>
      </c>
      <c r="BM32" s="9">
        <v>136.0</v>
      </c>
      <c r="BN32" s="9">
        <v>133.0</v>
      </c>
      <c r="BO32" s="9">
        <v>64.0</v>
      </c>
      <c r="BP32" s="9">
        <v>328.0</v>
      </c>
      <c r="BQ32" s="9">
        <v>92.0</v>
      </c>
      <c r="BR32" s="9">
        <v>2532.0</v>
      </c>
      <c r="BS32" s="9">
        <v>409.0</v>
      </c>
      <c r="BT32" s="9">
        <v>2862.0</v>
      </c>
      <c r="BU32" s="9">
        <v>27453.0</v>
      </c>
      <c r="BV32" s="9">
        <v>1563.0</v>
      </c>
      <c r="BW32" s="9">
        <v>989.0</v>
      </c>
      <c r="BX32" s="9">
        <v>1.0</v>
      </c>
      <c r="BY32" s="9">
        <v>18857.0</v>
      </c>
      <c r="BZ32" s="9">
        <v>6043.0</v>
      </c>
      <c r="CA32" s="9">
        <v>258457.0</v>
      </c>
    </row>
    <row r="33" ht="15.75" customHeight="1">
      <c r="A33" s="9" t="s">
        <v>189</v>
      </c>
      <c r="B33" s="9">
        <v>36596.0</v>
      </c>
      <c r="C33" s="9">
        <v>1618.0</v>
      </c>
      <c r="D33" s="9">
        <v>11834.0</v>
      </c>
      <c r="E33" s="9">
        <v>2345.0</v>
      </c>
      <c r="F33" s="9">
        <v>1424.0</v>
      </c>
      <c r="G33" s="9">
        <v>9336.0</v>
      </c>
      <c r="H33" s="9">
        <v>5099.0</v>
      </c>
      <c r="I33" s="9">
        <v>330.0</v>
      </c>
      <c r="J33" s="9">
        <v>369.0</v>
      </c>
      <c r="K33" s="9">
        <v>1230.0</v>
      </c>
      <c r="L33" s="9">
        <v>3011.0</v>
      </c>
      <c r="M33" s="9">
        <v>3029.0</v>
      </c>
      <c r="N33" s="9">
        <v>2962.0</v>
      </c>
      <c r="O33" s="9">
        <v>67.0</v>
      </c>
      <c r="P33" s="9">
        <v>99472.0</v>
      </c>
      <c r="Q33" s="9">
        <v>808.0</v>
      </c>
      <c r="R33" s="9">
        <v>1906.0</v>
      </c>
      <c r="S33" s="9">
        <v>0.0</v>
      </c>
      <c r="T33" s="9">
        <v>1975.0</v>
      </c>
      <c r="U33" s="9">
        <v>277.0</v>
      </c>
      <c r="V33" s="9">
        <v>5852.0</v>
      </c>
      <c r="W33" s="9">
        <v>1575.0</v>
      </c>
      <c r="X33" s="9">
        <v>86583.0</v>
      </c>
      <c r="Y33" s="9">
        <v>496.0</v>
      </c>
      <c r="Z33" s="9">
        <v>91150.0</v>
      </c>
      <c r="AA33" s="9">
        <v>57133.0</v>
      </c>
      <c r="AB33" s="9">
        <v>7662.0</v>
      </c>
      <c r="AC33" s="9">
        <v>26355.0</v>
      </c>
      <c r="AD33" s="9">
        <v>680.0</v>
      </c>
      <c r="AE33" s="9">
        <v>390.0</v>
      </c>
      <c r="AF33" s="9">
        <v>241.0</v>
      </c>
      <c r="AG33" s="9">
        <v>49.0</v>
      </c>
      <c r="AH33" s="9">
        <v>8637.0</v>
      </c>
      <c r="AI33" s="9">
        <v>199.0</v>
      </c>
      <c r="AJ33" s="9">
        <v>702.0</v>
      </c>
      <c r="AK33" s="9">
        <v>959.0</v>
      </c>
      <c r="AL33" s="9">
        <v>3478.0</v>
      </c>
      <c r="AM33" s="9">
        <v>1180.0</v>
      </c>
      <c r="AN33" s="9">
        <v>265.0</v>
      </c>
      <c r="AO33" s="9">
        <v>339.0</v>
      </c>
      <c r="AP33" s="9">
        <v>443.0</v>
      </c>
      <c r="AQ33" s="9">
        <v>1072.0</v>
      </c>
      <c r="AR33" s="9">
        <v>14752.0</v>
      </c>
      <c r="AS33" s="9">
        <v>166.0</v>
      </c>
      <c r="AT33" s="9">
        <v>294.0</v>
      </c>
      <c r="AU33" s="9">
        <v>115.0</v>
      </c>
      <c r="AV33" s="9">
        <v>1013.0</v>
      </c>
      <c r="AW33" s="9">
        <v>274.0</v>
      </c>
      <c r="AX33" s="9">
        <v>902.0</v>
      </c>
      <c r="AY33" s="9">
        <v>917.0</v>
      </c>
      <c r="AZ33" s="9">
        <v>9957.0</v>
      </c>
      <c r="BA33" s="9">
        <v>1114.0</v>
      </c>
      <c r="BB33" s="9">
        <v>14639.0</v>
      </c>
      <c r="BC33" s="9">
        <v>742.0</v>
      </c>
      <c r="BD33" s="9">
        <v>1886.0</v>
      </c>
      <c r="BE33" s="9">
        <v>188.0</v>
      </c>
      <c r="BF33" s="9">
        <v>2191.0</v>
      </c>
      <c r="BG33" s="9">
        <v>1226.0</v>
      </c>
      <c r="BH33" s="9">
        <v>2012.0</v>
      </c>
      <c r="BI33" s="9">
        <v>1847.0</v>
      </c>
      <c r="BJ33" s="9">
        <v>2264.0</v>
      </c>
      <c r="BK33" s="9">
        <v>2283.0</v>
      </c>
      <c r="BL33" s="9">
        <v>6861.0</v>
      </c>
      <c r="BM33" s="9">
        <v>144.0</v>
      </c>
      <c r="BN33" s="9">
        <v>141.0</v>
      </c>
      <c r="BO33" s="9">
        <v>70.0</v>
      </c>
      <c r="BP33" s="9">
        <v>328.0</v>
      </c>
      <c r="BQ33" s="9">
        <v>115.0</v>
      </c>
      <c r="BR33" s="9">
        <v>2619.0</v>
      </c>
      <c r="BS33" s="9">
        <v>427.0</v>
      </c>
      <c r="BT33" s="9">
        <v>3017.0</v>
      </c>
      <c r="BU33" s="9">
        <v>25521.0</v>
      </c>
      <c r="BV33" s="9">
        <v>1474.0</v>
      </c>
      <c r="BW33" s="9">
        <v>677.0</v>
      </c>
      <c r="BX33" s="9">
        <v>1.0</v>
      </c>
      <c r="BY33" s="9">
        <v>17620.0</v>
      </c>
      <c r="BZ33" s="9">
        <v>5749.0</v>
      </c>
      <c r="CA33" s="9">
        <v>301337.0</v>
      </c>
    </row>
    <row r="34" ht="15.75" customHeight="1">
      <c r="A34" s="9" t="s">
        <v>190</v>
      </c>
      <c r="B34" s="9">
        <v>35271.0</v>
      </c>
      <c r="C34" s="9">
        <v>1825.0</v>
      </c>
      <c r="D34" s="9">
        <v>13605.0</v>
      </c>
      <c r="E34" s="9">
        <v>2481.0</v>
      </c>
      <c r="F34" s="9">
        <v>1469.0</v>
      </c>
      <c r="G34" s="9">
        <v>7326.0</v>
      </c>
      <c r="H34" s="9">
        <v>3567.0</v>
      </c>
      <c r="I34" s="9">
        <v>300.0</v>
      </c>
      <c r="J34" s="9">
        <v>393.0</v>
      </c>
      <c r="K34" s="9">
        <v>1359.0</v>
      </c>
      <c r="L34" s="9">
        <v>2946.0</v>
      </c>
      <c r="M34" s="9">
        <v>3377.0</v>
      </c>
      <c r="N34" s="9">
        <v>3318.0</v>
      </c>
      <c r="O34" s="9">
        <v>59.0</v>
      </c>
      <c r="P34" s="9">
        <v>106880.0</v>
      </c>
      <c r="Q34" s="9">
        <v>731.0</v>
      </c>
      <c r="R34" s="9">
        <v>1398.0</v>
      </c>
      <c r="S34" s="9">
        <v>15.0</v>
      </c>
      <c r="T34" s="9">
        <v>2218.0</v>
      </c>
      <c r="U34" s="9">
        <v>238.0</v>
      </c>
      <c r="V34" s="9">
        <v>6474.0</v>
      </c>
      <c r="W34" s="9">
        <v>2110.0</v>
      </c>
      <c r="X34" s="9">
        <v>93112.0</v>
      </c>
      <c r="Y34" s="9">
        <v>584.0</v>
      </c>
      <c r="Z34" s="9">
        <v>122268.0</v>
      </c>
      <c r="AA34" s="9">
        <v>66848.0</v>
      </c>
      <c r="AB34" s="9">
        <v>11191.0</v>
      </c>
      <c r="AC34" s="9">
        <v>44229.0</v>
      </c>
      <c r="AD34" s="9">
        <v>663.0</v>
      </c>
      <c r="AE34" s="9">
        <v>368.0</v>
      </c>
      <c r="AF34" s="9">
        <v>240.0</v>
      </c>
      <c r="AG34" s="9">
        <v>55.0</v>
      </c>
      <c r="AH34" s="9">
        <v>10509.0</v>
      </c>
      <c r="AI34" s="9">
        <v>201.0</v>
      </c>
      <c r="AJ34" s="9">
        <v>937.0</v>
      </c>
      <c r="AK34" s="9">
        <v>1029.0</v>
      </c>
      <c r="AL34" s="9">
        <v>4750.0</v>
      </c>
      <c r="AM34" s="9">
        <v>1346.0</v>
      </c>
      <c r="AN34" s="9">
        <v>320.0</v>
      </c>
      <c r="AO34" s="9">
        <v>298.0</v>
      </c>
      <c r="AP34" s="9">
        <v>443.0</v>
      </c>
      <c r="AQ34" s="9">
        <v>1185.0</v>
      </c>
      <c r="AR34" s="9">
        <v>17032.0</v>
      </c>
      <c r="AS34" s="9">
        <v>166.0</v>
      </c>
      <c r="AT34" s="9">
        <v>307.0</v>
      </c>
      <c r="AU34" s="9">
        <v>97.0</v>
      </c>
      <c r="AV34" s="9">
        <v>1145.0</v>
      </c>
      <c r="AW34" s="9">
        <v>273.0</v>
      </c>
      <c r="AX34" s="9">
        <v>927.0</v>
      </c>
      <c r="AY34" s="9">
        <v>1029.0</v>
      </c>
      <c r="AZ34" s="9">
        <v>11823.0</v>
      </c>
      <c r="BA34" s="9">
        <v>1265.0</v>
      </c>
      <c r="BB34" s="9">
        <v>15351.0</v>
      </c>
      <c r="BC34" s="9">
        <v>939.0</v>
      </c>
      <c r="BD34" s="9">
        <v>1833.0</v>
      </c>
      <c r="BE34" s="9">
        <v>275.0</v>
      </c>
      <c r="BF34" s="9">
        <v>2296.0</v>
      </c>
      <c r="BG34" s="9">
        <v>1284.0</v>
      </c>
      <c r="BH34" s="9">
        <v>2008.0</v>
      </c>
      <c r="BI34" s="9">
        <v>2078.0</v>
      </c>
      <c r="BJ34" s="9">
        <v>1693.0</v>
      </c>
      <c r="BK34" s="9">
        <v>2945.0</v>
      </c>
      <c r="BL34" s="9">
        <v>7290.0</v>
      </c>
      <c r="BM34" s="9">
        <v>162.0</v>
      </c>
      <c r="BN34" s="9">
        <v>152.0</v>
      </c>
      <c r="BO34" s="9">
        <v>80.0</v>
      </c>
      <c r="BP34" s="9">
        <v>336.0</v>
      </c>
      <c r="BQ34" s="9">
        <v>124.0</v>
      </c>
      <c r="BR34" s="9">
        <v>2765.0</v>
      </c>
      <c r="BS34" s="9">
        <v>440.0</v>
      </c>
      <c r="BT34" s="9">
        <v>3231.0</v>
      </c>
      <c r="BU34" s="9">
        <v>25972.0</v>
      </c>
      <c r="BV34" s="9">
        <v>1371.0</v>
      </c>
      <c r="BW34" s="9">
        <v>814.0</v>
      </c>
      <c r="BX34" s="9">
        <v>0.0</v>
      </c>
      <c r="BY34" s="9">
        <v>19136.0</v>
      </c>
      <c r="BZ34" s="9">
        <v>4651.0</v>
      </c>
      <c r="CA34" s="9">
        <v>344613.0</v>
      </c>
    </row>
    <row r="35" ht="15.75" customHeight="1">
      <c r="A35" s="9" t="s">
        <v>191</v>
      </c>
      <c r="B35" s="9">
        <v>37652.0</v>
      </c>
      <c r="C35" s="9">
        <v>2126.0</v>
      </c>
      <c r="D35" s="9">
        <v>16462.0</v>
      </c>
      <c r="E35" s="9">
        <v>2488.0</v>
      </c>
      <c r="F35" s="9">
        <v>1529.0</v>
      </c>
      <c r="G35" s="9">
        <v>5891.0</v>
      </c>
      <c r="H35" s="9">
        <v>4112.0</v>
      </c>
      <c r="I35" s="9">
        <v>268.0</v>
      </c>
      <c r="J35" s="9">
        <v>425.0</v>
      </c>
      <c r="K35" s="9">
        <v>1374.0</v>
      </c>
      <c r="L35" s="9">
        <v>2977.0</v>
      </c>
      <c r="M35" s="9">
        <v>3582.0</v>
      </c>
      <c r="N35" s="9">
        <v>3523.0</v>
      </c>
      <c r="O35" s="9">
        <v>59.0</v>
      </c>
      <c r="P35" s="9">
        <v>136414.0</v>
      </c>
      <c r="Q35" s="9">
        <v>579.0</v>
      </c>
      <c r="R35" s="9">
        <v>1051.0</v>
      </c>
      <c r="S35" s="9">
        <v>20.0</v>
      </c>
      <c r="T35" s="9">
        <v>2225.0</v>
      </c>
      <c r="U35" s="9">
        <v>183.0</v>
      </c>
      <c r="V35" s="9">
        <v>4844.0</v>
      </c>
      <c r="W35" s="9">
        <v>1717.0</v>
      </c>
      <c r="X35" s="9">
        <v>125211.0</v>
      </c>
      <c r="Y35" s="9">
        <v>584.0</v>
      </c>
      <c r="Z35" s="9">
        <v>126289.0</v>
      </c>
      <c r="AA35" s="9">
        <v>63941.0</v>
      </c>
      <c r="AB35" s="9">
        <v>12224.0</v>
      </c>
      <c r="AC35" s="9">
        <v>50124.0</v>
      </c>
      <c r="AD35" s="9">
        <v>649.0</v>
      </c>
      <c r="AE35" s="9">
        <v>359.0</v>
      </c>
      <c r="AF35" s="9">
        <v>243.0</v>
      </c>
      <c r="AG35" s="9">
        <v>47.0</v>
      </c>
      <c r="AH35" s="9">
        <v>11967.0</v>
      </c>
      <c r="AI35" s="9">
        <v>212.0</v>
      </c>
      <c r="AJ35" s="9">
        <v>754.0</v>
      </c>
      <c r="AK35" s="9">
        <v>1008.0</v>
      </c>
      <c r="AL35" s="9">
        <v>6249.0</v>
      </c>
      <c r="AM35" s="9">
        <v>1532.0</v>
      </c>
      <c r="AN35" s="9">
        <v>262.0</v>
      </c>
      <c r="AO35" s="9">
        <v>328.0</v>
      </c>
      <c r="AP35" s="9">
        <v>397.0</v>
      </c>
      <c r="AQ35" s="9">
        <v>1225.0</v>
      </c>
      <c r="AR35" s="9">
        <v>17566.0</v>
      </c>
      <c r="AS35" s="9">
        <v>141.0</v>
      </c>
      <c r="AT35" s="9">
        <v>325.0</v>
      </c>
      <c r="AU35" s="9">
        <v>108.0</v>
      </c>
      <c r="AV35" s="9">
        <v>1094.0</v>
      </c>
      <c r="AW35" s="9">
        <v>305.0</v>
      </c>
      <c r="AX35" s="9">
        <v>1005.0</v>
      </c>
      <c r="AY35" s="9">
        <v>1217.0</v>
      </c>
      <c r="AZ35" s="9">
        <v>11999.0</v>
      </c>
      <c r="BA35" s="9">
        <v>1372.0</v>
      </c>
      <c r="BB35" s="9">
        <v>16998.0</v>
      </c>
      <c r="BC35" s="9">
        <v>1064.0</v>
      </c>
      <c r="BD35" s="9">
        <v>1961.0</v>
      </c>
      <c r="BE35" s="9">
        <v>192.0</v>
      </c>
      <c r="BF35" s="9">
        <v>2456.0</v>
      </c>
      <c r="BG35" s="9">
        <v>1410.0</v>
      </c>
      <c r="BH35" s="9">
        <v>2657.0</v>
      </c>
      <c r="BI35" s="9">
        <v>2131.0</v>
      </c>
      <c r="BJ35" s="9">
        <v>1919.0</v>
      </c>
      <c r="BK35" s="9">
        <v>3208.0</v>
      </c>
      <c r="BL35" s="9">
        <v>8205.0</v>
      </c>
      <c r="BM35" s="9">
        <v>157.0</v>
      </c>
      <c r="BN35" s="9">
        <v>182.0</v>
      </c>
      <c r="BO35" s="9">
        <v>94.0</v>
      </c>
      <c r="BP35" s="9">
        <v>377.0</v>
      </c>
      <c r="BQ35" s="9">
        <v>122.0</v>
      </c>
      <c r="BR35" s="9">
        <v>3906.0</v>
      </c>
      <c r="BS35" s="9">
        <v>466.0</v>
      </c>
      <c r="BT35" s="9">
        <v>2901.0</v>
      </c>
      <c r="BU35" s="9">
        <v>30660.0</v>
      </c>
      <c r="BV35" s="9">
        <v>1239.0</v>
      </c>
      <c r="BW35" s="9">
        <v>861.0</v>
      </c>
      <c r="BX35" s="9">
        <v>0.0</v>
      </c>
      <c r="BY35" s="9">
        <v>23372.0</v>
      </c>
      <c r="BZ35" s="9">
        <v>5188.0</v>
      </c>
      <c r="CA35" s="9">
        <v>389982.0</v>
      </c>
    </row>
    <row r="36" ht="15.75" customHeight="1">
      <c r="A36" s="9" t="s">
        <v>192</v>
      </c>
      <c r="B36" s="9">
        <v>35625.0</v>
      </c>
      <c r="C36" s="9">
        <v>1949.0</v>
      </c>
      <c r="D36" s="9">
        <v>14705.0</v>
      </c>
      <c r="E36" s="9">
        <v>2544.0</v>
      </c>
      <c r="F36" s="9">
        <v>1229.0</v>
      </c>
      <c r="G36" s="9">
        <v>6440.0</v>
      </c>
      <c r="H36" s="9">
        <v>4127.0</v>
      </c>
      <c r="I36" s="9">
        <v>283.0</v>
      </c>
      <c r="J36" s="9">
        <v>447.0</v>
      </c>
      <c r="K36" s="9">
        <v>1310.0</v>
      </c>
      <c r="L36" s="9">
        <v>2591.0</v>
      </c>
      <c r="M36" s="9">
        <v>3283.0</v>
      </c>
      <c r="N36" s="9">
        <v>3246.0</v>
      </c>
      <c r="O36" s="9">
        <v>37.0</v>
      </c>
      <c r="P36" s="9">
        <v>151969.0</v>
      </c>
      <c r="Q36" s="9">
        <v>414.0</v>
      </c>
      <c r="R36" s="9">
        <v>1183.0</v>
      </c>
      <c r="S36" s="9">
        <v>10.0</v>
      </c>
      <c r="T36" s="9">
        <v>1669.0</v>
      </c>
      <c r="U36" s="9">
        <v>172.0</v>
      </c>
      <c r="V36" s="9">
        <v>2739.0</v>
      </c>
      <c r="W36" s="9">
        <v>1163.0</v>
      </c>
      <c r="X36" s="9">
        <v>144068.0</v>
      </c>
      <c r="Y36" s="9">
        <v>551.0</v>
      </c>
      <c r="Z36" s="9">
        <v>88821.0</v>
      </c>
      <c r="AA36" s="9">
        <v>43367.0</v>
      </c>
      <c r="AB36" s="9">
        <v>7755.0</v>
      </c>
      <c r="AC36" s="9">
        <v>37699.0</v>
      </c>
      <c r="AD36" s="9">
        <v>759.0</v>
      </c>
      <c r="AE36" s="9">
        <v>444.0</v>
      </c>
      <c r="AF36" s="9">
        <v>282.0</v>
      </c>
      <c r="AG36" s="9">
        <v>33.0</v>
      </c>
      <c r="AH36" s="9">
        <v>11097.0</v>
      </c>
      <c r="AI36" s="9">
        <v>227.0</v>
      </c>
      <c r="AJ36" s="9">
        <v>641.0</v>
      </c>
      <c r="AK36" s="9">
        <v>894.0</v>
      </c>
      <c r="AL36" s="9">
        <v>5547.0</v>
      </c>
      <c r="AM36" s="9">
        <v>1590.0</v>
      </c>
      <c r="AN36" s="9">
        <v>330.0</v>
      </c>
      <c r="AO36" s="9">
        <v>232.0</v>
      </c>
      <c r="AP36" s="9">
        <v>311.0</v>
      </c>
      <c r="AQ36" s="9">
        <v>1325.0</v>
      </c>
      <c r="AR36" s="9">
        <v>14710.0</v>
      </c>
      <c r="AS36" s="9">
        <v>112.0</v>
      </c>
      <c r="AT36" s="9">
        <v>260.0</v>
      </c>
      <c r="AU36" s="9">
        <v>103.0</v>
      </c>
      <c r="AV36" s="9">
        <v>934.0</v>
      </c>
      <c r="AW36" s="9">
        <v>276.0</v>
      </c>
      <c r="AX36" s="9">
        <v>736.0</v>
      </c>
      <c r="AY36" s="9">
        <v>920.0</v>
      </c>
      <c r="AZ36" s="9">
        <v>10215.0</v>
      </c>
      <c r="BA36" s="9">
        <v>1154.0</v>
      </c>
      <c r="BB36" s="9">
        <v>14681.0</v>
      </c>
      <c r="BC36" s="9">
        <v>1068.0</v>
      </c>
      <c r="BD36" s="9">
        <v>1769.0</v>
      </c>
      <c r="BE36" s="9">
        <v>138.0</v>
      </c>
      <c r="BF36" s="9">
        <v>2164.0</v>
      </c>
      <c r="BG36" s="9">
        <v>1300.0</v>
      </c>
      <c r="BH36" s="9">
        <v>2251.0</v>
      </c>
      <c r="BI36" s="9">
        <v>2006.0</v>
      </c>
      <c r="BJ36" s="9">
        <v>1598.0</v>
      </c>
      <c r="BK36" s="9">
        <v>2387.0</v>
      </c>
      <c r="BL36" s="9">
        <v>7377.0</v>
      </c>
      <c r="BM36" s="9">
        <v>161.0</v>
      </c>
      <c r="BN36" s="9">
        <v>136.0</v>
      </c>
      <c r="BO36" s="9">
        <v>112.0</v>
      </c>
      <c r="BP36" s="9">
        <v>387.0</v>
      </c>
      <c r="BQ36" s="9">
        <v>129.0</v>
      </c>
      <c r="BR36" s="9">
        <v>3526.0</v>
      </c>
      <c r="BS36" s="9">
        <v>432.0</v>
      </c>
      <c r="BT36" s="9">
        <v>2494.0</v>
      </c>
      <c r="BU36" s="9">
        <v>34411.0</v>
      </c>
      <c r="BV36" s="9">
        <v>1063.0</v>
      </c>
      <c r="BW36" s="9">
        <v>1303.0</v>
      </c>
      <c r="BX36" s="9">
        <v>2.0</v>
      </c>
      <c r="BY36" s="9">
        <v>25492.0</v>
      </c>
      <c r="BZ36" s="9">
        <v>6551.0</v>
      </c>
      <c r="CA36" s="9">
        <v>362733.0</v>
      </c>
    </row>
    <row r="37" ht="15.75" customHeight="1">
      <c r="A37" s="9" t="s">
        <v>193</v>
      </c>
      <c r="B37" s="9">
        <v>43541.0</v>
      </c>
      <c r="C37" s="9">
        <v>1646.0</v>
      </c>
      <c r="D37" s="9">
        <v>14801.0</v>
      </c>
      <c r="E37" s="9">
        <v>2947.0</v>
      </c>
      <c r="F37" s="9">
        <v>1207.0</v>
      </c>
      <c r="G37" s="9">
        <v>14105.0</v>
      </c>
      <c r="H37" s="9">
        <v>4512.0</v>
      </c>
      <c r="I37" s="9">
        <v>318.0</v>
      </c>
      <c r="J37" s="9">
        <v>476.0</v>
      </c>
      <c r="K37" s="9">
        <v>1424.0</v>
      </c>
      <c r="L37" s="9">
        <v>2105.0</v>
      </c>
      <c r="M37" s="9">
        <v>2524.0</v>
      </c>
      <c r="N37" s="9">
        <v>2503.0</v>
      </c>
      <c r="O37" s="9">
        <v>21.0</v>
      </c>
      <c r="P37" s="9">
        <v>198186.0</v>
      </c>
      <c r="Q37" s="9">
        <v>504.0</v>
      </c>
      <c r="R37" s="9">
        <v>3166.0</v>
      </c>
      <c r="S37" s="9">
        <v>11.0</v>
      </c>
      <c r="T37" s="9">
        <v>1338.0</v>
      </c>
      <c r="U37" s="9">
        <v>266.0</v>
      </c>
      <c r="V37" s="9">
        <v>5081.0</v>
      </c>
      <c r="W37" s="9">
        <v>1948.0</v>
      </c>
      <c r="X37" s="9">
        <v>185259.0</v>
      </c>
      <c r="Y37" s="9">
        <v>613.0</v>
      </c>
      <c r="Z37" s="9">
        <v>126398.0</v>
      </c>
      <c r="AA37" s="9">
        <v>63504.0</v>
      </c>
      <c r="AB37" s="9">
        <v>11715.0</v>
      </c>
      <c r="AC37" s="9">
        <v>51179.0</v>
      </c>
      <c r="AD37" s="9">
        <v>1083.0</v>
      </c>
      <c r="AE37" s="9">
        <v>669.0</v>
      </c>
      <c r="AF37" s="9">
        <v>360.0</v>
      </c>
      <c r="AG37" s="9">
        <v>54.0</v>
      </c>
      <c r="AH37" s="9">
        <v>10053.0</v>
      </c>
      <c r="AI37" s="9">
        <v>239.0</v>
      </c>
      <c r="AJ37" s="9">
        <v>808.0</v>
      </c>
      <c r="AK37" s="9">
        <v>1036.0</v>
      </c>
      <c r="AL37" s="9">
        <v>3630.0</v>
      </c>
      <c r="AM37" s="9">
        <v>1663.0</v>
      </c>
      <c r="AN37" s="9">
        <v>490.0</v>
      </c>
      <c r="AO37" s="9">
        <v>368.0</v>
      </c>
      <c r="AP37" s="9">
        <v>345.0</v>
      </c>
      <c r="AQ37" s="9">
        <v>1474.0</v>
      </c>
      <c r="AR37" s="9">
        <v>16705.0</v>
      </c>
      <c r="AS37" s="9">
        <v>160.0</v>
      </c>
      <c r="AT37" s="9">
        <v>257.0</v>
      </c>
      <c r="AU37" s="9">
        <v>96.0</v>
      </c>
      <c r="AV37" s="9">
        <v>948.0</v>
      </c>
      <c r="AW37" s="9">
        <v>333.0</v>
      </c>
      <c r="AX37" s="9">
        <v>570.0</v>
      </c>
      <c r="AY37" s="9">
        <v>793.0</v>
      </c>
      <c r="AZ37" s="9">
        <v>12328.0</v>
      </c>
      <c r="BA37" s="9">
        <v>1220.0</v>
      </c>
      <c r="BB37" s="9">
        <v>14730.0</v>
      </c>
      <c r="BC37" s="9">
        <v>872.0</v>
      </c>
      <c r="BD37" s="9">
        <v>1678.0</v>
      </c>
      <c r="BE37" s="9">
        <v>175.0</v>
      </c>
      <c r="BF37" s="9">
        <v>2230.0</v>
      </c>
      <c r="BG37" s="9">
        <v>1376.0</v>
      </c>
      <c r="BH37" s="9">
        <v>2331.0</v>
      </c>
      <c r="BI37" s="9">
        <v>2227.0</v>
      </c>
      <c r="BJ37" s="9">
        <v>1853.0</v>
      </c>
      <c r="BK37" s="9">
        <v>1988.0</v>
      </c>
      <c r="BL37" s="9">
        <v>8037.0</v>
      </c>
      <c r="BM37" s="9">
        <v>203.0</v>
      </c>
      <c r="BN37" s="9">
        <v>145.0</v>
      </c>
      <c r="BO37" s="9">
        <v>116.0</v>
      </c>
      <c r="BP37" s="9">
        <v>480.0</v>
      </c>
      <c r="BQ37" s="9">
        <v>119.0</v>
      </c>
      <c r="BR37" s="9">
        <v>3875.0</v>
      </c>
      <c r="BS37" s="9">
        <v>453.0</v>
      </c>
      <c r="BT37" s="9">
        <v>2646.0</v>
      </c>
      <c r="BU37" s="9">
        <v>36931.0</v>
      </c>
      <c r="BV37" s="9">
        <v>1789.0</v>
      </c>
      <c r="BW37" s="9">
        <v>2576.0</v>
      </c>
      <c r="BX37" s="9">
        <v>2.0</v>
      </c>
      <c r="BY37" s="9">
        <v>23281.0</v>
      </c>
      <c r="BZ37" s="9">
        <v>9283.0</v>
      </c>
      <c r="CA37" s="9">
        <v>458188.0</v>
      </c>
    </row>
    <row r="38" ht="15.75" customHeight="1">
      <c r="A38" s="9" t="s">
        <v>194</v>
      </c>
      <c r="B38" s="9">
        <v>53124.0</v>
      </c>
      <c r="C38" s="9">
        <v>1518.0</v>
      </c>
      <c r="D38" s="9">
        <v>16600.0</v>
      </c>
      <c r="E38" s="9">
        <v>3385.0</v>
      </c>
      <c r="F38" s="9">
        <v>1205.0</v>
      </c>
      <c r="G38" s="9">
        <v>20672.0</v>
      </c>
      <c r="H38" s="9">
        <v>5027.0</v>
      </c>
      <c r="I38" s="9">
        <v>321.0</v>
      </c>
      <c r="J38" s="9">
        <v>517.0</v>
      </c>
      <c r="K38" s="9">
        <v>1719.0</v>
      </c>
      <c r="L38" s="9">
        <v>2160.0</v>
      </c>
      <c r="M38" s="9">
        <v>2572.0</v>
      </c>
      <c r="N38" s="9">
        <v>2553.0</v>
      </c>
      <c r="O38" s="9">
        <v>19.0</v>
      </c>
      <c r="P38" s="9">
        <v>188292.0</v>
      </c>
      <c r="Q38" s="9">
        <v>454.0</v>
      </c>
      <c r="R38" s="9">
        <v>7762.0</v>
      </c>
      <c r="S38" s="9">
        <v>9.0</v>
      </c>
      <c r="T38" s="9">
        <v>1523.0</v>
      </c>
      <c r="U38" s="9">
        <v>307.0</v>
      </c>
      <c r="V38" s="9">
        <v>7710.0</v>
      </c>
      <c r="W38" s="9">
        <v>12384.0</v>
      </c>
      <c r="X38" s="9">
        <v>157451.0</v>
      </c>
      <c r="Y38" s="9">
        <v>692.0</v>
      </c>
      <c r="Z38" s="9">
        <v>251334.0</v>
      </c>
      <c r="AA38" s="9">
        <v>142345.0</v>
      </c>
      <c r="AB38" s="9">
        <v>17341.0</v>
      </c>
      <c r="AC38" s="9">
        <v>91648.0</v>
      </c>
      <c r="AD38" s="9">
        <v>1682.0</v>
      </c>
      <c r="AE38" s="9">
        <v>1080.0</v>
      </c>
      <c r="AF38" s="9">
        <v>538.0</v>
      </c>
      <c r="AG38" s="9">
        <v>64.0</v>
      </c>
      <c r="AH38" s="9">
        <v>12576.0</v>
      </c>
      <c r="AI38" s="9">
        <v>245.0</v>
      </c>
      <c r="AJ38" s="9">
        <v>1675.0</v>
      </c>
      <c r="AK38" s="9">
        <v>1068.0</v>
      </c>
      <c r="AL38" s="9">
        <v>4328.0</v>
      </c>
      <c r="AM38" s="9">
        <v>1768.0</v>
      </c>
      <c r="AN38" s="9">
        <v>731.0</v>
      </c>
      <c r="AO38" s="9">
        <v>303.0</v>
      </c>
      <c r="AP38" s="9">
        <v>451.0</v>
      </c>
      <c r="AQ38" s="9">
        <v>2007.0</v>
      </c>
      <c r="AR38" s="9">
        <v>19429.0</v>
      </c>
      <c r="AS38" s="9">
        <v>148.0</v>
      </c>
      <c r="AT38" s="9">
        <v>363.0</v>
      </c>
      <c r="AU38" s="9">
        <v>96.0</v>
      </c>
      <c r="AV38" s="9">
        <v>1014.0</v>
      </c>
      <c r="AW38" s="9">
        <v>356.0</v>
      </c>
      <c r="AX38" s="9">
        <v>604.0</v>
      </c>
      <c r="AY38" s="9">
        <v>1340.0</v>
      </c>
      <c r="AZ38" s="9">
        <v>14078.0</v>
      </c>
      <c r="BA38" s="9">
        <v>1430.0</v>
      </c>
      <c r="BB38" s="9">
        <v>16519.0</v>
      </c>
      <c r="BC38" s="9">
        <v>1027.0</v>
      </c>
      <c r="BD38" s="9">
        <v>1911.0</v>
      </c>
      <c r="BE38" s="9">
        <v>260.0</v>
      </c>
      <c r="BF38" s="9">
        <v>2489.0</v>
      </c>
      <c r="BG38" s="9">
        <v>1545.0</v>
      </c>
      <c r="BH38" s="9">
        <v>2337.0</v>
      </c>
      <c r="BI38" s="9">
        <v>2692.0</v>
      </c>
      <c r="BJ38" s="9">
        <v>2013.0</v>
      </c>
      <c r="BK38" s="9">
        <v>2245.0</v>
      </c>
      <c r="BL38" s="9">
        <v>9081.0</v>
      </c>
      <c r="BM38" s="9">
        <v>175.0</v>
      </c>
      <c r="BN38" s="9">
        <v>166.0</v>
      </c>
      <c r="BO38" s="9">
        <v>201.0</v>
      </c>
      <c r="BP38" s="9">
        <v>649.0</v>
      </c>
      <c r="BQ38" s="9">
        <v>141.0</v>
      </c>
      <c r="BR38" s="9">
        <v>4409.0</v>
      </c>
      <c r="BS38" s="9">
        <v>506.0</v>
      </c>
      <c r="BT38" s="9">
        <v>2834.0</v>
      </c>
      <c r="BU38" s="9">
        <v>39254.0</v>
      </c>
      <c r="BV38" s="9">
        <v>764.0</v>
      </c>
      <c r="BW38" s="9">
        <v>3046.0</v>
      </c>
      <c r="BX38" s="9">
        <v>9.0</v>
      </c>
      <c r="BY38" s="9">
        <v>23514.0</v>
      </c>
      <c r="BZ38" s="9">
        <v>11921.0</v>
      </c>
      <c r="CA38" s="9">
        <v>593863.0</v>
      </c>
    </row>
    <row r="39" ht="15.75" customHeight="1">
      <c r="A39" s="9" t="s">
        <v>195</v>
      </c>
      <c r="B39" s="9">
        <v>54927.0</v>
      </c>
      <c r="C39" s="9">
        <v>1239.0</v>
      </c>
      <c r="D39" s="9">
        <v>17910.0</v>
      </c>
      <c r="E39" s="9">
        <v>3010.0</v>
      </c>
      <c r="F39" s="9">
        <v>1351.0</v>
      </c>
      <c r="G39" s="9">
        <v>20643.0</v>
      </c>
      <c r="H39" s="9">
        <v>5915.0</v>
      </c>
      <c r="I39" s="9">
        <v>294.0</v>
      </c>
      <c r="J39" s="9">
        <v>497.0</v>
      </c>
      <c r="K39" s="9">
        <v>1746.0</v>
      </c>
      <c r="L39" s="9">
        <v>2322.0</v>
      </c>
      <c r="M39" s="9">
        <v>2569.0</v>
      </c>
      <c r="N39" s="9">
        <v>2545.0</v>
      </c>
      <c r="O39" s="9">
        <v>24.0</v>
      </c>
      <c r="P39" s="9">
        <v>202833.0</v>
      </c>
      <c r="Q39" s="9">
        <v>454.0</v>
      </c>
      <c r="R39" s="9">
        <v>5507.0</v>
      </c>
      <c r="S39" s="9">
        <v>14.0</v>
      </c>
      <c r="T39" s="9">
        <v>1442.0</v>
      </c>
      <c r="U39" s="9">
        <v>206.0</v>
      </c>
      <c r="V39" s="9">
        <v>7452.0</v>
      </c>
      <c r="W39" s="9">
        <v>19318.0</v>
      </c>
      <c r="X39" s="9">
        <v>167787.0</v>
      </c>
      <c r="Y39" s="9">
        <v>653.0</v>
      </c>
      <c r="Z39" s="9">
        <v>194429.0</v>
      </c>
      <c r="AA39" s="9">
        <v>101958.0</v>
      </c>
      <c r="AB39" s="9">
        <v>15802.0</v>
      </c>
      <c r="AC39" s="9">
        <v>76669.0</v>
      </c>
      <c r="AD39" s="9">
        <v>1610.0</v>
      </c>
      <c r="AE39" s="9">
        <v>1052.0</v>
      </c>
      <c r="AF39" s="9">
        <v>422.0</v>
      </c>
      <c r="AG39" s="9">
        <v>136.0</v>
      </c>
      <c r="AH39" s="9">
        <v>11510.0</v>
      </c>
      <c r="AI39" s="9">
        <v>223.0</v>
      </c>
      <c r="AJ39" s="9">
        <v>1263.0</v>
      </c>
      <c r="AK39" s="9">
        <v>924.0</v>
      </c>
      <c r="AL39" s="9">
        <v>4753.0</v>
      </c>
      <c r="AM39" s="9">
        <v>1695.0</v>
      </c>
      <c r="AN39" s="9">
        <v>338.0</v>
      </c>
      <c r="AO39" s="9">
        <v>266.0</v>
      </c>
      <c r="AP39" s="9">
        <v>387.0</v>
      </c>
      <c r="AQ39" s="9">
        <v>1661.0</v>
      </c>
      <c r="AR39" s="9">
        <v>19417.0</v>
      </c>
      <c r="AS39" s="9">
        <v>111.0</v>
      </c>
      <c r="AT39" s="9">
        <v>398.0</v>
      </c>
      <c r="AU39" s="9">
        <v>99.0</v>
      </c>
      <c r="AV39" s="9">
        <v>893.0</v>
      </c>
      <c r="AW39" s="9">
        <v>366.0</v>
      </c>
      <c r="AX39" s="9">
        <v>858.0</v>
      </c>
      <c r="AY39" s="9">
        <v>1166.0</v>
      </c>
      <c r="AZ39" s="9">
        <v>14075.0</v>
      </c>
      <c r="BA39" s="9">
        <v>1451.0</v>
      </c>
      <c r="BB39" s="9">
        <v>18668.0</v>
      </c>
      <c r="BC39" s="9">
        <v>1303.0</v>
      </c>
      <c r="BD39" s="9">
        <v>2127.0</v>
      </c>
      <c r="BE39" s="9">
        <v>273.0</v>
      </c>
      <c r="BF39" s="9">
        <v>3059.0</v>
      </c>
      <c r="BG39" s="9">
        <v>1488.0</v>
      </c>
      <c r="BH39" s="9">
        <v>2683.0</v>
      </c>
      <c r="BI39" s="9">
        <v>2963.0</v>
      </c>
      <c r="BJ39" s="9">
        <v>2190.0</v>
      </c>
      <c r="BK39" s="9">
        <v>2582.0</v>
      </c>
      <c r="BL39" s="9">
        <v>10537.0</v>
      </c>
      <c r="BM39" s="9">
        <v>170.0</v>
      </c>
      <c r="BN39" s="9">
        <v>189.0</v>
      </c>
      <c r="BO39" s="9">
        <v>189.0</v>
      </c>
      <c r="BP39" s="9">
        <v>702.0</v>
      </c>
      <c r="BQ39" s="9">
        <v>183.0</v>
      </c>
      <c r="BR39" s="9">
        <v>4878.0</v>
      </c>
      <c r="BS39" s="9">
        <v>578.0</v>
      </c>
      <c r="BT39" s="9">
        <v>3648.0</v>
      </c>
      <c r="BU39" s="9">
        <v>41294.0</v>
      </c>
      <c r="BV39" s="9">
        <v>616.0</v>
      </c>
      <c r="BW39" s="9">
        <v>2011.0</v>
      </c>
      <c r="BX39" s="9">
        <v>11.0</v>
      </c>
      <c r="BY39" s="9">
        <v>28353.0</v>
      </c>
      <c r="BZ39" s="9">
        <v>10303.0</v>
      </c>
      <c r="CA39" s="9">
        <v>557794.0</v>
      </c>
    </row>
    <row r="40" ht="15.75" customHeight="1">
      <c r="A40" s="10" t="s">
        <v>0</v>
      </c>
      <c r="B40" s="10" t="s">
        <v>1</v>
      </c>
      <c r="C40" s="10" t="s">
        <v>2</v>
      </c>
      <c r="D40" s="10" t="s">
        <v>3</v>
      </c>
      <c r="E40" s="10" t="s">
        <v>4</v>
      </c>
      <c r="F40" s="10" t="s">
        <v>5</v>
      </c>
      <c r="G40" s="10" t="s">
        <v>6</v>
      </c>
      <c r="H40" s="10" t="s">
        <v>7</v>
      </c>
      <c r="I40" s="10" t="s">
        <v>8</v>
      </c>
      <c r="J40" s="10" t="s">
        <v>9</v>
      </c>
      <c r="K40" s="10" t="s">
        <v>10</v>
      </c>
      <c r="L40" s="10" t="s">
        <v>11</v>
      </c>
      <c r="M40" s="10" t="s">
        <v>12</v>
      </c>
      <c r="N40" s="10" t="s">
        <v>13</v>
      </c>
      <c r="O40" s="10" t="s">
        <v>14</v>
      </c>
      <c r="P40" s="10" t="s">
        <v>15</v>
      </c>
      <c r="Q40" s="10" t="s">
        <v>16</v>
      </c>
      <c r="R40" s="10" t="s">
        <v>17</v>
      </c>
      <c r="S40" s="10" t="s">
        <v>18</v>
      </c>
      <c r="T40" s="10" t="s">
        <v>19</v>
      </c>
      <c r="U40" s="10" t="s">
        <v>20</v>
      </c>
      <c r="V40" s="10" t="s">
        <v>21</v>
      </c>
      <c r="W40" s="10" t="s">
        <v>22</v>
      </c>
      <c r="X40" s="10" t="s">
        <v>23</v>
      </c>
      <c r="Y40" s="10" t="s">
        <v>24</v>
      </c>
      <c r="Z40" s="10" t="s">
        <v>25</v>
      </c>
      <c r="AA40" s="10" t="s">
        <v>26</v>
      </c>
      <c r="AB40" s="10" t="s">
        <v>27</v>
      </c>
      <c r="AC40" s="10" t="s">
        <v>28</v>
      </c>
      <c r="AD40" s="10" t="s">
        <v>29</v>
      </c>
      <c r="AE40" s="10" t="s">
        <v>30</v>
      </c>
      <c r="AF40" s="10" t="s">
        <v>31</v>
      </c>
      <c r="AG40" s="10" t="s">
        <v>32</v>
      </c>
      <c r="AH40" s="10" t="s">
        <v>33</v>
      </c>
      <c r="AI40" s="10" t="s">
        <v>34</v>
      </c>
      <c r="AJ40" s="10" t="s">
        <v>35</v>
      </c>
      <c r="AK40" s="10" t="s">
        <v>36</v>
      </c>
      <c r="AL40" s="10" t="s">
        <v>37</v>
      </c>
      <c r="AM40" s="10" t="s">
        <v>38</v>
      </c>
      <c r="AN40" s="10" t="s">
        <v>39</v>
      </c>
      <c r="AO40" s="10" t="s">
        <v>40</v>
      </c>
      <c r="AP40" s="10" t="s">
        <v>41</v>
      </c>
      <c r="AQ40" s="10" t="s">
        <v>42</v>
      </c>
      <c r="AR40" s="10" t="s">
        <v>43</v>
      </c>
      <c r="AS40" s="10" t="s">
        <v>44</v>
      </c>
      <c r="AT40" s="10" t="s">
        <v>45</v>
      </c>
      <c r="AU40" s="10" t="s">
        <v>46</v>
      </c>
      <c r="AV40" s="10" t="s">
        <v>47</v>
      </c>
      <c r="AW40" s="10" t="s">
        <v>48</v>
      </c>
      <c r="AX40" s="10" t="s">
        <v>49</v>
      </c>
      <c r="AY40" s="10" t="s">
        <v>50</v>
      </c>
      <c r="AZ40" s="10" t="s">
        <v>51</v>
      </c>
      <c r="BA40" s="10" t="s">
        <v>52</v>
      </c>
      <c r="BB40" s="10" t="s">
        <v>53</v>
      </c>
      <c r="BC40" s="10" t="s">
        <v>54</v>
      </c>
      <c r="BD40" s="10" t="s">
        <v>55</v>
      </c>
      <c r="BE40" s="10" t="s">
        <v>56</v>
      </c>
      <c r="BF40" s="10" t="s">
        <v>57</v>
      </c>
      <c r="BG40" s="10" t="s">
        <v>58</v>
      </c>
      <c r="BH40" s="10" t="s">
        <v>59</v>
      </c>
      <c r="BI40" s="10" t="s">
        <v>60</v>
      </c>
      <c r="BJ40" s="10" t="s">
        <v>61</v>
      </c>
      <c r="BK40" s="10" t="s">
        <v>62</v>
      </c>
      <c r="BL40" s="10" t="s">
        <v>63</v>
      </c>
      <c r="BM40" s="10" t="s">
        <v>64</v>
      </c>
      <c r="BN40" s="10" t="s">
        <v>65</v>
      </c>
      <c r="BO40" s="10" t="s">
        <v>66</v>
      </c>
      <c r="BP40" s="10" t="s">
        <v>67</v>
      </c>
      <c r="BQ40" s="10" t="s">
        <v>68</v>
      </c>
      <c r="BR40" s="10" t="s">
        <v>69</v>
      </c>
      <c r="BS40" s="10" t="s">
        <v>70</v>
      </c>
      <c r="BT40" s="10" t="s">
        <v>71</v>
      </c>
      <c r="BU40" s="10" t="s">
        <v>72</v>
      </c>
      <c r="BV40" s="10" t="s">
        <v>73</v>
      </c>
      <c r="BW40" s="10" t="s">
        <v>74</v>
      </c>
      <c r="BX40" s="10" t="s">
        <v>75</v>
      </c>
      <c r="BY40" s="10" t="s">
        <v>76</v>
      </c>
      <c r="BZ40" s="10" t="s">
        <v>77</v>
      </c>
      <c r="CA40" s="10" t="s">
        <v>78</v>
      </c>
    </row>
    <row r="41" ht="15.75" customHeight="1">
      <c r="A41" s="10" t="s">
        <v>79</v>
      </c>
      <c r="B41" s="10" t="s">
        <v>80</v>
      </c>
      <c r="C41" s="10" t="s">
        <v>80</v>
      </c>
      <c r="D41" s="10" t="s">
        <v>80</v>
      </c>
      <c r="E41" s="10" t="s">
        <v>80</v>
      </c>
      <c r="F41" s="10" t="s">
        <v>80</v>
      </c>
      <c r="G41" s="10" t="s">
        <v>80</v>
      </c>
      <c r="H41" s="10" t="s">
        <v>80</v>
      </c>
      <c r="I41" s="10" t="s">
        <v>80</v>
      </c>
      <c r="J41" s="10" t="s">
        <v>80</v>
      </c>
      <c r="K41" s="10" t="s">
        <v>80</v>
      </c>
      <c r="L41" s="10" t="s">
        <v>80</v>
      </c>
      <c r="M41" s="10" t="s">
        <v>80</v>
      </c>
      <c r="N41" s="10" t="s">
        <v>80</v>
      </c>
      <c r="O41" s="10" t="s">
        <v>80</v>
      </c>
      <c r="P41" s="10" t="s">
        <v>80</v>
      </c>
      <c r="Q41" s="10" t="s">
        <v>80</v>
      </c>
      <c r="R41" s="10" t="s">
        <v>80</v>
      </c>
      <c r="S41" s="10" t="s">
        <v>80</v>
      </c>
      <c r="T41" s="10" t="s">
        <v>80</v>
      </c>
      <c r="U41" s="10" t="s">
        <v>80</v>
      </c>
      <c r="V41" s="10" t="s">
        <v>80</v>
      </c>
      <c r="W41" s="10" t="s">
        <v>80</v>
      </c>
      <c r="X41" s="10" t="s">
        <v>80</v>
      </c>
      <c r="Y41" s="10" t="s">
        <v>80</v>
      </c>
      <c r="Z41" s="10" t="s">
        <v>80</v>
      </c>
      <c r="AA41" s="10" t="s">
        <v>80</v>
      </c>
      <c r="AB41" s="10" t="s">
        <v>80</v>
      </c>
      <c r="AC41" s="10" t="s">
        <v>80</v>
      </c>
      <c r="AD41" s="10" t="s">
        <v>80</v>
      </c>
      <c r="AE41" s="10" t="s">
        <v>80</v>
      </c>
      <c r="AF41" s="10" t="s">
        <v>80</v>
      </c>
      <c r="AG41" s="10" t="s">
        <v>80</v>
      </c>
      <c r="AH41" s="10" t="s">
        <v>80</v>
      </c>
      <c r="AI41" s="10" t="s">
        <v>80</v>
      </c>
      <c r="AJ41" s="10" t="s">
        <v>80</v>
      </c>
      <c r="AK41" s="10" t="s">
        <v>80</v>
      </c>
      <c r="AL41" s="10" t="s">
        <v>80</v>
      </c>
      <c r="AM41" s="10" t="s">
        <v>80</v>
      </c>
      <c r="AN41" s="10" t="s">
        <v>80</v>
      </c>
      <c r="AO41" s="10" t="s">
        <v>80</v>
      </c>
      <c r="AP41" s="10" t="s">
        <v>80</v>
      </c>
      <c r="AQ41" s="10" t="s">
        <v>80</v>
      </c>
      <c r="AR41" s="10" t="s">
        <v>80</v>
      </c>
      <c r="AS41" s="10" t="s">
        <v>80</v>
      </c>
      <c r="AT41" s="10" t="s">
        <v>80</v>
      </c>
      <c r="AU41" s="10" t="s">
        <v>80</v>
      </c>
      <c r="AV41" s="10" t="s">
        <v>80</v>
      </c>
      <c r="AW41" s="10" t="s">
        <v>80</v>
      </c>
      <c r="AX41" s="10" t="s">
        <v>80</v>
      </c>
      <c r="AY41" s="10" t="s">
        <v>80</v>
      </c>
      <c r="AZ41" s="10" t="s">
        <v>80</v>
      </c>
      <c r="BA41" s="10" t="s">
        <v>80</v>
      </c>
      <c r="BB41" s="10" t="s">
        <v>80</v>
      </c>
      <c r="BC41" s="10" t="s">
        <v>80</v>
      </c>
      <c r="BD41" s="10" t="s">
        <v>80</v>
      </c>
      <c r="BE41" s="10" t="s">
        <v>80</v>
      </c>
      <c r="BF41" s="10" t="s">
        <v>80</v>
      </c>
      <c r="BG41" s="10" t="s">
        <v>80</v>
      </c>
      <c r="BH41" s="10" t="s">
        <v>80</v>
      </c>
      <c r="BI41" s="10" t="s">
        <v>80</v>
      </c>
      <c r="BJ41" s="10" t="s">
        <v>80</v>
      </c>
      <c r="BK41" s="10" t="s">
        <v>80</v>
      </c>
      <c r="BL41" s="10" t="s">
        <v>80</v>
      </c>
      <c r="BM41" s="10" t="s">
        <v>80</v>
      </c>
      <c r="BN41" s="10" t="s">
        <v>80</v>
      </c>
      <c r="BO41" s="10" t="s">
        <v>80</v>
      </c>
      <c r="BP41" s="10" t="s">
        <v>80</v>
      </c>
      <c r="BQ41" s="10" t="s">
        <v>80</v>
      </c>
      <c r="BR41" s="10" t="s">
        <v>80</v>
      </c>
      <c r="BS41" s="10" t="s">
        <v>80</v>
      </c>
      <c r="BT41" s="10" t="s">
        <v>80</v>
      </c>
      <c r="BU41" s="10" t="s">
        <v>80</v>
      </c>
      <c r="BV41" s="10" t="s">
        <v>80</v>
      </c>
      <c r="BW41" s="10" t="s">
        <v>80</v>
      </c>
      <c r="BX41" s="10" t="s">
        <v>80</v>
      </c>
      <c r="BY41" s="10" t="s">
        <v>80</v>
      </c>
      <c r="BZ41" s="10" t="s">
        <v>80</v>
      </c>
      <c r="CA41" s="10" t="s">
        <v>80</v>
      </c>
    </row>
    <row r="42" ht="15.75" customHeight="1">
      <c r="A42" s="10" t="s">
        <v>81</v>
      </c>
      <c r="B42" s="10" t="s">
        <v>82</v>
      </c>
      <c r="C42" s="10" t="s">
        <v>83</v>
      </c>
      <c r="D42" s="10" t="s">
        <v>84</v>
      </c>
      <c r="E42" s="10" t="s">
        <v>85</v>
      </c>
      <c r="F42" s="10" t="s">
        <v>86</v>
      </c>
      <c r="G42" s="10" t="s">
        <v>87</v>
      </c>
      <c r="H42" s="10" t="s">
        <v>88</v>
      </c>
      <c r="I42" s="10" t="s">
        <v>89</v>
      </c>
      <c r="J42" s="10" t="s">
        <v>90</v>
      </c>
      <c r="K42" s="10" t="s">
        <v>91</v>
      </c>
      <c r="L42" s="10" t="s">
        <v>92</v>
      </c>
      <c r="M42" s="10" t="s">
        <v>93</v>
      </c>
      <c r="N42" s="10" t="s">
        <v>94</v>
      </c>
      <c r="O42" s="10" t="s">
        <v>95</v>
      </c>
      <c r="P42" s="10" t="s">
        <v>96</v>
      </c>
      <c r="Q42" s="10" t="s">
        <v>97</v>
      </c>
      <c r="R42" s="10" t="s">
        <v>98</v>
      </c>
      <c r="S42" s="10" t="s">
        <v>99</v>
      </c>
      <c r="T42" s="10" t="s">
        <v>100</v>
      </c>
      <c r="U42" s="10" t="s">
        <v>101</v>
      </c>
      <c r="V42" s="10" t="s">
        <v>102</v>
      </c>
      <c r="W42" s="10" t="s">
        <v>103</v>
      </c>
      <c r="X42" s="10" t="s">
        <v>104</v>
      </c>
      <c r="Y42" s="10" t="s">
        <v>105</v>
      </c>
      <c r="Z42" s="10" t="s">
        <v>106</v>
      </c>
      <c r="AA42" s="10" t="s">
        <v>107</v>
      </c>
      <c r="AB42" s="10" t="s">
        <v>108</v>
      </c>
      <c r="AC42" s="10" t="s">
        <v>109</v>
      </c>
      <c r="AD42" s="10" t="s">
        <v>110</v>
      </c>
      <c r="AE42" s="10" t="s">
        <v>111</v>
      </c>
      <c r="AF42" s="10" t="s">
        <v>112</v>
      </c>
      <c r="AG42" s="10" t="s">
        <v>113</v>
      </c>
      <c r="AH42" s="10" t="s">
        <v>114</v>
      </c>
      <c r="AI42" s="10" t="s">
        <v>115</v>
      </c>
      <c r="AJ42" s="10" t="s">
        <v>116</v>
      </c>
      <c r="AK42" s="10" t="s">
        <v>117</v>
      </c>
      <c r="AL42" s="10" t="s">
        <v>118</v>
      </c>
      <c r="AM42" s="10" t="s">
        <v>119</v>
      </c>
      <c r="AN42" s="10" t="s">
        <v>120</v>
      </c>
      <c r="AO42" s="10" t="s">
        <v>121</v>
      </c>
      <c r="AP42" s="10" t="s">
        <v>122</v>
      </c>
      <c r="AQ42" s="10" t="s">
        <v>123</v>
      </c>
      <c r="AR42" s="10" t="s">
        <v>124</v>
      </c>
      <c r="AS42" s="10" t="s">
        <v>125</v>
      </c>
      <c r="AT42" s="10" t="s">
        <v>126</v>
      </c>
      <c r="AU42" s="10" t="s">
        <v>127</v>
      </c>
      <c r="AV42" s="10" t="s">
        <v>128</v>
      </c>
      <c r="AW42" s="10" t="s">
        <v>129</v>
      </c>
      <c r="AX42" s="10" t="s">
        <v>130</v>
      </c>
      <c r="AY42" s="10" t="s">
        <v>131</v>
      </c>
      <c r="AZ42" s="10" t="s">
        <v>132</v>
      </c>
      <c r="BA42" s="10" t="s">
        <v>133</v>
      </c>
      <c r="BB42" s="10" t="s">
        <v>134</v>
      </c>
      <c r="BC42" s="10" t="s">
        <v>135</v>
      </c>
      <c r="BD42" s="10" t="s">
        <v>136</v>
      </c>
      <c r="BE42" s="10" t="s">
        <v>137</v>
      </c>
      <c r="BF42" s="10" t="s">
        <v>138</v>
      </c>
      <c r="BG42" s="10" t="s">
        <v>139</v>
      </c>
      <c r="BH42" s="10" t="s">
        <v>140</v>
      </c>
      <c r="BI42" s="10" t="s">
        <v>141</v>
      </c>
      <c r="BJ42" s="10" t="s">
        <v>142</v>
      </c>
      <c r="BK42" s="10" t="s">
        <v>143</v>
      </c>
      <c r="BL42" s="10" t="s">
        <v>144</v>
      </c>
      <c r="BM42" s="10" t="s">
        <v>145</v>
      </c>
      <c r="BN42" s="10" t="s">
        <v>146</v>
      </c>
      <c r="BO42" s="10" t="s">
        <v>147</v>
      </c>
      <c r="BP42" s="10" t="s">
        <v>148</v>
      </c>
      <c r="BQ42" s="10" t="s">
        <v>149</v>
      </c>
      <c r="BR42" s="10" t="s">
        <v>150</v>
      </c>
      <c r="BS42" s="10" t="s">
        <v>151</v>
      </c>
      <c r="BT42" s="10" t="s">
        <v>152</v>
      </c>
      <c r="BU42" s="10" t="s">
        <v>153</v>
      </c>
      <c r="BV42" s="10" t="s">
        <v>154</v>
      </c>
      <c r="BW42" s="10" t="s">
        <v>155</v>
      </c>
      <c r="BX42" s="10" t="s">
        <v>156</v>
      </c>
      <c r="BY42" s="10" t="s">
        <v>157</v>
      </c>
      <c r="BZ42" s="10" t="s">
        <v>158</v>
      </c>
      <c r="CA42" s="10" t="s">
        <v>159</v>
      </c>
    </row>
    <row r="43" ht="15.75" customHeight="1">
      <c r="A43" s="9" t="str">
        <f t="shared" ref="A43:A78" si="11">A4</f>
        <v>Y1988</v>
      </c>
      <c r="B43" s="11">
        <f t="shared" ref="B43:B78" si="12">IFERROR(B4/$CA4,0)</f>
        <v>0.1865454975</v>
      </c>
      <c r="C43" s="11">
        <f t="shared" ref="C43:L43" si="1">IFERROR(C4/$B4,0)</f>
        <v>0.04074402126</v>
      </c>
      <c r="D43" s="11">
        <f t="shared" si="1"/>
        <v>0.3065924333</v>
      </c>
      <c r="E43" s="11">
        <f t="shared" si="1"/>
        <v>0.06693660635</v>
      </c>
      <c r="F43" s="11">
        <f t="shared" si="1"/>
        <v>0.08389219284</v>
      </c>
      <c r="G43" s="11">
        <f t="shared" si="1"/>
        <v>0.2620523852</v>
      </c>
      <c r="H43" s="11">
        <f t="shared" si="1"/>
        <v>0.07642667342</v>
      </c>
      <c r="I43" s="11">
        <f t="shared" si="1"/>
        <v>0.1086929014</v>
      </c>
      <c r="J43" s="11">
        <f t="shared" si="1"/>
        <v>0.008604327471</v>
      </c>
      <c r="K43" s="11">
        <f t="shared" si="1"/>
        <v>0.03454384411</v>
      </c>
      <c r="L43" s="11">
        <f t="shared" si="1"/>
        <v>0.0115146147</v>
      </c>
      <c r="M43" s="11">
        <f t="shared" ref="M43:M78" si="14">IFERROR(M4/$CA4,0)</f>
        <v>0.006420394193</v>
      </c>
      <c r="N43" s="11">
        <f t="shared" ref="N43:O43" si="2">IFERROR(N4/$M4,0)</f>
        <v>0.9191176471</v>
      </c>
      <c r="O43" s="11">
        <f t="shared" si="2"/>
        <v>0.08088235294</v>
      </c>
      <c r="P43" s="11">
        <f t="shared" ref="P43:P78" si="16">IFERROR(P4/$CA4,0)</f>
        <v>0.315661513</v>
      </c>
      <c r="Q43" s="11">
        <f t="shared" ref="Q43:Y43" si="3">IFERROR(Q4/$P4,0)</f>
        <v>0.04591340761</v>
      </c>
      <c r="R43" s="11">
        <f t="shared" si="3"/>
        <v>0.00471098482</v>
      </c>
      <c r="S43" s="11">
        <f t="shared" si="3"/>
        <v>0.0007477753683</v>
      </c>
      <c r="T43" s="11">
        <f t="shared" si="3"/>
        <v>0.03282733867</v>
      </c>
      <c r="U43" s="11">
        <f t="shared" si="3"/>
        <v>0.002766768863</v>
      </c>
      <c r="V43" s="11">
        <f t="shared" si="3"/>
        <v>0.4688551559</v>
      </c>
      <c r="W43" s="11">
        <f t="shared" si="3"/>
        <v>0.01652583564</v>
      </c>
      <c r="X43" s="11">
        <f t="shared" si="3"/>
        <v>0.4183803186</v>
      </c>
      <c r="Y43" s="11">
        <f t="shared" si="3"/>
        <v>0.009272414567</v>
      </c>
      <c r="Z43" s="11">
        <f t="shared" ref="Z43:Z78" si="18">IFERROR(Z4/$CA4,0)</f>
        <v>0.1525079665</v>
      </c>
      <c r="AA43" s="11">
        <f t="shared" ref="AA43:AC43" si="4">IFERROR(AA4/$Z4,0)</f>
        <v>0.7175359851</v>
      </c>
      <c r="AB43" s="11">
        <f t="shared" si="4"/>
        <v>0.2499613063</v>
      </c>
      <c r="AC43" s="11">
        <f t="shared" si="4"/>
        <v>0.03250270856</v>
      </c>
      <c r="AD43" s="11">
        <f t="shared" ref="AD43:AD78" si="20">IFERROR(AD4/$CA4,0)</f>
        <v>0.003446241001</v>
      </c>
      <c r="AE43" s="11">
        <f t="shared" ref="AE43:AG43" si="5">IFERROR(AE4/$AD4,0)</f>
        <v>0.8356164384</v>
      </c>
      <c r="AF43" s="11">
        <f t="shared" si="5"/>
        <v>0.09589041096</v>
      </c>
      <c r="AG43" s="11">
        <f t="shared" si="5"/>
        <v>0.06849315068</v>
      </c>
      <c r="AH43" s="11">
        <f t="shared" ref="AH43:AH78" si="22">IFERROR(AH4/$CA4,0)</f>
        <v>0.02457217042</v>
      </c>
      <c r="AI43" s="11">
        <f t="shared" ref="AI43:AQ43" si="6">IFERROR(AI4/$AH4,0)</f>
        <v>0.09798270893</v>
      </c>
      <c r="AJ43" s="11">
        <f t="shared" si="6"/>
        <v>0.08261287224</v>
      </c>
      <c r="AK43" s="11">
        <f t="shared" si="6"/>
        <v>0.1047070125</v>
      </c>
      <c r="AL43" s="11">
        <f t="shared" si="6"/>
        <v>0.2199807877</v>
      </c>
      <c r="AM43" s="11">
        <f t="shared" si="6"/>
        <v>0.08549471662</v>
      </c>
      <c r="AN43" s="11">
        <f t="shared" si="6"/>
        <v>0.008645533141</v>
      </c>
      <c r="AO43" s="11">
        <f t="shared" si="6"/>
        <v>0.1508165226</v>
      </c>
      <c r="AP43" s="11">
        <f t="shared" si="6"/>
        <v>0.0585975024</v>
      </c>
      <c r="AQ43" s="11">
        <f t="shared" si="6"/>
        <v>0.1911623439</v>
      </c>
      <c r="AR43" s="11">
        <f t="shared" ref="AR43:AR78" si="24">IFERROR(AR4/$CA4,0)</f>
        <v>0.1261418624</v>
      </c>
      <c r="AS43" s="11">
        <f t="shared" ref="AS43:BA43" si="7">IFERROR(AS4/$AR4,0)</f>
        <v>0.0308757485</v>
      </c>
      <c r="AT43" s="11">
        <f t="shared" si="7"/>
        <v>0.01347305389</v>
      </c>
      <c r="AU43" s="11">
        <f t="shared" si="7"/>
        <v>0.002806886228</v>
      </c>
      <c r="AV43" s="11">
        <f t="shared" si="7"/>
        <v>0.02170658683</v>
      </c>
      <c r="AW43" s="11">
        <f t="shared" si="7"/>
        <v>0.02769461078</v>
      </c>
      <c r="AX43" s="11">
        <f t="shared" si="7"/>
        <v>0.05950598802</v>
      </c>
      <c r="AY43" s="11">
        <f t="shared" si="7"/>
        <v>0.09375</v>
      </c>
      <c r="AZ43" s="11">
        <f t="shared" si="7"/>
        <v>0.6929266467</v>
      </c>
      <c r="BA43" s="11">
        <f t="shared" si="7"/>
        <v>0.05726047904</v>
      </c>
      <c r="BB43" s="11">
        <f t="shared" ref="BB43:BB78" si="26">IFERROR(BB4/$CA4,0)</f>
        <v>0.0647704473</v>
      </c>
      <c r="BC43" s="11">
        <f t="shared" ref="BC43:BK43" si="8">IFERROR(BC4/$BB4,0)</f>
        <v>0.1333819242</v>
      </c>
      <c r="BD43" s="11">
        <f t="shared" si="8"/>
        <v>0.1224489796</v>
      </c>
      <c r="BE43" s="11">
        <f t="shared" si="8"/>
        <v>0.01421282799</v>
      </c>
      <c r="BF43" s="11">
        <f t="shared" si="8"/>
        <v>0.1173469388</v>
      </c>
      <c r="BG43" s="11">
        <f t="shared" si="8"/>
        <v>0.1479591837</v>
      </c>
      <c r="BH43" s="11">
        <f t="shared" si="8"/>
        <v>0.05174927114</v>
      </c>
      <c r="BI43" s="11">
        <f t="shared" si="8"/>
        <v>0.1020408163</v>
      </c>
      <c r="BJ43" s="11">
        <f t="shared" si="8"/>
        <v>0.1428571429</v>
      </c>
      <c r="BK43" s="11">
        <f t="shared" si="8"/>
        <v>0.1680029155</v>
      </c>
      <c r="BL43" s="11">
        <f t="shared" ref="BL43:BL78" si="28">IFERROR(BL4/$CA4,0)</f>
        <v>0.0253747197</v>
      </c>
      <c r="BM43" s="11">
        <f t="shared" ref="BM43:BT43" si="9">IFERROR(BM4/$BL4,0)</f>
        <v>0.0288372093</v>
      </c>
      <c r="BN43" s="11">
        <f t="shared" si="9"/>
        <v>0.03348837209</v>
      </c>
      <c r="BO43" s="11">
        <f t="shared" si="9"/>
        <v>0.001860465116</v>
      </c>
      <c r="BP43" s="11">
        <f t="shared" si="9"/>
        <v>0.06046511628</v>
      </c>
      <c r="BQ43" s="11">
        <f t="shared" si="9"/>
        <v>0.01302325581</v>
      </c>
      <c r="BR43" s="11">
        <f t="shared" si="9"/>
        <v>0.1823255814</v>
      </c>
      <c r="BS43" s="11">
        <f t="shared" si="9"/>
        <v>0.2576744186</v>
      </c>
      <c r="BT43" s="11">
        <f t="shared" si="9"/>
        <v>0.4223255814</v>
      </c>
      <c r="BU43" s="11">
        <f t="shared" ref="BU43:BU78" si="30">IFERROR(BU4/$CA4,0)</f>
        <v>0.09455918801</v>
      </c>
      <c r="BV43" s="11">
        <f t="shared" ref="BV43:BZ43" si="10">IFERROR(BV4/$BU4,0)</f>
        <v>0.03894158762</v>
      </c>
      <c r="BW43" s="11">
        <f t="shared" si="10"/>
        <v>0.04892661008</v>
      </c>
      <c r="BX43" s="11">
        <f t="shared" si="10"/>
        <v>0.0002496255617</v>
      </c>
      <c r="BY43" s="11">
        <f t="shared" si="10"/>
        <v>0.6674987519</v>
      </c>
      <c r="BZ43" s="11">
        <f t="shared" si="10"/>
        <v>0.2443834249</v>
      </c>
      <c r="CA43" s="11">
        <f t="shared" ref="CA43:CA78" si="32">B43+M43+P43+Z43+AD43+AH43+AR43+BB43+BL43+BU43</f>
        <v>1</v>
      </c>
    </row>
    <row r="44" ht="15.75" customHeight="1">
      <c r="A44" s="9" t="str">
        <f t="shared" si="11"/>
        <v>Y1989</v>
      </c>
      <c r="B44" s="11">
        <f t="shared" si="12"/>
        <v>0.2018553586</v>
      </c>
      <c r="C44" s="11">
        <f t="shared" ref="C44:L44" si="13">IFERROR(C5/$B5,0)</f>
        <v>0.0257194055</v>
      </c>
      <c r="D44" s="11">
        <f t="shared" si="13"/>
        <v>0.2781701275</v>
      </c>
      <c r="E44" s="11">
        <f t="shared" si="13"/>
        <v>0.07188784653</v>
      </c>
      <c r="F44" s="11">
        <f t="shared" si="13"/>
        <v>0.06809318014</v>
      </c>
      <c r="G44" s="11">
        <f t="shared" si="13"/>
        <v>0.3378307157</v>
      </c>
      <c r="H44" s="11">
        <f t="shared" si="13"/>
        <v>0.05417940339</v>
      </c>
      <c r="I44" s="11">
        <f t="shared" si="13"/>
        <v>0.1188995467</v>
      </c>
      <c r="J44" s="11">
        <f t="shared" si="13"/>
        <v>0.006851480974</v>
      </c>
      <c r="K44" s="11">
        <f t="shared" si="13"/>
        <v>0.02814377569</v>
      </c>
      <c r="L44" s="11">
        <f t="shared" si="13"/>
        <v>0.01022451776</v>
      </c>
      <c r="M44" s="11">
        <f t="shared" si="14"/>
        <v>0.004851167046</v>
      </c>
      <c r="N44" s="11">
        <f t="shared" ref="N44:O44" si="15">IFERROR(N5/$M5,0)</f>
        <v>0.9254385965</v>
      </c>
      <c r="O44" s="11">
        <f t="shared" si="15"/>
        <v>0.07456140351</v>
      </c>
      <c r="P44" s="11">
        <f t="shared" si="16"/>
        <v>0.3005170323</v>
      </c>
      <c r="Q44" s="11">
        <f t="shared" ref="Q44:Y44" si="17">IFERROR(Q5/$P5,0)</f>
        <v>0.03646275843</v>
      </c>
      <c r="R44" s="11">
        <f t="shared" si="17"/>
        <v>0.003115264798</v>
      </c>
      <c r="S44" s="11">
        <f t="shared" si="17"/>
        <v>0.0009912206174</v>
      </c>
      <c r="T44" s="11">
        <f t="shared" si="17"/>
        <v>0.02895780232</v>
      </c>
      <c r="U44" s="11">
        <f t="shared" si="17"/>
        <v>0.002336448598</v>
      </c>
      <c r="V44" s="11">
        <f t="shared" si="17"/>
        <v>0.3994619088</v>
      </c>
      <c r="W44" s="11">
        <f t="shared" si="17"/>
        <v>0.01458510337</v>
      </c>
      <c r="X44" s="11">
        <f t="shared" si="17"/>
        <v>0.5046728972</v>
      </c>
      <c r="Y44" s="11">
        <f t="shared" si="17"/>
        <v>0.009416595865</v>
      </c>
      <c r="Z44" s="11">
        <f t="shared" si="18"/>
        <v>0.1539181685</v>
      </c>
      <c r="AA44" s="11">
        <f t="shared" ref="AA44:AC44" si="19">IFERROR(AA5/$Z5,0)</f>
        <v>0.734586674</v>
      </c>
      <c r="AB44" s="11">
        <f t="shared" si="19"/>
        <v>0.2294719381</v>
      </c>
      <c r="AC44" s="11">
        <f t="shared" si="19"/>
        <v>0.03594138789</v>
      </c>
      <c r="AD44" s="11">
        <f t="shared" si="20"/>
        <v>0.002361752378</v>
      </c>
      <c r="AE44" s="11">
        <f t="shared" ref="AE44:AG44" si="21">IFERROR(AE5/$AD5,0)</f>
        <v>0.9009009009</v>
      </c>
      <c r="AF44" s="11">
        <f t="shared" si="21"/>
        <v>0.009009009009</v>
      </c>
      <c r="AG44" s="11">
        <f t="shared" si="21"/>
        <v>0.09009009009</v>
      </c>
      <c r="AH44" s="11">
        <f t="shared" si="22"/>
        <v>0.02497925488</v>
      </c>
      <c r="AI44" s="11">
        <f t="shared" ref="AI44:AQ44" si="23">IFERROR(AI5/$AH5,0)</f>
        <v>0.07666098807</v>
      </c>
      <c r="AJ44" s="11">
        <f t="shared" si="23"/>
        <v>0.0996592845</v>
      </c>
      <c r="AK44" s="11">
        <f t="shared" si="23"/>
        <v>0.2010221465</v>
      </c>
      <c r="AL44" s="11">
        <f t="shared" si="23"/>
        <v>0.2095400341</v>
      </c>
      <c r="AM44" s="11">
        <f t="shared" si="23"/>
        <v>0.07836456559</v>
      </c>
      <c r="AN44" s="11">
        <f t="shared" si="23"/>
        <v>0.007666098807</v>
      </c>
      <c r="AO44" s="11">
        <f t="shared" si="23"/>
        <v>0.1235093697</v>
      </c>
      <c r="AP44" s="11">
        <f t="shared" si="23"/>
        <v>0.04855195911</v>
      </c>
      <c r="AQ44" s="11">
        <f t="shared" si="23"/>
        <v>0.1550255537</v>
      </c>
      <c r="AR44" s="11">
        <f t="shared" si="24"/>
        <v>0.1290027447</v>
      </c>
      <c r="AS44" s="11">
        <f t="shared" ref="AS44:BA44" si="25">IFERROR(AS5/$AR5,0)</f>
        <v>0.02490516246</v>
      </c>
      <c r="AT44" s="11">
        <f t="shared" si="25"/>
        <v>0.01022596075</v>
      </c>
      <c r="AU44" s="11">
        <f t="shared" si="25"/>
        <v>0.00214415306</v>
      </c>
      <c r="AV44" s="11">
        <f t="shared" si="25"/>
        <v>0.02259607455</v>
      </c>
      <c r="AW44" s="11">
        <f t="shared" si="25"/>
        <v>0.02770905492</v>
      </c>
      <c r="AX44" s="11">
        <f t="shared" si="25"/>
        <v>0.07372587828</v>
      </c>
      <c r="AY44" s="11">
        <f t="shared" si="25"/>
        <v>0.09632195283</v>
      </c>
      <c r="AZ44" s="11">
        <f t="shared" si="25"/>
        <v>0.6849744351</v>
      </c>
      <c r="BA44" s="11">
        <f t="shared" si="25"/>
        <v>0.05739732806</v>
      </c>
      <c r="BB44" s="11">
        <f t="shared" si="26"/>
        <v>0.0699163812</v>
      </c>
      <c r="BC44" s="11">
        <f t="shared" ref="BC44:BK44" si="27">IFERROR(BC5/$BB5,0)</f>
        <v>0.1150334753</v>
      </c>
      <c r="BD44" s="11">
        <f t="shared" si="27"/>
        <v>0.1162507608</v>
      </c>
      <c r="BE44" s="11">
        <f t="shared" si="27"/>
        <v>0.01643335362</v>
      </c>
      <c r="BF44" s="11">
        <f t="shared" si="27"/>
        <v>0.1068167985</v>
      </c>
      <c r="BG44" s="11">
        <f t="shared" si="27"/>
        <v>0.1460742544</v>
      </c>
      <c r="BH44" s="11">
        <f t="shared" si="27"/>
        <v>0.06664637858</v>
      </c>
      <c r="BI44" s="11">
        <f t="shared" si="27"/>
        <v>0.09951308582</v>
      </c>
      <c r="BJ44" s="11">
        <f t="shared" si="27"/>
        <v>0.1545952526</v>
      </c>
      <c r="BK44" s="11">
        <f t="shared" si="27"/>
        <v>0.1786366403</v>
      </c>
      <c r="BL44" s="11">
        <f t="shared" si="28"/>
        <v>0.0267452499</v>
      </c>
      <c r="BM44" s="11">
        <f t="shared" ref="BM44:BT44" si="29">IFERROR(BM5/$BL5,0)</f>
        <v>0.02227525855</v>
      </c>
      <c r="BN44" s="11">
        <f t="shared" si="29"/>
        <v>0.02784407319</v>
      </c>
      <c r="BO44" s="11">
        <f t="shared" si="29"/>
        <v>0.002386634845</v>
      </c>
      <c r="BP44" s="11">
        <f t="shared" si="29"/>
        <v>0.07000795545</v>
      </c>
      <c r="BQ44" s="11">
        <f t="shared" si="29"/>
        <v>0.01829753381</v>
      </c>
      <c r="BR44" s="11">
        <f t="shared" si="29"/>
        <v>0.1917263325</v>
      </c>
      <c r="BS44" s="11">
        <f t="shared" si="29"/>
        <v>0.1988862371</v>
      </c>
      <c r="BT44" s="11">
        <f t="shared" si="29"/>
        <v>0.4685759745</v>
      </c>
      <c r="BU44" s="11">
        <f t="shared" si="30"/>
        <v>0.08585289049</v>
      </c>
      <c r="BV44" s="11">
        <f t="shared" ref="BV44:BZ44" si="31">IFERROR(BV5/$BU5,0)</f>
        <v>0.03791821561</v>
      </c>
      <c r="BW44" s="11">
        <f t="shared" si="31"/>
        <v>0.05080545229</v>
      </c>
      <c r="BX44" s="11">
        <f t="shared" si="31"/>
        <v>0</v>
      </c>
      <c r="BY44" s="11">
        <f t="shared" si="31"/>
        <v>0.6418835192</v>
      </c>
      <c r="BZ44" s="11">
        <f t="shared" si="31"/>
        <v>0.2693928129</v>
      </c>
      <c r="CA44" s="11">
        <f t="shared" si="32"/>
        <v>1</v>
      </c>
    </row>
    <row r="45" ht="15.75" customHeight="1">
      <c r="A45" s="9" t="str">
        <f t="shared" si="11"/>
        <v>Y1990</v>
      </c>
      <c r="B45" s="11">
        <f t="shared" si="12"/>
        <v>0.1911105871</v>
      </c>
      <c r="C45" s="11">
        <f t="shared" ref="C45:L45" si="33">IFERROR(C6/$B6,0)</f>
        <v>0.01675920214</v>
      </c>
      <c r="D45" s="11">
        <f t="shared" si="33"/>
        <v>0.3177051203</v>
      </c>
      <c r="E45" s="11">
        <f t="shared" si="33"/>
        <v>0.06950442114</v>
      </c>
      <c r="F45" s="11">
        <f t="shared" si="33"/>
        <v>0.06950442114</v>
      </c>
      <c r="G45" s="11">
        <f t="shared" si="33"/>
        <v>0.3098910138</v>
      </c>
      <c r="H45" s="11">
        <f t="shared" si="33"/>
        <v>0.05973678799</v>
      </c>
      <c r="I45" s="11">
        <f t="shared" si="33"/>
        <v>0.1132017273</v>
      </c>
      <c r="J45" s="11">
        <f t="shared" si="33"/>
        <v>0.008431009665</v>
      </c>
      <c r="K45" s="11">
        <f t="shared" si="33"/>
        <v>0.02447049147</v>
      </c>
      <c r="L45" s="11">
        <f t="shared" si="33"/>
        <v>0.01079580506</v>
      </c>
      <c r="M45" s="11">
        <f t="shared" si="14"/>
        <v>0.005600094317</v>
      </c>
      <c r="N45" s="11">
        <f t="shared" ref="N45:O45" si="34">IFERROR(N6/$M6,0)</f>
        <v>0.9333333333</v>
      </c>
      <c r="O45" s="11">
        <f t="shared" si="34"/>
        <v>0.06666666667</v>
      </c>
      <c r="P45" s="11">
        <f t="shared" si="16"/>
        <v>0.2645012969</v>
      </c>
      <c r="Q45" s="11">
        <f t="shared" ref="Q45:Y45" si="35">IFERROR(Q6/$P6,0)</f>
        <v>0.03922442612</v>
      </c>
      <c r="R45" s="11">
        <f t="shared" si="35"/>
        <v>0.003788722977</v>
      </c>
      <c r="S45" s="11">
        <f t="shared" si="35"/>
        <v>0.0005943094867</v>
      </c>
      <c r="T45" s="11">
        <f t="shared" si="35"/>
        <v>0.0298640517</v>
      </c>
      <c r="U45" s="11">
        <f t="shared" si="35"/>
        <v>0.001560062402</v>
      </c>
      <c r="V45" s="11">
        <f t="shared" si="35"/>
        <v>0.2926231335</v>
      </c>
      <c r="W45" s="11">
        <f t="shared" si="35"/>
        <v>0.0178292846</v>
      </c>
      <c r="X45" s="11">
        <f t="shared" si="35"/>
        <v>0.6027041082</v>
      </c>
      <c r="Y45" s="11">
        <f t="shared" si="35"/>
        <v>0.01181190105</v>
      </c>
      <c r="Z45" s="11">
        <f t="shared" si="18"/>
        <v>0.1885561581</v>
      </c>
      <c r="AA45" s="11">
        <f t="shared" ref="AA45:AC45" si="36">IFERROR(AA6/$Z6,0)</f>
        <v>0.6277615673</v>
      </c>
      <c r="AB45" s="11">
        <f t="shared" si="36"/>
        <v>0.3003334723</v>
      </c>
      <c r="AC45" s="11">
        <f t="shared" si="36"/>
        <v>0.0719049604</v>
      </c>
      <c r="AD45" s="11">
        <f t="shared" si="20"/>
        <v>0.002475831172</v>
      </c>
      <c r="AE45" s="11">
        <f t="shared" ref="AE45:AG45" si="37">IFERROR(AE6/$AD6,0)</f>
        <v>0.8968253968</v>
      </c>
      <c r="AF45" s="11">
        <f t="shared" si="37"/>
        <v>0.007936507937</v>
      </c>
      <c r="AG45" s="11">
        <f t="shared" si="37"/>
        <v>0.09523809524</v>
      </c>
      <c r="AH45" s="11">
        <f t="shared" si="22"/>
        <v>0.0254460426</v>
      </c>
      <c r="AI45" s="11">
        <f t="shared" ref="AI45:AQ45" si="38">IFERROR(AI6/$AH6,0)</f>
        <v>0.08185328185</v>
      </c>
      <c r="AJ45" s="11">
        <f t="shared" si="38"/>
        <v>0.1351351351</v>
      </c>
      <c r="AK45" s="11">
        <f t="shared" si="38"/>
        <v>0.1706563707</v>
      </c>
      <c r="AL45" s="11">
        <f t="shared" si="38"/>
        <v>0.2262548263</v>
      </c>
      <c r="AM45" s="11">
        <f t="shared" si="38"/>
        <v>0.08108108108</v>
      </c>
      <c r="AN45" s="11">
        <f t="shared" si="38"/>
        <v>0.009266409266</v>
      </c>
      <c r="AO45" s="11">
        <f t="shared" si="38"/>
        <v>0.105019305</v>
      </c>
      <c r="AP45" s="11">
        <f t="shared" si="38"/>
        <v>0.05868725869</v>
      </c>
      <c r="AQ45" s="11">
        <f t="shared" si="38"/>
        <v>0.132046332</v>
      </c>
      <c r="AR45" s="11">
        <f t="shared" si="24"/>
        <v>0.1229466321</v>
      </c>
      <c r="AS45" s="11">
        <f t="shared" ref="AS45:BA45" si="39">IFERROR(AS6/$AR6,0)</f>
        <v>0.02876778009</v>
      </c>
      <c r="AT45" s="11">
        <f t="shared" si="39"/>
        <v>0.01070800703</v>
      </c>
      <c r="AU45" s="11">
        <f t="shared" si="39"/>
        <v>0.005274093016</v>
      </c>
      <c r="AV45" s="11">
        <f t="shared" si="39"/>
        <v>0.02684992808</v>
      </c>
      <c r="AW45" s="11">
        <f t="shared" si="39"/>
        <v>0.03132491609</v>
      </c>
      <c r="AX45" s="11">
        <f t="shared" si="39"/>
        <v>0.07415694422</v>
      </c>
      <c r="AY45" s="11">
        <f t="shared" si="39"/>
        <v>0.1452772894</v>
      </c>
      <c r="AZ45" s="11">
        <f t="shared" si="39"/>
        <v>0.6125938948</v>
      </c>
      <c r="BA45" s="11">
        <f t="shared" si="39"/>
        <v>0.0650471472</v>
      </c>
      <c r="BB45" s="11">
        <f t="shared" si="26"/>
        <v>0.08089680107</v>
      </c>
      <c r="BC45" s="11">
        <f t="shared" ref="BC45:BK45" si="40">IFERROR(BC6/$BB6,0)</f>
        <v>0.1190187029</v>
      </c>
      <c r="BD45" s="11">
        <f t="shared" si="40"/>
        <v>0.1114889483</v>
      </c>
      <c r="BE45" s="11">
        <f t="shared" si="40"/>
        <v>0.01943162497</v>
      </c>
      <c r="BF45" s="11">
        <f t="shared" si="40"/>
        <v>0.1044449842</v>
      </c>
      <c r="BG45" s="11">
        <f t="shared" si="40"/>
        <v>0.1542385232</v>
      </c>
      <c r="BH45" s="11">
        <f t="shared" si="40"/>
        <v>0.07068253583</v>
      </c>
      <c r="BI45" s="11">
        <f t="shared" si="40"/>
        <v>0.1003157639</v>
      </c>
      <c r="BJ45" s="11">
        <f t="shared" si="40"/>
        <v>0.1787709497</v>
      </c>
      <c r="BK45" s="11">
        <f t="shared" si="40"/>
        <v>0.141607967</v>
      </c>
      <c r="BL45" s="11">
        <f t="shared" si="28"/>
        <v>0.02566218659</v>
      </c>
      <c r="BM45" s="11">
        <f t="shared" ref="BM45:BT45" si="41">IFERROR(BM6/$BL6,0)</f>
        <v>0.02833078101</v>
      </c>
      <c r="BN45" s="11">
        <f t="shared" si="41"/>
        <v>0.03215926493</v>
      </c>
      <c r="BO45" s="11">
        <f t="shared" si="41"/>
        <v>0.00382848392</v>
      </c>
      <c r="BP45" s="11">
        <f t="shared" si="41"/>
        <v>0.09571209801</v>
      </c>
      <c r="BQ45" s="11">
        <f t="shared" si="41"/>
        <v>0.01684532925</v>
      </c>
      <c r="BR45" s="11">
        <f t="shared" si="41"/>
        <v>0.1929555896</v>
      </c>
      <c r="BS45" s="11">
        <f t="shared" si="41"/>
        <v>0.184532925</v>
      </c>
      <c r="BT45" s="11">
        <f t="shared" si="41"/>
        <v>0.4456355283</v>
      </c>
      <c r="BU45" s="11">
        <f t="shared" si="30"/>
        <v>0.09280437004</v>
      </c>
      <c r="BV45" s="11">
        <f t="shared" ref="BV45:BZ45" si="42">IFERROR(BV6/$BU6,0)</f>
        <v>0.03938174889</v>
      </c>
      <c r="BW45" s="11">
        <f t="shared" si="42"/>
        <v>0.05293245818</v>
      </c>
      <c r="BX45" s="11">
        <f t="shared" si="42"/>
        <v>0.0004234596655</v>
      </c>
      <c r="BY45" s="11">
        <f t="shared" si="42"/>
        <v>0.7283506246</v>
      </c>
      <c r="BZ45" s="11">
        <f t="shared" si="42"/>
        <v>0.1789117087</v>
      </c>
      <c r="CA45" s="11">
        <f t="shared" si="32"/>
        <v>1</v>
      </c>
    </row>
    <row r="46" ht="15.75" customHeight="1">
      <c r="A46" s="9" t="str">
        <f t="shared" si="11"/>
        <v>Y1991</v>
      </c>
      <c r="B46" s="11">
        <f t="shared" si="12"/>
        <v>0.1733730565</v>
      </c>
      <c r="C46" s="11">
        <f t="shared" ref="C46:L46" si="43">IFERROR(C7/$B7,0)</f>
        <v>0.01954677263</v>
      </c>
      <c r="D46" s="11">
        <f t="shared" si="43"/>
        <v>0.347868113</v>
      </c>
      <c r="E46" s="11">
        <f t="shared" si="43"/>
        <v>0.08516808076</v>
      </c>
      <c r="F46" s="11">
        <f t="shared" si="43"/>
        <v>0.07936848888</v>
      </c>
      <c r="G46" s="11">
        <f t="shared" si="43"/>
        <v>0.2589410375</v>
      </c>
      <c r="H46" s="11">
        <f t="shared" si="43"/>
        <v>0.06991730212</v>
      </c>
      <c r="I46" s="11">
        <f t="shared" si="43"/>
        <v>0.08216088497</v>
      </c>
      <c r="J46" s="11">
        <f t="shared" si="43"/>
        <v>0.009880786167</v>
      </c>
      <c r="K46" s="11">
        <f t="shared" si="43"/>
        <v>0.03264955429</v>
      </c>
      <c r="L46" s="11">
        <f t="shared" si="43"/>
        <v>0.0144989797</v>
      </c>
      <c r="M46" s="11">
        <f t="shared" si="14"/>
        <v>0.006219160227</v>
      </c>
      <c r="N46" s="11">
        <f t="shared" ref="N46:O46" si="44">IFERROR(N7/$M7,0)</f>
        <v>0.9371257485</v>
      </c>
      <c r="O46" s="11">
        <f t="shared" si="44"/>
        <v>0.0628742515</v>
      </c>
      <c r="P46" s="11">
        <f t="shared" si="16"/>
        <v>0.2545945443</v>
      </c>
      <c r="Q46" s="11">
        <f t="shared" ref="Q46:Y46" si="45">IFERROR(Q7/$P7,0)</f>
        <v>0.0253053463</v>
      </c>
      <c r="R46" s="11">
        <f t="shared" si="45"/>
        <v>0.004315073503</v>
      </c>
      <c r="S46" s="11">
        <f t="shared" si="45"/>
        <v>0.0005850947122</v>
      </c>
      <c r="T46" s="11">
        <f t="shared" si="45"/>
        <v>0.03371608279</v>
      </c>
      <c r="U46" s="11">
        <f t="shared" si="45"/>
        <v>0.001462736781</v>
      </c>
      <c r="V46" s="11">
        <f t="shared" si="45"/>
        <v>0.3196811234</v>
      </c>
      <c r="W46" s="11">
        <f t="shared" si="45"/>
        <v>0.02120968332</v>
      </c>
      <c r="X46" s="11">
        <f t="shared" si="45"/>
        <v>0.5818035545</v>
      </c>
      <c r="Y46" s="11">
        <f t="shared" si="45"/>
        <v>0.01192130476</v>
      </c>
      <c r="Z46" s="11">
        <f t="shared" si="18"/>
        <v>0.2025323527</v>
      </c>
      <c r="AA46" s="11">
        <f t="shared" ref="AA46:AC46" si="46">IFERROR(AA7/$Z7,0)</f>
        <v>0.6304127976</v>
      </c>
      <c r="AB46" s="11">
        <f t="shared" si="46"/>
        <v>0.2679966903</v>
      </c>
      <c r="AC46" s="11">
        <f t="shared" si="46"/>
        <v>0.1015905121</v>
      </c>
      <c r="AD46" s="11">
        <f t="shared" si="20"/>
        <v>0.002532352667</v>
      </c>
      <c r="AE46" s="11">
        <f t="shared" ref="AE46:AG46" si="47">IFERROR(AE7/$AD7,0)</f>
        <v>0.8602941176</v>
      </c>
      <c r="AF46" s="11">
        <f t="shared" si="47"/>
        <v>0.007352941176</v>
      </c>
      <c r="AG46" s="11">
        <f t="shared" si="47"/>
        <v>0.1323529412</v>
      </c>
      <c r="AH46" s="11">
        <f t="shared" si="22"/>
        <v>0.02850758775</v>
      </c>
      <c r="AI46" s="11">
        <f t="shared" ref="AI46:AQ46" si="48">IFERROR(AI7/$AH7,0)</f>
        <v>0.0692357936</v>
      </c>
      <c r="AJ46" s="11">
        <f t="shared" si="48"/>
        <v>0.1652514696</v>
      </c>
      <c r="AK46" s="11">
        <f t="shared" si="48"/>
        <v>0.1227955585</v>
      </c>
      <c r="AL46" s="11">
        <f t="shared" si="48"/>
        <v>0.2488569562</v>
      </c>
      <c r="AM46" s="11">
        <f t="shared" si="48"/>
        <v>0.08164598302</v>
      </c>
      <c r="AN46" s="11">
        <f t="shared" si="48"/>
        <v>0.01110385369</v>
      </c>
      <c r="AO46" s="11">
        <f t="shared" si="48"/>
        <v>0.1182233834</v>
      </c>
      <c r="AP46" s="11">
        <f t="shared" si="48"/>
        <v>0.05355976486</v>
      </c>
      <c r="AQ46" s="11">
        <f t="shared" si="48"/>
        <v>0.1293272371</v>
      </c>
      <c r="AR46" s="11">
        <f t="shared" si="24"/>
        <v>0.1207336375</v>
      </c>
      <c r="AS46" s="11">
        <f t="shared" ref="AS46:BA46" si="49">IFERROR(AS7/$AR7,0)</f>
        <v>0.02884022209</v>
      </c>
      <c r="AT46" s="11">
        <f t="shared" si="49"/>
        <v>0.0103331277</v>
      </c>
      <c r="AU46" s="11">
        <f t="shared" si="49"/>
        <v>0.007711289328</v>
      </c>
      <c r="AV46" s="11">
        <f t="shared" si="49"/>
        <v>0.03223318939</v>
      </c>
      <c r="AW46" s="11">
        <f t="shared" si="49"/>
        <v>0.03362122147</v>
      </c>
      <c r="AX46" s="11">
        <f t="shared" si="49"/>
        <v>0.08574953732</v>
      </c>
      <c r="AY46" s="11">
        <f t="shared" si="49"/>
        <v>0.1583898828</v>
      </c>
      <c r="AZ46" s="11">
        <f t="shared" si="49"/>
        <v>0.5584515731</v>
      </c>
      <c r="BA46" s="11">
        <f t="shared" si="49"/>
        <v>0.08466995682</v>
      </c>
      <c r="BB46" s="11">
        <f t="shared" si="26"/>
        <v>0.09053160786</v>
      </c>
      <c r="BC46" s="11">
        <f t="shared" ref="BC46:BK46" si="50">IFERROR(BC7/$BB7,0)</f>
        <v>0.1164129988</v>
      </c>
      <c r="BD46" s="11">
        <f t="shared" si="50"/>
        <v>0.1075689017</v>
      </c>
      <c r="BE46" s="11">
        <f t="shared" si="50"/>
        <v>0.01624845742</v>
      </c>
      <c r="BF46" s="11">
        <f t="shared" si="50"/>
        <v>0.1051007816</v>
      </c>
      <c r="BG46" s="11">
        <f t="shared" si="50"/>
        <v>0.1661867544</v>
      </c>
      <c r="BH46" s="11">
        <f t="shared" si="50"/>
        <v>0.06519950638</v>
      </c>
      <c r="BI46" s="11">
        <f t="shared" si="50"/>
        <v>0.1114767585</v>
      </c>
      <c r="BJ46" s="11">
        <f t="shared" si="50"/>
        <v>0.1686548745</v>
      </c>
      <c r="BK46" s="11">
        <f t="shared" si="50"/>
        <v>0.1431509667</v>
      </c>
      <c r="BL46" s="11">
        <f t="shared" si="28"/>
        <v>0.02649660181</v>
      </c>
      <c r="BM46" s="11">
        <f t="shared" ref="BM46:BT46" si="51">IFERROR(BM7/$BL7,0)</f>
        <v>0.02670414617</v>
      </c>
      <c r="BN46" s="11">
        <f t="shared" si="51"/>
        <v>0.02529866479</v>
      </c>
      <c r="BO46" s="11">
        <f t="shared" si="51"/>
        <v>0.001405481377</v>
      </c>
      <c r="BP46" s="11">
        <f t="shared" si="51"/>
        <v>0.09978917779</v>
      </c>
      <c r="BQ46" s="11">
        <f t="shared" si="51"/>
        <v>0.02108222066</v>
      </c>
      <c r="BR46" s="11">
        <f t="shared" si="51"/>
        <v>0.2185523542</v>
      </c>
      <c r="BS46" s="11">
        <f t="shared" si="51"/>
        <v>0.1827125791</v>
      </c>
      <c r="BT46" s="11">
        <f t="shared" si="51"/>
        <v>0.424455376</v>
      </c>
      <c r="BU46" s="11">
        <f t="shared" si="30"/>
        <v>0.09447909878</v>
      </c>
      <c r="BV46" s="11">
        <f t="shared" ref="BV46:BZ46" si="52">IFERROR(BV7/$BU7,0)</f>
        <v>0.03882538431</v>
      </c>
      <c r="BW46" s="11">
        <f t="shared" si="52"/>
        <v>0.06326369728</v>
      </c>
      <c r="BX46" s="11">
        <f t="shared" si="52"/>
        <v>0</v>
      </c>
      <c r="BY46" s="11">
        <f t="shared" si="52"/>
        <v>0.729601892</v>
      </c>
      <c r="BZ46" s="11">
        <f t="shared" si="52"/>
        <v>0.1683090264</v>
      </c>
      <c r="CA46" s="11">
        <f t="shared" si="32"/>
        <v>1</v>
      </c>
    </row>
    <row r="47" ht="15.75" customHeight="1">
      <c r="A47" s="9" t="str">
        <f t="shared" si="11"/>
        <v>Y1992</v>
      </c>
      <c r="B47" s="11">
        <f t="shared" si="12"/>
        <v>0.1813369424</v>
      </c>
      <c r="C47" s="11">
        <f t="shared" ref="C47:L47" si="53">IFERROR(C8/$B8,0)</f>
        <v>0.02135096835</v>
      </c>
      <c r="D47" s="11">
        <f t="shared" si="53"/>
        <v>0.3466225791</v>
      </c>
      <c r="E47" s="11">
        <f t="shared" si="53"/>
        <v>0.0904109589</v>
      </c>
      <c r="F47" s="11">
        <f t="shared" si="53"/>
        <v>0.08625413321</v>
      </c>
      <c r="G47" s="11">
        <f t="shared" si="53"/>
        <v>0.2313651393</v>
      </c>
      <c r="H47" s="11">
        <f t="shared" si="53"/>
        <v>0.07794048181</v>
      </c>
      <c r="I47" s="11">
        <f t="shared" si="53"/>
        <v>0.08389230043</v>
      </c>
      <c r="J47" s="11">
        <f t="shared" si="53"/>
        <v>0.01058101086</v>
      </c>
      <c r="K47" s="11">
        <f t="shared" si="53"/>
        <v>0.03826169107</v>
      </c>
      <c r="L47" s="11">
        <f t="shared" si="53"/>
        <v>0.01332073689</v>
      </c>
      <c r="M47" s="11">
        <f t="shared" si="14"/>
        <v>0.00645857603</v>
      </c>
      <c r="N47" s="11">
        <f t="shared" ref="N47:O47" si="54">IFERROR(N8/$M8,0)</f>
        <v>0.9416445623</v>
      </c>
      <c r="O47" s="11">
        <f t="shared" si="54"/>
        <v>0.05835543767</v>
      </c>
      <c r="P47" s="11">
        <f t="shared" si="16"/>
        <v>0.2312238745</v>
      </c>
      <c r="Q47" s="11">
        <f t="shared" ref="Q47:Y47" si="55">IFERROR(Q8/$P8,0)</f>
        <v>0.02948803438</v>
      </c>
      <c r="R47" s="11">
        <f t="shared" si="55"/>
        <v>0.004519522857</v>
      </c>
      <c r="S47" s="11">
        <f t="shared" si="55"/>
        <v>0.000814995925</v>
      </c>
      <c r="T47" s="11">
        <f t="shared" si="55"/>
        <v>0.03104393569</v>
      </c>
      <c r="U47" s="11">
        <f t="shared" si="55"/>
        <v>0.0006668148477</v>
      </c>
      <c r="V47" s="11">
        <f t="shared" si="55"/>
        <v>0.3362969549</v>
      </c>
      <c r="W47" s="11">
        <f t="shared" si="55"/>
        <v>0.02430169667</v>
      </c>
      <c r="X47" s="11">
        <f t="shared" si="55"/>
        <v>0.5585685708</v>
      </c>
      <c r="Y47" s="11">
        <f t="shared" si="55"/>
        <v>0.01429947396</v>
      </c>
      <c r="Z47" s="11">
        <f t="shared" si="18"/>
        <v>0.1989309943</v>
      </c>
      <c r="AA47" s="11">
        <f t="shared" ref="AA47:AC47" si="56">IFERROR(AA8/$Z8,0)</f>
        <v>0.6325353083</v>
      </c>
      <c r="AB47" s="11">
        <f t="shared" si="56"/>
        <v>0.268945918</v>
      </c>
      <c r="AC47" s="11">
        <f t="shared" si="56"/>
        <v>0.09851877368</v>
      </c>
      <c r="AD47" s="11">
        <f t="shared" si="20"/>
        <v>0.002638251216</v>
      </c>
      <c r="AE47" s="11">
        <f t="shared" ref="AE47:AG47" si="57">IFERROR(AE8/$AD8,0)</f>
        <v>0.8506493506</v>
      </c>
      <c r="AF47" s="11">
        <f t="shared" si="57"/>
        <v>0.006493506494</v>
      </c>
      <c r="AG47" s="11">
        <f t="shared" si="57"/>
        <v>0.1428571429</v>
      </c>
      <c r="AH47" s="11">
        <f t="shared" si="22"/>
        <v>0.03112793805</v>
      </c>
      <c r="AI47" s="11">
        <f t="shared" ref="AI47:AQ47" si="58">IFERROR(AI8/$AH8,0)</f>
        <v>0.0423775454</v>
      </c>
      <c r="AJ47" s="11">
        <f t="shared" si="58"/>
        <v>0.1073197578</v>
      </c>
      <c r="AK47" s="11">
        <f t="shared" si="58"/>
        <v>0.1634562466</v>
      </c>
      <c r="AL47" s="11">
        <f t="shared" si="58"/>
        <v>0.2845349477</v>
      </c>
      <c r="AM47" s="11">
        <f t="shared" si="58"/>
        <v>0.08530544854</v>
      </c>
      <c r="AN47" s="11">
        <f t="shared" si="58"/>
        <v>0.008255365988</v>
      </c>
      <c r="AO47" s="11">
        <f t="shared" si="58"/>
        <v>0.1056686846</v>
      </c>
      <c r="AP47" s="11">
        <f t="shared" si="58"/>
        <v>0.05173362686</v>
      </c>
      <c r="AQ47" s="11">
        <f t="shared" si="58"/>
        <v>0.1513483764</v>
      </c>
      <c r="AR47" s="11">
        <f t="shared" si="24"/>
        <v>0.1212567669</v>
      </c>
      <c r="AS47" s="11">
        <f t="shared" ref="AS47:BA47" si="59">IFERROR(AS8/$AR8,0)</f>
        <v>0.0365922577</v>
      </c>
      <c r="AT47" s="11">
        <f t="shared" si="59"/>
        <v>0.01384571913</v>
      </c>
      <c r="AU47" s="11">
        <f t="shared" si="59"/>
        <v>0.008618253744</v>
      </c>
      <c r="AV47" s="11">
        <f t="shared" si="59"/>
        <v>0.03489686352</v>
      </c>
      <c r="AW47" s="11">
        <f t="shared" si="59"/>
        <v>0.03786380333</v>
      </c>
      <c r="AX47" s="11">
        <f t="shared" si="59"/>
        <v>0.0851935575</v>
      </c>
      <c r="AY47" s="11">
        <f t="shared" si="59"/>
        <v>0.1665724781</v>
      </c>
      <c r="AZ47" s="11">
        <f t="shared" si="59"/>
        <v>0.539135349</v>
      </c>
      <c r="BA47" s="11">
        <f t="shared" si="59"/>
        <v>0.077281718</v>
      </c>
      <c r="BB47" s="11">
        <f t="shared" si="26"/>
        <v>0.09800931954</v>
      </c>
      <c r="BC47" s="11">
        <f t="shared" ref="BC47:BK47" si="60">IFERROR(BC8/$BB8,0)</f>
        <v>0.1073238944</v>
      </c>
      <c r="BD47" s="11">
        <f t="shared" si="60"/>
        <v>0.1099458137</v>
      </c>
      <c r="BE47" s="11">
        <f t="shared" si="60"/>
        <v>0.01660548855</v>
      </c>
      <c r="BF47" s="11">
        <f t="shared" si="60"/>
        <v>0.1080230729</v>
      </c>
      <c r="BG47" s="11">
        <f t="shared" si="60"/>
        <v>0.1580143332</v>
      </c>
      <c r="BH47" s="11">
        <f t="shared" si="60"/>
        <v>0.07009264115</v>
      </c>
      <c r="BI47" s="11">
        <f t="shared" si="60"/>
        <v>0.1146652683</v>
      </c>
      <c r="BJ47" s="11">
        <f t="shared" si="60"/>
        <v>0.1550428247</v>
      </c>
      <c r="BK47" s="11">
        <f t="shared" si="60"/>
        <v>0.1602866632</v>
      </c>
      <c r="BL47" s="11">
        <f t="shared" si="28"/>
        <v>0.03035702049</v>
      </c>
      <c r="BM47" s="11">
        <f t="shared" ref="BM47:BT47" si="61">IFERROR(BM8/$BL8,0)</f>
        <v>0.05135440181</v>
      </c>
      <c r="BN47" s="11">
        <f t="shared" si="61"/>
        <v>0.02539503386</v>
      </c>
      <c r="BO47" s="11">
        <f t="shared" si="61"/>
        <v>0.002257336343</v>
      </c>
      <c r="BP47" s="11">
        <f t="shared" si="61"/>
        <v>0.09875846501</v>
      </c>
      <c r="BQ47" s="11">
        <f t="shared" si="61"/>
        <v>0.02031602709</v>
      </c>
      <c r="BR47" s="11">
        <f t="shared" si="61"/>
        <v>0.2071106095</v>
      </c>
      <c r="BS47" s="11">
        <f t="shared" si="61"/>
        <v>0.190744921</v>
      </c>
      <c r="BT47" s="11">
        <f t="shared" si="61"/>
        <v>0.4040632054</v>
      </c>
      <c r="BU47" s="11">
        <f t="shared" si="30"/>
        <v>0.09866031659</v>
      </c>
      <c r="BV47" s="11">
        <f t="shared" ref="BV47:BZ47" si="62">IFERROR(BV8/$BU8,0)</f>
        <v>0.0352491752</v>
      </c>
      <c r="BW47" s="11">
        <f t="shared" si="62"/>
        <v>0.05018232332</v>
      </c>
      <c r="BX47" s="11">
        <f t="shared" si="62"/>
        <v>0</v>
      </c>
      <c r="BY47" s="11">
        <f t="shared" si="62"/>
        <v>0.7772182671</v>
      </c>
      <c r="BZ47" s="11">
        <f t="shared" si="62"/>
        <v>0.1373502344</v>
      </c>
      <c r="CA47" s="11">
        <f t="shared" si="32"/>
        <v>1</v>
      </c>
    </row>
    <row r="48" ht="15.75" customHeight="1">
      <c r="A48" s="9" t="str">
        <f t="shared" si="11"/>
        <v>Y1993</v>
      </c>
      <c r="B48" s="11">
        <f t="shared" si="12"/>
        <v>0.1981704888</v>
      </c>
      <c r="C48" s="11">
        <f t="shared" ref="C48:L48" si="63">IFERROR(C9/$B9,0)</f>
        <v>0.02324085243</v>
      </c>
      <c r="D48" s="11">
        <f t="shared" si="63"/>
        <v>0.3182951347</v>
      </c>
      <c r="E48" s="11">
        <f t="shared" si="63"/>
        <v>0.094008846</v>
      </c>
      <c r="F48" s="11">
        <f t="shared" si="63"/>
        <v>0.08508242863</v>
      </c>
      <c r="G48" s="11">
        <f t="shared" si="63"/>
        <v>0.2494571773</v>
      </c>
      <c r="H48" s="11">
        <f t="shared" si="63"/>
        <v>0.07334137515</v>
      </c>
      <c r="I48" s="11">
        <f t="shared" si="63"/>
        <v>0.09730599115</v>
      </c>
      <c r="J48" s="11">
        <f t="shared" si="63"/>
        <v>0.01174105348</v>
      </c>
      <c r="K48" s="11">
        <f t="shared" si="63"/>
        <v>0.03457981504</v>
      </c>
      <c r="L48" s="11">
        <f t="shared" si="63"/>
        <v>0.0129473261</v>
      </c>
      <c r="M48" s="11">
        <f t="shared" si="14"/>
        <v>0.007840762403</v>
      </c>
      <c r="N48" s="11">
        <f t="shared" ref="N48:O48" si="64">IFERROR(N9/$M9,0)</f>
        <v>0.9288617886</v>
      </c>
      <c r="O48" s="11">
        <f t="shared" si="64"/>
        <v>0.07113821138</v>
      </c>
      <c r="P48" s="11">
        <f t="shared" si="16"/>
        <v>0.2032382986</v>
      </c>
      <c r="Q48" s="11">
        <f t="shared" ref="Q48:Y48" si="65">IFERROR(Q9/$P9,0)</f>
        <v>0.02964008469</v>
      </c>
      <c r="R48" s="11">
        <f t="shared" si="65"/>
        <v>0.006586685486</v>
      </c>
      <c r="S48" s="11">
        <f t="shared" si="65"/>
        <v>0.0007841292245</v>
      </c>
      <c r="T48" s="11">
        <f t="shared" si="65"/>
        <v>0.04163726182</v>
      </c>
      <c r="U48" s="11">
        <f t="shared" si="65"/>
        <v>0.001019367992</v>
      </c>
      <c r="V48" s="11">
        <f t="shared" si="65"/>
        <v>0.287148122</v>
      </c>
      <c r="W48" s="11">
        <f t="shared" si="65"/>
        <v>0.02901278131</v>
      </c>
      <c r="X48" s="11">
        <f t="shared" si="65"/>
        <v>0.5880185054</v>
      </c>
      <c r="Y48" s="11">
        <f t="shared" si="65"/>
        <v>0.01615306202</v>
      </c>
      <c r="Z48" s="11">
        <f t="shared" si="18"/>
        <v>0.1909671867</v>
      </c>
      <c r="AA48" s="11">
        <f t="shared" ref="AA48:AC48" si="66">IFERROR(AA9/$Z9,0)</f>
        <v>0.6507552366</v>
      </c>
      <c r="AB48" s="11">
        <f t="shared" si="66"/>
        <v>0.2473504131</v>
      </c>
      <c r="AC48" s="11">
        <f t="shared" si="66"/>
        <v>0.1018943503</v>
      </c>
      <c r="AD48" s="11">
        <f t="shared" si="20"/>
        <v>0.00333073037</v>
      </c>
      <c r="AE48" s="11">
        <f t="shared" ref="AE48:AG48" si="67">IFERROR(AE9/$AD9,0)</f>
        <v>0.8277511962</v>
      </c>
      <c r="AF48" s="11">
        <f t="shared" si="67"/>
        <v>0.00956937799</v>
      </c>
      <c r="AG48" s="11">
        <f t="shared" si="67"/>
        <v>0.1626794258</v>
      </c>
      <c r="AH48" s="11">
        <f t="shared" si="22"/>
        <v>0.03488501809</v>
      </c>
      <c r="AI48" s="11">
        <f t="shared" ref="AI48:AQ48" si="68">IFERROR(AI9/$AH9,0)</f>
        <v>0.03791685701</v>
      </c>
      <c r="AJ48" s="11">
        <f t="shared" si="68"/>
        <v>0.1009593422</v>
      </c>
      <c r="AK48" s="11">
        <f t="shared" si="68"/>
        <v>0.1617176793</v>
      </c>
      <c r="AL48" s="11">
        <f t="shared" si="68"/>
        <v>0.291914116</v>
      </c>
      <c r="AM48" s="11">
        <f t="shared" si="68"/>
        <v>0.08725445409</v>
      </c>
      <c r="AN48" s="11">
        <f t="shared" si="68"/>
        <v>0.006395614436</v>
      </c>
      <c r="AO48" s="11">
        <f t="shared" si="68"/>
        <v>0.09639104614</v>
      </c>
      <c r="AP48" s="11">
        <f t="shared" si="68"/>
        <v>0.05070808588</v>
      </c>
      <c r="AQ48" s="11">
        <f t="shared" si="68"/>
        <v>0.1667428049</v>
      </c>
      <c r="AR48" s="11">
        <f t="shared" si="24"/>
        <v>0.1207190553</v>
      </c>
      <c r="AS48" s="11">
        <f t="shared" ref="AS48:BA48" si="69">IFERROR(AS9/$AR9,0)</f>
        <v>0.04316831683</v>
      </c>
      <c r="AT48" s="11">
        <f t="shared" si="69"/>
        <v>0.01544554455</v>
      </c>
      <c r="AU48" s="11">
        <f t="shared" si="69"/>
        <v>0.01161716172</v>
      </c>
      <c r="AV48" s="11">
        <f t="shared" si="69"/>
        <v>0.03339933993</v>
      </c>
      <c r="AW48" s="11">
        <f t="shared" si="69"/>
        <v>0.04686468647</v>
      </c>
      <c r="AX48" s="11">
        <f t="shared" si="69"/>
        <v>0.07656765677</v>
      </c>
      <c r="AY48" s="11">
        <f t="shared" si="69"/>
        <v>0.1821782178</v>
      </c>
      <c r="AZ48" s="11">
        <f t="shared" si="69"/>
        <v>0.5141914191</v>
      </c>
      <c r="BA48" s="11">
        <f t="shared" si="69"/>
        <v>0.07656765677</v>
      </c>
      <c r="BB48" s="11">
        <f t="shared" si="26"/>
        <v>0.1118742928</v>
      </c>
      <c r="BC48" s="11">
        <f t="shared" ref="BC48:BK48" si="70">IFERROR(BC9/$BB9,0)</f>
        <v>0.08888888889</v>
      </c>
      <c r="BD48" s="11">
        <f t="shared" si="70"/>
        <v>0.1141025641</v>
      </c>
      <c r="BE48" s="11">
        <f t="shared" si="70"/>
        <v>0.01381766382</v>
      </c>
      <c r="BF48" s="11">
        <f t="shared" si="70"/>
        <v>0.1163817664</v>
      </c>
      <c r="BG48" s="11">
        <f t="shared" si="70"/>
        <v>0.1665242165</v>
      </c>
      <c r="BH48" s="11">
        <f t="shared" si="70"/>
        <v>0.06210826211</v>
      </c>
      <c r="BI48" s="11">
        <f t="shared" si="70"/>
        <v>0.1262108262</v>
      </c>
      <c r="BJ48" s="11">
        <f t="shared" si="70"/>
        <v>0.1561253561</v>
      </c>
      <c r="BK48" s="11">
        <f t="shared" si="70"/>
        <v>0.1558404558</v>
      </c>
      <c r="BL48" s="11">
        <f t="shared" si="28"/>
        <v>0.0318730179</v>
      </c>
      <c r="BM48" s="11">
        <f t="shared" ref="BM48:BT48" si="71">IFERROR(BM9/$BL9,0)</f>
        <v>0.023</v>
      </c>
      <c r="BN48" s="11">
        <f t="shared" si="71"/>
        <v>0.0375</v>
      </c>
      <c r="BO48" s="11">
        <f t="shared" si="71"/>
        <v>0.005</v>
      </c>
      <c r="BP48" s="11">
        <f t="shared" si="71"/>
        <v>0.111</v>
      </c>
      <c r="BQ48" s="11">
        <f t="shared" si="71"/>
        <v>0.026</v>
      </c>
      <c r="BR48" s="11">
        <f t="shared" si="71"/>
        <v>0.194</v>
      </c>
      <c r="BS48" s="11">
        <f t="shared" si="71"/>
        <v>0.2225</v>
      </c>
      <c r="BT48" s="11">
        <f t="shared" si="71"/>
        <v>0.381</v>
      </c>
      <c r="BU48" s="11">
        <f t="shared" si="30"/>
        <v>0.09710114902</v>
      </c>
      <c r="BV48" s="11">
        <f t="shared" ref="BV48:BZ48" si="72">IFERROR(BV9/$BU9,0)</f>
        <v>0.04841621533</v>
      </c>
      <c r="BW48" s="11">
        <f t="shared" si="72"/>
        <v>0.03643525357</v>
      </c>
      <c r="BX48" s="11">
        <f t="shared" si="72"/>
        <v>0</v>
      </c>
      <c r="BY48" s="11">
        <f t="shared" si="72"/>
        <v>0.768586903</v>
      </c>
      <c r="BZ48" s="11">
        <f t="shared" si="72"/>
        <v>0.1465616281</v>
      </c>
      <c r="CA48" s="11">
        <f t="shared" si="32"/>
        <v>1</v>
      </c>
    </row>
    <row r="49" ht="15.75" customHeight="1">
      <c r="A49" s="9" t="str">
        <f t="shared" si="11"/>
        <v>Y1994</v>
      </c>
      <c r="B49" s="11">
        <f t="shared" si="12"/>
        <v>0.2068188135</v>
      </c>
      <c r="C49" s="11">
        <f t="shared" ref="C49:L49" si="73">IFERROR(C10/$B10,0)</f>
        <v>0.02680304614</v>
      </c>
      <c r="D49" s="11">
        <f t="shared" si="73"/>
        <v>0.2836344632</v>
      </c>
      <c r="E49" s="11">
        <f t="shared" si="73"/>
        <v>0.1062416007</v>
      </c>
      <c r="F49" s="11">
        <f t="shared" si="73"/>
        <v>0.08152904286</v>
      </c>
      <c r="G49" s="11">
        <f t="shared" si="73"/>
        <v>0.2493653875</v>
      </c>
      <c r="H49" s="11">
        <f t="shared" si="73"/>
        <v>0.06913543378</v>
      </c>
      <c r="I49" s="11">
        <f t="shared" si="73"/>
        <v>0.1248320143</v>
      </c>
      <c r="J49" s="11">
        <f t="shared" si="73"/>
        <v>0.01291623115</v>
      </c>
      <c r="K49" s="11">
        <f t="shared" si="73"/>
        <v>0.03008809915</v>
      </c>
      <c r="L49" s="11">
        <f t="shared" si="73"/>
        <v>0.0154546812</v>
      </c>
      <c r="M49" s="11">
        <f t="shared" si="14"/>
        <v>0.008199252648</v>
      </c>
      <c r="N49" s="11">
        <f t="shared" ref="N49:O49" si="74">IFERROR(N10/$M10,0)</f>
        <v>0.9284369115</v>
      </c>
      <c r="O49" s="11">
        <f t="shared" si="74"/>
        <v>0.07156308851</v>
      </c>
      <c r="P49" s="11">
        <f t="shared" si="16"/>
        <v>0.2018776443</v>
      </c>
      <c r="Q49" s="11">
        <f t="shared" ref="Q49:Y49" si="75">IFERROR(Q10/$P10,0)</f>
        <v>0.03457243384</v>
      </c>
      <c r="R49" s="11">
        <f t="shared" si="75"/>
        <v>0.009790423742</v>
      </c>
      <c r="S49" s="11">
        <f t="shared" si="75"/>
        <v>0.0009178522258</v>
      </c>
      <c r="T49" s="11">
        <f t="shared" si="75"/>
        <v>0.04061496099</v>
      </c>
      <c r="U49" s="11">
        <f t="shared" si="75"/>
        <v>0.002065167508</v>
      </c>
      <c r="V49" s="11">
        <f t="shared" si="75"/>
        <v>0.3279027077</v>
      </c>
      <c r="W49" s="11">
        <f t="shared" si="75"/>
        <v>0.02692366529</v>
      </c>
      <c r="X49" s="11">
        <f t="shared" si="75"/>
        <v>0.5410738871</v>
      </c>
      <c r="Y49" s="11">
        <f t="shared" si="75"/>
        <v>0.01613890164</v>
      </c>
      <c r="Z49" s="11">
        <f t="shared" si="18"/>
        <v>0.1647725518</v>
      </c>
      <c r="AA49" s="11">
        <f t="shared" ref="AA49:AC49" si="76">IFERROR(AA10/$Z10,0)</f>
        <v>0.6325555243</v>
      </c>
      <c r="AB49" s="11">
        <f t="shared" si="76"/>
        <v>0.2534907694</v>
      </c>
      <c r="AC49" s="11">
        <f t="shared" si="76"/>
        <v>0.1139537063</v>
      </c>
      <c r="AD49" s="11">
        <f t="shared" si="20"/>
        <v>0.003443377289</v>
      </c>
      <c r="AE49" s="11">
        <f t="shared" ref="AE49:AG49" si="77">IFERROR(AE10/$AD10,0)</f>
        <v>0.8251121076</v>
      </c>
      <c r="AF49" s="11">
        <f t="shared" si="77"/>
        <v>0.03139013453</v>
      </c>
      <c r="AG49" s="11">
        <f t="shared" si="77"/>
        <v>0.1434977578</v>
      </c>
      <c r="AH49" s="11">
        <f t="shared" si="22"/>
        <v>0.03809332633</v>
      </c>
      <c r="AI49" s="11">
        <f t="shared" ref="AI49:AQ49" si="78">IFERROR(AI10/$AH10,0)</f>
        <v>0.0344548034</v>
      </c>
      <c r="AJ49" s="11">
        <f t="shared" si="78"/>
        <v>0.112282124</v>
      </c>
      <c r="AK49" s="11">
        <f t="shared" si="78"/>
        <v>0.1507904337</v>
      </c>
      <c r="AL49" s="11">
        <f t="shared" si="78"/>
        <v>0.295500608</v>
      </c>
      <c r="AM49" s="11">
        <f t="shared" si="78"/>
        <v>0.09525739765</v>
      </c>
      <c r="AN49" s="11">
        <f t="shared" si="78"/>
        <v>0.009323064451</v>
      </c>
      <c r="AO49" s="11">
        <f t="shared" si="78"/>
        <v>0.08471828131</v>
      </c>
      <c r="AP49" s="11">
        <f t="shared" si="78"/>
        <v>0.04985812728</v>
      </c>
      <c r="AQ49" s="11">
        <f t="shared" si="78"/>
        <v>0.1678151601</v>
      </c>
      <c r="AR49" s="11">
        <f t="shared" si="24"/>
        <v>0.1278527532</v>
      </c>
      <c r="AS49" s="11">
        <f t="shared" ref="AS49:BA49" si="79">IFERROR(AS10/$AR10,0)</f>
        <v>0.05144927536</v>
      </c>
      <c r="AT49" s="11">
        <f t="shared" si="79"/>
        <v>0.0152173913</v>
      </c>
      <c r="AU49" s="11">
        <f t="shared" si="79"/>
        <v>0.01074879227</v>
      </c>
      <c r="AV49" s="11">
        <f t="shared" si="79"/>
        <v>0.03055555556</v>
      </c>
      <c r="AW49" s="11">
        <f t="shared" si="79"/>
        <v>0.05036231884</v>
      </c>
      <c r="AX49" s="11">
        <f t="shared" si="79"/>
        <v>0.09504830918</v>
      </c>
      <c r="AY49" s="11">
        <f t="shared" si="79"/>
        <v>0.181763285</v>
      </c>
      <c r="AZ49" s="11">
        <f t="shared" si="79"/>
        <v>0.4823671498</v>
      </c>
      <c r="BA49" s="11">
        <f t="shared" si="79"/>
        <v>0.08248792271</v>
      </c>
      <c r="BB49" s="11">
        <f t="shared" si="26"/>
        <v>0.1174454155</v>
      </c>
      <c r="BC49" s="11">
        <f t="shared" ref="BC49:BK49" si="80">IFERROR(BC10/$BB10,0)</f>
        <v>0.07914804102</v>
      </c>
      <c r="BD49" s="11">
        <f t="shared" si="80"/>
        <v>0.1059689719</v>
      </c>
      <c r="BE49" s="11">
        <f t="shared" si="80"/>
        <v>0.01577701814</v>
      </c>
      <c r="BF49" s="11">
        <f t="shared" si="80"/>
        <v>0.1229292664</v>
      </c>
      <c r="BG49" s="11">
        <f t="shared" si="80"/>
        <v>0.1983960032</v>
      </c>
      <c r="BH49" s="11">
        <f t="shared" si="80"/>
        <v>0.09058637917</v>
      </c>
      <c r="BI49" s="11">
        <f t="shared" si="80"/>
        <v>0.1430449645</v>
      </c>
      <c r="BJ49" s="11">
        <f t="shared" si="80"/>
        <v>0.1333158033</v>
      </c>
      <c r="BK49" s="11">
        <f t="shared" si="80"/>
        <v>0.1108335525</v>
      </c>
      <c r="BL49" s="11">
        <f t="shared" si="28"/>
        <v>0.03451097866</v>
      </c>
      <c r="BM49" s="11">
        <f t="shared" ref="BM49:BT49" si="81">IFERROR(BM10/$BL10,0)</f>
        <v>0.02147651007</v>
      </c>
      <c r="BN49" s="11">
        <f t="shared" si="81"/>
        <v>0.03355704698</v>
      </c>
      <c r="BO49" s="11">
        <f t="shared" si="81"/>
        <v>0.00581655481</v>
      </c>
      <c r="BP49" s="11">
        <f t="shared" si="81"/>
        <v>0.1288590604</v>
      </c>
      <c r="BQ49" s="11">
        <f t="shared" si="81"/>
        <v>0.02505592841</v>
      </c>
      <c r="BR49" s="11">
        <f t="shared" si="81"/>
        <v>0.1986577181</v>
      </c>
      <c r="BS49" s="11">
        <f t="shared" si="81"/>
        <v>0.2161073826</v>
      </c>
      <c r="BT49" s="11">
        <f t="shared" si="81"/>
        <v>0.3704697987</v>
      </c>
      <c r="BU49" s="11">
        <f t="shared" si="30"/>
        <v>0.09698588679</v>
      </c>
      <c r="BV49" s="11">
        <f t="shared" ref="BV49:BZ49" si="82">IFERROR(BV10/$BU10,0)</f>
        <v>0.06065913071</v>
      </c>
      <c r="BW49" s="11">
        <f t="shared" si="82"/>
        <v>0.03916573794</v>
      </c>
      <c r="BX49" s="11">
        <f t="shared" si="82"/>
        <v>0</v>
      </c>
      <c r="BY49" s="11">
        <f t="shared" si="82"/>
        <v>0.7436713899</v>
      </c>
      <c r="BZ49" s="11">
        <f t="shared" si="82"/>
        <v>0.1565037414</v>
      </c>
      <c r="CA49" s="11">
        <f t="shared" si="32"/>
        <v>1</v>
      </c>
    </row>
    <row r="50" ht="15.75" customHeight="1">
      <c r="A50" s="9" t="str">
        <f t="shared" si="11"/>
        <v>Y1995</v>
      </c>
      <c r="B50" s="11">
        <f t="shared" si="12"/>
        <v>0.1823673014</v>
      </c>
      <c r="C50" s="11">
        <f t="shared" ref="C50:L50" si="83">IFERROR(C11/$B11,0)</f>
        <v>0.04406027691</v>
      </c>
      <c r="D50" s="11">
        <f t="shared" si="83"/>
        <v>0.270710625</v>
      </c>
      <c r="E50" s="11">
        <f t="shared" si="83"/>
        <v>0.1143578368</v>
      </c>
      <c r="F50" s="11">
        <f t="shared" si="83"/>
        <v>0.0887325021</v>
      </c>
      <c r="G50" s="11">
        <f t="shared" si="83"/>
        <v>0.2056911191</v>
      </c>
      <c r="H50" s="11">
        <f t="shared" si="83"/>
        <v>0.07045054693</v>
      </c>
      <c r="I50" s="11">
        <f t="shared" si="83"/>
        <v>0.1435783676</v>
      </c>
      <c r="J50" s="11">
        <f t="shared" si="83"/>
        <v>0.01384533007</v>
      </c>
      <c r="K50" s="11">
        <f t="shared" si="83"/>
        <v>0.03151533695</v>
      </c>
      <c r="L50" s="11">
        <f t="shared" si="83"/>
        <v>0.01705805859</v>
      </c>
      <c r="M50" s="11">
        <f t="shared" si="14"/>
        <v>0.008160703076</v>
      </c>
      <c r="N50" s="11">
        <f t="shared" ref="N50:O50" si="84">IFERROR(N11/$M11,0)</f>
        <v>0.9264957265</v>
      </c>
      <c r="O50" s="11">
        <f t="shared" si="84"/>
        <v>0.0735042735</v>
      </c>
      <c r="P50" s="11">
        <f t="shared" si="16"/>
        <v>0.2043244751</v>
      </c>
      <c r="Q50" s="11">
        <f t="shared" ref="Q50:Y50" si="85">IFERROR(Q11/$P11,0)</f>
        <v>0.03359049635</v>
      </c>
      <c r="R50" s="11">
        <f t="shared" si="85"/>
        <v>0.00832935072</v>
      </c>
      <c r="S50" s="11">
        <f t="shared" si="85"/>
        <v>0.0008875537653</v>
      </c>
      <c r="T50" s="11">
        <f t="shared" si="85"/>
        <v>0.04417286816</v>
      </c>
      <c r="U50" s="11">
        <f t="shared" si="85"/>
        <v>0.003208848228</v>
      </c>
      <c r="V50" s="11">
        <f t="shared" si="85"/>
        <v>0.3006759063</v>
      </c>
      <c r="W50" s="11">
        <f t="shared" si="85"/>
        <v>0.02915272752</v>
      </c>
      <c r="X50" s="11">
        <f t="shared" si="85"/>
        <v>0.5646207414</v>
      </c>
      <c r="Y50" s="11">
        <f t="shared" si="85"/>
        <v>0.01536150748</v>
      </c>
      <c r="Z50" s="11">
        <f t="shared" si="18"/>
        <v>0.1671200391</v>
      </c>
      <c r="AA50" s="11">
        <f t="shared" ref="AA50:AC50" si="86">IFERROR(AA11/$Z11,0)</f>
        <v>0.6204507513</v>
      </c>
      <c r="AB50" s="11">
        <f t="shared" si="86"/>
        <v>0.2528380634</v>
      </c>
      <c r="AC50" s="11">
        <f t="shared" si="86"/>
        <v>0.1267111853</v>
      </c>
      <c r="AD50" s="11">
        <f t="shared" si="20"/>
        <v>0.003571179466</v>
      </c>
      <c r="AE50" s="11">
        <f t="shared" ref="AE50:AG50" si="87">IFERROR(AE11/$AD11,0)</f>
        <v>0.84375</v>
      </c>
      <c r="AF50" s="11">
        <f t="shared" si="87"/>
        <v>0.0078125</v>
      </c>
      <c r="AG50" s="11">
        <f t="shared" si="87"/>
        <v>0.1484375</v>
      </c>
      <c r="AH50" s="11">
        <f t="shared" si="22"/>
        <v>0.04056636674</v>
      </c>
      <c r="AI50" s="11">
        <f t="shared" ref="AI50:AQ50" si="88">IFERROR(AI11/$AH11,0)</f>
        <v>0.02751031637</v>
      </c>
      <c r="AJ50" s="11">
        <f t="shared" si="88"/>
        <v>0.1224209078</v>
      </c>
      <c r="AK50" s="11">
        <f t="shared" si="88"/>
        <v>0.1461485557</v>
      </c>
      <c r="AL50" s="11">
        <f t="shared" si="88"/>
        <v>0.2867950481</v>
      </c>
      <c r="AM50" s="11">
        <f t="shared" si="88"/>
        <v>0.09594222834</v>
      </c>
      <c r="AN50" s="11">
        <f t="shared" si="88"/>
        <v>0.009972489684</v>
      </c>
      <c r="AO50" s="11">
        <f t="shared" si="88"/>
        <v>0.1169188446</v>
      </c>
      <c r="AP50" s="11">
        <f t="shared" si="88"/>
        <v>0.05467675378</v>
      </c>
      <c r="AQ50" s="11">
        <f t="shared" si="88"/>
        <v>0.1396148556</v>
      </c>
      <c r="AR50" s="11">
        <f t="shared" si="24"/>
        <v>0.1365836646</v>
      </c>
      <c r="AS50" s="11">
        <f t="shared" ref="AS50:BA50" si="89">IFERROR(AS11/$AR11,0)</f>
        <v>0.05147584516</v>
      </c>
      <c r="AT50" s="11">
        <f t="shared" si="89"/>
        <v>0.01542232663</v>
      </c>
      <c r="AU50" s="11">
        <f t="shared" si="89"/>
        <v>0.01051986518</v>
      </c>
      <c r="AV50" s="11">
        <f t="shared" si="89"/>
        <v>0.02859769176</v>
      </c>
      <c r="AW50" s="11">
        <f t="shared" si="89"/>
        <v>0.05290572975</v>
      </c>
      <c r="AX50" s="11">
        <f t="shared" si="89"/>
        <v>0.06945153713</v>
      </c>
      <c r="AY50" s="11">
        <f t="shared" si="89"/>
        <v>0.1804718619</v>
      </c>
      <c r="AZ50" s="11">
        <f t="shared" si="89"/>
        <v>0.5202737208</v>
      </c>
      <c r="BA50" s="11">
        <f t="shared" si="89"/>
        <v>0.07088142171</v>
      </c>
      <c r="BB50" s="11">
        <f t="shared" si="26"/>
        <v>0.1278370649</v>
      </c>
      <c r="BC50" s="11">
        <f t="shared" ref="BC50:BK50" si="90">IFERROR(BC11/$BB11,0)</f>
        <v>0.08718900044</v>
      </c>
      <c r="BD50" s="11">
        <f t="shared" si="90"/>
        <v>0.1159973811</v>
      </c>
      <c r="BE50" s="11">
        <f t="shared" si="90"/>
        <v>0.01549541685</v>
      </c>
      <c r="BF50" s="11">
        <f t="shared" si="90"/>
        <v>0.1107594937</v>
      </c>
      <c r="BG50" s="11">
        <f t="shared" si="90"/>
        <v>0.1912920122</v>
      </c>
      <c r="BH50" s="11">
        <f t="shared" si="90"/>
        <v>0.07518550851</v>
      </c>
      <c r="BI50" s="11">
        <f t="shared" si="90"/>
        <v>0.1482976866</v>
      </c>
      <c r="BJ50" s="11">
        <f t="shared" si="90"/>
        <v>0.1228721082</v>
      </c>
      <c r="BK50" s="11">
        <f t="shared" si="90"/>
        <v>0.1329113924</v>
      </c>
      <c r="BL50" s="11">
        <f t="shared" si="28"/>
        <v>0.03481899979</v>
      </c>
      <c r="BM50" s="11">
        <f t="shared" ref="BM50:BT50" si="91">IFERROR(BM11/$BL11,0)</f>
        <v>0.02604166667</v>
      </c>
      <c r="BN50" s="11">
        <f t="shared" si="91"/>
        <v>0.03445512821</v>
      </c>
      <c r="BO50" s="11">
        <f t="shared" si="91"/>
        <v>0.004807692308</v>
      </c>
      <c r="BP50" s="11">
        <f t="shared" si="91"/>
        <v>0.1209935897</v>
      </c>
      <c r="BQ50" s="11">
        <f t="shared" si="91"/>
        <v>0.02524038462</v>
      </c>
      <c r="BR50" s="11">
        <f t="shared" si="91"/>
        <v>0.187900641</v>
      </c>
      <c r="BS50" s="11">
        <f t="shared" si="91"/>
        <v>0.2123397436</v>
      </c>
      <c r="BT50" s="11">
        <f t="shared" si="91"/>
        <v>0.3882211538</v>
      </c>
      <c r="BU50" s="11">
        <f t="shared" si="30"/>
        <v>0.09465020576</v>
      </c>
      <c r="BV50" s="11">
        <f t="shared" ref="BV50:BZ50" si="92">IFERROR(BV11/$BU11,0)</f>
        <v>0.0624907885</v>
      </c>
      <c r="BW50" s="11">
        <f t="shared" si="92"/>
        <v>0.02402358143</v>
      </c>
      <c r="BX50" s="11">
        <f t="shared" si="92"/>
        <v>0</v>
      </c>
      <c r="BY50" s="11">
        <f t="shared" si="92"/>
        <v>0.7756816507</v>
      </c>
      <c r="BZ50" s="11">
        <f t="shared" si="92"/>
        <v>0.1378039794</v>
      </c>
      <c r="CA50" s="11">
        <f t="shared" si="32"/>
        <v>1</v>
      </c>
    </row>
    <row r="51" ht="15.75" customHeight="1">
      <c r="A51" s="9" t="str">
        <f t="shared" si="11"/>
        <v>Y1996</v>
      </c>
      <c r="B51" s="11">
        <f t="shared" si="12"/>
        <v>0.2052707459</v>
      </c>
      <c r="C51" s="11">
        <f t="shared" ref="C51:L51" si="93">IFERROR(C12/$B12,0)</f>
        <v>0.04169830423</v>
      </c>
      <c r="D51" s="11">
        <f t="shared" si="93"/>
        <v>0.1829916477</v>
      </c>
      <c r="E51" s="11">
        <f t="shared" si="93"/>
        <v>0.1113642116</v>
      </c>
      <c r="F51" s="11">
        <f t="shared" si="93"/>
        <v>0.06643887623</v>
      </c>
      <c r="G51" s="11">
        <f t="shared" si="93"/>
        <v>0.3645279676</v>
      </c>
      <c r="H51" s="11">
        <f t="shared" si="93"/>
        <v>0.06859023032</v>
      </c>
      <c r="I51" s="11">
        <f t="shared" si="93"/>
        <v>0.1043406732</v>
      </c>
      <c r="J51" s="11">
        <f t="shared" si="93"/>
        <v>0.01240192356</v>
      </c>
      <c r="K51" s="11">
        <f t="shared" si="93"/>
        <v>0.03163756011</v>
      </c>
      <c r="L51" s="11">
        <f t="shared" si="93"/>
        <v>0.01600860542</v>
      </c>
      <c r="M51" s="11">
        <f t="shared" si="14"/>
        <v>0.009611513034</v>
      </c>
      <c r="N51" s="11">
        <f t="shared" ref="N51:O51" si="94">IFERROR(N12/$M12,0)</f>
        <v>0.9148648649</v>
      </c>
      <c r="O51" s="11">
        <f t="shared" si="94"/>
        <v>0.08513513514</v>
      </c>
      <c r="P51" s="11">
        <f t="shared" si="16"/>
        <v>0.1951267031</v>
      </c>
      <c r="Q51" s="11">
        <f t="shared" ref="Q51:Y51" si="95">IFERROR(Q12/$P12,0)</f>
        <v>0.03301604207</v>
      </c>
      <c r="R51" s="11">
        <f t="shared" si="95"/>
        <v>0.01451108301</v>
      </c>
      <c r="S51" s="11">
        <f t="shared" si="95"/>
        <v>0.0007987752113</v>
      </c>
      <c r="T51" s="11">
        <f t="shared" si="95"/>
        <v>0.04133661719</v>
      </c>
      <c r="U51" s="11">
        <f t="shared" si="95"/>
        <v>0.0009319044132</v>
      </c>
      <c r="V51" s="11">
        <f t="shared" si="95"/>
        <v>0.2852293151</v>
      </c>
      <c r="W51" s="11">
        <f t="shared" si="95"/>
        <v>0.02556080676</v>
      </c>
      <c r="X51" s="11">
        <f t="shared" si="95"/>
        <v>0.5838381149</v>
      </c>
      <c r="Y51" s="11">
        <f t="shared" si="95"/>
        <v>0.01477734141</v>
      </c>
      <c r="Z51" s="11">
        <f t="shared" si="18"/>
        <v>0.1688768817</v>
      </c>
      <c r="AA51" s="11">
        <f t="shared" ref="AA51:AC51" si="96">IFERROR(AA12/$Z12,0)</f>
        <v>0.6012921089</v>
      </c>
      <c r="AB51" s="11">
        <f t="shared" si="96"/>
        <v>0.2698046454</v>
      </c>
      <c r="AC51" s="11">
        <f t="shared" si="96"/>
        <v>0.1289032457</v>
      </c>
      <c r="AD51" s="11">
        <f t="shared" si="20"/>
        <v>0.003078281877</v>
      </c>
      <c r="AE51" s="11">
        <f t="shared" ref="AE51:AG51" si="97">IFERROR(AE12/$AD12,0)</f>
        <v>0.8185654008</v>
      </c>
      <c r="AF51" s="11">
        <f t="shared" si="97"/>
        <v>0.04219409283</v>
      </c>
      <c r="AG51" s="11">
        <f t="shared" si="97"/>
        <v>0.1392405063</v>
      </c>
      <c r="AH51" s="11">
        <f t="shared" si="22"/>
        <v>0.03897858191</v>
      </c>
      <c r="AI51" s="11">
        <f t="shared" ref="AI51:AQ51" si="98">IFERROR(AI12/$AH12,0)</f>
        <v>0.03032322559</v>
      </c>
      <c r="AJ51" s="11">
        <f t="shared" si="98"/>
        <v>0.1109630123</v>
      </c>
      <c r="AK51" s="11">
        <f t="shared" si="98"/>
        <v>0.1399533489</v>
      </c>
      <c r="AL51" s="11">
        <f t="shared" si="98"/>
        <v>0.3138953682</v>
      </c>
      <c r="AM51" s="11">
        <f t="shared" si="98"/>
        <v>0.09996667777</v>
      </c>
      <c r="AN51" s="11">
        <f t="shared" si="98"/>
        <v>0.007664111963</v>
      </c>
      <c r="AO51" s="11">
        <f t="shared" si="98"/>
        <v>0.09963345551</v>
      </c>
      <c r="AP51" s="11">
        <f t="shared" si="98"/>
        <v>0.05098300566</v>
      </c>
      <c r="AQ51" s="11">
        <f t="shared" si="98"/>
        <v>0.1466177941</v>
      </c>
      <c r="AR51" s="11">
        <f t="shared" si="24"/>
        <v>0.12246886</v>
      </c>
      <c r="AS51" s="11">
        <f t="shared" ref="AS51:BA51" si="99">IFERROR(AS12/$AR12,0)</f>
        <v>0.0499522749</v>
      </c>
      <c r="AT51" s="11">
        <f t="shared" si="99"/>
        <v>0.01686286987</v>
      </c>
      <c r="AU51" s="11">
        <f t="shared" si="99"/>
        <v>0.0115600806</v>
      </c>
      <c r="AV51" s="11">
        <f t="shared" si="99"/>
        <v>0.03637713437</v>
      </c>
      <c r="AW51" s="11">
        <f t="shared" si="99"/>
        <v>0.0600275745</v>
      </c>
      <c r="AX51" s="11">
        <f t="shared" si="99"/>
        <v>0.08166295471</v>
      </c>
      <c r="AY51" s="11">
        <f t="shared" si="99"/>
        <v>0.1721285396</v>
      </c>
      <c r="AZ51" s="11">
        <f t="shared" si="99"/>
        <v>0.4898716725</v>
      </c>
      <c r="BA51" s="11">
        <f t="shared" si="99"/>
        <v>0.08155689893</v>
      </c>
      <c r="BB51" s="11">
        <f t="shared" si="26"/>
        <v>0.1293008274</v>
      </c>
      <c r="BC51" s="11">
        <f t="shared" ref="BC51:BK51" si="100">IFERROR(BC12/$BB12,0)</f>
        <v>0.08819688599</v>
      </c>
      <c r="BD51" s="11">
        <f t="shared" si="100"/>
        <v>0.1093922652</v>
      </c>
      <c r="BE51" s="11">
        <f t="shared" si="100"/>
        <v>0.02009040683</v>
      </c>
      <c r="BF51" s="11">
        <f t="shared" si="100"/>
        <v>0.1224510296</v>
      </c>
      <c r="BG51" s="11">
        <f t="shared" si="100"/>
        <v>0.1789050728</v>
      </c>
      <c r="BH51" s="11">
        <f t="shared" si="100"/>
        <v>0.06579608237</v>
      </c>
      <c r="BI51" s="11">
        <f t="shared" si="100"/>
        <v>0.13530889</v>
      </c>
      <c r="BJ51" s="11">
        <f t="shared" si="100"/>
        <v>0.1544952285</v>
      </c>
      <c r="BK51" s="11">
        <f t="shared" si="100"/>
        <v>0.1253641386</v>
      </c>
      <c r="BL51" s="11">
        <f t="shared" si="28"/>
        <v>0.03653673806</v>
      </c>
      <c r="BM51" s="11">
        <f t="shared" ref="BM51:BT51" si="101">IFERROR(BM12/$BL12,0)</f>
        <v>0.03021685034</v>
      </c>
      <c r="BN51" s="11">
        <f t="shared" si="101"/>
        <v>0.03519374333</v>
      </c>
      <c r="BO51" s="11">
        <f t="shared" si="101"/>
        <v>0.004976892997</v>
      </c>
      <c r="BP51" s="11">
        <f t="shared" si="101"/>
        <v>0.120511909</v>
      </c>
      <c r="BQ51" s="11">
        <f t="shared" si="101"/>
        <v>0.02275151084</v>
      </c>
      <c r="BR51" s="11">
        <f t="shared" si="101"/>
        <v>0.2118734447</v>
      </c>
      <c r="BS51" s="11">
        <f t="shared" si="101"/>
        <v>0.2054745823</v>
      </c>
      <c r="BT51" s="11">
        <f t="shared" si="101"/>
        <v>0.3690010665</v>
      </c>
      <c r="BU51" s="11">
        <f t="shared" si="30"/>
        <v>0.09075086698</v>
      </c>
      <c r="BV51" s="11">
        <f t="shared" ref="BV51:BZ51" si="102">IFERROR(BV12/$BU12,0)</f>
        <v>0.07270645484</v>
      </c>
      <c r="BW51" s="11">
        <f t="shared" si="102"/>
        <v>0.01803349077</v>
      </c>
      <c r="BX51" s="11">
        <f t="shared" si="102"/>
        <v>0</v>
      </c>
      <c r="BY51" s="11">
        <f t="shared" si="102"/>
        <v>0.7493917275</v>
      </c>
      <c r="BZ51" s="11">
        <f t="shared" si="102"/>
        <v>0.1598683269</v>
      </c>
      <c r="CA51" s="11">
        <f t="shared" si="32"/>
        <v>1</v>
      </c>
    </row>
    <row r="52" ht="15.75" customHeight="1">
      <c r="A52" s="9" t="str">
        <f t="shared" si="11"/>
        <v>Y1997</v>
      </c>
      <c r="B52" s="11">
        <f t="shared" si="12"/>
        <v>0.2028665802</v>
      </c>
      <c r="C52" s="11">
        <f t="shared" ref="C52:L52" si="103">IFERROR(C13/$B13,0)</f>
        <v>0.04320521021</v>
      </c>
      <c r="D52" s="11">
        <f t="shared" si="103"/>
        <v>0.2001511892</v>
      </c>
      <c r="E52" s="11">
        <f t="shared" si="103"/>
        <v>0.1066465081</v>
      </c>
      <c r="F52" s="11">
        <f t="shared" si="103"/>
        <v>0.06995406175</v>
      </c>
      <c r="G52" s="11">
        <f t="shared" si="103"/>
        <v>0.3513403501</v>
      </c>
      <c r="H52" s="11">
        <f t="shared" si="103"/>
        <v>0.06722102692</v>
      </c>
      <c r="I52" s="11">
        <f t="shared" si="103"/>
        <v>0.1001918939</v>
      </c>
      <c r="J52" s="11">
        <f t="shared" si="103"/>
        <v>0.01122288771</v>
      </c>
      <c r="K52" s="11">
        <f t="shared" si="103"/>
        <v>0.03244751992</v>
      </c>
      <c r="L52" s="11">
        <f t="shared" si="103"/>
        <v>0.01761935221</v>
      </c>
      <c r="M52" s="11">
        <f t="shared" si="14"/>
        <v>0.01049899729</v>
      </c>
      <c r="N52" s="11">
        <f t="shared" ref="N52:O52" si="104">IFERROR(N13/$M13,0)</f>
        <v>0.9382022472</v>
      </c>
      <c r="O52" s="11">
        <f t="shared" si="104"/>
        <v>0.06179775281</v>
      </c>
      <c r="P52" s="11">
        <f t="shared" si="16"/>
        <v>0.2023121387</v>
      </c>
      <c r="Q52" s="11">
        <f t="shared" ref="Q52:Y52" si="105">IFERROR(Q13/$P13,0)</f>
        <v>0.03183673469</v>
      </c>
      <c r="R52" s="11">
        <f t="shared" si="105"/>
        <v>0.01486880466</v>
      </c>
      <c r="S52" s="11">
        <f t="shared" si="105"/>
        <v>0.0006413994169</v>
      </c>
      <c r="T52" s="11">
        <f t="shared" si="105"/>
        <v>0.03982507289</v>
      </c>
      <c r="U52" s="11">
        <f t="shared" si="105"/>
        <v>0.00110787172</v>
      </c>
      <c r="V52" s="11">
        <f t="shared" si="105"/>
        <v>0.304664723</v>
      </c>
      <c r="W52" s="11">
        <f t="shared" si="105"/>
        <v>0.02233236152</v>
      </c>
      <c r="X52" s="11">
        <f t="shared" si="105"/>
        <v>0.5714868805</v>
      </c>
      <c r="Y52" s="11">
        <f t="shared" si="105"/>
        <v>0.0132361516</v>
      </c>
      <c r="Z52" s="11">
        <f t="shared" si="18"/>
        <v>0.1765483072</v>
      </c>
      <c r="AA52" s="11">
        <f t="shared" ref="AA52:AC52" si="106">IFERROR(AA13/$Z13,0)</f>
        <v>0.589402646</v>
      </c>
      <c r="AB52" s="11">
        <f t="shared" si="106"/>
        <v>0.2740879326</v>
      </c>
      <c r="AC52" s="11">
        <f t="shared" si="106"/>
        <v>0.1365094214</v>
      </c>
      <c r="AD52" s="11">
        <f t="shared" si="20"/>
        <v>0.003185089065</v>
      </c>
      <c r="AE52" s="11">
        <f t="shared" ref="AE52:AG52" si="107">IFERROR(AE13/$AD13,0)</f>
        <v>0.7259259259</v>
      </c>
      <c r="AF52" s="11">
        <f t="shared" si="107"/>
        <v>0.1111111111</v>
      </c>
      <c r="AG52" s="11">
        <f t="shared" si="107"/>
        <v>0.162962963</v>
      </c>
      <c r="AH52" s="11">
        <f t="shared" si="22"/>
        <v>0.03790255987</v>
      </c>
      <c r="AI52" s="11">
        <f t="shared" ref="AI52:AQ52" si="108">IFERROR(AI13/$AH13,0)</f>
        <v>0.04450669157</v>
      </c>
      <c r="AJ52" s="11">
        <f t="shared" si="108"/>
        <v>0.1020852786</v>
      </c>
      <c r="AK52" s="11">
        <f t="shared" si="108"/>
        <v>0.1366324308</v>
      </c>
      <c r="AL52" s="11">
        <f t="shared" si="108"/>
        <v>0.3292872705</v>
      </c>
      <c r="AM52" s="11">
        <f t="shared" si="108"/>
        <v>0.0927482104</v>
      </c>
      <c r="AN52" s="11">
        <f t="shared" si="108"/>
        <v>0.006535947712</v>
      </c>
      <c r="AO52" s="11">
        <f t="shared" si="108"/>
        <v>0.0989729225</v>
      </c>
      <c r="AP52" s="11">
        <f t="shared" si="108"/>
        <v>0.05042016807</v>
      </c>
      <c r="AQ52" s="11">
        <f t="shared" si="108"/>
        <v>0.13881108</v>
      </c>
      <c r="AR52" s="11">
        <f t="shared" si="24"/>
        <v>0.1169871417</v>
      </c>
      <c r="AS52" s="11">
        <f t="shared" ref="AS52:BA52" si="109">IFERROR(AS13/$AR13,0)</f>
        <v>0.0514268428</v>
      </c>
      <c r="AT52" s="11">
        <f t="shared" si="109"/>
        <v>0.01643642231</v>
      </c>
      <c r="AU52" s="11">
        <f t="shared" si="109"/>
        <v>0.01078955329</v>
      </c>
      <c r="AV52" s="11">
        <f t="shared" si="109"/>
        <v>0.04194816981</v>
      </c>
      <c r="AW52" s="11">
        <f t="shared" si="109"/>
        <v>0.06312392861</v>
      </c>
      <c r="AX52" s="11">
        <f t="shared" si="109"/>
        <v>0.07895532923</v>
      </c>
      <c r="AY52" s="11">
        <f t="shared" si="109"/>
        <v>0.1679943531</v>
      </c>
      <c r="AZ52" s="11">
        <f t="shared" si="109"/>
        <v>0.4937985278</v>
      </c>
      <c r="BA52" s="11">
        <f t="shared" si="109"/>
        <v>0.07552687305</v>
      </c>
      <c r="BB52" s="11">
        <f t="shared" si="26"/>
        <v>0.1334670284</v>
      </c>
      <c r="BC52" s="11">
        <f t="shared" ref="BC52:BK52" si="110">IFERROR(BC13/$BB13,0)</f>
        <v>0.09147958282</v>
      </c>
      <c r="BD52" s="11">
        <f t="shared" si="110"/>
        <v>0.1050910377</v>
      </c>
      <c r="BE52" s="11">
        <f t="shared" si="110"/>
        <v>0.01953332155</v>
      </c>
      <c r="BF52" s="11">
        <f t="shared" si="110"/>
        <v>0.1012904366</v>
      </c>
      <c r="BG52" s="11">
        <f t="shared" si="110"/>
        <v>0.1479582818</v>
      </c>
      <c r="BH52" s="11">
        <f t="shared" si="110"/>
        <v>0.08723705144</v>
      </c>
      <c r="BI52" s="11">
        <f t="shared" si="110"/>
        <v>0.1115432208</v>
      </c>
      <c r="BJ52" s="11">
        <f t="shared" si="110"/>
        <v>0.1651935655</v>
      </c>
      <c r="BK52" s="11">
        <f t="shared" si="110"/>
        <v>0.1706735019</v>
      </c>
      <c r="BL52" s="11">
        <f t="shared" si="28"/>
        <v>0.03599150643</v>
      </c>
      <c r="BM52" s="11">
        <f t="shared" ref="BM52:BT52" si="111">IFERROR(BM13/$BL13,0)</f>
        <v>0.0285152409</v>
      </c>
      <c r="BN52" s="11">
        <f t="shared" si="111"/>
        <v>0.0317928548</v>
      </c>
      <c r="BO52" s="11">
        <f t="shared" si="111"/>
        <v>0.004588659456</v>
      </c>
      <c r="BP52" s="11">
        <f t="shared" si="111"/>
        <v>0.1232382825</v>
      </c>
      <c r="BQ52" s="11">
        <f t="shared" si="111"/>
        <v>0.01933792199</v>
      </c>
      <c r="BR52" s="11">
        <f t="shared" si="111"/>
        <v>0.2327105867</v>
      </c>
      <c r="BS52" s="11">
        <f t="shared" si="111"/>
        <v>0.2179613242</v>
      </c>
      <c r="BT52" s="11">
        <f t="shared" si="111"/>
        <v>0.3418551295</v>
      </c>
      <c r="BU52" s="11">
        <f t="shared" si="30"/>
        <v>0.08024065117</v>
      </c>
      <c r="BV52" s="11">
        <f t="shared" ref="BV52:BZ52" si="112">IFERROR(BV13/$BU13,0)</f>
        <v>0.07791825934</v>
      </c>
      <c r="BW52" s="11">
        <f t="shared" si="112"/>
        <v>0.01881799471</v>
      </c>
      <c r="BX52" s="11">
        <f t="shared" si="112"/>
        <v>0.0001470155837</v>
      </c>
      <c r="BY52" s="11">
        <f t="shared" si="112"/>
        <v>0.7237577183</v>
      </c>
      <c r="BZ52" s="11">
        <f t="shared" si="112"/>
        <v>0.1793590121</v>
      </c>
      <c r="CA52" s="11">
        <f t="shared" si="32"/>
        <v>1</v>
      </c>
    </row>
    <row r="53" ht="15.75" customHeight="1">
      <c r="A53" s="9" t="str">
        <f t="shared" si="11"/>
        <v>Y1998</v>
      </c>
      <c r="B53" s="11">
        <f t="shared" si="12"/>
        <v>0.1702720622</v>
      </c>
      <c r="C53" s="11">
        <f t="shared" ref="C53:L53" si="113">IFERROR(C14/$B14,0)</f>
        <v>0.03742080253</v>
      </c>
      <c r="D53" s="11">
        <f t="shared" si="113"/>
        <v>0.2581177402</v>
      </c>
      <c r="E53" s="11">
        <f t="shared" si="113"/>
        <v>0.1413674762</v>
      </c>
      <c r="F53" s="11">
        <f t="shared" si="113"/>
        <v>0.07774551214</v>
      </c>
      <c r="G53" s="11">
        <f t="shared" si="113"/>
        <v>0.3311114044</v>
      </c>
      <c r="H53" s="11">
        <f t="shared" si="113"/>
        <v>0.07490760296</v>
      </c>
      <c r="I53" s="11">
        <f t="shared" si="113"/>
        <v>0.01187961985</v>
      </c>
      <c r="J53" s="11">
        <f t="shared" si="113"/>
        <v>0.0116156283</v>
      </c>
      <c r="K53" s="11">
        <f t="shared" si="113"/>
        <v>0.035968849</v>
      </c>
      <c r="L53" s="11">
        <f t="shared" si="113"/>
        <v>0.01986536431</v>
      </c>
      <c r="M53" s="11">
        <f t="shared" si="14"/>
        <v>0.01296818636</v>
      </c>
      <c r="N53" s="11">
        <f t="shared" ref="N53:O53" si="114">IFERROR(N14/$M14,0)</f>
        <v>0.9393414211</v>
      </c>
      <c r="O53" s="11">
        <f t="shared" si="114"/>
        <v>0.06065857886</v>
      </c>
      <c r="P53" s="11">
        <f t="shared" si="16"/>
        <v>0.2012428782</v>
      </c>
      <c r="Q53" s="11">
        <f t="shared" ref="Q53:Y53" si="115">IFERROR(Q14/$P14,0)</f>
        <v>0.02847889212</v>
      </c>
      <c r="R53" s="11">
        <f t="shared" si="115"/>
        <v>0.02524011615</v>
      </c>
      <c r="S53" s="11">
        <f t="shared" si="115"/>
        <v>0.0005584096493</v>
      </c>
      <c r="T53" s="11">
        <f t="shared" si="115"/>
        <v>0.03903283449</v>
      </c>
      <c r="U53" s="11">
        <f t="shared" si="115"/>
        <v>0.001228501229</v>
      </c>
      <c r="V53" s="11">
        <f t="shared" si="115"/>
        <v>0.2514518651</v>
      </c>
      <c r="W53" s="11">
        <f t="shared" si="115"/>
        <v>0.02507259325</v>
      </c>
      <c r="X53" s="11">
        <f t="shared" si="115"/>
        <v>0.6150882287</v>
      </c>
      <c r="Y53" s="11">
        <f t="shared" si="115"/>
        <v>0.0138485593</v>
      </c>
      <c r="Z53" s="11">
        <f t="shared" si="18"/>
        <v>0.1694404801</v>
      </c>
      <c r="AA53" s="11">
        <f t="shared" ref="AA53:AC53" si="116">IFERROR(AA14/$Z14,0)</f>
        <v>0.6532033426</v>
      </c>
      <c r="AB53" s="11">
        <f t="shared" si="116"/>
        <v>0.2237697307</v>
      </c>
      <c r="AC53" s="11">
        <f t="shared" si="116"/>
        <v>0.1230269266</v>
      </c>
      <c r="AD53" s="11">
        <f t="shared" si="20"/>
        <v>0.004326474654</v>
      </c>
      <c r="AE53" s="11">
        <f t="shared" ref="AE53:AG53" si="117">IFERROR(AE14/$AD14,0)</f>
        <v>0.6883116883</v>
      </c>
      <c r="AF53" s="11">
        <f t="shared" si="117"/>
        <v>0.1818181818</v>
      </c>
      <c r="AG53" s="11">
        <f t="shared" si="117"/>
        <v>0.1298701299</v>
      </c>
      <c r="AH53" s="11">
        <f t="shared" si="22"/>
        <v>0.03807297695</v>
      </c>
      <c r="AI53" s="11">
        <f t="shared" ref="AI53:AQ53" si="118">IFERROR(AI14/$AH14,0)</f>
        <v>0.04102715466</v>
      </c>
      <c r="AJ53" s="11">
        <f t="shared" si="118"/>
        <v>0.093270366</v>
      </c>
      <c r="AK53" s="11">
        <f t="shared" si="118"/>
        <v>0.1549586777</v>
      </c>
      <c r="AL53" s="11">
        <f t="shared" si="118"/>
        <v>0.3615702479</v>
      </c>
      <c r="AM53" s="11">
        <f t="shared" si="118"/>
        <v>0.08353010626</v>
      </c>
      <c r="AN53" s="11">
        <f t="shared" si="118"/>
        <v>0.009445100354</v>
      </c>
      <c r="AO53" s="11">
        <f t="shared" si="118"/>
        <v>0.0699527745</v>
      </c>
      <c r="AP53" s="11">
        <f t="shared" si="118"/>
        <v>0.04840613932</v>
      </c>
      <c r="AQ53" s="11">
        <f t="shared" si="118"/>
        <v>0.1378394333</v>
      </c>
      <c r="AR53" s="11">
        <f t="shared" si="24"/>
        <v>0.1171856563</v>
      </c>
      <c r="AS53" s="11">
        <f t="shared" ref="AS53:BA53" si="119">IFERROR(AS14/$AR14,0)</f>
        <v>0.04766014576</v>
      </c>
      <c r="AT53" s="11">
        <f t="shared" si="119"/>
        <v>0.01620636747</v>
      </c>
      <c r="AU53" s="11">
        <f t="shared" si="119"/>
        <v>0.009973149214</v>
      </c>
      <c r="AV53" s="11">
        <f t="shared" si="119"/>
        <v>0.04037207518</v>
      </c>
      <c r="AW53" s="11">
        <f t="shared" si="119"/>
        <v>0.05686612965</v>
      </c>
      <c r="AX53" s="11">
        <f t="shared" si="119"/>
        <v>0.06693517453</v>
      </c>
      <c r="AY53" s="11">
        <f t="shared" si="119"/>
        <v>0.1751054852</v>
      </c>
      <c r="AZ53" s="11">
        <f t="shared" si="119"/>
        <v>0.5195627158</v>
      </c>
      <c r="BA53" s="11">
        <f t="shared" si="119"/>
        <v>0.06731875719</v>
      </c>
      <c r="BB53" s="11">
        <f t="shared" si="26"/>
        <v>0.1197478283</v>
      </c>
      <c r="BC53" s="11">
        <f t="shared" ref="BC53:BK53" si="120">IFERROR(BC14/$BB14,0)</f>
        <v>0.07582582583</v>
      </c>
      <c r="BD53" s="11">
        <f t="shared" si="120"/>
        <v>0.1280968468</v>
      </c>
      <c r="BE53" s="11">
        <f t="shared" si="120"/>
        <v>0.01698573574</v>
      </c>
      <c r="BF53" s="11">
        <f t="shared" si="120"/>
        <v>0.09703453453</v>
      </c>
      <c r="BG53" s="11">
        <f t="shared" si="120"/>
        <v>0.1468656156</v>
      </c>
      <c r="BH53" s="11">
        <f t="shared" si="120"/>
        <v>0.08089339339</v>
      </c>
      <c r="BI53" s="11">
        <f t="shared" si="120"/>
        <v>0.1198385886</v>
      </c>
      <c r="BJ53" s="11">
        <f t="shared" si="120"/>
        <v>0.1748310811</v>
      </c>
      <c r="BK53" s="11">
        <f t="shared" si="120"/>
        <v>0.1596283784</v>
      </c>
      <c r="BL53" s="11">
        <f t="shared" si="28"/>
        <v>0.0375897603</v>
      </c>
      <c r="BM53" s="11">
        <f t="shared" ref="BM53:BT53" si="121">IFERROR(BM14/$BL14,0)</f>
        <v>0.02541106129</v>
      </c>
      <c r="BN53" s="11">
        <f t="shared" si="121"/>
        <v>0.02929745889</v>
      </c>
      <c r="BO53" s="11">
        <f t="shared" si="121"/>
        <v>0.003587443946</v>
      </c>
      <c r="BP53" s="11">
        <f t="shared" si="121"/>
        <v>0.1091180867</v>
      </c>
      <c r="BQ53" s="11">
        <f t="shared" si="121"/>
        <v>0.01853512706</v>
      </c>
      <c r="BR53" s="11">
        <f t="shared" si="121"/>
        <v>0.2606875934</v>
      </c>
      <c r="BS53" s="11">
        <f t="shared" si="121"/>
        <v>0.2005979073</v>
      </c>
      <c r="BT53" s="11">
        <f t="shared" si="121"/>
        <v>0.3527653214</v>
      </c>
      <c r="BU53" s="11">
        <f t="shared" si="30"/>
        <v>0.1291536966</v>
      </c>
      <c r="BV53" s="11">
        <f t="shared" ref="BV53:BZ53" si="122">IFERROR(BV14/$BU14,0)</f>
        <v>0.06664926477</v>
      </c>
      <c r="BW53" s="11">
        <f t="shared" si="122"/>
        <v>0.01174628034</v>
      </c>
      <c r="BX53" s="11">
        <f t="shared" si="122"/>
        <v>0.0001740189681</v>
      </c>
      <c r="BY53" s="11">
        <f t="shared" si="122"/>
        <v>0.664926477</v>
      </c>
      <c r="BZ53" s="11">
        <f t="shared" si="122"/>
        <v>0.2565039589</v>
      </c>
      <c r="CA53" s="11">
        <f t="shared" si="32"/>
        <v>1</v>
      </c>
    </row>
    <row r="54" ht="15.75" customHeight="1">
      <c r="A54" s="9" t="str">
        <f t="shared" si="11"/>
        <v>Y1999</v>
      </c>
      <c r="B54" s="11">
        <f t="shared" si="12"/>
        <v>0.1827157652</v>
      </c>
      <c r="C54" s="11">
        <f t="shared" ref="C54:L54" si="123">IFERROR(C15/$B15,0)</f>
        <v>0.0439601965</v>
      </c>
      <c r="D54" s="11">
        <f t="shared" si="123"/>
        <v>0.2621866734</v>
      </c>
      <c r="E54" s="11">
        <f t="shared" si="123"/>
        <v>0.1391233153</v>
      </c>
      <c r="F54" s="11">
        <f t="shared" si="123"/>
        <v>0.08735357098</v>
      </c>
      <c r="G54" s="11">
        <f t="shared" si="123"/>
        <v>0.3074694546</v>
      </c>
      <c r="H54" s="11">
        <f t="shared" si="123"/>
        <v>0.07507242726</v>
      </c>
      <c r="I54" s="11">
        <f t="shared" si="123"/>
        <v>0.01032875677</v>
      </c>
      <c r="J54" s="11">
        <f t="shared" si="123"/>
        <v>0.01341478776</v>
      </c>
      <c r="K54" s="11">
        <f t="shared" si="123"/>
        <v>0.03942562036</v>
      </c>
      <c r="L54" s="11">
        <f t="shared" si="123"/>
        <v>0.02166519713</v>
      </c>
      <c r="M54" s="11">
        <f t="shared" si="14"/>
        <v>0.01613348677</v>
      </c>
      <c r="N54" s="11">
        <f t="shared" ref="N54:O54" si="124">IFERROR(N15/$M15,0)</f>
        <v>0.9593437946</v>
      </c>
      <c r="O54" s="11">
        <f t="shared" si="124"/>
        <v>0.04065620542</v>
      </c>
      <c r="P54" s="11">
        <f t="shared" si="16"/>
        <v>0.1918181818</v>
      </c>
      <c r="Q54" s="11">
        <f t="shared" ref="Q54:Y54" si="125">IFERROR(Q15/$P15,0)</f>
        <v>0.0205771192</v>
      </c>
      <c r="R54" s="11">
        <f t="shared" si="125"/>
        <v>0.04661347411</v>
      </c>
      <c r="S54" s="11">
        <f t="shared" si="125"/>
        <v>0.0007798908153</v>
      </c>
      <c r="T54" s="11">
        <f t="shared" si="125"/>
        <v>0.04187413762</v>
      </c>
      <c r="U54" s="11">
        <f t="shared" si="125"/>
        <v>0.001799748035</v>
      </c>
      <c r="V54" s="11">
        <f t="shared" si="125"/>
        <v>0.2382866399</v>
      </c>
      <c r="W54" s="11">
        <f t="shared" si="125"/>
        <v>0.02489651449</v>
      </c>
      <c r="X54" s="11">
        <f t="shared" si="125"/>
        <v>0.6097546344</v>
      </c>
      <c r="Y54" s="11">
        <f t="shared" si="125"/>
        <v>0.0154178415</v>
      </c>
      <c r="Z54" s="11">
        <f t="shared" si="18"/>
        <v>0.1663981588</v>
      </c>
      <c r="AA54" s="11">
        <f t="shared" ref="AA54:AC54" si="126">IFERROR(AA15/$Z15,0)</f>
        <v>0.5813278008</v>
      </c>
      <c r="AB54" s="11">
        <f t="shared" si="126"/>
        <v>0.2886583679</v>
      </c>
      <c r="AC54" s="11">
        <f t="shared" si="126"/>
        <v>0.1300138313</v>
      </c>
      <c r="AD54" s="11">
        <f t="shared" si="20"/>
        <v>0.003774453395</v>
      </c>
      <c r="AE54" s="11">
        <f t="shared" ref="AE54:AG54" si="127">IFERROR(AE15/$AD15,0)</f>
        <v>0.6890243902</v>
      </c>
      <c r="AF54" s="11">
        <f t="shared" si="127"/>
        <v>0.1554878049</v>
      </c>
      <c r="AG54" s="11">
        <f t="shared" si="127"/>
        <v>0.1554878049</v>
      </c>
      <c r="AH54" s="11">
        <f t="shared" si="22"/>
        <v>0.04436133487</v>
      </c>
      <c r="AI54" s="11">
        <f t="shared" ref="AI54:AQ54" si="128">IFERROR(AI15/$AH15,0)</f>
        <v>0.04124513619</v>
      </c>
      <c r="AJ54" s="11">
        <f t="shared" si="128"/>
        <v>0.09857328145</v>
      </c>
      <c r="AK54" s="11">
        <f t="shared" si="128"/>
        <v>0.1359273671</v>
      </c>
      <c r="AL54" s="11">
        <f t="shared" si="128"/>
        <v>0.3841763943</v>
      </c>
      <c r="AM54" s="11">
        <f t="shared" si="128"/>
        <v>0.08664072633</v>
      </c>
      <c r="AN54" s="11">
        <f t="shared" si="128"/>
        <v>0.00804150454</v>
      </c>
      <c r="AO54" s="11">
        <f t="shared" si="128"/>
        <v>0.06018158236</v>
      </c>
      <c r="AP54" s="11">
        <f t="shared" si="128"/>
        <v>0.04617380026</v>
      </c>
      <c r="AQ54" s="11">
        <f t="shared" si="128"/>
        <v>0.1390402075</v>
      </c>
      <c r="AR54" s="11">
        <f t="shared" si="24"/>
        <v>0.1229459148</v>
      </c>
      <c r="AS54" s="11">
        <f t="shared" ref="AS54:BA54" si="129">IFERROR(AS15/$AR15,0)</f>
        <v>0.04024709846</v>
      </c>
      <c r="AT54" s="11">
        <f t="shared" si="129"/>
        <v>0.01684762261</v>
      </c>
      <c r="AU54" s="11">
        <f t="shared" si="129"/>
        <v>0.01291651067</v>
      </c>
      <c r="AV54" s="11">
        <f t="shared" si="129"/>
        <v>0.0439910146</v>
      </c>
      <c r="AW54" s="11">
        <f t="shared" si="129"/>
        <v>0.05653313366</v>
      </c>
      <c r="AX54" s="11">
        <f t="shared" si="129"/>
        <v>0.08124298016</v>
      </c>
      <c r="AY54" s="11">
        <f t="shared" si="129"/>
        <v>0.1274803444</v>
      </c>
      <c r="AZ54" s="11">
        <f t="shared" si="129"/>
        <v>0.559153875</v>
      </c>
      <c r="BA54" s="11">
        <f t="shared" si="129"/>
        <v>0.06158742044</v>
      </c>
      <c r="BB54" s="11">
        <f t="shared" si="26"/>
        <v>0.1264441887</v>
      </c>
      <c r="BC54" s="11">
        <f t="shared" ref="BC54:BK54" si="130">IFERROR(BC15/$BB15,0)</f>
        <v>0.07216963961</v>
      </c>
      <c r="BD54" s="11">
        <f t="shared" si="130"/>
        <v>0.09974517656</v>
      </c>
      <c r="BE54" s="11">
        <f t="shared" si="130"/>
        <v>0.01792864944</v>
      </c>
      <c r="BF54" s="11">
        <f t="shared" si="130"/>
        <v>0.09364761558</v>
      </c>
      <c r="BG54" s="11">
        <f t="shared" si="130"/>
        <v>0.1278667637</v>
      </c>
      <c r="BH54" s="11">
        <f t="shared" si="130"/>
        <v>0.08245358573</v>
      </c>
      <c r="BI54" s="11">
        <f t="shared" si="130"/>
        <v>0.1181288679</v>
      </c>
      <c r="BJ54" s="11">
        <f t="shared" si="130"/>
        <v>0.2221514379</v>
      </c>
      <c r="BK54" s="11">
        <f t="shared" si="130"/>
        <v>0.1659082636</v>
      </c>
      <c r="BL54" s="11">
        <f t="shared" si="28"/>
        <v>0.04163406214</v>
      </c>
      <c r="BM54" s="11">
        <f t="shared" ref="BM54:BT54" si="131">IFERROR(BM15/$BL15,0)</f>
        <v>0.02128247651</v>
      </c>
      <c r="BN54" s="11">
        <f t="shared" si="131"/>
        <v>0.03510226645</v>
      </c>
      <c r="BO54" s="11">
        <f t="shared" si="131"/>
        <v>0.003316749585</v>
      </c>
      <c r="BP54" s="11">
        <f t="shared" si="131"/>
        <v>0.0914870094</v>
      </c>
      <c r="BQ54" s="11">
        <f t="shared" si="131"/>
        <v>0.01741293532</v>
      </c>
      <c r="BR54" s="11">
        <f t="shared" si="131"/>
        <v>0.277501382</v>
      </c>
      <c r="BS54" s="11">
        <f t="shared" si="131"/>
        <v>0.2166943062</v>
      </c>
      <c r="BT54" s="11">
        <f t="shared" si="131"/>
        <v>0.3372028745</v>
      </c>
      <c r="BU54" s="11">
        <f t="shared" si="30"/>
        <v>0.1037744534</v>
      </c>
      <c r="BV54" s="11">
        <f t="shared" ref="BV54:BZ54" si="132">IFERROR(BV15/$BU15,0)</f>
        <v>0.2003770237</v>
      </c>
      <c r="BW54" s="11">
        <f t="shared" si="132"/>
        <v>0.01086715458</v>
      </c>
      <c r="BX54" s="11">
        <f t="shared" si="132"/>
        <v>0.0008871146596</v>
      </c>
      <c r="BY54" s="11">
        <f t="shared" si="132"/>
        <v>0.5333776891</v>
      </c>
      <c r="BZ54" s="11">
        <f t="shared" si="132"/>
        <v>0.254491018</v>
      </c>
      <c r="CA54" s="11">
        <f t="shared" si="32"/>
        <v>1</v>
      </c>
    </row>
    <row r="55" ht="15.75" customHeight="1">
      <c r="A55" s="9" t="str">
        <f t="shared" si="11"/>
        <v>Y2000</v>
      </c>
      <c r="B55" s="11">
        <f t="shared" si="12"/>
        <v>0.1719157727</v>
      </c>
      <c r="C55" s="11">
        <f t="shared" ref="C55:L55" si="133">IFERROR(C16/$B16,0)</f>
        <v>0.04205755244</v>
      </c>
      <c r="D55" s="11">
        <f t="shared" si="133"/>
        <v>0.2655212396</v>
      </c>
      <c r="E55" s="11">
        <f t="shared" si="133"/>
        <v>0.1435648783</v>
      </c>
      <c r="F55" s="11">
        <f t="shared" si="133"/>
        <v>0.08906925266</v>
      </c>
      <c r="G55" s="11">
        <f t="shared" si="133"/>
        <v>0.2849162011</v>
      </c>
      <c r="H55" s="11">
        <f t="shared" si="133"/>
        <v>0.07694740171</v>
      </c>
      <c r="I55" s="11">
        <f t="shared" si="133"/>
        <v>0.01101507326</v>
      </c>
      <c r="J55" s="11">
        <f t="shared" si="133"/>
        <v>0.01354485085</v>
      </c>
      <c r="K55" s="11">
        <f t="shared" si="133"/>
        <v>0.0514915147</v>
      </c>
      <c r="L55" s="11">
        <f t="shared" si="133"/>
        <v>0.02187203542</v>
      </c>
      <c r="M55" s="11">
        <f t="shared" si="14"/>
        <v>0.01604631777</v>
      </c>
      <c r="N55" s="11">
        <f t="shared" ref="N55:O55" si="134">IFERROR(N16/$M16,0)</f>
        <v>0.9683794466</v>
      </c>
      <c r="O55" s="11">
        <f t="shared" si="134"/>
        <v>0.03162055336</v>
      </c>
      <c r="P55" s="11">
        <f t="shared" si="16"/>
        <v>0.1924108437</v>
      </c>
      <c r="Q55" s="11">
        <f t="shared" ref="Q55:Y55" si="135">IFERROR(Q16/$P16,0)</f>
        <v>0.02797136937</v>
      </c>
      <c r="R55" s="11">
        <f t="shared" si="135"/>
        <v>0.03404595969</v>
      </c>
      <c r="S55" s="11">
        <f t="shared" si="135"/>
        <v>0.0005179883217</v>
      </c>
      <c r="T55" s="11">
        <f t="shared" si="135"/>
        <v>0.04101525711</v>
      </c>
      <c r="U55" s="11">
        <f t="shared" si="135"/>
        <v>0.002448672066</v>
      </c>
      <c r="V55" s="11">
        <f t="shared" si="135"/>
        <v>0.2297513656</v>
      </c>
      <c r="W55" s="11">
        <f t="shared" si="135"/>
        <v>0.02123752119</v>
      </c>
      <c r="X55" s="11">
        <f t="shared" si="135"/>
        <v>0.6301563383</v>
      </c>
      <c r="Y55" s="11">
        <f t="shared" si="135"/>
        <v>0.01285552835</v>
      </c>
      <c r="Z55" s="11">
        <f t="shared" si="18"/>
        <v>0.2087652218</v>
      </c>
      <c r="AA55" s="11">
        <f t="shared" ref="AA55:AC55" si="136">IFERROR(AA16/$Z16,0)</f>
        <v>0.4057549586</v>
      </c>
      <c r="AB55" s="11">
        <f t="shared" si="136"/>
        <v>0.4541903563</v>
      </c>
      <c r="AC55" s="11">
        <f t="shared" si="136"/>
        <v>0.1400546851</v>
      </c>
      <c r="AD55" s="11">
        <f t="shared" si="20"/>
        <v>0.002781603363</v>
      </c>
      <c r="AE55" s="11">
        <f t="shared" ref="AE55:AG55" si="137">IFERROR(AE16/$AD16,0)</f>
        <v>0.7003257329</v>
      </c>
      <c r="AF55" s="11">
        <f t="shared" si="137"/>
        <v>0.1368078176</v>
      </c>
      <c r="AG55" s="11">
        <f t="shared" si="137"/>
        <v>0.1628664495</v>
      </c>
      <c r="AH55" s="11">
        <f t="shared" si="22"/>
        <v>0.04272977675</v>
      </c>
      <c r="AI55" s="11">
        <f t="shared" ref="AI55:AQ55" si="138">IFERROR(AI16/$AH16,0)</f>
        <v>0.02608142494</v>
      </c>
      <c r="AJ55" s="11">
        <f t="shared" si="138"/>
        <v>0.1036895674</v>
      </c>
      <c r="AK55" s="11">
        <f t="shared" si="138"/>
        <v>0.1314673452</v>
      </c>
      <c r="AL55" s="11">
        <f t="shared" si="138"/>
        <v>0.427480916</v>
      </c>
      <c r="AM55" s="11">
        <f t="shared" si="138"/>
        <v>0.07994062765</v>
      </c>
      <c r="AN55" s="11">
        <f t="shared" si="138"/>
        <v>0.01569126378</v>
      </c>
      <c r="AO55" s="11">
        <f t="shared" si="138"/>
        <v>0.04622561493</v>
      </c>
      <c r="AP55" s="11">
        <f t="shared" si="138"/>
        <v>0.04262086514</v>
      </c>
      <c r="AQ55" s="11">
        <f t="shared" si="138"/>
        <v>0.1268023749</v>
      </c>
      <c r="AR55" s="11">
        <f t="shared" si="24"/>
        <v>0.1229613656</v>
      </c>
      <c r="AS55" s="11">
        <f t="shared" ref="AS55:BA55" si="139">IFERROR(AS16/$AR16,0)</f>
        <v>0.03713801488</v>
      </c>
      <c r="AT55" s="11">
        <f t="shared" si="139"/>
        <v>0.01215827868</v>
      </c>
      <c r="AU55" s="11">
        <f t="shared" si="139"/>
        <v>0.01282145752</v>
      </c>
      <c r="AV55" s="11">
        <f t="shared" si="139"/>
        <v>0.04163289367</v>
      </c>
      <c r="AW55" s="11">
        <f t="shared" si="139"/>
        <v>0.04421192248</v>
      </c>
      <c r="AX55" s="11">
        <f t="shared" si="139"/>
        <v>0.07442340284</v>
      </c>
      <c r="AY55" s="11">
        <f t="shared" si="139"/>
        <v>0.08636062191</v>
      </c>
      <c r="AZ55" s="11">
        <f t="shared" si="139"/>
        <v>0.642178174</v>
      </c>
      <c r="BA55" s="11">
        <f t="shared" si="139"/>
        <v>0.04907523395</v>
      </c>
      <c r="BB55" s="11">
        <f t="shared" si="26"/>
        <v>0.1132031023</v>
      </c>
      <c r="BC55" s="11">
        <f t="shared" ref="BC55:BK55" si="140">IFERROR(BC16/$BB16,0)</f>
        <v>0.07731711221</v>
      </c>
      <c r="BD55" s="11">
        <f t="shared" si="140"/>
        <v>0.09884744677</v>
      </c>
      <c r="BE55" s="11">
        <f t="shared" si="140"/>
        <v>0.02048983512</v>
      </c>
      <c r="BF55" s="11">
        <f t="shared" si="140"/>
        <v>0.08956299024</v>
      </c>
      <c r="BG55" s="11">
        <f t="shared" si="140"/>
        <v>0.1123739395</v>
      </c>
      <c r="BH55" s="11">
        <f t="shared" si="140"/>
        <v>0.1160557067</v>
      </c>
      <c r="BI55" s="11">
        <f t="shared" si="140"/>
        <v>0.1202177045</v>
      </c>
      <c r="BJ55" s="11">
        <f t="shared" si="140"/>
        <v>0.2621258204</v>
      </c>
      <c r="BK55" s="11">
        <f t="shared" si="140"/>
        <v>0.1030094445</v>
      </c>
      <c r="BL55" s="11">
        <f t="shared" si="28"/>
        <v>0.03774644825</v>
      </c>
      <c r="BM55" s="11">
        <f t="shared" ref="BM55:BT55" si="141">IFERROR(BM16/$BL16,0)</f>
        <v>0.02016322612</v>
      </c>
      <c r="BN55" s="11">
        <f t="shared" si="141"/>
        <v>0.02904464714</v>
      </c>
      <c r="BO55" s="11">
        <f t="shared" si="141"/>
        <v>0.003360537686</v>
      </c>
      <c r="BP55" s="11">
        <f t="shared" si="141"/>
        <v>0.08161305809</v>
      </c>
      <c r="BQ55" s="11">
        <f t="shared" si="141"/>
        <v>0.0156024964</v>
      </c>
      <c r="BR55" s="11">
        <f t="shared" si="141"/>
        <v>0.2717234758</v>
      </c>
      <c r="BS55" s="11">
        <f t="shared" si="141"/>
        <v>0.2546807489</v>
      </c>
      <c r="BT55" s="11">
        <f t="shared" si="141"/>
        <v>0.3238118099</v>
      </c>
      <c r="BU55" s="11">
        <f t="shared" si="30"/>
        <v>0.09143954769</v>
      </c>
      <c r="BV55" s="11">
        <f t="shared" ref="BV55:BZ55" si="142">IFERROR(BV16/$BU16,0)</f>
        <v>0.1775663892</v>
      </c>
      <c r="BW55" s="11">
        <f t="shared" si="142"/>
        <v>0.008224336108</v>
      </c>
      <c r="BX55" s="11">
        <f t="shared" si="142"/>
        <v>0.0004954419342</v>
      </c>
      <c r="BY55" s="11">
        <f t="shared" si="142"/>
        <v>0.4906856916</v>
      </c>
      <c r="BZ55" s="11">
        <f t="shared" si="142"/>
        <v>0.3230281411</v>
      </c>
      <c r="CA55" s="11">
        <f t="shared" si="32"/>
        <v>1</v>
      </c>
    </row>
    <row r="56" ht="15.75" customHeight="1">
      <c r="A56" s="9" t="str">
        <f t="shared" si="11"/>
        <v>Y2001</v>
      </c>
      <c r="B56" s="11">
        <f t="shared" si="12"/>
        <v>0.1794440727</v>
      </c>
      <c r="C56" s="11">
        <f t="shared" ref="C56:L56" si="143">IFERROR(C17/$B17,0)</f>
        <v>0.04684373295</v>
      </c>
      <c r="D56" s="11">
        <f t="shared" si="143"/>
        <v>0.2896579953</v>
      </c>
      <c r="E56" s="11">
        <f t="shared" si="143"/>
        <v>0.1386665454</v>
      </c>
      <c r="F56" s="11">
        <f t="shared" si="143"/>
        <v>0.07781517191</v>
      </c>
      <c r="G56" s="11">
        <f t="shared" si="143"/>
        <v>0.2856558123</v>
      </c>
      <c r="H56" s="11">
        <f t="shared" si="143"/>
        <v>0.07431326178</v>
      </c>
      <c r="I56" s="11">
        <f t="shared" si="143"/>
        <v>0.01018737493</v>
      </c>
      <c r="J56" s="11">
        <f t="shared" si="143"/>
        <v>0.01173367291</v>
      </c>
      <c r="K56" s="11">
        <f t="shared" si="143"/>
        <v>0.04534291432</v>
      </c>
      <c r="L56" s="11">
        <f t="shared" si="143"/>
        <v>0.01978351828</v>
      </c>
      <c r="M56" s="11">
        <f t="shared" si="14"/>
        <v>0.01784810746</v>
      </c>
      <c r="N56" s="11">
        <f t="shared" ref="N56:O56" si="144">IFERROR(N17/$M17,0)</f>
        <v>0.9670781893</v>
      </c>
      <c r="O56" s="11">
        <f t="shared" si="144"/>
        <v>0.0329218107</v>
      </c>
      <c r="P56" s="11">
        <f t="shared" si="16"/>
        <v>0.194019619</v>
      </c>
      <c r="Q56" s="11">
        <f t="shared" ref="Q56:Y56" si="145">IFERROR(Q17/$P17,0)</f>
        <v>0.03482796332</v>
      </c>
      <c r="R56" s="11">
        <f t="shared" si="145"/>
        <v>0.03091612686</v>
      </c>
      <c r="S56" s="11">
        <f t="shared" si="145"/>
        <v>0.0007150668798</v>
      </c>
      <c r="T56" s="11">
        <f t="shared" si="145"/>
        <v>0.03613190881</v>
      </c>
      <c r="U56" s="11">
        <f t="shared" si="145"/>
        <v>0.002145200639</v>
      </c>
      <c r="V56" s="11">
        <f t="shared" si="145"/>
        <v>0.2347943131</v>
      </c>
      <c r="W56" s="11">
        <f t="shared" si="145"/>
        <v>0.0223353243</v>
      </c>
      <c r="X56" s="11">
        <f t="shared" si="145"/>
        <v>0.6253890805</v>
      </c>
      <c r="Y56" s="11">
        <f t="shared" si="145"/>
        <v>0.01274501556</v>
      </c>
      <c r="Z56" s="11">
        <f t="shared" si="18"/>
        <v>0.2075342354</v>
      </c>
      <c r="AA56" s="11">
        <f t="shared" ref="AA56:AC56" si="146">IFERROR(AA17/$Z17,0)</f>
        <v>0.4920959497</v>
      </c>
      <c r="AB56" s="11">
        <f t="shared" si="146"/>
        <v>0.3622493118</v>
      </c>
      <c r="AC56" s="11">
        <f t="shared" si="146"/>
        <v>0.1456547385</v>
      </c>
      <c r="AD56" s="11">
        <f t="shared" si="20"/>
        <v>0.002521749066</v>
      </c>
      <c r="AE56" s="11">
        <f t="shared" ref="AE56:AG56" si="147">IFERROR(AE17/$AD17,0)</f>
        <v>0.7022653722</v>
      </c>
      <c r="AF56" s="11">
        <f t="shared" si="147"/>
        <v>0.142394822</v>
      </c>
      <c r="AG56" s="11">
        <f t="shared" si="147"/>
        <v>0.1553398058</v>
      </c>
      <c r="AH56" s="11">
        <f t="shared" si="22"/>
        <v>0.04427342615</v>
      </c>
      <c r="AI56" s="11">
        <f t="shared" ref="AI56:AQ56" si="148">IFERROR(AI17/$AH17,0)</f>
        <v>0.02506912442</v>
      </c>
      <c r="AJ56" s="11">
        <f t="shared" si="148"/>
        <v>0.1039631336</v>
      </c>
      <c r="AK56" s="11">
        <f t="shared" si="148"/>
        <v>0.1192626728</v>
      </c>
      <c r="AL56" s="11">
        <f t="shared" si="148"/>
        <v>0.4486635945</v>
      </c>
      <c r="AM56" s="11">
        <f t="shared" si="148"/>
        <v>0.07262672811</v>
      </c>
      <c r="AN56" s="11">
        <f t="shared" si="148"/>
        <v>0.02801843318</v>
      </c>
      <c r="AO56" s="11">
        <f t="shared" si="148"/>
        <v>0.04313364055</v>
      </c>
      <c r="AP56" s="11">
        <f t="shared" si="148"/>
        <v>0.04221198157</v>
      </c>
      <c r="AQ56" s="11">
        <f t="shared" si="148"/>
        <v>0.1170506912</v>
      </c>
      <c r="AR56" s="11">
        <f t="shared" si="24"/>
        <v>0.113625606</v>
      </c>
      <c r="AS56" s="11">
        <f t="shared" ref="AS56:BA56" si="149">IFERROR(AS17/$AR17,0)</f>
        <v>0.03914386267</v>
      </c>
      <c r="AT56" s="11">
        <f t="shared" si="149"/>
        <v>0.01242548301</v>
      </c>
      <c r="AU56" s="11">
        <f t="shared" si="149"/>
        <v>0.01558572147</v>
      </c>
      <c r="AV56" s="11">
        <f t="shared" si="149"/>
        <v>0.04747540042</v>
      </c>
      <c r="AW56" s="11">
        <f t="shared" si="149"/>
        <v>0.0407958055</v>
      </c>
      <c r="AX56" s="11">
        <f t="shared" si="149"/>
        <v>0.06837606838</v>
      </c>
      <c r="AY56" s="11">
        <f t="shared" si="149"/>
        <v>0.05293399411</v>
      </c>
      <c r="AZ56" s="11">
        <f t="shared" si="149"/>
        <v>0.6693241399</v>
      </c>
      <c r="BA56" s="11">
        <f t="shared" si="149"/>
        <v>0.05393952453</v>
      </c>
      <c r="BB56" s="11">
        <f t="shared" si="26"/>
        <v>0.1129645649</v>
      </c>
      <c r="BC56" s="11">
        <f t="shared" ref="BC56:BK56" si="150">IFERROR(BC17/$BB17,0)</f>
        <v>0.05418292154</v>
      </c>
      <c r="BD56" s="11">
        <f t="shared" si="150"/>
        <v>0.09940760006</v>
      </c>
      <c r="BE56" s="11">
        <f t="shared" si="150"/>
        <v>0.01502673024</v>
      </c>
      <c r="BF56" s="11">
        <f t="shared" si="150"/>
        <v>0.09413379569</v>
      </c>
      <c r="BG56" s="11">
        <f t="shared" si="150"/>
        <v>0.1183355007</v>
      </c>
      <c r="BH56" s="11">
        <f t="shared" si="150"/>
        <v>0.09803496605</v>
      </c>
      <c r="BI56" s="11">
        <f t="shared" si="150"/>
        <v>0.1234648172</v>
      </c>
      <c r="BJ56" s="11">
        <f t="shared" si="150"/>
        <v>0.3070365554</v>
      </c>
      <c r="BK56" s="11">
        <f t="shared" si="150"/>
        <v>0.09037711313</v>
      </c>
      <c r="BL56" s="11">
        <f t="shared" si="28"/>
        <v>0.03722232197</v>
      </c>
      <c r="BM56" s="11">
        <f t="shared" ref="BM56:BT56" si="151">IFERROR(BM17/$BL17,0)</f>
        <v>0.02082876562</v>
      </c>
      <c r="BN56" s="11">
        <f t="shared" si="151"/>
        <v>0.03244902434</v>
      </c>
      <c r="BO56" s="11">
        <f t="shared" si="151"/>
        <v>0.002850252138</v>
      </c>
      <c r="BP56" s="11">
        <f t="shared" si="151"/>
        <v>0.08090331068</v>
      </c>
      <c r="BQ56" s="11">
        <f t="shared" si="151"/>
        <v>0.0135935102</v>
      </c>
      <c r="BR56" s="11">
        <f t="shared" si="151"/>
        <v>0.2830519623</v>
      </c>
      <c r="BS56" s="11">
        <f t="shared" si="151"/>
        <v>0.244025433</v>
      </c>
      <c r="BT56" s="11">
        <f t="shared" si="151"/>
        <v>0.3222977417</v>
      </c>
      <c r="BU56" s="11">
        <f t="shared" si="30"/>
        <v>0.09054629735</v>
      </c>
      <c r="BV56" s="11">
        <f t="shared" ref="BV56:BZ56" si="152">IFERROR(BV17/$BU17,0)</f>
        <v>0.201171699</v>
      </c>
      <c r="BW56" s="11">
        <f t="shared" si="152"/>
        <v>0.005497972059</v>
      </c>
      <c r="BX56" s="11">
        <f t="shared" si="152"/>
        <v>0</v>
      </c>
      <c r="BY56" s="11">
        <f t="shared" si="152"/>
        <v>0.4648039658</v>
      </c>
      <c r="BZ56" s="11">
        <f t="shared" si="152"/>
        <v>0.3285263632</v>
      </c>
      <c r="CA56" s="11">
        <f t="shared" si="32"/>
        <v>1</v>
      </c>
    </row>
    <row r="57" ht="15.75" customHeight="1">
      <c r="A57" s="9" t="str">
        <f t="shared" si="11"/>
        <v>Y2002</v>
      </c>
      <c r="B57" s="11">
        <f t="shared" si="12"/>
        <v>0.1770324914</v>
      </c>
      <c r="C57" s="11">
        <f t="shared" ref="C57:L57" si="153">IFERROR(C18/$B18,0)</f>
        <v>0.05523503263</v>
      </c>
      <c r="D57" s="11">
        <f t="shared" si="153"/>
        <v>0.2814716731</v>
      </c>
      <c r="E57" s="11">
        <f t="shared" si="153"/>
        <v>0.1365270027</v>
      </c>
      <c r="F57" s="11">
        <f t="shared" si="153"/>
        <v>0.07694126549</v>
      </c>
      <c r="G57" s="11">
        <f t="shared" si="153"/>
        <v>0.281802705</v>
      </c>
      <c r="H57" s="11">
        <f t="shared" si="153"/>
        <v>0.07774520004</v>
      </c>
      <c r="I57" s="11">
        <f t="shared" si="153"/>
        <v>0.01087676156</v>
      </c>
      <c r="J57" s="11">
        <f t="shared" si="153"/>
        <v>0.01328856521</v>
      </c>
      <c r="K57" s="11">
        <f t="shared" si="153"/>
        <v>0.04535136669</v>
      </c>
      <c r="L57" s="11">
        <f t="shared" si="153"/>
        <v>0.0207604275</v>
      </c>
      <c r="M57" s="11">
        <f t="shared" si="14"/>
        <v>0.02190092677</v>
      </c>
      <c r="N57" s="11">
        <f t="shared" ref="N57:O57" si="154">IFERROR(N18/$M18,0)</f>
        <v>0.9617737003</v>
      </c>
      <c r="O57" s="11">
        <f t="shared" si="154"/>
        <v>0.03822629969</v>
      </c>
      <c r="P57" s="11">
        <f t="shared" si="16"/>
        <v>0.1845337263</v>
      </c>
      <c r="Q57" s="11">
        <f t="shared" ref="Q57:Y57" si="155">IFERROR(Q18/$P18,0)</f>
        <v>0.02985210054</v>
      </c>
      <c r="R57" s="11">
        <f t="shared" si="155"/>
        <v>0.034343526</v>
      </c>
      <c r="S57" s="11">
        <f t="shared" si="155"/>
        <v>0.0008619907449</v>
      </c>
      <c r="T57" s="11">
        <f t="shared" si="155"/>
        <v>0.04409763179</v>
      </c>
      <c r="U57" s="11">
        <f t="shared" si="155"/>
        <v>0.002177660829</v>
      </c>
      <c r="V57" s="11">
        <f t="shared" si="155"/>
        <v>0.2221214046</v>
      </c>
      <c r="W57" s="11">
        <f t="shared" si="155"/>
        <v>0.02277470284</v>
      </c>
      <c r="X57" s="11">
        <f t="shared" si="155"/>
        <v>0.6301152346</v>
      </c>
      <c r="Y57" s="11">
        <f t="shared" si="155"/>
        <v>0.01365574812</v>
      </c>
      <c r="Z57" s="11">
        <f t="shared" si="18"/>
        <v>0.2067862734</v>
      </c>
      <c r="AA57" s="11">
        <f t="shared" ref="AA57:AC57" si="156">IFERROR(AA18/$Z18,0)</f>
        <v>0.5213360324</v>
      </c>
      <c r="AB57" s="11">
        <f t="shared" si="156"/>
        <v>0.3490688259</v>
      </c>
      <c r="AC57" s="11">
        <f t="shared" si="156"/>
        <v>0.1295951417</v>
      </c>
      <c r="AD57" s="11">
        <f t="shared" si="20"/>
        <v>0.002679012449</v>
      </c>
      <c r="AE57" s="11">
        <f t="shared" ref="AE57:AG57" si="157">IFERROR(AE18/$AD18,0)</f>
        <v>0.65</v>
      </c>
      <c r="AF57" s="11">
        <f t="shared" si="157"/>
        <v>0.171875</v>
      </c>
      <c r="AG57" s="11">
        <f t="shared" si="157"/>
        <v>0.178125</v>
      </c>
      <c r="AH57" s="11">
        <f t="shared" si="22"/>
        <v>0.04247071923</v>
      </c>
      <c r="AI57" s="11">
        <f t="shared" ref="AI57:AQ57" si="158">IFERROR(AI18/$AH18,0)</f>
        <v>0.02582298443</v>
      </c>
      <c r="AJ57" s="11">
        <f t="shared" si="158"/>
        <v>0.1080228662</v>
      </c>
      <c r="AK57" s="11">
        <f t="shared" si="158"/>
        <v>0.1338458506</v>
      </c>
      <c r="AL57" s="11">
        <f t="shared" si="158"/>
        <v>0.383205204</v>
      </c>
      <c r="AM57" s="11">
        <f t="shared" si="158"/>
        <v>0.09698403312</v>
      </c>
      <c r="AN57" s="11">
        <f t="shared" si="158"/>
        <v>0.02326039819</v>
      </c>
      <c r="AO57" s="11">
        <f t="shared" si="158"/>
        <v>0.04612655234</v>
      </c>
      <c r="AP57" s="11">
        <f t="shared" si="158"/>
        <v>0.04987187069</v>
      </c>
      <c r="AQ57" s="11">
        <f t="shared" si="158"/>
        <v>0.1328602405</v>
      </c>
      <c r="AR57" s="11">
        <f t="shared" si="24"/>
        <v>0.1126943331</v>
      </c>
      <c r="AS57" s="11">
        <f t="shared" ref="AS57:BA57" si="159">IFERROR(AS18/$AR18,0)</f>
        <v>0.04620756259</v>
      </c>
      <c r="AT57" s="11">
        <f t="shared" si="159"/>
        <v>0.0104747047</v>
      </c>
      <c r="AU57" s="11">
        <f t="shared" si="159"/>
        <v>0.01649208825</v>
      </c>
      <c r="AV57" s="11">
        <f t="shared" si="159"/>
        <v>0.05868806181</v>
      </c>
      <c r="AW57" s="11">
        <f t="shared" si="159"/>
        <v>0.03848153926</v>
      </c>
      <c r="AX57" s="11">
        <f t="shared" si="159"/>
        <v>0.06856845702</v>
      </c>
      <c r="AY57" s="11">
        <f t="shared" si="159"/>
        <v>0.05905950524</v>
      </c>
      <c r="AZ57" s="11">
        <f t="shared" si="159"/>
        <v>0.6416313795</v>
      </c>
      <c r="BA57" s="11">
        <f t="shared" si="159"/>
        <v>0.06039670158</v>
      </c>
      <c r="BB57" s="11">
        <f t="shared" si="26"/>
        <v>0.1188142021</v>
      </c>
      <c r="BC57" s="11">
        <f t="shared" ref="BC57:BK57" si="160">IFERROR(BC18/$BB18,0)</f>
        <v>0.04756200676</v>
      </c>
      <c r="BD57" s="11">
        <f t="shared" si="160"/>
        <v>0.09632187148</v>
      </c>
      <c r="BE57" s="11">
        <f t="shared" si="160"/>
        <v>0.01007609921</v>
      </c>
      <c r="BF57" s="11">
        <f t="shared" si="160"/>
        <v>0.08871195039</v>
      </c>
      <c r="BG57" s="11">
        <f t="shared" si="160"/>
        <v>0.1134441939</v>
      </c>
      <c r="BH57" s="11">
        <f t="shared" si="160"/>
        <v>0.05291713641</v>
      </c>
      <c r="BI57" s="11">
        <f t="shared" si="160"/>
        <v>0.1214768884</v>
      </c>
      <c r="BJ57" s="11">
        <f t="shared" si="160"/>
        <v>0.3003804961</v>
      </c>
      <c r="BK57" s="11">
        <f t="shared" si="160"/>
        <v>0.1691093574</v>
      </c>
      <c r="BL57" s="11">
        <f t="shared" si="28"/>
        <v>0.03705409094</v>
      </c>
      <c r="BM57" s="11">
        <f t="shared" ref="BM57:BT57" si="161">IFERROR(BM18/$BL18,0)</f>
        <v>0.02869408043</v>
      </c>
      <c r="BN57" s="11">
        <f t="shared" si="161"/>
        <v>0.03999096249</v>
      </c>
      <c r="BO57" s="11">
        <f t="shared" si="161"/>
        <v>0.003389064618</v>
      </c>
      <c r="BP57" s="11">
        <f t="shared" si="161"/>
        <v>0.07230004519</v>
      </c>
      <c r="BQ57" s="11">
        <f t="shared" si="161"/>
        <v>0.01287844555</v>
      </c>
      <c r="BR57" s="11">
        <f t="shared" si="161"/>
        <v>0.301626751</v>
      </c>
      <c r="BS57" s="11">
        <f t="shared" si="161"/>
        <v>0.1638047899</v>
      </c>
      <c r="BT57" s="11">
        <f t="shared" si="161"/>
        <v>0.3773158608</v>
      </c>
      <c r="BU57" s="11">
        <f t="shared" si="30"/>
        <v>0.09603422438</v>
      </c>
      <c r="BV57" s="11">
        <f t="shared" ref="BV57:BZ57" si="162">IFERROR(BV18/$BU18,0)</f>
        <v>0.2173306599</v>
      </c>
      <c r="BW57" s="11">
        <f t="shared" si="162"/>
        <v>0.005927992328</v>
      </c>
      <c r="BX57" s="11">
        <f t="shared" si="162"/>
        <v>0</v>
      </c>
      <c r="BY57" s="11">
        <f t="shared" si="162"/>
        <v>0.4626449307</v>
      </c>
      <c r="BZ57" s="11">
        <f t="shared" si="162"/>
        <v>0.3140964171</v>
      </c>
      <c r="CA57" s="11">
        <f t="shared" si="32"/>
        <v>1</v>
      </c>
    </row>
    <row r="58" ht="15.75" customHeight="1">
      <c r="A58" s="9" t="str">
        <f t="shared" si="11"/>
        <v>Y2003</v>
      </c>
      <c r="B58" s="11">
        <f t="shared" si="12"/>
        <v>0.1517969618</v>
      </c>
      <c r="C58" s="11">
        <f t="shared" ref="C58:L58" si="163">IFERROR(C19/$B19,0)</f>
        <v>0.05912863071</v>
      </c>
      <c r="D58" s="11">
        <f t="shared" si="163"/>
        <v>0.3239565536</v>
      </c>
      <c r="E58" s="11">
        <f t="shared" si="163"/>
        <v>0.1263729558</v>
      </c>
      <c r="F58" s="11">
        <f t="shared" si="163"/>
        <v>0.08243836954</v>
      </c>
      <c r="G58" s="11">
        <f t="shared" si="163"/>
        <v>0.2227849646</v>
      </c>
      <c r="H58" s="11">
        <f t="shared" si="163"/>
        <v>0.07511593849</v>
      </c>
      <c r="I58" s="11">
        <f t="shared" si="163"/>
        <v>0.01086160605</v>
      </c>
      <c r="J58" s="11">
        <f t="shared" si="163"/>
        <v>0.0171466927</v>
      </c>
      <c r="K58" s="11">
        <f t="shared" si="163"/>
        <v>0.05296558457</v>
      </c>
      <c r="L58" s="11">
        <f t="shared" si="163"/>
        <v>0.02922870393</v>
      </c>
      <c r="M58" s="11">
        <f t="shared" si="14"/>
        <v>0.02432382364</v>
      </c>
      <c r="N58" s="11">
        <f t="shared" ref="N58:O58" si="164">IFERROR(N19/$M19,0)</f>
        <v>0.9626808835</v>
      </c>
      <c r="O58" s="11">
        <f t="shared" si="164"/>
        <v>0.03731911653</v>
      </c>
      <c r="P58" s="11">
        <f t="shared" si="16"/>
        <v>0.1870878103</v>
      </c>
      <c r="Q58" s="11">
        <f t="shared" ref="Q58:Y58" si="165">IFERROR(Q19/$P19,0)</f>
        <v>0.03153777602</v>
      </c>
      <c r="R58" s="11">
        <f t="shared" si="165"/>
        <v>0.01846717497</v>
      </c>
      <c r="S58" s="11">
        <f t="shared" si="165"/>
        <v>0.0007921576394</v>
      </c>
      <c r="T58" s="11">
        <f t="shared" si="165"/>
        <v>0.04747994851</v>
      </c>
      <c r="U58" s="11">
        <f t="shared" si="165"/>
        <v>0.002772551738</v>
      </c>
      <c r="V58" s="11">
        <f t="shared" si="165"/>
        <v>0.1731359541</v>
      </c>
      <c r="W58" s="11">
        <f t="shared" si="165"/>
        <v>0.02227943361</v>
      </c>
      <c r="X58" s="11">
        <f t="shared" si="165"/>
        <v>0.6915536192</v>
      </c>
      <c r="Y58" s="11">
        <f t="shared" si="165"/>
        <v>0.0119813843</v>
      </c>
      <c r="Z58" s="11">
        <f t="shared" si="18"/>
        <v>0.1977121156</v>
      </c>
      <c r="AA58" s="11">
        <f t="shared" ref="AA58:AC58" si="166">IFERROR(AA19/$Z19,0)</f>
        <v>0.5106582338</v>
      </c>
      <c r="AB58" s="11">
        <f t="shared" si="166"/>
        <v>0.3393769033</v>
      </c>
      <c r="AC58" s="11">
        <f t="shared" si="166"/>
        <v>0.149964863</v>
      </c>
      <c r="AD58" s="11">
        <f t="shared" si="20"/>
        <v>0.003038162282</v>
      </c>
      <c r="AE58" s="11">
        <f t="shared" ref="AE58:AG58" si="167">IFERROR(AE19/$AD19,0)</f>
        <v>0.7286585366</v>
      </c>
      <c r="AF58" s="11">
        <f t="shared" si="167"/>
        <v>0.1158536585</v>
      </c>
      <c r="AG58" s="11">
        <f t="shared" si="167"/>
        <v>0.1554878049</v>
      </c>
      <c r="AH58" s="11">
        <f t="shared" si="22"/>
        <v>0.04810114857</v>
      </c>
      <c r="AI58" s="11">
        <f t="shared" ref="AI58:AQ58" si="168">IFERROR(AI19/$AH19,0)</f>
        <v>0.02792220297</v>
      </c>
      <c r="AJ58" s="11">
        <f t="shared" si="168"/>
        <v>0.1005199307</v>
      </c>
      <c r="AK58" s="11">
        <f t="shared" si="168"/>
        <v>0.1190063547</v>
      </c>
      <c r="AL58" s="11">
        <f t="shared" si="168"/>
        <v>0.4305796264</v>
      </c>
      <c r="AM58" s="11">
        <f t="shared" si="168"/>
        <v>0.08318890815</v>
      </c>
      <c r="AN58" s="11">
        <f t="shared" si="168"/>
        <v>0.02907760447</v>
      </c>
      <c r="AO58" s="11">
        <f t="shared" si="168"/>
        <v>0.03909108415</v>
      </c>
      <c r="AP58" s="11">
        <f t="shared" si="168"/>
        <v>0.04679376083</v>
      </c>
      <c r="AQ58" s="11">
        <f t="shared" si="168"/>
        <v>0.1238205276</v>
      </c>
      <c r="AR58" s="11">
        <f t="shared" si="24"/>
        <v>0.1053538348</v>
      </c>
      <c r="AS58" s="11">
        <f t="shared" ref="AS58:BA58" si="169">IFERROR(AS19/$AR19,0)</f>
        <v>0.04571830491</v>
      </c>
      <c r="AT58" s="11">
        <f t="shared" si="169"/>
        <v>0.01186917531</v>
      </c>
      <c r="AU58" s="11">
        <f t="shared" si="169"/>
        <v>0.01714436434</v>
      </c>
      <c r="AV58" s="11">
        <f t="shared" si="169"/>
        <v>0.06550026376</v>
      </c>
      <c r="AW58" s="11">
        <f t="shared" si="169"/>
        <v>0.04176191314</v>
      </c>
      <c r="AX58" s="11">
        <f t="shared" si="169"/>
        <v>0.0764902409</v>
      </c>
      <c r="AY58" s="11">
        <f t="shared" si="169"/>
        <v>0.07851239669</v>
      </c>
      <c r="AZ58" s="11">
        <f t="shared" si="169"/>
        <v>0.5952171619</v>
      </c>
      <c r="BA58" s="11">
        <f t="shared" si="169"/>
        <v>0.067786179</v>
      </c>
      <c r="BB58" s="11">
        <f t="shared" si="26"/>
        <v>0.1153297518</v>
      </c>
      <c r="BC58" s="11">
        <f t="shared" ref="BC58:BK58" si="170">IFERROR(BC19/$BB19,0)</f>
        <v>0.05991486628</v>
      </c>
      <c r="BD58" s="11">
        <f t="shared" si="170"/>
        <v>0.09461087463</v>
      </c>
      <c r="BE58" s="11">
        <f t="shared" si="170"/>
        <v>0.01132439162</v>
      </c>
      <c r="BF58" s="11">
        <f t="shared" si="170"/>
        <v>0.1001525982</v>
      </c>
      <c r="BG58" s="11">
        <f t="shared" si="170"/>
        <v>0.1074612481</v>
      </c>
      <c r="BH58" s="11">
        <f t="shared" si="170"/>
        <v>0.0625652558</v>
      </c>
      <c r="BI58" s="11">
        <f t="shared" si="170"/>
        <v>0.1233635853</v>
      </c>
      <c r="BJ58" s="11">
        <f t="shared" si="170"/>
        <v>0.3293711348</v>
      </c>
      <c r="BK58" s="11">
        <f t="shared" si="170"/>
        <v>0.1112360453</v>
      </c>
      <c r="BL58" s="11">
        <f t="shared" si="28"/>
        <v>0.0397462023</v>
      </c>
      <c r="BM58" s="11">
        <f t="shared" ref="BM58:BT58" si="171">IFERROR(BM19/$BL19,0)</f>
        <v>0.02260545327</v>
      </c>
      <c r="BN58" s="11">
        <f t="shared" si="171"/>
        <v>0.03682125379</v>
      </c>
      <c r="BO58" s="11">
        <f t="shared" si="171"/>
        <v>0.004893964111</v>
      </c>
      <c r="BP58" s="11">
        <f t="shared" si="171"/>
        <v>0.07713819622</v>
      </c>
      <c r="BQ58" s="11">
        <f t="shared" si="171"/>
        <v>0.0116522955</v>
      </c>
      <c r="BR58" s="11">
        <f t="shared" si="171"/>
        <v>0.2808203216</v>
      </c>
      <c r="BS58" s="11">
        <f t="shared" si="171"/>
        <v>0.1358657656</v>
      </c>
      <c r="BT58" s="11">
        <f t="shared" si="171"/>
        <v>0.4302027499</v>
      </c>
      <c r="BU58" s="11">
        <f t="shared" si="30"/>
        <v>0.127510189</v>
      </c>
      <c r="BV58" s="11">
        <f t="shared" ref="BV58:BZ58" si="172">IFERROR(BV19/$BU19,0)</f>
        <v>0.1963533343</v>
      </c>
      <c r="BW58" s="11">
        <f t="shared" si="172"/>
        <v>0.005811419439</v>
      </c>
      <c r="BX58" s="11">
        <f t="shared" si="172"/>
        <v>0</v>
      </c>
      <c r="BY58" s="11">
        <f t="shared" si="172"/>
        <v>0.4259044022</v>
      </c>
      <c r="BZ58" s="11">
        <f t="shared" si="172"/>
        <v>0.3719308441</v>
      </c>
      <c r="CA58" s="11">
        <f t="shared" si="32"/>
        <v>1</v>
      </c>
    </row>
    <row r="59" ht="15.75" customHeight="1">
      <c r="A59" s="9" t="str">
        <f t="shared" si="11"/>
        <v>Y2004</v>
      </c>
      <c r="B59" s="11">
        <f t="shared" si="12"/>
        <v>0.1735220692</v>
      </c>
      <c r="C59" s="11">
        <f t="shared" ref="C59:L59" si="173">IFERROR(C20/$B20,0)</f>
        <v>0.04056765354</v>
      </c>
      <c r="D59" s="11">
        <f t="shared" si="173"/>
        <v>0.3206263763</v>
      </c>
      <c r="E59" s="11">
        <f t="shared" si="173"/>
        <v>0.1163200391</v>
      </c>
      <c r="F59" s="11">
        <f t="shared" si="173"/>
        <v>0.06023978468</v>
      </c>
      <c r="G59" s="11">
        <f t="shared" si="173"/>
        <v>0.3030095425</v>
      </c>
      <c r="H59" s="11">
        <f t="shared" si="173"/>
        <v>0.06288230976</v>
      </c>
      <c r="I59" s="11">
        <f t="shared" si="173"/>
        <v>0.009787129924</v>
      </c>
      <c r="J59" s="11">
        <f t="shared" si="173"/>
        <v>0.01399559579</v>
      </c>
      <c r="K59" s="11">
        <f t="shared" si="173"/>
        <v>0.04976755566</v>
      </c>
      <c r="L59" s="11">
        <f t="shared" si="173"/>
        <v>0.02280401272</v>
      </c>
      <c r="M59" s="11">
        <f t="shared" si="14"/>
        <v>0.02498174346</v>
      </c>
      <c r="N59" s="11">
        <f t="shared" ref="N59:O59" si="174">IFERROR(N20/$M20,0)</f>
        <v>0.9643099932</v>
      </c>
      <c r="O59" s="11">
        <f t="shared" si="174"/>
        <v>0.0356900068</v>
      </c>
      <c r="P59" s="11">
        <f t="shared" si="16"/>
        <v>0.1957950512</v>
      </c>
      <c r="Q59" s="11">
        <f t="shared" ref="Q59:Y59" si="175">IFERROR(Q20/$P20,0)</f>
        <v>0.02975106254</v>
      </c>
      <c r="R59" s="11">
        <f t="shared" si="175"/>
        <v>0.02753924885</v>
      </c>
      <c r="S59" s="11">
        <f t="shared" si="175"/>
        <v>0.0006505334374</v>
      </c>
      <c r="T59" s="11">
        <f t="shared" si="175"/>
        <v>0.04523375835</v>
      </c>
      <c r="U59" s="11">
        <f t="shared" si="175"/>
        <v>0.002992453812</v>
      </c>
      <c r="V59" s="11">
        <f t="shared" si="175"/>
        <v>0.1552606471</v>
      </c>
      <c r="W59" s="11">
        <f t="shared" si="175"/>
        <v>0.01821493625</v>
      </c>
      <c r="X59" s="11">
        <f t="shared" si="175"/>
        <v>0.7083441756</v>
      </c>
      <c r="Y59" s="11">
        <f t="shared" si="175"/>
        <v>0.01201318414</v>
      </c>
      <c r="Z59" s="11">
        <f t="shared" si="18"/>
        <v>0.2024013722</v>
      </c>
      <c r="AA59" s="11">
        <f t="shared" ref="AA59:AC59" si="176">IFERROR(AA20/$Z20,0)</f>
        <v>0.5653213626</v>
      </c>
      <c r="AB59" s="11">
        <f t="shared" si="176"/>
        <v>0.2973653298</v>
      </c>
      <c r="AC59" s="11">
        <f t="shared" si="176"/>
        <v>0.1373133076</v>
      </c>
      <c r="AD59" s="11">
        <f t="shared" si="20"/>
        <v>0.003107857956</v>
      </c>
      <c r="AE59" s="11">
        <f t="shared" ref="AE59:AG59" si="177">IFERROR(AE20/$AD20,0)</f>
        <v>0.6557377049</v>
      </c>
      <c r="AF59" s="11">
        <f t="shared" si="177"/>
        <v>0.1666666667</v>
      </c>
      <c r="AG59" s="11">
        <f t="shared" si="177"/>
        <v>0.1775956284</v>
      </c>
      <c r="AH59" s="11">
        <f t="shared" si="22"/>
        <v>0.04692356028</v>
      </c>
      <c r="AI59" s="11">
        <f t="shared" ref="AI59:AQ59" si="178">IFERROR(AI20/$AH20,0)</f>
        <v>0.02370611654</v>
      </c>
      <c r="AJ59" s="11">
        <f t="shared" si="178"/>
        <v>0.0926529135</v>
      </c>
      <c r="AK59" s="11">
        <f t="shared" si="178"/>
        <v>0.1134636265</v>
      </c>
      <c r="AL59" s="11">
        <f t="shared" si="178"/>
        <v>0.4703221136</v>
      </c>
      <c r="AM59" s="11">
        <f t="shared" si="178"/>
        <v>0.07546145494</v>
      </c>
      <c r="AN59" s="11">
        <f t="shared" si="178"/>
        <v>0.02461093015</v>
      </c>
      <c r="AO59" s="11">
        <f t="shared" si="178"/>
        <v>0.03890698516</v>
      </c>
      <c r="AP59" s="11">
        <f t="shared" si="178"/>
        <v>0.05103148751</v>
      </c>
      <c r="AQ59" s="11">
        <f t="shared" si="178"/>
        <v>0.1098443721</v>
      </c>
      <c r="AR59" s="11">
        <f t="shared" si="24"/>
        <v>0.1019903877</v>
      </c>
      <c r="AS59" s="11">
        <f t="shared" ref="AS59:BA59" si="179">IFERROR(AS20/$AR20,0)</f>
        <v>0.03763217051</v>
      </c>
      <c r="AT59" s="11">
        <f t="shared" si="179"/>
        <v>0.01207226709</v>
      </c>
      <c r="AU59" s="11">
        <f t="shared" si="179"/>
        <v>0.01931562734</v>
      </c>
      <c r="AV59" s="11">
        <f t="shared" si="179"/>
        <v>0.063608359</v>
      </c>
      <c r="AW59" s="11">
        <f t="shared" si="179"/>
        <v>0.03704937141</v>
      </c>
      <c r="AX59" s="11">
        <f t="shared" si="179"/>
        <v>0.06902006494</v>
      </c>
      <c r="AY59" s="11">
        <f t="shared" si="179"/>
        <v>0.07218383149</v>
      </c>
      <c r="AZ59" s="11">
        <f t="shared" si="179"/>
        <v>0.6249271501</v>
      </c>
      <c r="BA59" s="11">
        <f t="shared" si="179"/>
        <v>0.06419115811</v>
      </c>
      <c r="BB59" s="11">
        <f t="shared" si="26"/>
        <v>0.1016422397</v>
      </c>
      <c r="BC59" s="11">
        <f t="shared" ref="BC59:BK59" si="180">IFERROR(BC20/$BB20,0)</f>
        <v>0.07811194653</v>
      </c>
      <c r="BD59" s="11">
        <f t="shared" si="180"/>
        <v>0.09916457811</v>
      </c>
      <c r="BE59" s="11">
        <f t="shared" si="180"/>
        <v>0.01144527987</v>
      </c>
      <c r="BF59" s="11">
        <f t="shared" si="180"/>
        <v>0.1144527987</v>
      </c>
      <c r="BG59" s="11">
        <f t="shared" si="180"/>
        <v>0.09423558897</v>
      </c>
      <c r="BH59" s="11">
        <f t="shared" si="180"/>
        <v>0.07176274018</v>
      </c>
      <c r="BI59" s="11">
        <f t="shared" si="180"/>
        <v>0.1284043442</v>
      </c>
      <c r="BJ59" s="11">
        <f t="shared" si="180"/>
        <v>0.3297410192</v>
      </c>
      <c r="BK59" s="11">
        <f t="shared" si="180"/>
        <v>0.07268170426</v>
      </c>
      <c r="BL59" s="11">
        <f t="shared" si="28"/>
        <v>0.03741317528</v>
      </c>
      <c r="BM59" s="11">
        <f t="shared" ref="BM59:BT59" si="181">IFERROR(BM20/$BL20,0)</f>
        <v>0.02246935996</v>
      </c>
      <c r="BN59" s="11">
        <f t="shared" si="181"/>
        <v>0.02995914662</v>
      </c>
      <c r="BO59" s="11">
        <f t="shared" si="181"/>
        <v>0.004766227871</v>
      </c>
      <c r="BP59" s="11">
        <f t="shared" si="181"/>
        <v>0.06581933727</v>
      </c>
      <c r="BQ59" s="11">
        <f t="shared" si="181"/>
        <v>0.009986382206</v>
      </c>
      <c r="BR59" s="11">
        <f t="shared" si="181"/>
        <v>0.2966409442</v>
      </c>
      <c r="BS59" s="11">
        <f t="shared" si="181"/>
        <v>0.1286881525</v>
      </c>
      <c r="BT59" s="11">
        <f t="shared" si="181"/>
        <v>0.4416704494</v>
      </c>
      <c r="BU59" s="11">
        <f t="shared" si="30"/>
        <v>0.112222543</v>
      </c>
      <c r="BV59" s="11">
        <f t="shared" ref="BV59:BZ59" si="182">IFERROR(BV20/$BU20,0)</f>
        <v>0.1464891041</v>
      </c>
      <c r="BW59" s="11">
        <f t="shared" si="182"/>
        <v>0.008247578692</v>
      </c>
      <c r="BX59" s="11">
        <f t="shared" si="182"/>
        <v>0</v>
      </c>
      <c r="BY59" s="11">
        <f t="shared" si="182"/>
        <v>0.4268311138</v>
      </c>
      <c r="BZ59" s="11">
        <f t="shared" si="182"/>
        <v>0.4184322034</v>
      </c>
      <c r="CA59" s="11">
        <f t="shared" si="32"/>
        <v>1</v>
      </c>
    </row>
    <row r="60" ht="15.75" customHeight="1">
      <c r="A60" s="9" t="str">
        <f t="shared" si="11"/>
        <v>Y2005</v>
      </c>
      <c r="B60" s="11">
        <f t="shared" si="12"/>
        <v>0.1347291827</v>
      </c>
      <c r="C60" s="11">
        <f t="shared" ref="C60:L60" si="183">IFERROR(C21/$B21,0)</f>
        <v>0.04360123813</v>
      </c>
      <c r="D60" s="11">
        <f t="shared" si="183"/>
        <v>0.3661009713</v>
      </c>
      <c r="E60" s="11">
        <f t="shared" si="183"/>
        <v>0.1301633045</v>
      </c>
      <c r="F60" s="11">
        <f t="shared" si="183"/>
        <v>0.06521507098</v>
      </c>
      <c r="G60" s="11">
        <f t="shared" si="183"/>
        <v>0.2351371544</v>
      </c>
      <c r="H60" s="11">
        <f t="shared" si="183"/>
        <v>0.06879069271</v>
      </c>
      <c r="I60" s="11">
        <f t="shared" si="183"/>
        <v>0.01131390757</v>
      </c>
      <c r="J60" s="11">
        <f t="shared" si="183"/>
        <v>0.01307503469</v>
      </c>
      <c r="K60" s="11">
        <f t="shared" si="183"/>
        <v>0.04301419575</v>
      </c>
      <c r="L60" s="11">
        <f t="shared" si="183"/>
        <v>0.02358842993</v>
      </c>
      <c r="M60" s="11">
        <f t="shared" si="14"/>
        <v>0.02129005817</v>
      </c>
      <c r="N60" s="11">
        <f t="shared" ref="N60:O60" si="184">IFERROR(N21/$M21,0)</f>
        <v>0.9739952719</v>
      </c>
      <c r="O60" s="11">
        <f t="shared" si="184"/>
        <v>0.02600472813</v>
      </c>
      <c r="P60" s="11">
        <f t="shared" si="16"/>
        <v>0.2166250836</v>
      </c>
      <c r="Q60" s="11">
        <f t="shared" ref="Q60:Y60" si="185">IFERROR(Q21/$P21,0)</f>
        <v>0.02067843866</v>
      </c>
      <c r="R60" s="11">
        <f t="shared" si="185"/>
        <v>0.01321030271</v>
      </c>
      <c r="S60" s="11">
        <f t="shared" si="185"/>
        <v>0.0002987254381</v>
      </c>
      <c r="T60" s="11">
        <f t="shared" si="185"/>
        <v>0.03375597451</v>
      </c>
      <c r="U60" s="11">
        <f t="shared" si="185"/>
        <v>0.004348114711</v>
      </c>
      <c r="V60" s="11">
        <f t="shared" si="185"/>
        <v>0.111590547</v>
      </c>
      <c r="W60" s="11">
        <f t="shared" si="185"/>
        <v>0.01669543282</v>
      </c>
      <c r="X60" s="11">
        <f t="shared" si="185"/>
        <v>0.7901619756</v>
      </c>
      <c r="Y60" s="11">
        <f t="shared" si="185"/>
        <v>0.009260488582</v>
      </c>
      <c r="Z60" s="11">
        <f t="shared" si="18"/>
        <v>0.2557611142</v>
      </c>
      <c r="AA60" s="11">
        <f t="shared" ref="AA60:AC60" si="186">IFERROR(AA21/$Z21,0)</f>
        <v>0.6155295044</v>
      </c>
      <c r="AB60" s="11">
        <f t="shared" si="186"/>
        <v>0.2545331871</v>
      </c>
      <c r="AC60" s="11">
        <f t="shared" si="186"/>
        <v>0.1299373085</v>
      </c>
      <c r="AD60" s="11">
        <f t="shared" si="20"/>
        <v>0.002128286801</v>
      </c>
      <c r="AE60" s="11">
        <f t="shared" ref="AE60:AG60" si="187">IFERROR(AE21/$AD21,0)</f>
        <v>0.6891891892</v>
      </c>
      <c r="AF60" s="11">
        <f t="shared" si="187"/>
        <v>0.1891891892</v>
      </c>
      <c r="AG60" s="11">
        <f t="shared" si="187"/>
        <v>0.1216216216</v>
      </c>
      <c r="AH60" s="11">
        <f t="shared" si="22"/>
        <v>0.0464484214</v>
      </c>
      <c r="AI60" s="11">
        <f t="shared" ref="AI60:AQ60" si="188">IFERROR(AI21/$AH21,0)</f>
        <v>0.02074303406</v>
      </c>
      <c r="AJ60" s="11">
        <f t="shared" si="188"/>
        <v>0.08374613003</v>
      </c>
      <c r="AK60" s="11">
        <f t="shared" si="188"/>
        <v>0.09674922601</v>
      </c>
      <c r="AL60" s="11">
        <f t="shared" si="188"/>
        <v>0.4998452012</v>
      </c>
      <c r="AM60" s="11">
        <f t="shared" si="188"/>
        <v>0.07151702786</v>
      </c>
      <c r="AN60" s="11">
        <f t="shared" si="188"/>
        <v>0.02910216718</v>
      </c>
      <c r="AO60" s="11">
        <f t="shared" si="188"/>
        <v>0.0479876161</v>
      </c>
      <c r="AP60" s="11">
        <f t="shared" si="188"/>
        <v>0.04907120743</v>
      </c>
      <c r="AQ60" s="11">
        <f t="shared" si="188"/>
        <v>0.1012383901</v>
      </c>
      <c r="AR60" s="11">
        <f t="shared" si="24"/>
        <v>0.09300469517</v>
      </c>
      <c r="AS60" s="11">
        <f t="shared" ref="AS60:BA60" si="189">IFERROR(AS21/$AR21,0)</f>
        <v>0.03076923077</v>
      </c>
      <c r="AT60" s="11">
        <f t="shared" si="189"/>
        <v>0.01298801701</v>
      </c>
      <c r="AU60" s="11">
        <f t="shared" si="189"/>
        <v>0.01824507151</v>
      </c>
      <c r="AV60" s="11">
        <f t="shared" si="189"/>
        <v>0.05419404716</v>
      </c>
      <c r="AW60" s="11">
        <f t="shared" si="189"/>
        <v>0.03324313877</v>
      </c>
      <c r="AX60" s="11">
        <f t="shared" si="189"/>
        <v>0.06633165829</v>
      </c>
      <c r="AY60" s="11">
        <f t="shared" si="189"/>
        <v>0.05767298029</v>
      </c>
      <c r="AZ60" s="11">
        <f t="shared" si="189"/>
        <v>0.6602241979</v>
      </c>
      <c r="BA60" s="11">
        <f t="shared" si="189"/>
        <v>0.06633165829</v>
      </c>
      <c r="BB60" s="11">
        <f t="shared" si="26"/>
        <v>0.09448586774</v>
      </c>
      <c r="BC60" s="11">
        <f t="shared" ref="BC60:BK60" si="190">IFERROR(BC21/$BB21,0)</f>
        <v>0.08515333688</v>
      </c>
      <c r="BD60" s="11">
        <f t="shared" si="190"/>
        <v>0.1083631383</v>
      </c>
      <c r="BE60" s="11">
        <f t="shared" si="190"/>
        <v>0.01392588083</v>
      </c>
      <c r="BF60" s="11">
        <f t="shared" si="190"/>
        <v>0.1136899779</v>
      </c>
      <c r="BG60" s="11">
        <f t="shared" si="190"/>
        <v>0.09245871699</v>
      </c>
      <c r="BH60" s="11">
        <f t="shared" si="190"/>
        <v>0.06042158131</v>
      </c>
      <c r="BI60" s="11">
        <f t="shared" si="190"/>
        <v>0.1158968115</v>
      </c>
      <c r="BJ60" s="11">
        <f t="shared" si="190"/>
        <v>0.3262308805</v>
      </c>
      <c r="BK60" s="11">
        <f t="shared" si="190"/>
        <v>0.08385967582</v>
      </c>
      <c r="BL60" s="11">
        <f t="shared" si="28"/>
        <v>0.03196025281</v>
      </c>
      <c r="BM60" s="11">
        <f t="shared" ref="BM60:BT60" si="191">IFERROR(BM21/$BL21,0)</f>
        <v>0.02609673791</v>
      </c>
      <c r="BN60" s="11">
        <f t="shared" si="191"/>
        <v>0.02947131609</v>
      </c>
      <c r="BO60" s="11">
        <f t="shared" si="191"/>
        <v>0.005399325084</v>
      </c>
      <c r="BP60" s="11">
        <f t="shared" si="191"/>
        <v>0.06096737908</v>
      </c>
      <c r="BQ60" s="11">
        <f t="shared" si="191"/>
        <v>0.009898762655</v>
      </c>
      <c r="BR60" s="11">
        <f t="shared" si="191"/>
        <v>0.3374578178</v>
      </c>
      <c r="BS60" s="11">
        <f t="shared" si="191"/>
        <v>0.07604049494</v>
      </c>
      <c r="BT60" s="11">
        <f t="shared" si="191"/>
        <v>0.4546681665</v>
      </c>
      <c r="BU60" s="11">
        <f t="shared" si="30"/>
        <v>0.1035670374</v>
      </c>
      <c r="BV60" s="11">
        <f t="shared" ref="BV60:BZ60" si="192">IFERROR(BV21/$BU21,0)</f>
        <v>0.1400305471</v>
      </c>
      <c r="BW60" s="11">
        <f t="shared" si="192"/>
        <v>0.007845043044</v>
      </c>
      <c r="BX60" s="11">
        <f t="shared" si="192"/>
        <v>0</v>
      </c>
      <c r="BY60" s="11">
        <f t="shared" si="192"/>
        <v>0.4042627048</v>
      </c>
      <c r="BZ60" s="11">
        <f t="shared" si="192"/>
        <v>0.4478617051</v>
      </c>
      <c r="CA60" s="11">
        <f t="shared" si="32"/>
        <v>1</v>
      </c>
    </row>
    <row r="61" ht="15.75" customHeight="1">
      <c r="A61" s="9" t="str">
        <f t="shared" si="11"/>
        <v>Y2006</v>
      </c>
      <c r="B61" s="11">
        <f t="shared" si="12"/>
        <v>0.1225448283</v>
      </c>
      <c r="C61" s="11">
        <f t="shared" ref="C61:L61" si="193">IFERROR(C22/$B22,0)</f>
        <v>0.04390730127</v>
      </c>
      <c r="D61" s="11">
        <f t="shared" si="193"/>
        <v>0.3530525791</v>
      </c>
      <c r="E61" s="11">
        <f t="shared" si="193"/>
        <v>0.120807376</v>
      </c>
      <c r="F61" s="11">
        <f t="shared" si="193"/>
        <v>0.06090206828</v>
      </c>
      <c r="G61" s="11">
        <f t="shared" si="193"/>
        <v>0.2588088712</v>
      </c>
      <c r="H61" s="11">
        <f t="shared" si="193"/>
        <v>0.07241465238</v>
      </c>
      <c r="I61" s="11">
        <f t="shared" si="193"/>
        <v>0.01385497134</v>
      </c>
      <c r="J61" s="11">
        <f t="shared" si="193"/>
        <v>0.01081485173</v>
      </c>
      <c r="K61" s="11">
        <f t="shared" si="193"/>
        <v>0.04355843509</v>
      </c>
      <c r="L61" s="11">
        <f t="shared" si="193"/>
        <v>0.0218788936</v>
      </c>
      <c r="M61" s="11">
        <f t="shared" si="14"/>
        <v>0.0183710363</v>
      </c>
      <c r="N61" s="11">
        <f t="shared" ref="N61:O61" si="194">IFERROR(N22/$M22,0)</f>
        <v>0.9614361702</v>
      </c>
      <c r="O61" s="11">
        <f t="shared" si="194"/>
        <v>0.03856382979</v>
      </c>
      <c r="P61" s="11">
        <f t="shared" si="16"/>
        <v>0.2393303855</v>
      </c>
      <c r="Q61" s="11">
        <f t="shared" ref="Q61:Y61" si="195">IFERROR(Q22/$P22,0)</f>
        <v>0.01686783882</v>
      </c>
      <c r="R61" s="11">
        <f t="shared" si="195"/>
        <v>0.009339832087</v>
      </c>
      <c r="S61" s="11">
        <f t="shared" si="195"/>
        <v>0</v>
      </c>
      <c r="T61" s="11">
        <f t="shared" si="195"/>
        <v>0.02916783627</v>
      </c>
      <c r="U61" s="11">
        <f t="shared" si="195"/>
        <v>0.004031949371</v>
      </c>
      <c r="V61" s="11">
        <f t="shared" si="195"/>
        <v>0.08714624748</v>
      </c>
      <c r="W61" s="11">
        <f t="shared" si="195"/>
        <v>0.01383111746</v>
      </c>
      <c r="X61" s="11">
        <f t="shared" si="195"/>
        <v>0.8335417358</v>
      </c>
      <c r="Y61" s="11">
        <f t="shared" si="195"/>
        <v>0.006073442723</v>
      </c>
      <c r="Z61" s="11">
        <f t="shared" si="18"/>
        <v>0.2402342796</v>
      </c>
      <c r="AA61" s="11">
        <f t="shared" ref="AA61:AC61" si="196">IFERROR(AA22/$Z22,0)</f>
        <v>0.593796873</v>
      </c>
      <c r="AB61" s="11">
        <f t="shared" si="196"/>
        <v>0.2494470573</v>
      </c>
      <c r="AC61" s="11">
        <f t="shared" si="196"/>
        <v>0.1567560697</v>
      </c>
      <c r="AD61" s="11">
        <f t="shared" si="20"/>
        <v>0.001734499438</v>
      </c>
      <c r="AE61" s="11">
        <f t="shared" ref="AE61:AG61" si="197">IFERROR(AE22/$AD22,0)</f>
        <v>0.7253521127</v>
      </c>
      <c r="AF61" s="11">
        <f t="shared" si="197"/>
        <v>0.2288732394</v>
      </c>
      <c r="AG61" s="11">
        <f t="shared" si="197"/>
        <v>0.04577464789</v>
      </c>
      <c r="AH61" s="11">
        <f t="shared" si="22"/>
        <v>0.04216543704</v>
      </c>
      <c r="AI61" s="11">
        <f t="shared" ref="AI61:AQ61" si="198">IFERROR(AI22/$AH22,0)</f>
        <v>0.02274044032</v>
      </c>
      <c r="AJ61" s="11">
        <f t="shared" si="198"/>
        <v>0.09385863268</v>
      </c>
      <c r="AK61" s="11">
        <f t="shared" si="198"/>
        <v>0.09284472769</v>
      </c>
      <c r="AL61" s="11">
        <f t="shared" si="198"/>
        <v>0.4997103129</v>
      </c>
      <c r="AM61" s="11">
        <f t="shared" si="198"/>
        <v>0.07024913094</v>
      </c>
      <c r="AN61" s="11">
        <f t="shared" si="198"/>
        <v>0.0214368482</v>
      </c>
      <c r="AO61" s="11">
        <f t="shared" si="198"/>
        <v>0.03896292005</v>
      </c>
      <c r="AP61" s="11">
        <f t="shared" si="198"/>
        <v>0.05112977984</v>
      </c>
      <c r="AQ61" s="11">
        <f t="shared" si="198"/>
        <v>0.1090672074</v>
      </c>
      <c r="AR61" s="11">
        <f t="shared" si="24"/>
        <v>0.1055784922</v>
      </c>
      <c r="AS61" s="11">
        <f t="shared" ref="AS61:BA61" si="199">IFERROR(AS22/$AR22,0)</f>
        <v>0.0242378666</v>
      </c>
      <c r="AT61" s="11">
        <f t="shared" si="199"/>
        <v>0.01052814253</v>
      </c>
      <c r="AU61" s="11">
        <f t="shared" si="199"/>
        <v>0.01168508127</v>
      </c>
      <c r="AV61" s="11">
        <f t="shared" si="199"/>
        <v>0.04170764158</v>
      </c>
      <c r="AW61" s="11">
        <f t="shared" si="199"/>
        <v>0.02394863192</v>
      </c>
      <c r="AX61" s="11">
        <f t="shared" si="199"/>
        <v>0.05183085556</v>
      </c>
      <c r="AY61" s="11">
        <f t="shared" si="199"/>
        <v>0.0614334471</v>
      </c>
      <c r="AZ61" s="11">
        <f t="shared" si="199"/>
        <v>0.718054029</v>
      </c>
      <c r="BA61" s="11">
        <f t="shared" si="199"/>
        <v>0.05657430439</v>
      </c>
      <c r="BB61" s="11">
        <f t="shared" si="26"/>
        <v>0.07940220843</v>
      </c>
      <c r="BC61" s="11">
        <f t="shared" ref="BC61:BK61" si="200">IFERROR(BC22/$BB22,0)</f>
        <v>0.099376971</v>
      </c>
      <c r="BD61" s="11">
        <f t="shared" si="200"/>
        <v>0.1106837936</v>
      </c>
      <c r="BE61" s="11">
        <f t="shared" si="200"/>
        <v>0.01361433736</v>
      </c>
      <c r="BF61" s="11">
        <f t="shared" si="200"/>
        <v>0.1237597108</v>
      </c>
      <c r="BG61" s="11">
        <f t="shared" si="200"/>
        <v>0.0970694562</v>
      </c>
      <c r="BH61" s="11">
        <f t="shared" si="200"/>
        <v>0.05876471041</v>
      </c>
      <c r="BI61" s="11">
        <f t="shared" si="200"/>
        <v>0.1259903084</v>
      </c>
      <c r="BJ61" s="11">
        <f t="shared" si="200"/>
        <v>0.2950542266</v>
      </c>
      <c r="BK61" s="11">
        <f t="shared" si="200"/>
        <v>0.07568648565</v>
      </c>
      <c r="BL61" s="11">
        <f t="shared" si="28"/>
        <v>0.02929105389</v>
      </c>
      <c r="BM61" s="11">
        <f t="shared" ref="BM61:BT61" si="201">IFERROR(BM22/$BL22,0)</f>
        <v>0.02251876564</v>
      </c>
      <c r="BN61" s="11">
        <f t="shared" si="201"/>
        <v>0.02939949958</v>
      </c>
      <c r="BO61" s="11">
        <f t="shared" si="201"/>
        <v>0.005212677231</v>
      </c>
      <c r="BP61" s="11">
        <f t="shared" si="201"/>
        <v>0.05087572977</v>
      </c>
      <c r="BQ61" s="11">
        <f t="shared" si="201"/>
        <v>0.008965804837</v>
      </c>
      <c r="BR61" s="11">
        <f t="shared" si="201"/>
        <v>0.3525854879</v>
      </c>
      <c r="BS61" s="11">
        <f t="shared" si="201"/>
        <v>0.07464553795</v>
      </c>
      <c r="BT61" s="11">
        <f t="shared" si="201"/>
        <v>0.4557964971</v>
      </c>
      <c r="BU61" s="11">
        <f t="shared" si="30"/>
        <v>0.1213477794</v>
      </c>
      <c r="BV61" s="11">
        <f t="shared" ref="BV61:BZ61" si="202">IFERROR(BV22/$BU22,0)</f>
        <v>0.1356887614</v>
      </c>
      <c r="BW61" s="11">
        <f t="shared" si="202"/>
        <v>0.007599778549</v>
      </c>
      <c r="BX61" s="11">
        <f t="shared" si="202"/>
        <v>0</v>
      </c>
      <c r="BY61" s="11">
        <f t="shared" si="202"/>
        <v>0.4606673713</v>
      </c>
      <c r="BZ61" s="11">
        <f t="shared" si="202"/>
        <v>0.3960440888</v>
      </c>
      <c r="CA61" s="11">
        <f t="shared" si="32"/>
        <v>1</v>
      </c>
    </row>
    <row r="62" ht="15.75" customHeight="1">
      <c r="A62" s="9" t="str">
        <f t="shared" si="11"/>
        <v>Y2007</v>
      </c>
      <c r="B62" s="11">
        <f t="shared" si="12"/>
        <v>0.1035039791</v>
      </c>
      <c r="C62" s="11">
        <f t="shared" ref="C62:L62" si="203">IFERROR(C23/$B23,0)</f>
        <v>0.05324764746</v>
      </c>
      <c r="D62" s="11">
        <f t="shared" si="203"/>
        <v>0.3800780353</v>
      </c>
      <c r="E62" s="11">
        <f t="shared" si="203"/>
        <v>0.1397176957</v>
      </c>
      <c r="F62" s="11">
        <f t="shared" si="203"/>
        <v>0.06369061281</v>
      </c>
      <c r="G62" s="11">
        <f t="shared" si="203"/>
        <v>0.1929079642</v>
      </c>
      <c r="H62" s="11">
        <f t="shared" si="203"/>
        <v>0.07373192564</v>
      </c>
      <c r="I62" s="11">
        <f t="shared" si="203"/>
        <v>0.01279550149</v>
      </c>
      <c r="J62" s="11">
        <f t="shared" si="203"/>
        <v>0.0146890062</v>
      </c>
      <c r="K62" s="11">
        <f t="shared" si="203"/>
        <v>0.04366536608</v>
      </c>
      <c r="L62" s="11">
        <f t="shared" si="203"/>
        <v>0.02547624512</v>
      </c>
      <c r="M62" s="11">
        <f t="shared" si="14"/>
        <v>0.01928970186</v>
      </c>
      <c r="N62" s="11">
        <f t="shared" ref="N62:O62" si="204">IFERROR(N23/$M23,0)</f>
        <v>0.9547413793</v>
      </c>
      <c r="O62" s="11">
        <f t="shared" si="204"/>
        <v>0.04525862069</v>
      </c>
      <c r="P62" s="11">
        <f t="shared" si="16"/>
        <v>0.2497861979</v>
      </c>
      <c r="Q62" s="11">
        <f t="shared" ref="Q62:Y62" si="205">IFERROR(Q23/$P23,0)</f>
        <v>0.01745167503</v>
      </c>
      <c r="R62" s="11">
        <f t="shared" si="205"/>
        <v>0.003566418602</v>
      </c>
      <c r="S62" s="11">
        <f t="shared" si="205"/>
        <v>0.00007132837205</v>
      </c>
      <c r="T62" s="11">
        <f t="shared" si="205"/>
        <v>0.02981525952</v>
      </c>
      <c r="U62" s="11">
        <f t="shared" si="205"/>
        <v>0.005397180152</v>
      </c>
      <c r="V62" s="11">
        <f t="shared" si="205"/>
        <v>0.07938847809</v>
      </c>
      <c r="W62" s="11">
        <f t="shared" si="205"/>
        <v>0.01291043534</v>
      </c>
      <c r="X62" s="11">
        <f t="shared" si="205"/>
        <v>0.8465726717</v>
      </c>
      <c r="Y62" s="11">
        <f t="shared" si="205"/>
        <v>0.004826553175</v>
      </c>
      <c r="Z62" s="11">
        <f t="shared" si="18"/>
        <v>0.2272478917</v>
      </c>
      <c r="AA62" s="11">
        <f t="shared" ref="AA62:AC62" si="206">IFERROR(AA23/$Z23,0)</f>
        <v>0.5455519548</v>
      </c>
      <c r="AB62" s="11">
        <f t="shared" si="206"/>
        <v>0.2929908008</v>
      </c>
      <c r="AC62" s="11">
        <f t="shared" si="206"/>
        <v>0.1614572444</v>
      </c>
      <c r="AD62" s="11">
        <f t="shared" si="20"/>
        <v>0.002155837986</v>
      </c>
      <c r="AE62" s="11">
        <f t="shared" ref="AE62:AG62" si="207">IFERROR(AE23/$AD23,0)</f>
        <v>0.7768595041</v>
      </c>
      <c r="AF62" s="11">
        <f t="shared" si="207"/>
        <v>0.1873278237</v>
      </c>
      <c r="AG62" s="11">
        <f t="shared" si="207"/>
        <v>0.03581267218</v>
      </c>
      <c r="AH62" s="11">
        <f t="shared" si="22"/>
        <v>0.04690580829</v>
      </c>
      <c r="AI62" s="11">
        <f t="shared" ref="AI62:AQ62" si="208">IFERROR(AI23/$AH23,0)</f>
        <v>0.02025829324</v>
      </c>
      <c r="AJ62" s="11">
        <f t="shared" si="208"/>
        <v>0.1030640669</v>
      </c>
      <c r="AK62" s="11">
        <f t="shared" si="208"/>
        <v>0.07799442897</v>
      </c>
      <c r="AL62" s="11">
        <f t="shared" si="208"/>
        <v>0.4998733857</v>
      </c>
      <c r="AM62" s="11">
        <f t="shared" si="208"/>
        <v>0.06723221069</v>
      </c>
      <c r="AN62" s="11">
        <f t="shared" si="208"/>
        <v>0.03279311218</v>
      </c>
      <c r="AO62" s="11">
        <f t="shared" si="208"/>
        <v>0.04722714611</v>
      </c>
      <c r="AP62" s="11">
        <f t="shared" si="208"/>
        <v>0.04418840213</v>
      </c>
      <c r="AQ62" s="11">
        <f t="shared" si="208"/>
        <v>0.1073689542</v>
      </c>
      <c r="AR62" s="11">
        <f t="shared" si="24"/>
        <v>0.1103397078</v>
      </c>
      <c r="AS62" s="11">
        <f t="shared" ref="AS62:BA62" si="209">IFERROR(AS23/$AR23,0)</f>
        <v>0.02050702406</v>
      </c>
      <c r="AT62" s="11">
        <f t="shared" si="209"/>
        <v>0.01307928306</v>
      </c>
      <c r="AU62" s="11">
        <f t="shared" si="209"/>
        <v>0.008988643092</v>
      </c>
      <c r="AV62" s="11">
        <f t="shared" si="209"/>
        <v>0.03816136498</v>
      </c>
      <c r="AW62" s="11">
        <f t="shared" si="209"/>
        <v>0.02206792615</v>
      </c>
      <c r="AX62" s="11">
        <f t="shared" si="209"/>
        <v>0.04133699338</v>
      </c>
      <c r="AY62" s="11">
        <f t="shared" si="209"/>
        <v>0.06475052479</v>
      </c>
      <c r="AZ62" s="11">
        <f t="shared" si="209"/>
        <v>0.7342698746</v>
      </c>
      <c r="BA62" s="11">
        <f t="shared" si="209"/>
        <v>0.0568383659</v>
      </c>
      <c r="BB62" s="11">
        <f t="shared" si="26"/>
        <v>0.08177930871</v>
      </c>
      <c r="BC62" s="11">
        <f t="shared" ref="BC62:BK62" si="210">IFERROR(BC23/$BB23,0)</f>
        <v>0.08489469862</v>
      </c>
      <c r="BD62" s="11">
        <f t="shared" si="210"/>
        <v>0.1249092229</v>
      </c>
      <c r="BE62" s="11">
        <f t="shared" si="210"/>
        <v>0.01481481481</v>
      </c>
      <c r="BF62" s="11">
        <f t="shared" si="210"/>
        <v>0.1209150327</v>
      </c>
      <c r="BG62" s="11">
        <f t="shared" si="210"/>
        <v>0.08387799564</v>
      </c>
      <c r="BH62" s="11">
        <f t="shared" si="210"/>
        <v>0.06383442266</v>
      </c>
      <c r="BI62" s="11">
        <f t="shared" si="210"/>
        <v>0.1341321714</v>
      </c>
      <c r="BJ62" s="11">
        <f t="shared" si="210"/>
        <v>0.2973856209</v>
      </c>
      <c r="BK62" s="11">
        <f t="shared" si="210"/>
        <v>0.07523602033</v>
      </c>
      <c r="BL62" s="11">
        <f t="shared" si="28"/>
        <v>0.0300570139</v>
      </c>
      <c r="BM62" s="11">
        <f t="shared" ref="BM62:BT62" si="211">IFERROR(BM23/$BL23,0)</f>
        <v>0.02706974906</v>
      </c>
      <c r="BN62" s="11">
        <f t="shared" si="211"/>
        <v>0.02173483501</v>
      </c>
      <c r="BO62" s="11">
        <f t="shared" si="211"/>
        <v>0.005927682276</v>
      </c>
      <c r="BP62" s="11">
        <f t="shared" si="211"/>
        <v>0.04761904762</v>
      </c>
      <c r="BQ62" s="11">
        <f t="shared" si="211"/>
        <v>0.008891523414</v>
      </c>
      <c r="BR62" s="11">
        <f t="shared" si="211"/>
        <v>0.3578344201</v>
      </c>
      <c r="BS62" s="11">
        <f t="shared" si="211"/>
        <v>0.06342620036</v>
      </c>
      <c r="BT62" s="11">
        <f t="shared" si="211"/>
        <v>0.4674965422</v>
      </c>
      <c r="BU62" s="11">
        <f t="shared" si="30"/>
        <v>0.1289345528</v>
      </c>
      <c r="BV62" s="11">
        <f t="shared" ref="BV62:BZ62" si="212">IFERROR(BV23/$BU23,0)</f>
        <v>0.06218332566</v>
      </c>
      <c r="BW62" s="11">
        <f t="shared" si="212"/>
        <v>0.009626900046</v>
      </c>
      <c r="BX62" s="11">
        <f t="shared" si="212"/>
        <v>0</v>
      </c>
      <c r="BY62" s="11">
        <f t="shared" si="212"/>
        <v>0.5233072317</v>
      </c>
      <c r="BZ62" s="11">
        <f t="shared" si="212"/>
        <v>0.4048825426</v>
      </c>
      <c r="CA62" s="11">
        <f t="shared" si="32"/>
        <v>1</v>
      </c>
    </row>
    <row r="63" ht="15.75" customHeight="1">
      <c r="A63" s="9" t="str">
        <f t="shared" si="11"/>
        <v>Y2008</v>
      </c>
      <c r="B63" s="11">
        <f t="shared" si="12"/>
        <v>0.09811734864</v>
      </c>
      <c r="C63" s="11">
        <f t="shared" ref="C63:L63" si="213">IFERROR(C24/$B24,0)</f>
        <v>0.05129262926</v>
      </c>
      <c r="D63" s="11">
        <f t="shared" si="213"/>
        <v>0.3298954895</v>
      </c>
      <c r="E63" s="11">
        <f t="shared" si="213"/>
        <v>0.12169967</v>
      </c>
      <c r="F63" s="11">
        <f t="shared" si="213"/>
        <v>0.05069673634</v>
      </c>
      <c r="G63" s="11">
        <f t="shared" si="213"/>
        <v>0.2795196186</v>
      </c>
      <c r="H63" s="11">
        <f t="shared" si="213"/>
        <v>0.06449394939</v>
      </c>
      <c r="I63" s="11">
        <f t="shared" si="213"/>
        <v>0.01095526219</v>
      </c>
      <c r="J63" s="11">
        <f t="shared" si="213"/>
        <v>0.01233039971</v>
      </c>
      <c r="K63" s="11">
        <f t="shared" si="213"/>
        <v>0.05129262926</v>
      </c>
      <c r="L63" s="11">
        <f t="shared" si="213"/>
        <v>0.02782361569</v>
      </c>
      <c r="M63" s="11">
        <f t="shared" si="14"/>
        <v>0.01247605084</v>
      </c>
      <c r="N63" s="11">
        <f t="shared" ref="N63:O63" si="214">IFERROR(N24/$M24,0)</f>
        <v>0.9549387167</v>
      </c>
      <c r="O63" s="11">
        <f t="shared" si="214"/>
        <v>0.04506128335</v>
      </c>
      <c r="P63" s="11">
        <f t="shared" si="16"/>
        <v>0.2530425553</v>
      </c>
      <c r="Q63" s="11">
        <f t="shared" ref="Q63:Y63" si="215">IFERROR(Q24/$P24,0)</f>
        <v>0.01279704246</v>
      </c>
      <c r="R63" s="11">
        <f t="shared" si="215"/>
        <v>0.007020599684</v>
      </c>
      <c r="S63" s="11">
        <f t="shared" si="215"/>
        <v>0.0001955103709</v>
      </c>
      <c r="T63" s="11">
        <f t="shared" si="215"/>
        <v>0.0244210227</v>
      </c>
      <c r="U63" s="11">
        <f t="shared" si="215"/>
        <v>0.005189911665</v>
      </c>
      <c r="V63" s="11">
        <f t="shared" si="215"/>
        <v>0.04946412385</v>
      </c>
      <c r="W63" s="11">
        <f t="shared" si="215"/>
        <v>0.007109468034</v>
      </c>
      <c r="X63" s="11">
        <f t="shared" si="215"/>
        <v>0.8894833194</v>
      </c>
      <c r="Y63" s="11">
        <f t="shared" si="215"/>
        <v>0.004319001831</v>
      </c>
      <c r="Z63" s="11">
        <f t="shared" si="18"/>
        <v>0.319807867</v>
      </c>
      <c r="AA63" s="11">
        <f t="shared" ref="AA63:AC63" si="216">IFERROR(AA24/$Z24,0)</f>
        <v>0.6591100861</v>
      </c>
      <c r="AB63" s="11">
        <f t="shared" si="216"/>
        <v>0.1941834955</v>
      </c>
      <c r="AC63" s="11">
        <f t="shared" si="216"/>
        <v>0.1467064184</v>
      </c>
      <c r="AD63" s="11">
        <f t="shared" si="20"/>
        <v>0.00257256708</v>
      </c>
      <c r="AE63" s="11">
        <f t="shared" ref="AE63:AG63" si="217">IFERROR(AE24/$AD24,0)</f>
        <v>0.6853146853</v>
      </c>
      <c r="AF63" s="11">
        <f t="shared" si="217"/>
        <v>0.291958042</v>
      </c>
      <c r="AG63" s="11">
        <f t="shared" si="217"/>
        <v>0.02272727273</v>
      </c>
      <c r="AH63" s="11">
        <f t="shared" si="22"/>
        <v>0.03808028928</v>
      </c>
      <c r="AI63" s="11">
        <f t="shared" ref="AI63:AQ63" si="218">IFERROR(AI24/$AH24,0)</f>
        <v>0.02184953348</v>
      </c>
      <c r="AJ63" s="11">
        <f t="shared" si="218"/>
        <v>0.09070509035</v>
      </c>
      <c r="AK63" s="11">
        <f t="shared" si="218"/>
        <v>0.06897366245</v>
      </c>
      <c r="AL63" s="11">
        <f t="shared" si="218"/>
        <v>0.470296445</v>
      </c>
      <c r="AM63" s="11">
        <f t="shared" si="218"/>
        <v>0.07003661273</v>
      </c>
      <c r="AN63" s="11">
        <f t="shared" si="218"/>
        <v>0.07665052557</v>
      </c>
      <c r="AO63" s="11">
        <f t="shared" si="218"/>
        <v>0.0390929491</v>
      </c>
      <c r="AP63" s="11">
        <f t="shared" si="218"/>
        <v>0.04275422227</v>
      </c>
      <c r="AQ63" s="11">
        <f t="shared" si="218"/>
        <v>0.119640959</v>
      </c>
      <c r="AR63" s="11">
        <f t="shared" si="24"/>
        <v>0.08101337555</v>
      </c>
      <c r="AS63" s="11">
        <f t="shared" ref="AS63:BA63" si="219">IFERROR(AS24/$AR24,0)</f>
        <v>0.01804252484</v>
      </c>
      <c r="AT63" s="11">
        <f t="shared" si="219"/>
        <v>0.01532226725</v>
      </c>
      <c r="AU63" s="11">
        <f t="shared" si="219"/>
        <v>0.009049020152</v>
      </c>
      <c r="AV63" s="11">
        <f t="shared" si="219"/>
        <v>0.03980458558</v>
      </c>
      <c r="AW63" s="11">
        <f t="shared" si="219"/>
        <v>0.02104035974</v>
      </c>
      <c r="AX63" s="11">
        <f t="shared" si="219"/>
        <v>0.0451895853</v>
      </c>
      <c r="AY63" s="11">
        <f t="shared" si="219"/>
        <v>0.0946538611</v>
      </c>
      <c r="AZ63" s="11">
        <f t="shared" si="219"/>
        <v>0.6936101704</v>
      </c>
      <c r="BA63" s="11">
        <f t="shared" si="219"/>
        <v>0.0632876256</v>
      </c>
      <c r="BB63" s="11">
        <f t="shared" si="26"/>
        <v>0.06873521449</v>
      </c>
      <c r="BC63" s="11">
        <f t="shared" ref="BC63:BK63" si="220">IFERROR(BC24/$BB24,0)</f>
        <v>0.06916181378</v>
      </c>
      <c r="BD63" s="11">
        <f t="shared" si="220"/>
        <v>0.1224890401</v>
      </c>
      <c r="BE63" s="11">
        <f t="shared" si="220"/>
        <v>0.01321730027</v>
      </c>
      <c r="BF63" s="11">
        <f t="shared" si="220"/>
        <v>0.119544592</v>
      </c>
      <c r="BG63" s="11">
        <f t="shared" si="220"/>
        <v>0.07792972584</v>
      </c>
      <c r="BH63" s="11">
        <f t="shared" si="220"/>
        <v>0.06765687365</v>
      </c>
      <c r="BI63" s="11">
        <f t="shared" si="220"/>
        <v>0.1215075574</v>
      </c>
      <c r="BJ63" s="11">
        <f t="shared" si="220"/>
        <v>0.3168226134</v>
      </c>
      <c r="BK63" s="11">
        <f t="shared" si="220"/>
        <v>0.09167048354</v>
      </c>
      <c r="BL63" s="11">
        <f t="shared" si="28"/>
        <v>0.02416054258</v>
      </c>
      <c r="BM63" s="11">
        <f t="shared" ref="BM63:BT63" si="221">IFERROR(BM24/$BL24,0)</f>
        <v>0.02494415488</v>
      </c>
      <c r="BN63" s="11">
        <f t="shared" si="221"/>
        <v>0.02196574832</v>
      </c>
      <c r="BO63" s="11">
        <f t="shared" si="221"/>
        <v>0.005956813105</v>
      </c>
      <c r="BP63" s="11">
        <f t="shared" si="221"/>
        <v>0.04709605361</v>
      </c>
      <c r="BQ63" s="11">
        <f t="shared" si="221"/>
        <v>0.009493670886</v>
      </c>
      <c r="BR63" s="11">
        <f t="shared" si="221"/>
        <v>0.3844005957</v>
      </c>
      <c r="BS63" s="11">
        <f t="shared" si="221"/>
        <v>0.06571109456</v>
      </c>
      <c r="BT63" s="11">
        <f t="shared" si="221"/>
        <v>0.440431869</v>
      </c>
      <c r="BU63" s="11">
        <f t="shared" si="30"/>
        <v>0.1019941892</v>
      </c>
      <c r="BV63" s="11">
        <f t="shared" ref="BV63:BZ63" si="222">IFERROR(BV24/$BU24,0)</f>
        <v>0.06005820619</v>
      </c>
      <c r="BW63" s="11">
        <f t="shared" si="222"/>
        <v>0.01829967369</v>
      </c>
      <c r="BX63" s="11">
        <f t="shared" si="222"/>
        <v>0</v>
      </c>
      <c r="BY63" s="11">
        <f t="shared" si="222"/>
        <v>0.6304788782</v>
      </c>
      <c r="BZ63" s="11">
        <f t="shared" si="222"/>
        <v>0.2911632419</v>
      </c>
      <c r="CA63" s="11">
        <f t="shared" si="32"/>
        <v>1</v>
      </c>
    </row>
    <row r="64" ht="15.75" customHeight="1">
      <c r="A64" s="9" t="str">
        <f t="shared" si="11"/>
        <v>Y2009</v>
      </c>
      <c r="B64" s="11">
        <f t="shared" si="12"/>
        <v>0.1100037646</v>
      </c>
      <c r="C64" s="11">
        <f t="shared" ref="C64:L64" si="223">IFERROR(C25/$B25,0)</f>
        <v>0.05323035656</v>
      </c>
      <c r="D64" s="11">
        <f t="shared" si="223"/>
        <v>0.3068491884</v>
      </c>
      <c r="E64" s="11">
        <f t="shared" si="223"/>
        <v>0.09882994959</v>
      </c>
      <c r="F64" s="11">
        <f t="shared" si="223"/>
        <v>0.04781945151</v>
      </c>
      <c r="G64" s="11">
        <f t="shared" si="223"/>
        <v>0.2998196365</v>
      </c>
      <c r="H64" s="11">
        <f t="shared" si="223"/>
        <v>0.07811127041</v>
      </c>
      <c r="I64" s="11">
        <f t="shared" si="223"/>
        <v>0.01257919808</v>
      </c>
      <c r="J64" s="11">
        <f t="shared" si="223"/>
        <v>0.01405910373</v>
      </c>
      <c r="K64" s="11">
        <f t="shared" si="223"/>
        <v>0.05841002636</v>
      </c>
      <c r="L64" s="11">
        <f t="shared" si="223"/>
        <v>0.0302918189</v>
      </c>
      <c r="M64" s="11">
        <f t="shared" si="14"/>
        <v>0.01318132332</v>
      </c>
      <c r="N64" s="11">
        <f t="shared" ref="N64:O64" si="224">IFERROR(N25/$M25,0)</f>
        <v>0.9502122733</v>
      </c>
      <c r="O64" s="11">
        <f t="shared" si="224"/>
        <v>0.04978772675</v>
      </c>
      <c r="P64" s="11">
        <f t="shared" si="16"/>
        <v>0.2611133156</v>
      </c>
      <c r="Q64" s="11">
        <f t="shared" ref="Q64:Y64" si="225">IFERROR(Q25/$P25,0)</f>
        <v>0.01018976737</v>
      </c>
      <c r="R64" s="11">
        <f t="shared" si="225"/>
        <v>0.01490472665</v>
      </c>
      <c r="S64" s="11">
        <f t="shared" si="225"/>
        <v>0.0002337996337</v>
      </c>
      <c r="T64" s="11">
        <f t="shared" si="225"/>
        <v>0.02123680006</v>
      </c>
      <c r="U64" s="11">
        <f t="shared" si="225"/>
        <v>0.00409149359</v>
      </c>
      <c r="V64" s="11">
        <f t="shared" si="225"/>
        <v>0.04726649262</v>
      </c>
      <c r="W64" s="11">
        <f t="shared" si="225"/>
        <v>0.005630674512</v>
      </c>
      <c r="X64" s="11">
        <f t="shared" si="225"/>
        <v>0.8922963021</v>
      </c>
      <c r="Y64" s="11">
        <f t="shared" si="225"/>
        <v>0.004149943498</v>
      </c>
      <c r="Z64" s="11">
        <f t="shared" si="18"/>
        <v>0.2942167008</v>
      </c>
      <c r="AA64" s="11">
        <f t="shared" ref="AA64:AC64" si="226">IFERROR(AA25/$Z25,0)</f>
        <v>0.6847647537</v>
      </c>
      <c r="AB64" s="11">
        <f t="shared" si="226"/>
        <v>0.1659951931</v>
      </c>
      <c r="AC64" s="11">
        <f t="shared" si="226"/>
        <v>0.1492400533</v>
      </c>
      <c r="AD64" s="11">
        <f t="shared" si="20"/>
        <v>0.002279132709</v>
      </c>
      <c r="AE64" s="11">
        <f t="shared" ref="AE64:AG64" si="227">IFERROR(AE25/$AD25,0)</f>
        <v>0.6071428571</v>
      </c>
      <c r="AF64" s="11">
        <f t="shared" si="227"/>
        <v>0.359375</v>
      </c>
      <c r="AG64" s="11">
        <f t="shared" si="227"/>
        <v>0.03348214286</v>
      </c>
      <c r="AH64" s="11">
        <f t="shared" si="22"/>
        <v>0.04117700925</v>
      </c>
      <c r="AI64" s="11">
        <f t="shared" ref="AI64:AQ64" si="228">IFERROR(AI25/$AH25,0)</f>
        <v>0.01902643934</v>
      </c>
      <c r="AJ64" s="11">
        <f t="shared" si="228"/>
        <v>0.06399802323</v>
      </c>
      <c r="AK64" s="11">
        <f t="shared" si="228"/>
        <v>0.08351865579</v>
      </c>
      <c r="AL64" s="11">
        <f t="shared" si="228"/>
        <v>0.5029651594</v>
      </c>
      <c r="AM64" s="11">
        <f t="shared" si="228"/>
        <v>0.07437608105</v>
      </c>
      <c r="AN64" s="11">
        <f t="shared" si="228"/>
        <v>0.05003706449</v>
      </c>
      <c r="AO64" s="11">
        <f t="shared" si="228"/>
        <v>0.03125772177</v>
      </c>
      <c r="AP64" s="11">
        <f t="shared" si="228"/>
        <v>0.0517667408</v>
      </c>
      <c r="AQ64" s="11">
        <f t="shared" si="228"/>
        <v>0.1230541142</v>
      </c>
      <c r="AR64" s="11">
        <f t="shared" si="24"/>
        <v>0.0698086139</v>
      </c>
      <c r="AS64" s="11">
        <f t="shared" ref="AS64:BA64" si="229">IFERROR(AS25/$AR25,0)</f>
        <v>0.01814604285</v>
      </c>
      <c r="AT64" s="11">
        <f t="shared" si="229"/>
        <v>0.01479376184</v>
      </c>
      <c r="AU64" s="11">
        <f t="shared" si="229"/>
        <v>0.01136860516</v>
      </c>
      <c r="AV64" s="11">
        <f t="shared" si="229"/>
        <v>0.04787931788</v>
      </c>
      <c r="AW64" s="11">
        <f t="shared" si="229"/>
        <v>0.02244570762</v>
      </c>
      <c r="AX64" s="11">
        <f t="shared" si="229"/>
        <v>0.06055968518</v>
      </c>
      <c r="AY64" s="11">
        <f t="shared" si="229"/>
        <v>0.06267307973</v>
      </c>
      <c r="AZ64" s="11">
        <f t="shared" si="229"/>
        <v>0.6841568285</v>
      </c>
      <c r="BA64" s="11">
        <f t="shared" si="229"/>
        <v>0.07797697129</v>
      </c>
      <c r="BB64" s="11">
        <f t="shared" si="26"/>
        <v>0.06055981197</v>
      </c>
      <c r="BC64" s="11">
        <f t="shared" ref="BC64:BK64" si="230">IFERROR(BC25/$BB25,0)</f>
        <v>0.06594422043</v>
      </c>
      <c r="BD64" s="11">
        <f t="shared" si="230"/>
        <v>0.1565020161</v>
      </c>
      <c r="BE64" s="11">
        <f t="shared" si="230"/>
        <v>0.01226478495</v>
      </c>
      <c r="BF64" s="11">
        <f t="shared" si="230"/>
        <v>0.1481854839</v>
      </c>
      <c r="BG64" s="11">
        <f t="shared" si="230"/>
        <v>0.08560147849</v>
      </c>
      <c r="BH64" s="11">
        <f t="shared" si="230"/>
        <v>0.0845094086</v>
      </c>
      <c r="BI64" s="11">
        <f t="shared" si="230"/>
        <v>0.1289482527</v>
      </c>
      <c r="BJ64" s="11">
        <f t="shared" si="230"/>
        <v>0.2100974462</v>
      </c>
      <c r="BK64" s="11">
        <f t="shared" si="230"/>
        <v>0.1079469086</v>
      </c>
      <c r="BL64" s="11">
        <f t="shared" si="28"/>
        <v>0.02578268877</v>
      </c>
      <c r="BM64" s="11">
        <f t="shared" ref="BM64:BT64" si="231">IFERROR(BM25/$BL25,0)</f>
        <v>0.02821625888</v>
      </c>
      <c r="BN64" s="11">
        <f t="shared" si="231"/>
        <v>0.02131018153</v>
      </c>
      <c r="BO64" s="11">
        <f t="shared" si="231"/>
        <v>0.006511444357</v>
      </c>
      <c r="BP64" s="11">
        <f t="shared" si="231"/>
        <v>0.0455801105</v>
      </c>
      <c r="BQ64" s="11">
        <f t="shared" si="231"/>
        <v>0.008484609313</v>
      </c>
      <c r="BR64" s="11">
        <f t="shared" si="231"/>
        <v>0.4127861089</v>
      </c>
      <c r="BS64" s="11">
        <f t="shared" si="231"/>
        <v>0.06550907656</v>
      </c>
      <c r="BT64" s="11">
        <f t="shared" si="231"/>
        <v>0.4116022099</v>
      </c>
      <c r="BU64" s="11">
        <f t="shared" si="30"/>
        <v>0.1218776391</v>
      </c>
      <c r="BV64" s="11">
        <f t="shared" ref="BV64:BZ64" si="232">IFERROR(BV25/$BU25,0)</f>
        <v>0.08114538548</v>
      </c>
      <c r="BW64" s="11">
        <f t="shared" si="232"/>
        <v>0.02299954084</v>
      </c>
      <c r="BX64" s="11">
        <f t="shared" si="232"/>
        <v>0</v>
      </c>
      <c r="BY64" s="11">
        <f t="shared" si="232"/>
        <v>0.6282923571</v>
      </c>
      <c r="BZ64" s="11">
        <f t="shared" si="232"/>
        <v>0.2675627165</v>
      </c>
      <c r="CA64" s="11">
        <f t="shared" si="32"/>
        <v>1</v>
      </c>
    </row>
    <row r="65" ht="15.75" customHeight="1">
      <c r="A65" s="9" t="str">
        <f t="shared" si="11"/>
        <v>Y2010</v>
      </c>
      <c r="B65" s="11">
        <f t="shared" si="12"/>
        <v>0.09033681615</v>
      </c>
      <c r="C65" s="11">
        <f t="shared" ref="C65:L65" si="233">IFERROR(C26/$B26,0)</f>
        <v>0.05483716475</v>
      </c>
      <c r="D65" s="11">
        <f t="shared" si="233"/>
        <v>0.3213122605</v>
      </c>
      <c r="E65" s="11">
        <f t="shared" si="233"/>
        <v>0.1034482759</v>
      </c>
      <c r="F65" s="11">
        <f t="shared" si="233"/>
        <v>0.04880268199</v>
      </c>
      <c r="G65" s="11">
        <f t="shared" si="233"/>
        <v>0.2807471264</v>
      </c>
      <c r="H65" s="11">
        <f t="shared" si="233"/>
        <v>0.07447318008</v>
      </c>
      <c r="I65" s="11">
        <f t="shared" si="233"/>
        <v>0.01613984674</v>
      </c>
      <c r="J65" s="11">
        <f t="shared" si="233"/>
        <v>0.01364942529</v>
      </c>
      <c r="K65" s="11">
        <f t="shared" si="233"/>
        <v>0.04837164751</v>
      </c>
      <c r="L65" s="11">
        <f t="shared" si="233"/>
        <v>0.0382183908</v>
      </c>
      <c r="M65" s="11">
        <f t="shared" si="14"/>
        <v>0.01046574513</v>
      </c>
      <c r="N65" s="11">
        <f t="shared" ref="N65:O65" si="234">IFERROR(N26/$M26,0)</f>
        <v>0.9474989665</v>
      </c>
      <c r="O65" s="11">
        <f t="shared" si="234"/>
        <v>0.05250103348</v>
      </c>
      <c r="P65" s="11">
        <f t="shared" si="16"/>
        <v>0.328366539</v>
      </c>
      <c r="Q65" s="11">
        <f t="shared" ref="Q65:Y65" si="235">IFERROR(Q26/$P26,0)</f>
        <v>0.00948654097</v>
      </c>
      <c r="R65" s="11">
        <f t="shared" si="235"/>
        <v>0.007694638787</v>
      </c>
      <c r="S65" s="11">
        <f t="shared" si="235"/>
        <v>0.0001976362702</v>
      </c>
      <c r="T65" s="11">
        <f t="shared" si="235"/>
        <v>0.01602171364</v>
      </c>
      <c r="U65" s="11">
        <f t="shared" si="235"/>
        <v>0.003478398356</v>
      </c>
      <c r="V65" s="11">
        <f t="shared" si="235"/>
        <v>0.04371714297</v>
      </c>
      <c r="W65" s="11">
        <f t="shared" si="235"/>
        <v>0.004756446236</v>
      </c>
      <c r="X65" s="11">
        <f t="shared" si="235"/>
        <v>0.9119201022</v>
      </c>
      <c r="Y65" s="11">
        <f t="shared" si="235"/>
        <v>0.002727380529</v>
      </c>
      <c r="Z65" s="11">
        <f t="shared" si="18"/>
        <v>0.2881000281</v>
      </c>
      <c r="AA65" s="11">
        <f t="shared" ref="AA65:AC65" si="236">IFERROR(AA26/$Z26,0)</f>
        <v>0.6476197627</v>
      </c>
      <c r="AB65" s="11">
        <f t="shared" si="236"/>
        <v>0.1945787656</v>
      </c>
      <c r="AC65" s="11">
        <f t="shared" si="236"/>
        <v>0.1578014717</v>
      </c>
      <c r="AD65" s="11">
        <f t="shared" si="20"/>
        <v>0.002033443658</v>
      </c>
      <c r="AE65" s="11">
        <f t="shared" ref="AE65:AG65" si="237">IFERROR(AE26/$AD26,0)</f>
        <v>0.6510638298</v>
      </c>
      <c r="AF65" s="11">
        <f t="shared" si="237"/>
        <v>0.3234042553</v>
      </c>
      <c r="AG65" s="11">
        <f t="shared" si="237"/>
        <v>0.02553191489</v>
      </c>
      <c r="AH65" s="11">
        <f t="shared" si="22"/>
        <v>0.03495359855</v>
      </c>
      <c r="AI65" s="11">
        <f t="shared" ref="AI65:AQ65" si="238">IFERROR(AI26/$AH26,0)</f>
        <v>0.02265131823</v>
      </c>
      <c r="AJ65" s="11">
        <f t="shared" si="238"/>
        <v>0.07005817552</v>
      </c>
      <c r="AK65" s="11">
        <f t="shared" si="238"/>
        <v>0.08206461196</v>
      </c>
      <c r="AL65" s="11">
        <f t="shared" si="238"/>
        <v>0.4948632256</v>
      </c>
      <c r="AM65" s="11">
        <f t="shared" si="238"/>
        <v>0.080826835</v>
      </c>
      <c r="AN65" s="11">
        <f t="shared" si="238"/>
        <v>0.04035152865</v>
      </c>
      <c r="AO65" s="11">
        <f t="shared" si="238"/>
        <v>0.04295086025</v>
      </c>
      <c r="AP65" s="11">
        <f t="shared" si="238"/>
        <v>0.04282708256</v>
      </c>
      <c r="AQ65" s="11">
        <f t="shared" si="238"/>
        <v>0.1234063622</v>
      </c>
      <c r="AR65" s="11">
        <f t="shared" si="24"/>
        <v>0.065978757</v>
      </c>
      <c r="AS65" s="11">
        <f t="shared" ref="AS65:BA65" si="239">IFERROR(AS26/$AR26,0)</f>
        <v>0.01809836066</v>
      </c>
      <c r="AT65" s="11">
        <f t="shared" si="239"/>
        <v>0.01226229508</v>
      </c>
      <c r="AU65" s="11">
        <f t="shared" si="239"/>
        <v>0.009901639344</v>
      </c>
      <c r="AV65" s="11">
        <f t="shared" si="239"/>
        <v>0.05219672131</v>
      </c>
      <c r="AW65" s="11">
        <f t="shared" si="239"/>
        <v>0.01737704918</v>
      </c>
      <c r="AX65" s="11">
        <f t="shared" si="239"/>
        <v>0.04773770492</v>
      </c>
      <c r="AY65" s="11">
        <f t="shared" si="239"/>
        <v>0.09206557377</v>
      </c>
      <c r="AZ65" s="11">
        <f t="shared" si="239"/>
        <v>0.680852459</v>
      </c>
      <c r="BA65" s="11">
        <f t="shared" si="239"/>
        <v>0.06950819672</v>
      </c>
      <c r="BB65" s="11">
        <f t="shared" si="26"/>
        <v>0.0529084734</v>
      </c>
      <c r="BC65" s="11">
        <f t="shared" ref="BC65:BK65" si="240">IFERROR(BC26/$BB26,0)</f>
        <v>0.06819854444</v>
      </c>
      <c r="BD65" s="11">
        <f t="shared" si="240"/>
        <v>0.1556137051</v>
      </c>
      <c r="BE65" s="11">
        <f t="shared" si="240"/>
        <v>0.01112110557</v>
      </c>
      <c r="BF65" s="11">
        <f t="shared" si="240"/>
        <v>0.1467004661</v>
      </c>
      <c r="BG65" s="11">
        <f t="shared" si="240"/>
        <v>0.09665549105</v>
      </c>
      <c r="BH65" s="11">
        <f t="shared" si="240"/>
        <v>0.07629405511</v>
      </c>
      <c r="BI65" s="11">
        <f t="shared" si="240"/>
        <v>0.1263390302</v>
      </c>
      <c r="BJ65" s="11">
        <f t="shared" si="240"/>
        <v>0.2366505847</v>
      </c>
      <c r="BK65" s="11">
        <f t="shared" si="240"/>
        <v>0.08242701774</v>
      </c>
      <c r="BL65" s="11">
        <f t="shared" si="28"/>
        <v>0.02108291691</v>
      </c>
      <c r="BM65" s="11">
        <f t="shared" ref="BM65:BT65" si="241">IFERROR(BM26/$BL26,0)</f>
        <v>0.02955058486</v>
      </c>
      <c r="BN65" s="11">
        <f t="shared" si="241"/>
        <v>0.02072645188</v>
      </c>
      <c r="BO65" s="11">
        <f t="shared" si="241"/>
        <v>0.00636158424</v>
      </c>
      <c r="BP65" s="11">
        <f t="shared" si="241"/>
        <v>0.04945618715</v>
      </c>
      <c r="BQ65" s="11">
        <f t="shared" si="241"/>
        <v>0.008618920583</v>
      </c>
      <c r="BR65" s="11">
        <f t="shared" si="241"/>
        <v>0.3997537451</v>
      </c>
      <c r="BS65" s="11">
        <f t="shared" si="241"/>
        <v>0.05458649702</v>
      </c>
      <c r="BT65" s="11">
        <f t="shared" si="241"/>
        <v>0.4309460291</v>
      </c>
      <c r="BU65" s="11">
        <f t="shared" si="30"/>
        <v>0.105773682</v>
      </c>
      <c r="BV65" s="11">
        <f t="shared" ref="BV65:BZ65" si="242">IFERROR(BV26/$BU26,0)</f>
        <v>0.06450425393</v>
      </c>
      <c r="BW65" s="11">
        <f t="shared" si="242"/>
        <v>0.02327388743</v>
      </c>
      <c r="BX65" s="11">
        <f t="shared" si="242"/>
        <v>0</v>
      </c>
      <c r="BY65" s="11">
        <f t="shared" si="242"/>
        <v>0.5904777487</v>
      </c>
      <c r="BZ65" s="11">
        <f t="shared" si="242"/>
        <v>0.3217441099</v>
      </c>
      <c r="CA65" s="11">
        <f t="shared" si="32"/>
        <v>1</v>
      </c>
    </row>
    <row r="66" ht="15.75" customHeight="1">
      <c r="A66" s="9" t="str">
        <f t="shared" si="11"/>
        <v>Y2011</v>
      </c>
      <c r="B66" s="11">
        <f t="shared" si="12"/>
        <v>0.09243097005</v>
      </c>
      <c r="C66" s="11">
        <f t="shared" ref="C66:L66" si="243">IFERROR(C27/$B27,0)</f>
        <v>0.04431766505</v>
      </c>
      <c r="D66" s="11">
        <f t="shared" si="243"/>
        <v>0.2947620819</v>
      </c>
      <c r="E66" s="11">
        <f t="shared" si="243"/>
        <v>0.08979288106</v>
      </c>
      <c r="F66" s="11">
        <f t="shared" si="243"/>
        <v>0.04394559511</v>
      </c>
      <c r="G66" s="11">
        <f t="shared" si="243"/>
        <v>0.3509859854</v>
      </c>
      <c r="H66" s="11">
        <f t="shared" si="243"/>
        <v>0.06912232833</v>
      </c>
      <c r="I66" s="11">
        <f t="shared" si="243"/>
        <v>0.0136425648</v>
      </c>
      <c r="J66" s="11">
        <f t="shared" si="243"/>
        <v>0.01215428501</v>
      </c>
      <c r="K66" s="11">
        <f t="shared" si="243"/>
        <v>0.04448302948</v>
      </c>
      <c r="L66" s="11">
        <f t="shared" si="243"/>
        <v>0.03679358386</v>
      </c>
      <c r="M66" s="11">
        <f t="shared" si="14"/>
        <v>0.008441027444</v>
      </c>
      <c r="N66" s="11">
        <f t="shared" ref="N66:O66" si="244">IFERROR(N27/$M27,0)</f>
        <v>0.9452240833</v>
      </c>
      <c r="O66" s="11">
        <f t="shared" si="244"/>
        <v>0.0547759167</v>
      </c>
      <c r="P66" s="11">
        <f t="shared" si="16"/>
        <v>0.3659943905</v>
      </c>
      <c r="Q66" s="11">
        <f t="shared" ref="Q66:Y66" si="245">IFERROR(Q27/$P27,0)</f>
        <v>0.008874504072</v>
      </c>
      <c r="R66" s="11">
        <f t="shared" si="245"/>
        <v>0.01364585508</v>
      </c>
      <c r="S66" s="11">
        <f t="shared" si="245"/>
        <v>0.0001774900814</v>
      </c>
      <c r="T66" s="11">
        <f t="shared" si="245"/>
        <v>0.01140112758</v>
      </c>
      <c r="U66" s="11">
        <f t="shared" si="245"/>
        <v>0.002599707663</v>
      </c>
      <c r="V66" s="11">
        <f t="shared" si="245"/>
        <v>0.05666109835</v>
      </c>
      <c r="W66" s="11">
        <f t="shared" si="245"/>
        <v>0.004332846106</v>
      </c>
      <c r="X66" s="11">
        <f t="shared" si="245"/>
        <v>0.9001983713</v>
      </c>
      <c r="Y66" s="11">
        <f t="shared" si="245"/>
        <v>0.002108999791</v>
      </c>
      <c r="Z66" s="11">
        <f t="shared" si="18"/>
        <v>0.2804415777</v>
      </c>
      <c r="AA66" s="11">
        <f t="shared" ref="AA66:AC66" si="246">IFERROR(AA27/$Z27,0)</f>
        <v>0.6396969656</v>
      </c>
      <c r="AB66" s="11">
        <f t="shared" si="246"/>
        <v>0.1961548419</v>
      </c>
      <c r="AC66" s="11">
        <f t="shared" si="246"/>
        <v>0.1641481926</v>
      </c>
      <c r="AD66" s="11">
        <f t="shared" si="20"/>
        <v>0.00228889789</v>
      </c>
      <c r="AE66" s="11">
        <f t="shared" ref="AE66:AG66" si="247">IFERROR(AE27/$AD27,0)</f>
        <v>0.6894824708</v>
      </c>
      <c r="AF66" s="11">
        <f t="shared" si="247"/>
        <v>0.2904841402</v>
      </c>
      <c r="AG66" s="11">
        <f t="shared" si="247"/>
        <v>0.02003338898</v>
      </c>
      <c r="AH66" s="11">
        <f t="shared" si="22"/>
        <v>0.0301798256</v>
      </c>
      <c r="AI66" s="11">
        <f t="shared" ref="AI66:AQ66" si="248">IFERROR(AI27/$AH27,0)</f>
        <v>0.02393010889</v>
      </c>
      <c r="AJ66" s="11">
        <f t="shared" si="248"/>
        <v>0.07419599899</v>
      </c>
      <c r="AK66" s="11">
        <f t="shared" si="248"/>
        <v>0.09812610788</v>
      </c>
      <c r="AL66" s="11">
        <f t="shared" si="248"/>
        <v>0.4739174475</v>
      </c>
      <c r="AM66" s="11">
        <f t="shared" si="248"/>
        <v>0.0788807293</v>
      </c>
      <c r="AN66" s="11">
        <f t="shared" si="248"/>
        <v>0.05013927577</v>
      </c>
      <c r="AO66" s="11">
        <f t="shared" si="248"/>
        <v>0.03811091416</v>
      </c>
      <c r="AP66" s="11">
        <f t="shared" si="248"/>
        <v>0.04114965814</v>
      </c>
      <c r="AQ66" s="11">
        <f t="shared" si="248"/>
        <v>0.1215497594</v>
      </c>
      <c r="AR66" s="11">
        <f t="shared" si="24"/>
        <v>0.06105510932</v>
      </c>
      <c r="AS66" s="11">
        <f t="shared" ref="AS66:BA66" si="249">IFERROR(AS27/$AR27,0)</f>
        <v>0.01514582551</v>
      </c>
      <c r="AT66" s="11">
        <f t="shared" si="249"/>
        <v>0.01276755539</v>
      </c>
      <c r="AU66" s="11">
        <f t="shared" si="249"/>
        <v>0.007322568532</v>
      </c>
      <c r="AV66" s="11">
        <f t="shared" si="249"/>
        <v>0.05307297534</v>
      </c>
      <c r="AW66" s="11">
        <f t="shared" si="249"/>
        <v>0.01652271874</v>
      </c>
      <c r="AX66" s="11">
        <f t="shared" si="249"/>
        <v>0.04086869445</v>
      </c>
      <c r="AY66" s="11">
        <f t="shared" si="249"/>
        <v>0.07723119289</v>
      </c>
      <c r="AZ66" s="11">
        <f t="shared" si="249"/>
        <v>0.7119789711</v>
      </c>
      <c r="BA66" s="11">
        <f t="shared" si="249"/>
        <v>0.06508949806</v>
      </c>
      <c r="BB66" s="11">
        <f t="shared" si="26"/>
        <v>0.04810124647</v>
      </c>
      <c r="BC66" s="11">
        <f t="shared" ref="BC66:BK66" si="250">IFERROR(BC27/$BB27,0)</f>
        <v>0.07634254846</v>
      </c>
      <c r="BD66" s="11">
        <f t="shared" si="250"/>
        <v>0.1548299968</v>
      </c>
      <c r="BE66" s="11">
        <f t="shared" si="250"/>
        <v>0.01278995869</v>
      </c>
      <c r="BF66" s="11">
        <f t="shared" si="250"/>
        <v>0.1457737528</v>
      </c>
      <c r="BG66" s="11">
        <f t="shared" si="250"/>
        <v>0.09143628853</v>
      </c>
      <c r="BH66" s="11">
        <f t="shared" si="250"/>
        <v>0.07737527804</v>
      </c>
      <c r="BI66" s="11">
        <f t="shared" si="250"/>
        <v>0.1236892278</v>
      </c>
      <c r="BJ66" s="11">
        <f t="shared" si="250"/>
        <v>0.2018589133</v>
      </c>
      <c r="BK66" s="11">
        <f t="shared" si="250"/>
        <v>0.1159040356</v>
      </c>
      <c r="BL66" s="11">
        <f t="shared" si="28"/>
        <v>0.01982055652</v>
      </c>
      <c r="BM66" s="11">
        <f t="shared" ref="BM66:BT66" si="251">IFERROR(BM27/$BL27,0)</f>
        <v>0.02274918064</v>
      </c>
      <c r="BN66" s="11">
        <f t="shared" si="251"/>
        <v>0.01889338731</v>
      </c>
      <c r="BO66" s="11">
        <f t="shared" si="251"/>
        <v>0.005976479661</v>
      </c>
      <c r="BP66" s="11">
        <f t="shared" si="251"/>
        <v>0.04819741662</v>
      </c>
      <c r="BQ66" s="11">
        <f t="shared" si="251"/>
        <v>0.01002506266</v>
      </c>
      <c r="BR66" s="11">
        <f t="shared" si="251"/>
        <v>0.3738191633</v>
      </c>
      <c r="BS66" s="11">
        <f t="shared" si="251"/>
        <v>0.05012531328</v>
      </c>
      <c r="BT66" s="11">
        <f t="shared" si="251"/>
        <v>0.4702139965</v>
      </c>
      <c r="BU66" s="11">
        <f t="shared" si="30"/>
        <v>0.09124639852</v>
      </c>
      <c r="BV66" s="11">
        <f t="shared" ref="BV66:BZ66" si="252">IFERROR(BV27/$BU27,0)</f>
        <v>0.05368734034</v>
      </c>
      <c r="BW66" s="11">
        <f t="shared" si="252"/>
        <v>0.03752250932</v>
      </c>
      <c r="BX66" s="11">
        <f t="shared" si="252"/>
        <v>0</v>
      </c>
      <c r="BY66" s="11">
        <f t="shared" si="252"/>
        <v>0.6313078437</v>
      </c>
      <c r="BZ66" s="11">
        <f t="shared" si="252"/>
        <v>0.2774823066</v>
      </c>
      <c r="CA66" s="11">
        <f t="shared" si="32"/>
        <v>1</v>
      </c>
    </row>
    <row r="67" ht="15.75" customHeight="1">
      <c r="A67" s="9" t="str">
        <f t="shared" si="11"/>
        <v>Y2012</v>
      </c>
      <c r="B67" s="11">
        <f t="shared" si="12"/>
        <v>0.1019472342</v>
      </c>
      <c r="C67" s="11">
        <f t="shared" ref="C67:L67" si="253">IFERROR(C28/$B28,0)</f>
        <v>0.04153468483</v>
      </c>
      <c r="D67" s="11">
        <f t="shared" si="253"/>
        <v>0.2851203674</v>
      </c>
      <c r="E67" s="11">
        <f t="shared" si="253"/>
        <v>0.08592017738</v>
      </c>
      <c r="F67" s="11">
        <f t="shared" si="253"/>
        <v>0.03773360786</v>
      </c>
      <c r="G67" s="11">
        <f t="shared" si="253"/>
        <v>0.3578159645</v>
      </c>
      <c r="H67" s="11">
        <f t="shared" si="253"/>
        <v>0.08243585683</v>
      </c>
      <c r="I67" s="11">
        <f t="shared" si="253"/>
        <v>0.01168039278</v>
      </c>
      <c r="J67" s="11">
        <f t="shared" si="253"/>
        <v>0.0100174216</v>
      </c>
      <c r="K67" s="11">
        <f t="shared" si="253"/>
        <v>0.05155210643</v>
      </c>
      <c r="L67" s="11">
        <f t="shared" si="253"/>
        <v>0.03618942034</v>
      </c>
      <c r="M67" s="11">
        <f t="shared" si="14"/>
        <v>0.008690703006</v>
      </c>
      <c r="N67" s="11">
        <f t="shared" ref="N67:O67" si="254">IFERROR(N28/$M28,0)</f>
        <v>0.9614491407</v>
      </c>
      <c r="O67" s="11">
        <f t="shared" si="254"/>
        <v>0.03855085927</v>
      </c>
      <c r="P67" s="11">
        <f t="shared" si="16"/>
        <v>0.3480761779</v>
      </c>
      <c r="Q67" s="11">
        <f t="shared" ref="Q67:Y67" si="255">IFERROR(Q28/$P28,0)</f>
        <v>0.009486147673</v>
      </c>
      <c r="R67" s="11">
        <f t="shared" si="255"/>
        <v>0.02083937331</v>
      </c>
      <c r="S67" s="11">
        <f t="shared" si="255"/>
        <v>0.000255128666</v>
      </c>
      <c r="T67" s="11">
        <f t="shared" si="255"/>
        <v>0.0102979207</v>
      </c>
      <c r="U67" s="11">
        <f t="shared" si="255"/>
        <v>0.002736834781</v>
      </c>
      <c r="V67" s="11">
        <f t="shared" si="255"/>
        <v>0.06046549385</v>
      </c>
      <c r="W67" s="11">
        <f t="shared" si="255"/>
        <v>0.00496341223</v>
      </c>
      <c r="X67" s="11">
        <f t="shared" si="255"/>
        <v>0.8879753221</v>
      </c>
      <c r="Y67" s="11">
        <f t="shared" si="255"/>
        <v>0.002980366689</v>
      </c>
      <c r="Z67" s="11">
        <f t="shared" si="18"/>
        <v>0.2839474279</v>
      </c>
      <c r="AA67" s="11">
        <f t="shared" ref="AA67:AC67" si="256">IFERROR(AA28/$Z28,0)</f>
        <v>0.5908961674</v>
      </c>
      <c r="AB67" s="11">
        <f t="shared" si="256"/>
        <v>0.2030876834</v>
      </c>
      <c r="AC67" s="11">
        <f t="shared" si="256"/>
        <v>0.2060161492</v>
      </c>
      <c r="AD67" s="11">
        <f t="shared" si="20"/>
        <v>0.002050569962</v>
      </c>
      <c r="AE67" s="11">
        <f t="shared" ref="AE67:AG67" si="257">IFERROR(AE28/$AD28,0)</f>
        <v>0.6673228346</v>
      </c>
      <c r="AF67" s="11">
        <f t="shared" si="257"/>
        <v>0.312992126</v>
      </c>
      <c r="AG67" s="11">
        <f t="shared" si="257"/>
        <v>0.01968503937</v>
      </c>
      <c r="AH67" s="11">
        <f t="shared" si="22"/>
        <v>0.03399990312</v>
      </c>
      <c r="AI67" s="11">
        <f t="shared" ref="AI67:AQ67" si="258">IFERROR(AI28/$AH28,0)</f>
        <v>0.02647512763</v>
      </c>
      <c r="AJ67" s="11">
        <f t="shared" si="258"/>
        <v>0.0828683367</v>
      </c>
      <c r="AK67" s="11">
        <f t="shared" si="258"/>
        <v>0.07942538288</v>
      </c>
      <c r="AL67" s="11">
        <f t="shared" si="258"/>
        <v>0.5130001187</v>
      </c>
      <c r="AM67" s="11">
        <f t="shared" si="258"/>
        <v>0.07420159088</v>
      </c>
      <c r="AN67" s="11">
        <f t="shared" si="258"/>
        <v>0.03668526653</v>
      </c>
      <c r="AO67" s="11">
        <f t="shared" si="258"/>
        <v>0.03905971744</v>
      </c>
      <c r="AP67" s="11">
        <f t="shared" si="258"/>
        <v>0.03716015671</v>
      </c>
      <c r="AQ67" s="11">
        <f t="shared" si="258"/>
        <v>0.1111243025</v>
      </c>
      <c r="AR67" s="11">
        <f t="shared" si="24"/>
        <v>0.0557932638</v>
      </c>
      <c r="AS67" s="11">
        <f t="shared" ref="AS67:BA67" si="259">IFERROR(AS28/$AR28,0)</f>
        <v>0.01418029229</v>
      </c>
      <c r="AT67" s="11">
        <f t="shared" si="259"/>
        <v>0.01519317031</v>
      </c>
      <c r="AU67" s="11">
        <f t="shared" si="259"/>
        <v>0.006873100854</v>
      </c>
      <c r="AV67" s="11">
        <f t="shared" si="259"/>
        <v>0.05802344089</v>
      </c>
      <c r="AW67" s="11">
        <f t="shared" si="259"/>
        <v>0.01787006222</v>
      </c>
      <c r="AX67" s="11">
        <f t="shared" si="259"/>
        <v>0.04413254232</v>
      </c>
      <c r="AY67" s="11">
        <f t="shared" si="259"/>
        <v>0.05136738533</v>
      </c>
      <c r="AZ67" s="11">
        <f t="shared" si="259"/>
        <v>0.7147301404</v>
      </c>
      <c r="BA67" s="11">
        <f t="shared" si="259"/>
        <v>0.07762986543</v>
      </c>
      <c r="BB67" s="11">
        <f t="shared" si="26"/>
        <v>0.05370636484</v>
      </c>
      <c r="BC67" s="11">
        <f t="shared" ref="BC67:BK67" si="260">IFERROR(BC28/$BB28,0)</f>
        <v>0.06335963923</v>
      </c>
      <c r="BD67" s="11">
        <f t="shared" si="260"/>
        <v>0.1597143931</v>
      </c>
      <c r="BE67" s="11">
        <f t="shared" si="260"/>
        <v>0.01277715145</v>
      </c>
      <c r="BF67" s="11">
        <f t="shared" si="260"/>
        <v>0.1420518602</v>
      </c>
      <c r="BG67" s="11">
        <f t="shared" si="260"/>
        <v>0.08335212326</v>
      </c>
      <c r="BH67" s="11">
        <f t="shared" si="260"/>
        <v>0.07576099211</v>
      </c>
      <c r="BI67" s="11">
        <f t="shared" si="260"/>
        <v>0.118677189</v>
      </c>
      <c r="BJ67" s="11">
        <f t="shared" si="260"/>
        <v>0.2272078166</v>
      </c>
      <c r="BK67" s="11">
        <f t="shared" si="260"/>
        <v>0.117098835</v>
      </c>
      <c r="BL67" s="11">
        <f t="shared" si="28"/>
        <v>0.01985581425</v>
      </c>
      <c r="BM67" s="11">
        <f t="shared" ref="BM67:BT67" si="261">IFERROR(BM28/$BL28,0)</f>
        <v>0.02744460256</v>
      </c>
      <c r="BN67" s="11">
        <f t="shared" si="261"/>
        <v>0.01687334824</v>
      </c>
      <c r="BO67" s="11">
        <f t="shared" si="261"/>
        <v>0.007318560683</v>
      </c>
      <c r="BP67" s="11">
        <f t="shared" si="261"/>
        <v>0.05204309819</v>
      </c>
      <c r="BQ67" s="11">
        <f t="shared" si="261"/>
        <v>0.009961374263</v>
      </c>
      <c r="BR67" s="11">
        <f t="shared" si="261"/>
        <v>0.3679609677</v>
      </c>
      <c r="BS67" s="11">
        <f t="shared" si="261"/>
        <v>0.04838381785</v>
      </c>
      <c r="BT67" s="11">
        <f t="shared" si="261"/>
        <v>0.4700142305</v>
      </c>
      <c r="BU67" s="11">
        <f t="shared" si="30"/>
        <v>0.09193254109</v>
      </c>
      <c r="BV67" s="11">
        <f t="shared" ref="BV67:BZ67" si="262">IFERROR(BV28/$BU28,0)</f>
        <v>0.04540065862</v>
      </c>
      <c r="BW67" s="11">
        <f t="shared" si="262"/>
        <v>0.03214050494</v>
      </c>
      <c r="BX67" s="11">
        <f t="shared" si="262"/>
        <v>0</v>
      </c>
      <c r="BY67" s="11">
        <f t="shared" si="262"/>
        <v>0.681712404</v>
      </c>
      <c r="BZ67" s="11">
        <f t="shared" si="262"/>
        <v>0.2407464325</v>
      </c>
      <c r="CA67" s="11">
        <f t="shared" si="32"/>
        <v>1</v>
      </c>
    </row>
    <row r="68" ht="15.75" customHeight="1">
      <c r="A68" s="9" t="str">
        <f t="shared" si="11"/>
        <v>Y2013</v>
      </c>
      <c r="B68" s="11">
        <f t="shared" si="12"/>
        <v>0.1035093546</v>
      </c>
      <c r="C68" s="11">
        <f t="shared" ref="C68:L68" si="263">IFERROR(C29/$B29,0)</f>
        <v>0.03820763415</v>
      </c>
      <c r="D68" s="11">
        <f t="shared" si="263"/>
        <v>0.3190484971</v>
      </c>
      <c r="E68" s="11">
        <f t="shared" si="263"/>
        <v>0.08500829799</v>
      </c>
      <c r="F68" s="11">
        <f t="shared" si="263"/>
        <v>0.03776507468</v>
      </c>
      <c r="G68" s="11">
        <f t="shared" si="263"/>
        <v>0.3348331182</v>
      </c>
      <c r="H68" s="11">
        <f t="shared" si="263"/>
        <v>0.08187350175</v>
      </c>
      <c r="I68" s="11">
        <f t="shared" si="263"/>
        <v>0.0105845473</v>
      </c>
      <c r="J68" s="11">
        <f t="shared" si="263"/>
        <v>0.00944126867</v>
      </c>
      <c r="K68" s="11">
        <f t="shared" si="263"/>
        <v>0.04292826849</v>
      </c>
      <c r="L68" s="11">
        <f t="shared" si="263"/>
        <v>0.04030979163</v>
      </c>
      <c r="M68" s="11">
        <f t="shared" si="14"/>
        <v>0.008024217715</v>
      </c>
      <c r="N68" s="11">
        <f t="shared" ref="N68:O68" si="264">IFERROR(N29/$M29,0)</f>
        <v>0.973358706</v>
      </c>
      <c r="O68" s="11">
        <f t="shared" si="264"/>
        <v>0.02664129401</v>
      </c>
      <c r="P68" s="11">
        <f t="shared" si="16"/>
        <v>0.3884568841</v>
      </c>
      <c r="Q68" s="11">
        <f t="shared" ref="Q68:Y68" si="265">IFERROR(Q29/$P29,0)</f>
        <v>0.01012195481</v>
      </c>
      <c r="R68" s="11">
        <f t="shared" si="265"/>
        <v>0.02499041854</v>
      </c>
      <c r="S68" s="11">
        <f t="shared" si="265"/>
        <v>0.0001867156713</v>
      </c>
      <c r="T68" s="11">
        <f t="shared" si="265"/>
        <v>0.009561807801</v>
      </c>
      <c r="U68" s="11">
        <f t="shared" si="265"/>
        <v>0.002270069478</v>
      </c>
      <c r="V68" s="11">
        <f t="shared" si="265"/>
        <v>0.05195609234</v>
      </c>
      <c r="W68" s="11">
        <f t="shared" si="265"/>
        <v>0.003183993553</v>
      </c>
      <c r="X68" s="11">
        <f t="shared" si="265"/>
        <v>0.8949282127</v>
      </c>
      <c r="Y68" s="11">
        <f t="shared" si="265"/>
        <v>0.00280073507</v>
      </c>
      <c r="Z68" s="11">
        <f t="shared" si="18"/>
        <v>0.2577255046</v>
      </c>
      <c r="AA68" s="11">
        <f t="shared" ref="AA68:AC68" si="266">IFERROR(AA29/$Z29,0)</f>
        <v>0.5926117933</v>
      </c>
      <c r="AB68" s="11">
        <f t="shared" si="266"/>
        <v>0.1745293499</v>
      </c>
      <c r="AC68" s="11">
        <f t="shared" si="266"/>
        <v>0.2328588568</v>
      </c>
      <c r="AD68" s="11">
        <f t="shared" si="20"/>
        <v>0.002458418748</v>
      </c>
      <c r="AE68" s="11">
        <f t="shared" ref="AE68:AG68" si="267">IFERROR(AE29/$AD29,0)</f>
        <v>0.6288819876</v>
      </c>
      <c r="AF68" s="11">
        <f t="shared" si="267"/>
        <v>0.3369565217</v>
      </c>
      <c r="AG68" s="11">
        <f t="shared" si="267"/>
        <v>0.03416149068</v>
      </c>
      <c r="AH68" s="11">
        <f t="shared" si="22"/>
        <v>0.0297300702</v>
      </c>
      <c r="AI68" s="11">
        <f t="shared" ref="AI68:AQ68" si="268">IFERROR(AI29/$AH29,0)</f>
        <v>0.02157164869</v>
      </c>
      <c r="AJ68" s="11">
        <f t="shared" si="268"/>
        <v>0.1074730354</v>
      </c>
      <c r="AK68" s="11">
        <f t="shared" si="268"/>
        <v>0.08834103749</v>
      </c>
      <c r="AL68" s="11">
        <f t="shared" si="268"/>
        <v>0.457498716</v>
      </c>
      <c r="AM68" s="11">
        <f t="shared" si="268"/>
        <v>0.08846944016</v>
      </c>
      <c r="AN68" s="11">
        <f t="shared" si="268"/>
        <v>0.02657935285</v>
      </c>
      <c r="AO68" s="11">
        <f t="shared" si="268"/>
        <v>0.03749357987</v>
      </c>
      <c r="AP68" s="11">
        <f t="shared" si="268"/>
        <v>0.04198767334</v>
      </c>
      <c r="AQ68" s="11">
        <f t="shared" si="268"/>
        <v>0.1305855162</v>
      </c>
      <c r="AR68" s="11">
        <f t="shared" si="24"/>
        <v>0.05524570827</v>
      </c>
      <c r="AS68" s="11">
        <f t="shared" ref="AS68:BA68" si="269">IFERROR(AS29/$AR29,0)</f>
        <v>0.01499447208</v>
      </c>
      <c r="AT68" s="11">
        <f t="shared" si="269"/>
        <v>0.01381978994</v>
      </c>
      <c r="AU68" s="11">
        <f t="shared" si="269"/>
        <v>0.005182421227</v>
      </c>
      <c r="AV68" s="11">
        <f t="shared" si="269"/>
        <v>0.06460751797</v>
      </c>
      <c r="AW68" s="11">
        <f t="shared" si="269"/>
        <v>0.01610005528</v>
      </c>
      <c r="AX68" s="11">
        <f t="shared" si="269"/>
        <v>0.0570066335</v>
      </c>
      <c r="AY68" s="11">
        <f t="shared" si="269"/>
        <v>0.04781647319</v>
      </c>
      <c r="AZ68" s="11">
        <f t="shared" si="269"/>
        <v>0.7066749585</v>
      </c>
      <c r="BA68" s="11">
        <f t="shared" si="269"/>
        <v>0.07379767828</v>
      </c>
      <c r="BB68" s="11">
        <f t="shared" si="26"/>
        <v>0.05199326607</v>
      </c>
      <c r="BC68" s="11">
        <f t="shared" ref="BC68:BK68" si="270">IFERROR(BC29/$BB29,0)</f>
        <v>0.06600587372</v>
      </c>
      <c r="BD68" s="11">
        <f t="shared" si="270"/>
        <v>0.1453744493</v>
      </c>
      <c r="BE68" s="11">
        <f t="shared" si="270"/>
        <v>0.01196769457</v>
      </c>
      <c r="BF68" s="11">
        <f t="shared" si="270"/>
        <v>0.1397209985</v>
      </c>
      <c r="BG68" s="11">
        <f t="shared" si="270"/>
        <v>0.09302496329</v>
      </c>
      <c r="BH68" s="11">
        <f t="shared" si="270"/>
        <v>0.08333333333</v>
      </c>
      <c r="BI68" s="11">
        <f t="shared" si="270"/>
        <v>0.1088105727</v>
      </c>
      <c r="BJ68" s="11">
        <f t="shared" si="270"/>
        <v>0.2251835536</v>
      </c>
      <c r="BK68" s="11">
        <f t="shared" si="270"/>
        <v>0.1265785609</v>
      </c>
      <c r="BL68" s="11">
        <f t="shared" si="28"/>
        <v>0.01922834664</v>
      </c>
      <c r="BM68" s="11">
        <f t="shared" ref="BM68:BT68" si="271">IFERROR(BM29/$BL29,0)</f>
        <v>0.03315465555</v>
      </c>
      <c r="BN68" s="11">
        <f t="shared" si="271"/>
        <v>0.01707365495</v>
      </c>
      <c r="BO68" s="11">
        <f t="shared" si="271"/>
        <v>0.00774270399</v>
      </c>
      <c r="BP68" s="11">
        <f t="shared" si="271"/>
        <v>0.04725034743</v>
      </c>
      <c r="BQ68" s="11">
        <f t="shared" si="271"/>
        <v>0.01131625968</v>
      </c>
      <c r="BR68" s="11">
        <f t="shared" si="271"/>
        <v>0.3718483224</v>
      </c>
      <c r="BS68" s="11">
        <f t="shared" si="271"/>
        <v>0.0488385944</v>
      </c>
      <c r="BT68" s="11">
        <f t="shared" si="271"/>
        <v>0.4627754616</v>
      </c>
      <c r="BU68" s="11">
        <f t="shared" si="30"/>
        <v>0.08362822906</v>
      </c>
      <c r="BV68" s="11">
        <f t="shared" ref="BV68:BZ68" si="272">IFERROR(BV29/$BU29,0)</f>
        <v>0.05226639887</v>
      </c>
      <c r="BW68" s="11">
        <f t="shared" si="272"/>
        <v>0.04756470535</v>
      </c>
      <c r="BX68" s="11">
        <f t="shared" si="272"/>
        <v>0</v>
      </c>
      <c r="BY68" s="11">
        <f t="shared" si="272"/>
        <v>0.634409093</v>
      </c>
      <c r="BZ68" s="11">
        <f t="shared" si="272"/>
        <v>0.2657598028</v>
      </c>
      <c r="CA68" s="11">
        <f t="shared" si="32"/>
        <v>1</v>
      </c>
    </row>
    <row r="69" ht="15.75" customHeight="1">
      <c r="A69" s="9" t="str">
        <f t="shared" si="11"/>
        <v>Y2014</v>
      </c>
      <c r="B69" s="11">
        <f t="shared" si="12"/>
        <v>0.1169715111</v>
      </c>
      <c r="C69" s="11">
        <f t="shared" ref="C69:L69" si="273">IFERROR(C30/$B30,0)</f>
        <v>0.05198354015</v>
      </c>
      <c r="D69" s="11">
        <f t="shared" si="273"/>
        <v>0.3720825564</v>
      </c>
      <c r="E69" s="11">
        <f t="shared" si="273"/>
        <v>0.08229923487</v>
      </c>
      <c r="F69" s="11">
        <f t="shared" si="273"/>
        <v>0.03889924773</v>
      </c>
      <c r="G69" s="11">
        <f t="shared" si="273"/>
        <v>0.2885295441</v>
      </c>
      <c r="H69" s="11">
        <f t="shared" si="273"/>
        <v>0.07596605157</v>
      </c>
      <c r="I69" s="11">
        <f t="shared" si="273"/>
        <v>0.007844145824</v>
      </c>
      <c r="J69" s="11">
        <f t="shared" si="273"/>
        <v>0.009515849032</v>
      </c>
      <c r="K69" s="11">
        <f t="shared" si="273"/>
        <v>0.03735613708</v>
      </c>
      <c r="L69" s="11">
        <f t="shared" si="273"/>
        <v>0.03552369318</v>
      </c>
      <c r="M69" s="11">
        <f t="shared" si="14"/>
        <v>0.00808489516</v>
      </c>
      <c r="N69" s="11">
        <f t="shared" ref="N69:O69" si="274">IFERROR(N30/$M30,0)</f>
        <v>0.9702325581</v>
      </c>
      <c r="O69" s="11">
        <f t="shared" si="274"/>
        <v>0.02976744186</v>
      </c>
      <c r="P69" s="11">
        <f t="shared" si="16"/>
        <v>0.3664036882</v>
      </c>
      <c r="Q69" s="11">
        <f t="shared" ref="Q69:Y69" si="275">IFERROR(Q30/$P30,0)</f>
        <v>0.01054014389</v>
      </c>
      <c r="R69" s="11">
        <f t="shared" si="275"/>
        <v>0.01669796894</v>
      </c>
      <c r="S69" s="11">
        <f t="shared" si="275"/>
        <v>0.0001436825846</v>
      </c>
      <c r="T69" s="11">
        <f t="shared" si="275"/>
        <v>0.01293143262</v>
      </c>
      <c r="U69" s="11">
        <f t="shared" si="275"/>
        <v>0.002411814814</v>
      </c>
      <c r="V69" s="11">
        <f t="shared" si="275"/>
        <v>0.04618368792</v>
      </c>
      <c r="W69" s="11">
        <f t="shared" si="275"/>
        <v>0.004484949249</v>
      </c>
      <c r="X69" s="11">
        <f t="shared" si="275"/>
        <v>0.9032503053</v>
      </c>
      <c r="Y69" s="11">
        <f t="shared" si="275"/>
        <v>0.003356014656</v>
      </c>
      <c r="Z69" s="11">
        <f t="shared" si="18"/>
        <v>0.2651507175</v>
      </c>
      <c r="AA69" s="11">
        <f t="shared" ref="AA69:AC69" si="276">IFERROR(AA30/$Z30,0)</f>
        <v>0.5416601665</v>
      </c>
      <c r="AB69" s="11">
        <f t="shared" si="276"/>
        <v>0.1900554523</v>
      </c>
      <c r="AC69" s="11">
        <f t="shared" si="276"/>
        <v>0.2682843812</v>
      </c>
      <c r="AD69" s="11">
        <f t="shared" si="20"/>
        <v>0.00244427063</v>
      </c>
      <c r="AE69" s="11">
        <f t="shared" ref="AE69:AG69" si="277">IFERROR(AE30/$AD30,0)</f>
        <v>0.6492307692</v>
      </c>
      <c r="AF69" s="11">
        <f t="shared" si="277"/>
        <v>0.3215384615</v>
      </c>
      <c r="AG69" s="11">
        <f t="shared" si="277"/>
        <v>0.02923076923</v>
      </c>
      <c r="AH69" s="11">
        <f t="shared" si="22"/>
        <v>0.02758641437</v>
      </c>
      <c r="AI69" s="11">
        <f t="shared" ref="AI69:AQ69" si="278">IFERROR(AI30/$AH30,0)</f>
        <v>0.02290076336</v>
      </c>
      <c r="AJ69" s="11">
        <f t="shared" si="278"/>
        <v>0.1090512541</v>
      </c>
      <c r="AK69" s="11">
        <f t="shared" si="278"/>
        <v>0.1061886587</v>
      </c>
      <c r="AL69" s="11">
        <f t="shared" si="278"/>
        <v>0.3984460196</v>
      </c>
      <c r="AM69" s="11">
        <f t="shared" si="278"/>
        <v>0.09800981461</v>
      </c>
      <c r="AN69" s="11">
        <f t="shared" si="278"/>
        <v>0.03298800436</v>
      </c>
      <c r="AO69" s="11">
        <f t="shared" si="278"/>
        <v>0.04511995638</v>
      </c>
      <c r="AP69" s="11">
        <f t="shared" si="278"/>
        <v>0.04702835333</v>
      </c>
      <c r="AQ69" s="11">
        <f t="shared" si="278"/>
        <v>0.1402671756</v>
      </c>
      <c r="AR69" s="11">
        <f t="shared" si="24"/>
        <v>0.05778255768</v>
      </c>
      <c r="AS69" s="11">
        <f t="shared" ref="AS69:BA69" si="279">IFERROR(AS30/$AR30,0)</f>
        <v>0.01568397761</v>
      </c>
      <c r="AT69" s="11">
        <f t="shared" si="279"/>
        <v>0.01353637902</v>
      </c>
      <c r="AU69" s="11">
        <f t="shared" si="279"/>
        <v>0.006572953273</v>
      </c>
      <c r="AV69" s="11">
        <f t="shared" si="279"/>
        <v>0.0641025641</v>
      </c>
      <c r="AW69" s="11">
        <f t="shared" si="279"/>
        <v>0.01548874138</v>
      </c>
      <c r="AX69" s="11">
        <f t="shared" si="279"/>
        <v>0.06052323311</v>
      </c>
      <c r="AY69" s="11">
        <f t="shared" si="279"/>
        <v>0.04399323181</v>
      </c>
      <c r="AZ69" s="11">
        <f t="shared" si="279"/>
        <v>0.7099440323</v>
      </c>
      <c r="BA69" s="11">
        <f t="shared" si="279"/>
        <v>0.07015488741</v>
      </c>
      <c r="BB69" s="11">
        <f t="shared" si="26"/>
        <v>0.05532700581</v>
      </c>
      <c r="BC69" s="11">
        <f t="shared" ref="BC69:BK69" si="280">IFERROR(BC30/$BB30,0)</f>
        <v>0.06218990009</v>
      </c>
      <c r="BD69" s="11">
        <f t="shared" si="280"/>
        <v>0.1351186026</v>
      </c>
      <c r="BE69" s="11">
        <f t="shared" si="280"/>
        <v>0.01284578264</v>
      </c>
      <c r="BF69" s="11">
        <f t="shared" si="280"/>
        <v>0.1344389316</v>
      </c>
      <c r="BG69" s="11">
        <f t="shared" si="280"/>
        <v>0.1040576361</v>
      </c>
      <c r="BH69" s="11">
        <f t="shared" si="280"/>
        <v>0.09155168898</v>
      </c>
      <c r="BI69" s="11">
        <f t="shared" si="280"/>
        <v>0.1049412085</v>
      </c>
      <c r="BJ69" s="11">
        <f t="shared" si="280"/>
        <v>0.2036294433</v>
      </c>
      <c r="BK69" s="11">
        <f t="shared" si="280"/>
        <v>0.1512268062</v>
      </c>
      <c r="BL69" s="11">
        <f t="shared" si="28"/>
        <v>0.02026864414</v>
      </c>
      <c r="BM69" s="11">
        <f t="shared" ref="BM69:BT69" si="281">IFERROR(BM30/$BL30,0)</f>
        <v>0.02708719852</v>
      </c>
      <c r="BN69" s="11">
        <f t="shared" si="281"/>
        <v>0.0185528757</v>
      </c>
      <c r="BO69" s="11">
        <f t="shared" si="281"/>
        <v>0.008163265306</v>
      </c>
      <c r="BP69" s="11">
        <f t="shared" si="281"/>
        <v>0.04582560297</v>
      </c>
      <c r="BQ69" s="11">
        <f t="shared" si="281"/>
        <v>0.01261595547</v>
      </c>
      <c r="BR69" s="11">
        <f t="shared" si="281"/>
        <v>0.394619666</v>
      </c>
      <c r="BS69" s="11">
        <f t="shared" si="281"/>
        <v>0.05306122449</v>
      </c>
      <c r="BT69" s="11">
        <f t="shared" si="281"/>
        <v>0.4400742115</v>
      </c>
      <c r="BU69" s="11">
        <f t="shared" si="30"/>
        <v>0.07998029542</v>
      </c>
      <c r="BV69" s="11">
        <f t="shared" ref="BV69:BZ69" si="282">IFERROR(BV30/$BU30,0)</f>
        <v>0.06074568621</v>
      </c>
      <c r="BW69" s="11">
        <f t="shared" si="282"/>
        <v>0.03338191734</v>
      </c>
      <c r="BX69" s="11">
        <f t="shared" si="282"/>
        <v>0.00004701678499</v>
      </c>
      <c r="BY69" s="11">
        <f t="shared" si="282"/>
        <v>0.6327989092</v>
      </c>
      <c r="BZ69" s="11">
        <f t="shared" si="282"/>
        <v>0.2730264704</v>
      </c>
      <c r="CA69" s="11">
        <f t="shared" si="32"/>
        <v>1</v>
      </c>
    </row>
    <row r="70" ht="15.75" customHeight="1">
      <c r="A70" s="9" t="str">
        <f t="shared" si="11"/>
        <v>Y2015</v>
      </c>
      <c r="B70" s="11">
        <f t="shared" si="12"/>
        <v>0.1428142189</v>
      </c>
      <c r="C70" s="11">
        <f t="shared" ref="C70:L70" si="283">IFERROR(C31/$B31,0)</f>
        <v>0.05321476661</v>
      </c>
      <c r="D70" s="11">
        <f t="shared" si="283"/>
        <v>0.3685480251</v>
      </c>
      <c r="E70" s="11">
        <f t="shared" si="283"/>
        <v>0.06698833034</v>
      </c>
      <c r="F70" s="11">
        <f t="shared" si="283"/>
        <v>0.03916068223</v>
      </c>
      <c r="G70" s="11">
        <f t="shared" si="283"/>
        <v>0.2619782316</v>
      </c>
      <c r="H70" s="11">
        <f t="shared" si="283"/>
        <v>0.1092347397</v>
      </c>
      <c r="I70" s="11">
        <f t="shared" si="283"/>
        <v>0.007882630162</v>
      </c>
      <c r="J70" s="11">
        <f t="shared" si="283"/>
        <v>0.009201077199</v>
      </c>
      <c r="K70" s="11">
        <f t="shared" si="283"/>
        <v>0.03388689408</v>
      </c>
      <c r="L70" s="11">
        <f t="shared" si="283"/>
        <v>0.04990462298</v>
      </c>
      <c r="M70" s="11">
        <f t="shared" si="14"/>
        <v>0.01009971516</v>
      </c>
      <c r="N70" s="11">
        <f t="shared" ref="N70:O70" si="284">IFERROR(N31/$M31,0)</f>
        <v>0.9738199127</v>
      </c>
      <c r="O70" s="11">
        <f t="shared" si="284"/>
        <v>0.02618008727</v>
      </c>
      <c r="P70" s="11">
        <f t="shared" si="16"/>
        <v>0.3266803146</v>
      </c>
      <c r="Q70" s="11">
        <f t="shared" ref="Q70:Y70" si="285">IFERROR(Q31/$P31,0)</f>
        <v>0.01254552813</v>
      </c>
      <c r="R70" s="11">
        <f t="shared" si="285"/>
        <v>0.01969513018</v>
      </c>
      <c r="S70" s="11">
        <f t="shared" si="285"/>
        <v>0.0001348981519</v>
      </c>
      <c r="T70" s="11">
        <f t="shared" si="285"/>
        <v>0.01904516635</v>
      </c>
      <c r="U70" s="11">
        <f t="shared" si="285"/>
        <v>0.003114920962</v>
      </c>
      <c r="V70" s="11">
        <f t="shared" si="285"/>
        <v>0.04992457967</v>
      </c>
      <c r="W70" s="11">
        <f t="shared" si="285"/>
        <v>0.007284500202</v>
      </c>
      <c r="X70" s="11">
        <f t="shared" si="285"/>
        <v>0.8823565481</v>
      </c>
      <c r="Y70" s="11">
        <f t="shared" si="285"/>
        <v>0.005898728278</v>
      </c>
      <c r="Z70" s="11">
        <f t="shared" si="18"/>
        <v>0.2493840416</v>
      </c>
      <c r="AA70" s="11">
        <f t="shared" ref="AA70:AC70" si="286">IFERROR(AA31/$Z31,0)</f>
        <v>0.5961541551</v>
      </c>
      <c r="AB70" s="11">
        <f t="shared" si="286"/>
        <v>0.1298816045</v>
      </c>
      <c r="AC70" s="11">
        <f t="shared" si="286"/>
        <v>0.2739642404</v>
      </c>
      <c r="AD70" s="11">
        <f t="shared" si="20"/>
        <v>0.00262007684</v>
      </c>
      <c r="AE70" s="11">
        <f t="shared" ref="AE70:AG70" si="287">IFERROR(AE31/$AD31,0)</f>
        <v>0.6009174312</v>
      </c>
      <c r="AF70" s="11">
        <f t="shared" si="287"/>
        <v>0.3608562691</v>
      </c>
      <c r="AG70" s="11">
        <f t="shared" si="287"/>
        <v>0.03822629969</v>
      </c>
      <c r="AH70" s="11">
        <f t="shared" si="22"/>
        <v>0.02937370549</v>
      </c>
      <c r="AI70" s="11">
        <f t="shared" ref="AI70:AQ70" si="288">IFERROR(AI31/$AH31,0)</f>
        <v>0.02823240589</v>
      </c>
      <c r="AJ70" s="11">
        <f t="shared" si="288"/>
        <v>0.1134751773</v>
      </c>
      <c r="AK70" s="11">
        <f t="shared" si="288"/>
        <v>0.115248227</v>
      </c>
      <c r="AL70" s="11">
        <f t="shared" si="288"/>
        <v>0.3372885979</v>
      </c>
      <c r="AM70" s="11">
        <f t="shared" si="288"/>
        <v>0.1122476814</v>
      </c>
      <c r="AN70" s="11">
        <f t="shared" si="288"/>
        <v>0.04950900164</v>
      </c>
      <c r="AO70" s="11">
        <f t="shared" si="288"/>
        <v>0.04964539007</v>
      </c>
      <c r="AP70" s="11">
        <f t="shared" si="288"/>
        <v>0.05128205128</v>
      </c>
      <c r="AQ70" s="11">
        <f t="shared" si="288"/>
        <v>0.1430714675</v>
      </c>
      <c r="AR70" s="11">
        <f t="shared" si="24"/>
        <v>0.05895573512</v>
      </c>
      <c r="AS70" s="11">
        <f t="shared" ref="AS70:BA70" si="289">IFERROR(AS31/$AR31,0)</f>
        <v>0.01712421854</v>
      </c>
      <c r="AT70" s="11">
        <f t="shared" si="289"/>
        <v>0.01644468606</v>
      </c>
      <c r="AU70" s="11">
        <f t="shared" si="289"/>
        <v>0.006999184561</v>
      </c>
      <c r="AV70" s="11">
        <f t="shared" si="289"/>
        <v>0.06815710791</v>
      </c>
      <c r="AW70" s="11">
        <f t="shared" si="289"/>
        <v>0.01916281598</v>
      </c>
      <c r="AX70" s="11">
        <f t="shared" si="289"/>
        <v>0.07338950802</v>
      </c>
      <c r="AY70" s="11">
        <f t="shared" si="289"/>
        <v>0.04620820875</v>
      </c>
      <c r="AZ70" s="11">
        <f t="shared" si="289"/>
        <v>0.6796683881</v>
      </c>
      <c r="BA70" s="11">
        <f t="shared" si="289"/>
        <v>0.07284588203</v>
      </c>
      <c r="BB70" s="11">
        <f t="shared" si="26"/>
        <v>0.06423995737</v>
      </c>
      <c r="BC70" s="11">
        <f t="shared" ref="BC70:BK70" si="290">IFERROR(BC31/$BB31,0)</f>
        <v>0.06223885251</v>
      </c>
      <c r="BD70" s="11">
        <f t="shared" si="290"/>
        <v>0.1208606174</v>
      </c>
      <c r="BE70" s="11">
        <f t="shared" si="290"/>
        <v>0.009978172747</v>
      </c>
      <c r="BF70" s="11">
        <f t="shared" si="290"/>
        <v>0.1348924228</v>
      </c>
      <c r="BG70" s="11">
        <f t="shared" si="290"/>
        <v>0.1095104459</v>
      </c>
      <c r="BH70" s="11">
        <f t="shared" si="290"/>
        <v>0.1062675398</v>
      </c>
      <c r="BI70" s="11">
        <f t="shared" si="290"/>
        <v>0.1026504521</v>
      </c>
      <c r="BJ70" s="11">
        <f t="shared" si="290"/>
        <v>0.2082319925</v>
      </c>
      <c r="BK70" s="11">
        <f t="shared" si="290"/>
        <v>0.1453695042</v>
      </c>
      <c r="BL70" s="11">
        <f t="shared" si="28"/>
        <v>0.02524327854</v>
      </c>
      <c r="BM70" s="11">
        <f t="shared" ref="BM70:BT70" si="291">IFERROR(BM31/$BL31,0)</f>
        <v>0.02920171401</v>
      </c>
      <c r="BN70" s="11">
        <f t="shared" si="291"/>
        <v>0.02031423584</v>
      </c>
      <c r="BO70" s="11">
        <f t="shared" si="291"/>
        <v>0.007141723536</v>
      </c>
      <c r="BP70" s="11">
        <f t="shared" si="291"/>
        <v>0.04808760514</v>
      </c>
      <c r="BQ70" s="11">
        <f t="shared" si="291"/>
        <v>0.01301380733</v>
      </c>
      <c r="BR70" s="11">
        <f t="shared" si="291"/>
        <v>0.3861291858</v>
      </c>
      <c r="BS70" s="11">
        <f t="shared" si="291"/>
        <v>0.06189493731</v>
      </c>
      <c r="BT70" s="11">
        <f t="shared" si="291"/>
        <v>0.434216791</v>
      </c>
      <c r="BU70" s="11">
        <f t="shared" si="30"/>
        <v>0.09058895642</v>
      </c>
      <c r="BV70" s="11">
        <f t="shared" ref="BV70:BZ70" si="292">IFERROR(BV31/$BU31,0)</f>
        <v>0.05758004599</v>
      </c>
      <c r="BW70" s="11">
        <f t="shared" si="292"/>
        <v>0.03705996816</v>
      </c>
      <c r="BX70" s="11">
        <f t="shared" si="292"/>
        <v>0.0002211215284</v>
      </c>
      <c r="BY70" s="11">
        <f t="shared" si="292"/>
        <v>0.6414293296</v>
      </c>
      <c r="BZ70" s="11">
        <f t="shared" si="292"/>
        <v>0.2637095348</v>
      </c>
      <c r="CA70" s="11">
        <f t="shared" si="32"/>
        <v>1</v>
      </c>
    </row>
    <row r="71" ht="15.75" customHeight="1">
      <c r="A71" s="9" t="str">
        <f t="shared" si="11"/>
        <v>Y2016</v>
      </c>
      <c r="B71" s="11">
        <f t="shared" si="12"/>
        <v>0.1261950731</v>
      </c>
      <c r="C71" s="11">
        <f t="shared" ref="C71:L71" si="293">IFERROR(C32/$B32,0)</f>
        <v>0.05745646309</v>
      </c>
      <c r="D71" s="11">
        <f t="shared" si="293"/>
        <v>0.3399558499</v>
      </c>
      <c r="E71" s="11">
        <f t="shared" si="293"/>
        <v>0.06769683591</v>
      </c>
      <c r="F71" s="11">
        <f t="shared" si="293"/>
        <v>0.04227986264</v>
      </c>
      <c r="G71" s="11">
        <f t="shared" si="293"/>
        <v>0.2324012754</v>
      </c>
      <c r="H71" s="11">
        <f t="shared" si="293"/>
        <v>0.1273301447</v>
      </c>
      <c r="I71" s="11">
        <f t="shared" si="293"/>
        <v>0.00978047584</v>
      </c>
      <c r="J71" s="11">
        <f t="shared" si="293"/>
        <v>0.01112950699</v>
      </c>
      <c r="K71" s="11">
        <f t="shared" si="293"/>
        <v>0.03599460388</v>
      </c>
      <c r="L71" s="11">
        <f t="shared" si="293"/>
        <v>0.0759749816</v>
      </c>
      <c r="M71" s="11">
        <f t="shared" si="14"/>
        <v>0.01036149147</v>
      </c>
      <c r="N71" s="11">
        <f t="shared" ref="N71:O71" si="294">IFERROR(N32/$M32,0)</f>
        <v>0.9746079164</v>
      </c>
      <c r="O71" s="11">
        <f t="shared" si="294"/>
        <v>0.02539208364</v>
      </c>
      <c r="P71" s="11">
        <f t="shared" si="16"/>
        <v>0.3235238357</v>
      </c>
      <c r="Q71" s="11">
        <f t="shared" ref="Q71:Y71" si="295">IFERROR(Q32/$P32,0)</f>
        <v>0.009890333305</v>
      </c>
      <c r="R71" s="11">
        <f t="shared" si="295"/>
        <v>0.01692239616</v>
      </c>
      <c r="S71" s="11">
        <f t="shared" si="295"/>
        <v>0.00008371503402</v>
      </c>
      <c r="T71" s="11">
        <f t="shared" si="295"/>
        <v>0.02115598503</v>
      </c>
      <c r="U71" s="11">
        <f t="shared" si="295"/>
        <v>0.002894148319</v>
      </c>
      <c r="V71" s="11">
        <f t="shared" si="295"/>
        <v>0.05647177009</v>
      </c>
      <c r="W71" s="11">
        <f t="shared" si="295"/>
        <v>0.007952928232</v>
      </c>
      <c r="X71" s="11">
        <f t="shared" si="295"/>
        <v>0.8789361015</v>
      </c>
      <c r="Y71" s="11">
        <f t="shared" si="295"/>
        <v>0.005692622314</v>
      </c>
      <c r="Z71" s="11">
        <f t="shared" si="18"/>
        <v>0.2619352542</v>
      </c>
      <c r="AA71" s="11">
        <f t="shared" ref="AA71:AC71" si="296">IFERROR(AA32/$Z32,0)</f>
        <v>0.624425767</v>
      </c>
      <c r="AB71" s="11">
        <f t="shared" si="296"/>
        <v>0.1026012201</v>
      </c>
      <c r="AC71" s="11">
        <f t="shared" si="296"/>
        <v>0.2729730129</v>
      </c>
      <c r="AD71" s="11">
        <f t="shared" si="20"/>
        <v>0.002615522118</v>
      </c>
      <c r="AE71" s="11">
        <f t="shared" ref="AE71:AG71" si="297">IFERROR(AE32/$AD32,0)</f>
        <v>0.624260355</v>
      </c>
      <c r="AF71" s="11">
        <f t="shared" si="297"/>
        <v>0.3210059172</v>
      </c>
      <c r="AG71" s="11">
        <f t="shared" si="297"/>
        <v>0.05473372781</v>
      </c>
      <c r="AH71" s="11">
        <f t="shared" si="22"/>
        <v>0.03238062811</v>
      </c>
      <c r="AI71" s="11">
        <f t="shared" ref="AI71:AQ71" si="298">IFERROR(AI32/$AH32,0)</f>
        <v>0.02712390967</v>
      </c>
      <c r="AJ71" s="11">
        <f t="shared" si="298"/>
        <v>0.07850400287</v>
      </c>
      <c r="AK71" s="11">
        <f t="shared" si="298"/>
        <v>0.1012068347</v>
      </c>
      <c r="AL71" s="11">
        <f t="shared" si="298"/>
        <v>0.4165372207</v>
      </c>
      <c r="AM71" s="11">
        <f t="shared" si="298"/>
        <v>0.11769626</v>
      </c>
      <c r="AN71" s="11">
        <f t="shared" si="298"/>
        <v>0.04409128928</v>
      </c>
      <c r="AO71" s="11">
        <f t="shared" si="298"/>
        <v>0.03763890548</v>
      </c>
      <c r="AP71" s="11">
        <f t="shared" si="298"/>
        <v>0.04994623014</v>
      </c>
      <c r="AQ71" s="11">
        <f t="shared" si="298"/>
        <v>0.1272553471</v>
      </c>
      <c r="AR71" s="11">
        <f t="shared" si="24"/>
        <v>0.05186162495</v>
      </c>
      <c r="AS71" s="11">
        <f t="shared" ref="AS71:BA71" si="299">IFERROR(AS32/$AR32,0)</f>
        <v>0.0137272456</v>
      </c>
      <c r="AT71" s="11">
        <f t="shared" si="299"/>
        <v>0.01835273053</v>
      </c>
      <c r="AU71" s="11">
        <f t="shared" si="299"/>
        <v>0.008281110116</v>
      </c>
      <c r="AV71" s="11">
        <f t="shared" si="299"/>
        <v>0.07341092211</v>
      </c>
      <c r="AW71" s="11">
        <f t="shared" si="299"/>
        <v>0.01999403163</v>
      </c>
      <c r="AX71" s="11">
        <f t="shared" si="299"/>
        <v>0.07908087138</v>
      </c>
      <c r="AY71" s="11">
        <f t="shared" si="299"/>
        <v>0.04491196658</v>
      </c>
      <c r="AZ71" s="11">
        <f t="shared" si="299"/>
        <v>0.6596538347</v>
      </c>
      <c r="BA71" s="11">
        <f t="shared" si="299"/>
        <v>0.08258728738</v>
      </c>
      <c r="BB71" s="11">
        <f t="shared" si="26"/>
        <v>0.05954181934</v>
      </c>
      <c r="BC71" s="11">
        <f t="shared" ref="BC71:BK71" si="300">IFERROR(BC32/$BB32,0)</f>
        <v>0.0566638508</v>
      </c>
      <c r="BD71" s="11">
        <f t="shared" si="300"/>
        <v>0.1216453311</v>
      </c>
      <c r="BE71" s="11">
        <f t="shared" si="300"/>
        <v>0.01046201832</v>
      </c>
      <c r="BF71" s="11">
        <f t="shared" si="300"/>
        <v>0.1474429788</v>
      </c>
      <c r="BG71" s="11">
        <f t="shared" si="300"/>
        <v>0.1002014426</v>
      </c>
      <c r="BH71" s="11">
        <f t="shared" si="300"/>
        <v>0.1138475534</v>
      </c>
      <c r="BI71" s="11">
        <f t="shared" si="300"/>
        <v>0.1098836832</v>
      </c>
      <c r="BJ71" s="11">
        <f t="shared" si="300"/>
        <v>0.191045552</v>
      </c>
      <c r="BK71" s="11">
        <f t="shared" si="300"/>
        <v>0.1488075898</v>
      </c>
      <c r="BL71" s="11">
        <f t="shared" si="28"/>
        <v>0.0253659216</v>
      </c>
      <c r="BM71" s="11">
        <f t="shared" ref="BM71:BT71" si="301">IFERROR(BM32/$BL32,0)</f>
        <v>0.02074435631</v>
      </c>
      <c r="BN71" s="11">
        <f t="shared" si="301"/>
        <v>0.02028676022</v>
      </c>
      <c r="BO71" s="11">
        <f t="shared" si="301"/>
        <v>0.009762050031</v>
      </c>
      <c r="BP71" s="11">
        <f t="shared" si="301"/>
        <v>0.05003050641</v>
      </c>
      <c r="BQ71" s="11">
        <f t="shared" si="301"/>
        <v>0.01403294692</v>
      </c>
      <c r="BR71" s="11">
        <f t="shared" si="301"/>
        <v>0.3862111043</v>
      </c>
      <c r="BS71" s="11">
        <f t="shared" si="301"/>
        <v>0.06238560098</v>
      </c>
      <c r="BT71" s="11">
        <f t="shared" si="301"/>
        <v>0.4365466748</v>
      </c>
      <c r="BU71" s="11">
        <f t="shared" si="30"/>
        <v>0.1062188294</v>
      </c>
      <c r="BV71" s="11">
        <f t="shared" ref="BV71:BZ71" si="302">IFERROR(BV32/$BU32,0)</f>
        <v>0.05693366845</v>
      </c>
      <c r="BW71" s="11">
        <f t="shared" si="302"/>
        <v>0.03602520672</v>
      </c>
      <c r="BX71" s="11">
        <f t="shared" si="302"/>
        <v>0.00003642589152</v>
      </c>
      <c r="BY71" s="11">
        <f t="shared" si="302"/>
        <v>0.6868830365</v>
      </c>
      <c r="BZ71" s="11">
        <f t="shared" si="302"/>
        <v>0.2201216625</v>
      </c>
      <c r="CA71" s="11">
        <f t="shared" si="32"/>
        <v>1</v>
      </c>
    </row>
    <row r="72" ht="15.75" customHeight="1">
      <c r="A72" s="9" t="str">
        <f t="shared" si="11"/>
        <v>Y2017</v>
      </c>
      <c r="B72" s="11">
        <f t="shared" si="12"/>
        <v>0.1214454249</v>
      </c>
      <c r="C72" s="11">
        <f t="shared" ref="C72:L72" si="303">IFERROR(C33/$B33,0)</f>
        <v>0.04421248224</v>
      </c>
      <c r="D72" s="11">
        <f t="shared" si="303"/>
        <v>0.3233686742</v>
      </c>
      <c r="E72" s="11">
        <f t="shared" si="303"/>
        <v>0.06407804132</v>
      </c>
      <c r="F72" s="11">
        <f t="shared" si="303"/>
        <v>0.03891135643</v>
      </c>
      <c r="G72" s="11">
        <f t="shared" si="303"/>
        <v>0.2551098481</v>
      </c>
      <c r="H72" s="11">
        <f t="shared" si="303"/>
        <v>0.1393321674</v>
      </c>
      <c r="I72" s="11">
        <f t="shared" si="303"/>
        <v>0.009017378949</v>
      </c>
      <c r="J72" s="11">
        <f t="shared" si="303"/>
        <v>0.01008306919</v>
      </c>
      <c r="K72" s="11">
        <f t="shared" si="303"/>
        <v>0.03361023063</v>
      </c>
      <c r="L72" s="11">
        <f t="shared" si="303"/>
        <v>0.08227675156</v>
      </c>
      <c r="M72" s="11">
        <f t="shared" si="14"/>
        <v>0.01005186884</v>
      </c>
      <c r="N72" s="11">
        <f t="shared" ref="N72:O72" si="304">IFERROR(N33/$M33,0)</f>
        <v>0.9778804886</v>
      </c>
      <c r="O72" s="11">
        <f t="shared" si="304"/>
        <v>0.02211951139</v>
      </c>
      <c r="P72" s="11">
        <f t="shared" si="16"/>
        <v>0.330102178</v>
      </c>
      <c r="Q72" s="11">
        <f t="shared" ref="Q72:Y72" si="305">IFERROR(Q33/$P33,0)</f>
        <v>0.008122888853</v>
      </c>
      <c r="R72" s="11">
        <f t="shared" si="305"/>
        <v>0.01916117098</v>
      </c>
      <c r="S72" s="11">
        <f t="shared" si="305"/>
        <v>0</v>
      </c>
      <c r="T72" s="11">
        <f t="shared" si="305"/>
        <v>0.01985483352</v>
      </c>
      <c r="U72" s="11">
        <f t="shared" si="305"/>
        <v>0.002784703233</v>
      </c>
      <c r="V72" s="11">
        <f t="shared" si="305"/>
        <v>0.0588306257</v>
      </c>
      <c r="W72" s="11">
        <f t="shared" si="305"/>
        <v>0.01583360142</v>
      </c>
      <c r="X72" s="11">
        <f t="shared" si="305"/>
        <v>0.8704258485</v>
      </c>
      <c r="Y72" s="11">
        <f t="shared" si="305"/>
        <v>0.004986327811</v>
      </c>
      <c r="Z72" s="11">
        <f t="shared" si="18"/>
        <v>0.3024852574</v>
      </c>
      <c r="AA72" s="11">
        <f t="shared" ref="AA72:AC72" si="306">IFERROR(AA33/$Z33,0)</f>
        <v>0.6268019748</v>
      </c>
      <c r="AB72" s="11">
        <f t="shared" si="306"/>
        <v>0.08405924301</v>
      </c>
      <c r="AC72" s="11">
        <f t="shared" si="306"/>
        <v>0.2891387822</v>
      </c>
      <c r="AD72" s="11">
        <f t="shared" si="20"/>
        <v>0.002256609709</v>
      </c>
      <c r="AE72" s="11">
        <f t="shared" ref="AE72:AG72" si="307">IFERROR(AE33/$AD33,0)</f>
        <v>0.5735294118</v>
      </c>
      <c r="AF72" s="11">
        <f t="shared" si="307"/>
        <v>0.3544117647</v>
      </c>
      <c r="AG72" s="11">
        <f t="shared" si="307"/>
        <v>0.07205882353</v>
      </c>
      <c r="AH72" s="11">
        <f t="shared" si="22"/>
        <v>0.02866226185</v>
      </c>
      <c r="AI72" s="11">
        <f t="shared" ref="AI72:AQ72" si="308">IFERROR(AI33/$AH33,0)</f>
        <v>0.02304040755</v>
      </c>
      <c r="AJ72" s="11">
        <f t="shared" si="308"/>
        <v>0.0812782216</v>
      </c>
      <c r="AK72" s="11">
        <f t="shared" si="308"/>
        <v>0.1110339238</v>
      </c>
      <c r="AL72" s="11">
        <f t="shared" si="308"/>
        <v>0.4026861179</v>
      </c>
      <c r="AM72" s="11">
        <f t="shared" si="308"/>
        <v>0.1366215121</v>
      </c>
      <c r="AN72" s="11">
        <f t="shared" si="308"/>
        <v>0.03068194975</v>
      </c>
      <c r="AO72" s="11">
        <f t="shared" si="308"/>
        <v>0.03924973949</v>
      </c>
      <c r="AP72" s="11">
        <f t="shared" si="308"/>
        <v>0.05129095751</v>
      </c>
      <c r="AQ72" s="11">
        <f t="shared" si="308"/>
        <v>0.1241171703</v>
      </c>
      <c r="AR72" s="11">
        <f t="shared" si="24"/>
        <v>0.04895515652</v>
      </c>
      <c r="AS72" s="11">
        <f t="shared" ref="AS72:BA72" si="309">IFERROR(AS33/$AR33,0)</f>
        <v>0.0112527115</v>
      </c>
      <c r="AT72" s="11">
        <f t="shared" si="309"/>
        <v>0.01992950108</v>
      </c>
      <c r="AU72" s="11">
        <f t="shared" si="309"/>
        <v>0.007795553145</v>
      </c>
      <c r="AV72" s="11">
        <f t="shared" si="309"/>
        <v>0.0686686551</v>
      </c>
      <c r="AW72" s="11">
        <f t="shared" si="309"/>
        <v>0.01857375271</v>
      </c>
      <c r="AX72" s="11">
        <f t="shared" si="309"/>
        <v>0.06114425163</v>
      </c>
      <c r="AY72" s="11">
        <f t="shared" si="309"/>
        <v>0.06216106291</v>
      </c>
      <c r="AZ72" s="11">
        <f t="shared" si="309"/>
        <v>0.6749593275</v>
      </c>
      <c r="BA72" s="11">
        <f t="shared" si="309"/>
        <v>0.07551518438</v>
      </c>
      <c r="BB72" s="11">
        <f t="shared" si="26"/>
        <v>0.04858016108</v>
      </c>
      <c r="BC72" s="11">
        <f t="shared" ref="BC72:BK72" si="310">IFERROR(BC33/$BB33,0)</f>
        <v>0.0506865223</v>
      </c>
      <c r="BD72" s="11">
        <f t="shared" si="310"/>
        <v>0.1288339367</v>
      </c>
      <c r="BE72" s="11">
        <f t="shared" si="310"/>
        <v>0.01284240727</v>
      </c>
      <c r="BF72" s="11">
        <f t="shared" si="310"/>
        <v>0.1496686932</v>
      </c>
      <c r="BG72" s="11">
        <f t="shared" si="310"/>
        <v>0.08374888995</v>
      </c>
      <c r="BH72" s="11">
        <f t="shared" si="310"/>
        <v>0.137441082</v>
      </c>
      <c r="BI72" s="11">
        <f t="shared" si="310"/>
        <v>0.1261698203</v>
      </c>
      <c r="BJ72" s="11">
        <f t="shared" si="310"/>
        <v>0.1546553726</v>
      </c>
      <c r="BK72" s="11">
        <f t="shared" si="310"/>
        <v>0.1559532755</v>
      </c>
      <c r="BL72" s="11">
        <f t="shared" si="28"/>
        <v>0.02276852826</v>
      </c>
      <c r="BM72" s="11">
        <f t="shared" ref="BM72:BT72" si="311">IFERROR(BM33/$BL33,0)</f>
        <v>0.02098819414</v>
      </c>
      <c r="BN72" s="11">
        <f t="shared" si="311"/>
        <v>0.0205509401</v>
      </c>
      <c r="BO72" s="11">
        <f t="shared" si="311"/>
        <v>0.01020259437</v>
      </c>
      <c r="BP72" s="11">
        <f t="shared" si="311"/>
        <v>0.04780644221</v>
      </c>
      <c r="BQ72" s="11">
        <f t="shared" si="311"/>
        <v>0.01676140504</v>
      </c>
      <c r="BR72" s="11">
        <f t="shared" si="311"/>
        <v>0.3817227809</v>
      </c>
      <c r="BS72" s="11">
        <f t="shared" si="311"/>
        <v>0.06223582568</v>
      </c>
      <c r="BT72" s="11">
        <f t="shared" si="311"/>
        <v>0.4397318175</v>
      </c>
      <c r="BU72" s="11">
        <f t="shared" si="30"/>
        <v>0.08469255352</v>
      </c>
      <c r="BV72" s="11">
        <f t="shared" ref="BV72:BZ72" si="312">IFERROR(BV33/$BU33,0)</f>
        <v>0.05775635751</v>
      </c>
      <c r="BW72" s="11">
        <f t="shared" si="312"/>
        <v>0.0265271737</v>
      </c>
      <c r="BX72" s="11">
        <f t="shared" si="312"/>
        <v>0.00003918341758</v>
      </c>
      <c r="BY72" s="11">
        <f t="shared" si="312"/>
        <v>0.6904118177</v>
      </c>
      <c r="BZ72" s="11">
        <f t="shared" si="312"/>
        <v>0.2252654677</v>
      </c>
      <c r="CA72" s="11">
        <f t="shared" si="32"/>
        <v>1</v>
      </c>
    </row>
    <row r="73" ht="15.75" customHeight="1">
      <c r="A73" s="9" t="str">
        <f t="shared" si="11"/>
        <v>Y2018</v>
      </c>
      <c r="B73" s="11">
        <f t="shared" si="12"/>
        <v>0.1023495922</v>
      </c>
      <c r="C73" s="11">
        <f t="shared" ref="C73:L73" si="313">IFERROR(C34/$B34,0)</f>
        <v>0.05174222449</v>
      </c>
      <c r="D73" s="11">
        <f t="shared" si="313"/>
        <v>0.3857276516</v>
      </c>
      <c r="E73" s="11">
        <f t="shared" si="313"/>
        <v>0.0703410734</v>
      </c>
      <c r="F73" s="11">
        <f t="shared" si="313"/>
        <v>0.04164894673</v>
      </c>
      <c r="G73" s="11">
        <f t="shared" si="313"/>
        <v>0.2077060475</v>
      </c>
      <c r="H73" s="11">
        <f t="shared" si="313"/>
        <v>0.101131241</v>
      </c>
      <c r="I73" s="11">
        <f t="shared" si="313"/>
        <v>0.008505571149</v>
      </c>
      <c r="J73" s="11">
        <f t="shared" si="313"/>
        <v>0.01114229821</v>
      </c>
      <c r="K73" s="11">
        <f t="shared" si="313"/>
        <v>0.03853023731</v>
      </c>
      <c r="L73" s="11">
        <f t="shared" si="313"/>
        <v>0.08352470868</v>
      </c>
      <c r="M73" s="11">
        <f t="shared" si="14"/>
        <v>0.009799398165</v>
      </c>
      <c r="N73" s="11">
        <f t="shared" ref="N73:O73" si="314">IFERROR(N34/$M34,0)</f>
        <v>0.9825288718</v>
      </c>
      <c r="O73" s="11">
        <f t="shared" si="314"/>
        <v>0.01747112822</v>
      </c>
      <c r="P73" s="11">
        <f t="shared" si="16"/>
        <v>0.3101450032</v>
      </c>
      <c r="Q73" s="11">
        <f t="shared" ref="Q73:Y73" si="315">IFERROR(Q34/$P34,0)</f>
        <v>0.006839446108</v>
      </c>
      <c r="R73" s="11">
        <f t="shared" si="315"/>
        <v>0.01308008982</v>
      </c>
      <c r="S73" s="11">
        <f t="shared" si="315"/>
        <v>0.0001403443114</v>
      </c>
      <c r="T73" s="11">
        <f t="shared" si="315"/>
        <v>0.02075224551</v>
      </c>
      <c r="U73" s="11">
        <f t="shared" si="315"/>
        <v>0.002226796407</v>
      </c>
      <c r="V73" s="11">
        <f t="shared" si="315"/>
        <v>0.06057260479</v>
      </c>
      <c r="W73" s="11">
        <f t="shared" si="315"/>
        <v>0.01974176647</v>
      </c>
      <c r="X73" s="11">
        <f t="shared" si="315"/>
        <v>0.8711826347</v>
      </c>
      <c r="Y73" s="11">
        <f t="shared" si="315"/>
        <v>0.005464071856</v>
      </c>
      <c r="Z73" s="11">
        <f t="shared" si="18"/>
        <v>0.3547979908</v>
      </c>
      <c r="AA73" s="11">
        <f t="shared" ref="AA73:AC73" si="316">IFERROR(AA34/$Z34,0)</f>
        <v>0.5467334053</v>
      </c>
      <c r="AB73" s="11">
        <f t="shared" si="316"/>
        <v>0.09152844571</v>
      </c>
      <c r="AC73" s="11">
        <f t="shared" si="316"/>
        <v>0.361738149</v>
      </c>
      <c r="AD73" s="11">
        <f t="shared" si="20"/>
        <v>0.001923897241</v>
      </c>
      <c r="AE73" s="11">
        <f t="shared" ref="AE73:AG73" si="317">IFERROR(AE34/$AD34,0)</f>
        <v>0.5550527903</v>
      </c>
      <c r="AF73" s="11">
        <f t="shared" si="317"/>
        <v>0.3619909502</v>
      </c>
      <c r="AG73" s="11">
        <f t="shared" si="317"/>
        <v>0.08295625943</v>
      </c>
      <c r="AH73" s="11">
        <f t="shared" si="22"/>
        <v>0.03049507709</v>
      </c>
      <c r="AI73" s="11">
        <f t="shared" ref="AI73:AQ73" si="318">IFERROR(AI34/$AH34,0)</f>
        <v>0.01912646303</v>
      </c>
      <c r="AJ73" s="11">
        <f t="shared" si="318"/>
        <v>0.08916167095</v>
      </c>
      <c r="AK73" s="11">
        <f t="shared" si="318"/>
        <v>0.09791607194</v>
      </c>
      <c r="AL73" s="11">
        <f t="shared" si="318"/>
        <v>0.4519935294</v>
      </c>
      <c r="AM73" s="11">
        <f t="shared" si="318"/>
        <v>0.1280806927</v>
      </c>
      <c r="AN73" s="11">
        <f t="shared" si="318"/>
        <v>0.0304500904</v>
      </c>
      <c r="AO73" s="11">
        <f t="shared" si="318"/>
        <v>0.02835664668</v>
      </c>
      <c r="AP73" s="11">
        <f t="shared" si="318"/>
        <v>0.0421543439</v>
      </c>
      <c r="AQ73" s="11">
        <f t="shared" si="318"/>
        <v>0.112760491</v>
      </c>
      <c r="AR73" s="11">
        <f t="shared" si="24"/>
        <v>0.04942355628</v>
      </c>
      <c r="AS73" s="11">
        <f t="shared" ref="AS73:BA73" si="319">IFERROR(AS34/$AR34,0)</f>
        <v>0.009746359793</v>
      </c>
      <c r="AT73" s="11">
        <f t="shared" si="319"/>
        <v>0.01802489432</v>
      </c>
      <c r="AU73" s="11">
        <f t="shared" si="319"/>
        <v>0.005695162048</v>
      </c>
      <c r="AV73" s="11">
        <f t="shared" si="319"/>
        <v>0.06722639737</v>
      </c>
      <c r="AW73" s="11">
        <f t="shared" si="319"/>
        <v>0.01602865195</v>
      </c>
      <c r="AX73" s="11">
        <f t="shared" si="319"/>
        <v>0.05442696101</v>
      </c>
      <c r="AY73" s="11">
        <f t="shared" si="319"/>
        <v>0.06041568812</v>
      </c>
      <c r="AZ73" s="11">
        <f t="shared" si="319"/>
        <v>0.6941639267</v>
      </c>
      <c r="BA73" s="11">
        <f t="shared" si="319"/>
        <v>0.07427195867</v>
      </c>
      <c r="BB73" s="11">
        <f t="shared" si="26"/>
        <v>0.04454562074</v>
      </c>
      <c r="BC73" s="11">
        <f t="shared" ref="BC73:BK73" si="320">IFERROR(BC34/$BB34,0)</f>
        <v>0.06116865351</v>
      </c>
      <c r="BD73" s="11">
        <f t="shared" si="320"/>
        <v>0.1194059019</v>
      </c>
      <c r="BE73" s="11">
        <f t="shared" si="320"/>
        <v>0.0179141424</v>
      </c>
      <c r="BF73" s="11">
        <f t="shared" si="320"/>
        <v>0.1495668035</v>
      </c>
      <c r="BG73" s="11">
        <f t="shared" si="320"/>
        <v>0.08364275943</v>
      </c>
      <c r="BH73" s="11">
        <f t="shared" si="320"/>
        <v>0.1308058107</v>
      </c>
      <c r="BI73" s="11">
        <f t="shared" si="320"/>
        <v>0.1353657742</v>
      </c>
      <c r="BJ73" s="11">
        <f t="shared" si="320"/>
        <v>0.1102859749</v>
      </c>
      <c r="BK73" s="11">
        <f t="shared" si="320"/>
        <v>0.1918441795</v>
      </c>
      <c r="BL73" s="11">
        <f t="shared" si="28"/>
        <v>0.02115416424</v>
      </c>
      <c r="BM73" s="11">
        <f t="shared" ref="BM73:BT73" si="321">IFERROR(BM34/$BL34,0)</f>
        <v>0.02222222222</v>
      </c>
      <c r="BN73" s="11">
        <f t="shared" si="321"/>
        <v>0.02085048011</v>
      </c>
      <c r="BO73" s="11">
        <f t="shared" si="321"/>
        <v>0.0109739369</v>
      </c>
      <c r="BP73" s="11">
        <f t="shared" si="321"/>
        <v>0.04609053498</v>
      </c>
      <c r="BQ73" s="11">
        <f t="shared" si="321"/>
        <v>0.01700960219</v>
      </c>
      <c r="BR73" s="11">
        <f t="shared" si="321"/>
        <v>0.3792866941</v>
      </c>
      <c r="BS73" s="11">
        <f t="shared" si="321"/>
        <v>0.06035665295</v>
      </c>
      <c r="BT73" s="11">
        <f t="shared" si="321"/>
        <v>0.4432098765</v>
      </c>
      <c r="BU73" s="11">
        <f t="shared" si="30"/>
        <v>0.07536570008</v>
      </c>
      <c r="BV73" s="11">
        <f t="shared" ref="BV73:BZ73" si="322">IFERROR(BV34/$BU34,0)</f>
        <v>0.05278761743</v>
      </c>
      <c r="BW73" s="11">
        <f t="shared" si="322"/>
        <v>0.03134144463</v>
      </c>
      <c r="BX73" s="11">
        <f t="shared" si="322"/>
        <v>0</v>
      </c>
      <c r="BY73" s="11">
        <f t="shared" si="322"/>
        <v>0.7367934699</v>
      </c>
      <c r="BZ73" s="11">
        <f t="shared" si="322"/>
        <v>0.179077468</v>
      </c>
      <c r="CA73" s="11">
        <f t="shared" si="32"/>
        <v>1</v>
      </c>
    </row>
    <row r="74" ht="15.75" customHeight="1">
      <c r="A74" s="9" t="str">
        <f t="shared" si="11"/>
        <v>Y2019</v>
      </c>
      <c r="B74" s="11">
        <f t="shared" si="12"/>
        <v>0.09654804581</v>
      </c>
      <c r="C74" s="11">
        <f t="shared" ref="C74:L74" si="323">IFERROR(C35/$B35,0)</f>
        <v>0.05646446404</v>
      </c>
      <c r="D74" s="11">
        <f t="shared" si="323"/>
        <v>0.4372144906</v>
      </c>
      <c r="E74" s="11">
        <f t="shared" si="323"/>
        <v>0.06607882715</v>
      </c>
      <c r="F74" s="11">
        <f t="shared" si="323"/>
        <v>0.0406087326</v>
      </c>
      <c r="G74" s="11">
        <f t="shared" si="323"/>
        <v>0.1564591522</v>
      </c>
      <c r="H74" s="11">
        <f t="shared" si="323"/>
        <v>0.1092106661</v>
      </c>
      <c r="I74" s="11">
        <f t="shared" si="323"/>
        <v>0.007117815787</v>
      </c>
      <c r="J74" s="11">
        <f t="shared" si="323"/>
        <v>0.011287581</v>
      </c>
      <c r="K74" s="11">
        <f t="shared" si="323"/>
        <v>0.03649208541</v>
      </c>
      <c r="L74" s="11">
        <f t="shared" si="323"/>
        <v>0.07906618506</v>
      </c>
      <c r="M74" s="11">
        <f t="shared" si="14"/>
        <v>0.00918503931</v>
      </c>
      <c r="N74" s="11">
        <f t="shared" ref="N74:O74" si="324">IFERROR(N35/$M35,0)</f>
        <v>0.9835287549</v>
      </c>
      <c r="O74" s="11">
        <f t="shared" si="324"/>
        <v>0.01647124511</v>
      </c>
      <c r="P74" s="11">
        <f t="shared" si="16"/>
        <v>0.3497956316</v>
      </c>
      <c r="Q74" s="11">
        <f t="shared" ref="Q74:Y74" si="325">IFERROR(Q35/$P35,0)</f>
        <v>0.00424443239</v>
      </c>
      <c r="R74" s="11">
        <f t="shared" si="325"/>
        <v>0.007704487809</v>
      </c>
      <c r="S74" s="11">
        <f t="shared" si="325"/>
        <v>0.0001466125178</v>
      </c>
      <c r="T74" s="11">
        <f t="shared" si="325"/>
        <v>0.0163106426</v>
      </c>
      <c r="U74" s="11">
        <f t="shared" si="325"/>
        <v>0.001341504538</v>
      </c>
      <c r="V74" s="11">
        <f t="shared" si="325"/>
        <v>0.03550955181</v>
      </c>
      <c r="W74" s="11">
        <f t="shared" si="325"/>
        <v>0.01258668465</v>
      </c>
      <c r="X74" s="11">
        <f t="shared" si="325"/>
        <v>0.9178749982</v>
      </c>
      <c r="Y74" s="11">
        <f t="shared" si="325"/>
        <v>0.004281085519</v>
      </c>
      <c r="Z74" s="11">
        <f t="shared" si="18"/>
        <v>0.3238328949</v>
      </c>
      <c r="AA74" s="11">
        <f t="shared" ref="AA74:AC74" si="326">IFERROR(AA35/$Z35,0)</f>
        <v>0.5063069626</v>
      </c>
      <c r="AB74" s="11">
        <f t="shared" si="326"/>
        <v>0.0967938617</v>
      </c>
      <c r="AC74" s="11">
        <f t="shared" si="326"/>
        <v>0.3968991757</v>
      </c>
      <c r="AD74" s="11">
        <f t="shared" si="20"/>
        <v>0.001664179372</v>
      </c>
      <c r="AE74" s="11">
        <f t="shared" ref="AE74:AG74" si="327">IFERROR(AE35/$AD35,0)</f>
        <v>0.5531587057</v>
      </c>
      <c r="AF74" s="11">
        <f t="shared" si="327"/>
        <v>0.374422188</v>
      </c>
      <c r="AG74" s="11">
        <f t="shared" si="327"/>
        <v>0.07241910632</v>
      </c>
      <c r="AH74" s="11">
        <f t="shared" si="22"/>
        <v>0.03068603166</v>
      </c>
      <c r="AI74" s="11">
        <f t="shared" ref="AI74:AQ74" si="328">IFERROR(AI35/$AH35,0)</f>
        <v>0.01771538397</v>
      </c>
      <c r="AJ74" s="11">
        <f t="shared" si="328"/>
        <v>0.06300660149</v>
      </c>
      <c r="AK74" s="11">
        <f t="shared" si="328"/>
        <v>0.084231637</v>
      </c>
      <c r="AL74" s="11">
        <f t="shared" si="328"/>
        <v>0.5221860115</v>
      </c>
      <c r="AM74" s="11">
        <f t="shared" si="328"/>
        <v>0.1280187181</v>
      </c>
      <c r="AN74" s="11">
        <f t="shared" si="328"/>
        <v>0.02189354057</v>
      </c>
      <c r="AO74" s="11">
        <f t="shared" si="328"/>
        <v>0.02740870728</v>
      </c>
      <c r="AP74" s="11">
        <f t="shared" si="328"/>
        <v>0.03317456338</v>
      </c>
      <c r="AQ74" s="11">
        <f t="shared" si="328"/>
        <v>0.1023648366</v>
      </c>
      <c r="AR74" s="11">
        <f t="shared" si="24"/>
        <v>0.04504310455</v>
      </c>
      <c r="AS74" s="11">
        <f t="shared" ref="AS74:BA74" si="329">IFERROR(AS35/$AR35,0)</f>
        <v>0.00802687009</v>
      </c>
      <c r="AT74" s="11">
        <f t="shared" si="329"/>
        <v>0.01850165092</v>
      </c>
      <c r="AU74" s="11">
        <f t="shared" si="329"/>
        <v>0.00614824092</v>
      </c>
      <c r="AV74" s="11">
        <f t="shared" si="329"/>
        <v>0.06227940339</v>
      </c>
      <c r="AW74" s="11">
        <f t="shared" si="329"/>
        <v>0.01736308778</v>
      </c>
      <c r="AX74" s="11">
        <f t="shared" si="329"/>
        <v>0.05721279745</v>
      </c>
      <c r="AY74" s="11">
        <f t="shared" si="329"/>
        <v>0.06928156666</v>
      </c>
      <c r="AZ74" s="11">
        <f t="shared" si="329"/>
        <v>0.6830809518</v>
      </c>
      <c r="BA74" s="11">
        <f t="shared" si="329"/>
        <v>0.07810543095</v>
      </c>
      <c r="BB74" s="11">
        <f t="shared" si="26"/>
        <v>0.04358662708</v>
      </c>
      <c r="BC74" s="11">
        <f t="shared" ref="BC74:BK74" si="330">IFERROR(BC35/$BB35,0)</f>
        <v>0.06259559948</v>
      </c>
      <c r="BD74" s="11">
        <f t="shared" si="330"/>
        <v>0.1153665137</v>
      </c>
      <c r="BE74" s="11">
        <f t="shared" si="330"/>
        <v>0.01129544652</v>
      </c>
      <c r="BF74" s="11">
        <f t="shared" si="330"/>
        <v>0.1444875868</v>
      </c>
      <c r="BG74" s="11">
        <f t="shared" si="330"/>
        <v>0.0829509354</v>
      </c>
      <c r="BH74" s="11">
        <f t="shared" si="330"/>
        <v>0.1563125074</v>
      </c>
      <c r="BI74" s="11">
        <f t="shared" si="330"/>
        <v>0.1253676903</v>
      </c>
      <c r="BJ74" s="11">
        <f t="shared" si="330"/>
        <v>0.1128956348</v>
      </c>
      <c r="BK74" s="11">
        <f t="shared" si="330"/>
        <v>0.1887280857</v>
      </c>
      <c r="BL74" s="11">
        <f t="shared" si="28"/>
        <v>0.02103943259</v>
      </c>
      <c r="BM74" s="11">
        <f t="shared" ref="BM74:BT74" si="331">IFERROR(BM35/$BL35,0)</f>
        <v>0.01913467398</v>
      </c>
      <c r="BN74" s="11">
        <f t="shared" si="331"/>
        <v>0.02218159659</v>
      </c>
      <c r="BO74" s="11">
        <f t="shared" si="331"/>
        <v>0.01145642901</v>
      </c>
      <c r="BP74" s="11">
        <f t="shared" si="331"/>
        <v>0.04594759293</v>
      </c>
      <c r="BQ74" s="11">
        <f t="shared" si="331"/>
        <v>0.01486898233</v>
      </c>
      <c r="BR74" s="11">
        <f t="shared" si="331"/>
        <v>0.4760511883</v>
      </c>
      <c r="BS74" s="11">
        <f t="shared" si="331"/>
        <v>0.05679463742</v>
      </c>
      <c r="BT74" s="11">
        <f t="shared" si="331"/>
        <v>0.3535648995</v>
      </c>
      <c r="BU74" s="11">
        <f t="shared" si="30"/>
        <v>0.07861901319</v>
      </c>
      <c r="BV74" s="11">
        <f t="shared" ref="BV74:BZ74" si="332">IFERROR(BV35/$BU35,0)</f>
        <v>0.0404109589</v>
      </c>
      <c r="BW74" s="11">
        <f t="shared" si="332"/>
        <v>0.02808219178</v>
      </c>
      <c r="BX74" s="11">
        <f t="shared" si="332"/>
        <v>0</v>
      </c>
      <c r="BY74" s="11">
        <f t="shared" si="332"/>
        <v>0.7622961513</v>
      </c>
      <c r="BZ74" s="11">
        <f t="shared" si="332"/>
        <v>0.169210698</v>
      </c>
      <c r="CA74" s="11">
        <f t="shared" si="32"/>
        <v>1</v>
      </c>
    </row>
    <row r="75" ht="15.75" customHeight="1">
      <c r="A75" s="9" t="str">
        <f t="shared" si="11"/>
        <v>Y2020</v>
      </c>
      <c r="B75" s="11">
        <f t="shared" si="12"/>
        <v>0.09821273499</v>
      </c>
      <c r="C75" s="11">
        <f t="shared" ref="C75:L75" si="333">IFERROR(C36/$B36,0)</f>
        <v>0.05470877193</v>
      </c>
      <c r="D75" s="11">
        <f t="shared" si="333"/>
        <v>0.4127719298</v>
      </c>
      <c r="E75" s="11">
        <f t="shared" si="333"/>
        <v>0.07141052632</v>
      </c>
      <c r="F75" s="11">
        <f t="shared" si="333"/>
        <v>0.03449824561</v>
      </c>
      <c r="G75" s="11">
        <f t="shared" si="333"/>
        <v>0.1807719298</v>
      </c>
      <c r="H75" s="11">
        <f t="shared" si="333"/>
        <v>0.115845614</v>
      </c>
      <c r="I75" s="11">
        <f t="shared" si="333"/>
        <v>0.007943859649</v>
      </c>
      <c r="J75" s="11">
        <f t="shared" si="333"/>
        <v>0.01254736842</v>
      </c>
      <c r="K75" s="11">
        <f t="shared" si="333"/>
        <v>0.03677192982</v>
      </c>
      <c r="L75" s="11">
        <f t="shared" si="333"/>
        <v>0.07272982456</v>
      </c>
      <c r="M75" s="11">
        <f t="shared" si="14"/>
        <v>0.009050734287</v>
      </c>
      <c r="N75" s="11">
        <f t="shared" ref="N75:O75" si="334">IFERROR(N36/$M36,0)</f>
        <v>0.9887298203</v>
      </c>
      <c r="O75" s="11">
        <f t="shared" si="334"/>
        <v>0.01127017971</v>
      </c>
      <c r="P75" s="11">
        <f t="shared" si="16"/>
        <v>0.4189555403</v>
      </c>
      <c r="Q75" s="11">
        <f t="shared" ref="Q75:Y75" si="335">IFERROR(Q36/$P36,0)</f>
        <v>0.002724239812</v>
      </c>
      <c r="R75" s="11">
        <f t="shared" si="335"/>
        <v>0.007784482362</v>
      </c>
      <c r="S75" s="11">
        <f t="shared" si="335"/>
        <v>0.00006580289401</v>
      </c>
      <c r="T75" s="11">
        <f t="shared" si="335"/>
        <v>0.01098250301</v>
      </c>
      <c r="U75" s="11">
        <f t="shared" si="335"/>
        <v>0.001131809777</v>
      </c>
      <c r="V75" s="11">
        <f t="shared" si="335"/>
        <v>0.01802341267</v>
      </c>
      <c r="W75" s="11">
        <f t="shared" si="335"/>
        <v>0.007652876574</v>
      </c>
      <c r="X75" s="11">
        <f t="shared" si="335"/>
        <v>0.9480091334</v>
      </c>
      <c r="Y75" s="11">
        <f t="shared" si="335"/>
        <v>0.00362573946</v>
      </c>
      <c r="Z75" s="11">
        <f t="shared" si="18"/>
        <v>0.2448660585</v>
      </c>
      <c r="AA75" s="11">
        <f t="shared" ref="AA75:AC75" si="336">IFERROR(AA36/$Z36,0)</f>
        <v>0.4882516522</v>
      </c>
      <c r="AB75" s="11">
        <f t="shared" si="336"/>
        <v>0.08731043334</v>
      </c>
      <c r="AC75" s="11">
        <f t="shared" si="336"/>
        <v>0.4244379145</v>
      </c>
      <c r="AD75" s="11">
        <f t="shared" si="20"/>
        <v>0.002092448164</v>
      </c>
      <c r="AE75" s="11">
        <f t="shared" ref="AE75:AG75" si="337">IFERROR(AE36/$AD36,0)</f>
        <v>0.5849802372</v>
      </c>
      <c r="AF75" s="11">
        <f t="shared" si="337"/>
        <v>0.371541502</v>
      </c>
      <c r="AG75" s="11">
        <f t="shared" si="337"/>
        <v>0.04347826087</v>
      </c>
      <c r="AH75" s="11">
        <f t="shared" si="22"/>
        <v>0.03059275004</v>
      </c>
      <c r="AI75" s="11">
        <f t="shared" ref="AI75:AQ75" si="338">IFERROR(AI36/$AH36,0)</f>
        <v>0.02045597909</v>
      </c>
      <c r="AJ75" s="11">
        <f t="shared" si="338"/>
        <v>0.05776335947</v>
      </c>
      <c r="AK75" s="11">
        <f t="shared" si="338"/>
        <v>0.08056231414</v>
      </c>
      <c r="AL75" s="11">
        <f t="shared" si="338"/>
        <v>0.4998648283</v>
      </c>
      <c r="AM75" s="11">
        <f t="shared" si="338"/>
        <v>0.1432819681</v>
      </c>
      <c r="AN75" s="11">
        <f t="shared" si="338"/>
        <v>0.02973776696</v>
      </c>
      <c r="AO75" s="11">
        <f t="shared" si="338"/>
        <v>0.02090655132</v>
      </c>
      <c r="AP75" s="11">
        <f t="shared" si="338"/>
        <v>0.0280255925</v>
      </c>
      <c r="AQ75" s="11">
        <f t="shared" si="338"/>
        <v>0.1194016401</v>
      </c>
      <c r="AR75" s="11">
        <f t="shared" si="24"/>
        <v>0.0405532444</v>
      </c>
      <c r="AS75" s="11">
        <f t="shared" ref="AS75:BA75" si="339">IFERROR(AS36/$AR36,0)</f>
        <v>0.007613868117</v>
      </c>
      <c r="AT75" s="11">
        <f t="shared" si="339"/>
        <v>0.01767505099</v>
      </c>
      <c r="AU75" s="11">
        <f t="shared" si="339"/>
        <v>0.007002039429</v>
      </c>
      <c r="AV75" s="11">
        <f t="shared" si="339"/>
        <v>0.06349422162</v>
      </c>
      <c r="AW75" s="11">
        <f t="shared" si="339"/>
        <v>0.01876274643</v>
      </c>
      <c r="AX75" s="11">
        <f t="shared" si="339"/>
        <v>0.05003399048</v>
      </c>
      <c r="AY75" s="11">
        <f t="shared" si="339"/>
        <v>0.0625424881</v>
      </c>
      <c r="AZ75" s="11">
        <f t="shared" si="339"/>
        <v>0.6944255608</v>
      </c>
      <c r="BA75" s="11">
        <f t="shared" si="339"/>
        <v>0.07845003399</v>
      </c>
      <c r="BB75" s="11">
        <f t="shared" si="26"/>
        <v>0.04047329579</v>
      </c>
      <c r="BC75" s="11">
        <f t="shared" ref="BC75:BK75" si="340">IFERROR(BC36/$BB36,0)</f>
        <v>0.07274708807</v>
      </c>
      <c r="BD75" s="11">
        <f t="shared" si="340"/>
        <v>0.120495879</v>
      </c>
      <c r="BE75" s="11">
        <f t="shared" si="340"/>
        <v>0.009399904639</v>
      </c>
      <c r="BF75" s="11">
        <f t="shared" si="340"/>
        <v>0.1474014032</v>
      </c>
      <c r="BG75" s="11">
        <f t="shared" si="340"/>
        <v>0.08854982631</v>
      </c>
      <c r="BH75" s="11">
        <f t="shared" si="340"/>
        <v>0.15332743</v>
      </c>
      <c r="BI75" s="11">
        <f t="shared" si="340"/>
        <v>0.1366391935</v>
      </c>
      <c r="BJ75" s="11">
        <f t="shared" si="340"/>
        <v>0.1088481711</v>
      </c>
      <c r="BK75" s="11">
        <f t="shared" si="340"/>
        <v>0.1625911041</v>
      </c>
      <c r="BL75" s="11">
        <f t="shared" si="28"/>
        <v>0.02033727287</v>
      </c>
      <c r="BM75" s="11">
        <f t="shared" ref="BM75:BT75" si="341">IFERROR(BM36/$BL36,0)</f>
        <v>0.02182458994</v>
      </c>
      <c r="BN75" s="11">
        <f t="shared" si="341"/>
        <v>0.01843567846</v>
      </c>
      <c r="BO75" s="11">
        <f t="shared" si="341"/>
        <v>0.01518232344</v>
      </c>
      <c r="BP75" s="11">
        <f t="shared" si="341"/>
        <v>0.05246034974</v>
      </c>
      <c r="BQ75" s="11">
        <f t="shared" si="341"/>
        <v>0.01748678325</v>
      </c>
      <c r="BR75" s="11">
        <f t="shared" si="341"/>
        <v>0.4779720754</v>
      </c>
      <c r="BS75" s="11">
        <f t="shared" si="341"/>
        <v>0.0585603904</v>
      </c>
      <c r="BT75" s="11">
        <f t="shared" si="341"/>
        <v>0.3380778094</v>
      </c>
      <c r="BU75" s="11">
        <f t="shared" si="30"/>
        <v>0.09486592066</v>
      </c>
      <c r="BV75" s="11">
        <f t="shared" ref="BV75:BZ75" si="342">IFERROR(BV36/$BU36,0)</f>
        <v>0.03089128476</v>
      </c>
      <c r="BW75" s="11">
        <f t="shared" si="342"/>
        <v>0.03786579873</v>
      </c>
      <c r="BX75" s="11">
        <f t="shared" si="342"/>
        <v>0.0000581209497</v>
      </c>
      <c r="BY75" s="11">
        <f t="shared" si="342"/>
        <v>0.7408096248</v>
      </c>
      <c r="BZ75" s="11">
        <f t="shared" si="342"/>
        <v>0.1903751707</v>
      </c>
      <c r="CA75" s="11">
        <f t="shared" si="32"/>
        <v>1</v>
      </c>
    </row>
    <row r="76" ht="15.75" customHeight="1">
      <c r="A76" s="9" t="str">
        <f t="shared" si="11"/>
        <v>Y2021</v>
      </c>
      <c r="B76" s="11">
        <f t="shared" si="12"/>
        <v>0.09502867818</v>
      </c>
      <c r="C76" s="11">
        <f t="shared" ref="C76:L76" si="343">IFERROR(C37/$B37,0)</f>
        <v>0.03780344962</v>
      </c>
      <c r="D76" s="11">
        <f t="shared" si="343"/>
        <v>0.3399324774</v>
      </c>
      <c r="E76" s="11">
        <f t="shared" si="343"/>
        <v>0.06768333295</v>
      </c>
      <c r="F76" s="11">
        <f t="shared" si="343"/>
        <v>0.0277209986</v>
      </c>
      <c r="G76" s="11">
        <f t="shared" si="343"/>
        <v>0.3239475437</v>
      </c>
      <c r="H76" s="11">
        <f t="shared" si="343"/>
        <v>0.103626467</v>
      </c>
      <c r="I76" s="11">
        <f t="shared" si="343"/>
        <v>0.007303461106</v>
      </c>
      <c r="J76" s="11">
        <f t="shared" si="343"/>
        <v>0.0109322248</v>
      </c>
      <c r="K76" s="11">
        <f t="shared" si="343"/>
        <v>0.03270480696</v>
      </c>
      <c r="L76" s="11">
        <f t="shared" si="343"/>
        <v>0.04834523782</v>
      </c>
      <c r="M76" s="11">
        <f t="shared" si="14"/>
        <v>0.005508655836</v>
      </c>
      <c r="N76" s="11">
        <f t="shared" ref="N76:O76" si="344">IFERROR(N37/$M37,0)</f>
        <v>0.9916798732</v>
      </c>
      <c r="O76" s="11">
        <f t="shared" si="344"/>
        <v>0.008320126783</v>
      </c>
      <c r="P76" s="11">
        <f t="shared" si="16"/>
        <v>0.4325429736</v>
      </c>
      <c r="Q76" s="11">
        <f t="shared" ref="Q76:Y76" si="345">IFERROR(Q37/$P37,0)</f>
        <v>0.002543065605</v>
      </c>
      <c r="R76" s="11">
        <f t="shared" si="345"/>
        <v>0.01597489227</v>
      </c>
      <c r="S76" s="11">
        <f t="shared" si="345"/>
        <v>0.00005550341598</v>
      </c>
      <c r="T76" s="11">
        <f t="shared" si="345"/>
        <v>0.00675123369</v>
      </c>
      <c r="U76" s="11">
        <f t="shared" si="345"/>
        <v>0.001342173514</v>
      </c>
      <c r="V76" s="11">
        <f t="shared" si="345"/>
        <v>0.02563753242</v>
      </c>
      <c r="W76" s="11">
        <f t="shared" si="345"/>
        <v>0.009829150394</v>
      </c>
      <c r="X76" s="11">
        <f t="shared" si="345"/>
        <v>0.9347733947</v>
      </c>
      <c r="Y76" s="11">
        <f t="shared" si="345"/>
        <v>0.003093054</v>
      </c>
      <c r="Z76" s="11">
        <f t="shared" si="18"/>
        <v>0.2758649288</v>
      </c>
      <c r="AA76" s="11">
        <f t="shared" ref="AA76:AC76" si="346">IFERROR(AA37/$Z37,0)</f>
        <v>0.5024130129</v>
      </c>
      <c r="AB76" s="11">
        <f t="shared" si="346"/>
        <v>0.09268342854</v>
      </c>
      <c r="AC76" s="11">
        <f t="shared" si="346"/>
        <v>0.4049035586</v>
      </c>
      <c r="AD76" s="11">
        <f t="shared" si="20"/>
        <v>0.002363658586</v>
      </c>
      <c r="AE76" s="11">
        <f t="shared" ref="AE76:AG76" si="347">IFERROR(AE37/$AD37,0)</f>
        <v>0.6177285319</v>
      </c>
      <c r="AF76" s="11">
        <f t="shared" si="347"/>
        <v>0.3324099723</v>
      </c>
      <c r="AG76" s="11">
        <f t="shared" si="347"/>
        <v>0.04986149584</v>
      </c>
      <c r="AH76" s="11">
        <f t="shared" si="22"/>
        <v>0.0219407754</v>
      </c>
      <c r="AI76" s="11">
        <f t="shared" ref="AI76:AQ76" si="348">IFERROR(AI37/$AH37,0)</f>
        <v>0.02377399781</v>
      </c>
      <c r="AJ76" s="11">
        <f t="shared" si="348"/>
        <v>0.08037401771</v>
      </c>
      <c r="AK76" s="11">
        <f t="shared" si="348"/>
        <v>0.1030538148</v>
      </c>
      <c r="AL76" s="11">
        <f t="shared" si="348"/>
        <v>0.3610862429</v>
      </c>
      <c r="AM76" s="11">
        <f t="shared" si="348"/>
        <v>0.1654232567</v>
      </c>
      <c r="AN76" s="11">
        <f t="shared" si="348"/>
        <v>0.04874166915</v>
      </c>
      <c r="AO76" s="11">
        <f t="shared" si="348"/>
        <v>0.03660598826</v>
      </c>
      <c r="AP76" s="11">
        <f t="shared" si="348"/>
        <v>0.034318114</v>
      </c>
      <c r="AQ76" s="11">
        <f t="shared" si="348"/>
        <v>0.1466228986</v>
      </c>
      <c r="AR76" s="11">
        <f t="shared" si="24"/>
        <v>0.03645883349</v>
      </c>
      <c r="AS76" s="11">
        <f t="shared" ref="AS76:BA76" si="349">IFERROR(AS37/$AR37,0)</f>
        <v>0.009577970667</v>
      </c>
      <c r="AT76" s="11">
        <f t="shared" si="349"/>
        <v>0.01538461538</v>
      </c>
      <c r="AU76" s="11">
        <f t="shared" si="349"/>
        <v>0.0057467824</v>
      </c>
      <c r="AV76" s="11">
        <f t="shared" si="349"/>
        <v>0.0567494762</v>
      </c>
      <c r="AW76" s="11">
        <f t="shared" si="349"/>
        <v>0.01993415145</v>
      </c>
      <c r="AX76" s="11">
        <f t="shared" si="349"/>
        <v>0.0341215205</v>
      </c>
      <c r="AY76" s="11">
        <f t="shared" si="349"/>
        <v>0.04747081712</v>
      </c>
      <c r="AZ76" s="11">
        <f t="shared" si="349"/>
        <v>0.7379826399</v>
      </c>
      <c r="BA76" s="11">
        <f t="shared" si="349"/>
        <v>0.07303202634</v>
      </c>
      <c r="BB76" s="11">
        <f t="shared" si="26"/>
        <v>0.03214837578</v>
      </c>
      <c r="BC76" s="11">
        <f t="shared" ref="BC76:BK76" si="350">IFERROR(BC37/$BB37,0)</f>
        <v>0.05919891378</v>
      </c>
      <c r="BD76" s="11">
        <f t="shared" si="350"/>
        <v>0.1139171758</v>
      </c>
      <c r="BE76" s="11">
        <f t="shared" si="350"/>
        <v>0.01188051595</v>
      </c>
      <c r="BF76" s="11">
        <f t="shared" si="350"/>
        <v>0.1513917176</v>
      </c>
      <c r="BG76" s="11">
        <f t="shared" si="350"/>
        <v>0.09341479973</v>
      </c>
      <c r="BH76" s="11">
        <f t="shared" si="350"/>
        <v>0.1582484725</v>
      </c>
      <c r="BI76" s="11">
        <f t="shared" si="350"/>
        <v>0.1511880516</v>
      </c>
      <c r="BJ76" s="11">
        <f t="shared" si="350"/>
        <v>0.1257976918</v>
      </c>
      <c r="BK76" s="11">
        <f t="shared" si="350"/>
        <v>0.1349626612</v>
      </c>
      <c r="BL76" s="11">
        <f t="shared" si="28"/>
        <v>0.01754083477</v>
      </c>
      <c r="BM76" s="11">
        <f t="shared" ref="BM76:BT76" si="351">IFERROR(BM37/$BL37,0)</f>
        <v>0.02525818091</v>
      </c>
      <c r="BN76" s="11">
        <f t="shared" si="351"/>
        <v>0.0180415578</v>
      </c>
      <c r="BO76" s="11">
        <f t="shared" si="351"/>
        <v>0.01443324624</v>
      </c>
      <c r="BP76" s="11">
        <f t="shared" si="351"/>
        <v>0.05972377753</v>
      </c>
      <c r="BQ76" s="11">
        <f t="shared" si="351"/>
        <v>0.01480651985</v>
      </c>
      <c r="BR76" s="11">
        <f t="shared" si="351"/>
        <v>0.482145079</v>
      </c>
      <c r="BS76" s="11">
        <f t="shared" si="351"/>
        <v>0.05636431504</v>
      </c>
      <c r="BT76" s="11">
        <f t="shared" si="351"/>
        <v>0.3292273236</v>
      </c>
      <c r="BU76" s="11">
        <f t="shared" si="30"/>
        <v>0.08060228552</v>
      </c>
      <c r="BV76" s="11">
        <f t="shared" ref="BV76:BZ76" si="352">IFERROR(BV37/$BU37,0)</f>
        <v>0.04844168855</v>
      </c>
      <c r="BW76" s="11">
        <f t="shared" si="352"/>
        <v>0.06975169911</v>
      </c>
      <c r="BX76" s="11">
        <f t="shared" si="352"/>
        <v>0.0000541550459</v>
      </c>
      <c r="BY76" s="11">
        <f t="shared" si="352"/>
        <v>0.6303918118</v>
      </c>
      <c r="BZ76" s="11">
        <f t="shared" si="352"/>
        <v>0.2513606455</v>
      </c>
      <c r="CA76" s="11">
        <f t="shared" si="32"/>
        <v>1</v>
      </c>
    </row>
    <row r="77" ht="15.75" customHeight="1">
      <c r="A77" s="9" t="str">
        <f t="shared" si="11"/>
        <v>Y2022</v>
      </c>
      <c r="B77" s="11">
        <f t="shared" si="12"/>
        <v>0.08945497531</v>
      </c>
      <c r="C77" s="11">
        <f t="shared" ref="C77:L77" si="353">IFERROR(C38/$B38,0)</f>
        <v>0.02857465552</v>
      </c>
      <c r="D77" s="11">
        <f t="shared" si="353"/>
        <v>0.3124764701</v>
      </c>
      <c r="E77" s="11">
        <f t="shared" si="353"/>
        <v>0.06371884647</v>
      </c>
      <c r="F77" s="11">
        <f t="shared" si="353"/>
        <v>0.02268277991</v>
      </c>
      <c r="G77" s="11">
        <f t="shared" si="353"/>
        <v>0.3891273247</v>
      </c>
      <c r="H77" s="11">
        <f t="shared" si="353"/>
        <v>0.09462766358</v>
      </c>
      <c r="I77" s="11">
        <f t="shared" si="353"/>
        <v>0.006042466682</v>
      </c>
      <c r="J77" s="11">
        <f t="shared" si="353"/>
        <v>0.009731947895</v>
      </c>
      <c r="K77" s="11">
        <f t="shared" si="353"/>
        <v>0.03235825616</v>
      </c>
      <c r="L77" s="11">
        <f t="shared" si="353"/>
        <v>0.04065958889</v>
      </c>
      <c r="M77" s="11">
        <f t="shared" si="14"/>
        <v>0.004330965223</v>
      </c>
      <c r="N77" s="11">
        <f t="shared" ref="N77:O77" si="354">IFERROR(N38/$M38,0)</f>
        <v>0.9926127527</v>
      </c>
      <c r="O77" s="11">
        <f t="shared" si="354"/>
        <v>0.007387247278</v>
      </c>
      <c r="P77" s="11">
        <f t="shared" si="16"/>
        <v>0.3170630263</v>
      </c>
      <c r="Q77" s="11">
        <f t="shared" ref="Q77:Y77" si="355">IFERROR(Q38/$P38,0)</f>
        <v>0.002411148641</v>
      </c>
      <c r="R77" s="11">
        <f t="shared" si="355"/>
        <v>0.04122320651</v>
      </c>
      <c r="S77" s="11">
        <f t="shared" si="355"/>
        <v>0.00004779810082</v>
      </c>
      <c r="T77" s="11">
        <f t="shared" si="355"/>
        <v>0.008088500839</v>
      </c>
      <c r="U77" s="11">
        <f t="shared" si="355"/>
        <v>0.001630446328</v>
      </c>
      <c r="V77" s="11">
        <f t="shared" si="355"/>
        <v>0.0409470397</v>
      </c>
      <c r="W77" s="11">
        <f t="shared" si="355"/>
        <v>0.06577018673</v>
      </c>
      <c r="X77" s="11">
        <f t="shared" si="355"/>
        <v>0.8362065303</v>
      </c>
      <c r="Y77" s="11">
        <f t="shared" si="355"/>
        <v>0.003675142863</v>
      </c>
      <c r="Z77" s="11">
        <f t="shared" si="18"/>
        <v>0.4232188232</v>
      </c>
      <c r="AA77" s="11">
        <f t="shared" ref="AA77:AC77" si="356">IFERROR(AA38/$Z38,0)</f>
        <v>0.5663579142</v>
      </c>
      <c r="AB77" s="11">
        <f t="shared" si="356"/>
        <v>0.06899583821</v>
      </c>
      <c r="AC77" s="11">
        <f t="shared" si="356"/>
        <v>0.3646462476</v>
      </c>
      <c r="AD77" s="11">
        <f t="shared" si="20"/>
        <v>0.002832303073</v>
      </c>
      <c r="AE77" s="11">
        <f t="shared" ref="AE77:AG77" si="357">IFERROR(AE38/$AD38,0)</f>
        <v>0.6420927467</v>
      </c>
      <c r="AF77" s="11">
        <f t="shared" si="357"/>
        <v>0.3198573127</v>
      </c>
      <c r="AG77" s="11">
        <f t="shared" si="357"/>
        <v>0.03804994055</v>
      </c>
      <c r="AH77" s="11">
        <f t="shared" si="22"/>
        <v>0.02117660134</v>
      </c>
      <c r="AI77" s="11">
        <f t="shared" ref="AI77:AQ77" si="358">IFERROR(AI38/$AH38,0)</f>
        <v>0.01948155216</v>
      </c>
      <c r="AJ77" s="11">
        <f t="shared" si="358"/>
        <v>0.1331902036</v>
      </c>
      <c r="AK77" s="11">
        <f t="shared" si="358"/>
        <v>0.08492366412</v>
      </c>
      <c r="AL77" s="11">
        <f t="shared" si="358"/>
        <v>0.3441475827</v>
      </c>
      <c r="AM77" s="11">
        <f t="shared" si="358"/>
        <v>0.1405852417</v>
      </c>
      <c r="AN77" s="11">
        <f t="shared" si="358"/>
        <v>0.05812659033</v>
      </c>
      <c r="AO77" s="11">
        <f t="shared" si="358"/>
        <v>0.02409351145</v>
      </c>
      <c r="AP77" s="11">
        <f t="shared" si="358"/>
        <v>0.03586195929</v>
      </c>
      <c r="AQ77" s="11">
        <f t="shared" si="358"/>
        <v>0.1595896947</v>
      </c>
      <c r="AR77" s="11">
        <f t="shared" si="24"/>
        <v>0.03271629989</v>
      </c>
      <c r="AS77" s="11">
        <f t="shared" ref="AS77:BA77" si="359">IFERROR(AS38/$AR38,0)</f>
        <v>0.007617479026</v>
      </c>
      <c r="AT77" s="11">
        <f t="shared" si="359"/>
        <v>0.0186834114</v>
      </c>
      <c r="AU77" s="11">
        <f t="shared" si="359"/>
        <v>0.004941067476</v>
      </c>
      <c r="AV77" s="11">
        <f t="shared" si="359"/>
        <v>0.05219002522</v>
      </c>
      <c r="AW77" s="11">
        <f t="shared" si="359"/>
        <v>0.01832312523</v>
      </c>
      <c r="AX77" s="11">
        <f t="shared" si="359"/>
        <v>0.03108754954</v>
      </c>
      <c r="AY77" s="11">
        <f t="shared" si="359"/>
        <v>0.06896906686</v>
      </c>
      <c r="AZ77" s="11">
        <f t="shared" si="359"/>
        <v>0.7245869576</v>
      </c>
      <c r="BA77" s="11">
        <f t="shared" si="359"/>
        <v>0.07360131762</v>
      </c>
      <c r="BB77" s="11">
        <f t="shared" si="26"/>
        <v>0.02781617983</v>
      </c>
      <c r="BC77" s="11">
        <f t="shared" ref="BC77:BK77" si="360">IFERROR(BC38/$BB38,0)</f>
        <v>0.06217083359</v>
      </c>
      <c r="BD77" s="11">
        <f t="shared" si="360"/>
        <v>0.1156849688</v>
      </c>
      <c r="BE77" s="11">
        <f t="shared" si="360"/>
        <v>0.01573945154</v>
      </c>
      <c r="BF77" s="11">
        <f t="shared" si="360"/>
        <v>0.1506749803</v>
      </c>
      <c r="BG77" s="11">
        <f t="shared" si="360"/>
        <v>0.09352866396</v>
      </c>
      <c r="BH77" s="11">
        <f t="shared" si="360"/>
        <v>0.1414734548</v>
      </c>
      <c r="BI77" s="11">
        <f t="shared" si="360"/>
        <v>0.1629638598</v>
      </c>
      <c r="BJ77" s="11">
        <f t="shared" si="360"/>
        <v>0.1218596767</v>
      </c>
      <c r="BK77" s="11">
        <f t="shared" si="360"/>
        <v>0.1359041104</v>
      </c>
      <c r="BL77" s="11">
        <f t="shared" si="28"/>
        <v>0.01529140559</v>
      </c>
      <c r="BM77" s="11">
        <f t="shared" ref="BM77:BT77" si="361">IFERROR(BM38/$BL38,0)</f>
        <v>0.0192710054</v>
      </c>
      <c r="BN77" s="11">
        <f t="shared" si="361"/>
        <v>0.01827992512</v>
      </c>
      <c r="BO77" s="11">
        <f t="shared" si="361"/>
        <v>0.0221341262</v>
      </c>
      <c r="BP77" s="11">
        <f t="shared" si="361"/>
        <v>0.07146790001</v>
      </c>
      <c r="BQ77" s="11">
        <f t="shared" si="361"/>
        <v>0.01552692435</v>
      </c>
      <c r="BR77" s="11">
        <f t="shared" si="361"/>
        <v>0.4855192159</v>
      </c>
      <c r="BS77" s="11">
        <f t="shared" si="361"/>
        <v>0.0557207356</v>
      </c>
      <c r="BT77" s="11">
        <f t="shared" si="361"/>
        <v>0.3120801674</v>
      </c>
      <c r="BU77" s="11">
        <f t="shared" si="30"/>
        <v>0.06609942024</v>
      </c>
      <c r="BV77" s="11">
        <f t="shared" ref="BV77:BZ77" si="362">IFERROR(BV38/$BU38,0)</f>
        <v>0.01946298466</v>
      </c>
      <c r="BW77" s="11">
        <f t="shared" si="362"/>
        <v>0.07759718755</v>
      </c>
      <c r="BX77" s="11">
        <f t="shared" si="362"/>
        <v>0.0002292759974</v>
      </c>
      <c r="BY77" s="11">
        <f t="shared" si="362"/>
        <v>0.5990217557</v>
      </c>
      <c r="BZ77" s="11">
        <f t="shared" si="362"/>
        <v>0.303688796</v>
      </c>
      <c r="CA77" s="11">
        <f t="shared" si="32"/>
        <v>1</v>
      </c>
    </row>
    <row r="78" ht="15.75" customHeight="1">
      <c r="A78" s="9" t="str">
        <f t="shared" si="11"/>
        <v>Y2023</v>
      </c>
      <c r="B78" s="11">
        <f t="shared" si="12"/>
        <v>0.09847183727</v>
      </c>
      <c r="C78" s="11">
        <f t="shared" ref="C78:L78" si="363">IFERROR(C39/$B39,0)</f>
        <v>0.0225572123</v>
      </c>
      <c r="D78" s="11">
        <f t="shared" si="363"/>
        <v>0.3260691463</v>
      </c>
      <c r="E78" s="11">
        <f t="shared" si="363"/>
        <v>0.05480000728</v>
      </c>
      <c r="F78" s="11">
        <f t="shared" si="363"/>
        <v>0.02459628234</v>
      </c>
      <c r="G78" s="11">
        <f t="shared" si="363"/>
        <v>0.3758260965</v>
      </c>
      <c r="H78" s="11">
        <f t="shared" si="363"/>
        <v>0.1076883864</v>
      </c>
      <c r="I78" s="11">
        <f t="shared" si="363"/>
        <v>0.005352558851</v>
      </c>
      <c r="J78" s="11">
        <f t="shared" si="363"/>
        <v>0.009048373295</v>
      </c>
      <c r="K78" s="11">
        <f t="shared" si="363"/>
        <v>0.03178764542</v>
      </c>
      <c r="L78" s="11">
        <f t="shared" si="363"/>
        <v>0.04227429133</v>
      </c>
      <c r="M78" s="11">
        <f t="shared" si="14"/>
        <v>0.004605642943</v>
      </c>
      <c r="N78" s="11">
        <f t="shared" ref="N78:O78" si="364">IFERROR(N39/$M39,0)</f>
        <v>0.9906578435</v>
      </c>
      <c r="O78" s="11">
        <f t="shared" si="364"/>
        <v>0.009342156481</v>
      </c>
      <c r="P78" s="11">
        <f t="shared" si="16"/>
        <v>0.3636342449</v>
      </c>
      <c r="Q78" s="11">
        <f t="shared" ref="Q78:Y78" si="365">IFERROR(Q39/$P39,0)</f>
        <v>0.002238294558</v>
      </c>
      <c r="R78" s="11">
        <f t="shared" si="365"/>
        <v>0.02715041438</v>
      </c>
      <c r="S78" s="11">
        <f t="shared" si="365"/>
        <v>0.00006902229913</v>
      </c>
      <c r="T78" s="11">
        <f t="shared" si="365"/>
        <v>0.007109296811</v>
      </c>
      <c r="U78" s="11">
        <f t="shared" si="365"/>
        <v>0.00101561383</v>
      </c>
      <c r="V78" s="11">
        <f t="shared" si="365"/>
        <v>0.0367395838</v>
      </c>
      <c r="W78" s="11">
        <f t="shared" si="365"/>
        <v>0.09524091247</v>
      </c>
      <c r="X78" s="11">
        <f t="shared" si="365"/>
        <v>0.8272174646</v>
      </c>
      <c r="Y78" s="11">
        <f t="shared" si="365"/>
        <v>0.003219397238</v>
      </c>
      <c r="Z78" s="11">
        <f t="shared" si="18"/>
        <v>0.3485677508</v>
      </c>
      <c r="AA78" s="11">
        <f t="shared" ref="AA78:AC78" si="366">IFERROR(AA39/$Z39,0)</f>
        <v>0.5243970807</v>
      </c>
      <c r="AB78" s="11">
        <f t="shared" si="366"/>
        <v>0.08127388404</v>
      </c>
      <c r="AC78" s="11">
        <f t="shared" si="366"/>
        <v>0.3943290353</v>
      </c>
      <c r="AD78" s="11">
        <f t="shared" si="20"/>
        <v>0.002886370237</v>
      </c>
      <c r="AE78" s="11">
        <f t="shared" ref="AE78:AG78" si="367">IFERROR(AE39/$AD39,0)</f>
        <v>0.6534161491</v>
      </c>
      <c r="AF78" s="11">
        <f t="shared" si="367"/>
        <v>0.2621118012</v>
      </c>
      <c r="AG78" s="11">
        <f t="shared" si="367"/>
        <v>0.08447204969</v>
      </c>
      <c r="AH78" s="11">
        <f t="shared" si="22"/>
        <v>0.02063485803</v>
      </c>
      <c r="AI78" s="11">
        <f t="shared" ref="AI78:AQ78" si="368">IFERROR(AI39/$AH39,0)</f>
        <v>0.01937445699</v>
      </c>
      <c r="AJ78" s="11">
        <f t="shared" si="368"/>
        <v>0.109730669</v>
      </c>
      <c r="AK78" s="11">
        <f t="shared" si="368"/>
        <v>0.08027801911</v>
      </c>
      <c r="AL78" s="11">
        <f t="shared" si="368"/>
        <v>0.412945265</v>
      </c>
      <c r="AM78" s="11">
        <f t="shared" si="368"/>
        <v>0.1472632493</v>
      </c>
      <c r="AN78" s="11">
        <f t="shared" si="368"/>
        <v>0.0293657689</v>
      </c>
      <c r="AO78" s="11">
        <f t="shared" si="368"/>
        <v>0.02311033884</v>
      </c>
      <c r="AP78" s="11">
        <f t="shared" si="368"/>
        <v>0.03362293658</v>
      </c>
      <c r="AQ78" s="11">
        <f t="shared" si="368"/>
        <v>0.1443092963</v>
      </c>
      <c r="AR78" s="11">
        <f t="shared" si="24"/>
        <v>0.03481034217</v>
      </c>
      <c r="AS78" s="11">
        <f t="shared" ref="AS78:BA78" si="369">IFERROR(AS39/$AR39,0)</f>
        <v>0.005716640058</v>
      </c>
      <c r="AT78" s="11">
        <f t="shared" si="369"/>
        <v>0.02049750219</v>
      </c>
      <c r="AU78" s="11">
        <f t="shared" si="369"/>
        <v>0.005098624916</v>
      </c>
      <c r="AV78" s="11">
        <f t="shared" si="369"/>
        <v>0.04599062677</v>
      </c>
      <c r="AW78" s="11">
        <f t="shared" si="369"/>
        <v>0.01884946181</v>
      </c>
      <c r="AX78" s="11">
        <f t="shared" si="369"/>
        <v>0.04418808261</v>
      </c>
      <c r="AY78" s="11">
        <f t="shared" si="369"/>
        <v>0.06005047124</v>
      </c>
      <c r="AZ78" s="11">
        <f t="shared" si="369"/>
        <v>0.7248802596</v>
      </c>
      <c r="BA78" s="11">
        <f t="shared" si="369"/>
        <v>0.07472833084</v>
      </c>
      <c r="BB78" s="11">
        <f t="shared" si="26"/>
        <v>0.03346755254</v>
      </c>
      <c r="BC78" s="11">
        <f t="shared" ref="BC78:BK78" si="370">IFERROR(BC39/$BB39,0)</f>
        <v>0.06979858582</v>
      </c>
      <c r="BD78" s="11">
        <f t="shared" si="370"/>
        <v>0.1139382901</v>
      </c>
      <c r="BE78" s="11">
        <f t="shared" si="370"/>
        <v>0.01462395543</v>
      </c>
      <c r="BF78" s="11">
        <f t="shared" si="370"/>
        <v>0.1638632955</v>
      </c>
      <c r="BG78" s="11">
        <f t="shared" si="370"/>
        <v>0.07970859224</v>
      </c>
      <c r="BH78" s="11">
        <f t="shared" si="370"/>
        <v>0.143721877</v>
      </c>
      <c r="BI78" s="11">
        <f t="shared" si="370"/>
        <v>0.1587208057</v>
      </c>
      <c r="BJ78" s="11">
        <f t="shared" si="370"/>
        <v>0.1173130491</v>
      </c>
      <c r="BK78" s="11">
        <f t="shared" si="370"/>
        <v>0.1383115492</v>
      </c>
      <c r="BL78" s="11">
        <f t="shared" si="28"/>
        <v>0.01889048645</v>
      </c>
      <c r="BM78" s="11">
        <f t="shared" ref="BM78:BT78" si="371">IFERROR(BM39/$BL39,0)</f>
        <v>0.01613362437</v>
      </c>
      <c r="BN78" s="11">
        <f t="shared" si="371"/>
        <v>0.01793679415</v>
      </c>
      <c r="BO78" s="11">
        <f t="shared" si="371"/>
        <v>0.01793679415</v>
      </c>
      <c r="BP78" s="11">
        <f t="shared" si="371"/>
        <v>0.06662237829</v>
      </c>
      <c r="BQ78" s="11">
        <f t="shared" si="371"/>
        <v>0.01736737212</v>
      </c>
      <c r="BR78" s="11">
        <f t="shared" si="371"/>
        <v>0.4629401158</v>
      </c>
      <c r="BS78" s="11">
        <f t="shared" si="371"/>
        <v>0.05485432286</v>
      </c>
      <c r="BT78" s="11">
        <f t="shared" si="371"/>
        <v>0.3462085983</v>
      </c>
      <c r="BU78" s="11">
        <f t="shared" si="30"/>
        <v>0.07403091464</v>
      </c>
      <c r="BV78" s="11">
        <f t="shared" ref="BV78:BZ78" si="372">IFERROR(BV39/$BU39,0)</f>
        <v>0.01491742142</v>
      </c>
      <c r="BW78" s="11">
        <f t="shared" si="372"/>
        <v>0.04869956894</v>
      </c>
      <c r="BX78" s="11">
        <f t="shared" si="372"/>
        <v>0.0002663825253</v>
      </c>
      <c r="BY78" s="11">
        <f t="shared" si="372"/>
        <v>0.6866130673</v>
      </c>
      <c r="BZ78" s="11">
        <f t="shared" si="372"/>
        <v>0.2495035598</v>
      </c>
      <c r="CA78" s="11">
        <f t="shared" si="32"/>
        <v>1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6" width="14.43"/>
  </cols>
  <sheetData>
    <row r="1">
      <c r="A1" s="8" t="s">
        <v>196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</row>
    <row r="2">
      <c r="A2" s="8" t="s">
        <v>79</v>
      </c>
      <c r="B2" s="8" t="s">
        <v>80</v>
      </c>
      <c r="C2" s="8" t="s">
        <v>80</v>
      </c>
      <c r="D2" s="8" t="s">
        <v>80</v>
      </c>
      <c r="E2" s="8" t="s">
        <v>80</v>
      </c>
      <c r="F2" s="8" t="s">
        <v>80</v>
      </c>
      <c r="G2" s="8" t="s">
        <v>80</v>
      </c>
      <c r="H2" s="8" t="s">
        <v>80</v>
      </c>
      <c r="I2" s="8" t="s">
        <v>80</v>
      </c>
      <c r="J2" s="8" t="s">
        <v>80</v>
      </c>
      <c r="K2" s="8" t="s">
        <v>80</v>
      </c>
      <c r="L2" s="8" t="s">
        <v>80</v>
      </c>
      <c r="M2" s="8" t="s">
        <v>80</v>
      </c>
      <c r="N2" s="8" t="s">
        <v>80</v>
      </c>
      <c r="O2" s="8" t="s">
        <v>80</v>
      </c>
      <c r="P2" s="8" t="s">
        <v>80</v>
      </c>
      <c r="Q2" s="8" t="s">
        <v>80</v>
      </c>
      <c r="R2" s="8" t="s">
        <v>80</v>
      </c>
      <c r="S2" s="8" t="s">
        <v>80</v>
      </c>
      <c r="T2" s="8" t="s">
        <v>80</v>
      </c>
      <c r="U2" s="8" t="s">
        <v>80</v>
      </c>
      <c r="V2" s="8" t="s">
        <v>80</v>
      </c>
      <c r="W2" s="8" t="s">
        <v>80</v>
      </c>
      <c r="X2" s="8" t="s">
        <v>80</v>
      </c>
      <c r="Y2" s="8" t="s">
        <v>80</v>
      </c>
      <c r="Z2" s="8" t="s">
        <v>80</v>
      </c>
      <c r="AA2" s="8" t="s">
        <v>80</v>
      </c>
      <c r="AB2" s="8" t="s">
        <v>80</v>
      </c>
      <c r="AC2" s="8" t="s">
        <v>80</v>
      </c>
      <c r="AD2" s="8" t="s">
        <v>80</v>
      </c>
      <c r="AE2" s="8" t="s">
        <v>80</v>
      </c>
      <c r="AF2" s="8" t="s">
        <v>80</v>
      </c>
      <c r="AG2" s="8" t="s">
        <v>80</v>
      </c>
      <c r="AH2" s="8" t="s">
        <v>80</v>
      </c>
      <c r="AI2" s="8" t="s">
        <v>80</v>
      </c>
      <c r="AJ2" s="8" t="s">
        <v>80</v>
      </c>
      <c r="AK2" s="8" t="s">
        <v>80</v>
      </c>
      <c r="AL2" s="8" t="s">
        <v>80</v>
      </c>
      <c r="AM2" s="8" t="s">
        <v>80</v>
      </c>
      <c r="AN2" s="8" t="s">
        <v>80</v>
      </c>
      <c r="AO2" s="8" t="s">
        <v>80</v>
      </c>
      <c r="AP2" s="8" t="s">
        <v>80</v>
      </c>
      <c r="AQ2" s="8" t="s">
        <v>80</v>
      </c>
      <c r="AR2" s="8" t="s">
        <v>80</v>
      </c>
      <c r="AS2" s="8" t="s">
        <v>80</v>
      </c>
      <c r="AT2" s="8" t="s">
        <v>80</v>
      </c>
      <c r="AU2" s="8" t="s">
        <v>80</v>
      </c>
      <c r="AV2" s="8" t="s">
        <v>80</v>
      </c>
      <c r="AW2" s="8" t="s">
        <v>80</v>
      </c>
      <c r="AX2" s="8" t="s">
        <v>80</v>
      </c>
      <c r="AY2" s="8" t="s">
        <v>80</v>
      </c>
      <c r="AZ2" s="8" t="s">
        <v>80</v>
      </c>
      <c r="BA2" s="8" t="s">
        <v>80</v>
      </c>
      <c r="BB2" s="8" t="s">
        <v>80</v>
      </c>
      <c r="BC2" s="8" t="s">
        <v>80</v>
      </c>
      <c r="BD2" s="8" t="s">
        <v>80</v>
      </c>
      <c r="BE2" s="8" t="s">
        <v>80</v>
      </c>
      <c r="BF2" s="8" t="s">
        <v>80</v>
      </c>
      <c r="BG2" s="8" t="s">
        <v>80</v>
      </c>
      <c r="BH2" s="8" t="s">
        <v>80</v>
      </c>
      <c r="BI2" s="8" t="s">
        <v>80</v>
      </c>
      <c r="BJ2" s="8" t="s">
        <v>80</v>
      </c>
      <c r="BK2" s="8" t="s">
        <v>80</v>
      </c>
      <c r="BL2" s="8" t="s">
        <v>80</v>
      </c>
      <c r="BM2" s="8" t="s">
        <v>80</v>
      </c>
      <c r="BN2" s="8" t="s">
        <v>80</v>
      </c>
      <c r="BO2" s="8" t="s">
        <v>80</v>
      </c>
      <c r="BP2" s="8" t="s">
        <v>80</v>
      </c>
      <c r="BQ2" s="8" t="s">
        <v>80</v>
      </c>
      <c r="BR2" s="8" t="s">
        <v>80</v>
      </c>
      <c r="BS2" s="8" t="s">
        <v>80</v>
      </c>
      <c r="BT2" s="8" t="s">
        <v>80</v>
      </c>
      <c r="BU2" s="8" t="s">
        <v>80</v>
      </c>
      <c r="BV2" s="8" t="s">
        <v>80</v>
      </c>
      <c r="BW2" s="8" t="s">
        <v>80</v>
      </c>
      <c r="BX2" s="8" t="s">
        <v>80</v>
      </c>
      <c r="BY2" s="8" t="s">
        <v>80</v>
      </c>
      <c r="BZ2" s="8" t="s">
        <v>80</v>
      </c>
      <c r="CA2" s="8" t="s">
        <v>80</v>
      </c>
    </row>
    <row r="3">
      <c r="A3" s="8" t="s">
        <v>81</v>
      </c>
      <c r="B3" s="8" t="s">
        <v>197</v>
      </c>
      <c r="C3" s="8" t="s">
        <v>198</v>
      </c>
      <c r="D3" s="8" t="s">
        <v>199</v>
      </c>
      <c r="E3" s="8" t="s">
        <v>200</v>
      </c>
      <c r="F3" s="8" t="s">
        <v>201</v>
      </c>
      <c r="G3" s="8" t="s">
        <v>202</v>
      </c>
      <c r="H3" s="8" t="s">
        <v>203</v>
      </c>
      <c r="I3" s="8" t="s">
        <v>204</v>
      </c>
      <c r="J3" s="8" t="s">
        <v>205</v>
      </c>
      <c r="K3" s="8" t="s">
        <v>206</v>
      </c>
      <c r="L3" s="8" t="s">
        <v>207</v>
      </c>
      <c r="M3" s="8" t="s">
        <v>208</v>
      </c>
      <c r="N3" s="8" t="s">
        <v>209</v>
      </c>
      <c r="O3" s="8" t="s">
        <v>210</v>
      </c>
      <c r="P3" s="8" t="s">
        <v>211</v>
      </c>
      <c r="Q3" s="8" t="s">
        <v>212</v>
      </c>
      <c r="R3" s="8" t="s">
        <v>213</v>
      </c>
      <c r="S3" s="8" t="s">
        <v>214</v>
      </c>
      <c r="T3" s="8" t="s">
        <v>215</v>
      </c>
      <c r="U3" s="8" t="s">
        <v>216</v>
      </c>
      <c r="V3" s="8" t="s">
        <v>217</v>
      </c>
      <c r="W3" s="8" t="s">
        <v>218</v>
      </c>
      <c r="X3" s="8" t="s">
        <v>219</v>
      </c>
      <c r="Y3" s="8" t="s">
        <v>220</v>
      </c>
      <c r="Z3" s="8" t="s">
        <v>221</v>
      </c>
      <c r="AA3" s="8" t="s">
        <v>222</v>
      </c>
      <c r="AB3" s="8" t="s">
        <v>223</v>
      </c>
      <c r="AC3" s="8" t="s">
        <v>224</v>
      </c>
      <c r="AD3" s="8" t="s">
        <v>225</v>
      </c>
      <c r="AE3" s="8" t="s">
        <v>226</v>
      </c>
      <c r="AF3" s="8" t="s">
        <v>227</v>
      </c>
      <c r="AG3" s="8" t="s">
        <v>228</v>
      </c>
      <c r="AH3" s="8" t="s">
        <v>229</v>
      </c>
      <c r="AI3" s="8" t="s">
        <v>230</v>
      </c>
      <c r="AJ3" s="8" t="s">
        <v>231</v>
      </c>
      <c r="AK3" s="8" t="s">
        <v>232</v>
      </c>
      <c r="AL3" s="8" t="s">
        <v>233</v>
      </c>
      <c r="AM3" s="8" t="s">
        <v>234</v>
      </c>
      <c r="AN3" s="8" t="s">
        <v>235</v>
      </c>
      <c r="AO3" s="8" t="s">
        <v>236</v>
      </c>
      <c r="AP3" s="8" t="s">
        <v>237</v>
      </c>
      <c r="AQ3" s="8" t="s">
        <v>238</v>
      </c>
      <c r="AR3" s="8" t="s">
        <v>239</v>
      </c>
      <c r="AS3" s="8" t="s">
        <v>240</v>
      </c>
      <c r="AT3" s="8" t="s">
        <v>241</v>
      </c>
      <c r="AU3" s="8" t="s">
        <v>242</v>
      </c>
      <c r="AV3" s="8" t="s">
        <v>243</v>
      </c>
      <c r="AW3" s="8" t="s">
        <v>244</v>
      </c>
      <c r="AX3" s="8" t="s">
        <v>245</v>
      </c>
      <c r="AY3" s="8" t="s">
        <v>246</v>
      </c>
      <c r="AZ3" s="8" t="s">
        <v>247</v>
      </c>
      <c r="BA3" s="8" t="s">
        <v>248</v>
      </c>
      <c r="BB3" s="8" t="s">
        <v>249</v>
      </c>
      <c r="BC3" s="8" t="s">
        <v>250</v>
      </c>
      <c r="BD3" s="8" t="s">
        <v>251</v>
      </c>
      <c r="BE3" s="8" t="s">
        <v>252</v>
      </c>
      <c r="BF3" s="8" t="s">
        <v>253</v>
      </c>
      <c r="BG3" s="8" t="s">
        <v>254</v>
      </c>
      <c r="BH3" s="8" t="s">
        <v>255</v>
      </c>
      <c r="BI3" s="8" t="s">
        <v>256</v>
      </c>
      <c r="BJ3" s="8" t="s">
        <v>257</v>
      </c>
      <c r="BK3" s="8" t="s">
        <v>258</v>
      </c>
      <c r="BL3" s="8" t="s">
        <v>259</v>
      </c>
      <c r="BM3" s="8" t="s">
        <v>260</v>
      </c>
      <c r="BN3" s="8" t="s">
        <v>261</v>
      </c>
      <c r="BO3" s="8" t="s">
        <v>262</v>
      </c>
      <c r="BP3" s="8" t="s">
        <v>263</v>
      </c>
      <c r="BQ3" s="8" t="s">
        <v>264</v>
      </c>
      <c r="BR3" s="8" t="s">
        <v>265</v>
      </c>
      <c r="BS3" s="8" t="s">
        <v>266</v>
      </c>
      <c r="BT3" s="8" t="s">
        <v>267</v>
      </c>
      <c r="BU3" s="8" t="s">
        <v>268</v>
      </c>
      <c r="BV3" s="8" t="s">
        <v>269</v>
      </c>
      <c r="BW3" s="8" t="s">
        <v>270</v>
      </c>
      <c r="BX3" s="8" t="s">
        <v>271</v>
      </c>
      <c r="BY3" s="8" t="s">
        <v>272</v>
      </c>
      <c r="BZ3" s="8" t="s">
        <v>273</v>
      </c>
      <c r="CA3" s="8" t="s">
        <v>274</v>
      </c>
    </row>
    <row r="4">
      <c r="A4" s="9" t="s">
        <v>160</v>
      </c>
      <c r="B4" s="9">
        <v>1689.0</v>
      </c>
      <c r="C4" s="9">
        <v>154.0</v>
      </c>
      <c r="D4" s="9">
        <v>25.0</v>
      </c>
      <c r="E4" s="9">
        <v>90.0</v>
      </c>
      <c r="F4" s="9">
        <v>406.0</v>
      </c>
      <c r="G4" s="9">
        <v>69.0</v>
      </c>
      <c r="H4" s="9">
        <v>312.0</v>
      </c>
      <c r="I4" s="9">
        <v>37.0</v>
      </c>
      <c r="J4" s="9">
        <v>359.0</v>
      </c>
      <c r="K4" s="9">
        <v>60.0</v>
      </c>
      <c r="L4" s="9">
        <v>177.0</v>
      </c>
      <c r="M4" s="9">
        <v>367.0</v>
      </c>
      <c r="N4" s="9">
        <v>264.0</v>
      </c>
      <c r="O4" s="9">
        <v>103.0</v>
      </c>
      <c r="P4" s="9">
        <v>1518.0</v>
      </c>
      <c r="Q4" s="9">
        <v>13.0</v>
      </c>
      <c r="R4" s="9">
        <v>43.0</v>
      </c>
      <c r="S4" s="9">
        <v>111.0</v>
      </c>
      <c r="T4" s="9">
        <v>483.0</v>
      </c>
      <c r="U4" s="9">
        <v>232.0</v>
      </c>
      <c r="V4" s="9">
        <v>185.0</v>
      </c>
      <c r="W4" s="9">
        <v>266.0</v>
      </c>
      <c r="X4" s="9">
        <v>81.0</v>
      </c>
      <c r="Y4" s="9">
        <v>104.0</v>
      </c>
      <c r="Z4" s="9">
        <v>1699.0</v>
      </c>
      <c r="AA4" s="9">
        <v>3.0</v>
      </c>
      <c r="AB4" s="9">
        <v>1693.0</v>
      </c>
      <c r="AC4" s="9">
        <v>3.0</v>
      </c>
      <c r="AD4" s="9">
        <v>105.0</v>
      </c>
      <c r="AE4" s="9">
        <v>0.0</v>
      </c>
      <c r="AF4" s="9">
        <v>94.0</v>
      </c>
      <c r="AG4" s="9">
        <v>11.0</v>
      </c>
      <c r="AH4" s="9">
        <v>4644.0</v>
      </c>
      <c r="AI4" s="9">
        <v>1172.0</v>
      </c>
      <c r="AJ4" s="9">
        <v>594.0</v>
      </c>
      <c r="AK4" s="9">
        <v>200.0</v>
      </c>
      <c r="AL4" s="9">
        <v>687.0</v>
      </c>
      <c r="AM4" s="9">
        <v>270.0</v>
      </c>
      <c r="AN4" s="9">
        <v>171.0</v>
      </c>
      <c r="AO4" s="9">
        <v>597.0</v>
      </c>
      <c r="AP4" s="9">
        <v>421.0</v>
      </c>
      <c r="AQ4" s="9">
        <v>532.0</v>
      </c>
      <c r="AR4" s="9">
        <v>7271.0</v>
      </c>
      <c r="AS4" s="9">
        <v>150.0</v>
      </c>
      <c r="AT4" s="9">
        <v>621.0</v>
      </c>
      <c r="AU4" s="9">
        <v>214.0</v>
      </c>
      <c r="AV4" s="9">
        <v>1212.0</v>
      </c>
      <c r="AW4" s="9">
        <v>1911.0</v>
      </c>
      <c r="AX4" s="9">
        <v>885.0</v>
      </c>
      <c r="AY4" s="9">
        <v>892.0</v>
      </c>
      <c r="AZ4" s="9">
        <v>297.0</v>
      </c>
      <c r="BA4" s="9">
        <v>1089.0</v>
      </c>
      <c r="BB4" s="9">
        <v>17882.0</v>
      </c>
      <c r="BC4" s="9">
        <v>1123.0</v>
      </c>
      <c r="BD4" s="9">
        <v>2131.0</v>
      </c>
      <c r="BE4" s="9">
        <v>354.0</v>
      </c>
      <c r="BF4" s="9">
        <v>2326.0</v>
      </c>
      <c r="BG4" s="9">
        <v>2899.0</v>
      </c>
      <c r="BH4" s="9">
        <v>1543.0</v>
      </c>
      <c r="BI4" s="9">
        <v>2213.0</v>
      </c>
      <c r="BJ4" s="9">
        <v>3852.0</v>
      </c>
      <c r="BK4" s="9">
        <v>1441.0</v>
      </c>
      <c r="BL4" s="9">
        <v>5959.0</v>
      </c>
      <c r="BM4" s="9">
        <v>116.0</v>
      </c>
      <c r="BN4" s="9">
        <v>251.0</v>
      </c>
      <c r="BO4" s="9">
        <v>175.0</v>
      </c>
      <c r="BP4" s="9">
        <v>700.0</v>
      </c>
      <c r="BQ4" s="9">
        <v>304.0</v>
      </c>
      <c r="BR4" s="9">
        <v>993.0</v>
      </c>
      <c r="BS4" s="9">
        <v>763.0</v>
      </c>
      <c r="BT4" s="9">
        <v>2657.0</v>
      </c>
      <c r="BU4" s="9">
        <v>1285.0</v>
      </c>
      <c r="BV4" s="9">
        <v>935.0</v>
      </c>
      <c r="BW4" s="9">
        <v>17.0</v>
      </c>
      <c r="BX4" s="9">
        <v>0.0</v>
      </c>
      <c r="BY4" s="9">
        <v>104.0</v>
      </c>
      <c r="BZ4" s="9">
        <v>229.0</v>
      </c>
      <c r="CA4" s="9">
        <v>42419.0</v>
      </c>
    </row>
    <row r="5">
      <c r="A5" s="9" t="s">
        <v>161</v>
      </c>
      <c r="B5" s="9">
        <v>1928.0</v>
      </c>
      <c r="C5" s="9">
        <v>151.0</v>
      </c>
      <c r="D5" s="9">
        <v>30.0</v>
      </c>
      <c r="E5" s="9">
        <v>96.0</v>
      </c>
      <c r="F5" s="9">
        <v>441.0</v>
      </c>
      <c r="G5" s="9">
        <v>86.0</v>
      </c>
      <c r="H5" s="9">
        <v>418.0</v>
      </c>
      <c r="I5" s="9">
        <v>49.0</v>
      </c>
      <c r="J5" s="9">
        <v>357.0</v>
      </c>
      <c r="K5" s="9">
        <v>67.0</v>
      </c>
      <c r="L5" s="9">
        <v>233.0</v>
      </c>
      <c r="M5" s="9">
        <v>386.0</v>
      </c>
      <c r="N5" s="9">
        <v>298.0</v>
      </c>
      <c r="O5" s="9">
        <v>88.0</v>
      </c>
      <c r="P5" s="9">
        <v>1608.0</v>
      </c>
      <c r="Q5" s="9">
        <v>10.0</v>
      </c>
      <c r="R5" s="9">
        <v>33.0</v>
      </c>
      <c r="S5" s="9">
        <v>103.0</v>
      </c>
      <c r="T5" s="9">
        <v>571.0</v>
      </c>
      <c r="U5" s="9">
        <v>239.0</v>
      </c>
      <c r="V5" s="9">
        <v>159.0</v>
      </c>
      <c r="W5" s="9">
        <v>256.0</v>
      </c>
      <c r="X5" s="9">
        <v>118.0</v>
      </c>
      <c r="Y5" s="9">
        <v>119.0</v>
      </c>
      <c r="Z5" s="9">
        <v>2643.0</v>
      </c>
      <c r="AA5" s="9">
        <v>23.0</v>
      </c>
      <c r="AB5" s="9">
        <v>2612.0</v>
      </c>
      <c r="AC5" s="9">
        <v>8.0</v>
      </c>
      <c r="AD5" s="9">
        <v>120.0</v>
      </c>
      <c r="AE5" s="9">
        <v>1.0</v>
      </c>
      <c r="AF5" s="9">
        <v>107.0</v>
      </c>
      <c r="AG5" s="9">
        <v>12.0</v>
      </c>
      <c r="AH5" s="9">
        <v>5188.0</v>
      </c>
      <c r="AI5" s="9">
        <v>1123.0</v>
      </c>
      <c r="AJ5" s="9">
        <v>760.0</v>
      </c>
      <c r="AK5" s="9">
        <v>233.0</v>
      </c>
      <c r="AL5" s="9">
        <v>739.0</v>
      </c>
      <c r="AM5" s="9">
        <v>327.0</v>
      </c>
      <c r="AN5" s="9">
        <v>227.0</v>
      </c>
      <c r="AO5" s="9">
        <v>699.0</v>
      </c>
      <c r="AP5" s="9">
        <v>483.0</v>
      </c>
      <c r="AQ5" s="9">
        <v>597.0</v>
      </c>
      <c r="AR5" s="9">
        <v>8579.0</v>
      </c>
      <c r="AS5" s="9">
        <v>146.0</v>
      </c>
      <c r="AT5" s="9">
        <v>734.0</v>
      </c>
      <c r="AU5" s="9">
        <v>243.0</v>
      </c>
      <c r="AV5" s="9">
        <v>1342.0</v>
      </c>
      <c r="AW5" s="9">
        <v>2045.0</v>
      </c>
      <c r="AX5" s="9">
        <v>1078.0</v>
      </c>
      <c r="AY5" s="9">
        <v>1218.0</v>
      </c>
      <c r="AZ5" s="9">
        <v>414.0</v>
      </c>
      <c r="BA5" s="9">
        <v>1359.0</v>
      </c>
      <c r="BB5" s="9">
        <v>23456.0</v>
      </c>
      <c r="BC5" s="9">
        <v>1240.0</v>
      </c>
      <c r="BD5" s="9">
        <v>2752.0</v>
      </c>
      <c r="BE5" s="9">
        <v>388.0</v>
      </c>
      <c r="BF5" s="9">
        <v>2891.0</v>
      </c>
      <c r="BG5" s="9">
        <v>3531.0</v>
      </c>
      <c r="BH5" s="9">
        <v>1880.0</v>
      </c>
      <c r="BI5" s="9">
        <v>2621.0</v>
      </c>
      <c r="BJ5" s="9">
        <v>5397.0</v>
      </c>
      <c r="BK5" s="9">
        <v>2756.0</v>
      </c>
      <c r="BL5" s="9">
        <v>6813.0</v>
      </c>
      <c r="BM5" s="9">
        <v>140.0</v>
      </c>
      <c r="BN5" s="9">
        <v>339.0</v>
      </c>
      <c r="BO5" s="9">
        <v>215.0</v>
      </c>
      <c r="BP5" s="9">
        <v>848.0</v>
      </c>
      <c r="BQ5" s="9">
        <v>342.0</v>
      </c>
      <c r="BR5" s="9">
        <v>1138.0</v>
      </c>
      <c r="BS5" s="9">
        <v>806.0</v>
      </c>
      <c r="BT5" s="9">
        <v>2985.0</v>
      </c>
      <c r="BU5" s="9">
        <v>995.0</v>
      </c>
      <c r="BV5" s="9">
        <v>651.0</v>
      </c>
      <c r="BW5" s="9">
        <v>25.0</v>
      </c>
      <c r="BX5" s="9">
        <v>3.0</v>
      </c>
      <c r="BY5" s="9">
        <v>189.0</v>
      </c>
      <c r="BZ5" s="9">
        <v>127.0</v>
      </c>
      <c r="CA5" s="9">
        <v>51716.0</v>
      </c>
    </row>
    <row r="6">
      <c r="A6" s="9" t="s">
        <v>162</v>
      </c>
      <c r="B6" s="9">
        <v>1915.0</v>
      </c>
      <c r="C6" s="9">
        <v>121.0</v>
      </c>
      <c r="D6" s="9">
        <v>28.0</v>
      </c>
      <c r="E6" s="9">
        <v>115.0</v>
      </c>
      <c r="F6" s="9">
        <v>438.0</v>
      </c>
      <c r="G6" s="9">
        <v>101.0</v>
      </c>
      <c r="H6" s="9">
        <v>388.0</v>
      </c>
      <c r="I6" s="9">
        <v>61.0</v>
      </c>
      <c r="J6" s="9">
        <v>316.0</v>
      </c>
      <c r="K6" s="9">
        <v>69.0</v>
      </c>
      <c r="L6" s="9">
        <v>278.0</v>
      </c>
      <c r="M6" s="9">
        <v>403.0</v>
      </c>
      <c r="N6" s="9">
        <v>301.0</v>
      </c>
      <c r="O6" s="9">
        <v>102.0</v>
      </c>
      <c r="P6" s="9">
        <v>1405.0</v>
      </c>
      <c r="Q6" s="9">
        <v>14.0</v>
      </c>
      <c r="R6" s="9">
        <v>53.0</v>
      </c>
      <c r="S6" s="9">
        <v>83.0</v>
      </c>
      <c r="T6" s="9">
        <v>456.0</v>
      </c>
      <c r="U6" s="9">
        <v>207.0</v>
      </c>
      <c r="V6" s="9">
        <v>141.0</v>
      </c>
      <c r="W6" s="9">
        <v>186.0</v>
      </c>
      <c r="X6" s="9">
        <v>148.0</v>
      </c>
      <c r="Y6" s="9">
        <v>117.0</v>
      </c>
      <c r="Z6" s="9">
        <v>2806.0</v>
      </c>
      <c r="AA6" s="9">
        <v>3.0</v>
      </c>
      <c r="AB6" s="9">
        <v>2787.0</v>
      </c>
      <c r="AC6" s="9">
        <v>16.0</v>
      </c>
      <c r="AD6" s="9">
        <v>122.0</v>
      </c>
      <c r="AE6" s="9">
        <v>0.0</v>
      </c>
      <c r="AF6" s="9">
        <v>110.0</v>
      </c>
      <c r="AG6" s="9">
        <v>12.0</v>
      </c>
      <c r="AH6" s="9">
        <v>5129.0</v>
      </c>
      <c r="AI6" s="9">
        <v>984.0</v>
      </c>
      <c r="AJ6" s="9">
        <v>695.0</v>
      </c>
      <c r="AK6" s="9">
        <v>229.0</v>
      </c>
      <c r="AL6" s="9">
        <v>904.0</v>
      </c>
      <c r="AM6" s="9">
        <v>339.0</v>
      </c>
      <c r="AN6" s="9">
        <v>261.0</v>
      </c>
      <c r="AO6" s="9">
        <v>613.0</v>
      </c>
      <c r="AP6" s="9">
        <v>459.0</v>
      </c>
      <c r="AQ6" s="9">
        <v>645.0</v>
      </c>
      <c r="AR6" s="9">
        <v>7627.0</v>
      </c>
      <c r="AS6" s="9">
        <v>128.0</v>
      </c>
      <c r="AT6" s="9">
        <v>703.0</v>
      </c>
      <c r="AU6" s="9">
        <v>221.0</v>
      </c>
      <c r="AV6" s="9">
        <v>1255.0</v>
      </c>
      <c r="AW6" s="9">
        <v>1856.0</v>
      </c>
      <c r="AX6" s="9">
        <v>996.0</v>
      </c>
      <c r="AY6" s="9">
        <v>834.0</v>
      </c>
      <c r="AZ6" s="9">
        <v>373.0</v>
      </c>
      <c r="BA6" s="9">
        <v>1261.0</v>
      </c>
      <c r="BB6" s="9">
        <v>22381.0</v>
      </c>
      <c r="BC6" s="9">
        <v>1361.0</v>
      </c>
      <c r="BD6" s="9">
        <v>2446.0</v>
      </c>
      <c r="BE6" s="9">
        <v>354.0</v>
      </c>
      <c r="BF6" s="9">
        <v>2789.0</v>
      </c>
      <c r="BG6" s="9">
        <v>3462.0</v>
      </c>
      <c r="BH6" s="9">
        <v>1778.0</v>
      </c>
      <c r="BI6" s="9">
        <v>2615.0</v>
      </c>
      <c r="BJ6" s="9">
        <v>4825.0</v>
      </c>
      <c r="BK6" s="9">
        <v>2751.0</v>
      </c>
      <c r="BL6" s="9">
        <v>6918.0</v>
      </c>
      <c r="BM6" s="9">
        <v>139.0</v>
      </c>
      <c r="BN6" s="9">
        <v>314.0</v>
      </c>
      <c r="BO6" s="9">
        <v>209.0</v>
      </c>
      <c r="BP6" s="9">
        <v>914.0</v>
      </c>
      <c r="BQ6" s="9">
        <v>359.0</v>
      </c>
      <c r="BR6" s="9">
        <v>1155.0</v>
      </c>
      <c r="BS6" s="9">
        <v>786.0</v>
      </c>
      <c r="BT6" s="9">
        <v>3042.0</v>
      </c>
      <c r="BU6" s="9">
        <v>1092.0</v>
      </c>
      <c r="BV6" s="9">
        <v>493.0</v>
      </c>
      <c r="BW6" s="9">
        <v>28.0</v>
      </c>
      <c r="BX6" s="9">
        <v>7.0</v>
      </c>
      <c r="BY6" s="9">
        <v>427.0</v>
      </c>
      <c r="BZ6" s="9">
        <v>137.0</v>
      </c>
      <c r="CA6" s="9">
        <v>49798.0</v>
      </c>
    </row>
    <row r="7">
      <c r="A7" s="9" t="s">
        <v>163</v>
      </c>
      <c r="B7" s="9">
        <v>2009.0</v>
      </c>
      <c r="C7" s="9">
        <v>62.0</v>
      </c>
      <c r="D7" s="9">
        <v>40.0</v>
      </c>
      <c r="E7" s="9">
        <v>133.0</v>
      </c>
      <c r="F7" s="9">
        <v>453.0</v>
      </c>
      <c r="G7" s="9">
        <v>108.0</v>
      </c>
      <c r="H7" s="9">
        <v>433.0</v>
      </c>
      <c r="I7" s="9">
        <v>57.0</v>
      </c>
      <c r="J7" s="9">
        <v>310.0</v>
      </c>
      <c r="K7" s="9">
        <v>85.0</v>
      </c>
      <c r="L7" s="9">
        <v>328.0</v>
      </c>
      <c r="M7" s="9">
        <v>388.0</v>
      </c>
      <c r="N7" s="9">
        <v>286.0</v>
      </c>
      <c r="O7" s="9">
        <v>102.0</v>
      </c>
      <c r="P7" s="9">
        <v>1195.0</v>
      </c>
      <c r="Q7" s="9">
        <v>9.0</v>
      </c>
      <c r="R7" s="9">
        <v>58.0</v>
      </c>
      <c r="S7" s="9">
        <v>79.0</v>
      </c>
      <c r="T7" s="9">
        <v>437.0</v>
      </c>
      <c r="U7" s="9">
        <v>130.0</v>
      </c>
      <c r="V7" s="9">
        <v>134.0</v>
      </c>
      <c r="W7" s="9">
        <v>123.0</v>
      </c>
      <c r="X7" s="9">
        <v>115.0</v>
      </c>
      <c r="Y7" s="9">
        <v>110.0</v>
      </c>
      <c r="Z7" s="9">
        <v>2949.0</v>
      </c>
      <c r="AA7" s="9">
        <v>4.0</v>
      </c>
      <c r="AB7" s="9">
        <v>2938.0</v>
      </c>
      <c r="AC7" s="9">
        <v>7.0</v>
      </c>
      <c r="AD7" s="9">
        <v>137.0</v>
      </c>
      <c r="AE7" s="9">
        <v>0.0</v>
      </c>
      <c r="AF7" s="9">
        <v>124.0</v>
      </c>
      <c r="AG7" s="9">
        <v>13.0</v>
      </c>
      <c r="AH7" s="9">
        <v>5252.0</v>
      </c>
      <c r="AI7" s="9">
        <v>1044.0</v>
      </c>
      <c r="AJ7" s="9">
        <v>718.0</v>
      </c>
      <c r="AK7" s="9">
        <v>245.0</v>
      </c>
      <c r="AL7" s="9">
        <v>937.0</v>
      </c>
      <c r="AM7" s="9">
        <v>350.0</v>
      </c>
      <c r="AN7" s="9">
        <v>284.0</v>
      </c>
      <c r="AO7" s="9">
        <v>602.0</v>
      </c>
      <c r="AP7" s="9">
        <v>454.0</v>
      </c>
      <c r="AQ7" s="9">
        <v>618.0</v>
      </c>
      <c r="AR7" s="9">
        <v>7575.0</v>
      </c>
      <c r="AS7" s="9">
        <v>118.0</v>
      </c>
      <c r="AT7" s="9">
        <v>704.0</v>
      </c>
      <c r="AU7" s="9">
        <v>225.0</v>
      </c>
      <c r="AV7" s="9">
        <v>1209.0</v>
      </c>
      <c r="AW7" s="9">
        <v>1907.0</v>
      </c>
      <c r="AX7" s="9">
        <v>925.0</v>
      </c>
      <c r="AY7" s="9">
        <v>895.0</v>
      </c>
      <c r="AZ7" s="9">
        <v>371.0</v>
      </c>
      <c r="BA7" s="9">
        <v>1221.0</v>
      </c>
      <c r="BB7" s="9">
        <v>21886.0</v>
      </c>
      <c r="BC7" s="9">
        <v>1311.0</v>
      </c>
      <c r="BD7" s="9">
        <v>2023.0</v>
      </c>
      <c r="BE7" s="9">
        <v>315.0</v>
      </c>
      <c r="BF7" s="9">
        <v>2764.0</v>
      </c>
      <c r="BG7" s="9">
        <v>3406.0</v>
      </c>
      <c r="BH7" s="9">
        <v>1823.0</v>
      </c>
      <c r="BI7" s="9">
        <v>2645.0</v>
      </c>
      <c r="BJ7" s="9">
        <v>4280.0</v>
      </c>
      <c r="BK7" s="9">
        <v>3319.0</v>
      </c>
      <c r="BL7" s="9">
        <v>7281.0</v>
      </c>
      <c r="BM7" s="9">
        <v>154.0</v>
      </c>
      <c r="BN7" s="9">
        <v>301.0</v>
      </c>
      <c r="BO7" s="9">
        <v>221.0</v>
      </c>
      <c r="BP7" s="9">
        <v>1027.0</v>
      </c>
      <c r="BQ7" s="9">
        <v>384.0</v>
      </c>
      <c r="BR7" s="9">
        <v>1241.0</v>
      </c>
      <c r="BS7" s="9">
        <v>793.0</v>
      </c>
      <c r="BT7" s="9">
        <v>3160.0</v>
      </c>
      <c r="BU7" s="9">
        <v>998.0</v>
      </c>
      <c r="BV7" s="9">
        <v>28.0</v>
      </c>
      <c r="BW7" s="9">
        <v>11.0</v>
      </c>
      <c r="BX7" s="9">
        <v>0.0</v>
      </c>
      <c r="BY7" s="9">
        <v>866.0</v>
      </c>
      <c r="BZ7" s="9">
        <v>93.0</v>
      </c>
      <c r="CA7" s="9">
        <v>49670.0</v>
      </c>
    </row>
    <row r="8">
      <c r="A8" s="9" t="s">
        <v>164</v>
      </c>
      <c r="B8" s="9">
        <v>2148.0</v>
      </c>
      <c r="C8" s="9">
        <v>59.0</v>
      </c>
      <c r="D8" s="9">
        <v>39.0</v>
      </c>
      <c r="E8" s="9">
        <v>152.0</v>
      </c>
      <c r="F8" s="9">
        <v>483.0</v>
      </c>
      <c r="G8" s="9">
        <v>131.0</v>
      </c>
      <c r="H8" s="9">
        <v>475.0</v>
      </c>
      <c r="I8" s="9">
        <v>73.0</v>
      </c>
      <c r="J8" s="9">
        <v>328.0</v>
      </c>
      <c r="K8" s="9">
        <v>70.0</v>
      </c>
      <c r="L8" s="9">
        <v>338.0</v>
      </c>
      <c r="M8" s="9">
        <v>410.0</v>
      </c>
      <c r="N8" s="9">
        <v>303.0</v>
      </c>
      <c r="O8" s="9">
        <v>107.0</v>
      </c>
      <c r="P8" s="9">
        <v>1419.0</v>
      </c>
      <c r="Q8" s="9">
        <v>0.0</v>
      </c>
      <c r="R8" s="9">
        <v>58.0</v>
      </c>
      <c r="S8" s="9">
        <v>93.0</v>
      </c>
      <c r="T8" s="9">
        <v>516.0</v>
      </c>
      <c r="U8" s="9">
        <v>153.0</v>
      </c>
      <c r="V8" s="9">
        <v>142.0</v>
      </c>
      <c r="W8" s="9">
        <v>154.0</v>
      </c>
      <c r="X8" s="9">
        <v>170.0</v>
      </c>
      <c r="Y8" s="9">
        <v>133.0</v>
      </c>
      <c r="Z8" s="9">
        <v>3242.0</v>
      </c>
      <c r="AA8" s="9">
        <v>5.0</v>
      </c>
      <c r="AB8" s="9">
        <v>3222.0</v>
      </c>
      <c r="AC8" s="9">
        <v>15.0</v>
      </c>
      <c r="AD8" s="9">
        <v>174.0</v>
      </c>
      <c r="AE8" s="9">
        <v>0.0</v>
      </c>
      <c r="AF8" s="9">
        <v>156.0</v>
      </c>
      <c r="AG8" s="9">
        <v>18.0</v>
      </c>
      <c r="AH8" s="9">
        <v>6220.0</v>
      </c>
      <c r="AI8" s="9">
        <v>1284.0</v>
      </c>
      <c r="AJ8" s="9">
        <v>700.0</v>
      </c>
      <c r="AK8" s="9">
        <v>305.0</v>
      </c>
      <c r="AL8" s="9">
        <v>1275.0</v>
      </c>
      <c r="AM8" s="9">
        <v>438.0</v>
      </c>
      <c r="AN8" s="9">
        <v>310.0</v>
      </c>
      <c r="AO8" s="9">
        <v>650.0</v>
      </c>
      <c r="AP8" s="9">
        <v>531.0</v>
      </c>
      <c r="AQ8" s="9">
        <v>727.0</v>
      </c>
      <c r="AR8" s="9">
        <v>8433.0</v>
      </c>
      <c r="AS8" s="9">
        <v>132.0</v>
      </c>
      <c r="AT8" s="9">
        <v>781.0</v>
      </c>
      <c r="AU8" s="9">
        <v>245.0</v>
      </c>
      <c r="AV8" s="9">
        <v>1387.0</v>
      </c>
      <c r="AW8" s="9">
        <v>2090.0</v>
      </c>
      <c r="AX8" s="9">
        <v>1024.0</v>
      </c>
      <c r="AY8" s="9">
        <v>856.0</v>
      </c>
      <c r="AZ8" s="9">
        <v>440.0</v>
      </c>
      <c r="BA8" s="9">
        <v>1478.0</v>
      </c>
      <c r="BB8" s="9">
        <v>23732.0</v>
      </c>
      <c r="BC8" s="9">
        <v>1345.0</v>
      </c>
      <c r="BD8" s="9">
        <v>2350.0</v>
      </c>
      <c r="BE8" s="9">
        <v>314.0</v>
      </c>
      <c r="BF8" s="9">
        <v>2892.0</v>
      </c>
      <c r="BG8" s="9">
        <v>3949.0</v>
      </c>
      <c r="BH8" s="9">
        <v>2188.0</v>
      </c>
      <c r="BI8" s="9">
        <v>3093.0</v>
      </c>
      <c r="BJ8" s="9">
        <v>5576.0</v>
      </c>
      <c r="BK8" s="9">
        <v>2025.0</v>
      </c>
      <c r="BL8" s="9">
        <v>8515.0</v>
      </c>
      <c r="BM8" s="9">
        <v>166.0</v>
      </c>
      <c r="BN8" s="9">
        <v>342.0</v>
      </c>
      <c r="BO8" s="9">
        <v>273.0</v>
      </c>
      <c r="BP8" s="9">
        <v>1208.0</v>
      </c>
      <c r="BQ8" s="9">
        <v>481.0</v>
      </c>
      <c r="BR8" s="9">
        <v>1444.0</v>
      </c>
      <c r="BS8" s="9">
        <v>931.0</v>
      </c>
      <c r="BT8" s="9">
        <v>3670.0</v>
      </c>
      <c r="BU8" s="9">
        <v>1198.0</v>
      </c>
      <c r="BV8" s="9">
        <v>27.0</v>
      </c>
      <c r="BW8" s="9">
        <v>1.0</v>
      </c>
      <c r="BX8" s="9">
        <v>0.0</v>
      </c>
      <c r="BY8" s="9">
        <v>1104.0</v>
      </c>
      <c r="BZ8" s="9">
        <v>66.0</v>
      </c>
      <c r="CA8" s="9">
        <v>55491.0</v>
      </c>
    </row>
    <row r="9">
      <c r="A9" s="9" t="s">
        <v>165</v>
      </c>
      <c r="B9" s="9">
        <v>2381.0</v>
      </c>
      <c r="C9" s="9">
        <v>65.0</v>
      </c>
      <c r="D9" s="9">
        <v>39.0</v>
      </c>
      <c r="E9" s="9">
        <v>159.0</v>
      </c>
      <c r="F9" s="9">
        <v>538.0</v>
      </c>
      <c r="G9" s="9">
        <v>139.0</v>
      </c>
      <c r="H9" s="9">
        <v>501.0</v>
      </c>
      <c r="I9" s="9">
        <v>73.0</v>
      </c>
      <c r="J9" s="9">
        <v>358.0</v>
      </c>
      <c r="K9" s="9">
        <v>87.0</v>
      </c>
      <c r="L9" s="9">
        <v>422.0</v>
      </c>
      <c r="M9" s="9">
        <v>451.0</v>
      </c>
      <c r="N9" s="9">
        <v>318.0</v>
      </c>
      <c r="O9" s="9">
        <v>133.0</v>
      </c>
      <c r="P9" s="9">
        <v>1548.0</v>
      </c>
      <c r="Q9" s="9">
        <v>4.0</v>
      </c>
      <c r="R9" s="9">
        <v>65.0</v>
      </c>
      <c r="S9" s="9">
        <v>111.0</v>
      </c>
      <c r="T9" s="9">
        <v>652.0</v>
      </c>
      <c r="U9" s="9">
        <v>141.0</v>
      </c>
      <c r="V9" s="9">
        <v>153.0</v>
      </c>
      <c r="W9" s="9">
        <v>139.0</v>
      </c>
      <c r="X9" s="9">
        <v>128.0</v>
      </c>
      <c r="Y9" s="9">
        <v>155.0</v>
      </c>
      <c r="Z9" s="9">
        <v>3819.0</v>
      </c>
      <c r="AA9" s="9">
        <v>16.0</v>
      </c>
      <c r="AB9" s="9">
        <v>3781.0</v>
      </c>
      <c r="AC9" s="9">
        <v>22.0</v>
      </c>
      <c r="AD9" s="9">
        <v>196.0</v>
      </c>
      <c r="AE9" s="9">
        <v>0.0</v>
      </c>
      <c r="AF9" s="9">
        <v>179.0</v>
      </c>
      <c r="AG9" s="9">
        <v>17.0</v>
      </c>
      <c r="AH9" s="9">
        <v>6843.0</v>
      </c>
      <c r="AI9" s="9">
        <v>1491.0</v>
      </c>
      <c r="AJ9" s="9">
        <v>582.0</v>
      </c>
      <c r="AK9" s="9">
        <v>335.0</v>
      </c>
      <c r="AL9" s="9">
        <v>1393.0</v>
      </c>
      <c r="AM9" s="9">
        <v>491.0</v>
      </c>
      <c r="AN9" s="9">
        <v>376.0</v>
      </c>
      <c r="AO9" s="9">
        <v>728.0</v>
      </c>
      <c r="AP9" s="9">
        <v>606.0</v>
      </c>
      <c r="AQ9" s="9">
        <v>841.0</v>
      </c>
      <c r="AR9" s="9">
        <v>9137.0</v>
      </c>
      <c r="AS9" s="9">
        <v>137.0</v>
      </c>
      <c r="AT9" s="9">
        <v>883.0</v>
      </c>
      <c r="AU9" s="9">
        <v>274.0</v>
      </c>
      <c r="AV9" s="9">
        <v>1485.0</v>
      </c>
      <c r="AW9" s="9">
        <v>2208.0</v>
      </c>
      <c r="AX9" s="9">
        <v>1038.0</v>
      </c>
      <c r="AY9" s="9">
        <v>1038.0</v>
      </c>
      <c r="AZ9" s="9">
        <v>476.0</v>
      </c>
      <c r="BA9" s="9">
        <v>1598.0</v>
      </c>
      <c r="BB9" s="9">
        <v>27486.0</v>
      </c>
      <c r="BC9" s="9">
        <v>1665.0</v>
      </c>
      <c r="BD9" s="9">
        <v>2717.0</v>
      </c>
      <c r="BE9" s="9">
        <v>324.0</v>
      </c>
      <c r="BF9" s="9">
        <v>3425.0</v>
      </c>
      <c r="BG9" s="9">
        <v>4576.0</v>
      </c>
      <c r="BH9" s="9">
        <v>2488.0</v>
      </c>
      <c r="BI9" s="9">
        <v>3752.0</v>
      </c>
      <c r="BJ9" s="9">
        <v>6695.0</v>
      </c>
      <c r="BK9" s="9">
        <v>1844.0</v>
      </c>
      <c r="BL9" s="9">
        <v>9421.0</v>
      </c>
      <c r="BM9" s="9">
        <v>182.0</v>
      </c>
      <c r="BN9" s="9">
        <v>369.0</v>
      </c>
      <c r="BO9" s="9">
        <v>272.0</v>
      </c>
      <c r="BP9" s="9">
        <v>1454.0</v>
      </c>
      <c r="BQ9" s="9">
        <v>515.0</v>
      </c>
      <c r="BR9" s="9">
        <v>1648.0</v>
      </c>
      <c r="BS9" s="9">
        <v>1024.0</v>
      </c>
      <c r="BT9" s="9">
        <v>3957.0</v>
      </c>
      <c r="BU9" s="9">
        <v>1109.0</v>
      </c>
      <c r="BV9" s="9">
        <v>37.0</v>
      </c>
      <c r="BW9" s="9">
        <v>1.0</v>
      </c>
      <c r="BX9" s="9">
        <v>0.0</v>
      </c>
      <c r="BY9" s="9">
        <v>1003.0</v>
      </c>
      <c r="BZ9" s="9">
        <v>68.0</v>
      </c>
      <c r="CA9" s="9">
        <v>62391.0</v>
      </c>
    </row>
    <row r="10">
      <c r="A10" s="9" t="s">
        <v>166</v>
      </c>
      <c r="B10" s="9">
        <v>2583.0</v>
      </c>
      <c r="C10" s="9">
        <v>81.0</v>
      </c>
      <c r="D10" s="9">
        <v>42.0</v>
      </c>
      <c r="E10" s="9">
        <v>161.0</v>
      </c>
      <c r="F10" s="9">
        <v>582.0</v>
      </c>
      <c r="G10" s="9">
        <v>148.0</v>
      </c>
      <c r="H10" s="9">
        <v>504.0</v>
      </c>
      <c r="I10" s="9">
        <v>75.0</v>
      </c>
      <c r="J10" s="9">
        <v>437.0</v>
      </c>
      <c r="K10" s="9">
        <v>107.0</v>
      </c>
      <c r="L10" s="9">
        <v>446.0</v>
      </c>
      <c r="M10" s="9">
        <v>501.0</v>
      </c>
      <c r="N10" s="9">
        <v>338.0</v>
      </c>
      <c r="O10" s="9">
        <v>163.0</v>
      </c>
      <c r="P10" s="9">
        <v>1650.0</v>
      </c>
      <c r="Q10" s="9">
        <v>4.0</v>
      </c>
      <c r="R10" s="9">
        <v>105.0</v>
      </c>
      <c r="S10" s="9">
        <v>128.0</v>
      </c>
      <c r="T10" s="9">
        <v>605.0</v>
      </c>
      <c r="U10" s="9">
        <v>131.0</v>
      </c>
      <c r="V10" s="9">
        <v>174.0</v>
      </c>
      <c r="W10" s="9">
        <v>163.0</v>
      </c>
      <c r="X10" s="9">
        <v>169.0</v>
      </c>
      <c r="Y10" s="9">
        <v>171.0</v>
      </c>
      <c r="Z10" s="9">
        <v>3264.0</v>
      </c>
      <c r="AA10" s="9">
        <v>26.0</v>
      </c>
      <c r="AB10" s="9">
        <v>3212.0</v>
      </c>
      <c r="AC10" s="9">
        <v>26.0</v>
      </c>
      <c r="AD10" s="9">
        <v>209.0</v>
      </c>
      <c r="AE10" s="9">
        <v>2.0</v>
      </c>
      <c r="AF10" s="9">
        <v>187.0</v>
      </c>
      <c r="AG10" s="9">
        <v>20.0</v>
      </c>
      <c r="AH10" s="9">
        <v>7359.0</v>
      </c>
      <c r="AI10" s="9">
        <v>1706.0</v>
      </c>
      <c r="AJ10" s="9">
        <v>462.0</v>
      </c>
      <c r="AK10" s="9">
        <v>355.0</v>
      </c>
      <c r="AL10" s="9">
        <v>1504.0</v>
      </c>
      <c r="AM10" s="9">
        <v>547.0</v>
      </c>
      <c r="AN10" s="9">
        <v>443.0</v>
      </c>
      <c r="AO10" s="9">
        <v>804.0</v>
      </c>
      <c r="AP10" s="9">
        <v>666.0</v>
      </c>
      <c r="AQ10" s="9">
        <v>872.0</v>
      </c>
      <c r="AR10" s="9">
        <v>10019.0</v>
      </c>
      <c r="AS10" s="9">
        <v>156.0</v>
      </c>
      <c r="AT10" s="9">
        <v>998.0</v>
      </c>
      <c r="AU10" s="9">
        <v>305.0</v>
      </c>
      <c r="AV10" s="9">
        <v>1639.0</v>
      </c>
      <c r="AW10" s="9">
        <v>2368.0</v>
      </c>
      <c r="AX10" s="9">
        <v>1144.0</v>
      </c>
      <c r="AY10" s="9">
        <v>1101.0</v>
      </c>
      <c r="AZ10" s="9">
        <v>588.0</v>
      </c>
      <c r="BA10" s="9">
        <v>1720.0</v>
      </c>
      <c r="BB10" s="9">
        <v>31427.0</v>
      </c>
      <c r="BC10" s="9">
        <v>1759.0</v>
      </c>
      <c r="BD10" s="9">
        <v>3341.0</v>
      </c>
      <c r="BE10" s="9">
        <v>436.0</v>
      </c>
      <c r="BF10" s="9">
        <v>3912.0</v>
      </c>
      <c r="BG10" s="9">
        <v>5201.0</v>
      </c>
      <c r="BH10" s="9">
        <v>2874.0</v>
      </c>
      <c r="BI10" s="9">
        <v>4375.0</v>
      </c>
      <c r="BJ10" s="9">
        <v>7963.0</v>
      </c>
      <c r="BK10" s="9">
        <v>1566.0</v>
      </c>
      <c r="BL10" s="9">
        <v>10229.0</v>
      </c>
      <c r="BM10" s="9">
        <v>206.0</v>
      </c>
      <c r="BN10" s="9">
        <v>425.0</v>
      </c>
      <c r="BO10" s="9">
        <v>314.0</v>
      </c>
      <c r="BP10" s="9">
        <v>1547.0</v>
      </c>
      <c r="BQ10" s="9">
        <v>557.0</v>
      </c>
      <c r="BR10" s="9">
        <v>1762.0</v>
      </c>
      <c r="BS10" s="9">
        <v>1140.0</v>
      </c>
      <c r="BT10" s="9">
        <v>4278.0</v>
      </c>
      <c r="BU10" s="9">
        <v>861.0</v>
      </c>
      <c r="BV10" s="9">
        <v>25.0</v>
      </c>
      <c r="BW10" s="9">
        <v>1.0</v>
      </c>
      <c r="BX10" s="9">
        <v>0.0</v>
      </c>
      <c r="BY10" s="9">
        <v>773.0</v>
      </c>
      <c r="BZ10" s="9">
        <v>62.0</v>
      </c>
      <c r="CA10" s="9">
        <v>68102.0</v>
      </c>
    </row>
    <row r="11">
      <c r="A11" s="9" t="s">
        <v>167</v>
      </c>
      <c r="B11" s="9">
        <v>2947.0</v>
      </c>
      <c r="C11" s="9">
        <v>106.0</v>
      </c>
      <c r="D11" s="9">
        <v>51.0</v>
      </c>
      <c r="E11" s="9">
        <v>185.0</v>
      </c>
      <c r="F11" s="9">
        <v>598.0</v>
      </c>
      <c r="G11" s="9">
        <v>218.0</v>
      </c>
      <c r="H11" s="9">
        <v>575.0</v>
      </c>
      <c r="I11" s="9">
        <v>88.0</v>
      </c>
      <c r="J11" s="9">
        <v>525.0</v>
      </c>
      <c r="K11" s="9">
        <v>104.0</v>
      </c>
      <c r="L11" s="9">
        <v>497.0</v>
      </c>
      <c r="M11" s="9">
        <v>504.0</v>
      </c>
      <c r="N11" s="9">
        <v>341.0</v>
      </c>
      <c r="O11" s="9">
        <v>163.0</v>
      </c>
      <c r="P11" s="9">
        <v>1746.0</v>
      </c>
      <c r="Q11" s="9">
        <v>1.0</v>
      </c>
      <c r="R11" s="9">
        <v>131.0</v>
      </c>
      <c r="S11" s="9">
        <v>166.0</v>
      </c>
      <c r="T11" s="9">
        <v>522.0</v>
      </c>
      <c r="U11" s="9">
        <v>205.0</v>
      </c>
      <c r="V11" s="9">
        <v>182.0</v>
      </c>
      <c r="W11" s="9">
        <v>157.0</v>
      </c>
      <c r="X11" s="9">
        <v>182.0</v>
      </c>
      <c r="Y11" s="9">
        <v>200.0</v>
      </c>
      <c r="Z11" s="9">
        <v>3887.0</v>
      </c>
      <c r="AA11" s="9">
        <v>14.0</v>
      </c>
      <c r="AB11" s="9">
        <v>3823.0</v>
      </c>
      <c r="AC11" s="9">
        <v>50.0</v>
      </c>
      <c r="AD11" s="9">
        <v>251.0</v>
      </c>
      <c r="AE11" s="9">
        <v>2.0</v>
      </c>
      <c r="AF11" s="9">
        <v>226.0</v>
      </c>
      <c r="AG11" s="9">
        <v>23.0</v>
      </c>
      <c r="AH11" s="9">
        <v>8599.0</v>
      </c>
      <c r="AI11" s="9">
        <v>1862.0</v>
      </c>
      <c r="AJ11" s="9">
        <v>797.0</v>
      </c>
      <c r="AK11" s="9">
        <v>370.0</v>
      </c>
      <c r="AL11" s="9">
        <v>1691.0</v>
      </c>
      <c r="AM11" s="9">
        <v>598.0</v>
      </c>
      <c r="AN11" s="9">
        <v>584.0</v>
      </c>
      <c r="AO11" s="9">
        <v>980.0</v>
      </c>
      <c r="AP11" s="9">
        <v>774.0</v>
      </c>
      <c r="AQ11" s="9">
        <v>943.0</v>
      </c>
      <c r="AR11" s="9">
        <v>11353.0</v>
      </c>
      <c r="AS11" s="9">
        <v>168.0</v>
      </c>
      <c r="AT11" s="9">
        <v>1084.0</v>
      </c>
      <c r="AU11" s="9">
        <v>327.0</v>
      </c>
      <c r="AV11" s="9">
        <v>2048.0</v>
      </c>
      <c r="AW11" s="9">
        <v>2416.0</v>
      </c>
      <c r="AX11" s="9">
        <v>1211.0</v>
      </c>
      <c r="AY11" s="9">
        <v>1459.0</v>
      </c>
      <c r="AZ11" s="9">
        <v>689.0</v>
      </c>
      <c r="BA11" s="9">
        <v>1951.0</v>
      </c>
      <c r="BB11" s="9">
        <v>36393.0</v>
      </c>
      <c r="BC11" s="9">
        <v>1845.0</v>
      </c>
      <c r="BD11" s="9">
        <v>3914.0</v>
      </c>
      <c r="BE11" s="9">
        <v>558.0</v>
      </c>
      <c r="BF11" s="9">
        <v>4379.0</v>
      </c>
      <c r="BG11" s="9">
        <v>5969.0</v>
      </c>
      <c r="BH11" s="9">
        <v>3684.0</v>
      </c>
      <c r="BI11" s="9">
        <v>5298.0</v>
      </c>
      <c r="BJ11" s="9">
        <v>8433.0</v>
      </c>
      <c r="BK11" s="9">
        <v>2313.0</v>
      </c>
      <c r="BL11" s="9">
        <v>10963.0</v>
      </c>
      <c r="BM11" s="9">
        <v>218.0</v>
      </c>
      <c r="BN11" s="9">
        <v>457.0</v>
      </c>
      <c r="BO11" s="9">
        <v>359.0</v>
      </c>
      <c r="BP11" s="9">
        <v>1703.0</v>
      </c>
      <c r="BQ11" s="9">
        <v>568.0</v>
      </c>
      <c r="BR11" s="9">
        <v>1887.0</v>
      </c>
      <c r="BS11" s="9">
        <v>1230.0</v>
      </c>
      <c r="BT11" s="9">
        <v>4541.0</v>
      </c>
      <c r="BU11" s="9">
        <v>827.0</v>
      </c>
      <c r="BV11" s="9">
        <v>27.0</v>
      </c>
      <c r="BW11" s="9">
        <v>1.0</v>
      </c>
      <c r="BX11" s="9">
        <v>0.0</v>
      </c>
      <c r="BY11" s="9">
        <v>731.0</v>
      </c>
      <c r="BZ11" s="9">
        <v>68.0</v>
      </c>
      <c r="CA11" s="9">
        <v>77470.0</v>
      </c>
    </row>
    <row r="12">
      <c r="A12" s="9" t="s">
        <v>168</v>
      </c>
      <c r="B12" s="9">
        <v>2919.0</v>
      </c>
      <c r="C12" s="9">
        <v>92.0</v>
      </c>
      <c r="D12" s="9">
        <v>56.0</v>
      </c>
      <c r="E12" s="9">
        <v>201.0</v>
      </c>
      <c r="F12" s="9">
        <v>605.0</v>
      </c>
      <c r="G12" s="9">
        <v>165.0</v>
      </c>
      <c r="H12" s="9">
        <v>597.0</v>
      </c>
      <c r="I12" s="9">
        <v>87.0</v>
      </c>
      <c r="J12" s="9">
        <v>484.0</v>
      </c>
      <c r="K12" s="9">
        <v>105.0</v>
      </c>
      <c r="L12" s="9">
        <v>527.0</v>
      </c>
      <c r="M12" s="9">
        <v>511.0</v>
      </c>
      <c r="N12" s="9">
        <v>341.0</v>
      </c>
      <c r="O12" s="9">
        <v>170.0</v>
      </c>
      <c r="P12" s="9">
        <v>1503.0</v>
      </c>
      <c r="Q12" s="9">
        <v>0.0</v>
      </c>
      <c r="R12" s="9">
        <v>100.0</v>
      </c>
      <c r="S12" s="9">
        <v>144.0</v>
      </c>
      <c r="T12" s="9">
        <v>419.0</v>
      </c>
      <c r="U12" s="9">
        <v>155.0</v>
      </c>
      <c r="V12" s="9">
        <v>166.0</v>
      </c>
      <c r="W12" s="9">
        <v>131.0</v>
      </c>
      <c r="X12" s="9">
        <v>171.0</v>
      </c>
      <c r="Y12" s="9">
        <v>217.0</v>
      </c>
      <c r="Z12" s="9">
        <v>4898.0</v>
      </c>
      <c r="AA12" s="9">
        <v>15.0</v>
      </c>
      <c r="AB12" s="9">
        <v>4800.0</v>
      </c>
      <c r="AC12" s="9">
        <v>83.0</v>
      </c>
      <c r="AD12" s="9">
        <v>263.0</v>
      </c>
      <c r="AE12" s="9">
        <v>4.0</v>
      </c>
      <c r="AF12" s="9">
        <v>236.0</v>
      </c>
      <c r="AG12" s="9">
        <v>23.0</v>
      </c>
      <c r="AH12" s="9">
        <v>9078.0</v>
      </c>
      <c r="AI12" s="9">
        <v>2007.0</v>
      </c>
      <c r="AJ12" s="9">
        <v>795.0</v>
      </c>
      <c r="AK12" s="9">
        <v>404.0</v>
      </c>
      <c r="AL12" s="9">
        <v>1937.0</v>
      </c>
      <c r="AM12" s="9">
        <v>623.0</v>
      </c>
      <c r="AN12" s="9">
        <v>746.0</v>
      </c>
      <c r="AO12" s="9">
        <v>869.0</v>
      </c>
      <c r="AP12" s="9">
        <v>719.0</v>
      </c>
      <c r="AQ12" s="9">
        <v>978.0</v>
      </c>
      <c r="AR12" s="9">
        <v>10610.0</v>
      </c>
      <c r="AS12" s="9">
        <v>159.0</v>
      </c>
      <c r="AT12" s="9">
        <v>1119.0</v>
      </c>
      <c r="AU12" s="9">
        <v>319.0</v>
      </c>
      <c r="AV12" s="9">
        <v>1770.0</v>
      </c>
      <c r="AW12" s="9">
        <v>2319.0</v>
      </c>
      <c r="AX12" s="9">
        <v>1208.0</v>
      </c>
      <c r="AY12" s="9">
        <v>1264.0</v>
      </c>
      <c r="AZ12" s="9">
        <v>601.0</v>
      </c>
      <c r="BA12" s="9">
        <v>1851.0</v>
      </c>
      <c r="BB12" s="9">
        <v>36813.0</v>
      </c>
      <c r="BC12" s="9">
        <v>2037.0</v>
      </c>
      <c r="BD12" s="9">
        <v>4107.0</v>
      </c>
      <c r="BE12" s="9">
        <v>606.0</v>
      </c>
      <c r="BF12" s="9">
        <v>4567.0</v>
      </c>
      <c r="BG12" s="9">
        <v>5882.0</v>
      </c>
      <c r="BH12" s="9">
        <v>3724.0</v>
      </c>
      <c r="BI12" s="9">
        <v>5100.0</v>
      </c>
      <c r="BJ12" s="9">
        <v>8243.0</v>
      </c>
      <c r="BK12" s="9">
        <v>2547.0</v>
      </c>
      <c r="BL12" s="9">
        <v>11055.0</v>
      </c>
      <c r="BM12" s="9">
        <v>225.0</v>
      </c>
      <c r="BN12" s="9">
        <v>495.0</v>
      </c>
      <c r="BO12" s="9">
        <v>343.0</v>
      </c>
      <c r="BP12" s="9">
        <v>1802.0</v>
      </c>
      <c r="BQ12" s="9">
        <v>610.0</v>
      </c>
      <c r="BR12" s="9">
        <v>1892.0</v>
      </c>
      <c r="BS12" s="9">
        <v>1241.0</v>
      </c>
      <c r="BT12" s="9">
        <v>4447.0</v>
      </c>
      <c r="BU12" s="9">
        <v>751.0</v>
      </c>
      <c r="BV12" s="9">
        <v>31.0</v>
      </c>
      <c r="BW12" s="9">
        <v>9.0</v>
      </c>
      <c r="BX12" s="9">
        <v>0.0</v>
      </c>
      <c r="BY12" s="9">
        <v>643.0</v>
      </c>
      <c r="BZ12" s="9">
        <v>68.0</v>
      </c>
      <c r="CA12" s="9">
        <v>78401.0</v>
      </c>
    </row>
    <row r="13">
      <c r="A13" s="9" t="s">
        <v>169</v>
      </c>
      <c r="B13" s="9">
        <v>3192.0</v>
      </c>
      <c r="C13" s="9">
        <v>120.0</v>
      </c>
      <c r="D13" s="9">
        <v>69.0</v>
      </c>
      <c r="E13" s="9">
        <v>193.0</v>
      </c>
      <c r="F13" s="9">
        <v>631.0</v>
      </c>
      <c r="G13" s="9">
        <v>204.0</v>
      </c>
      <c r="H13" s="9">
        <v>590.0</v>
      </c>
      <c r="I13" s="9">
        <v>90.0</v>
      </c>
      <c r="J13" s="9">
        <v>582.0</v>
      </c>
      <c r="K13" s="9">
        <v>134.0</v>
      </c>
      <c r="L13" s="9">
        <v>579.0</v>
      </c>
      <c r="M13" s="9">
        <v>544.0</v>
      </c>
      <c r="N13" s="9">
        <v>401.0</v>
      </c>
      <c r="O13" s="9">
        <v>143.0</v>
      </c>
      <c r="P13" s="9">
        <v>1562.0</v>
      </c>
      <c r="Q13" s="9">
        <v>1.0</v>
      </c>
      <c r="R13" s="9">
        <v>91.0</v>
      </c>
      <c r="S13" s="9">
        <v>130.0</v>
      </c>
      <c r="T13" s="9">
        <v>462.0</v>
      </c>
      <c r="U13" s="9">
        <v>124.0</v>
      </c>
      <c r="V13" s="9">
        <v>149.0</v>
      </c>
      <c r="W13" s="9">
        <v>165.0</v>
      </c>
      <c r="X13" s="9">
        <v>199.0</v>
      </c>
      <c r="Y13" s="9">
        <v>241.0</v>
      </c>
      <c r="Z13" s="9">
        <v>5023.0</v>
      </c>
      <c r="AA13" s="9">
        <v>13.0</v>
      </c>
      <c r="AB13" s="9">
        <v>4916.0</v>
      </c>
      <c r="AC13" s="9">
        <v>94.0</v>
      </c>
      <c r="AD13" s="9">
        <v>270.0</v>
      </c>
      <c r="AE13" s="9">
        <v>9.0</v>
      </c>
      <c r="AF13" s="9">
        <v>240.0</v>
      </c>
      <c r="AG13" s="9">
        <v>21.0</v>
      </c>
      <c r="AH13" s="9">
        <v>9400.0</v>
      </c>
      <c r="AI13" s="9">
        <v>2070.0</v>
      </c>
      <c r="AJ13" s="9">
        <v>634.0</v>
      </c>
      <c r="AK13" s="9">
        <v>425.0</v>
      </c>
      <c r="AL13" s="9">
        <v>2215.0</v>
      </c>
      <c r="AM13" s="9">
        <v>676.0</v>
      </c>
      <c r="AN13" s="9">
        <v>661.0</v>
      </c>
      <c r="AO13" s="9">
        <v>926.0</v>
      </c>
      <c r="AP13" s="9">
        <v>754.0</v>
      </c>
      <c r="AQ13" s="9">
        <v>1039.0</v>
      </c>
      <c r="AR13" s="9">
        <v>11533.0</v>
      </c>
      <c r="AS13" s="9">
        <v>159.0</v>
      </c>
      <c r="AT13" s="9">
        <v>1143.0</v>
      </c>
      <c r="AU13" s="9">
        <v>368.0</v>
      </c>
      <c r="AV13" s="9">
        <v>1833.0</v>
      </c>
      <c r="AW13" s="9">
        <v>2385.0</v>
      </c>
      <c r="AX13" s="9">
        <v>1336.0</v>
      </c>
      <c r="AY13" s="9">
        <v>1466.0</v>
      </c>
      <c r="AZ13" s="9">
        <v>692.0</v>
      </c>
      <c r="BA13" s="9">
        <v>2151.0</v>
      </c>
      <c r="BB13" s="9">
        <v>38694.0</v>
      </c>
      <c r="BC13" s="9">
        <v>1952.0</v>
      </c>
      <c r="BD13" s="9">
        <v>4032.0</v>
      </c>
      <c r="BE13" s="9">
        <v>596.0</v>
      </c>
      <c r="BF13" s="9">
        <v>5040.0</v>
      </c>
      <c r="BG13" s="9">
        <v>6496.0</v>
      </c>
      <c r="BH13" s="9">
        <v>3764.0</v>
      </c>
      <c r="BI13" s="9">
        <v>5085.0</v>
      </c>
      <c r="BJ13" s="9">
        <v>9590.0</v>
      </c>
      <c r="BK13" s="9">
        <v>2139.0</v>
      </c>
      <c r="BL13" s="9">
        <v>12286.0</v>
      </c>
      <c r="BM13" s="9">
        <v>258.0</v>
      </c>
      <c r="BN13" s="9">
        <v>613.0</v>
      </c>
      <c r="BO13" s="9">
        <v>358.0</v>
      </c>
      <c r="BP13" s="9">
        <v>2049.0</v>
      </c>
      <c r="BQ13" s="9">
        <v>658.0</v>
      </c>
      <c r="BR13" s="9">
        <v>2138.0</v>
      </c>
      <c r="BS13" s="9">
        <v>1315.0</v>
      </c>
      <c r="BT13" s="9">
        <v>4897.0</v>
      </c>
      <c r="BU13" s="9">
        <v>917.0</v>
      </c>
      <c r="BV13" s="9">
        <v>37.0</v>
      </c>
      <c r="BW13" s="9">
        <v>9.0</v>
      </c>
      <c r="BX13" s="9">
        <v>0.0</v>
      </c>
      <c r="BY13" s="9">
        <v>796.0</v>
      </c>
      <c r="BZ13" s="9">
        <v>75.0</v>
      </c>
      <c r="CA13" s="9">
        <v>83421.0</v>
      </c>
    </row>
    <row r="14">
      <c r="A14" s="9" t="s">
        <v>170</v>
      </c>
      <c r="B14" s="9">
        <v>3663.0</v>
      </c>
      <c r="C14" s="9">
        <v>120.0</v>
      </c>
      <c r="D14" s="9">
        <v>59.0</v>
      </c>
      <c r="E14" s="9">
        <v>239.0</v>
      </c>
      <c r="F14" s="9">
        <v>729.0</v>
      </c>
      <c r="G14" s="9">
        <v>230.0</v>
      </c>
      <c r="H14" s="9">
        <v>666.0</v>
      </c>
      <c r="I14" s="9">
        <v>104.0</v>
      </c>
      <c r="J14" s="9">
        <v>678.0</v>
      </c>
      <c r="K14" s="9">
        <v>155.0</v>
      </c>
      <c r="L14" s="9">
        <v>683.0</v>
      </c>
      <c r="M14" s="9">
        <v>589.0</v>
      </c>
      <c r="N14" s="9">
        <v>434.0</v>
      </c>
      <c r="O14" s="9">
        <v>155.0</v>
      </c>
      <c r="P14" s="9">
        <v>1624.0</v>
      </c>
      <c r="Q14" s="9">
        <v>0.0</v>
      </c>
      <c r="R14" s="9">
        <v>64.0</v>
      </c>
      <c r="S14" s="9">
        <v>118.0</v>
      </c>
      <c r="T14" s="9">
        <v>480.0</v>
      </c>
      <c r="U14" s="9">
        <v>173.0</v>
      </c>
      <c r="V14" s="9">
        <v>139.0</v>
      </c>
      <c r="W14" s="9">
        <v>191.0</v>
      </c>
      <c r="X14" s="9">
        <v>200.0</v>
      </c>
      <c r="Y14" s="9">
        <v>259.0</v>
      </c>
      <c r="Z14" s="9">
        <v>4323.0</v>
      </c>
      <c r="AA14" s="9">
        <v>28.0</v>
      </c>
      <c r="AB14" s="9">
        <v>4223.0</v>
      </c>
      <c r="AC14" s="9">
        <v>72.0</v>
      </c>
      <c r="AD14" s="9">
        <v>268.0</v>
      </c>
      <c r="AE14" s="9">
        <v>6.0</v>
      </c>
      <c r="AF14" s="9">
        <v>238.0</v>
      </c>
      <c r="AG14" s="9">
        <v>24.0</v>
      </c>
      <c r="AH14" s="9">
        <v>11037.0</v>
      </c>
      <c r="AI14" s="9">
        <v>2265.0</v>
      </c>
      <c r="AJ14" s="9">
        <v>779.0</v>
      </c>
      <c r="AK14" s="9">
        <v>472.0</v>
      </c>
      <c r="AL14" s="9">
        <v>2843.0</v>
      </c>
      <c r="AM14" s="9">
        <v>825.0</v>
      </c>
      <c r="AN14" s="9">
        <v>775.0</v>
      </c>
      <c r="AO14" s="9">
        <v>1010.0</v>
      </c>
      <c r="AP14" s="9">
        <v>871.0</v>
      </c>
      <c r="AQ14" s="9">
        <v>1197.0</v>
      </c>
      <c r="AR14" s="9">
        <v>13019.0</v>
      </c>
      <c r="AS14" s="9">
        <v>137.0</v>
      </c>
      <c r="AT14" s="9">
        <v>1318.0</v>
      </c>
      <c r="AU14" s="9">
        <v>419.0</v>
      </c>
      <c r="AV14" s="9">
        <v>2092.0</v>
      </c>
      <c r="AW14" s="9">
        <v>2600.0</v>
      </c>
      <c r="AX14" s="9">
        <v>1555.0</v>
      </c>
      <c r="AY14" s="9">
        <v>1609.0</v>
      </c>
      <c r="AZ14" s="9">
        <v>874.0</v>
      </c>
      <c r="BA14" s="9">
        <v>2415.0</v>
      </c>
      <c r="BB14" s="9">
        <v>44333.0</v>
      </c>
      <c r="BC14" s="9">
        <v>2163.0</v>
      </c>
      <c r="BD14" s="9">
        <v>4455.0</v>
      </c>
      <c r="BE14" s="9">
        <v>531.0</v>
      </c>
      <c r="BF14" s="9">
        <v>5855.0</v>
      </c>
      <c r="BG14" s="9">
        <v>7089.0</v>
      </c>
      <c r="BH14" s="9">
        <v>4140.0</v>
      </c>
      <c r="BI14" s="9">
        <v>5716.0</v>
      </c>
      <c r="BJ14" s="9">
        <v>11724.0</v>
      </c>
      <c r="BK14" s="9">
        <v>2660.0</v>
      </c>
      <c r="BL14" s="9">
        <v>14555.0</v>
      </c>
      <c r="BM14" s="9">
        <v>309.0</v>
      </c>
      <c r="BN14" s="9">
        <v>751.0</v>
      </c>
      <c r="BO14" s="9">
        <v>360.0</v>
      </c>
      <c r="BP14" s="9">
        <v>2419.0</v>
      </c>
      <c r="BQ14" s="9">
        <v>780.0</v>
      </c>
      <c r="BR14" s="9">
        <v>2457.0</v>
      </c>
      <c r="BS14" s="9">
        <v>1421.0</v>
      </c>
      <c r="BT14" s="9">
        <v>6058.0</v>
      </c>
      <c r="BU14" s="9">
        <v>3369.0</v>
      </c>
      <c r="BV14" s="9">
        <v>43.0</v>
      </c>
      <c r="BW14" s="9">
        <v>4.0</v>
      </c>
      <c r="BX14" s="9">
        <v>0.0</v>
      </c>
      <c r="BY14" s="9">
        <v>3174.0</v>
      </c>
      <c r="BZ14" s="9">
        <v>148.0</v>
      </c>
      <c r="CA14" s="9">
        <v>96780.0</v>
      </c>
    </row>
    <row r="15">
      <c r="A15" s="9" t="s">
        <v>171</v>
      </c>
      <c r="B15" s="9">
        <v>3844.0</v>
      </c>
      <c r="C15" s="9">
        <v>125.0</v>
      </c>
      <c r="D15" s="9">
        <v>98.0</v>
      </c>
      <c r="E15" s="9">
        <v>274.0</v>
      </c>
      <c r="F15" s="9">
        <v>779.0</v>
      </c>
      <c r="G15" s="9">
        <v>253.0</v>
      </c>
      <c r="H15" s="9">
        <v>742.0</v>
      </c>
      <c r="I15" s="9">
        <v>106.0</v>
      </c>
      <c r="J15" s="9">
        <v>630.0</v>
      </c>
      <c r="K15" s="9">
        <v>144.0</v>
      </c>
      <c r="L15" s="9">
        <v>693.0</v>
      </c>
      <c r="M15" s="9">
        <v>672.0</v>
      </c>
      <c r="N15" s="9">
        <v>496.0</v>
      </c>
      <c r="O15" s="9">
        <v>176.0</v>
      </c>
      <c r="P15" s="9">
        <v>1621.0</v>
      </c>
      <c r="Q15" s="9">
        <v>0.0</v>
      </c>
      <c r="R15" s="9">
        <v>68.0</v>
      </c>
      <c r="S15" s="9">
        <v>104.0</v>
      </c>
      <c r="T15" s="9">
        <v>486.0</v>
      </c>
      <c r="U15" s="9">
        <v>203.0</v>
      </c>
      <c r="V15" s="9">
        <v>139.0</v>
      </c>
      <c r="W15" s="9">
        <v>157.0</v>
      </c>
      <c r="X15" s="9">
        <v>182.0</v>
      </c>
      <c r="Y15" s="9">
        <v>282.0</v>
      </c>
      <c r="Z15" s="9">
        <v>5909.0</v>
      </c>
      <c r="AA15" s="9">
        <v>26.0</v>
      </c>
      <c r="AB15" s="9">
        <v>5797.0</v>
      </c>
      <c r="AC15" s="9">
        <v>86.0</v>
      </c>
      <c r="AD15" s="9">
        <v>284.0</v>
      </c>
      <c r="AE15" s="9">
        <v>6.0</v>
      </c>
      <c r="AF15" s="9">
        <v>244.0</v>
      </c>
      <c r="AG15" s="9">
        <v>34.0</v>
      </c>
      <c r="AH15" s="9">
        <v>11762.0</v>
      </c>
      <c r="AI15" s="9">
        <v>2557.0</v>
      </c>
      <c r="AJ15" s="9">
        <v>660.0</v>
      </c>
      <c r="AK15" s="9">
        <v>500.0</v>
      </c>
      <c r="AL15" s="9">
        <v>3212.0</v>
      </c>
      <c r="AM15" s="9">
        <v>884.0</v>
      </c>
      <c r="AN15" s="9">
        <v>746.0</v>
      </c>
      <c r="AO15" s="9">
        <v>1041.0</v>
      </c>
      <c r="AP15" s="9">
        <v>901.0</v>
      </c>
      <c r="AQ15" s="9">
        <v>1261.0</v>
      </c>
      <c r="AR15" s="9">
        <v>12934.0</v>
      </c>
      <c r="AS15" s="9">
        <v>159.0</v>
      </c>
      <c r="AT15" s="9">
        <v>1231.0</v>
      </c>
      <c r="AU15" s="9">
        <v>510.0</v>
      </c>
      <c r="AV15" s="9">
        <v>2186.0</v>
      </c>
      <c r="AW15" s="9">
        <v>2579.0</v>
      </c>
      <c r="AX15" s="9">
        <v>1678.0</v>
      </c>
      <c r="AY15" s="9">
        <v>1413.0</v>
      </c>
      <c r="AZ15" s="9">
        <v>794.0</v>
      </c>
      <c r="BA15" s="9">
        <v>2384.0</v>
      </c>
      <c r="BB15" s="9">
        <v>47801.0</v>
      </c>
      <c r="BC15" s="9">
        <v>2363.0</v>
      </c>
      <c r="BD15" s="9">
        <v>4063.0</v>
      </c>
      <c r="BE15" s="9">
        <v>436.0</v>
      </c>
      <c r="BF15" s="9">
        <v>5355.0</v>
      </c>
      <c r="BG15" s="9">
        <v>7199.0</v>
      </c>
      <c r="BH15" s="9">
        <v>5907.0</v>
      </c>
      <c r="BI15" s="9">
        <v>5897.0</v>
      </c>
      <c r="BJ15" s="9">
        <v>12373.0</v>
      </c>
      <c r="BK15" s="9">
        <v>4208.0</v>
      </c>
      <c r="BL15" s="9">
        <v>14513.0</v>
      </c>
      <c r="BM15" s="9">
        <v>325.0</v>
      </c>
      <c r="BN15" s="9">
        <v>893.0</v>
      </c>
      <c r="BO15" s="9">
        <v>382.0</v>
      </c>
      <c r="BP15" s="9">
        <v>2573.0</v>
      </c>
      <c r="BQ15" s="9">
        <v>782.0</v>
      </c>
      <c r="BR15" s="9">
        <v>2494.0</v>
      </c>
      <c r="BS15" s="9">
        <v>1447.0</v>
      </c>
      <c r="BT15" s="9">
        <v>5617.0</v>
      </c>
      <c r="BU15" s="9">
        <v>2166.0</v>
      </c>
      <c r="BV15" s="9">
        <v>37.0</v>
      </c>
      <c r="BW15" s="9">
        <v>7.0</v>
      </c>
      <c r="BX15" s="9">
        <v>5.0</v>
      </c>
      <c r="BY15" s="9">
        <v>2005.0</v>
      </c>
      <c r="BZ15" s="9">
        <v>112.0</v>
      </c>
      <c r="CA15" s="9">
        <v>101506.0</v>
      </c>
    </row>
    <row r="16">
      <c r="A16" s="9" t="s">
        <v>172</v>
      </c>
      <c r="B16" s="9">
        <v>4078.0</v>
      </c>
      <c r="C16" s="9">
        <v>97.0</v>
      </c>
      <c r="D16" s="9">
        <v>162.0</v>
      </c>
      <c r="E16" s="9">
        <v>277.0</v>
      </c>
      <c r="F16" s="9">
        <v>803.0</v>
      </c>
      <c r="G16" s="9">
        <v>296.0</v>
      </c>
      <c r="H16" s="9">
        <v>744.0</v>
      </c>
      <c r="I16" s="9">
        <v>118.0</v>
      </c>
      <c r="J16" s="9">
        <v>602.0</v>
      </c>
      <c r="K16" s="9">
        <v>152.0</v>
      </c>
      <c r="L16" s="9">
        <v>827.0</v>
      </c>
      <c r="M16" s="9">
        <v>797.0</v>
      </c>
      <c r="N16" s="9">
        <v>611.0</v>
      </c>
      <c r="O16" s="9">
        <v>186.0</v>
      </c>
      <c r="P16" s="9">
        <v>2038.0</v>
      </c>
      <c r="Q16" s="9">
        <v>0.0</v>
      </c>
      <c r="R16" s="9">
        <v>91.0</v>
      </c>
      <c r="S16" s="9">
        <v>117.0</v>
      </c>
      <c r="T16" s="9">
        <v>666.0</v>
      </c>
      <c r="U16" s="9">
        <v>337.0</v>
      </c>
      <c r="V16" s="9">
        <v>146.0</v>
      </c>
      <c r="W16" s="9">
        <v>176.0</v>
      </c>
      <c r="X16" s="9">
        <v>233.0</v>
      </c>
      <c r="Y16" s="9">
        <v>272.0</v>
      </c>
      <c r="Z16" s="9">
        <v>9493.0</v>
      </c>
      <c r="AA16" s="9">
        <v>16.0</v>
      </c>
      <c r="AB16" s="9">
        <v>9315.0</v>
      </c>
      <c r="AC16" s="9">
        <v>162.0</v>
      </c>
      <c r="AD16" s="9">
        <v>281.0</v>
      </c>
      <c r="AE16" s="9">
        <v>9.0</v>
      </c>
      <c r="AF16" s="9">
        <v>237.0</v>
      </c>
      <c r="AG16" s="9">
        <v>35.0</v>
      </c>
      <c r="AH16" s="9">
        <v>13313.0</v>
      </c>
      <c r="AI16" s="9">
        <v>2904.0</v>
      </c>
      <c r="AJ16" s="9">
        <v>745.0</v>
      </c>
      <c r="AK16" s="9">
        <v>546.0</v>
      </c>
      <c r="AL16" s="9">
        <v>4002.0</v>
      </c>
      <c r="AM16" s="9">
        <v>954.0</v>
      </c>
      <c r="AN16" s="9">
        <v>729.0</v>
      </c>
      <c r="AO16" s="9">
        <v>1141.0</v>
      </c>
      <c r="AP16" s="9">
        <v>974.0</v>
      </c>
      <c r="AQ16" s="9">
        <v>1318.0</v>
      </c>
      <c r="AR16" s="9">
        <v>14165.0</v>
      </c>
      <c r="AS16" s="9">
        <v>177.0</v>
      </c>
      <c r="AT16" s="9">
        <v>1312.0</v>
      </c>
      <c r="AU16" s="9">
        <v>571.0</v>
      </c>
      <c r="AV16" s="9">
        <v>2467.0</v>
      </c>
      <c r="AW16" s="9">
        <v>2662.0</v>
      </c>
      <c r="AX16" s="9">
        <v>1940.0</v>
      </c>
      <c r="AY16" s="9">
        <v>1506.0</v>
      </c>
      <c r="AZ16" s="9">
        <v>846.0</v>
      </c>
      <c r="BA16" s="9">
        <v>2684.0</v>
      </c>
      <c r="BB16" s="9">
        <v>54474.0</v>
      </c>
      <c r="BC16" s="9">
        <v>2721.0</v>
      </c>
      <c r="BD16" s="9">
        <v>3972.0</v>
      </c>
      <c r="BE16" s="9">
        <v>435.0</v>
      </c>
      <c r="BF16" s="9">
        <v>5576.0</v>
      </c>
      <c r="BG16" s="9">
        <v>8498.0</v>
      </c>
      <c r="BH16" s="9">
        <v>8231.0</v>
      </c>
      <c r="BI16" s="9">
        <v>6765.0</v>
      </c>
      <c r="BJ16" s="9">
        <v>14122.0</v>
      </c>
      <c r="BK16" s="9">
        <v>4154.0</v>
      </c>
      <c r="BL16" s="9">
        <v>16451.0</v>
      </c>
      <c r="BM16" s="9">
        <v>375.0</v>
      </c>
      <c r="BN16" s="9">
        <v>1110.0</v>
      </c>
      <c r="BO16" s="9">
        <v>454.0</v>
      </c>
      <c r="BP16" s="9">
        <v>3058.0</v>
      </c>
      <c r="BQ16" s="9">
        <v>903.0</v>
      </c>
      <c r="BR16" s="9">
        <v>2656.0</v>
      </c>
      <c r="BS16" s="9">
        <v>1597.0</v>
      </c>
      <c r="BT16" s="9">
        <v>6298.0</v>
      </c>
      <c r="BU16" s="9">
        <v>1849.0</v>
      </c>
      <c r="BV16" s="9">
        <v>59.0</v>
      </c>
      <c r="BW16" s="9">
        <v>9.0</v>
      </c>
      <c r="BX16" s="9">
        <v>1.0</v>
      </c>
      <c r="BY16" s="9">
        <v>1646.0</v>
      </c>
      <c r="BZ16" s="9">
        <v>134.0</v>
      </c>
      <c r="CA16" s="9">
        <v>116939.0</v>
      </c>
    </row>
    <row r="17">
      <c r="A17" s="9" t="s">
        <v>173</v>
      </c>
      <c r="B17" s="9">
        <v>4459.0</v>
      </c>
      <c r="C17" s="9">
        <v>68.0</v>
      </c>
      <c r="D17" s="9">
        <v>175.0</v>
      </c>
      <c r="E17" s="9">
        <v>328.0</v>
      </c>
      <c r="F17" s="9">
        <v>905.0</v>
      </c>
      <c r="G17" s="9">
        <v>299.0</v>
      </c>
      <c r="H17" s="9">
        <v>798.0</v>
      </c>
      <c r="I17" s="9">
        <v>128.0</v>
      </c>
      <c r="J17" s="9">
        <v>604.0</v>
      </c>
      <c r="K17" s="9">
        <v>236.0</v>
      </c>
      <c r="L17" s="9">
        <v>918.0</v>
      </c>
      <c r="M17" s="9">
        <v>936.0</v>
      </c>
      <c r="N17" s="9">
        <v>719.0</v>
      </c>
      <c r="O17" s="9">
        <v>217.0</v>
      </c>
      <c r="P17" s="9">
        <v>1740.0</v>
      </c>
      <c r="Q17" s="9">
        <v>2.0</v>
      </c>
      <c r="R17" s="9">
        <v>41.0</v>
      </c>
      <c r="S17" s="9">
        <v>131.0</v>
      </c>
      <c r="T17" s="9">
        <v>435.0</v>
      </c>
      <c r="U17" s="9">
        <v>247.0</v>
      </c>
      <c r="V17" s="9">
        <v>145.0</v>
      </c>
      <c r="W17" s="9">
        <v>204.0</v>
      </c>
      <c r="X17" s="9">
        <v>266.0</v>
      </c>
      <c r="Y17" s="9">
        <v>269.0</v>
      </c>
      <c r="Z17" s="9">
        <v>9944.0</v>
      </c>
      <c r="AA17" s="9">
        <v>12.0</v>
      </c>
      <c r="AB17" s="9">
        <v>9801.0</v>
      </c>
      <c r="AC17" s="9">
        <v>131.0</v>
      </c>
      <c r="AD17" s="9">
        <v>287.0</v>
      </c>
      <c r="AE17" s="9">
        <v>16.0</v>
      </c>
      <c r="AF17" s="9">
        <v>238.0</v>
      </c>
      <c r="AG17" s="9">
        <v>33.0</v>
      </c>
      <c r="AH17" s="9">
        <v>14584.0</v>
      </c>
      <c r="AI17" s="9">
        <v>2694.0</v>
      </c>
      <c r="AJ17" s="9">
        <v>1089.0</v>
      </c>
      <c r="AK17" s="9">
        <v>564.0</v>
      </c>
      <c r="AL17" s="9">
        <v>4618.0</v>
      </c>
      <c r="AM17" s="9">
        <v>1170.0</v>
      </c>
      <c r="AN17" s="9">
        <v>832.0</v>
      </c>
      <c r="AO17" s="9">
        <v>1197.0</v>
      </c>
      <c r="AP17" s="9">
        <v>981.0</v>
      </c>
      <c r="AQ17" s="9">
        <v>1439.0</v>
      </c>
      <c r="AR17" s="9">
        <v>14188.0</v>
      </c>
      <c r="AS17" s="9">
        <v>198.0</v>
      </c>
      <c r="AT17" s="9">
        <v>1530.0</v>
      </c>
      <c r="AU17" s="9">
        <v>532.0</v>
      </c>
      <c r="AV17" s="9">
        <v>2320.0</v>
      </c>
      <c r="AW17" s="9">
        <v>2515.0</v>
      </c>
      <c r="AX17" s="9">
        <v>1884.0</v>
      </c>
      <c r="AY17" s="9">
        <v>1584.0</v>
      </c>
      <c r="AZ17" s="9">
        <v>911.0</v>
      </c>
      <c r="BA17" s="9">
        <v>2714.0</v>
      </c>
      <c r="BB17" s="9">
        <v>52223.0</v>
      </c>
      <c r="BC17" s="9">
        <v>3056.0</v>
      </c>
      <c r="BD17" s="9">
        <v>3902.0</v>
      </c>
      <c r="BE17" s="9">
        <v>520.0</v>
      </c>
      <c r="BF17" s="9">
        <v>6114.0</v>
      </c>
      <c r="BG17" s="9">
        <v>7830.0</v>
      </c>
      <c r="BH17" s="9">
        <v>7056.0</v>
      </c>
      <c r="BI17" s="9">
        <v>6614.0</v>
      </c>
      <c r="BJ17" s="9">
        <v>14209.0</v>
      </c>
      <c r="BK17" s="9">
        <v>2922.0</v>
      </c>
      <c r="BL17" s="9">
        <v>17041.0</v>
      </c>
      <c r="BM17" s="9">
        <v>389.0</v>
      </c>
      <c r="BN17" s="9">
        <v>1129.0</v>
      </c>
      <c r="BO17" s="9">
        <v>477.0</v>
      </c>
      <c r="BP17" s="9">
        <v>3168.0</v>
      </c>
      <c r="BQ17" s="9">
        <v>939.0</v>
      </c>
      <c r="BR17" s="9">
        <v>2972.0</v>
      </c>
      <c r="BS17" s="9">
        <v>1613.0</v>
      </c>
      <c r="BT17" s="9">
        <v>6354.0</v>
      </c>
      <c r="BU17" s="9">
        <v>2343.0</v>
      </c>
      <c r="BV17" s="9">
        <v>43.0</v>
      </c>
      <c r="BW17" s="9">
        <v>7.0</v>
      </c>
      <c r="BX17" s="9">
        <v>0.0</v>
      </c>
      <c r="BY17" s="9">
        <v>2155.0</v>
      </c>
      <c r="BZ17" s="9">
        <v>138.0</v>
      </c>
      <c r="CA17" s="9">
        <v>117745.0</v>
      </c>
    </row>
    <row r="18">
      <c r="A18" s="9" t="s">
        <v>174</v>
      </c>
      <c r="B18" s="9">
        <v>4775.0</v>
      </c>
      <c r="C18" s="9">
        <v>85.0</v>
      </c>
      <c r="D18" s="9">
        <v>219.0</v>
      </c>
      <c r="E18" s="9">
        <v>296.0</v>
      </c>
      <c r="F18" s="9">
        <v>918.0</v>
      </c>
      <c r="G18" s="9">
        <v>302.0</v>
      </c>
      <c r="H18" s="9">
        <v>869.0</v>
      </c>
      <c r="I18" s="9">
        <v>151.0</v>
      </c>
      <c r="J18" s="9">
        <v>666.0</v>
      </c>
      <c r="K18" s="9">
        <v>302.0</v>
      </c>
      <c r="L18" s="9">
        <v>967.0</v>
      </c>
      <c r="M18" s="9">
        <v>965.0</v>
      </c>
      <c r="N18" s="9">
        <v>681.0</v>
      </c>
      <c r="O18" s="9">
        <v>284.0</v>
      </c>
      <c r="P18" s="9">
        <v>1885.0</v>
      </c>
      <c r="Q18" s="9">
        <v>3.0</v>
      </c>
      <c r="R18" s="9">
        <v>45.0</v>
      </c>
      <c r="S18" s="9">
        <v>122.0</v>
      </c>
      <c r="T18" s="9">
        <v>561.0</v>
      </c>
      <c r="U18" s="9">
        <v>251.0</v>
      </c>
      <c r="V18" s="9">
        <v>163.0</v>
      </c>
      <c r="W18" s="9">
        <v>206.0</v>
      </c>
      <c r="X18" s="9">
        <v>251.0</v>
      </c>
      <c r="Y18" s="9">
        <v>283.0</v>
      </c>
      <c r="Z18" s="9">
        <v>9306.0</v>
      </c>
      <c r="AA18" s="9">
        <v>22.0</v>
      </c>
      <c r="AB18" s="9">
        <v>9163.0</v>
      </c>
      <c r="AC18" s="9">
        <v>121.0</v>
      </c>
      <c r="AD18" s="9">
        <v>341.0</v>
      </c>
      <c r="AE18" s="9">
        <v>18.0</v>
      </c>
      <c r="AF18" s="9">
        <v>283.0</v>
      </c>
      <c r="AG18" s="9">
        <v>40.0</v>
      </c>
      <c r="AH18" s="9">
        <v>14743.0</v>
      </c>
      <c r="AI18" s="9">
        <v>2452.0</v>
      </c>
      <c r="AJ18" s="9">
        <v>708.0</v>
      </c>
      <c r="AK18" s="9">
        <v>543.0</v>
      </c>
      <c r="AL18" s="9">
        <v>5198.0</v>
      </c>
      <c r="AM18" s="9">
        <v>1215.0</v>
      </c>
      <c r="AN18" s="9">
        <v>789.0</v>
      </c>
      <c r="AO18" s="9">
        <v>1299.0</v>
      </c>
      <c r="AP18" s="9">
        <v>1028.0</v>
      </c>
      <c r="AQ18" s="9">
        <v>1511.0</v>
      </c>
      <c r="AR18" s="9">
        <v>15600.0</v>
      </c>
      <c r="AS18" s="9">
        <v>215.0</v>
      </c>
      <c r="AT18" s="9">
        <v>1710.0</v>
      </c>
      <c r="AU18" s="9">
        <v>663.0</v>
      </c>
      <c r="AV18" s="9">
        <v>2441.0</v>
      </c>
      <c r="AW18" s="9">
        <v>2707.0</v>
      </c>
      <c r="AX18" s="9">
        <v>2087.0</v>
      </c>
      <c r="AY18" s="9">
        <v>1837.0</v>
      </c>
      <c r="AZ18" s="9">
        <v>955.0</v>
      </c>
      <c r="BA18" s="9">
        <v>2985.0</v>
      </c>
      <c r="BB18" s="9">
        <v>58456.0</v>
      </c>
      <c r="BC18" s="9">
        <v>3097.0</v>
      </c>
      <c r="BD18" s="9">
        <v>4456.0</v>
      </c>
      <c r="BE18" s="9">
        <v>601.0</v>
      </c>
      <c r="BF18" s="9">
        <v>6709.0</v>
      </c>
      <c r="BG18" s="9">
        <v>7961.0</v>
      </c>
      <c r="BH18" s="9">
        <v>6795.0</v>
      </c>
      <c r="BI18" s="9">
        <v>6788.0</v>
      </c>
      <c r="BJ18" s="9">
        <v>15832.0</v>
      </c>
      <c r="BK18" s="9">
        <v>6217.0</v>
      </c>
      <c r="BL18" s="9">
        <v>18388.0</v>
      </c>
      <c r="BM18" s="9">
        <v>419.0</v>
      </c>
      <c r="BN18" s="9">
        <v>1384.0</v>
      </c>
      <c r="BO18" s="9">
        <v>467.0</v>
      </c>
      <c r="BP18" s="9">
        <v>3342.0</v>
      </c>
      <c r="BQ18" s="9">
        <v>1033.0</v>
      </c>
      <c r="BR18" s="9">
        <v>2982.0</v>
      </c>
      <c r="BS18" s="9">
        <v>1556.0</v>
      </c>
      <c r="BT18" s="9">
        <v>7205.0</v>
      </c>
      <c r="BU18" s="9">
        <v>3204.0</v>
      </c>
      <c r="BV18" s="9">
        <v>40.0</v>
      </c>
      <c r="BW18" s="9">
        <v>8.0</v>
      </c>
      <c r="BX18" s="9">
        <v>0.0</v>
      </c>
      <c r="BY18" s="9">
        <v>2513.0</v>
      </c>
      <c r="BZ18" s="9">
        <v>643.0</v>
      </c>
      <c r="CA18" s="9">
        <v>127663.0</v>
      </c>
    </row>
    <row r="19">
      <c r="A19" s="9" t="s">
        <v>175</v>
      </c>
      <c r="B19" s="9">
        <v>5171.0</v>
      </c>
      <c r="C19" s="9">
        <v>82.0</v>
      </c>
      <c r="D19" s="9">
        <v>234.0</v>
      </c>
      <c r="E19" s="9">
        <v>319.0</v>
      </c>
      <c r="F19" s="9">
        <v>949.0</v>
      </c>
      <c r="G19" s="9">
        <v>409.0</v>
      </c>
      <c r="H19" s="9">
        <v>957.0</v>
      </c>
      <c r="I19" s="9">
        <v>192.0</v>
      </c>
      <c r="J19" s="9">
        <v>670.0</v>
      </c>
      <c r="K19" s="9">
        <v>310.0</v>
      </c>
      <c r="L19" s="9">
        <v>1049.0</v>
      </c>
      <c r="M19" s="9">
        <v>959.0</v>
      </c>
      <c r="N19" s="9">
        <v>705.0</v>
      </c>
      <c r="O19" s="9">
        <v>254.0</v>
      </c>
      <c r="P19" s="9">
        <v>1937.0</v>
      </c>
      <c r="Q19" s="9">
        <v>2.0</v>
      </c>
      <c r="R19" s="9">
        <v>71.0</v>
      </c>
      <c r="S19" s="9">
        <v>133.0</v>
      </c>
      <c r="T19" s="9">
        <v>598.0</v>
      </c>
      <c r="U19" s="9">
        <v>233.0</v>
      </c>
      <c r="V19" s="9">
        <v>167.0</v>
      </c>
      <c r="W19" s="9">
        <v>189.0</v>
      </c>
      <c r="X19" s="9">
        <v>270.0</v>
      </c>
      <c r="Y19" s="9">
        <v>274.0</v>
      </c>
      <c r="Z19" s="9">
        <v>10033.0</v>
      </c>
      <c r="AA19" s="9">
        <v>17.0</v>
      </c>
      <c r="AB19" s="9">
        <v>9917.0</v>
      </c>
      <c r="AC19" s="9">
        <v>99.0</v>
      </c>
      <c r="AD19" s="9">
        <v>357.0</v>
      </c>
      <c r="AE19" s="9">
        <v>25.0</v>
      </c>
      <c r="AF19" s="9">
        <v>290.0</v>
      </c>
      <c r="AG19" s="9">
        <v>42.0</v>
      </c>
      <c r="AH19" s="9">
        <v>14938.0</v>
      </c>
      <c r="AI19" s="9">
        <v>2371.0</v>
      </c>
      <c r="AJ19" s="9">
        <v>692.0</v>
      </c>
      <c r="AK19" s="9">
        <v>537.0</v>
      </c>
      <c r="AL19" s="9">
        <v>5526.0</v>
      </c>
      <c r="AM19" s="9">
        <v>1268.0</v>
      </c>
      <c r="AN19" s="9">
        <v>767.0</v>
      </c>
      <c r="AO19" s="9">
        <v>1279.0</v>
      </c>
      <c r="AP19" s="9">
        <v>1040.0</v>
      </c>
      <c r="AQ19" s="9">
        <v>1458.0</v>
      </c>
      <c r="AR19" s="9">
        <v>15804.0</v>
      </c>
      <c r="AS19" s="9">
        <v>174.0</v>
      </c>
      <c r="AT19" s="9">
        <v>1731.0</v>
      </c>
      <c r="AU19" s="9">
        <v>657.0</v>
      </c>
      <c r="AV19" s="9">
        <v>2475.0</v>
      </c>
      <c r="AW19" s="9">
        <v>2551.0</v>
      </c>
      <c r="AX19" s="9">
        <v>2054.0</v>
      </c>
      <c r="AY19" s="9">
        <v>1998.0</v>
      </c>
      <c r="AZ19" s="9">
        <v>1044.0</v>
      </c>
      <c r="BA19" s="9">
        <v>3120.0</v>
      </c>
      <c r="BB19" s="9">
        <v>59165.0</v>
      </c>
      <c r="BC19" s="9">
        <v>3011.0</v>
      </c>
      <c r="BD19" s="9">
        <v>4559.0</v>
      </c>
      <c r="BE19" s="9">
        <v>813.0</v>
      </c>
      <c r="BF19" s="9">
        <v>6956.0</v>
      </c>
      <c r="BG19" s="9">
        <v>7519.0</v>
      </c>
      <c r="BH19" s="9">
        <v>7028.0</v>
      </c>
      <c r="BI19" s="9">
        <v>6897.0</v>
      </c>
      <c r="BJ19" s="9">
        <v>17210.0</v>
      </c>
      <c r="BK19" s="9">
        <v>5172.0</v>
      </c>
      <c r="BL19" s="9">
        <v>18346.0</v>
      </c>
      <c r="BM19" s="9">
        <v>451.0</v>
      </c>
      <c r="BN19" s="9">
        <v>1515.0</v>
      </c>
      <c r="BO19" s="9">
        <v>469.0</v>
      </c>
      <c r="BP19" s="9">
        <v>3363.0</v>
      </c>
      <c r="BQ19" s="9">
        <v>917.0</v>
      </c>
      <c r="BR19" s="9">
        <v>3065.0</v>
      </c>
      <c r="BS19" s="9">
        <v>1378.0</v>
      </c>
      <c r="BT19" s="9">
        <v>7188.0</v>
      </c>
      <c r="BU19" s="9">
        <v>3265.0</v>
      </c>
      <c r="BV19" s="9">
        <v>29.0</v>
      </c>
      <c r="BW19" s="9">
        <v>2.0</v>
      </c>
      <c r="BX19" s="9">
        <v>0.0</v>
      </c>
      <c r="BY19" s="9">
        <v>2913.0</v>
      </c>
      <c r="BZ19" s="9">
        <v>321.0</v>
      </c>
      <c r="CA19" s="9">
        <v>129975.0</v>
      </c>
    </row>
    <row r="20">
      <c r="A20" s="9" t="s">
        <v>176</v>
      </c>
      <c r="B20" s="9">
        <v>5270.0</v>
      </c>
      <c r="C20" s="9">
        <v>66.0</v>
      </c>
      <c r="D20" s="9">
        <v>285.0</v>
      </c>
      <c r="E20" s="9">
        <v>354.0</v>
      </c>
      <c r="F20" s="9">
        <v>920.0</v>
      </c>
      <c r="G20" s="9">
        <v>381.0</v>
      </c>
      <c r="H20" s="9">
        <v>1061.0</v>
      </c>
      <c r="I20" s="9">
        <v>174.0</v>
      </c>
      <c r="J20" s="9">
        <v>671.0</v>
      </c>
      <c r="K20" s="9">
        <v>267.0</v>
      </c>
      <c r="L20" s="9">
        <v>1091.0</v>
      </c>
      <c r="M20" s="9">
        <v>950.0</v>
      </c>
      <c r="N20" s="9">
        <v>785.0</v>
      </c>
      <c r="O20" s="9">
        <v>165.0</v>
      </c>
      <c r="P20" s="9">
        <v>1889.0</v>
      </c>
      <c r="Q20" s="9">
        <v>0.0</v>
      </c>
      <c r="R20" s="9">
        <v>64.0</v>
      </c>
      <c r="S20" s="9">
        <v>135.0</v>
      </c>
      <c r="T20" s="9">
        <v>601.0</v>
      </c>
      <c r="U20" s="9">
        <v>240.0</v>
      </c>
      <c r="V20" s="9">
        <v>155.0</v>
      </c>
      <c r="W20" s="9">
        <v>178.0</v>
      </c>
      <c r="X20" s="9">
        <v>254.0</v>
      </c>
      <c r="Y20" s="9">
        <v>262.0</v>
      </c>
      <c r="Z20" s="9">
        <v>12865.0</v>
      </c>
      <c r="AA20" s="9">
        <v>18.0</v>
      </c>
      <c r="AB20" s="9">
        <v>12700.0</v>
      </c>
      <c r="AC20" s="9">
        <v>147.0</v>
      </c>
      <c r="AD20" s="9">
        <v>384.0</v>
      </c>
      <c r="AE20" s="9">
        <v>18.0</v>
      </c>
      <c r="AF20" s="9">
        <v>323.0</v>
      </c>
      <c r="AG20" s="9">
        <v>43.0</v>
      </c>
      <c r="AH20" s="9">
        <v>16363.0</v>
      </c>
      <c r="AI20" s="9">
        <v>2572.0</v>
      </c>
      <c r="AJ20" s="9">
        <v>725.0</v>
      </c>
      <c r="AK20" s="9">
        <v>531.0</v>
      </c>
      <c r="AL20" s="9">
        <v>6525.0</v>
      </c>
      <c r="AM20" s="9">
        <v>1295.0</v>
      </c>
      <c r="AN20" s="9">
        <v>883.0</v>
      </c>
      <c r="AO20" s="9">
        <v>1243.0</v>
      </c>
      <c r="AP20" s="9">
        <v>1068.0</v>
      </c>
      <c r="AQ20" s="9">
        <v>1521.0</v>
      </c>
      <c r="AR20" s="9">
        <v>16728.0</v>
      </c>
      <c r="AS20" s="9">
        <v>164.0</v>
      </c>
      <c r="AT20" s="9">
        <v>1767.0</v>
      </c>
      <c r="AU20" s="9">
        <v>666.0</v>
      </c>
      <c r="AV20" s="9">
        <v>2508.0</v>
      </c>
      <c r="AW20" s="9">
        <v>2483.0</v>
      </c>
      <c r="AX20" s="9">
        <v>2167.0</v>
      </c>
      <c r="AY20" s="9">
        <v>2493.0</v>
      </c>
      <c r="AZ20" s="9">
        <v>965.0</v>
      </c>
      <c r="BA20" s="9">
        <v>3515.0</v>
      </c>
      <c r="BB20" s="9">
        <v>64233.0</v>
      </c>
      <c r="BC20" s="9">
        <v>3121.0</v>
      </c>
      <c r="BD20" s="9">
        <v>5517.0</v>
      </c>
      <c r="BE20" s="9">
        <v>645.0</v>
      </c>
      <c r="BF20" s="9">
        <v>7720.0</v>
      </c>
      <c r="BG20" s="9">
        <v>8206.0</v>
      </c>
      <c r="BH20" s="9">
        <v>8514.0</v>
      </c>
      <c r="BI20" s="9">
        <v>7517.0</v>
      </c>
      <c r="BJ20" s="9">
        <v>18417.0</v>
      </c>
      <c r="BK20" s="9">
        <v>4576.0</v>
      </c>
      <c r="BL20" s="9">
        <v>19875.0</v>
      </c>
      <c r="BM20" s="9">
        <v>494.0</v>
      </c>
      <c r="BN20" s="9">
        <v>1799.0</v>
      </c>
      <c r="BO20" s="9">
        <v>528.0</v>
      </c>
      <c r="BP20" s="9">
        <v>3625.0</v>
      </c>
      <c r="BQ20" s="9">
        <v>961.0</v>
      </c>
      <c r="BR20" s="9">
        <v>3478.0</v>
      </c>
      <c r="BS20" s="9">
        <v>1337.0</v>
      </c>
      <c r="BT20" s="9">
        <v>7653.0</v>
      </c>
      <c r="BU20" s="9">
        <v>2708.0</v>
      </c>
      <c r="BV20" s="9">
        <v>29.0</v>
      </c>
      <c r="BW20" s="9">
        <v>7.0</v>
      </c>
      <c r="BX20" s="9">
        <v>17.0</v>
      </c>
      <c r="BY20" s="9">
        <v>2453.0</v>
      </c>
      <c r="BZ20" s="9">
        <v>202.0</v>
      </c>
      <c r="CA20" s="9">
        <v>141265.0</v>
      </c>
    </row>
    <row r="21" ht="15.75" customHeight="1">
      <c r="A21" s="9" t="s">
        <v>177</v>
      </c>
      <c r="B21" s="9">
        <v>5770.0</v>
      </c>
      <c r="C21" s="9">
        <v>94.0</v>
      </c>
      <c r="D21" s="9">
        <v>364.0</v>
      </c>
      <c r="E21" s="9">
        <v>394.0</v>
      </c>
      <c r="F21" s="9">
        <v>987.0</v>
      </c>
      <c r="G21" s="9">
        <v>425.0</v>
      </c>
      <c r="H21" s="9">
        <v>1126.0</v>
      </c>
      <c r="I21" s="9">
        <v>182.0</v>
      </c>
      <c r="J21" s="9">
        <v>740.0</v>
      </c>
      <c r="K21" s="9">
        <v>286.0</v>
      </c>
      <c r="L21" s="9">
        <v>1172.0</v>
      </c>
      <c r="M21" s="9">
        <v>1032.0</v>
      </c>
      <c r="N21" s="9">
        <v>850.0</v>
      </c>
      <c r="O21" s="9">
        <v>182.0</v>
      </c>
      <c r="P21" s="9">
        <v>1951.0</v>
      </c>
      <c r="Q21" s="9">
        <v>0.0</v>
      </c>
      <c r="R21" s="9">
        <v>67.0</v>
      </c>
      <c r="S21" s="9">
        <v>152.0</v>
      </c>
      <c r="T21" s="9">
        <v>581.0</v>
      </c>
      <c r="U21" s="9">
        <v>236.0</v>
      </c>
      <c r="V21" s="9">
        <v>143.0</v>
      </c>
      <c r="W21" s="9">
        <v>179.0</v>
      </c>
      <c r="X21" s="9">
        <v>333.0</v>
      </c>
      <c r="Y21" s="9">
        <v>260.0</v>
      </c>
      <c r="Z21" s="9">
        <v>17218.0</v>
      </c>
      <c r="AA21" s="9">
        <v>23.0</v>
      </c>
      <c r="AB21" s="9">
        <v>17040.0</v>
      </c>
      <c r="AC21" s="9">
        <v>155.0</v>
      </c>
      <c r="AD21" s="9">
        <v>368.0</v>
      </c>
      <c r="AE21" s="9">
        <v>19.0</v>
      </c>
      <c r="AF21" s="9">
        <v>305.0</v>
      </c>
      <c r="AG21" s="9">
        <v>44.0</v>
      </c>
      <c r="AH21" s="9">
        <v>18095.0</v>
      </c>
      <c r="AI21" s="9">
        <v>2892.0</v>
      </c>
      <c r="AJ21" s="9">
        <v>1034.0</v>
      </c>
      <c r="AK21" s="9">
        <v>537.0</v>
      </c>
      <c r="AL21" s="9">
        <v>7149.0</v>
      </c>
      <c r="AM21" s="9">
        <v>1430.0</v>
      </c>
      <c r="AN21" s="9">
        <v>1023.0</v>
      </c>
      <c r="AO21" s="9">
        <v>1334.0</v>
      </c>
      <c r="AP21" s="9">
        <v>1111.0</v>
      </c>
      <c r="AQ21" s="9">
        <v>1585.0</v>
      </c>
      <c r="AR21" s="9">
        <v>18139.0</v>
      </c>
      <c r="AS21" s="9">
        <v>140.0</v>
      </c>
      <c r="AT21" s="9">
        <v>1926.0</v>
      </c>
      <c r="AU21" s="9">
        <v>589.0</v>
      </c>
      <c r="AV21" s="9">
        <v>2564.0</v>
      </c>
      <c r="AW21" s="9">
        <v>2312.0</v>
      </c>
      <c r="AX21" s="9">
        <v>2132.0</v>
      </c>
      <c r="AY21" s="9">
        <v>3453.0</v>
      </c>
      <c r="AZ21" s="9">
        <v>1096.0</v>
      </c>
      <c r="BA21" s="9">
        <v>3927.0</v>
      </c>
      <c r="BB21" s="9">
        <v>68795.0</v>
      </c>
      <c r="BC21" s="9">
        <v>3503.0</v>
      </c>
      <c r="BD21" s="9">
        <v>6243.0</v>
      </c>
      <c r="BE21" s="9">
        <v>870.0</v>
      </c>
      <c r="BF21" s="9">
        <v>8156.0</v>
      </c>
      <c r="BG21" s="9">
        <v>8790.0</v>
      </c>
      <c r="BH21" s="9">
        <v>8528.0</v>
      </c>
      <c r="BI21" s="9">
        <v>7791.0</v>
      </c>
      <c r="BJ21" s="9">
        <v>20400.0</v>
      </c>
      <c r="BK21" s="9">
        <v>4514.0</v>
      </c>
      <c r="BL21" s="9">
        <v>21270.0</v>
      </c>
      <c r="BM21" s="9">
        <v>511.0</v>
      </c>
      <c r="BN21" s="9">
        <v>1962.0</v>
      </c>
      <c r="BO21" s="9">
        <v>562.0</v>
      </c>
      <c r="BP21" s="9">
        <v>4085.0</v>
      </c>
      <c r="BQ21" s="9">
        <v>1051.0</v>
      </c>
      <c r="BR21" s="9">
        <v>3686.0</v>
      </c>
      <c r="BS21" s="9">
        <v>1322.0</v>
      </c>
      <c r="BT21" s="9">
        <v>8091.0</v>
      </c>
      <c r="BU21" s="9">
        <v>2966.0</v>
      </c>
      <c r="BV21" s="9">
        <v>30.0</v>
      </c>
      <c r="BW21" s="9">
        <v>3.0</v>
      </c>
      <c r="BX21" s="9">
        <v>0.0</v>
      </c>
      <c r="BY21" s="9">
        <v>2797.0</v>
      </c>
      <c r="BZ21" s="9">
        <v>136.0</v>
      </c>
      <c r="CA21" s="9">
        <v>155604.0</v>
      </c>
    </row>
    <row r="22" ht="15.75" customHeight="1">
      <c r="A22" s="9" t="s">
        <v>178</v>
      </c>
      <c r="B22" s="9">
        <v>6395.0</v>
      </c>
      <c r="C22" s="9">
        <v>124.0</v>
      </c>
      <c r="D22" s="9">
        <v>382.0</v>
      </c>
      <c r="E22" s="9">
        <v>440.0</v>
      </c>
      <c r="F22" s="9">
        <v>1132.0</v>
      </c>
      <c r="G22" s="9">
        <v>498.0</v>
      </c>
      <c r="H22" s="9">
        <v>1239.0</v>
      </c>
      <c r="I22" s="9">
        <v>187.0</v>
      </c>
      <c r="J22" s="9">
        <v>796.0</v>
      </c>
      <c r="K22" s="9">
        <v>357.0</v>
      </c>
      <c r="L22" s="9">
        <v>1240.0</v>
      </c>
      <c r="M22" s="9">
        <v>1279.0</v>
      </c>
      <c r="N22" s="9">
        <v>1047.0</v>
      </c>
      <c r="O22" s="9">
        <v>232.0</v>
      </c>
      <c r="P22" s="9">
        <v>2216.0</v>
      </c>
      <c r="Q22" s="9">
        <v>0.0</v>
      </c>
      <c r="R22" s="9">
        <v>63.0</v>
      </c>
      <c r="S22" s="9">
        <v>186.0</v>
      </c>
      <c r="T22" s="9">
        <v>549.0</v>
      </c>
      <c r="U22" s="9">
        <v>245.0</v>
      </c>
      <c r="V22" s="9">
        <v>149.0</v>
      </c>
      <c r="W22" s="9">
        <v>171.0</v>
      </c>
      <c r="X22" s="9">
        <v>561.0</v>
      </c>
      <c r="Y22" s="9">
        <v>292.0</v>
      </c>
      <c r="Z22" s="9">
        <v>23182.0</v>
      </c>
      <c r="AA22" s="9">
        <v>19.0</v>
      </c>
      <c r="AB22" s="9">
        <v>22358.0</v>
      </c>
      <c r="AC22" s="9">
        <v>805.0</v>
      </c>
      <c r="AD22" s="9">
        <v>479.0</v>
      </c>
      <c r="AE22" s="9">
        <v>19.0</v>
      </c>
      <c r="AF22" s="9">
        <v>409.0</v>
      </c>
      <c r="AG22" s="9">
        <v>51.0</v>
      </c>
      <c r="AH22" s="9">
        <v>18979.0</v>
      </c>
      <c r="AI22" s="9">
        <v>3200.0</v>
      </c>
      <c r="AJ22" s="9">
        <v>1092.0</v>
      </c>
      <c r="AK22" s="9">
        <v>603.0</v>
      </c>
      <c r="AL22" s="9">
        <v>7280.0</v>
      </c>
      <c r="AM22" s="9">
        <v>1551.0</v>
      </c>
      <c r="AN22" s="9">
        <v>778.0</v>
      </c>
      <c r="AO22" s="9">
        <v>1527.0</v>
      </c>
      <c r="AP22" s="9">
        <v>1218.0</v>
      </c>
      <c r="AQ22" s="9">
        <v>1730.0</v>
      </c>
      <c r="AR22" s="9">
        <v>19444.0</v>
      </c>
      <c r="AS22" s="9">
        <v>146.0</v>
      </c>
      <c r="AT22" s="9">
        <v>2321.0</v>
      </c>
      <c r="AU22" s="9">
        <v>630.0</v>
      </c>
      <c r="AV22" s="9">
        <v>2627.0</v>
      </c>
      <c r="AW22" s="9">
        <v>2437.0</v>
      </c>
      <c r="AX22" s="9">
        <v>2266.0</v>
      </c>
      <c r="AY22" s="9">
        <v>3297.0</v>
      </c>
      <c r="AZ22" s="9">
        <v>1481.0</v>
      </c>
      <c r="BA22" s="9">
        <v>4239.0</v>
      </c>
      <c r="BB22" s="9">
        <v>74838.0</v>
      </c>
      <c r="BC22" s="9">
        <v>3661.0</v>
      </c>
      <c r="BD22" s="9">
        <v>6831.0</v>
      </c>
      <c r="BE22" s="9">
        <v>726.0</v>
      </c>
      <c r="BF22" s="9">
        <v>9314.0</v>
      </c>
      <c r="BG22" s="9">
        <v>9699.0</v>
      </c>
      <c r="BH22" s="9">
        <v>9771.0</v>
      </c>
      <c r="BI22" s="9">
        <v>8427.0</v>
      </c>
      <c r="BJ22" s="9">
        <v>21484.0</v>
      </c>
      <c r="BK22" s="9">
        <v>4925.0</v>
      </c>
      <c r="BL22" s="9">
        <v>23216.0</v>
      </c>
      <c r="BM22" s="9">
        <v>591.0</v>
      </c>
      <c r="BN22" s="9">
        <v>2249.0</v>
      </c>
      <c r="BO22" s="9">
        <v>599.0</v>
      </c>
      <c r="BP22" s="9">
        <v>4352.0</v>
      </c>
      <c r="BQ22" s="9">
        <v>1163.0</v>
      </c>
      <c r="BR22" s="9">
        <v>4061.0</v>
      </c>
      <c r="BS22" s="9">
        <v>1317.0</v>
      </c>
      <c r="BT22" s="9">
        <v>8884.0</v>
      </c>
      <c r="BU22" s="9">
        <v>5994.0</v>
      </c>
      <c r="BV22" s="9">
        <v>41.0</v>
      </c>
      <c r="BW22" s="9">
        <v>1.0</v>
      </c>
      <c r="BX22" s="9">
        <v>0.0</v>
      </c>
      <c r="BY22" s="9">
        <v>5791.0</v>
      </c>
      <c r="BZ22" s="9">
        <v>161.0</v>
      </c>
      <c r="CA22" s="9">
        <v>176022.0</v>
      </c>
    </row>
    <row r="23" ht="15.75" customHeight="1">
      <c r="A23" s="9" t="s">
        <v>179</v>
      </c>
      <c r="B23" s="9">
        <v>7193.0</v>
      </c>
      <c r="C23" s="9">
        <v>108.0</v>
      </c>
      <c r="D23" s="9">
        <v>475.0</v>
      </c>
      <c r="E23" s="9">
        <v>483.0</v>
      </c>
      <c r="F23" s="9">
        <v>1153.0</v>
      </c>
      <c r="G23" s="9">
        <v>568.0</v>
      </c>
      <c r="H23" s="9">
        <v>1405.0</v>
      </c>
      <c r="I23" s="9">
        <v>225.0</v>
      </c>
      <c r="J23" s="9">
        <v>907.0</v>
      </c>
      <c r="K23" s="9">
        <v>508.0</v>
      </c>
      <c r="L23" s="9">
        <v>1361.0</v>
      </c>
      <c r="M23" s="9">
        <v>1431.0</v>
      </c>
      <c r="N23" s="9">
        <v>1210.0</v>
      </c>
      <c r="O23" s="9">
        <v>221.0</v>
      </c>
      <c r="P23" s="9">
        <v>2472.0</v>
      </c>
      <c r="Q23" s="9">
        <v>0.0</v>
      </c>
      <c r="R23" s="9">
        <v>71.0</v>
      </c>
      <c r="S23" s="9">
        <v>167.0</v>
      </c>
      <c r="T23" s="9">
        <v>642.0</v>
      </c>
      <c r="U23" s="9">
        <v>286.0</v>
      </c>
      <c r="V23" s="9">
        <v>141.0</v>
      </c>
      <c r="W23" s="9">
        <v>179.0</v>
      </c>
      <c r="X23" s="9">
        <v>690.0</v>
      </c>
      <c r="Y23" s="9">
        <v>296.0</v>
      </c>
      <c r="Z23" s="9">
        <v>24444.0</v>
      </c>
      <c r="AA23" s="9">
        <v>19.0</v>
      </c>
      <c r="AB23" s="9">
        <v>23419.0</v>
      </c>
      <c r="AC23" s="9">
        <v>1006.0</v>
      </c>
      <c r="AD23" s="9">
        <v>534.0</v>
      </c>
      <c r="AE23" s="9">
        <v>29.0</v>
      </c>
      <c r="AF23" s="9">
        <v>455.0</v>
      </c>
      <c r="AG23" s="9">
        <v>50.0</v>
      </c>
      <c r="AH23" s="9">
        <v>20432.0</v>
      </c>
      <c r="AI23" s="9">
        <v>3388.0</v>
      </c>
      <c r="AJ23" s="9">
        <v>1072.0</v>
      </c>
      <c r="AK23" s="9">
        <v>599.0</v>
      </c>
      <c r="AL23" s="9">
        <v>7993.0</v>
      </c>
      <c r="AM23" s="9">
        <v>1609.0</v>
      </c>
      <c r="AN23" s="9">
        <v>924.0</v>
      </c>
      <c r="AO23" s="9">
        <v>1743.0</v>
      </c>
      <c r="AP23" s="9">
        <v>1305.0</v>
      </c>
      <c r="AQ23" s="9">
        <v>1799.0</v>
      </c>
      <c r="AR23" s="9">
        <v>21252.0</v>
      </c>
      <c r="AS23" s="9">
        <v>172.0</v>
      </c>
      <c r="AT23" s="9">
        <v>2460.0</v>
      </c>
      <c r="AU23" s="9">
        <v>647.0</v>
      </c>
      <c r="AV23" s="9">
        <v>2750.0</v>
      </c>
      <c r="AW23" s="9">
        <v>2473.0</v>
      </c>
      <c r="AX23" s="9">
        <v>2382.0</v>
      </c>
      <c r="AY23" s="9">
        <v>3794.0</v>
      </c>
      <c r="AZ23" s="9">
        <v>1880.0</v>
      </c>
      <c r="BA23" s="9">
        <v>4694.0</v>
      </c>
      <c r="BB23" s="9">
        <v>78962.0</v>
      </c>
      <c r="BC23" s="9">
        <v>3950.0</v>
      </c>
      <c r="BD23" s="9">
        <v>7087.0</v>
      </c>
      <c r="BE23" s="9">
        <v>809.0</v>
      </c>
      <c r="BF23" s="9">
        <v>9910.0</v>
      </c>
      <c r="BG23" s="9">
        <v>8979.0</v>
      </c>
      <c r="BH23" s="9">
        <v>10917.0</v>
      </c>
      <c r="BI23" s="9">
        <v>8909.0</v>
      </c>
      <c r="BJ23" s="9">
        <v>24309.0</v>
      </c>
      <c r="BK23" s="9">
        <v>4092.0</v>
      </c>
      <c r="BL23" s="9">
        <v>24485.0</v>
      </c>
      <c r="BM23" s="9">
        <v>662.0</v>
      </c>
      <c r="BN23" s="9">
        <v>2435.0</v>
      </c>
      <c r="BO23" s="9">
        <v>658.0</v>
      </c>
      <c r="BP23" s="9">
        <v>4465.0</v>
      </c>
      <c r="BQ23" s="9">
        <v>1170.0</v>
      </c>
      <c r="BR23" s="9">
        <v>4222.0</v>
      </c>
      <c r="BS23" s="9">
        <v>1346.0</v>
      </c>
      <c r="BT23" s="9">
        <v>9527.0</v>
      </c>
      <c r="BU23" s="9">
        <v>6577.0</v>
      </c>
      <c r="BV23" s="9">
        <v>38.0</v>
      </c>
      <c r="BW23" s="9">
        <v>3.0</v>
      </c>
      <c r="BX23" s="9">
        <v>0.0</v>
      </c>
      <c r="BY23" s="9">
        <v>6128.0</v>
      </c>
      <c r="BZ23" s="9">
        <v>408.0</v>
      </c>
      <c r="CA23" s="9">
        <v>187782.0</v>
      </c>
    </row>
    <row r="24" ht="15.75" customHeight="1">
      <c r="A24" s="9" t="s">
        <v>180</v>
      </c>
      <c r="B24" s="9">
        <v>8282.0</v>
      </c>
      <c r="C24" s="9">
        <v>139.0</v>
      </c>
      <c r="D24" s="9">
        <v>491.0</v>
      </c>
      <c r="E24" s="9">
        <v>679.0</v>
      </c>
      <c r="F24" s="9">
        <v>1215.0</v>
      </c>
      <c r="G24" s="9">
        <v>764.0</v>
      </c>
      <c r="H24" s="9">
        <v>1655.0</v>
      </c>
      <c r="I24" s="9">
        <v>237.0</v>
      </c>
      <c r="J24" s="9">
        <v>1087.0</v>
      </c>
      <c r="K24" s="9">
        <v>566.0</v>
      </c>
      <c r="L24" s="9">
        <v>1449.0</v>
      </c>
      <c r="M24" s="9">
        <v>1657.0</v>
      </c>
      <c r="N24" s="9">
        <v>1470.0</v>
      </c>
      <c r="O24" s="9">
        <v>187.0</v>
      </c>
      <c r="P24" s="9">
        <v>2876.0</v>
      </c>
      <c r="Q24" s="9">
        <v>0.0</v>
      </c>
      <c r="R24" s="9">
        <v>58.0</v>
      </c>
      <c r="S24" s="9">
        <v>228.0</v>
      </c>
      <c r="T24" s="9">
        <v>662.0</v>
      </c>
      <c r="U24" s="9">
        <v>324.0</v>
      </c>
      <c r="V24" s="9">
        <v>140.0</v>
      </c>
      <c r="W24" s="9">
        <v>547.0</v>
      </c>
      <c r="X24" s="9">
        <v>580.0</v>
      </c>
      <c r="Y24" s="9">
        <v>337.0</v>
      </c>
      <c r="Z24" s="9">
        <v>35493.0</v>
      </c>
      <c r="AA24" s="9">
        <v>27.0</v>
      </c>
      <c r="AB24" s="9">
        <v>33635.0</v>
      </c>
      <c r="AC24" s="9">
        <v>1831.0</v>
      </c>
      <c r="AD24" s="9">
        <v>605.0</v>
      </c>
      <c r="AE24" s="9">
        <v>39.0</v>
      </c>
      <c r="AF24" s="9">
        <v>498.0</v>
      </c>
      <c r="AG24" s="9">
        <v>68.0</v>
      </c>
      <c r="AH24" s="9">
        <v>23845.0</v>
      </c>
      <c r="AI24" s="9">
        <v>3633.0</v>
      </c>
      <c r="AJ24" s="9">
        <v>1827.0</v>
      </c>
      <c r="AK24" s="9">
        <v>700.0</v>
      </c>
      <c r="AL24" s="9">
        <v>8337.0</v>
      </c>
      <c r="AM24" s="9">
        <v>1706.0</v>
      </c>
      <c r="AN24" s="9">
        <v>2252.0</v>
      </c>
      <c r="AO24" s="9">
        <v>1827.0</v>
      </c>
      <c r="AP24" s="9">
        <v>1413.0</v>
      </c>
      <c r="AQ24" s="9">
        <v>2150.0</v>
      </c>
      <c r="AR24" s="9">
        <v>25108.0</v>
      </c>
      <c r="AS24" s="9">
        <v>189.0</v>
      </c>
      <c r="AT24" s="9">
        <v>2712.0</v>
      </c>
      <c r="AU24" s="9">
        <v>711.0</v>
      </c>
      <c r="AV24" s="9">
        <v>2896.0</v>
      </c>
      <c r="AW24" s="9">
        <v>2606.0</v>
      </c>
      <c r="AX24" s="9">
        <v>2752.0</v>
      </c>
      <c r="AY24" s="9">
        <v>5404.0</v>
      </c>
      <c r="AZ24" s="9">
        <v>2274.0</v>
      </c>
      <c r="BA24" s="9">
        <v>5564.0</v>
      </c>
      <c r="BB24" s="9">
        <v>88027.0</v>
      </c>
      <c r="BC24" s="9">
        <v>5094.0</v>
      </c>
      <c r="BD24" s="9">
        <v>8613.0</v>
      </c>
      <c r="BE24" s="9">
        <v>786.0</v>
      </c>
      <c r="BF24" s="9">
        <v>10930.0</v>
      </c>
      <c r="BG24" s="9">
        <v>8946.0</v>
      </c>
      <c r="BH24" s="9">
        <v>11197.0</v>
      </c>
      <c r="BI24" s="9">
        <v>9836.0</v>
      </c>
      <c r="BJ24" s="9">
        <v>26458.0</v>
      </c>
      <c r="BK24" s="9">
        <v>6167.0</v>
      </c>
      <c r="BL24" s="9">
        <v>27863.0</v>
      </c>
      <c r="BM24" s="9">
        <v>785.0</v>
      </c>
      <c r="BN24" s="9">
        <v>2803.0</v>
      </c>
      <c r="BO24" s="9">
        <v>762.0</v>
      </c>
      <c r="BP24" s="9">
        <v>5049.0</v>
      </c>
      <c r="BQ24" s="9">
        <v>1303.0</v>
      </c>
      <c r="BR24" s="9">
        <v>4843.0</v>
      </c>
      <c r="BS24" s="9">
        <v>1426.0</v>
      </c>
      <c r="BT24" s="9">
        <v>10892.0</v>
      </c>
      <c r="BU24" s="9">
        <v>12189.0</v>
      </c>
      <c r="BV24" s="9">
        <v>51.0</v>
      </c>
      <c r="BW24" s="9">
        <v>6.0</v>
      </c>
      <c r="BX24" s="9">
        <v>0.0</v>
      </c>
      <c r="BY24" s="9">
        <v>9733.0</v>
      </c>
      <c r="BZ24" s="9">
        <v>2399.0</v>
      </c>
      <c r="CA24" s="9">
        <v>225945.0</v>
      </c>
    </row>
    <row r="25" ht="15.75" customHeight="1">
      <c r="A25" s="9" t="s">
        <v>181</v>
      </c>
      <c r="B25" s="9">
        <v>8640.0</v>
      </c>
      <c r="C25" s="9">
        <v>101.0</v>
      </c>
      <c r="D25" s="9">
        <v>574.0</v>
      </c>
      <c r="E25" s="9">
        <v>542.0</v>
      </c>
      <c r="F25" s="9">
        <v>1267.0</v>
      </c>
      <c r="G25" s="9">
        <v>833.0</v>
      </c>
      <c r="H25" s="9">
        <v>1611.0</v>
      </c>
      <c r="I25" s="9">
        <v>285.0</v>
      </c>
      <c r="J25" s="9">
        <v>1209.0</v>
      </c>
      <c r="K25" s="9">
        <v>595.0</v>
      </c>
      <c r="L25" s="9">
        <v>1623.0</v>
      </c>
      <c r="M25" s="9">
        <v>1747.0</v>
      </c>
      <c r="N25" s="9">
        <v>1470.0</v>
      </c>
      <c r="O25" s="9">
        <v>277.0</v>
      </c>
      <c r="P25" s="9">
        <v>2001.0</v>
      </c>
      <c r="Q25" s="9">
        <v>0.0</v>
      </c>
      <c r="R25" s="9">
        <v>50.0</v>
      </c>
      <c r="S25" s="9">
        <v>129.0</v>
      </c>
      <c r="T25" s="9">
        <v>568.0</v>
      </c>
      <c r="U25" s="9">
        <v>181.0</v>
      </c>
      <c r="V25" s="9">
        <v>138.0</v>
      </c>
      <c r="W25" s="9">
        <v>154.0</v>
      </c>
      <c r="X25" s="9">
        <v>443.0</v>
      </c>
      <c r="Y25" s="9">
        <v>338.0</v>
      </c>
      <c r="Z25" s="9">
        <v>25412.0</v>
      </c>
      <c r="AA25" s="9">
        <v>25.0</v>
      </c>
      <c r="AB25" s="9">
        <v>23124.0</v>
      </c>
      <c r="AC25" s="9">
        <v>2263.0</v>
      </c>
      <c r="AD25" s="9">
        <v>561.0</v>
      </c>
      <c r="AE25" s="9">
        <v>30.0</v>
      </c>
      <c r="AF25" s="9">
        <v>467.0</v>
      </c>
      <c r="AG25" s="9">
        <v>64.0</v>
      </c>
      <c r="AH25" s="9">
        <v>21929.0</v>
      </c>
      <c r="AI25" s="9">
        <v>3199.0</v>
      </c>
      <c r="AJ25" s="9">
        <v>1341.0</v>
      </c>
      <c r="AK25" s="9">
        <v>619.0</v>
      </c>
      <c r="AL25" s="9">
        <v>9371.0</v>
      </c>
      <c r="AM25" s="9">
        <v>1841.0</v>
      </c>
      <c r="AN25" s="9">
        <v>941.0</v>
      </c>
      <c r="AO25" s="9">
        <v>1303.0</v>
      </c>
      <c r="AP25" s="9">
        <v>1349.0</v>
      </c>
      <c r="AQ25" s="9">
        <v>1965.0</v>
      </c>
      <c r="AR25" s="9">
        <v>21688.0</v>
      </c>
      <c r="AS25" s="9">
        <v>142.0</v>
      </c>
      <c r="AT25" s="9">
        <v>2633.0</v>
      </c>
      <c r="AU25" s="9">
        <v>629.0</v>
      </c>
      <c r="AV25" s="9">
        <v>2628.0</v>
      </c>
      <c r="AW25" s="9">
        <v>2431.0</v>
      </c>
      <c r="AX25" s="9">
        <v>2634.0</v>
      </c>
      <c r="AY25" s="9">
        <v>3621.0</v>
      </c>
      <c r="AZ25" s="9">
        <v>1804.0</v>
      </c>
      <c r="BA25" s="9">
        <v>5166.0</v>
      </c>
      <c r="BB25" s="9">
        <v>76440.0</v>
      </c>
      <c r="BC25" s="9">
        <v>4818.0</v>
      </c>
      <c r="BD25" s="9">
        <v>6918.0</v>
      </c>
      <c r="BE25" s="9">
        <v>635.0</v>
      </c>
      <c r="BF25" s="9">
        <v>12115.0</v>
      </c>
      <c r="BG25" s="9">
        <v>8520.0</v>
      </c>
      <c r="BH25" s="9">
        <v>11691.0</v>
      </c>
      <c r="BI25" s="9">
        <v>9569.0</v>
      </c>
      <c r="BJ25" s="9">
        <v>19969.0</v>
      </c>
      <c r="BK25" s="9">
        <v>2205.0</v>
      </c>
      <c r="BL25" s="9">
        <v>27393.0</v>
      </c>
      <c r="BM25" s="9">
        <v>787.0</v>
      </c>
      <c r="BN25" s="9">
        <v>2633.0</v>
      </c>
      <c r="BO25" s="9">
        <v>782.0</v>
      </c>
      <c r="BP25" s="9">
        <v>5122.0</v>
      </c>
      <c r="BQ25" s="9">
        <v>1315.0</v>
      </c>
      <c r="BR25" s="9">
        <v>4772.0</v>
      </c>
      <c r="BS25" s="9">
        <v>1461.0</v>
      </c>
      <c r="BT25" s="9">
        <v>10521.0</v>
      </c>
      <c r="BU25" s="9">
        <v>14740.0</v>
      </c>
      <c r="BV25" s="9">
        <v>51.0</v>
      </c>
      <c r="BW25" s="9">
        <v>4.0</v>
      </c>
      <c r="BX25" s="9">
        <v>0.0</v>
      </c>
      <c r="BY25" s="9">
        <v>9198.0</v>
      </c>
      <c r="BZ25" s="9">
        <v>5487.0</v>
      </c>
      <c r="CA25" s="9">
        <v>200551.0</v>
      </c>
    </row>
    <row r="26" ht="15.75" customHeight="1">
      <c r="A26" s="9" t="s">
        <v>182</v>
      </c>
      <c r="B26" s="9">
        <v>8646.0</v>
      </c>
      <c r="C26" s="9">
        <v>114.0</v>
      </c>
      <c r="D26" s="9">
        <v>574.0</v>
      </c>
      <c r="E26" s="9">
        <v>670.0</v>
      </c>
      <c r="F26" s="9">
        <v>1271.0</v>
      </c>
      <c r="G26" s="9">
        <v>770.0</v>
      </c>
      <c r="H26" s="9">
        <v>1557.0</v>
      </c>
      <c r="I26" s="9">
        <v>306.0</v>
      </c>
      <c r="J26" s="9">
        <v>1185.0</v>
      </c>
      <c r="K26" s="9">
        <v>561.0</v>
      </c>
      <c r="L26" s="9">
        <v>1638.0</v>
      </c>
      <c r="M26" s="9">
        <v>1706.0</v>
      </c>
      <c r="N26" s="9">
        <v>1454.0</v>
      </c>
      <c r="O26" s="9">
        <v>252.0</v>
      </c>
      <c r="P26" s="9">
        <v>2331.0</v>
      </c>
      <c r="Q26" s="9">
        <v>0.0</v>
      </c>
      <c r="R26" s="9">
        <v>52.0</v>
      </c>
      <c r="S26" s="9">
        <v>128.0</v>
      </c>
      <c r="T26" s="9">
        <v>672.0</v>
      </c>
      <c r="U26" s="9">
        <v>188.0</v>
      </c>
      <c r="V26" s="9">
        <v>108.0</v>
      </c>
      <c r="W26" s="9">
        <v>197.0</v>
      </c>
      <c r="X26" s="9">
        <v>677.0</v>
      </c>
      <c r="Y26" s="9">
        <v>309.0</v>
      </c>
      <c r="Z26" s="9">
        <v>28843.0</v>
      </c>
      <c r="AA26" s="9">
        <v>43.0</v>
      </c>
      <c r="AB26" s="9">
        <v>26722.0</v>
      </c>
      <c r="AC26" s="9">
        <v>2078.0</v>
      </c>
      <c r="AD26" s="9">
        <v>525.0</v>
      </c>
      <c r="AE26" s="9">
        <v>37.0</v>
      </c>
      <c r="AF26" s="9">
        <v>432.0</v>
      </c>
      <c r="AG26" s="9">
        <v>56.0</v>
      </c>
      <c r="AH26" s="9">
        <v>22836.0</v>
      </c>
      <c r="AI26" s="9">
        <v>3385.0</v>
      </c>
      <c r="AJ26" s="9">
        <v>1101.0</v>
      </c>
      <c r="AK26" s="9">
        <v>628.0</v>
      </c>
      <c r="AL26" s="9">
        <v>9625.0</v>
      </c>
      <c r="AM26" s="9">
        <v>1837.0</v>
      </c>
      <c r="AN26" s="9">
        <v>1325.0</v>
      </c>
      <c r="AO26" s="9">
        <v>1461.0</v>
      </c>
      <c r="AP26" s="9">
        <v>1407.0</v>
      </c>
      <c r="AQ26" s="9">
        <v>2067.0</v>
      </c>
      <c r="AR26" s="9">
        <v>22882.0</v>
      </c>
      <c r="AS26" s="9">
        <v>141.0</v>
      </c>
      <c r="AT26" s="9">
        <v>2957.0</v>
      </c>
      <c r="AU26" s="9">
        <v>717.0</v>
      </c>
      <c r="AV26" s="9">
        <v>2835.0</v>
      </c>
      <c r="AW26" s="9">
        <v>2431.0</v>
      </c>
      <c r="AX26" s="9">
        <v>2546.0</v>
      </c>
      <c r="AY26" s="9">
        <v>3726.0</v>
      </c>
      <c r="AZ26" s="9">
        <v>2482.0</v>
      </c>
      <c r="BA26" s="9">
        <v>5047.0</v>
      </c>
      <c r="BB26" s="9">
        <v>82235.0</v>
      </c>
      <c r="BC26" s="9">
        <v>4256.0</v>
      </c>
      <c r="BD26" s="9">
        <v>6931.0</v>
      </c>
      <c r="BE26" s="9">
        <v>631.0</v>
      </c>
      <c r="BF26" s="9">
        <v>10491.0</v>
      </c>
      <c r="BG26" s="9">
        <v>9547.0</v>
      </c>
      <c r="BH26" s="9">
        <v>11418.0</v>
      </c>
      <c r="BI26" s="9">
        <v>10716.0</v>
      </c>
      <c r="BJ26" s="9">
        <v>26292.0</v>
      </c>
      <c r="BK26" s="9">
        <v>1953.0</v>
      </c>
      <c r="BL26" s="9">
        <v>27278.0</v>
      </c>
      <c r="BM26" s="9">
        <v>867.0</v>
      </c>
      <c r="BN26" s="9">
        <v>2629.0</v>
      </c>
      <c r="BO26" s="9">
        <v>760.0</v>
      </c>
      <c r="BP26" s="9">
        <v>5379.0</v>
      </c>
      <c r="BQ26" s="9">
        <v>1343.0</v>
      </c>
      <c r="BR26" s="9">
        <v>4771.0</v>
      </c>
      <c r="BS26" s="9">
        <v>1365.0</v>
      </c>
      <c r="BT26" s="9">
        <v>10164.0</v>
      </c>
      <c r="BU26" s="9">
        <v>13200.0</v>
      </c>
      <c r="BV26" s="9">
        <v>38.0</v>
      </c>
      <c r="BW26" s="9">
        <v>13.0</v>
      </c>
      <c r="BX26" s="9">
        <v>2.0</v>
      </c>
      <c r="BY26" s="9">
        <v>7048.0</v>
      </c>
      <c r="BZ26" s="9">
        <v>6099.0</v>
      </c>
      <c r="CA26" s="9">
        <v>210482.0</v>
      </c>
    </row>
    <row r="27" ht="15.75" customHeight="1">
      <c r="A27" s="9" t="s">
        <v>183</v>
      </c>
      <c r="B27" s="9">
        <v>9249.0</v>
      </c>
      <c r="C27" s="9">
        <v>111.0</v>
      </c>
      <c r="D27" s="9">
        <v>552.0</v>
      </c>
      <c r="E27" s="9">
        <v>670.0</v>
      </c>
      <c r="F27" s="9">
        <v>1305.0</v>
      </c>
      <c r="G27" s="9">
        <v>804.0</v>
      </c>
      <c r="H27" s="9">
        <v>1842.0</v>
      </c>
      <c r="I27" s="9">
        <v>378.0</v>
      </c>
      <c r="J27" s="9">
        <v>1355.0</v>
      </c>
      <c r="K27" s="9">
        <v>549.0</v>
      </c>
      <c r="L27" s="9">
        <v>1683.0</v>
      </c>
      <c r="M27" s="9">
        <v>1815.0</v>
      </c>
      <c r="N27" s="9">
        <v>1537.0</v>
      </c>
      <c r="O27" s="9">
        <v>278.0</v>
      </c>
      <c r="P27" s="9">
        <v>2769.0</v>
      </c>
      <c r="Q27" s="9">
        <v>0.0</v>
      </c>
      <c r="R27" s="9">
        <v>46.0</v>
      </c>
      <c r="S27" s="9">
        <v>150.0</v>
      </c>
      <c r="T27" s="9">
        <v>659.0</v>
      </c>
      <c r="U27" s="9">
        <v>183.0</v>
      </c>
      <c r="V27" s="9">
        <v>114.0</v>
      </c>
      <c r="W27" s="9">
        <v>288.0</v>
      </c>
      <c r="X27" s="9">
        <v>989.0</v>
      </c>
      <c r="Y27" s="9">
        <v>340.0</v>
      </c>
      <c r="Z27" s="9">
        <v>38279.0</v>
      </c>
      <c r="AA27" s="9">
        <v>66.0</v>
      </c>
      <c r="AB27" s="9">
        <v>35795.0</v>
      </c>
      <c r="AC27" s="9">
        <v>2418.0</v>
      </c>
      <c r="AD27" s="9">
        <v>543.0</v>
      </c>
      <c r="AE27" s="9">
        <v>40.0</v>
      </c>
      <c r="AF27" s="9">
        <v>438.0</v>
      </c>
      <c r="AG27" s="9">
        <v>65.0</v>
      </c>
      <c r="AH27" s="9">
        <v>24346.0</v>
      </c>
      <c r="AI27" s="9">
        <v>3062.0</v>
      </c>
      <c r="AJ27" s="9">
        <v>1425.0</v>
      </c>
      <c r="AK27" s="9">
        <v>637.0</v>
      </c>
      <c r="AL27" s="9">
        <v>10569.0</v>
      </c>
      <c r="AM27" s="9">
        <v>1878.0</v>
      </c>
      <c r="AN27" s="9">
        <v>1614.0</v>
      </c>
      <c r="AO27" s="9">
        <v>1556.0</v>
      </c>
      <c r="AP27" s="9">
        <v>1429.0</v>
      </c>
      <c r="AQ27" s="9">
        <v>2176.0</v>
      </c>
      <c r="AR27" s="9">
        <v>24862.0</v>
      </c>
      <c r="AS27" s="9">
        <v>149.0</v>
      </c>
      <c r="AT27" s="9">
        <v>3523.0</v>
      </c>
      <c r="AU27" s="9">
        <v>763.0</v>
      </c>
      <c r="AV27" s="9">
        <v>2579.0</v>
      </c>
      <c r="AW27" s="9">
        <v>2472.0</v>
      </c>
      <c r="AX27" s="9">
        <v>2410.0</v>
      </c>
      <c r="AY27" s="9">
        <v>3590.0</v>
      </c>
      <c r="AZ27" s="9">
        <v>3254.0</v>
      </c>
      <c r="BA27" s="9">
        <v>6122.0</v>
      </c>
      <c r="BB27" s="9">
        <v>83761.0</v>
      </c>
      <c r="BC27" s="9">
        <v>4601.0</v>
      </c>
      <c r="BD27" s="9">
        <v>8450.0</v>
      </c>
      <c r="BE27" s="9">
        <v>682.0</v>
      </c>
      <c r="BF27" s="9">
        <v>10415.0</v>
      </c>
      <c r="BG27" s="9">
        <v>9361.0</v>
      </c>
      <c r="BH27" s="9">
        <v>11505.0</v>
      </c>
      <c r="BI27" s="9">
        <v>11284.0</v>
      </c>
      <c r="BJ27" s="9">
        <v>24708.0</v>
      </c>
      <c r="BK27" s="9">
        <v>2755.0</v>
      </c>
      <c r="BL27" s="9">
        <v>28098.0</v>
      </c>
      <c r="BM27" s="9">
        <v>1125.0</v>
      </c>
      <c r="BN27" s="9">
        <v>2782.0</v>
      </c>
      <c r="BO27" s="9">
        <v>829.0</v>
      </c>
      <c r="BP27" s="9">
        <v>5681.0</v>
      </c>
      <c r="BQ27" s="9">
        <v>1324.0</v>
      </c>
      <c r="BR27" s="9">
        <v>4822.0</v>
      </c>
      <c r="BS27" s="9">
        <v>1388.0</v>
      </c>
      <c r="BT27" s="9">
        <v>10147.0</v>
      </c>
      <c r="BU27" s="9">
        <v>13194.0</v>
      </c>
      <c r="BV27" s="9">
        <v>45.0</v>
      </c>
      <c r="BW27" s="9">
        <v>19.0</v>
      </c>
      <c r="BX27" s="9">
        <v>4.0</v>
      </c>
      <c r="BY27" s="9">
        <v>6398.0</v>
      </c>
      <c r="BZ27" s="9">
        <v>6728.0</v>
      </c>
      <c r="CA27" s="9">
        <v>226916.0</v>
      </c>
    </row>
    <row r="28" ht="15.75" customHeight="1">
      <c r="A28" s="9" t="s">
        <v>184</v>
      </c>
      <c r="B28" s="9">
        <v>9592.0</v>
      </c>
      <c r="C28" s="9">
        <v>100.0</v>
      </c>
      <c r="D28" s="9">
        <v>619.0</v>
      </c>
      <c r="E28" s="9">
        <v>634.0</v>
      </c>
      <c r="F28" s="9">
        <v>1416.0</v>
      </c>
      <c r="G28" s="9">
        <v>849.0</v>
      </c>
      <c r="H28" s="9">
        <v>1804.0</v>
      </c>
      <c r="I28" s="9">
        <v>356.0</v>
      </c>
      <c r="J28" s="9">
        <v>1351.0</v>
      </c>
      <c r="K28" s="9">
        <v>635.0</v>
      </c>
      <c r="L28" s="9">
        <v>1828.0</v>
      </c>
      <c r="M28" s="9">
        <v>1995.0</v>
      </c>
      <c r="N28" s="9">
        <v>1686.0</v>
      </c>
      <c r="O28" s="9">
        <v>309.0</v>
      </c>
      <c r="P28" s="9">
        <v>2517.0</v>
      </c>
      <c r="Q28" s="9">
        <v>1.0</v>
      </c>
      <c r="R28" s="9">
        <v>58.0</v>
      </c>
      <c r="S28" s="9">
        <v>134.0</v>
      </c>
      <c r="T28" s="9">
        <v>635.0</v>
      </c>
      <c r="U28" s="9">
        <v>145.0</v>
      </c>
      <c r="V28" s="9">
        <v>91.0</v>
      </c>
      <c r="W28" s="9">
        <v>313.0</v>
      </c>
      <c r="X28" s="9">
        <v>732.0</v>
      </c>
      <c r="Y28" s="9">
        <v>408.0</v>
      </c>
      <c r="Z28" s="9">
        <v>40855.0</v>
      </c>
      <c r="AA28" s="9">
        <v>18.0</v>
      </c>
      <c r="AB28" s="9">
        <v>38217.0</v>
      </c>
      <c r="AC28" s="9">
        <v>2620.0</v>
      </c>
      <c r="AD28" s="9">
        <v>546.0</v>
      </c>
      <c r="AE28" s="9">
        <v>61.0</v>
      </c>
      <c r="AF28" s="9">
        <v>411.0</v>
      </c>
      <c r="AG28" s="9">
        <v>74.0</v>
      </c>
      <c r="AH28" s="9">
        <v>24488.0</v>
      </c>
      <c r="AI28" s="9">
        <v>2937.0</v>
      </c>
      <c r="AJ28" s="9">
        <v>1695.0</v>
      </c>
      <c r="AK28" s="9">
        <v>617.0</v>
      </c>
      <c r="AL28" s="9">
        <v>10411.0</v>
      </c>
      <c r="AM28" s="9">
        <v>1988.0</v>
      </c>
      <c r="AN28" s="9">
        <v>1649.0</v>
      </c>
      <c r="AO28" s="9">
        <v>1517.0</v>
      </c>
      <c r="AP28" s="9">
        <v>1442.0</v>
      </c>
      <c r="AQ28" s="9">
        <v>2232.0</v>
      </c>
      <c r="AR28" s="9">
        <v>25976.0</v>
      </c>
      <c r="AS28" s="9">
        <v>142.0</v>
      </c>
      <c r="AT28" s="9">
        <v>3991.0</v>
      </c>
      <c r="AU28" s="9">
        <v>804.0</v>
      </c>
      <c r="AV28" s="9">
        <v>2658.0</v>
      </c>
      <c r="AW28" s="9">
        <v>2501.0</v>
      </c>
      <c r="AX28" s="9">
        <v>2427.0</v>
      </c>
      <c r="AY28" s="9">
        <v>4317.0</v>
      </c>
      <c r="AZ28" s="9">
        <v>2538.0</v>
      </c>
      <c r="BA28" s="9">
        <v>6598.0</v>
      </c>
      <c r="BB28" s="9">
        <v>95687.0</v>
      </c>
      <c r="BC28" s="9">
        <v>5014.0</v>
      </c>
      <c r="BD28" s="9">
        <v>11748.0</v>
      </c>
      <c r="BE28" s="9">
        <v>702.0</v>
      </c>
      <c r="BF28" s="9">
        <v>12213.0</v>
      </c>
      <c r="BG28" s="9">
        <v>9214.0</v>
      </c>
      <c r="BH28" s="9">
        <v>11469.0</v>
      </c>
      <c r="BI28" s="9">
        <v>11303.0</v>
      </c>
      <c r="BJ28" s="9">
        <v>30452.0</v>
      </c>
      <c r="BK28" s="9">
        <v>3572.0</v>
      </c>
      <c r="BL28" s="9">
        <v>29104.0</v>
      </c>
      <c r="BM28" s="9">
        <v>1341.0</v>
      </c>
      <c r="BN28" s="9">
        <v>2904.0</v>
      </c>
      <c r="BO28" s="9">
        <v>926.0</v>
      </c>
      <c r="BP28" s="9">
        <v>5893.0</v>
      </c>
      <c r="BQ28" s="9">
        <v>1480.0</v>
      </c>
      <c r="BR28" s="9">
        <v>5251.0</v>
      </c>
      <c r="BS28" s="9">
        <v>1413.0</v>
      </c>
      <c r="BT28" s="9">
        <v>9896.0</v>
      </c>
      <c r="BU28" s="9">
        <v>11088.0</v>
      </c>
      <c r="BV28" s="9">
        <v>45.0</v>
      </c>
      <c r="BW28" s="9">
        <v>44.0</v>
      </c>
      <c r="BX28" s="9">
        <v>4.0</v>
      </c>
      <c r="BY28" s="9">
        <v>5841.0</v>
      </c>
      <c r="BZ28" s="9">
        <v>5154.0</v>
      </c>
      <c r="CA28" s="9">
        <v>241848.0</v>
      </c>
    </row>
    <row r="29" ht="15.75" customHeight="1">
      <c r="A29" s="9" t="s">
        <v>185</v>
      </c>
      <c r="B29" s="9">
        <v>10637.0</v>
      </c>
      <c r="C29" s="9">
        <v>97.0</v>
      </c>
      <c r="D29" s="9">
        <v>627.0</v>
      </c>
      <c r="E29" s="9">
        <v>744.0</v>
      </c>
      <c r="F29" s="9">
        <v>1604.0</v>
      </c>
      <c r="G29" s="9">
        <v>1020.0</v>
      </c>
      <c r="H29" s="9">
        <v>1940.0</v>
      </c>
      <c r="I29" s="9">
        <v>379.0</v>
      </c>
      <c r="J29" s="9">
        <v>1430.0</v>
      </c>
      <c r="K29" s="9">
        <v>737.0</v>
      </c>
      <c r="L29" s="9">
        <v>2059.0</v>
      </c>
      <c r="M29" s="9">
        <v>2425.0</v>
      </c>
      <c r="N29" s="9">
        <v>1922.0</v>
      </c>
      <c r="O29" s="9">
        <v>503.0</v>
      </c>
      <c r="P29" s="9">
        <v>2344.0</v>
      </c>
      <c r="Q29" s="9">
        <v>1.0</v>
      </c>
      <c r="R29" s="9">
        <v>68.0</v>
      </c>
      <c r="S29" s="9">
        <v>105.0</v>
      </c>
      <c r="T29" s="9">
        <v>649.0</v>
      </c>
      <c r="U29" s="9">
        <v>179.0</v>
      </c>
      <c r="V29" s="9">
        <v>97.0</v>
      </c>
      <c r="W29" s="9">
        <v>278.0</v>
      </c>
      <c r="X29" s="9">
        <v>538.0</v>
      </c>
      <c r="Y29" s="9">
        <v>429.0</v>
      </c>
      <c r="Z29" s="9">
        <v>42163.0</v>
      </c>
      <c r="AA29" s="9">
        <v>37.0</v>
      </c>
      <c r="AB29" s="9">
        <v>39314.0</v>
      </c>
      <c r="AC29" s="9">
        <v>2812.0</v>
      </c>
      <c r="AD29" s="9">
        <v>532.0</v>
      </c>
      <c r="AE29" s="9">
        <v>56.0</v>
      </c>
      <c r="AF29" s="9">
        <v>423.0</v>
      </c>
      <c r="AG29" s="9">
        <v>53.0</v>
      </c>
      <c r="AH29" s="9">
        <v>24000.0</v>
      </c>
      <c r="AI29" s="9">
        <v>2260.0</v>
      </c>
      <c r="AJ29" s="9">
        <v>1369.0</v>
      </c>
      <c r="AK29" s="9">
        <v>643.0</v>
      </c>
      <c r="AL29" s="9">
        <v>10221.0</v>
      </c>
      <c r="AM29" s="9">
        <v>2219.0</v>
      </c>
      <c r="AN29" s="9">
        <v>1526.0</v>
      </c>
      <c r="AO29" s="9">
        <v>1718.0</v>
      </c>
      <c r="AP29" s="9">
        <v>1582.0</v>
      </c>
      <c r="AQ29" s="9">
        <v>2462.0</v>
      </c>
      <c r="AR29" s="9">
        <v>26618.0</v>
      </c>
      <c r="AS29" s="9">
        <v>145.0</v>
      </c>
      <c r="AT29" s="9">
        <v>3616.0</v>
      </c>
      <c r="AU29" s="9">
        <v>864.0</v>
      </c>
      <c r="AV29" s="9">
        <v>2689.0</v>
      </c>
      <c r="AW29" s="9">
        <v>2716.0</v>
      </c>
      <c r="AX29" s="9">
        <v>2674.0</v>
      </c>
      <c r="AY29" s="9">
        <v>3591.0</v>
      </c>
      <c r="AZ29" s="9">
        <v>2628.0</v>
      </c>
      <c r="BA29" s="9">
        <v>7695.0</v>
      </c>
      <c r="BB29" s="9">
        <v>91666.0</v>
      </c>
      <c r="BC29" s="9">
        <v>4669.0</v>
      </c>
      <c r="BD29" s="9">
        <v>7641.0</v>
      </c>
      <c r="BE29" s="9">
        <v>555.0</v>
      </c>
      <c r="BF29" s="9">
        <v>14510.0</v>
      </c>
      <c r="BG29" s="9">
        <v>9358.0</v>
      </c>
      <c r="BH29" s="9">
        <v>11560.0</v>
      </c>
      <c r="BI29" s="9">
        <v>11343.0</v>
      </c>
      <c r="BJ29" s="9">
        <v>29669.0</v>
      </c>
      <c r="BK29" s="9">
        <v>2361.0</v>
      </c>
      <c r="BL29" s="9">
        <v>31222.0</v>
      </c>
      <c r="BM29" s="9">
        <v>1401.0</v>
      </c>
      <c r="BN29" s="9">
        <v>3177.0</v>
      </c>
      <c r="BO29" s="9">
        <v>1062.0</v>
      </c>
      <c r="BP29" s="9">
        <v>6509.0</v>
      </c>
      <c r="BQ29" s="9">
        <v>1611.0</v>
      </c>
      <c r="BR29" s="9">
        <v>5245.0</v>
      </c>
      <c r="BS29" s="9">
        <v>1522.0</v>
      </c>
      <c r="BT29" s="9">
        <v>10695.0</v>
      </c>
      <c r="BU29" s="9">
        <v>9412.0</v>
      </c>
      <c r="BV29" s="9">
        <v>18.0</v>
      </c>
      <c r="BW29" s="9">
        <v>47.0</v>
      </c>
      <c r="BX29" s="9">
        <v>8.0</v>
      </c>
      <c r="BY29" s="9">
        <v>4796.0</v>
      </c>
      <c r="BZ29" s="9">
        <v>4543.0</v>
      </c>
      <c r="CA29" s="9">
        <v>241019.0</v>
      </c>
    </row>
    <row r="30" ht="15.75" customHeight="1">
      <c r="A30" s="9" t="s">
        <v>186</v>
      </c>
      <c r="B30" s="9">
        <v>12136.0</v>
      </c>
      <c r="C30" s="9">
        <v>108.0</v>
      </c>
      <c r="D30" s="9">
        <v>727.0</v>
      </c>
      <c r="E30" s="9">
        <v>896.0</v>
      </c>
      <c r="F30" s="9">
        <v>1805.0</v>
      </c>
      <c r="G30" s="9">
        <v>1131.0</v>
      </c>
      <c r="H30" s="9">
        <v>2260.0</v>
      </c>
      <c r="I30" s="9">
        <v>449.0</v>
      </c>
      <c r="J30" s="9">
        <v>1690.0</v>
      </c>
      <c r="K30" s="9">
        <v>805.0</v>
      </c>
      <c r="L30" s="9">
        <v>2265.0</v>
      </c>
      <c r="M30" s="9">
        <v>2735.0</v>
      </c>
      <c r="N30" s="9">
        <v>2027.0</v>
      </c>
      <c r="O30" s="9">
        <v>708.0</v>
      </c>
      <c r="P30" s="9">
        <v>2915.0</v>
      </c>
      <c r="Q30" s="9">
        <v>2.0</v>
      </c>
      <c r="R30" s="9">
        <v>94.0</v>
      </c>
      <c r="S30" s="9">
        <v>112.0</v>
      </c>
      <c r="T30" s="9">
        <v>800.0</v>
      </c>
      <c r="U30" s="9">
        <v>215.0</v>
      </c>
      <c r="V30" s="9">
        <v>102.0</v>
      </c>
      <c r="W30" s="9">
        <v>335.0</v>
      </c>
      <c r="X30" s="9">
        <v>758.0</v>
      </c>
      <c r="Y30" s="9">
        <v>497.0</v>
      </c>
      <c r="Z30" s="9">
        <v>39805.0</v>
      </c>
      <c r="AA30" s="9">
        <v>56.0</v>
      </c>
      <c r="AB30" s="9">
        <v>39423.0</v>
      </c>
      <c r="AC30" s="9">
        <v>326.0</v>
      </c>
      <c r="AD30" s="9">
        <v>609.0</v>
      </c>
      <c r="AE30" s="9">
        <v>59.0</v>
      </c>
      <c r="AF30" s="9">
        <v>503.0</v>
      </c>
      <c r="AG30" s="9">
        <v>47.0</v>
      </c>
      <c r="AH30" s="9">
        <v>25160.0</v>
      </c>
      <c r="AI30" s="9">
        <v>2372.0</v>
      </c>
      <c r="AJ30" s="9">
        <v>1475.0</v>
      </c>
      <c r="AK30" s="9">
        <v>699.0</v>
      </c>
      <c r="AL30" s="9">
        <v>9923.0</v>
      </c>
      <c r="AM30" s="9">
        <v>2434.0</v>
      </c>
      <c r="AN30" s="9">
        <v>1763.0</v>
      </c>
      <c r="AO30" s="9">
        <v>1908.0</v>
      </c>
      <c r="AP30" s="9">
        <v>1729.0</v>
      </c>
      <c r="AQ30" s="9">
        <v>2857.0</v>
      </c>
      <c r="AR30" s="9">
        <v>28810.0</v>
      </c>
      <c r="AS30" s="9">
        <v>176.0</v>
      </c>
      <c r="AT30" s="9">
        <v>3425.0</v>
      </c>
      <c r="AU30" s="9">
        <v>1050.0</v>
      </c>
      <c r="AV30" s="9">
        <v>2892.0</v>
      </c>
      <c r="AW30" s="9">
        <v>3016.0</v>
      </c>
      <c r="AX30" s="9">
        <v>3200.0</v>
      </c>
      <c r="AY30" s="9">
        <v>4439.0</v>
      </c>
      <c r="AZ30" s="9">
        <v>3032.0</v>
      </c>
      <c r="BA30" s="9">
        <v>7580.0</v>
      </c>
      <c r="BB30" s="9">
        <v>94962.0</v>
      </c>
      <c r="BC30" s="9">
        <v>4889.0</v>
      </c>
      <c r="BD30" s="9">
        <v>7087.0</v>
      </c>
      <c r="BE30" s="9">
        <v>546.0</v>
      </c>
      <c r="BF30" s="9">
        <v>16643.0</v>
      </c>
      <c r="BG30" s="9">
        <v>9877.0</v>
      </c>
      <c r="BH30" s="9">
        <v>12366.0</v>
      </c>
      <c r="BI30" s="9">
        <v>12018.0</v>
      </c>
      <c r="BJ30" s="9">
        <v>28533.0</v>
      </c>
      <c r="BK30" s="9">
        <v>3003.0</v>
      </c>
      <c r="BL30" s="9">
        <v>34802.0</v>
      </c>
      <c r="BM30" s="9">
        <v>1425.0</v>
      </c>
      <c r="BN30" s="9">
        <v>3625.0</v>
      </c>
      <c r="BO30" s="9">
        <v>1177.0</v>
      </c>
      <c r="BP30" s="9">
        <v>7251.0</v>
      </c>
      <c r="BQ30" s="9">
        <v>1781.0</v>
      </c>
      <c r="BR30" s="9">
        <v>5968.0</v>
      </c>
      <c r="BS30" s="9">
        <v>1716.0</v>
      </c>
      <c r="BT30" s="9">
        <v>11859.0</v>
      </c>
      <c r="BU30" s="9">
        <v>10841.0</v>
      </c>
      <c r="BV30" s="9">
        <v>8.0</v>
      </c>
      <c r="BW30" s="9">
        <v>44.0</v>
      </c>
      <c r="BX30" s="9">
        <v>1.0</v>
      </c>
      <c r="BY30" s="9">
        <v>4004.0</v>
      </c>
      <c r="BZ30" s="9">
        <v>6784.0</v>
      </c>
      <c r="CA30" s="9">
        <v>252775.0</v>
      </c>
    </row>
    <row r="31" ht="15.75" customHeight="1">
      <c r="A31" s="9" t="s">
        <v>187</v>
      </c>
      <c r="B31" s="9">
        <v>13519.0</v>
      </c>
      <c r="C31" s="9">
        <v>99.0</v>
      </c>
      <c r="D31" s="9">
        <v>810.0</v>
      </c>
      <c r="E31" s="9">
        <v>955.0</v>
      </c>
      <c r="F31" s="9">
        <v>1772.0</v>
      </c>
      <c r="G31" s="9">
        <v>1271.0</v>
      </c>
      <c r="H31" s="9">
        <v>2535.0</v>
      </c>
      <c r="I31" s="9">
        <v>513.0</v>
      </c>
      <c r="J31" s="9">
        <v>2051.0</v>
      </c>
      <c r="K31" s="9">
        <v>857.0</v>
      </c>
      <c r="L31" s="9">
        <v>2656.0</v>
      </c>
      <c r="M31" s="9">
        <v>3208.0</v>
      </c>
      <c r="N31" s="9">
        <v>2244.0</v>
      </c>
      <c r="O31" s="9">
        <v>964.0</v>
      </c>
      <c r="P31" s="9">
        <v>3215.0</v>
      </c>
      <c r="Q31" s="9">
        <v>5.0</v>
      </c>
      <c r="R31" s="9">
        <v>105.0</v>
      </c>
      <c r="S31" s="9">
        <v>106.0</v>
      </c>
      <c r="T31" s="9">
        <v>881.0</v>
      </c>
      <c r="U31" s="9">
        <v>232.0</v>
      </c>
      <c r="V31" s="9">
        <v>106.0</v>
      </c>
      <c r="W31" s="9">
        <v>361.0</v>
      </c>
      <c r="X31" s="9">
        <v>837.0</v>
      </c>
      <c r="Y31" s="9">
        <v>582.0</v>
      </c>
      <c r="Z31" s="9">
        <v>28850.0</v>
      </c>
      <c r="AA31" s="9">
        <v>68.0</v>
      </c>
      <c r="AB31" s="9">
        <v>28513.0</v>
      </c>
      <c r="AC31" s="9">
        <v>269.0</v>
      </c>
      <c r="AD31" s="9">
        <v>655.0</v>
      </c>
      <c r="AE31" s="9">
        <v>81.0</v>
      </c>
      <c r="AF31" s="9">
        <v>528.0</v>
      </c>
      <c r="AG31" s="9">
        <v>46.0</v>
      </c>
      <c r="AH31" s="9">
        <v>27188.0</v>
      </c>
      <c r="AI31" s="9">
        <v>2672.0</v>
      </c>
      <c r="AJ31" s="9">
        <v>1662.0</v>
      </c>
      <c r="AK31" s="9">
        <v>895.0</v>
      </c>
      <c r="AL31" s="9">
        <v>10335.0</v>
      </c>
      <c r="AM31" s="9">
        <v>2916.0</v>
      </c>
      <c r="AN31" s="9">
        <v>1865.0</v>
      </c>
      <c r="AO31" s="9">
        <v>1964.0</v>
      </c>
      <c r="AP31" s="9">
        <v>1977.0</v>
      </c>
      <c r="AQ31" s="9">
        <v>2902.0</v>
      </c>
      <c r="AR31" s="9">
        <v>32526.0</v>
      </c>
      <c r="AS31" s="9">
        <v>214.0</v>
      </c>
      <c r="AT31" s="9">
        <v>3483.0</v>
      </c>
      <c r="AU31" s="9">
        <v>1250.0</v>
      </c>
      <c r="AV31" s="9">
        <v>3114.0</v>
      </c>
      <c r="AW31" s="9">
        <v>3602.0</v>
      </c>
      <c r="AX31" s="9">
        <v>3670.0</v>
      </c>
      <c r="AY31" s="9">
        <v>5041.0</v>
      </c>
      <c r="AZ31" s="9">
        <v>3025.0</v>
      </c>
      <c r="BA31" s="9">
        <v>9127.0</v>
      </c>
      <c r="BB31" s="9">
        <v>106111.0</v>
      </c>
      <c r="BC31" s="9">
        <v>4517.0</v>
      </c>
      <c r="BD31" s="9">
        <v>9391.0</v>
      </c>
      <c r="BE31" s="9">
        <v>563.0</v>
      </c>
      <c r="BF31" s="9">
        <v>17025.0</v>
      </c>
      <c r="BG31" s="9">
        <v>11278.0</v>
      </c>
      <c r="BH31" s="9">
        <v>14511.0</v>
      </c>
      <c r="BI31" s="9">
        <v>13478.0</v>
      </c>
      <c r="BJ31" s="9">
        <v>32660.0</v>
      </c>
      <c r="BK31" s="9">
        <v>2688.0</v>
      </c>
      <c r="BL31" s="9">
        <v>40377.0</v>
      </c>
      <c r="BM31" s="9">
        <v>1685.0</v>
      </c>
      <c r="BN31" s="9">
        <v>4337.0</v>
      </c>
      <c r="BO31" s="9">
        <v>1405.0</v>
      </c>
      <c r="BP31" s="9">
        <v>8808.0</v>
      </c>
      <c r="BQ31" s="9">
        <v>2219.0</v>
      </c>
      <c r="BR31" s="9">
        <v>6594.0</v>
      </c>
      <c r="BS31" s="9">
        <v>2081.0</v>
      </c>
      <c r="BT31" s="9">
        <v>13248.0</v>
      </c>
      <c r="BU31" s="9">
        <v>11422.0</v>
      </c>
      <c r="BV31" s="9">
        <v>5.0</v>
      </c>
      <c r="BW31" s="9">
        <v>47.0</v>
      </c>
      <c r="BX31" s="9">
        <v>5.0</v>
      </c>
      <c r="BY31" s="9">
        <v>4456.0</v>
      </c>
      <c r="BZ31" s="9">
        <v>6909.0</v>
      </c>
      <c r="CA31" s="9">
        <v>267071.0</v>
      </c>
    </row>
    <row r="32" ht="15.75" customHeight="1">
      <c r="A32" s="9" t="s">
        <v>188</v>
      </c>
      <c r="B32" s="9">
        <v>13979.0</v>
      </c>
      <c r="C32" s="9">
        <v>121.0</v>
      </c>
      <c r="D32" s="9">
        <v>780.0</v>
      </c>
      <c r="E32" s="9">
        <v>1075.0</v>
      </c>
      <c r="F32" s="9">
        <v>1852.0</v>
      </c>
      <c r="G32" s="9">
        <v>1265.0</v>
      </c>
      <c r="H32" s="9">
        <v>2601.0</v>
      </c>
      <c r="I32" s="9">
        <v>483.0</v>
      </c>
      <c r="J32" s="9">
        <v>1975.0</v>
      </c>
      <c r="K32" s="9">
        <v>919.0</v>
      </c>
      <c r="L32" s="9">
        <v>2908.0</v>
      </c>
      <c r="M32" s="9">
        <v>3268.0</v>
      </c>
      <c r="N32" s="9">
        <v>2241.0</v>
      </c>
      <c r="O32" s="9">
        <v>1027.0</v>
      </c>
      <c r="P32" s="9">
        <v>3201.0</v>
      </c>
      <c r="Q32" s="9">
        <v>5.0</v>
      </c>
      <c r="R32" s="9">
        <v>88.0</v>
      </c>
      <c r="S32" s="9">
        <v>102.0</v>
      </c>
      <c r="T32" s="9">
        <v>816.0</v>
      </c>
      <c r="U32" s="9">
        <v>212.0</v>
      </c>
      <c r="V32" s="9">
        <v>99.0</v>
      </c>
      <c r="W32" s="9">
        <v>311.0</v>
      </c>
      <c r="X32" s="9">
        <v>1017.0</v>
      </c>
      <c r="Y32" s="9">
        <v>551.0</v>
      </c>
      <c r="Z32" s="9">
        <v>23604.0</v>
      </c>
      <c r="AA32" s="9">
        <v>51.0</v>
      </c>
      <c r="AB32" s="9">
        <v>23315.0</v>
      </c>
      <c r="AC32" s="9">
        <v>238.0</v>
      </c>
      <c r="AD32" s="9">
        <v>701.0</v>
      </c>
      <c r="AE32" s="9">
        <v>61.0</v>
      </c>
      <c r="AF32" s="9">
        <v>596.0</v>
      </c>
      <c r="AG32" s="9">
        <v>44.0</v>
      </c>
      <c r="AH32" s="9">
        <v>27703.0</v>
      </c>
      <c r="AI32" s="9">
        <v>2410.0</v>
      </c>
      <c r="AJ32" s="9">
        <v>1567.0</v>
      </c>
      <c r="AK32" s="9">
        <v>997.0</v>
      </c>
      <c r="AL32" s="9">
        <v>11226.0</v>
      </c>
      <c r="AM32" s="9">
        <v>2938.0</v>
      </c>
      <c r="AN32" s="9">
        <v>1682.0</v>
      </c>
      <c r="AO32" s="9">
        <v>1958.0</v>
      </c>
      <c r="AP32" s="9">
        <v>1947.0</v>
      </c>
      <c r="AQ32" s="9">
        <v>2978.0</v>
      </c>
      <c r="AR32" s="9">
        <v>28224.0</v>
      </c>
      <c r="AS32" s="9">
        <v>164.0</v>
      </c>
      <c r="AT32" s="9">
        <v>3399.0</v>
      </c>
      <c r="AU32" s="9">
        <v>1305.0</v>
      </c>
      <c r="AV32" s="9">
        <v>2999.0</v>
      </c>
      <c r="AW32" s="9">
        <v>3577.0</v>
      </c>
      <c r="AX32" s="9">
        <v>3847.0</v>
      </c>
      <c r="AY32" s="9">
        <v>2532.0</v>
      </c>
      <c r="AZ32" s="9">
        <v>2691.0</v>
      </c>
      <c r="BA32" s="9">
        <v>7710.0</v>
      </c>
      <c r="BB32" s="9">
        <v>103334.0</v>
      </c>
      <c r="BC32" s="9">
        <v>4429.0</v>
      </c>
      <c r="BD32" s="9">
        <v>7665.0</v>
      </c>
      <c r="BE32" s="9">
        <v>595.0</v>
      </c>
      <c r="BF32" s="9">
        <v>14478.0</v>
      </c>
      <c r="BG32" s="9">
        <v>9773.0</v>
      </c>
      <c r="BH32" s="9">
        <v>14598.0</v>
      </c>
      <c r="BI32" s="9">
        <v>13089.0</v>
      </c>
      <c r="BJ32" s="9">
        <v>34412.0</v>
      </c>
      <c r="BK32" s="9">
        <v>4295.0</v>
      </c>
      <c r="BL32" s="9">
        <v>40368.0</v>
      </c>
      <c r="BM32" s="9">
        <v>1661.0</v>
      </c>
      <c r="BN32" s="9">
        <v>4276.0</v>
      </c>
      <c r="BO32" s="9">
        <v>1462.0</v>
      </c>
      <c r="BP32" s="9">
        <v>8611.0</v>
      </c>
      <c r="BQ32" s="9">
        <v>2202.0</v>
      </c>
      <c r="BR32" s="9">
        <v>6756.0</v>
      </c>
      <c r="BS32" s="9">
        <v>1853.0</v>
      </c>
      <c r="BT32" s="9">
        <v>13547.0</v>
      </c>
      <c r="BU32" s="9">
        <v>9960.0</v>
      </c>
      <c r="BV32" s="9">
        <v>4.0</v>
      </c>
      <c r="BW32" s="9">
        <v>41.0</v>
      </c>
      <c r="BX32" s="9">
        <v>7.0</v>
      </c>
      <c r="BY32" s="9">
        <v>7468.0</v>
      </c>
      <c r="BZ32" s="9">
        <v>2440.0</v>
      </c>
      <c r="CA32" s="9">
        <v>254342.0</v>
      </c>
    </row>
    <row r="33" ht="15.75" customHeight="1">
      <c r="A33" s="9" t="s">
        <v>189</v>
      </c>
      <c r="B33" s="9">
        <v>14301.0</v>
      </c>
      <c r="C33" s="9">
        <v>155.0</v>
      </c>
      <c r="D33" s="9">
        <v>833.0</v>
      </c>
      <c r="E33" s="9">
        <v>1321.0</v>
      </c>
      <c r="F33" s="9">
        <v>1950.0</v>
      </c>
      <c r="G33" s="9">
        <v>1309.0</v>
      </c>
      <c r="H33" s="9">
        <v>2684.0</v>
      </c>
      <c r="I33" s="9">
        <v>460.0</v>
      </c>
      <c r="J33" s="9">
        <v>2057.0</v>
      </c>
      <c r="K33" s="9">
        <v>939.0</v>
      </c>
      <c r="L33" s="9">
        <v>2593.0</v>
      </c>
      <c r="M33" s="9">
        <v>3286.0</v>
      </c>
      <c r="N33" s="9">
        <v>2280.0</v>
      </c>
      <c r="O33" s="9">
        <v>1006.0</v>
      </c>
      <c r="P33" s="9">
        <v>3542.0</v>
      </c>
      <c r="Q33" s="9">
        <v>3.0</v>
      </c>
      <c r="R33" s="9">
        <v>111.0</v>
      </c>
      <c r="S33" s="9">
        <v>165.0</v>
      </c>
      <c r="T33" s="9">
        <v>836.0</v>
      </c>
      <c r="U33" s="9">
        <v>232.0</v>
      </c>
      <c r="V33" s="9">
        <v>91.0</v>
      </c>
      <c r="W33" s="9">
        <v>286.0</v>
      </c>
      <c r="X33" s="9">
        <v>1221.0</v>
      </c>
      <c r="Y33" s="9">
        <v>597.0</v>
      </c>
      <c r="Z33" s="9">
        <v>29807.0</v>
      </c>
      <c r="AA33" s="9">
        <v>139.0</v>
      </c>
      <c r="AB33" s="9">
        <v>29365.0</v>
      </c>
      <c r="AC33" s="9">
        <v>303.0</v>
      </c>
      <c r="AD33" s="9">
        <v>700.0</v>
      </c>
      <c r="AE33" s="9">
        <v>56.0</v>
      </c>
      <c r="AF33" s="9">
        <v>591.0</v>
      </c>
      <c r="AG33" s="9">
        <v>53.0</v>
      </c>
      <c r="AH33" s="9">
        <v>28056.0</v>
      </c>
      <c r="AI33" s="9">
        <v>2363.0</v>
      </c>
      <c r="AJ33" s="9">
        <v>1578.0</v>
      </c>
      <c r="AK33" s="9">
        <v>1019.0</v>
      </c>
      <c r="AL33" s="9">
        <v>11138.0</v>
      </c>
      <c r="AM33" s="9">
        <v>3084.0</v>
      </c>
      <c r="AN33" s="9">
        <v>1640.0</v>
      </c>
      <c r="AO33" s="9">
        <v>2109.0</v>
      </c>
      <c r="AP33" s="9">
        <v>1994.0</v>
      </c>
      <c r="AQ33" s="9">
        <v>3131.0</v>
      </c>
      <c r="AR33" s="9">
        <v>28704.0</v>
      </c>
      <c r="AS33" s="9">
        <v>160.0</v>
      </c>
      <c r="AT33" s="9">
        <v>3580.0</v>
      </c>
      <c r="AU33" s="9">
        <v>1408.0</v>
      </c>
      <c r="AV33" s="9">
        <v>2935.0</v>
      </c>
      <c r="AW33" s="9">
        <v>3604.0</v>
      </c>
      <c r="AX33" s="9">
        <v>3794.0</v>
      </c>
      <c r="AY33" s="9">
        <v>3059.0</v>
      </c>
      <c r="AZ33" s="9">
        <v>2479.0</v>
      </c>
      <c r="BA33" s="9">
        <v>7685.0</v>
      </c>
      <c r="BB33" s="9">
        <v>117936.0</v>
      </c>
      <c r="BC33" s="9">
        <v>4763.0</v>
      </c>
      <c r="BD33" s="9">
        <v>8870.0</v>
      </c>
      <c r="BE33" s="9">
        <v>639.0</v>
      </c>
      <c r="BF33" s="9">
        <v>13380.0</v>
      </c>
      <c r="BG33" s="9">
        <v>10489.0</v>
      </c>
      <c r="BH33" s="9">
        <v>15584.0</v>
      </c>
      <c r="BI33" s="9">
        <v>14637.0</v>
      </c>
      <c r="BJ33" s="9">
        <v>37308.0</v>
      </c>
      <c r="BK33" s="9">
        <v>12266.0</v>
      </c>
      <c r="BL33" s="9">
        <v>40567.0</v>
      </c>
      <c r="BM33" s="9">
        <v>1629.0</v>
      </c>
      <c r="BN33" s="9">
        <v>4256.0</v>
      </c>
      <c r="BO33" s="9">
        <v>1537.0</v>
      </c>
      <c r="BP33" s="9">
        <v>8736.0</v>
      </c>
      <c r="BQ33" s="9">
        <v>2177.0</v>
      </c>
      <c r="BR33" s="9">
        <v>6544.0</v>
      </c>
      <c r="BS33" s="9">
        <v>1821.0</v>
      </c>
      <c r="BT33" s="9">
        <v>13867.0</v>
      </c>
      <c r="BU33" s="9">
        <v>21396.0</v>
      </c>
      <c r="BV33" s="9">
        <v>12.0</v>
      </c>
      <c r="BW33" s="9">
        <v>21.0</v>
      </c>
      <c r="BX33" s="9">
        <v>3.0</v>
      </c>
      <c r="BY33" s="9">
        <v>6220.0</v>
      </c>
      <c r="BZ33" s="9">
        <v>15140.0</v>
      </c>
      <c r="CA33" s="9">
        <v>288295.0</v>
      </c>
    </row>
    <row r="34" ht="15.75" customHeight="1">
      <c r="A34" s="9" t="s">
        <v>190</v>
      </c>
      <c r="B34" s="9">
        <v>15133.0</v>
      </c>
      <c r="C34" s="9">
        <v>168.0</v>
      </c>
      <c r="D34" s="9">
        <v>822.0</v>
      </c>
      <c r="E34" s="9">
        <v>1420.0</v>
      </c>
      <c r="F34" s="9">
        <v>2013.0</v>
      </c>
      <c r="G34" s="9">
        <v>1479.0</v>
      </c>
      <c r="H34" s="9">
        <v>2647.0</v>
      </c>
      <c r="I34" s="9">
        <v>483.0</v>
      </c>
      <c r="J34" s="9">
        <v>2031.0</v>
      </c>
      <c r="K34" s="9">
        <v>1100.0</v>
      </c>
      <c r="L34" s="9">
        <v>2970.0</v>
      </c>
      <c r="M34" s="9">
        <v>3543.0</v>
      </c>
      <c r="N34" s="9">
        <v>2480.0</v>
      </c>
      <c r="O34" s="9">
        <v>1063.0</v>
      </c>
      <c r="P34" s="9">
        <v>3985.0</v>
      </c>
      <c r="Q34" s="9">
        <v>2.0</v>
      </c>
      <c r="R34" s="9">
        <v>115.0</v>
      </c>
      <c r="S34" s="9">
        <v>160.0</v>
      </c>
      <c r="T34" s="9">
        <v>1041.0</v>
      </c>
      <c r="U34" s="9">
        <v>284.0</v>
      </c>
      <c r="V34" s="9">
        <v>99.0</v>
      </c>
      <c r="W34" s="9">
        <v>316.0</v>
      </c>
      <c r="X34" s="9">
        <v>1306.0</v>
      </c>
      <c r="Y34" s="9">
        <v>662.0</v>
      </c>
      <c r="Z34" s="9">
        <v>40515.0</v>
      </c>
      <c r="AA34" s="9">
        <v>178.0</v>
      </c>
      <c r="AB34" s="9">
        <v>39947.0</v>
      </c>
      <c r="AC34" s="9">
        <v>390.0</v>
      </c>
      <c r="AD34" s="9">
        <v>751.0</v>
      </c>
      <c r="AE34" s="9">
        <v>70.0</v>
      </c>
      <c r="AF34" s="9">
        <v>627.0</v>
      </c>
      <c r="AG34" s="9">
        <v>54.0</v>
      </c>
      <c r="AH34" s="9">
        <v>29834.0</v>
      </c>
      <c r="AI34" s="9">
        <v>2507.0</v>
      </c>
      <c r="AJ34" s="9">
        <v>1107.0</v>
      </c>
      <c r="AK34" s="9">
        <v>1111.0</v>
      </c>
      <c r="AL34" s="9">
        <v>11782.0</v>
      </c>
      <c r="AM34" s="9">
        <v>3595.0</v>
      </c>
      <c r="AN34" s="9">
        <v>1915.0</v>
      </c>
      <c r="AO34" s="9">
        <v>2460.0</v>
      </c>
      <c r="AP34" s="9">
        <v>2196.0</v>
      </c>
      <c r="AQ34" s="9">
        <v>3161.0</v>
      </c>
      <c r="AR34" s="9">
        <v>32448.0</v>
      </c>
      <c r="AS34" s="9">
        <v>154.0</v>
      </c>
      <c r="AT34" s="9">
        <v>3966.0</v>
      </c>
      <c r="AU34" s="9">
        <v>1596.0</v>
      </c>
      <c r="AV34" s="9">
        <v>3163.0</v>
      </c>
      <c r="AW34" s="9">
        <v>3816.0</v>
      </c>
      <c r="AX34" s="9">
        <v>4038.0</v>
      </c>
      <c r="AY34" s="9">
        <v>3901.0</v>
      </c>
      <c r="AZ34" s="9">
        <v>2775.0</v>
      </c>
      <c r="BA34" s="9">
        <v>9039.0</v>
      </c>
      <c r="BB34" s="9">
        <v>121404.0</v>
      </c>
      <c r="BC34" s="9">
        <v>5936.0</v>
      </c>
      <c r="BD34" s="9">
        <v>10484.0</v>
      </c>
      <c r="BE34" s="9">
        <v>751.0</v>
      </c>
      <c r="BF34" s="9">
        <v>14952.0</v>
      </c>
      <c r="BG34" s="9">
        <v>11907.0</v>
      </c>
      <c r="BH34" s="9">
        <v>17166.0</v>
      </c>
      <c r="BI34" s="9">
        <v>16823.0</v>
      </c>
      <c r="BJ34" s="9">
        <v>39091.0</v>
      </c>
      <c r="BK34" s="9">
        <v>4294.0</v>
      </c>
      <c r="BL34" s="9">
        <v>44298.0</v>
      </c>
      <c r="BM34" s="9">
        <v>1789.0</v>
      </c>
      <c r="BN34" s="9">
        <v>4874.0</v>
      </c>
      <c r="BO34" s="9">
        <v>1843.0</v>
      </c>
      <c r="BP34" s="9">
        <v>9479.0</v>
      </c>
      <c r="BQ34" s="9">
        <v>2324.0</v>
      </c>
      <c r="BR34" s="9">
        <v>7364.0</v>
      </c>
      <c r="BS34" s="9">
        <v>1934.0</v>
      </c>
      <c r="BT34" s="9">
        <v>14691.0</v>
      </c>
      <c r="BU34" s="9">
        <v>12138.0</v>
      </c>
      <c r="BV34" s="9">
        <v>5.0</v>
      </c>
      <c r="BW34" s="9">
        <v>30.0</v>
      </c>
      <c r="BX34" s="9">
        <v>7.0</v>
      </c>
      <c r="BY34" s="9">
        <v>6385.0</v>
      </c>
      <c r="BZ34" s="9">
        <v>5711.0</v>
      </c>
      <c r="CA34" s="9">
        <v>304049.0</v>
      </c>
    </row>
    <row r="35" ht="15.75" customHeight="1">
      <c r="A35" s="9" t="s">
        <v>191</v>
      </c>
      <c r="B35" s="9">
        <v>16939.0</v>
      </c>
      <c r="C35" s="9">
        <v>145.0</v>
      </c>
      <c r="D35" s="9">
        <v>1029.0</v>
      </c>
      <c r="E35" s="9">
        <v>1477.0</v>
      </c>
      <c r="F35" s="9">
        <v>2034.0</v>
      </c>
      <c r="G35" s="9">
        <v>1916.0</v>
      </c>
      <c r="H35" s="9">
        <v>2806.0</v>
      </c>
      <c r="I35" s="9">
        <v>485.0</v>
      </c>
      <c r="J35" s="9">
        <v>2131.0</v>
      </c>
      <c r="K35" s="9">
        <v>1238.0</v>
      </c>
      <c r="L35" s="9">
        <v>3678.0</v>
      </c>
      <c r="M35" s="9">
        <v>3801.0</v>
      </c>
      <c r="N35" s="9">
        <v>2688.0</v>
      </c>
      <c r="O35" s="9">
        <v>1113.0</v>
      </c>
      <c r="P35" s="9">
        <v>3135.0</v>
      </c>
      <c r="Q35" s="9">
        <v>7.0</v>
      </c>
      <c r="R35" s="9">
        <v>127.0</v>
      </c>
      <c r="S35" s="9">
        <v>147.0</v>
      </c>
      <c r="T35" s="9">
        <v>801.0</v>
      </c>
      <c r="U35" s="9">
        <v>260.0</v>
      </c>
      <c r="V35" s="9">
        <v>98.0</v>
      </c>
      <c r="W35" s="9">
        <v>286.0</v>
      </c>
      <c r="X35" s="9">
        <v>744.0</v>
      </c>
      <c r="Y35" s="9">
        <v>665.0</v>
      </c>
      <c r="Z35" s="9">
        <v>38796.0</v>
      </c>
      <c r="AA35" s="9">
        <v>203.0</v>
      </c>
      <c r="AB35" s="9">
        <v>38357.0</v>
      </c>
      <c r="AC35" s="9">
        <v>236.0</v>
      </c>
      <c r="AD35" s="9">
        <v>726.0</v>
      </c>
      <c r="AE35" s="9">
        <v>83.0</v>
      </c>
      <c r="AF35" s="9">
        <v>579.0</v>
      </c>
      <c r="AG35" s="9">
        <v>64.0</v>
      </c>
      <c r="AH35" s="9">
        <v>31029.0</v>
      </c>
      <c r="AI35" s="9">
        <v>2260.0</v>
      </c>
      <c r="AJ35" s="9">
        <v>1031.0</v>
      </c>
      <c r="AK35" s="9">
        <v>1084.0</v>
      </c>
      <c r="AL35" s="9">
        <v>13112.0</v>
      </c>
      <c r="AM35" s="9">
        <v>3865.0</v>
      </c>
      <c r="AN35" s="9">
        <v>2150.0</v>
      </c>
      <c r="AO35" s="9">
        <v>2211.0</v>
      </c>
      <c r="AP35" s="9">
        <v>2226.0</v>
      </c>
      <c r="AQ35" s="9">
        <v>3090.0</v>
      </c>
      <c r="AR35" s="9">
        <v>32284.0</v>
      </c>
      <c r="AS35" s="9">
        <v>143.0</v>
      </c>
      <c r="AT35" s="9">
        <v>4242.0</v>
      </c>
      <c r="AU35" s="9">
        <v>1517.0</v>
      </c>
      <c r="AV35" s="9">
        <v>3336.0</v>
      </c>
      <c r="AW35" s="9">
        <v>3834.0</v>
      </c>
      <c r="AX35" s="9">
        <v>4110.0</v>
      </c>
      <c r="AY35" s="9">
        <v>3271.0</v>
      </c>
      <c r="AZ35" s="9">
        <v>2874.0</v>
      </c>
      <c r="BA35" s="9">
        <v>8957.0</v>
      </c>
      <c r="BB35" s="9">
        <v>123290.0</v>
      </c>
      <c r="BC35" s="9">
        <v>6310.0</v>
      </c>
      <c r="BD35" s="9">
        <v>10688.0</v>
      </c>
      <c r="BE35" s="9">
        <v>864.0</v>
      </c>
      <c r="BF35" s="9">
        <v>15646.0</v>
      </c>
      <c r="BG35" s="9">
        <v>11737.0</v>
      </c>
      <c r="BH35" s="9">
        <v>17648.0</v>
      </c>
      <c r="BI35" s="9">
        <v>17451.0</v>
      </c>
      <c r="BJ35" s="9">
        <v>37286.0</v>
      </c>
      <c r="BK35" s="9">
        <v>5660.0</v>
      </c>
      <c r="BL35" s="9">
        <v>46317.0</v>
      </c>
      <c r="BM35" s="9">
        <v>1742.0</v>
      </c>
      <c r="BN35" s="9">
        <v>4983.0</v>
      </c>
      <c r="BO35" s="9">
        <v>1886.0</v>
      </c>
      <c r="BP35" s="9">
        <v>10205.0</v>
      </c>
      <c r="BQ35" s="9">
        <v>2564.0</v>
      </c>
      <c r="BR35" s="9">
        <v>7726.0</v>
      </c>
      <c r="BS35" s="9">
        <v>2078.0</v>
      </c>
      <c r="BT35" s="9">
        <v>15133.0</v>
      </c>
      <c r="BU35" s="9">
        <v>11246.0</v>
      </c>
      <c r="BV35" s="9">
        <v>5.0</v>
      </c>
      <c r="BW35" s="9">
        <v>33.0</v>
      </c>
      <c r="BX35" s="9">
        <v>2.0</v>
      </c>
      <c r="BY35" s="9">
        <v>6772.0</v>
      </c>
      <c r="BZ35" s="9">
        <v>4434.0</v>
      </c>
      <c r="CA35" s="9">
        <v>307563.0</v>
      </c>
    </row>
    <row r="36" ht="15.75" customHeight="1">
      <c r="A36" s="9" t="s">
        <v>192</v>
      </c>
      <c r="B36" s="9">
        <v>17604.0</v>
      </c>
      <c r="C36" s="9">
        <v>157.0</v>
      </c>
      <c r="D36" s="9">
        <v>905.0</v>
      </c>
      <c r="E36" s="9">
        <v>1589.0</v>
      </c>
      <c r="F36" s="9">
        <v>1882.0</v>
      </c>
      <c r="G36" s="9">
        <v>2088.0</v>
      </c>
      <c r="H36" s="9">
        <v>3107.0</v>
      </c>
      <c r="I36" s="9">
        <v>489.0</v>
      </c>
      <c r="J36" s="9">
        <v>2208.0</v>
      </c>
      <c r="K36" s="9">
        <v>1355.0</v>
      </c>
      <c r="L36" s="9">
        <v>3824.0</v>
      </c>
      <c r="M36" s="9">
        <v>3476.0</v>
      </c>
      <c r="N36" s="9">
        <v>2585.0</v>
      </c>
      <c r="O36" s="9">
        <v>891.0</v>
      </c>
      <c r="P36" s="9">
        <v>3262.0</v>
      </c>
      <c r="Q36" s="9">
        <v>7.0</v>
      </c>
      <c r="R36" s="9">
        <v>141.0</v>
      </c>
      <c r="S36" s="9">
        <v>122.0</v>
      </c>
      <c r="T36" s="9">
        <v>801.0</v>
      </c>
      <c r="U36" s="9">
        <v>240.0</v>
      </c>
      <c r="V36" s="9">
        <v>97.0</v>
      </c>
      <c r="W36" s="9">
        <v>298.0</v>
      </c>
      <c r="X36" s="9">
        <v>870.0</v>
      </c>
      <c r="Y36" s="9">
        <v>686.0</v>
      </c>
      <c r="Z36" s="9">
        <v>23110.0</v>
      </c>
      <c r="AA36" s="9">
        <v>148.0</v>
      </c>
      <c r="AB36" s="9">
        <v>22720.0</v>
      </c>
      <c r="AC36" s="9">
        <v>242.0</v>
      </c>
      <c r="AD36" s="9">
        <v>767.0</v>
      </c>
      <c r="AE36" s="9">
        <v>85.0</v>
      </c>
      <c r="AF36" s="9">
        <v>627.0</v>
      </c>
      <c r="AG36" s="9">
        <v>55.0</v>
      </c>
      <c r="AH36" s="9">
        <v>33288.0</v>
      </c>
      <c r="AI36" s="9">
        <v>2668.0</v>
      </c>
      <c r="AJ36" s="9">
        <v>1043.0</v>
      </c>
      <c r="AK36" s="9">
        <v>1084.0</v>
      </c>
      <c r="AL36" s="9">
        <v>13802.0</v>
      </c>
      <c r="AM36" s="9">
        <v>3970.0</v>
      </c>
      <c r="AN36" s="9">
        <v>2122.0</v>
      </c>
      <c r="AO36" s="9">
        <v>2138.0</v>
      </c>
      <c r="AP36" s="9">
        <v>2294.0</v>
      </c>
      <c r="AQ36" s="9">
        <v>4167.0</v>
      </c>
      <c r="AR36" s="9">
        <v>34400.0</v>
      </c>
      <c r="AS36" s="9">
        <v>135.0</v>
      </c>
      <c r="AT36" s="9">
        <v>4089.0</v>
      </c>
      <c r="AU36" s="9">
        <v>1419.0</v>
      </c>
      <c r="AV36" s="9">
        <v>3274.0</v>
      </c>
      <c r="AW36" s="9">
        <v>5896.0</v>
      </c>
      <c r="AX36" s="9">
        <v>3869.0</v>
      </c>
      <c r="AY36" s="9">
        <v>3134.0</v>
      </c>
      <c r="AZ36" s="9">
        <v>3596.0</v>
      </c>
      <c r="BA36" s="9">
        <v>8988.0</v>
      </c>
      <c r="BB36" s="9">
        <v>119740.0</v>
      </c>
      <c r="BC36" s="9">
        <v>5691.0</v>
      </c>
      <c r="BD36" s="9">
        <v>10600.0</v>
      </c>
      <c r="BE36" s="9">
        <v>751.0</v>
      </c>
      <c r="BF36" s="9">
        <v>15673.0</v>
      </c>
      <c r="BG36" s="9">
        <v>12455.0</v>
      </c>
      <c r="BH36" s="9">
        <v>17588.0</v>
      </c>
      <c r="BI36" s="9">
        <v>17885.0</v>
      </c>
      <c r="BJ36" s="9">
        <v>33502.0</v>
      </c>
      <c r="BK36" s="9">
        <v>5595.0</v>
      </c>
      <c r="BL36" s="9">
        <v>46041.0</v>
      </c>
      <c r="BM36" s="9">
        <v>1726.0</v>
      </c>
      <c r="BN36" s="9">
        <v>5224.0</v>
      </c>
      <c r="BO36" s="9">
        <v>1512.0</v>
      </c>
      <c r="BP36" s="9">
        <v>10186.0</v>
      </c>
      <c r="BQ36" s="9">
        <v>2107.0</v>
      </c>
      <c r="BR36" s="9">
        <v>7758.0</v>
      </c>
      <c r="BS36" s="9">
        <v>1879.0</v>
      </c>
      <c r="BT36" s="9">
        <v>15649.0</v>
      </c>
      <c r="BU36" s="9">
        <v>11914.0</v>
      </c>
      <c r="BV36" s="9">
        <v>2.0</v>
      </c>
      <c r="BW36" s="9">
        <v>60.0</v>
      </c>
      <c r="BX36" s="9">
        <v>12.0</v>
      </c>
      <c r="BY36" s="9">
        <v>9208.0</v>
      </c>
      <c r="BZ36" s="9">
        <v>2632.0</v>
      </c>
      <c r="CA36" s="9">
        <v>293602.0</v>
      </c>
    </row>
    <row r="37" ht="15.75" customHeight="1">
      <c r="A37" s="9" t="s">
        <v>193</v>
      </c>
      <c r="B37" s="9">
        <v>16408.0</v>
      </c>
      <c r="C37" s="9">
        <v>156.0</v>
      </c>
      <c r="D37" s="9">
        <v>966.0</v>
      </c>
      <c r="E37" s="9">
        <v>1438.0</v>
      </c>
      <c r="F37" s="9">
        <v>1874.0</v>
      </c>
      <c r="G37" s="9">
        <v>1727.0</v>
      </c>
      <c r="H37" s="9">
        <v>2837.0</v>
      </c>
      <c r="I37" s="9">
        <v>491.0</v>
      </c>
      <c r="J37" s="9">
        <v>2164.0</v>
      </c>
      <c r="K37" s="9">
        <v>1220.0</v>
      </c>
      <c r="L37" s="9">
        <v>3535.0</v>
      </c>
      <c r="M37" s="9">
        <v>3448.0</v>
      </c>
      <c r="N37" s="9">
        <v>2744.0</v>
      </c>
      <c r="O37" s="9">
        <v>704.0</v>
      </c>
      <c r="P37" s="9">
        <v>4248.0</v>
      </c>
      <c r="Q37" s="9">
        <v>2.0</v>
      </c>
      <c r="R37" s="9">
        <v>102.0</v>
      </c>
      <c r="S37" s="9">
        <v>134.0</v>
      </c>
      <c r="T37" s="9">
        <v>1051.0</v>
      </c>
      <c r="U37" s="9">
        <v>281.0</v>
      </c>
      <c r="V37" s="9">
        <v>115.0</v>
      </c>
      <c r="W37" s="9">
        <v>426.0</v>
      </c>
      <c r="X37" s="9">
        <v>1425.0</v>
      </c>
      <c r="Y37" s="9">
        <v>712.0</v>
      </c>
      <c r="Z37" s="9">
        <v>34554.0</v>
      </c>
      <c r="AA37" s="9">
        <v>200.0</v>
      </c>
      <c r="AB37" s="9">
        <v>34044.0</v>
      </c>
      <c r="AC37" s="9">
        <v>310.0</v>
      </c>
      <c r="AD37" s="9">
        <v>831.0</v>
      </c>
      <c r="AE37" s="9">
        <v>90.0</v>
      </c>
      <c r="AF37" s="9">
        <v>680.0</v>
      </c>
      <c r="AG37" s="9">
        <v>61.0</v>
      </c>
      <c r="AH37" s="9">
        <v>37024.0</v>
      </c>
      <c r="AI37" s="9">
        <v>3051.0</v>
      </c>
      <c r="AJ37" s="9">
        <v>1286.0</v>
      </c>
      <c r="AK37" s="9">
        <v>1152.0</v>
      </c>
      <c r="AL37" s="9">
        <v>14770.0</v>
      </c>
      <c r="AM37" s="9">
        <v>3861.0</v>
      </c>
      <c r="AN37" s="9">
        <v>3289.0</v>
      </c>
      <c r="AO37" s="9">
        <v>2677.0</v>
      </c>
      <c r="AP37" s="9">
        <v>2448.0</v>
      </c>
      <c r="AQ37" s="9">
        <v>4490.0</v>
      </c>
      <c r="AR37" s="9">
        <v>36976.0</v>
      </c>
      <c r="AS37" s="9">
        <v>174.0</v>
      </c>
      <c r="AT37" s="9">
        <v>4349.0</v>
      </c>
      <c r="AU37" s="9">
        <v>1678.0</v>
      </c>
      <c r="AV37" s="9">
        <v>3217.0</v>
      </c>
      <c r="AW37" s="9">
        <v>4692.0</v>
      </c>
      <c r="AX37" s="9">
        <v>4281.0</v>
      </c>
      <c r="AY37" s="9">
        <v>4050.0</v>
      </c>
      <c r="AZ37" s="9">
        <v>4056.0</v>
      </c>
      <c r="BA37" s="9">
        <v>10479.0</v>
      </c>
      <c r="BB37" s="9">
        <v>135404.0</v>
      </c>
      <c r="BC37" s="9">
        <v>5352.0</v>
      </c>
      <c r="BD37" s="9">
        <v>12971.0</v>
      </c>
      <c r="BE37" s="9">
        <v>971.0</v>
      </c>
      <c r="BF37" s="9">
        <v>16935.0</v>
      </c>
      <c r="BG37" s="9">
        <v>13204.0</v>
      </c>
      <c r="BH37" s="9">
        <v>17682.0</v>
      </c>
      <c r="BI37" s="9">
        <v>19654.0</v>
      </c>
      <c r="BJ37" s="9">
        <v>42876.0</v>
      </c>
      <c r="BK37" s="9">
        <v>5759.0</v>
      </c>
      <c r="BL37" s="9">
        <v>50134.0</v>
      </c>
      <c r="BM37" s="9">
        <v>1958.0</v>
      </c>
      <c r="BN37" s="9">
        <v>5647.0</v>
      </c>
      <c r="BO37" s="9">
        <v>1632.0</v>
      </c>
      <c r="BP37" s="9">
        <v>10984.0</v>
      </c>
      <c r="BQ37" s="9">
        <v>2411.0</v>
      </c>
      <c r="BR37" s="9">
        <v>8175.0</v>
      </c>
      <c r="BS37" s="9">
        <v>2067.0</v>
      </c>
      <c r="BT37" s="9">
        <v>17260.0</v>
      </c>
      <c r="BU37" s="9">
        <v>11211.0</v>
      </c>
      <c r="BV37" s="9">
        <v>4.0</v>
      </c>
      <c r="BW37" s="9">
        <v>56.0</v>
      </c>
      <c r="BX37" s="9">
        <v>11.0</v>
      </c>
      <c r="BY37" s="9">
        <v>6525.0</v>
      </c>
      <c r="BZ37" s="9">
        <v>4615.0</v>
      </c>
      <c r="CA37" s="9">
        <v>330238.0</v>
      </c>
    </row>
    <row r="38" ht="15.75" customHeight="1">
      <c r="A38" s="9" t="s">
        <v>194</v>
      </c>
      <c r="B38" s="9">
        <v>19523.0</v>
      </c>
      <c r="C38" s="9">
        <v>167.0</v>
      </c>
      <c r="D38" s="9">
        <v>1070.0</v>
      </c>
      <c r="E38" s="9">
        <v>1809.0</v>
      </c>
      <c r="F38" s="9">
        <v>2449.0</v>
      </c>
      <c r="G38" s="9">
        <v>2011.0</v>
      </c>
      <c r="H38" s="9">
        <v>3163.0</v>
      </c>
      <c r="I38" s="9">
        <v>565.0</v>
      </c>
      <c r="J38" s="9">
        <v>2566.0</v>
      </c>
      <c r="K38" s="9">
        <v>1660.0</v>
      </c>
      <c r="L38" s="9">
        <v>4063.0</v>
      </c>
      <c r="M38" s="9">
        <v>3852.0</v>
      </c>
      <c r="N38" s="9">
        <v>3170.0</v>
      </c>
      <c r="O38" s="9">
        <v>682.0</v>
      </c>
      <c r="P38" s="9">
        <v>4651.0</v>
      </c>
      <c r="Q38" s="9">
        <v>4.0</v>
      </c>
      <c r="R38" s="9">
        <v>135.0</v>
      </c>
      <c r="S38" s="9">
        <v>148.0</v>
      </c>
      <c r="T38" s="9">
        <v>1444.0</v>
      </c>
      <c r="U38" s="9">
        <v>365.0</v>
      </c>
      <c r="V38" s="9">
        <v>125.0</v>
      </c>
      <c r="W38" s="9">
        <v>604.0</v>
      </c>
      <c r="X38" s="9">
        <v>945.0</v>
      </c>
      <c r="Y38" s="9">
        <v>881.0</v>
      </c>
      <c r="Z38" s="9">
        <v>65809.0</v>
      </c>
      <c r="AA38" s="9">
        <v>375.0</v>
      </c>
      <c r="AB38" s="9">
        <v>65082.0</v>
      </c>
      <c r="AC38" s="9">
        <v>352.0</v>
      </c>
      <c r="AD38" s="9">
        <v>1092.0</v>
      </c>
      <c r="AE38" s="9">
        <v>128.0</v>
      </c>
      <c r="AF38" s="9">
        <v>888.0</v>
      </c>
      <c r="AG38" s="9">
        <v>76.0</v>
      </c>
      <c r="AH38" s="9">
        <v>51390.0</v>
      </c>
      <c r="AI38" s="9">
        <v>3755.0</v>
      </c>
      <c r="AJ38" s="9">
        <v>3401.0</v>
      </c>
      <c r="AK38" s="9">
        <v>1267.0</v>
      </c>
      <c r="AL38" s="9">
        <v>19106.0</v>
      </c>
      <c r="AM38" s="9">
        <v>4657.0</v>
      </c>
      <c r="AN38" s="9">
        <v>5706.0</v>
      </c>
      <c r="AO38" s="9">
        <v>3148.0</v>
      </c>
      <c r="AP38" s="9">
        <v>2866.0</v>
      </c>
      <c r="AQ38" s="9">
        <v>7484.0</v>
      </c>
      <c r="AR38" s="9">
        <v>44017.0</v>
      </c>
      <c r="AS38" s="9">
        <v>202.0</v>
      </c>
      <c r="AT38" s="9">
        <v>5123.0</v>
      </c>
      <c r="AU38" s="9">
        <v>2045.0</v>
      </c>
      <c r="AV38" s="9">
        <v>3802.0</v>
      </c>
      <c r="AW38" s="9">
        <v>5323.0</v>
      </c>
      <c r="AX38" s="9">
        <v>4835.0</v>
      </c>
      <c r="AY38" s="9">
        <v>5214.0</v>
      </c>
      <c r="AZ38" s="9">
        <v>5023.0</v>
      </c>
      <c r="BA38" s="9">
        <v>12450.0</v>
      </c>
      <c r="BB38" s="9">
        <v>156901.0</v>
      </c>
      <c r="BC38" s="9">
        <v>6250.0</v>
      </c>
      <c r="BD38" s="9">
        <v>15810.0</v>
      </c>
      <c r="BE38" s="9">
        <v>1095.0</v>
      </c>
      <c r="BF38" s="9">
        <v>19875.0</v>
      </c>
      <c r="BG38" s="9">
        <v>14727.0</v>
      </c>
      <c r="BH38" s="9">
        <v>20341.0</v>
      </c>
      <c r="BI38" s="9">
        <v>23299.0</v>
      </c>
      <c r="BJ38" s="9">
        <v>50050.0</v>
      </c>
      <c r="BK38" s="9">
        <v>5454.0</v>
      </c>
      <c r="BL38" s="9">
        <v>57475.0</v>
      </c>
      <c r="BM38" s="9">
        <v>2136.0</v>
      </c>
      <c r="BN38" s="9">
        <v>6266.0</v>
      </c>
      <c r="BO38" s="9">
        <v>2203.0</v>
      </c>
      <c r="BP38" s="9">
        <v>12829.0</v>
      </c>
      <c r="BQ38" s="9">
        <v>3104.0</v>
      </c>
      <c r="BR38" s="9">
        <v>9104.0</v>
      </c>
      <c r="BS38" s="9">
        <v>2481.0</v>
      </c>
      <c r="BT38" s="9">
        <v>19352.0</v>
      </c>
      <c r="BU38" s="9">
        <v>12288.0</v>
      </c>
      <c r="BV38" s="9">
        <v>3.0</v>
      </c>
      <c r="BW38" s="9">
        <v>80.0</v>
      </c>
      <c r="BX38" s="9">
        <v>17.0</v>
      </c>
      <c r="BY38" s="9">
        <v>6959.0</v>
      </c>
      <c r="BZ38" s="9">
        <v>5229.0</v>
      </c>
      <c r="CA38" s="9">
        <v>416998.0</v>
      </c>
    </row>
    <row r="39" ht="15.75" customHeight="1">
      <c r="A39" s="9" t="s">
        <v>195</v>
      </c>
      <c r="B39" s="9">
        <v>19679.0</v>
      </c>
      <c r="C39" s="9">
        <v>212.0</v>
      </c>
      <c r="D39" s="9">
        <v>1035.0</v>
      </c>
      <c r="E39" s="9">
        <v>2034.0</v>
      </c>
      <c r="F39" s="9">
        <v>2230.0</v>
      </c>
      <c r="G39" s="9">
        <v>2137.0</v>
      </c>
      <c r="H39" s="9">
        <v>3365.0</v>
      </c>
      <c r="I39" s="9">
        <v>611.0</v>
      </c>
      <c r="J39" s="9">
        <v>2582.0</v>
      </c>
      <c r="K39" s="9">
        <v>1438.0</v>
      </c>
      <c r="L39" s="9">
        <v>4035.0</v>
      </c>
      <c r="M39" s="9">
        <v>3516.0</v>
      </c>
      <c r="N39" s="9">
        <v>2928.0</v>
      </c>
      <c r="O39" s="9">
        <v>588.0</v>
      </c>
      <c r="P39" s="9">
        <v>3930.0</v>
      </c>
      <c r="Q39" s="9">
        <v>2.0</v>
      </c>
      <c r="R39" s="9">
        <v>120.0</v>
      </c>
      <c r="S39" s="9">
        <v>130.0</v>
      </c>
      <c r="T39" s="9">
        <v>841.0</v>
      </c>
      <c r="U39" s="9">
        <v>280.0</v>
      </c>
      <c r="V39" s="9">
        <v>119.0</v>
      </c>
      <c r="W39" s="9">
        <v>478.0</v>
      </c>
      <c r="X39" s="9">
        <v>1019.0</v>
      </c>
      <c r="Y39" s="9">
        <v>941.0</v>
      </c>
      <c r="Z39" s="9">
        <v>60980.0</v>
      </c>
      <c r="AA39" s="9">
        <v>306.0</v>
      </c>
      <c r="AB39" s="9">
        <v>60381.0</v>
      </c>
      <c r="AC39" s="9">
        <v>293.0</v>
      </c>
      <c r="AD39" s="9">
        <v>991.0</v>
      </c>
      <c r="AE39" s="9">
        <v>162.0</v>
      </c>
      <c r="AF39" s="9">
        <v>751.0</v>
      </c>
      <c r="AG39" s="9">
        <v>78.0</v>
      </c>
      <c r="AH39" s="9">
        <v>42832.0</v>
      </c>
      <c r="AI39" s="9">
        <v>2720.0</v>
      </c>
      <c r="AJ39" s="9">
        <v>2830.0</v>
      </c>
      <c r="AK39" s="9">
        <v>1148.0</v>
      </c>
      <c r="AL39" s="9">
        <v>17001.0</v>
      </c>
      <c r="AM39" s="9">
        <v>5168.0</v>
      </c>
      <c r="AN39" s="9">
        <v>3563.0</v>
      </c>
      <c r="AO39" s="9">
        <v>2728.0</v>
      </c>
      <c r="AP39" s="9">
        <v>2702.0</v>
      </c>
      <c r="AQ39" s="9">
        <v>4972.0</v>
      </c>
      <c r="AR39" s="9">
        <v>40646.0</v>
      </c>
      <c r="AS39" s="9">
        <v>176.0</v>
      </c>
      <c r="AT39" s="9">
        <v>5190.0</v>
      </c>
      <c r="AU39" s="9">
        <v>1733.0</v>
      </c>
      <c r="AV39" s="9">
        <v>3827.0</v>
      </c>
      <c r="AW39" s="9">
        <v>4277.0</v>
      </c>
      <c r="AX39" s="9">
        <v>4605.0</v>
      </c>
      <c r="AY39" s="9">
        <v>4746.0</v>
      </c>
      <c r="AZ39" s="9">
        <v>4174.0</v>
      </c>
      <c r="BA39" s="9">
        <v>11918.0</v>
      </c>
      <c r="BB39" s="9">
        <v>173529.0</v>
      </c>
      <c r="BC39" s="9">
        <v>7399.0</v>
      </c>
      <c r="BD39" s="9">
        <v>18320.0</v>
      </c>
      <c r="BE39" s="9">
        <v>1171.0</v>
      </c>
      <c r="BF39" s="9">
        <v>20855.0</v>
      </c>
      <c r="BG39" s="9">
        <v>12526.0</v>
      </c>
      <c r="BH39" s="9">
        <v>20205.0</v>
      </c>
      <c r="BI39" s="9">
        <v>23991.0</v>
      </c>
      <c r="BJ39" s="9">
        <v>63067.0</v>
      </c>
      <c r="BK39" s="9">
        <v>5995.0</v>
      </c>
      <c r="BL39" s="9">
        <v>55706.0</v>
      </c>
      <c r="BM39" s="9">
        <v>1960.0</v>
      </c>
      <c r="BN39" s="9">
        <v>5336.0</v>
      </c>
      <c r="BO39" s="9">
        <v>2249.0</v>
      </c>
      <c r="BP39" s="9">
        <v>12165.0</v>
      </c>
      <c r="BQ39" s="9">
        <v>2886.0</v>
      </c>
      <c r="BR39" s="9">
        <v>10011.0</v>
      </c>
      <c r="BS39" s="9">
        <v>2601.0</v>
      </c>
      <c r="BT39" s="9">
        <v>18498.0</v>
      </c>
      <c r="BU39" s="9">
        <v>12573.0</v>
      </c>
      <c r="BV39" s="9">
        <v>6.0</v>
      </c>
      <c r="BW39" s="9">
        <v>66.0</v>
      </c>
      <c r="BX39" s="9">
        <v>19.0</v>
      </c>
      <c r="BY39" s="9">
        <v>8565.0</v>
      </c>
      <c r="BZ39" s="9">
        <v>3917.0</v>
      </c>
      <c r="CA39" s="9">
        <v>414382.0</v>
      </c>
    </row>
    <row r="40" ht="15.75" customHeight="1">
      <c r="A40" s="10" t="s">
        <v>196</v>
      </c>
      <c r="B40" s="10" t="s">
        <v>1</v>
      </c>
      <c r="C40" s="10" t="s">
        <v>2</v>
      </c>
      <c r="D40" s="10" t="s">
        <v>3</v>
      </c>
      <c r="E40" s="10" t="s">
        <v>4</v>
      </c>
      <c r="F40" s="10" t="s">
        <v>5</v>
      </c>
      <c r="G40" s="10" t="s">
        <v>6</v>
      </c>
      <c r="H40" s="10" t="s">
        <v>7</v>
      </c>
      <c r="I40" s="10" t="s">
        <v>8</v>
      </c>
      <c r="J40" s="10" t="s">
        <v>9</v>
      </c>
      <c r="K40" s="10" t="s">
        <v>10</v>
      </c>
      <c r="L40" s="10" t="s">
        <v>11</v>
      </c>
      <c r="M40" s="10" t="s">
        <v>12</v>
      </c>
      <c r="N40" s="10" t="s">
        <v>13</v>
      </c>
      <c r="O40" s="10" t="s">
        <v>14</v>
      </c>
      <c r="P40" s="10" t="s">
        <v>15</v>
      </c>
      <c r="Q40" s="10" t="s">
        <v>16</v>
      </c>
      <c r="R40" s="10" t="s">
        <v>17</v>
      </c>
      <c r="S40" s="10" t="s">
        <v>18</v>
      </c>
      <c r="T40" s="10" t="s">
        <v>19</v>
      </c>
      <c r="U40" s="10" t="s">
        <v>20</v>
      </c>
      <c r="V40" s="10" t="s">
        <v>21</v>
      </c>
      <c r="W40" s="10" t="s">
        <v>22</v>
      </c>
      <c r="X40" s="10" t="s">
        <v>23</v>
      </c>
      <c r="Y40" s="10" t="s">
        <v>24</v>
      </c>
      <c r="Z40" s="10" t="s">
        <v>25</v>
      </c>
      <c r="AA40" s="10" t="s">
        <v>26</v>
      </c>
      <c r="AB40" s="10" t="s">
        <v>27</v>
      </c>
      <c r="AC40" s="10" t="s">
        <v>28</v>
      </c>
      <c r="AD40" s="10" t="s">
        <v>29</v>
      </c>
      <c r="AE40" s="10" t="s">
        <v>30</v>
      </c>
      <c r="AF40" s="10" t="s">
        <v>31</v>
      </c>
      <c r="AG40" s="10" t="s">
        <v>32</v>
      </c>
      <c r="AH40" s="10" t="s">
        <v>33</v>
      </c>
      <c r="AI40" s="10" t="s">
        <v>34</v>
      </c>
      <c r="AJ40" s="10" t="s">
        <v>35</v>
      </c>
      <c r="AK40" s="10" t="s">
        <v>36</v>
      </c>
      <c r="AL40" s="10" t="s">
        <v>37</v>
      </c>
      <c r="AM40" s="10" t="s">
        <v>38</v>
      </c>
      <c r="AN40" s="10" t="s">
        <v>39</v>
      </c>
      <c r="AO40" s="10" t="s">
        <v>40</v>
      </c>
      <c r="AP40" s="10" t="s">
        <v>41</v>
      </c>
      <c r="AQ40" s="10" t="s">
        <v>42</v>
      </c>
      <c r="AR40" s="10" t="s">
        <v>43</v>
      </c>
      <c r="AS40" s="10" t="s">
        <v>44</v>
      </c>
      <c r="AT40" s="10" t="s">
        <v>45</v>
      </c>
      <c r="AU40" s="10" t="s">
        <v>46</v>
      </c>
      <c r="AV40" s="10" t="s">
        <v>47</v>
      </c>
      <c r="AW40" s="10" t="s">
        <v>48</v>
      </c>
      <c r="AX40" s="10" t="s">
        <v>49</v>
      </c>
      <c r="AY40" s="10" t="s">
        <v>50</v>
      </c>
      <c r="AZ40" s="10" t="s">
        <v>51</v>
      </c>
      <c r="BA40" s="10" t="s">
        <v>52</v>
      </c>
      <c r="BB40" s="10" t="s">
        <v>53</v>
      </c>
      <c r="BC40" s="10" t="s">
        <v>54</v>
      </c>
      <c r="BD40" s="10" t="s">
        <v>55</v>
      </c>
      <c r="BE40" s="10" t="s">
        <v>56</v>
      </c>
      <c r="BF40" s="10" t="s">
        <v>57</v>
      </c>
      <c r="BG40" s="10" t="s">
        <v>58</v>
      </c>
      <c r="BH40" s="10" t="s">
        <v>59</v>
      </c>
      <c r="BI40" s="10" t="s">
        <v>60</v>
      </c>
      <c r="BJ40" s="10" t="s">
        <v>61</v>
      </c>
      <c r="BK40" s="10" t="s">
        <v>62</v>
      </c>
      <c r="BL40" s="10" t="s">
        <v>63</v>
      </c>
      <c r="BM40" s="10" t="s">
        <v>64</v>
      </c>
      <c r="BN40" s="10" t="s">
        <v>65</v>
      </c>
      <c r="BO40" s="10" t="s">
        <v>66</v>
      </c>
      <c r="BP40" s="10" t="s">
        <v>67</v>
      </c>
      <c r="BQ40" s="10" t="s">
        <v>68</v>
      </c>
      <c r="BR40" s="10" t="s">
        <v>69</v>
      </c>
      <c r="BS40" s="10" t="s">
        <v>70</v>
      </c>
      <c r="BT40" s="10" t="s">
        <v>71</v>
      </c>
      <c r="BU40" s="10" t="s">
        <v>72</v>
      </c>
      <c r="BV40" s="10" t="s">
        <v>73</v>
      </c>
      <c r="BW40" s="10" t="s">
        <v>74</v>
      </c>
      <c r="BX40" s="10" t="s">
        <v>75</v>
      </c>
      <c r="BY40" s="10" t="s">
        <v>76</v>
      </c>
      <c r="BZ40" s="10" t="s">
        <v>77</v>
      </c>
      <c r="CA40" s="10" t="s">
        <v>78</v>
      </c>
    </row>
    <row r="41" ht="15.75" customHeight="1">
      <c r="A41" s="10" t="s">
        <v>79</v>
      </c>
      <c r="B41" s="10" t="s">
        <v>80</v>
      </c>
      <c r="C41" s="10" t="s">
        <v>80</v>
      </c>
      <c r="D41" s="10" t="s">
        <v>80</v>
      </c>
      <c r="E41" s="10" t="s">
        <v>80</v>
      </c>
      <c r="F41" s="10" t="s">
        <v>80</v>
      </c>
      <c r="G41" s="10" t="s">
        <v>80</v>
      </c>
      <c r="H41" s="10" t="s">
        <v>80</v>
      </c>
      <c r="I41" s="10" t="s">
        <v>80</v>
      </c>
      <c r="J41" s="10" t="s">
        <v>80</v>
      </c>
      <c r="K41" s="10" t="s">
        <v>80</v>
      </c>
      <c r="L41" s="10" t="s">
        <v>80</v>
      </c>
      <c r="M41" s="10" t="s">
        <v>80</v>
      </c>
      <c r="N41" s="10" t="s">
        <v>80</v>
      </c>
      <c r="O41" s="10" t="s">
        <v>80</v>
      </c>
      <c r="P41" s="10" t="s">
        <v>80</v>
      </c>
      <c r="Q41" s="10" t="s">
        <v>80</v>
      </c>
      <c r="R41" s="10" t="s">
        <v>80</v>
      </c>
      <c r="S41" s="10" t="s">
        <v>80</v>
      </c>
      <c r="T41" s="10" t="s">
        <v>80</v>
      </c>
      <c r="U41" s="10" t="s">
        <v>80</v>
      </c>
      <c r="V41" s="10" t="s">
        <v>80</v>
      </c>
      <c r="W41" s="10" t="s">
        <v>80</v>
      </c>
      <c r="X41" s="10" t="s">
        <v>80</v>
      </c>
      <c r="Y41" s="10" t="s">
        <v>80</v>
      </c>
      <c r="Z41" s="10" t="s">
        <v>80</v>
      </c>
      <c r="AA41" s="10" t="s">
        <v>80</v>
      </c>
      <c r="AB41" s="10" t="s">
        <v>80</v>
      </c>
      <c r="AC41" s="10" t="s">
        <v>80</v>
      </c>
      <c r="AD41" s="10" t="s">
        <v>80</v>
      </c>
      <c r="AE41" s="10" t="s">
        <v>80</v>
      </c>
      <c r="AF41" s="10" t="s">
        <v>80</v>
      </c>
      <c r="AG41" s="10" t="s">
        <v>80</v>
      </c>
      <c r="AH41" s="10" t="s">
        <v>80</v>
      </c>
      <c r="AI41" s="10" t="s">
        <v>80</v>
      </c>
      <c r="AJ41" s="10" t="s">
        <v>80</v>
      </c>
      <c r="AK41" s="10" t="s">
        <v>80</v>
      </c>
      <c r="AL41" s="10" t="s">
        <v>80</v>
      </c>
      <c r="AM41" s="10" t="s">
        <v>80</v>
      </c>
      <c r="AN41" s="10" t="s">
        <v>80</v>
      </c>
      <c r="AO41" s="10" t="s">
        <v>80</v>
      </c>
      <c r="AP41" s="10" t="s">
        <v>80</v>
      </c>
      <c r="AQ41" s="10" t="s">
        <v>80</v>
      </c>
      <c r="AR41" s="10" t="s">
        <v>80</v>
      </c>
      <c r="AS41" s="10" t="s">
        <v>80</v>
      </c>
      <c r="AT41" s="10" t="s">
        <v>80</v>
      </c>
      <c r="AU41" s="10" t="s">
        <v>80</v>
      </c>
      <c r="AV41" s="10" t="s">
        <v>80</v>
      </c>
      <c r="AW41" s="10" t="s">
        <v>80</v>
      </c>
      <c r="AX41" s="10" t="s">
        <v>80</v>
      </c>
      <c r="AY41" s="10" t="s">
        <v>80</v>
      </c>
      <c r="AZ41" s="10" t="s">
        <v>80</v>
      </c>
      <c r="BA41" s="10" t="s">
        <v>80</v>
      </c>
      <c r="BB41" s="10" t="s">
        <v>80</v>
      </c>
      <c r="BC41" s="10" t="s">
        <v>80</v>
      </c>
      <c r="BD41" s="10" t="s">
        <v>80</v>
      </c>
      <c r="BE41" s="10" t="s">
        <v>80</v>
      </c>
      <c r="BF41" s="10" t="s">
        <v>80</v>
      </c>
      <c r="BG41" s="10" t="s">
        <v>80</v>
      </c>
      <c r="BH41" s="10" t="s">
        <v>80</v>
      </c>
      <c r="BI41" s="10" t="s">
        <v>80</v>
      </c>
      <c r="BJ41" s="10" t="s">
        <v>80</v>
      </c>
      <c r="BK41" s="10" t="s">
        <v>80</v>
      </c>
      <c r="BL41" s="10" t="s">
        <v>80</v>
      </c>
      <c r="BM41" s="10" t="s">
        <v>80</v>
      </c>
      <c r="BN41" s="10" t="s">
        <v>80</v>
      </c>
      <c r="BO41" s="10" t="s">
        <v>80</v>
      </c>
      <c r="BP41" s="10" t="s">
        <v>80</v>
      </c>
      <c r="BQ41" s="10" t="s">
        <v>80</v>
      </c>
      <c r="BR41" s="10" t="s">
        <v>80</v>
      </c>
      <c r="BS41" s="10" t="s">
        <v>80</v>
      </c>
      <c r="BT41" s="10" t="s">
        <v>80</v>
      </c>
      <c r="BU41" s="10" t="s">
        <v>80</v>
      </c>
      <c r="BV41" s="10" t="s">
        <v>80</v>
      </c>
      <c r="BW41" s="10" t="s">
        <v>80</v>
      </c>
      <c r="BX41" s="10" t="s">
        <v>80</v>
      </c>
      <c r="BY41" s="10" t="s">
        <v>80</v>
      </c>
      <c r="BZ41" s="10" t="s">
        <v>80</v>
      </c>
      <c r="CA41" s="10" t="s">
        <v>80</v>
      </c>
    </row>
    <row r="42" ht="15.75" customHeight="1">
      <c r="A42" s="10" t="s">
        <v>81</v>
      </c>
      <c r="B42" s="10" t="s">
        <v>197</v>
      </c>
      <c r="C42" s="10" t="s">
        <v>198</v>
      </c>
      <c r="D42" s="10" t="s">
        <v>199</v>
      </c>
      <c r="E42" s="10" t="s">
        <v>200</v>
      </c>
      <c r="F42" s="10" t="s">
        <v>201</v>
      </c>
      <c r="G42" s="10" t="s">
        <v>202</v>
      </c>
      <c r="H42" s="10" t="s">
        <v>203</v>
      </c>
      <c r="I42" s="10" t="s">
        <v>204</v>
      </c>
      <c r="J42" s="10" t="s">
        <v>205</v>
      </c>
      <c r="K42" s="10" t="s">
        <v>206</v>
      </c>
      <c r="L42" s="10" t="s">
        <v>207</v>
      </c>
      <c r="M42" s="10" t="s">
        <v>208</v>
      </c>
      <c r="N42" s="10" t="s">
        <v>209</v>
      </c>
      <c r="O42" s="10" t="s">
        <v>210</v>
      </c>
      <c r="P42" s="10" t="s">
        <v>211</v>
      </c>
      <c r="Q42" s="10" t="s">
        <v>212</v>
      </c>
      <c r="R42" s="10" t="s">
        <v>213</v>
      </c>
      <c r="S42" s="10" t="s">
        <v>214</v>
      </c>
      <c r="T42" s="10" t="s">
        <v>215</v>
      </c>
      <c r="U42" s="10" t="s">
        <v>216</v>
      </c>
      <c r="V42" s="10" t="s">
        <v>217</v>
      </c>
      <c r="W42" s="10" t="s">
        <v>218</v>
      </c>
      <c r="X42" s="10" t="s">
        <v>219</v>
      </c>
      <c r="Y42" s="10" t="s">
        <v>220</v>
      </c>
      <c r="Z42" s="10" t="s">
        <v>221</v>
      </c>
      <c r="AA42" s="10" t="s">
        <v>222</v>
      </c>
      <c r="AB42" s="10" t="s">
        <v>223</v>
      </c>
      <c r="AC42" s="10" t="s">
        <v>224</v>
      </c>
      <c r="AD42" s="10" t="s">
        <v>225</v>
      </c>
      <c r="AE42" s="10" t="s">
        <v>226</v>
      </c>
      <c r="AF42" s="10" t="s">
        <v>227</v>
      </c>
      <c r="AG42" s="10" t="s">
        <v>228</v>
      </c>
      <c r="AH42" s="10" t="s">
        <v>229</v>
      </c>
      <c r="AI42" s="10" t="s">
        <v>230</v>
      </c>
      <c r="AJ42" s="10" t="s">
        <v>231</v>
      </c>
      <c r="AK42" s="10" t="s">
        <v>232</v>
      </c>
      <c r="AL42" s="10" t="s">
        <v>233</v>
      </c>
      <c r="AM42" s="10" t="s">
        <v>234</v>
      </c>
      <c r="AN42" s="10" t="s">
        <v>235</v>
      </c>
      <c r="AO42" s="10" t="s">
        <v>236</v>
      </c>
      <c r="AP42" s="10" t="s">
        <v>237</v>
      </c>
      <c r="AQ42" s="10" t="s">
        <v>238</v>
      </c>
      <c r="AR42" s="10" t="s">
        <v>239</v>
      </c>
      <c r="AS42" s="10" t="s">
        <v>240</v>
      </c>
      <c r="AT42" s="10" t="s">
        <v>241</v>
      </c>
      <c r="AU42" s="10" t="s">
        <v>242</v>
      </c>
      <c r="AV42" s="10" t="s">
        <v>243</v>
      </c>
      <c r="AW42" s="10" t="s">
        <v>244</v>
      </c>
      <c r="AX42" s="10" t="s">
        <v>245</v>
      </c>
      <c r="AY42" s="10" t="s">
        <v>246</v>
      </c>
      <c r="AZ42" s="10" t="s">
        <v>247</v>
      </c>
      <c r="BA42" s="10" t="s">
        <v>248</v>
      </c>
      <c r="BB42" s="10" t="s">
        <v>249</v>
      </c>
      <c r="BC42" s="10" t="s">
        <v>250</v>
      </c>
      <c r="BD42" s="10" t="s">
        <v>251</v>
      </c>
      <c r="BE42" s="10" t="s">
        <v>252</v>
      </c>
      <c r="BF42" s="10" t="s">
        <v>253</v>
      </c>
      <c r="BG42" s="10" t="s">
        <v>254</v>
      </c>
      <c r="BH42" s="10" t="s">
        <v>255</v>
      </c>
      <c r="BI42" s="10" t="s">
        <v>256</v>
      </c>
      <c r="BJ42" s="10" t="s">
        <v>257</v>
      </c>
      <c r="BK42" s="10" t="s">
        <v>258</v>
      </c>
      <c r="BL42" s="10" t="s">
        <v>259</v>
      </c>
      <c r="BM42" s="10" t="s">
        <v>260</v>
      </c>
      <c r="BN42" s="10" t="s">
        <v>261</v>
      </c>
      <c r="BO42" s="10" t="s">
        <v>262</v>
      </c>
      <c r="BP42" s="10" t="s">
        <v>263</v>
      </c>
      <c r="BQ42" s="10" t="s">
        <v>264</v>
      </c>
      <c r="BR42" s="10" t="s">
        <v>265</v>
      </c>
      <c r="BS42" s="10" t="s">
        <v>266</v>
      </c>
      <c r="BT42" s="10" t="s">
        <v>267</v>
      </c>
      <c r="BU42" s="10" t="s">
        <v>268</v>
      </c>
      <c r="BV42" s="10" t="s">
        <v>269</v>
      </c>
      <c r="BW42" s="10" t="s">
        <v>270</v>
      </c>
      <c r="BX42" s="10" t="s">
        <v>271</v>
      </c>
      <c r="BY42" s="10" t="s">
        <v>272</v>
      </c>
      <c r="BZ42" s="10" t="s">
        <v>273</v>
      </c>
      <c r="CA42" s="10" t="s">
        <v>274</v>
      </c>
    </row>
    <row r="43" ht="15.75" customHeight="1">
      <c r="A43" s="9" t="str">
        <f t="shared" ref="A43:A78" si="11">A4</f>
        <v>Y1988</v>
      </c>
      <c r="B43" s="11">
        <f t="shared" ref="B43:B78" si="12">IFERROR(B4/$CA4,0)</f>
        <v>0.03981706311</v>
      </c>
      <c r="C43" s="11">
        <f t="shared" ref="C43:L43" si="1">IFERROR(C4/$B4,0)</f>
        <v>0.09117821196</v>
      </c>
      <c r="D43" s="11">
        <f t="shared" si="1"/>
        <v>0.01480165779</v>
      </c>
      <c r="E43" s="11">
        <f t="shared" si="1"/>
        <v>0.05328596803</v>
      </c>
      <c r="F43" s="11">
        <f t="shared" si="1"/>
        <v>0.2403789224</v>
      </c>
      <c r="G43" s="11">
        <f t="shared" si="1"/>
        <v>0.04085257549</v>
      </c>
      <c r="H43" s="11">
        <f t="shared" si="1"/>
        <v>0.1847246892</v>
      </c>
      <c r="I43" s="11">
        <f t="shared" si="1"/>
        <v>0.02190645352</v>
      </c>
      <c r="J43" s="11">
        <f t="shared" si="1"/>
        <v>0.2125518058</v>
      </c>
      <c r="K43" s="11">
        <f t="shared" si="1"/>
        <v>0.03552397869</v>
      </c>
      <c r="L43" s="11">
        <f t="shared" si="1"/>
        <v>0.1047957371</v>
      </c>
      <c r="M43" s="11">
        <f t="shared" ref="M43:M78" si="14">IFERROR(M4/$CA4,0)</f>
        <v>0.008651783399</v>
      </c>
      <c r="N43" s="11">
        <f t="shared" ref="N43:O43" si="2">IFERROR(N4/$M4,0)</f>
        <v>0.719346049</v>
      </c>
      <c r="O43" s="11">
        <f t="shared" si="2"/>
        <v>0.280653951</v>
      </c>
      <c r="P43" s="11">
        <f t="shared" ref="P43:P78" si="16">IFERROR(P4/$CA4,0)</f>
        <v>0.03578585068</v>
      </c>
      <c r="Q43" s="11">
        <f t="shared" ref="Q43:Y43" si="3">IFERROR(Q4/$P4,0)</f>
        <v>0.008563899868</v>
      </c>
      <c r="R43" s="11">
        <f t="shared" si="3"/>
        <v>0.02832674572</v>
      </c>
      <c r="S43" s="11">
        <f t="shared" si="3"/>
        <v>0.07312252964</v>
      </c>
      <c r="T43" s="11">
        <f t="shared" si="3"/>
        <v>0.3181818182</v>
      </c>
      <c r="U43" s="11">
        <f t="shared" si="3"/>
        <v>0.1528326746</v>
      </c>
      <c r="V43" s="11">
        <f t="shared" si="3"/>
        <v>0.1218708827</v>
      </c>
      <c r="W43" s="11">
        <f t="shared" si="3"/>
        <v>0.1752305665</v>
      </c>
      <c r="X43" s="11">
        <f t="shared" si="3"/>
        <v>0.05335968379</v>
      </c>
      <c r="Y43" s="11">
        <f t="shared" si="3"/>
        <v>0.06851119895</v>
      </c>
      <c r="Z43" s="11">
        <f t="shared" ref="Z43:Z78" si="18">IFERROR(Z4/$CA4,0)</f>
        <v>0.04005280653</v>
      </c>
      <c r="AA43" s="11">
        <f t="shared" ref="AA43:AC43" si="4">IFERROR(AA4/$Z4,0)</f>
        <v>0.001765744556</v>
      </c>
      <c r="AB43" s="11">
        <f t="shared" si="4"/>
        <v>0.9964685109</v>
      </c>
      <c r="AC43" s="11">
        <f t="shared" si="4"/>
        <v>0.001765744556</v>
      </c>
      <c r="AD43" s="11">
        <f t="shared" ref="AD43:AD78" si="20">IFERROR(AD4/$CA4,0)</f>
        <v>0.002475305877</v>
      </c>
      <c r="AE43" s="11">
        <f t="shared" ref="AE43:AG43" si="5">IFERROR(AE4/$AD4,0)</f>
        <v>0</v>
      </c>
      <c r="AF43" s="11">
        <f t="shared" si="5"/>
        <v>0.8952380952</v>
      </c>
      <c r="AG43" s="11">
        <f t="shared" si="5"/>
        <v>0.1047619048</v>
      </c>
      <c r="AH43" s="11">
        <f t="shared" ref="AH43:AH78" si="22">IFERROR(AH4/$CA4,0)</f>
        <v>0.1094792428</v>
      </c>
      <c r="AI43" s="11">
        <f t="shared" ref="AI43:AQ43" si="6">IFERROR(AI4/$AH4,0)</f>
        <v>0.2523686477</v>
      </c>
      <c r="AJ43" s="11">
        <f t="shared" si="6"/>
        <v>0.1279069767</v>
      </c>
      <c r="AK43" s="11">
        <f t="shared" si="6"/>
        <v>0.04306632214</v>
      </c>
      <c r="AL43" s="11">
        <f t="shared" si="6"/>
        <v>0.1479328165</v>
      </c>
      <c r="AM43" s="11">
        <f t="shared" si="6"/>
        <v>0.05813953488</v>
      </c>
      <c r="AN43" s="11">
        <f t="shared" si="6"/>
        <v>0.03682170543</v>
      </c>
      <c r="AO43" s="11">
        <f t="shared" si="6"/>
        <v>0.1285529716</v>
      </c>
      <c r="AP43" s="11">
        <f t="shared" si="6"/>
        <v>0.0906546081</v>
      </c>
      <c r="AQ43" s="11">
        <f t="shared" si="6"/>
        <v>0.1145564169</v>
      </c>
      <c r="AR43" s="11">
        <f t="shared" ref="AR43:AR78" si="24">IFERROR(AR4/$CA4,0)</f>
        <v>0.1714090384</v>
      </c>
      <c r="AS43" s="11">
        <f t="shared" ref="AS43:BA43" si="7">IFERROR(AS4/$AR4,0)</f>
        <v>0.0206298996</v>
      </c>
      <c r="AT43" s="11">
        <f t="shared" si="7"/>
        <v>0.08540778435</v>
      </c>
      <c r="AU43" s="11">
        <f t="shared" si="7"/>
        <v>0.0294319901</v>
      </c>
      <c r="AV43" s="11">
        <f t="shared" si="7"/>
        <v>0.1666895888</v>
      </c>
      <c r="AW43" s="11">
        <f t="shared" si="7"/>
        <v>0.2628249209</v>
      </c>
      <c r="AX43" s="11">
        <f t="shared" si="7"/>
        <v>0.1217164076</v>
      </c>
      <c r="AY43" s="11">
        <f t="shared" si="7"/>
        <v>0.1226791363</v>
      </c>
      <c r="AZ43" s="11">
        <f t="shared" si="7"/>
        <v>0.04084720121</v>
      </c>
      <c r="BA43" s="11">
        <f t="shared" si="7"/>
        <v>0.1497730711</v>
      </c>
      <c r="BB43" s="11">
        <f t="shared" ref="BB43:BB78" si="26">IFERROR(BB4/$CA4,0)</f>
        <v>0.421556378</v>
      </c>
      <c r="BC43" s="11">
        <f t="shared" ref="BC43:BK43" si="8">IFERROR(BC4/$BB4,0)</f>
        <v>0.06280058159</v>
      </c>
      <c r="BD43" s="11">
        <f t="shared" si="8"/>
        <v>0.1191701152</v>
      </c>
      <c r="BE43" s="11">
        <f t="shared" si="8"/>
        <v>0.01979644335</v>
      </c>
      <c r="BF43" s="11">
        <f t="shared" si="8"/>
        <v>0.1300749357</v>
      </c>
      <c r="BG43" s="11">
        <f t="shared" si="8"/>
        <v>0.1621183313</v>
      </c>
      <c r="BH43" s="11">
        <f t="shared" si="8"/>
        <v>0.08628788726</v>
      </c>
      <c r="BI43" s="11">
        <f t="shared" si="8"/>
        <v>0.123755732</v>
      </c>
      <c r="BJ43" s="11">
        <f t="shared" si="8"/>
        <v>0.2154121463</v>
      </c>
      <c r="BK43" s="11">
        <f t="shared" si="8"/>
        <v>0.08058382731</v>
      </c>
      <c r="BL43" s="11">
        <f t="shared" ref="BL43:BL78" si="28">IFERROR(BL4/$CA4,0)</f>
        <v>0.1404795021</v>
      </c>
      <c r="BM43" s="11">
        <f t="shared" ref="BM43:BT43" si="9">IFERROR(BM4/$BL4,0)</f>
        <v>0.01946635342</v>
      </c>
      <c r="BN43" s="11">
        <f t="shared" si="9"/>
        <v>0.04212116127</v>
      </c>
      <c r="BO43" s="11">
        <f t="shared" si="9"/>
        <v>0.02936734351</v>
      </c>
      <c r="BP43" s="11">
        <f t="shared" si="9"/>
        <v>0.1174693741</v>
      </c>
      <c r="BQ43" s="11">
        <f t="shared" si="9"/>
        <v>0.05101527102</v>
      </c>
      <c r="BR43" s="11">
        <f t="shared" si="9"/>
        <v>0.1666386978</v>
      </c>
      <c r="BS43" s="11">
        <f t="shared" si="9"/>
        <v>0.1280416177</v>
      </c>
      <c r="BT43" s="11">
        <f t="shared" si="9"/>
        <v>0.4458801812</v>
      </c>
      <c r="BU43" s="11">
        <f t="shared" ref="BU43:BU78" si="30">IFERROR(BU4/$CA4,0)</f>
        <v>0.03029302907</v>
      </c>
      <c r="BV43" s="11">
        <f t="shared" ref="BV43:BZ43" si="10">IFERROR(BV4/$BU4,0)</f>
        <v>0.7276264591</v>
      </c>
      <c r="BW43" s="11">
        <f t="shared" si="10"/>
        <v>0.01322957198</v>
      </c>
      <c r="BX43" s="11">
        <f t="shared" si="10"/>
        <v>0</v>
      </c>
      <c r="BY43" s="11">
        <f t="shared" si="10"/>
        <v>0.08093385214</v>
      </c>
      <c r="BZ43" s="11">
        <f t="shared" si="10"/>
        <v>0.1782101167</v>
      </c>
      <c r="CA43" s="11">
        <f t="shared" ref="CA43:CA78" si="32">B43+M43+P43+Z43+AD43+AH43+AR43+BB43+BL43+BU43</f>
        <v>1</v>
      </c>
    </row>
    <row r="44" ht="15.75" customHeight="1">
      <c r="A44" s="9" t="str">
        <f t="shared" si="11"/>
        <v>Y1989</v>
      </c>
      <c r="B44" s="11">
        <f t="shared" si="12"/>
        <v>0.03728053214</v>
      </c>
      <c r="C44" s="11">
        <f t="shared" ref="C44:L44" si="13">IFERROR(C5/$B5,0)</f>
        <v>0.07831950207</v>
      </c>
      <c r="D44" s="11">
        <f t="shared" si="13"/>
        <v>0.01556016598</v>
      </c>
      <c r="E44" s="11">
        <f t="shared" si="13"/>
        <v>0.04979253112</v>
      </c>
      <c r="F44" s="11">
        <f t="shared" si="13"/>
        <v>0.2287344398</v>
      </c>
      <c r="G44" s="11">
        <f t="shared" si="13"/>
        <v>0.04460580913</v>
      </c>
      <c r="H44" s="11">
        <f t="shared" si="13"/>
        <v>0.2168049793</v>
      </c>
      <c r="I44" s="11">
        <f t="shared" si="13"/>
        <v>0.02541493776</v>
      </c>
      <c r="J44" s="11">
        <f t="shared" si="13"/>
        <v>0.1851659751</v>
      </c>
      <c r="K44" s="11">
        <f t="shared" si="13"/>
        <v>0.03475103734</v>
      </c>
      <c r="L44" s="11">
        <f t="shared" si="13"/>
        <v>0.1208506224</v>
      </c>
      <c r="M44" s="11">
        <f t="shared" si="14"/>
        <v>0.007463840978</v>
      </c>
      <c r="N44" s="11">
        <f t="shared" ref="N44:O44" si="15">IFERROR(N5/$M5,0)</f>
        <v>0.7720207254</v>
      </c>
      <c r="O44" s="11">
        <f t="shared" si="15"/>
        <v>0.2279792746</v>
      </c>
      <c r="P44" s="11">
        <f t="shared" si="16"/>
        <v>0.03109289195</v>
      </c>
      <c r="Q44" s="11">
        <f t="shared" ref="Q44:Y44" si="17">IFERROR(Q5/$P5,0)</f>
        <v>0.006218905473</v>
      </c>
      <c r="R44" s="11">
        <f t="shared" si="17"/>
        <v>0.02052238806</v>
      </c>
      <c r="S44" s="11">
        <f t="shared" si="17"/>
        <v>0.06405472637</v>
      </c>
      <c r="T44" s="11">
        <f t="shared" si="17"/>
        <v>0.3550995025</v>
      </c>
      <c r="U44" s="11">
        <f t="shared" si="17"/>
        <v>0.1486318408</v>
      </c>
      <c r="V44" s="11">
        <f t="shared" si="17"/>
        <v>0.09888059701</v>
      </c>
      <c r="W44" s="11">
        <f t="shared" si="17"/>
        <v>0.1592039801</v>
      </c>
      <c r="X44" s="11">
        <f t="shared" si="17"/>
        <v>0.07338308458</v>
      </c>
      <c r="Y44" s="11">
        <f t="shared" si="17"/>
        <v>0.07400497512</v>
      </c>
      <c r="Z44" s="11">
        <f t="shared" si="18"/>
        <v>0.05110604068</v>
      </c>
      <c r="AA44" s="11">
        <f t="shared" ref="AA44:AC44" si="19">IFERROR(AA5/$Z5,0)</f>
        <v>0.008702232312</v>
      </c>
      <c r="AB44" s="11">
        <f t="shared" si="19"/>
        <v>0.9882709043</v>
      </c>
      <c r="AC44" s="11">
        <f t="shared" si="19"/>
        <v>0.003026863413</v>
      </c>
      <c r="AD44" s="11">
        <f t="shared" si="20"/>
        <v>0.002320365071</v>
      </c>
      <c r="AE44" s="11">
        <f t="shared" ref="AE44:AG44" si="21">IFERROR(AE5/$AD5,0)</f>
        <v>0.008333333333</v>
      </c>
      <c r="AF44" s="11">
        <f t="shared" si="21"/>
        <v>0.8916666667</v>
      </c>
      <c r="AG44" s="11">
        <f t="shared" si="21"/>
        <v>0.1</v>
      </c>
      <c r="AH44" s="11">
        <f t="shared" si="22"/>
        <v>0.1003171166</v>
      </c>
      <c r="AI44" s="11">
        <f t="shared" ref="AI44:AQ44" si="23">IFERROR(AI5/$AH5,0)</f>
        <v>0.216461064</v>
      </c>
      <c r="AJ44" s="11">
        <f t="shared" si="23"/>
        <v>0.1464919044</v>
      </c>
      <c r="AK44" s="11">
        <f t="shared" si="23"/>
        <v>0.04491133385</v>
      </c>
      <c r="AL44" s="11">
        <f t="shared" si="23"/>
        <v>0.1424441018</v>
      </c>
      <c r="AM44" s="11">
        <f t="shared" si="23"/>
        <v>0.06303006939</v>
      </c>
      <c r="AN44" s="11">
        <f t="shared" si="23"/>
        <v>0.04375481881</v>
      </c>
      <c r="AO44" s="11">
        <f t="shared" si="23"/>
        <v>0.1347340015</v>
      </c>
      <c r="AP44" s="11">
        <f t="shared" si="23"/>
        <v>0.09309946029</v>
      </c>
      <c r="AQ44" s="11">
        <f t="shared" si="23"/>
        <v>0.115073246</v>
      </c>
      <c r="AR44" s="11">
        <f t="shared" si="24"/>
        <v>0.1658867662</v>
      </c>
      <c r="AS44" s="11">
        <f t="shared" ref="AS44:BA44" si="25">IFERROR(AS5/$AR5,0)</f>
        <v>0.0170183005</v>
      </c>
      <c r="AT44" s="11">
        <f t="shared" si="25"/>
        <v>0.08555775731</v>
      </c>
      <c r="AU44" s="11">
        <f t="shared" si="25"/>
        <v>0.0283249796</v>
      </c>
      <c r="AV44" s="11">
        <f t="shared" si="25"/>
        <v>0.1564284882</v>
      </c>
      <c r="AW44" s="11">
        <f t="shared" si="25"/>
        <v>0.2383727707</v>
      </c>
      <c r="AX44" s="11">
        <f t="shared" si="25"/>
        <v>0.1256556708</v>
      </c>
      <c r="AY44" s="11">
        <f t="shared" si="25"/>
        <v>0.1419745891</v>
      </c>
      <c r="AZ44" s="11">
        <f t="shared" si="25"/>
        <v>0.04825737265</v>
      </c>
      <c r="BA44" s="11">
        <f t="shared" si="25"/>
        <v>0.1584100711</v>
      </c>
      <c r="BB44" s="11">
        <f t="shared" si="26"/>
        <v>0.4535540258</v>
      </c>
      <c r="BC44" s="11">
        <f t="shared" ref="BC44:BK44" si="27">IFERROR(BC5/$BB5,0)</f>
        <v>0.05286493861</v>
      </c>
      <c r="BD44" s="11">
        <f t="shared" si="27"/>
        <v>0.1173260573</v>
      </c>
      <c r="BE44" s="11">
        <f t="shared" si="27"/>
        <v>0.01654160982</v>
      </c>
      <c r="BF44" s="11">
        <f t="shared" si="27"/>
        <v>0.1232520464</v>
      </c>
      <c r="BG44" s="11">
        <f t="shared" si="27"/>
        <v>0.150537176</v>
      </c>
      <c r="BH44" s="11">
        <f t="shared" si="27"/>
        <v>0.08015006821</v>
      </c>
      <c r="BI44" s="11">
        <f t="shared" si="27"/>
        <v>0.1117411323</v>
      </c>
      <c r="BJ44" s="11">
        <f t="shared" si="27"/>
        <v>0.230090382</v>
      </c>
      <c r="BK44" s="11">
        <f t="shared" si="27"/>
        <v>0.1174965894</v>
      </c>
      <c r="BL44" s="11">
        <f t="shared" si="28"/>
        <v>0.1317387269</v>
      </c>
      <c r="BM44" s="11">
        <f t="shared" ref="BM44:BT44" si="29">IFERROR(BM5/$BL5,0)</f>
        <v>0.02054895054</v>
      </c>
      <c r="BN44" s="11">
        <f t="shared" si="29"/>
        <v>0.04975781594</v>
      </c>
      <c r="BO44" s="11">
        <f t="shared" si="29"/>
        <v>0.03155731689</v>
      </c>
      <c r="BP44" s="11">
        <f t="shared" si="29"/>
        <v>0.124467929</v>
      </c>
      <c r="BQ44" s="11">
        <f t="shared" si="29"/>
        <v>0.05019815059</v>
      </c>
      <c r="BR44" s="11">
        <f t="shared" si="29"/>
        <v>0.1670336122</v>
      </c>
      <c r="BS44" s="11">
        <f t="shared" si="29"/>
        <v>0.1183032438</v>
      </c>
      <c r="BT44" s="11">
        <f t="shared" si="29"/>
        <v>0.4381329811</v>
      </c>
      <c r="BU44" s="11">
        <f t="shared" si="30"/>
        <v>0.01923969371</v>
      </c>
      <c r="BV44" s="11">
        <f t="shared" ref="BV44:BZ44" si="31">IFERROR(BV5/$BU5,0)</f>
        <v>0.6542713568</v>
      </c>
      <c r="BW44" s="11">
        <f t="shared" si="31"/>
        <v>0.02512562814</v>
      </c>
      <c r="BX44" s="11">
        <f t="shared" si="31"/>
        <v>0.003015075377</v>
      </c>
      <c r="BY44" s="11">
        <f t="shared" si="31"/>
        <v>0.1899497487</v>
      </c>
      <c r="BZ44" s="11">
        <f t="shared" si="31"/>
        <v>0.127638191</v>
      </c>
      <c r="CA44" s="11">
        <f t="shared" si="32"/>
        <v>1</v>
      </c>
    </row>
    <row r="45" ht="15.75" customHeight="1">
      <c r="A45" s="9" t="str">
        <f t="shared" si="11"/>
        <v>Y1990</v>
      </c>
      <c r="B45" s="11">
        <f t="shared" si="12"/>
        <v>0.03845535965</v>
      </c>
      <c r="C45" s="11">
        <f t="shared" ref="C45:L45" si="33">IFERROR(C6/$B6,0)</f>
        <v>0.06318537859</v>
      </c>
      <c r="D45" s="11">
        <f t="shared" si="33"/>
        <v>0.01462140992</v>
      </c>
      <c r="E45" s="11">
        <f t="shared" si="33"/>
        <v>0.06005221932</v>
      </c>
      <c r="F45" s="11">
        <f t="shared" si="33"/>
        <v>0.2287206266</v>
      </c>
      <c r="G45" s="11">
        <f t="shared" si="33"/>
        <v>0.05274151436</v>
      </c>
      <c r="H45" s="11">
        <f t="shared" si="33"/>
        <v>0.2026109661</v>
      </c>
      <c r="I45" s="11">
        <f t="shared" si="33"/>
        <v>0.0318537859</v>
      </c>
      <c r="J45" s="11">
        <f t="shared" si="33"/>
        <v>0.1650130548</v>
      </c>
      <c r="K45" s="11">
        <f t="shared" si="33"/>
        <v>0.03603133159</v>
      </c>
      <c r="L45" s="11">
        <f t="shared" si="33"/>
        <v>0.1451697128</v>
      </c>
      <c r="M45" s="11">
        <f t="shared" si="14"/>
        <v>0.008092694486</v>
      </c>
      <c r="N45" s="11">
        <f t="shared" ref="N45:O45" si="34">IFERROR(N6/$M6,0)</f>
        <v>0.746898263</v>
      </c>
      <c r="O45" s="11">
        <f t="shared" si="34"/>
        <v>0.253101737</v>
      </c>
      <c r="P45" s="11">
        <f t="shared" si="16"/>
        <v>0.0282139845</v>
      </c>
      <c r="Q45" s="11">
        <f t="shared" ref="Q45:Y45" si="35">IFERROR(Q6/$P6,0)</f>
        <v>0.009964412811</v>
      </c>
      <c r="R45" s="11">
        <f t="shared" si="35"/>
        <v>0.03772241993</v>
      </c>
      <c r="S45" s="11">
        <f t="shared" si="35"/>
        <v>0.0590747331</v>
      </c>
      <c r="T45" s="11">
        <f t="shared" si="35"/>
        <v>0.3245551601</v>
      </c>
      <c r="U45" s="11">
        <f t="shared" si="35"/>
        <v>0.1473309609</v>
      </c>
      <c r="V45" s="11">
        <f t="shared" si="35"/>
        <v>0.1003558719</v>
      </c>
      <c r="W45" s="11">
        <f t="shared" si="35"/>
        <v>0.1323843416</v>
      </c>
      <c r="X45" s="11">
        <f t="shared" si="35"/>
        <v>0.1053380783</v>
      </c>
      <c r="Y45" s="11">
        <f t="shared" si="35"/>
        <v>0.08327402135</v>
      </c>
      <c r="Z45" s="11">
        <f t="shared" si="18"/>
        <v>0.05634764448</v>
      </c>
      <c r="AA45" s="11">
        <f t="shared" ref="AA45:AC45" si="36">IFERROR(AA6/$Z6,0)</f>
        <v>0.001069137562</v>
      </c>
      <c r="AB45" s="11">
        <f t="shared" si="36"/>
        <v>0.9932287954</v>
      </c>
      <c r="AC45" s="11">
        <f t="shared" si="36"/>
        <v>0.005702066999</v>
      </c>
      <c r="AD45" s="11">
        <f t="shared" si="20"/>
        <v>0.002449897586</v>
      </c>
      <c r="AE45" s="11">
        <f t="shared" ref="AE45:AG45" si="37">IFERROR(AE6/$AD6,0)</f>
        <v>0</v>
      </c>
      <c r="AF45" s="11">
        <f t="shared" si="37"/>
        <v>0.9016393443</v>
      </c>
      <c r="AG45" s="11">
        <f t="shared" si="37"/>
        <v>0.09836065574</v>
      </c>
      <c r="AH45" s="11">
        <f t="shared" si="22"/>
        <v>0.1029961043</v>
      </c>
      <c r="AI45" s="11">
        <f t="shared" ref="AI45:AQ45" si="38">IFERROR(AI6/$AH6,0)</f>
        <v>0.1918502632</v>
      </c>
      <c r="AJ45" s="11">
        <f t="shared" si="38"/>
        <v>0.1355039969</v>
      </c>
      <c r="AK45" s="11">
        <f t="shared" si="38"/>
        <v>0.04464807955</v>
      </c>
      <c r="AL45" s="11">
        <f t="shared" si="38"/>
        <v>0.1762526808</v>
      </c>
      <c r="AM45" s="11">
        <f t="shared" si="38"/>
        <v>0.06609475531</v>
      </c>
      <c r="AN45" s="11">
        <f t="shared" si="38"/>
        <v>0.0508871125</v>
      </c>
      <c r="AO45" s="11">
        <f t="shared" si="38"/>
        <v>0.1195164749</v>
      </c>
      <c r="AP45" s="11">
        <f t="shared" si="38"/>
        <v>0.08949112888</v>
      </c>
      <c r="AQ45" s="11">
        <f t="shared" si="38"/>
        <v>0.1257555079</v>
      </c>
      <c r="AR45" s="11">
        <f t="shared" si="24"/>
        <v>0.1531587614</v>
      </c>
      <c r="AS45" s="11">
        <f t="shared" ref="AS45:BA45" si="39">IFERROR(AS6/$AR6,0)</f>
        <v>0.01678248328</v>
      </c>
      <c r="AT45" s="11">
        <f t="shared" si="39"/>
        <v>0.09217254491</v>
      </c>
      <c r="AU45" s="11">
        <f t="shared" si="39"/>
        <v>0.02897600629</v>
      </c>
      <c r="AV45" s="11">
        <f t="shared" si="39"/>
        <v>0.1645470041</v>
      </c>
      <c r="AW45" s="11">
        <f t="shared" si="39"/>
        <v>0.2433460076</v>
      </c>
      <c r="AX45" s="11">
        <f t="shared" si="39"/>
        <v>0.130588698</v>
      </c>
      <c r="AY45" s="11">
        <f t="shared" si="39"/>
        <v>0.1093483676</v>
      </c>
      <c r="AZ45" s="11">
        <f t="shared" si="39"/>
        <v>0.04890520519</v>
      </c>
      <c r="BA45" s="11">
        <f t="shared" si="39"/>
        <v>0.165333683</v>
      </c>
      <c r="BB45" s="11">
        <f t="shared" si="26"/>
        <v>0.4494357203</v>
      </c>
      <c r="BC45" s="11">
        <f t="shared" ref="BC45:BK45" si="40">IFERROR(BC6/$BB6,0)</f>
        <v>0.06081050891</v>
      </c>
      <c r="BD45" s="11">
        <f t="shared" si="40"/>
        <v>0.1092891292</v>
      </c>
      <c r="BE45" s="11">
        <f t="shared" si="40"/>
        <v>0.01581698762</v>
      </c>
      <c r="BF45" s="11">
        <f t="shared" si="40"/>
        <v>0.1246146285</v>
      </c>
      <c r="BG45" s="11">
        <f t="shared" si="40"/>
        <v>0.1546847773</v>
      </c>
      <c r="BH45" s="11">
        <f t="shared" si="40"/>
        <v>0.07944238417</v>
      </c>
      <c r="BI45" s="11">
        <f t="shared" si="40"/>
        <v>0.1168401769</v>
      </c>
      <c r="BJ45" s="11">
        <f t="shared" si="40"/>
        <v>0.2155846477</v>
      </c>
      <c r="BK45" s="11">
        <f t="shared" si="40"/>
        <v>0.1229167598</v>
      </c>
      <c r="BL45" s="11">
        <f t="shared" si="28"/>
        <v>0.1389212418</v>
      </c>
      <c r="BM45" s="11">
        <f t="shared" ref="BM45:BT45" si="41">IFERROR(BM6/$BL6,0)</f>
        <v>0.02009251229</v>
      </c>
      <c r="BN45" s="11">
        <f t="shared" si="41"/>
        <v>0.04538884071</v>
      </c>
      <c r="BO45" s="11">
        <f t="shared" si="41"/>
        <v>0.03021104365</v>
      </c>
      <c r="BP45" s="11">
        <f t="shared" si="41"/>
        <v>0.1321191096</v>
      </c>
      <c r="BQ45" s="11">
        <f t="shared" si="41"/>
        <v>0.05189361087</v>
      </c>
      <c r="BR45" s="11">
        <f t="shared" si="41"/>
        <v>0.1669557676</v>
      </c>
      <c r="BS45" s="11">
        <f t="shared" si="41"/>
        <v>0.1136166522</v>
      </c>
      <c r="BT45" s="11">
        <f t="shared" si="41"/>
        <v>0.4397224631</v>
      </c>
      <c r="BU45" s="11">
        <f t="shared" si="30"/>
        <v>0.02192859151</v>
      </c>
      <c r="BV45" s="11">
        <f t="shared" ref="BV45:BZ45" si="42">IFERROR(BV6/$BU6,0)</f>
        <v>0.4514652015</v>
      </c>
      <c r="BW45" s="11">
        <f t="shared" si="42"/>
        <v>0.02564102564</v>
      </c>
      <c r="BX45" s="11">
        <f t="shared" si="42"/>
        <v>0.00641025641</v>
      </c>
      <c r="BY45" s="11">
        <f t="shared" si="42"/>
        <v>0.391025641</v>
      </c>
      <c r="BZ45" s="11">
        <f t="shared" si="42"/>
        <v>0.1254578755</v>
      </c>
      <c r="CA45" s="11">
        <f t="shared" si="32"/>
        <v>1</v>
      </c>
    </row>
    <row r="46" ht="15.75" customHeight="1">
      <c r="A46" s="9" t="str">
        <f t="shared" si="11"/>
        <v>Y1991</v>
      </c>
      <c r="B46" s="11">
        <f t="shared" si="12"/>
        <v>0.04044694987</v>
      </c>
      <c r="C46" s="11">
        <f t="shared" ref="C46:L46" si="43">IFERROR(C7/$B7,0)</f>
        <v>0.03086112494</v>
      </c>
      <c r="D46" s="11">
        <f t="shared" si="43"/>
        <v>0.01991040319</v>
      </c>
      <c r="E46" s="11">
        <f t="shared" si="43"/>
        <v>0.06620209059</v>
      </c>
      <c r="F46" s="11">
        <f t="shared" si="43"/>
        <v>0.2254853161</v>
      </c>
      <c r="G46" s="11">
        <f t="shared" si="43"/>
        <v>0.0537580886</v>
      </c>
      <c r="H46" s="11">
        <f t="shared" si="43"/>
        <v>0.2155301145</v>
      </c>
      <c r="I46" s="11">
        <f t="shared" si="43"/>
        <v>0.02837232454</v>
      </c>
      <c r="J46" s="11">
        <f t="shared" si="43"/>
        <v>0.1543056247</v>
      </c>
      <c r="K46" s="11">
        <f t="shared" si="43"/>
        <v>0.04230960677</v>
      </c>
      <c r="L46" s="11">
        <f t="shared" si="43"/>
        <v>0.1632653061</v>
      </c>
      <c r="M46" s="11">
        <f t="shared" si="14"/>
        <v>0.007811556271</v>
      </c>
      <c r="N46" s="11">
        <f t="shared" ref="N46:O46" si="44">IFERROR(N7/$M7,0)</f>
        <v>0.7371134021</v>
      </c>
      <c r="O46" s="11">
        <f t="shared" si="44"/>
        <v>0.2628865979</v>
      </c>
      <c r="P46" s="11">
        <f t="shared" si="16"/>
        <v>0.024058788</v>
      </c>
      <c r="Q46" s="11">
        <f t="shared" ref="Q46:Y46" si="45">IFERROR(Q7/$P7,0)</f>
        <v>0.007531380753</v>
      </c>
      <c r="R46" s="11">
        <f t="shared" si="45"/>
        <v>0.04853556485</v>
      </c>
      <c r="S46" s="11">
        <f t="shared" si="45"/>
        <v>0.06610878661</v>
      </c>
      <c r="T46" s="11">
        <f t="shared" si="45"/>
        <v>0.3656903766</v>
      </c>
      <c r="U46" s="11">
        <f t="shared" si="45"/>
        <v>0.1087866109</v>
      </c>
      <c r="V46" s="11">
        <f t="shared" si="45"/>
        <v>0.1121338912</v>
      </c>
      <c r="W46" s="11">
        <f t="shared" si="45"/>
        <v>0.1029288703</v>
      </c>
      <c r="X46" s="11">
        <f t="shared" si="45"/>
        <v>0.09623430962</v>
      </c>
      <c r="Y46" s="11">
        <f t="shared" si="45"/>
        <v>0.09205020921</v>
      </c>
      <c r="Z46" s="11">
        <f t="shared" si="18"/>
        <v>0.05937185424</v>
      </c>
      <c r="AA46" s="11">
        <f t="shared" ref="AA46:AC46" si="46">IFERROR(AA7/$Z7,0)</f>
        <v>0.001356391997</v>
      </c>
      <c r="AB46" s="11">
        <f t="shared" si="46"/>
        <v>0.996269922</v>
      </c>
      <c r="AC46" s="11">
        <f t="shared" si="46"/>
        <v>0.002373685995</v>
      </c>
      <c r="AD46" s="11">
        <f t="shared" si="20"/>
        <v>0.002758204147</v>
      </c>
      <c r="AE46" s="11">
        <f t="shared" ref="AE46:AG46" si="47">IFERROR(AE7/$AD7,0)</f>
        <v>0</v>
      </c>
      <c r="AF46" s="11">
        <f t="shared" si="47"/>
        <v>0.9051094891</v>
      </c>
      <c r="AG46" s="11">
        <f t="shared" si="47"/>
        <v>0.09489051095</v>
      </c>
      <c r="AH46" s="11">
        <f t="shared" si="22"/>
        <v>0.1057378699</v>
      </c>
      <c r="AI46" s="11">
        <f t="shared" ref="AI46:AQ46" si="48">IFERROR(AI7/$AH7,0)</f>
        <v>0.1987814166</v>
      </c>
      <c r="AJ46" s="11">
        <f t="shared" si="48"/>
        <v>0.1367098248</v>
      </c>
      <c r="AK46" s="11">
        <f t="shared" si="48"/>
        <v>0.04664889566</v>
      </c>
      <c r="AL46" s="11">
        <f t="shared" si="48"/>
        <v>0.1784082254</v>
      </c>
      <c r="AM46" s="11">
        <f t="shared" si="48"/>
        <v>0.06664127951</v>
      </c>
      <c r="AN46" s="11">
        <f t="shared" si="48"/>
        <v>0.05407463823</v>
      </c>
      <c r="AO46" s="11">
        <f t="shared" si="48"/>
        <v>0.1146230008</v>
      </c>
      <c r="AP46" s="11">
        <f t="shared" si="48"/>
        <v>0.08644325971</v>
      </c>
      <c r="AQ46" s="11">
        <f t="shared" si="48"/>
        <v>0.1176694593</v>
      </c>
      <c r="AR46" s="11">
        <f t="shared" si="24"/>
        <v>0.1525065432</v>
      </c>
      <c r="AS46" s="11">
        <f t="shared" ref="AS46:BA46" si="49">IFERROR(AS7/$AR7,0)</f>
        <v>0.01557755776</v>
      </c>
      <c r="AT46" s="11">
        <f t="shared" si="49"/>
        <v>0.09293729373</v>
      </c>
      <c r="AU46" s="11">
        <f t="shared" si="49"/>
        <v>0.0297029703</v>
      </c>
      <c r="AV46" s="11">
        <f t="shared" si="49"/>
        <v>0.1596039604</v>
      </c>
      <c r="AW46" s="11">
        <f t="shared" si="49"/>
        <v>0.2517491749</v>
      </c>
      <c r="AX46" s="11">
        <f t="shared" si="49"/>
        <v>0.1221122112</v>
      </c>
      <c r="AY46" s="11">
        <f t="shared" si="49"/>
        <v>0.1181518152</v>
      </c>
      <c r="AZ46" s="11">
        <f t="shared" si="49"/>
        <v>0.04897689769</v>
      </c>
      <c r="BA46" s="11">
        <f t="shared" si="49"/>
        <v>0.1611881188</v>
      </c>
      <c r="BB46" s="11">
        <f t="shared" si="26"/>
        <v>0.4406281458</v>
      </c>
      <c r="BC46" s="11">
        <f t="shared" ref="BC46:BK46" si="50">IFERROR(BC7/$BB7,0)</f>
        <v>0.05990130677</v>
      </c>
      <c r="BD46" s="11">
        <f t="shared" si="50"/>
        <v>0.09243351914</v>
      </c>
      <c r="BE46" s="11">
        <f t="shared" si="50"/>
        <v>0.0143927625</v>
      </c>
      <c r="BF46" s="11">
        <f t="shared" si="50"/>
        <v>0.1262907795</v>
      </c>
      <c r="BG46" s="11">
        <f t="shared" si="50"/>
        <v>0.1556246002</v>
      </c>
      <c r="BH46" s="11">
        <f t="shared" si="50"/>
        <v>0.08329525724</v>
      </c>
      <c r="BI46" s="11">
        <f t="shared" si="50"/>
        <v>0.1208535137</v>
      </c>
      <c r="BJ46" s="11">
        <f t="shared" si="50"/>
        <v>0.1955588047</v>
      </c>
      <c r="BK46" s="11">
        <f t="shared" si="50"/>
        <v>0.1516494563</v>
      </c>
      <c r="BL46" s="11">
        <f t="shared" si="28"/>
        <v>0.1465874774</v>
      </c>
      <c r="BM46" s="11">
        <f t="shared" ref="BM46:BT46" si="51">IFERROR(BM7/$BL7,0)</f>
        <v>0.0211509408</v>
      </c>
      <c r="BN46" s="11">
        <f t="shared" si="51"/>
        <v>0.04134047521</v>
      </c>
      <c r="BO46" s="11">
        <f t="shared" si="51"/>
        <v>0.03035297349</v>
      </c>
      <c r="BP46" s="11">
        <f t="shared" si="51"/>
        <v>0.1410520533</v>
      </c>
      <c r="BQ46" s="11">
        <f t="shared" si="51"/>
        <v>0.05274000824</v>
      </c>
      <c r="BR46" s="11">
        <f t="shared" si="51"/>
        <v>0.1704436204</v>
      </c>
      <c r="BS46" s="11">
        <f t="shared" si="51"/>
        <v>0.1089136108</v>
      </c>
      <c r="BT46" s="11">
        <f t="shared" si="51"/>
        <v>0.4340063178</v>
      </c>
      <c r="BU46" s="11">
        <f t="shared" si="30"/>
        <v>0.02009261123</v>
      </c>
      <c r="BV46" s="11">
        <f t="shared" ref="BV46:BZ46" si="52">IFERROR(BV7/$BU7,0)</f>
        <v>0.02805611222</v>
      </c>
      <c r="BW46" s="11">
        <f t="shared" si="52"/>
        <v>0.01102204409</v>
      </c>
      <c r="BX46" s="11">
        <f t="shared" si="52"/>
        <v>0</v>
      </c>
      <c r="BY46" s="11">
        <f t="shared" si="52"/>
        <v>0.8677354709</v>
      </c>
      <c r="BZ46" s="11">
        <f t="shared" si="52"/>
        <v>0.09318637275</v>
      </c>
      <c r="CA46" s="11">
        <f t="shared" si="32"/>
        <v>1</v>
      </c>
    </row>
    <row r="47" ht="15.75" customHeight="1">
      <c r="A47" s="9" t="str">
        <f t="shared" si="11"/>
        <v>Y1992</v>
      </c>
      <c r="B47" s="11">
        <f t="shared" si="12"/>
        <v>0.03870897983</v>
      </c>
      <c r="C47" s="11">
        <f t="shared" ref="C47:L47" si="53">IFERROR(C8/$B8,0)</f>
        <v>0.02746741155</v>
      </c>
      <c r="D47" s="11">
        <f t="shared" si="53"/>
        <v>0.01815642458</v>
      </c>
      <c r="E47" s="11">
        <f t="shared" si="53"/>
        <v>0.07076350093</v>
      </c>
      <c r="F47" s="11">
        <f t="shared" si="53"/>
        <v>0.2248603352</v>
      </c>
      <c r="G47" s="11">
        <f t="shared" si="53"/>
        <v>0.06098696462</v>
      </c>
      <c r="H47" s="11">
        <f t="shared" si="53"/>
        <v>0.2211359404</v>
      </c>
      <c r="I47" s="11">
        <f t="shared" si="53"/>
        <v>0.03398510242</v>
      </c>
      <c r="J47" s="11">
        <f t="shared" si="53"/>
        <v>0.1527001862</v>
      </c>
      <c r="K47" s="11">
        <f t="shared" si="53"/>
        <v>0.03258845438</v>
      </c>
      <c r="L47" s="11">
        <f t="shared" si="53"/>
        <v>0.1573556797</v>
      </c>
      <c r="M47" s="11">
        <f t="shared" si="14"/>
        <v>0.007388585536</v>
      </c>
      <c r="N47" s="11">
        <f t="shared" ref="N47:O47" si="54">IFERROR(N8/$M8,0)</f>
        <v>0.7390243902</v>
      </c>
      <c r="O47" s="11">
        <f t="shared" si="54"/>
        <v>0.2609756098</v>
      </c>
      <c r="P47" s="11">
        <f t="shared" si="16"/>
        <v>0.02557171433</v>
      </c>
      <c r="Q47" s="11">
        <f t="shared" ref="Q47:Y47" si="55">IFERROR(Q8/$P8,0)</f>
        <v>0</v>
      </c>
      <c r="R47" s="11">
        <f t="shared" si="55"/>
        <v>0.04087385483</v>
      </c>
      <c r="S47" s="11">
        <f t="shared" si="55"/>
        <v>0.06553911205</v>
      </c>
      <c r="T47" s="11">
        <f t="shared" si="55"/>
        <v>0.3636363636</v>
      </c>
      <c r="U47" s="11">
        <f t="shared" si="55"/>
        <v>0.1078224101</v>
      </c>
      <c r="V47" s="11">
        <f t="shared" si="55"/>
        <v>0.1000704722</v>
      </c>
      <c r="W47" s="11">
        <f t="shared" si="55"/>
        <v>0.1085271318</v>
      </c>
      <c r="X47" s="11">
        <f t="shared" si="55"/>
        <v>0.1198026779</v>
      </c>
      <c r="Y47" s="11">
        <f t="shared" si="55"/>
        <v>0.09372797745</v>
      </c>
      <c r="Z47" s="11">
        <f t="shared" si="18"/>
        <v>0.05842388856</v>
      </c>
      <c r="AA47" s="11">
        <f t="shared" ref="AA47:AC47" si="56">IFERROR(AA8/$Z8,0)</f>
        <v>0.001542257866</v>
      </c>
      <c r="AB47" s="11">
        <f t="shared" si="56"/>
        <v>0.9938309685</v>
      </c>
      <c r="AC47" s="11">
        <f t="shared" si="56"/>
        <v>0.004626773597</v>
      </c>
      <c r="AD47" s="11">
        <f t="shared" si="20"/>
        <v>0.003135643618</v>
      </c>
      <c r="AE47" s="11">
        <f t="shared" ref="AE47:AG47" si="57">IFERROR(AE8/$AD8,0)</f>
        <v>0</v>
      </c>
      <c r="AF47" s="11">
        <f t="shared" si="57"/>
        <v>0.8965517241</v>
      </c>
      <c r="AG47" s="11">
        <f t="shared" si="57"/>
        <v>0.1034482759</v>
      </c>
      <c r="AH47" s="11">
        <f t="shared" si="22"/>
        <v>0.1120902489</v>
      </c>
      <c r="AI47" s="11">
        <f t="shared" ref="AI47:AQ47" si="58">IFERROR(AI8/$AH8,0)</f>
        <v>0.2064308682</v>
      </c>
      <c r="AJ47" s="11">
        <f t="shared" si="58"/>
        <v>0.1125401929</v>
      </c>
      <c r="AK47" s="11">
        <f t="shared" si="58"/>
        <v>0.04903536977</v>
      </c>
      <c r="AL47" s="11">
        <f t="shared" si="58"/>
        <v>0.2049839228</v>
      </c>
      <c r="AM47" s="11">
        <f t="shared" si="58"/>
        <v>0.07041800643</v>
      </c>
      <c r="AN47" s="11">
        <f t="shared" si="58"/>
        <v>0.0498392283</v>
      </c>
      <c r="AO47" s="11">
        <f t="shared" si="58"/>
        <v>0.1045016077</v>
      </c>
      <c r="AP47" s="11">
        <f t="shared" si="58"/>
        <v>0.08536977492</v>
      </c>
      <c r="AQ47" s="11">
        <f t="shared" si="58"/>
        <v>0.1168810289</v>
      </c>
      <c r="AR47" s="11">
        <f t="shared" si="24"/>
        <v>0.1519705898</v>
      </c>
      <c r="AS47" s="11">
        <f t="shared" ref="AS47:BA47" si="59">IFERROR(AS8/$AR8,0)</f>
        <v>0.0156527926</v>
      </c>
      <c r="AT47" s="11">
        <f t="shared" si="59"/>
        <v>0.09261235622</v>
      </c>
      <c r="AU47" s="11">
        <f t="shared" si="59"/>
        <v>0.02905253172</v>
      </c>
      <c r="AV47" s="11">
        <f t="shared" si="59"/>
        <v>0.1644729041</v>
      </c>
      <c r="AW47" s="11">
        <f t="shared" si="59"/>
        <v>0.2478358828</v>
      </c>
      <c r="AX47" s="11">
        <f t="shared" si="59"/>
        <v>0.1214277244</v>
      </c>
      <c r="AY47" s="11">
        <f t="shared" si="59"/>
        <v>0.1015059884</v>
      </c>
      <c r="AZ47" s="11">
        <f t="shared" si="59"/>
        <v>0.05217597533</v>
      </c>
      <c r="BA47" s="11">
        <f t="shared" si="59"/>
        <v>0.1752638444</v>
      </c>
      <c r="BB47" s="11">
        <f t="shared" si="26"/>
        <v>0.427672956</v>
      </c>
      <c r="BC47" s="11">
        <f t="shared" ref="BC47:BK47" si="60">IFERROR(BC8/$BB8,0)</f>
        <v>0.05667453228</v>
      </c>
      <c r="BD47" s="11">
        <f t="shared" si="60"/>
        <v>0.09902241699</v>
      </c>
      <c r="BE47" s="11">
        <f t="shared" si="60"/>
        <v>0.0132310804</v>
      </c>
      <c r="BF47" s="11">
        <f t="shared" si="60"/>
        <v>0.1218607787</v>
      </c>
      <c r="BG47" s="11">
        <f t="shared" si="60"/>
        <v>0.1663997977</v>
      </c>
      <c r="BH47" s="11">
        <f t="shared" si="60"/>
        <v>0.0921961908</v>
      </c>
      <c r="BI47" s="11">
        <f t="shared" si="60"/>
        <v>0.1303303556</v>
      </c>
      <c r="BJ47" s="11">
        <f t="shared" si="60"/>
        <v>0.2349570201</v>
      </c>
      <c r="BK47" s="11">
        <f t="shared" si="60"/>
        <v>0.08532782741</v>
      </c>
      <c r="BL47" s="11">
        <f t="shared" si="28"/>
        <v>0.1534483069</v>
      </c>
      <c r="BM47" s="11">
        <f t="shared" ref="BM47:BT47" si="61">IFERROR(BM8/$BL8,0)</f>
        <v>0.01949500881</v>
      </c>
      <c r="BN47" s="11">
        <f t="shared" si="61"/>
        <v>0.04016441574</v>
      </c>
      <c r="BO47" s="11">
        <f t="shared" si="61"/>
        <v>0.0320610687</v>
      </c>
      <c r="BP47" s="11">
        <f t="shared" si="61"/>
        <v>0.141867293</v>
      </c>
      <c r="BQ47" s="11">
        <f t="shared" si="61"/>
        <v>0.05648854962</v>
      </c>
      <c r="BR47" s="11">
        <f t="shared" si="61"/>
        <v>0.1695830887</v>
      </c>
      <c r="BS47" s="11">
        <f t="shared" si="61"/>
        <v>0.1093364651</v>
      </c>
      <c r="BT47" s="11">
        <f t="shared" si="61"/>
        <v>0.4310041104</v>
      </c>
      <c r="BU47" s="11">
        <f t="shared" si="30"/>
        <v>0.02158908652</v>
      </c>
      <c r="BV47" s="11">
        <f t="shared" ref="BV47:BZ47" si="62">IFERROR(BV8/$BU8,0)</f>
        <v>0.0225375626</v>
      </c>
      <c r="BW47" s="11">
        <f t="shared" si="62"/>
        <v>0.0008347245409</v>
      </c>
      <c r="BX47" s="11">
        <f t="shared" si="62"/>
        <v>0</v>
      </c>
      <c r="BY47" s="11">
        <f t="shared" si="62"/>
        <v>0.9215358932</v>
      </c>
      <c r="BZ47" s="11">
        <f t="shared" si="62"/>
        <v>0.0550918197</v>
      </c>
      <c r="CA47" s="11">
        <f t="shared" si="32"/>
        <v>1</v>
      </c>
    </row>
    <row r="48" ht="15.75" customHeight="1">
      <c r="A48" s="9" t="str">
        <f t="shared" si="11"/>
        <v>Y1993</v>
      </c>
      <c r="B48" s="11">
        <f t="shared" si="12"/>
        <v>0.0381625555</v>
      </c>
      <c r="C48" s="11">
        <f t="shared" ref="C48:L48" si="63">IFERROR(C9/$B9,0)</f>
        <v>0.02729945401</v>
      </c>
      <c r="D48" s="11">
        <f t="shared" si="63"/>
        <v>0.01637967241</v>
      </c>
      <c r="E48" s="11">
        <f t="shared" si="63"/>
        <v>0.06677866443</v>
      </c>
      <c r="F48" s="11">
        <f t="shared" si="63"/>
        <v>0.2259554809</v>
      </c>
      <c r="G48" s="11">
        <f t="shared" si="63"/>
        <v>0.05837883242</v>
      </c>
      <c r="H48" s="11">
        <f t="shared" si="63"/>
        <v>0.2104157917</v>
      </c>
      <c r="I48" s="11">
        <f t="shared" si="63"/>
        <v>0.03065938681</v>
      </c>
      <c r="J48" s="11">
        <f t="shared" si="63"/>
        <v>0.1503569929</v>
      </c>
      <c r="K48" s="11">
        <f t="shared" si="63"/>
        <v>0.03653926921</v>
      </c>
      <c r="L48" s="11">
        <f t="shared" si="63"/>
        <v>0.1772364553</v>
      </c>
      <c r="M48" s="11">
        <f t="shared" si="14"/>
        <v>0.00722860669</v>
      </c>
      <c r="N48" s="11">
        <f t="shared" ref="N48:O48" si="64">IFERROR(N9/$M9,0)</f>
        <v>0.7050997783</v>
      </c>
      <c r="O48" s="11">
        <f t="shared" si="64"/>
        <v>0.2949002217</v>
      </c>
      <c r="P48" s="11">
        <f t="shared" si="16"/>
        <v>0.02481127086</v>
      </c>
      <c r="Q48" s="11">
        <f t="shared" ref="Q48:Y48" si="65">IFERROR(Q9/$P9,0)</f>
        <v>0.002583979328</v>
      </c>
      <c r="R48" s="11">
        <f t="shared" si="65"/>
        <v>0.04198966408</v>
      </c>
      <c r="S48" s="11">
        <f t="shared" si="65"/>
        <v>0.07170542636</v>
      </c>
      <c r="T48" s="11">
        <f t="shared" si="65"/>
        <v>0.4211886305</v>
      </c>
      <c r="U48" s="11">
        <f t="shared" si="65"/>
        <v>0.09108527132</v>
      </c>
      <c r="V48" s="11">
        <f t="shared" si="65"/>
        <v>0.0988372093</v>
      </c>
      <c r="W48" s="11">
        <f t="shared" si="65"/>
        <v>0.08979328165</v>
      </c>
      <c r="X48" s="11">
        <f t="shared" si="65"/>
        <v>0.0826873385</v>
      </c>
      <c r="Y48" s="11">
        <f t="shared" si="65"/>
        <v>0.100129199</v>
      </c>
      <c r="Z48" s="11">
        <f t="shared" si="18"/>
        <v>0.06121075155</v>
      </c>
      <c r="AA48" s="11">
        <f t="shared" ref="AA48:AC48" si="66">IFERROR(AA9/$Z9,0)</f>
        <v>0.004189578424</v>
      </c>
      <c r="AB48" s="11">
        <f t="shared" si="66"/>
        <v>0.9900497512</v>
      </c>
      <c r="AC48" s="11">
        <f t="shared" si="66"/>
        <v>0.005760670333</v>
      </c>
      <c r="AD48" s="11">
        <f t="shared" si="20"/>
        <v>0.003141478739</v>
      </c>
      <c r="AE48" s="11">
        <f t="shared" ref="AE48:AG48" si="67">IFERROR(AE9/$AD9,0)</f>
        <v>0</v>
      </c>
      <c r="AF48" s="11">
        <f t="shared" si="67"/>
        <v>0.9132653061</v>
      </c>
      <c r="AG48" s="11">
        <f t="shared" si="67"/>
        <v>0.08673469388</v>
      </c>
      <c r="AH48" s="11">
        <f t="shared" si="22"/>
        <v>0.1096792807</v>
      </c>
      <c r="AI48" s="11">
        <f t="shared" ref="AI48:AQ48" si="68">IFERROR(AI9/$AH9,0)</f>
        <v>0.2178868917</v>
      </c>
      <c r="AJ48" s="11">
        <f t="shared" si="68"/>
        <v>0.08505041648</v>
      </c>
      <c r="AK48" s="11">
        <f t="shared" si="68"/>
        <v>0.04895513664</v>
      </c>
      <c r="AL48" s="11">
        <f t="shared" si="68"/>
        <v>0.2035656876</v>
      </c>
      <c r="AM48" s="11">
        <f t="shared" si="68"/>
        <v>0.07175215549</v>
      </c>
      <c r="AN48" s="11">
        <f t="shared" si="68"/>
        <v>0.05494666082</v>
      </c>
      <c r="AO48" s="11">
        <f t="shared" si="68"/>
        <v>0.106386088</v>
      </c>
      <c r="AP48" s="11">
        <f t="shared" si="68"/>
        <v>0.08855765015</v>
      </c>
      <c r="AQ48" s="11">
        <f t="shared" si="68"/>
        <v>0.1228993132</v>
      </c>
      <c r="AR48" s="11">
        <f t="shared" si="24"/>
        <v>0.1464474043</v>
      </c>
      <c r="AS48" s="11">
        <f t="shared" ref="AS48:BA48" si="69">IFERROR(AS9/$AR9,0)</f>
        <v>0.01499398052</v>
      </c>
      <c r="AT48" s="11">
        <f t="shared" si="69"/>
        <v>0.09664003502</v>
      </c>
      <c r="AU48" s="11">
        <f t="shared" si="69"/>
        <v>0.02998796104</v>
      </c>
      <c r="AV48" s="11">
        <f t="shared" si="69"/>
        <v>0.1625259932</v>
      </c>
      <c r="AW48" s="11">
        <f t="shared" si="69"/>
        <v>0.2416548101</v>
      </c>
      <c r="AX48" s="11">
        <f t="shared" si="69"/>
        <v>0.1136040276</v>
      </c>
      <c r="AY48" s="11">
        <f t="shared" si="69"/>
        <v>0.1136040276</v>
      </c>
      <c r="AZ48" s="11">
        <f t="shared" si="69"/>
        <v>0.05209587392</v>
      </c>
      <c r="BA48" s="11">
        <f t="shared" si="69"/>
        <v>0.174893291</v>
      </c>
      <c r="BB48" s="11">
        <f t="shared" si="26"/>
        <v>0.4405443093</v>
      </c>
      <c r="BC48" s="11">
        <f t="shared" ref="BC48:BK48" si="70">IFERROR(BC9/$BB9,0)</f>
        <v>0.06057629339</v>
      </c>
      <c r="BD48" s="11">
        <f t="shared" si="70"/>
        <v>0.0988503238</v>
      </c>
      <c r="BE48" s="11">
        <f t="shared" si="70"/>
        <v>0.01178781925</v>
      </c>
      <c r="BF48" s="11">
        <f t="shared" si="70"/>
        <v>0.1246088918</v>
      </c>
      <c r="BG48" s="11">
        <f t="shared" si="70"/>
        <v>0.1664847559</v>
      </c>
      <c r="BH48" s="11">
        <f t="shared" si="70"/>
        <v>0.09051880958</v>
      </c>
      <c r="BI48" s="11">
        <f t="shared" si="70"/>
        <v>0.1365058575</v>
      </c>
      <c r="BJ48" s="11">
        <f t="shared" si="70"/>
        <v>0.2435785491</v>
      </c>
      <c r="BK48" s="11">
        <f t="shared" si="70"/>
        <v>0.0670886997</v>
      </c>
      <c r="BL48" s="11">
        <f t="shared" si="28"/>
        <v>0.1509993429</v>
      </c>
      <c r="BM48" s="11">
        <f t="shared" ref="BM48:BT48" si="71">IFERROR(BM9/$BL9,0)</f>
        <v>0.01931854368</v>
      </c>
      <c r="BN48" s="11">
        <f t="shared" si="71"/>
        <v>0.03916781658</v>
      </c>
      <c r="BO48" s="11">
        <f t="shared" si="71"/>
        <v>0.02887166967</v>
      </c>
      <c r="BP48" s="11">
        <f t="shared" si="71"/>
        <v>0.1543360577</v>
      </c>
      <c r="BQ48" s="11">
        <f t="shared" si="71"/>
        <v>0.05466510986</v>
      </c>
      <c r="BR48" s="11">
        <f t="shared" si="71"/>
        <v>0.1749283516</v>
      </c>
      <c r="BS48" s="11">
        <f t="shared" si="71"/>
        <v>0.1086933447</v>
      </c>
      <c r="BT48" s="11">
        <f t="shared" si="71"/>
        <v>0.4200191063</v>
      </c>
      <c r="BU48" s="11">
        <f t="shared" si="30"/>
        <v>0.0177749996</v>
      </c>
      <c r="BV48" s="11">
        <f t="shared" ref="BV48:BZ48" si="72">IFERROR(BV9/$BU9,0)</f>
        <v>0.03336339044</v>
      </c>
      <c r="BW48" s="11">
        <f t="shared" si="72"/>
        <v>0.0009017132552</v>
      </c>
      <c r="BX48" s="11">
        <f t="shared" si="72"/>
        <v>0</v>
      </c>
      <c r="BY48" s="11">
        <f t="shared" si="72"/>
        <v>0.904418395</v>
      </c>
      <c r="BZ48" s="11">
        <f t="shared" si="72"/>
        <v>0.06131650135</v>
      </c>
      <c r="CA48" s="11">
        <f t="shared" si="32"/>
        <v>1</v>
      </c>
    </row>
    <row r="49" ht="15.75" customHeight="1">
      <c r="A49" s="9" t="str">
        <f t="shared" si="11"/>
        <v>Y1994</v>
      </c>
      <c r="B49" s="11">
        <f t="shared" si="12"/>
        <v>0.03792840152</v>
      </c>
      <c r="C49" s="11">
        <f t="shared" ref="C49:L49" si="73">IFERROR(C10/$B10,0)</f>
        <v>0.03135888502</v>
      </c>
      <c r="D49" s="11">
        <f t="shared" si="73"/>
        <v>0.0162601626</v>
      </c>
      <c r="E49" s="11">
        <f t="shared" si="73"/>
        <v>0.06233062331</v>
      </c>
      <c r="F49" s="11">
        <f t="shared" si="73"/>
        <v>0.2253193961</v>
      </c>
      <c r="G49" s="11">
        <f t="shared" si="73"/>
        <v>0.05729771583</v>
      </c>
      <c r="H49" s="11">
        <f t="shared" si="73"/>
        <v>0.1951219512</v>
      </c>
      <c r="I49" s="11">
        <f t="shared" si="73"/>
        <v>0.02903600465</v>
      </c>
      <c r="J49" s="11">
        <f t="shared" si="73"/>
        <v>0.1691831204</v>
      </c>
      <c r="K49" s="11">
        <f t="shared" si="73"/>
        <v>0.04142469996</v>
      </c>
      <c r="L49" s="11">
        <f t="shared" si="73"/>
        <v>0.172667441</v>
      </c>
      <c r="M49" s="11">
        <f t="shared" si="14"/>
        <v>0.007356612141</v>
      </c>
      <c r="N49" s="11">
        <f t="shared" ref="N49:O49" si="74">IFERROR(N10/$M10,0)</f>
        <v>0.6746506986</v>
      </c>
      <c r="O49" s="11">
        <f t="shared" si="74"/>
        <v>0.3253493014</v>
      </c>
      <c r="P49" s="11">
        <f t="shared" si="16"/>
        <v>0.02422836334</v>
      </c>
      <c r="Q49" s="11">
        <f t="shared" ref="Q49:Y49" si="75">IFERROR(Q10/$P10,0)</f>
        <v>0.002424242424</v>
      </c>
      <c r="R49" s="11">
        <f t="shared" si="75"/>
        <v>0.06363636364</v>
      </c>
      <c r="S49" s="11">
        <f t="shared" si="75"/>
        <v>0.07757575758</v>
      </c>
      <c r="T49" s="11">
        <f t="shared" si="75"/>
        <v>0.3666666667</v>
      </c>
      <c r="U49" s="11">
        <f t="shared" si="75"/>
        <v>0.07939393939</v>
      </c>
      <c r="V49" s="11">
        <f t="shared" si="75"/>
        <v>0.1054545455</v>
      </c>
      <c r="W49" s="11">
        <f t="shared" si="75"/>
        <v>0.09878787879</v>
      </c>
      <c r="X49" s="11">
        <f t="shared" si="75"/>
        <v>0.1024242424</v>
      </c>
      <c r="Y49" s="11">
        <f t="shared" si="75"/>
        <v>0.1036363636</v>
      </c>
      <c r="Z49" s="11">
        <f t="shared" si="18"/>
        <v>0.04792810784</v>
      </c>
      <c r="AA49" s="11">
        <f t="shared" ref="AA49:AC49" si="76">IFERROR(AA10/$Z10,0)</f>
        <v>0.007965686275</v>
      </c>
      <c r="AB49" s="11">
        <f t="shared" si="76"/>
        <v>0.9840686275</v>
      </c>
      <c r="AC49" s="11">
        <f t="shared" si="76"/>
        <v>0.007965686275</v>
      </c>
      <c r="AD49" s="11">
        <f t="shared" si="20"/>
        <v>0.003068926023</v>
      </c>
      <c r="AE49" s="11">
        <f t="shared" ref="AE49:AG49" si="77">IFERROR(AE10/$AD10,0)</f>
        <v>0.00956937799</v>
      </c>
      <c r="AF49" s="11">
        <f t="shared" si="77"/>
        <v>0.8947368421</v>
      </c>
      <c r="AG49" s="11">
        <f t="shared" si="77"/>
        <v>0.0956937799</v>
      </c>
      <c r="AH49" s="11">
        <f t="shared" si="22"/>
        <v>0.1080585005</v>
      </c>
      <c r="AI49" s="11">
        <f t="shared" ref="AI49:AQ49" si="78">IFERROR(AI10/$AH10,0)</f>
        <v>0.2318249762</v>
      </c>
      <c r="AJ49" s="11">
        <f t="shared" si="78"/>
        <v>0.06278026906</v>
      </c>
      <c r="AK49" s="11">
        <f t="shared" si="78"/>
        <v>0.04824025003</v>
      </c>
      <c r="AL49" s="11">
        <f t="shared" si="78"/>
        <v>0.2043755945</v>
      </c>
      <c r="AM49" s="11">
        <f t="shared" si="78"/>
        <v>0.07433075146</v>
      </c>
      <c r="AN49" s="11">
        <f t="shared" si="78"/>
        <v>0.06019839652</v>
      </c>
      <c r="AO49" s="11">
        <f t="shared" si="78"/>
        <v>0.1092539747</v>
      </c>
      <c r="AP49" s="11">
        <f t="shared" si="78"/>
        <v>0.09050142682</v>
      </c>
      <c r="AQ49" s="11">
        <f t="shared" si="78"/>
        <v>0.1184943606</v>
      </c>
      <c r="AR49" s="11">
        <f t="shared" si="24"/>
        <v>0.147117559</v>
      </c>
      <c r="AS49" s="11">
        <f t="shared" ref="AS49:BA49" si="79">IFERROR(AS10/$AR10,0)</f>
        <v>0.01557041621</v>
      </c>
      <c r="AT49" s="11">
        <f t="shared" si="79"/>
        <v>0.09961073959</v>
      </c>
      <c r="AU49" s="11">
        <f t="shared" si="79"/>
        <v>0.0304421599</v>
      </c>
      <c r="AV49" s="11">
        <f t="shared" si="79"/>
        <v>0.1635891806</v>
      </c>
      <c r="AW49" s="11">
        <f t="shared" si="79"/>
        <v>0.2363509332</v>
      </c>
      <c r="AX49" s="11">
        <f t="shared" si="79"/>
        <v>0.1141830522</v>
      </c>
      <c r="AY49" s="11">
        <f t="shared" si="79"/>
        <v>0.1098912067</v>
      </c>
      <c r="AZ49" s="11">
        <f t="shared" si="79"/>
        <v>0.05868849187</v>
      </c>
      <c r="BA49" s="11">
        <f t="shared" si="79"/>
        <v>0.1716738197</v>
      </c>
      <c r="BB49" s="11">
        <f t="shared" si="26"/>
        <v>0.4614695604</v>
      </c>
      <c r="BC49" s="11">
        <f t="shared" ref="BC49:BK49" si="80">IFERROR(BC10/$BB10,0)</f>
        <v>0.05597098037</v>
      </c>
      <c r="BD49" s="11">
        <f t="shared" si="80"/>
        <v>0.1063098609</v>
      </c>
      <c r="BE49" s="11">
        <f t="shared" si="80"/>
        <v>0.01387342094</v>
      </c>
      <c r="BF49" s="11">
        <f t="shared" si="80"/>
        <v>0.1244789512</v>
      </c>
      <c r="BG49" s="11">
        <f t="shared" si="80"/>
        <v>0.1654946384</v>
      </c>
      <c r="BH49" s="11">
        <f t="shared" si="80"/>
        <v>0.09145002705</v>
      </c>
      <c r="BI49" s="11">
        <f t="shared" si="80"/>
        <v>0.139211506</v>
      </c>
      <c r="BJ49" s="11">
        <f t="shared" si="80"/>
        <v>0.2533808509</v>
      </c>
      <c r="BK49" s="11">
        <f t="shared" si="80"/>
        <v>0.04982976422</v>
      </c>
      <c r="BL49" s="11">
        <f t="shared" si="28"/>
        <v>0.1502011688</v>
      </c>
      <c r="BM49" s="11">
        <f t="shared" ref="BM49:BT49" si="81">IFERROR(BM10/$BL10,0)</f>
        <v>0.020138821</v>
      </c>
      <c r="BN49" s="11">
        <f t="shared" si="81"/>
        <v>0.04154853847</v>
      </c>
      <c r="BO49" s="11">
        <f t="shared" si="81"/>
        <v>0.03069703783</v>
      </c>
      <c r="BP49" s="11">
        <f t="shared" si="81"/>
        <v>0.15123668</v>
      </c>
      <c r="BQ49" s="11">
        <f t="shared" si="81"/>
        <v>0.05445302571</v>
      </c>
      <c r="BR49" s="11">
        <f t="shared" si="81"/>
        <v>0.1722553524</v>
      </c>
      <c r="BS49" s="11">
        <f t="shared" si="81"/>
        <v>0.1114478444</v>
      </c>
      <c r="BT49" s="11">
        <f t="shared" si="81"/>
        <v>0.4182227002</v>
      </c>
      <c r="BU49" s="11">
        <f t="shared" si="30"/>
        <v>0.01264280051</v>
      </c>
      <c r="BV49" s="11">
        <f t="shared" ref="BV49:BZ49" si="82">IFERROR(BV10/$BU10,0)</f>
        <v>0.02903600465</v>
      </c>
      <c r="BW49" s="11">
        <f t="shared" si="82"/>
        <v>0.001161440186</v>
      </c>
      <c r="BX49" s="11">
        <f t="shared" si="82"/>
        <v>0</v>
      </c>
      <c r="BY49" s="11">
        <f t="shared" si="82"/>
        <v>0.8977932636</v>
      </c>
      <c r="BZ49" s="11">
        <f t="shared" si="82"/>
        <v>0.07200929152</v>
      </c>
      <c r="CA49" s="11">
        <f t="shared" si="32"/>
        <v>1</v>
      </c>
    </row>
    <row r="50" ht="15.75" customHeight="1">
      <c r="A50" s="9" t="str">
        <f t="shared" si="11"/>
        <v>Y1995</v>
      </c>
      <c r="B50" s="11">
        <f t="shared" si="12"/>
        <v>0.03804053182</v>
      </c>
      <c r="C50" s="11">
        <f t="shared" ref="C50:L50" si="83">IFERROR(C11/$B11,0)</f>
        <v>0.03596878181</v>
      </c>
      <c r="D50" s="11">
        <f t="shared" si="83"/>
        <v>0.01730573465</v>
      </c>
      <c r="E50" s="11">
        <f t="shared" si="83"/>
        <v>0.06277570411</v>
      </c>
      <c r="F50" s="11">
        <f t="shared" si="83"/>
        <v>0.2029182219</v>
      </c>
      <c r="G50" s="11">
        <f t="shared" si="83"/>
        <v>0.07397353241</v>
      </c>
      <c r="H50" s="11">
        <f t="shared" si="83"/>
        <v>0.1951136749</v>
      </c>
      <c r="I50" s="11">
        <f t="shared" si="83"/>
        <v>0.02986087547</v>
      </c>
      <c r="J50" s="11">
        <f t="shared" si="83"/>
        <v>0.1781472684</v>
      </c>
      <c r="K50" s="11">
        <f t="shared" si="83"/>
        <v>0.03529012555</v>
      </c>
      <c r="L50" s="11">
        <f t="shared" si="83"/>
        <v>0.1686460808</v>
      </c>
      <c r="M50" s="11">
        <f t="shared" si="14"/>
        <v>0.006505744159</v>
      </c>
      <c r="N50" s="11">
        <f t="shared" ref="N50:O50" si="84">IFERROR(N11/$M11,0)</f>
        <v>0.6765873016</v>
      </c>
      <c r="O50" s="11">
        <f t="shared" si="84"/>
        <v>0.3234126984</v>
      </c>
      <c r="P50" s="11">
        <f t="shared" si="16"/>
        <v>0.02253775655</v>
      </c>
      <c r="Q50" s="11">
        <f t="shared" ref="Q50:Y50" si="85">IFERROR(Q11/$P11,0)</f>
        <v>0.0005727376861</v>
      </c>
      <c r="R50" s="11">
        <f t="shared" si="85"/>
        <v>0.07502863688</v>
      </c>
      <c r="S50" s="11">
        <f t="shared" si="85"/>
        <v>0.0950744559</v>
      </c>
      <c r="T50" s="11">
        <f t="shared" si="85"/>
        <v>0.2989690722</v>
      </c>
      <c r="U50" s="11">
        <f t="shared" si="85"/>
        <v>0.1174112257</v>
      </c>
      <c r="V50" s="11">
        <f t="shared" si="85"/>
        <v>0.1042382589</v>
      </c>
      <c r="W50" s="11">
        <f t="shared" si="85"/>
        <v>0.08991981672</v>
      </c>
      <c r="X50" s="11">
        <f t="shared" si="85"/>
        <v>0.1042382589</v>
      </c>
      <c r="Y50" s="11">
        <f t="shared" si="85"/>
        <v>0.1145475372</v>
      </c>
      <c r="Z50" s="11">
        <f t="shared" si="18"/>
        <v>0.050174261</v>
      </c>
      <c r="AA50" s="11">
        <f t="shared" ref="AA50:AC50" si="86">IFERROR(AA11/$Z11,0)</f>
        <v>0.003601749421</v>
      </c>
      <c r="AB50" s="11">
        <f t="shared" si="86"/>
        <v>0.9835348598</v>
      </c>
      <c r="AC50" s="11">
        <f t="shared" si="86"/>
        <v>0.01286339079</v>
      </c>
      <c r="AD50" s="11">
        <f t="shared" si="20"/>
        <v>0.003239963857</v>
      </c>
      <c r="AE50" s="11">
        <f t="shared" ref="AE50:AG50" si="87">IFERROR(AE11/$AD11,0)</f>
        <v>0.00796812749</v>
      </c>
      <c r="AF50" s="11">
        <f t="shared" si="87"/>
        <v>0.9003984064</v>
      </c>
      <c r="AG50" s="11">
        <f t="shared" si="87"/>
        <v>0.09163346614</v>
      </c>
      <c r="AH50" s="11">
        <f t="shared" si="22"/>
        <v>0.1109978056</v>
      </c>
      <c r="AI50" s="11">
        <f t="shared" ref="AI50:AQ50" si="88">IFERROR(AI11/$AH11,0)</f>
        <v>0.2165368066</v>
      </c>
      <c r="AJ50" s="11">
        <f t="shared" si="88"/>
        <v>0.09268519595</v>
      </c>
      <c r="AK50" s="11">
        <f t="shared" si="88"/>
        <v>0.0430282591</v>
      </c>
      <c r="AL50" s="11">
        <f t="shared" si="88"/>
        <v>0.1966507733</v>
      </c>
      <c r="AM50" s="11">
        <f t="shared" si="88"/>
        <v>0.06954297011</v>
      </c>
      <c r="AN50" s="11">
        <f t="shared" si="88"/>
        <v>0.06791487382</v>
      </c>
      <c r="AO50" s="11">
        <f t="shared" si="88"/>
        <v>0.1139667403</v>
      </c>
      <c r="AP50" s="11">
        <f t="shared" si="88"/>
        <v>0.09001046633</v>
      </c>
      <c r="AQ50" s="11">
        <f t="shared" si="88"/>
        <v>0.1096639144</v>
      </c>
      <c r="AR50" s="11">
        <f t="shared" si="24"/>
        <v>0.1465470505</v>
      </c>
      <c r="AS50" s="11">
        <f t="shared" ref="AS50:BA50" si="89">IFERROR(AS11/$AR11,0)</f>
        <v>0.01479785079</v>
      </c>
      <c r="AT50" s="11">
        <f t="shared" si="89"/>
        <v>0.09548137056</v>
      </c>
      <c r="AU50" s="11">
        <f t="shared" si="89"/>
        <v>0.02880295957</v>
      </c>
      <c r="AV50" s="11">
        <f t="shared" si="89"/>
        <v>0.1803928477</v>
      </c>
      <c r="AW50" s="11">
        <f t="shared" si="89"/>
        <v>0.2128071875</v>
      </c>
      <c r="AX50" s="11">
        <f t="shared" si="89"/>
        <v>0.1066678411</v>
      </c>
      <c r="AY50" s="11">
        <f t="shared" si="89"/>
        <v>0.1285122875</v>
      </c>
      <c r="AZ50" s="11">
        <f t="shared" si="89"/>
        <v>0.06068880472</v>
      </c>
      <c r="BA50" s="11">
        <f t="shared" si="89"/>
        <v>0.1718488505</v>
      </c>
      <c r="BB50" s="11">
        <f t="shared" si="26"/>
        <v>0.4697689428</v>
      </c>
      <c r="BC50" s="11">
        <f t="shared" ref="BC50:BK50" si="90">IFERROR(BC11/$BB11,0)</f>
        <v>0.05069656253</v>
      </c>
      <c r="BD50" s="11">
        <f t="shared" si="90"/>
        <v>0.1075481549</v>
      </c>
      <c r="BE50" s="11">
        <f t="shared" si="90"/>
        <v>0.01533261891</v>
      </c>
      <c r="BF50" s="11">
        <f t="shared" si="90"/>
        <v>0.1203253373</v>
      </c>
      <c r="BG50" s="11">
        <f t="shared" si="90"/>
        <v>0.1640150578</v>
      </c>
      <c r="BH50" s="11">
        <f t="shared" si="90"/>
        <v>0.1012282582</v>
      </c>
      <c r="BI50" s="11">
        <f t="shared" si="90"/>
        <v>0.1455774462</v>
      </c>
      <c r="BJ50" s="11">
        <f t="shared" si="90"/>
        <v>0.2317203858</v>
      </c>
      <c r="BK50" s="11">
        <f t="shared" si="90"/>
        <v>0.06355617839</v>
      </c>
      <c r="BL50" s="11">
        <f t="shared" si="28"/>
        <v>0.1415128437</v>
      </c>
      <c r="BM50" s="11">
        <f t="shared" ref="BM50:BT50" si="91">IFERROR(BM11/$BL11,0)</f>
        <v>0.01988506796</v>
      </c>
      <c r="BN50" s="11">
        <f t="shared" si="91"/>
        <v>0.04168566998</v>
      </c>
      <c r="BO50" s="11">
        <f t="shared" si="91"/>
        <v>0.03274651099</v>
      </c>
      <c r="BP50" s="11">
        <f t="shared" si="91"/>
        <v>0.1553406914</v>
      </c>
      <c r="BQ50" s="11">
        <f t="shared" si="91"/>
        <v>0.05181063577</v>
      </c>
      <c r="BR50" s="11">
        <f t="shared" si="91"/>
        <v>0.1721244185</v>
      </c>
      <c r="BS50" s="11">
        <f t="shared" si="91"/>
        <v>0.1121955669</v>
      </c>
      <c r="BT50" s="11">
        <f t="shared" si="91"/>
        <v>0.4142114385</v>
      </c>
      <c r="BU50" s="11">
        <f t="shared" si="30"/>
        <v>0.01067510004</v>
      </c>
      <c r="BV50" s="11">
        <f t="shared" ref="BV50:BZ50" si="92">IFERROR(BV11/$BU11,0)</f>
        <v>0.03264812576</v>
      </c>
      <c r="BW50" s="11">
        <f t="shared" si="92"/>
        <v>0.001209189843</v>
      </c>
      <c r="BX50" s="11">
        <f t="shared" si="92"/>
        <v>0</v>
      </c>
      <c r="BY50" s="11">
        <f t="shared" si="92"/>
        <v>0.8839177751</v>
      </c>
      <c r="BZ50" s="11">
        <f t="shared" si="92"/>
        <v>0.08222490931</v>
      </c>
      <c r="CA50" s="11">
        <f t="shared" si="32"/>
        <v>1</v>
      </c>
    </row>
    <row r="51" ht="15.75" customHeight="1">
      <c r="A51" s="9" t="str">
        <f t="shared" si="11"/>
        <v>Y1996</v>
      </c>
      <c r="B51" s="11">
        <f t="shared" si="12"/>
        <v>0.03723166796</v>
      </c>
      <c r="C51" s="11">
        <f t="shared" ref="C51:L51" si="93">IFERROR(C12/$B12,0)</f>
        <v>0.03151764303</v>
      </c>
      <c r="D51" s="11">
        <f t="shared" si="93"/>
        <v>0.01918465228</v>
      </c>
      <c r="E51" s="11">
        <f t="shared" si="93"/>
        <v>0.06885919836</v>
      </c>
      <c r="F51" s="11">
        <f t="shared" si="93"/>
        <v>0.2072627612</v>
      </c>
      <c r="G51" s="11">
        <f t="shared" si="93"/>
        <v>0.05652620761</v>
      </c>
      <c r="H51" s="11">
        <f t="shared" si="93"/>
        <v>0.2045220966</v>
      </c>
      <c r="I51" s="11">
        <f t="shared" si="93"/>
        <v>0.02980472765</v>
      </c>
      <c r="J51" s="11">
        <f t="shared" si="93"/>
        <v>0.165810209</v>
      </c>
      <c r="K51" s="11">
        <f t="shared" si="93"/>
        <v>0.03597122302</v>
      </c>
      <c r="L51" s="11">
        <f t="shared" si="93"/>
        <v>0.1805412813</v>
      </c>
      <c r="M51" s="11">
        <f t="shared" si="14"/>
        <v>0.006517774008</v>
      </c>
      <c r="N51" s="11">
        <f t="shared" ref="N51:O51" si="94">IFERROR(N12/$M12,0)</f>
        <v>0.6673189824</v>
      </c>
      <c r="O51" s="11">
        <f t="shared" si="94"/>
        <v>0.3326810176</v>
      </c>
      <c r="P51" s="11">
        <f t="shared" si="16"/>
        <v>0.01917067384</v>
      </c>
      <c r="Q51" s="11">
        <f t="shared" ref="Q51:Y51" si="95">IFERROR(Q12/$P12,0)</f>
        <v>0</v>
      </c>
      <c r="R51" s="11">
        <f t="shared" si="95"/>
        <v>0.06653359947</v>
      </c>
      <c r="S51" s="11">
        <f t="shared" si="95"/>
        <v>0.09580838323</v>
      </c>
      <c r="T51" s="11">
        <f t="shared" si="95"/>
        <v>0.2787757818</v>
      </c>
      <c r="U51" s="11">
        <f t="shared" si="95"/>
        <v>0.1031270792</v>
      </c>
      <c r="V51" s="11">
        <f t="shared" si="95"/>
        <v>0.1104457751</v>
      </c>
      <c r="W51" s="11">
        <f t="shared" si="95"/>
        <v>0.0871590153</v>
      </c>
      <c r="X51" s="11">
        <f t="shared" si="95"/>
        <v>0.1137724551</v>
      </c>
      <c r="Y51" s="11">
        <f t="shared" si="95"/>
        <v>0.1443779108</v>
      </c>
      <c r="Z51" s="11">
        <f t="shared" si="18"/>
        <v>0.06247369294</v>
      </c>
      <c r="AA51" s="11">
        <f t="shared" ref="AA51:AC51" si="96">IFERROR(AA12/$Z12,0)</f>
        <v>0.003062474479</v>
      </c>
      <c r="AB51" s="11">
        <f t="shared" si="96"/>
        <v>0.9799918334</v>
      </c>
      <c r="AC51" s="11">
        <f t="shared" si="96"/>
        <v>0.01694569212</v>
      </c>
      <c r="AD51" s="11">
        <f t="shared" si="20"/>
        <v>0.003354549049</v>
      </c>
      <c r="AE51" s="11">
        <f t="shared" ref="AE51:AG51" si="97">IFERROR(AE12/$AD12,0)</f>
        <v>0.01520912548</v>
      </c>
      <c r="AF51" s="11">
        <f t="shared" si="97"/>
        <v>0.897338403</v>
      </c>
      <c r="AG51" s="11">
        <f t="shared" si="97"/>
        <v>0.08745247148</v>
      </c>
      <c r="AH51" s="11">
        <f t="shared" si="22"/>
        <v>0.1157893394</v>
      </c>
      <c r="AI51" s="11">
        <f t="shared" ref="AI51:AQ51" si="98">IFERROR(AI12/$AH12,0)</f>
        <v>0.2210839392</v>
      </c>
      <c r="AJ51" s="11">
        <f t="shared" si="98"/>
        <v>0.08757435558</v>
      </c>
      <c r="AK51" s="11">
        <f t="shared" si="98"/>
        <v>0.04450319454</v>
      </c>
      <c r="AL51" s="11">
        <f t="shared" si="98"/>
        <v>0.2133729896</v>
      </c>
      <c r="AM51" s="11">
        <f t="shared" si="98"/>
        <v>0.06862745098</v>
      </c>
      <c r="AN51" s="11">
        <f t="shared" si="98"/>
        <v>0.0821766909</v>
      </c>
      <c r="AO51" s="11">
        <f t="shared" si="98"/>
        <v>0.09572593082</v>
      </c>
      <c r="AP51" s="11">
        <f t="shared" si="98"/>
        <v>0.0792024675</v>
      </c>
      <c r="AQ51" s="11">
        <f t="shared" si="98"/>
        <v>0.1077329808</v>
      </c>
      <c r="AR51" s="11">
        <f t="shared" si="24"/>
        <v>0.1353299065</v>
      </c>
      <c r="AS51" s="11">
        <f t="shared" ref="AS51:BA51" si="99">IFERROR(AS12/$AR12,0)</f>
        <v>0.01498586239</v>
      </c>
      <c r="AT51" s="11">
        <f t="shared" si="99"/>
        <v>0.105466541</v>
      </c>
      <c r="AU51" s="11">
        <f t="shared" si="99"/>
        <v>0.03006597549</v>
      </c>
      <c r="AV51" s="11">
        <f t="shared" si="99"/>
        <v>0.1668237512</v>
      </c>
      <c r="AW51" s="11">
        <f t="shared" si="99"/>
        <v>0.2185673893</v>
      </c>
      <c r="AX51" s="11">
        <f t="shared" si="99"/>
        <v>0.1138548539</v>
      </c>
      <c r="AY51" s="11">
        <f t="shared" si="99"/>
        <v>0.1191328935</v>
      </c>
      <c r="AZ51" s="11">
        <f t="shared" si="99"/>
        <v>0.05664467484</v>
      </c>
      <c r="BA51" s="11">
        <f t="shared" si="99"/>
        <v>0.1744580584</v>
      </c>
      <c r="BB51" s="11">
        <f t="shared" si="26"/>
        <v>0.4695475823</v>
      </c>
      <c r="BC51" s="11">
        <f t="shared" ref="BC51:BK51" si="100">IFERROR(BC12/$BB12,0)</f>
        <v>0.05533371363</v>
      </c>
      <c r="BD51" s="11">
        <f t="shared" si="100"/>
        <v>0.1115638497</v>
      </c>
      <c r="BE51" s="11">
        <f t="shared" si="100"/>
        <v>0.01646157607</v>
      </c>
      <c r="BF51" s="11">
        <f t="shared" si="100"/>
        <v>0.1240594355</v>
      </c>
      <c r="BG51" s="11">
        <f t="shared" si="100"/>
        <v>0.1597805123</v>
      </c>
      <c r="BH51" s="11">
        <f t="shared" si="100"/>
        <v>0.1011599163</v>
      </c>
      <c r="BI51" s="11">
        <f t="shared" si="100"/>
        <v>0.1385380165</v>
      </c>
      <c r="BJ51" s="11">
        <f t="shared" si="100"/>
        <v>0.2239154646</v>
      </c>
      <c r="BK51" s="11">
        <f t="shared" si="100"/>
        <v>0.06918751528</v>
      </c>
      <c r="BL51" s="11">
        <f t="shared" si="28"/>
        <v>0.1410058545</v>
      </c>
      <c r="BM51" s="11">
        <f t="shared" ref="BM51:BT51" si="101">IFERROR(BM12/$BL12,0)</f>
        <v>0.02035278155</v>
      </c>
      <c r="BN51" s="11">
        <f t="shared" si="101"/>
        <v>0.0447761194</v>
      </c>
      <c r="BO51" s="11">
        <f t="shared" si="101"/>
        <v>0.03102668476</v>
      </c>
      <c r="BP51" s="11">
        <f t="shared" si="101"/>
        <v>0.163003166</v>
      </c>
      <c r="BQ51" s="11">
        <f t="shared" si="101"/>
        <v>0.05517865219</v>
      </c>
      <c r="BR51" s="11">
        <f t="shared" si="101"/>
        <v>0.1711442786</v>
      </c>
      <c r="BS51" s="11">
        <f t="shared" si="101"/>
        <v>0.1122568973</v>
      </c>
      <c r="BT51" s="11">
        <f t="shared" si="101"/>
        <v>0.4022614202</v>
      </c>
      <c r="BU51" s="11">
        <f t="shared" si="30"/>
        <v>0.009578959452</v>
      </c>
      <c r="BV51" s="11">
        <f t="shared" ref="BV51:BZ51" si="102">IFERROR(BV12/$BU12,0)</f>
        <v>0.04127829561</v>
      </c>
      <c r="BW51" s="11">
        <f t="shared" si="102"/>
        <v>0.0119840213</v>
      </c>
      <c r="BX51" s="11">
        <f t="shared" si="102"/>
        <v>0</v>
      </c>
      <c r="BY51" s="11">
        <f t="shared" si="102"/>
        <v>0.8561917443</v>
      </c>
      <c r="BZ51" s="11">
        <f t="shared" si="102"/>
        <v>0.09054593875</v>
      </c>
      <c r="CA51" s="11">
        <f t="shared" si="32"/>
        <v>1</v>
      </c>
    </row>
    <row r="52" ht="15.75" customHeight="1">
      <c r="A52" s="9" t="str">
        <f t="shared" si="11"/>
        <v>Y1997</v>
      </c>
      <c r="B52" s="11">
        <f t="shared" si="12"/>
        <v>0.03826374654</v>
      </c>
      <c r="C52" s="11">
        <f t="shared" ref="C52:L52" si="103">IFERROR(C13/$B13,0)</f>
        <v>0.03759398496</v>
      </c>
      <c r="D52" s="11">
        <f t="shared" si="103"/>
        <v>0.02161654135</v>
      </c>
      <c r="E52" s="11">
        <f t="shared" si="103"/>
        <v>0.06046365915</v>
      </c>
      <c r="F52" s="11">
        <f t="shared" si="103"/>
        <v>0.1976817043</v>
      </c>
      <c r="G52" s="11">
        <f t="shared" si="103"/>
        <v>0.06390977444</v>
      </c>
      <c r="H52" s="11">
        <f t="shared" si="103"/>
        <v>0.1848370927</v>
      </c>
      <c r="I52" s="11">
        <f t="shared" si="103"/>
        <v>0.02819548872</v>
      </c>
      <c r="J52" s="11">
        <f t="shared" si="103"/>
        <v>0.1823308271</v>
      </c>
      <c r="K52" s="11">
        <f t="shared" si="103"/>
        <v>0.04197994987</v>
      </c>
      <c r="L52" s="11">
        <f t="shared" si="103"/>
        <v>0.1813909774</v>
      </c>
      <c r="M52" s="11">
        <f t="shared" si="14"/>
        <v>0.006521139761</v>
      </c>
      <c r="N52" s="11">
        <f t="shared" ref="N52:O52" si="104">IFERROR(N13/$M13,0)</f>
        <v>0.7371323529</v>
      </c>
      <c r="O52" s="11">
        <f t="shared" si="104"/>
        <v>0.2628676471</v>
      </c>
      <c r="P52" s="11">
        <f t="shared" si="16"/>
        <v>0.01872430203</v>
      </c>
      <c r="Q52" s="11">
        <f t="shared" ref="Q52:Y52" si="105">IFERROR(Q13/$P13,0)</f>
        <v>0.0006402048656</v>
      </c>
      <c r="R52" s="11">
        <f t="shared" si="105"/>
        <v>0.05825864277</v>
      </c>
      <c r="S52" s="11">
        <f t="shared" si="105"/>
        <v>0.08322663252</v>
      </c>
      <c r="T52" s="11">
        <f t="shared" si="105"/>
        <v>0.2957746479</v>
      </c>
      <c r="U52" s="11">
        <f t="shared" si="105"/>
        <v>0.07938540333</v>
      </c>
      <c r="V52" s="11">
        <f t="shared" si="105"/>
        <v>0.09539052497</v>
      </c>
      <c r="W52" s="11">
        <f t="shared" si="105"/>
        <v>0.1056338028</v>
      </c>
      <c r="X52" s="11">
        <f t="shared" si="105"/>
        <v>0.1274007682</v>
      </c>
      <c r="Y52" s="11">
        <f t="shared" si="105"/>
        <v>0.1542893726</v>
      </c>
      <c r="Z52" s="11">
        <f t="shared" si="18"/>
        <v>0.06021265629</v>
      </c>
      <c r="AA52" s="11">
        <f t="shared" ref="AA52:AC52" si="106">IFERROR(AA13/$Z13,0)</f>
        <v>0.002588094764</v>
      </c>
      <c r="AB52" s="11">
        <f t="shared" si="106"/>
        <v>0.9786979892</v>
      </c>
      <c r="AC52" s="11">
        <f t="shared" si="106"/>
        <v>0.01871391599</v>
      </c>
      <c r="AD52" s="11">
        <f t="shared" si="20"/>
        <v>0.003236595102</v>
      </c>
      <c r="AE52" s="11">
        <f t="shared" ref="AE52:AG52" si="107">IFERROR(AE13/$AD13,0)</f>
        <v>0.03333333333</v>
      </c>
      <c r="AF52" s="11">
        <f t="shared" si="107"/>
        <v>0.8888888889</v>
      </c>
      <c r="AG52" s="11">
        <f t="shared" si="107"/>
        <v>0.07777777778</v>
      </c>
      <c r="AH52" s="11">
        <f t="shared" si="22"/>
        <v>0.1126814591</v>
      </c>
      <c r="AI52" s="11">
        <f t="shared" ref="AI52:AQ52" si="108">IFERROR(AI13/$AH13,0)</f>
        <v>0.220212766</v>
      </c>
      <c r="AJ52" s="11">
        <f t="shared" si="108"/>
        <v>0.06744680851</v>
      </c>
      <c r="AK52" s="11">
        <f t="shared" si="108"/>
        <v>0.04521276596</v>
      </c>
      <c r="AL52" s="11">
        <f t="shared" si="108"/>
        <v>0.2356382979</v>
      </c>
      <c r="AM52" s="11">
        <f t="shared" si="108"/>
        <v>0.07191489362</v>
      </c>
      <c r="AN52" s="11">
        <f t="shared" si="108"/>
        <v>0.07031914894</v>
      </c>
      <c r="AO52" s="11">
        <f t="shared" si="108"/>
        <v>0.0985106383</v>
      </c>
      <c r="AP52" s="11">
        <f t="shared" si="108"/>
        <v>0.08021276596</v>
      </c>
      <c r="AQ52" s="11">
        <f t="shared" si="108"/>
        <v>0.1105319149</v>
      </c>
      <c r="AR52" s="11">
        <f t="shared" si="24"/>
        <v>0.1382505604</v>
      </c>
      <c r="AS52" s="11">
        <f t="shared" ref="AS52:BA52" si="109">IFERROR(AS13/$AR13,0)</f>
        <v>0.01378652562</v>
      </c>
      <c r="AT52" s="11">
        <f t="shared" si="109"/>
        <v>0.0991069106</v>
      </c>
      <c r="AU52" s="11">
        <f t="shared" si="109"/>
        <v>0.03190843666</v>
      </c>
      <c r="AV52" s="11">
        <f t="shared" si="109"/>
        <v>0.1589352293</v>
      </c>
      <c r="AW52" s="11">
        <f t="shared" si="109"/>
        <v>0.2067978843</v>
      </c>
      <c r="AX52" s="11">
        <f t="shared" si="109"/>
        <v>0.1158414983</v>
      </c>
      <c r="AY52" s="11">
        <f t="shared" si="109"/>
        <v>0.1271135004</v>
      </c>
      <c r="AZ52" s="11">
        <f t="shared" si="109"/>
        <v>0.06000173415</v>
      </c>
      <c r="BA52" s="11">
        <f t="shared" si="109"/>
        <v>0.1865082806</v>
      </c>
      <c r="BB52" s="11">
        <f t="shared" si="26"/>
        <v>0.4638400403</v>
      </c>
      <c r="BC52" s="11">
        <f t="shared" ref="BC52:BK52" si="110">IFERROR(BC13/$BB13,0)</f>
        <v>0.05044709774</v>
      </c>
      <c r="BD52" s="11">
        <f t="shared" si="110"/>
        <v>0.1042022019</v>
      </c>
      <c r="BE52" s="11">
        <f t="shared" si="110"/>
        <v>0.01540290484</v>
      </c>
      <c r="BF52" s="11">
        <f t="shared" si="110"/>
        <v>0.1302527524</v>
      </c>
      <c r="BG52" s="11">
        <f t="shared" si="110"/>
        <v>0.1678813253</v>
      </c>
      <c r="BH52" s="11">
        <f t="shared" si="110"/>
        <v>0.09727606347</v>
      </c>
      <c r="BI52" s="11">
        <f t="shared" si="110"/>
        <v>0.1314157234</v>
      </c>
      <c r="BJ52" s="11">
        <f t="shared" si="110"/>
        <v>0.2478420427</v>
      </c>
      <c r="BK52" s="11">
        <f t="shared" si="110"/>
        <v>0.05527988835</v>
      </c>
      <c r="BL52" s="11">
        <f t="shared" si="28"/>
        <v>0.1472770645</v>
      </c>
      <c r="BM52" s="11">
        <f t="shared" ref="BM52:BT52" si="111">IFERROR(BM13/$BL13,0)</f>
        <v>0.02099951164</v>
      </c>
      <c r="BN52" s="11">
        <f t="shared" si="111"/>
        <v>0.04989418851</v>
      </c>
      <c r="BO52" s="11">
        <f t="shared" si="111"/>
        <v>0.02913885724</v>
      </c>
      <c r="BP52" s="11">
        <f t="shared" si="111"/>
        <v>0.1667751913</v>
      </c>
      <c r="BQ52" s="11">
        <f t="shared" si="111"/>
        <v>0.05355689403</v>
      </c>
      <c r="BR52" s="11">
        <f t="shared" si="111"/>
        <v>0.1740192089</v>
      </c>
      <c r="BS52" s="11">
        <f t="shared" si="111"/>
        <v>0.1070323946</v>
      </c>
      <c r="BT52" s="11">
        <f t="shared" si="111"/>
        <v>0.3985837539</v>
      </c>
      <c r="BU52" s="11">
        <f t="shared" si="30"/>
        <v>0.01099243596</v>
      </c>
      <c r="BV52" s="11">
        <f t="shared" ref="BV52:BZ52" si="112">IFERROR(BV13/$BU13,0)</f>
        <v>0.04034896401</v>
      </c>
      <c r="BW52" s="11">
        <f t="shared" si="112"/>
        <v>0.009814612868</v>
      </c>
      <c r="BX52" s="11">
        <f t="shared" si="112"/>
        <v>0</v>
      </c>
      <c r="BY52" s="11">
        <f t="shared" si="112"/>
        <v>0.8680479826</v>
      </c>
      <c r="BZ52" s="11">
        <f t="shared" si="112"/>
        <v>0.08178844057</v>
      </c>
      <c r="CA52" s="11">
        <f t="shared" si="32"/>
        <v>1</v>
      </c>
    </row>
    <row r="53" ht="15.75" customHeight="1">
      <c r="A53" s="9" t="str">
        <f t="shared" si="11"/>
        <v>Y1998</v>
      </c>
      <c r="B53" s="11">
        <f t="shared" si="12"/>
        <v>0.03784872908</v>
      </c>
      <c r="C53" s="11">
        <f t="shared" ref="C53:L53" si="113">IFERROR(C14/$B14,0)</f>
        <v>0.03276003276</v>
      </c>
      <c r="D53" s="11">
        <f t="shared" si="113"/>
        <v>0.01610701611</v>
      </c>
      <c r="E53" s="11">
        <f t="shared" si="113"/>
        <v>0.06524706525</v>
      </c>
      <c r="F53" s="11">
        <f t="shared" si="113"/>
        <v>0.199017199</v>
      </c>
      <c r="G53" s="11">
        <f t="shared" si="113"/>
        <v>0.06279006279</v>
      </c>
      <c r="H53" s="11">
        <f t="shared" si="113"/>
        <v>0.1818181818</v>
      </c>
      <c r="I53" s="11">
        <f t="shared" si="113"/>
        <v>0.02839202839</v>
      </c>
      <c r="J53" s="11">
        <f t="shared" si="113"/>
        <v>0.1850941851</v>
      </c>
      <c r="K53" s="11">
        <f t="shared" si="113"/>
        <v>0.04231504232</v>
      </c>
      <c r="L53" s="11">
        <f t="shared" si="113"/>
        <v>0.1864591865</v>
      </c>
      <c r="M53" s="11">
        <f t="shared" si="14"/>
        <v>0.006085968175</v>
      </c>
      <c r="N53" s="11">
        <f t="shared" ref="N53:O53" si="114">IFERROR(N14/$M14,0)</f>
        <v>0.7368421053</v>
      </c>
      <c r="O53" s="11">
        <f t="shared" si="114"/>
        <v>0.2631578947</v>
      </c>
      <c r="P53" s="11">
        <f t="shared" si="16"/>
        <v>0.01678032651</v>
      </c>
      <c r="Q53" s="11">
        <f t="shared" ref="Q53:Y53" si="115">IFERROR(Q14/$P14,0)</f>
        <v>0</v>
      </c>
      <c r="R53" s="11">
        <f t="shared" si="115"/>
        <v>0.039408867</v>
      </c>
      <c r="S53" s="11">
        <f t="shared" si="115"/>
        <v>0.07266009852</v>
      </c>
      <c r="T53" s="11">
        <f t="shared" si="115"/>
        <v>0.2955665025</v>
      </c>
      <c r="U53" s="11">
        <f t="shared" si="115"/>
        <v>0.1065270936</v>
      </c>
      <c r="V53" s="11">
        <f t="shared" si="115"/>
        <v>0.085591133</v>
      </c>
      <c r="W53" s="11">
        <f t="shared" si="115"/>
        <v>0.1176108374</v>
      </c>
      <c r="X53" s="11">
        <f t="shared" si="115"/>
        <v>0.1231527094</v>
      </c>
      <c r="Y53" s="11">
        <f t="shared" si="115"/>
        <v>0.1594827586</v>
      </c>
      <c r="Z53" s="11">
        <f t="shared" si="18"/>
        <v>0.0446683199</v>
      </c>
      <c r="AA53" s="11">
        <f t="shared" ref="AA53:AC53" si="116">IFERROR(AA14/$Z14,0)</f>
        <v>0.006476983576</v>
      </c>
      <c r="AB53" s="11">
        <f t="shared" si="116"/>
        <v>0.9768679158</v>
      </c>
      <c r="AC53" s="11">
        <f t="shared" si="116"/>
        <v>0.01665510062</v>
      </c>
      <c r="AD53" s="11">
        <f t="shared" si="20"/>
        <v>0.002769167183</v>
      </c>
      <c r="AE53" s="11">
        <f t="shared" ref="AE53:AG53" si="117">IFERROR(AE14/$AD14,0)</f>
        <v>0.0223880597</v>
      </c>
      <c r="AF53" s="11">
        <f t="shared" si="117"/>
        <v>0.8880597015</v>
      </c>
      <c r="AG53" s="11">
        <f t="shared" si="117"/>
        <v>0.08955223881</v>
      </c>
      <c r="AH53" s="11">
        <f t="shared" si="22"/>
        <v>0.1140421575</v>
      </c>
      <c r="AI53" s="11">
        <f t="shared" ref="AI53:AQ53" si="118">IFERROR(AI14/$AH14,0)</f>
        <v>0.2052188095</v>
      </c>
      <c r="AJ53" s="11">
        <f t="shared" si="118"/>
        <v>0.07058077376</v>
      </c>
      <c r="AK53" s="11">
        <f t="shared" si="118"/>
        <v>0.04276524418</v>
      </c>
      <c r="AL53" s="11">
        <f t="shared" si="118"/>
        <v>0.2575881127</v>
      </c>
      <c r="AM53" s="11">
        <f t="shared" si="118"/>
        <v>0.07474857298</v>
      </c>
      <c r="AN53" s="11">
        <f t="shared" si="118"/>
        <v>0.07021835644</v>
      </c>
      <c r="AO53" s="11">
        <f t="shared" si="118"/>
        <v>0.0915103742</v>
      </c>
      <c r="AP53" s="11">
        <f t="shared" si="118"/>
        <v>0.0789163722</v>
      </c>
      <c r="AQ53" s="11">
        <f t="shared" si="118"/>
        <v>0.1084533841</v>
      </c>
      <c r="AR53" s="11">
        <f t="shared" si="24"/>
        <v>0.1345215954</v>
      </c>
      <c r="AS53" s="11">
        <f t="shared" ref="AS53:BA53" si="119">IFERROR(AS14/$AR14,0)</f>
        <v>0.01052308165</v>
      </c>
      <c r="AT53" s="11">
        <f t="shared" si="119"/>
        <v>0.1012366541</v>
      </c>
      <c r="AU53" s="11">
        <f t="shared" si="119"/>
        <v>0.03218373147</v>
      </c>
      <c r="AV53" s="11">
        <f t="shared" si="119"/>
        <v>0.1606882249</v>
      </c>
      <c r="AW53" s="11">
        <f t="shared" si="119"/>
        <v>0.1997081189</v>
      </c>
      <c r="AX53" s="11">
        <f t="shared" si="119"/>
        <v>0.1194408173</v>
      </c>
      <c r="AY53" s="11">
        <f t="shared" si="119"/>
        <v>0.1235886013</v>
      </c>
      <c r="AZ53" s="11">
        <f t="shared" si="119"/>
        <v>0.06713265228</v>
      </c>
      <c r="BA53" s="11">
        <f t="shared" si="119"/>
        <v>0.1854981181</v>
      </c>
      <c r="BB53" s="11">
        <f t="shared" si="26"/>
        <v>0.4580801819</v>
      </c>
      <c r="BC53" s="11">
        <f t="shared" ref="BC53:BK53" si="120">IFERROR(BC14/$BB14,0)</f>
        <v>0.04878984053</v>
      </c>
      <c r="BD53" s="11">
        <f t="shared" si="120"/>
        <v>0.1004894774</v>
      </c>
      <c r="BE53" s="11">
        <f t="shared" si="120"/>
        <v>0.01197753367</v>
      </c>
      <c r="BF53" s="11">
        <f t="shared" si="120"/>
        <v>0.1320686622</v>
      </c>
      <c r="BG53" s="11">
        <f t="shared" si="120"/>
        <v>0.1599034579</v>
      </c>
      <c r="BH53" s="11">
        <f t="shared" si="120"/>
        <v>0.09338416078</v>
      </c>
      <c r="BI53" s="11">
        <f t="shared" si="120"/>
        <v>0.1289333003</v>
      </c>
      <c r="BJ53" s="11">
        <f t="shared" si="120"/>
        <v>0.2644531162</v>
      </c>
      <c r="BK53" s="11">
        <f t="shared" si="120"/>
        <v>0.06000045113</v>
      </c>
      <c r="BL53" s="11">
        <f t="shared" si="28"/>
        <v>0.1503926431</v>
      </c>
      <c r="BM53" s="11">
        <f t="shared" ref="BM53:BT53" si="121">IFERROR(BM14/$BL14,0)</f>
        <v>0.02122981793</v>
      </c>
      <c r="BN53" s="11">
        <f t="shared" si="121"/>
        <v>0.05159738921</v>
      </c>
      <c r="BO53" s="11">
        <f t="shared" si="121"/>
        <v>0.02473376846</v>
      </c>
      <c r="BP53" s="11">
        <f t="shared" si="121"/>
        <v>0.1661971831</v>
      </c>
      <c r="BQ53" s="11">
        <f t="shared" si="121"/>
        <v>0.05358983167</v>
      </c>
      <c r="BR53" s="11">
        <f t="shared" si="121"/>
        <v>0.1688079698</v>
      </c>
      <c r="BS53" s="11">
        <f t="shared" si="121"/>
        <v>0.09762968052</v>
      </c>
      <c r="BT53" s="11">
        <f t="shared" si="121"/>
        <v>0.4162143593</v>
      </c>
      <c r="BU53" s="11">
        <f t="shared" si="30"/>
        <v>0.03481091135</v>
      </c>
      <c r="BV53" s="11">
        <f t="shared" ref="BV53:BZ53" si="122">IFERROR(BV14/$BU14,0)</f>
        <v>0.01276343129</v>
      </c>
      <c r="BW53" s="11">
        <f t="shared" si="122"/>
        <v>0.001187295934</v>
      </c>
      <c r="BX53" s="11">
        <f t="shared" si="122"/>
        <v>0</v>
      </c>
      <c r="BY53" s="11">
        <f t="shared" si="122"/>
        <v>0.9421193232</v>
      </c>
      <c r="BZ53" s="11">
        <f t="shared" si="122"/>
        <v>0.04392994954</v>
      </c>
      <c r="CA53" s="11">
        <f t="shared" si="32"/>
        <v>1</v>
      </c>
    </row>
    <row r="54" ht="15.75" customHeight="1">
      <c r="A54" s="9" t="str">
        <f t="shared" si="11"/>
        <v>Y1999</v>
      </c>
      <c r="B54" s="11">
        <f t="shared" si="12"/>
        <v>0.03786968258</v>
      </c>
      <c r="C54" s="11">
        <f t="shared" ref="C54:L54" si="123">IFERROR(C15/$B15,0)</f>
        <v>0.0325182102</v>
      </c>
      <c r="D54" s="11">
        <f t="shared" si="123"/>
        <v>0.0254942768</v>
      </c>
      <c r="E54" s="11">
        <f t="shared" si="123"/>
        <v>0.07127991675</v>
      </c>
      <c r="F54" s="11">
        <f t="shared" si="123"/>
        <v>0.202653486</v>
      </c>
      <c r="G54" s="11">
        <f t="shared" si="123"/>
        <v>0.06581685744</v>
      </c>
      <c r="H54" s="11">
        <f t="shared" si="123"/>
        <v>0.1930280957</v>
      </c>
      <c r="I54" s="11">
        <f t="shared" si="123"/>
        <v>0.02757544225</v>
      </c>
      <c r="J54" s="11">
        <f t="shared" si="123"/>
        <v>0.1638917794</v>
      </c>
      <c r="K54" s="11">
        <f t="shared" si="123"/>
        <v>0.03746097815</v>
      </c>
      <c r="L54" s="11">
        <f t="shared" si="123"/>
        <v>0.1802809573</v>
      </c>
      <c r="M54" s="11">
        <f t="shared" si="14"/>
        <v>0.006620298307</v>
      </c>
      <c r="N54" s="11">
        <f t="shared" ref="N54:O54" si="124">IFERROR(N15/$M15,0)</f>
        <v>0.7380952381</v>
      </c>
      <c r="O54" s="11">
        <f t="shared" si="124"/>
        <v>0.2619047619</v>
      </c>
      <c r="P54" s="11">
        <f t="shared" si="16"/>
        <v>0.01596949934</v>
      </c>
      <c r="Q54" s="11">
        <f t="shared" ref="Q54:Y54" si="125">IFERROR(Q15/$P15,0)</f>
        <v>0</v>
      </c>
      <c r="R54" s="11">
        <f t="shared" si="125"/>
        <v>0.04194941394</v>
      </c>
      <c r="S54" s="11">
        <f t="shared" si="125"/>
        <v>0.06415792721</v>
      </c>
      <c r="T54" s="11">
        <f t="shared" si="125"/>
        <v>0.2998149291</v>
      </c>
      <c r="U54" s="11">
        <f t="shared" si="125"/>
        <v>0.1252313387</v>
      </c>
      <c r="V54" s="11">
        <f t="shared" si="125"/>
        <v>0.08574953732</v>
      </c>
      <c r="W54" s="11">
        <f t="shared" si="125"/>
        <v>0.09685379395</v>
      </c>
      <c r="X54" s="11">
        <f t="shared" si="125"/>
        <v>0.1122763726</v>
      </c>
      <c r="Y54" s="11">
        <f t="shared" si="125"/>
        <v>0.1739666872</v>
      </c>
      <c r="Z54" s="11">
        <f t="shared" si="18"/>
        <v>0.05821330759</v>
      </c>
      <c r="AA54" s="11">
        <f t="shared" ref="AA54:AC54" si="126">IFERROR(AA15/$Z15,0)</f>
        <v>0.004400067693</v>
      </c>
      <c r="AB54" s="11">
        <f t="shared" si="126"/>
        <v>0.9810458622</v>
      </c>
      <c r="AC54" s="11">
        <f t="shared" si="126"/>
        <v>0.01455407006</v>
      </c>
      <c r="AD54" s="11">
        <f t="shared" si="20"/>
        <v>0.002797864166</v>
      </c>
      <c r="AE54" s="11">
        <f t="shared" ref="AE54:AG54" si="127">IFERROR(AE15/$AD15,0)</f>
        <v>0.02112676056</v>
      </c>
      <c r="AF54" s="11">
        <f t="shared" si="127"/>
        <v>0.8591549296</v>
      </c>
      <c r="AG54" s="11">
        <f t="shared" si="127"/>
        <v>0.1197183099</v>
      </c>
      <c r="AH54" s="11">
        <f t="shared" si="22"/>
        <v>0.1158749236</v>
      </c>
      <c r="AI54" s="11">
        <f t="shared" ref="AI54:AQ54" si="128">IFERROR(AI15/$AH15,0)</f>
        <v>0.2173950009</v>
      </c>
      <c r="AJ54" s="11">
        <f t="shared" si="128"/>
        <v>0.05611290597</v>
      </c>
      <c r="AK54" s="11">
        <f t="shared" si="128"/>
        <v>0.04250977725</v>
      </c>
      <c r="AL54" s="11">
        <f t="shared" si="128"/>
        <v>0.273082809</v>
      </c>
      <c r="AM54" s="11">
        <f t="shared" si="128"/>
        <v>0.07515728618</v>
      </c>
      <c r="AN54" s="11">
        <f t="shared" si="128"/>
        <v>0.06342458766</v>
      </c>
      <c r="AO54" s="11">
        <f t="shared" si="128"/>
        <v>0.08850535623</v>
      </c>
      <c r="AP54" s="11">
        <f t="shared" si="128"/>
        <v>0.0766026186</v>
      </c>
      <c r="AQ54" s="11">
        <f t="shared" si="128"/>
        <v>0.1072096582</v>
      </c>
      <c r="AR54" s="11">
        <f t="shared" si="24"/>
        <v>0.1274210392</v>
      </c>
      <c r="AS54" s="11">
        <f t="shared" ref="AS54:BA54" si="129">IFERROR(AS15/$AR15,0)</f>
        <v>0.01229318076</v>
      </c>
      <c r="AT54" s="11">
        <f t="shared" si="129"/>
        <v>0.09517550642</v>
      </c>
      <c r="AU54" s="11">
        <f t="shared" si="129"/>
        <v>0.03943095717</v>
      </c>
      <c r="AV54" s="11">
        <f t="shared" si="129"/>
        <v>0.1690119066</v>
      </c>
      <c r="AW54" s="11">
        <f t="shared" si="129"/>
        <v>0.1993969383</v>
      </c>
      <c r="AX54" s="11">
        <f t="shared" si="129"/>
        <v>0.1297355806</v>
      </c>
      <c r="AY54" s="11">
        <f t="shared" si="129"/>
        <v>0.109246946</v>
      </c>
      <c r="AZ54" s="11">
        <f t="shared" si="129"/>
        <v>0.06138858822</v>
      </c>
      <c r="BA54" s="11">
        <f t="shared" si="129"/>
        <v>0.1843203959</v>
      </c>
      <c r="BB54" s="11">
        <f t="shared" si="26"/>
        <v>0.4709179753</v>
      </c>
      <c r="BC54" s="11">
        <f t="shared" ref="BC54:BK54" si="130">IFERROR(BC15/$BB15,0)</f>
        <v>0.04943411226</v>
      </c>
      <c r="BD54" s="11">
        <f t="shared" si="130"/>
        <v>0.08499822179</v>
      </c>
      <c r="BE54" s="11">
        <f t="shared" si="130"/>
        <v>0.009121148093</v>
      </c>
      <c r="BF54" s="11">
        <f t="shared" si="130"/>
        <v>0.112026945</v>
      </c>
      <c r="BG54" s="11">
        <f t="shared" si="130"/>
        <v>0.1506035439</v>
      </c>
      <c r="BH54" s="11">
        <f t="shared" si="130"/>
        <v>0.1235748206</v>
      </c>
      <c r="BI54" s="11">
        <f t="shared" si="130"/>
        <v>0.12336562</v>
      </c>
      <c r="BJ54" s="11">
        <f t="shared" si="130"/>
        <v>0.2588439572</v>
      </c>
      <c r="BK54" s="11">
        <f t="shared" si="130"/>
        <v>0.08803163114</v>
      </c>
      <c r="BL54" s="11">
        <f t="shared" si="28"/>
        <v>0.1429767698</v>
      </c>
      <c r="BM54" s="11">
        <f t="shared" ref="BM54:BT54" si="131">IFERROR(BM15/$BL15,0)</f>
        <v>0.02239371598</v>
      </c>
      <c r="BN54" s="11">
        <f t="shared" si="131"/>
        <v>0.06153104114</v>
      </c>
      <c r="BO54" s="11">
        <f t="shared" si="131"/>
        <v>0.02632122924</v>
      </c>
      <c r="BP54" s="11">
        <f t="shared" si="131"/>
        <v>0.1772893268</v>
      </c>
      <c r="BQ54" s="11">
        <f t="shared" si="131"/>
        <v>0.05388272583</v>
      </c>
      <c r="BR54" s="11">
        <f t="shared" si="131"/>
        <v>0.1718459312</v>
      </c>
      <c r="BS54" s="11">
        <f t="shared" si="131"/>
        <v>0.09970371391</v>
      </c>
      <c r="BT54" s="11">
        <f t="shared" si="131"/>
        <v>0.3870323159</v>
      </c>
      <c r="BU54" s="11">
        <f t="shared" si="30"/>
        <v>0.02133864008</v>
      </c>
      <c r="BV54" s="11">
        <f t="shared" ref="BV54:BZ54" si="132">IFERROR(BV15/$BU15,0)</f>
        <v>0.01708217913</v>
      </c>
      <c r="BW54" s="11">
        <f t="shared" si="132"/>
        <v>0.00323176362</v>
      </c>
      <c r="BX54" s="11">
        <f t="shared" si="132"/>
        <v>0.002308402585</v>
      </c>
      <c r="BY54" s="11">
        <f t="shared" si="132"/>
        <v>0.9256694367</v>
      </c>
      <c r="BZ54" s="11">
        <f t="shared" si="132"/>
        <v>0.05170821791</v>
      </c>
      <c r="CA54" s="11">
        <f t="shared" si="32"/>
        <v>1</v>
      </c>
    </row>
    <row r="55" ht="15.75" customHeight="1">
      <c r="A55" s="9" t="str">
        <f t="shared" si="11"/>
        <v>Y2000</v>
      </c>
      <c r="B55" s="11">
        <f t="shared" si="12"/>
        <v>0.03487288244</v>
      </c>
      <c r="C55" s="11">
        <f t="shared" ref="C55:L55" si="133">IFERROR(C16/$B16,0)</f>
        <v>0.02378616969</v>
      </c>
      <c r="D55" s="11">
        <f t="shared" si="133"/>
        <v>0.03972535557</v>
      </c>
      <c r="E55" s="11">
        <f t="shared" si="133"/>
        <v>0.06792545365</v>
      </c>
      <c r="F55" s="11">
        <f t="shared" si="133"/>
        <v>0.1969102501</v>
      </c>
      <c r="G55" s="11">
        <f t="shared" si="133"/>
        <v>0.07258460029</v>
      </c>
      <c r="H55" s="11">
        <f t="shared" si="133"/>
        <v>0.1824423737</v>
      </c>
      <c r="I55" s="11">
        <f t="shared" si="133"/>
        <v>0.02893575282</v>
      </c>
      <c r="J55" s="11">
        <f t="shared" si="133"/>
        <v>0.147621383</v>
      </c>
      <c r="K55" s="11">
        <f t="shared" si="133"/>
        <v>0.03727317312</v>
      </c>
      <c r="L55" s="11">
        <f t="shared" si="133"/>
        <v>0.202795488</v>
      </c>
      <c r="M55" s="11">
        <f t="shared" si="14"/>
        <v>0.006815519202</v>
      </c>
      <c r="N55" s="11">
        <f t="shared" ref="N55:O55" si="134">IFERROR(N16/$M16,0)</f>
        <v>0.7666248432</v>
      </c>
      <c r="O55" s="11">
        <f t="shared" si="134"/>
        <v>0.2333751568</v>
      </c>
      <c r="P55" s="11">
        <f t="shared" si="16"/>
        <v>0.01742788975</v>
      </c>
      <c r="Q55" s="11">
        <f t="shared" ref="Q55:Y55" si="135">IFERROR(Q16/$P16,0)</f>
        <v>0</v>
      </c>
      <c r="R55" s="11">
        <f t="shared" si="135"/>
        <v>0.04465161923</v>
      </c>
      <c r="S55" s="11">
        <f t="shared" si="135"/>
        <v>0.05740922473</v>
      </c>
      <c r="T55" s="11">
        <f t="shared" si="135"/>
        <v>0.3267909715</v>
      </c>
      <c r="U55" s="11">
        <f t="shared" si="135"/>
        <v>0.1653581943</v>
      </c>
      <c r="V55" s="11">
        <f t="shared" si="135"/>
        <v>0.07163886163</v>
      </c>
      <c r="W55" s="11">
        <f t="shared" si="135"/>
        <v>0.08635917566</v>
      </c>
      <c r="X55" s="11">
        <f t="shared" si="135"/>
        <v>0.1143277723</v>
      </c>
      <c r="Y55" s="11">
        <f t="shared" si="135"/>
        <v>0.1334641806</v>
      </c>
      <c r="Z55" s="11">
        <f t="shared" si="18"/>
        <v>0.08117907627</v>
      </c>
      <c r="AA55" s="11">
        <f t="shared" ref="AA55:AC55" si="136">IFERROR(AA16/$Z16,0)</f>
        <v>0.001685452439</v>
      </c>
      <c r="AB55" s="11">
        <f t="shared" si="136"/>
        <v>0.9812493416</v>
      </c>
      <c r="AC55" s="11">
        <f t="shared" si="136"/>
        <v>0.01706520594</v>
      </c>
      <c r="AD55" s="11">
        <f t="shared" si="20"/>
        <v>0.002402962228</v>
      </c>
      <c r="AE55" s="11">
        <f t="shared" ref="AE55:AG55" si="137">IFERROR(AE16/$AD16,0)</f>
        <v>0.03202846975</v>
      </c>
      <c r="AF55" s="11">
        <f t="shared" si="137"/>
        <v>0.8434163701</v>
      </c>
      <c r="AG55" s="11">
        <f t="shared" si="137"/>
        <v>0.1245551601</v>
      </c>
      <c r="AH55" s="11">
        <f t="shared" si="22"/>
        <v>0.1138456802</v>
      </c>
      <c r="AI55" s="11">
        <f t="shared" ref="AI55:AQ55" si="138">IFERROR(AI16/$AH16,0)</f>
        <v>0.2181326523</v>
      </c>
      <c r="AJ55" s="11">
        <f t="shared" si="138"/>
        <v>0.05596033952</v>
      </c>
      <c r="AK55" s="11">
        <f t="shared" si="138"/>
        <v>0.04101254413</v>
      </c>
      <c r="AL55" s="11">
        <f t="shared" si="138"/>
        <v>0.3006084279</v>
      </c>
      <c r="AM55" s="11">
        <f t="shared" si="138"/>
        <v>0.0716592804</v>
      </c>
      <c r="AN55" s="11">
        <f t="shared" si="138"/>
        <v>0.05475850672</v>
      </c>
      <c r="AO55" s="11">
        <f t="shared" si="138"/>
        <v>0.08570570119</v>
      </c>
      <c r="AP55" s="11">
        <f t="shared" si="138"/>
        <v>0.0731615714</v>
      </c>
      <c r="AQ55" s="11">
        <f t="shared" si="138"/>
        <v>0.09900097649</v>
      </c>
      <c r="AR55" s="11">
        <f t="shared" si="24"/>
        <v>0.1211315301</v>
      </c>
      <c r="AS55" s="11">
        <f t="shared" ref="AS55:BA55" si="139">IFERROR(AS16/$AR16,0)</f>
        <v>0.01249558772</v>
      </c>
      <c r="AT55" s="11">
        <f t="shared" si="139"/>
        <v>0.09262266149</v>
      </c>
      <c r="AU55" s="11">
        <f t="shared" si="139"/>
        <v>0.04031062478</v>
      </c>
      <c r="AV55" s="11">
        <f t="shared" si="139"/>
        <v>0.1741616661</v>
      </c>
      <c r="AW55" s="11">
        <f t="shared" si="139"/>
        <v>0.1879279915</v>
      </c>
      <c r="AX55" s="11">
        <f t="shared" si="139"/>
        <v>0.1369572891</v>
      </c>
      <c r="AY55" s="11">
        <f t="shared" si="139"/>
        <v>0.1063183904</v>
      </c>
      <c r="AZ55" s="11">
        <f t="shared" si="139"/>
        <v>0.05972467349</v>
      </c>
      <c r="BA55" s="11">
        <f t="shared" si="139"/>
        <v>0.1894811154</v>
      </c>
      <c r="BB55" s="11">
        <f t="shared" si="26"/>
        <v>0.4658326136</v>
      </c>
      <c r="BC55" s="11">
        <f t="shared" ref="BC55:BK55" si="140">IFERROR(BC16/$BB16,0)</f>
        <v>0.04995043507</v>
      </c>
      <c r="BD55" s="11">
        <f t="shared" si="140"/>
        <v>0.07291551933</v>
      </c>
      <c r="BE55" s="11">
        <f t="shared" si="140"/>
        <v>0.007985460954</v>
      </c>
      <c r="BF55" s="11">
        <f t="shared" si="140"/>
        <v>0.1023607593</v>
      </c>
      <c r="BG55" s="11">
        <f t="shared" si="140"/>
        <v>0.156001028</v>
      </c>
      <c r="BH55" s="11">
        <f t="shared" si="140"/>
        <v>0.1510996072</v>
      </c>
      <c r="BI55" s="11">
        <f t="shared" si="140"/>
        <v>0.1241876859</v>
      </c>
      <c r="BJ55" s="11">
        <f t="shared" si="140"/>
        <v>0.2592429416</v>
      </c>
      <c r="BK55" s="11">
        <f t="shared" si="140"/>
        <v>0.07625656276</v>
      </c>
      <c r="BL55" s="11">
        <f t="shared" si="28"/>
        <v>0.1406801837</v>
      </c>
      <c r="BM55" s="11">
        <f t="shared" ref="BM55:BT55" si="141">IFERROR(BM16/$BL16,0)</f>
        <v>0.02279496687</v>
      </c>
      <c r="BN55" s="11">
        <f t="shared" si="141"/>
        <v>0.06747310194</v>
      </c>
      <c r="BO55" s="11">
        <f t="shared" si="141"/>
        <v>0.02759710656</v>
      </c>
      <c r="BP55" s="11">
        <f t="shared" si="141"/>
        <v>0.1858853565</v>
      </c>
      <c r="BQ55" s="11">
        <f t="shared" si="141"/>
        <v>0.05489028023</v>
      </c>
      <c r="BR55" s="11">
        <f t="shared" si="141"/>
        <v>0.161449152</v>
      </c>
      <c r="BS55" s="11">
        <f t="shared" si="141"/>
        <v>0.09707616558</v>
      </c>
      <c r="BT55" s="11">
        <f t="shared" si="141"/>
        <v>0.3828338703</v>
      </c>
      <c r="BU55" s="11">
        <f t="shared" si="30"/>
        <v>0.01581166249</v>
      </c>
      <c r="BV55" s="11">
        <f t="shared" ref="BV55:BZ55" si="142">IFERROR(BV16/$BU16,0)</f>
        <v>0.03190914008</v>
      </c>
      <c r="BW55" s="11">
        <f t="shared" si="142"/>
        <v>0.004867495944</v>
      </c>
      <c r="BX55" s="11">
        <f t="shared" si="142"/>
        <v>0.0005408328826</v>
      </c>
      <c r="BY55" s="11">
        <f t="shared" si="142"/>
        <v>0.8902109248</v>
      </c>
      <c r="BZ55" s="11">
        <f t="shared" si="142"/>
        <v>0.07247160627</v>
      </c>
      <c r="CA55" s="11">
        <f t="shared" si="32"/>
        <v>1</v>
      </c>
    </row>
    <row r="56" ht="15.75" customHeight="1">
      <c r="A56" s="9" t="str">
        <f t="shared" si="11"/>
        <v>Y2001</v>
      </c>
      <c r="B56" s="11">
        <f t="shared" si="12"/>
        <v>0.03786997325</v>
      </c>
      <c r="C56" s="11">
        <f t="shared" ref="C56:L56" si="143">IFERROR(C17/$B17,0)</f>
        <v>0.01525005607</v>
      </c>
      <c r="D56" s="11">
        <f t="shared" si="143"/>
        <v>0.03924646782</v>
      </c>
      <c r="E56" s="11">
        <f t="shared" si="143"/>
        <v>0.07355909397</v>
      </c>
      <c r="F56" s="11">
        <f t="shared" si="143"/>
        <v>0.202960305</v>
      </c>
      <c r="G56" s="11">
        <f t="shared" si="143"/>
        <v>0.06705539359</v>
      </c>
      <c r="H56" s="11">
        <f t="shared" si="143"/>
        <v>0.1789638932</v>
      </c>
      <c r="I56" s="11">
        <f t="shared" si="143"/>
        <v>0.02870598789</v>
      </c>
      <c r="J56" s="11">
        <f t="shared" si="143"/>
        <v>0.1354563804</v>
      </c>
      <c r="K56" s="11">
        <f t="shared" si="143"/>
        <v>0.05292666517</v>
      </c>
      <c r="L56" s="11">
        <f t="shared" si="143"/>
        <v>0.2058757569</v>
      </c>
      <c r="M56" s="11">
        <f t="shared" si="14"/>
        <v>0.007949382139</v>
      </c>
      <c r="N56" s="11">
        <f t="shared" ref="N56:O56" si="144">IFERROR(N17/$M17,0)</f>
        <v>0.7681623932</v>
      </c>
      <c r="O56" s="11">
        <f t="shared" si="144"/>
        <v>0.2318376068</v>
      </c>
      <c r="P56" s="11">
        <f t="shared" si="16"/>
        <v>0.01477769757</v>
      </c>
      <c r="Q56" s="11">
        <f t="shared" ref="Q56:Y56" si="145">IFERROR(Q17/$P17,0)</f>
        <v>0.001149425287</v>
      </c>
      <c r="R56" s="11">
        <f t="shared" si="145"/>
        <v>0.02356321839</v>
      </c>
      <c r="S56" s="11">
        <f t="shared" si="145"/>
        <v>0.07528735632</v>
      </c>
      <c r="T56" s="11">
        <f t="shared" si="145"/>
        <v>0.25</v>
      </c>
      <c r="U56" s="11">
        <f t="shared" si="145"/>
        <v>0.141954023</v>
      </c>
      <c r="V56" s="11">
        <f t="shared" si="145"/>
        <v>0.08333333333</v>
      </c>
      <c r="W56" s="11">
        <f t="shared" si="145"/>
        <v>0.1172413793</v>
      </c>
      <c r="X56" s="11">
        <f t="shared" si="145"/>
        <v>0.1528735632</v>
      </c>
      <c r="Y56" s="11">
        <f t="shared" si="145"/>
        <v>0.1545977011</v>
      </c>
      <c r="Z56" s="11">
        <f t="shared" si="18"/>
        <v>0.0844536923</v>
      </c>
      <c r="AA56" s="11">
        <f t="shared" ref="AA56:AC56" si="146">IFERROR(AA17/$Z17,0)</f>
        <v>0.001206757844</v>
      </c>
      <c r="AB56" s="11">
        <f t="shared" si="146"/>
        <v>0.985619469</v>
      </c>
      <c r="AC56" s="11">
        <f t="shared" si="146"/>
        <v>0.01317377313</v>
      </c>
      <c r="AD56" s="11">
        <f t="shared" si="20"/>
        <v>0.002437470806</v>
      </c>
      <c r="AE56" s="11">
        <f t="shared" ref="AE56:AG56" si="147">IFERROR(AE17/$AD17,0)</f>
        <v>0.05574912892</v>
      </c>
      <c r="AF56" s="11">
        <f t="shared" si="147"/>
        <v>0.8292682927</v>
      </c>
      <c r="AG56" s="11">
        <f t="shared" si="147"/>
        <v>0.1149825784</v>
      </c>
      <c r="AH56" s="11">
        <f t="shared" si="22"/>
        <v>0.1238608858</v>
      </c>
      <c r="AI56" s="11">
        <f t="shared" ref="AI56:AQ56" si="148">IFERROR(AI17/$AH17,0)</f>
        <v>0.1847229841</v>
      </c>
      <c r="AJ56" s="11">
        <f t="shared" si="148"/>
        <v>0.07467087219</v>
      </c>
      <c r="AK56" s="11">
        <f t="shared" si="148"/>
        <v>0.03867251783</v>
      </c>
      <c r="AL56" s="11">
        <f t="shared" si="148"/>
        <v>0.3166483818</v>
      </c>
      <c r="AM56" s="11">
        <f t="shared" si="148"/>
        <v>0.080224904</v>
      </c>
      <c r="AN56" s="11">
        <f t="shared" si="148"/>
        <v>0.05704882063</v>
      </c>
      <c r="AO56" s="11">
        <f t="shared" si="148"/>
        <v>0.08207624794</v>
      </c>
      <c r="AP56" s="11">
        <f t="shared" si="148"/>
        <v>0.06726549643</v>
      </c>
      <c r="AQ56" s="11">
        <f t="shared" si="148"/>
        <v>0.0986697751</v>
      </c>
      <c r="AR56" s="11">
        <f t="shared" si="24"/>
        <v>0.1204976857</v>
      </c>
      <c r="AS56" s="11">
        <f t="shared" ref="AS56:BA56" si="149">IFERROR(AS17/$AR17,0)</f>
        <v>0.01395545531</v>
      </c>
      <c r="AT56" s="11">
        <f t="shared" si="149"/>
        <v>0.1078376092</v>
      </c>
      <c r="AU56" s="11">
        <f t="shared" si="149"/>
        <v>0.0374964759</v>
      </c>
      <c r="AV56" s="11">
        <f t="shared" si="149"/>
        <v>0.1635184663</v>
      </c>
      <c r="AW56" s="11">
        <f t="shared" si="149"/>
        <v>0.1772624753</v>
      </c>
      <c r="AX56" s="11">
        <f t="shared" si="149"/>
        <v>0.1327882718</v>
      </c>
      <c r="AY56" s="11">
        <f t="shared" si="149"/>
        <v>0.1116436425</v>
      </c>
      <c r="AZ56" s="11">
        <f t="shared" si="149"/>
        <v>0.06420919087</v>
      </c>
      <c r="BA56" s="11">
        <f t="shared" si="149"/>
        <v>0.1912884127</v>
      </c>
      <c r="BB56" s="11">
        <f t="shared" si="26"/>
        <v>0.4435262644</v>
      </c>
      <c r="BC56" s="11">
        <f t="shared" ref="BC56:BK56" si="150">IFERROR(BC17/$BB17,0)</f>
        <v>0.05851827739</v>
      </c>
      <c r="BD56" s="11">
        <f t="shared" si="150"/>
        <v>0.07471803611</v>
      </c>
      <c r="BE56" s="11">
        <f t="shared" si="150"/>
        <v>0.009957298508</v>
      </c>
      <c r="BF56" s="11">
        <f t="shared" si="150"/>
        <v>0.1170748521</v>
      </c>
      <c r="BG56" s="11">
        <f t="shared" si="150"/>
        <v>0.1499339372</v>
      </c>
      <c r="BH56" s="11">
        <f t="shared" si="150"/>
        <v>0.1351128813</v>
      </c>
      <c r="BI56" s="11">
        <f t="shared" si="150"/>
        <v>0.1266491776</v>
      </c>
      <c r="BJ56" s="11">
        <f t="shared" si="150"/>
        <v>0.2720831817</v>
      </c>
      <c r="BK56" s="11">
        <f t="shared" si="150"/>
        <v>0.05595235816</v>
      </c>
      <c r="BL56" s="11">
        <f t="shared" si="28"/>
        <v>0.1447280139</v>
      </c>
      <c r="BM56" s="11">
        <f t="shared" ref="BM56:BT56" si="151">IFERROR(BM17/$BL17,0)</f>
        <v>0.02282729887</v>
      </c>
      <c r="BN56" s="11">
        <f t="shared" si="151"/>
        <v>0.06625198052</v>
      </c>
      <c r="BO56" s="11">
        <f t="shared" si="151"/>
        <v>0.02799131506</v>
      </c>
      <c r="BP56" s="11">
        <f t="shared" si="151"/>
        <v>0.1859045831</v>
      </c>
      <c r="BQ56" s="11">
        <f t="shared" si="151"/>
        <v>0.05510240009</v>
      </c>
      <c r="BR56" s="11">
        <f t="shared" si="151"/>
        <v>0.1744029106</v>
      </c>
      <c r="BS56" s="11">
        <f t="shared" si="151"/>
        <v>0.0946540696</v>
      </c>
      <c r="BT56" s="11">
        <f t="shared" si="151"/>
        <v>0.3728654422</v>
      </c>
      <c r="BU56" s="11">
        <f t="shared" si="30"/>
        <v>0.01989893414</v>
      </c>
      <c r="BV56" s="11">
        <f t="shared" ref="BV56:BZ56" si="152">IFERROR(BV17/$BU17,0)</f>
        <v>0.01835253948</v>
      </c>
      <c r="BW56" s="11">
        <f t="shared" si="152"/>
        <v>0.002987622706</v>
      </c>
      <c r="BX56" s="11">
        <f t="shared" si="152"/>
        <v>0</v>
      </c>
      <c r="BY56" s="11">
        <f t="shared" si="152"/>
        <v>0.9197609902</v>
      </c>
      <c r="BZ56" s="11">
        <f t="shared" si="152"/>
        <v>0.05889884763</v>
      </c>
      <c r="CA56" s="11">
        <f t="shared" si="32"/>
        <v>1</v>
      </c>
    </row>
    <row r="57" ht="15.75" customHeight="1">
      <c r="A57" s="9" t="str">
        <f t="shared" si="11"/>
        <v>Y2002</v>
      </c>
      <c r="B57" s="11">
        <f t="shared" si="12"/>
        <v>0.03740316302</v>
      </c>
      <c r="C57" s="11">
        <f t="shared" ref="C57:L57" si="153">IFERROR(C18/$B18,0)</f>
        <v>0.01780104712</v>
      </c>
      <c r="D57" s="11">
        <f t="shared" si="153"/>
        <v>0.04586387435</v>
      </c>
      <c r="E57" s="11">
        <f t="shared" si="153"/>
        <v>0.0619895288</v>
      </c>
      <c r="F57" s="11">
        <f t="shared" si="153"/>
        <v>0.1922513089</v>
      </c>
      <c r="G57" s="11">
        <f t="shared" si="153"/>
        <v>0.0632460733</v>
      </c>
      <c r="H57" s="11">
        <f t="shared" si="153"/>
        <v>0.1819895288</v>
      </c>
      <c r="I57" s="11">
        <f t="shared" si="153"/>
        <v>0.03162303665</v>
      </c>
      <c r="J57" s="11">
        <f t="shared" si="153"/>
        <v>0.1394764398</v>
      </c>
      <c r="K57" s="11">
        <f t="shared" si="153"/>
        <v>0.0632460733</v>
      </c>
      <c r="L57" s="11">
        <f t="shared" si="153"/>
        <v>0.202513089</v>
      </c>
      <c r="M57" s="11">
        <f t="shared" si="14"/>
        <v>0.007558963834</v>
      </c>
      <c r="N57" s="11">
        <f t="shared" ref="N57:O57" si="154">IFERROR(N18/$M18,0)</f>
        <v>0.7056994819</v>
      </c>
      <c r="O57" s="11">
        <f t="shared" si="154"/>
        <v>0.2943005181</v>
      </c>
      <c r="P57" s="11">
        <f t="shared" si="16"/>
        <v>0.01476543713</v>
      </c>
      <c r="Q57" s="11">
        <f t="shared" ref="Q57:Y57" si="155">IFERROR(Q18/$P18,0)</f>
        <v>0.001591511936</v>
      </c>
      <c r="R57" s="11">
        <f t="shared" si="155"/>
        <v>0.02387267905</v>
      </c>
      <c r="S57" s="11">
        <f t="shared" si="155"/>
        <v>0.06472148541</v>
      </c>
      <c r="T57" s="11">
        <f t="shared" si="155"/>
        <v>0.2976127321</v>
      </c>
      <c r="U57" s="11">
        <f t="shared" si="155"/>
        <v>0.1331564987</v>
      </c>
      <c r="V57" s="11">
        <f t="shared" si="155"/>
        <v>0.08647214854</v>
      </c>
      <c r="W57" s="11">
        <f t="shared" si="155"/>
        <v>0.1092838196</v>
      </c>
      <c r="X57" s="11">
        <f t="shared" si="155"/>
        <v>0.1331564987</v>
      </c>
      <c r="Y57" s="11">
        <f t="shared" si="155"/>
        <v>0.150132626</v>
      </c>
      <c r="Z57" s="11">
        <f t="shared" si="18"/>
        <v>0.07289504398</v>
      </c>
      <c r="AA57" s="11">
        <f t="shared" ref="AA57:AC57" si="156">IFERROR(AA18/$Z18,0)</f>
        <v>0.002364066194</v>
      </c>
      <c r="AB57" s="11">
        <f t="shared" si="156"/>
        <v>0.9846335697</v>
      </c>
      <c r="AC57" s="11">
        <f t="shared" si="156"/>
        <v>0.01300236407</v>
      </c>
      <c r="AD57" s="11">
        <f t="shared" si="20"/>
        <v>0.002671094992</v>
      </c>
      <c r="AE57" s="11">
        <f t="shared" ref="AE57:AG57" si="157">IFERROR(AE18/$AD18,0)</f>
        <v>0.05278592375</v>
      </c>
      <c r="AF57" s="11">
        <f t="shared" si="157"/>
        <v>0.8299120235</v>
      </c>
      <c r="AG57" s="11">
        <f t="shared" si="157"/>
        <v>0.1173020528</v>
      </c>
      <c r="AH57" s="11">
        <f t="shared" si="22"/>
        <v>0.1154837345</v>
      </c>
      <c r="AI57" s="11">
        <f t="shared" ref="AI57:AQ57" si="158">IFERROR(AI18/$AH18,0)</f>
        <v>0.1663162179</v>
      </c>
      <c r="AJ57" s="11">
        <f t="shared" si="158"/>
        <v>0.04802279048</v>
      </c>
      <c r="AK57" s="11">
        <f t="shared" si="158"/>
        <v>0.03683103846</v>
      </c>
      <c r="AL57" s="11">
        <f t="shared" si="158"/>
        <v>0.352574103</v>
      </c>
      <c r="AM57" s="11">
        <f t="shared" si="158"/>
        <v>0.08241199213</v>
      </c>
      <c r="AN57" s="11">
        <f t="shared" si="158"/>
        <v>0.05351692329</v>
      </c>
      <c r="AO57" s="11">
        <f t="shared" si="158"/>
        <v>0.08810961134</v>
      </c>
      <c r="AP57" s="11">
        <f t="shared" si="158"/>
        <v>0.06972800651</v>
      </c>
      <c r="AQ57" s="11">
        <f t="shared" si="158"/>
        <v>0.102489317</v>
      </c>
      <c r="AR57" s="11">
        <f t="shared" si="24"/>
        <v>0.1221967211</v>
      </c>
      <c r="AS57" s="11">
        <f t="shared" ref="AS57:BA57" si="159">IFERROR(AS18/$AR18,0)</f>
        <v>0.01378205128</v>
      </c>
      <c r="AT57" s="11">
        <f t="shared" si="159"/>
        <v>0.1096153846</v>
      </c>
      <c r="AU57" s="11">
        <f t="shared" si="159"/>
        <v>0.0425</v>
      </c>
      <c r="AV57" s="11">
        <f t="shared" si="159"/>
        <v>0.156474359</v>
      </c>
      <c r="AW57" s="11">
        <f t="shared" si="159"/>
        <v>0.173525641</v>
      </c>
      <c r="AX57" s="11">
        <f t="shared" si="159"/>
        <v>0.1337820513</v>
      </c>
      <c r="AY57" s="11">
        <f t="shared" si="159"/>
        <v>0.1177564103</v>
      </c>
      <c r="AZ57" s="11">
        <f t="shared" si="159"/>
        <v>0.06121794872</v>
      </c>
      <c r="BA57" s="11">
        <f t="shared" si="159"/>
        <v>0.1913461538</v>
      </c>
      <c r="BB57" s="11">
        <f t="shared" si="26"/>
        <v>0.4578930465</v>
      </c>
      <c r="BC57" s="11">
        <f t="shared" ref="BC57:BK57" si="160">IFERROR(BC18/$BB18,0)</f>
        <v>0.05298001916</v>
      </c>
      <c r="BD57" s="11">
        <f t="shared" si="160"/>
        <v>0.07622827426</v>
      </c>
      <c r="BE57" s="11">
        <f t="shared" si="160"/>
        <v>0.01028123717</v>
      </c>
      <c r="BF57" s="11">
        <f t="shared" si="160"/>
        <v>0.1147700835</v>
      </c>
      <c r="BG57" s="11">
        <f t="shared" si="160"/>
        <v>0.136187902</v>
      </c>
      <c r="BH57" s="11">
        <f t="shared" si="160"/>
        <v>0.1162412755</v>
      </c>
      <c r="BI57" s="11">
        <f t="shared" si="160"/>
        <v>0.1161215273</v>
      </c>
      <c r="BJ57" s="11">
        <f t="shared" si="160"/>
        <v>0.2708361845</v>
      </c>
      <c r="BK57" s="11">
        <f t="shared" si="160"/>
        <v>0.1063534966</v>
      </c>
      <c r="BL57" s="11">
        <f t="shared" si="28"/>
        <v>0.1440354684</v>
      </c>
      <c r="BM57" s="11">
        <f t="shared" ref="BM57:BT57" si="161">IFERROR(BM18/$BL18,0)</f>
        <v>0.02278659996</v>
      </c>
      <c r="BN57" s="11">
        <f t="shared" si="161"/>
        <v>0.07526647814</v>
      </c>
      <c r="BO57" s="11">
        <f t="shared" si="161"/>
        <v>0.02539699804</v>
      </c>
      <c r="BP57" s="11">
        <f t="shared" si="161"/>
        <v>0.1817489667</v>
      </c>
      <c r="BQ57" s="11">
        <f t="shared" si="161"/>
        <v>0.05617794214</v>
      </c>
      <c r="BR57" s="11">
        <f t="shared" si="161"/>
        <v>0.1621709811</v>
      </c>
      <c r="BS57" s="11">
        <f t="shared" si="161"/>
        <v>0.08462040461</v>
      </c>
      <c r="BT57" s="11">
        <f t="shared" si="161"/>
        <v>0.3918316293</v>
      </c>
      <c r="BU57" s="11">
        <f t="shared" si="30"/>
        <v>0.02509732656</v>
      </c>
      <c r="BV57" s="11">
        <f t="shared" ref="BV57:BZ57" si="162">IFERROR(BV18/$BU18,0)</f>
        <v>0.01248439451</v>
      </c>
      <c r="BW57" s="11">
        <f t="shared" si="162"/>
        <v>0.002496878901</v>
      </c>
      <c r="BX57" s="11">
        <f t="shared" si="162"/>
        <v>0</v>
      </c>
      <c r="BY57" s="11">
        <f t="shared" si="162"/>
        <v>0.7843320849</v>
      </c>
      <c r="BZ57" s="11">
        <f t="shared" si="162"/>
        <v>0.2006866417</v>
      </c>
      <c r="CA57" s="11">
        <f t="shared" si="32"/>
        <v>1</v>
      </c>
    </row>
    <row r="58" ht="15.75" customHeight="1">
      <c r="A58" s="9" t="str">
        <f t="shared" si="11"/>
        <v>Y2003</v>
      </c>
      <c r="B58" s="11">
        <f t="shared" si="12"/>
        <v>0.03978457396</v>
      </c>
      <c r="C58" s="11">
        <f t="shared" ref="C58:L58" si="163">IFERROR(C19/$B19,0)</f>
        <v>0.01585766776</v>
      </c>
      <c r="D58" s="11">
        <f t="shared" si="163"/>
        <v>0.04525236898</v>
      </c>
      <c r="E58" s="11">
        <f t="shared" si="163"/>
        <v>0.06169019532</v>
      </c>
      <c r="F58" s="11">
        <f t="shared" si="163"/>
        <v>0.1835234964</v>
      </c>
      <c r="G58" s="11">
        <f t="shared" si="163"/>
        <v>0.07909495262</v>
      </c>
      <c r="H58" s="11">
        <f t="shared" si="163"/>
        <v>0.185070586</v>
      </c>
      <c r="I58" s="11">
        <f t="shared" si="163"/>
        <v>0.03713014891</v>
      </c>
      <c r="J58" s="11">
        <f t="shared" si="163"/>
        <v>0.1295687488</v>
      </c>
      <c r="K58" s="11">
        <f t="shared" si="163"/>
        <v>0.05994971959</v>
      </c>
      <c r="L58" s="11">
        <f t="shared" si="163"/>
        <v>0.2028621156</v>
      </c>
      <c r="M58" s="11">
        <f t="shared" si="14"/>
        <v>0.007378341989</v>
      </c>
      <c r="N58" s="11">
        <f t="shared" ref="N58:O58" si="164">IFERROR(N19/$M19,0)</f>
        <v>0.7351407716</v>
      </c>
      <c r="O58" s="11">
        <f t="shared" si="164"/>
        <v>0.2648592284</v>
      </c>
      <c r="P58" s="11">
        <f t="shared" si="16"/>
        <v>0.01490286594</v>
      </c>
      <c r="Q58" s="11">
        <f t="shared" ref="Q58:Y58" si="165">IFERROR(Q19/$P19,0)</f>
        <v>0.001032524522</v>
      </c>
      <c r="R58" s="11">
        <f t="shared" si="165"/>
        <v>0.03665462055</v>
      </c>
      <c r="S58" s="11">
        <f t="shared" si="165"/>
        <v>0.06866288074</v>
      </c>
      <c r="T58" s="11">
        <f t="shared" si="165"/>
        <v>0.3087248322</v>
      </c>
      <c r="U58" s="11">
        <f t="shared" si="165"/>
        <v>0.1202891069</v>
      </c>
      <c r="V58" s="11">
        <f t="shared" si="165"/>
        <v>0.08621579763</v>
      </c>
      <c r="W58" s="11">
        <f t="shared" si="165"/>
        <v>0.09757356737</v>
      </c>
      <c r="X58" s="11">
        <f t="shared" si="165"/>
        <v>0.1393908105</v>
      </c>
      <c r="Y58" s="11">
        <f t="shared" si="165"/>
        <v>0.1414558596</v>
      </c>
      <c r="Z58" s="11">
        <f t="shared" si="18"/>
        <v>0.07719176765</v>
      </c>
      <c r="AA58" s="11">
        <f t="shared" ref="AA58:AC58" si="166">IFERROR(AA19/$Z19,0)</f>
        <v>0.001694408452</v>
      </c>
      <c r="AB58" s="11">
        <f t="shared" si="166"/>
        <v>0.9884381541</v>
      </c>
      <c r="AC58" s="11">
        <f t="shared" si="166"/>
        <v>0.009867437456</v>
      </c>
      <c r="AD58" s="11">
        <f t="shared" si="20"/>
        <v>0.002746682054</v>
      </c>
      <c r="AE58" s="11">
        <f t="shared" ref="AE58:AG58" si="167">IFERROR(AE19/$AD19,0)</f>
        <v>0.0700280112</v>
      </c>
      <c r="AF58" s="11">
        <f t="shared" si="167"/>
        <v>0.81232493</v>
      </c>
      <c r="AG58" s="11">
        <f t="shared" si="167"/>
        <v>0.1176470588</v>
      </c>
      <c r="AH58" s="11">
        <f t="shared" si="22"/>
        <v>0.1149297942</v>
      </c>
      <c r="AI58" s="11">
        <f t="shared" ref="AI58:AQ58" si="168">IFERROR(AI19/$AH19,0)</f>
        <v>0.1587227206</v>
      </c>
      <c r="AJ58" s="11">
        <f t="shared" si="168"/>
        <v>0.04632480921</v>
      </c>
      <c r="AK58" s="11">
        <f t="shared" si="168"/>
        <v>0.03594858749</v>
      </c>
      <c r="AL58" s="11">
        <f t="shared" si="168"/>
        <v>0.36992904</v>
      </c>
      <c r="AM58" s="11">
        <f t="shared" si="168"/>
        <v>0.08488418798</v>
      </c>
      <c r="AN58" s="11">
        <f t="shared" si="168"/>
        <v>0.05134556165</v>
      </c>
      <c r="AO58" s="11">
        <f t="shared" si="168"/>
        <v>0.085620565</v>
      </c>
      <c r="AP58" s="11">
        <f t="shared" si="168"/>
        <v>0.06962110055</v>
      </c>
      <c r="AQ58" s="11">
        <f t="shared" si="168"/>
        <v>0.0976034275</v>
      </c>
      <c r="AR58" s="11">
        <f t="shared" si="24"/>
        <v>0.121592614</v>
      </c>
      <c r="AS58" s="11">
        <f t="shared" ref="AS58:BA58" si="169">IFERROR(AS19/$AR19,0)</f>
        <v>0.01100987092</v>
      </c>
      <c r="AT58" s="11">
        <f t="shared" si="169"/>
        <v>0.1095292331</v>
      </c>
      <c r="AU58" s="11">
        <f t="shared" si="169"/>
        <v>0.04157175399</v>
      </c>
      <c r="AV58" s="11">
        <f t="shared" si="169"/>
        <v>0.1566059226</v>
      </c>
      <c r="AW58" s="11">
        <f t="shared" si="169"/>
        <v>0.1614148317</v>
      </c>
      <c r="AX58" s="11">
        <f t="shared" si="169"/>
        <v>0.1299670969</v>
      </c>
      <c r="AY58" s="11">
        <f t="shared" si="169"/>
        <v>0.1264236902</v>
      </c>
      <c r="AZ58" s="11">
        <f t="shared" si="169"/>
        <v>0.06605922551</v>
      </c>
      <c r="BA58" s="11">
        <f t="shared" si="169"/>
        <v>0.1974183751</v>
      </c>
      <c r="BB58" s="11">
        <f t="shared" si="26"/>
        <v>0.4552029236</v>
      </c>
      <c r="BC58" s="11">
        <f t="shared" ref="BC58:BK58" si="170">IFERROR(BC19/$BB19,0)</f>
        <v>0.05089157441</v>
      </c>
      <c r="BD58" s="11">
        <f t="shared" si="170"/>
        <v>0.07705569171</v>
      </c>
      <c r="BE58" s="11">
        <f t="shared" si="170"/>
        <v>0.01374123215</v>
      </c>
      <c r="BF58" s="11">
        <f t="shared" si="170"/>
        <v>0.117569509</v>
      </c>
      <c r="BG58" s="11">
        <f t="shared" si="170"/>
        <v>0.12708527</v>
      </c>
      <c r="BH58" s="11">
        <f t="shared" si="170"/>
        <v>0.1187864447</v>
      </c>
      <c r="BI58" s="11">
        <f t="shared" si="170"/>
        <v>0.1165722978</v>
      </c>
      <c r="BJ58" s="11">
        <f t="shared" si="170"/>
        <v>0.2908814333</v>
      </c>
      <c r="BK58" s="11">
        <f t="shared" si="170"/>
        <v>0.08741654694</v>
      </c>
      <c r="BL58" s="11">
        <f t="shared" si="28"/>
        <v>0.1411502212</v>
      </c>
      <c r="BM58" s="11">
        <f t="shared" ref="BM58:BT58" si="171">IFERROR(BM19/$BL19,0)</f>
        <v>0.02458301537</v>
      </c>
      <c r="BN58" s="11">
        <f t="shared" si="171"/>
        <v>0.08257930884</v>
      </c>
      <c r="BO58" s="11">
        <f t="shared" si="171"/>
        <v>0.02556415567</v>
      </c>
      <c r="BP58" s="11">
        <f t="shared" si="171"/>
        <v>0.1833097133</v>
      </c>
      <c r="BQ58" s="11">
        <f t="shared" si="171"/>
        <v>0.04998364766</v>
      </c>
      <c r="BR58" s="11">
        <f t="shared" si="171"/>
        <v>0.1670663905</v>
      </c>
      <c r="BS58" s="11">
        <f t="shared" si="171"/>
        <v>0.07511174098</v>
      </c>
      <c r="BT58" s="11">
        <f t="shared" si="171"/>
        <v>0.3918020277</v>
      </c>
      <c r="BU58" s="11">
        <f t="shared" si="30"/>
        <v>0.02512021543</v>
      </c>
      <c r="BV58" s="11">
        <f t="shared" ref="BV58:BZ58" si="172">IFERROR(BV19/$BU19,0)</f>
        <v>0.008882082695</v>
      </c>
      <c r="BW58" s="11">
        <f t="shared" si="172"/>
        <v>0.0006125574273</v>
      </c>
      <c r="BX58" s="11">
        <f t="shared" si="172"/>
        <v>0</v>
      </c>
      <c r="BY58" s="11">
        <f t="shared" si="172"/>
        <v>0.8921898928</v>
      </c>
      <c r="BZ58" s="11">
        <f t="shared" si="172"/>
        <v>0.09831546708</v>
      </c>
      <c r="CA58" s="11">
        <f t="shared" si="32"/>
        <v>1</v>
      </c>
    </row>
    <row r="59" ht="15.75" customHeight="1">
      <c r="A59" s="9" t="str">
        <f t="shared" si="11"/>
        <v>Y2004</v>
      </c>
      <c r="B59" s="11">
        <f t="shared" si="12"/>
        <v>0.03730577284</v>
      </c>
      <c r="C59" s="11">
        <f t="shared" ref="C59:L59" si="173">IFERROR(C20/$B20,0)</f>
        <v>0.01252371917</v>
      </c>
      <c r="D59" s="11">
        <f t="shared" si="173"/>
        <v>0.05407969639</v>
      </c>
      <c r="E59" s="11">
        <f t="shared" si="173"/>
        <v>0.06717267552</v>
      </c>
      <c r="F59" s="11">
        <f t="shared" si="173"/>
        <v>0.174573055</v>
      </c>
      <c r="G59" s="11">
        <f t="shared" si="173"/>
        <v>0.07229601518</v>
      </c>
      <c r="H59" s="11">
        <f t="shared" si="173"/>
        <v>0.2013282732</v>
      </c>
      <c r="I59" s="11">
        <f t="shared" si="173"/>
        <v>0.0330170778</v>
      </c>
      <c r="J59" s="11">
        <f t="shared" si="173"/>
        <v>0.1273244782</v>
      </c>
      <c r="K59" s="11">
        <f t="shared" si="173"/>
        <v>0.05066413662</v>
      </c>
      <c r="L59" s="11">
        <f t="shared" si="173"/>
        <v>0.2070208729</v>
      </c>
      <c r="M59" s="11">
        <f t="shared" si="14"/>
        <v>0.006724949563</v>
      </c>
      <c r="N59" s="11">
        <f t="shared" ref="N59:O59" si="174">IFERROR(N20/$M20,0)</f>
        <v>0.8263157895</v>
      </c>
      <c r="O59" s="11">
        <f t="shared" si="174"/>
        <v>0.1736842105</v>
      </c>
      <c r="P59" s="11">
        <f t="shared" si="16"/>
        <v>0.01337203129</v>
      </c>
      <c r="Q59" s="11">
        <f t="shared" ref="Q59:Y59" si="175">IFERROR(Q20/$P20,0)</f>
        <v>0</v>
      </c>
      <c r="R59" s="11">
        <f t="shared" si="175"/>
        <v>0.03388035998</v>
      </c>
      <c r="S59" s="11">
        <f t="shared" si="175"/>
        <v>0.07146638433</v>
      </c>
      <c r="T59" s="11">
        <f t="shared" si="175"/>
        <v>0.3181577554</v>
      </c>
      <c r="U59" s="11">
        <f t="shared" si="175"/>
        <v>0.1270513499</v>
      </c>
      <c r="V59" s="11">
        <f t="shared" si="175"/>
        <v>0.08205399682</v>
      </c>
      <c r="W59" s="11">
        <f t="shared" si="175"/>
        <v>0.09422975119</v>
      </c>
      <c r="X59" s="11">
        <f t="shared" si="175"/>
        <v>0.1344626787</v>
      </c>
      <c r="Y59" s="11">
        <f t="shared" si="175"/>
        <v>0.1386977237</v>
      </c>
      <c r="Z59" s="11">
        <f t="shared" si="18"/>
        <v>0.09106997487</v>
      </c>
      <c r="AA59" s="11">
        <f t="shared" ref="AA59:AC59" si="176">IFERROR(AA20/$Z20,0)</f>
        <v>0.001399144967</v>
      </c>
      <c r="AB59" s="11">
        <f t="shared" si="176"/>
        <v>0.9871745045</v>
      </c>
      <c r="AC59" s="11">
        <f t="shared" si="176"/>
        <v>0.01142635056</v>
      </c>
      <c r="AD59" s="11">
        <f t="shared" si="20"/>
        <v>0.002718295402</v>
      </c>
      <c r="AE59" s="11">
        <f t="shared" ref="AE59:AG59" si="177">IFERROR(AE20/$AD20,0)</f>
        <v>0.046875</v>
      </c>
      <c r="AF59" s="11">
        <f t="shared" si="177"/>
        <v>0.8411458333</v>
      </c>
      <c r="AG59" s="11">
        <f t="shared" si="177"/>
        <v>0.1119791667</v>
      </c>
      <c r="AH59" s="11">
        <f t="shared" si="22"/>
        <v>0.115831947</v>
      </c>
      <c r="AI59" s="11">
        <f t="shared" ref="AI59:AQ59" si="178">IFERROR(AI20/$AH20,0)</f>
        <v>0.1571838905</v>
      </c>
      <c r="AJ59" s="11">
        <f t="shared" si="178"/>
        <v>0.04430727862</v>
      </c>
      <c r="AK59" s="11">
        <f t="shared" si="178"/>
        <v>0.03245126199</v>
      </c>
      <c r="AL59" s="11">
        <f t="shared" si="178"/>
        <v>0.3987655075</v>
      </c>
      <c r="AM59" s="11">
        <f t="shared" si="178"/>
        <v>0.07914196663</v>
      </c>
      <c r="AN59" s="11">
        <f t="shared" si="178"/>
        <v>0.05396320968</v>
      </c>
      <c r="AO59" s="11">
        <f t="shared" si="178"/>
        <v>0.07596406527</v>
      </c>
      <c r="AP59" s="11">
        <f t="shared" si="178"/>
        <v>0.06526920491</v>
      </c>
      <c r="AQ59" s="11">
        <f t="shared" si="178"/>
        <v>0.09295361486</v>
      </c>
      <c r="AR59" s="11">
        <f t="shared" si="24"/>
        <v>0.1184157435</v>
      </c>
      <c r="AS59" s="11">
        <f t="shared" ref="AS59:BA59" si="179">IFERROR(AS20/$AR20,0)</f>
        <v>0.009803921569</v>
      </c>
      <c r="AT59" s="11">
        <f t="shared" si="179"/>
        <v>0.1056312769</v>
      </c>
      <c r="AU59" s="11">
        <f t="shared" si="179"/>
        <v>0.03981348637</v>
      </c>
      <c r="AV59" s="11">
        <f t="shared" si="179"/>
        <v>0.149928264</v>
      </c>
      <c r="AW59" s="11">
        <f t="shared" si="179"/>
        <v>0.1484337637</v>
      </c>
      <c r="AX59" s="11">
        <f t="shared" si="179"/>
        <v>0.1295432807</v>
      </c>
      <c r="AY59" s="11">
        <f t="shared" si="179"/>
        <v>0.1490315638</v>
      </c>
      <c r="AZ59" s="11">
        <f t="shared" si="179"/>
        <v>0.05768770923</v>
      </c>
      <c r="BA59" s="11">
        <f t="shared" si="179"/>
        <v>0.2101267336</v>
      </c>
      <c r="BB59" s="11">
        <f t="shared" si="26"/>
        <v>0.4546986161</v>
      </c>
      <c r="BC59" s="11">
        <f t="shared" ref="BC59:BK59" si="180">IFERROR(BC20/$BB20,0)</f>
        <v>0.04858873165</v>
      </c>
      <c r="BD59" s="11">
        <f t="shared" si="180"/>
        <v>0.08589043015</v>
      </c>
      <c r="BE59" s="11">
        <f t="shared" si="180"/>
        <v>0.01004156742</v>
      </c>
      <c r="BF59" s="11">
        <f t="shared" si="180"/>
        <v>0.1201874426</v>
      </c>
      <c r="BG59" s="11">
        <f t="shared" si="180"/>
        <v>0.1277536469</v>
      </c>
      <c r="BH59" s="11">
        <f t="shared" si="180"/>
        <v>0.1325486899</v>
      </c>
      <c r="BI59" s="11">
        <f t="shared" si="180"/>
        <v>0.1170270733</v>
      </c>
      <c r="BJ59" s="11">
        <f t="shared" si="180"/>
        <v>0.2867217785</v>
      </c>
      <c r="BK59" s="11">
        <f t="shared" si="180"/>
        <v>0.07124063955</v>
      </c>
      <c r="BL59" s="11">
        <f t="shared" si="28"/>
        <v>0.1406930237</v>
      </c>
      <c r="BM59" s="11">
        <f t="shared" ref="BM59:BT59" si="181">IFERROR(BM20/$BL20,0)</f>
        <v>0.02485534591</v>
      </c>
      <c r="BN59" s="11">
        <f t="shared" si="181"/>
        <v>0.09051572327</v>
      </c>
      <c r="BO59" s="11">
        <f t="shared" si="181"/>
        <v>0.02656603774</v>
      </c>
      <c r="BP59" s="11">
        <f t="shared" si="181"/>
        <v>0.1823899371</v>
      </c>
      <c r="BQ59" s="11">
        <f t="shared" si="181"/>
        <v>0.04835220126</v>
      </c>
      <c r="BR59" s="11">
        <f t="shared" si="181"/>
        <v>0.1749937107</v>
      </c>
      <c r="BS59" s="11">
        <f t="shared" si="181"/>
        <v>0.06727044025</v>
      </c>
      <c r="BT59" s="11">
        <f t="shared" si="181"/>
        <v>0.3850566038</v>
      </c>
      <c r="BU59" s="11">
        <f t="shared" si="30"/>
        <v>0.0191696457</v>
      </c>
      <c r="BV59" s="11">
        <f t="shared" ref="BV59:BZ59" si="182">IFERROR(BV20/$BU20,0)</f>
        <v>0.01070901034</v>
      </c>
      <c r="BW59" s="11">
        <f t="shared" si="182"/>
        <v>0.00258493353</v>
      </c>
      <c r="BX59" s="11">
        <f t="shared" si="182"/>
        <v>0.006277695716</v>
      </c>
      <c r="BY59" s="11">
        <f t="shared" si="182"/>
        <v>0.9058345643</v>
      </c>
      <c r="BZ59" s="11">
        <f t="shared" si="182"/>
        <v>0.07459379616</v>
      </c>
      <c r="CA59" s="11">
        <f t="shared" si="32"/>
        <v>1</v>
      </c>
    </row>
    <row r="60" ht="15.75" customHeight="1">
      <c r="A60" s="9" t="str">
        <f t="shared" si="11"/>
        <v>Y2005</v>
      </c>
      <c r="B60" s="11">
        <f t="shared" si="12"/>
        <v>0.03708130896</v>
      </c>
      <c r="C60" s="11">
        <f t="shared" ref="C60:L60" si="183">IFERROR(C21/$B21,0)</f>
        <v>0.01629116118</v>
      </c>
      <c r="D60" s="11">
        <f t="shared" si="183"/>
        <v>0.06308492201</v>
      </c>
      <c r="E60" s="11">
        <f t="shared" si="183"/>
        <v>0.06828422877</v>
      </c>
      <c r="F60" s="11">
        <f t="shared" si="183"/>
        <v>0.1710571924</v>
      </c>
      <c r="G60" s="11">
        <f t="shared" si="183"/>
        <v>0.07365684575</v>
      </c>
      <c r="H60" s="11">
        <f t="shared" si="183"/>
        <v>0.1951473137</v>
      </c>
      <c r="I60" s="11">
        <f t="shared" si="183"/>
        <v>0.03154246101</v>
      </c>
      <c r="J60" s="11">
        <f t="shared" si="183"/>
        <v>0.1282495667</v>
      </c>
      <c r="K60" s="11">
        <f t="shared" si="183"/>
        <v>0.04956672444</v>
      </c>
      <c r="L60" s="11">
        <f t="shared" si="183"/>
        <v>0.2031195841</v>
      </c>
      <c r="M60" s="11">
        <f t="shared" si="14"/>
        <v>0.006632220251</v>
      </c>
      <c r="N60" s="11">
        <f t="shared" ref="N60:O60" si="184">IFERROR(N21/$M21,0)</f>
        <v>0.8236434109</v>
      </c>
      <c r="O60" s="11">
        <f t="shared" si="184"/>
        <v>0.1763565891</v>
      </c>
      <c r="P60" s="11">
        <f t="shared" si="16"/>
        <v>0.01253823809</v>
      </c>
      <c r="Q60" s="11">
        <f t="shared" ref="Q60:Y60" si="185">IFERROR(Q21/$P21,0)</f>
        <v>0</v>
      </c>
      <c r="R60" s="11">
        <f t="shared" si="185"/>
        <v>0.0343413634</v>
      </c>
      <c r="S60" s="11">
        <f t="shared" si="185"/>
        <v>0.07790876474</v>
      </c>
      <c r="T60" s="11">
        <f t="shared" si="185"/>
        <v>0.2977960021</v>
      </c>
      <c r="U60" s="11">
        <f t="shared" si="185"/>
        <v>0.1209636084</v>
      </c>
      <c r="V60" s="11">
        <f t="shared" si="185"/>
        <v>0.07329574577</v>
      </c>
      <c r="W60" s="11">
        <f t="shared" si="185"/>
        <v>0.09174782163</v>
      </c>
      <c r="X60" s="11">
        <f t="shared" si="185"/>
        <v>0.1706817017</v>
      </c>
      <c r="Y60" s="11">
        <f t="shared" si="185"/>
        <v>0.1332649923</v>
      </c>
      <c r="Z60" s="11">
        <f t="shared" si="18"/>
        <v>0.1106526825</v>
      </c>
      <c r="AA60" s="11">
        <f t="shared" ref="AA60:AC60" si="186">IFERROR(AA21/$Z21,0)</f>
        <v>0.00133581136</v>
      </c>
      <c r="AB60" s="11">
        <f t="shared" si="186"/>
        <v>0.9896619816</v>
      </c>
      <c r="AC60" s="11">
        <f t="shared" si="186"/>
        <v>0.009002206993</v>
      </c>
      <c r="AD60" s="11">
        <f t="shared" si="20"/>
        <v>0.002364977764</v>
      </c>
      <c r="AE60" s="11">
        <f t="shared" ref="AE60:AG60" si="187">IFERROR(AE21/$AD21,0)</f>
        <v>0.05163043478</v>
      </c>
      <c r="AF60" s="11">
        <f t="shared" si="187"/>
        <v>0.8288043478</v>
      </c>
      <c r="AG60" s="11">
        <f t="shared" si="187"/>
        <v>0.1195652174</v>
      </c>
      <c r="AH60" s="11">
        <f t="shared" si="22"/>
        <v>0.1162887844</v>
      </c>
      <c r="AI60" s="11">
        <f t="shared" ref="AI60:AQ60" si="188">IFERROR(AI21/$AH21,0)</f>
        <v>0.1598231556</v>
      </c>
      <c r="AJ60" s="11">
        <f t="shared" si="188"/>
        <v>0.05714285714</v>
      </c>
      <c r="AK60" s="11">
        <f t="shared" si="188"/>
        <v>0.02967670627</v>
      </c>
      <c r="AL60" s="11">
        <f t="shared" si="188"/>
        <v>0.3950815142</v>
      </c>
      <c r="AM60" s="11">
        <f t="shared" si="188"/>
        <v>0.07902735562</v>
      </c>
      <c r="AN60" s="11">
        <f t="shared" si="188"/>
        <v>0.05653495441</v>
      </c>
      <c r="AO60" s="11">
        <f t="shared" si="188"/>
        <v>0.07372202266</v>
      </c>
      <c r="AP60" s="11">
        <f t="shared" si="188"/>
        <v>0.06139817629</v>
      </c>
      <c r="AQ60" s="11">
        <f t="shared" si="188"/>
        <v>0.08759325781</v>
      </c>
      <c r="AR60" s="11">
        <f t="shared" si="24"/>
        <v>0.1165715534</v>
      </c>
      <c r="AS60" s="11">
        <f t="shared" ref="AS60:BA60" si="189">IFERROR(AS21/$AR21,0)</f>
        <v>0.007718176305</v>
      </c>
      <c r="AT60" s="11">
        <f t="shared" si="189"/>
        <v>0.106180054</v>
      </c>
      <c r="AU60" s="11">
        <f t="shared" si="189"/>
        <v>0.03247147031</v>
      </c>
      <c r="AV60" s="11">
        <f t="shared" si="189"/>
        <v>0.141352886</v>
      </c>
      <c r="AW60" s="11">
        <f t="shared" si="189"/>
        <v>0.1274601687</v>
      </c>
      <c r="AX60" s="11">
        <f t="shared" si="189"/>
        <v>0.1175367992</v>
      </c>
      <c r="AY60" s="11">
        <f t="shared" si="189"/>
        <v>0.1903633056</v>
      </c>
      <c r="AZ60" s="11">
        <f t="shared" si="189"/>
        <v>0.0604222945</v>
      </c>
      <c r="BA60" s="11">
        <f t="shared" si="189"/>
        <v>0.2164948454</v>
      </c>
      <c r="BB60" s="11">
        <f t="shared" si="26"/>
        <v>0.4421158839</v>
      </c>
      <c r="BC60" s="11">
        <f t="shared" ref="BC60:BK60" si="190">IFERROR(BC21/$BB21,0)</f>
        <v>0.05091939821</v>
      </c>
      <c r="BD60" s="11">
        <f t="shared" si="190"/>
        <v>0.09074787412</v>
      </c>
      <c r="BE60" s="11">
        <f t="shared" si="190"/>
        <v>0.0126462679</v>
      </c>
      <c r="BF60" s="11">
        <f t="shared" si="190"/>
        <v>0.1185551276</v>
      </c>
      <c r="BG60" s="11">
        <f t="shared" si="190"/>
        <v>0.1277709136</v>
      </c>
      <c r="BH60" s="11">
        <f t="shared" si="190"/>
        <v>0.1239624973</v>
      </c>
      <c r="BI60" s="11">
        <f t="shared" si="190"/>
        <v>0.1132495094</v>
      </c>
      <c r="BJ60" s="11">
        <f t="shared" si="190"/>
        <v>0.2965331783</v>
      </c>
      <c r="BK60" s="11">
        <f t="shared" si="190"/>
        <v>0.06561523367</v>
      </c>
      <c r="BL60" s="11">
        <f t="shared" si="28"/>
        <v>0.1366931441</v>
      </c>
      <c r="BM60" s="11">
        <f t="shared" ref="BM60:BT60" si="191">IFERROR(BM21/$BL21,0)</f>
        <v>0.02402444758</v>
      </c>
      <c r="BN60" s="11">
        <f t="shared" si="191"/>
        <v>0.0922425952</v>
      </c>
      <c r="BO60" s="11">
        <f t="shared" si="191"/>
        <v>0.02642219088</v>
      </c>
      <c r="BP60" s="11">
        <f t="shared" si="191"/>
        <v>0.1920545369</v>
      </c>
      <c r="BQ60" s="11">
        <f t="shared" si="191"/>
        <v>0.04941231782</v>
      </c>
      <c r="BR60" s="11">
        <f t="shared" si="191"/>
        <v>0.1732957217</v>
      </c>
      <c r="BS60" s="11">
        <f t="shared" si="191"/>
        <v>0.06215326751</v>
      </c>
      <c r="BT60" s="11">
        <f t="shared" si="191"/>
        <v>0.3803949224</v>
      </c>
      <c r="BU60" s="11">
        <f t="shared" si="30"/>
        <v>0.01906120665</v>
      </c>
      <c r="BV60" s="11">
        <f t="shared" ref="BV60:BZ60" si="192">IFERROR(BV21/$BU21,0)</f>
        <v>0.0101146325</v>
      </c>
      <c r="BW60" s="11">
        <f t="shared" si="192"/>
        <v>0.00101146325</v>
      </c>
      <c r="BX60" s="11">
        <f t="shared" si="192"/>
        <v>0</v>
      </c>
      <c r="BY60" s="11">
        <f t="shared" si="192"/>
        <v>0.9430209036</v>
      </c>
      <c r="BZ60" s="11">
        <f t="shared" si="192"/>
        <v>0.04585300067</v>
      </c>
      <c r="CA60" s="11">
        <f t="shared" si="32"/>
        <v>1</v>
      </c>
    </row>
    <row r="61" ht="15.75" customHeight="1">
      <c r="A61" s="9" t="str">
        <f t="shared" si="11"/>
        <v>Y2006</v>
      </c>
      <c r="B61" s="11">
        <f t="shared" si="12"/>
        <v>0.03633068594</v>
      </c>
      <c r="C61" s="11">
        <f t="shared" ref="C61:L61" si="193">IFERROR(C22/$B22,0)</f>
        <v>0.01939014855</v>
      </c>
      <c r="D61" s="11">
        <f t="shared" si="193"/>
        <v>0.05973416732</v>
      </c>
      <c r="E61" s="11">
        <f t="shared" si="193"/>
        <v>0.06880375293</v>
      </c>
      <c r="F61" s="11">
        <f t="shared" si="193"/>
        <v>0.1770132916</v>
      </c>
      <c r="G61" s="11">
        <f t="shared" si="193"/>
        <v>0.07787333855</v>
      </c>
      <c r="H61" s="11">
        <f t="shared" si="193"/>
        <v>0.1937451134</v>
      </c>
      <c r="I61" s="11">
        <f t="shared" si="193"/>
        <v>0.029241595</v>
      </c>
      <c r="J61" s="11">
        <f t="shared" si="193"/>
        <v>0.1244722439</v>
      </c>
      <c r="K61" s="11">
        <f t="shared" si="193"/>
        <v>0.05582486317</v>
      </c>
      <c r="L61" s="11">
        <f t="shared" si="193"/>
        <v>0.1939014855</v>
      </c>
      <c r="M61" s="11">
        <f t="shared" si="14"/>
        <v>0.007266137187</v>
      </c>
      <c r="N61" s="11">
        <f t="shared" ref="N61:O61" si="194">IFERROR(N22/$M22,0)</f>
        <v>0.8186082877</v>
      </c>
      <c r="O61" s="11">
        <f t="shared" si="194"/>
        <v>0.1813917123</v>
      </c>
      <c r="P61" s="11">
        <f t="shared" si="16"/>
        <v>0.01258933542</v>
      </c>
      <c r="Q61" s="11">
        <f t="shared" ref="Q61:Y61" si="195">IFERROR(Q22/$P22,0)</f>
        <v>0</v>
      </c>
      <c r="R61" s="11">
        <f t="shared" si="195"/>
        <v>0.02842960289</v>
      </c>
      <c r="S61" s="11">
        <f t="shared" si="195"/>
        <v>0.08393501805</v>
      </c>
      <c r="T61" s="11">
        <f t="shared" si="195"/>
        <v>0.2477436823</v>
      </c>
      <c r="U61" s="11">
        <f t="shared" si="195"/>
        <v>0.1105595668</v>
      </c>
      <c r="V61" s="11">
        <f t="shared" si="195"/>
        <v>0.06723826715</v>
      </c>
      <c r="W61" s="11">
        <f t="shared" si="195"/>
        <v>0.07716606498</v>
      </c>
      <c r="X61" s="11">
        <f t="shared" si="195"/>
        <v>0.2531588448</v>
      </c>
      <c r="Y61" s="11">
        <f t="shared" si="195"/>
        <v>0.1317689531</v>
      </c>
      <c r="Z61" s="11">
        <f t="shared" si="18"/>
        <v>0.1316994467</v>
      </c>
      <c r="AA61" s="11">
        <f t="shared" ref="AA61:AC61" si="196">IFERROR(AA22/$Z22,0)</f>
        <v>0.0008196014149</v>
      </c>
      <c r="AB61" s="11">
        <f t="shared" si="196"/>
        <v>0.9644551807</v>
      </c>
      <c r="AC61" s="11">
        <f t="shared" si="196"/>
        <v>0.03472521784</v>
      </c>
      <c r="AD61" s="11">
        <f t="shared" si="20"/>
        <v>0.002721250753</v>
      </c>
      <c r="AE61" s="11">
        <f t="shared" ref="AE61:AG61" si="197">IFERROR(AE22/$AD22,0)</f>
        <v>0.03966597077</v>
      </c>
      <c r="AF61" s="11">
        <f t="shared" si="197"/>
        <v>0.8538622129</v>
      </c>
      <c r="AG61" s="11">
        <f t="shared" si="197"/>
        <v>0.1064718163</v>
      </c>
      <c r="AH61" s="11">
        <f t="shared" si="22"/>
        <v>0.1078217496</v>
      </c>
      <c r="AI61" s="11">
        <f t="shared" ref="AI61:AQ61" si="198">IFERROR(AI22/$AH22,0)</f>
        <v>0.1686074082</v>
      </c>
      <c r="AJ61" s="11">
        <f t="shared" si="198"/>
        <v>0.05753727804</v>
      </c>
      <c r="AK61" s="11">
        <f t="shared" si="198"/>
        <v>0.03177195848</v>
      </c>
      <c r="AL61" s="11">
        <f t="shared" si="198"/>
        <v>0.3835818536</v>
      </c>
      <c r="AM61" s="11">
        <f t="shared" si="198"/>
        <v>0.08172190316</v>
      </c>
      <c r="AN61" s="11">
        <f t="shared" si="198"/>
        <v>0.04099267612</v>
      </c>
      <c r="AO61" s="11">
        <f t="shared" si="198"/>
        <v>0.08045734759</v>
      </c>
      <c r="AP61" s="11">
        <f t="shared" si="198"/>
        <v>0.06417619474</v>
      </c>
      <c r="AQ61" s="11">
        <f t="shared" si="198"/>
        <v>0.09115338005</v>
      </c>
      <c r="AR61" s="11">
        <f t="shared" si="24"/>
        <v>0.1104634648</v>
      </c>
      <c r="AS61" s="11">
        <f t="shared" ref="AS61:BA61" si="199">IFERROR(AS22/$AR22,0)</f>
        <v>0.007508743057</v>
      </c>
      <c r="AT61" s="11">
        <f t="shared" si="199"/>
        <v>0.1193684427</v>
      </c>
      <c r="AU61" s="11">
        <f t="shared" si="199"/>
        <v>0.03240074059</v>
      </c>
      <c r="AV61" s="11">
        <f t="shared" si="199"/>
        <v>0.1351059453</v>
      </c>
      <c r="AW61" s="11">
        <f t="shared" si="199"/>
        <v>0.1253342934</v>
      </c>
      <c r="AX61" s="11">
        <f t="shared" si="199"/>
        <v>0.1165398066</v>
      </c>
      <c r="AY61" s="11">
        <f t="shared" si="199"/>
        <v>0.1695638757</v>
      </c>
      <c r="AZ61" s="11">
        <f t="shared" si="199"/>
        <v>0.07616745526</v>
      </c>
      <c r="BA61" s="11">
        <f t="shared" si="199"/>
        <v>0.2180106974</v>
      </c>
      <c r="BB61" s="11">
        <f t="shared" si="26"/>
        <v>0.4251627637</v>
      </c>
      <c r="BC61" s="11">
        <f t="shared" ref="BC61:BK61" si="200">IFERROR(BC22/$BB22,0)</f>
        <v>0.04891899837</v>
      </c>
      <c r="BD61" s="11">
        <f t="shared" si="200"/>
        <v>0.09127715866</v>
      </c>
      <c r="BE61" s="11">
        <f t="shared" si="200"/>
        <v>0.009700954061</v>
      </c>
      <c r="BF61" s="11">
        <f t="shared" si="200"/>
        <v>0.1244554905</v>
      </c>
      <c r="BG61" s="11">
        <f t="shared" si="200"/>
        <v>0.1295999359</v>
      </c>
      <c r="BH61" s="11">
        <f t="shared" si="200"/>
        <v>0.130562014</v>
      </c>
      <c r="BI61" s="11">
        <f t="shared" si="200"/>
        <v>0.112603223</v>
      </c>
      <c r="BJ61" s="11">
        <f t="shared" si="200"/>
        <v>0.2870734119</v>
      </c>
      <c r="BK61" s="11">
        <f t="shared" si="200"/>
        <v>0.0658088137</v>
      </c>
      <c r="BL61" s="11">
        <f t="shared" si="28"/>
        <v>0.1318926043</v>
      </c>
      <c r="BM61" s="11">
        <f t="shared" ref="BM61:BT61" si="201">IFERROR(BM22/$BL22,0)</f>
        <v>0.02545658167</v>
      </c>
      <c r="BN61" s="11">
        <f t="shared" si="201"/>
        <v>0.09687284631</v>
      </c>
      <c r="BO61" s="11">
        <f t="shared" si="201"/>
        <v>0.02580117161</v>
      </c>
      <c r="BP61" s="11">
        <f t="shared" si="201"/>
        <v>0.1874569263</v>
      </c>
      <c r="BQ61" s="11">
        <f t="shared" si="201"/>
        <v>0.05009476223</v>
      </c>
      <c r="BR61" s="11">
        <f t="shared" si="201"/>
        <v>0.1749224673</v>
      </c>
      <c r="BS61" s="11">
        <f t="shared" si="201"/>
        <v>0.05672811854</v>
      </c>
      <c r="BT61" s="11">
        <f t="shared" si="201"/>
        <v>0.3826671261</v>
      </c>
      <c r="BU61" s="11">
        <f t="shared" si="30"/>
        <v>0.03405256161</v>
      </c>
      <c r="BV61" s="11">
        <f t="shared" ref="BV61:BZ61" si="202">IFERROR(BV22/$BU22,0)</f>
        <v>0.006840173507</v>
      </c>
      <c r="BW61" s="11">
        <f t="shared" si="202"/>
        <v>0.0001668335002</v>
      </c>
      <c r="BX61" s="11">
        <f t="shared" si="202"/>
        <v>0</v>
      </c>
      <c r="BY61" s="11">
        <f t="shared" si="202"/>
        <v>0.9661327995</v>
      </c>
      <c r="BZ61" s="11">
        <f t="shared" si="202"/>
        <v>0.02686019353</v>
      </c>
      <c r="CA61" s="11">
        <f t="shared" si="32"/>
        <v>1</v>
      </c>
    </row>
    <row r="62" ht="15.75" customHeight="1">
      <c r="A62" s="9" t="str">
        <f t="shared" si="11"/>
        <v>Y2007</v>
      </c>
      <c r="B62" s="11">
        <f t="shared" si="12"/>
        <v>0.03830505586</v>
      </c>
      <c r="C62" s="11">
        <f t="shared" ref="C62:L62" si="203">IFERROR(C23/$B23,0)</f>
        <v>0.01501459753</v>
      </c>
      <c r="D62" s="11">
        <f t="shared" si="203"/>
        <v>0.0660364243</v>
      </c>
      <c r="E62" s="11">
        <f t="shared" si="203"/>
        <v>0.06714861671</v>
      </c>
      <c r="F62" s="11">
        <f t="shared" si="203"/>
        <v>0.160294731</v>
      </c>
      <c r="G62" s="11">
        <f t="shared" si="203"/>
        <v>0.07896566106</v>
      </c>
      <c r="H62" s="11">
        <f t="shared" si="203"/>
        <v>0.1953287919</v>
      </c>
      <c r="I62" s="11">
        <f t="shared" si="203"/>
        <v>0.03128041151</v>
      </c>
      <c r="J62" s="11">
        <f t="shared" si="203"/>
        <v>0.1260948144</v>
      </c>
      <c r="K62" s="11">
        <f t="shared" si="203"/>
        <v>0.07062421799</v>
      </c>
      <c r="L62" s="11">
        <f t="shared" si="203"/>
        <v>0.1892117336</v>
      </c>
      <c r="M62" s="11">
        <f t="shared" si="14"/>
        <v>0.00762053871</v>
      </c>
      <c r="N62" s="11">
        <f t="shared" ref="N62:O62" si="204">IFERROR(N23/$M23,0)</f>
        <v>0.8455625437</v>
      </c>
      <c r="O62" s="11">
        <f t="shared" si="204"/>
        <v>0.1544374563</v>
      </c>
      <c r="P62" s="11">
        <f t="shared" si="16"/>
        <v>0.01316420104</v>
      </c>
      <c r="Q62" s="11">
        <f t="shared" ref="Q62:Y62" si="205">IFERROR(Q23/$P23,0)</f>
        <v>0</v>
      </c>
      <c r="R62" s="11">
        <f t="shared" si="205"/>
        <v>0.02872168285</v>
      </c>
      <c r="S62" s="11">
        <f t="shared" si="205"/>
        <v>0.0675566343</v>
      </c>
      <c r="T62" s="11">
        <f t="shared" si="205"/>
        <v>0.2597087379</v>
      </c>
      <c r="U62" s="11">
        <f t="shared" si="205"/>
        <v>0.1156957929</v>
      </c>
      <c r="V62" s="11">
        <f t="shared" si="205"/>
        <v>0.05703883495</v>
      </c>
      <c r="W62" s="11">
        <f t="shared" si="205"/>
        <v>0.07241100324</v>
      </c>
      <c r="X62" s="11">
        <f t="shared" si="205"/>
        <v>0.2791262136</v>
      </c>
      <c r="Y62" s="11">
        <f t="shared" si="205"/>
        <v>0.1197411003</v>
      </c>
      <c r="Z62" s="11">
        <f t="shared" si="18"/>
        <v>0.130172221</v>
      </c>
      <c r="AA62" s="11">
        <f t="shared" ref="AA62:AC62" si="206">IFERROR(AA23/$Z23,0)</f>
        <v>0.0007772868598</v>
      </c>
      <c r="AB62" s="11">
        <f t="shared" si="206"/>
        <v>0.9580674194</v>
      </c>
      <c r="AC62" s="11">
        <f t="shared" si="206"/>
        <v>0.04115529373</v>
      </c>
      <c r="AD62" s="11">
        <f t="shared" si="20"/>
        <v>0.002843723041</v>
      </c>
      <c r="AE62" s="11">
        <f t="shared" ref="AE62:AG62" si="207">IFERROR(AE23/$AD23,0)</f>
        <v>0.0543071161</v>
      </c>
      <c r="AF62" s="11">
        <f t="shared" si="207"/>
        <v>0.8520599251</v>
      </c>
      <c r="AG62" s="11">
        <f t="shared" si="207"/>
        <v>0.0936329588</v>
      </c>
      <c r="AH62" s="11">
        <f t="shared" si="22"/>
        <v>0.1088070209</v>
      </c>
      <c r="AI62" s="11">
        <f t="shared" ref="AI62:AQ62" si="208">IFERROR(AI23/$AH23,0)</f>
        <v>0.1658183242</v>
      </c>
      <c r="AJ62" s="11">
        <f t="shared" si="208"/>
        <v>0.05246671887</v>
      </c>
      <c r="AK62" s="11">
        <f t="shared" si="208"/>
        <v>0.02931675803</v>
      </c>
      <c r="AL62" s="11">
        <f t="shared" si="208"/>
        <v>0.3912000783</v>
      </c>
      <c r="AM62" s="11">
        <f t="shared" si="208"/>
        <v>0.07874902114</v>
      </c>
      <c r="AN62" s="11">
        <f t="shared" si="208"/>
        <v>0.04522317933</v>
      </c>
      <c r="AO62" s="11">
        <f t="shared" si="208"/>
        <v>0.085307361</v>
      </c>
      <c r="AP62" s="11">
        <f t="shared" si="208"/>
        <v>0.06387039937</v>
      </c>
      <c r="AQ62" s="11">
        <f t="shared" si="208"/>
        <v>0.08804815975</v>
      </c>
      <c r="AR62" s="11">
        <f t="shared" si="24"/>
        <v>0.1131737866</v>
      </c>
      <c r="AS62" s="11">
        <f t="shared" ref="AS62:BA62" si="209">IFERROR(AS23/$AR23,0)</f>
        <v>0.008093355919</v>
      </c>
      <c r="AT62" s="11">
        <f t="shared" si="209"/>
        <v>0.1157538114</v>
      </c>
      <c r="AU62" s="11">
        <f t="shared" si="209"/>
        <v>0.03044419349</v>
      </c>
      <c r="AV62" s="11">
        <f t="shared" si="209"/>
        <v>0.1293995859</v>
      </c>
      <c r="AW62" s="11">
        <f t="shared" si="209"/>
        <v>0.1163655185</v>
      </c>
      <c r="AX62" s="11">
        <f t="shared" si="209"/>
        <v>0.1120835686</v>
      </c>
      <c r="AY62" s="11">
        <f t="shared" si="209"/>
        <v>0.1785243742</v>
      </c>
      <c r="AZ62" s="11">
        <f t="shared" si="209"/>
        <v>0.08846226238</v>
      </c>
      <c r="BA62" s="11">
        <f t="shared" si="209"/>
        <v>0.2208733296</v>
      </c>
      <c r="BB62" s="11">
        <f t="shared" si="26"/>
        <v>0.4204982373</v>
      </c>
      <c r="BC62" s="11">
        <f t="shared" ref="BC62:BK62" si="210">IFERROR(BC23/$BB23,0)</f>
        <v>0.05002406221</v>
      </c>
      <c r="BD62" s="11">
        <f t="shared" si="210"/>
        <v>0.08975203262</v>
      </c>
      <c r="BE62" s="11">
        <f t="shared" si="210"/>
        <v>0.01024543451</v>
      </c>
      <c r="BF62" s="11">
        <f t="shared" si="210"/>
        <v>0.1255034067</v>
      </c>
      <c r="BG62" s="11">
        <f t="shared" si="210"/>
        <v>0.1137129252</v>
      </c>
      <c r="BH62" s="11">
        <f t="shared" si="210"/>
        <v>0.1382563765</v>
      </c>
      <c r="BI62" s="11">
        <f t="shared" si="210"/>
        <v>0.1128264228</v>
      </c>
      <c r="BJ62" s="11">
        <f t="shared" si="210"/>
        <v>0.3078569438</v>
      </c>
      <c r="BK62" s="11">
        <f t="shared" si="210"/>
        <v>0.05182239558</v>
      </c>
      <c r="BL62" s="11">
        <f t="shared" si="28"/>
        <v>0.1303905593</v>
      </c>
      <c r="BM62" s="11">
        <f t="shared" ref="BM62:BT62" si="211">IFERROR(BM23/$BL23,0)</f>
        <v>0.0270369614</v>
      </c>
      <c r="BN62" s="11">
        <f t="shared" si="211"/>
        <v>0.09944864203</v>
      </c>
      <c r="BO62" s="11">
        <f t="shared" si="211"/>
        <v>0.02687359608</v>
      </c>
      <c r="BP62" s="11">
        <f t="shared" si="211"/>
        <v>0.1823565448</v>
      </c>
      <c r="BQ62" s="11">
        <f t="shared" si="211"/>
        <v>0.04778435777</v>
      </c>
      <c r="BR62" s="11">
        <f t="shared" si="211"/>
        <v>0.1724321013</v>
      </c>
      <c r="BS62" s="11">
        <f t="shared" si="211"/>
        <v>0.0549724321</v>
      </c>
      <c r="BT62" s="11">
        <f t="shared" si="211"/>
        <v>0.3890953645</v>
      </c>
      <c r="BU62" s="11">
        <f t="shared" si="30"/>
        <v>0.03502465625</v>
      </c>
      <c r="BV62" s="11">
        <f t="shared" ref="BV62:BZ62" si="212">IFERROR(BV23/$BU23,0)</f>
        <v>0.005777710202</v>
      </c>
      <c r="BW62" s="11">
        <f t="shared" si="212"/>
        <v>0.000456135016</v>
      </c>
      <c r="BX62" s="11">
        <f t="shared" si="212"/>
        <v>0</v>
      </c>
      <c r="BY62" s="11">
        <f t="shared" si="212"/>
        <v>0.9317317926</v>
      </c>
      <c r="BZ62" s="11">
        <f t="shared" si="212"/>
        <v>0.06203436217</v>
      </c>
      <c r="CA62" s="11">
        <f t="shared" si="32"/>
        <v>1</v>
      </c>
    </row>
    <row r="63" ht="15.75" customHeight="1">
      <c r="A63" s="9" t="str">
        <f t="shared" si="11"/>
        <v>Y2008</v>
      </c>
      <c r="B63" s="11">
        <f t="shared" si="12"/>
        <v>0.03665493815</v>
      </c>
      <c r="C63" s="11">
        <f t="shared" ref="C63:L63" si="213">IFERROR(C24/$B24,0)</f>
        <v>0.01678338566</v>
      </c>
      <c r="D63" s="11">
        <f t="shared" si="213"/>
        <v>0.05928519681</v>
      </c>
      <c r="E63" s="11">
        <f t="shared" si="213"/>
        <v>0.08198502777</v>
      </c>
      <c r="F63" s="11">
        <f t="shared" si="213"/>
        <v>0.1467036948</v>
      </c>
      <c r="G63" s="11">
        <f t="shared" si="213"/>
        <v>0.09224824922</v>
      </c>
      <c r="H63" s="11">
        <f t="shared" si="213"/>
        <v>0.1998309587</v>
      </c>
      <c r="I63" s="11">
        <f t="shared" si="213"/>
        <v>0.02861627626</v>
      </c>
      <c r="J63" s="11">
        <f t="shared" si="213"/>
        <v>0.1312484907</v>
      </c>
      <c r="K63" s="11">
        <f t="shared" si="213"/>
        <v>0.06834098044</v>
      </c>
      <c r="L63" s="11">
        <f t="shared" si="213"/>
        <v>0.1749577397</v>
      </c>
      <c r="M63" s="11">
        <f t="shared" si="14"/>
        <v>0.007333643143</v>
      </c>
      <c r="N63" s="11">
        <f t="shared" ref="N63:O63" si="214">IFERROR(N24/$M24,0)</f>
        <v>0.8871454436</v>
      </c>
      <c r="O63" s="11">
        <f t="shared" si="214"/>
        <v>0.1128545564</v>
      </c>
      <c r="P63" s="11">
        <f t="shared" si="16"/>
        <v>0.01272876142</v>
      </c>
      <c r="Q63" s="11">
        <f t="shared" ref="Q63:Y63" si="215">IFERROR(Q24/$P24,0)</f>
        <v>0</v>
      </c>
      <c r="R63" s="11">
        <f t="shared" si="215"/>
        <v>0.02016689847</v>
      </c>
      <c r="S63" s="11">
        <f t="shared" si="215"/>
        <v>0.0792767733</v>
      </c>
      <c r="T63" s="11">
        <f t="shared" si="215"/>
        <v>0.2301808067</v>
      </c>
      <c r="U63" s="11">
        <f t="shared" si="215"/>
        <v>0.1126564673</v>
      </c>
      <c r="V63" s="11">
        <f t="shared" si="215"/>
        <v>0.04867872045</v>
      </c>
      <c r="W63" s="11">
        <f t="shared" si="215"/>
        <v>0.1901947149</v>
      </c>
      <c r="X63" s="11">
        <f t="shared" si="215"/>
        <v>0.2016689847</v>
      </c>
      <c r="Y63" s="11">
        <f t="shared" si="215"/>
        <v>0.1171766342</v>
      </c>
      <c r="Z63" s="11">
        <f t="shared" si="18"/>
        <v>0.1570869017</v>
      </c>
      <c r="AA63" s="11">
        <f t="shared" ref="AA63:AC63" si="216">IFERROR(AA24/$Z24,0)</f>
        <v>0.0007607133801</v>
      </c>
      <c r="AB63" s="11">
        <f t="shared" si="216"/>
        <v>0.9476516496</v>
      </c>
      <c r="AC63" s="11">
        <f t="shared" si="216"/>
        <v>0.051587637</v>
      </c>
      <c r="AD63" s="11">
        <f t="shared" si="20"/>
        <v>0.002677642789</v>
      </c>
      <c r="AE63" s="11">
        <f t="shared" ref="AE63:AG63" si="217">IFERROR(AE24/$AD24,0)</f>
        <v>0.06446280992</v>
      </c>
      <c r="AF63" s="11">
        <f t="shared" si="217"/>
        <v>0.8231404959</v>
      </c>
      <c r="AG63" s="11">
        <f t="shared" si="217"/>
        <v>0.1123966942</v>
      </c>
      <c r="AH63" s="11">
        <f t="shared" si="22"/>
        <v>0.1055345327</v>
      </c>
      <c r="AI63" s="11">
        <f t="shared" ref="AI63:AQ63" si="218">IFERROR(AI24/$AH24,0)</f>
        <v>0.1523589851</v>
      </c>
      <c r="AJ63" s="11">
        <f t="shared" si="218"/>
        <v>0.07661983644</v>
      </c>
      <c r="AK63" s="11">
        <f t="shared" si="218"/>
        <v>0.02935625917</v>
      </c>
      <c r="AL63" s="11">
        <f t="shared" si="218"/>
        <v>0.3496330468</v>
      </c>
      <c r="AM63" s="11">
        <f t="shared" si="218"/>
        <v>0.07154539736</v>
      </c>
      <c r="AN63" s="11">
        <f t="shared" si="218"/>
        <v>0.09444327951</v>
      </c>
      <c r="AO63" s="11">
        <f t="shared" si="218"/>
        <v>0.07661983644</v>
      </c>
      <c r="AP63" s="11">
        <f t="shared" si="218"/>
        <v>0.05925770602</v>
      </c>
      <c r="AQ63" s="11">
        <f t="shared" si="218"/>
        <v>0.09016565318</v>
      </c>
      <c r="AR63" s="11">
        <f t="shared" si="24"/>
        <v>0.1111243887</v>
      </c>
      <c r="AS63" s="11">
        <f t="shared" ref="AS63:BA63" si="219">IFERROR(AS24/$AR24,0)</f>
        <v>0.007527481281</v>
      </c>
      <c r="AT63" s="11">
        <f t="shared" si="219"/>
        <v>0.1080133822</v>
      </c>
      <c r="AU63" s="11">
        <f t="shared" si="219"/>
        <v>0.02831766768</v>
      </c>
      <c r="AV63" s="11">
        <f t="shared" si="219"/>
        <v>0.1153417238</v>
      </c>
      <c r="AW63" s="11">
        <f t="shared" si="219"/>
        <v>0.1037916202</v>
      </c>
      <c r="AX63" s="11">
        <f t="shared" si="219"/>
        <v>0.1096064999</v>
      </c>
      <c r="AY63" s="11">
        <f t="shared" si="219"/>
        <v>0.2152302055</v>
      </c>
      <c r="AZ63" s="11">
        <f t="shared" si="219"/>
        <v>0.09056874303</v>
      </c>
      <c r="BA63" s="11">
        <f t="shared" si="219"/>
        <v>0.2216026764</v>
      </c>
      <c r="BB63" s="11">
        <f t="shared" si="26"/>
        <v>0.3895948129</v>
      </c>
      <c r="BC63" s="11">
        <f t="shared" ref="BC63:BK63" si="220">IFERROR(BC24/$BB24,0)</f>
        <v>0.0578686085</v>
      </c>
      <c r="BD63" s="11">
        <f t="shared" si="220"/>
        <v>0.09784497938</v>
      </c>
      <c r="BE63" s="11">
        <f t="shared" si="220"/>
        <v>0.008929078578</v>
      </c>
      <c r="BF63" s="11">
        <f t="shared" si="220"/>
        <v>0.1241664489</v>
      </c>
      <c r="BG63" s="11">
        <f t="shared" si="220"/>
        <v>0.1016279096</v>
      </c>
      <c r="BH63" s="11">
        <f t="shared" si="220"/>
        <v>0.1271996092</v>
      </c>
      <c r="BI63" s="11">
        <f t="shared" si="220"/>
        <v>0.1117384439</v>
      </c>
      <c r="BJ63" s="11">
        <f t="shared" si="220"/>
        <v>0.3005668715</v>
      </c>
      <c r="BK63" s="11">
        <f t="shared" si="220"/>
        <v>0.07005805037</v>
      </c>
      <c r="BL63" s="11">
        <f t="shared" si="28"/>
        <v>0.1233176215</v>
      </c>
      <c r="BM63" s="11">
        <f t="shared" ref="BM63:BT63" si="221">IFERROR(BM24/$BL24,0)</f>
        <v>0.02817356351</v>
      </c>
      <c r="BN63" s="11">
        <f t="shared" si="221"/>
        <v>0.1005993612</v>
      </c>
      <c r="BO63" s="11">
        <f t="shared" si="221"/>
        <v>0.02734809604</v>
      </c>
      <c r="BP63" s="11">
        <f t="shared" si="221"/>
        <v>0.1812080537</v>
      </c>
      <c r="BQ63" s="11">
        <f t="shared" si="221"/>
        <v>0.04676452643</v>
      </c>
      <c r="BR63" s="11">
        <f t="shared" si="221"/>
        <v>0.1738147364</v>
      </c>
      <c r="BS63" s="11">
        <f t="shared" si="221"/>
        <v>0.05117898288</v>
      </c>
      <c r="BT63" s="11">
        <f t="shared" si="221"/>
        <v>0.3909126799</v>
      </c>
      <c r="BU63" s="11">
        <f t="shared" si="30"/>
        <v>0.05394675695</v>
      </c>
      <c r="BV63" s="11">
        <f t="shared" ref="BV63:BZ63" si="222">IFERROR(BV24/$BU24,0)</f>
        <v>0.004184100418</v>
      </c>
      <c r="BW63" s="11">
        <f t="shared" si="222"/>
        <v>0.000492247108</v>
      </c>
      <c r="BX63" s="11">
        <f t="shared" si="222"/>
        <v>0</v>
      </c>
      <c r="BY63" s="11">
        <f t="shared" si="222"/>
        <v>0.7985068504</v>
      </c>
      <c r="BZ63" s="11">
        <f t="shared" si="222"/>
        <v>0.196816802</v>
      </c>
      <c r="CA63" s="11">
        <f t="shared" si="32"/>
        <v>1</v>
      </c>
    </row>
    <row r="64" ht="15.75" customHeight="1">
      <c r="A64" s="9" t="str">
        <f t="shared" si="11"/>
        <v>Y2009</v>
      </c>
      <c r="B64" s="11">
        <f t="shared" si="12"/>
        <v>0.04308131099</v>
      </c>
      <c r="C64" s="11">
        <f t="shared" ref="C64:L64" si="223">IFERROR(C25/$B25,0)</f>
        <v>0.01168981481</v>
      </c>
      <c r="D64" s="11">
        <f t="shared" si="223"/>
        <v>0.06643518519</v>
      </c>
      <c r="E64" s="11">
        <f t="shared" si="223"/>
        <v>0.06273148148</v>
      </c>
      <c r="F64" s="11">
        <f t="shared" si="223"/>
        <v>0.1466435185</v>
      </c>
      <c r="G64" s="11">
        <f t="shared" si="223"/>
        <v>0.09641203704</v>
      </c>
      <c r="H64" s="11">
        <f t="shared" si="223"/>
        <v>0.1864583333</v>
      </c>
      <c r="I64" s="11">
        <f t="shared" si="223"/>
        <v>0.03298611111</v>
      </c>
      <c r="J64" s="11">
        <f t="shared" si="223"/>
        <v>0.1399305556</v>
      </c>
      <c r="K64" s="11">
        <f t="shared" si="223"/>
        <v>0.06886574074</v>
      </c>
      <c r="L64" s="11">
        <f t="shared" si="223"/>
        <v>0.1878472222</v>
      </c>
      <c r="M64" s="11">
        <f t="shared" si="14"/>
        <v>0.008711001192</v>
      </c>
      <c r="N64" s="11">
        <f t="shared" ref="N64:O64" si="224">IFERROR(N25/$M25,0)</f>
        <v>0.8414424728</v>
      </c>
      <c r="O64" s="11">
        <f t="shared" si="224"/>
        <v>0.1585575272</v>
      </c>
      <c r="P64" s="11">
        <f t="shared" si="16"/>
        <v>0.009977511955</v>
      </c>
      <c r="Q64" s="11">
        <f t="shared" ref="Q64:Y64" si="225">IFERROR(Q25/$P25,0)</f>
        <v>0</v>
      </c>
      <c r="R64" s="11">
        <f t="shared" si="225"/>
        <v>0.02498750625</v>
      </c>
      <c r="S64" s="11">
        <f t="shared" si="225"/>
        <v>0.06446776612</v>
      </c>
      <c r="T64" s="11">
        <f t="shared" si="225"/>
        <v>0.283858071</v>
      </c>
      <c r="U64" s="11">
        <f t="shared" si="225"/>
        <v>0.09045477261</v>
      </c>
      <c r="V64" s="11">
        <f t="shared" si="225"/>
        <v>0.06896551724</v>
      </c>
      <c r="W64" s="11">
        <f t="shared" si="225"/>
        <v>0.07696151924</v>
      </c>
      <c r="X64" s="11">
        <f t="shared" si="225"/>
        <v>0.2213893053</v>
      </c>
      <c r="Y64" s="11">
        <f t="shared" si="225"/>
        <v>0.1689155422</v>
      </c>
      <c r="Z64" s="11">
        <f t="shared" si="18"/>
        <v>0.1267109114</v>
      </c>
      <c r="AA64" s="11">
        <f t="shared" ref="AA64:AC64" si="226">IFERROR(AA25/$Z25,0)</f>
        <v>0.0009837871872</v>
      </c>
      <c r="AB64" s="11">
        <f t="shared" si="226"/>
        <v>0.9099637966</v>
      </c>
      <c r="AC64" s="11">
        <f t="shared" si="226"/>
        <v>0.08905241618</v>
      </c>
      <c r="AD64" s="11">
        <f t="shared" si="20"/>
        <v>0.002797293457</v>
      </c>
      <c r="AE64" s="11">
        <f t="shared" ref="AE64:AG64" si="227">IFERROR(AE25/$AD25,0)</f>
        <v>0.05347593583</v>
      </c>
      <c r="AF64" s="11">
        <f t="shared" si="227"/>
        <v>0.8324420677</v>
      </c>
      <c r="AG64" s="11">
        <f t="shared" si="227"/>
        <v>0.1140819964</v>
      </c>
      <c r="AH64" s="11">
        <f t="shared" si="22"/>
        <v>0.1093437579</v>
      </c>
      <c r="AI64" s="11">
        <f t="shared" ref="AI64:AQ64" si="228">IFERROR(AI25/$AH25,0)</f>
        <v>0.1458798851</v>
      </c>
      <c r="AJ64" s="11">
        <f t="shared" si="228"/>
        <v>0.06115189931</v>
      </c>
      <c r="AK64" s="11">
        <f t="shared" si="228"/>
        <v>0.02822746135</v>
      </c>
      <c r="AL64" s="11">
        <f t="shared" si="228"/>
        <v>0.4273336677</v>
      </c>
      <c r="AM64" s="11">
        <f t="shared" si="228"/>
        <v>0.08395275662</v>
      </c>
      <c r="AN64" s="11">
        <f t="shared" si="228"/>
        <v>0.04291121346</v>
      </c>
      <c r="AO64" s="11">
        <f t="shared" si="228"/>
        <v>0.05941903416</v>
      </c>
      <c r="AP64" s="11">
        <f t="shared" si="228"/>
        <v>0.06151671303</v>
      </c>
      <c r="AQ64" s="11">
        <f t="shared" si="228"/>
        <v>0.08960736924</v>
      </c>
      <c r="AR64" s="11">
        <f t="shared" si="24"/>
        <v>0.1081420686</v>
      </c>
      <c r="AS64" s="11">
        <f t="shared" ref="AS64:BA64" si="229">IFERROR(AS25/$AR25,0)</f>
        <v>0.006547399484</v>
      </c>
      <c r="AT64" s="11">
        <f t="shared" si="229"/>
        <v>0.1214035411</v>
      </c>
      <c r="AU64" s="11">
        <f t="shared" si="229"/>
        <v>0.02900221321</v>
      </c>
      <c r="AV64" s="11">
        <f t="shared" si="229"/>
        <v>0.1211729989</v>
      </c>
      <c r="AW64" s="11">
        <f t="shared" si="229"/>
        <v>0.1120896348</v>
      </c>
      <c r="AX64" s="11">
        <f t="shared" si="229"/>
        <v>0.1214496496</v>
      </c>
      <c r="AY64" s="11">
        <f t="shared" si="229"/>
        <v>0.1669586868</v>
      </c>
      <c r="AZ64" s="11">
        <f t="shared" si="229"/>
        <v>0.08317963851</v>
      </c>
      <c r="BA64" s="11">
        <f t="shared" si="229"/>
        <v>0.2381962376</v>
      </c>
      <c r="BB64" s="11">
        <f t="shared" si="26"/>
        <v>0.3811499319</v>
      </c>
      <c r="BC64" s="11">
        <f t="shared" ref="BC64:BK64" si="230">IFERROR(BC25/$BB25,0)</f>
        <v>0.06302982732</v>
      </c>
      <c r="BD64" s="11">
        <f t="shared" si="230"/>
        <v>0.09050235479</v>
      </c>
      <c r="BE64" s="11">
        <f t="shared" si="230"/>
        <v>0.008307169021</v>
      </c>
      <c r="BF64" s="11">
        <f t="shared" si="230"/>
        <v>0.1584903192</v>
      </c>
      <c r="BG64" s="11">
        <f t="shared" si="230"/>
        <v>0.1114599686</v>
      </c>
      <c r="BH64" s="11">
        <f t="shared" si="230"/>
        <v>0.1529434851</v>
      </c>
      <c r="BI64" s="11">
        <f t="shared" si="230"/>
        <v>0.1251831502</v>
      </c>
      <c r="BJ64" s="11">
        <f t="shared" si="230"/>
        <v>0.261237572</v>
      </c>
      <c r="BK64" s="11">
        <f t="shared" si="230"/>
        <v>0.02884615385</v>
      </c>
      <c r="BL64" s="11">
        <f t="shared" si="28"/>
        <v>0.1365886981</v>
      </c>
      <c r="BM64" s="11">
        <f t="shared" ref="BM64:BT64" si="231">IFERROR(BM25/$BL25,0)</f>
        <v>0.02872996751</v>
      </c>
      <c r="BN64" s="11">
        <f t="shared" si="231"/>
        <v>0.09611944657</v>
      </c>
      <c r="BO64" s="11">
        <f t="shared" si="231"/>
        <v>0.02854743913</v>
      </c>
      <c r="BP64" s="11">
        <f t="shared" si="231"/>
        <v>0.1869820757</v>
      </c>
      <c r="BQ64" s="11">
        <f t="shared" si="231"/>
        <v>0.04800496477</v>
      </c>
      <c r="BR64" s="11">
        <f t="shared" si="231"/>
        <v>0.1742050889</v>
      </c>
      <c r="BS64" s="11">
        <f t="shared" si="231"/>
        <v>0.05333479356</v>
      </c>
      <c r="BT64" s="11">
        <f t="shared" si="231"/>
        <v>0.3840762239</v>
      </c>
      <c r="BU64" s="11">
        <f t="shared" si="30"/>
        <v>0.07349751435</v>
      </c>
      <c r="BV64" s="11">
        <f t="shared" ref="BV64:BZ64" si="232">IFERROR(BV25/$BU25,0)</f>
        <v>0.003459972863</v>
      </c>
      <c r="BW64" s="11">
        <f t="shared" si="232"/>
        <v>0.0002713704206</v>
      </c>
      <c r="BX64" s="11">
        <f t="shared" si="232"/>
        <v>0</v>
      </c>
      <c r="BY64" s="11">
        <f t="shared" si="232"/>
        <v>0.6240162822</v>
      </c>
      <c r="BZ64" s="11">
        <f t="shared" si="232"/>
        <v>0.3722523745</v>
      </c>
      <c r="CA64" s="11">
        <f t="shared" si="32"/>
        <v>1</v>
      </c>
    </row>
    <row r="65" ht="15.75" customHeight="1">
      <c r="A65" s="9" t="str">
        <f t="shared" si="11"/>
        <v>Y2010</v>
      </c>
      <c r="B65" s="11">
        <f t="shared" si="12"/>
        <v>0.04107714674</v>
      </c>
      <c r="C65" s="11">
        <f t="shared" ref="C65:L65" si="233">IFERROR(C26/$B26,0)</f>
        <v>0.01318528799</v>
      </c>
      <c r="D65" s="11">
        <f t="shared" si="233"/>
        <v>0.06638908166</v>
      </c>
      <c r="E65" s="11">
        <f t="shared" si="233"/>
        <v>0.07749248207</v>
      </c>
      <c r="F65" s="11">
        <f t="shared" si="233"/>
        <v>0.1470043951</v>
      </c>
      <c r="G65" s="11">
        <f t="shared" si="233"/>
        <v>0.08905852417</v>
      </c>
      <c r="H65" s="11">
        <f t="shared" si="233"/>
        <v>0.1800832755</v>
      </c>
      <c r="I65" s="11">
        <f t="shared" si="233"/>
        <v>0.03539208883</v>
      </c>
      <c r="J65" s="11">
        <f t="shared" si="233"/>
        <v>0.1370575989</v>
      </c>
      <c r="K65" s="11">
        <f t="shared" si="233"/>
        <v>0.06488549618</v>
      </c>
      <c r="L65" s="11">
        <f t="shared" si="233"/>
        <v>0.1894517696</v>
      </c>
      <c r="M65" s="11">
        <f t="shared" si="14"/>
        <v>0.008105206146</v>
      </c>
      <c r="N65" s="11">
        <f t="shared" ref="N65:O65" si="234">IFERROR(N26/$M26,0)</f>
        <v>0.8522860492</v>
      </c>
      <c r="O65" s="11">
        <f t="shared" si="234"/>
        <v>0.1477139508</v>
      </c>
      <c r="P65" s="11">
        <f t="shared" si="16"/>
        <v>0.0110745812</v>
      </c>
      <c r="Q65" s="11">
        <f t="shared" ref="Q65:Y65" si="235">IFERROR(Q26/$P26,0)</f>
        <v>0</v>
      </c>
      <c r="R65" s="11">
        <f t="shared" si="235"/>
        <v>0.02230802231</v>
      </c>
      <c r="S65" s="11">
        <f t="shared" si="235"/>
        <v>0.05491205491</v>
      </c>
      <c r="T65" s="11">
        <f t="shared" si="235"/>
        <v>0.2882882883</v>
      </c>
      <c r="U65" s="11">
        <f t="shared" si="235"/>
        <v>0.08065208065</v>
      </c>
      <c r="V65" s="11">
        <f t="shared" si="235"/>
        <v>0.04633204633</v>
      </c>
      <c r="W65" s="11">
        <f t="shared" si="235"/>
        <v>0.08451308451</v>
      </c>
      <c r="X65" s="11">
        <f t="shared" si="235"/>
        <v>0.2904332904</v>
      </c>
      <c r="Y65" s="11">
        <f t="shared" si="235"/>
        <v>0.1325611326</v>
      </c>
      <c r="Z65" s="11">
        <f t="shared" si="18"/>
        <v>0.1370330955</v>
      </c>
      <c r="AA65" s="11">
        <f t="shared" ref="AA65:AC65" si="236">IFERROR(AA26/$Z26,0)</f>
        <v>0.001490829664</v>
      </c>
      <c r="AB65" s="11">
        <f t="shared" si="236"/>
        <v>0.9264639601</v>
      </c>
      <c r="AC65" s="11">
        <f t="shared" si="236"/>
        <v>0.07204521028</v>
      </c>
      <c r="AD65" s="11">
        <f t="shared" si="20"/>
        <v>0.002494275045</v>
      </c>
      <c r="AE65" s="11">
        <f t="shared" ref="AE65:AG65" si="237">IFERROR(AE26/$AD26,0)</f>
        <v>0.07047619048</v>
      </c>
      <c r="AF65" s="11">
        <f t="shared" si="237"/>
        <v>0.8228571429</v>
      </c>
      <c r="AG65" s="11">
        <f t="shared" si="237"/>
        <v>0.1066666667</v>
      </c>
      <c r="AH65" s="11">
        <f t="shared" si="22"/>
        <v>0.108493838</v>
      </c>
      <c r="AI65" s="11">
        <f t="shared" ref="AI65:AQ65" si="238">IFERROR(AI26/$AH26,0)</f>
        <v>0.1482308635</v>
      </c>
      <c r="AJ65" s="11">
        <f t="shared" si="238"/>
        <v>0.04821334735</v>
      </c>
      <c r="AK65" s="11">
        <f t="shared" si="238"/>
        <v>0.02750043791</v>
      </c>
      <c r="AL65" s="11">
        <f t="shared" si="238"/>
        <v>0.4214836224</v>
      </c>
      <c r="AM65" s="11">
        <f t="shared" si="238"/>
        <v>0.08044315992</v>
      </c>
      <c r="AN65" s="11">
        <f t="shared" si="238"/>
        <v>0.05802242074</v>
      </c>
      <c r="AO65" s="11">
        <f t="shared" si="238"/>
        <v>0.06397792958</v>
      </c>
      <c r="AP65" s="11">
        <f t="shared" si="238"/>
        <v>0.06161324225</v>
      </c>
      <c r="AQ65" s="11">
        <f t="shared" si="238"/>
        <v>0.09051497635</v>
      </c>
      <c r="AR65" s="11">
        <f t="shared" si="24"/>
        <v>0.108712384</v>
      </c>
      <c r="AS65" s="11">
        <f t="shared" ref="AS65:BA65" si="239">IFERROR(AS26/$AR26,0)</f>
        <v>0.006162048772</v>
      </c>
      <c r="AT65" s="11">
        <f t="shared" si="239"/>
        <v>0.1292282143</v>
      </c>
      <c r="AU65" s="11">
        <f t="shared" si="239"/>
        <v>0.03133467354</v>
      </c>
      <c r="AV65" s="11">
        <f t="shared" si="239"/>
        <v>0.1238965125</v>
      </c>
      <c r="AW65" s="11">
        <f t="shared" si="239"/>
        <v>0.1062407132</v>
      </c>
      <c r="AX65" s="11">
        <f t="shared" si="239"/>
        <v>0.1112664977</v>
      </c>
      <c r="AY65" s="11">
        <f t="shared" si="239"/>
        <v>0.1628354165</v>
      </c>
      <c r="AZ65" s="11">
        <f t="shared" si="239"/>
        <v>0.1084695394</v>
      </c>
      <c r="BA65" s="11">
        <f t="shared" si="239"/>
        <v>0.2205663841</v>
      </c>
      <c r="BB65" s="11">
        <f t="shared" si="26"/>
        <v>0.390698492</v>
      </c>
      <c r="BC65" s="11">
        <f t="shared" ref="BC65:BK65" si="240">IFERROR(BC26/$BB26,0)</f>
        <v>0.05175411929</v>
      </c>
      <c r="BD65" s="11">
        <f t="shared" si="240"/>
        <v>0.08428284794</v>
      </c>
      <c r="BE65" s="11">
        <f t="shared" si="240"/>
        <v>0.007673131878</v>
      </c>
      <c r="BF65" s="11">
        <f t="shared" si="240"/>
        <v>0.1275734176</v>
      </c>
      <c r="BG65" s="11">
        <f t="shared" si="240"/>
        <v>0.1160941205</v>
      </c>
      <c r="BH65" s="11">
        <f t="shared" si="240"/>
        <v>0.1388459902</v>
      </c>
      <c r="BI65" s="11">
        <f t="shared" si="240"/>
        <v>0.1303094789</v>
      </c>
      <c r="BJ65" s="11">
        <f t="shared" si="240"/>
        <v>0.3197178817</v>
      </c>
      <c r="BK65" s="11">
        <f t="shared" si="240"/>
        <v>0.02374901198</v>
      </c>
      <c r="BL65" s="11">
        <f t="shared" si="28"/>
        <v>0.1295977803</v>
      </c>
      <c r="BM65" s="11">
        <f t="shared" ref="BM65:BT65" si="241">IFERROR(BM26/$BL26,0)</f>
        <v>0.03178385512</v>
      </c>
      <c r="BN65" s="11">
        <f t="shared" si="241"/>
        <v>0.09637803358</v>
      </c>
      <c r="BO65" s="11">
        <f t="shared" si="241"/>
        <v>0.02786128015</v>
      </c>
      <c r="BP65" s="11">
        <f t="shared" si="241"/>
        <v>0.1971918762</v>
      </c>
      <c r="BQ65" s="11">
        <f t="shared" si="241"/>
        <v>0.0492338148</v>
      </c>
      <c r="BR65" s="11">
        <f t="shared" si="241"/>
        <v>0.1749028521</v>
      </c>
      <c r="BS65" s="11">
        <f t="shared" si="241"/>
        <v>0.05004032554</v>
      </c>
      <c r="BT65" s="11">
        <f t="shared" si="241"/>
        <v>0.3726079625</v>
      </c>
      <c r="BU65" s="11">
        <f t="shared" si="30"/>
        <v>0.06271320113</v>
      </c>
      <c r="BV65" s="11">
        <f t="shared" ref="BV65:BZ65" si="242">IFERROR(BV26/$BU26,0)</f>
        <v>0.002878787879</v>
      </c>
      <c r="BW65" s="11">
        <f t="shared" si="242"/>
        <v>0.0009848484848</v>
      </c>
      <c r="BX65" s="11">
        <f t="shared" si="242"/>
        <v>0.0001515151515</v>
      </c>
      <c r="BY65" s="11">
        <f t="shared" si="242"/>
        <v>0.5339393939</v>
      </c>
      <c r="BZ65" s="11">
        <f t="shared" si="242"/>
        <v>0.4620454545</v>
      </c>
      <c r="CA65" s="11">
        <f t="shared" si="32"/>
        <v>1</v>
      </c>
    </row>
    <row r="66" ht="15.75" customHeight="1">
      <c r="A66" s="9" t="str">
        <f t="shared" si="11"/>
        <v>Y2011</v>
      </c>
      <c r="B66" s="11">
        <f t="shared" si="12"/>
        <v>0.04075957623</v>
      </c>
      <c r="C66" s="11">
        <f t="shared" ref="C66:L66" si="243">IFERROR(C27/$B27,0)</f>
        <v>0.01200129744</v>
      </c>
      <c r="D66" s="11">
        <f t="shared" si="243"/>
        <v>0.0596821278</v>
      </c>
      <c r="E66" s="11">
        <f t="shared" si="243"/>
        <v>0.07244026381</v>
      </c>
      <c r="F66" s="11">
        <f t="shared" si="243"/>
        <v>0.1410963347</v>
      </c>
      <c r="G66" s="11">
        <f t="shared" si="243"/>
        <v>0.08692831657</v>
      </c>
      <c r="H66" s="11">
        <f t="shared" si="243"/>
        <v>0.1991566656</v>
      </c>
      <c r="I66" s="11">
        <f t="shared" si="243"/>
        <v>0.04086928317</v>
      </c>
      <c r="J66" s="11">
        <f t="shared" si="243"/>
        <v>0.1465023246</v>
      </c>
      <c r="K66" s="11">
        <f t="shared" si="243"/>
        <v>0.05935776841</v>
      </c>
      <c r="L66" s="11">
        <f t="shared" si="243"/>
        <v>0.1819656179</v>
      </c>
      <c r="M66" s="11">
        <f t="shared" si="14"/>
        <v>0.007998554531</v>
      </c>
      <c r="N66" s="11">
        <f t="shared" ref="N66:O66" si="244">IFERROR(N27/$M27,0)</f>
        <v>0.8468319559</v>
      </c>
      <c r="O66" s="11">
        <f t="shared" si="244"/>
        <v>0.1531680441</v>
      </c>
      <c r="P66" s="11">
        <f t="shared" si="16"/>
        <v>0.01220275344</v>
      </c>
      <c r="Q66" s="11">
        <f t="shared" ref="Q66:Y66" si="245">IFERROR(Q27/$P27,0)</f>
        <v>0</v>
      </c>
      <c r="R66" s="11">
        <f t="shared" si="245"/>
        <v>0.01661249549</v>
      </c>
      <c r="S66" s="11">
        <f t="shared" si="245"/>
        <v>0.05417118093</v>
      </c>
      <c r="T66" s="11">
        <f t="shared" si="245"/>
        <v>0.2379920549</v>
      </c>
      <c r="U66" s="11">
        <f t="shared" si="245"/>
        <v>0.06608884074</v>
      </c>
      <c r="V66" s="11">
        <f t="shared" si="245"/>
        <v>0.04117009751</v>
      </c>
      <c r="W66" s="11">
        <f t="shared" si="245"/>
        <v>0.1040086674</v>
      </c>
      <c r="X66" s="11">
        <f t="shared" si="245"/>
        <v>0.3571686529</v>
      </c>
      <c r="Y66" s="11">
        <f t="shared" si="245"/>
        <v>0.1227880101</v>
      </c>
      <c r="Z66" s="11">
        <f t="shared" si="18"/>
        <v>0.1686923796</v>
      </c>
      <c r="AA66" s="11">
        <f t="shared" ref="AA66:AC66" si="246">IFERROR(AA27/$Z27,0)</f>
        <v>0.001724182972</v>
      </c>
      <c r="AB66" s="11">
        <f t="shared" si="246"/>
        <v>0.9351080227</v>
      </c>
      <c r="AC66" s="11">
        <f t="shared" si="246"/>
        <v>0.06316779435</v>
      </c>
      <c r="AD66" s="11">
        <f t="shared" si="20"/>
        <v>0.002392955984</v>
      </c>
      <c r="AE66" s="11">
        <f t="shared" ref="AE66:AG66" si="247">IFERROR(AE27/$AD27,0)</f>
        <v>0.07366482505</v>
      </c>
      <c r="AF66" s="11">
        <f t="shared" si="247"/>
        <v>0.8066298343</v>
      </c>
      <c r="AG66" s="11">
        <f t="shared" si="247"/>
        <v>0.1197053407</v>
      </c>
      <c r="AH66" s="11">
        <f t="shared" si="22"/>
        <v>0.1072908036</v>
      </c>
      <c r="AI66" s="11">
        <f t="shared" ref="AI66:AQ66" si="248">IFERROR(AI27/$AH27,0)</f>
        <v>0.125770147</v>
      </c>
      <c r="AJ66" s="11">
        <f t="shared" si="248"/>
        <v>0.05853117555</v>
      </c>
      <c r="AK66" s="11">
        <f t="shared" si="248"/>
        <v>0.02616446233</v>
      </c>
      <c r="AL66" s="11">
        <f t="shared" si="248"/>
        <v>0.4341164873</v>
      </c>
      <c r="AM66" s="11">
        <f t="shared" si="248"/>
        <v>0.0771379282</v>
      </c>
      <c r="AN66" s="11">
        <f t="shared" si="248"/>
        <v>0.06629425778</v>
      </c>
      <c r="AO66" s="11">
        <f t="shared" si="248"/>
        <v>0.06391193625</v>
      </c>
      <c r="AP66" s="11">
        <f t="shared" si="248"/>
        <v>0.05869547359</v>
      </c>
      <c r="AQ66" s="11">
        <f t="shared" si="248"/>
        <v>0.08937813193</v>
      </c>
      <c r="AR66" s="11">
        <f t="shared" si="24"/>
        <v>0.1095647729</v>
      </c>
      <c r="AS66" s="11">
        <f t="shared" ref="AS66:BA66" si="249">IFERROR(AS27/$AR27,0)</f>
        <v>0.005993081812</v>
      </c>
      <c r="AT66" s="11">
        <f t="shared" si="249"/>
        <v>0.1417021961</v>
      </c>
      <c r="AU66" s="11">
        <f t="shared" si="249"/>
        <v>0.03068940552</v>
      </c>
      <c r="AV66" s="11">
        <f t="shared" si="249"/>
        <v>0.103732604</v>
      </c>
      <c r="AW66" s="11">
        <f t="shared" si="249"/>
        <v>0.09942884724</v>
      </c>
      <c r="AX66" s="11">
        <f t="shared" si="249"/>
        <v>0.09693508165</v>
      </c>
      <c r="AY66" s="11">
        <f t="shared" si="249"/>
        <v>0.1443970718</v>
      </c>
      <c r="AZ66" s="11">
        <f t="shared" si="249"/>
        <v>0.1308824712</v>
      </c>
      <c r="BA66" s="11">
        <f t="shared" si="249"/>
        <v>0.2462392406</v>
      </c>
      <c r="BB66" s="11">
        <f t="shared" si="26"/>
        <v>0.369127783</v>
      </c>
      <c r="BC66" s="11">
        <f t="shared" ref="BC66:BK66" si="250">IFERROR(BC27/$BB27,0)</f>
        <v>0.05493009873</v>
      </c>
      <c r="BD66" s="11">
        <f t="shared" si="250"/>
        <v>0.1008822722</v>
      </c>
      <c r="BE66" s="11">
        <f t="shared" si="250"/>
        <v>0.008142214157</v>
      </c>
      <c r="BF66" s="11">
        <f t="shared" si="250"/>
        <v>0.1243418775</v>
      </c>
      <c r="BG66" s="11">
        <f t="shared" si="250"/>
        <v>0.1117584556</v>
      </c>
      <c r="BH66" s="11">
        <f t="shared" si="250"/>
        <v>0.1373550937</v>
      </c>
      <c r="BI66" s="11">
        <f t="shared" si="250"/>
        <v>0.1347166342</v>
      </c>
      <c r="BJ66" s="11">
        <f t="shared" si="250"/>
        <v>0.2949821516</v>
      </c>
      <c r="BK66" s="11">
        <f t="shared" si="250"/>
        <v>0.03289120235</v>
      </c>
      <c r="BL66" s="11">
        <f t="shared" si="28"/>
        <v>0.1238255566</v>
      </c>
      <c r="BM66" s="11">
        <f t="shared" ref="BM66:BT66" si="251">IFERROR(BM27/$BL27,0)</f>
        <v>0.0400384369</v>
      </c>
      <c r="BN66" s="11">
        <f t="shared" si="251"/>
        <v>0.09901060574</v>
      </c>
      <c r="BO66" s="11">
        <f t="shared" si="251"/>
        <v>0.02950387928</v>
      </c>
      <c r="BP66" s="11">
        <f t="shared" si="251"/>
        <v>0.2021852089</v>
      </c>
      <c r="BQ66" s="11">
        <f t="shared" si="251"/>
        <v>0.04712079152</v>
      </c>
      <c r="BR66" s="11">
        <f t="shared" si="251"/>
        <v>0.171613638</v>
      </c>
      <c r="BS66" s="11">
        <f t="shared" si="251"/>
        <v>0.0493985337</v>
      </c>
      <c r="BT66" s="11">
        <f t="shared" si="251"/>
        <v>0.361128906</v>
      </c>
      <c r="BU66" s="11">
        <f t="shared" si="30"/>
        <v>0.05814486418</v>
      </c>
      <c r="BV66" s="11">
        <f t="shared" ref="BV66:BZ66" si="252">IFERROR(BV27/$BU27,0)</f>
        <v>0.003410641201</v>
      </c>
      <c r="BW66" s="11">
        <f t="shared" si="252"/>
        <v>0.001440048507</v>
      </c>
      <c r="BX66" s="11">
        <f t="shared" si="252"/>
        <v>0.0003031681067</v>
      </c>
      <c r="BY66" s="11">
        <f t="shared" si="252"/>
        <v>0.4849173867</v>
      </c>
      <c r="BZ66" s="11">
        <f t="shared" si="252"/>
        <v>0.5099287555</v>
      </c>
      <c r="CA66" s="11">
        <f t="shared" si="32"/>
        <v>1</v>
      </c>
    </row>
    <row r="67" ht="15.75" customHeight="1">
      <c r="A67" s="9" t="str">
        <f t="shared" si="11"/>
        <v>Y2012</v>
      </c>
      <c r="B67" s="11">
        <f t="shared" si="12"/>
        <v>0.03966127485</v>
      </c>
      <c r="C67" s="11">
        <f t="shared" ref="C67:L67" si="253">IFERROR(C28/$B28,0)</f>
        <v>0.01042535446</v>
      </c>
      <c r="D67" s="11">
        <f t="shared" si="253"/>
        <v>0.06453294412</v>
      </c>
      <c r="E67" s="11">
        <f t="shared" si="253"/>
        <v>0.06609674729</v>
      </c>
      <c r="F67" s="11">
        <f t="shared" si="253"/>
        <v>0.1476230192</v>
      </c>
      <c r="G67" s="11">
        <f t="shared" si="253"/>
        <v>0.08851125938</v>
      </c>
      <c r="H67" s="11">
        <f t="shared" si="253"/>
        <v>0.1880733945</v>
      </c>
      <c r="I67" s="11">
        <f t="shared" si="253"/>
        <v>0.03711426188</v>
      </c>
      <c r="J67" s="11">
        <f t="shared" si="253"/>
        <v>0.1408465388</v>
      </c>
      <c r="K67" s="11">
        <f t="shared" si="253"/>
        <v>0.06620100083</v>
      </c>
      <c r="L67" s="11">
        <f t="shared" si="253"/>
        <v>0.1905754796</v>
      </c>
      <c r="M67" s="11">
        <f t="shared" si="14"/>
        <v>0.008248982832</v>
      </c>
      <c r="N67" s="11">
        <f t="shared" ref="N67:O67" si="254">IFERROR(N28/$M28,0)</f>
        <v>0.845112782</v>
      </c>
      <c r="O67" s="11">
        <f t="shared" si="254"/>
        <v>0.154887218</v>
      </c>
      <c r="P67" s="11">
        <f t="shared" si="16"/>
        <v>0.0104073633</v>
      </c>
      <c r="Q67" s="11">
        <f t="shared" ref="Q67:Y67" si="255">IFERROR(Q28/$P28,0)</f>
        <v>0.0003972983711</v>
      </c>
      <c r="R67" s="11">
        <f t="shared" si="255"/>
        <v>0.02304330552</v>
      </c>
      <c r="S67" s="11">
        <f t="shared" si="255"/>
        <v>0.05323798172</v>
      </c>
      <c r="T67" s="11">
        <f t="shared" si="255"/>
        <v>0.2522844656</v>
      </c>
      <c r="U67" s="11">
        <f t="shared" si="255"/>
        <v>0.05760826381</v>
      </c>
      <c r="V67" s="11">
        <f t="shared" si="255"/>
        <v>0.03615415177</v>
      </c>
      <c r="W67" s="11">
        <f t="shared" si="255"/>
        <v>0.1243543901</v>
      </c>
      <c r="X67" s="11">
        <f t="shared" si="255"/>
        <v>0.2908224076</v>
      </c>
      <c r="Y67" s="11">
        <f t="shared" si="255"/>
        <v>0.1620977354</v>
      </c>
      <c r="Z67" s="11">
        <f t="shared" si="18"/>
        <v>0.1689284178</v>
      </c>
      <c r="AA67" s="11">
        <f t="shared" ref="AA67:AC67" si="256">IFERROR(AA28/$Z28,0)</f>
        <v>0.000440582548</v>
      </c>
      <c r="AB67" s="11">
        <f t="shared" si="256"/>
        <v>0.9354301799</v>
      </c>
      <c r="AC67" s="11">
        <f t="shared" si="256"/>
        <v>0.06412923755</v>
      </c>
      <c r="AD67" s="11">
        <f t="shared" si="20"/>
        <v>0.002257616354</v>
      </c>
      <c r="AE67" s="11">
        <f t="shared" ref="AE67:AG67" si="257">IFERROR(AE28/$AD28,0)</f>
        <v>0.1117216117</v>
      </c>
      <c r="AF67" s="11">
        <f t="shared" si="257"/>
        <v>0.7527472527</v>
      </c>
      <c r="AG67" s="11">
        <f t="shared" si="257"/>
        <v>0.1355311355</v>
      </c>
      <c r="AH67" s="11">
        <f t="shared" si="22"/>
        <v>0.10125368</v>
      </c>
      <c r="AI67" s="11">
        <f t="shared" ref="AI67:AQ67" si="258">IFERROR(AI28/$AH28,0)</f>
        <v>0.1199362953</v>
      </c>
      <c r="AJ67" s="11">
        <f t="shared" si="258"/>
        <v>0.06921757596</v>
      </c>
      <c r="AK67" s="11">
        <f t="shared" si="258"/>
        <v>0.02519601437</v>
      </c>
      <c r="AL67" s="11">
        <f t="shared" si="258"/>
        <v>0.4251470108</v>
      </c>
      <c r="AM67" s="11">
        <f t="shared" si="258"/>
        <v>0.08118262006</v>
      </c>
      <c r="AN67" s="11">
        <f t="shared" si="258"/>
        <v>0.06733910487</v>
      </c>
      <c r="AO67" s="11">
        <f t="shared" si="258"/>
        <v>0.06194870957</v>
      </c>
      <c r="AP67" s="11">
        <f t="shared" si="258"/>
        <v>0.05888598497</v>
      </c>
      <c r="AQ67" s="11">
        <f t="shared" si="258"/>
        <v>0.09114668409</v>
      </c>
      <c r="AR67" s="11">
        <f t="shared" si="24"/>
        <v>0.1074063048</v>
      </c>
      <c r="AS67" s="11">
        <f t="shared" ref="AS67:BA67" si="259">IFERROR(AS28/$AR28,0)</f>
        <v>0.00546658454</v>
      </c>
      <c r="AT67" s="11">
        <f t="shared" si="259"/>
        <v>0.1536418232</v>
      </c>
      <c r="AU67" s="11">
        <f t="shared" si="259"/>
        <v>0.03095164767</v>
      </c>
      <c r="AV67" s="11">
        <f t="shared" si="259"/>
        <v>0.1023252233</v>
      </c>
      <c r="AW67" s="11">
        <f t="shared" si="259"/>
        <v>0.09628118263</v>
      </c>
      <c r="AX67" s="11">
        <f t="shared" si="259"/>
        <v>0.09343239914</v>
      </c>
      <c r="AY67" s="11">
        <f t="shared" si="259"/>
        <v>0.1661918694</v>
      </c>
      <c r="AZ67" s="11">
        <f t="shared" si="259"/>
        <v>0.09770557438</v>
      </c>
      <c r="BA67" s="11">
        <f t="shared" si="259"/>
        <v>0.2540036957</v>
      </c>
      <c r="BB67" s="11">
        <f t="shared" si="26"/>
        <v>0.3956493335</v>
      </c>
      <c r="BC67" s="11">
        <f t="shared" ref="BC67:BK67" si="260">IFERROR(BC28/$BB28,0)</f>
        <v>0.05240001254</v>
      </c>
      <c r="BD67" s="11">
        <f t="shared" si="260"/>
        <v>0.1227752986</v>
      </c>
      <c r="BE67" s="11">
        <f t="shared" si="260"/>
        <v>0.007336419785</v>
      </c>
      <c r="BF67" s="11">
        <f t="shared" si="260"/>
        <v>0.1276348929</v>
      </c>
      <c r="BG67" s="11">
        <f t="shared" si="260"/>
        <v>0.09629312237</v>
      </c>
      <c r="BH67" s="11">
        <f t="shared" si="260"/>
        <v>0.119859542</v>
      </c>
      <c r="BI67" s="11">
        <f t="shared" si="260"/>
        <v>0.1181247191</v>
      </c>
      <c r="BJ67" s="11">
        <f t="shared" si="260"/>
        <v>0.3182459477</v>
      </c>
      <c r="BK67" s="11">
        <f t="shared" si="260"/>
        <v>0.03733004483</v>
      </c>
      <c r="BL67" s="11">
        <f t="shared" si="28"/>
        <v>0.1203400483</v>
      </c>
      <c r="BM67" s="11">
        <f t="shared" ref="BM67:BT67" si="261">IFERROR(BM28/$BL28,0)</f>
        <v>0.04607614074</v>
      </c>
      <c r="BN67" s="11">
        <f t="shared" si="261"/>
        <v>0.09978009896</v>
      </c>
      <c r="BO67" s="11">
        <f t="shared" si="261"/>
        <v>0.03181693238</v>
      </c>
      <c r="BP67" s="11">
        <f t="shared" si="261"/>
        <v>0.2024807587</v>
      </c>
      <c r="BQ67" s="11">
        <f t="shared" si="261"/>
        <v>0.05085211655</v>
      </c>
      <c r="BR67" s="11">
        <f t="shared" si="261"/>
        <v>0.1804219351</v>
      </c>
      <c r="BS67" s="11">
        <f t="shared" si="261"/>
        <v>0.04855002749</v>
      </c>
      <c r="BT67" s="11">
        <f t="shared" si="261"/>
        <v>0.3400219901</v>
      </c>
      <c r="BU67" s="11">
        <f t="shared" si="30"/>
        <v>0.04584697827</v>
      </c>
      <c r="BV67" s="11">
        <f t="shared" ref="BV67:BZ67" si="262">IFERROR(BV28/$BU28,0)</f>
        <v>0.004058441558</v>
      </c>
      <c r="BW67" s="11">
        <f t="shared" si="262"/>
        <v>0.003968253968</v>
      </c>
      <c r="BX67" s="11">
        <f t="shared" si="262"/>
        <v>0.0003607503608</v>
      </c>
      <c r="BY67" s="11">
        <f t="shared" si="262"/>
        <v>0.5267857143</v>
      </c>
      <c r="BZ67" s="11">
        <f t="shared" si="262"/>
        <v>0.4648268398</v>
      </c>
      <c r="CA67" s="11">
        <f t="shared" si="32"/>
        <v>1</v>
      </c>
    </row>
    <row r="68" ht="15.75" customHeight="1">
      <c r="A68" s="9" t="str">
        <f t="shared" si="11"/>
        <v>Y2013</v>
      </c>
      <c r="B68" s="11">
        <f t="shared" si="12"/>
        <v>0.04413345006</v>
      </c>
      <c r="C68" s="11">
        <f t="shared" ref="C68:L68" si="263">IFERROR(C29/$B29,0)</f>
        <v>0.009119112532</v>
      </c>
      <c r="D68" s="11">
        <f t="shared" si="263"/>
        <v>0.05894519131</v>
      </c>
      <c r="E68" s="11">
        <f t="shared" si="263"/>
        <v>0.06994453323</v>
      </c>
      <c r="F68" s="11">
        <f t="shared" si="263"/>
        <v>0.1507943969</v>
      </c>
      <c r="G68" s="11">
        <f t="shared" si="263"/>
        <v>0.09589169879</v>
      </c>
      <c r="H68" s="11">
        <f t="shared" si="263"/>
        <v>0.1823822506</v>
      </c>
      <c r="I68" s="11">
        <f t="shared" si="263"/>
        <v>0.0356303469</v>
      </c>
      <c r="J68" s="11">
        <f t="shared" si="263"/>
        <v>0.1344364012</v>
      </c>
      <c r="K68" s="11">
        <f t="shared" si="263"/>
        <v>0.06928645295</v>
      </c>
      <c r="L68" s="11">
        <f t="shared" si="263"/>
        <v>0.1935696155</v>
      </c>
      <c r="M68" s="11">
        <f t="shared" si="14"/>
        <v>0.01006144744</v>
      </c>
      <c r="N68" s="11">
        <f t="shared" ref="N68:O68" si="264">IFERROR(N29/$M29,0)</f>
        <v>0.7925773196</v>
      </c>
      <c r="O68" s="11">
        <f t="shared" si="264"/>
        <v>0.2074226804</v>
      </c>
      <c r="P68" s="11">
        <f t="shared" si="16"/>
        <v>0.009725374348</v>
      </c>
      <c r="Q68" s="11">
        <f t="shared" ref="Q68:Y68" si="265">IFERROR(Q29/$P29,0)</f>
        <v>0.0004266211604</v>
      </c>
      <c r="R68" s="11">
        <f t="shared" si="265"/>
        <v>0.02901023891</v>
      </c>
      <c r="S68" s="11">
        <f t="shared" si="265"/>
        <v>0.04479522184</v>
      </c>
      <c r="T68" s="11">
        <f t="shared" si="265"/>
        <v>0.2768771331</v>
      </c>
      <c r="U68" s="11">
        <f t="shared" si="265"/>
        <v>0.07636518771</v>
      </c>
      <c r="V68" s="11">
        <f t="shared" si="265"/>
        <v>0.04138225256</v>
      </c>
      <c r="W68" s="11">
        <f t="shared" si="265"/>
        <v>0.1186006826</v>
      </c>
      <c r="X68" s="11">
        <f t="shared" si="265"/>
        <v>0.2295221843</v>
      </c>
      <c r="Y68" s="11">
        <f t="shared" si="265"/>
        <v>0.1830204778</v>
      </c>
      <c r="Z68" s="11">
        <f t="shared" si="18"/>
        <v>0.1749364158</v>
      </c>
      <c r="AA68" s="11">
        <f t="shared" ref="AA68:AC68" si="266">IFERROR(AA29/$Z29,0)</f>
        <v>0.0008775466641</v>
      </c>
      <c r="AB68" s="11">
        <f t="shared" si="266"/>
        <v>0.9324289069</v>
      </c>
      <c r="AC68" s="11">
        <f t="shared" si="266"/>
        <v>0.06669354647</v>
      </c>
      <c r="AD68" s="11">
        <f t="shared" si="20"/>
        <v>0.002207294861</v>
      </c>
      <c r="AE68" s="11">
        <f t="shared" ref="AE68:AG68" si="267">IFERROR(AE29/$AD29,0)</f>
        <v>0.1052631579</v>
      </c>
      <c r="AF68" s="11">
        <f t="shared" si="267"/>
        <v>0.795112782</v>
      </c>
      <c r="AG68" s="11">
        <f t="shared" si="267"/>
        <v>0.09962406015</v>
      </c>
      <c r="AH68" s="11">
        <f t="shared" si="22"/>
        <v>0.09957721176</v>
      </c>
      <c r="AI68" s="11">
        <f t="shared" ref="AI68:AQ68" si="268">IFERROR(AI29/$AH29,0)</f>
        <v>0.09416666667</v>
      </c>
      <c r="AJ68" s="11">
        <f t="shared" si="268"/>
        <v>0.05704166667</v>
      </c>
      <c r="AK68" s="11">
        <f t="shared" si="268"/>
        <v>0.02679166667</v>
      </c>
      <c r="AL68" s="11">
        <f t="shared" si="268"/>
        <v>0.425875</v>
      </c>
      <c r="AM68" s="11">
        <f t="shared" si="268"/>
        <v>0.09245833333</v>
      </c>
      <c r="AN68" s="11">
        <f t="shared" si="268"/>
        <v>0.06358333333</v>
      </c>
      <c r="AO68" s="11">
        <f t="shared" si="268"/>
        <v>0.07158333333</v>
      </c>
      <c r="AP68" s="11">
        <f t="shared" si="268"/>
        <v>0.06591666667</v>
      </c>
      <c r="AQ68" s="11">
        <f t="shared" si="268"/>
        <v>0.1025833333</v>
      </c>
      <c r="AR68" s="11">
        <f t="shared" si="24"/>
        <v>0.1104394259</v>
      </c>
      <c r="AS68" s="11">
        <f t="shared" ref="AS68:BA68" si="269">IFERROR(AS29/$AR29,0)</f>
        <v>0.005447441581</v>
      </c>
      <c r="AT68" s="11">
        <f t="shared" si="269"/>
        <v>0.1358479225</v>
      </c>
      <c r="AU68" s="11">
        <f t="shared" si="269"/>
        <v>0.03245923811</v>
      </c>
      <c r="AV68" s="11">
        <f t="shared" si="269"/>
        <v>0.1010218649</v>
      </c>
      <c r="AW68" s="11">
        <f t="shared" si="269"/>
        <v>0.1020362161</v>
      </c>
      <c r="AX68" s="11">
        <f t="shared" si="269"/>
        <v>0.1004583365</v>
      </c>
      <c r="AY68" s="11">
        <f t="shared" si="269"/>
        <v>0.1349087084</v>
      </c>
      <c r="AZ68" s="11">
        <f t="shared" si="269"/>
        <v>0.09873018258</v>
      </c>
      <c r="BA68" s="11">
        <f t="shared" si="269"/>
        <v>0.2890900894</v>
      </c>
      <c r="BB68" s="11">
        <f t="shared" si="26"/>
        <v>0.3803268622</v>
      </c>
      <c r="BC68" s="11">
        <f t="shared" ref="BC68:BK68" si="270">IFERROR(BC29/$BB29,0)</f>
        <v>0.05093491589</v>
      </c>
      <c r="BD68" s="11">
        <f t="shared" si="270"/>
        <v>0.08335696987</v>
      </c>
      <c r="BE68" s="11">
        <f t="shared" si="270"/>
        <v>0.006054589488</v>
      </c>
      <c r="BF68" s="11">
        <f t="shared" si="270"/>
        <v>0.1582920603</v>
      </c>
      <c r="BG68" s="11">
        <f t="shared" si="270"/>
        <v>0.1020880152</v>
      </c>
      <c r="BH68" s="11">
        <f t="shared" si="270"/>
        <v>0.1261100081</v>
      </c>
      <c r="BI68" s="11">
        <f t="shared" si="270"/>
        <v>0.1237427181</v>
      </c>
      <c r="BJ68" s="11">
        <f t="shared" si="270"/>
        <v>0.3236641721</v>
      </c>
      <c r="BK68" s="11">
        <f t="shared" si="270"/>
        <v>0.02575655096</v>
      </c>
      <c r="BL68" s="11">
        <f t="shared" si="28"/>
        <v>0.1295416544</v>
      </c>
      <c r="BM68" s="11">
        <f t="shared" ref="BM68:BT68" si="271">IFERROR(BM29/$BL29,0)</f>
        <v>0.0448722055</v>
      </c>
      <c r="BN68" s="11">
        <f t="shared" si="271"/>
        <v>0.1017551726</v>
      </c>
      <c r="BO68" s="11">
        <f t="shared" si="271"/>
        <v>0.03401447697</v>
      </c>
      <c r="BP68" s="11">
        <f t="shared" si="271"/>
        <v>0.2084747934</v>
      </c>
      <c r="BQ68" s="11">
        <f t="shared" si="271"/>
        <v>0.05159823202</v>
      </c>
      <c r="BR68" s="11">
        <f t="shared" si="271"/>
        <v>0.1679905195</v>
      </c>
      <c r="BS68" s="11">
        <f t="shared" si="271"/>
        <v>0.04874767792</v>
      </c>
      <c r="BT68" s="11">
        <f t="shared" si="271"/>
        <v>0.342546922</v>
      </c>
      <c r="BU68" s="11">
        <f t="shared" si="30"/>
        <v>0.03905086321</v>
      </c>
      <c r="BV68" s="11">
        <f t="shared" ref="BV68:BZ68" si="272">IFERROR(BV29/$BU29,0)</f>
        <v>0.001912452189</v>
      </c>
      <c r="BW68" s="11">
        <f t="shared" si="272"/>
        <v>0.004993625159</v>
      </c>
      <c r="BX68" s="11">
        <f t="shared" si="272"/>
        <v>0.0008499787505</v>
      </c>
      <c r="BY68" s="11">
        <f t="shared" si="272"/>
        <v>0.5095622609</v>
      </c>
      <c r="BZ68" s="11">
        <f t="shared" si="272"/>
        <v>0.482681683</v>
      </c>
      <c r="CA68" s="11">
        <f t="shared" si="32"/>
        <v>1</v>
      </c>
    </row>
    <row r="69" ht="15.75" customHeight="1">
      <c r="A69" s="9" t="str">
        <f t="shared" si="11"/>
        <v>Y2014</v>
      </c>
      <c r="B69" s="11">
        <f t="shared" si="12"/>
        <v>0.04801107704</v>
      </c>
      <c r="C69" s="11">
        <f t="shared" ref="C69:L69" si="273">IFERROR(C30/$B30,0)</f>
        <v>0.008899143045</v>
      </c>
      <c r="D69" s="11">
        <f t="shared" si="273"/>
        <v>0.05990441661</v>
      </c>
      <c r="E69" s="11">
        <f t="shared" si="273"/>
        <v>0.07382992749</v>
      </c>
      <c r="F69" s="11">
        <f t="shared" si="273"/>
        <v>0.1487310481</v>
      </c>
      <c r="G69" s="11">
        <f t="shared" si="273"/>
        <v>0.09319380356</v>
      </c>
      <c r="H69" s="11">
        <f t="shared" si="273"/>
        <v>0.1862228082</v>
      </c>
      <c r="I69" s="11">
        <f t="shared" si="273"/>
        <v>0.03699736322</v>
      </c>
      <c r="J69" s="11">
        <f t="shared" si="273"/>
        <v>0.1392551088</v>
      </c>
      <c r="K69" s="11">
        <f t="shared" si="273"/>
        <v>0.06633157548</v>
      </c>
      <c r="L69" s="11">
        <f t="shared" si="273"/>
        <v>0.1866348055</v>
      </c>
      <c r="M69" s="11">
        <f t="shared" si="14"/>
        <v>0.01081989912</v>
      </c>
      <c r="N69" s="11">
        <f t="shared" ref="N69:O69" si="274">IFERROR(N30/$M30,0)</f>
        <v>0.7411334552</v>
      </c>
      <c r="O69" s="11">
        <f t="shared" si="274"/>
        <v>0.2588665448</v>
      </c>
      <c r="P69" s="11">
        <f t="shared" si="16"/>
        <v>0.01153199486</v>
      </c>
      <c r="Q69" s="11">
        <f t="shared" ref="Q69:Y69" si="275">IFERROR(Q30/$P30,0)</f>
        <v>0.0006861063465</v>
      </c>
      <c r="R69" s="11">
        <f t="shared" si="275"/>
        <v>0.03224699828</v>
      </c>
      <c r="S69" s="11">
        <f t="shared" si="275"/>
        <v>0.0384219554</v>
      </c>
      <c r="T69" s="11">
        <f t="shared" si="275"/>
        <v>0.2744425386</v>
      </c>
      <c r="U69" s="11">
        <f t="shared" si="275"/>
        <v>0.07375643225</v>
      </c>
      <c r="V69" s="11">
        <f t="shared" si="275"/>
        <v>0.03499142367</v>
      </c>
      <c r="W69" s="11">
        <f t="shared" si="275"/>
        <v>0.114922813</v>
      </c>
      <c r="X69" s="11">
        <f t="shared" si="275"/>
        <v>0.2600343053</v>
      </c>
      <c r="Y69" s="11">
        <f t="shared" si="275"/>
        <v>0.1704974271</v>
      </c>
      <c r="Z69" s="11">
        <f t="shared" si="18"/>
        <v>0.1574720601</v>
      </c>
      <c r="AA69" s="11">
        <f t="shared" ref="AA69:AC69" si="276">IFERROR(AA30/$Z30,0)</f>
        <v>0.001406858435</v>
      </c>
      <c r="AB69" s="11">
        <f t="shared" si="276"/>
        <v>0.9904032157</v>
      </c>
      <c r="AC69" s="11">
        <f t="shared" si="276"/>
        <v>0.008189925889</v>
      </c>
      <c r="AD69" s="11">
        <f t="shared" si="20"/>
        <v>0.002409257245</v>
      </c>
      <c r="AE69" s="11">
        <f t="shared" ref="AE69:AG69" si="277">IFERROR(AE30/$AD30,0)</f>
        <v>0.09688013136</v>
      </c>
      <c r="AF69" s="11">
        <f t="shared" si="277"/>
        <v>0.8259441708</v>
      </c>
      <c r="AG69" s="11">
        <f t="shared" si="277"/>
        <v>0.07717569787</v>
      </c>
      <c r="AH69" s="11">
        <f t="shared" si="22"/>
        <v>0.09953515973</v>
      </c>
      <c r="AI69" s="11">
        <f t="shared" ref="AI69:AQ69" si="278">IFERROR(AI30/$AH30,0)</f>
        <v>0.09427662957</v>
      </c>
      <c r="AJ69" s="11">
        <f t="shared" si="278"/>
        <v>0.05862480127</v>
      </c>
      <c r="AK69" s="11">
        <f t="shared" si="278"/>
        <v>0.02778219396</v>
      </c>
      <c r="AL69" s="11">
        <f t="shared" si="278"/>
        <v>0.3943958665</v>
      </c>
      <c r="AM69" s="11">
        <f t="shared" si="278"/>
        <v>0.09674085851</v>
      </c>
      <c r="AN69" s="11">
        <f t="shared" si="278"/>
        <v>0.07007154213</v>
      </c>
      <c r="AO69" s="11">
        <f t="shared" si="278"/>
        <v>0.07583465819</v>
      </c>
      <c r="AP69" s="11">
        <f t="shared" si="278"/>
        <v>0.06872019078</v>
      </c>
      <c r="AQ69" s="11">
        <f t="shared" si="278"/>
        <v>0.1135532591</v>
      </c>
      <c r="AR69" s="11">
        <f t="shared" si="24"/>
        <v>0.1139748788</v>
      </c>
      <c r="AS69" s="11">
        <f t="shared" ref="AS69:BA69" si="279">IFERROR(AS30/$AR30,0)</f>
        <v>0.006108989934</v>
      </c>
      <c r="AT69" s="11">
        <f t="shared" si="279"/>
        <v>0.1188823325</v>
      </c>
      <c r="AU69" s="11">
        <f t="shared" si="279"/>
        <v>0.03644567858</v>
      </c>
      <c r="AV69" s="11">
        <f t="shared" si="279"/>
        <v>0.1003818119</v>
      </c>
      <c r="AW69" s="11">
        <f t="shared" si="279"/>
        <v>0.104685873</v>
      </c>
      <c r="AX69" s="11">
        <f t="shared" si="279"/>
        <v>0.1110725443</v>
      </c>
      <c r="AY69" s="11">
        <f t="shared" si="279"/>
        <v>0.154078445</v>
      </c>
      <c r="AZ69" s="11">
        <f t="shared" si="279"/>
        <v>0.1052412357</v>
      </c>
      <c r="BA69" s="11">
        <f t="shared" si="279"/>
        <v>0.2631030892</v>
      </c>
      <c r="BB69" s="11">
        <f t="shared" si="26"/>
        <v>0.3756779745</v>
      </c>
      <c r="BC69" s="11">
        <f t="shared" ref="BC69:BK69" si="280">IFERROR(BC30/$BB30,0)</f>
        <v>0.0514837514</v>
      </c>
      <c r="BD69" s="11">
        <f t="shared" si="280"/>
        <v>0.07462985194</v>
      </c>
      <c r="BE69" s="11">
        <f t="shared" si="280"/>
        <v>0.005749668288</v>
      </c>
      <c r="BF69" s="11">
        <f t="shared" si="280"/>
        <v>0.1752595775</v>
      </c>
      <c r="BG69" s="11">
        <f t="shared" si="280"/>
        <v>0.1040100251</v>
      </c>
      <c r="BH69" s="11">
        <f t="shared" si="280"/>
        <v>0.1302205093</v>
      </c>
      <c r="BI69" s="11">
        <f t="shared" si="280"/>
        <v>0.1265558855</v>
      </c>
      <c r="BJ69" s="11">
        <f t="shared" si="280"/>
        <v>0.3004675554</v>
      </c>
      <c r="BK69" s="11">
        <f t="shared" si="280"/>
        <v>0.03162317559</v>
      </c>
      <c r="BL69" s="11">
        <f t="shared" si="28"/>
        <v>0.1376797547</v>
      </c>
      <c r="BM69" s="11">
        <f t="shared" ref="BM69:BT69" si="281">IFERROR(BM30/$BL30,0)</f>
        <v>0.04094592265</v>
      </c>
      <c r="BN69" s="11">
        <f t="shared" si="281"/>
        <v>0.1041606804</v>
      </c>
      <c r="BO69" s="11">
        <f t="shared" si="281"/>
        <v>0.03381989541</v>
      </c>
      <c r="BP69" s="11">
        <f t="shared" si="281"/>
        <v>0.2083500948</v>
      </c>
      <c r="BQ69" s="11">
        <f t="shared" si="281"/>
        <v>0.05117521981</v>
      </c>
      <c r="BR69" s="11">
        <f t="shared" si="281"/>
        <v>0.1714843974</v>
      </c>
      <c r="BS69" s="11">
        <f t="shared" si="281"/>
        <v>0.04930751106</v>
      </c>
      <c r="BT69" s="11">
        <f t="shared" si="281"/>
        <v>0.3407562784</v>
      </c>
      <c r="BU69" s="11">
        <f t="shared" si="30"/>
        <v>0.04288794382</v>
      </c>
      <c r="BV69" s="11">
        <f t="shared" ref="BV69:BZ69" si="282">IFERROR(BV30/$BU30,0)</f>
        <v>0.0007379393045</v>
      </c>
      <c r="BW69" s="11">
        <f t="shared" si="282"/>
        <v>0.004058666175</v>
      </c>
      <c r="BX69" s="11">
        <f t="shared" si="282"/>
        <v>0.00009224241306</v>
      </c>
      <c r="BY69" s="11">
        <f t="shared" si="282"/>
        <v>0.3693386219</v>
      </c>
      <c r="BZ69" s="11">
        <f t="shared" si="282"/>
        <v>0.6257725302</v>
      </c>
      <c r="CA69" s="11">
        <f t="shared" si="32"/>
        <v>1</v>
      </c>
    </row>
    <row r="70" ht="15.75" customHeight="1">
      <c r="A70" s="9" t="str">
        <f t="shared" si="11"/>
        <v>Y2015</v>
      </c>
      <c r="B70" s="11">
        <f t="shared" si="12"/>
        <v>0.05061949819</v>
      </c>
      <c r="C70" s="11">
        <f t="shared" ref="C70:L70" si="283">IFERROR(C31/$B31,0)</f>
        <v>0.007323026851</v>
      </c>
      <c r="D70" s="11">
        <f t="shared" si="283"/>
        <v>0.05991567424</v>
      </c>
      <c r="E70" s="11">
        <f t="shared" si="283"/>
        <v>0.07064131962</v>
      </c>
      <c r="F70" s="11">
        <f t="shared" si="283"/>
        <v>0.1310747836</v>
      </c>
      <c r="G70" s="11">
        <f t="shared" si="283"/>
        <v>0.09401582957</v>
      </c>
      <c r="H70" s="11">
        <f t="shared" si="283"/>
        <v>0.1875138694</v>
      </c>
      <c r="I70" s="11">
        <f t="shared" si="283"/>
        <v>0.03794659368</v>
      </c>
      <c r="J70" s="11">
        <f t="shared" si="283"/>
        <v>0.1517124048</v>
      </c>
      <c r="K70" s="11">
        <f t="shared" si="283"/>
        <v>0.06339226274</v>
      </c>
      <c r="L70" s="11">
        <f t="shared" si="283"/>
        <v>0.1964642355</v>
      </c>
      <c r="M70" s="11">
        <f t="shared" si="14"/>
        <v>0.01201178713</v>
      </c>
      <c r="N70" s="11">
        <f t="shared" ref="N70:O70" si="284">IFERROR(N31/$M31,0)</f>
        <v>0.6995012469</v>
      </c>
      <c r="O70" s="11">
        <f t="shared" si="284"/>
        <v>0.3004987531</v>
      </c>
      <c r="P70" s="11">
        <f t="shared" si="16"/>
        <v>0.01203799739</v>
      </c>
      <c r="Q70" s="11">
        <f t="shared" ref="Q70:Y70" si="285">IFERROR(Q31/$P31,0)</f>
        <v>0.001555209953</v>
      </c>
      <c r="R70" s="11">
        <f t="shared" si="285"/>
        <v>0.03265940902</v>
      </c>
      <c r="S70" s="11">
        <f t="shared" si="285"/>
        <v>0.03297045101</v>
      </c>
      <c r="T70" s="11">
        <f t="shared" si="285"/>
        <v>0.2740279938</v>
      </c>
      <c r="U70" s="11">
        <f t="shared" si="285"/>
        <v>0.07216174184</v>
      </c>
      <c r="V70" s="11">
        <f t="shared" si="285"/>
        <v>0.03297045101</v>
      </c>
      <c r="W70" s="11">
        <f t="shared" si="285"/>
        <v>0.1122861586</v>
      </c>
      <c r="X70" s="11">
        <f t="shared" si="285"/>
        <v>0.2603421462</v>
      </c>
      <c r="Y70" s="11">
        <f t="shared" si="285"/>
        <v>0.1810264386</v>
      </c>
      <c r="Z70" s="11">
        <f t="shared" si="18"/>
        <v>0.1080237091</v>
      </c>
      <c r="AA70" s="11">
        <f t="shared" ref="AA70:AC70" si="286">IFERROR(AA31/$Z31,0)</f>
        <v>0.002357019064</v>
      </c>
      <c r="AB70" s="11">
        <f t="shared" si="286"/>
        <v>0.9883188908</v>
      </c>
      <c r="AC70" s="11">
        <f t="shared" si="286"/>
        <v>0.009324090121</v>
      </c>
      <c r="AD70" s="11">
        <f t="shared" si="20"/>
        <v>0.002452531349</v>
      </c>
      <c r="AE70" s="11">
        <f t="shared" ref="AE70:AG70" si="287">IFERROR(AE31/$AD31,0)</f>
        <v>0.1236641221</v>
      </c>
      <c r="AF70" s="11">
        <f t="shared" si="287"/>
        <v>0.8061068702</v>
      </c>
      <c r="AG70" s="11">
        <f t="shared" si="287"/>
        <v>0.07022900763</v>
      </c>
      <c r="AH70" s="11">
        <f t="shared" si="22"/>
        <v>0.1018006448</v>
      </c>
      <c r="AI70" s="11">
        <f t="shared" ref="AI70:AQ70" si="288">IFERROR(AI31/$AH31,0)</f>
        <v>0.09827865235</v>
      </c>
      <c r="AJ70" s="11">
        <f t="shared" si="288"/>
        <v>0.06112991025</v>
      </c>
      <c r="AK70" s="11">
        <f t="shared" si="288"/>
        <v>0.03291893482</v>
      </c>
      <c r="AL70" s="11">
        <f t="shared" si="288"/>
        <v>0.3801309401</v>
      </c>
      <c r="AM70" s="11">
        <f t="shared" si="288"/>
        <v>0.1072531999</v>
      </c>
      <c r="AN70" s="11">
        <f t="shared" si="288"/>
        <v>0.06859643961</v>
      </c>
      <c r="AO70" s="11">
        <f t="shared" si="288"/>
        <v>0.07223775195</v>
      </c>
      <c r="AP70" s="11">
        <f t="shared" si="288"/>
        <v>0.07271590408</v>
      </c>
      <c r="AQ70" s="11">
        <f t="shared" si="288"/>
        <v>0.1067382669</v>
      </c>
      <c r="AR70" s="11">
        <f t="shared" si="24"/>
        <v>0.1217878392</v>
      </c>
      <c r="AS70" s="11">
        <f t="shared" ref="AS70:BA70" si="289">IFERROR(AS31/$AR31,0)</f>
        <v>0.006579351903</v>
      </c>
      <c r="AT70" s="11">
        <f t="shared" si="289"/>
        <v>0.1070835639</v>
      </c>
      <c r="AU70" s="11">
        <f t="shared" si="289"/>
        <v>0.03843079383</v>
      </c>
      <c r="AV70" s="11">
        <f t="shared" si="289"/>
        <v>0.09573879358</v>
      </c>
      <c r="AW70" s="11">
        <f t="shared" si="289"/>
        <v>0.1107421755</v>
      </c>
      <c r="AX70" s="11">
        <f t="shared" si="289"/>
        <v>0.1128328107</v>
      </c>
      <c r="AY70" s="11">
        <f t="shared" si="289"/>
        <v>0.1549837053</v>
      </c>
      <c r="AZ70" s="11">
        <f t="shared" si="289"/>
        <v>0.09300252106</v>
      </c>
      <c r="BA70" s="11">
        <f t="shared" si="289"/>
        <v>0.2806062842</v>
      </c>
      <c r="BB70" s="11">
        <f t="shared" si="26"/>
        <v>0.3973138229</v>
      </c>
      <c r="BC70" s="11">
        <f t="shared" ref="BC70:BK70" si="290">IFERROR(BC31/$BB31,0)</f>
        <v>0.04256863096</v>
      </c>
      <c r="BD70" s="11">
        <f t="shared" si="290"/>
        <v>0.08850166335</v>
      </c>
      <c r="BE70" s="11">
        <f t="shared" si="290"/>
        <v>0.005305764718</v>
      </c>
      <c r="BF70" s="11">
        <f t="shared" si="290"/>
        <v>0.1604451942</v>
      </c>
      <c r="BG70" s="11">
        <f t="shared" si="290"/>
        <v>0.106284928</v>
      </c>
      <c r="BH70" s="11">
        <f t="shared" si="290"/>
        <v>0.1367530228</v>
      </c>
      <c r="BI70" s="11">
        <f t="shared" si="290"/>
        <v>0.1270179341</v>
      </c>
      <c r="BJ70" s="11">
        <f t="shared" si="290"/>
        <v>0.3077908982</v>
      </c>
      <c r="BK70" s="11">
        <f t="shared" si="290"/>
        <v>0.0253319637</v>
      </c>
      <c r="BL70" s="11">
        <f t="shared" si="28"/>
        <v>0.1511845165</v>
      </c>
      <c r="BM70" s="11">
        <f t="shared" ref="BM70:BT70" si="291">IFERROR(BM31/$BL31,0)</f>
        <v>0.04173167893</v>
      </c>
      <c r="BN70" s="11">
        <f t="shared" si="291"/>
        <v>0.1074126359</v>
      </c>
      <c r="BO70" s="11">
        <f t="shared" si="291"/>
        <v>0.03479703792</v>
      </c>
      <c r="BP70" s="11">
        <f t="shared" si="291"/>
        <v>0.2181439929</v>
      </c>
      <c r="BQ70" s="11">
        <f t="shared" si="291"/>
        <v>0.05495702999</v>
      </c>
      <c r="BR70" s="11">
        <f t="shared" si="291"/>
        <v>0.1633107958</v>
      </c>
      <c r="BS70" s="11">
        <f t="shared" si="291"/>
        <v>0.05153924264</v>
      </c>
      <c r="BT70" s="11">
        <f t="shared" si="291"/>
        <v>0.328107586</v>
      </c>
      <c r="BU70" s="11">
        <f t="shared" si="30"/>
        <v>0.04276765355</v>
      </c>
      <c r="BV70" s="11">
        <f t="shared" ref="BV70:BZ70" si="292">IFERROR(BV31/$BU31,0)</f>
        <v>0.0004377517072</v>
      </c>
      <c r="BW70" s="11">
        <f t="shared" si="292"/>
        <v>0.004114866048</v>
      </c>
      <c r="BX70" s="11">
        <f t="shared" si="292"/>
        <v>0.0004377517072</v>
      </c>
      <c r="BY70" s="11">
        <f t="shared" si="292"/>
        <v>0.3901243215</v>
      </c>
      <c r="BZ70" s="11">
        <f t="shared" si="292"/>
        <v>0.6048853091</v>
      </c>
      <c r="CA70" s="11">
        <f t="shared" si="32"/>
        <v>1</v>
      </c>
    </row>
    <row r="71" ht="15.75" customHeight="1">
      <c r="A71" s="9" t="str">
        <f t="shared" si="11"/>
        <v>Y2016</v>
      </c>
      <c r="B71" s="11">
        <f t="shared" si="12"/>
        <v>0.05496142989</v>
      </c>
      <c r="C71" s="11">
        <f t="shared" ref="C71:L71" si="293">IFERROR(C32/$B32,0)</f>
        <v>0.008655840904</v>
      </c>
      <c r="D71" s="11">
        <f t="shared" si="293"/>
        <v>0.05579798269</v>
      </c>
      <c r="E71" s="11">
        <f t="shared" si="293"/>
        <v>0.07690106588</v>
      </c>
      <c r="F71" s="11">
        <f t="shared" si="293"/>
        <v>0.1324844409</v>
      </c>
      <c r="G71" s="11">
        <f t="shared" si="293"/>
        <v>0.09049288218</v>
      </c>
      <c r="H71" s="11">
        <f t="shared" si="293"/>
        <v>0.1860648115</v>
      </c>
      <c r="I71" s="11">
        <f t="shared" si="293"/>
        <v>0.03455182774</v>
      </c>
      <c r="J71" s="11">
        <f t="shared" si="293"/>
        <v>0.1412833536</v>
      </c>
      <c r="K71" s="11">
        <f t="shared" si="293"/>
        <v>0.06574146935</v>
      </c>
      <c r="L71" s="11">
        <f t="shared" si="293"/>
        <v>0.2080263252</v>
      </c>
      <c r="M71" s="11">
        <f t="shared" si="14"/>
        <v>0.01284884132</v>
      </c>
      <c r="N71" s="11">
        <f t="shared" ref="N71:O71" si="294">IFERROR(N32/$M32,0)</f>
        <v>0.6857405141</v>
      </c>
      <c r="O71" s="11">
        <f t="shared" si="294"/>
        <v>0.3142594859</v>
      </c>
      <c r="P71" s="11">
        <f t="shared" si="16"/>
        <v>0.01258541649</v>
      </c>
      <c r="Q71" s="11">
        <f t="shared" ref="Q71:Y71" si="295">IFERROR(Q32/$P32,0)</f>
        <v>0.001562011871</v>
      </c>
      <c r="R71" s="11">
        <f t="shared" si="295"/>
        <v>0.02749140893</v>
      </c>
      <c r="S71" s="11">
        <f t="shared" si="295"/>
        <v>0.03186504217</v>
      </c>
      <c r="T71" s="11">
        <f t="shared" si="295"/>
        <v>0.2549203374</v>
      </c>
      <c r="U71" s="11">
        <f t="shared" si="295"/>
        <v>0.06622930334</v>
      </c>
      <c r="V71" s="11">
        <f t="shared" si="295"/>
        <v>0.03092783505</v>
      </c>
      <c r="W71" s="11">
        <f t="shared" si="295"/>
        <v>0.09715713839</v>
      </c>
      <c r="X71" s="11">
        <f t="shared" si="295"/>
        <v>0.3177132146</v>
      </c>
      <c r="Y71" s="11">
        <f t="shared" si="295"/>
        <v>0.1721337082</v>
      </c>
      <c r="Z71" s="11">
        <f t="shared" si="18"/>
        <v>0.09280417705</v>
      </c>
      <c r="AA71" s="11">
        <f t="shared" ref="AA71:AC71" si="296">IFERROR(AA32/$Z32,0)</f>
        <v>0.002160650737</v>
      </c>
      <c r="AB71" s="11">
        <f t="shared" si="296"/>
        <v>0.9877563125</v>
      </c>
      <c r="AC71" s="11">
        <f t="shared" si="296"/>
        <v>0.01008303677</v>
      </c>
      <c r="AD71" s="11">
        <f t="shared" si="20"/>
        <v>0.002756131508</v>
      </c>
      <c r="AE71" s="11">
        <f t="shared" ref="AE71:AG71" si="297">IFERROR(AE32/$AD32,0)</f>
        <v>0.08701854494</v>
      </c>
      <c r="AF71" s="11">
        <f t="shared" si="297"/>
        <v>0.85021398</v>
      </c>
      <c r="AG71" s="11">
        <f t="shared" si="297"/>
        <v>0.06276747504</v>
      </c>
      <c r="AH71" s="11">
        <f t="shared" si="22"/>
        <v>0.1089202727</v>
      </c>
      <c r="AI71" s="11">
        <f t="shared" ref="AI71:AQ71" si="298">IFERROR(AI32/$AH32,0)</f>
        <v>0.08699418836</v>
      </c>
      <c r="AJ71" s="11">
        <f t="shared" si="298"/>
        <v>0.05656427102</v>
      </c>
      <c r="AK71" s="11">
        <f t="shared" si="298"/>
        <v>0.03598888207</v>
      </c>
      <c r="AL71" s="11">
        <f t="shared" si="298"/>
        <v>0.4052268707</v>
      </c>
      <c r="AM71" s="11">
        <f t="shared" si="298"/>
        <v>0.106053496</v>
      </c>
      <c r="AN71" s="11">
        <f t="shared" si="298"/>
        <v>0.06071544598</v>
      </c>
      <c r="AO71" s="11">
        <f t="shared" si="298"/>
        <v>0.07067826589</v>
      </c>
      <c r="AP71" s="11">
        <f t="shared" si="298"/>
        <v>0.07028119698</v>
      </c>
      <c r="AQ71" s="11">
        <f t="shared" si="298"/>
        <v>0.107497383</v>
      </c>
      <c r="AR71" s="11">
        <f t="shared" si="24"/>
        <v>0.1109686957</v>
      </c>
      <c r="AS71" s="11">
        <f t="shared" ref="AS71:BA71" si="299">IFERROR(AS32/$AR32,0)</f>
        <v>0.005810657596</v>
      </c>
      <c r="AT71" s="11">
        <f t="shared" si="299"/>
        <v>0.1204294218</v>
      </c>
      <c r="AU71" s="11">
        <f t="shared" si="299"/>
        <v>0.0462372449</v>
      </c>
      <c r="AV71" s="11">
        <f t="shared" si="299"/>
        <v>0.1062570862</v>
      </c>
      <c r="AW71" s="11">
        <f t="shared" si="299"/>
        <v>0.1267361111</v>
      </c>
      <c r="AX71" s="11">
        <f t="shared" si="299"/>
        <v>0.1363024376</v>
      </c>
      <c r="AY71" s="11">
        <f t="shared" si="299"/>
        <v>0.08971088435</v>
      </c>
      <c r="AZ71" s="11">
        <f t="shared" si="299"/>
        <v>0.09534438776</v>
      </c>
      <c r="BA71" s="11">
        <f t="shared" si="299"/>
        <v>0.2731717687</v>
      </c>
      <c r="BB71" s="11">
        <f t="shared" si="26"/>
        <v>0.4062797336</v>
      </c>
      <c r="BC71" s="11">
        <f t="shared" ref="BC71:BK71" si="300">IFERROR(BC32/$BB32,0)</f>
        <v>0.0428610138</v>
      </c>
      <c r="BD71" s="11">
        <f t="shared" si="300"/>
        <v>0.07417694079</v>
      </c>
      <c r="BE71" s="11">
        <f t="shared" si="300"/>
        <v>0.005758027368</v>
      </c>
      <c r="BF71" s="11">
        <f t="shared" si="300"/>
        <v>0.1401087735</v>
      </c>
      <c r="BG71" s="11">
        <f t="shared" si="300"/>
        <v>0.09457680918</v>
      </c>
      <c r="BH71" s="11">
        <f t="shared" si="300"/>
        <v>0.1412700563</v>
      </c>
      <c r="BI71" s="11">
        <f t="shared" si="300"/>
        <v>0.1266669247</v>
      </c>
      <c r="BJ71" s="11">
        <f t="shared" si="300"/>
        <v>0.3330172063</v>
      </c>
      <c r="BK71" s="11">
        <f t="shared" si="300"/>
        <v>0.04156424797</v>
      </c>
      <c r="BL71" s="11">
        <f t="shared" si="28"/>
        <v>0.1587154304</v>
      </c>
      <c r="BM71" s="11">
        <f t="shared" ref="BM71:BT71" si="301">IFERROR(BM32/$BL32,0)</f>
        <v>0.04114645264</v>
      </c>
      <c r="BN71" s="11">
        <f t="shared" si="301"/>
        <v>0.1059254855</v>
      </c>
      <c r="BO71" s="11">
        <f t="shared" si="301"/>
        <v>0.03621680539</v>
      </c>
      <c r="BP71" s="11">
        <f t="shared" si="301"/>
        <v>0.2133125248</v>
      </c>
      <c r="BQ71" s="11">
        <f t="shared" si="301"/>
        <v>0.05454815696</v>
      </c>
      <c r="BR71" s="11">
        <f t="shared" si="301"/>
        <v>0.1673602854</v>
      </c>
      <c r="BS71" s="11">
        <f t="shared" si="301"/>
        <v>0.0459026952</v>
      </c>
      <c r="BT71" s="11">
        <f t="shared" si="301"/>
        <v>0.3355875941</v>
      </c>
      <c r="BU71" s="11">
        <f t="shared" si="30"/>
        <v>0.03915987135</v>
      </c>
      <c r="BV71" s="11">
        <f t="shared" ref="BV71:BZ71" si="302">IFERROR(BV32/$BU32,0)</f>
        <v>0.0004016064257</v>
      </c>
      <c r="BW71" s="11">
        <f t="shared" si="302"/>
        <v>0.004116465863</v>
      </c>
      <c r="BX71" s="11">
        <f t="shared" si="302"/>
        <v>0.000702811245</v>
      </c>
      <c r="BY71" s="11">
        <f t="shared" si="302"/>
        <v>0.7497991968</v>
      </c>
      <c r="BZ71" s="11">
        <f t="shared" si="302"/>
        <v>0.2449799197</v>
      </c>
      <c r="CA71" s="11">
        <f t="shared" si="32"/>
        <v>1</v>
      </c>
    </row>
    <row r="72" ht="15.75" customHeight="1">
      <c r="A72" s="9" t="str">
        <f t="shared" si="11"/>
        <v>Y2017</v>
      </c>
      <c r="B72" s="11">
        <f t="shared" si="12"/>
        <v>0.04960543887</v>
      </c>
      <c r="C72" s="11">
        <f t="shared" ref="C72:L72" si="303">IFERROR(C33/$B33,0)</f>
        <v>0.01083840291</v>
      </c>
      <c r="D72" s="11">
        <f t="shared" si="303"/>
        <v>0.05824767499</v>
      </c>
      <c r="E72" s="11">
        <f t="shared" si="303"/>
        <v>0.09237116286</v>
      </c>
      <c r="F72" s="11">
        <f t="shared" si="303"/>
        <v>0.1363541011</v>
      </c>
      <c r="G72" s="11">
        <f t="shared" si="303"/>
        <v>0.0915320607</v>
      </c>
      <c r="H72" s="11">
        <f t="shared" si="303"/>
        <v>0.1876791833</v>
      </c>
      <c r="I72" s="11">
        <f t="shared" si="303"/>
        <v>0.03216558283</v>
      </c>
      <c r="J72" s="11">
        <f t="shared" si="303"/>
        <v>0.1438360954</v>
      </c>
      <c r="K72" s="11">
        <f t="shared" si="303"/>
        <v>0.06565974407</v>
      </c>
      <c r="L72" s="11">
        <f t="shared" si="303"/>
        <v>0.1813159919</v>
      </c>
      <c r="M72" s="11">
        <f t="shared" si="14"/>
        <v>0.01139804714</v>
      </c>
      <c r="N72" s="11">
        <f t="shared" ref="N72:O72" si="304">IFERROR(N33/$M33,0)</f>
        <v>0.6938527085</v>
      </c>
      <c r="O72" s="11">
        <f t="shared" si="304"/>
        <v>0.3061472915</v>
      </c>
      <c r="P72" s="11">
        <f t="shared" si="16"/>
        <v>0.01228602647</v>
      </c>
      <c r="Q72" s="11">
        <f t="shared" ref="Q72:Y72" si="305">IFERROR(Q33/$P33,0)</f>
        <v>0.0008469791078</v>
      </c>
      <c r="R72" s="11">
        <f t="shared" si="305"/>
        <v>0.03133822699</v>
      </c>
      <c r="S72" s="11">
        <f t="shared" si="305"/>
        <v>0.04658385093</v>
      </c>
      <c r="T72" s="11">
        <f t="shared" si="305"/>
        <v>0.2360248447</v>
      </c>
      <c r="U72" s="11">
        <f t="shared" si="305"/>
        <v>0.06549971767</v>
      </c>
      <c r="V72" s="11">
        <f t="shared" si="305"/>
        <v>0.0256916996</v>
      </c>
      <c r="W72" s="11">
        <f t="shared" si="305"/>
        <v>0.08074534161</v>
      </c>
      <c r="X72" s="11">
        <f t="shared" si="305"/>
        <v>0.3447204969</v>
      </c>
      <c r="Y72" s="11">
        <f t="shared" si="305"/>
        <v>0.1685488425</v>
      </c>
      <c r="Z72" s="11">
        <f t="shared" si="18"/>
        <v>0.1033906242</v>
      </c>
      <c r="AA72" s="11">
        <f t="shared" ref="AA72:AC72" si="306">IFERROR(AA33/$Z33,0)</f>
        <v>0.004663334116</v>
      </c>
      <c r="AB72" s="11">
        <f t="shared" si="306"/>
        <v>0.9851712685</v>
      </c>
      <c r="AC72" s="11">
        <f t="shared" si="306"/>
        <v>0.01016539739</v>
      </c>
      <c r="AD72" s="11">
        <f t="shared" si="20"/>
        <v>0.002428068472</v>
      </c>
      <c r="AE72" s="11">
        <f t="shared" ref="AE72:AG72" si="307">IFERROR(AE33/$AD33,0)</f>
        <v>0.08</v>
      </c>
      <c r="AF72" s="11">
        <f t="shared" si="307"/>
        <v>0.8442857143</v>
      </c>
      <c r="AG72" s="11">
        <f t="shared" si="307"/>
        <v>0.07571428571</v>
      </c>
      <c r="AH72" s="11">
        <f t="shared" si="22"/>
        <v>0.09731698434</v>
      </c>
      <c r="AI72" s="11">
        <f t="shared" ref="AI72:AQ72" si="308">IFERROR(AI33/$AH33,0)</f>
        <v>0.08422440833</v>
      </c>
      <c r="AJ72" s="11">
        <f t="shared" si="308"/>
        <v>0.05624465355</v>
      </c>
      <c r="AK72" s="11">
        <f t="shared" si="308"/>
        <v>0.03632021671</v>
      </c>
      <c r="AL72" s="11">
        <f t="shared" si="308"/>
        <v>0.3969917308</v>
      </c>
      <c r="AM72" s="11">
        <f t="shared" si="308"/>
        <v>0.1099230111</v>
      </c>
      <c r="AN72" s="11">
        <f t="shared" si="308"/>
        <v>0.05845451953</v>
      </c>
      <c r="AO72" s="11">
        <f t="shared" si="308"/>
        <v>0.0751710864</v>
      </c>
      <c r="AP72" s="11">
        <f t="shared" si="308"/>
        <v>0.07107214143</v>
      </c>
      <c r="AQ72" s="11">
        <f t="shared" si="308"/>
        <v>0.1115982321</v>
      </c>
      <c r="AR72" s="11">
        <f t="shared" si="24"/>
        <v>0.09956468201</v>
      </c>
      <c r="AS72" s="11">
        <f t="shared" ref="AS72:BA72" si="309">IFERROR(AS33/$AR33,0)</f>
        <v>0.005574136009</v>
      </c>
      <c r="AT72" s="11">
        <f t="shared" si="309"/>
        <v>0.1247212932</v>
      </c>
      <c r="AU72" s="11">
        <f t="shared" si="309"/>
        <v>0.04905239688</v>
      </c>
      <c r="AV72" s="11">
        <f t="shared" si="309"/>
        <v>0.1022505574</v>
      </c>
      <c r="AW72" s="11">
        <f t="shared" si="309"/>
        <v>0.1255574136</v>
      </c>
      <c r="AX72" s="11">
        <f t="shared" si="309"/>
        <v>0.1321767001</v>
      </c>
      <c r="AY72" s="11">
        <f t="shared" si="309"/>
        <v>0.1065705128</v>
      </c>
      <c r="AZ72" s="11">
        <f t="shared" si="309"/>
        <v>0.08636426979</v>
      </c>
      <c r="BA72" s="11">
        <f t="shared" si="309"/>
        <v>0.2677327202</v>
      </c>
      <c r="BB72" s="11">
        <f t="shared" si="26"/>
        <v>0.4090809761</v>
      </c>
      <c r="BC72" s="11">
        <f t="shared" ref="BC72:BK72" si="310">IFERROR(BC33/$BB33,0)</f>
        <v>0.04038631122</v>
      </c>
      <c r="BD72" s="11">
        <f t="shared" si="310"/>
        <v>0.07521028354</v>
      </c>
      <c r="BE72" s="11">
        <f t="shared" si="310"/>
        <v>0.005418192918</v>
      </c>
      <c r="BF72" s="11">
        <f t="shared" si="310"/>
        <v>0.1134513635</v>
      </c>
      <c r="BG72" s="11">
        <f t="shared" si="310"/>
        <v>0.0889380681</v>
      </c>
      <c r="BH72" s="11">
        <f t="shared" si="310"/>
        <v>0.1321394655</v>
      </c>
      <c r="BI72" s="11">
        <f t="shared" si="310"/>
        <v>0.1241096866</v>
      </c>
      <c r="BJ72" s="11">
        <f t="shared" si="310"/>
        <v>0.3163410663</v>
      </c>
      <c r="BK72" s="11">
        <f t="shared" si="310"/>
        <v>0.1040055623</v>
      </c>
      <c r="BL72" s="11">
        <f t="shared" si="28"/>
        <v>0.1407135053</v>
      </c>
      <c r="BM72" s="11">
        <f t="shared" ref="BM72:BT72" si="311">IFERROR(BM33/$BL33,0)</f>
        <v>0.04015579165</v>
      </c>
      <c r="BN72" s="11">
        <f t="shared" si="311"/>
        <v>0.1049128602</v>
      </c>
      <c r="BO72" s="11">
        <f t="shared" si="311"/>
        <v>0.03788793847</v>
      </c>
      <c r="BP72" s="11">
        <f t="shared" si="311"/>
        <v>0.2153474499</v>
      </c>
      <c r="BQ72" s="11">
        <f t="shared" si="311"/>
        <v>0.05366430843</v>
      </c>
      <c r="BR72" s="11">
        <f t="shared" si="311"/>
        <v>0.1613133828</v>
      </c>
      <c r="BS72" s="11">
        <f t="shared" si="311"/>
        <v>0.04488870264</v>
      </c>
      <c r="BT72" s="11">
        <f t="shared" si="311"/>
        <v>0.3418295659</v>
      </c>
      <c r="BU72" s="11">
        <f t="shared" si="30"/>
        <v>0.07421564717</v>
      </c>
      <c r="BV72" s="11">
        <f t="shared" ref="BV72:BZ72" si="312">IFERROR(BV33/$BU33,0)</f>
        <v>0.0005608524958</v>
      </c>
      <c r="BW72" s="11">
        <f t="shared" si="312"/>
        <v>0.0009814918676</v>
      </c>
      <c r="BX72" s="11">
        <f t="shared" si="312"/>
        <v>0.0001402131239</v>
      </c>
      <c r="BY72" s="11">
        <f t="shared" si="312"/>
        <v>0.2907085437</v>
      </c>
      <c r="BZ72" s="11">
        <f t="shared" si="312"/>
        <v>0.7076088989</v>
      </c>
      <c r="CA72" s="11">
        <f t="shared" si="32"/>
        <v>1</v>
      </c>
    </row>
    <row r="73" ht="15.75" customHeight="1">
      <c r="A73" s="9" t="str">
        <f t="shared" si="11"/>
        <v>Y2018</v>
      </c>
      <c r="B73" s="11">
        <f t="shared" si="12"/>
        <v>0.04977158287</v>
      </c>
      <c r="C73" s="11">
        <f t="shared" ref="C73:L73" si="313">IFERROR(C34/$B34,0)</f>
        <v>0.01110156611</v>
      </c>
      <c r="D73" s="11">
        <f t="shared" si="313"/>
        <v>0.05431837706</v>
      </c>
      <c r="E73" s="11">
        <f t="shared" si="313"/>
        <v>0.09383466596</v>
      </c>
      <c r="F73" s="11">
        <f t="shared" si="313"/>
        <v>0.1330205511</v>
      </c>
      <c r="G73" s="11">
        <f t="shared" si="313"/>
        <v>0.09773343025</v>
      </c>
      <c r="H73" s="11">
        <f t="shared" si="313"/>
        <v>0.174915747</v>
      </c>
      <c r="I73" s="11">
        <f t="shared" si="313"/>
        <v>0.03191700258</v>
      </c>
      <c r="J73" s="11">
        <f t="shared" si="313"/>
        <v>0.1342100046</v>
      </c>
      <c r="K73" s="11">
        <f t="shared" si="313"/>
        <v>0.07268882575</v>
      </c>
      <c r="L73" s="11">
        <f t="shared" si="313"/>
        <v>0.1962598295</v>
      </c>
      <c r="M73" s="11">
        <f t="shared" si="14"/>
        <v>0.01165272703</v>
      </c>
      <c r="N73" s="11">
        <f t="shared" ref="N73:O73" si="314">IFERROR(N34/$M34,0)</f>
        <v>0.6999717753</v>
      </c>
      <c r="O73" s="11">
        <f t="shared" si="314"/>
        <v>0.3000282247</v>
      </c>
      <c r="P73" s="11">
        <f t="shared" si="16"/>
        <v>0.01310644008</v>
      </c>
      <c r="Q73" s="11">
        <f t="shared" ref="Q73:Y73" si="315">IFERROR(Q34/$P34,0)</f>
        <v>0.0005018820577</v>
      </c>
      <c r="R73" s="11">
        <f t="shared" si="315"/>
        <v>0.02885821832</v>
      </c>
      <c r="S73" s="11">
        <f t="shared" si="315"/>
        <v>0.04015056462</v>
      </c>
      <c r="T73" s="11">
        <f t="shared" si="315"/>
        <v>0.261229611</v>
      </c>
      <c r="U73" s="11">
        <f t="shared" si="315"/>
        <v>0.0712672522</v>
      </c>
      <c r="V73" s="11">
        <f t="shared" si="315"/>
        <v>0.02484316186</v>
      </c>
      <c r="W73" s="11">
        <f t="shared" si="315"/>
        <v>0.07929736512</v>
      </c>
      <c r="X73" s="11">
        <f t="shared" si="315"/>
        <v>0.3277289837</v>
      </c>
      <c r="Y73" s="11">
        <f t="shared" si="315"/>
        <v>0.1661229611</v>
      </c>
      <c r="Z73" s="11">
        <f t="shared" si="18"/>
        <v>0.1332515483</v>
      </c>
      <c r="AA73" s="11">
        <f t="shared" ref="AA73:AC73" si="316">IFERROR(AA34/$Z34,0)</f>
        <v>0.00439343453</v>
      </c>
      <c r="AB73" s="11">
        <f t="shared" si="316"/>
        <v>0.985980501</v>
      </c>
      <c r="AC73" s="11">
        <f t="shared" si="316"/>
        <v>0.009626064421</v>
      </c>
      <c r="AD73" s="11">
        <f t="shared" si="20"/>
        <v>0.002469996612</v>
      </c>
      <c r="AE73" s="11">
        <f t="shared" ref="AE73:AG73" si="317">IFERROR(AE34/$AD34,0)</f>
        <v>0.09320905459</v>
      </c>
      <c r="AF73" s="11">
        <f t="shared" si="317"/>
        <v>0.8348868176</v>
      </c>
      <c r="AG73" s="11">
        <f t="shared" si="317"/>
        <v>0.07190412783</v>
      </c>
      <c r="AH73" s="11">
        <f t="shared" si="22"/>
        <v>0.09812234212</v>
      </c>
      <c r="AI73" s="11">
        <f t="shared" ref="AI73:AQ73" si="318">IFERROR(AI34/$AH34,0)</f>
        <v>0.08403164175</v>
      </c>
      <c r="AJ73" s="11">
        <f t="shared" si="318"/>
        <v>0.03710531608</v>
      </c>
      <c r="AK73" s="11">
        <f t="shared" si="318"/>
        <v>0.0372393913</v>
      </c>
      <c r="AL73" s="11">
        <f t="shared" si="318"/>
        <v>0.3949185493</v>
      </c>
      <c r="AM73" s="11">
        <f t="shared" si="318"/>
        <v>0.1205001006</v>
      </c>
      <c r="AN73" s="11">
        <f t="shared" si="318"/>
        <v>0.06418850975</v>
      </c>
      <c r="AO73" s="11">
        <f t="shared" si="318"/>
        <v>0.08245625796</v>
      </c>
      <c r="AP73" s="11">
        <f t="shared" si="318"/>
        <v>0.07360729369</v>
      </c>
      <c r="AQ73" s="11">
        <f t="shared" si="318"/>
        <v>0.1059529396</v>
      </c>
      <c r="AR73" s="11">
        <f t="shared" si="24"/>
        <v>0.1067196406</v>
      </c>
      <c r="AS73" s="11">
        <f t="shared" ref="AS73:BA73" si="319">IFERROR(AS34/$AR34,0)</f>
        <v>0.004746055227</v>
      </c>
      <c r="AT73" s="11">
        <f t="shared" si="319"/>
        <v>0.1222263314</v>
      </c>
      <c r="AU73" s="11">
        <f t="shared" si="319"/>
        <v>0.04918639053</v>
      </c>
      <c r="AV73" s="11">
        <f t="shared" si="319"/>
        <v>0.09747904339</v>
      </c>
      <c r="AW73" s="11">
        <f t="shared" si="319"/>
        <v>0.1176035503</v>
      </c>
      <c r="AX73" s="11">
        <f t="shared" si="319"/>
        <v>0.1244452663</v>
      </c>
      <c r="AY73" s="11">
        <f t="shared" si="319"/>
        <v>0.1202231262</v>
      </c>
      <c r="AZ73" s="11">
        <f t="shared" si="319"/>
        <v>0.0855214497</v>
      </c>
      <c r="BA73" s="11">
        <f t="shared" si="319"/>
        <v>0.278568787</v>
      </c>
      <c r="BB73" s="11">
        <f t="shared" si="26"/>
        <v>0.3992909038</v>
      </c>
      <c r="BC73" s="11">
        <f t="shared" ref="BC73:BK73" si="320">IFERROR(BC34/$BB34,0)</f>
        <v>0.04889459985</v>
      </c>
      <c r="BD73" s="11">
        <f t="shared" si="320"/>
        <v>0.08635629798</v>
      </c>
      <c r="BE73" s="11">
        <f t="shared" si="320"/>
        <v>0.006185957629</v>
      </c>
      <c r="BF73" s="11">
        <f t="shared" si="320"/>
        <v>0.1231590392</v>
      </c>
      <c r="BG73" s="11">
        <f t="shared" si="320"/>
        <v>0.09807749333</v>
      </c>
      <c r="BH73" s="11">
        <f t="shared" si="320"/>
        <v>0.1413956707</v>
      </c>
      <c r="BI73" s="11">
        <f t="shared" si="320"/>
        <v>0.1385703931</v>
      </c>
      <c r="BJ73" s="11">
        <f t="shared" si="320"/>
        <v>0.3219910382</v>
      </c>
      <c r="BK73" s="11">
        <f t="shared" si="320"/>
        <v>0.03536951007</v>
      </c>
      <c r="BL73" s="11">
        <f t="shared" si="28"/>
        <v>0.1456936218</v>
      </c>
      <c r="BM73" s="11">
        <f t="shared" ref="BM73:BT73" si="321">IFERROR(BM34/$BL34,0)</f>
        <v>0.04038557045</v>
      </c>
      <c r="BN73" s="11">
        <f t="shared" si="321"/>
        <v>0.1100275407</v>
      </c>
      <c r="BO73" s="11">
        <f t="shared" si="321"/>
        <v>0.04160458711</v>
      </c>
      <c r="BP73" s="11">
        <f t="shared" si="321"/>
        <v>0.2139825726</v>
      </c>
      <c r="BQ73" s="11">
        <f t="shared" si="321"/>
        <v>0.05246286514</v>
      </c>
      <c r="BR73" s="11">
        <f t="shared" si="321"/>
        <v>0.1662377534</v>
      </c>
      <c r="BS73" s="11">
        <f t="shared" si="321"/>
        <v>0.04365885593</v>
      </c>
      <c r="BT73" s="11">
        <f t="shared" si="321"/>
        <v>0.3316402546</v>
      </c>
      <c r="BU73" s="11">
        <f t="shared" si="30"/>
        <v>0.03992119691</v>
      </c>
      <c r="BV73" s="11">
        <f t="shared" ref="BV73:BZ73" si="322">IFERROR(BV34/$BU34,0)</f>
        <v>0.0004119294777</v>
      </c>
      <c r="BW73" s="11">
        <f t="shared" si="322"/>
        <v>0.002471576866</v>
      </c>
      <c r="BX73" s="11">
        <f t="shared" si="322"/>
        <v>0.0005767012687</v>
      </c>
      <c r="BY73" s="11">
        <f t="shared" si="322"/>
        <v>0.526033943</v>
      </c>
      <c r="BZ73" s="11">
        <f t="shared" si="322"/>
        <v>0.4705058494</v>
      </c>
      <c r="CA73" s="11">
        <f t="shared" si="32"/>
        <v>1</v>
      </c>
    </row>
    <row r="74" ht="15.75" customHeight="1">
      <c r="A74" s="9" t="str">
        <f t="shared" si="11"/>
        <v>Y2019</v>
      </c>
      <c r="B74" s="11">
        <f t="shared" si="12"/>
        <v>0.05507489522</v>
      </c>
      <c r="C74" s="11">
        <f t="shared" ref="C74:L74" si="323">IFERROR(C35/$B35,0)</f>
        <v>0.008560127516</v>
      </c>
      <c r="D74" s="11">
        <f t="shared" si="323"/>
        <v>0.06074738769</v>
      </c>
      <c r="E74" s="11">
        <f t="shared" si="323"/>
        <v>0.08719522994</v>
      </c>
      <c r="F74" s="11">
        <f t="shared" si="323"/>
        <v>0.1200779267</v>
      </c>
      <c r="G74" s="11">
        <f t="shared" si="323"/>
        <v>0.1131117539</v>
      </c>
      <c r="H74" s="11">
        <f t="shared" si="323"/>
        <v>0.1656532263</v>
      </c>
      <c r="I74" s="11">
        <f t="shared" si="323"/>
        <v>0.02863215066</v>
      </c>
      <c r="J74" s="11">
        <f t="shared" si="323"/>
        <v>0.1258043568</v>
      </c>
      <c r="K74" s="11">
        <f t="shared" si="323"/>
        <v>0.07308577838</v>
      </c>
      <c r="L74" s="11">
        <f t="shared" si="323"/>
        <v>0.2171320621</v>
      </c>
      <c r="M74" s="11">
        <f t="shared" si="14"/>
        <v>0.01235844364</v>
      </c>
      <c r="N74" s="11">
        <f t="shared" ref="N74:O74" si="324">IFERROR(N35/$M35,0)</f>
        <v>0.7071823204</v>
      </c>
      <c r="O74" s="11">
        <f t="shared" si="324"/>
        <v>0.2928176796</v>
      </c>
      <c r="P74" s="11">
        <f t="shared" si="16"/>
        <v>0.01019303362</v>
      </c>
      <c r="Q74" s="11">
        <f t="shared" ref="Q74:Y74" si="325">IFERROR(Q35/$P35,0)</f>
        <v>0.002232854864</v>
      </c>
      <c r="R74" s="11">
        <f t="shared" si="325"/>
        <v>0.04051036683</v>
      </c>
      <c r="S74" s="11">
        <f t="shared" si="325"/>
        <v>0.04688995215</v>
      </c>
      <c r="T74" s="11">
        <f t="shared" si="325"/>
        <v>0.2555023923</v>
      </c>
      <c r="U74" s="11">
        <f t="shared" si="325"/>
        <v>0.08293460925</v>
      </c>
      <c r="V74" s="11">
        <f t="shared" si="325"/>
        <v>0.0312599681</v>
      </c>
      <c r="W74" s="11">
        <f t="shared" si="325"/>
        <v>0.09122807018</v>
      </c>
      <c r="X74" s="11">
        <f t="shared" si="325"/>
        <v>0.2373205742</v>
      </c>
      <c r="Y74" s="11">
        <f t="shared" si="325"/>
        <v>0.2121212121</v>
      </c>
      <c r="Z74" s="11">
        <f t="shared" si="18"/>
        <v>0.1261400103</v>
      </c>
      <c r="AA74" s="11">
        <f t="shared" ref="AA74:AC74" si="326">IFERROR(AA35/$Z35,0)</f>
        <v>0.005232498196</v>
      </c>
      <c r="AB74" s="11">
        <f t="shared" si="326"/>
        <v>0.9886844005</v>
      </c>
      <c r="AC74" s="11">
        <f t="shared" si="326"/>
        <v>0.006083101351</v>
      </c>
      <c r="AD74" s="11">
        <f t="shared" si="20"/>
        <v>0.002360491997</v>
      </c>
      <c r="AE74" s="11">
        <f t="shared" ref="AE74:AG74" si="327">IFERROR(AE35/$AD35,0)</f>
        <v>0.1143250689</v>
      </c>
      <c r="AF74" s="11">
        <f t="shared" si="327"/>
        <v>0.7975206612</v>
      </c>
      <c r="AG74" s="11">
        <f t="shared" si="327"/>
        <v>0.08815426997</v>
      </c>
      <c r="AH74" s="11">
        <f t="shared" si="22"/>
        <v>0.1008866476</v>
      </c>
      <c r="AI74" s="11">
        <f t="shared" ref="AI74:AQ74" si="328">IFERROR(AI35/$AH35,0)</f>
        <v>0.07283508975</v>
      </c>
      <c r="AJ74" s="11">
        <f t="shared" si="328"/>
        <v>0.03322698121</v>
      </c>
      <c r="AK74" s="11">
        <f t="shared" si="328"/>
        <v>0.03493506075</v>
      </c>
      <c r="AL74" s="11">
        <f t="shared" si="328"/>
        <v>0.4225724322</v>
      </c>
      <c r="AM74" s="11">
        <f t="shared" si="328"/>
        <v>0.1245608946</v>
      </c>
      <c r="AN74" s="11">
        <f t="shared" si="328"/>
        <v>0.06929001901</v>
      </c>
      <c r="AO74" s="11">
        <f t="shared" si="328"/>
        <v>0.07125592188</v>
      </c>
      <c r="AP74" s="11">
        <f t="shared" si="328"/>
        <v>0.07173934062</v>
      </c>
      <c r="AQ74" s="11">
        <f t="shared" si="328"/>
        <v>0.09958425989</v>
      </c>
      <c r="AR74" s="11">
        <f t="shared" si="24"/>
        <v>0.1049671124</v>
      </c>
      <c r="AS74" s="11">
        <f t="shared" ref="AS74:BA74" si="329">IFERROR(AS35/$AR35,0)</f>
        <v>0.004429438731</v>
      </c>
      <c r="AT74" s="11">
        <f t="shared" si="329"/>
        <v>0.1313963573</v>
      </c>
      <c r="AU74" s="11">
        <f t="shared" si="329"/>
        <v>0.04698922067</v>
      </c>
      <c r="AV74" s="11">
        <f t="shared" si="329"/>
        <v>0.1033329203</v>
      </c>
      <c r="AW74" s="11">
        <f t="shared" si="329"/>
        <v>0.1187585182</v>
      </c>
      <c r="AX74" s="11">
        <f t="shared" si="329"/>
        <v>0.1273076447</v>
      </c>
      <c r="AY74" s="11">
        <f t="shared" si="329"/>
        <v>0.1013195391</v>
      </c>
      <c r="AZ74" s="11">
        <f t="shared" si="329"/>
        <v>0.08902242597</v>
      </c>
      <c r="BA74" s="11">
        <f t="shared" si="329"/>
        <v>0.2774439351</v>
      </c>
      <c r="BB74" s="11">
        <f t="shared" si="26"/>
        <v>0.4008609618</v>
      </c>
      <c r="BC74" s="11">
        <f t="shared" ref="BC74:BK74" si="330">IFERROR(BC35/$BB35,0)</f>
        <v>0.05118014438</v>
      </c>
      <c r="BD74" s="11">
        <f t="shared" si="330"/>
        <v>0.08668991808</v>
      </c>
      <c r="BE74" s="11">
        <f t="shared" si="330"/>
        <v>0.007007867629</v>
      </c>
      <c r="BF74" s="11">
        <f t="shared" si="330"/>
        <v>0.1269040474</v>
      </c>
      <c r="BG74" s="11">
        <f t="shared" si="330"/>
        <v>0.09519831292</v>
      </c>
      <c r="BH74" s="11">
        <f t="shared" si="330"/>
        <v>0.1431421851</v>
      </c>
      <c r="BI74" s="11">
        <f t="shared" si="330"/>
        <v>0.1415443264</v>
      </c>
      <c r="BJ74" s="11">
        <f t="shared" si="330"/>
        <v>0.3024251764</v>
      </c>
      <c r="BK74" s="11">
        <f t="shared" si="330"/>
        <v>0.04590802174</v>
      </c>
      <c r="BL74" s="11">
        <f t="shared" si="28"/>
        <v>0.1505935369</v>
      </c>
      <c r="BM74" s="11">
        <f t="shared" ref="BM74:BT74" si="331">IFERROR(BM35/$BL35,0)</f>
        <v>0.03761038064</v>
      </c>
      <c r="BN74" s="11">
        <f t="shared" si="331"/>
        <v>0.1075846881</v>
      </c>
      <c r="BO74" s="11">
        <f t="shared" si="331"/>
        <v>0.04071939029</v>
      </c>
      <c r="BP74" s="11">
        <f t="shared" si="331"/>
        <v>0.2203294687</v>
      </c>
      <c r="BQ74" s="11">
        <f t="shared" si="331"/>
        <v>0.05535764406</v>
      </c>
      <c r="BR74" s="11">
        <f t="shared" si="331"/>
        <v>0.1668070039</v>
      </c>
      <c r="BS74" s="11">
        <f t="shared" si="331"/>
        <v>0.04486473649</v>
      </c>
      <c r="BT74" s="11">
        <f t="shared" si="331"/>
        <v>0.3267266878</v>
      </c>
      <c r="BU74" s="11">
        <f t="shared" si="30"/>
        <v>0.03656486639</v>
      </c>
      <c r="BV74" s="11">
        <f t="shared" ref="BV74:BZ74" si="332">IFERROR(BV35/$BU35,0)</f>
        <v>0.0004446025253</v>
      </c>
      <c r="BW74" s="11">
        <f t="shared" si="332"/>
        <v>0.002934376667</v>
      </c>
      <c r="BX74" s="11">
        <f t="shared" si="332"/>
        <v>0.0001778410101</v>
      </c>
      <c r="BY74" s="11">
        <f t="shared" si="332"/>
        <v>0.6021696603</v>
      </c>
      <c r="BZ74" s="11">
        <f t="shared" si="332"/>
        <v>0.3942735195</v>
      </c>
      <c r="CA74" s="11">
        <f t="shared" si="32"/>
        <v>1</v>
      </c>
    </row>
    <row r="75" ht="15.75" customHeight="1">
      <c r="A75" s="9" t="str">
        <f t="shared" si="11"/>
        <v>Y2020</v>
      </c>
      <c r="B75" s="11">
        <f t="shared" si="12"/>
        <v>0.05995871963</v>
      </c>
      <c r="C75" s="11">
        <f t="shared" ref="C75:L75" si="333">IFERROR(C36/$B36,0)</f>
        <v>0.00891842763</v>
      </c>
      <c r="D75" s="11">
        <f t="shared" si="333"/>
        <v>0.05140877073</v>
      </c>
      <c r="E75" s="11">
        <f t="shared" si="333"/>
        <v>0.09026357646</v>
      </c>
      <c r="F75" s="11">
        <f t="shared" si="333"/>
        <v>0.106907521</v>
      </c>
      <c r="G75" s="11">
        <f t="shared" si="333"/>
        <v>0.118609407</v>
      </c>
      <c r="H75" s="11">
        <f t="shared" si="333"/>
        <v>0.1764939786</v>
      </c>
      <c r="I75" s="11">
        <f t="shared" si="333"/>
        <v>0.02777777778</v>
      </c>
      <c r="J75" s="11">
        <f t="shared" si="333"/>
        <v>0.1254260395</v>
      </c>
      <c r="K75" s="11">
        <f t="shared" si="333"/>
        <v>0.07697114292</v>
      </c>
      <c r="L75" s="11">
        <f t="shared" si="333"/>
        <v>0.2172233583</v>
      </c>
      <c r="M75" s="11">
        <f t="shared" si="14"/>
        <v>0.01183915641</v>
      </c>
      <c r="N75" s="11">
        <f t="shared" ref="N75:O75" si="334">IFERROR(N36/$M36,0)</f>
        <v>0.7436708861</v>
      </c>
      <c r="O75" s="11">
        <f t="shared" si="334"/>
        <v>0.2563291139</v>
      </c>
      <c r="P75" s="11">
        <f t="shared" si="16"/>
        <v>0.01111027854</v>
      </c>
      <c r="Q75" s="11">
        <f t="shared" ref="Q75:Y75" si="335">IFERROR(Q36/$P36,0)</f>
        <v>0.002145922747</v>
      </c>
      <c r="R75" s="11">
        <f t="shared" si="335"/>
        <v>0.04322501533</v>
      </c>
      <c r="S75" s="11">
        <f t="shared" si="335"/>
        <v>0.03740036787</v>
      </c>
      <c r="T75" s="11">
        <f t="shared" si="335"/>
        <v>0.2455548743</v>
      </c>
      <c r="U75" s="11">
        <f t="shared" si="335"/>
        <v>0.07357449418</v>
      </c>
      <c r="V75" s="11">
        <f t="shared" si="335"/>
        <v>0.02973635806</v>
      </c>
      <c r="W75" s="11">
        <f t="shared" si="335"/>
        <v>0.09135499693</v>
      </c>
      <c r="X75" s="11">
        <f t="shared" si="335"/>
        <v>0.2667075414</v>
      </c>
      <c r="Y75" s="11">
        <f t="shared" si="335"/>
        <v>0.2103004292</v>
      </c>
      <c r="Z75" s="11">
        <f t="shared" si="18"/>
        <v>0.07871199787</v>
      </c>
      <c r="AA75" s="11">
        <f t="shared" ref="AA75:AC75" si="336">IFERROR(AA36/$Z36,0)</f>
        <v>0.006404154046</v>
      </c>
      <c r="AB75" s="11">
        <f t="shared" si="336"/>
        <v>0.9831241887</v>
      </c>
      <c r="AC75" s="11">
        <f t="shared" si="336"/>
        <v>0.01047165729</v>
      </c>
      <c r="AD75" s="11">
        <f t="shared" si="20"/>
        <v>0.002612380025</v>
      </c>
      <c r="AE75" s="11">
        <f t="shared" ref="AE75:AG75" si="337">IFERROR(AE36/$AD36,0)</f>
        <v>0.110821382</v>
      </c>
      <c r="AF75" s="11">
        <f t="shared" si="337"/>
        <v>0.8174706649</v>
      </c>
      <c r="AG75" s="11">
        <f t="shared" si="337"/>
        <v>0.07170795306</v>
      </c>
      <c r="AH75" s="11">
        <f t="shared" si="22"/>
        <v>0.1133779743</v>
      </c>
      <c r="AI75" s="11">
        <f t="shared" ref="AI75:AQ75" si="338">IFERROR(AI36/$AH36,0)</f>
        <v>0.08014900264</v>
      </c>
      <c r="AJ75" s="11">
        <f t="shared" si="338"/>
        <v>0.03133261235</v>
      </c>
      <c r="AK75" s="11">
        <f t="shared" si="338"/>
        <v>0.03256428743</v>
      </c>
      <c r="AL75" s="11">
        <f t="shared" si="338"/>
        <v>0.4146238885</v>
      </c>
      <c r="AM75" s="11">
        <f t="shared" si="338"/>
        <v>0.1192621966</v>
      </c>
      <c r="AN75" s="11">
        <f t="shared" si="338"/>
        <v>0.06374669551</v>
      </c>
      <c r="AO75" s="11">
        <f t="shared" si="338"/>
        <v>0.06422734919</v>
      </c>
      <c r="AP75" s="11">
        <f t="shared" si="338"/>
        <v>0.06891372266</v>
      </c>
      <c r="AQ75" s="11">
        <f t="shared" si="338"/>
        <v>0.1251802451</v>
      </c>
      <c r="AR75" s="11">
        <f t="shared" si="24"/>
        <v>0.1171654144</v>
      </c>
      <c r="AS75" s="11">
        <f t="shared" ref="AS75:BA75" si="339">IFERROR(AS36/$AR36,0)</f>
        <v>0.003924418605</v>
      </c>
      <c r="AT75" s="11">
        <f t="shared" si="339"/>
        <v>0.1188662791</v>
      </c>
      <c r="AU75" s="11">
        <f t="shared" si="339"/>
        <v>0.04125</v>
      </c>
      <c r="AV75" s="11">
        <f t="shared" si="339"/>
        <v>0.0951744186</v>
      </c>
      <c r="AW75" s="11">
        <f t="shared" si="339"/>
        <v>0.1713953488</v>
      </c>
      <c r="AX75" s="11">
        <f t="shared" si="339"/>
        <v>0.1124709302</v>
      </c>
      <c r="AY75" s="11">
        <f t="shared" si="339"/>
        <v>0.09110465116</v>
      </c>
      <c r="AZ75" s="11">
        <f t="shared" si="339"/>
        <v>0.1045348837</v>
      </c>
      <c r="BA75" s="11">
        <f t="shared" si="339"/>
        <v>0.2612790698</v>
      </c>
      <c r="BB75" s="11">
        <f t="shared" si="26"/>
        <v>0.4078310093</v>
      </c>
      <c r="BC75" s="11">
        <f t="shared" ref="BC75:BK75" si="340">IFERROR(BC36/$BB36,0)</f>
        <v>0.04752797728</v>
      </c>
      <c r="BD75" s="11">
        <f t="shared" si="340"/>
        <v>0.0885251378</v>
      </c>
      <c r="BE75" s="11">
        <f t="shared" si="340"/>
        <v>0.006271922499</v>
      </c>
      <c r="BF75" s="11">
        <f t="shared" si="340"/>
        <v>0.1308919325</v>
      </c>
      <c r="BG75" s="11">
        <f t="shared" si="340"/>
        <v>0.1040170369</v>
      </c>
      <c r="BH75" s="11">
        <f t="shared" si="340"/>
        <v>0.1468849173</v>
      </c>
      <c r="BI75" s="11">
        <f t="shared" si="340"/>
        <v>0.1493652915</v>
      </c>
      <c r="BJ75" s="11">
        <f t="shared" si="340"/>
        <v>0.279789544</v>
      </c>
      <c r="BK75" s="11">
        <f t="shared" si="340"/>
        <v>0.04672624019</v>
      </c>
      <c r="BL75" s="11">
        <f t="shared" si="28"/>
        <v>0.1568143269</v>
      </c>
      <c r="BM75" s="11">
        <f t="shared" ref="BM75:BT75" si="341">IFERROR(BM36/$BL36,0)</f>
        <v>0.03748832562</v>
      </c>
      <c r="BN75" s="11">
        <f t="shared" si="341"/>
        <v>0.1134640864</v>
      </c>
      <c r="BO75" s="11">
        <f t="shared" si="341"/>
        <v>0.03284029452</v>
      </c>
      <c r="BP75" s="11">
        <f t="shared" si="341"/>
        <v>0.2212375926</v>
      </c>
      <c r="BQ75" s="11">
        <f t="shared" si="341"/>
        <v>0.04576355857</v>
      </c>
      <c r="BR75" s="11">
        <f t="shared" si="341"/>
        <v>0.1685019874</v>
      </c>
      <c r="BS75" s="11">
        <f t="shared" si="341"/>
        <v>0.04081145066</v>
      </c>
      <c r="BT75" s="11">
        <f t="shared" si="341"/>
        <v>0.3398927043</v>
      </c>
      <c r="BU75" s="11">
        <f t="shared" si="30"/>
        <v>0.04057874265</v>
      </c>
      <c r="BV75" s="11">
        <f t="shared" ref="BV75:BZ75" si="342">IFERROR(BV36/$BU36,0)</f>
        <v>0.0001678697331</v>
      </c>
      <c r="BW75" s="11">
        <f t="shared" si="342"/>
        <v>0.005036091993</v>
      </c>
      <c r="BX75" s="11">
        <f t="shared" si="342"/>
        <v>0.001007218399</v>
      </c>
      <c r="BY75" s="11">
        <f t="shared" si="342"/>
        <v>0.7728722511</v>
      </c>
      <c r="BZ75" s="11">
        <f t="shared" si="342"/>
        <v>0.2209165687</v>
      </c>
      <c r="CA75" s="11">
        <f t="shared" si="32"/>
        <v>1</v>
      </c>
    </row>
    <row r="76" ht="15.75" customHeight="1">
      <c r="A76" s="9" t="str">
        <f t="shared" si="11"/>
        <v>Y2021</v>
      </c>
      <c r="B76" s="11">
        <f t="shared" si="12"/>
        <v>0.04968537842</v>
      </c>
      <c r="C76" s="11">
        <f t="shared" ref="C76:L76" si="343">IFERROR(C37/$B37,0)</f>
        <v>0.009507557289</v>
      </c>
      <c r="D76" s="11">
        <f t="shared" si="343"/>
        <v>0.05887372014</v>
      </c>
      <c r="E76" s="11">
        <f t="shared" si="343"/>
        <v>0.08764017552</v>
      </c>
      <c r="F76" s="11">
        <f t="shared" si="343"/>
        <v>0.1142125792</v>
      </c>
      <c r="G76" s="11">
        <f t="shared" si="343"/>
        <v>0.1052535349</v>
      </c>
      <c r="H76" s="11">
        <f t="shared" si="343"/>
        <v>0.1729034617</v>
      </c>
      <c r="I76" s="11">
        <f t="shared" si="343"/>
        <v>0.02992442711</v>
      </c>
      <c r="J76" s="11">
        <f t="shared" si="343"/>
        <v>0.1318868844</v>
      </c>
      <c r="K76" s="11">
        <f t="shared" si="343"/>
        <v>0.07435397367</v>
      </c>
      <c r="L76" s="11">
        <f t="shared" si="343"/>
        <v>0.215443686</v>
      </c>
      <c r="M76" s="11">
        <f t="shared" si="14"/>
        <v>0.01044095471</v>
      </c>
      <c r="N76" s="11">
        <f t="shared" ref="N76:O76" si="344">IFERROR(N37/$M37,0)</f>
        <v>0.7958236659</v>
      </c>
      <c r="O76" s="11">
        <f t="shared" si="344"/>
        <v>0.2041763341</v>
      </c>
      <c r="P76" s="11">
        <f t="shared" si="16"/>
        <v>0.01286345</v>
      </c>
      <c r="Q76" s="11">
        <f t="shared" ref="Q76:Y76" si="345">IFERROR(Q37/$P37,0)</f>
        <v>0.0004708097928</v>
      </c>
      <c r="R76" s="11">
        <f t="shared" si="345"/>
        <v>0.02401129944</v>
      </c>
      <c r="S76" s="11">
        <f t="shared" si="345"/>
        <v>0.03154425612</v>
      </c>
      <c r="T76" s="11">
        <f t="shared" si="345"/>
        <v>0.2474105461</v>
      </c>
      <c r="U76" s="11">
        <f t="shared" si="345"/>
        <v>0.06614877589</v>
      </c>
      <c r="V76" s="11">
        <f t="shared" si="345"/>
        <v>0.02707156309</v>
      </c>
      <c r="W76" s="11">
        <f t="shared" si="345"/>
        <v>0.1002824859</v>
      </c>
      <c r="X76" s="11">
        <f t="shared" si="345"/>
        <v>0.3354519774</v>
      </c>
      <c r="Y76" s="11">
        <f t="shared" si="345"/>
        <v>0.1676082863</v>
      </c>
      <c r="Z76" s="11">
        <f t="shared" si="18"/>
        <v>0.1046336279</v>
      </c>
      <c r="AA76" s="11">
        <f t="shared" ref="AA76:AC76" si="346">IFERROR(AA37/$Z37,0)</f>
        <v>0.005788041905</v>
      </c>
      <c r="AB76" s="11">
        <f t="shared" si="346"/>
        <v>0.9852404931</v>
      </c>
      <c r="AC76" s="11">
        <f t="shared" si="346"/>
        <v>0.008971464953</v>
      </c>
      <c r="AD76" s="11">
        <f t="shared" si="20"/>
        <v>0.002516366984</v>
      </c>
      <c r="AE76" s="11">
        <f t="shared" ref="AE76:AG76" si="347">IFERROR(AE37/$AD37,0)</f>
        <v>0.1083032491</v>
      </c>
      <c r="AF76" s="11">
        <f t="shared" si="347"/>
        <v>0.8182912154</v>
      </c>
      <c r="AG76" s="11">
        <f t="shared" si="347"/>
        <v>0.0734055355</v>
      </c>
      <c r="AH76" s="11">
        <f t="shared" si="22"/>
        <v>0.1121130821</v>
      </c>
      <c r="AI76" s="11">
        <f t="shared" ref="AI76:AQ76" si="348">IFERROR(AI37/$AH37,0)</f>
        <v>0.08240600691</v>
      </c>
      <c r="AJ76" s="11">
        <f t="shared" si="348"/>
        <v>0.03473422645</v>
      </c>
      <c r="AK76" s="11">
        <f t="shared" si="348"/>
        <v>0.03111495246</v>
      </c>
      <c r="AL76" s="11">
        <f t="shared" si="348"/>
        <v>0.3989304235</v>
      </c>
      <c r="AM76" s="11">
        <f t="shared" si="348"/>
        <v>0.1042837079</v>
      </c>
      <c r="AN76" s="11">
        <f t="shared" si="348"/>
        <v>0.08883426966</v>
      </c>
      <c r="AO76" s="11">
        <f t="shared" si="348"/>
        <v>0.07230445117</v>
      </c>
      <c r="AP76" s="11">
        <f t="shared" si="348"/>
        <v>0.06611927398</v>
      </c>
      <c r="AQ76" s="11">
        <f t="shared" si="348"/>
        <v>0.121272688</v>
      </c>
      <c r="AR76" s="11">
        <f t="shared" si="24"/>
        <v>0.1119677324</v>
      </c>
      <c r="AS76" s="11">
        <f t="shared" ref="AS76:BA76" si="349">IFERROR(AS37/$AR37,0)</f>
        <v>0.004705755084</v>
      </c>
      <c r="AT76" s="11">
        <f t="shared" si="349"/>
        <v>0.1176168325</v>
      </c>
      <c r="AU76" s="11">
        <f t="shared" si="349"/>
        <v>0.04538078754</v>
      </c>
      <c r="AV76" s="11">
        <f t="shared" si="349"/>
        <v>0.08700237992</v>
      </c>
      <c r="AW76" s="11">
        <f t="shared" si="349"/>
        <v>0.1268931199</v>
      </c>
      <c r="AX76" s="11">
        <f t="shared" si="349"/>
        <v>0.1157778018</v>
      </c>
      <c r="AY76" s="11">
        <f t="shared" si="349"/>
        <v>0.1095305063</v>
      </c>
      <c r="AZ76" s="11">
        <f t="shared" si="349"/>
        <v>0.1096927737</v>
      </c>
      <c r="BA76" s="11">
        <f t="shared" si="349"/>
        <v>0.2834000433</v>
      </c>
      <c r="BB76" s="11">
        <f t="shared" si="26"/>
        <v>0.4100194405</v>
      </c>
      <c r="BC76" s="11">
        <f t="shared" ref="BC76:BK76" si="350">IFERROR(BC37/$BB37,0)</f>
        <v>0.03952615875</v>
      </c>
      <c r="BD76" s="11">
        <f t="shared" si="350"/>
        <v>0.09579480665</v>
      </c>
      <c r="BE76" s="11">
        <f t="shared" si="350"/>
        <v>0.007171132315</v>
      </c>
      <c r="BF76" s="11">
        <f t="shared" si="350"/>
        <v>0.1250701604</v>
      </c>
      <c r="BG76" s="11">
        <f t="shared" si="350"/>
        <v>0.097515583</v>
      </c>
      <c r="BH76" s="11">
        <f t="shared" si="350"/>
        <v>0.1305869841</v>
      </c>
      <c r="BI76" s="11">
        <f t="shared" si="350"/>
        <v>0.145150808</v>
      </c>
      <c r="BJ76" s="11">
        <f t="shared" si="350"/>
        <v>0.3166523884</v>
      </c>
      <c r="BK76" s="11">
        <f t="shared" si="350"/>
        <v>0.04253197838</v>
      </c>
      <c r="BL76" s="11">
        <f t="shared" si="28"/>
        <v>0.1518117237</v>
      </c>
      <c r="BM76" s="11">
        <f t="shared" ref="BM76:BT76" si="351">IFERROR(BM37/$BL37,0)</f>
        <v>0.03905533171</v>
      </c>
      <c r="BN76" s="11">
        <f t="shared" si="351"/>
        <v>0.1126381298</v>
      </c>
      <c r="BO76" s="11">
        <f t="shared" si="351"/>
        <v>0.03255275861</v>
      </c>
      <c r="BP76" s="11">
        <f t="shared" si="351"/>
        <v>0.2190928312</v>
      </c>
      <c r="BQ76" s="11">
        <f t="shared" si="351"/>
        <v>0.04809111581</v>
      </c>
      <c r="BR76" s="11">
        <f t="shared" si="351"/>
        <v>0.1630629912</v>
      </c>
      <c r="BS76" s="11">
        <f t="shared" si="351"/>
        <v>0.04122950493</v>
      </c>
      <c r="BT76" s="11">
        <f t="shared" si="351"/>
        <v>0.3442773367</v>
      </c>
      <c r="BU76" s="11">
        <f t="shared" si="30"/>
        <v>0.03394824339</v>
      </c>
      <c r="BV76" s="11">
        <f t="shared" ref="BV76:BZ76" si="352">IFERROR(BV37/$BU37,0)</f>
        <v>0.000356792436</v>
      </c>
      <c r="BW76" s="11">
        <f t="shared" si="352"/>
        <v>0.004995094104</v>
      </c>
      <c r="BX76" s="11">
        <f t="shared" si="352"/>
        <v>0.000981179199</v>
      </c>
      <c r="BY76" s="11">
        <f t="shared" si="352"/>
        <v>0.5820176612</v>
      </c>
      <c r="BZ76" s="11">
        <f t="shared" si="352"/>
        <v>0.411649273</v>
      </c>
      <c r="CA76" s="11">
        <f t="shared" si="32"/>
        <v>1</v>
      </c>
    </row>
    <row r="77" ht="15.75" customHeight="1">
      <c r="A77" s="9" t="str">
        <f t="shared" si="11"/>
        <v>Y2022</v>
      </c>
      <c r="B77" s="11">
        <f t="shared" si="12"/>
        <v>0.04681797035</v>
      </c>
      <c r="C77" s="11">
        <f t="shared" ref="C77:L77" si="353">IFERROR(C38/$B38,0)</f>
        <v>0.008554013215</v>
      </c>
      <c r="D77" s="11">
        <f t="shared" si="353"/>
        <v>0.05480715054</v>
      </c>
      <c r="E77" s="11">
        <f t="shared" si="353"/>
        <v>0.09265993956</v>
      </c>
      <c r="F77" s="11">
        <f t="shared" si="353"/>
        <v>0.1254417866</v>
      </c>
      <c r="G77" s="11">
        <f t="shared" si="353"/>
        <v>0.10300671</v>
      </c>
      <c r="H77" s="11">
        <f t="shared" si="353"/>
        <v>0.1620140347</v>
      </c>
      <c r="I77" s="11">
        <f t="shared" si="353"/>
        <v>0.02894022435</v>
      </c>
      <c r="J77" s="11">
        <f t="shared" si="353"/>
        <v>0.131434718</v>
      </c>
      <c r="K77" s="11">
        <f t="shared" si="353"/>
        <v>0.08502791579</v>
      </c>
      <c r="L77" s="11">
        <f t="shared" si="353"/>
        <v>0.2081135071</v>
      </c>
      <c r="M77" s="11">
        <f t="shared" si="14"/>
        <v>0.009237454376</v>
      </c>
      <c r="N77" s="11">
        <f t="shared" ref="N77:O77" si="354">IFERROR(N38/$M38,0)</f>
        <v>0.8229491173</v>
      </c>
      <c r="O77" s="11">
        <f t="shared" si="354"/>
        <v>0.1770508827</v>
      </c>
      <c r="P77" s="11">
        <f t="shared" si="16"/>
        <v>0.01115353071</v>
      </c>
      <c r="Q77" s="11">
        <f t="shared" ref="Q77:Y77" si="355">IFERROR(Q38/$P38,0)</f>
        <v>0.0008600301011</v>
      </c>
      <c r="R77" s="11">
        <f t="shared" si="355"/>
        <v>0.02902601591</v>
      </c>
      <c r="S77" s="11">
        <f t="shared" si="355"/>
        <v>0.03182111374</v>
      </c>
      <c r="T77" s="11">
        <f t="shared" si="355"/>
        <v>0.3104708665</v>
      </c>
      <c r="U77" s="11">
        <f t="shared" si="355"/>
        <v>0.07847774672</v>
      </c>
      <c r="V77" s="11">
        <f t="shared" si="355"/>
        <v>0.02687594066</v>
      </c>
      <c r="W77" s="11">
        <f t="shared" si="355"/>
        <v>0.1298645453</v>
      </c>
      <c r="X77" s="11">
        <f t="shared" si="355"/>
        <v>0.2031821114</v>
      </c>
      <c r="Y77" s="11">
        <f t="shared" si="355"/>
        <v>0.1894216298</v>
      </c>
      <c r="Z77" s="11">
        <f t="shared" si="18"/>
        <v>0.1578161046</v>
      </c>
      <c r="AA77" s="11">
        <f t="shared" ref="AA77:AC77" si="356">IFERROR(AA38/$Z38,0)</f>
        <v>0.005698308742</v>
      </c>
      <c r="AB77" s="11">
        <f t="shared" si="356"/>
        <v>0.9889528788</v>
      </c>
      <c r="AC77" s="11">
        <f t="shared" si="356"/>
        <v>0.005348812472</v>
      </c>
      <c r="AD77" s="11">
        <f t="shared" si="20"/>
        <v>0.002618717596</v>
      </c>
      <c r="AE77" s="11">
        <f t="shared" ref="AE77:AG77" si="357">IFERROR(AE38/$AD38,0)</f>
        <v>0.1172161172</v>
      </c>
      <c r="AF77" s="11">
        <f t="shared" si="357"/>
        <v>0.8131868132</v>
      </c>
      <c r="AG77" s="11">
        <f t="shared" si="357"/>
        <v>0.0695970696</v>
      </c>
      <c r="AH77" s="11">
        <f t="shared" si="22"/>
        <v>0.1232380011</v>
      </c>
      <c r="AI77" s="11">
        <f t="shared" ref="AI77:AQ77" si="358">IFERROR(AI38/$AH38,0)</f>
        <v>0.07306869041</v>
      </c>
      <c r="AJ77" s="11">
        <f t="shared" si="358"/>
        <v>0.0661801907</v>
      </c>
      <c r="AK77" s="11">
        <f t="shared" si="358"/>
        <v>0.02465460206</v>
      </c>
      <c r="AL77" s="11">
        <f t="shared" si="358"/>
        <v>0.3717843939</v>
      </c>
      <c r="AM77" s="11">
        <f t="shared" si="358"/>
        <v>0.09062074334</v>
      </c>
      <c r="AN77" s="11">
        <f t="shared" si="358"/>
        <v>0.111033275</v>
      </c>
      <c r="AO77" s="11">
        <f t="shared" si="358"/>
        <v>0.0612570539</v>
      </c>
      <c r="AP77" s="11">
        <f t="shared" si="358"/>
        <v>0.05576960498</v>
      </c>
      <c r="AQ77" s="11">
        <f t="shared" si="358"/>
        <v>0.1456314458</v>
      </c>
      <c r="AR77" s="11">
        <f t="shared" si="24"/>
        <v>0.1055568612</v>
      </c>
      <c r="AS77" s="11">
        <f t="shared" ref="AS77:BA77" si="359">IFERROR(AS38/$AR38,0)</f>
        <v>0.004589136016</v>
      </c>
      <c r="AT77" s="11">
        <f t="shared" si="359"/>
        <v>0.1163868505</v>
      </c>
      <c r="AU77" s="11">
        <f t="shared" si="359"/>
        <v>0.04645932253</v>
      </c>
      <c r="AV77" s="11">
        <f t="shared" si="359"/>
        <v>0.08637571847</v>
      </c>
      <c r="AW77" s="11">
        <f t="shared" si="359"/>
        <v>0.1209305496</v>
      </c>
      <c r="AX77" s="11">
        <f t="shared" si="359"/>
        <v>0.1098439239</v>
      </c>
      <c r="AY77" s="11">
        <f t="shared" si="359"/>
        <v>0.1184542336</v>
      </c>
      <c r="AZ77" s="11">
        <f t="shared" si="359"/>
        <v>0.114115001</v>
      </c>
      <c r="BA77" s="11">
        <f t="shared" si="359"/>
        <v>0.2828452643</v>
      </c>
      <c r="BB77" s="11">
        <f t="shared" si="26"/>
        <v>0.3762631955</v>
      </c>
      <c r="BC77" s="11">
        <f t="shared" ref="BC77:BK77" si="360">IFERROR(BC38/$BB38,0)</f>
        <v>0.03983403547</v>
      </c>
      <c r="BD77" s="11">
        <f t="shared" si="360"/>
        <v>0.1007641761</v>
      </c>
      <c r="BE77" s="11">
        <f t="shared" si="360"/>
        <v>0.006978923015</v>
      </c>
      <c r="BF77" s="11">
        <f t="shared" si="360"/>
        <v>0.1266722328</v>
      </c>
      <c r="BG77" s="11">
        <f t="shared" si="360"/>
        <v>0.09386173447</v>
      </c>
      <c r="BH77" s="11">
        <f t="shared" si="360"/>
        <v>0.1296422585</v>
      </c>
      <c r="BI77" s="11">
        <f t="shared" si="360"/>
        <v>0.1484949108</v>
      </c>
      <c r="BJ77" s="11">
        <f t="shared" si="360"/>
        <v>0.3189909561</v>
      </c>
      <c r="BK77" s="11">
        <f t="shared" si="360"/>
        <v>0.03476077272</v>
      </c>
      <c r="BL77" s="11">
        <f t="shared" si="28"/>
        <v>0.1378303973</v>
      </c>
      <c r="BM77" s="11">
        <f t="shared" ref="BM77:BT77" si="361">IFERROR(BM38/$BL38,0)</f>
        <v>0.03716398434</v>
      </c>
      <c r="BN77" s="11">
        <f t="shared" si="361"/>
        <v>0.1090213136</v>
      </c>
      <c r="BO77" s="11">
        <f t="shared" si="361"/>
        <v>0.03832970857</v>
      </c>
      <c r="BP77" s="11">
        <f t="shared" si="361"/>
        <v>0.2232100913</v>
      </c>
      <c r="BQ77" s="11">
        <f t="shared" si="361"/>
        <v>0.0540060896</v>
      </c>
      <c r="BR77" s="11">
        <f t="shared" si="361"/>
        <v>0.158399304</v>
      </c>
      <c r="BS77" s="11">
        <f t="shared" si="361"/>
        <v>0.04316659417</v>
      </c>
      <c r="BT77" s="11">
        <f t="shared" si="361"/>
        <v>0.3367029143</v>
      </c>
      <c r="BU77" s="11">
        <f t="shared" si="30"/>
        <v>0.02946776723</v>
      </c>
      <c r="BV77" s="11">
        <f t="shared" ref="BV77:BZ77" si="362">IFERROR(BV38/$BU38,0)</f>
        <v>0.000244140625</v>
      </c>
      <c r="BW77" s="11">
        <f t="shared" si="362"/>
        <v>0.006510416667</v>
      </c>
      <c r="BX77" s="11">
        <f t="shared" si="362"/>
        <v>0.001383463542</v>
      </c>
      <c r="BY77" s="11">
        <f t="shared" si="362"/>
        <v>0.5663248698</v>
      </c>
      <c r="BZ77" s="11">
        <f t="shared" si="362"/>
        <v>0.4255371094</v>
      </c>
      <c r="CA77" s="11">
        <f t="shared" si="32"/>
        <v>1</v>
      </c>
    </row>
    <row r="78" ht="15.75" customHeight="1">
      <c r="A78" s="9" t="str">
        <f t="shared" si="11"/>
        <v>Y2023</v>
      </c>
      <c r="B78" s="11">
        <f t="shared" si="12"/>
        <v>0.04748999715</v>
      </c>
      <c r="C78" s="11">
        <f t="shared" ref="C78:L78" si="363">IFERROR(C39/$B39,0)</f>
        <v>0.01077290513</v>
      </c>
      <c r="D78" s="11">
        <f t="shared" si="363"/>
        <v>0.05259413588</v>
      </c>
      <c r="E78" s="11">
        <f t="shared" si="363"/>
        <v>0.1033589105</v>
      </c>
      <c r="F78" s="11">
        <f t="shared" si="363"/>
        <v>0.1133187662</v>
      </c>
      <c r="G78" s="11">
        <f t="shared" si="363"/>
        <v>0.1085929163</v>
      </c>
      <c r="H78" s="11">
        <f t="shared" si="363"/>
        <v>0.1709944611</v>
      </c>
      <c r="I78" s="11">
        <f t="shared" si="363"/>
        <v>0.03104832563</v>
      </c>
      <c r="J78" s="11">
        <f t="shared" si="363"/>
        <v>0.131205854</v>
      </c>
      <c r="K78" s="11">
        <f t="shared" si="363"/>
        <v>0.07307281874</v>
      </c>
      <c r="L78" s="11">
        <f t="shared" si="363"/>
        <v>0.2050409066</v>
      </c>
      <c r="M78" s="11">
        <f t="shared" si="14"/>
        <v>0.008484924538</v>
      </c>
      <c r="N78" s="11">
        <f t="shared" ref="N78:O78" si="364">IFERROR(N39/$M39,0)</f>
        <v>0.8327645051</v>
      </c>
      <c r="O78" s="11">
        <f t="shared" si="364"/>
        <v>0.1672354949</v>
      </c>
      <c r="P78" s="11">
        <f t="shared" si="16"/>
        <v>0.009484002684</v>
      </c>
      <c r="Q78" s="11">
        <f t="shared" ref="Q78:Y78" si="365">IFERROR(Q39/$P39,0)</f>
        <v>0.0005089058524</v>
      </c>
      <c r="R78" s="11">
        <f t="shared" si="365"/>
        <v>0.03053435115</v>
      </c>
      <c r="S78" s="11">
        <f t="shared" si="365"/>
        <v>0.03307888041</v>
      </c>
      <c r="T78" s="11">
        <f t="shared" si="365"/>
        <v>0.2139949109</v>
      </c>
      <c r="U78" s="11">
        <f t="shared" si="365"/>
        <v>0.07124681934</v>
      </c>
      <c r="V78" s="11">
        <f t="shared" si="365"/>
        <v>0.03027989822</v>
      </c>
      <c r="W78" s="11">
        <f t="shared" si="365"/>
        <v>0.1216284987</v>
      </c>
      <c r="X78" s="11">
        <f t="shared" si="365"/>
        <v>0.2592875318</v>
      </c>
      <c r="Y78" s="11">
        <f t="shared" si="365"/>
        <v>0.2394402036</v>
      </c>
      <c r="Z78" s="11">
        <f t="shared" si="18"/>
        <v>0.1471589017</v>
      </c>
      <c r="AA78" s="11">
        <f t="shared" ref="AA78:AC78" si="366">IFERROR(AA39/$Z39,0)</f>
        <v>0.005018038701</v>
      </c>
      <c r="AB78" s="11">
        <f t="shared" si="366"/>
        <v>0.9901771072</v>
      </c>
      <c r="AC78" s="11">
        <f t="shared" si="366"/>
        <v>0.004804854051</v>
      </c>
      <c r="AD78" s="11">
        <f t="shared" si="20"/>
        <v>0.002391513145</v>
      </c>
      <c r="AE78" s="11">
        <f t="shared" ref="AE78:AG78" si="367">IFERROR(AE39/$AD39,0)</f>
        <v>0.1634712412</v>
      </c>
      <c r="AF78" s="11">
        <f t="shared" si="367"/>
        <v>0.7578203835</v>
      </c>
      <c r="AG78" s="11">
        <f t="shared" si="367"/>
        <v>0.07870837538</v>
      </c>
      <c r="AH78" s="11">
        <f t="shared" si="22"/>
        <v>0.1033635631</v>
      </c>
      <c r="AI78" s="11">
        <f t="shared" ref="AI78:AQ78" si="368">IFERROR(AI39/$AH39,0)</f>
        <v>0.0635039223</v>
      </c>
      <c r="AJ78" s="11">
        <f t="shared" si="368"/>
        <v>0.06607209563</v>
      </c>
      <c r="AK78" s="11">
        <f t="shared" si="368"/>
        <v>0.02680239074</v>
      </c>
      <c r="AL78" s="11">
        <f t="shared" si="368"/>
        <v>0.3969228614</v>
      </c>
      <c r="AM78" s="11">
        <f t="shared" si="368"/>
        <v>0.1206574524</v>
      </c>
      <c r="AN78" s="11">
        <f t="shared" si="368"/>
        <v>0.08318546881</v>
      </c>
      <c r="AO78" s="11">
        <f t="shared" si="368"/>
        <v>0.06369069854</v>
      </c>
      <c r="AP78" s="11">
        <f t="shared" si="368"/>
        <v>0.06308367576</v>
      </c>
      <c r="AQ78" s="11">
        <f t="shared" si="368"/>
        <v>0.1160814344</v>
      </c>
      <c r="AR78" s="11">
        <f t="shared" si="24"/>
        <v>0.09808823742</v>
      </c>
      <c r="AS78" s="11">
        <f t="shared" ref="AS78:BA78" si="369">IFERROR(AS39/$AR39,0)</f>
        <v>0.00433006938</v>
      </c>
      <c r="AT78" s="11">
        <f t="shared" si="369"/>
        <v>0.1276878414</v>
      </c>
      <c r="AU78" s="11">
        <f t="shared" si="369"/>
        <v>0.04263642179</v>
      </c>
      <c r="AV78" s="11">
        <f t="shared" si="369"/>
        <v>0.09415440634</v>
      </c>
      <c r="AW78" s="11">
        <f t="shared" si="369"/>
        <v>0.1052256065</v>
      </c>
      <c r="AX78" s="11">
        <f t="shared" si="369"/>
        <v>0.1132952812</v>
      </c>
      <c r="AY78" s="11">
        <f t="shared" si="369"/>
        <v>0.1167642572</v>
      </c>
      <c r="AZ78" s="11">
        <f t="shared" si="369"/>
        <v>0.1026915318</v>
      </c>
      <c r="BA78" s="11">
        <f t="shared" si="369"/>
        <v>0.2932145845</v>
      </c>
      <c r="BB78" s="11">
        <f t="shared" si="26"/>
        <v>0.4187657765</v>
      </c>
      <c r="BC78" s="11">
        <f t="shared" ref="BC78:BK78" si="370">IFERROR(BC39/$BB39,0)</f>
        <v>0.04263840626</v>
      </c>
      <c r="BD78" s="11">
        <f t="shared" si="370"/>
        <v>0.1055731319</v>
      </c>
      <c r="BE78" s="11">
        <f t="shared" si="370"/>
        <v>0.006748151606</v>
      </c>
      <c r="BF78" s="11">
        <f t="shared" si="370"/>
        <v>0.1201816411</v>
      </c>
      <c r="BG78" s="11">
        <f t="shared" si="370"/>
        <v>0.0721839001</v>
      </c>
      <c r="BH78" s="11">
        <f t="shared" si="370"/>
        <v>0.1164358695</v>
      </c>
      <c r="BI78" s="11">
        <f t="shared" si="370"/>
        <v>0.1382535484</v>
      </c>
      <c r="BJ78" s="11">
        <f t="shared" si="370"/>
        <v>0.3634378115</v>
      </c>
      <c r="BK78" s="11">
        <f t="shared" si="370"/>
        <v>0.0345475396</v>
      </c>
      <c r="BL78" s="11">
        <f t="shared" si="28"/>
        <v>0.1344315149</v>
      </c>
      <c r="BM78" s="11">
        <f t="shared" ref="BM78:BT78" si="371">IFERROR(BM39/$BL39,0)</f>
        <v>0.03518471978</v>
      </c>
      <c r="BN78" s="11">
        <f t="shared" si="371"/>
        <v>0.09578860446</v>
      </c>
      <c r="BO78" s="11">
        <f t="shared" si="371"/>
        <v>0.04037267081</v>
      </c>
      <c r="BP78" s="11">
        <f t="shared" si="371"/>
        <v>0.2183786307</v>
      </c>
      <c r="BQ78" s="11">
        <f t="shared" si="371"/>
        <v>0.05180770474</v>
      </c>
      <c r="BR78" s="11">
        <f t="shared" si="371"/>
        <v>0.1797113417</v>
      </c>
      <c r="BS78" s="11">
        <f t="shared" si="371"/>
        <v>0.04669155926</v>
      </c>
      <c r="BT78" s="11">
        <f t="shared" si="371"/>
        <v>0.3320647686</v>
      </c>
      <c r="BU78" s="11">
        <f t="shared" si="30"/>
        <v>0.03034156889</v>
      </c>
      <c r="BV78" s="11">
        <f t="shared" ref="BV78:BZ78" si="372">IFERROR(BV39/$BU39,0)</f>
        <v>0.0004772130756</v>
      </c>
      <c r="BW78" s="11">
        <f t="shared" si="372"/>
        <v>0.005249343832</v>
      </c>
      <c r="BX78" s="11">
        <f t="shared" si="372"/>
        <v>0.00151117474</v>
      </c>
      <c r="BY78" s="11">
        <f t="shared" si="372"/>
        <v>0.6812216655</v>
      </c>
      <c r="BZ78" s="11">
        <f t="shared" si="372"/>
        <v>0.3115406029</v>
      </c>
      <c r="CA78" s="11">
        <f t="shared" si="32"/>
        <v>1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6" width="14.43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</row>
    <row r="2">
      <c r="A2" s="12" t="s">
        <v>79</v>
      </c>
      <c r="B2" s="12" t="s">
        <v>80</v>
      </c>
      <c r="C2" s="12" t="s">
        <v>80</v>
      </c>
      <c r="D2" s="12" t="s">
        <v>80</v>
      </c>
      <c r="E2" s="12" t="s">
        <v>80</v>
      </c>
      <c r="F2" s="12" t="s">
        <v>80</v>
      </c>
      <c r="G2" s="12" t="s">
        <v>80</v>
      </c>
      <c r="H2" s="12" t="s">
        <v>80</v>
      </c>
      <c r="I2" s="12" t="s">
        <v>80</v>
      </c>
      <c r="J2" s="12" t="s">
        <v>80</v>
      </c>
      <c r="K2" s="12" t="s">
        <v>80</v>
      </c>
      <c r="L2" s="12" t="s">
        <v>80</v>
      </c>
      <c r="M2" s="12" t="s">
        <v>80</v>
      </c>
      <c r="N2" s="12" t="s">
        <v>80</v>
      </c>
      <c r="O2" s="12" t="s">
        <v>80</v>
      </c>
      <c r="P2" s="12" t="s">
        <v>80</v>
      </c>
      <c r="Q2" s="12" t="s">
        <v>80</v>
      </c>
      <c r="R2" s="12" t="s">
        <v>80</v>
      </c>
      <c r="S2" s="12" t="s">
        <v>80</v>
      </c>
      <c r="T2" s="12" t="s">
        <v>80</v>
      </c>
      <c r="U2" s="12" t="s">
        <v>80</v>
      </c>
      <c r="V2" s="12" t="s">
        <v>80</v>
      </c>
      <c r="W2" s="12" t="s">
        <v>80</v>
      </c>
      <c r="X2" s="12" t="s">
        <v>80</v>
      </c>
      <c r="Y2" s="12" t="s">
        <v>80</v>
      </c>
      <c r="Z2" s="12" t="s">
        <v>80</v>
      </c>
      <c r="AA2" s="12" t="s">
        <v>80</v>
      </c>
      <c r="AB2" s="12" t="s">
        <v>80</v>
      </c>
      <c r="AC2" s="12" t="s">
        <v>80</v>
      </c>
      <c r="AD2" s="12" t="s">
        <v>80</v>
      </c>
      <c r="AE2" s="12" t="s">
        <v>80</v>
      </c>
      <c r="AF2" s="12" t="s">
        <v>80</v>
      </c>
      <c r="AG2" s="12" t="s">
        <v>80</v>
      </c>
      <c r="AH2" s="12" t="s">
        <v>80</v>
      </c>
      <c r="AI2" s="12" t="s">
        <v>80</v>
      </c>
      <c r="AJ2" s="12" t="s">
        <v>80</v>
      </c>
      <c r="AK2" s="12" t="s">
        <v>80</v>
      </c>
      <c r="AL2" s="12" t="s">
        <v>80</v>
      </c>
      <c r="AM2" s="12" t="s">
        <v>80</v>
      </c>
      <c r="AN2" s="12" t="s">
        <v>80</v>
      </c>
      <c r="AO2" s="12" t="s">
        <v>80</v>
      </c>
      <c r="AP2" s="12" t="s">
        <v>80</v>
      </c>
      <c r="AQ2" s="12" t="s">
        <v>80</v>
      </c>
      <c r="AR2" s="12" t="s">
        <v>80</v>
      </c>
      <c r="AS2" s="12" t="s">
        <v>80</v>
      </c>
      <c r="AT2" s="12" t="s">
        <v>80</v>
      </c>
      <c r="AU2" s="12" t="s">
        <v>80</v>
      </c>
      <c r="AV2" s="12" t="s">
        <v>80</v>
      </c>
      <c r="AW2" s="12" t="s">
        <v>80</v>
      </c>
      <c r="AX2" s="12" t="s">
        <v>80</v>
      </c>
      <c r="AY2" s="12" t="s">
        <v>80</v>
      </c>
      <c r="AZ2" s="12" t="s">
        <v>80</v>
      </c>
      <c r="BA2" s="12" t="s">
        <v>80</v>
      </c>
      <c r="BB2" s="12" t="s">
        <v>80</v>
      </c>
      <c r="BC2" s="12" t="s">
        <v>80</v>
      </c>
      <c r="BD2" s="12" t="s">
        <v>80</v>
      </c>
      <c r="BE2" s="12" t="s">
        <v>80</v>
      </c>
      <c r="BF2" s="12" t="s">
        <v>80</v>
      </c>
      <c r="BG2" s="12" t="s">
        <v>80</v>
      </c>
      <c r="BH2" s="12" t="s">
        <v>80</v>
      </c>
      <c r="BI2" s="12" t="s">
        <v>80</v>
      </c>
      <c r="BJ2" s="12" t="s">
        <v>80</v>
      </c>
      <c r="BK2" s="12" t="s">
        <v>80</v>
      </c>
      <c r="BL2" s="12" t="s">
        <v>80</v>
      </c>
      <c r="BM2" s="12" t="s">
        <v>80</v>
      </c>
      <c r="BN2" s="12" t="s">
        <v>80</v>
      </c>
      <c r="BO2" s="12" t="s">
        <v>80</v>
      </c>
      <c r="BP2" s="12" t="s">
        <v>80</v>
      </c>
      <c r="BQ2" s="12" t="s">
        <v>80</v>
      </c>
      <c r="BR2" s="12" t="s">
        <v>80</v>
      </c>
      <c r="BS2" s="12" t="s">
        <v>80</v>
      </c>
      <c r="BT2" s="12" t="s">
        <v>80</v>
      </c>
      <c r="BU2" s="12" t="s">
        <v>80</v>
      </c>
      <c r="BV2" s="12" t="s">
        <v>80</v>
      </c>
      <c r="BW2" s="12" t="s">
        <v>80</v>
      </c>
      <c r="BX2" s="12" t="s">
        <v>80</v>
      </c>
      <c r="BY2" s="12" t="s">
        <v>80</v>
      </c>
      <c r="BZ2" s="12" t="s">
        <v>80</v>
      </c>
      <c r="CA2" s="12" t="s">
        <v>80</v>
      </c>
    </row>
    <row r="3">
      <c r="A3" s="12" t="s">
        <v>81</v>
      </c>
      <c r="B3" s="12" t="s">
        <v>82</v>
      </c>
      <c r="C3" s="12" t="s">
        <v>83</v>
      </c>
      <c r="D3" s="12" t="s">
        <v>84</v>
      </c>
      <c r="E3" s="12" t="s">
        <v>85</v>
      </c>
      <c r="F3" s="12" t="s">
        <v>86</v>
      </c>
      <c r="G3" s="12" t="s">
        <v>87</v>
      </c>
      <c r="H3" s="12" t="s">
        <v>88</v>
      </c>
      <c r="I3" s="12" t="s">
        <v>89</v>
      </c>
      <c r="J3" s="12" t="s">
        <v>90</v>
      </c>
      <c r="K3" s="12" t="s">
        <v>91</v>
      </c>
      <c r="L3" s="12" t="s">
        <v>92</v>
      </c>
      <c r="M3" s="12" t="s">
        <v>93</v>
      </c>
      <c r="N3" s="12" t="s">
        <v>94</v>
      </c>
      <c r="O3" s="12" t="s">
        <v>95</v>
      </c>
      <c r="P3" s="12" t="s">
        <v>96</v>
      </c>
      <c r="Q3" s="12" t="s">
        <v>97</v>
      </c>
      <c r="R3" s="12" t="s">
        <v>98</v>
      </c>
      <c r="S3" s="12" t="s">
        <v>99</v>
      </c>
      <c r="T3" s="12" t="s">
        <v>100</v>
      </c>
      <c r="U3" s="12" t="s">
        <v>101</v>
      </c>
      <c r="V3" s="12" t="s">
        <v>102</v>
      </c>
      <c r="W3" s="12" t="s">
        <v>103</v>
      </c>
      <c r="X3" s="12" t="s">
        <v>104</v>
      </c>
      <c r="Y3" s="12" t="s">
        <v>105</v>
      </c>
      <c r="Z3" s="12" t="s">
        <v>106</v>
      </c>
      <c r="AA3" s="12" t="s">
        <v>107</v>
      </c>
      <c r="AB3" s="12" t="s">
        <v>108</v>
      </c>
      <c r="AC3" s="12" t="s">
        <v>109</v>
      </c>
      <c r="AD3" s="12" t="s">
        <v>110</v>
      </c>
      <c r="AE3" s="12" t="s">
        <v>111</v>
      </c>
      <c r="AF3" s="12" t="s">
        <v>112</v>
      </c>
      <c r="AG3" s="12" t="s">
        <v>113</v>
      </c>
      <c r="AH3" s="12" t="s">
        <v>114</v>
      </c>
      <c r="AI3" s="12" t="s">
        <v>115</v>
      </c>
      <c r="AJ3" s="12" t="s">
        <v>116</v>
      </c>
      <c r="AK3" s="12" t="s">
        <v>117</v>
      </c>
      <c r="AL3" s="12" t="s">
        <v>118</v>
      </c>
      <c r="AM3" s="12" t="s">
        <v>119</v>
      </c>
      <c r="AN3" s="12" t="s">
        <v>120</v>
      </c>
      <c r="AO3" s="12" t="s">
        <v>121</v>
      </c>
      <c r="AP3" s="12" t="s">
        <v>122</v>
      </c>
      <c r="AQ3" s="12" t="s">
        <v>123</v>
      </c>
      <c r="AR3" s="12" t="s">
        <v>124</v>
      </c>
      <c r="AS3" s="12" t="s">
        <v>125</v>
      </c>
      <c r="AT3" s="12" t="s">
        <v>126</v>
      </c>
      <c r="AU3" s="12" t="s">
        <v>127</v>
      </c>
      <c r="AV3" s="12" t="s">
        <v>128</v>
      </c>
      <c r="AW3" s="12" t="s">
        <v>129</v>
      </c>
      <c r="AX3" s="12" t="s">
        <v>130</v>
      </c>
      <c r="AY3" s="12" t="s">
        <v>131</v>
      </c>
      <c r="AZ3" s="12" t="s">
        <v>132</v>
      </c>
      <c r="BA3" s="12" t="s">
        <v>133</v>
      </c>
      <c r="BB3" s="12" t="s">
        <v>134</v>
      </c>
      <c r="BC3" s="12" t="s">
        <v>135</v>
      </c>
      <c r="BD3" s="12" t="s">
        <v>136</v>
      </c>
      <c r="BE3" s="12" t="s">
        <v>137</v>
      </c>
      <c r="BF3" s="12" t="s">
        <v>138</v>
      </c>
      <c r="BG3" s="12" t="s">
        <v>139</v>
      </c>
      <c r="BH3" s="12" t="s">
        <v>140</v>
      </c>
      <c r="BI3" s="12" t="s">
        <v>141</v>
      </c>
      <c r="BJ3" s="12" t="s">
        <v>142</v>
      </c>
      <c r="BK3" s="12" t="s">
        <v>143</v>
      </c>
      <c r="BL3" s="12" t="s">
        <v>144</v>
      </c>
      <c r="BM3" s="12" t="s">
        <v>145</v>
      </c>
      <c r="BN3" s="12" t="s">
        <v>146</v>
      </c>
      <c r="BO3" s="12" t="s">
        <v>147</v>
      </c>
      <c r="BP3" s="12" t="s">
        <v>148</v>
      </c>
      <c r="BQ3" s="12" t="s">
        <v>149</v>
      </c>
      <c r="BR3" s="12" t="s">
        <v>150</v>
      </c>
      <c r="BS3" s="12" t="s">
        <v>151</v>
      </c>
      <c r="BT3" s="12" t="s">
        <v>152</v>
      </c>
      <c r="BU3" s="12" t="s">
        <v>153</v>
      </c>
      <c r="BV3" s="12" t="s">
        <v>154</v>
      </c>
      <c r="BW3" s="12" t="s">
        <v>155</v>
      </c>
      <c r="BX3" s="12" t="s">
        <v>156</v>
      </c>
      <c r="BY3" s="12" t="s">
        <v>157</v>
      </c>
      <c r="BZ3" s="12" t="s">
        <v>158</v>
      </c>
      <c r="CA3" s="12" t="s">
        <v>159</v>
      </c>
    </row>
    <row r="4">
      <c r="A4" s="9" t="str">
        <f>'Export-dataset'!A5</f>
        <v>Y1989</v>
      </c>
      <c r="B4" s="11">
        <f>IFERROR('Export-dataset'!B5/'Export-dataset'!B4,0)</f>
        <v>1.200430216</v>
      </c>
      <c r="C4" s="11">
        <f>IFERROR('Export-dataset'!C5/'Export-dataset'!C4,0)</f>
        <v>0.7577639752</v>
      </c>
      <c r="D4" s="11">
        <f>IFERROR('Export-dataset'!D5/'Export-dataset'!D4,0)</f>
        <v>1.089145687</v>
      </c>
      <c r="E4" s="11">
        <f>IFERROR('Export-dataset'!E5/'Export-dataset'!E4,0)</f>
        <v>1.289224953</v>
      </c>
      <c r="F4" s="11">
        <f>IFERROR('Export-dataset'!F5/'Export-dataset'!F4,0)</f>
        <v>0.9743589744</v>
      </c>
      <c r="G4" s="11">
        <f>IFERROR('Export-dataset'!G5/'Export-dataset'!G4,0)</f>
        <v>1.547561564</v>
      </c>
      <c r="H4" s="11">
        <f>IFERROR('Export-dataset'!H5/'Export-dataset'!H4,0)</f>
        <v>0.8509933775</v>
      </c>
      <c r="I4" s="11">
        <f>IFERROR('Export-dataset'!I5/'Export-dataset'!I4,0)</f>
        <v>1.313154831</v>
      </c>
      <c r="J4" s="11">
        <f>IFERROR('Export-dataset'!J5/'Export-dataset'!J4,0)</f>
        <v>0.9558823529</v>
      </c>
      <c r="K4" s="11">
        <f>IFERROR('Export-dataset'!K5/'Export-dataset'!K4,0)</f>
        <v>0.978021978</v>
      </c>
      <c r="L4" s="11">
        <f>IFERROR('Export-dataset'!L5/'Export-dataset'!L4,0)</f>
        <v>1.065934066</v>
      </c>
      <c r="M4" s="11">
        <f>IFERROR('Export-dataset'!M5/'Export-dataset'!M4,0)</f>
        <v>0.8382352941</v>
      </c>
      <c r="N4" s="11">
        <f>IFERROR('Export-dataset'!N5/'Export-dataset'!N4,0)</f>
        <v>0.844</v>
      </c>
      <c r="O4" s="11">
        <f>IFERROR('Export-dataset'!O5/'Export-dataset'!O4,0)</f>
        <v>0.7727272727</v>
      </c>
      <c r="P4" s="11">
        <f>IFERROR('Export-dataset'!P5/'Export-dataset'!P4,0)</f>
        <v>1.05615793</v>
      </c>
      <c r="Q4" s="11">
        <f>IFERROR('Export-dataset'!Q5/'Export-dataset'!Q4,0)</f>
        <v>0.838762215</v>
      </c>
      <c r="R4" s="11">
        <f>IFERROR('Export-dataset'!R5/'Export-dataset'!R4,0)</f>
        <v>0.6984126984</v>
      </c>
      <c r="S4" s="11">
        <f>IFERROR('Export-dataset'!S5/'Export-dataset'!S4,0)</f>
        <v>1.4</v>
      </c>
      <c r="T4" s="11">
        <f>IFERROR('Export-dataset'!T5/'Export-dataset'!T4,0)</f>
        <v>0.9316628702</v>
      </c>
      <c r="U4" s="11">
        <f>IFERROR('Export-dataset'!U5/'Export-dataset'!U4,0)</f>
        <v>0.8918918919</v>
      </c>
      <c r="V4" s="11">
        <f>IFERROR('Export-dataset'!V5/'Export-dataset'!V4,0)</f>
        <v>0.8998405104</v>
      </c>
      <c r="W4" s="11">
        <f>IFERROR('Export-dataset'!W5/'Export-dataset'!W4,0)</f>
        <v>0.9321266968</v>
      </c>
      <c r="X4" s="11">
        <f>IFERROR('Export-dataset'!X5/'Export-dataset'!X4,0)</f>
        <v>1.273994638</v>
      </c>
      <c r="Y4" s="11">
        <f>IFERROR('Export-dataset'!Y5/'Export-dataset'!Y4,0)</f>
        <v>1.072580645</v>
      </c>
      <c r="Z4" s="11">
        <f>IFERROR('Export-dataset'!Z5/'Export-dataset'!Z4,0)</f>
        <v>1.119640922</v>
      </c>
      <c r="AA4" s="11">
        <f>IFERROR('Export-dataset'!AA5/'Export-dataset'!AA4,0)</f>
        <v>1.146246764</v>
      </c>
      <c r="AB4" s="11">
        <f>IFERROR('Export-dataset'!AB5/'Export-dataset'!AB4,0)</f>
        <v>1.027863777</v>
      </c>
      <c r="AC4" s="11">
        <f>IFERROR('Export-dataset'!AC5/'Export-dataset'!AC4,0)</f>
        <v>1.238095238</v>
      </c>
      <c r="AD4" s="11">
        <f>IFERROR('Export-dataset'!AD5/'Export-dataset'!AD4,0)</f>
        <v>0.7602739726</v>
      </c>
      <c r="AE4" s="11">
        <f>IFERROR('Export-dataset'!AE5/'Export-dataset'!AE4,0)</f>
        <v>0.8196721311</v>
      </c>
      <c r="AF4" s="11">
        <f>IFERROR('Export-dataset'!AF5/'Export-dataset'!AF4,0)</f>
        <v>0.07142857143</v>
      </c>
      <c r="AG4" s="11">
        <f>IFERROR('Export-dataset'!AG5/'Export-dataset'!AG4,0)</f>
        <v>1</v>
      </c>
      <c r="AH4" s="11">
        <f>IFERROR('Export-dataset'!AH5/'Export-dataset'!AH4,0)</f>
        <v>1.127761768</v>
      </c>
      <c r="AI4" s="11">
        <f>IFERROR('Export-dataset'!AI5/'Export-dataset'!AI4,0)</f>
        <v>0.8823529412</v>
      </c>
      <c r="AJ4" s="11">
        <f>IFERROR('Export-dataset'!AJ5/'Export-dataset'!AJ4,0)</f>
        <v>1.360465116</v>
      </c>
      <c r="AK4" s="11">
        <f>IFERROR('Export-dataset'!AK5/'Export-dataset'!AK4,0)</f>
        <v>2.165137615</v>
      </c>
      <c r="AL4" s="11">
        <f>IFERROR('Export-dataset'!AL5/'Export-dataset'!AL4,0)</f>
        <v>1.074235808</v>
      </c>
      <c r="AM4" s="11">
        <f>IFERROR('Export-dataset'!AM5/'Export-dataset'!AM4,0)</f>
        <v>1.033707865</v>
      </c>
      <c r="AN4" s="11">
        <f>IFERROR('Export-dataset'!AN5/'Export-dataset'!AN4,0)</f>
        <v>1</v>
      </c>
      <c r="AO4" s="11">
        <f>IFERROR('Export-dataset'!AO5/'Export-dataset'!AO4,0)</f>
        <v>0.923566879</v>
      </c>
      <c r="AP4" s="11">
        <f>IFERROR('Export-dataset'!AP5/'Export-dataset'!AP4,0)</f>
        <v>0.9344262295</v>
      </c>
      <c r="AQ4" s="11">
        <f>IFERROR('Export-dataset'!AQ5/'Export-dataset'!AQ4,0)</f>
        <v>0.9145728643</v>
      </c>
      <c r="AR4" s="11">
        <f>IFERROR('Export-dataset'!AR5/'Export-dataset'!AR4,0)</f>
        <v>1.134543413</v>
      </c>
      <c r="AS4" s="11">
        <f>IFERROR('Export-dataset'!AS5/'Export-dataset'!AS4,0)</f>
        <v>0.9151515152</v>
      </c>
      <c r="AT4" s="11">
        <f>IFERROR('Export-dataset'!AT5/'Export-dataset'!AT4,0)</f>
        <v>0.8611111111</v>
      </c>
      <c r="AU4" s="11">
        <f>IFERROR('Export-dataset'!AU5/'Export-dataset'!AU4,0)</f>
        <v>0.8666666667</v>
      </c>
      <c r="AV4" s="11">
        <f>IFERROR('Export-dataset'!AV5/'Export-dataset'!AV4,0)</f>
        <v>1.181034483</v>
      </c>
      <c r="AW4" s="11">
        <f>IFERROR('Export-dataset'!AW5/'Export-dataset'!AW4,0)</f>
        <v>1.135135135</v>
      </c>
      <c r="AX4" s="11">
        <f>IFERROR('Export-dataset'!AX5/'Export-dataset'!AX4,0)</f>
        <v>1.405660377</v>
      </c>
      <c r="AY4" s="11">
        <f>IFERROR('Export-dataset'!AY5/'Export-dataset'!AY4,0)</f>
        <v>1.165668663</v>
      </c>
      <c r="AZ4" s="11">
        <f>IFERROR('Export-dataset'!AZ5/'Export-dataset'!AZ4,0)</f>
        <v>1.121523089</v>
      </c>
      <c r="BA4" s="11">
        <f>IFERROR('Export-dataset'!BA5/'Export-dataset'!BA4,0)</f>
        <v>1.137254902</v>
      </c>
      <c r="BB4" s="11">
        <f>IFERROR('Export-dataset'!BB5/'Export-dataset'!BB4,0)</f>
        <v>1.197521866</v>
      </c>
      <c r="BC4" s="11">
        <f>IFERROR('Export-dataset'!BC5/'Export-dataset'!BC4,0)</f>
        <v>1.032786885</v>
      </c>
      <c r="BD4" s="11">
        <f>IFERROR('Export-dataset'!BD5/'Export-dataset'!BD4,0)</f>
        <v>1.136904762</v>
      </c>
      <c r="BE4" s="11">
        <f>IFERROR('Export-dataset'!BE5/'Export-dataset'!BE4,0)</f>
        <v>1.384615385</v>
      </c>
      <c r="BF4" s="11">
        <f>IFERROR('Export-dataset'!BF5/'Export-dataset'!BF4,0)</f>
        <v>1.090062112</v>
      </c>
      <c r="BG4" s="11">
        <f>IFERROR('Export-dataset'!BG5/'Export-dataset'!BG4,0)</f>
        <v>1.18226601</v>
      </c>
      <c r="BH4" s="11">
        <f>IFERROR('Export-dataset'!BH5/'Export-dataset'!BH4,0)</f>
        <v>1.542253521</v>
      </c>
      <c r="BI4" s="11">
        <f>IFERROR('Export-dataset'!BI5/'Export-dataset'!BI4,0)</f>
        <v>1.167857143</v>
      </c>
      <c r="BJ4" s="11">
        <f>IFERROR('Export-dataset'!BJ5/'Export-dataset'!BJ4,0)</f>
        <v>1.295918367</v>
      </c>
      <c r="BK4" s="11">
        <f>IFERROR('Export-dataset'!BK5/'Export-dataset'!BK4,0)</f>
        <v>1.273318872</v>
      </c>
      <c r="BL4" s="11">
        <f>IFERROR('Export-dataset'!BL5/'Export-dataset'!BL4,0)</f>
        <v>1.169302326</v>
      </c>
      <c r="BM4" s="11">
        <f>IFERROR('Export-dataset'!BM5/'Export-dataset'!BM4,0)</f>
        <v>0.9032258065</v>
      </c>
      <c r="BN4" s="11">
        <f>IFERROR('Export-dataset'!BN5/'Export-dataset'!BN4,0)</f>
        <v>0.9722222222</v>
      </c>
      <c r="BO4" s="11">
        <f>IFERROR('Export-dataset'!BO5/'Export-dataset'!BO4,0)</f>
        <v>1.5</v>
      </c>
      <c r="BP4" s="11">
        <f>IFERROR('Export-dataset'!BP5/'Export-dataset'!BP4,0)</f>
        <v>1.353846154</v>
      </c>
      <c r="BQ4" s="11">
        <f>IFERROR('Export-dataset'!BQ5/'Export-dataset'!BQ4,0)</f>
        <v>1.642857143</v>
      </c>
      <c r="BR4" s="11">
        <f>IFERROR('Export-dataset'!BR5/'Export-dataset'!BR4,0)</f>
        <v>1.229591837</v>
      </c>
      <c r="BS4" s="11">
        <f>IFERROR('Export-dataset'!BS5/'Export-dataset'!BS4,0)</f>
        <v>0.9025270758</v>
      </c>
      <c r="BT4" s="11">
        <f>IFERROR('Export-dataset'!BT5/'Export-dataset'!BT4,0)</f>
        <v>1.297356828</v>
      </c>
      <c r="BU4" s="11">
        <f>IFERROR('Export-dataset'!BU5/'Export-dataset'!BU4,0)</f>
        <v>1.007239141</v>
      </c>
      <c r="BV4" s="11">
        <f>IFERROR('Export-dataset'!BV5/'Export-dataset'!BV4,0)</f>
        <v>0.9807692308</v>
      </c>
      <c r="BW4" s="11">
        <f>IFERROR('Export-dataset'!BW5/'Export-dataset'!BW4,0)</f>
        <v>1.045918367</v>
      </c>
      <c r="BX4" s="11">
        <f>IFERROR('Export-dataset'!BX5/'Export-dataset'!BX4,0)</f>
        <v>0</v>
      </c>
      <c r="BY4" s="11">
        <f>IFERROR('Export-dataset'!BY5/'Export-dataset'!BY4,0)</f>
        <v>0.9685863874</v>
      </c>
      <c r="BZ4" s="11">
        <f>IFERROR('Export-dataset'!BZ5/'Export-dataset'!BZ4,0)</f>
        <v>1.11031665</v>
      </c>
      <c r="CA4" s="11">
        <f>IFERROR('Export-dataset'!CA5/'Export-dataset'!CA4,0)</f>
        <v>1.109382745</v>
      </c>
    </row>
    <row r="5">
      <c r="A5" s="9" t="str">
        <f>'Export-dataset'!A6</f>
        <v>Y1990</v>
      </c>
      <c r="B5" s="11">
        <f>IFERROR('Export-dataset'!B6/'Export-dataset'!B5,0)</f>
        <v>1.025192369</v>
      </c>
      <c r="C5" s="11">
        <f>IFERROR('Export-dataset'!C6/'Export-dataset'!C5,0)</f>
        <v>0.6680327869</v>
      </c>
      <c r="D5" s="11">
        <f>IFERROR('Export-dataset'!D6/'Export-dataset'!D5,0)</f>
        <v>1.170898067</v>
      </c>
      <c r="E5" s="11">
        <f>IFERROR('Export-dataset'!E6/'Export-dataset'!E5,0)</f>
        <v>0.991202346</v>
      </c>
      <c r="F5" s="11">
        <f>IFERROR('Export-dataset'!F6/'Export-dataset'!F5,0)</f>
        <v>1.046439628</v>
      </c>
      <c r="G5" s="11">
        <f>IFERROR('Export-dataset'!G6/'Export-dataset'!G5,0)</f>
        <v>0.9404056162</v>
      </c>
      <c r="H5" s="11">
        <f>IFERROR('Export-dataset'!H6/'Export-dataset'!H5,0)</f>
        <v>1.130350195</v>
      </c>
      <c r="I5" s="11">
        <f>IFERROR('Export-dataset'!I6/'Export-dataset'!I5,0)</f>
        <v>0.9760638298</v>
      </c>
      <c r="J5" s="11">
        <f>IFERROR('Export-dataset'!J6/'Export-dataset'!J5,0)</f>
        <v>1.261538462</v>
      </c>
      <c r="K5" s="11">
        <f>IFERROR('Export-dataset'!K6/'Export-dataset'!K5,0)</f>
        <v>0.8913857678</v>
      </c>
      <c r="L5" s="11">
        <f>IFERROR('Export-dataset'!L6/'Export-dataset'!L5,0)</f>
        <v>1.082474227</v>
      </c>
      <c r="M5" s="11">
        <f>IFERROR('Export-dataset'!M6/'Export-dataset'!M5,0)</f>
        <v>1.25</v>
      </c>
      <c r="N5" s="11">
        <f>IFERROR('Export-dataset'!N6/'Export-dataset'!N5,0)</f>
        <v>1.260663507</v>
      </c>
      <c r="O5" s="11">
        <f>IFERROR('Export-dataset'!O6/'Export-dataset'!O5,0)</f>
        <v>1.117647059</v>
      </c>
      <c r="P5" s="11">
        <f>IFERROR('Export-dataset'!P6/'Export-dataset'!P5,0)</f>
        <v>0.9530586236</v>
      </c>
      <c r="Q5" s="11">
        <f>IFERROR('Export-dataset'!Q6/'Export-dataset'!Q5,0)</f>
        <v>1.025242718</v>
      </c>
      <c r="R5" s="11">
        <f>IFERROR('Export-dataset'!R6/'Export-dataset'!R5,0)</f>
        <v>1.159090909</v>
      </c>
      <c r="S5" s="11">
        <f>IFERROR('Export-dataset'!S6/'Export-dataset'!S5,0)</f>
        <v>0.5714285714</v>
      </c>
      <c r="T5" s="11">
        <f>IFERROR('Export-dataset'!T6/'Export-dataset'!T5,0)</f>
        <v>0.9828850856</v>
      </c>
      <c r="U5" s="11">
        <f>IFERROR('Export-dataset'!U6/'Export-dataset'!U5,0)</f>
        <v>0.6363636364</v>
      </c>
      <c r="V5" s="11">
        <f>IFERROR('Export-dataset'!V6/'Export-dataset'!V5,0)</f>
        <v>0.698156682</v>
      </c>
      <c r="W5" s="11">
        <f>IFERROR('Export-dataset'!W6/'Export-dataset'!W5,0)</f>
        <v>1.165048544</v>
      </c>
      <c r="X5" s="11">
        <f>IFERROR('Export-dataset'!X6/'Export-dataset'!X5,0)</f>
        <v>1.13818743</v>
      </c>
      <c r="Y5" s="11">
        <f>IFERROR('Export-dataset'!Y6/'Export-dataset'!Y5,0)</f>
        <v>1.195488722</v>
      </c>
      <c r="Z5" s="11">
        <f>IFERROR('Export-dataset'!Z6/'Export-dataset'!Z5,0)</f>
        <v>1.326513685</v>
      </c>
      <c r="AA5" s="11">
        <f>IFERROR('Export-dataset'!AA6/'Export-dataset'!AA5,0)</f>
        <v>1.133609334</v>
      </c>
      <c r="AB5" s="11">
        <f>IFERROR('Export-dataset'!AB6/'Export-dataset'!AB5,0)</f>
        <v>1.736144578</v>
      </c>
      <c r="AC5" s="11">
        <f>IFERROR('Export-dataset'!AC6/'Export-dataset'!AC5,0)</f>
        <v>2.653846154</v>
      </c>
      <c r="AD5" s="11">
        <f>IFERROR('Export-dataset'!AD6/'Export-dataset'!AD5,0)</f>
        <v>1.135135135</v>
      </c>
      <c r="AE5" s="11">
        <f>IFERROR('Export-dataset'!AE6/'Export-dataset'!AE5,0)</f>
        <v>1.13</v>
      </c>
      <c r="AF5" s="11">
        <f>IFERROR('Export-dataset'!AF6/'Export-dataset'!AF5,0)</f>
        <v>1</v>
      </c>
      <c r="AG5" s="11">
        <f>IFERROR('Export-dataset'!AG6/'Export-dataset'!AG5,0)</f>
        <v>1.2</v>
      </c>
      <c r="AH5" s="11">
        <f>IFERROR('Export-dataset'!AH6/'Export-dataset'!AH5,0)</f>
        <v>1.10306644</v>
      </c>
      <c r="AI5" s="11">
        <f>IFERROR('Export-dataset'!AI6/'Export-dataset'!AI5,0)</f>
        <v>1.177777778</v>
      </c>
      <c r="AJ5" s="11">
        <f>IFERROR('Export-dataset'!AJ6/'Export-dataset'!AJ5,0)</f>
        <v>1.495726496</v>
      </c>
      <c r="AK5" s="11">
        <f>IFERROR('Export-dataset'!AK6/'Export-dataset'!AK5,0)</f>
        <v>0.936440678</v>
      </c>
      <c r="AL5" s="11">
        <f>IFERROR('Export-dataset'!AL6/'Export-dataset'!AL5,0)</f>
        <v>1.191056911</v>
      </c>
      <c r="AM5" s="11">
        <f>IFERROR('Export-dataset'!AM6/'Export-dataset'!AM5,0)</f>
        <v>1.141304348</v>
      </c>
      <c r="AN5" s="11">
        <f>IFERROR('Export-dataset'!AN6/'Export-dataset'!AN5,0)</f>
        <v>1.333333333</v>
      </c>
      <c r="AO5" s="11">
        <f>IFERROR('Export-dataset'!AO6/'Export-dataset'!AO5,0)</f>
        <v>0.9379310345</v>
      </c>
      <c r="AP5" s="11">
        <f>IFERROR('Export-dataset'!AP6/'Export-dataset'!AP5,0)</f>
        <v>1.333333333</v>
      </c>
      <c r="AQ5" s="11">
        <f>IFERROR('Export-dataset'!AQ6/'Export-dataset'!AQ5,0)</f>
        <v>0.9395604396</v>
      </c>
      <c r="AR5" s="11">
        <f>IFERROR('Export-dataset'!AR6/'Export-dataset'!AR5,0)</f>
        <v>1.031997361</v>
      </c>
      <c r="AS5" s="11">
        <f>IFERROR('Export-dataset'!AS6/'Export-dataset'!AS5,0)</f>
        <v>1.19205298</v>
      </c>
      <c r="AT5" s="11">
        <f>IFERROR('Export-dataset'!AT6/'Export-dataset'!AT5,0)</f>
        <v>1.080645161</v>
      </c>
      <c r="AU5" s="11">
        <f>IFERROR('Export-dataset'!AU6/'Export-dataset'!AU5,0)</f>
        <v>2.538461538</v>
      </c>
      <c r="AV5" s="11">
        <f>IFERROR('Export-dataset'!AV6/'Export-dataset'!AV5,0)</f>
        <v>1.226277372</v>
      </c>
      <c r="AW5" s="11">
        <f>IFERROR('Export-dataset'!AW6/'Export-dataset'!AW5,0)</f>
        <v>1.166666667</v>
      </c>
      <c r="AX5" s="11">
        <f>IFERROR('Export-dataset'!AX6/'Export-dataset'!AX5,0)</f>
        <v>1.03803132</v>
      </c>
      <c r="AY5" s="11">
        <f>IFERROR('Export-dataset'!AY6/'Export-dataset'!AY5,0)</f>
        <v>1.556506849</v>
      </c>
      <c r="AZ5" s="11">
        <f>IFERROR('Export-dataset'!AZ6/'Export-dataset'!AZ5,0)</f>
        <v>0.922947267</v>
      </c>
      <c r="BA5" s="11">
        <f>IFERROR('Export-dataset'!BA6/'Export-dataset'!BA5,0)</f>
        <v>1.16954023</v>
      </c>
      <c r="BB5" s="11">
        <f>IFERROR('Export-dataset'!BB6/'Export-dataset'!BB5,0)</f>
        <v>1.252891053</v>
      </c>
      <c r="BC5" s="11">
        <f>IFERROR('Export-dataset'!BC6/'Export-dataset'!BC5,0)</f>
        <v>1.296296296</v>
      </c>
      <c r="BD5" s="11">
        <f>IFERROR('Export-dataset'!BD6/'Export-dataset'!BD5,0)</f>
        <v>1.201570681</v>
      </c>
      <c r="BE5" s="11">
        <f>IFERROR('Export-dataset'!BE6/'Export-dataset'!BE5,0)</f>
        <v>1.481481481</v>
      </c>
      <c r="BF5" s="11">
        <f>IFERROR('Export-dataset'!BF6/'Export-dataset'!BF5,0)</f>
        <v>1.225071225</v>
      </c>
      <c r="BG5" s="11">
        <f>IFERROR('Export-dataset'!BG6/'Export-dataset'!BG5,0)</f>
        <v>1.322916667</v>
      </c>
      <c r="BH5" s="11">
        <f>IFERROR('Export-dataset'!BH6/'Export-dataset'!BH5,0)</f>
        <v>1.328767123</v>
      </c>
      <c r="BI5" s="11">
        <f>IFERROR('Export-dataset'!BI6/'Export-dataset'!BI5,0)</f>
        <v>1.262996942</v>
      </c>
      <c r="BJ5" s="11">
        <f>IFERROR('Export-dataset'!BJ6/'Export-dataset'!BJ5,0)</f>
        <v>1.448818898</v>
      </c>
      <c r="BK5" s="11">
        <f>IFERROR('Export-dataset'!BK6/'Export-dataset'!BK5,0)</f>
        <v>0.9931856899</v>
      </c>
      <c r="BL5" s="11">
        <f>IFERROR('Export-dataset'!BL6/'Export-dataset'!BL5,0)</f>
        <v>1.038981702</v>
      </c>
      <c r="BM5" s="11">
        <f>IFERROR('Export-dataset'!BM6/'Export-dataset'!BM5,0)</f>
        <v>1.321428571</v>
      </c>
      <c r="BN5" s="11">
        <f>IFERROR('Export-dataset'!BN6/'Export-dataset'!BN5,0)</f>
        <v>1.2</v>
      </c>
      <c r="BO5" s="11">
        <f>IFERROR('Export-dataset'!BO6/'Export-dataset'!BO5,0)</f>
        <v>1.666666667</v>
      </c>
      <c r="BP5" s="11">
        <f>IFERROR('Export-dataset'!BP6/'Export-dataset'!BP5,0)</f>
        <v>1.420454545</v>
      </c>
      <c r="BQ5" s="11">
        <f>IFERROR('Export-dataset'!BQ6/'Export-dataset'!BQ5,0)</f>
        <v>0.9565217391</v>
      </c>
      <c r="BR5" s="11">
        <f>IFERROR('Export-dataset'!BR6/'Export-dataset'!BR5,0)</f>
        <v>1.045643154</v>
      </c>
      <c r="BS5" s="11">
        <f>IFERROR('Export-dataset'!BS6/'Export-dataset'!BS5,0)</f>
        <v>0.964</v>
      </c>
      <c r="BT5" s="11">
        <f>IFERROR('Export-dataset'!BT6/'Export-dataset'!BT5,0)</f>
        <v>0.9881154499</v>
      </c>
      <c r="BU5" s="11">
        <f>IFERROR('Export-dataset'!BU6/'Export-dataset'!BU5,0)</f>
        <v>1.170508055</v>
      </c>
      <c r="BV5" s="11">
        <f>IFERROR('Export-dataset'!BV6/'Export-dataset'!BV5,0)</f>
        <v>1.215686275</v>
      </c>
      <c r="BW5" s="11">
        <f>IFERROR('Export-dataset'!BW6/'Export-dataset'!BW5,0)</f>
        <v>1.219512195</v>
      </c>
      <c r="BX5" s="11">
        <f>IFERROR('Export-dataset'!BX6/'Export-dataset'!BX5,0)</f>
        <v>0</v>
      </c>
      <c r="BY5" s="11">
        <f>IFERROR('Export-dataset'!BY6/'Export-dataset'!BY5,0)</f>
        <v>1.328185328</v>
      </c>
      <c r="BZ5" s="11">
        <f>IFERROR('Export-dataset'!BZ6/'Export-dataset'!BZ5,0)</f>
        <v>0.7773689052</v>
      </c>
      <c r="CA5" s="11">
        <f>IFERROR('Export-dataset'!CA6/'Export-dataset'!CA5,0)</f>
        <v>1.08283155</v>
      </c>
    </row>
    <row r="6">
      <c r="A6" s="9" t="str">
        <f>'Export-dataset'!A7</f>
        <v>Y1991</v>
      </c>
      <c r="B6" s="11">
        <f>IFERROR('Export-dataset'!B7/'Export-dataset'!B6,0)</f>
        <v>0.9573308657</v>
      </c>
      <c r="C6" s="11">
        <f>IFERROR('Export-dataset'!C7/'Export-dataset'!C6,0)</f>
        <v>1.116564417</v>
      </c>
      <c r="D6" s="11">
        <f>IFERROR('Export-dataset'!D7/'Export-dataset'!D6,0)</f>
        <v>1.048220065</v>
      </c>
      <c r="E6" s="11">
        <f>IFERROR('Export-dataset'!E7/'Export-dataset'!E6,0)</f>
        <v>1.173076923</v>
      </c>
      <c r="F6" s="11">
        <f>IFERROR('Export-dataset'!F7/'Export-dataset'!F6,0)</f>
        <v>1.093195266</v>
      </c>
      <c r="G6" s="11">
        <f>IFERROR('Export-dataset'!G7/'Export-dataset'!G6,0)</f>
        <v>0.799933643</v>
      </c>
      <c r="H6" s="11">
        <f>IFERROR('Export-dataset'!H7/'Export-dataset'!H6,0)</f>
        <v>1.120481928</v>
      </c>
      <c r="I6" s="11">
        <f>IFERROR('Export-dataset'!I7/'Export-dataset'!I6,0)</f>
        <v>0.6948228883</v>
      </c>
      <c r="J6" s="11">
        <f>IFERROR('Export-dataset'!J7/'Export-dataset'!J6,0)</f>
        <v>1.12195122</v>
      </c>
      <c r="K6" s="11">
        <f>IFERROR('Export-dataset'!K7/'Export-dataset'!K6,0)</f>
        <v>1.277310924</v>
      </c>
      <c r="L6" s="11">
        <f>IFERROR('Export-dataset'!L7/'Export-dataset'!L6,0)</f>
        <v>1.285714286</v>
      </c>
      <c r="M6" s="11">
        <f>IFERROR('Export-dataset'!M7/'Export-dataset'!M6,0)</f>
        <v>1.171929825</v>
      </c>
      <c r="N6" s="11">
        <f>IFERROR('Export-dataset'!N7/'Export-dataset'!N6,0)</f>
        <v>1.176691729</v>
      </c>
      <c r="O6" s="11">
        <f>IFERROR('Export-dataset'!O7/'Export-dataset'!O6,0)</f>
        <v>1.105263158</v>
      </c>
      <c r="P6" s="11">
        <f>IFERROR('Export-dataset'!P7/'Export-dataset'!P6,0)</f>
        <v>1.015749201</v>
      </c>
      <c r="Q6" s="11">
        <f>IFERROR('Export-dataset'!Q7/'Export-dataset'!Q6,0)</f>
        <v>0.6553030303</v>
      </c>
      <c r="R6" s="11">
        <f>IFERROR('Export-dataset'!R7/'Export-dataset'!R6,0)</f>
        <v>1.156862745</v>
      </c>
      <c r="S6" s="11">
        <f>IFERROR('Export-dataset'!S7/'Export-dataset'!S6,0)</f>
        <v>1</v>
      </c>
      <c r="T6" s="11">
        <f>IFERROR('Export-dataset'!T7/'Export-dataset'!T6,0)</f>
        <v>1.146766169</v>
      </c>
      <c r="U6" s="11">
        <f>IFERROR('Export-dataset'!U7/'Export-dataset'!U6,0)</f>
        <v>0.9523809524</v>
      </c>
      <c r="V6" s="11">
        <f>IFERROR('Export-dataset'!V7/'Export-dataset'!V6,0)</f>
        <v>1.109672506</v>
      </c>
      <c r="W6" s="11">
        <f>IFERROR('Export-dataset'!W7/'Export-dataset'!W6,0)</f>
        <v>1.208333333</v>
      </c>
      <c r="X6" s="11">
        <f>IFERROR('Export-dataset'!X7/'Export-dataset'!X6,0)</f>
        <v>0.9805250832</v>
      </c>
      <c r="Y6" s="11">
        <f>IFERROR('Export-dataset'!Y7/'Export-dataset'!Y6,0)</f>
        <v>1.025157233</v>
      </c>
      <c r="Z6" s="11">
        <f>IFERROR('Export-dataset'!Z7/'Export-dataset'!Z6,0)</f>
        <v>1.133493122</v>
      </c>
      <c r="AA6" s="11">
        <f>IFERROR('Export-dataset'!AA7/'Export-dataset'!AA6,0)</f>
        <v>1.138280212</v>
      </c>
      <c r="AB6" s="11">
        <f>IFERROR('Export-dataset'!AB7/'Export-dataset'!AB6,0)</f>
        <v>1.011450382</v>
      </c>
      <c r="AC6" s="11">
        <f>IFERROR('Export-dataset'!AC7/'Export-dataset'!AC6,0)</f>
        <v>1.601449275</v>
      </c>
      <c r="AD6" s="11">
        <f>IFERROR('Export-dataset'!AD7/'Export-dataset'!AD6,0)</f>
        <v>1.079365079</v>
      </c>
      <c r="AE6" s="11">
        <f>IFERROR('Export-dataset'!AE7/'Export-dataset'!AE6,0)</f>
        <v>1.03539823</v>
      </c>
      <c r="AF6" s="11">
        <f>IFERROR('Export-dataset'!AF7/'Export-dataset'!AF6,0)</f>
        <v>1</v>
      </c>
      <c r="AG6" s="11">
        <f>IFERROR('Export-dataset'!AG7/'Export-dataset'!AG6,0)</f>
        <v>1.5</v>
      </c>
      <c r="AH6" s="11">
        <f>IFERROR('Export-dataset'!AH7/'Export-dataset'!AH6,0)</f>
        <v>1.182239382</v>
      </c>
      <c r="AI6" s="11">
        <f>IFERROR('Export-dataset'!AI7/'Export-dataset'!AI6,0)</f>
        <v>1</v>
      </c>
      <c r="AJ6" s="11">
        <f>IFERROR('Export-dataset'!AJ7/'Export-dataset'!AJ6,0)</f>
        <v>1.445714286</v>
      </c>
      <c r="AK6" s="11">
        <f>IFERROR('Export-dataset'!AK7/'Export-dataset'!AK6,0)</f>
        <v>0.850678733</v>
      </c>
      <c r="AL6" s="11">
        <f>IFERROR('Export-dataset'!AL7/'Export-dataset'!AL6,0)</f>
        <v>1.300341297</v>
      </c>
      <c r="AM6" s="11">
        <f>IFERROR('Export-dataset'!AM7/'Export-dataset'!AM6,0)</f>
        <v>1.19047619</v>
      </c>
      <c r="AN6" s="11">
        <f>IFERROR('Export-dataset'!AN7/'Export-dataset'!AN6,0)</f>
        <v>1.416666667</v>
      </c>
      <c r="AO6" s="11">
        <f>IFERROR('Export-dataset'!AO7/'Export-dataset'!AO6,0)</f>
        <v>1.330882353</v>
      </c>
      <c r="AP6" s="11">
        <f>IFERROR('Export-dataset'!AP7/'Export-dataset'!AP6,0)</f>
        <v>1.078947368</v>
      </c>
      <c r="AQ6" s="11">
        <f>IFERROR('Export-dataset'!AQ7/'Export-dataset'!AQ6,0)</f>
        <v>1.157894737</v>
      </c>
      <c r="AR6" s="11">
        <f>IFERROR('Export-dataset'!AR7/'Export-dataset'!AR6,0)</f>
        <v>1.036279367</v>
      </c>
      <c r="AS6" s="11">
        <f>IFERROR('Export-dataset'!AS7/'Export-dataset'!AS6,0)</f>
        <v>1.038888889</v>
      </c>
      <c r="AT6" s="11">
        <f>IFERROR('Export-dataset'!AT7/'Export-dataset'!AT6,0)</f>
        <v>1</v>
      </c>
      <c r="AU6" s="11">
        <f>IFERROR('Export-dataset'!AU7/'Export-dataset'!AU6,0)</f>
        <v>1.515151515</v>
      </c>
      <c r="AV6" s="11">
        <f>IFERROR('Export-dataset'!AV7/'Export-dataset'!AV6,0)</f>
        <v>1.244047619</v>
      </c>
      <c r="AW6" s="11">
        <f>IFERROR('Export-dataset'!AW7/'Export-dataset'!AW6,0)</f>
        <v>1.112244898</v>
      </c>
      <c r="AX6" s="11">
        <f>IFERROR('Export-dataset'!AX7/'Export-dataset'!AX6,0)</f>
        <v>1.198275862</v>
      </c>
      <c r="AY6" s="11">
        <f>IFERROR('Export-dataset'!AY7/'Export-dataset'!AY6,0)</f>
        <v>1.129812981</v>
      </c>
      <c r="AZ6" s="11">
        <f>IFERROR('Export-dataset'!AZ7/'Export-dataset'!AZ6,0)</f>
        <v>0.9446908427</v>
      </c>
      <c r="BA6" s="11">
        <f>IFERROR('Export-dataset'!BA7/'Export-dataset'!BA6,0)</f>
        <v>1.348894349</v>
      </c>
      <c r="BB6" s="11">
        <f>IFERROR('Export-dataset'!BB7/'Export-dataset'!BB6,0)</f>
        <v>1.180957008</v>
      </c>
      <c r="BC6" s="11">
        <f>IFERROR('Export-dataset'!BC7/'Export-dataset'!BC6,0)</f>
        <v>1.155102041</v>
      </c>
      <c r="BD6" s="11">
        <f>IFERROR('Export-dataset'!BD7/'Export-dataset'!BD6,0)</f>
        <v>1.139433551</v>
      </c>
      <c r="BE6" s="11">
        <f>IFERROR('Export-dataset'!BE7/'Export-dataset'!BE6,0)</f>
        <v>0.9875</v>
      </c>
      <c r="BF6" s="11">
        <f>IFERROR('Export-dataset'!BF7/'Export-dataset'!BF6,0)</f>
        <v>1.188372093</v>
      </c>
      <c r="BG6" s="11">
        <f>IFERROR('Export-dataset'!BG7/'Export-dataset'!BG6,0)</f>
        <v>1.272440945</v>
      </c>
      <c r="BH6" s="11">
        <f>IFERROR('Export-dataset'!BH7/'Export-dataset'!BH6,0)</f>
        <v>1.089347079</v>
      </c>
      <c r="BI6" s="11">
        <f>IFERROR('Export-dataset'!BI7/'Export-dataset'!BI6,0)</f>
        <v>1.312348668</v>
      </c>
      <c r="BJ6" s="11">
        <f>IFERROR('Export-dataset'!BJ7/'Export-dataset'!BJ6,0)</f>
        <v>1.114130435</v>
      </c>
      <c r="BK6" s="11">
        <f>IFERROR('Export-dataset'!BK7/'Export-dataset'!BK6,0)</f>
        <v>1.193825043</v>
      </c>
      <c r="BL6" s="11">
        <f>IFERROR('Export-dataset'!BL7/'Export-dataset'!BL6,0)</f>
        <v>1.089586524</v>
      </c>
      <c r="BM6" s="11">
        <f>IFERROR('Export-dataset'!BM7/'Export-dataset'!BM6,0)</f>
        <v>1.027027027</v>
      </c>
      <c r="BN6" s="11">
        <f>IFERROR('Export-dataset'!BN7/'Export-dataset'!BN6,0)</f>
        <v>0.8571428571</v>
      </c>
      <c r="BO6" s="11">
        <f>IFERROR('Export-dataset'!BO7/'Export-dataset'!BO6,0)</f>
        <v>0.4</v>
      </c>
      <c r="BP6" s="11">
        <f>IFERROR('Export-dataset'!BP7/'Export-dataset'!BP6,0)</f>
        <v>1.136</v>
      </c>
      <c r="BQ6" s="11">
        <f>IFERROR('Export-dataset'!BQ7/'Export-dataset'!BQ6,0)</f>
        <v>1.363636364</v>
      </c>
      <c r="BR6" s="11">
        <f>IFERROR('Export-dataset'!BR7/'Export-dataset'!BR6,0)</f>
        <v>1.234126984</v>
      </c>
      <c r="BS6" s="11">
        <f>IFERROR('Export-dataset'!BS7/'Export-dataset'!BS6,0)</f>
        <v>1.078838174</v>
      </c>
      <c r="BT6" s="11">
        <f>IFERROR('Export-dataset'!BT7/'Export-dataset'!BT6,0)</f>
        <v>1.037800687</v>
      </c>
      <c r="BU6" s="11">
        <f>IFERROR('Export-dataset'!BU7/'Export-dataset'!BU6,0)</f>
        <v>1.074317171</v>
      </c>
      <c r="BV6" s="11">
        <f>IFERROR('Export-dataset'!BV7/'Export-dataset'!BV6,0)</f>
        <v>1.059139785</v>
      </c>
      <c r="BW6" s="11">
        <f>IFERROR('Export-dataset'!BW7/'Export-dataset'!BW6,0)</f>
        <v>1.284</v>
      </c>
      <c r="BX6" s="11">
        <f>IFERROR('Export-dataset'!BX7/'Export-dataset'!BX6,0)</f>
        <v>0</v>
      </c>
      <c r="BY6" s="11">
        <f>IFERROR('Export-dataset'!BY7/'Export-dataset'!BY6,0)</f>
        <v>1.076162791</v>
      </c>
      <c r="BZ6" s="11">
        <f>IFERROR('Export-dataset'!BZ7/'Export-dataset'!BZ6,0)</f>
        <v>1.010650888</v>
      </c>
      <c r="CA6" s="11">
        <f>IFERROR('Export-dataset'!CA7/'Export-dataset'!CA6,0)</f>
        <v>1.055273913</v>
      </c>
    </row>
    <row r="7">
      <c r="A7" s="9" t="str">
        <f>'Export-dataset'!A8</f>
        <v>Y1992</v>
      </c>
      <c r="B7" s="11">
        <f>IFERROR('Export-dataset'!B8/'Export-dataset'!B7,0)</f>
        <v>1.136827408</v>
      </c>
      <c r="C7" s="11">
        <f>IFERROR('Export-dataset'!C8/'Export-dataset'!C7,0)</f>
        <v>1.241758242</v>
      </c>
      <c r="D7" s="11">
        <f>IFERROR('Export-dataset'!D8/'Export-dataset'!D7,0)</f>
        <v>1.132757024</v>
      </c>
      <c r="E7" s="11">
        <f>IFERROR('Export-dataset'!E8/'Export-dataset'!E7,0)</f>
        <v>1.206809584</v>
      </c>
      <c r="F7" s="11">
        <f>IFERROR('Export-dataset'!F8/'Export-dataset'!F7,0)</f>
        <v>1.235453315</v>
      </c>
      <c r="G7" s="11">
        <f>IFERROR('Export-dataset'!G8/'Export-dataset'!G7,0)</f>
        <v>1.015761095</v>
      </c>
      <c r="H7" s="11">
        <f>IFERROR('Export-dataset'!H8/'Export-dataset'!H7,0)</f>
        <v>1.267281106</v>
      </c>
      <c r="I7" s="11">
        <f>IFERROR('Export-dataset'!I8/'Export-dataset'!I7,0)</f>
        <v>1.160784314</v>
      </c>
      <c r="J7" s="11">
        <f>IFERROR('Export-dataset'!J8/'Export-dataset'!J7,0)</f>
        <v>1.217391304</v>
      </c>
      <c r="K7" s="11">
        <f>IFERROR('Export-dataset'!K8/'Export-dataset'!K7,0)</f>
        <v>1.332236842</v>
      </c>
      <c r="L7" s="11">
        <f>IFERROR('Export-dataset'!L8/'Export-dataset'!L7,0)</f>
        <v>1.044444444</v>
      </c>
      <c r="M7" s="11">
        <f>IFERROR('Export-dataset'!M8/'Export-dataset'!M7,0)</f>
        <v>1.128742515</v>
      </c>
      <c r="N7" s="11">
        <f>IFERROR('Export-dataset'!N8/'Export-dataset'!N7,0)</f>
        <v>1.134185304</v>
      </c>
      <c r="O7" s="11">
        <f>IFERROR('Export-dataset'!O8/'Export-dataset'!O7,0)</f>
        <v>1.047619048</v>
      </c>
      <c r="P7" s="11">
        <f>IFERROR('Export-dataset'!P8/'Export-dataset'!P7,0)</f>
        <v>0.9871279163</v>
      </c>
      <c r="Q7" s="11">
        <f>IFERROR('Export-dataset'!Q8/'Export-dataset'!Q7,0)</f>
        <v>1.150289017</v>
      </c>
      <c r="R7" s="11">
        <f>IFERROR('Export-dataset'!R8/'Export-dataset'!R7,0)</f>
        <v>1.033898305</v>
      </c>
      <c r="S7" s="11">
        <f>IFERROR('Export-dataset'!S8/'Export-dataset'!S7,0)</f>
        <v>1.375</v>
      </c>
      <c r="T7" s="11">
        <f>IFERROR('Export-dataset'!T8/'Export-dataset'!T7,0)</f>
        <v>0.9088937093</v>
      </c>
      <c r="U7" s="11">
        <f>IFERROR('Export-dataset'!U8/'Export-dataset'!U7,0)</f>
        <v>0.45</v>
      </c>
      <c r="V7" s="11">
        <f>IFERROR('Export-dataset'!V8/'Export-dataset'!V7,0)</f>
        <v>1.038435141</v>
      </c>
      <c r="W7" s="11">
        <f>IFERROR('Export-dataset'!W8/'Export-dataset'!W7,0)</f>
        <v>1.131034483</v>
      </c>
      <c r="X7" s="11">
        <f>IFERROR('Export-dataset'!X8/'Export-dataset'!X7,0)</f>
        <v>0.9477058454</v>
      </c>
      <c r="Y7" s="11">
        <f>IFERROR('Export-dataset'!Y8/'Export-dataset'!Y7,0)</f>
        <v>1.18404908</v>
      </c>
      <c r="Z7" s="11">
        <f>IFERROR('Export-dataset'!Z8/'Export-dataset'!Z7,0)</f>
        <v>1.06757378</v>
      </c>
      <c r="AA7" s="11">
        <f>IFERROR('Export-dataset'!AA8/'Export-dataset'!AA7,0)</f>
        <v>1.071168149</v>
      </c>
      <c r="AB7" s="11">
        <f>IFERROR('Export-dataset'!AB8/'Export-dataset'!AB7,0)</f>
        <v>1.07135506</v>
      </c>
      <c r="AC7" s="11">
        <f>IFERROR('Export-dataset'!AC8/'Export-dataset'!AC7,0)</f>
        <v>1.035294118</v>
      </c>
      <c r="AD7" s="11">
        <f>IFERROR('Export-dataset'!AD8/'Export-dataset'!AD7,0)</f>
        <v>1.132352941</v>
      </c>
      <c r="AE7" s="11">
        <f>IFERROR('Export-dataset'!AE8/'Export-dataset'!AE7,0)</f>
        <v>1.11965812</v>
      </c>
      <c r="AF7" s="11">
        <f>IFERROR('Export-dataset'!AF8/'Export-dataset'!AF7,0)</f>
        <v>1</v>
      </c>
      <c r="AG7" s="11">
        <f>IFERROR('Export-dataset'!AG8/'Export-dataset'!AG7,0)</f>
        <v>1.222222222</v>
      </c>
      <c r="AH7" s="11">
        <f>IFERROR('Export-dataset'!AH8/'Export-dataset'!AH7,0)</f>
        <v>1.186806009</v>
      </c>
      <c r="AI7" s="11">
        <f>IFERROR('Export-dataset'!AI8/'Export-dataset'!AI7,0)</f>
        <v>0.7264150943</v>
      </c>
      <c r="AJ7" s="11">
        <f>IFERROR('Export-dataset'!AJ8/'Export-dataset'!AJ7,0)</f>
        <v>0.7707509881</v>
      </c>
      <c r="AK7" s="11">
        <f>IFERROR('Export-dataset'!AK8/'Export-dataset'!AK7,0)</f>
        <v>1.579787234</v>
      </c>
      <c r="AL7" s="11">
        <f>IFERROR('Export-dataset'!AL8/'Export-dataset'!AL7,0)</f>
        <v>1.356955381</v>
      </c>
      <c r="AM7" s="11">
        <f>IFERROR('Export-dataset'!AM8/'Export-dataset'!AM7,0)</f>
        <v>1.24</v>
      </c>
      <c r="AN7" s="11">
        <f>IFERROR('Export-dataset'!AN8/'Export-dataset'!AN7,0)</f>
        <v>0.8823529412</v>
      </c>
      <c r="AO7" s="11">
        <f>IFERROR('Export-dataset'!AO8/'Export-dataset'!AO7,0)</f>
        <v>1.060773481</v>
      </c>
      <c r="AP7" s="11">
        <f>IFERROR('Export-dataset'!AP8/'Export-dataset'!AP7,0)</f>
        <v>1.146341463</v>
      </c>
      <c r="AQ7" s="11">
        <f>IFERROR('Export-dataset'!AQ8/'Export-dataset'!AQ7,0)</f>
        <v>1.388888889</v>
      </c>
      <c r="AR7" s="11">
        <f>IFERROR('Export-dataset'!AR8/'Export-dataset'!AR7,0)</f>
        <v>1.091610117</v>
      </c>
      <c r="AS7" s="11">
        <f>IFERROR('Export-dataset'!AS8/'Export-dataset'!AS7,0)</f>
        <v>1.385026738</v>
      </c>
      <c r="AT7" s="11">
        <f>IFERROR('Export-dataset'!AT8/'Export-dataset'!AT7,0)</f>
        <v>1.462686567</v>
      </c>
      <c r="AU7" s="11">
        <f>IFERROR('Export-dataset'!AU8/'Export-dataset'!AU7,0)</f>
        <v>1.22</v>
      </c>
      <c r="AV7" s="11">
        <f>IFERROR('Export-dataset'!AV8/'Export-dataset'!AV7,0)</f>
        <v>1.181818182</v>
      </c>
      <c r="AW7" s="11">
        <f>IFERROR('Export-dataset'!AW8/'Export-dataset'!AW7,0)</f>
        <v>1.229357798</v>
      </c>
      <c r="AX7" s="11">
        <f>IFERROR('Export-dataset'!AX8/'Export-dataset'!AX7,0)</f>
        <v>1.084532374</v>
      </c>
      <c r="AY7" s="11">
        <f>IFERROR('Export-dataset'!AY8/'Export-dataset'!AY7,0)</f>
        <v>1.148003895</v>
      </c>
      <c r="AZ7" s="11">
        <f>IFERROR('Export-dataset'!AZ8/'Export-dataset'!AZ7,0)</f>
        <v>1.053852527</v>
      </c>
      <c r="BA7" s="11">
        <f>IFERROR('Export-dataset'!BA8/'Export-dataset'!BA7,0)</f>
        <v>0.9963570128</v>
      </c>
      <c r="BB7" s="11">
        <f>IFERROR('Export-dataset'!BB8/'Export-dataset'!BB7,0)</f>
        <v>1.176676265</v>
      </c>
      <c r="BC7" s="11">
        <f>IFERROR('Export-dataset'!BC8/'Export-dataset'!BC7,0)</f>
        <v>1.084805654</v>
      </c>
      <c r="BD7" s="11">
        <f>IFERROR('Export-dataset'!BD8/'Export-dataset'!BD7,0)</f>
        <v>1.202676864</v>
      </c>
      <c r="BE7" s="11">
        <f>IFERROR('Export-dataset'!BE8/'Export-dataset'!BE7,0)</f>
        <v>1.202531646</v>
      </c>
      <c r="BF7" s="11">
        <f>IFERROR('Export-dataset'!BF8/'Export-dataset'!BF7,0)</f>
        <v>1.209393346</v>
      </c>
      <c r="BG7" s="11">
        <f>IFERROR('Export-dataset'!BG8/'Export-dataset'!BG7,0)</f>
        <v>1.118811881</v>
      </c>
      <c r="BH7" s="11">
        <f>IFERROR('Export-dataset'!BH8/'Export-dataset'!BH7,0)</f>
        <v>1.264984227</v>
      </c>
      <c r="BI7" s="11">
        <f>IFERROR('Export-dataset'!BI8/'Export-dataset'!BI7,0)</f>
        <v>1.210332103</v>
      </c>
      <c r="BJ7" s="11">
        <f>IFERROR('Export-dataset'!BJ8/'Export-dataset'!BJ7,0)</f>
        <v>1.081707317</v>
      </c>
      <c r="BK7" s="11">
        <f>IFERROR('Export-dataset'!BK8/'Export-dataset'!BK7,0)</f>
        <v>1.317528736</v>
      </c>
      <c r="BL7" s="11">
        <f>IFERROR('Export-dataset'!BL8/'Export-dataset'!BL7,0)</f>
        <v>1.2452565</v>
      </c>
      <c r="BM7" s="11">
        <f>IFERROR('Export-dataset'!BM8/'Export-dataset'!BM7,0)</f>
        <v>2.394736842</v>
      </c>
      <c r="BN7" s="11">
        <f>IFERROR('Export-dataset'!BN8/'Export-dataset'!BN7,0)</f>
        <v>1.25</v>
      </c>
      <c r="BO7" s="11">
        <f>IFERROR('Export-dataset'!BO8/'Export-dataset'!BO7,0)</f>
        <v>2</v>
      </c>
      <c r="BP7" s="11">
        <f>IFERROR('Export-dataset'!BP8/'Export-dataset'!BP7,0)</f>
        <v>1.232394366</v>
      </c>
      <c r="BQ7" s="11">
        <f>IFERROR('Export-dataset'!BQ8/'Export-dataset'!BQ7,0)</f>
        <v>1.2</v>
      </c>
      <c r="BR7" s="11">
        <f>IFERROR('Export-dataset'!BR8/'Export-dataset'!BR7,0)</f>
        <v>1.180064309</v>
      </c>
      <c r="BS7" s="11">
        <f>IFERROR('Export-dataset'!BS8/'Export-dataset'!BS7,0)</f>
        <v>1.3</v>
      </c>
      <c r="BT7" s="11">
        <f>IFERROR('Export-dataset'!BT8/'Export-dataset'!BT7,0)</f>
        <v>1.185430464</v>
      </c>
      <c r="BU7" s="11">
        <f>IFERROR('Export-dataset'!BU8/'Export-dataset'!BU7,0)</f>
        <v>1.135001971</v>
      </c>
      <c r="BV7" s="11">
        <f>IFERROR('Export-dataset'!BV8/'Export-dataset'!BV7,0)</f>
        <v>1.030456853</v>
      </c>
      <c r="BW7" s="11">
        <f>IFERROR('Export-dataset'!BW8/'Export-dataset'!BW7,0)</f>
        <v>0.9003115265</v>
      </c>
      <c r="BX7" s="11">
        <f>IFERROR('Export-dataset'!BX8/'Export-dataset'!BX7,0)</f>
        <v>0</v>
      </c>
      <c r="BY7" s="11">
        <f>IFERROR('Export-dataset'!BY8/'Export-dataset'!BY7,0)</f>
        <v>1.209076175</v>
      </c>
      <c r="BZ7" s="11">
        <f>IFERROR('Export-dataset'!BZ8/'Export-dataset'!BZ7,0)</f>
        <v>0.9262295082</v>
      </c>
      <c r="CA7" s="11">
        <f>IFERROR('Export-dataset'!CA8/'Export-dataset'!CA7,0)</f>
        <v>1.086900661</v>
      </c>
    </row>
    <row r="8">
      <c r="A8" s="9" t="str">
        <f>'Export-dataset'!A9</f>
        <v>Y1993</v>
      </c>
      <c r="B8" s="11">
        <f>IFERROR('Export-dataset'!B9/'Export-dataset'!B8,0)</f>
        <v>1.174775626</v>
      </c>
      <c r="C8" s="11">
        <f>IFERROR('Export-dataset'!C9/'Export-dataset'!C8,0)</f>
        <v>1.278761062</v>
      </c>
      <c r="D8" s="11">
        <f>IFERROR('Export-dataset'!D9/'Export-dataset'!D8,0)</f>
        <v>1.078768057</v>
      </c>
      <c r="E8" s="11">
        <f>IFERROR('Export-dataset'!E9/'Export-dataset'!E8,0)</f>
        <v>1.221525601</v>
      </c>
      <c r="F8" s="11">
        <f>IFERROR('Export-dataset'!F9/'Export-dataset'!F8,0)</f>
        <v>1.158817087</v>
      </c>
      <c r="G8" s="11">
        <f>IFERROR('Export-dataset'!G9/'Export-dataset'!G8,0)</f>
        <v>1.266639445</v>
      </c>
      <c r="H8" s="11">
        <f>IFERROR('Export-dataset'!H9/'Export-dataset'!H8,0)</f>
        <v>1.105454545</v>
      </c>
      <c r="I8" s="11">
        <f>IFERROR('Export-dataset'!I9/'Export-dataset'!I8,0)</f>
        <v>1.362612613</v>
      </c>
      <c r="J8" s="11">
        <f>IFERROR('Export-dataset'!J9/'Export-dataset'!J8,0)</f>
        <v>1.303571429</v>
      </c>
      <c r="K8" s="11">
        <f>IFERROR('Export-dataset'!K9/'Export-dataset'!K8,0)</f>
        <v>1.061728395</v>
      </c>
      <c r="L8" s="11">
        <f>IFERROR('Export-dataset'!L9/'Export-dataset'!L8,0)</f>
        <v>1.141843972</v>
      </c>
      <c r="M8" s="11">
        <f>IFERROR('Export-dataset'!M9/'Export-dataset'!M8,0)</f>
        <v>1.305039788</v>
      </c>
      <c r="N8" s="11">
        <f>IFERROR('Export-dataset'!N9/'Export-dataset'!N8,0)</f>
        <v>1.287323944</v>
      </c>
      <c r="O8" s="11">
        <f>IFERROR('Export-dataset'!O9/'Export-dataset'!O8,0)</f>
        <v>1.590909091</v>
      </c>
      <c r="P8" s="11">
        <f>IFERROR('Export-dataset'!P9/'Export-dataset'!P8,0)</f>
        <v>0.9448766393</v>
      </c>
      <c r="Q8" s="11">
        <f>IFERROR('Export-dataset'!Q9/'Export-dataset'!Q8,0)</f>
        <v>0.9497487437</v>
      </c>
      <c r="R8" s="11">
        <f>IFERROR('Export-dataset'!R9/'Export-dataset'!R8,0)</f>
        <v>1.37704918</v>
      </c>
      <c r="S8" s="11">
        <f>IFERROR('Export-dataset'!S9/'Export-dataset'!S8,0)</f>
        <v>0.9090909091</v>
      </c>
      <c r="T8" s="11">
        <f>IFERROR('Export-dataset'!T9/'Export-dataset'!T8,0)</f>
        <v>1.267303103</v>
      </c>
      <c r="U8" s="11">
        <f>IFERROR('Export-dataset'!U9/'Export-dataset'!U8,0)</f>
        <v>1.444444444</v>
      </c>
      <c r="V8" s="11">
        <f>IFERROR('Export-dataset'!V9/'Export-dataset'!V8,0)</f>
        <v>0.8067856356</v>
      </c>
      <c r="W8" s="11">
        <f>IFERROR('Export-dataset'!W9/'Export-dataset'!W8,0)</f>
        <v>1.12804878</v>
      </c>
      <c r="X8" s="11">
        <f>IFERROR('Export-dataset'!X9/'Export-dataset'!X8,0)</f>
        <v>0.9946942565</v>
      </c>
      <c r="Y8" s="11">
        <f>IFERROR('Export-dataset'!Y9/'Export-dataset'!Y8,0)</f>
        <v>1.067357513</v>
      </c>
      <c r="Z8" s="11">
        <f>IFERROR('Export-dataset'!Z9/'Export-dataset'!Z8,0)</f>
        <v>1.031949707</v>
      </c>
      <c r="AA8" s="11">
        <f>IFERROR('Export-dataset'!AA9/'Export-dataset'!AA8,0)</f>
        <v>1.061674609</v>
      </c>
      <c r="AB8" s="11">
        <f>IFERROR('Export-dataset'!AB9/'Export-dataset'!AB8,0)</f>
        <v>0.9490874159</v>
      </c>
      <c r="AC8" s="11">
        <f>IFERROR('Export-dataset'!AC9/'Export-dataset'!AC8,0)</f>
        <v>1.067307692</v>
      </c>
      <c r="AD8" s="11">
        <f>IFERROR('Export-dataset'!AD9/'Export-dataset'!AD8,0)</f>
        <v>1.357142857</v>
      </c>
      <c r="AE8" s="11">
        <f>IFERROR('Export-dataset'!AE9/'Export-dataset'!AE8,0)</f>
        <v>1.320610687</v>
      </c>
      <c r="AF8" s="11">
        <f>IFERROR('Export-dataset'!AF9/'Export-dataset'!AF8,0)</f>
        <v>2</v>
      </c>
      <c r="AG8" s="11">
        <f>IFERROR('Export-dataset'!AG9/'Export-dataset'!AG8,0)</f>
        <v>1.545454545</v>
      </c>
      <c r="AH8" s="11">
        <f>IFERROR('Export-dataset'!AH9/'Export-dataset'!AH8,0)</f>
        <v>1.204733076</v>
      </c>
      <c r="AI8" s="11">
        <f>IFERROR('Export-dataset'!AI9/'Export-dataset'!AI8,0)</f>
        <v>1.077922078</v>
      </c>
      <c r="AJ8" s="11">
        <f>IFERROR('Export-dataset'!AJ9/'Export-dataset'!AJ8,0)</f>
        <v>1.133333333</v>
      </c>
      <c r="AK8" s="11">
        <f>IFERROR('Export-dataset'!AK9/'Export-dataset'!AK8,0)</f>
        <v>1.191919192</v>
      </c>
      <c r="AL8" s="11">
        <f>IFERROR('Export-dataset'!AL9/'Export-dataset'!AL8,0)</f>
        <v>1.235976789</v>
      </c>
      <c r="AM8" s="11">
        <f>IFERROR('Export-dataset'!AM9/'Export-dataset'!AM8,0)</f>
        <v>1.232258065</v>
      </c>
      <c r="AN8" s="11">
        <f>IFERROR('Export-dataset'!AN9/'Export-dataset'!AN8,0)</f>
        <v>0.9333333333</v>
      </c>
      <c r="AO8" s="11">
        <f>IFERROR('Export-dataset'!AO9/'Export-dataset'!AO8,0)</f>
        <v>1.098958333</v>
      </c>
      <c r="AP8" s="11">
        <f>IFERROR('Export-dataset'!AP9/'Export-dataset'!AP8,0)</f>
        <v>1.180851064</v>
      </c>
      <c r="AQ8" s="11">
        <f>IFERROR('Export-dataset'!AQ9/'Export-dataset'!AQ8,0)</f>
        <v>1.327272727</v>
      </c>
      <c r="AR8" s="11">
        <f>IFERROR('Export-dataset'!AR9/'Export-dataset'!AR8,0)</f>
        <v>1.070217576</v>
      </c>
      <c r="AS8" s="11">
        <f>IFERROR('Export-dataset'!AS9/'Export-dataset'!AS8,0)</f>
        <v>1.262548263</v>
      </c>
      <c r="AT8" s="11">
        <f>IFERROR('Export-dataset'!AT9/'Export-dataset'!AT8,0)</f>
        <v>1.193877551</v>
      </c>
      <c r="AU8" s="11">
        <f>IFERROR('Export-dataset'!AU9/'Export-dataset'!AU8,0)</f>
        <v>1.442622951</v>
      </c>
      <c r="AV8" s="11">
        <f>IFERROR('Export-dataset'!AV9/'Export-dataset'!AV8,0)</f>
        <v>1.024291498</v>
      </c>
      <c r="AW8" s="11">
        <f>IFERROR('Export-dataset'!AW9/'Export-dataset'!AW8,0)</f>
        <v>1.324626866</v>
      </c>
      <c r="AX8" s="11">
        <f>IFERROR('Export-dataset'!AX9/'Export-dataset'!AX8,0)</f>
        <v>0.9618573798</v>
      </c>
      <c r="AY8" s="11">
        <f>IFERROR('Export-dataset'!AY9/'Export-dataset'!AY8,0)</f>
        <v>1.170483461</v>
      </c>
      <c r="AZ8" s="11">
        <f>IFERROR('Export-dataset'!AZ9/'Export-dataset'!AZ8,0)</f>
        <v>1.020702306</v>
      </c>
      <c r="BA8" s="11">
        <f>IFERROR('Export-dataset'!BA9/'Export-dataset'!BA8,0)</f>
        <v>1.060329068</v>
      </c>
      <c r="BB8" s="11">
        <f>IFERROR('Export-dataset'!BB9/'Export-dataset'!BB8,0)</f>
        <v>1.227058207</v>
      </c>
      <c r="BC8" s="11">
        <f>IFERROR('Export-dataset'!BC9/'Export-dataset'!BC8,0)</f>
        <v>1.016286645</v>
      </c>
      <c r="BD8" s="11">
        <f>IFERROR('Export-dataset'!BD9/'Export-dataset'!BD8,0)</f>
        <v>1.273449921</v>
      </c>
      <c r="BE8" s="11">
        <f>IFERROR('Export-dataset'!BE9/'Export-dataset'!BE8,0)</f>
        <v>1.021052632</v>
      </c>
      <c r="BF8" s="11">
        <f>IFERROR('Export-dataset'!BF9/'Export-dataset'!BF8,0)</f>
        <v>1.322006472</v>
      </c>
      <c r="BG8" s="11">
        <f>IFERROR('Export-dataset'!BG9/'Export-dataset'!BG8,0)</f>
        <v>1.293141593</v>
      </c>
      <c r="BH8" s="11">
        <f>IFERROR('Export-dataset'!BH9/'Export-dataset'!BH8,0)</f>
        <v>1.087281796</v>
      </c>
      <c r="BI8" s="11">
        <f>IFERROR('Export-dataset'!BI9/'Export-dataset'!BI8,0)</f>
        <v>1.350609756</v>
      </c>
      <c r="BJ8" s="11">
        <f>IFERROR('Export-dataset'!BJ9/'Export-dataset'!BJ8,0)</f>
        <v>1.235625705</v>
      </c>
      <c r="BK8" s="11">
        <f>IFERROR('Export-dataset'!BK9/'Export-dataset'!BK8,0)</f>
        <v>1.19302072</v>
      </c>
      <c r="BL8" s="11">
        <f>IFERROR('Export-dataset'!BL9/'Export-dataset'!BL8,0)</f>
        <v>1.128668172</v>
      </c>
      <c r="BM8" s="11">
        <f>IFERROR('Export-dataset'!BM9/'Export-dataset'!BM8,0)</f>
        <v>0.5054945055</v>
      </c>
      <c r="BN8" s="11">
        <f>IFERROR('Export-dataset'!BN9/'Export-dataset'!BN8,0)</f>
        <v>1.666666667</v>
      </c>
      <c r="BO8" s="11">
        <f>IFERROR('Export-dataset'!BO9/'Export-dataset'!BO8,0)</f>
        <v>2.5</v>
      </c>
      <c r="BP8" s="11">
        <f>IFERROR('Export-dataset'!BP9/'Export-dataset'!BP8,0)</f>
        <v>1.268571429</v>
      </c>
      <c r="BQ8" s="11">
        <f>IFERROR('Export-dataset'!BQ9/'Export-dataset'!BQ8,0)</f>
        <v>1.444444444</v>
      </c>
      <c r="BR8" s="11">
        <f>IFERROR('Export-dataset'!BR9/'Export-dataset'!BR8,0)</f>
        <v>1.057220708</v>
      </c>
      <c r="BS8" s="11">
        <f>IFERROR('Export-dataset'!BS9/'Export-dataset'!BS8,0)</f>
        <v>1.316568047</v>
      </c>
      <c r="BT8" s="11">
        <f>IFERROR('Export-dataset'!BT9/'Export-dataset'!BT8,0)</f>
        <v>1.06424581</v>
      </c>
      <c r="BU8" s="11">
        <f>IFERROR('Export-dataset'!BU9/'Export-dataset'!BU8,0)</f>
        <v>1.05799618</v>
      </c>
      <c r="BV8" s="11">
        <f>IFERROR('Export-dataset'!BV9/'Export-dataset'!BV8,0)</f>
        <v>1.45320197</v>
      </c>
      <c r="BW8" s="11">
        <f>IFERROR('Export-dataset'!BW9/'Export-dataset'!BW8,0)</f>
        <v>0.76816609</v>
      </c>
      <c r="BX8" s="11">
        <f>IFERROR('Export-dataset'!BX9/'Export-dataset'!BX8,0)</f>
        <v>0</v>
      </c>
      <c r="BY8" s="11">
        <f>IFERROR('Export-dataset'!BY9/'Export-dataset'!BY8,0)</f>
        <v>1.046246649</v>
      </c>
      <c r="BZ8" s="11">
        <f>IFERROR('Export-dataset'!BZ9/'Export-dataset'!BZ8,0)</f>
        <v>1.128950695</v>
      </c>
      <c r="CA8" s="11">
        <f>IFERROR('Export-dataset'!CA9/'Export-dataset'!CA8,0)</f>
        <v>1.074984582</v>
      </c>
    </row>
    <row r="9">
      <c r="A9" s="9" t="str">
        <f>'Export-dataset'!A10</f>
        <v>Y1994</v>
      </c>
      <c r="B9" s="11">
        <f>IFERROR('Export-dataset'!B10/'Export-dataset'!B9,0)</f>
        <v>1.077121029</v>
      </c>
      <c r="C9" s="11">
        <f>IFERROR('Export-dataset'!C10/'Export-dataset'!C9,0)</f>
        <v>1.242214533</v>
      </c>
      <c r="D9" s="11">
        <f>IFERROR('Export-dataset'!D10/'Export-dataset'!D9,0)</f>
        <v>0.9598281961</v>
      </c>
      <c r="E9" s="11">
        <f>IFERROR('Export-dataset'!E10/'Export-dataset'!E9,0)</f>
        <v>1.217279726</v>
      </c>
      <c r="F9" s="11">
        <f>IFERROR('Export-dataset'!F10/'Export-dataset'!F9,0)</f>
        <v>1.032136106</v>
      </c>
      <c r="G9" s="11">
        <f>IFERROR('Export-dataset'!G10/'Export-dataset'!G9,0)</f>
        <v>1.076724694</v>
      </c>
      <c r="H9" s="11">
        <f>IFERROR('Export-dataset'!H10/'Export-dataset'!H9,0)</f>
        <v>1.015350877</v>
      </c>
      <c r="I9" s="11">
        <f>IFERROR('Export-dataset'!I10/'Export-dataset'!I9,0)</f>
        <v>1.381818182</v>
      </c>
      <c r="J9" s="11">
        <f>IFERROR('Export-dataset'!J10/'Export-dataset'!J9,0)</f>
        <v>1.184931507</v>
      </c>
      <c r="K9" s="11">
        <f>IFERROR('Export-dataset'!K10/'Export-dataset'!K9,0)</f>
        <v>0.9372093023</v>
      </c>
      <c r="L9" s="11">
        <f>IFERROR('Export-dataset'!L10/'Export-dataset'!L9,0)</f>
        <v>1.285714286</v>
      </c>
      <c r="M9" s="11">
        <f>IFERROR('Export-dataset'!M10/'Export-dataset'!M9,0)</f>
        <v>1.079268293</v>
      </c>
      <c r="N9" s="11">
        <f>IFERROR('Export-dataset'!N10/'Export-dataset'!N9,0)</f>
        <v>1.078774617</v>
      </c>
      <c r="O9" s="11">
        <f>IFERROR('Export-dataset'!O10/'Export-dataset'!O9,0)</f>
        <v>1.085714286</v>
      </c>
      <c r="P9" s="11">
        <f>IFERROR('Export-dataset'!P10/'Export-dataset'!P9,0)</f>
        <v>1.025170548</v>
      </c>
      <c r="Q9" s="11">
        <f>IFERROR('Export-dataset'!Q10/'Export-dataset'!Q9,0)</f>
        <v>1.195767196</v>
      </c>
      <c r="R9" s="11">
        <f>IFERROR('Export-dataset'!R10/'Export-dataset'!R9,0)</f>
        <v>1.523809524</v>
      </c>
      <c r="S9" s="11">
        <f>IFERROR('Export-dataset'!S10/'Export-dataset'!S9,0)</f>
        <v>1.2</v>
      </c>
      <c r="T9" s="11">
        <f>IFERROR('Export-dataset'!T10/'Export-dataset'!T9,0)</f>
        <v>1</v>
      </c>
      <c r="U9" s="11">
        <f>IFERROR('Export-dataset'!U10/'Export-dataset'!U9,0)</f>
        <v>2.076923077</v>
      </c>
      <c r="V9" s="11">
        <f>IFERROR('Export-dataset'!V10/'Export-dataset'!V9,0)</f>
        <v>1.170671764</v>
      </c>
      <c r="W9" s="11">
        <f>IFERROR('Export-dataset'!W10/'Export-dataset'!W9,0)</f>
        <v>0.9513513514</v>
      </c>
      <c r="X9" s="11">
        <f>IFERROR('Export-dataset'!X10/'Export-dataset'!X9,0)</f>
        <v>0.9433257768</v>
      </c>
      <c r="Y9" s="11">
        <f>IFERROR('Export-dataset'!Y10/'Export-dataset'!Y9,0)</f>
        <v>1.024271845</v>
      </c>
      <c r="Z9" s="11">
        <f>IFERROR('Export-dataset'!Z10/'Export-dataset'!Z9,0)</f>
        <v>0.890511558</v>
      </c>
      <c r="AA9" s="11">
        <f>IFERROR('Export-dataset'!AA10/'Export-dataset'!AA9,0)</f>
        <v>0.8656065658</v>
      </c>
      <c r="AB9" s="11">
        <f>IFERROR('Export-dataset'!AB10/'Export-dataset'!AB9,0)</f>
        <v>0.9126180837</v>
      </c>
      <c r="AC9" s="11">
        <f>IFERROR('Export-dataset'!AC10/'Export-dataset'!AC9,0)</f>
        <v>0.9959049959</v>
      </c>
      <c r="AD9" s="11">
        <f>IFERROR('Export-dataset'!AD10/'Export-dataset'!AD9,0)</f>
        <v>1.066985646</v>
      </c>
      <c r="AE9" s="11">
        <f>IFERROR('Export-dataset'!AE10/'Export-dataset'!AE9,0)</f>
        <v>1.063583815</v>
      </c>
      <c r="AF9" s="11">
        <f>IFERROR('Export-dataset'!AF10/'Export-dataset'!AF9,0)</f>
        <v>3.5</v>
      </c>
      <c r="AG9" s="11">
        <f>IFERROR('Export-dataset'!AG10/'Export-dataset'!AG9,0)</f>
        <v>0.9411764706</v>
      </c>
      <c r="AH9" s="11">
        <f>IFERROR('Export-dataset'!AH10/'Export-dataset'!AH9,0)</f>
        <v>1.12699863</v>
      </c>
      <c r="AI9" s="11">
        <f>IFERROR('Export-dataset'!AI10/'Export-dataset'!AI9,0)</f>
        <v>1.024096386</v>
      </c>
      <c r="AJ9" s="11">
        <f>IFERROR('Export-dataset'!AJ10/'Export-dataset'!AJ9,0)</f>
        <v>1.253393665</v>
      </c>
      <c r="AK9" s="11">
        <f>IFERROR('Export-dataset'!AK10/'Export-dataset'!AK9,0)</f>
        <v>1.050847458</v>
      </c>
      <c r="AL9" s="11">
        <f>IFERROR('Export-dataset'!AL10/'Export-dataset'!AL9,0)</f>
        <v>1.14084507</v>
      </c>
      <c r="AM9" s="11">
        <f>IFERROR('Export-dataset'!AM10/'Export-dataset'!AM9,0)</f>
        <v>1.230366492</v>
      </c>
      <c r="AN9" s="11">
        <f>IFERROR('Export-dataset'!AN10/'Export-dataset'!AN9,0)</f>
        <v>1.642857143</v>
      </c>
      <c r="AO9" s="11">
        <f>IFERROR('Export-dataset'!AO10/'Export-dataset'!AO9,0)</f>
        <v>0.990521327</v>
      </c>
      <c r="AP9" s="11">
        <f>IFERROR('Export-dataset'!AP10/'Export-dataset'!AP9,0)</f>
        <v>1.108108108</v>
      </c>
      <c r="AQ9" s="11">
        <f>IFERROR('Export-dataset'!AQ10/'Export-dataset'!AQ9,0)</f>
        <v>1.134246575</v>
      </c>
      <c r="AR9" s="11">
        <f>IFERROR('Export-dataset'!AR10/'Export-dataset'!AR9,0)</f>
        <v>1.093069307</v>
      </c>
      <c r="AS9" s="11">
        <f>IFERROR('Export-dataset'!AS10/'Export-dataset'!AS9,0)</f>
        <v>1.302752294</v>
      </c>
      <c r="AT9" s="11">
        <f>IFERROR('Export-dataset'!AT10/'Export-dataset'!AT9,0)</f>
        <v>1.076923077</v>
      </c>
      <c r="AU9" s="11">
        <f>IFERROR('Export-dataset'!AU10/'Export-dataset'!AU9,0)</f>
        <v>1.011363636</v>
      </c>
      <c r="AV9" s="11">
        <f>IFERROR('Export-dataset'!AV10/'Export-dataset'!AV9,0)</f>
        <v>1</v>
      </c>
      <c r="AW9" s="11">
        <f>IFERROR('Export-dataset'!AW10/'Export-dataset'!AW9,0)</f>
        <v>1.174647887</v>
      </c>
      <c r="AX9" s="11">
        <f>IFERROR('Export-dataset'!AX10/'Export-dataset'!AX9,0)</f>
        <v>1.356896552</v>
      </c>
      <c r="AY9" s="11">
        <f>IFERROR('Export-dataset'!AY10/'Export-dataset'!AY9,0)</f>
        <v>1.09057971</v>
      </c>
      <c r="AZ9" s="11">
        <f>IFERROR('Export-dataset'!AZ10/'Export-dataset'!AZ9,0)</f>
        <v>1.025417202</v>
      </c>
      <c r="BA9" s="11">
        <f>IFERROR('Export-dataset'!BA10/'Export-dataset'!BA9,0)</f>
        <v>1.177586207</v>
      </c>
      <c r="BB9" s="11">
        <f>IFERROR('Export-dataset'!BB10/'Export-dataset'!BB9,0)</f>
        <v>1.083475783</v>
      </c>
      <c r="BC9" s="11">
        <f>IFERROR('Export-dataset'!BC10/'Export-dataset'!BC9,0)</f>
        <v>0.9647435897</v>
      </c>
      <c r="BD9" s="11">
        <f>IFERROR('Export-dataset'!BD10/'Export-dataset'!BD9,0)</f>
        <v>1.006242197</v>
      </c>
      <c r="BE9" s="11">
        <f>IFERROR('Export-dataset'!BE10/'Export-dataset'!BE9,0)</f>
        <v>1.237113402</v>
      </c>
      <c r="BF9" s="11">
        <f>IFERROR('Export-dataset'!BF10/'Export-dataset'!BF9,0)</f>
        <v>1.144430845</v>
      </c>
      <c r="BG9" s="11">
        <f>IFERROR('Export-dataset'!BG10/'Export-dataset'!BG9,0)</f>
        <v>1.290846878</v>
      </c>
      <c r="BH9" s="11">
        <f>IFERROR('Export-dataset'!BH10/'Export-dataset'!BH9,0)</f>
        <v>1.580275229</v>
      </c>
      <c r="BI9" s="11">
        <f>IFERROR('Export-dataset'!BI10/'Export-dataset'!BI9,0)</f>
        <v>1.227990971</v>
      </c>
      <c r="BJ9" s="11">
        <f>IFERROR('Export-dataset'!BJ10/'Export-dataset'!BJ9,0)</f>
        <v>0.9251824818</v>
      </c>
      <c r="BK9" s="11">
        <f>IFERROR('Export-dataset'!BK10/'Export-dataset'!BK9,0)</f>
        <v>0.7705667276</v>
      </c>
      <c r="BL9" s="11">
        <f>IFERROR('Export-dataset'!BL10/'Export-dataset'!BL9,0)</f>
        <v>1.1175</v>
      </c>
      <c r="BM9" s="11">
        <f>IFERROR('Export-dataset'!BM10/'Export-dataset'!BM9,0)</f>
        <v>1.043478261</v>
      </c>
      <c r="BN9" s="11">
        <f>IFERROR('Export-dataset'!BN10/'Export-dataset'!BN9,0)</f>
        <v>1</v>
      </c>
      <c r="BO9" s="11">
        <f>IFERROR('Export-dataset'!BO10/'Export-dataset'!BO9,0)</f>
        <v>1.3</v>
      </c>
      <c r="BP9" s="11">
        <f>IFERROR('Export-dataset'!BP10/'Export-dataset'!BP9,0)</f>
        <v>1.297297297</v>
      </c>
      <c r="BQ9" s="11">
        <f>IFERROR('Export-dataset'!BQ10/'Export-dataset'!BQ9,0)</f>
        <v>1.076923077</v>
      </c>
      <c r="BR9" s="11">
        <f>IFERROR('Export-dataset'!BR10/'Export-dataset'!BR9,0)</f>
        <v>1.144329897</v>
      </c>
      <c r="BS9" s="11">
        <f>IFERROR('Export-dataset'!BS10/'Export-dataset'!BS9,0)</f>
        <v>1.085393258</v>
      </c>
      <c r="BT9" s="11">
        <f>IFERROR('Export-dataset'!BT10/'Export-dataset'!BT9,0)</f>
        <v>1.086614173</v>
      </c>
      <c r="BU9" s="11">
        <f>IFERROR('Export-dataset'!BU10/'Export-dataset'!BU9,0)</f>
        <v>1.03085508</v>
      </c>
      <c r="BV9" s="11">
        <f>IFERROR('Export-dataset'!BV10/'Export-dataset'!BV9,0)</f>
        <v>1.291525424</v>
      </c>
      <c r="BW9" s="11">
        <f>IFERROR('Export-dataset'!BW10/'Export-dataset'!BW9,0)</f>
        <v>1.108108108</v>
      </c>
      <c r="BX9" s="11">
        <f>IFERROR('Export-dataset'!BX10/'Export-dataset'!BX9,0)</f>
        <v>0</v>
      </c>
      <c r="BY9" s="11">
        <f>IFERROR('Export-dataset'!BY10/'Export-dataset'!BY9,0)</f>
        <v>0.99743754</v>
      </c>
      <c r="BZ9" s="11">
        <f>IFERROR('Export-dataset'!BZ10/'Export-dataset'!BZ9,0)</f>
        <v>1.100783875</v>
      </c>
      <c r="CA9" s="11">
        <f>IFERROR('Export-dataset'!CA10/'Export-dataset'!CA9,0)</f>
        <v>1.032080193</v>
      </c>
    </row>
    <row r="10">
      <c r="A10" s="9" t="str">
        <f>'Export-dataset'!A11</f>
        <v>Y1995</v>
      </c>
      <c r="B10" s="11">
        <f>IFERROR('Export-dataset'!B11/'Export-dataset'!B10,0)</f>
        <v>0.9760340451</v>
      </c>
      <c r="C10" s="11">
        <f>IFERROR('Export-dataset'!C11/'Export-dataset'!C10,0)</f>
        <v>1.604456825</v>
      </c>
      <c r="D10" s="11">
        <f>IFERROR('Export-dataset'!D11/'Export-dataset'!D10,0)</f>
        <v>0.9315609371</v>
      </c>
      <c r="E10" s="11">
        <f>IFERROR('Export-dataset'!E11/'Export-dataset'!E10,0)</f>
        <v>1.05059733</v>
      </c>
      <c r="F10" s="11">
        <f>IFERROR('Export-dataset'!F11/'Export-dataset'!F10,0)</f>
        <v>1.062271062</v>
      </c>
      <c r="G10" s="11">
        <f>IFERROR('Export-dataset'!G11/'Export-dataset'!G10,0)</f>
        <v>0.8050898204</v>
      </c>
      <c r="H10" s="11">
        <f>IFERROR('Export-dataset'!H11/'Export-dataset'!H10,0)</f>
        <v>0.994600432</v>
      </c>
      <c r="I10" s="11">
        <f>IFERROR('Export-dataset'!I11/'Export-dataset'!I10,0)</f>
        <v>1.122607656</v>
      </c>
      <c r="J10" s="11">
        <f>IFERROR('Export-dataset'!J11/'Export-dataset'!J10,0)</f>
        <v>1.046242775</v>
      </c>
      <c r="K10" s="11">
        <f>IFERROR('Export-dataset'!K11/'Export-dataset'!K10,0)</f>
        <v>1.022332506</v>
      </c>
      <c r="L10" s="11">
        <f>IFERROR('Export-dataset'!L11/'Export-dataset'!L10,0)</f>
        <v>1.077294686</v>
      </c>
      <c r="M10" s="11">
        <f>IFERROR('Export-dataset'!M11/'Export-dataset'!M10,0)</f>
        <v>1.101694915</v>
      </c>
      <c r="N10" s="11">
        <f>IFERROR('Export-dataset'!N11/'Export-dataset'!N10,0)</f>
        <v>1.099391481</v>
      </c>
      <c r="O10" s="11">
        <f>IFERROR('Export-dataset'!O11/'Export-dataset'!O10,0)</f>
        <v>1.131578947</v>
      </c>
      <c r="P10" s="11">
        <f>IFERROR('Export-dataset'!P11/'Export-dataset'!P10,0)</f>
        <v>1.120315129</v>
      </c>
      <c r="Q10" s="11">
        <f>IFERROR('Export-dataset'!Q11/'Export-dataset'!Q10,0)</f>
        <v>1.088495575</v>
      </c>
      <c r="R10" s="11">
        <f>IFERROR('Export-dataset'!R11/'Export-dataset'!R10,0)</f>
        <v>0.953125</v>
      </c>
      <c r="S10" s="11">
        <f>IFERROR('Export-dataset'!S11/'Export-dataset'!S10,0)</f>
        <v>1.083333333</v>
      </c>
      <c r="T10" s="11">
        <f>IFERROR('Export-dataset'!T11/'Export-dataset'!T10,0)</f>
        <v>1.218455744</v>
      </c>
      <c r="U10" s="11">
        <f>IFERROR('Export-dataset'!U11/'Export-dataset'!U10,0)</f>
        <v>1.740740741</v>
      </c>
      <c r="V10" s="11">
        <f>IFERROR('Export-dataset'!V11/'Export-dataset'!V10,0)</f>
        <v>1.027291812</v>
      </c>
      <c r="W10" s="11">
        <f>IFERROR('Export-dataset'!W11/'Export-dataset'!W10,0)</f>
        <v>1.213068182</v>
      </c>
      <c r="X10" s="11">
        <f>IFERROR('Export-dataset'!X11/'Export-dataset'!X10,0)</f>
        <v>1.169069833</v>
      </c>
      <c r="Y10" s="11">
        <f>IFERROR('Export-dataset'!Y11/'Export-dataset'!Y10,0)</f>
        <v>1.066350711</v>
      </c>
      <c r="Z10" s="11">
        <f>IFERROR('Export-dataset'!Z11/'Export-dataset'!Z10,0)</f>
        <v>1.122668916</v>
      </c>
      <c r="AA10" s="11">
        <f>IFERROR('Export-dataset'!AA11/'Export-dataset'!AA10,0)</f>
        <v>1.101185185</v>
      </c>
      <c r="AB10" s="11">
        <f>IFERROR('Export-dataset'!AB11/'Export-dataset'!AB10,0)</f>
        <v>1.119778189</v>
      </c>
      <c r="AC10" s="11">
        <f>IFERROR('Export-dataset'!AC11/'Export-dataset'!AC10,0)</f>
        <v>1.248355263</v>
      </c>
      <c r="AD10" s="11">
        <f>IFERROR('Export-dataset'!AD11/'Export-dataset'!AD10,0)</f>
        <v>1.147982063</v>
      </c>
      <c r="AE10" s="11">
        <f>IFERROR('Export-dataset'!AE11/'Export-dataset'!AE10,0)</f>
        <v>1.173913043</v>
      </c>
      <c r="AF10" s="11">
        <f>IFERROR('Export-dataset'!AF11/'Export-dataset'!AF10,0)</f>
        <v>0.2857142857</v>
      </c>
      <c r="AG10" s="11">
        <f>IFERROR('Export-dataset'!AG11/'Export-dataset'!AG10,0)</f>
        <v>1.1875</v>
      </c>
      <c r="AH10" s="11">
        <f>IFERROR('Export-dataset'!AH11/'Export-dataset'!AH10,0)</f>
        <v>1.178759627</v>
      </c>
      <c r="AI10" s="11">
        <f>IFERROR('Export-dataset'!AI11/'Export-dataset'!AI10,0)</f>
        <v>0.9411764706</v>
      </c>
      <c r="AJ10" s="11">
        <f>IFERROR('Export-dataset'!AJ11/'Export-dataset'!AJ10,0)</f>
        <v>1.285198556</v>
      </c>
      <c r="AK10" s="11">
        <f>IFERROR('Export-dataset'!AK11/'Export-dataset'!AK10,0)</f>
        <v>1.142473118</v>
      </c>
      <c r="AL10" s="11">
        <f>IFERROR('Export-dataset'!AL11/'Export-dataset'!AL10,0)</f>
        <v>1.144032922</v>
      </c>
      <c r="AM10" s="11">
        <f>IFERROR('Export-dataset'!AM11/'Export-dataset'!AM10,0)</f>
        <v>1.187234043</v>
      </c>
      <c r="AN10" s="11">
        <f>IFERROR('Export-dataset'!AN11/'Export-dataset'!AN10,0)</f>
        <v>1.260869565</v>
      </c>
      <c r="AO10" s="11">
        <f>IFERROR('Export-dataset'!AO11/'Export-dataset'!AO10,0)</f>
        <v>1.626794258</v>
      </c>
      <c r="AP10" s="11">
        <f>IFERROR('Export-dataset'!AP11/'Export-dataset'!AP10,0)</f>
        <v>1.292682927</v>
      </c>
      <c r="AQ10" s="11">
        <f>IFERROR('Export-dataset'!AQ11/'Export-dataset'!AQ10,0)</f>
        <v>0.9806763285</v>
      </c>
      <c r="AR10" s="11">
        <f>IFERROR('Export-dataset'!AR11/'Export-dataset'!AR10,0)</f>
        <v>1.182487923</v>
      </c>
      <c r="AS10" s="11">
        <f>IFERROR('Export-dataset'!AS11/'Export-dataset'!AS10,0)</f>
        <v>1.183098592</v>
      </c>
      <c r="AT10" s="11">
        <f>IFERROR('Export-dataset'!AT11/'Export-dataset'!AT10,0)</f>
        <v>1.198412698</v>
      </c>
      <c r="AU10" s="11">
        <f>IFERROR('Export-dataset'!AU11/'Export-dataset'!AU10,0)</f>
        <v>1.157303371</v>
      </c>
      <c r="AV10" s="11">
        <f>IFERROR('Export-dataset'!AV11/'Export-dataset'!AV10,0)</f>
        <v>1.106719368</v>
      </c>
      <c r="AW10" s="11">
        <f>IFERROR('Export-dataset'!AW11/'Export-dataset'!AW10,0)</f>
        <v>1.242206235</v>
      </c>
      <c r="AX10" s="11">
        <f>IFERROR('Export-dataset'!AX11/'Export-dataset'!AX10,0)</f>
        <v>0.8640406607</v>
      </c>
      <c r="AY10" s="11">
        <f>IFERROR('Export-dataset'!AY11/'Export-dataset'!AY10,0)</f>
        <v>1.174086379</v>
      </c>
      <c r="AZ10" s="11">
        <f>IFERROR('Export-dataset'!AZ11/'Export-dataset'!AZ10,0)</f>
        <v>1.27541312</v>
      </c>
      <c r="BA10" s="11">
        <f>IFERROR('Export-dataset'!BA11/'Export-dataset'!BA10,0)</f>
        <v>1.016105417</v>
      </c>
      <c r="BB10" s="11">
        <f>IFERROR('Export-dataset'!BB11/'Export-dataset'!BB10,0)</f>
        <v>1.204838286</v>
      </c>
      <c r="BC10" s="11">
        <f>IFERROR('Export-dataset'!BC11/'Export-dataset'!BC10,0)</f>
        <v>1.327242525</v>
      </c>
      <c r="BD10" s="11">
        <f>IFERROR('Export-dataset'!BD11/'Export-dataset'!BD10,0)</f>
        <v>1.318858561</v>
      </c>
      <c r="BE10" s="11">
        <f>IFERROR('Export-dataset'!BE11/'Export-dataset'!BE10,0)</f>
        <v>1.183333333</v>
      </c>
      <c r="BF10" s="11">
        <f>IFERROR('Export-dataset'!BF11/'Export-dataset'!BF10,0)</f>
        <v>1.085561497</v>
      </c>
      <c r="BG10" s="11">
        <f>IFERROR('Export-dataset'!BG11/'Export-dataset'!BG10,0)</f>
        <v>1.161696488</v>
      </c>
      <c r="BH10" s="11">
        <f>IFERROR('Export-dataset'!BH11/'Export-dataset'!BH10,0)</f>
        <v>1</v>
      </c>
      <c r="BI10" s="11">
        <f>IFERROR('Export-dataset'!BI11/'Export-dataset'!BI10,0)</f>
        <v>1.249080882</v>
      </c>
      <c r="BJ10" s="11">
        <f>IFERROR('Export-dataset'!BJ11/'Export-dataset'!BJ10,0)</f>
        <v>1.110453649</v>
      </c>
      <c r="BK10" s="11">
        <f>IFERROR('Export-dataset'!BK11/'Export-dataset'!BK10,0)</f>
        <v>1.444839858</v>
      </c>
      <c r="BL10" s="11">
        <f>IFERROR('Export-dataset'!BL11/'Export-dataset'!BL10,0)</f>
        <v>1.116778523</v>
      </c>
      <c r="BM10" s="11">
        <f>IFERROR('Export-dataset'!BM11/'Export-dataset'!BM10,0)</f>
        <v>1.354166667</v>
      </c>
      <c r="BN10" s="11">
        <f>IFERROR('Export-dataset'!BN11/'Export-dataset'!BN10,0)</f>
        <v>1.146666667</v>
      </c>
      <c r="BO10" s="11">
        <f>IFERROR('Export-dataset'!BO11/'Export-dataset'!BO10,0)</f>
        <v>0.9230769231</v>
      </c>
      <c r="BP10" s="11">
        <f>IFERROR('Export-dataset'!BP11/'Export-dataset'!BP10,0)</f>
        <v>1.048611111</v>
      </c>
      <c r="BQ10" s="11">
        <f>IFERROR('Export-dataset'!BQ11/'Export-dataset'!BQ10,0)</f>
        <v>1.125</v>
      </c>
      <c r="BR10" s="11">
        <f>IFERROR('Export-dataset'!BR11/'Export-dataset'!BR10,0)</f>
        <v>1.056306306</v>
      </c>
      <c r="BS10" s="11">
        <f>IFERROR('Export-dataset'!BS11/'Export-dataset'!BS10,0)</f>
        <v>1.097308489</v>
      </c>
      <c r="BT10" s="11">
        <f>IFERROR('Export-dataset'!BT11/'Export-dataset'!BT10,0)</f>
        <v>1.170289855</v>
      </c>
      <c r="BU10" s="11">
        <f>IFERROR('Export-dataset'!BU11/'Export-dataset'!BU10,0)</f>
        <v>1.080242</v>
      </c>
      <c r="BV10" s="11">
        <f>IFERROR('Export-dataset'!BV11/'Export-dataset'!BV10,0)</f>
        <v>1.112860892</v>
      </c>
      <c r="BW10" s="11">
        <f>IFERROR('Export-dataset'!BW11/'Export-dataset'!BW10,0)</f>
        <v>0.662601626</v>
      </c>
      <c r="BX10" s="11">
        <f>IFERROR('Export-dataset'!BX11/'Export-dataset'!BX10,0)</f>
        <v>0</v>
      </c>
      <c r="BY10" s="11">
        <f>IFERROR('Export-dataset'!BY11/'Export-dataset'!BY10,0)</f>
        <v>1.126739456</v>
      </c>
      <c r="BZ10" s="11">
        <f>IFERROR('Export-dataset'!BZ11/'Export-dataset'!BZ10,0)</f>
        <v>0.9511698881</v>
      </c>
      <c r="CA10" s="11">
        <f>IFERROR('Export-dataset'!CA11/'Export-dataset'!CA10,0)</f>
        <v>1.106899108</v>
      </c>
    </row>
    <row r="11">
      <c r="A11" s="9" t="str">
        <f>'Export-dataset'!A12</f>
        <v>Y1996</v>
      </c>
      <c r="B11" s="11">
        <f>IFERROR('Export-dataset'!B12/'Export-dataset'!B11,0)</f>
        <v>1.208903848</v>
      </c>
      <c r="C11" s="11">
        <f>IFERROR('Export-dataset'!C12/'Export-dataset'!C11,0)</f>
        <v>1.144097222</v>
      </c>
      <c r="D11" s="11">
        <f>IFERROR('Export-dataset'!D12/'Export-dataset'!D11,0)</f>
        <v>0.8171799943</v>
      </c>
      <c r="E11" s="11">
        <f>IFERROR('Export-dataset'!E12/'Export-dataset'!E11,0)</f>
        <v>1.177257525</v>
      </c>
      <c r="F11" s="11">
        <f>IFERROR('Export-dataset'!F12/'Export-dataset'!F11,0)</f>
        <v>0.9051724138</v>
      </c>
      <c r="G11" s="11">
        <f>IFERROR('Export-dataset'!G12/'Export-dataset'!G11,0)</f>
        <v>2.142432131</v>
      </c>
      <c r="H11" s="11">
        <f>IFERROR('Export-dataset'!H12/'Export-dataset'!H11,0)</f>
        <v>1.176981542</v>
      </c>
      <c r="I11" s="11">
        <f>IFERROR('Export-dataset'!I12/'Export-dataset'!I11,0)</f>
        <v>0.8785295685</v>
      </c>
      <c r="J11" s="11">
        <f>IFERROR('Export-dataset'!J12/'Export-dataset'!J11,0)</f>
        <v>1.082872928</v>
      </c>
      <c r="K11" s="11">
        <f>IFERROR('Export-dataset'!K12/'Export-dataset'!K11,0)</f>
        <v>1.213592233</v>
      </c>
      <c r="L11" s="11">
        <f>IFERROR('Export-dataset'!L12/'Export-dataset'!L11,0)</f>
        <v>1.134529148</v>
      </c>
      <c r="M11" s="11">
        <f>IFERROR('Export-dataset'!M12/'Export-dataset'!M11,0)</f>
        <v>1.264957265</v>
      </c>
      <c r="N11" s="11">
        <f>IFERROR('Export-dataset'!N12/'Export-dataset'!N11,0)</f>
        <v>1.249077491</v>
      </c>
      <c r="O11" s="11">
        <f>IFERROR('Export-dataset'!O12/'Export-dataset'!O11,0)</f>
        <v>1.465116279</v>
      </c>
      <c r="P11" s="11">
        <f>IFERROR('Export-dataset'!P12/'Export-dataset'!P11,0)</f>
        <v>1.025670786</v>
      </c>
      <c r="Q11" s="11">
        <f>IFERROR('Export-dataset'!Q12/'Export-dataset'!Q11,0)</f>
        <v>1.008130081</v>
      </c>
      <c r="R11" s="11">
        <f>IFERROR('Export-dataset'!R12/'Export-dataset'!R11,0)</f>
        <v>1.786885246</v>
      </c>
      <c r="S11" s="11">
        <f>IFERROR('Export-dataset'!S12/'Export-dataset'!S11,0)</f>
        <v>0.9230769231</v>
      </c>
      <c r="T11" s="11">
        <f>IFERROR('Export-dataset'!T12/'Export-dataset'!T11,0)</f>
        <v>0.9598145286</v>
      </c>
      <c r="U11" s="11">
        <f>IFERROR('Export-dataset'!U12/'Export-dataset'!U11,0)</f>
        <v>0.2978723404</v>
      </c>
      <c r="V11" s="11">
        <f>IFERROR('Export-dataset'!V12/'Export-dataset'!V11,0)</f>
        <v>0.9729791099</v>
      </c>
      <c r="W11" s="11">
        <f>IFERROR('Export-dataset'!W12/'Export-dataset'!W11,0)</f>
        <v>0.8992974239</v>
      </c>
      <c r="X11" s="11">
        <f>IFERROR('Export-dataset'!X12/'Export-dataset'!X11,0)</f>
        <v>1.060580411</v>
      </c>
      <c r="Y11" s="11">
        <f>IFERROR('Export-dataset'!Y12/'Export-dataset'!Y11,0)</f>
        <v>0.9866666667</v>
      </c>
      <c r="Z11" s="11">
        <f>IFERROR('Export-dataset'!Z12/'Export-dataset'!Z11,0)</f>
        <v>1.085308848</v>
      </c>
      <c r="AA11" s="11">
        <f>IFERROR('Export-dataset'!AA12/'Export-dataset'!AA11,0)</f>
        <v>1.051796045</v>
      </c>
      <c r="AB11" s="11">
        <f>IFERROR('Export-dataset'!AB12/'Export-dataset'!AB11,0)</f>
        <v>1.158137999</v>
      </c>
      <c r="AC11" s="11">
        <f>IFERROR('Export-dataset'!AC12/'Export-dataset'!AC11,0)</f>
        <v>1.104084321</v>
      </c>
      <c r="AD11" s="11">
        <f>IFERROR('Export-dataset'!AD12/'Export-dataset'!AD11,0)</f>
        <v>0.92578125</v>
      </c>
      <c r="AE11" s="11">
        <f>IFERROR('Export-dataset'!AE12/'Export-dataset'!AE11,0)</f>
        <v>0.8981481481</v>
      </c>
      <c r="AF11" s="11">
        <f>IFERROR('Export-dataset'!AF12/'Export-dataset'!AF11,0)</f>
        <v>5</v>
      </c>
      <c r="AG11" s="11">
        <f>IFERROR('Export-dataset'!AG12/'Export-dataset'!AG11,0)</f>
        <v>0.8684210526</v>
      </c>
      <c r="AH11" s="11">
        <f>IFERROR('Export-dataset'!AH12/'Export-dataset'!AH11,0)</f>
        <v>1.031980743</v>
      </c>
      <c r="AI11" s="11">
        <f>IFERROR('Export-dataset'!AI12/'Export-dataset'!AI11,0)</f>
        <v>1.1375</v>
      </c>
      <c r="AJ11" s="11">
        <f>IFERROR('Export-dataset'!AJ12/'Export-dataset'!AJ11,0)</f>
        <v>0.9353932584</v>
      </c>
      <c r="AK11" s="11">
        <f>IFERROR('Export-dataset'!AK12/'Export-dataset'!AK11,0)</f>
        <v>0.9882352941</v>
      </c>
      <c r="AL11" s="11">
        <f>IFERROR('Export-dataset'!AL12/'Export-dataset'!AL11,0)</f>
        <v>1.129496403</v>
      </c>
      <c r="AM11" s="11">
        <f>IFERROR('Export-dataset'!AM12/'Export-dataset'!AM11,0)</f>
        <v>1.075268817</v>
      </c>
      <c r="AN11" s="11">
        <f>IFERROR('Export-dataset'!AN12/'Export-dataset'!AN11,0)</f>
        <v>0.7931034483</v>
      </c>
      <c r="AO11" s="11">
        <f>IFERROR('Export-dataset'!AO12/'Export-dataset'!AO11,0)</f>
        <v>0.8794117647</v>
      </c>
      <c r="AP11" s="11">
        <f>IFERROR('Export-dataset'!AP12/'Export-dataset'!AP11,0)</f>
        <v>0.9622641509</v>
      </c>
      <c r="AQ11" s="11">
        <f>IFERROR('Export-dataset'!AQ12/'Export-dataset'!AQ11,0)</f>
        <v>1.083743842</v>
      </c>
      <c r="AR11" s="11">
        <f>IFERROR('Export-dataset'!AR12/'Export-dataset'!AR11,0)</f>
        <v>0.9630272699</v>
      </c>
      <c r="AS11" s="11">
        <f>IFERROR('Export-dataset'!AS12/'Export-dataset'!AS11,0)</f>
        <v>0.9345238095</v>
      </c>
      <c r="AT11" s="11">
        <f>IFERROR('Export-dataset'!AT12/'Export-dataset'!AT11,0)</f>
        <v>1.052980132</v>
      </c>
      <c r="AU11" s="11">
        <f>IFERROR('Export-dataset'!AU12/'Export-dataset'!AU11,0)</f>
        <v>1.058252427</v>
      </c>
      <c r="AV11" s="11">
        <f>IFERROR('Export-dataset'!AV12/'Export-dataset'!AV11,0)</f>
        <v>1.225</v>
      </c>
      <c r="AW11" s="11">
        <f>IFERROR('Export-dataset'!AW12/'Export-dataset'!AW11,0)</f>
        <v>1.092664093</v>
      </c>
      <c r="AX11" s="11">
        <f>IFERROR('Export-dataset'!AX12/'Export-dataset'!AX11,0)</f>
        <v>1.132352941</v>
      </c>
      <c r="AY11" s="11">
        <f>IFERROR('Export-dataset'!AY12/'Export-dataset'!AY11,0)</f>
        <v>0.9185059423</v>
      </c>
      <c r="AZ11" s="11">
        <f>IFERROR('Export-dataset'!AZ12/'Export-dataset'!AZ11,0)</f>
        <v>0.9067530428</v>
      </c>
      <c r="BA11" s="11">
        <f>IFERROR('Export-dataset'!BA12/'Export-dataset'!BA11,0)</f>
        <v>1.108069164</v>
      </c>
      <c r="BB11" s="11">
        <f>IFERROR('Export-dataset'!BB12/'Export-dataset'!BB11,0)</f>
        <v>1.086316019</v>
      </c>
      <c r="BC11" s="11">
        <f>IFERROR('Export-dataset'!BC12/'Export-dataset'!BC11,0)</f>
        <v>1.098873592</v>
      </c>
      <c r="BD11" s="11">
        <f>IFERROR('Export-dataset'!BD12/'Export-dataset'!BD11,0)</f>
        <v>1.024459078</v>
      </c>
      <c r="BE11" s="11">
        <f>IFERROR('Export-dataset'!BE12/'Export-dataset'!BE11,0)</f>
        <v>1.408450704</v>
      </c>
      <c r="BF11" s="11">
        <f>IFERROR('Export-dataset'!BF12/'Export-dataset'!BF11,0)</f>
        <v>1.200985222</v>
      </c>
      <c r="BG11" s="11">
        <f>IFERROR('Export-dataset'!BG12/'Export-dataset'!BG11,0)</f>
        <v>1.015972618</v>
      </c>
      <c r="BH11" s="11">
        <f>IFERROR('Export-dataset'!BH12/'Export-dataset'!BH11,0)</f>
        <v>0.9506531205</v>
      </c>
      <c r="BI11" s="11">
        <f>IFERROR('Export-dataset'!BI12/'Export-dataset'!BI11,0)</f>
        <v>0.9911699779</v>
      </c>
      <c r="BJ11" s="11">
        <f>IFERROR('Export-dataset'!BJ12/'Export-dataset'!BJ11,0)</f>
        <v>1.36589698</v>
      </c>
      <c r="BK11" s="11">
        <f>IFERROR('Export-dataset'!BK12/'Export-dataset'!BK11,0)</f>
        <v>1.024630542</v>
      </c>
      <c r="BL11" s="11">
        <f>IFERROR('Export-dataset'!BL12/'Export-dataset'!BL11,0)</f>
        <v>1.127003205</v>
      </c>
      <c r="BM11" s="11">
        <f>IFERROR('Export-dataset'!BM12/'Export-dataset'!BM11,0)</f>
        <v>1.307692308</v>
      </c>
      <c r="BN11" s="11">
        <f>IFERROR('Export-dataset'!BN12/'Export-dataset'!BN11,0)</f>
        <v>1.151162791</v>
      </c>
      <c r="BO11" s="11">
        <f>IFERROR('Export-dataset'!BO12/'Export-dataset'!BO11,0)</f>
        <v>1.166666667</v>
      </c>
      <c r="BP11" s="11">
        <f>IFERROR('Export-dataset'!BP12/'Export-dataset'!BP11,0)</f>
        <v>1.122516556</v>
      </c>
      <c r="BQ11" s="11">
        <f>IFERROR('Export-dataset'!BQ12/'Export-dataset'!BQ11,0)</f>
        <v>1.015873016</v>
      </c>
      <c r="BR11" s="11">
        <f>IFERROR('Export-dataset'!BR12/'Export-dataset'!BR11,0)</f>
        <v>1.270788913</v>
      </c>
      <c r="BS11" s="11">
        <f>IFERROR('Export-dataset'!BS12/'Export-dataset'!BS11,0)</f>
        <v>1.090566038</v>
      </c>
      <c r="BT11" s="11">
        <f>IFERROR('Export-dataset'!BT12/'Export-dataset'!BT11,0)</f>
        <v>1.07120743</v>
      </c>
      <c r="BU11" s="11">
        <f>IFERROR('Export-dataset'!BU12/'Export-dataset'!BU11,0)</f>
        <v>1.029771555</v>
      </c>
      <c r="BV11" s="11">
        <f>IFERROR('Export-dataset'!BV12/'Export-dataset'!BV11,0)</f>
        <v>1.198113208</v>
      </c>
      <c r="BW11" s="11">
        <f>IFERROR('Export-dataset'!BW12/'Export-dataset'!BW11,0)</f>
        <v>0.773006135</v>
      </c>
      <c r="BX11" s="11">
        <f>IFERROR('Export-dataset'!BX12/'Export-dataset'!BX11,0)</f>
        <v>0</v>
      </c>
      <c r="BY11" s="11">
        <f>IFERROR('Export-dataset'!BY12/'Export-dataset'!BY11,0)</f>
        <v>0.9948698461</v>
      </c>
      <c r="BZ11" s="11">
        <f>IFERROR('Export-dataset'!BZ12/'Export-dataset'!BZ11,0)</f>
        <v>1.194652406</v>
      </c>
      <c r="CA11" s="11">
        <f>IFERROR('Export-dataset'!CA12/'Export-dataset'!CA11,0)</f>
        <v>1.074018274</v>
      </c>
    </row>
    <row r="12">
      <c r="A12" s="9" t="str">
        <f>'Export-dataset'!A13</f>
        <v>Y1997</v>
      </c>
      <c r="B12" s="11">
        <f>IFERROR('Export-dataset'!B13/'Export-dataset'!B12,0)</f>
        <v>1.088142242</v>
      </c>
      <c r="C12" s="11">
        <f>IFERROR('Export-dataset'!C13/'Export-dataset'!C12,0)</f>
        <v>1.127465857</v>
      </c>
      <c r="D12" s="11">
        <f>IFERROR('Export-dataset'!D13/'Export-dataset'!D12,0)</f>
        <v>1.190179806</v>
      </c>
      <c r="E12" s="11">
        <f>IFERROR('Export-dataset'!E13/'Export-dataset'!E12,0)</f>
        <v>1.042045455</v>
      </c>
      <c r="F12" s="11">
        <f>IFERROR('Export-dataset'!F13/'Export-dataset'!F12,0)</f>
        <v>1.145714286</v>
      </c>
      <c r="G12" s="11">
        <f>IFERROR('Export-dataset'!G13/'Export-dataset'!G12,0)</f>
        <v>1.048776254</v>
      </c>
      <c r="H12" s="11">
        <f>IFERROR('Export-dataset'!H13/'Export-dataset'!H12,0)</f>
        <v>1.066420664</v>
      </c>
      <c r="I12" s="11">
        <f>IFERROR('Export-dataset'!I13/'Export-dataset'!I12,0)</f>
        <v>1.044875682</v>
      </c>
      <c r="J12" s="11">
        <f>IFERROR('Export-dataset'!J13/'Export-dataset'!J12,0)</f>
        <v>0.9846938776</v>
      </c>
      <c r="K12" s="11">
        <f>IFERROR('Export-dataset'!K13/'Export-dataset'!K12,0)</f>
        <v>1.116</v>
      </c>
      <c r="L12" s="11">
        <f>IFERROR('Export-dataset'!L13/'Export-dataset'!L12,0)</f>
        <v>1.197628458</v>
      </c>
      <c r="M12" s="11">
        <f>IFERROR('Export-dataset'!M13/'Export-dataset'!M12,0)</f>
        <v>1.202702703</v>
      </c>
      <c r="N12" s="11">
        <f>IFERROR('Export-dataset'!N13/'Export-dataset'!N12,0)</f>
        <v>1.23338257</v>
      </c>
      <c r="O12" s="11">
        <f>IFERROR('Export-dataset'!O13/'Export-dataset'!O12,0)</f>
        <v>0.873015873</v>
      </c>
      <c r="P12" s="11">
        <f>IFERROR('Export-dataset'!P13/'Export-dataset'!P12,0)</f>
        <v>1.141582906</v>
      </c>
      <c r="Q12" s="11">
        <f>IFERROR('Export-dataset'!Q13/'Export-dataset'!Q12,0)</f>
        <v>1.100806452</v>
      </c>
      <c r="R12" s="11">
        <f>IFERROR('Export-dataset'!R13/'Export-dataset'!R12,0)</f>
        <v>1.169724771</v>
      </c>
      <c r="S12" s="11">
        <f>IFERROR('Export-dataset'!S13/'Export-dataset'!S12,0)</f>
        <v>0.9166666667</v>
      </c>
      <c r="T12" s="11">
        <f>IFERROR('Export-dataset'!T13/'Export-dataset'!T12,0)</f>
        <v>1.099838969</v>
      </c>
      <c r="U12" s="11">
        <f>IFERROR('Export-dataset'!U13/'Export-dataset'!U12,0)</f>
        <v>1.357142857</v>
      </c>
      <c r="V12" s="11">
        <f>IFERROR('Export-dataset'!V13/'Export-dataset'!V12,0)</f>
        <v>1.219369895</v>
      </c>
      <c r="W12" s="11">
        <f>IFERROR('Export-dataset'!W13/'Export-dataset'!W12,0)</f>
        <v>0.9973958333</v>
      </c>
      <c r="X12" s="11">
        <f>IFERROR('Export-dataset'!X13/'Export-dataset'!X12,0)</f>
        <v>1.117432448</v>
      </c>
      <c r="Y12" s="11">
        <f>IFERROR('Export-dataset'!Y13/'Export-dataset'!Y12,0)</f>
        <v>1.022522523</v>
      </c>
      <c r="Z12" s="11">
        <f>IFERROR('Export-dataset'!Z13/'Export-dataset'!Z12,0)</f>
        <v>1.151053684</v>
      </c>
      <c r="AA12" s="11">
        <f>IFERROR('Export-dataset'!AA13/'Export-dataset'!AA12,0)</f>
        <v>1.128293681</v>
      </c>
      <c r="AB12" s="11">
        <f>IFERROR('Export-dataset'!AB13/'Export-dataset'!AB12,0)</f>
        <v>1.169327252</v>
      </c>
      <c r="AC12" s="11">
        <f>IFERROR('Export-dataset'!AC13/'Export-dataset'!AC12,0)</f>
        <v>1.218973747</v>
      </c>
      <c r="AD12" s="11">
        <f>IFERROR('Export-dataset'!AD13/'Export-dataset'!AD12,0)</f>
        <v>1.139240506</v>
      </c>
      <c r="AE12" s="11">
        <f>IFERROR('Export-dataset'!AE13/'Export-dataset'!AE12,0)</f>
        <v>1.010309278</v>
      </c>
      <c r="AF12" s="11">
        <f>IFERROR('Export-dataset'!AF13/'Export-dataset'!AF12,0)</f>
        <v>3</v>
      </c>
      <c r="AG12" s="11">
        <f>IFERROR('Export-dataset'!AG13/'Export-dataset'!AG12,0)</f>
        <v>1.333333333</v>
      </c>
      <c r="AH12" s="11">
        <f>IFERROR('Export-dataset'!AH13/'Export-dataset'!AH12,0)</f>
        <v>1.070643119</v>
      </c>
      <c r="AI12" s="11">
        <f>IFERROR('Export-dataset'!AI13/'Export-dataset'!AI12,0)</f>
        <v>1.571428571</v>
      </c>
      <c r="AJ12" s="11">
        <f>IFERROR('Export-dataset'!AJ13/'Export-dataset'!AJ12,0)</f>
        <v>0.984984985</v>
      </c>
      <c r="AK12" s="11">
        <f>IFERROR('Export-dataset'!AK13/'Export-dataset'!AK12,0)</f>
        <v>1.045238095</v>
      </c>
      <c r="AL12" s="11">
        <f>IFERROR('Export-dataset'!AL13/'Export-dataset'!AL12,0)</f>
        <v>1.123142251</v>
      </c>
      <c r="AM12" s="11">
        <f>IFERROR('Export-dataset'!AM13/'Export-dataset'!AM12,0)</f>
        <v>0.9933333333</v>
      </c>
      <c r="AN12" s="11">
        <f>IFERROR('Export-dataset'!AN13/'Export-dataset'!AN12,0)</f>
        <v>0.9130434783</v>
      </c>
      <c r="AO12" s="11">
        <f>IFERROR('Export-dataset'!AO13/'Export-dataset'!AO12,0)</f>
        <v>1.063545151</v>
      </c>
      <c r="AP12" s="11">
        <f>IFERROR('Export-dataset'!AP13/'Export-dataset'!AP12,0)</f>
        <v>1.058823529</v>
      </c>
      <c r="AQ12" s="11">
        <f>IFERROR('Export-dataset'!AQ13/'Export-dataset'!AQ12,0)</f>
        <v>1.013636364</v>
      </c>
      <c r="AR12" s="11">
        <f>IFERROR('Export-dataset'!AR13/'Export-dataset'!AR12,0)</f>
        <v>1.051755223</v>
      </c>
      <c r="AS12" s="11">
        <f>IFERROR('Export-dataset'!AS13/'Export-dataset'!AS12,0)</f>
        <v>1.082802548</v>
      </c>
      <c r="AT12" s="11">
        <f>IFERROR('Export-dataset'!AT13/'Export-dataset'!AT12,0)</f>
        <v>1.025157233</v>
      </c>
      <c r="AU12" s="11">
        <f>IFERROR('Export-dataset'!AU13/'Export-dataset'!AU12,0)</f>
        <v>0.9816513761</v>
      </c>
      <c r="AV12" s="11">
        <f>IFERROR('Export-dataset'!AV13/'Export-dataset'!AV12,0)</f>
        <v>1.212827988</v>
      </c>
      <c r="AW12" s="11">
        <f>IFERROR('Export-dataset'!AW13/'Export-dataset'!AW12,0)</f>
        <v>1.106007067</v>
      </c>
      <c r="AX12" s="11">
        <f>IFERROR('Export-dataset'!AX13/'Export-dataset'!AX12,0)</f>
        <v>1.016883117</v>
      </c>
      <c r="AY12" s="11">
        <f>IFERROR('Export-dataset'!AY13/'Export-dataset'!AY12,0)</f>
        <v>1.026494147</v>
      </c>
      <c r="AZ12" s="11">
        <f>IFERROR('Export-dataset'!AZ13/'Export-dataset'!AZ12,0)</f>
        <v>1.060186187</v>
      </c>
      <c r="BA12" s="11">
        <f>IFERROR('Export-dataset'!BA13/'Export-dataset'!BA12,0)</f>
        <v>0.9739921977</v>
      </c>
      <c r="BB12" s="11">
        <f>IFERROR('Export-dataset'!BB13/'Export-dataset'!BB12,0)</f>
        <v>1.136514314</v>
      </c>
      <c r="BC12" s="11">
        <f>IFERROR('Export-dataset'!BC13/'Export-dataset'!BC12,0)</f>
        <v>1.17881549</v>
      </c>
      <c r="BD12" s="11">
        <f>IFERROR('Export-dataset'!BD13/'Export-dataset'!BD12,0)</f>
        <v>1.091827365</v>
      </c>
      <c r="BE12" s="11">
        <f>IFERROR('Export-dataset'!BE13/'Export-dataset'!BE12,0)</f>
        <v>1.105</v>
      </c>
      <c r="BF12" s="11">
        <f>IFERROR('Export-dataset'!BF13/'Export-dataset'!BF12,0)</f>
        <v>0.9401148482</v>
      </c>
      <c r="BG12" s="11">
        <f>IFERROR('Export-dataset'!BG13/'Export-dataset'!BG12,0)</f>
        <v>0.9399213925</v>
      </c>
      <c r="BH12" s="11">
        <f>IFERROR('Export-dataset'!BH13/'Export-dataset'!BH12,0)</f>
        <v>1.506870229</v>
      </c>
      <c r="BI12" s="11">
        <f>IFERROR('Export-dataset'!BI13/'Export-dataset'!BI12,0)</f>
        <v>0.9368968077</v>
      </c>
      <c r="BJ12" s="11">
        <f>IFERROR('Export-dataset'!BJ13/'Export-dataset'!BJ12,0)</f>
        <v>1.215214564</v>
      </c>
      <c r="BK12" s="11">
        <f>IFERROR('Export-dataset'!BK13/'Export-dataset'!BK12,0)</f>
        <v>1.547275641</v>
      </c>
      <c r="BL12" s="11">
        <f>IFERROR('Export-dataset'!BL13/'Export-dataset'!BL12,0)</f>
        <v>1.084607181</v>
      </c>
      <c r="BM12" s="11">
        <f>IFERROR('Export-dataset'!BM13/'Export-dataset'!BM12,0)</f>
        <v>1.023529412</v>
      </c>
      <c r="BN12" s="11">
        <f>IFERROR('Export-dataset'!BN13/'Export-dataset'!BN12,0)</f>
        <v>0.9797979798</v>
      </c>
      <c r="BO12" s="11">
        <f>IFERROR('Export-dataset'!BO13/'Export-dataset'!BO12,0)</f>
        <v>1</v>
      </c>
      <c r="BP12" s="11">
        <f>IFERROR('Export-dataset'!BP13/'Export-dataset'!BP12,0)</f>
        <v>1.109144543</v>
      </c>
      <c r="BQ12" s="11">
        <f>IFERROR('Export-dataset'!BQ13/'Export-dataset'!BQ12,0)</f>
        <v>0.921875</v>
      </c>
      <c r="BR12" s="11">
        <f>IFERROR('Export-dataset'!BR13/'Export-dataset'!BR12,0)</f>
        <v>1.191275168</v>
      </c>
      <c r="BS12" s="11">
        <f>IFERROR('Export-dataset'!BS13/'Export-dataset'!BS12,0)</f>
        <v>1.150519031</v>
      </c>
      <c r="BT12" s="11">
        <f>IFERROR('Export-dataset'!BT13/'Export-dataset'!BT12,0)</f>
        <v>1.004816956</v>
      </c>
      <c r="BU12" s="11">
        <f>IFERROR('Export-dataset'!BU13/'Export-dataset'!BU12,0)</f>
        <v>0.9735222556</v>
      </c>
      <c r="BV12" s="11">
        <f>IFERROR('Export-dataset'!BV13/'Export-dataset'!BV12,0)</f>
        <v>1.043307087</v>
      </c>
      <c r="BW12" s="11">
        <f>IFERROR('Export-dataset'!BW13/'Export-dataset'!BW12,0)</f>
        <v>1.015873016</v>
      </c>
      <c r="BX12" s="11">
        <f>IFERROR('Export-dataset'!BX13/'Export-dataset'!BX12,0)</f>
        <v>0</v>
      </c>
      <c r="BY12" s="11">
        <f>IFERROR('Export-dataset'!BY13/'Export-dataset'!BY12,0)</f>
        <v>0.9402215432</v>
      </c>
      <c r="BZ12" s="11">
        <f>IFERROR('Export-dataset'!BZ13/'Export-dataset'!BZ12,0)</f>
        <v>1.09221128</v>
      </c>
      <c r="CA12" s="11">
        <f>IFERROR('Export-dataset'!CA13/'Export-dataset'!CA12,0)</f>
        <v>1.101037784</v>
      </c>
    </row>
    <row r="13">
      <c r="A13" s="9" t="str">
        <f>'Export-dataset'!A14</f>
        <v>Y1998</v>
      </c>
      <c r="B13" s="11">
        <f>IFERROR('Export-dataset'!B14/'Export-dataset'!B13,0)</f>
        <v>0.88108391</v>
      </c>
      <c r="C13" s="11">
        <f>IFERROR('Export-dataset'!C14/'Export-dataset'!C13,0)</f>
        <v>0.7631224764</v>
      </c>
      <c r="D13" s="11">
        <f>IFERROR('Export-dataset'!D14/'Export-dataset'!D13,0)</f>
        <v>1.13625799</v>
      </c>
      <c r="E13" s="11">
        <f>IFERROR('Export-dataset'!E14/'Export-dataset'!E13,0)</f>
        <v>1.167938931</v>
      </c>
      <c r="F13" s="11">
        <f>IFERROR('Export-dataset'!F14/'Export-dataset'!F13,0)</f>
        <v>0.9792186201</v>
      </c>
      <c r="G13" s="11">
        <f>IFERROR('Export-dataset'!G14/'Export-dataset'!G13,0)</f>
        <v>0.8303541874</v>
      </c>
      <c r="H13" s="11">
        <f>IFERROR('Export-dataset'!H14/'Export-dataset'!H13,0)</f>
        <v>0.98183391</v>
      </c>
      <c r="I13" s="11">
        <f>IFERROR('Export-dataset'!I14/'Export-dataset'!I13,0)</f>
        <v>0.1044689495</v>
      </c>
      <c r="J13" s="11">
        <f>IFERROR('Export-dataset'!J14/'Export-dataset'!J13,0)</f>
        <v>0.9119170984</v>
      </c>
      <c r="K13" s="11">
        <f>IFERROR('Export-dataset'!K14/'Export-dataset'!K13,0)</f>
        <v>0.976702509</v>
      </c>
      <c r="L13" s="11">
        <f>IFERROR('Export-dataset'!L14/'Export-dataset'!L13,0)</f>
        <v>0.9933993399</v>
      </c>
      <c r="M13" s="11">
        <f>IFERROR('Export-dataset'!M14/'Export-dataset'!M13,0)</f>
        <v>1.296629213</v>
      </c>
      <c r="N13" s="11">
        <f>IFERROR('Export-dataset'!N14/'Export-dataset'!N13,0)</f>
        <v>1.298203593</v>
      </c>
      <c r="O13" s="11">
        <f>IFERROR('Export-dataset'!O14/'Export-dataset'!O13,0)</f>
        <v>1.272727273</v>
      </c>
      <c r="P13" s="11">
        <f>IFERROR('Export-dataset'!P14/'Export-dataset'!P13,0)</f>
        <v>1.044198251</v>
      </c>
      <c r="Q13" s="11">
        <f>IFERROR('Export-dataset'!Q14/'Export-dataset'!Q13,0)</f>
        <v>0.9340659341</v>
      </c>
      <c r="R13" s="11">
        <f>IFERROR('Export-dataset'!R14/'Export-dataset'!R13,0)</f>
        <v>1.77254902</v>
      </c>
      <c r="S13" s="11">
        <f>IFERROR('Export-dataset'!S14/'Export-dataset'!S13,0)</f>
        <v>0.9090909091</v>
      </c>
      <c r="T13" s="11">
        <f>IFERROR('Export-dataset'!T14/'Export-dataset'!T13,0)</f>
        <v>1.023426061</v>
      </c>
      <c r="U13" s="11">
        <f>IFERROR('Export-dataset'!U14/'Export-dataset'!U13,0)</f>
        <v>1.157894737</v>
      </c>
      <c r="V13" s="11">
        <f>IFERROR('Export-dataset'!V14/'Export-dataset'!V13,0)</f>
        <v>0.8618181818</v>
      </c>
      <c r="W13" s="11">
        <f>IFERROR('Export-dataset'!W14/'Export-dataset'!W13,0)</f>
        <v>1.17232376</v>
      </c>
      <c r="X13" s="11">
        <f>IFERROR('Export-dataset'!X14/'Export-dataset'!X13,0)</f>
        <v>1.123864912</v>
      </c>
      <c r="Y13" s="11">
        <f>IFERROR('Export-dataset'!Y14/'Export-dataset'!Y13,0)</f>
        <v>1.092511013</v>
      </c>
      <c r="Z13" s="11">
        <f>IFERROR('Export-dataset'!Z14/'Export-dataset'!Z13,0)</f>
        <v>1.00748363</v>
      </c>
      <c r="AA13" s="11">
        <f>IFERROR('Export-dataset'!AA14/'Export-dataset'!AA13,0)</f>
        <v>1.116540075</v>
      </c>
      <c r="AB13" s="11">
        <f>IFERROR('Export-dataset'!AB14/'Export-dataset'!AB13,0)</f>
        <v>0.8225255973</v>
      </c>
      <c r="AC13" s="11">
        <f>IFERROR('Export-dataset'!AC14/'Export-dataset'!AC13,0)</f>
        <v>0.907978463</v>
      </c>
      <c r="AD13" s="11">
        <f>IFERROR('Export-dataset'!AD14/'Export-dataset'!AD13,0)</f>
        <v>1.425925926</v>
      </c>
      <c r="AE13" s="11">
        <f>IFERROR('Export-dataset'!AE14/'Export-dataset'!AE13,0)</f>
        <v>1.352040816</v>
      </c>
      <c r="AF13" s="11">
        <f>IFERROR('Export-dataset'!AF14/'Export-dataset'!AF13,0)</f>
        <v>2.333333333</v>
      </c>
      <c r="AG13" s="11">
        <f>IFERROR('Export-dataset'!AG14/'Export-dataset'!AG13,0)</f>
        <v>1.136363636</v>
      </c>
      <c r="AH13" s="11">
        <f>IFERROR('Export-dataset'!AH14/'Export-dataset'!AH13,0)</f>
        <v>1.054466231</v>
      </c>
      <c r="AI13" s="11">
        <f>IFERROR('Export-dataset'!AI14/'Export-dataset'!AI13,0)</f>
        <v>0.972027972</v>
      </c>
      <c r="AJ13" s="11">
        <f>IFERROR('Export-dataset'!AJ14/'Export-dataset'!AJ13,0)</f>
        <v>0.9634146341</v>
      </c>
      <c r="AK13" s="11">
        <f>IFERROR('Export-dataset'!AK14/'Export-dataset'!AK13,0)</f>
        <v>1.195899772</v>
      </c>
      <c r="AL13" s="11">
        <f>IFERROR('Export-dataset'!AL14/'Export-dataset'!AL13,0)</f>
        <v>1.157844991</v>
      </c>
      <c r="AM13" s="11">
        <f>IFERROR('Export-dataset'!AM14/'Export-dataset'!AM13,0)</f>
        <v>0.9496644295</v>
      </c>
      <c r="AN13" s="11">
        <f>IFERROR('Export-dataset'!AN14/'Export-dataset'!AN13,0)</f>
        <v>1.523809524</v>
      </c>
      <c r="AO13" s="11">
        <f>IFERROR('Export-dataset'!AO14/'Export-dataset'!AO13,0)</f>
        <v>0.7452830189</v>
      </c>
      <c r="AP13" s="11">
        <f>IFERROR('Export-dataset'!AP14/'Export-dataset'!AP13,0)</f>
        <v>1.012345679</v>
      </c>
      <c r="AQ13" s="11">
        <f>IFERROR('Export-dataset'!AQ14/'Export-dataset'!AQ13,0)</f>
        <v>1.047085202</v>
      </c>
      <c r="AR13" s="11">
        <f>IFERROR('Export-dataset'!AR14/'Export-dataset'!AR13,0)</f>
        <v>1.05152768</v>
      </c>
      <c r="AS13" s="11">
        <f>IFERROR('Export-dataset'!AS14/'Export-dataset'!AS13,0)</f>
        <v>0.9745098039</v>
      </c>
      <c r="AT13" s="11">
        <f>IFERROR('Export-dataset'!AT14/'Export-dataset'!AT13,0)</f>
        <v>1.036809816</v>
      </c>
      <c r="AU13" s="11">
        <f>IFERROR('Export-dataset'!AU14/'Export-dataset'!AU13,0)</f>
        <v>0.9719626168</v>
      </c>
      <c r="AV13" s="11">
        <f>IFERROR('Export-dataset'!AV14/'Export-dataset'!AV13,0)</f>
        <v>1.012019231</v>
      </c>
      <c r="AW13" s="11">
        <f>IFERROR('Export-dataset'!AW14/'Export-dataset'!AW13,0)</f>
        <v>0.947284345</v>
      </c>
      <c r="AX13" s="11">
        <f>IFERROR('Export-dataset'!AX14/'Export-dataset'!AX13,0)</f>
        <v>0.8914431673</v>
      </c>
      <c r="AY13" s="11">
        <f>IFERROR('Export-dataset'!AY14/'Export-dataset'!AY13,0)</f>
        <v>1.096038415</v>
      </c>
      <c r="AZ13" s="11">
        <f>IFERROR('Export-dataset'!AZ14/'Export-dataset'!AZ13,0)</f>
        <v>1.106391668</v>
      </c>
      <c r="BA13" s="11">
        <f>IFERROR('Export-dataset'!BA14/'Export-dataset'!BA13,0)</f>
        <v>0.9372496662</v>
      </c>
      <c r="BB13" s="11">
        <f>IFERROR('Export-dataset'!BB14/'Export-dataset'!BB13,0)</f>
        <v>0.9418419657</v>
      </c>
      <c r="BC13" s="11">
        <f>IFERROR('Export-dataset'!BC14/'Export-dataset'!BC13,0)</f>
        <v>0.7806763285</v>
      </c>
      <c r="BD13" s="11">
        <f>IFERROR('Export-dataset'!BD14/'Export-dataset'!BD13,0)</f>
        <v>1.148023549</v>
      </c>
      <c r="BE13" s="11">
        <f>IFERROR('Export-dataset'!BE14/'Export-dataset'!BE13,0)</f>
        <v>0.8190045249</v>
      </c>
      <c r="BF13" s="11">
        <f>IFERROR('Export-dataset'!BF14/'Export-dataset'!BF13,0)</f>
        <v>0.9022687609</v>
      </c>
      <c r="BG13" s="11">
        <f>IFERROR('Export-dataset'!BG14/'Export-dataset'!BG13,0)</f>
        <v>0.9348864994</v>
      </c>
      <c r="BH13" s="11">
        <f>IFERROR('Export-dataset'!BH14/'Export-dataset'!BH13,0)</f>
        <v>0.8733535968</v>
      </c>
      <c r="BI13" s="11">
        <f>IFERROR('Export-dataset'!BI14/'Export-dataset'!BI13,0)</f>
        <v>1.011885895</v>
      </c>
      <c r="BJ13" s="11">
        <f>IFERROR('Export-dataset'!BJ14/'Export-dataset'!BJ13,0)</f>
        <v>0.9967897271</v>
      </c>
      <c r="BK13" s="11">
        <f>IFERROR('Export-dataset'!BK14/'Export-dataset'!BK13,0)</f>
        <v>0.8808907302</v>
      </c>
      <c r="BL13" s="11">
        <f>IFERROR('Export-dataset'!BL14/'Export-dataset'!BL13,0)</f>
        <v>1.096361849</v>
      </c>
      <c r="BM13" s="11">
        <f>IFERROR('Export-dataset'!BM14/'Export-dataset'!BM13,0)</f>
        <v>0.9770114943</v>
      </c>
      <c r="BN13" s="11">
        <f>IFERROR('Export-dataset'!BN14/'Export-dataset'!BN13,0)</f>
        <v>1.010309278</v>
      </c>
      <c r="BO13" s="11">
        <f>IFERROR('Export-dataset'!BO14/'Export-dataset'!BO13,0)</f>
        <v>0.8571428571</v>
      </c>
      <c r="BP13" s="11">
        <f>IFERROR('Export-dataset'!BP14/'Export-dataset'!BP13,0)</f>
        <v>0.9707446809</v>
      </c>
      <c r="BQ13" s="11">
        <f>IFERROR('Export-dataset'!BQ14/'Export-dataset'!BQ13,0)</f>
        <v>1.050847458</v>
      </c>
      <c r="BR13" s="11">
        <f>IFERROR('Export-dataset'!BR14/'Export-dataset'!BR13,0)</f>
        <v>1.228169014</v>
      </c>
      <c r="BS13" s="11">
        <f>IFERROR('Export-dataset'!BS14/'Export-dataset'!BS13,0)</f>
        <v>1.009022556</v>
      </c>
      <c r="BT13" s="11">
        <f>IFERROR('Export-dataset'!BT14/'Export-dataset'!BT13,0)</f>
        <v>1.13135187</v>
      </c>
      <c r="BU13" s="11">
        <f>IFERROR('Export-dataset'!BU14/'Export-dataset'!BU13,0)</f>
        <v>1.689650103</v>
      </c>
      <c r="BV13" s="11">
        <f>IFERROR('Export-dataset'!BV14/'Export-dataset'!BV13,0)</f>
        <v>1.445283019</v>
      </c>
      <c r="BW13" s="11">
        <f>IFERROR('Export-dataset'!BW14/'Export-dataset'!BW13,0)</f>
        <v>1.0546875</v>
      </c>
      <c r="BX13" s="11">
        <f>IFERROR('Export-dataset'!BX14/'Export-dataset'!BX13,0)</f>
        <v>2</v>
      </c>
      <c r="BY13" s="11">
        <f>IFERROR('Export-dataset'!BY14/'Export-dataset'!BY13,0)</f>
        <v>1.552305505</v>
      </c>
      <c r="BZ13" s="11">
        <f>IFERROR('Export-dataset'!BZ14/'Export-dataset'!BZ13,0)</f>
        <v>2.416393443</v>
      </c>
      <c r="CA13" s="11">
        <f>IFERROR('Export-dataset'!CA14/'Export-dataset'!CA13,0)</f>
        <v>1.049746373</v>
      </c>
    </row>
    <row r="14">
      <c r="A14" s="9" t="str">
        <f>'Export-dataset'!A15</f>
        <v>Y1999</v>
      </c>
      <c r="B14" s="11">
        <f>IFERROR('Export-dataset'!B15/'Export-dataset'!B14,0)</f>
        <v>1.047914467</v>
      </c>
      <c r="C14" s="11">
        <f>IFERROR('Export-dataset'!C15/'Export-dataset'!C14,0)</f>
        <v>1.231040564</v>
      </c>
      <c r="D14" s="11">
        <f>IFERROR('Export-dataset'!D15/'Export-dataset'!D14,0)</f>
        <v>1.064433649</v>
      </c>
      <c r="E14" s="11">
        <f>IFERROR('Export-dataset'!E15/'Export-dataset'!E14,0)</f>
        <v>1.031279178</v>
      </c>
      <c r="F14" s="11">
        <f>IFERROR('Export-dataset'!F15/'Export-dataset'!F14,0)</f>
        <v>1.177419355</v>
      </c>
      <c r="G14" s="11">
        <f>IFERROR('Export-dataset'!G15/'Export-dataset'!G14,0)</f>
        <v>0.9730914889</v>
      </c>
      <c r="H14" s="11">
        <f>IFERROR('Export-dataset'!H15/'Export-dataset'!H14,0)</f>
        <v>1.050220264</v>
      </c>
      <c r="I14" s="11">
        <f>IFERROR('Export-dataset'!I15/'Export-dataset'!I14,0)</f>
        <v>0.9111111111</v>
      </c>
      <c r="J14" s="11">
        <f>IFERROR('Export-dataset'!J15/'Export-dataset'!J14,0)</f>
        <v>1.210227273</v>
      </c>
      <c r="K14" s="11">
        <f>IFERROR('Export-dataset'!K15/'Export-dataset'!K14,0)</f>
        <v>1.148623853</v>
      </c>
      <c r="L14" s="11">
        <f>IFERROR('Export-dataset'!L15/'Export-dataset'!L14,0)</f>
        <v>1.142857143</v>
      </c>
      <c r="M14" s="11">
        <f>IFERROR('Export-dataset'!M15/'Export-dataset'!M14,0)</f>
        <v>1.214904679</v>
      </c>
      <c r="N14" s="11">
        <f>IFERROR('Export-dataset'!N15/'Export-dataset'!N14,0)</f>
        <v>1.240774908</v>
      </c>
      <c r="O14" s="11">
        <f>IFERROR('Export-dataset'!O15/'Export-dataset'!O14,0)</f>
        <v>0.8142857143</v>
      </c>
      <c r="P14" s="11">
        <f>IFERROR('Export-dataset'!P15/'Export-dataset'!P14,0)</f>
        <v>0.9308130444</v>
      </c>
      <c r="Q14" s="11">
        <f>IFERROR('Export-dataset'!Q15/'Export-dataset'!Q14,0)</f>
        <v>0.6725490196</v>
      </c>
      <c r="R14" s="11">
        <f>IFERROR('Export-dataset'!R15/'Export-dataset'!R14,0)</f>
        <v>1.719026549</v>
      </c>
      <c r="S14" s="11">
        <f>IFERROR('Export-dataset'!S15/'Export-dataset'!S14,0)</f>
        <v>1.3</v>
      </c>
      <c r="T14" s="11">
        <f>IFERROR('Export-dataset'!T15/'Export-dataset'!T14,0)</f>
        <v>0.9985693848</v>
      </c>
      <c r="U14" s="11">
        <f>IFERROR('Export-dataset'!U15/'Export-dataset'!U14,0)</f>
        <v>1.363636364</v>
      </c>
      <c r="V14" s="11">
        <f>IFERROR('Export-dataset'!V15/'Export-dataset'!V14,0)</f>
        <v>0.8820786143</v>
      </c>
      <c r="W14" s="11">
        <f>IFERROR('Export-dataset'!W15/'Export-dataset'!W14,0)</f>
        <v>0.9242761693</v>
      </c>
      <c r="X14" s="11">
        <f>IFERROR('Export-dataset'!X15/'Export-dataset'!X14,0)</f>
        <v>0.9227417158</v>
      </c>
      <c r="Y14" s="11">
        <f>IFERROR('Export-dataset'!Y15/'Export-dataset'!Y14,0)</f>
        <v>1.036290323</v>
      </c>
      <c r="Z14" s="11">
        <f>IFERROR('Export-dataset'!Z15/'Export-dataset'!Z14,0)</f>
        <v>0.9590131317</v>
      </c>
      <c r="AA14" s="11">
        <f>IFERROR('Export-dataset'!AA15/'Export-dataset'!AA14,0)</f>
        <v>0.8534876637</v>
      </c>
      <c r="AB14" s="11">
        <f>IFERROR('Export-dataset'!AB15/'Export-dataset'!AB14,0)</f>
        <v>1.237107291</v>
      </c>
      <c r="AC14" s="11">
        <f>IFERROR('Export-dataset'!AC15/'Export-dataset'!AC14,0)</f>
        <v>1.013477089</v>
      </c>
      <c r="AD14" s="11">
        <f>IFERROR('Export-dataset'!AD15/'Export-dataset'!AD14,0)</f>
        <v>0.8519480519</v>
      </c>
      <c r="AE14" s="11">
        <f>IFERROR('Export-dataset'!AE15/'Export-dataset'!AE14,0)</f>
        <v>0.8528301887</v>
      </c>
      <c r="AF14" s="11">
        <f>IFERROR('Export-dataset'!AF15/'Export-dataset'!AF14,0)</f>
        <v>0.7285714286</v>
      </c>
      <c r="AG14" s="11">
        <f>IFERROR('Export-dataset'!AG15/'Export-dataset'!AG14,0)</f>
        <v>1.02</v>
      </c>
      <c r="AH14" s="11">
        <f>IFERROR('Export-dataset'!AH15/'Export-dataset'!AH14,0)</f>
        <v>1.137839433</v>
      </c>
      <c r="AI14" s="11">
        <f>IFERROR('Export-dataset'!AI15/'Export-dataset'!AI14,0)</f>
        <v>1.143884892</v>
      </c>
      <c r="AJ14" s="11">
        <f>IFERROR('Export-dataset'!AJ15/'Export-dataset'!AJ14,0)</f>
        <v>1.202531646</v>
      </c>
      <c r="AK14" s="11">
        <f>IFERROR('Export-dataset'!AK15/'Export-dataset'!AK14,0)</f>
        <v>0.9980952381</v>
      </c>
      <c r="AL14" s="11">
        <f>IFERROR('Export-dataset'!AL15/'Export-dataset'!AL14,0)</f>
        <v>1.208979592</v>
      </c>
      <c r="AM14" s="11">
        <f>IFERROR('Export-dataset'!AM15/'Export-dataset'!AM14,0)</f>
        <v>1.180212014</v>
      </c>
      <c r="AN14" s="11">
        <f>IFERROR('Export-dataset'!AN15/'Export-dataset'!AN14,0)</f>
        <v>0.96875</v>
      </c>
      <c r="AO14" s="11">
        <f>IFERROR('Export-dataset'!AO15/'Export-dataset'!AO14,0)</f>
        <v>0.9789029536</v>
      </c>
      <c r="AP14" s="11">
        <f>IFERROR('Export-dataset'!AP15/'Export-dataset'!AP14,0)</f>
        <v>1.085365854</v>
      </c>
      <c r="AQ14" s="11">
        <f>IFERROR('Export-dataset'!AQ15/'Export-dataset'!AQ14,0)</f>
        <v>1.147751606</v>
      </c>
      <c r="AR14" s="11">
        <f>IFERROR('Export-dataset'!AR15/'Export-dataset'!AR14,0)</f>
        <v>1.02454929</v>
      </c>
      <c r="AS14" s="11">
        <f>IFERROR('Export-dataset'!AS15/'Export-dataset'!AS14,0)</f>
        <v>0.8651911469</v>
      </c>
      <c r="AT14" s="11">
        <f>IFERROR('Export-dataset'!AT15/'Export-dataset'!AT14,0)</f>
        <v>1.065088757</v>
      </c>
      <c r="AU14" s="11">
        <f>IFERROR('Export-dataset'!AU15/'Export-dataset'!AU14,0)</f>
        <v>1.326923077</v>
      </c>
      <c r="AV14" s="11">
        <f>IFERROR('Export-dataset'!AV15/'Export-dataset'!AV14,0)</f>
        <v>1.116389549</v>
      </c>
      <c r="AW14" s="11">
        <f>IFERROR('Export-dataset'!AW15/'Export-dataset'!AW14,0)</f>
        <v>1.018549747</v>
      </c>
      <c r="AX14" s="11">
        <f>IFERROR('Export-dataset'!AX15/'Export-dataset'!AX14,0)</f>
        <v>1.243553009</v>
      </c>
      <c r="AY14" s="11">
        <f>IFERROR('Export-dataset'!AY15/'Export-dataset'!AY14,0)</f>
        <v>0.7458926616</v>
      </c>
      <c r="AZ14" s="11">
        <f>IFERROR('Export-dataset'!AZ15/'Export-dataset'!AZ14,0)</f>
        <v>1.102620893</v>
      </c>
      <c r="BA14" s="11">
        <f>IFERROR('Export-dataset'!BA15/'Export-dataset'!BA14,0)</f>
        <v>0.9373219373</v>
      </c>
      <c r="BB14" s="11">
        <f>IFERROR('Export-dataset'!BB15/'Export-dataset'!BB14,0)</f>
        <v>1.031156156</v>
      </c>
      <c r="BC14" s="11">
        <f>IFERROR('Export-dataset'!BC15/'Export-dataset'!BC14,0)</f>
        <v>0.9814356436</v>
      </c>
      <c r="BD14" s="11">
        <f>IFERROR('Export-dataset'!BD15/'Export-dataset'!BD14,0)</f>
        <v>0.8029304029</v>
      </c>
      <c r="BE14" s="11">
        <f>IFERROR('Export-dataset'!BE15/'Export-dataset'!BE14,0)</f>
        <v>1.08839779</v>
      </c>
      <c r="BF14" s="11">
        <f>IFERROR('Export-dataset'!BF15/'Export-dataset'!BF14,0)</f>
        <v>0.9951644101</v>
      </c>
      <c r="BG14" s="11">
        <f>IFERROR('Export-dataset'!BG15/'Export-dataset'!BG14,0)</f>
        <v>0.8977635783</v>
      </c>
      <c r="BH14" s="11">
        <f>IFERROR('Export-dataset'!BH15/'Export-dataset'!BH14,0)</f>
        <v>1.051044084</v>
      </c>
      <c r="BI14" s="11">
        <f>IFERROR('Export-dataset'!BI15/'Export-dataset'!BI14,0)</f>
        <v>1.016444792</v>
      </c>
      <c r="BJ14" s="11">
        <f>IFERROR('Export-dataset'!BJ15/'Export-dataset'!BJ14,0)</f>
        <v>1.310252281</v>
      </c>
      <c r="BK14" s="11">
        <f>IFERROR('Export-dataset'!BK15/'Export-dataset'!BK14,0)</f>
        <v>1.071722516</v>
      </c>
      <c r="BL14" s="11">
        <f>IFERROR('Export-dataset'!BL15/'Export-dataset'!BL14,0)</f>
        <v>1.08161435</v>
      </c>
      <c r="BM14" s="11">
        <f>IFERROR('Export-dataset'!BM15/'Export-dataset'!BM14,0)</f>
        <v>0.9058823529</v>
      </c>
      <c r="BN14" s="11">
        <f>IFERROR('Export-dataset'!BN15/'Export-dataset'!BN14,0)</f>
        <v>1.295918367</v>
      </c>
      <c r="BO14" s="11">
        <f>IFERROR('Export-dataset'!BO15/'Export-dataset'!BO14,0)</f>
        <v>1</v>
      </c>
      <c r="BP14" s="11">
        <f>IFERROR('Export-dataset'!BP15/'Export-dataset'!BP14,0)</f>
        <v>0.9068493151</v>
      </c>
      <c r="BQ14" s="11">
        <f>IFERROR('Export-dataset'!BQ15/'Export-dataset'!BQ14,0)</f>
        <v>1.016129032</v>
      </c>
      <c r="BR14" s="11">
        <f>IFERROR('Export-dataset'!BR15/'Export-dataset'!BR14,0)</f>
        <v>1.151376147</v>
      </c>
      <c r="BS14" s="11">
        <f>IFERROR('Export-dataset'!BS15/'Export-dataset'!BS14,0)</f>
        <v>1.168405365</v>
      </c>
      <c r="BT14" s="11">
        <f>IFERROR('Export-dataset'!BT15/'Export-dataset'!BT14,0)</f>
        <v>1.033898305</v>
      </c>
      <c r="BU14" s="11">
        <f>IFERROR('Export-dataset'!BU15/'Export-dataset'!BU14,0)</f>
        <v>0.784651527</v>
      </c>
      <c r="BV14" s="11">
        <f>IFERROR('Export-dataset'!BV15/'Export-dataset'!BV14,0)</f>
        <v>2.359007833</v>
      </c>
      <c r="BW14" s="11">
        <f>IFERROR('Export-dataset'!BW15/'Export-dataset'!BW14,0)</f>
        <v>0.7259259259</v>
      </c>
      <c r="BX14" s="11">
        <f>IFERROR('Export-dataset'!BX15/'Export-dataset'!BX14,0)</f>
        <v>4</v>
      </c>
      <c r="BY14" s="11">
        <f>IFERROR('Export-dataset'!BY15/'Export-dataset'!BY14,0)</f>
        <v>0.6294163831</v>
      </c>
      <c r="BZ14" s="11">
        <f>IFERROR('Export-dataset'!BZ15/'Export-dataset'!BZ14,0)</f>
        <v>0.7784938942</v>
      </c>
      <c r="CA14" s="11">
        <f>IFERROR('Export-dataset'!CA15/'Export-dataset'!CA14,0)</f>
        <v>0.9765471361</v>
      </c>
    </row>
    <row r="15">
      <c r="A15" s="9" t="str">
        <f>'Export-dataset'!A16</f>
        <v>Y2000</v>
      </c>
      <c r="B15" s="11">
        <f>IFERROR('Export-dataset'!B16/'Export-dataset'!B15,0)</f>
        <v>1.194986774</v>
      </c>
      <c r="C15" s="11">
        <f>IFERROR('Export-dataset'!C16/'Export-dataset'!C15,0)</f>
        <v>1.143266476</v>
      </c>
      <c r="D15" s="11">
        <f>IFERROR('Export-dataset'!D16/'Export-dataset'!D15,0)</f>
        <v>1.210184963</v>
      </c>
      <c r="E15" s="11">
        <f>IFERROR('Export-dataset'!E16/'Export-dataset'!E15,0)</f>
        <v>1.233137166</v>
      </c>
      <c r="F15" s="11">
        <f>IFERROR('Export-dataset'!F16/'Export-dataset'!F15,0)</f>
        <v>1.218457102</v>
      </c>
      <c r="G15" s="11">
        <f>IFERROR('Export-dataset'!G16/'Export-dataset'!G15,0)</f>
        <v>1.10733306</v>
      </c>
      <c r="H15" s="11">
        <f>IFERROR('Export-dataset'!H16/'Export-dataset'!H15,0)</f>
        <v>1.224832215</v>
      </c>
      <c r="I15" s="11">
        <f>IFERROR('Export-dataset'!I16/'Export-dataset'!I15,0)</f>
        <v>1.274390244</v>
      </c>
      <c r="J15" s="11">
        <f>IFERROR('Export-dataset'!J16/'Export-dataset'!J15,0)</f>
        <v>1.20657277</v>
      </c>
      <c r="K15" s="11">
        <f>IFERROR('Export-dataset'!K16/'Export-dataset'!K15,0)</f>
        <v>1.560702875</v>
      </c>
      <c r="L15" s="11">
        <f>IFERROR('Export-dataset'!L16/'Export-dataset'!L15,0)</f>
        <v>1.206395349</v>
      </c>
      <c r="M15" s="11">
        <f>IFERROR('Export-dataset'!M16/'Export-dataset'!M15,0)</f>
        <v>1.263195435</v>
      </c>
      <c r="N15" s="11">
        <f>IFERROR('Export-dataset'!N16/'Export-dataset'!N15,0)</f>
        <v>1.275092937</v>
      </c>
      <c r="O15" s="11">
        <f>IFERROR('Export-dataset'!O16/'Export-dataset'!O15,0)</f>
        <v>0.9824561404</v>
      </c>
      <c r="P15" s="11">
        <f>IFERROR('Export-dataset'!P16/'Export-dataset'!P15,0)</f>
        <v>1.273981643</v>
      </c>
      <c r="Q15" s="11">
        <f>IFERROR('Export-dataset'!Q16/'Export-dataset'!Q15,0)</f>
        <v>1.731778426</v>
      </c>
      <c r="R15" s="11">
        <f>IFERROR('Export-dataset'!R16/'Export-dataset'!R15,0)</f>
        <v>0.9305019305</v>
      </c>
      <c r="S15" s="11">
        <f>IFERROR('Export-dataset'!S16/'Export-dataset'!S15,0)</f>
        <v>0.8461538462</v>
      </c>
      <c r="T15" s="11">
        <f>IFERROR('Export-dataset'!T16/'Export-dataset'!T15,0)</f>
        <v>1.247851003</v>
      </c>
      <c r="U15" s="11">
        <f>IFERROR('Export-dataset'!U16/'Export-dataset'!U15,0)</f>
        <v>1.733333333</v>
      </c>
      <c r="V15" s="11">
        <f>IFERROR('Export-dataset'!V16/'Export-dataset'!V15,0)</f>
        <v>1.228348439</v>
      </c>
      <c r="W15" s="11">
        <f>IFERROR('Export-dataset'!W16/'Export-dataset'!W15,0)</f>
        <v>1.086746988</v>
      </c>
      <c r="X15" s="11">
        <f>IFERROR('Export-dataset'!X16/'Export-dataset'!X15,0)</f>
        <v>1.316607635</v>
      </c>
      <c r="Y15" s="11">
        <f>IFERROR('Export-dataset'!Y16/'Export-dataset'!Y15,0)</f>
        <v>1.062256809</v>
      </c>
      <c r="Z15" s="11">
        <f>IFERROR('Export-dataset'!Z16/'Export-dataset'!Z15,0)</f>
        <v>1.593430152</v>
      </c>
      <c r="AA15" s="11">
        <f>IFERROR('Export-dataset'!AA16/'Export-dataset'!AA15,0)</f>
        <v>1.112181775</v>
      </c>
      <c r="AB15" s="11">
        <f>IFERROR('Export-dataset'!AB16/'Export-dataset'!AB15,0)</f>
        <v>2.50718735</v>
      </c>
      <c r="AC15" s="11">
        <f>IFERROR('Export-dataset'!AC16/'Export-dataset'!AC15,0)</f>
        <v>1.716489362</v>
      </c>
      <c r="AD15" s="11">
        <f>IFERROR('Export-dataset'!AD16/'Export-dataset'!AD15,0)</f>
        <v>0.9359756098</v>
      </c>
      <c r="AE15" s="11">
        <f>IFERROR('Export-dataset'!AE16/'Export-dataset'!AE15,0)</f>
        <v>0.9513274336</v>
      </c>
      <c r="AF15" s="11">
        <f>IFERROR('Export-dataset'!AF16/'Export-dataset'!AF15,0)</f>
        <v>0.8235294118</v>
      </c>
      <c r="AG15" s="11">
        <f>IFERROR('Export-dataset'!AG16/'Export-dataset'!AG15,0)</f>
        <v>0.9803921569</v>
      </c>
      <c r="AH15" s="11">
        <f>IFERROR('Export-dataset'!AH16/'Export-dataset'!AH15,0)</f>
        <v>1.223346304</v>
      </c>
      <c r="AI15" s="11">
        <f>IFERROR('Export-dataset'!AI16/'Export-dataset'!AI15,0)</f>
        <v>0.7735849057</v>
      </c>
      <c r="AJ15" s="11">
        <f>IFERROR('Export-dataset'!AJ16/'Export-dataset'!AJ15,0)</f>
        <v>1.286842105</v>
      </c>
      <c r="AK15" s="11">
        <f>IFERROR('Export-dataset'!AK16/'Export-dataset'!AK15,0)</f>
        <v>1.183206107</v>
      </c>
      <c r="AL15" s="11">
        <f>IFERROR('Export-dataset'!AL16/'Export-dataset'!AL15,0)</f>
        <v>1.361242404</v>
      </c>
      <c r="AM15" s="11">
        <f>IFERROR('Export-dataset'!AM16/'Export-dataset'!AM15,0)</f>
        <v>1.128742515</v>
      </c>
      <c r="AN15" s="11">
        <f>IFERROR('Export-dataset'!AN16/'Export-dataset'!AN15,0)</f>
        <v>2.387096774</v>
      </c>
      <c r="AO15" s="11">
        <f>IFERROR('Export-dataset'!AO16/'Export-dataset'!AO15,0)</f>
        <v>0.9396551724</v>
      </c>
      <c r="AP15" s="11">
        <f>IFERROR('Export-dataset'!AP16/'Export-dataset'!AP15,0)</f>
        <v>1.129213483</v>
      </c>
      <c r="AQ15" s="11">
        <f>IFERROR('Export-dataset'!AQ16/'Export-dataset'!AQ15,0)</f>
        <v>1.115671642</v>
      </c>
      <c r="AR15" s="11">
        <f>IFERROR('Export-dataset'!AR16/'Export-dataset'!AR15,0)</f>
        <v>1.270217147</v>
      </c>
      <c r="AS15" s="11">
        <f>IFERROR('Export-dataset'!AS16/'Export-dataset'!AS15,0)</f>
        <v>1.172093023</v>
      </c>
      <c r="AT15" s="11">
        <f>IFERROR('Export-dataset'!AT16/'Export-dataset'!AT15,0)</f>
        <v>0.9166666667</v>
      </c>
      <c r="AU15" s="11">
        <f>IFERROR('Export-dataset'!AU16/'Export-dataset'!AU15,0)</f>
        <v>1.260869565</v>
      </c>
      <c r="AV15" s="11">
        <f>IFERROR('Export-dataset'!AV16/'Export-dataset'!AV15,0)</f>
        <v>1.20212766</v>
      </c>
      <c r="AW15" s="11">
        <f>IFERROR('Export-dataset'!AW16/'Export-dataset'!AW15,0)</f>
        <v>0.9933774834</v>
      </c>
      <c r="AX15" s="11">
        <f>IFERROR('Export-dataset'!AX16/'Export-dataset'!AX15,0)</f>
        <v>1.16359447</v>
      </c>
      <c r="AY15" s="11">
        <f>IFERROR('Export-dataset'!AY16/'Export-dataset'!AY15,0)</f>
        <v>0.8604992658</v>
      </c>
      <c r="AZ15" s="11">
        <f>IFERROR('Export-dataset'!AZ16/'Export-dataset'!AZ15,0)</f>
        <v>1.45882156</v>
      </c>
      <c r="BA15" s="11">
        <f>IFERROR('Export-dataset'!BA16/'Export-dataset'!BA15,0)</f>
        <v>1.012158055</v>
      </c>
      <c r="BB15" s="11">
        <f>IFERROR('Export-dataset'!BB16/'Export-dataset'!BB15,0)</f>
        <v>1.137058609</v>
      </c>
      <c r="BC15" s="11">
        <f>IFERROR('Export-dataset'!BC16/'Export-dataset'!BC15,0)</f>
        <v>1.21815889</v>
      </c>
      <c r="BD15" s="11">
        <f>IFERROR('Export-dataset'!BD16/'Export-dataset'!BD15,0)</f>
        <v>1.126824818</v>
      </c>
      <c r="BE15" s="11">
        <f>IFERROR('Export-dataset'!BE16/'Export-dataset'!BE15,0)</f>
        <v>1.299492386</v>
      </c>
      <c r="BF15" s="11">
        <f>IFERROR('Export-dataset'!BF16/'Export-dataset'!BF15,0)</f>
        <v>1.087463557</v>
      </c>
      <c r="BG15" s="11">
        <f>IFERROR('Export-dataset'!BG16/'Export-dataset'!BG15,0)</f>
        <v>0.9992882562</v>
      </c>
      <c r="BH15" s="11">
        <f>IFERROR('Export-dataset'!BH16/'Export-dataset'!BH15,0)</f>
        <v>1.600441501</v>
      </c>
      <c r="BI15" s="11">
        <f>IFERROR('Export-dataset'!BI16/'Export-dataset'!BI15,0)</f>
        <v>1.157164869</v>
      </c>
      <c r="BJ15" s="11">
        <f>IFERROR('Export-dataset'!BJ16/'Export-dataset'!BJ15,0)</f>
        <v>1.341663253</v>
      </c>
      <c r="BK15" s="11">
        <f>IFERROR('Export-dataset'!BK16/'Export-dataset'!BK15,0)</f>
        <v>0.7059791552</v>
      </c>
      <c r="BL15" s="11">
        <f>IFERROR('Export-dataset'!BL16/'Export-dataset'!BL15,0)</f>
        <v>1.151464898</v>
      </c>
      <c r="BM15" s="11">
        <f>IFERROR('Export-dataset'!BM16/'Export-dataset'!BM15,0)</f>
        <v>1.090909091</v>
      </c>
      <c r="BN15" s="11">
        <f>IFERROR('Export-dataset'!BN16/'Export-dataset'!BN15,0)</f>
        <v>0.9527559055</v>
      </c>
      <c r="BO15" s="11">
        <f>IFERROR('Export-dataset'!BO16/'Export-dataset'!BO15,0)</f>
        <v>1.166666667</v>
      </c>
      <c r="BP15" s="11">
        <f>IFERROR('Export-dataset'!BP16/'Export-dataset'!BP15,0)</f>
        <v>1.027190332</v>
      </c>
      <c r="BQ15" s="11">
        <f>IFERROR('Export-dataset'!BQ16/'Export-dataset'!BQ15,0)</f>
        <v>1.031746032</v>
      </c>
      <c r="BR15" s="11">
        <f>IFERROR('Export-dataset'!BR16/'Export-dataset'!BR15,0)</f>
        <v>1.12749004</v>
      </c>
      <c r="BS15" s="11">
        <f>IFERROR('Export-dataset'!BS16/'Export-dataset'!BS15,0)</f>
        <v>1.353316327</v>
      </c>
      <c r="BT15" s="11">
        <f>IFERROR('Export-dataset'!BT16/'Export-dataset'!BT15,0)</f>
        <v>1.105737705</v>
      </c>
      <c r="BU15" s="11">
        <f>IFERROR('Export-dataset'!BU16/'Export-dataset'!BU15,0)</f>
        <v>1.119095143</v>
      </c>
      <c r="BV15" s="11">
        <f>IFERROR('Export-dataset'!BV16/'Export-dataset'!BV15,0)</f>
        <v>0.9916989485</v>
      </c>
      <c r="BW15" s="11">
        <f>IFERROR('Export-dataset'!BW16/'Export-dataset'!BW15,0)</f>
        <v>0.8469387755</v>
      </c>
      <c r="BX15" s="11">
        <f>IFERROR('Export-dataset'!BX16/'Export-dataset'!BX15,0)</f>
        <v>0.625</v>
      </c>
      <c r="BY15" s="11">
        <f>IFERROR('Export-dataset'!BY16/'Export-dataset'!BY15,0)</f>
        <v>1.02952183</v>
      </c>
      <c r="BZ15" s="11">
        <f>IFERROR('Export-dataset'!BZ16/'Export-dataset'!BZ15,0)</f>
        <v>1.420479303</v>
      </c>
      <c r="CA15" s="11">
        <f>IFERROR('Export-dataset'!CA16/'Export-dataset'!CA15,0)</f>
        <v>1.270057537</v>
      </c>
    </row>
    <row r="16">
      <c r="A16" s="9" t="str">
        <f>'Export-dataset'!A17</f>
        <v>Y2001</v>
      </c>
      <c r="B16" s="11">
        <f>IFERROR('Export-dataset'!B17/'Export-dataset'!B16,0)</f>
        <v>1.158848951</v>
      </c>
      <c r="C16" s="11">
        <f>IFERROR('Export-dataset'!C17/'Export-dataset'!C16,0)</f>
        <v>1.290726817</v>
      </c>
      <c r="D16" s="11">
        <f>IFERROR('Export-dataset'!D17/'Export-dataset'!D16,0)</f>
        <v>1.26419214</v>
      </c>
      <c r="E16" s="11">
        <f>IFERROR('Export-dataset'!E17/'Export-dataset'!E16,0)</f>
        <v>1.119309838</v>
      </c>
      <c r="F16" s="11">
        <f>IFERROR('Export-dataset'!F17/'Export-dataset'!F16,0)</f>
        <v>1.012426036</v>
      </c>
      <c r="G16" s="11">
        <f>IFERROR('Export-dataset'!G17/'Export-dataset'!G16,0)</f>
        <v>1.161857196</v>
      </c>
      <c r="H16" s="11">
        <f>IFERROR('Export-dataset'!H17/'Export-dataset'!H16,0)</f>
        <v>1.119178082</v>
      </c>
      <c r="I16" s="11">
        <f>IFERROR('Export-dataset'!I17/'Export-dataset'!I16,0)</f>
        <v>1.071770335</v>
      </c>
      <c r="J16" s="11">
        <f>IFERROR('Export-dataset'!J17/'Export-dataset'!J16,0)</f>
        <v>1.003891051</v>
      </c>
      <c r="K16" s="11">
        <f>IFERROR('Export-dataset'!K17/'Export-dataset'!K16,0)</f>
        <v>1.020470829</v>
      </c>
      <c r="L16" s="11">
        <f>IFERROR('Export-dataset'!L17/'Export-dataset'!L16,0)</f>
        <v>1.048192771</v>
      </c>
      <c r="M16" s="11">
        <f>IFERROR('Export-dataset'!M17/'Export-dataset'!M16,0)</f>
        <v>1.234895539</v>
      </c>
      <c r="N16" s="11">
        <f>IFERROR('Export-dataset'!N17/'Export-dataset'!N16,0)</f>
        <v>1.233236152</v>
      </c>
      <c r="O16" s="11">
        <f>IFERROR('Export-dataset'!O17/'Export-dataset'!O16,0)</f>
        <v>1.285714286</v>
      </c>
      <c r="P16" s="11">
        <f>IFERROR('Export-dataset'!P17/'Export-dataset'!P16,0)</f>
        <v>1.119514033</v>
      </c>
      <c r="Q16" s="11">
        <f>IFERROR('Export-dataset'!Q17/'Export-dataset'!Q16,0)</f>
        <v>1.393939394</v>
      </c>
      <c r="R16" s="11">
        <f>IFERROR('Export-dataset'!R17/'Export-dataset'!R16,0)</f>
        <v>1.01659751</v>
      </c>
      <c r="S16" s="11">
        <f>IFERROR('Export-dataset'!S17/'Export-dataset'!S16,0)</f>
        <v>1.545454545</v>
      </c>
      <c r="T16" s="11">
        <f>IFERROR('Export-dataset'!T17/'Export-dataset'!T16,0)</f>
        <v>0.9862227325</v>
      </c>
      <c r="U16" s="11">
        <f>IFERROR('Export-dataset'!U17/'Export-dataset'!U16,0)</f>
        <v>0.9807692308</v>
      </c>
      <c r="V16" s="11">
        <f>IFERROR('Export-dataset'!V17/'Export-dataset'!V16,0)</f>
        <v>1.144086903</v>
      </c>
      <c r="W16" s="11">
        <f>IFERROR('Export-dataset'!W17/'Export-dataset'!W16,0)</f>
        <v>1.177383592</v>
      </c>
      <c r="X16" s="11">
        <f>IFERROR('Export-dataset'!X17/'Export-dataset'!X16,0)</f>
        <v>1.111044687</v>
      </c>
      <c r="Y16" s="11">
        <f>IFERROR('Export-dataset'!Y17/'Export-dataset'!Y16,0)</f>
        <v>1.10989011</v>
      </c>
      <c r="Z16" s="11">
        <f>IFERROR('Export-dataset'!Z17/'Export-dataset'!Z16,0)</f>
        <v>1.103684736</v>
      </c>
      <c r="AA16" s="11">
        <f>IFERROR('Export-dataset'!AA17/'Export-dataset'!AA16,0)</f>
        <v>1.338538881</v>
      </c>
      <c r="AB16" s="11">
        <f>IFERROR('Export-dataset'!AB17/'Export-dataset'!AB16,0)</f>
        <v>0.8802675585</v>
      </c>
      <c r="AC16" s="11">
        <f>IFERROR('Export-dataset'!AC17/'Export-dataset'!AC16,0)</f>
        <v>1.147815308</v>
      </c>
      <c r="AD16" s="11">
        <f>IFERROR('Export-dataset'!AD17/'Export-dataset'!AD16,0)</f>
        <v>1.006514658</v>
      </c>
      <c r="AE16" s="11">
        <f>IFERROR('Export-dataset'!AE17/'Export-dataset'!AE16,0)</f>
        <v>1.009302326</v>
      </c>
      <c r="AF16" s="11">
        <f>IFERROR('Export-dataset'!AF17/'Export-dataset'!AF16,0)</f>
        <v>1.047619048</v>
      </c>
      <c r="AG16" s="11">
        <f>IFERROR('Export-dataset'!AG17/'Export-dataset'!AG16,0)</f>
        <v>0.96</v>
      </c>
      <c r="AH16" s="11">
        <f>IFERROR('Export-dataset'!AH17/'Export-dataset'!AH16,0)</f>
        <v>1.150339271</v>
      </c>
      <c r="AI16" s="11">
        <f>IFERROR('Export-dataset'!AI17/'Export-dataset'!AI16,0)</f>
        <v>1.105691057</v>
      </c>
      <c r="AJ16" s="11">
        <f>IFERROR('Export-dataset'!AJ17/'Export-dataset'!AJ16,0)</f>
        <v>1.153374233</v>
      </c>
      <c r="AK16" s="11">
        <f>IFERROR('Export-dataset'!AK17/'Export-dataset'!AK16,0)</f>
        <v>1.043548387</v>
      </c>
      <c r="AL16" s="11">
        <f>IFERROR('Export-dataset'!AL17/'Export-dataset'!AL16,0)</f>
        <v>1.20734127</v>
      </c>
      <c r="AM16" s="11">
        <f>IFERROR('Export-dataset'!AM17/'Export-dataset'!AM16,0)</f>
        <v>1.045092838</v>
      </c>
      <c r="AN16" s="11">
        <f>IFERROR('Export-dataset'!AN17/'Export-dataset'!AN16,0)</f>
        <v>2.054054054</v>
      </c>
      <c r="AO16" s="11">
        <f>IFERROR('Export-dataset'!AO17/'Export-dataset'!AO16,0)</f>
        <v>1.073394495</v>
      </c>
      <c r="AP16" s="11">
        <f>IFERROR('Export-dataset'!AP17/'Export-dataset'!AP16,0)</f>
        <v>1.139303483</v>
      </c>
      <c r="AQ16" s="11">
        <f>IFERROR('Export-dataset'!AQ17/'Export-dataset'!AQ16,0)</f>
        <v>1.06187291</v>
      </c>
      <c r="AR16" s="11">
        <f>IFERROR('Export-dataset'!AR17/'Export-dataset'!AR16,0)</f>
        <v>1.025937661</v>
      </c>
      <c r="AS16" s="11">
        <f>IFERROR('Export-dataset'!AS17/'Export-dataset'!AS16,0)</f>
        <v>1.081349206</v>
      </c>
      <c r="AT16" s="11">
        <f>IFERROR('Export-dataset'!AT17/'Export-dataset'!AT16,0)</f>
        <v>1.048484848</v>
      </c>
      <c r="AU16" s="11">
        <f>IFERROR('Export-dataset'!AU17/'Export-dataset'!AU16,0)</f>
        <v>1.247126437</v>
      </c>
      <c r="AV16" s="11">
        <f>IFERROR('Export-dataset'!AV17/'Export-dataset'!AV16,0)</f>
        <v>1.169911504</v>
      </c>
      <c r="AW16" s="11">
        <f>IFERROR('Export-dataset'!AW17/'Export-dataset'!AW16,0)</f>
        <v>0.9466666667</v>
      </c>
      <c r="AX16" s="11">
        <f>IFERROR('Export-dataset'!AX17/'Export-dataset'!AX16,0)</f>
        <v>0.9425742574</v>
      </c>
      <c r="AY16" s="11">
        <f>IFERROR('Export-dataset'!AY17/'Export-dataset'!AY16,0)</f>
        <v>0.6288395904</v>
      </c>
      <c r="AZ16" s="11">
        <f>IFERROR('Export-dataset'!AZ17/'Export-dataset'!AZ16,0)</f>
        <v>1.069305795</v>
      </c>
      <c r="BA16" s="11">
        <f>IFERROR('Export-dataset'!BA17/'Export-dataset'!BA16,0)</f>
        <v>1.127627628</v>
      </c>
      <c r="BB16" s="11">
        <f>IFERROR('Export-dataset'!BB17/'Export-dataset'!BB16,0)</f>
        <v>1.107891788</v>
      </c>
      <c r="BC16" s="11">
        <f>IFERROR('Export-dataset'!BC17/'Export-dataset'!BC16,0)</f>
        <v>0.7763975155</v>
      </c>
      <c r="BD16" s="11">
        <f>IFERROR('Export-dataset'!BD17/'Export-dataset'!BD16,0)</f>
        <v>1.11417004</v>
      </c>
      <c r="BE16" s="11">
        <f>IFERROR('Export-dataset'!BE17/'Export-dataset'!BE16,0)</f>
        <v>0.8125</v>
      </c>
      <c r="BF16" s="11">
        <f>IFERROR('Export-dataset'!BF17/'Export-dataset'!BF16,0)</f>
        <v>1.164432529</v>
      </c>
      <c r="BG16" s="11">
        <f>IFERROR('Export-dataset'!BG17/'Export-dataset'!BG16,0)</f>
        <v>1.166666667</v>
      </c>
      <c r="BH16" s="11">
        <f>IFERROR('Export-dataset'!BH17/'Export-dataset'!BH16,0)</f>
        <v>0.935862069</v>
      </c>
      <c r="BI16" s="11">
        <f>IFERROR('Export-dataset'!BI17/'Export-dataset'!BI16,0)</f>
        <v>1.137816245</v>
      </c>
      <c r="BJ16" s="11">
        <f>IFERROR('Export-dataset'!BJ17/'Export-dataset'!BJ16,0)</f>
        <v>1.297709924</v>
      </c>
      <c r="BK16" s="11">
        <f>IFERROR('Export-dataset'!BK17/'Export-dataset'!BK16,0)</f>
        <v>0.972027972</v>
      </c>
      <c r="BL16" s="11">
        <f>IFERROR('Export-dataset'!BL17/'Export-dataset'!BL16,0)</f>
        <v>1.09481517</v>
      </c>
      <c r="BM16" s="11">
        <f>IFERROR('Export-dataset'!BM17/'Export-dataset'!BM16,0)</f>
        <v>1.130952381</v>
      </c>
      <c r="BN16" s="11">
        <f>IFERROR('Export-dataset'!BN17/'Export-dataset'!BN16,0)</f>
        <v>1.223140496</v>
      </c>
      <c r="BO16" s="11">
        <f>IFERROR('Export-dataset'!BO17/'Export-dataset'!BO16,0)</f>
        <v>0.9285714286</v>
      </c>
      <c r="BP16" s="11">
        <f>IFERROR('Export-dataset'!BP17/'Export-dataset'!BP16,0)</f>
        <v>1.085294118</v>
      </c>
      <c r="BQ16" s="11">
        <f>IFERROR('Export-dataset'!BQ17/'Export-dataset'!BQ16,0)</f>
        <v>0.9538461538</v>
      </c>
      <c r="BR16" s="11">
        <f>IFERROR('Export-dataset'!BR17/'Export-dataset'!BR16,0)</f>
        <v>1.140459364</v>
      </c>
      <c r="BS16" s="11">
        <f>IFERROR('Export-dataset'!BS17/'Export-dataset'!BS16,0)</f>
        <v>1.049010368</v>
      </c>
      <c r="BT16" s="11">
        <f>IFERROR('Export-dataset'!BT17/'Export-dataset'!BT16,0)</f>
        <v>1.089696071</v>
      </c>
      <c r="BU16" s="11">
        <f>IFERROR('Export-dataset'!BU17/'Export-dataset'!BU16,0)</f>
        <v>1.099385652</v>
      </c>
      <c r="BV16" s="11">
        <f>IFERROR('Export-dataset'!BV17/'Export-dataset'!BV16,0)</f>
        <v>1.245535714</v>
      </c>
      <c r="BW16" s="11">
        <f>IFERROR('Export-dataset'!BW17/'Export-dataset'!BW16,0)</f>
        <v>0.734939759</v>
      </c>
      <c r="BX16" s="11">
        <f>IFERROR('Export-dataset'!BX17/'Export-dataset'!BX16,0)</f>
        <v>0</v>
      </c>
      <c r="BY16" s="11">
        <f>IFERROR('Export-dataset'!BY17/'Export-dataset'!BY16,0)</f>
        <v>1.041397415</v>
      </c>
      <c r="BZ16" s="11">
        <f>IFERROR('Export-dataset'!BZ17/'Export-dataset'!BZ16,0)</f>
        <v>1.11809816</v>
      </c>
      <c r="CA16" s="11">
        <f>IFERROR('Export-dataset'!CA17/'Export-dataset'!CA16,0)</f>
        <v>1.110231226</v>
      </c>
    </row>
    <row r="17">
      <c r="A17" s="9" t="str">
        <f>'Export-dataset'!A18</f>
        <v>Y2002</v>
      </c>
      <c r="B17" s="11">
        <f>IFERROR('Export-dataset'!B18/'Export-dataset'!B17,0)</f>
        <v>0.9617063853</v>
      </c>
      <c r="C17" s="11">
        <f>IFERROR('Export-dataset'!C18/'Export-dataset'!C17,0)</f>
        <v>1.133980583</v>
      </c>
      <c r="D17" s="11">
        <f>IFERROR('Export-dataset'!D18/'Export-dataset'!D17,0)</f>
        <v>0.9345266133</v>
      </c>
      <c r="E17" s="11">
        <f>IFERROR('Export-dataset'!E18/'Export-dataset'!E17,0)</f>
        <v>0.9468678255</v>
      </c>
      <c r="F17" s="11">
        <f>IFERROR('Export-dataset'!F18/'Export-dataset'!F17,0)</f>
        <v>0.950905903</v>
      </c>
      <c r="G17" s="11">
        <f>IFERROR('Export-dataset'!G18/'Export-dataset'!G17,0)</f>
        <v>0.948734278</v>
      </c>
      <c r="H17" s="11">
        <f>IFERROR('Export-dataset'!H18/'Export-dataset'!H17,0)</f>
        <v>1.006119951</v>
      </c>
      <c r="I17" s="11">
        <f>IFERROR('Export-dataset'!I18/'Export-dataset'!I17,0)</f>
        <v>1.026785714</v>
      </c>
      <c r="J17" s="11">
        <f>IFERROR('Export-dataset'!J18/'Export-dataset'!J17,0)</f>
        <v>1.089147287</v>
      </c>
      <c r="K17" s="11">
        <f>IFERROR('Export-dataset'!K18/'Export-dataset'!K17,0)</f>
        <v>0.961885657</v>
      </c>
      <c r="L17" s="11">
        <f>IFERROR('Export-dataset'!L18/'Export-dataset'!L17,0)</f>
        <v>1.009195402</v>
      </c>
      <c r="M17" s="11">
        <f>IFERROR('Export-dataset'!M18/'Export-dataset'!M17,0)</f>
        <v>1.196159122</v>
      </c>
      <c r="N17" s="11">
        <f>IFERROR('Export-dataset'!N18/'Export-dataset'!N17,0)</f>
        <v>1.189598109</v>
      </c>
      <c r="O17" s="11">
        <f>IFERROR('Export-dataset'!O18/'Export-dataset'!O17,0)</f>
        <v>1.388888889</v>
      </c>
      <c r="P17" s="11">
        <f>IFERROR('Export-dataset'!P18/'Export-dataset'!P17,0)</f>
        <v>0.9271473038</v>
      </c>
      <c r="Q17" s="11">
        <f>IFERROR('Export-dataset'!Q18/'Export-dataset'!Q17,0)</f>
        <v>0.7946859903</v>
      </c>
      <c r="R17" s="11">
        <f>IFERROR('Export-dataset'!R18/'Export-dataset'!R17,0)</f>
        <v>1.029931973</v>
      </c>
      <c r="S17" s="11">
        <f>IFERROR('Export-dataset'!S18/'Export-dataset'!S17,0)</f>
        <v>1.117647059</v>
      </c>
      <c r="T17" s="11">
        <f>IFERROR('Export-dataset'!T18/'Export-dataset'!T17,0)</f>
        <v>1.131548312</v>
      </c>
      <c r="U17" s="11">
        <f>IFERROR('Export-dataset'!U18/'Export-dataset'!U17,0)</f>
        <v>0.9411764706</v>
      </c>
      <c r="V17" s="11">
        <f>IFERROR('Export-dataset'!V18/'Export-dataset'!V17,0)</f>
        <v>0.8771049803</v>
      </c>
      <c r="W17" s="11">
        <f>IFERROR('Export-dataset'!W18/'Export-dataset'!W17,0)</f>
        <v>0.945386064</v>
      </c>
      <c r="X17" s="11">
        <f>IFERROR('Export-dataset'!X18/'Export-dataset'!X17,0)</f>
        <v>0.9341538875</v>
      </c>
      <c r="Y17" s="11">
        <f>IFERROR('Export-dataset'!Y18/'Export-dataset'!Y17,0)</f>
        <v>0.9933993399</v>
      </c>
      <c r="Z17" s="11">
        <f>IFERROR('Export-dataset'!Z18/'Export-dataset'!Z17,0)</f>
        <v>0.9712937475</v>
      </c>
      <c r="AA17" s="11">
        <f>IFERROR('Export-dataset'!AA18/'Export-dataset'!AA17,0)</f>
        <v>1.029007512</v>
      </c>
      <c r="AB17" s="11">
        <f>IFERROR('Export-dataset'!AB18/'Export-dataset'!AB17,0)</f>
        <v>0.9359531046</v>
      </c>
      <c r="AC17" s="11">
        <f>IFERROR('Export-dataset'!AC18/'Export-dataset'!AC17,0)</f>
        <v>0.8642008639</v>
      </c>
      <c r="AD17" s="11">
        <f>IFERROR('Export-dataset'!AD18/'Export-dataset'!AD17,0)</f>
        <v>1.035598706</v>
      </c>
      <c r="AE17" s="11">
        <f>IFERROR('Export-dataset'!AE18/'Export-dataset'!AE17,0)</f>
        <v>0.9585253456</v>
      </c>
      <c r="AF17" s="11">
        <f>IFERROR('Export-dataset'!AF18/'Export-dataset'!AF17,0)</f>
        <v>1.25</v>
      </c>
      <c r="AG17" s="11">
        <f>IFERROR('Export-dataset'!AG18/'Export-dataset'!AG17,0)</f>
        <v>1.1875</v>
      </c>
      <c r="AH17" s="11">
        <f>IFERROR('Export-dataset'!AH18/'Export-dataset'!AH17,0)</f>
        <v>0.9351152074</v>
      </c>
      <c r="AI17" s="11">
        <f>IFERROR('Export-dataset'!AI18/'Export-dataset'!AI17,0)</f>
        <v>0.9632352941</v>
      </c>
      <c r="AJ17" s="11">
        <f>IFERROR('Export-dataset'!AJ18/'Export-dataset'!AJ17,0)</f>
        <v>0.9716312057</v>
      </c>
      <c r="AK17" s="11">
        <f>IFERROR('Export-dataset'!AK18/'Export-dataset'!AK17,0)</f>
        <v>1.049459042</v>
      </c>
      <c r="AL17" s="11">
        <f>IFERROR('Export-dataset'!AL18/'Export-dataset'!AL17,0)</f>
        <v>0.7986852917</v>
      </c>
      <c r="AM17" s="11">
        <f>IFERROR('Export-dataset'!AM18/'Export-dataset'!AM17,0)</f>
        <v>1.248730964</v>
      </c>
      <c r="AN17" s="11">
        <f>IFERROR('Export-dataset'!AN18/'Export-dataset'!AN17,0)</f>
        <v>0.7763157895</v>
      </c>
      <c r="AO17" s="11">
        <f>IFERROR('Export-dataset'!AO18/'Export-dataset'!AO17,0)</f>
        <v>1</v>
      </c>
      <c r="AP17" s="11">
        <f>IFERROR('Export-dataset'!AP18/'Export-dataset'!AP17,0)</f>
        <v>1.104803493</v>
      </c>
      <c r="AQ17" s="11">
        <f>IFERROR('Export-dataset'!AQ18/'Export-dataset'!AQ17,0)</f>
        <v>1.061417323</v>
      </c>
      <c r="AR17" s="11">
        <f>IFERROR('Export-dataset'!AR18/'Export-dataset'!AR17,0)</f>
        <v>0.9668174962</v>
      </c>
      <c r="AS17" s="11">
        <f>IFERROR('Export-dataset'!AS18/'Export-dataset'!AS17,0)</f>
        <v>1.141284404</v>
      </c>
      <c r="AT17" s="11">
        <f>IFERROR('Export-dataset'!AT18/'Export-dataset'!AT17,0)</f>
        <v>0.8150289017</v>
      </c>
      <c r="AU17" s="11">
        <f>IFERROR('Export-dataset'!AU18/'Export-dataset'!AU17,0)</f>
        <v>1.023041475</v>
      </c>
      <c r="AV17" s="11">
        <f>IFERROR('Export-dataset'!AV18/'Export-dataset'!AV17,0)</f>
        <v>1.19515885</v>
      </c>
      <c r="AW17" s="11">
        <f>IFERROR('Export-dataset'!AW18/'Export-dataset'!AW17,0)</f>
        <v>0.911971831</v>
      </c>
      <c r="AX17" s="11">
        <f>IFERROR('Export-dataset'!AX18/'Export-dataset'!AX17,0)</f>
        <v>0.9695378151</v>
      </c>
      <c r="AY17" s="11">
        <f>IFERROR('Export-dataset'!AY18/'Export-dataset'!AY17,0)</f>
        <v>1.078697422</v>
      </c>
      <c r="AZ17" s="11">
        <f>IFERROR('Export-dataset'!AZ18/'Export-dataset'!AZ17,0)</f>
        <v>0.926816182</v>
      </c>
      <c r="BA17" s="11">
        <f>IFERROR('Export-dataset'!BA18/'Export-dataset'!BA17,0)</f>
        <v>1.082556591</v>
      </c>
      <c r="BB17" s="11">
        <f>IFERROR('Export-dataset'!BB18/'Export-dataset'!BB17,0)</f>
        <v>1.025285363</v>
      </c>
      <c r="BC17" s="11">
        <f>IFERROR('Export-dataset'!BC18/'Export-dataset'!BC17,0)</f>
        <v>0.9</v>
      </c>
      <c r="BD17" s="11">
        <f>IFERROR('Export-dataset'!BD18/'Export-dataset'!BD17,0)</f>
        <v>0.9934593023</v>
      </c>
      <c r="BE17" s="11">
        <f>IFERROR('Export-dataset'!BE18/'Export-dataset'!BE17,0)</f>
        <v>0.6875</v>
      </c>
      <c r="BF17" s="11">
        <f>IFERROR('Export-dataset'!BF18/'Export-dataset'!BF17,0)</f>
        <v>0.9662317728</v>
      </c>
      <c r="BG17" s="11">
        <f>IFERROR('Export-dataset'!BG18/'Export-dataset'!BG17,0)</f>
        <v>0.9829059829</v>
      </c>
      <c r="BH17" s="11">
        <f>IFERROR('Export-dataset'!BH18/'Export-dataset'!BH17,0)</f>
        <v>0.5534266765</v>
      </c>
      <c r="BI17" s="11">
        <f>IFERROR('Export-dataset'!BI18/'Export-dataset'!BI17,0)</f>
        <v>1.008777063</v>
      </c>
      <c r="BJ17" s="11">
        <f>IFERROR('Export-dataset'!BJ18/'Export-dataset'!BJ17,0)</f>
        <v>1.003058824</v>
      </c>
      <c r="BK17" s="11">
        <f>IFERROR('Export-dataset'!BK18/'Export-dataset'!BK17,0)</f>
        <v>1.918465228</v>
      </c>
      <c r="BL17" s="11">
        <f>IFERROR('Export-dataset'!BL18/'Export-dataset'!BL17,0)</f>
        <v>0.9704012278</v>
      </c>
      <c r="BM17" s="11">
        <f>IFERROR('Export-dataset'!BM18/'Export-dataset'!BM17,0)</f>
        <v>1.336842105</v>
      </c>
      <c r="BN17" s="11">
        <f>IFERROR('Export-dataset'!BN18/'Export-dataset'!BN17,0)</f>
        <v>1.195945946</v>
      </c>
      <c r="BO17" s="11">
        <f>IFERROR('Export-dataset'!BO18/'Export-dataset'!BO17,0)</f>
        <v>1.153846154</v>
      </c>
      <c r="BP17" s="11">
        <f>IFERROR('Export-dataset'!BP18/'Export-dataset'!BP17,0)</f>
        <v>0.8672086721</v>
      </c>
      <c r="BQ17" s="11">
        <f>IFERROR('Export-dataset'!BQ18/'Export-dataset'!BQ17,0)</f>
        <v>0.9193548387</v>
      </c>
      <c r="BR17" s="11">
        <f>IFERROR('Export-dataset'!BR18/'Export-dataset'!BR17,0)</f>
        <v>1.034082107</v>
      </c>
      <c r="BS17" s="11">
        <f>IFERROR('Export-dataset'!BS18/'Export-dataset'!BS17,0)</f>
        <v>0.6513926325</v>
      </c>
      <c r="BT17" s="11">
        <f>IFERROR('Export-dataset'!BT18/'Export-dataset'!BT17,0)</f>
        <v>1.136054422</v>
      </c>
      <c r="BU17" s="11">
        <f>IFERROR('Export-dataset'!BU18/'Export-dataset'!BU17,0)</f>
        <v>1.033889139</v>
      </c>
      <c r="BV17" s="11">
        <f>IFERROR('Export-dataset'!BV18/'Export-dataset'!BV17,0)</f>
        <v>1.116935484</v>
      </c>
      <c r="BW17" s="11">
        <f>IFERROR('Export-dataset'!BW18/'Export-dataset'!BW17,0)</f>
        <v>1.114754098</v>
      </c>
      <c r="BX17" s="11">
        <f>IFERROR('Export-dataset'!BX18/'Export-dataset'!BX17,0)</f>
        <v>0</v>
      </c>
      <c r="BY17" s="11">
        <f>IFERROR('Export-dataset'!BY18/'Export-dataset'!BY17,0)</f>
        <v>1.029086678</v>
      </c>
      <c r="BZ17" s="11">
        <f>IFERROR('Export-dataset'!BZ18/'Export-dataset'!BZ17,0)</f>
        <v>0.9884773663</v>
      </c>
      <c r="CA17" s="11">
        <f>IFERROR('Export-dataset'!CA18/'Export-dataset'!CA17,0)</f>
        <v>0.9748069923</v>
      </c>
    </row>
    <row r="18">
      <c r="A18" s="9" t="str">
        <f>'Export-dataset'!A19</f>
        <v>Y2003</v>
      </c>
      <c r="B18" s="11">
        <f>IFERROR('Export-dataset'!B19/'Export-dataset'!B18,0)</f>
        <v>0.7749929065</v>
      </c>
      <c r="C18" s="11">
        <f>IFERROR('Export-dataset'!C19/'Export-dataset'!C18,0)</f>
        <v>0.8296232877</v>
      </c>
      <c r="D18" s="11">
        <f>IFERROR('Export-dataset'!D19/'Export-dataset'!D18,0)</f>
        <v>0.891969086</v>
      </c>
      <c r="E18" s="11">
        <f>IFERROR('Export-dataset'!E19/'Export-dataset'!E18,0)</f>
        <v>0.7173536543</v>
      </c>
      <c r="F18" s="11">
        <f>IFERROR('Export-dataset'!F19/'Export-dataset'!F18,0)</f>
        <v>0.8303626306</v>
      </c>
      <c r="G18" s="11">
        <f>IFERROR('Export-dataset'!G19/'Export-dataset'!G18,0)</f>
        <v>0.6126866924</v>
      </c>
      <c r="H18" s="11">
        <f>IFERROR('Export-dataset'!H19/'Export-dataset'!H18,0)</f>
        <v>0.748783455</v>
      </c>
      <c r="I18" s="11">
        <f>IFERROR('Export-dataset'!I19/'Export-dataset'!I18,0)</f>
        <v>0.7739130435</v>
      </c>
      <c r="J18" s="11">
        <f>IFERROR('Export-dataset'!J19/'Export-dataset'!J18,0)</f>
        <v>1</v>
      </c>
      <c r="K18" s="11">
        <f>IFERROR('Export-dataset'!K19/'Export-dataset'!K18,0)</f>
        <v>0.9051094891</v>
      </c>
      <c r="L18" s="11">
        <f>IFERROR('Export-dataset'!L19/'Export-dataset'!L18,0)</f>
        <v>1.091116173</v>
      </c>
      <c r="M18" s="11">
        <f>IFERROR('Export-dataset'!M19/'Export-dataset'!M18,0)</f>
        <v>1.00382263</v>
      </c>
      <c r="N18" s="11">
        <f>IFERROR('Export-dataset'!N19/'Export-dataset'!N18,0)</f>
        <v>1.004769475</v>
      </c>
      <c r="O18" s="11">
        <f>IFERROR('Export-dataset'!O19/'Export-dataset'!O18,0)</f>
        <v>0.98</v>
      </c>
      <c r="P18" s="11">
        <f>IFERROR('Export-dataset'!P19/'Export-dataset'!P18,0)</f>
        <v>0.9163415298</v>
      </c>
      <c r="Q18" s="11">
        <f>IFERROR('Export-dataset'!Q19/'Export-dataset'!Q18,0)</f>
        <v>0.9680851064</v>
      </c>
      <c r="R18" s="11">
        <f>IFERROR('Export-dataset'!R19/'Export-dataset'!R18,0)</f>
        <v>0.4927344782</v>
      </c>
      <c r="S18" s="11">
        <f>IFERROR('Export-dataset'!S19/'Export-dataset'!S18,0)</f>
        <v>0.8421052632</v>
      </c>
      <c r="T18" s="11">
        <f>IFERROR('Export-dataset'!T19/'Export-dataset'!T18,0)</f>
        <v>0.9866255144</v>
      </c>
      <c r="U18" s="11">
        <f>IFERROR('Export-dataset'!U19/'Export-dataset'!U18,0)</f>
        <v>1.166666667</v>
      </c>
      <c r="V18" s="11">
        <f>IFERROR('Export-dataset'!V19/'Export-dataset'!V18,0)</f>
        <v>0.7142565359</v>
      </c>
      <c r="W18" s="11">
        <f>IFERROR('Export-dataset'!W19/'Export-dataset'!W18,0)</f>
        <v>0.8964143426</v>
      </c>
      <c r="X18" s="11">
        <f>IFERROR('Export-dataset'!X19/'Export-dataset'!X18,0)</f>
        <v>1.005687954</v>
      </c>
      <c r="Y18" s="11">
        <f>IFERROR('Export-dataset'!Y19/'Export-dataset'!Y18,0)</f>
        <v>0.803986711</v>
      </c>
      <c r="Z18" s="11">
        <f>IFERROR('Export-dataset'!Z19/'Export-dataset'!Z18,0)</f>
        <v>0.8641700405</v>
      </c>
      <c r="AA18" s="11">
        <f>IFERROR('Export-dataset'!AA19/'Export-dataset'!AA18,0)</f>
        <v>0.8464704512</v>
      </c>
      <c r="AB18" s="11">
        <f>IFERROR('Export-dataset'!AB19/'Export-dataset'!AB18,0)</f>
        <v>0.8401762932</v>
      </c>
      <c r="AC18" s="11">
        <f>IFERROR('Export-dataset'!AC19/'Export-dataset'!AC18,0)</f>
        <v>1</v>
      </c>
      <c r="AD18" s="11">
        <f>IFERROR('Export-dataset'!AD19/'Export-dataset'!AD18,0)</f>
        <v>1.025</v>
      </c>
      <c r="AE18" s="11">
        <f>IFERROR('Export-dataset'!AE19/'Export-dataset'!AE18,0)</f>
        <v>1.149038462</v>
      </c>
      <c r="AF18" s="11">
        <f>IFERROR('Export-dataset'!AF19/'Export-dataset'!AF18,0)</f>
        <v>0.6909090909</v>
      </c>
      <c r="AG18" s="11">
        <f>IFERROR('Export-dataset'!AG19/'Export-dataset'!AG18,0)</f>
        <v>0.8947368421</v>
      </c>
      <c r="AH18" s="11">
        <f>IFERROR('Export-dataset'!AH19/'Export-dataset'!AH18,0)</f>
        <v>1.023654642</v>
      </c>
      <c r="AI18" s="11">
        <f>IFERROR('Export-dataset'!AI19/'Export-dataset'!AI18,0)</f>
        <v>1.106870229</v>
      </c>
      <c r="AJ18" s="11">
        <f>IFERROR('Export-dataset'!AJ19/'Export-dataset'!AJ18,0)</f>
        <v>0.9525547445</v>
      </c>
      <c r="AK18" s="11">
        <f>IFERROR('Export-dataset'!AK19/'Export-dataset'!AK18,0)</f>
        <v>0.9101620029</v>
      </c>
      <c r="AL18" s="11">
        <f>IFERROR('Export-dataset'!AL19/'Export-dataset'!AL18,0)</f>
        <v>1.150205761</v>
      </c>
      <c r="AM18" s="11">
        <f>IFERROR('Export-dataset'!AM19/'Export-dataset'!AM18,0)</f>
        <v>0.8780487805</v>
      </c>
      <c r="AN18" s="11">
        <f>IFERROR('Export-dataset'!AN19/'Export-dataset'!AN18,0)</f>
        <v>1.279661017</v>
      </c>
      <c r="AO18" s="11">
        <f>IFERROR('Export-dataset'!AO19/'Export-dataset'!AO18,0)</f>
        <v>0.8675213675</v>
      </c>
      <c r="AP18" s="11">
        <f>IFERROR('Export-dataset'!AP19/'Export-dataset'!AP18,0)</f>
        <v>0.9604743083</v>
      </c>
      <c r="AQ18" s="11">
        <f>IFERROR('Export-dataset'!AQ19/'Export-dataset'!AQ18,0)</f>
        <v>0.9540059347</v>
      </c>
      <c r="AR18" s="11">
        <f>IFERROR('Export-dataset'!AR19/'Export-dataset'!AR18,0)</f>
        <v>0.8449595127</v>
      </c>
      <c r="AS18" s="11">
        <f>IFERROR('Export-dataset'!AS19/'Export-dataset'!AS18,0)</f>
        <v>0.8360128617</v>
      </c>
      <c r="AT18" s="11">
        <f>IFERROR('Export-dataset'!AT19/'Export-dataset'!AT18,0)</f>
        <v>0.9574468085</v>
      </c>
      <c r="AU18" s="11">
        <f>IFERROR('Export-dataset'!AU19/'Export-dataset'!AU18,0)</f>
        <v>0.8783783784</v>
      </c>
      <c r="AV18" s="11">
        <f>IFERROR('Export-dataset'!AV19/'Export-dataset'!AV18,0)</f>
        <v>0.9430379747</v>
      </c>
      <c r="AW18" s="11">
        <f>IFERROR('Export-dataset'!AW19/'Export-dataset'!AW18,0)</f>
        <v>0.916988417</v>
      </c>
      <c r="AX18" s="11">
        <f>IFERROR('Export-dataset'!AX19/'Export-dataset'!AX18,0)</f>
        <v>0.9425785482</v>
      </c>
      <c r="AY18" s="11">
        <f>IFERROR('Export-dataset'!AY19/'Export-dataset'!AY18,0)</f>
        <v>1.12327044</v>
      </c>
      <c r="AZ18" s="11">
        <f>IFERROR('Export-dataset'!AZ19/'Export-dataset'!AZ18,0)</f>
        <v>0.7838369804</v>
      </c>
      <c r="BA18" s="11">
        <f>IFERROR('Export-dataset'!BA19/'Export-dataset'!BA18,0)</f>
        <v>0.9483394834</v>
      </c>
      <c r="BB18" s="11">
        <f>IFERROR('Export-dataset'!BB19/'Export-dataset'!BB18,0)</f>
        <v>0.8773252537</v>
      </c>
      <c r="BC18" s="11">
        <f>IFERROR('Export-dataset'!BC19/'Export-dataset'!BC18,0)</f>
        <v>1.105185185</v>
      </c>
      <c r="BD18" s="11">
        <f>IFERROR('Export-dataset'!BD19/'Export-dataset'!BD18,0)</f>
        <v>0.8617410388</v>
      </c>
      <c r="BE18" s="11">
        <f>IFERROR('Export-dataset'!BE19/'Export-dataset'!BE18,0)</f>
        <v>0.986013986</v>
      </c>
      <c r="BF18" s="11">
        <f>IFERROR('Export-dataset'!BF19/'Export-dataset'!BF18,0)</f>
        <v>0.9904686259</v>
      </c>
      <c r="BG18" s="11">
        <f>IFERROR('Export-dataset'!BG19/'Export-dataset'!BG18,0)</f>
        <v>0.8310559006</v>
      </c>
      <c r="BH18" s="11">
        <f>IFERROR('Export-dataset'!BH19/'Export-dataset'!BH18,0)</f>
        <v>1.037283622</v>
      </c>
      <c r="BI18" s="11">
        <f>IFERROR('Export-dataset'!BI19/'Export-dataset'!BI18,0)</f>
        <v>0.8909512761</v>
      </c>
      <c r="BJ18" s="11">
        <f>IFERROR('Export-dataset'!BJ19/'Export-dataset'!BJ18,0)</f>
        <v>0.9619985925</v>
      </c>
      <c r="BK18" s="11">
        <f>IFERROR('Export-dataset'!BK19/'Export-dataset'!BK18,0)</f>
        <v>0.5770833333</v>
      </c>
      <c r="BL18" s="11">
        <f>IFERROR('Export-dataset'!BL19/'Export-dataset'!BL18,0)</f>
        <v>0.9694984184</v>
      </c>
      <c r="BM18" s="11">
        <f>IFERROR('Export-dataset'!BM19/'Export-dataset'!BM18,0)</f>
        <v>0.7637795276</v>
      </c>
      <c r="BN18" s="11">
        <f>IFERROR('Export-dataset'!BN19/'Export-dataset'!BN18,0)</f>
        <v>0.8926553672</v>
      </c>
      <c r="BO18" s="11">
        <f>IFERROR('Export-dataset'!BO19/'Export-dataset'!BO18,0)</f>
        <v>1.4</v>
      </c>
      <c r="BP18" s="11">
        <f>IFERROR('Export-dataset'!BP19/'Export-dataset'!BP18,0)</f>
        <v>1.034375</v>
      </c>
      <c r="BQ18" s="11">
        <f>IFERROR('Export-dataset'!BQ19/'Export-dataset'!BQ18,0)</f>
        <v>0.8771929825</v>
      </c>
      <c r="BR18" s="11">
        <f>IFERROR('Export-dataset'!BR19/'Export-dataset'!BR18,0)</f>
        <v>0.9026217228</v>
      </c>
      <c r="BS18" s="11">
        <f>IFERROR('Export-dataset'!BS19/'Export-dataset'!BS18,0)</f>
        <v>0.804137931</v>
      </c>
      <c r="BT18" s="11">
        <f>IFERROR('Export-dataset'!BT19/'Export-dataset'!BT18,0)</f>
        <v>1.105389222</v>
      </c>
      <c r="BU18" s="11">
        <f>IFERROR('Export-dataset'!BU19/'Export-dataset'!BU18,0)</f>
        <v>1.200069741</v>
      </c>
      <c r="BV18" s="11">
        <f>IFERROR('Export-dataset'!BV19/'Export-dataset'!BV18,0)</f>
        <v>1.08423586</v>
      </c>
      <c r="BW18" s="11">
        <f>IFERROR('Export-dataset'!BW19/'Export-dataset'!BW18,0)</f>
        <v>1.176470588</v>
      </c>
      <c r="BX18" s="11">
        <f>IFERROR('Export-dataset'!BX19/'Export-dataset'!BX18,0)</f>
        <v>0</v>
      </c>
      <c r="BY18" s="11">
        <f>IFERROR('Export-dataset'!BY19/'Export-dataset'!BY18,0)</f>
        <v>1.104767288</v>
      </c>
      <c r="BZ18" s="11">
        <f>IFERROR('Export-dataset'!BZ19/'Export-dataset'!BZ18,0)</f>
        <v>1.421038024</v>
      </c>
      <c r="CA18" s="11">
        <f>IFERROR('Export-dataset'!CA19/'Export-dataset'!CA18,0)</f>
        <v>0.903831825</v>
      </c>
    </row>
    <row r="19">
      <c r="A19" s="9" t="str">
        <f>'Export-dataset'!A20</f>
        <v>Y2004</v>
      </c>
      <c r="B19" s="11">
        <f>IFERROR('Export-dataset'!B20/'Export-dataset'!B19,0)</f>
        <v>1.246948987</v>
      </c>
      <c r="C19" s="11">
        <f>IFERROR('Export-dataset'!C20/'Export-dataset'!C19,0)</f>
        <v>0.8555211558</v>
      </c>
      <c r="D19" s="11">
        <f>IFERROR('Export-dataset'!D20/'Export-dataset'!D19,0)</f>
        <v>1.234130721</v>
      </c>
      <c r="E19" s="11">
        <f>IFERROR('Export-dataset'!E20/'Export-dataset'!E19,0)</f>
        <v>1.147754708</v>
      </c>
      <c r="F19" s="11">
        <f>IFERROR('Export-dataset'!F20/'Export-dataset'!F19,0)</f>
        <v>0.911176906</v>
      </c>
      <c r="G19" s="11">
        <f>IFERROR('Export-dataset'!G20/'Export-dataset'!G19,0)</f>
        <v>1.695973706</v>
      </c>
      <c r="H19" s="11">
        <f>IFERROR('Export-dataset'!H20/'Export-dataset'!H19,0)</f>
        <v>1.043866775</v>
      </c>
      <c r="I19" s="11">
        <f>IFERROR('Export-dataset'!I20/'Export-dataset'!I19,0)</f>
        <v>1.123595506</v>
      </c>
      <c r="J19" s="11">
        <f>IFERROR('Export-dataset'!J20/'Export-dataset'!J19,0)</f>
        <v>1.017793594</v>
      </c>
      <c r="K19" s="11">
        <f>IFERROR('Export-dataset'!K20/'Export-dataset'!K19,0)</f>
        <v>1.171658986</v>
      </c>
      <c r="L19" s="11">
        <f>IFERROR('Export-dataset'!L20/'Export-dataset'!L19,0)</f>
        <v>0.9728601253</v>
      </c>
      <c r="M19" s="11">
        <f>IFERROR('Export-dataset'!M20/'Export-dataset'!M19,0)</f>
        <v>1.12033511</v>
      </c>
      <c r="N19" s="11">
        <f>IFERROR('Export-dataset'!N20/'Export-dataset'!N19,0)</f>
        <v>1.122231013</v>
      </c>
      <c r="O19" s="11">
        <f>IFERROR('Export-dataset'!O20/'Export-dataset'!O19,0)</f>
        <v>1.071428571</v>
      </c>
      <c r="P19" s="11">
        <f>IFERROR('Export-dataset'!P20/'Export-dataset'!P19,0)</f>
        <v>1.141598178</v>
      </c>
      <c r="Q19" s="11">
        <f>IFERROR('Export-dataset'!Q20/'Export-dataset'!Q19,0)</f>
        <v>1.076923077</v>
      </c>
      <c r="R19" s="11">
        <f>IFERROR('Export-dataset'!R20/'Export-dataset'!R19,0)</f>
        <v>1.702412869</v>
      </c>
      <c r="S19" s="11">
        <f>IFERROR('Export-dataset'!S20/'Export-dataset'!S19,0)</f>
        <v>0.9375</v>
      </c>
      <c r="T19" s="11">
        <f>IFERROR('Export-dataset'!T20/'Export-dataset'!T19,0)</f>
        <v>1.087591241</v>
      </c>
      <c r="U19" s="11">
        <f>IFERROR('Export-dataset'!U20/'Export-dataset'!U19,0)</f>
        <v>1.232142857</v>
      </c>
      <c r="V19" s="11">
        <f>IFERROR('Export-dataset'!V20/'Export-dataset'!V19,0)</f>
        <v>1.02373463</v>
      </c>
      <c r="W19" s="11">
        <f>IFERROR('Export-dataset'!W20/'Export-dataset'!W19,0)</f>
        <v>0.9333333333</v>
      </c>
      <c r="X19" s="11">
        <f>IFERROR('Export-dataset'!X20/'Export-dataset'!X19,0)</f>
        <v>1.169315578</v>
      </c>
      <c r="Y19" s="11">
        <f>IFERROR('Export-dataset'!Y20/'Export-dataset'!Y19,0)</f>
        <v>1.144628099</v>
      </c>
      <c r="Z19" s="11">
        <f>IFERROR('Export-dataset'!Z20/'Export-dataset'!Z19,0)</f>
        <v>1.116701804</v>
      </c>
      <c r="AA19" s="11">
        <f>IFERROR('Export-dataset'!AA20/'Export-dataset'!AA19,0)</f>
        <v>1.236238532</v>
      </c>
      <c r="AB19" s="11">
        <f>IFERROR('Export-dataset'!AB20/'Export-dataset'!AB19,0)</f>
        <v>0.9784649365</v>
      </c>
      <c r="AC19" s="11">
        <f>IFERROR('Export-dataset'!AC20/'Export-dataset'!AC19,0)</f>
        <v>1.022492971</v>
      </c>
      <c r="AD19" s="11">
        <f>IFERROR('Export-dataset'!AD20/'Export-dataset'!AD19,0)</f>
        <v>1.115853659</v>
      </c>
      <c r="AE19" s="11">
        <f>IFERROR('Export-dataset'!AE20/'Export-dataset'!AE19,0)</f>
        <v>1.0041841</v>
      </c>
      <c r="AF19" s="11">
        <f>IFERROR('Export-dataset'!AF20/'Export-dataset'!AF19,0)</f>
        <v>1.605263158</v>
      </c>
      <c r="AG19" s="11">
        <f>IFERROR('Export-dataset'!AG20/'Export-dataset'!AG19,0)</f>
        <v>1.274509804</v>
      </c>
      <c r="AH19" s="11">
        <f>IFERROR('Export-dataset'!AH20/'Export-dataset'!AH19,0)</f>
        <v>1.064124783</v>
      </c>
      <c r="AI19" s="11">
        <f>IFERROR('Export-dataset'!AI20/'Export-dataset'!AI19,0)</f>
        <v>0.9034482759</v>
      </c>
      <c r="AJ19" s="11">
        <f>IFERROR('Export-dataset'!AJ20/'Export-dataset'!AJ19,0)</f>
        <v>0.9808429119</v>
      </c>
      <c r="AK19" s="11">
        <f>IFERROR('Export-dataset'!AK20/'Export-dataset'!AK19,0)</f>
        <v>1.014563107</v>
      </c>
      <c r="AL19" s="11">
        <f>IFERROR('Export-dataset'!AL20/'Export-dataset'!AL19,0)</f>
        <v>1.16234347</v>
      </c>
      <c r="AM19" s="11">
        <f>IFERROR('Export-dataset'!AM20/'Export-dataset'!AM19,0)</f>
        <v>0.9652777778</v>
      </c>
      <c r="AN19" s="11">
        <f>IFERROR('Export-dataset'!AN20/'Export-dataset'!AN19,0)</f>
        <v>0.9006622517</v>
      </c>
      <c r="AO19" s="11">
        <f>IFERROR('Export-dataset'!AO20/'Export-dataset'!AO19,0)</f>
        <v>1.0591133</v>
      </c>
      <c r="AP19" s="11">
        <f>IFERROR('Export-dataset'!AP20/'Export-dataset'!AP19,0)</f>
        <v>1.160493827</v>
      </c>
      <c r="AQ19" s="11">
        <f>IFERROR('Export-dataset'!AQ20/'Export-dataset'!AQ19,0)</f>
        <v>0.9440124417</v>
      </c>
      <c r="AR19" s="11">
        <f>IFERROR('Export-dataset'!AR20/'Export-dataset'!AR19,0)</f>
        <v>1.056004924</v>
      </c>
      <c r="AS19" s="11">
        <f>IFERROR('Export-dataset'!AS20/'Export-dataset'!AS19,0)</f>
        <v>0.8692307692</v>
      </c>
      <c r="AT19" s="11">
        <f>IFERROR('Export-dataset'!AT20/'Export-dataset'!AT19,0)</f>
        <v>1.074074074</v>
      </c>
      <c r="AU19" s="11">
        <f>IFERROR('Export-dataset'!AU20/'Export-dataset'!AU19,0)</f>
        <v>1.18974359</v>
      </c>
      <c r="AV19" s="11">
        <f>IFERROR('Export-dataset'!AV20/'Export-dataset'!AV19,0)</f>
        <v>1.025503356</v>
      </c>
      <c r="AW19" s="11">
        <f>IFERROR('Export-dataset'!AW20/'Export-dataset'!AW19,0)</f>
        <v>0.9368421053</v>
      </c>
      <c r="AX19" s="11">
        <f>IFERROR('Export-dataset'!AX20/'Export-dataset'!AX19,0)</f>
        <v>0.9528735632</v>
      </c>
      <c r="AY19" s="11">
        <f>IFERROR('Export-dataset'!AY20/'Export-dataset'!AY19,0)</f>
        <v>0.9708846585</v>
      </c>
      <c r="AZ19" s="11">
        <f>IFERROR('Export-dataset'!AZ20/'Export-dataset'!AZ19,0)</f>
        <v>1.108714919</v>
      </c>
      <c r="BA19" s="11">
        <f>IFERROR('Export-dataset'!BA20/'Export-dataset'!BA19,0)</f>
        <v>1</v>
      </c>
      <c r="BB19" s="11">
        <f>IFERROR('Export-dataset'!BB20/'Export-dataset'!BB19,0)</f>
        <v>0.9613685648</v>
      </c>
      <c r="BC19" s="11">
        <f>IFERROR('Export-dataset'!BC20/'Export-dataset'!BC19,0)</f>
        <v>1.253351206</v>
      </c>
      <c r="BD19" s="11">
        <f>IFERROR('Export-dataset'!BD20/'Export-dataset'!BD19,0)</f>
        <v>1.007640068</v>
      </c>
      <c r="BE19" s="11">
        <f>IFERROR('Export-dataset'!BE20/'Export-dataset'!BE19,0)</f>
        <v>0.9716312057</v>
      </c>
      <c r="BF19" s="11">
        <f>IFERROR('Export-dataset'!BF20/'Export-dataset'!BF19,0)</f>
        <v>1.098636728</v>
      </c>
      <c r="BG19" s="11">
        <f>IFERROR('Export-dataset'!BG20/'Export-dataset'!BG19,0)</f>
        <v>0.8430493274</v>
      </c>
      <c r="BH19" s="11">
        <f>IFERROR('Export-dataset'!BH20/'Export-dataset'!BH19,0)</f>
        <v>1.102695764</v>
      </c>
      <c r="BI19" s="11">
        <f>IFERROR('Export-dataset'!BI20/'Export-dataset'!BI19,0)</f>
        <v>1.000651042</v>
      </c>
      <c r="BJ19" s="11">
        <f>IFERROR('Export-dataset'!BJ20/'Export-dataset'!BJ19,0)</f>
        <v>0.9624481834</v>
      </c>
      <c r="BK19" s="11">
        <f>IFERROR('Export-dataset'!BK20/'Export-dataset'!BK19,0)</f>
        <v>0.6281588448</v>
      </c>
      <c r="BL19" s="11">
        <f>IFERROR('Export-dataset'!BL20/'Export-dataset'!BL19,0)</f>
        <v>1.02680028</v>
      </c>
      <c r="BM19" s="11">
        <f>IFERROR('Export-dataset'!BM20/'Export-dataset'!BM19,0)</f>
        <v>1.020618557</v>
      </c>
      <c r="BN19" s="11">
        <f>IFERROR('Export-dataset'!BN20/'Export-dataset'!BN19,0)</f>
        <v>0.835443038</v>
      </c>
      <c r="BO19" s="11">
        <f>IFERROR('Export-dataset'!BO20/'Export-dataset'!BO19,0)</f>
        <v>1</v>
      </c>
      <c r="BP19" s="11">
        <f>IFERROR('Export-dataset'!BP20/'Export-dataset'!BP19,0)</f>
        <v>0.8761329305</v>
      </c>
      <c r="BQ19" s="11">
        <f>IFERROR('Export-dataset'!BQ20/'Export-dataset'!BQ19,0)</f>
        <v>0.88</v>
      </c>
      <c r="BR19" s="11">
        <f>IFERROR('Export-dataset'!BR20/'Export-dataset'!BR19,0)</f>
        <v>1.084647303</v>
      </c>
      <c r="BS19" s="11">
        <f>IFERROR('Export-dataset'!BS20/'Export-dataset'!BS19,0)</f>
        <v>0.9725557461</v>
      </c>
      <c r="BT19" s="11">
        <f>IFERROR('Export-dataset'!BT20/'Export-dataset'!BT19,0)</f>
        <v>1.054171181</v>
      </c>
      <c r="BU19" s="11">
        <f>IFERROR('Export-dataset'!BU20/'Export-dataset'!BU19,0)</f>
        <v>0.9600464914</v>
      </c>
      <c r="BV19" s="11">
        <f>IFERROR('Export-dataset'!BV20/'Export-dataset'!BV19,0)</f>
        <v>0.7162412135</v>
      </c>
      <c r="BW19" s="11">
        <f>IFERROR('Export-dataset'!BW20/'Export-dataset'!BW19,0)</f>
        <v>1.3625</v>
      </c>
      <c r="BX19" s="11">
        <f>IFERROR('Export-dataset'!BX20/'Export-dataset'!BX19,0)</f>
        <v>0</v>
      </c>
      <c r="BY19" s="11">
        <f>IFERROR('Export-dataset'!BY20/'Export-dataset'!BY19,0)</f>
        <v>0.9621354256</v>
      </c>
      <c r="BZ19" s="11">
        <f>IFERROR('Export-dataset'!BZ20/'Export-dataset'!BZ19,0)</f>
        <v>1.080078125</v>
      </c>
      <c r="CA19" s="11">
        <f>IFERROR('Export-dataset'!CA20/'Export-dataset'!CA19,0)</f>
        <v>1.090829937</v>
      </c>
    </row>
    <row r="20">
      <c r="A20" s="9" t="str">
        <f>'Export-dataset'!A21</f>
        <v>Y2005</v>
      </c>
      <c r="B20" s="11">
        <f>IFERROR('Export-dataset'!B21/'Export-dataset'!B20,0)</f>
        <v>0.9169562026</v>
      </c>
      <c r="C20" s="11">
        <f>IFERROR('Export-dataset'!C21/'Export-dataset'!C20,0)</f>
        <v>0.9855247286</v>
      </c>
      <c r="D20" s="11">
        <f>IFERROR('Export-dataset'!D21/'Export-dataset'!D20,0)</f>
        <v>1.047008547</v>
      </c>
      <c r="E20" s="11">
        <f>IFERROR('Export-dataset'!E21/'Export-dataset'!E20,0)</f>
        <v>1.026083298</v>
      </c>
      <c r="F20" s="11">
        <f>IFERROR('Export-dataset'!F21/'Export-dataset'!F20,0)</f>
        <v>0.9926888708</v>
      </c>
      <c r="G20" s="11">
        <f>IFERROR('Export-dataset'!G21/'Export-dataset'!G20,0)</f>
        <v>0.7115633075</v>
      </c>
      <c r="H20" s="11">
        <f>IFERROR('Export-dataset'!H21/'Export-dataset'!H20,0)</f>
        <v>1.00311284</v>
      </c>
      <c r="I20" s="11">
        <f>IFERROR('Export-dataset'!I21/'Export-dataset'!I20,0)</f>
        <v>1.06</v>
      </c>
      <c r="J20" s="11">
        <f>IFERROR('Export-dataset'!J21/'Export-dataset'!J20,0)</f>
        <v>0.8566433566</v>
      </c>
      <c r="K20" s="11">
        <f>IFERROR('Export-dataset'!K21/'Export-dataset'!K20,0)</f>
        <v>0.7925270403</v>
      </c>
      <c r="L20" s="11">
        <f>IFERROR('Export-dataset'!L21/'Export-dataset'!L20,0)</f>
        <v>0.9484978541</v>
      </c>
      <c r="M20" s="11">
        <f>IFERROR('Export-dataset'!M21/'Export-dataset'!M20,0)</f>
        <v>1.006458192</v>
      </c>
      <c r="N20" s="11">
        <f>IFERROR('Export-dataset'!N21/'Export-dataset'!N20,0)</f>
        <v>1.016566796</v>
      </c>
      <c r="O20" s="11">
        <f>IFERROR('Export-dataset'!O21/'Export-dataset'!O20,0)</f>
        <v>0.7333333333</v>
      </c>
      <c r="P20" s="11">
        <f>IFERROR('Export-dataset'!P21/'Export-dataset'!P20,0)</f>
        <v>1.306618094</v>
      </c>
      <c r="Q20" s="11">
        <f>IFERROR('Export-dataset'!Q21/'Export-dataset'!Q20,0)</f>
        <v>0.9081632653</v>
      </c>
      <c r="R20" s="11">
        <f>IFERROR('Export-dataset'!R21/'Export-dataset'!R20,0)</f>
        <v>0.6267716535</v>
      </c>
      <c r="S20" s="11">
        <f>IFERROR('Export-dataset'!S21/'Export-dataset'!S20,0)</f>
        <v>0.6</v>
      </c>
      <c r="T20" s="11">
        <f>IFERROR('Export-dataset'!T21/'Export-dataset'!T20,0)</f>
        <v>0.975071908</v>
      </c>
      <c r="U20" s="11">
        <f>IFERROR('Export-dataset'!U21/'Export-dataset'!U20,0)</f>
        <v>1.898550725</v>
      </c>
      <c r="V20" s="11">
        <f>IFERROR('Export-dataset'!V21/'Export-dataset'!V20,0)</f>
        <v>0.9391061453</v>
      </c>
      <c r="W20" s="11">
        <f>IFERROR('Export-dataset'!W21/'Export-dataset'!W20,0)</f>
        <v>1.197619048</v>
      </c>
      <c r="X20" s="11">
        <f>IFERROR('Export-dataset'!X21/'Export-dataset'!X20,0)</f>
        <v>1.45753995</v>
      </c>
      <c r="Y20" s="11">
        <f>IFERROR('Export-dataset'!Y21/'Export-dataset'!Y20,0)</f>
        <v>1.007220217</v>
      </c>
      <c r="Z20" s="11">
        <f>IFERROR('Export-dataset'!Z21/'Export-dataset'!Z20,0)</f>
        <v>1.492322537</v>
      </c>
      <c r="AA20" s="11">
        <f>IFERROR('Export-dataset'!AA21/'Export-dataset'!AA20,0)</f>
        <v>1.624860853</v>
      </c>
      <c r="AB20" s="11">
        <f>IFERROR('Export-dataset'!AB21/'Export-dataset'!AB20,0)</f>
        <v>1.277370203</v>
      </c>
      <c r="AC20" s="11">
        <f>IFERROR('Export-dataset'!AC21/'Export-dataset'!AC20,0)</f>
        <v>1.412160098</v>
      </c>
      <c r="AD20" s="11">
        <f>IFERROR('Export-dataset'!AD21/'Export-dataset'!AD20,0)</f>
        <v>0.8087431694</v>
      </c>
      <c r="AE20" s="11">
        <f>IFERROR('Export-dataset'!AE21/'Export-dataset'!AE20,0)</f>
        <v>0.85</v>
      </c>
      <c r="AF20" s="11">
        <f>IFERROR('Export-dataset'!AF21/'Export-dataset'!AF20,0)</f>
        <v>0.9180327869</v>
      </c>
      <c r="AG20" s="11">
        <f>IFERROR('Export-dataset'!AG21/'Export-dataset'!AG20,0)</f>
        <v>0.5538461538</v>
      </c>
      <c r="AH20" s="11">
        <f>IFERROR('Export-dataset'!AH21/'Export-dataset'!AH20,0)</f>
        <v>1.169019182</v>
      </c>
      <c r="AI20" s="11">
        <f>IFERROR('Export-dataset'!AI21/'Export-dataset'!AI20,0)</f>
        <v>1.022900763</v>
      </c>
      <c r="AJ20" s="11">
        <f>IFERROR('Export-dataset'!AJ21/'Export-dataset'!AJ20,0)</f>
        <v>1.056640625</v>
      </c>
      <c r="AK20" s="11">
        <f>IFERROR('Export-dataset'!AK21/'Export-dataset'!AK20,0)</f>
        <v>0.9968102073</v>
      </c>
      <c r="AL20" s="11">
        <f>IFERROR('Export-dataset'!AL21/'Export-dataset'!AL20,0)</f>
        <v>1.242400923</v>
      </c>
      <c r="AM20" s="11">
        <f>IFERROR('Export-dataset'!AM21/'Export-dataset'!AM20,0)</f>
        <v>1.107913669</v>
      </c>
      <c r="AN20" s="11">
        <f>IFERROR('Export-dataset'!AN21/'Export-dataset'!AN20,0)</f>
        <v>1.382352941</v>
      </c>
      <c r="AO20" s="11">
        <f>IFERROR('Export-dataset'!AO21/'Export-dataset'!AO20,0)</f>
        <v>1.441860465</v>
      </c>
      <c r="AP20" s="11">
        <f>IFERROR('Export-dataset'!AP21/'Export-dataset'!AP20,0)</f>
        <v>1.124113475</v>
      </c>
      <c r="AQ20" s="11">
        <f>IFERROR('Export-dataset'!AQ21/'Export-dataset'!AQ20,0)</f>
        <v>1.077429984</v>
      </c>
      <c r="AR20" s="11">
        <f>IFERROR('Export-dataset'!AR21/'Export-dataset'!AR20,0)</f>
        <v>1.076929481</v>
      </c>
      <c r="AS20" s="11">
        <f>IFERROR('Export-dataset'!AS21/'Export-dataset'!AS20,0)</f>
        <v>0.8805309735</v>
      </c>
      <c r="AT20" s="11">
        <f>IFERROR('Export-dataset'!AT21/'Export-dataset'!AT20,0)</f>
        <v>1.15862069</v>
      </c>
      <c r="AU20" s="11">
        <f>IFERROR('Export-dataset'!AU21/'Export-dataset'!AU20,0)</f>
        <v>1.017241379</v>
      </c>
      <c r="AV20" s="11">
        <f>IFERROR('Export-dataset'!AV21/'Export-dataset'!AV20,0)</f>
        <v>0.917539267</v>
      </c>
      <c r="AW20" s="11">
        <f>IFERROR('Export-dataset'!AW21/'Export-dataset'!AW20,0)</f>
        <v>0.9662921348</v>
      </c>
      <c r="AX20" s="11">
        <f>IFERROR('Export-dataset'!AX21/'Export-dataset'!AX20,0)</f>
        <v>1.034981906</v>
      </c>
      <c r="AY20" s="11">
        <f>IFERROR('Export-dataset'!AY21/'Export-dataset'!AY20,0)</f>
        <v>0.860438293</v>
      </c>
      <c r="AZ20" s="11">
        <f>IFERROR('Export-dataset'!AZ21/'Export-dataset'!AZ20,0)</f>
        <v>1.137756461</v>
      </c>
      <c r="BA20" s="11">
        <f>IFERROR('Export-dataset'!BA21/'Export-dataset'!BA20,0)</f>
        <v>1.112840467</v>
      </c>
      <c r="BB20" s="11">
        <f>IFERROR('Export-dataset'!BB21/'Export-dataset'!BB20,0)</f>
        <v>1.097827903</v>
      </c>
      <c r="BC20" s="11">
        <f>IFERROR('Export-dataset'!BC21/'Export-dataset'!BC20,0)</f>
        <v>1.196791444</v>
      </c>
      <c r="BD20" s="11">
        <f>IFERROR('Export-dataset'!BD21/'Export-dataset'!BD20,0)</f>
        <v>1.199663016</v>
      </c>
      <c r="BE20" s="11">
        <f>IFERROR('Export-dataset'!BE21/'Export-dataset'!BE20,0)</f>
        <v>1.335766423</v>
      </c>
      <c r="BF20" s="11">
        <f>IFERROR('Export-dataset'!BF21/'Export-dataset'!BF20,0)</f>
        <v>1.090510949</v>
      </c>
      <c r="BG20" s="11">
        <f>IFERROR('Export-dataset'!BG21/'Export-dataset'!BG20,0)</f>
        <v>1.07712766</v>
      </c>
      <c r="BH20" s="11">
        <f>IFERROR('Export-dataset'!BH21/'Export-dataset'!BH20,0)</f>
        <v>0.924330617</v>
      </c>
      <c r="BI20" s="11">
        <f>IFERROR('Export-dataset'!BI21/'Export-dataset'!BI20,0)</f>
        <v>0.9908913468</v>
      </c>
      <c r="BJ20" s="11">
        <f>IFERROR('Export-dataset'!BJ21/'Export-dataset'!BJ20,0)</f>
        <v>1.086141373</v>
      </c>
      <c r="BK20" s="11">
        <f>IFERROR('Export-dataset'!BK21/'Export-dataset'!BK20,0)</f>
        <v>1.266666667</v>
      </c>
      <c r="BL20" s="11">
        <f>IFERROR('Export-dataset'!BL21/'Export-dataset'!BL20,0)</f>
        <v>1.008851566</v>
      </c>
      <c r="BM20" s="11">
        <f>IFERROR('Export-dataset'!BM21/'Export-dataset'!BM20,0)</f>
        <v>1.171717172</v>
      </c>
      <c r="BN20" s="11">
        <f>IFERROR('Export-dataset'!BN21/'Export-dataset'!BN20,0)</f>
        <v>0.9924242424</v>
      </c>
      <c r="BO20" s="11">
        <f>IFERROR('Export-dataset'!BO21/'Export-dataset'!BO20,0)</f>
        <v>1.142857143</v>
      </c>
      <c r="BP20" s="11">
        <f>IFERROR('Export-dataset'!BP21/'Export-dataset'!BP20,0)</f>
        <v>0.9344827586</v>
      </c>
      <c r="BQ20" s="11">
        <f>IFERROR('Export-dataset'!BQ21/'Export-dataset'!BQ20,0)</f>
        <v>1</v>
      </c>
      <c r="BR20" s="11">
        <f>IFERROR('Export-dataset'!BR21/'Export-dataset'!BR20,0)</f>
        <v>1.147666412</v>
      </c>
      <c r="BS20" s="11">
        <f>IFERROR('Export-dataset'!BS21/'Export-dataset'!BS20,0)</f>
        <v>0.5961199295</v>
      </c>
      <c r="BT20" s="11">
        <f>IFERROR('Export-dataset'!BT21/'Export-dataset'!BT20,0)</f>
        <v>1.038540596</v>
      </c>
      <c r="BU20" s="11">
        <f>IFERROR('Export-dataset'!BU21/'Export-dataset'!BU20,0)</f>
        <v>1.089891041</v>
      </c>
      <c r="BV20" s="11">
        <f>IFERROR('Export-dataset'!BV21/'Export-dataset'!BV20,0)</f>
        <v>1.041838843</v>
      </c>
      <c r="BW20" s="11">
        <f>IFERROR('Export-dataset'!BW21/'Export-dataset'!BW20,0)</f>
        <v>1.036697248</v>
      </c>
      <c r="BX20" s="11">
        <f>IFERROR('Export-dataset'!BX21/'Export-dataset'!BX20,0)</f>
        <v>0</v>
      </c>
      <c r="BY20" s="11">
        <f>IFERROR('Export-dataset'!BY21/'Export-dataset'!BY20,0)</f>
        <v>1.032263783</v>
      </c>
      <c r="BZ20" s="11">
        <f>IFERROR('Export-dataset'!BZ21/'Export-dataset'!BZ20,0)</f>
        <v>1.166546112</v>
      </c>
      <c r="CA20" s="11">
        <f>IFERROR('Export-dataset'!CA21/'Export-dataset'!CA20,0)</f>
        <v>1.180977532</v>
      </c>
    </row>
    <row r="21" ht="15.75" customHeight="1">
      <c r="A21" s="9" t="str">
        <f>'Export-dataset'!A22</f>
        <v>Y2006</v>
      </c>
      <c r="B21" s="11">
        <f>IFERROR('Export-dataset'!B22/'Export-dataset'!B21,0)</f>
        <v>1.070818657</v>
      </c>
      <c r="C21" s="11">
        <f>IFERROR('Export-dataset'!C22/'Export-dataset'!C21,0)</f>
        <v>1.078335373</v>
      </c>
      <c r="D21" s="11">
        <f>IFERROR('Export-dataset'!D22/'Export-dataset'!D21,0)</f>
        <v>1.032653061</v>
      </c>
      <c r="E21" s="11">
        <f>IFERROR('Export-dataset'!E22/'Export-dataset'!E21,0)</f>
        <v>0.9938499385</v>
      </c>
      <c r="F21" s="11">
        <f>IFERROR('Export-dataset'!F22/'Export-dataset'!F21,0)</f>
        <v>1</v>
      </c>
      <c r="G21" s="11">
        <f>IFERROR('Export-dataset'!G22/'Export-dataset'!G21,0)</f>
        <v>1.178620064</v>
      </c>
      <c r="H21" s="11">
        <f>IFERROR('Export-dataset'!H22/'Export-dataset'!H21,0)</f>
        <v>1.127230411</v>
      </c>
      <c r="I21" s="11">
        <f>IFERROR('Export-dataset'!I22/'Export-dataset'!I21,0)</f>
        <v>1.311320755</v>
      </c>
      <c r="J21" s="11">
        <f>IFERROR('Export-dataset'!J22/'Export-dataset'!J21,0)</f>
        <v>0.8857142857</v>
      </c>
      <c r="K21" s="11">
        <f>IFERROR('Export-dataset'!K22/'Export-dataset'!K21,0)</f>
        <v>1.084367246</v>
      </c>
      <c r="L21" s="11">
        <f>IFERROR('Export-dataset'!L22/'Export-dataset'!L21,0)</f>
        <v>0.9932126697</v>
      </c>
      <c r="M21" s="11">
        <f>IFERROR('Export-dataset'!M22/'Export-dataset'!M21,0)</f>
        <v>1.015873016</v>
      </c>
      <c r="N21" s="11">
        <f>IFERROR('Export-dataset'!N22/'Export-dataset'!N21,0)</f>
        <v>1.002773925</v>
      </c>
      <c r="O21" s="11">
        <f>IFERROR('Export-dataset'!O22/'Export-dataset'!O21,0)</f>
        <v>1.506493506</v>
      </c>
      <c r="P21" s="11">
        <f>IFERROR('Export-dataset'!P22/'Export-dataset'!P21,0)</f>
        <v>1.300683749</v>
      </c>
      <c r="Q21" s="11">
        <f>IFERROR('Export-dataset'!Q22/'Export-dataset'!Q21,0)</f>
        <v>1.060995185</v>
      </c>
      <c r="R21" s="11">
        <f>IFERROR('Export-dataset'!R22/'Export-dataset'!R21,0)</f>
        <v>0.9195979899</v>
      </c>
      <c r="S21" s="11">
        <f>IFERROR('Export-dataset'!S22/'Export-dataset'!S21,0)</f>
        <v>0</v>
      </c>
      <c r="T21" s="11">
        <f>IFERROR('Export-dataset'!T22/'Export-dataset'!T21,0)</f>
        <v>1.123893805</v>
      </c>
      <c r="U21" s="11">
        <f>IFERROR('Export-dataset'!U22/'Export-dataset'!U21,0)</f>
        <v>1.20610687</v>
      </c>
      <c r="V21" s="11">
        <f>IFERROR('Export-dataset'!V22/'Export-dataset'!V21,0)</f>
        <v>1.015764426</v>
      </c>
      <c r="W21" s="11">
        <f>IFERROR('Export-dataset'!W22/'Export-dataset'!W21,0)</f>
        <v>1.077534791</v>
      </c>
      <c r="X21" s="11">
        <f>IFERROR('Export-dataset'!X22/'Export-dataset'!X21,0)</f>
        <v>1.372091069</v>
      </c>
      <c r="Y21" s="11">
        <f>IFERROR('Export-dataset'!Y22/'Export-dataset'!Y21,0)</f>
        <v>0.853046595</v>
      </c>
      <c r="Z21" s="11">
        <f>IFERROR('Export-dataset'!Z22/'Export-dataset'!Z21,0)</f>
        <v>1.105816536</v>
      </c>
      <c r="AA21" s="11">
        <f>IFERROR('Export-dataset'!AA22/'Export-dataset'!AA21,0)</f>
        <v>1.066773236</v>
      </c>
      <c r="AB21" s="11">
        <f>IFERROR('Export-dataset'!AB22/'Export-dataset'!AB21,0)</f>
        <v>1.083719903</v>
      </c>
      <c r="AC21" s="11">
        <f>IFERROR('Export-dataset'!AC22/'Export-dataset'!AC21,0)</f>
        <v>1.334054522</v>
      </c>
      <c r="AD21" s="11">
        <f>IFERROR('Export-dataset'!AD22/'Export-dataset'!AD21,0)</f>
        <v>0.9594594595</v>
      </c>
      <c r="AE21" s="11">
        <f>IFERROR('Export-dataset'!AE22/'Export-dataset'!AE21,0)</f>
        <v>1.009803922</v>
      </c>
      <c r="AF21" s="11">
        <f>IFERROR('Export-dataset'!AF22/'Export-dataset'!AF21,0)</f>
        <v>1.160714286</v>
      </c>
      <c r="AG21" s="11">
        <f>IFERROR('Export-dataset'!AG22/'Export-dataset'!AG21,0)</f>
        <v>0.3611111111</v>
      </c>
      <c r="AH21" s="11">
        <f>IFERROR('Export-dataset'!AH22/'Export-dataset'!AH21,0)</f>
        <v>1.06873065</v>
      </c>
      <c r="AI21" s="11">
        <f>IFERROR('Export-dataset'!AI22/'Export-dataset'!AI21,0)</f>
        <v>1.171641791</v>
      </c>
      <c r="AJ21" s="11">
        <f>IFERROR('Export-dataset'!AJ22/'Export-dataset'!AJ21,0)</f>
        <v>1.197781885</v>
      </c>
      <c r="AK21" s="11">
        <f>IFERROR('Export-dataset'!AK22/'Export-dataset'!AK21,0)</f>
        <v>1.0256</v>
      </c>
      <c r="AL21" s="11">
        <f>IFERROR('Export-dataset'!AL22/'Export-dataset'!AL21,0)</f>
        <v>1.068442242</v>
      </c>
      <c r="AM21" s="11">
        <f>IFERROR('Export-dataset'!AM22/'Export-dataset'!AM21,0)</f>
        <v>1.04978355</v>
      </c>
      <c r="AN21" s="11">
        <f>IFERROR('Export-dataset'!AN22/'Export-dataset'!AN21,0)</f>
        <v>0.7872340426</v>
      </c>
      <c r="AO21" s="11">
        <f>IFERROR('Export-dataset'!AO22/'Export-dataset'!AO21,0)</f>
        <v>0.8677419355</v>
      </c>
      <c r="AP21" s="11">
        <f>IFERROR('Export-dataset'!AP22/'Export-dataset'!AP21,0)</f>
        <v>1.113564669</v>
      </c>
      <c r="AQ21" s="11">
        <f>IFERROR('Export-dataset'!AQ22/'Export-dataset'!AQ21,0)</f>
        <v>1.151376147</v>
      </c>
      <c r="AR21" s="11">
        <f>IFERROR('Export-dataset'!AR22/'Export-dataset'!AR21,0)</f>
        <v>1.336451488</v>
      </c>
      <c r="AS21" s="11">
        <f>IFERROR('Export-dataset'!AS22/'Export-dataset'!AS21,0)</f>
        <v>1.052763819</v>
      </c>
      <c r="AT21" s="11">
        <f>IFERROR('Export-dataset'!AT22/'Export-dataset'!AT21,0)</f>
        <v>1.083333333</v>
      </c>
      <c r="AU21" s="11">
        <f>IFERROR('Export-dataset'!AU22/'Export-dataset'!AU21,0)</f>
        <v>0.8559322034</v>
      </c>
      <c r="AV21" s="11">
        <f>IFERROR('Export-dataset'!AV22/'Export-dataset'!AV21,0)</f>
        <v>1.02853067</v>
      </c>
      <c r="AW21" s="11">
        <f>IFERROR('Export-dataset'!AW22/'Export-dataset'!AW21,0)</f>
        <v>0.9627906977</v>
      </c>
      <c r="AX21" s="11">
        <f>IFERROR('Export-dataset'!AX22/'Export-dataset'!AX21,0)</f>
        <v>1.044289044</v>
      </c>
      <c r="AY21" s="11">
        <f>IFERROR('Export-dataset'!AY22/'Export-dataset'!AY21,0)</f>
        <v>1.423592493</v>
      </c>
      <c r="AZ21" s="11">
        <f>IFERROR('Export-dataset'!AZ22/'Export-dataset'!AZ21,0)</f>
        <v>1.453512881</v>
      </c>
      <c r="BA21" s="11">
        <f>IFERROR('Export-dataset'!BA22/'Export-dataset'!BA21,0)</f>
        <v>1.13986014</v>
      </c>
      <c r="BB21" s="11">
        <f>IFERROR('Export-dataset'!BB22/'Export-dataset'!BB21,0)</f>
        <v>0.9893463207</v>
      </c>
      <c r="BC21" s="11">
        <f>IFERROR('Export-dataset'!BC22/'Export-dataset'!BC21,0)</f>
        <v>1.154602324</v>
      </c>
      <c r="BD21" s="11">
        <f>IFERROR('Export-dataset'!BD22/'Export-dataset'!BD21,0)</f>
        <v>1.010533708</v>
      </c>
      <c r="BE21" s="11">
        <f>IFERROR('Export-dataset'!BE22/'Export-dataset'!BE21,0)</f>
        <v>0.9672131148</v>
      </c>
      <c r="BF21" s="11">
        <f>IFERROR('Export-dataset'!BF22/'Export-dataset'!BF21,0)</f>
        <v>1.076974565</v>
      </c>
      <c r="BG21" s="11">
        <f>IFERROR('Export-dataset'!BG22/'Export-dataset'!BG21,0)</f>
        <v>1.038683128</v>
      </c>
      <c r="BH21" s="11">
        <f>IFERROR('Export-dataset'!BH22/'Export-dataset'!BH21,0)</f>
        <v>0.9622166247</v>
      </c>
      <c r="BI21" s="11">
        <f>IFERROR('Export-dataset'!BI22/'Export-dataset'!BI21,0)</f>
        <v>1.075508864</v>
      </c>
      <c r="BJ21" s="11">
        <f>IFERROR('Export-dataset'!BJ22/'Export-dataset'!BJ21,0)</f>
        <v>0.8947982272</v>
      </c>
      <c r="BK21" s="11">
        <f>IFERROR('Export-dataset'!BK22/'Export-dataset'!BK21,0)</f>
        <v>0.8929219601</v>
      </c>
      <c r="BL21" s="11">
        <f>IFERROR('Export-dataset'!BL22/'Export-dataset'!BL21,0)</f>
        <v>1.078965129</v>
      </c>
      <c r="BM21" s="11">
        <f>IFERROR('Export-dataset'!BM22/'Export-dataset'!BM21,0)</f>
        <v>0.9310344828</v>
      </c>
      <c r="BN21" s="11">
        <f>IFERROR('Export-dataset'!BN22/'Export-dataset'!BN21,0)</f>
        <v>1.076335878</v>
      </c>
      <c r="BO21" s="11">
        <f>IFERROR('Export-dataset'!BO22/'Export-dataset'!BO21,0)</f>
        <v>1.041666667</v>
      </c>
      <c r="BP21" s="11">
        <f>IFERROR('Export-dataset'!BP22/'Export-dataset'!BP21,0)</f>
        <v>0.9003690037</v>
      </c>
      <c r="BQ21" s="11">
        <f>IFERROR('Export-dataset'!BQ22/'Export-dataset'!BQ21,0)</f>
        <v>0.9772727273</v>
      </c>
      <c r="BR21" s="11">
        <f>IFERROR('Export-dataset'!BR22/'Export-dataset'!BR21,0)</f>
        <v>1.127333333</v>
      </c>
      <c r="BS21" s="11">
        <f>IFERROR('Export-dataset'!BS22/'Export-dataset'!BS21,0)</f>
        <v>1.059171598</v>
      </c>
      <c r="BT21" s="11">
        <f>IFERROR('Export-dataset'!BT22/'Export-dataset'!BT21,0)</f>
        <v>1.081642751</v>
      </c>
      <c r="BU21" s="11">
        <f>IFERROR('Export-dataset'!BU22/'Export-dataset'!BU21,0)</f>
        <v>1.379408498</v>
      </c>
      <c r="BV21" s="11">
        <f>IFERROR('Export-dataset'!BV22/'Export-dataset'!BV21,0)</f>
        <v>1.336638572</v>
      </c>
      <c r="BW21" s="11">
        <f>IFERROR('Export-dataset'!BW22/'Export-dataset'!BW21,0)</f>
        <v>1.336283186</v>
      </c>
      <c r="BX21" s="11">
        <f>IFERROR('Export-dataset'!BX22/'Export-dataset'!BX21,0)</f>
        <v>0</v>
      </c>
      <c r="BY21" s="11">
        <f>IFERROR('Export-dataset'!BY22/'Export-dataset'!BY21,0)</f>
        <v>1.57187017</v>
      </c>
      <c r="BZ21" s="11">
        <f>IFERROR('Export-dataset'!BZ22/'Export-dataset'!BZ21,0)</f>
        <v>1.219810882</v>
      </c>
      <c r="CA21" s="11">
        <f>IFERROR('Export-dataset'!CA22/'Export-dataset'!CA21,0)</f>
        <v>1.177287729</v>
      </c>
    </row>
    <row r="22" ht="15.75" customHeight="1">
      <c r="A22" s="9" t="str">
        <f>'Export-dataset'!A23</f>
        <v>Y2007</v>
      </c>
      <c r="B22" s="11">
        <f>IFERROR('Export-dataset'!B23/'Export-dataset'!B22,0)</f>
        <v>0.8685771243</v>
      </c>
      <c r="C22" s="11">
        <f>IFERROR('Export-dataset'!C23/'Export-dataset'!C22,0)</f>
        <v>1.053348468</v>
      </c>
      <c r="D22" s="11">
        <f>IFERROR('Export-dataset'!D23/'Export-dataset'!D22,0)</f>
        <v>0.9350649351</v>
      </c>
      <c r="E22" s="11">
        <f>IFERROR('Export-dataset'!E23/'Export-dataset'!E22,0)</f>
        <v>1.004537954</v>
      </c>
      <c r="F22" s="11">
        <f>IFERROR('Export-dataset'!F23/'Export-dataset'!F22,0)</f>
        <v>0.9083469722</v>
      </c>
      <c r="G22" s="11">
        <f>IFERROR('Export-dataset'!G23/'Export-dataset'!G22,0)</f>
        <v>0.647409975</v>
      </c>
      <c r="H22" s="11">
        <f>IFERROR('Export-dataset'!H23/'Export-dataset'!H22,0)</f>
        <v>0.8843771507</v>
      </c>
      <c r="I22" s="11">
        <f>IFERROR('Export-dataset'!I23/'Export-dataset'!I22,0)</f>
        <v>0.8021582734</v>
      </c>
      <c r="J22" s="11">
        <f>IFERROR('Export-dataset'!J23/'Export-dataset'!J22,0)</f>
        <v>1.179723502</v>
      </c>
      <c r="K22" s="11">
        <f>IFERROR('Export-dataset'!K23/'Export-dataset'!K22,0)</f>
        <v>0.8707093822</v>
      </c>
      <c r="L22" s="11">
        <f>IFERROR('Export-dataset'!L23/'Export-dataset'!L22,0)</f>
        <v>1.011389522</v>
      </c>
      <c r="M22" s="11">
        <f>IFERROR('Export-dataset'!M23/'Export-dataset'!M22,0)</f>
        <v>1.079787234</v>
      </c>
      <c r="N22" s="11">
        <f>IFERROR('Export-dataset'!N23/'Export-dataset'!N22,0)</f>
        <v>1.072268326</v>
      </c>
      <c r="O22" s="11">
        <f>IFERROR('Export-dataset'!O23/'Export-dataset'!O22,0)</f>
        <v>1.267241379</v>
      </c>
      <c r="P22" s="11">
        <f>IFERROR('Export-dataset'!P23/'Export-dataset'!P22,0)</f>
        <v>1.073289611</v>
      </c>
      <c r="Q22" s="11">
        <f>IFERROR('Export-dataset'!Q23/'Export-dataset'!Q22,0)</f>
        <v>1.110438729</v>
      </c>
      <c r="R22" s="11">
        <f>IFERROR('Export-dataset'!R23/'Export-dataset'!R22,0)</f>
        <v>0.4098360656</v>
      </c>
      <c r="S22" s="11">
        <f>IFERROR('Export-dataset'!S23/'Export-dataset'!S22,0)</f>
        <v>0</v>
      </c>
      <c r="T22" s="11">
        <f>IFERROR('Export-dataset'!T23/'Export-dataset'!T22,0)</f>
        <v>1.097112861</v>
      </c>
      <c r="U22" s="11">
        <f>IFERROR('Export-dataset'!U23/'Export-dataset'!U22,0)</f>
        <v>1.436708861</v>
      </c>
      <c r="V22" s="11">
        <f>IFERROR('Export-dataset'!V23/'Export-dataset'!V22,0)</f>
        <v>0.9777452416</v>
      </c>
      <c r="W22" s="11">
        <f>IFERROR('Export-dataset'!W23/'Export-dataset'!W22,0)</f>
        <v>1.001845018</v>
      </c>
      <c r="X22" s="11">
        <f>IFERROR('Export-dataset'!X23/'Export-dataset'!X22,0)</f>
        <v>1.090068577</v>
      </c>
      <c r="Y22" s="11">
        <f>IFERROR('Export-dataset'!Y23/'Export-dataset'!Y22,0)</f>
        <v>0.8529411765</v>
      </c>
      <c r="Z22" s="11">
        <f>IFERROR('Export-dataset'!Z23/'Export-dataset'!Z22,0)</f>
        <v>0.9727723402</v>
      </c>
      <c r="AA22" s="11">
        <f>IFERROR('Export-dataset'!AA23/'Export-dataset'!AA22,0)</f>
        <v>0.8937363531</v>
      </c>
      <c r="AB22" s="11">
        <f>IFERROR('Export-dataset'!AB23/'Export-dataset'!AB22,0)</f>
        <v>1.142580514</v>
      </c>
      <c r="AC22" s="11">
        <f>IFERROR('Export-dataset'!AC23/'Export-dataset'!AC22,0)</f>
        <v>1.001946156</v>
      </c>
      <c r="AD22" s="11">
        <f>IFERROR('Export-dataset'!AD23/'Export-dataset'!AD22,0)</f>
        <v>1.278169014</v>
      </c>
      <c r="AE22" s="11">
        <f>IFERROR('Export-dataset'!AE23/'Export-dataset'!AE22,0)</f>
        <v>1.368932039</v>
      </c>
      <c r="AF22" s="11">
        <f>IFERROR('Export-dataset'!AF23/'Export-dataset'!AF22,0)</f>
        <v>1.046153846</v>
      </c>
      <c r="AG22" s="11">
        <f>IFERROR('Export-dataset'!AG23/'Export-dataset'!AG22,0)</f>
        <v>1</v>
      </c>
      <c r="AH22" s="11">
        <f>IFERROR('Export-dataset'!AH23/'Export-dataset'!AH22,0)</f>
        <v>1.143974508</v>
      </c>
      <c r="AI22" s="11">
        <f>IFERROR('Export-dataset'!AI23/'Export-dataset'!AI22,0)</f>
        <v>1.01910828</v>
      </c>
      <c r="AJ22" s="11">
        <f>IFERROR('Export-dataset'!AJ23/'Export-dataset'!AJ22,0)</f>
        <v>1.25617284</v>
      </c>
      <c r="AK22" s="11">
        <f>IFERROR('Export-dataset'!AK23/'Export-dataset'!AK22,0)</f>
        <v>0.9609984399</v>
      </c>
      <c r="AL22" s="11">
        <f>IFERROR('Export-dataset'!AL23/'Export-dataset'!AL22,0)</f>
        <v>1.144347826</v>
      </c>
      <c r="AM22" s="11">
        <f>IFERROR('Export-dataset'!AM23/'Export-dataset'!AM22,0)</f>
        <v>1.094845361</v>
      </c>
      <c r="AN22" s="11">
        <f>IFERROR('Export-dataset'!AN23/'Export-dataset'!AN22,0)</f>
        <v>1.75</v>
      </c>
      <c r="AO22" s="11">
        <f>IFERROR('Export-dataset'!AO23/'Export-dataset'!AO22,0)</f>
        <v>1.3866171</v>
      </c>
      <c r="AP22" s="11">
        <f>IFERROR('Export-dataset'!AP23/'Export-dataset'!AP22,0)</f>
        <v>0.9886685552</v>
      </c>
      <c r="AQ22" s="11">
        <f>IFERROR('Export-dataset'!AQ23/'Export-dataset'!AQ22,0)</f>
        <v>1.126162019</v>
      </c>
      <c r="AR22" s="11">
        <f>IFERROR('Export-dataset'!AR23/'Export-dataset'!AR22,0)</f>
        <v>1.074738243</v>
      </c>
      <c r="AS22" s="11">
        <f>IFERROR('Export-dataset'!AS23/'Export-dataset'!AS22,0)</f>
        <v>0.9093078759</v>
      </c>
      <c r="AT22" s="11">
        <f>IFERROR('Export-dataset'!AT23/'Export-dataset'!AT22,0)</f>
        <v>1.335164835</v>
      </c>
      <c r="AU22" s="11">
        <f>IFERROR('Export-dataset'!AU23/'Export-dataset'!AU22,0)</f>
        <v>0.8267326733</v>
      </c>
      <c r="AV22" s="11">
        <f>IFERROR('Export-dataset'!AV23/'Export-dataset'!AV22,0)</f>
        <v>0.9833564494</v>
      </c>
      <c r="AW22" s="11">
        <f>IFERROR('Export-dataset'!AW23/'Export-dataset'!AW22,0)</f>
        <v>0.9903381643</v>
      </c>
      <c r="AX22" s="11">
        <f>IFERROR('Export-dataset'!AX23/'Export-dataset'!AX22,0)</f>
        <v>0.8571428571</v>
      </c>
      <c r="AY22" s="11">
        <f>IFERROR('Export-dataset'!AY23/'Export-dataset'!AY22,0)</f>
        <v>1.132768362</v>
      </c>
      <c r="AZ22" s="11">
        <f>IFERROR('Export-dataset'!AZ23/'Export-dataset'!AZ22,0)</f>
        <v>1.099009103</v>
      </c>
      <c r="BA22" s="11">
        <f>IFERROR('Export-dataset'!BA23/'Export-dataset'!BA22,0)</f>
        <v>1.079754601</v>
      </c>
      <c r="BB22" s="11">
        <f>IFERROR('Export-dataset'!BB23/'Export-dataset'!BB22,0)</f>
        <v>1.059149296</v>
      </c>
      <c r="BC22" s="11">
        <f>IFERROR('Export-dataset'!BC23/'Export-dataset'!BC22,0)</f>
        <v>0.9047987616</v>
      </c>
      <c r="BD22" s="11">
        <f>IFERROR('Export-dataset'!BD23/'Export-dataset'!BD22,0)</f>
        <v>1.195274496</v>
      </c>
      <c r="BE22" s="11">
        <f>IFERROR('Export-dataset'!BE23/'Export-dataset'!BE22,0)</f>
        <v>1.152542373</v>
      </c>
      <c r="BF22" s="11">
        <f>IFERROR('Export-dataset'!BF23/'Export-dataset'!BF22,0)</f>
        <v>1.034804226</v>
      </c>
      <c r="BG22" s="11">
        <f>IFERROR('Export-dataset'!BG23/'Export-dataset'!BG22,0)</f>
        <v>0.9152139461</v>
      </c>
      <c r="BH22" s="11">
        <f>IFERROR('Export-dataset'!BH23/'Export-dataset'!BH22,0)</f>
        <v>1.15052356</v>
      </c>
      <c r="BI22" s="11">
        <f>IFERROR('Export-dataset'!BI23/'Export-dataset'!BI22,0)</f>
        <v>1.127594628</v>
      </c>
      <c r="BJ22" s="11">
        <f>IFERROR('Export-dataset'!BJ23/'Export-dataset'!BJ22,0)</f>
        <v>1.067518248</v>
      </c>
      <c r="BK22" s="11">
        <f>IFERROR('Export-dataset'!BK23/'Export-dataset'!BK22,0)</f>
        <v>1.052845528</v>
      </c>
      <c r="BL22" s="11">
        <f>IFERROR('Export-dataset'!BL23/'Export-dataset'!BL22,0)</f>
        <v>1.055254379</v>
      </c>
      <c r="BM22" s="11">
        <f>IFERROR('Export-dataset'!BM23/'Export-dataset'!BM22,0)</f>
        <v>1.268518519</v>
      </c>
      <c r="BN22" s="11">
        <f>IFERROR('Export-dataset'!BN23/'Export-dataset'!BN22,0)</f>
        <v>0.780141844</v>
      </c>
      <c r="BO22" s="11">
        <f>IFERROR('Export-dataset'!BO23/'Export-dataset'!BO22,0)</f>
        <v>1.2</v>
      </c>
      <c r="BP22" s="11">
        <f>IFERROR('Export-dataset'!BP23/'Export-dataset'!BP22,0)</f>
        <v>0.987704918</v>
      </c>
      <c r="BQ22" s="11">
        <f>IFERROR('Export-dataset'!BQ23/'Export-dataset'!BQ22,0)</f>
        <v>1.046511628</v>
      </c>
      <c r="BR22" s="11">
        <f>IFERROR('Export-dataset'!BR23/'Export-dataset'!BR22,0)</f>
        <v>1.070963927</v>
      </c>
      <c r="BS22" s="11">
        <f>IFERROR('Export-dataset'!BS23/'Export-dataset'!BS22,0)</f>
        <v>0.8966480447</v>
      </c>
      <c r="BT22" s="11">
        <f>IFERROR('Export-dataset'!BT23/'Export-dataset'!BT22,0)</f>
        <v>1.082342177</v>
      </c>
      <c r="BU22" s="11">
        <f>IFERROR('Export-dataset'!BU23/'Export-dataset'!BU22,0)</f>
        <v>1.092656903</v>
      </c>
      <c r="BV22" s="11">
        <f>IFERROR('Export-dataset'!BV23/'Export-dataset'!BV22,0)</f>
        <v>0.5007418398</v>
      </c>
      <c r="BW22" s="11">
        <f>IFERROR('Export-dataset'!BW23/'Export-dataset'!BW22,0)</f>
        <v>1.38410596</v>
      </c>
      <c r="BX22" s="11">
        <f>IFERROR('Export-dataset'!BX23/'Export-dataset'!BX22,0)</f>
        <v>0</v>
      </c>
      <c r="BY22" s="11">
        <f>IFERROR('Export-dataset'!BY23/'Export-dataset'!BY22,0)</f>
        <v>1.241232383</v>
      </c>
      <c r="BZ22" s="11">
        <f>IFERROR('Export-dataset'!BZ23/'Export-dataset'!BZ22,0)</f>
        <v>1.117041555</v>
      </c>
      <c r="CA22" s="11">
        <f>IFERROR('Export-dataset'!CA23/'Export-dataset'!CA22,0)</f>
        <v>1.02836273</v>
      </c>
    </row>
    <row r="23" ht="15.75" customHeight="1">
      <c r="A23" s="9" t="str">
        <f>'Export-dataset'!A24</f>
        <v>Y2008</v>
      </c>
      <c r="B23" s="11">
        <f>IFERROR('Export-dataset'!B24/'Export-dataset'!B23,0)</f>
        <v>1.251778747</v>
      </c>
      <c r="C23" s="11">
        <f>IFERROR('Export-dataset'!C24/'Export-dataset'!C23,0)</f>
        <v>1.205818966</v>
      </c>
      <c r="D23" s="11">
        <f>IFERROR('Export-dataset'!D24/'Export-dataset'!D23,0)</f>
        <v>1.086503623</v>
      </c>
      <c r="E23" s="11">
        <f>IFERROR('Export-dataset'!E24/'Export-dataset'!E23,0)</f>
        <v>1.090349076</v>
      </c>
      <c r="F23" s="11">
        <f>IFERROR('Export-dataset'!F24/'Export-dataset'!F23,0)</f>
        <v>0.9963963964</v>
      </c>
      <c r="G23" s="11">
        <f>IFERROR('Export-dataset'!G24/'Export-dataset'!G23,0)</f>
        <v>1.813801309</v>
      </c>
      <c r="H23" s="11">
        <f>IFERROR('Export-dataset'!H24/'Export-dataset'!H23,0)</f>
        <v>1.094941634</v>
      </c>
      <c r="I23" s="11">
        <f>IFERROR('Export-dataset'!I24/'Export-dataset'!I23,0)</f>
        <v>1.071748879</v>
      </c>
      <c r="J23" s="11">
        <f>IFERROR('Export-dataset'!J24/'Export-dataset'!J23,0)</f>
        <v>1.05078125</v>
      </c>
      <c r="K23" s="11">
        <f>IFERROR('Export-dataset'!K24/'Export-dataset'!K23,0)</f>
        <v>1.47043364</v>
      </c>
      <c r="L23" s="11">
        <f>IFERROR('Export-dataset'!L24/'Export-dataset'!L23,0)</f>
        <v>1.367117117</v>
      </c>
      <c r="M23" s="11">
        <f>IFERROR('Export-dataset'!M24/'Export-dataset'!M23,0)</f>
        <v>0.8540640394</v>
      </c>
      <c r="N23" s="11">
        <f>IFERROR('Export-dataset'!N24/'Export-dataset'!N23,0)</f>
        <v>0.8542405676</v>
      </c>
      <c r="O23" s="11">
        <f>IFERROR('Export-dataset'!O24/'Export-dataset'!O23,0)</f>
        <v>0.8503401361</v>
      </c>
      <c r="P23" s="11">
        <f>IFERROR('Export-dataset'!P24/'Export-dataset'!P23,0)</f>
        <v>1.337716066</v>
      </c>
      <c r="Q23" s="11">
        <f>IFERROR('Export-dataset'!Q24/'Export-dataset'!Q23,0)</f>
        <v>0.9809264305</v>
      </c>
      <c r="R23" s="11">
        <f>IFERROR('Export-dataset'!R24/'Export-dataset'!R23,0)</f>
        <v>2.633333333</v>
      </c>
      <c r="S23" s="11">
        <f>IFERROR('Export-dataset'!S24/'Export-dataset'!S23,0)</f>
        <v>3.666666667</v>
      </c>
      <c r="T23" s="11">
        <f>IFERROR('Export-dataset'!T24/'Export-dataset'!T23,0)</f>
        <v>1.09569378</v>
      </c>
      <c r="U23" s="11">
        <f>IFERROR('Export-dataset'!U24/'Export-dataset'!U23,0)</f>
        <v>1.286343612</v>
      </c>
      <c r="V23" s="11">
        <f>IFERROR('Export-dataset'!V24/'Export-dataset'!V23,0)</f>
        <v>0.8334830788</v>
      </c>
      <c r="W23" s="11">
        <f>IFERROR('Export-dataset'!W24/'Export-dataset'!W23,0)</f>
        <v>0.7366482505</v>
      </c>
      <c r="X23" s="11">
        <f>IFERROR('Export-dataset'!X24/'Export-dataset'!X23,0)</f>
        <v>1.405521541</v>
      </c>
      <c r="Y23" s="11">
        <f>IFERROR('Export-dataset'!Y24/'Export-dataset'!Y23,0)</f>
        <v>1.197044335</v>
      </c>
      <c r="Z23" s="11">
        <f>IFERROR('Export-dataset'!Z24/'Export-dataset'!Z23,0)</f>
        <v>1.858352498</v>
      </c>
      <c r="AA23" s="11">
        <f>IFERROR('Export-dataset'!AA24/'Export-dataset'!AA23,0)</f>
        <v>2.245173653</v>
      </c>
      <c r="AB23" s="11">
        <f>IFERROR('Export-dataset'!AB24/'Export-dataset'!AB23,0)</f>
        <v>1.231647489</v>
      </c>
      <c r="AC23" s="11">
        <f>IFERROR('Export-dataset'!AC24/'Export-dataset'!AC23,0)</f>
        <v>1.688572354</v>
      </c>
      <c r="AD23" s="11">
        <f>IFERROR('Export-dataset'!AD24/'Export-dataset'!AD23,0)</f>
        <v>1.575757576</v>
      </c>
      <c r="AE23" s="11">
        <f>IFERROR('Export-dataset'!AE24/'Export-dataset'!AE23,0)</f>
        <v>1.390070922</v>
      </c>
      <c r="AF23" s="11">
        <f>IFERROR('Export-dataset'!AF24/'Export-dataset'!AF23,0)</f>
        <v>2.455882353</v>
      </c>
      <c r="AG23" s="11">
        <f>IFERROR('Export-dataset'!AG24/'Export-dataset'!AG23,0)</f>
        <v>1</v>
      </c>
      <c r="AH23" s="11">
        <f>IFERROR('Export-dataset'!AH24/'Export-dataset'!AH23,0)</f>
        <v>1.072043555</v>
      </c>
      <c r="AI23" s="11">
        <f>IFERROR('Export-dataset'!AI24/'Export-dataset'!AI23,0)</f>
        <v>1.15625</v>
      </c>
      <c r="AJ23" s="11">
        <f>IFERROR('Export-dataset'!AJ24/'Export-dataset'!AJ23,0)</f>
        <v>0.9434889435</v>
      </c>
      <c r="AK23" s="11">
        <f>IFERROR('Export-dataset'!AK24/'Export-dataset'!AK23,0)</f>
        <v>0.9480519481</v>
      </c>
      <c r="AL23" s="11">
        <f>IFERROR('Export-dataset'!AL24/'Export-dataset'!AL23,0)</f>
        <v>1.008611955</v>
      </c>
      <c r="AM23" s="11">
        <f>IFERROR('Export-dataset'!AM24/'Export-dataset'!AM23,0)</f>
        <v>1.116760829</v>
      </c>
      <c r="AN23" s="11">
        <f>IFERROR('Export-dataset'!AN24/'Export-dataset'!AN23,0)</f>
        <v>2.505791506</v>
      </c>
      <c r="AO23" s="11">
        <f>IFERROR('Export-dataset'!AO24/'Export-dataset'!AO23,0)</f>
        <v>0.8873994638</v>
      </c>
      <c r="AP23" s="11">
        <f>IFERROR('Export-dataset'!AP24/'Export-dataset'!AP23,0)</f>
        <v>1.037249284</v>
      </c>
      <c r="AQ23" s="11">
        <f>IFERROR('Export-dataset'!AQ24/'Export-dataset'!AQ23,0)</f>
        <v>1.194575472</v>
      </c>
      <c r="AR23" s="11">
        <f>IFERROR('Export-dataset'!AR24/'Export-dataset'!AR23,0)</f>
        <v>0.9695354971</v>
      </c>
      <c r="AS23" s="11">
        <f>IFERROR('Export-dataset'!AS24/'Export-dataset'!AS23,0)</f>
        <v>0.8530183727</v>
      </c>
      <c r="AT23" s="11">
        <f>IFERROR('Export-dataset'!AT24/'Export-dataset'!AT23,0)</f>
        <v>1.135802469</v>
      </c>
      <c r="AU23" s="11">
        <f>IFERROR('Export-dataset'!AU24/'Export-dataset'!AU23,0)</f>
        <v>0.9760479042</v>
      </c>
      <c r="AV23" s="11">
        <f>IFERROR('Export-dataset'!AV24/'Export-dataset'!AV23,0)</f>
        <v>1.011283498</v>
      </c>
      <c r="AW23" s="11">
        <f>IFERROR('Export-dataset'!AW24/'Export-dataset'!AW23,0)</f>
        <v>0.9243902439</v>
      </c>
      <c r="AX23" s="11">
        <f>IFERROR('Export-dataset'!AX24/'Export-dataset'!AX23,0)</f>
        <v>1.059895833</v>
      </c>
      <c r="AY23" s="11">
        <f>IFERROR('Export-dataset'!AY24/'Export-dataset'!AY23,0)</f>
        <v>1.417290108</v>
      </c>
      <c r="AZ23" s="11">
        <f>IFERROR('Export-dataset'!AZ24/'Export-dataset'!AZ23,0)</f>
        <v>0.9158481161</v>
      </c>
      <c r="BA23" s="11">
        <f>IFERROR('Export-dataset'!BA24/'Export-dataset'!BA23,0)</f>
        <v>1.079545455</v>
      </c>
      <c r="BB23" s="11">
        <f>IFERROR('Export-dataset'!BB24/'Export-dataset'!BB23,0)</f>
        <v>1.109876543</v>
      </c>
      <c r="BC23" s="11">
        <f>IFERROR('Export-dataset'!BC24/'Export-dataset'!BC23,0)</f>
        <v>0.9041916168</v>
      </c>
      <c r="BD23" s="11">
        <f>IFERROR('Export-dataset'!BD24/'Export-dataset'!BD23,0)</f>
        <v>1.088372093</v>
      </c>
      <c r="BE23" s="11">
        <f>IFERROR('Export-dataset'!BE24/'Export-dataset'!BE23,0)</f>
        <v>0.9901960784</v>
      </c>
      <c r="BF23" s="11">
        <f>IFERROR('Export-dataset'!BF24/'Export-dataset'!BF23,0)</f>
        <v>1.097297297</v>
      </c>
      <c r="BG23" s="11">
        <f>IFERROR('Export-dataset'!BG24/'Export-dataset'!BG23,0)</f>
        <v>1.031168831</v>
      </c>
      <c r="BH23" s="11">
        <f>IFERROR('Export-dataset'!BH24/'Export-dataset'!BH23,0)</f>
        <v>1.176336746</v>
      </c>
      <c r="BI23" s="11">
        <f>IFERROR('Export-dataset'!BI24/'Export-dataset'!BI23,0)</f>
        <v>1.005414185</v>
      </c>
      <c r="BJ23" s="11">
        <f>IFERROR('Export-dataset'!BJ24/'Export-dataset'!BJ23,0)</f>
        <v>1.182417582</v>
      </c>
      <c r="BK23" s="11">
        <f>IFERROR('Export-dataset'!BK24/'Export-dataset'!BK23,0)</f>
        <v>1.352316602</v>
      </c>
      <c r="BL23" s="11">
        <f>IFERROR('Export-dataset'!BL24/'Export-dataset'!BL23,0)</f>
        <v>1.061450306</v>
      </c>
      <c r="BM23" s="11">
        <f>IFERROR('Export-dataset'!BM24/'Export-dataset'!BM23,0)</f>
        <v>0.9781021898</v>
      </c>
      <c r="BN23" s="11">
        <f>IFERROR('Export-dataset'!BN24/'Export-dataset'!BN23,0)</f>
        <v>1.072727273</v>
      </c>
      <c r="BO23" s="11">
        <f>IFERROR('Export-dataset'!BO24/'Export-dataset'!BO23,0)</f>
        <v>1.066666667</v>
      </c>
      <c r="BP23" s="11">
        <f>IFERROR('Export-dataset'!BP24/'Export-dataset'!BP23,0)</f>
        <v>1.049792531</v>
      </c>
      <c r="BQ23" s="11">
        <f>IFERROR('Export-dataset'!BQ24/'Export-dataset'!BQ23,0)</f>
        <v>1.133333333</v>
      </c>
      <c r="BR23" s="11">
        <f>IFERROR('Export-dataset'!BR24/'Export-dataset'!BR23,0)</f>
        <v>1.140254003</v>
      </c>
      <c r="BS23" s="11">
        <f>IFERROR('Export-dataset'!BS24/'Export-dataset'!BS23,0)</f>
        <v>1.099688474</v>
      </c>
      <c r="BT23" s="11">
        <f>IFERROR('Export-dataset'!BT24/'Export-dataset'!BT23,0)</f>
        <v>1</v>
      </c>
      <c r="BU23" s="11">
        <f>IFERROR('Export-dataset'!BU24/'Export-dataset'!BU23,0)</f>
        <v>1.044587748</v>
      </c>
      <c r="BV23" s="11">
        <f>IFERROR('Export-dataset'!BV24/'Export-dataset'!BV23,0)</f>
        <v>1.008888889</v>
      </c>
      <c r="BW23" s="11">
        <f>IFERROR('Export-dataset'!BW24/'Export-dataset'!BW23,0)</f>
        <v>1.985645933</v>
      </c>
      <c r="BX23" s="11">
        <f>IFERROR('Export-dataset'!BX24/'Export-dataset'!BX23,0)</f>
        <v>0</v>
      </c>
      <c r="BY23" s="11">
        <f>IFERROR('Export-dataset'!BY24/'Export-dataset'!BY23,0)</f>
        <v>1.258515976</v>
      </c>
      <c r="BZ23" s="11">
        <f>IFERROR('Export-dataset'!BZ24/'Export-dataset'!BZ23,0)</f>
        <v>0.7511945392</v>
      </c>
      <c r="CA23" s="11">
        <f>IFERROR('Export-dataset'!CA24/'Export-dataset'!CA23,0)</f>
        <v>1.320501247</v>
      </c>
    </row>
    <row r="24" ht="15.75" customHeight="1">
      <c r="A24" s="9" t="str">
        <f>'Export-dataset'!A25</f>
        <v>Y2009</v>
      </c>
      <c r="B24" s="11">
        <f>IFERROR('Export-dataset'!B25/'Export-dataset'!B24,0)</f>
        <v>0.991153282</v>
      </c>
      <c r="C24" s="11">
        <f>IFERROR('Export-dataset'!C25/'Export-dataset'!C24,0)</f>
        <v>1.028596962</v>
      </c>
      <c r="D24" s="11">
        <f>IFERROR('Export-dataset'!D25/'Export-dataset'!D24,0)</f>
        <v>0.9219119077</v>
      </c>
      <c r="E24" s="11">
        <f>IFERROR('Export-dataset'!E25/'Export-dataset'!E24,0)</f>
        <v>0.8048964218</v>
      </c>
      <c r="F24" s="11">
        <f>IFERROR('Export-dataset'!F25/'Export-dataset'!F24,0)</f>
        <v>0.9349005425</v>
      </c>
      <c r="G24" s="11">
        <f>IFERROR('Export-dataset'!G25/'Export-dataset'!G24,0)</f>
        <v>1.063135454</v>
      </c>
      <c r="H24" s="11">
        <f>IFERROR('Export-dataset'!H25/'Export-dataset'!H24,0)</f>
        <v>1.200426439</v>
      </c>
      <c r="I24" s="11">
        <f>IFERROR('Export-dataset'!I25/'Export-dataset'!I24,0)</f>
        <v>1.138075314</v>
      </c>
      <c r="J24" s="11">
        <f>IFERROR('Export-dataset'!J25/'Export-dataset'!J24,0)</f>
        <v>1.130111524</v>
      </c>
      <c r="K24" s="11">
        <f>IFERROR('Export-dataset'!K25/'Export-dataset'!K24,0)</f>
        <v>1.128686327</v>
      </c>
      <c r="L24" s="11">
        <f>IFERROR('Export-dataset'!L25/'Export-dataset'!L24,0)</f>
        <v>1.07907743</v>
      </c>
      <c r="M24" s="11">
        <f>IFERROR('Export-dataset'!M25/'Export-dataset'!M24,0)</f>
        <v>0.9340302812</v>
      </c>
      <c r="N24" s="11">
        <f>IFERROR('Export-dataset'!N25/'Export-dataset'!N24,0)</f>
        <v>0.9294073235</v>
      </c>
      <c r="O24" s="11">
        <f>IFERROR('Export-dataset'!O25/'Export-dataset'!O24,0)</f>
        <v>1.032</v>
      </c>
      <c r="P24" s="11">
        <f>IFERROR('Export-dataset'!P25/'Export-dataset'!P24,0)</f>
        <v>0.9122513908</v>
      </c>
      <c r="Q24" s="11">
        <f>IFERROR('Export-dataset'!Q25/'Export-dataset'!Q24,0)</f>
        <v>0.7263888889</v>
      </c>
      <c r="R24" s="11">
        <f>IFERROR('Export-dataset'!R25/'Export-dataset'!R24,0)</f>
        <v>1.936708861</v>
      </c>
      <c r="S24" s="11">
        <f>IFERROR('Export-dataset'!S25/'Export-dataset'!S24,0)</f>
        <v>1.090909091</v>
      </c>
      <c r="T24" s="11">
        <f>IFERROR('Export-dataset'!T25/'Export-dataset'!T24,0)</f>
        <v>0.7933042213</v>
      </c>
      <c r="U24" s="11">
        <f>IFERROR('Export-dataset'!U25/'Export-dataset'!U24,0)</f>
        <v>0.7191780822</v>
      </c>
      <c r="V24" s="11">
        <f>IFERROR('Export-dataset'!V25/'Export-dataset'!V24,0)</f>
        <v>0.8717211642</v>
      </c>
      <c r="W24" s="11">
        <f>IFERROR('Export-dataset'!W25/'Export-dataset'!W24,0)</f>
        <v>0.7225</v>
      </c>
      <c r="X24" s="11">
        <f>IFERROR('Export-dataset'!X25/'Export-dataset'!X24,0)</f>
        <v>0.9151363773</v>
      </c>
      <c r="Y24" s="11">
        <f>IFERROR('Export-dataset'!Y25/'Export-dataset'!Y24,0)</f>
        <v>0.8765432099</v>
      </c>
      <c r="Z24" s="11">
        <f>IFERROR('Export-dataset'!Z25/'Export-dataset'!Z24,0)</f>
        <v>0.8133121449</v>
      </c>
      <c r="AA24" s="11">
        <f>IFERROR('Export-dataset'!AA25/'Export-dataset'!AA24,0)</f>
        <v>0.8449688487</v>
      </c>
      <c r="AB24" s="11">
        <f>IFERROR('Export-dataset'!AB25/'Export-dataset'!AB24,0)</f>
        <v>0.6952491309</v>
      </c>
      <c r="AC24" s="11">
        <f>IFERROR('Export-dataset'!AC25/'Export-dataset'!AC24,0)</f>
        <v>0.8273581288</v>
      </c>
      <c r="AD24" s="11">
        <f>IFERROR('Export-dataset'!AD25/'Export-dataset'!AD24,0)</f>
        <v>0.7832167832</v>
      </c>
      <c r="AE24" s="11">
        <f>IFERROR('Export-dataset'!AE25/'Export-dataset'!AE24,0)</f>
        <v>0.693877551</v>
      </c>
      <c r="AF24" s="11">
        <f>IFERROR('Export-dataset'!AF25/'Export-dataset'!AF24,0)</f>
        <v>0.9640718563</v>
      </c>
      <c r="AG24" s="11">
        <f>IFERROR('Export-dataset'!AG25/'Export-dataset'!AG24,0)</f>
        <v>1.153846154</v>
      </c>
      <c r="AH24" s="11">
        <f>IFERROR('Export-dataset'!AH25/'Export-dataset'!AH24,0)</f>
        <v>0.9559466163</v>
      </c>
      <c r="AI24" s="11">
        <f>IFERROR('Export-dataset'!AI25/'Export-dataset'!AI24,0)</f>
        <v>0.8324324324</v>
      </c>
      <c r="AJ24" s="11">
        <f>IFERROR('Export-dataset'!AJ25/'Export-dataset'!AJ24,0)</f>
        <v>0.6744791667</v>
      </c>
      <c r="AK24" s="11">
        <f>IFERROR('Export-dataset'!AK25/'Export-dataset'!AK24,0)</f>
        <v>1.157534247</v>
      </c>
      <c r="AL24" s="11">
        <f>IFERROR('Export-dataset'!AL25/'Export-dataset'!AL24,0)</f>
        <v>1.022350578</v>
      </c>
      <c r="AM24" s="11">
        <f>IFERROR('Export-dataset'!AM25/'Export-dataset'!AM24,0)</f>
        <v>1.015177066</v>
      </c>
      <c r="AN24" s="11">
        <f>IFERROR('Export-dataset'!AN25/'Export-dataset'!AN24,0)</f>
        <v>0.62403698</v>
      </c>
      <c r="AO24" s="11">
        <f>IFERROR('Export-dataset'!AO25/'Export-dataset'!AO24,0)</f>
        <v>0.7643504532</v>
      </c>
      <c r="AP24" s="11">
        <f>IFERROR('Export-dataset'!AP25/'Export-dataset'!AP24,0)</f>
        <v>1.157458564</v>
      </c>
      <c r="AQ24" s="11">
        <f>IFERROR('Export-dataset'!AQ25/'Export-dataset'!AQ24,0)</f>
        <v>0.9832181639</v>
      </c>
      <c r="AR24" s="11">
        <f>IFERROR('Export-dataset'!AR25/'Export-dataset'!AR24,0)</f>
        <v>0.7617831566</v>
      </c>
      <c r="AS24" s="11">
        <f>IFERROR('Export-dataset'!AS25/'Export-dataset'!AS24,0)</f>
        <v>0.7661538462</v>
      </c>
      <c r="AT24" s="11">
        <f>IFERROR('Export-dataset'!AT25/'Export-dataset'!AT24,0)</f>
        <v>0.7355072464</v>
      </c>
      <c r="AU24" s="11">
        <f>IFERROR('Export-dataset'!AU25/'Export-dataset'!AU24,0)</f>
        <v>0.9570552147</v>
      </c>
      <c r="AV24" s="11">
        <f>IFERROR('Export-dataset'!AV25/'Export-dataset'!AV24,0)</f>
        <v>0.9163179916</v>
      </c>
      <c r="AW24" s="11">
        <f>IFERROR('Export-dataset'!AW25/'Export-dataset'!AW24,0)</f>
        <v>0.8126649077</v>
      </c>
      <c r="AX24" s="11">
        <f>IFERROR('Export-dataset'!AX25/'Export-dataset'!AX24,0)</f>
        <v>1.020884521</v>
      </c>
      <c r="AY24" s="11">
        <f>IFERROR('Export-dataset'!AY25/'Export-dataset'!AY24,0)</f>
        <v>0.504398827</v>
      </c>
      <c r="AZ24" s="11">
        <f>IFERROR('Export-dataset'!AZ25/'Export-dataset'!AZ24,0)</f>
        <v>0.7514006723</v>
      </c>
      <c r="BA24" s="11">
        <f>IFERROR('Export-dataset'!BA25/'Export-dataset'!BA24,0)</f>
        <v>0.9385964912</v>
      </c>
      <c r="BB24" s="11">
        <f>IFERROR('Export-dataset'!BB25/'Export-dataset'!BB24,0)</f>
        <v>0.7789046653</v>
      </c>
      <c r="BC24" s="11">
        <f>IFERROR('Export-dataset'!BC25/'Export-dataset'!BC24,0)</f>
        <v>0.7426679281</v>
      </c>
      <c r="BD24" s="11">
        <f>IFERROR('Export-dataset'!BD25/'Export-dataset'!BD24,0)</f>
        <v>0.9951923077</v>
      </c>
      <c r="BE24" s="11">
        <f>IFERROR('Export-dataset'!BE25/'Export-dataset'!BE24,0)</f>
        <v>0.7227722772</v>
      </c>
      <c r="BF24" s="11">
        <f>IFERROR('Export-dataset'!BF25/'Export-dataset'!BF24,0)</f>
        <v>0.9655172414</v>
      </c>
      <c r="BG24" s="11">
        <f>IFERROR('Export-dataset'!BG25/'Export-dataset'!BG24,0)</f>
        <v>0.8555835432</v>
      </c>
      <c r="BH24" s="11">
        <f>IFERROR('Export-dataset'!BH25/'Export-dataset'!BH24,0)</f>
        <v>0.9729206963</v>
      </c>
      <c r="BI24" s="11">
        <f>IFERROR('Export-dataset'!BI25/'Export-dataset'!BI24,0)</f>
        <v>0.8266020463</v>
      </c>
      <c r="BJ24" s="11">
        <f>IFERROR('Export-dataset'!BJ25/'Export-dataset'!BJ24,0)</f>
        <v>0.5165220983</v>
      </c>
      <c r="BK24" s="11">
        <f>IFERROR('Export-dataset'!BK25/'Export-dataset'!BK24,0)</f>
        <v>0.9172019986</v>
      </c>
      <c r="BL24" s="11">
        <f>IFERROR('Export-dataset'!BL25/'Export-dataset'!BL24,0)</f>
        <v>0.9434102755</v>
      </c>
      <c r="BM24" s="11">
        <f>IFERROR('Export-dataset'!BM25/'Export-dataset'!BM24,0)</f>
        <v>1.067164179</v>
      </c>
      <c r="BN24" s="11">
        <f>IFERROR('Export-dataset'!BN25/'Export-dataset'!BN24,0)</f>
        <v>0.9152542373</v>
      </c>
      <c r="BO24" s="11">
        <f>IFERROR('Export-dataset'!BO25/'Export-dataset'!BO24,0)</f>
        <v>1.03125</v>
      </c>
      <c r="BP24" s="11">
        <f>IFERROR('Export-dataset'!BP25/'Export-dataset'!BP24,0)</f>
        <v>0.9130434783</v>
      </c>
      <c r="BQ24" s="11">
        <f>IFERROR('Export-dataset'!BQ25/'Export-dataset'!BQ24,0)</f>
        <v>0.8431372549</v>
      </c>
      <c r="BR24" s="11">
        <f>IFERROR('Export-dataset'!BR25/'Export-dataset'!BR24,0)</f>
        <v>1.013075061</v>
      </c>
      <c r="BS24" s="11">
        <f>IFERROR('Export-dataset'!BS25/'Export-dataset'!BS24,0)</f>
        <v>0.940509915</v>
      </c>
      <c r="BT24" s="11">
        <f>IFERROR('Export-dataset'!BT25/'Export-dataset'!BT24,0)</f>
        <v>0.8816568047</v>
      </c>
      <c r="BU24" s="11">
        <f>IFERROR('Export-dataset'!BU25/'Export-dataset'!BU24,0)</f>
        <v>1.056398271</v>
      </c>
      <c r="BV24" s="11">
        <f>IFERROR('Export-dataset'!BV25/'Export-dataset'!BV24,0)</f>
        <v>1.427312775</v>
      </c>
      <c r="BW24" s="11">
        <f>IFERROR('Export-dataset'!BW25/'Export-dataset'!BW24,0)</f>
        <v>1.327710843</v>
      </c>
      <c r="BX24" s="11">
        <f>IFERROR('Export-dataset'!BX25/'Export-dataset'!BX24,0)</f>
        <v>0</v>
      </c>
      <c r="BY24" s="11">
        <f>IFERROR('Export-dataset'!BY25/'Export-dataset'!BY24,0)</f>
        <v>1.052734648</v>
      </c>
      <c r="BZ24" s="11">
        <f>IFERROR('Export-dataset'!BZ25/'Export-dataset'!BZ24,0)</f>
        <v>0.9707708617</v>
      </c>
      <c r="CA24" s="11">
        <f>IFERROR('Export-dataset'!CA25/'Export-dataset'!CA24,0)</f>
        <v>0.8840545816</v>
      </c>
    </row>
    <row r="25" ht="15.75" customHeight="1">
      <c r="A25" s="9" t="str">
        <f>'Export-dataset'!A26</f>
        <v>Y2010</v>
      </c>
      <c r="B25" s="11">
        <f>IFERROR('Export-dataset'!B26/'Export-dataset'!B25,0)</f>
        <v>0.9656384405</v>
      </c>
      <c r="C25" s="11">
        <f>IFERROR('Export-dataset'!C26/'Export-dataset'!C25,0)</f>
        <v>0.9947871416</v>
      </c>
      <c r="D25" s="11">
        <f>IFERROR('Export-dataset'!D26/'Export-dataset'!D25,0)</f>
        <v>1.011152977</v>
      </c>
      <c r="E25" s="11">
        <f>IFERROR('Export-dataset'!E26/'Export-dataset'!E25,0)</f>
        <v>1.010762752</v>
      </c>
      <c r="F25" s="11">
        <f>IFERROR('Export-dataset'!F26/'Export-dataset'!F25,0)</f>
        <v>0.9854932302</v>
      </c>
      <c r="G25" s="11">
        <f>IFERROR('Export-dataset'!G26/'Export-dataset'!G25,0)</f>
        <v>0.9042110134</v>
      </c>
      <c r="H25" s="11">
        <f>IFERROR('Export-dataset'!H26/'Export-dataset'!H25,0)</f>
        <v>0.9206631143</v>
      </c>
      <c r="I25" s="11">
        <f>IFERROR('Export-dataset'!I26/'Export-dataset'!I25,0)</f>
        <v>1.238970588</v>
      </c>
      <c r="J25" s="11">
        <f>IFERROR('Export-dataset'!J26/'Export-dataset'!J25,0)</f>
        <v>0.9375</v>
      </c>
      <c r="K25" s="11">
        <f>IFERROR('Export-dataset'!K26/'Export-dataset'!K25,0)</f>
        <v>0.7996832937</v>
      </c>
      <c r="L25" s="11">
        <f>IFERROR('Export-dataset'!L26/'Export-dataset'!L25,0)</f>
        <v>1.218320611</v>
      </c>
      <c r="M25" s="11">
        <f>IFERROR('Export-dataset'!M26/'Export-dataset'!M25,0)</f>
        <v>0.9336163643</v>
      </c>
      <c r="N25" s="11">
        <f>IFERROR('Export-dataset'!N26/'Export-dataset'!N25,0)</f>
        <v>0.9309504468</v>
      </c>
      <c r="O25" s="11">
        <f>IFERROR('Export-dataset'!O26/'Export-dataset'!O25,0)</f>
        <v>0.984496124</v>
      </c>
      <c r="P25" s="11">
        <f>IFERROR('Export-dataset'!P26/'Export-dataset'!P25,0)</f>
        <v>1.478724233</v>
      </c>
      <c r="Q25" s="11">
        <f>IFERROR('Export-dataset'!Q26/'Export-dataset'!Q25,0)</f>
        <v>1.37667304</v>
      </c>
      <c r="R25" s="11">
        <f>IFERROR('Export-dataset'!R26/'Export-dataset'!R25,0)</f>
        <v>0.7633986928</v>
      </c>
      <c r="S25" s="11">
        <f>IFERROR('Export-dataset'!S26/'Export-dataset'!S25,0)</f>
        <v>1.25</v>
      </c>
      <c r="T25" s="11">
        <f>IFERROR('Export-dataset'!T26/'Export-dataset'!T25,0)</f>
        <v>1.11559633</v>
      </c>
      <c r="U25" s="11">
        <f>IFERROR('Export-dataset'!U26/'Export-dataset'!U25,0)</f>
        <v>1.257142857</v>
      </c>
      <c r="V25" s="11">
        <f>IFERROR('Export-dataset'!V26/'Export-dataset'!V25,0)</f>
        <v>1.36768343</v>
      </c>
      <c r="W25" s="11">
        <f>IFERROR('Export-dataset'!W26/'Export-dataset'!W25,0)</f>
        <v>1.249134948</v>
      </c>
      <c r="X25" s="11">
        <f>IFERROR('Export-dataset'!X26/'Export-dataset'!X25,0)</f>
        <v>1.511245033</v>
      </c>
      <c r="Y25" s="11">
        <f>IFERROR('Export-dataset'!Y26/'Export-dataset'!Y25,0)</f>
        <v>0.9718309859</v>
      </c>
      <c r="Z25" s="11">
        <f>IFERROR('Export-dataset'!Z26/'Export-dataset'!Z25,0)</f>
        <v>1.15141874</v>
      </c>
      <c r="AA25" s="11">
        <f>IFERROR('Export-dataset'!AA26/'Export-dataset'!AA25,0)</f>
        <v>1.088960154</v>
      </c>
      <c r="AB25" s="11">
        <f>IFERROR('Export-dataset'!AB26/'Export-dataset'!AB25,0)</f>
        <v>1.3496875</v>
      </c>
      <c r="AC25" s="11">
        <f>IFERROR('Export-dataset'!AC26/'Export-dataset'!AC25,0)</f>
        <v>1.217471904</v>
      </c>
      <c r="AD25" s="11">
        <f>IFERROR('Export-dataset'!AD26/'Export-dataset'!AD25,0)</f>
        <v>1.049107143</v>
      </c>
      <c r="AE25" s="11">
        <f>IFERROR('Export-dataset'!AE26/'Export-dataset'!AE25,0)</f>
        <v>1.125</v>
      </c>
      <c r="AF25" s="11">
        <f>IFERROR('Export-dataset'!AF26/'Export-dataset'!AF25,0)</f>
        <v>0.9440993789</v>
      </c>
      <c r="AG25" s="11">
        <f>IFERROR('Export-dataset'!AG26/'Export-dataset'!AG25,0)</f>
        <v>0.8</v>
      </c>
      <c r="AH25" s="11">
        <f>IFERROR('Export-dataset'!AH26/'Export-dataset'!AH25,0)</f>
        <v>0.9981467754</v>
      </c>
      <c r="AI25" s="11">
        <f>IFERROR('Export-dataset'!AI26/'Export-dataset'!AI25,0)</f>
        <v>1.188311688</v>
      </c>
      <c r="AJ25" s="11">
        <f>IFERROR('Export-dataset'!AJ26/'Export-dataset'!AJ25,0)</f>
        <v>1.092664093</v>
      </c>
      <c r="AK25" s="11">
        <f>IFERROR('Export-dataset'!AK26/'Export-dataset'!AK25,0)</f>
        <v>0.9807692308</v>
      </c>
      <c r="AL25" s="11">
        <f>IFERROR('Export-dataset'!AL26/'Export-dataset'!AL25,0)</f>
        <v>0.9820682879</v>
      </c>
      <c r="AM25" s="11">
        <f>IFERROR('Export-dataset'!AM26/'Export-dataset'!AM25,0)</f>
        <v>1.084717608</v>
      </c>
      <c r="AN25" s="11">
        <f>IFERROR('Export-dataset'!AN26/'Export-dataset'!AN25,0)</f>
        <v>0.8049382716</v>
      </c>
      <c r="AO25" s="11">
        <f>IFERROR('Export-dataset'!AO26/'Export-dataset'!AO25,0)</f>
        <v>1.371541502</v>
      </c>
      <c r="AP25" s="11">
        <f>IFERROR('Export-dataset'!AP26/'Export-dataset'!AP25,0)</f>
        <v>0.8257756563</v>
      </c>
      <c r="AQ25" s="11">
        <f>IFERROR('Export-dataset'!AQ26/'Export-dataset'!AQ25,0)</f>
        <v>1.001004016</v>
      </c>
      <c r="AR25" s="11">
        <f>IFERROR('Export-dataset'!AR26/'Export-dataset'!AR25,0)</f>
        <v>1.11135403</v>
      </c>
      <c r="AS25" s="11">
        <f>IFERROR('Export-dataset'!AS26/'Export-dataset'!AS25,0)</f>
        <v>1.108433735</v>
      </c>
      <c r="AT25" s="11">
        <f>IFERROR('Export-dataset'!AT26/'Export-dataset'!AT25,0)</f>
        <v>0.921182266</v>
      </c>
      <c r="AU25" s="11">
        <f>IFERROR('Export-dataset'!AU26/'Export-dataset'!AU25,0)</f>
        <v>0.9679487179</v>
      </c>
      <c r="AV25" s="11">
        <f>IFERROR('Export-dataset'!AV26/'Export-dataset'!AV25,0)</f>
        <v>1.211567732</v>
      </c>
      <c r="AW25" s="11">
        <f>IFERROR('Export-dataset'!AW26/'Export-dataset'!AW25,0)</f>
        <v>0.8603896104</v>
      </c>
      <c r="AX25" s="11">
        <f>IFERROR('Export-dataset'!AX26/'Export-dataset'!AX25,0)</f>
        <v>0.8760529483</v>
      </c>
      <c r="AY25" s="11">
        <f>IFERROR('Export-dataset'!AY26/'Export-dataset'!AY25,0)</f>
        <v>1.63255814</v>
      </c>
      <c r="AZ25" s="11">
        <f>IFERROR('Export-dataset'!AZ26/'Export-dataset'!AZ25,0)</f>
        <v>1.105986366</v>
      </c>
      <c r="BA25" s="11">
        <f>IFERROR('Export-dataset'!BA26/'Export-dataset'!BA25,0)</f>
        <v>0.9906542056</v>
      </c>
      <c r="BB25" s="11">
        <f>IFERROR('Export-dataset'!BB26/'Export-dataset'!BB25,0)</f>
        <v>1.027301747</v>
      </c>
      <c r="BC25" s="11">
        <f>IFERROR('Export-dataset'!BC26/'Export-dataset'!BC25,0)</f>
        <v>1.062420382</v>
      </c>
      <c r="BD25" s="11">
        <f>IFERROR('Export-dataset'!BD26/'Export-dataset'!BD25,0)</f>
        <v>1.021470746</v>
      </c>
      <c r="BE25" s="11">
        <f>IFERROR('Export-dataset'!BE26/'Export-dataset'!BE25,0)</f>
        <v>0.9315068493</v>
      </c>
      <c r="BF25" s="11">
        <f>IFERROR('Export-dataset'!BF26/'Export-dataset'!BF25,0)</f>
        <v>1.017006803</v>
      </c>
      <c r="BG25" s="11">
        <f>IFERROR('Export-dataset'!BG26/'Export-dataset'!BG25,0)</f>
        <v>1.159960746</v>
      </c>
      <c r="BH25" s="11">
        <f>IFERROR('Export-dataset'!BH26/'Export-dataset'!BH25,0)</f>
        <v>0.9274353877</v>
      </c>
      <c r="BI25" s="11">
        <f>IFERROR('Export-dataset'!BI26/'Export-dataset'!BI25,0)</f>
        <v>1.006514658</v>
      </c>
      <c r="BJ25" s="11">
        <f>IFERROR('Export-dataset'!BJ26/'Export-dataset'!BJ25,0)</f>
        <v>1.157137145</v>
      </c>
      <c r="BK25" s="11">
        <f>IFERROR('Export-dataset'!BK26/'Export-dataset'!BK25,0)</f>
        <v>0.7844357977</v>
      </c>
      <c r="BL25" s="11">
        <f>IFERROR('Export-dataset'!BL26/'Export-dataset'!BL25,0)</f>
        <v>0.9615232833</v>
      </c>
      <c r="BM25" s="11">
        <f>IFERROR('Export-dataset'!BM26/'Export-dataset'!BM25,0)</f>
        <v>1.006993007</v>
      </c>
      <c r="BN25" s="11">
        <f>IFERROR('Export-dataset'!BN26/'Export-dataset'!BN25,0)</f>
        <v>0.9351851852</v>
      </c>
      <c r="BO25" s="11">
        <f>IFERROR('Export-dataset'!BO26/'Export-dataset'!BO25,0)</f>
        <v>0.9393939394</v>
      </c>
      <c r="BP25" s="11">
        <f>IFERROR('Export-dataset'!BP26/'Export-dataset'!BP25,0)</f>
        <v>1.043290043</v>
      </c>
      <c r="BQ25" s="11">
        <f>IFERROR('Export-dataset'!BQ26/'Export-dataset'!BQ25,0)</f>
        <v>0.976744186</v>
      </c>
      <c r="BR25" s="11">
        <f>IFERROR('Export-dataset'!BR26/'Export-dataset'!BR25,0)</f>
        <v>0.931166348</v>
      </c>
      <c r="BS25" s="11">
        <f>IFERROR('Export-dataset'!BS26/'Export-dataset'!BS25,0)</f>
        <v>0.8012048193</v>
      </c>
      <c r="BT25" s="11">
        <f>IFERROR('Export-dataset'!BT26/'Export-dataset'!BT25,0)</f>
        <v>1.006711409</v>
      </c>
      <c r="BU25" s="11">
        <f>IFERROR('Export-dataset'!BU26/'Export-dataset'!BU25,0)</f>
        <v>1.020495054</v>
      </c>
      <c r="BV25" s="11">
        <f>IFERROR('Export-dataset'!BV26/'Export-dataset'!BV25,0)</f>
        <v>0.8112139918</v>
      </c>
      <c r="BW25" s="11">
        <f>IFERROR('Export-dataset'!BW26/'Export-dataset'!BW25,0)</f>
        <v>1.032667877</v>
      </c>
      <c r="BX25" s="11">
        <f>IFERROR('Export-dataset'!BX26/'Export-dataset'!BX25,0)</f>
        <v>0</v>
      </c>
      <c r="BY25" s="11">
        <f>IFERROR('Export-dataset'!BY26/'Export-dataset'!BY25,0)</f>
        <v>0.959075206</v>
      </c>
      <c r="BZ25" s="11">
        <f>IFERROR('Export-dataset'!BZ26/'Export-dataset'!BZ25,0)</f>
        <v>1.227145086</v>
      </c>
      <c r="CA25" s="11">
        <f>IFERROR('Export-dataset'!CA26/'Export-dataset'!CA25,0)</f>
        <v>1.175864595</v>
      </c>
    </row>
    <row r="26" ht="15.75" customHeight="1">
      <c r="A26" s="9" t="str">
        <f>'Export-dataset'!A27</f>
        <v>Y2011</v>
      </c>
      <c r="B26" s="11">
        <f>IFERROR('Export-dataset'!B27/'Export-dataset'!B26,0)</f>
        <v>1.158477011</v>
      </c>
      <c r="C26" s="11">
        <f>IFERROR('Export-dataset'!C27/'Export-dataset'!C26,0)</f>
        <v>0.9362445415</v>
      </c>
      <c r="D26" s="11">
        <f>IFERROR('Export-dataset'!D27/'Export-dataset'!D26,0)</f>
        <v>1.062751528</v>
      </c>
      <c r="E26" s="11">
        <f>IFERROR('Export-dataset'!E27/'Export-dataset'!E26,0)</f>
        <v>1.005555556</v>
      </c>
      <c r="F26" s="11">
        <f>IFERROR('Export-dataset'!F27/'Export-dataset'!F26,0)</f>
        <v>1.043179588</v>
      </c>
      <c r="G26" s="11">
        <f>IFERROR('Export-dataset'!G27/'Export-dataset'!G26,0)</f>
        <v>1.448311157</v>
      </c>
      <c r="H26" s="11">
        <f>IFERROR('Export-dataset'!H27/'Export-dataset'!H26,0)</f>
        <v>1.075241158</v>
      </c>
      <c r="I26" s="11">
        <f>IFERROR('Export-dataset'!I27/'Export-dataset'!I26,0)</f>
        <v>0.9792284866</v>
      </c>
      <c r="J26" s="11">
        <f>IFERROR('Export-dataset'!J27/'Export-dataset'!J26,0)</f>
        <v>1.031578947</v>
      </c>
      <c r="K26" s="11">
        <f>IFERROR('Export-dataset'!K27/'Export-dataset'!K26,0)</f>
        <v>1.065346535</v>
      </c>
      <c r="L26" s="11">
        <f>IFERROR('Export-dataset'!L27/'Export-dataset'!L26,0)</f>
        <v>1.115288221</v>
      </c>
      <c r="M26" s="11">
        <f>IFERROR('Export-dataset'!M27/'Export-dataset'!M26,0)</f>
        <v>0.9131872675</v>
      </c>
      <c r="N26" s="11">
        <f>IFERROR('Export-dataset'!N27/'Export-dataset'!N26,0)</f>
        <v>0.9109947644</v>
      </c>
      <c r="O26" s="11">
        <f>IFERROR('Export-dataset'!O27/'Export-dataset'!O26,0)</f>
        <v>0.9527559055</v>
      </c>
      <c r="P26" s="11">
        <f>IFERROR('Export-dataset'!P27/'Export-dataset'!P26,0)</f>
        <v>1.261973464</v>
      </c>
      <c r="Q26" s="11">
        <f>IFERROR('Export-dataset'!Q27/'Export-dataset'!Q26,0)</f>
        <v>1.180555556</v>
      </c>
      <c r="R26" s="11">
        <f>IFERROR('Export-dataset'!R27/'Export-dataset'!R26,0)</f>
        <v>2.238013699</v>
      </c>
      <c r="S26" s="11">
        <f>IFERROR('Export-dataset'!S27/'Export-dataset'!S26,0)</f>
        <v>1.133333333</v>
      </c>
      <c r="T26" s="11">
        <f>IFERROR('Export-dataset'!T27/'Export-dataset'!T26,0)</f>
        <v>0.8980263158</v>
      </c>
      <c r="U26" s="11">
        <f>IFERROR('Export-dataset'!U27/'Export-dataset'!U26,0)</f>
        <v>0.9431818182</v>
      </c>
      <c r="V26" s="11">
        <f>IFERROR('Export-dataset'!V27/'Export-dataset'!V26,0)</f>
        <v>1.63562387</v>
      </c>
      <c r="W26" s="11">
        <f>IFERROR('Export-dataset'!W27/'Export-dataset'!W26,0)</f>
        <v>1.149584488</v>
      </c>
      <c r="X26" s="11">
        <f>IFERROR('Export-dataset'!X27/'Export-dataset'!X26,0)</f>
        <v>1.245752182</v>
      </c>
      <c r="Y26" s="11">
        <f>IFERROR('Export-dataset'!Y27/'Export-dataset'!Y26,0)</f>
        <v>0.9758454106</v>
      </c>
      <c r="Z26" s="11">
        <f>IFERROR('Export-dataset'!Z27/'Export-dataset'!Z26,0)</f>
        <v>1.102132452</v>
      </c>
      <c r="AA26" s="11">
        <f>IFERROR('Export-dataset'!AA27/'Export-dataset'!AA26,0)</f>
        <v>1.088649275</v>
      </c>
      <c r="AB26" s="11">
        <f>IFERROR('Export-dataset'!AB27/'Export-dataset'!AB26,0)</f>
        <v>1.111059659</v>
      </c>
      <c r="AC26" s="11">
        <f>IFERROR('Export-dataset'!AC27/'Export-dataset'!AC26,0)</f>
        <v>1.14645984</v>
      </c>
      <c r="AD26" s="11">
        <f>IFERROR('Export-dataset'!AD27/'Export-dataset'!AD26,0)</f>
        <v>1.274468085</v>
      </c>
      <c r="AE26" s="11">
        <f>IFERROR('Export-dataset'!AE27/'Export-dataset'!AE26,0)</f>
        <v>1.349673203</v>
      </c>
      <c r="AF26" s="11">
        <f>IFERROR('Export-dataset'!AF27/'Export-dataset'!AF26,0)</f>
        <v>1.144736842</v>
      </c>
      <c r="AG26" s="11">
        <f>IFERROR('Export-dataset'!AG27/'Export-dataset'!AG26,0)</f>
        <v>1</v>
      </c>
      <c r="AH26" s="11">
        <f>IFERROR('Export-dataset'!AH27/'Export-dataset'!AH26,0)</f>
        <v>0.9775962372</v>
      </c>
      <c r="AI26" s="11">
        <f>IFERROR('Export-dataset'!AI27/'Export-dataset'!AI26,0)</f>
        <v>1.032786885</v>
      </c>
      <c r="AJ26" s="11">
        <f>IFERROR('Export-dataset'!AJ27/'Export-dataset'!AJ26,0)</f>
        <v>1.035335689</v>
      </c>
      <c r="AK26" s="11">
        <f>IFERROR('Export-dataset'!AK27/'Export-dataset'!AK26,0)</f>
        <v>1.16892911</v>
      </c>
      <c r="AL26" s="11">
        <f>IFERROR('Export-dataset'!AL27/'Export-dataset'!AL26,0)</f>
        <v>0.9362181091</v>
      </c>
      <c r="AM26" s="11">
        <f>IFERROR('Export-dataset'!AM27/'Export-dataset'!AM26,0)</f>
        <v>0.954058193</v>
      </c>
      <c r="AN26" s="11">
        <f>IFERROR('Export-dataset'!AN27/'Export-dataset'!AN26,0)</f>
        <v>1.214723926</v>
      </c>
      <c r="AO26" s="11">
        <f>IFERROR('Export-dataset'!AO27/'Export-dataset'!AO26,0)</f>
        <v>0.8674351585</v>
      </c>
      <c r="AP26" s="11">
        <f>IFERROR('Export-dataset'!AP27/'Export-dataset'!AP26,0)</f>
        <v>0.9393063584</v>
      </c>
      <c r="AQ26" s="11">
        <f>IFERROR('Export-dataset'!AQ27/'Export-dataset'!AQ26,0)</f>
        <v>0.962888666</v>
      </c>
      <c r="AR26" s="11">
        <f>IFERROR('Export-dataset'!AR27/'Export-dataset'!AR26,0)</f>
        <v>1.047737705</v>
      </c>
      <c r="AS26" s="11">
        <f>IFERROR('Export-dataset'!AS27/'Export-dataset'!AS26,0)</f>
        <v>0.8768115942</v>
      </c>
      <c r="AT26" s="11">
        <f>IFERROR('Export-dataset'!AT27/'Export-dataset'!AT26,0)</f>
        <v>1.090909091</v>
      </c>
      <c r="AU26" s="11">
        <f>IFERROR('Export-dataset'!AU27/'Export-dataset'!AU26,0)</f>
        <v>0.7748344371</v>
      </c>
      <c r="AV26" s="11">
        <f>IFERROR('Export-dataset'!AV27/'Export-dataset'!AV26,0)</f>
        <v>1.065326633</v>
      </c>
      <c r="AW26" s="11">
        <f>IFERROR('Export-dataset'!AW27/'Export-dataset'!AW26,0)</f>
        <v>0.9962264151</v>
      </c>
      <c r="AX26" s="11">
        <f>IFERROR('Export-dataset'!AX27/'Export-dataset'!AX26,0)</f>
        <v>0.896978022</v>
      </c>
      <c r="AY26" s="11">
        <f>IFERROR('Export-dataset'!AY27/'Export-dataset'!AY26,0)</f>
        <v>0.8789173789</v>
      </c>
      <c r="AZ26" s="11">
        <f>IFERROR('Export-dataset'!AZ27/'Export-dataset'!AZ26,0)</f>
        <v>1.095637099</v>
      </c>
      <c r="BA26" s="11">
        <f>IFERROR('Export-dataset'!BA27/'Export-dataset'!BA26,0)</f>
        <v>0.9811320755</v>
      </c>
      <c r="BB26" s="11">
        <f>IFERROR('Export-dataset'!BB27/'Export-dataset'!BB26,0)</f>
        <v>1.029356448</v>
      </c>
      <c r="BC26" s="11">
        <f>IFERROR('Export-dataset'!BC27/'Export-dataset'!BC26,0)</f>
        <v>1.152278177</v>
      </c>
      <c r="BD26" s="11">
        <f>IFERROR('Export-dataset'!BD27/'Export-dataset'!BD26,0)</f>
        <v>1.024172359</v>
      </c>
      <c r="BE26" s="11">
        <f>IFERROR('Export-dataset'!BE27/'Export-dataset'!BE26,0)</f>
        <v>1.183823529</v>
      </c>
      <c r="BF26" s="11">
        <f>IFERROR('Export-dataset'!BF27/'Export-dataset'!BF26,0)</f>
        <v>1.022853958</v>
      </c>
      <c r="BG26" s="11">
        <f>IFERROR('Export-dataset'!BG27/'Export-dataset'!BG26,0)</f>
        <v>0.9737732657</v>
      </c>
      <c r="BH26" s="11">
        <f>IFERROR('Export-dataset'!BH27/'Export-dataset'!BH26,0)</f>
        <v>1.043944266</v>
      </c>
      <c r="BI26" s="11">
        <f>IFERROR('Export-dataset'!BI27/'Export-dataset'!BI26,0)</f>
        <v>1.00776699</v>
      </c>
      <c r="BJ26" s="11">
        <f>IFERROR('Export-dataset'!BJ27/'Export-dataset'!BJ26,0)</f>
        <v>0.8780234969</v>
      </c>
      <c r="BK26" s="11">
        <f>IFERROR('Export-dataset'!BK27/'Export-dataset'!BK26,0)</f>
        <v>1.447420635</v>
      </c>
      <c r="BL26" s="11">
        <f>IFERROR('Export-dataset'!BL27/'Export-dataset'!BL26,0)</f>
        <v>1.064436692</v>
      </c>
      <c r="BM26" s="11">
        <f>IFERROR('Export-dataset'!BM27/'Export-dataset'!BM26,0)</f>
        <v>0.8194444444</v>
      </c>
      <c r="BN26" s="11">
        <f>IFERROR('Export-dataset'!BN27/'Export-dataset'!BN26,0)</f>
        <v>0.9702970297</v>
      </c>
      <c r="BO26" s="11">
        <f>IFERROR('Export-dataset'!BO27/'Export-dataset'!BO26,0)</f>
        <v>1</v>
      </c>
      <c r="BP26" s="11">
        <f>IFERROR('Export-dataset'!BP27/'Export-dataset'!BP26,0)</f>
        <v>1.037344398</v>
      </c>
      <c r="BQ26" s="11">
        <f>IFERROR('Export-dataset'!BQ27/'Export-dataset'!BQ26,0)</f>
        <v>1.238095238</v>
      </c>
      <c r="BR26" s="11">
        <f>IFERROR('Export-dataset'!BR27/'Export-dataset'!BR26,0)</f>
        <v>0.9953798768</v>
      </c>
      <c r="BS26" s="11">
        <f>IFERROR('Export-dataset'!BS27/'Export-dataset'!BS26,0)</f>
        <v>0.977443609</v>
      </c>
      <c r="BT26" s="11">
        <f>IFERROR('Export-dataset'!BT27/'Export-dataset'!BT26,0)</f>
        <v>1.161428571</v>
      </c>
      <c r="BU26" s="11">
        <f>IFERROR('Export-dataset'!BU27/'Export-dataset'!BU26,0)</f>
        <v>0.9767261126</v>
      </c>
      <c r="BV26" s="11">
        <f>IFERROR('Export-dataset'!BV27/'Export-dataset'!BV26,0)</f>
        <v>0.8129359543</v>
      </c>
      <c r="BW26" s="11">
        <f>IFERROR('Export-dataset'!BW27/'Export-dataset'!BW26,0)</f>
        <v>1.574692443</v>
      </c>
      <c r="BX26" s="11">
        <f>IFERROR('Export-dataset'!BX27/'Export-dataset'!BX26,0)</f>
        <v>0</v>
      </c>
      <c r="BY26" s="11">
        <f>IFERROR('Export-dataset'!BY27/'Export-dataset'!BY26,0)</f>
        <v>1.044264339</v>
      </c>
      <c r="BZ26" s="11">
        <f>IFERROR('Export-dataset'!BZ27/'Export-dataset'!BZ26,0)</f>
        <v>0.842359522</v>
      </c>
      <c r="CA26" s="11">
        <f>IFERROR('Export-dataset'!CA27/'Export-dataset'!CA26,0)</f>
        <v>1.132230082</v>
      </c>
    </row>
    <row r="27" ht="15.75" customHeight="1">
      <c r="A27" s="9" t="str">
        <f>'Export-dataset'!A28</f>
        <v>Y2012</v>
      </c>
      <c r="B27" s="11">
        <f>IFERROR('Export-dataset'!B28/'Export-dataset'!B27,0)</f>
        <v>1.04411096</v>
      </c>
      <c r="C27" s="11">
        <f>IFERROR('Export-dataset'!C28/'Export-dataset'!C27,0)</f>
        <v>0.9785447761</v>
      </c>
      <c r="D27" s="11">
        <f>IFERROR('Export-dataset'!D28/'Export-dataset'!D27,0)</f>
        <v>1.009957924</v>
      </c>
      <c r="E27" s="11">
        <f>IFERROR('Export-dataset'!E28/'Export-dataset'!E27,0)</f>
        <v>0.9990791897</v>
      </c>
      <c r="F27" s="11">
        <f>IFERROR('Export-dataset'!F28/'Export-dataset'!F27,0)</f>
        <v>0.896519285</v>
      </c>
      <c r="G27" s="11">
        <f>IFERROR('Export-dataset'!G28/'Export-dataset'!G27,0)</f>
        <v>1.06442874</v>
      </c>
      <c r="H27" s="11">
        <f>IFERROR('Export-dataset'!H28/'Export-dataset'!H27,0)</f>
        <v>1.245215311</v>
      </c>
      <c r="I27" s="11">
        <f>IFERROR('Export-dataset'!I28/'Export-dataset'!I27,0)</f>
        <v>0.8939393939</v>
      </c>
      <c r="J27" s="11">
        <f>IFERROR('Export-dataset'!J28/'Export-dataset'!J27,0)</f>
        <v>0.8605442177</v>
      </c>
      <c r="K27" s="11">
        <f>IFERROR('Export-dataset'!K28/'Export-dataset'!K27,0)</f>
        <v>1.210037175</v>
      </c>
      <c r="L27" s="11">
        <f>IFERROR('Export-dataset'!L28/'Export-dataset'!L27,0)</f>
        <v>1.026966292</v>
      </c>
      <c r="M27" s="11">
        <f>IFERROR('Export-dataset'!M28/'Export-dataset'!M27,0)</f>
        <v>0.9746491625</v>
      </c>
      <c r="N27" s="11">
        <f>IFERROR('Export-dataset'!N28/'Export-dataset'!N27,0)</f>
        <v>0.9913793103</v>
      </c>
      <c r="O27" s="11">
        <f>IFERROR('Export-dataset'!O28/'Export-dataset'!O27,0)</f>
        <v>0.6859504132</v>
      </c>
      <c r="P27" s="11">
        <f>IFERROR('Export-dataset'!P28/'Export-dataset'!P27,0)</f>
        <v>0.9003027772</v>
      </c>
      <c r="Q27" s="11">
        <f>IFERROR('Export-dataset'!Q28/'Export-dataset'!Q27,0)</f>
        <v>0.9623529412</v>
      </c>
      <c r="R27" s="11">
        <f>IFERROR('Export-dataset'!R28/'Export-dataset'!R27,0)</f>
        <v>1.374904361</v>
      </c>
      <c r="S27" s="11">
        <f>IFERROR('Export-dataset'!S28/'Export-dataset'!S27,0)</f>
        <v>1.294117647</v>
      </c>
      <c r="T27" s="11">
        <f>IFERROR('Export-dataset'!T28/'Export-dataset'!T27,0)</f>
        <v>0.8131868132</v>
      </c>
      <c r="U27" s="11">
        <f>IFERROR('Export-dataset'!U28/'Export-dataset'!U27,0)</f>
        <v>0.9477911647</v>
      </c>
      <c r="V27" s="11">
        <f>IFERROR('Export-dataset'!V28/'Export-dataset'!V27,0)</f>
        <v>0.9607517966</v>
      </c>
      <c r="W27" s="11">
        <f>IFERROR('Export-dataset'!W28/'Export-dataset'!W27,0)</f>
        <v>1.031325301</v>
      </c>
      <c r="X27" s="11">
        <f>IFERROR('Export-dataset'!X28/'Export-dataset'!X27,0)</f>
        <v>0.8880783104</v>
      </c>
      <c r="Y27" s="11">
        <f>IFERROR('Export-dataset'!Y28/'Export-dataset'!Y27,0)</f>
        <v>1.272277228</v>
      </c>
      <c r="Z27" s="11">
        <f>IFERROR('Export-dataset'!Z28/'Export-dataset'!Z27,0)</f>
        <v>0.9584826477</v>
      </c>
      <c r="AA27" s="11">
        <f>IFERROR('Export-dataset'!AA28/'Export-dataset'!AA27,0)</f>
        <v>0.8853625288</v>
      </c>
      <c r="AB27" s="11">
        <f>IFERROR('Export-dataset'!AB28/'Export-dataset'!AB27,0)</f>
        <v>0.9923589886</v>
      </c>
      <c r="AC27" s="11">
        <f>IFERROR('Export-dataset'!AC28/'Export-dataset'!AC27,0)</f>
        <v>1.202955093</v>
      </c>
      <c r="AD27" s="11">
        <f>IFERROR('Export-dataset'!AD28/'Export-dataset'!AD27,0)</f>
        <v>0.8480801336</v>
      </c>
      <c r="AE27" s="11">
        <f>IFERROR('Export-dataset'!AE28/'Export-dataset'!AE27,0)</f>
        <v>0.8208232446</v>
      </c>
      <c r="AF27" s="11">
        <f>IFERROR('Export-dataset'!AF28/'Export-dataset'!AF27,0)</f>
        <v>0.9137931034</v>
      </c>
      <c r="AG27" s="11">
        <f>IFERROR('Export-dataset'!AG28/'Export-dataset'!AG27,0)</f>
        <v>0.8333333333</v>
      </c>
      <c r="AH27" s="11">
        <f>IFERROR('Export-dataset'!AH28/'Export-dataset'!AH27,0)</f>
        <v>1.066472525</v>
      </c>
      <c r="AI27" s="11">
        <f>IFERROR('Export-dataset'!AI28/'Export-dataset'!AI27,0)</f>
        <v>1.17989418</v>
      </c>
      <c r="AJ27" s="11">
        <f>IFERROR('Export-dataset'!AJ28/'Export-dataset'!AJ27,0)</f>
        <v>1.19112628</v>
      </c>
      <c r="AK27" s="11">
        <f>IFERROR('Export-dataset'!AK28/'Export-dataset'!AK27,0)</f>
        <v>0.8632258065</v>
      </c>
      <c r="AL27" s="11">
        <f>IFERROR('Export-dataset'!AL28/'Export-dataset'!AL27,0)</f>
        <v>1.154421587</v>
      </c>
      <c r="AM27" s="11">
        <f>IFERROR('Export-dataset'!AM28/'Export-dataset'!AM27,0)</f>
        <v>1.003210273</v>
      </c>
      <c r="AN27" s="11">
        <f>IFERROR('Export-dataset'!AN28/'Export-dataset'!AN27,0)</f>
        <v>0.7803030303</v>
      </c>
      <c r="AO27" s="11">
        <f>IFERROR('Export-dataset'!AO28/'Export-dataset'!AO27,0)</f>
        <v>1.093023256</v>
      </c>
      <c r="AP27" s="11">
        <f>IFERROR('Export-dataset'!AP28/'Export-dataset'!AP27,0)</f>
        <v>0.9630769231</v>
      </c>
      <c r="AQ27" s="11">
        <f>IFERROR('Export-dataset'!AQ28/'Export-dataset'!AQ27,0)</f>
        <v>0.975</v>
      </c>
      <c r="AR27" s="11">
        <f>IFERROR('Export-dataset'!AR28/'Export-dataset'!AR27,0)</f>
        <v>0.8650644636</v>
      </c>
      <c r="AS27" s="11">
        <f>IFERROR('Export-dataset'!AS28/'Export-dataset'!AS27,0)</f>
        <v>0.8099173554</v>
      </c>
      <c r="AT27" s="11">
        <f>IFERROR('Export-dataset'!AT28/'Export-dataset'!AT27,0)</f>
        <v>1.029411765</v>
      </c>
      <c r="AU27" s="11">
        <f>IFERROR('Export-dataset'!AU28/'Export-dataset'!AU27,0)</f>
        <v>0.811965812</v>
      </c>
      <c r="AV27" s="11">
        <f>IFERROR('Export-dataset'!AV28/'Export-dataset'!AV27,0)</f>
        <v>0.945754717</v>
      </c>
      <c r="AW27" s="11">
        <f>IFERROR('Export-dataset'!AW28/'Export-dataset'!AW27,0)</f>
        <v>0.9356060606</v>
      </c>
      <c r="AX27" s="11">
        <f>IFERROR('Export-dataset'!AX28/'Export-dataset'!AX27,0)</f>
        <v>0.9341500766</v>
      </c>
      <c r="AY27" s="11">
        <f>IFERROR('Export-dataset'!AY28/'Export-dataset'!AY27,0)</f>
        <v>0.5753646677</v>
      </c>
      <c r="AZ27" s="11">
        <f>IFERROR('Export-dataset'!AZ28/'Export-dataset'!AZ27,0)</f>
        <v>0.868407173</v>
      </c>
      <c r="BA27" s="11">
        <f>IFERROR('Export-dataset'!BA28/'Export-dataset'!BA27,0)</f>
        <v>1.031730769</v>
      </c>
      <c r="BB27" s="11">
        <f>IFERROR('Export-dataset'!BB28/'Export-dataset'!BB27,0)</f>
        <v>1.056959009</v>
      </c>
      <c r="BC27" s="11">
        <f>IFERROR('Export-dataset'!BC28/'Export-dataset'!BC27,0)</f>
        <v>0.8772112383</v>
      </c>
      <c r="BD27" s="11">
        <f>IFERROR('Export-dataset'!BD28/'Export-dataset'!BD27,0)</f>
        <v>1.090302719</v>
      </c>
      <c r="BE27" s="11">
        <f>IFERROR('Export-dataset'!BE28/'Export-dataset'!BE27,0)</f>
        <v>1.055900621</v>
      </c>
      <c r="BF27" s="11">
        <f>IFERROR('Export-dataset'!BF28/'Export-dataset'!BF27,0)</f>
        <v>1.029972752</v>
      </c>
      <c r="BG27" s="11">
        <f>IFERROR('Export-dataset'!BG28/'Export-dataset'!BG27,0)</f>
        <v>0.9635099913</v>
      </c>
      <c r="BH27" s="11">
        <f>IFERROR('Export-dataset'!BH28/'Export-dataset'!BH27,0)</f>
        <v>1.034907598</v>
      </c>
      <c r="BI27" s="11">
        <f>IFERROR('Export-dataset'!BI28/'Export-dataset'!BI27,0)</f>
        <v>1.014129737</v>
      </c>
      <c r="BJ27" s="11">
        <f>IFERROR('Export-dataset'!BJ28/'Export-dataset'!BJ27,0)</f>
        <v>1.189689099</v>
      </c>
      <c r="BK27" s="11">
        <f>IFERROR('Export-dataset'!BK28/'Export-dataset'!BK27,0)</f>
        <v>1.067854695</v>
      </c>
      <c r="BL27" s="11">
        <f>IFERROR('Export-dataset'!BL28/'Export-dataset'!BL27,0)</f>
        <v>0.9483323694</v>
      </c>
      <c r="BM27" s="11">
        <f>IFERROR('Export-dataset'!BM28/'Export-dataset'!BM27,0)</f>
        <v>1.144067797</v>
      </c>
      <c r="BN27" s="11">
        <f>IFERROR('Export-dataset'!BN28/'Export-dataset'!BN27,0)</f>
        <v>0.8469387755</v>
      </c>
      <c r="BO27" s="11">
        <f>IFERROR('Export-dataset'!BO28/'Export-dataset'!BO27,0)</f>
        <v>1.161290323</v>
      </c>
      <c r="BP27" s="11">
        <f>IFERROR('Export-dataset'!BP28/'Export-dataset'!BP27,0)</f>
        <v>1.024</v>
      </c>
      <c r="BQ27" s="11">
        <f>IFERROR('Export-dataset'!BQ28/'Export-dataset'!BQ27,0)</f>
        <v>0.9423076923</v>
      </c>
      <c r="BR27" s="11">
        <f>IFERROR('Export-dataset'!BR28/'Export-dataset'!BR27,0)</f>
        <v>0.9334708613</v>
      </c>
      <c r="BS27" s="11">
        <f>IFERROR('Export-dataset'!BS28/'Export-dataset'!BS27,0)</f>
        <v>0.9153846154</v>
      </c>
      <c r="BT27" s="11">
        <f>IFERROR('Export-dataset'!BT28/'Export-dataset'!BT27,0)</f>
        <v>0.9479294793</v>
      </c>
      <c r="BU27" s="11">
        <f>IFERROR('Export-dataset'!BU28/'Export-dataset'!BU27,0)</f>
        <v>0.9537669082</v>
      </c>
      <c r="BV27" s="11">
        <f>IFERROR('Export-dataset'!BV28/'Export-dataset'!BV27,0)</f>
        <v>0.8065522621</v>
      </c>
      <c r="BW27" s="11">
        <f>IFERROR('Export-dataset'!BW28/'Export-dataset'!BW27,0)</f>
        <v>0.8169642857</v>
      </c>
      <c r="BX27" s="11">
        <f>IFERROR('Export-dataset'!BX28/'Export-dataset'!BX27,0)</f>
        <v>0</v>
      </c>
      <c r="BY27" s="11">
        <f>IFERROR('Export-dataset'!BY28/'Export-dataset'!BY27,0)</f>
        <v>1.029917081</v>
      </c>
      <c r="BZ27" s="11">
        <f>IFERROR('Export-dataset'!BZ28/'Export-dataset'!BZ27,0)</f>
        <v>0.8274977362</v>
      </c>
      <c r="CA27" s="11">
        <f>IFERROR('Export-dataset'!CA28/'Export-dataset'!CA27,0)</f>
        <v>0.9466484268</v>
      </c>
    </row>
    <row r="28" ht="15.75" customHeight="1">
      <c r="A28" s="9" t="str">
        <f>'Export-dataset'!A29</f>
        <v>Y2013</v>
      </c>
      <c r="B28" s="11">
        <f>IFERROR('Export-dataset'!B29/'Export-dataset'!B28,0)</f>
        <v>1.073606272</v>
      </c>
      <c r="C28" s="11">
        <f>IFERROR('Export-dataset'!C29/'Export-dataset'!C28,0)</f>
        <v>0.987607245</v>
      </c>
      <c r="D28" s="11">
        <f>IFERROR('Export-dataset'!D29/'Export-dataset'!D28,0)</f>
        <v>1.201360922</v>
      </c>
      <c r="E28" s="11">
        <f>IFERROR('Export-dataset'!E29/'Export-dataset'!E28,0)</f>
        <v>1.062211982</v>
      </c>
      <c r="F28" s="11">
        <f>IFERROR('Export-dataset'!F29/'Export-dataset'!F28,0)</f>
        <v>1.074501574</v>
      </c>
      <c r="G28" s="11">
        <f>IFERROR('Export-dataset'!G29/'Export-dataset'!G28,0)</f>
        <v>1.00464756</v>
      </c>
      <c r="H28" s="11">
        <f>IFERROR('Export-dataset'!H29/'Export-dataset'!H28,0)</f>
        <v>1.066282421</v>
      </c>
      <c r="I28" s="11">
        <f>IFERROR('Export-dataset'!I29/'Export-dataset'!I28,0)</f>
        <v>0.9728813559</v>
      </c>
      <c r="J28" s="11">
        <f>IFERROR('Export-dataset'!J29/'Export-dataset'!J28,0)</f>
        <v>1.011857708</v>
      </c>
      <c r="K28" s="11">
        <f>IFERROR('Export-dataset'!K29/'Export-dataset'!K28,0)</f>
        <v>0.8940092166</v>
      </c>
      <c r="L28" s="11">
        <f>IFERROR('Export-dataset'!L29/'Export-dataset'!L28,0)</f>
        <v>1.195842451</v>
      </c>
      <c r="M28" s="11">
        <f>IFERROR('Export-dataset'!M29/'Export-dataset'!M28,0)</f>
        <v>0.9763121226</v>
      </c>
      <c r="N28" s="11">
        <f>IFERROR('Export-dataset'!N29/'Export-dataset'!N28,0)</f>
        <v>0.9884057971</v>
      </c>
      <c r="O28" s="11">
        <f>IFERROR('Export-dataset'!O29/'Export-dataset'!O28,0)</f>
        <v>0.6746987952</v>
      </c>
      <c r="P28" s="11">
        <f>IFERROR('Export-dataset'!P29/'Export-dataset'!P28,0)</f>
        <v>1.180074451</v>
      </c>
      <c r="Q28" s="11">
        <f>IFERROR('Export-dataset'!Q29/'Export-dataset'!Q28,0)</f>
        <v>1.259168704</v>
      </c>
      <c r="R28" s="11">
        <f>IFERROR('Export-dataset'!R29/'Export-dataset'!R28,0)</f>
        <v>1.415136338</v>
      </c>
      <c r="S28" s="11">
        <f>IFERROR('Export-dataset'!S29/'Export-dataset'!S28,0)</f>
        <v>0.8636363636</v>
      </c>
      <c r="T28" s="11">
        <f>IFERROR('Export-dataset'!T29/'Export-dataset'!T28,0)</f>
        <v>1.095720721</v>
      </c>
      <c r="U28" s="11">
        <f>IFERROR('Export-dataset'!U29/'Export-dataset'!U28,0)</f>
        <v>0.9788135593</v>
      </c>
      <c r="V28" s="11">
        <f>IFERROR('Export-dataset'!V29/'Export-dataset'!V28,0)</f>
        <v>1.014000767</v>
      </c>
      <c r="W28" s="11">
        <f>IFERROR('Export-dataset'!W29/'Export-dataset'!W28,0)</f>
        <v>0.7570093458</v>
      </c>
      <c r="X28" s="11">
        <f>IFERROR('Export-dataset'!X29/'Export-dataset'!X28,0)</f>
        <v>1.189314492</v>
      </c>
      <c r="Y28" s="11">
        <f>IFERROR('Export-dataset'!Y29/'Export-dataset'!Y28,0)</f>
        <v>1.108949416</v>
      </c>
      <c r="Z28" s="11">
        <f>IFERROR('Export-dataset'!Z29/'Export-dataset'!Z28,0)</f>
        <v>0.9597549187</v>
      </c>
      <c r="AA28" s="11">
        <f>IFERROR('Export-dataset'!AA29/'Export-dataset'!AA28,0)</f>
        <v>0.9625415003</v>
      </c>
      <c r="AB28" s="11">
        <f>IFERROR('Export-dataset'!AB29/'Export-dataset'!AB28,0)</f>
        <v>0.8247935041</v>
      </c>
      <c r="AC28" s="11">
        <f>IFERROR('Export-dataset'!AC29/'Export-dataset'!AC28,0)</f>
        <v>1.08480541</v>
      </c>
      <c r="AD28" s="11">
        <f>IFERROR('Export-dataset'!AD29/'Export-dataset'!AD28,0)</f>
        <v>1.267716535</v>
      </c>
      <c r="AE28" s="11">
        <f>IFERROR('Export-dataset'!AE29/'Export-dataset'!AE28,0)</f>
        <v>1.194690265</v>
      </c>
      <c r="AF28" s="11">
        <f>IFERROR('Export-dataset'!AF29/'Export-dataset'!AF28,0)</f>
        <v>1.364779874</v>
      </c>
      <c r="AG28" s="11">
        <f>IFERROR('Export-dataset'!AG29/'Export-dataset'!AG28,0)</f>
        <v>2.2</v>
      </c>
      <c r="AH28" s="11">
        <f>IFERROR('Export-dataset'!AH29/'Export-dataset'!AH28,0)</f>
        <v>0.9246111837</v>
      </c>
      <c r="AI28" s="11">
        <f>IFERROR('Export-dataset'!AI29/'Export-dataset'!AI28,0)</f>
        <v>0.7533632287</v>
      </c>
      <c r="AJ28" s="11">
        <f>IFERROR('Export-dataset'!AJ29/'Export-dataset'!AJ28,0)</f>
        <v>1.199140401</v>
      </c>
      <c r="AK28" s="11">
        <f>IFERROR('Export-dataset'!AK29/'Export-dataset'!AK28,0)</f>
        <v>1.028400598</v>
      </c>
      <c r="AL28" s="11">
        <f>IFERROR('Export-dataset'!AL29/'Export-dataset'!AL28,0)</f>
        <v>0.8245776441</v>
      </c>
      <c r="AM28" s="11">
        <f>IFERROR('Export-dataset'!AM29/'Export-dataset'!AM28,0)</f>
        <v>1.1024</v>
      </c>
      <c r="AN28" s="11">
        <f>IFERROR('Export-dataset'!AN29/'Export-dataset'!AN28,0)</f>
        <v>0.6699029126</v>
      </c>
      <c r="AO28" s="11">
        <f>IFERROR('Export-dataset'!AO29/'Export-dataset'!AO28,0)</f>
        <v>0.8875379939</v>
      </c>
      <c r="AP28" s="11">
        <f>IFERROR('Export-dataset'!AP29/'Export-dataset'!AP28,0)</f>
        <v>1.044728435</v>
      </c>
      <c r="AQ28" s="11">
        <f>IFERROR('Export-dataset'!AQ29/'Export-dataset'!AQ28,0)</f>
        <v>1.086538462</v>
      </c>
      <c r="AR28" s="11">
        <f>IFERROR('Export-dataset'!AR29/'Export-dataset'!AR28,0)</f>
        <v>1.04702648</v>
      </c>
      <c r="AS28" s="11">
        <f>IFERROR('Export-dataset'!AS29/'Export-dataset'!AS28,0)</f>
        <v>1.107142857</v>
      </c>
      <c r="AT28" s="11">
        <f>IFERROR('Export-dataset'!AT29/'Export-dataset'!AT28,0)</f>
        <v>0.9523809524</v>
      </c>
      <c r="AU28" s="11">
        <f>IFERROR('Export-dataset'!AU29/'Export-dataset'!AU28,0)</f>
        <v>0.7894736842</v>
      </c>
      <c r="AV28" s="11">
        <f>IFERROR('Export-dataset'!AV29/'Export-dataset'!AV28,0)</f>
        <v>1.165835411</v>
      </c>
      <c r="AW28" s="11">
        <f>IFERROR('Export-dataset'!AW29/'Export-dataset'!AW28,0)</f>
        <v>0.9433198381</v>
      </c>
      <c r="AX28" s="11">
        <f>IFERROR('Export-dataset'!AX29/'Export-dataset'!AX28,0)</f>
        <v>1.352459016</v>
      </c>
      <c r="AY28" s="11">
        <f>IFERROR('Export-dataset'!AY29/'Export-dataset'!AY28,0)</f>
        <v>0.9746478873</v>
      </c>
      <c r="AZ28" s="11">
        <f>IFERROR('Export-dataset'!AZ29/'Export-dataset'!AZ28,0)</f>
        <v>1.035226237</v>
      </c>
      <c r="BA28" s="11">
        <f>IFERROR('Export-dataset'!BA29/'Export-dataset'!BA28,0)</f>
        <v>0.9953401678</v>
      </c>
      <c r="BB28" s="11">
        <f>IFERROR('Export-dataset'!BB29/'Export-dataset'!BB28,0)</f>
        <v>1.02367531</v>
      </c>
      <c r="BC28" s="11">
        <f>IFERROR('Export-dataset'!BC29/'Export-dataset'!BC28,0)</f>
        <v>1.066429419</v>
      </c>
      <c r="BD28" s="11">
        <f>IFERROR('Export-dataset'!BD29/'Export-dataset'!BD28,0)</f>
        <v>0.9317647059</v>
      </c>
      <c r="BE28" s="11">
        <f>IFERROR('Export-dataset'!BE29/'Export-dataset'!BE28,0)</f>
        <v>0.9588235294</v>
      </c>
      <c r="BF28" s="11">
        <f>IFERROR('Export-dataset'!BF29/'Export-dataset'!BF28,0)</f>
        <v>1.006878307</v>
      </c>
      <c r="BG28" s="11">
        <f>IFERROR('Export-dataset'!BG29/'Export-dataset'!BG28,0)</f>
        <v>1.142470694</v>
      </c>
      <c r="BH28" s="11">
        <f>IFERROR('Export-dataset'!BH29/'Export-dataset'!BH28,0)</f>
        <v>1.125992063</v>
      </c>
      <c r="BI28" s="11">
        <f>IFERROR('Export-dataset'!BI29/'Export-dataset'!BI28,0)</f>
        <v>0.9385687144</v>
      </c>
      <c r="BJ28" s="11">
        <f>IFERROR('Export-dataset'!BJ29/'Export-dataset'!BJ28,0)</f>
        <v>1.014555078</v>
      </c>
      <c r="BK28" s="11">
        <f>IFERROR('Export-dataset'!BK29/'Export-dataset'!BK28,0)</f>
        <v>1.106546855</v>
      </c>
      <c r="BL28" s="11">
        <f>IFERROR('Export-dataset'!BL29/'Export-dataset'!BL28,0)</f>
        <v>1.023988616</v>
      </c>
      <c r="BM28" s="11">
        <f>IFERROR('Export-dataset'!BM29/'Export-dataset'!BM28,0)</f>
        <v>1.237037037</v>
      </c>
      <c r="BN28" s="11">
        <f>IFERROR('Export-dataset'!BN29/'Export-dataset'!BN28,0)</f>
        <v>1.036144578</v>
      </c>
      <c r="BO28" s="11">
        <f>IFERROR('Export-dataset'!BO29/'Export-dataset'!BO28,0)</f>
        <v>1.083333333</v>
      </c>
      <c r="BP28" s="11">
        <f>IFERROR('Export-dataset'!BP29/'Export-dataset'!BP28,0)</f>
        <v>0.9296875</v>
      </c>
      <c r="BQ28" s="11">
        <f>IFERROR('Export-dataset'!BQ29/'Export-dataset'!BQ28,0)</f>
        <v>1.163265306</v>
      </c>
      <c r="BR28" s="11">
        <f>IFERROR('Export-dataset'!BR29/'Export-dataset'!BR28,0)</f>
        <v>1.03480663</v>
      </c>
      <c r="BS28" s="11">
        <f>IFERROR('Export-dataset'!BS29/'Export-dataset'!BS28,0)</f>
        <v>1.033613445</v>
      </c>
      <c r="BT28" s="11">
        <f>IFERROR('Export-dataset'!BT29/'Export-dataset'!BT28,0)</f>
        <v>1.008217993</v>
      </c>
      <c r="BU28" s="11">
        <f>IFERROR('Export-dataset'!BU29/'Export-dataset'!BU28,0)</f>
        <v>0.9618880351</v>
      </c>
      <c r="BV28" s="11">
        <f>IFERROR('Export-dataset'!BV29/'Export-dataset'!BV28,0)</f>
        <v>1.107350097</v>
      </c>
      <c r="BW28" s="11">
        <f>IFERROR('Export-dataset'!BW29/'Export-dataset'!BW28,0)</f>
        <v>1.423497268</v>
      </c>
      <c r="BX28" s="11">
        <f>IFERROR('Export-dataset'!BX29/'Export-dataset'!BX28,0)</f>
        <v>0</v>
      </c>
      <c r="BY28" s="11">
        <f>IFERROR('Export-dataset'!BY29/'Export-dataset'!BY28,0)</f>
        <v>0.89514363</v>
      </c>
      <c r="BZ28" s="11">
        <f>IFERROR('Export-dataset'!BZ29/'Export-dataset'!BZ28,0)</f>
        <v>1.061827467</v>
      </c>
      <c r="CA28" s="11">
        <f>IFERROR('Export-dataset'!CA29/'Export-dataset'!CA28,0)</f>
        <v>1.057403849</v>
      </c>
    </row>
    <row r="29" ht="15.75" customHeight="1">
      <c r="A29" s="9" t="str">
        <f>'Export-dataset'!A30</f>
        <v>Y2014</v>
      </c>
      <c r="B29" s="11">
        <f>IFERROR('Export-dataset'!B30/'Export-dataset'!B29,0)</f>
        <v>1.147187903</v>
      </c>
      <c r="C29" s="11">
        <f>IFERROR('Export-dataset'!C30/'Export-dataset'!C29,0)</f>
        <v>1.560810811</v>
      </c>
      <c r="D29" s="11">
        <f>IFERROR('Export-dataset'!D30/'Export-dataset'!D29,0)</f>
        <v>1.337880014</v>
      </c>
      <c r="E29" s="11">
        <f>IFERROR('Export-dataset'!E30/'Export-dataset'!E29,0)</f>
        <v>1.110629067</v>
      </c>
      <c r="F29" s="11">
        <f>IFERROR('Export-dataset'!F30/'Export-dataset'!F29,0)</f>
        <v>1.181640625</v>
      </c>
      <c r="G29" s="11">
        <f>IFERROR('Export-dataset'!G30/'Export-dataset'!G29,0)</f>
        <v>0.9885449939</v>
      </c>
      <c r="H29" s="11">
        <f>IFERROR('Export-dataset'!H30/'Export-dataset'!H29,0)</f>
        <v>1.064414414</v>
      </c>
      <c r="I29" s="11">
        <f>IFERROR('Export-dataset'!I30/'Export-dataset'!I29,0)</f>
        <v>0.850174216</v>
      </c>
      <c r="J29" s="11">
        <f>IFERROR('Export-dataset'!J30/'Export-dataset'!J29,0)</f>
        <v>1.15625</v>
      </c>
      <c r="K29" s="11">
        <f>IFERROR('Export-dataset'!K30/'Export-dataset'!K29,0)</f>
        <v>0.9982817869</v>
      </c>
      <c r="L29" s="11">
        <f>IFERROR('Export-dataset'!L30/'Export-dataset'!L29,0)</f>
        <v>1.010978957</v>
      </c>
      <c r="M29" s="11">
        <f>IFERROR('Export-dataset'!M30/'Export-dataset'!M29,0)</f>
        <v>1.022835395</v>
      </c>
      <c r="N29" s="11">
        <f>IFERROR('Export-dataset'!N30/'Export-dataset'!N29,0)</f>
        <v>1.019550342</v>
      </c>
      <c r="O29" s="11">
        <f>IFERROR('Export-dataset'!O30/'Export-dataset'!O29,0)</f>
        <v>1.142857143</v>
      </c>
      <c r="P29" s="11">
        <f>IFERROR('Export-dataset'!P30/'Export-dataset'!P29,0)</f>
        <v>0.9575270983</v>
      </c>
      <c r="Q29" s="11">
        <f>IFERROR('Export-dataset'!Q30/'Export-dataset'!Q29,0)</f>
        <v>0.9970873786</v>
      </c>
      <c r="R29" s="11">
        <f>IFERROR('Export-dataset'!R30/'Export-dataset'!R29,0)</f>
        <v>0.6397955171</v>
      </c>
      <c r="S29" s="11">
        <f>IFERROR('Export-dataset'!S30/'Export-dataset'!S29,0)</f>
        <v>0.7368421053</v>
      </c>
      <c r="T29" s="11">
        <f>IFERROR('Export-dataset'!T30/'Export-dataset'!T29,0)</f>
        <v>1.294964029</v>
      </c>
      <c r="U29" s="11">
        <f>IFERROR('Export-dataset'!U30/'Export-dataset'!U29,0)</f>
        <v>1.017316017</v>
      </c>
      <c r="V29" s="11">
        <f>IFERROR('Export-dataset'!V30/'Export-dataset'!V29,0)</f>
        <v>0.8511443162</v>
      </c>
      <c r="W29" s="11">
        <f>IFERROR('Export-dataset'!W30/'Export-dataset'!W29,0)</f>
        <v>1.348765432</v>
      </c>
      <c r="X29" s="11">
        <f>IFERROR('Export-dataset'!X30/'Export-dataset'!X29,0)</f>
        <v>0.9664313088</v>
      </c>
      <c r="Y29" s="11">
        <f>IFERROR('Export-dataset'!Y30/'Export-dataset'!Y29,0)</f>
        <v>1.147368421</v>
      </c>
      <c r="Z29" s="11">
        <f>IFERROR('Export-dataset'!Z30/'Export-dataset'!Z29,0)</f>
        <v>1.044406262</v>
      </c>
      <c r="AA29" s="11">
        <f>IFERROR('Export-dataset'!AA30/'Export-dataset'!AA29,0)</f>
        <v>0.9546102127</v>
      </c>
      <c r="AB29" s="11">
        <f>IFERROR('Export-dataset'!AB30/'Export-dataset'!AB29,0)</f>
        <v>1.137316473</v>
      </c>
      <c r="AC29" s="11">
        <f>IFERROR('Export-dataset'!AC30/'Export-dataset'!AC29,0)</f>
        <v>1.203294956</v>
      </c>
      <c r="AD29" s="11">
        <f>IFERROR('Export-dataset'!AD30/'Export-dataset'!AD29,0)</f>
        <v>1.00931677</v>
      </c>
      <c r="AE29" s="11">
        <f>IFERROR('Export-dataset'!AE30/'Export-dataset'!AE29,0)</f>
        <v>1.041975309</v>
      </c>
      <c r="AF29" s="11">
        <f>IFERROR('Export-dataset'!AF30/'Export-dataset'!AF29,0)</f>
        <v>0.9631336406</v>
      </c>
      <c r="AG29" s="11">
        <f>IFERROR('Export-dataset'!AG30/'Export-dataset'!AG29,0)</f>
        <v>0.8636363636</v>
      </c>
      <c r="AH29" s="11">
        <f>IFERROR('Export-dataset'!AH30/'Export-dataset'!AH29,0)</f>
        <v>0.9419619928</v>
      </c>
      <c r="AI29" s="11">
        <f>IFERROR('Export-dataset'!AI30/'Export-dataset'!AI29,0)</f>
        <v>1</v>
      </c>
      <c r="AJ29" s="11">
        <f>IFERROR('Export-dataset'!AJ30/'Export-dataset'!AJ29,0)</f>
        <v>0.9557945042</v>
      </c>
      <c r="AK29" s="11">
        <f>IFERROR('Export-dataset'!AK30/'Export-dataset'!AK29,0)</f>
        <v>1.132267442</v>
      </c>
      <c r="AL29" s="11">
        <f>IFERROR('Export-dataset'!AL30/'Export-dataset'!AL29,0)</f>
        <v>0.8203760876</v>
      </c>
      <c r="AM29" s="11">
        <f>IFERROR('Export-dataset'!AM30/'Export-dataset'!AM29,0)</f>
        <v>1.043541364</v>
      </c>
      <c r="AN29" s="11">
        <f>IFERROR('Export-dataset'!AN30/'Export-dataset'!AN29,0)</f>
        <v>1.169082126</v>
      </c>
      <c r="AO29" s="11">
        <f>IFERROR('Export-dataset'!AO30/'Export-dataset'!AO29,0)</f>
        <v>1.133561644</v>
      </c>
      <c r="AP29" s="11">
        <f>IFERROR('Export-dataset'!AP30/'Export-dataset'!AP29,0)</f>
        <v>1.055045872</v>
      </c>
      <c r="AQ29" s="11">
        <f>IFERROR('Export-dataset'!AQ30/'Export-dataset'!AQ29,0)</f>
        <v>1.01179941</v>
      </c>
      <c r="AR29" s="11">
        <f>IFERROR('Export-dataset'!AR30/'Export-dataset'!AR29,0)</f>
        <v>1.061774461</v>
      </c>
      <c r="AS29" s="11">
        <f>IFERROR('Export-dataset'!AS30/'Export-dataset'!AS29,0)</f>
        <v>1.110599078</v>
      </c>
      <c r="AT29" s="11">
        <f>IFERROR('Export-dataset'!AT30/'Export-dataset'!AT29,0)</f>
        <v>1.04</v>
      </c>
      <c r="AU29" s="11">
        <f>IFERROR('Export-dataset'!AU30/'Export-dataset'!AU29,0)</f>
        <v>1.346666667</v>
      </c>
      <c r="AV29" s="11">
        <f>IFERROR('Export-dataset'!AV30/'Export-dataset'!AV29,0)</f>
        <v>1.053475936</v>
      </c>
      <c r="AW29" s="11">
        <f>IFERROR('Export-dataset'!AW30/'Export-dataset'!AW29,0)</f>
        <v>1.021459227</v>
      </c>
      <c r="AX29" s="11">
        <f>IFERROR('Export-dataset'!AX30/'Export-dataset'!AX29,0)</f>
        <v>1.127272727</v>
      </c>
      <c r="AY29" s="11">
        <f>IFERROR('Export-dataset'!AY30/'Export-dataset'!AY29,0)</f>
        <v>0.9768786127</v>
      </c>
      <c r="AZ29" s="11">
        <f>IFERROR('Export-dataset'!AZ30/'Export-dataset'!AZ29,0)</f>
        <v>1.066686223</v>
      </c>
      <c r="BA29" s="11">
        <f>IFERROR('Export-dataset'!BA30/'Export-dataset'!BA29,0)</f>
        <v>1.009363296</v>
      </c>
      <c r="BB29" s="11">
        <f>IFERROR('Export-dataset'!BB30/'Export-dataset'!BB29,0)</f>
        <v>1.080249633</v>
      </c>
      <c r="BC29" s="11">
        <f>IFERROR('Export-dataset'!BC30/'Export-dataset'!BC29,0)</f>
        <v>1.017797553</v>
      </c>
      <c r="BD29" s="11">
        <f>IFERROR('Export-dataset'!BD30/'Export-dataset'!BD29,0)</f>
        <v>1.004040404</v>
      </c>
      <c r="BE29" s="11">
        <f>IFERROR('Export-dataset'!BE30/'Export-dataset'!BE29,0)</f>
        <v>1.159509202</v>
      </c>
      <c r="BF29" s="11">
        <f>IFERROR('Export-dataset'!BF30/'Export-dataset'!BF29,0)</f>
        <v>1.039411456</v>
      </c>
      <c r="BG29" s="11">
        <f>IFERROR('Export-dataset'!BG30/'Export-dataset'!BG29,0)</f>
        <v>1.208366219</v>
      </c>
      <c r="BH29" s="11">
        <f>IFERROR('Export-dataset'!BH30/'Export-dataset'!BH29,0)</f>
        <v>1.186784141</v>
      </c>
      <c r="BI29" s="11">
        <f>IFERROR('Export-dataset'!BI30/'Export-dataset'!BI29,0)</f>
        <v>1.041835358</v>
      </c>
      <c r="BJ29" s="11">
        <f>IFERROR('Export-dataset'!BJ30/'Export-dataset'!BJ29,0)</f>
        <v>0.9768503424</v>
      </c>
      <c r="BK29" s="11">
        <f>IFERROR('Export-dataset'!BK30/'Export-dataset'!BK29,0)</f>
        <v>1.290603248</v>
      </c>
      <c r="BL29" s="11">
        <f>IFERROR('Export-dataset'!BL30/'Export-dataset'!BL29,0)</f>
        <v>1.070081398</v>
      </c>
      <c r="BM29" s="11">
        <f>IFERROR('Export-dataset'!BM30/'Export-dataset'!BM29,0)</f>
        <v>0.874251497</v>
      </c>
      <c r="BN29" s="11">
        <f>IFERROR('Export-dataset'!BN30/'Export-dataset'!BN29,0)</f>
        <v>1.162790698</v>
      </c>
      <c r="BO29" s="11">
        <f>IFERROR('Export-dataset'!BO30/'Export-dataset'!BO29,0)</f>
        <v>1.128205128</v>
      </c>
      <c r="BP29" s="11">
        <f>IFERROR('Export-dataset'!BP30/'Export-dataset'!BP29,0)</f>
        <v>1.037815126</v>
      </c>
      <c r="BQ29" s="11">
        <f>IFERROR('Export-dataset'!BQ30/'Export-dataset'!BQ29,0)</f>
        <v>1.192982456</v>
      </c>
      <c r="BR29" s="11">
        <f>IFERROR('Export-dataset'!BR30/'Export-dataset'!BR29,0)</f>
        <v>1.135611319</v>
      </c>
      <c r="BS29" s="11">
        <f>IFERROR('Export-dataset'!BS30/'Export-dataset'!BS29,0)</f>
        <v>1.162601626</v>
      </c>
      <c r="BT29" s="11">
        <f>IFERROR('Export-dataset'!BT30/'Export-dataset'!BT29,0)</f>
        <v>1.017589018</v>
      </c>
      <c r="BU29" s="11">
        <f>IFERROR('Export-dataset'!BU30/'Export-dataset'!BU29,0)</f>
        <v>0.9708768887</v>
      </c>
      <c r="BV29" s="11">
        <f>IFERROR('Export-dataset'!BV30/'Export-dataset'!BV29,0)</f>
        <v>1.128384279</v>
      </c>
      <c r="BW29" s="11">
        <f>IFERROR('Export-dataset'!BW30/'Export-dataset'!BW29,0)</f>
        <v>0.6813819578</v>
      </c>
      <c r="BX29" s="11">
        <f>IFERROR('Export-dataset'!BX30/'Export-dataset'!BX29,0)</f>
        <v>0</v>
      </c>
      <c r="BY29" s="11">
        <f>IFERROR('Export-dataset'!BY30/'Export-dataset'!BY29,0)</f>
        <v>0.9684127213</v>
      </c>
      <c r="BZ29" s="11">
        <f>IFERROR('Export-dataset'!BZ30/'Export-dataset'!BZ29,0)</f>
        <v>0.9974235658</v>
      </c>
      <c r="CA29" s="11">
        <f>IFERROR('Export-dataset'!CA30/'Export-dataset'!CA29,0)</f>
        <v>1.015158976</v>
      </c>
    </row>
    <row r="30" ht="15.75" customHeight="1">
      <c r="A30" s="9" t="str">
        <f>'Export-dataset'!A31</f>
        <v>Y2015</v>
      </c>
      <c r="B30" s="11">
        <f>IFERROR('Export-dataset'!B31/'Export-dataset'!B30,0)</f>
        <v>1.146016846</v>
      </c>
      <c r="C30" s="11">
        <f>IFERROR('Export-dataset'!C31/'Export-dataset'!C30,0)</f>
        <v>1.173160173</v>
      </c>
      <c r="D30" s="11">
        <f>IFERROR('Export-dataset'!D31/'Export-dataset'!D30,0)</f>
        <v>1.135130465</v>
      </c>
      <c r="E30" s="11">
        <f>IFERROR('Export-dataset'!E31/'Export-dataset'!E30,0)</f>
        <v>0.9328125</v>
      </c>
      <c r="F30" s="11">
        <f>IFERROR('Export-dataset'!F31/'Export-dataset'!F30,0)</f>
        <v>1.153719008</v>
      </c>
      <c r="G30" s="11">
        <f>IFERROR('Export-dataset'!G31/'Export-dataset'!G30,0)</f>
        <v>1.040557103</v>
      </c>
      <c r="H30" s="11">
        <f>IFERROR('Export-dataset'!H31/'Export-dataset'!H30,0)</f>
        <v>1.647905205</v>
      </c>
      <c r="I30" s="11">
        <f>IFERROR('Export-dataset'!I31/'Export-dataset'!I30,0)</f>
        <v>1.151639344</v>
      </c>
      <c r="J30" s="11">
        <f>IFERROR('Export-dataset'!J31/'Export-dataset'!J30,0)</f>
        <v>1.108108108</v>
      </c>
      <c r="K30" s="11">
        <f>IFERROR('Export-dataset'!K31/'Export-dataset'!K30,0)</f>
        <v>1.039586919</v>
      </c>
      <c r="L30" s="11">
        <f>IFERROR('Export-dataset'!L31/'Export-dataset'!L30,0)</f>
        <v>1.609954751</v>
      </c>
      <c r="M30" s="11">
        <f>IFERROR('Export-dataset'!M31/'Export-dataset'!M30,0)</f>
        <v>1.17255814</v>
      </c>
      <c r="N30" s="11">
        <f>IFERROR('Export-dataset'!N31/'Export-dataset'!N30,0)</f>
        <v>1.176893576</v>
      </c>
      <c r="O30" s="11">
        <f>IFERROR('Export-dataset'!O31/'Export-dataset'!O30,0)</f>
        <v>1.03125</v>
      </c>
      <c r="P30" s="11">
        <f>IFERROR('Export-dataset'!P31/'Export-dataset'!P30,0)</f>
        <v>0.8368792143</v>
      </c>
      <c r="Q30" s="11">
        <f>IFERROR('Export-dataset'!Q31/'Export-dataset'!Q30,0)</f>
        <v>0.9961051607</v>
      </c>
      <c r="R30" s="11">
        <f>IFERROR('Export-dataset'!R31/'Export-dataset'!R30,0)</f>
        <v>0.9870928089</v>
      </c>
      <c r="S30" s="11">
        <f>IFERROR('Export-dataset'!S31/'Export-dataset'!S30,0)</f>
        <v>0.7857142857</v>
      </c>
      <c r="T30" s="11">
        <f>IFERROR('Export-dataset'!T31/'Export-dataset'!T30,0)</f>
        <v>1.232539683</v>
      </c>
      <c r="U30" s="11">
        <f>IFERROR('Export-dataset'!U31/'Export-dataset'!U30,0)</f>
        <v>1.080851064</v>
      </c>
      <c r="V30" s="11">
        <f>IFERROR('Export-dataset'!V31/'Export-dataset'!V30,0)</f>
        <v>0.9046666667</v>
      </c>
      <c r="W30" s="11">
        <f>IFERROR('Export-dataset'!W31/'Export-dataset'!W30,0)</f>
        <v>1.359267735</v>
      </c>
      <c r="X30" s="11">
        <f>IFERROR('Export-dataset'!X31/'Export-dataset'!X30,0)</f>
        <v>0.8175207363</v>
      </c>
      <c r="Y30" s="11">
        <f>IFERROR('Export-dataset'!Y31/'Export-dataset'!Y30,0)</f>
        <v>1.470948012</v>
      </c>
      <c r="Z30" s="11">
        <f>IFERROR('Export-dataset'!Z31/'Export-dataset'!Z30,0)</f>
        <v>0.882826793</v>
      </c>
      <c r="AA30" s="11">
        <f>IFERROR('Export-dataset'!AA31/'Export-dataset'!AA30,0)</f>
        <v>0.9716440185</v>
      </c>
      <c r="AB30" s="11">
        <f>IFERROR('Export-dataset'!AB31/'Export-dataset'!AB30,0)</f>
        <v>0.6033131856</v>
      </c>
      <c r="AC30" s="11">
        <f>IFERROR('Export-dataset'!AC31/'Export-dataset'!AC30,0)</f>
        <v>0.9015171539</v>
      </c>
      <c r="AD30" s="11">
        <f>IFERROR('Export-dataset'!AD31/'Export-dataset'!AD30,0)</f>
        <v>1.006153846</v>
      </c>
      <c r="AE30" s="11">
        <f>IFERROR('Export-dataset'!AE31/'Export-dataset'!AE30,0)</f>
        <v>0.9312796209</v>
      </c>
      <c r="AF30" s="11">
        <f>IFERROR('Export-dataset'!AF31/'Export-dataset'!AF30,0)</f>
        <v>1.129186603</v>
      </c>
      <c r="AG30" s="11">
        <f>IFERROR('Export-dataset'!AG31/'Export-dataset'!AG30,0)</f>
        <v>1.315789474</v>
      </c>
      <c r="AH30" s="11">
        <f>IFERROR('Export-dataset'!AH31/'Export-dataset'!AH30,0)</f>
        <v>0.9994547437</v>
      </c>
      <c r="AI30" s="11">
        <f>IFERROR('Export-dataset'!AI31/'Export-dataset'!AI30,0)</f>
        <v>1.232142857</v>
      </c>
      <c r="AJ30" s="11">
        <f>IFERROR('Export-dataset'!AJ31/'Export-dataset'!AJ30,0)</f>
        <v>1.04</v>
      </c>
      <c r="AK30" s="11">
        <f>IFERROR('Export-dataset'!AK31/'Export-dataset'!AK30,0)</f>
        <v>1.084724005</v>
      </c>
      <c r="AL30" s="11">
        <f>IFERROR('Export-dataset'!AL31/'Export-dataset'!AL30,0)</f>
        <v>0.8460485802</v>
      </c>
      <c r="AM30" s="11">
        <f>IFERROR('Export-dataset'!AM31/'Export-dataset'!AM30,0)</f>
        <v>1.144645341</v>
      </c>
      <c r="AN30" s="11">
        <f>IFERROR('Export-dataset'!AN31/'Export-dataset'!AN30,0)</f>
        <v>1.5</v>
      </c>
      <c r="AO30" s="11">
        <f>IFERROR('Export-dataset'!AO31/'Export-dataset'!AO30,0)</f>
        <v>1.099697885</v>
      </c>
      <c r="AP30" s="11">
        <f>IFERROR('Export-dataset'!AP31/'Export-dataset'!AP30,0)</f>
        <v>1.089855072</v>
      </c>
      <c r="AQ30" s="11">
        <f>IFERROR('Export-dataset'!AQ31/'Export-dataset'!AQ30,0)</f>
        <v>1.019436346</v>
      </c>
      <c r="AR30" s="11">
        <f>IFERROR('Export-dataset'!AR31/'Export-dataset'!AR30,0)</f>
        <v>0.9576988156</v>
      </c>
      <c r="AS30" s="11">
        <f>IFERROR('Export-dataset'!AS31/'Export-dataset'!AS30,0)</f>
        <v>1.045643154</v>
      </c>
      <c r="AT30" s="11">
        <f>IFERROR('Export-dataset'!AT31/'Export-dataset'!AT30,0)</f>
        <v>1.163461538</v>
      </c>
      <c r="AU30" s="11">
        <f>IFERROR('Export-dataset'!AU31/'Export-dataset'!AU30,0)</f>
        <v>1.01980198</v>
      </c>
      <c r="AV30" s="11">
        <f>IFERROR('Export-dataset'!AV31/'Export-dataset'!AV30,0)</f>
        <v>1.018274112</v>
      </c>
      <c r="AW30" s="11">
        <f>IFERROR('Export-dataset'!AW31/'Export-dataset'!AW30,0)</f>
        <v>1.18487395</v>
      </c>
      <c r="AX30" s="11">
        <f>IFERROR('Export-dataset'!AX31/'Export-dataset'!AX30,0)</f>
        <v>1.161290323</v>
      </c>
      <c r="AY30" s="11">
        <f>IFERROR('Export-dataset'!AY31/'Export-dataset'!AY30,0)</f>
        <v>1.00591716</v>
      </c>
      <c r="AZ30" s="11">
        <f>IFERROR('Export-dataset'!AZ31/'Export-dataset'!AZ30,0)</f>
        <v>0.9168576405</v>
      </c>
      <c r="BA30" s="11">
        <f>IFERROR('Export-dataset'!BA31/'Export-dataset'!BA30,0)</f>
        <v>0.9944341373</v>
      </c>
      <c r="BB30" s="11">
        <f>IFERROR('Export-dataset'!BB31/'Export-dataset'!BB30,0)</f>
        <v>1.089852511</v>
      </c>
      <c r="BC30" s="11">
        <f>IFERROR('Export-dataset'!BC31/'Export-dataset'!BC30,0)</f>
        <v>1.090710383</v>
      </c>
      <c r="BD30" s="11">
        <f>IFERROR('Export-dataset'!BD31/'Export-dataset'!BD30,0)</f>
        <v>0.9748490946</v>
      </c>
      <c r="BE30" s="11">
        <f>IFERROR('Export-dataset'!BE31/'Export-dataset'!BE30,0)</f>
        <v>0.8465608466</v>
      </c>
      <c r="BF30" s="11">
        <f>IFERROR('Export-dataset'!BF31/'Export-dataset'!BF30,0)</f>
        <v>1.093528817</v>
      </c>
      <c r="BG30" s="11">
        <f>IFERROR('Export-dataset'!BG31/'Export-dataset'!BG30,0)</f>
        <v>1.146962769</v>
      </c>
      <c r="BH30" s="11">
        <f>IFERROR('Export-dataset'!BH31/'Export-dataset'!BH30,0)</f>
        <v>1.265033408</v>
      </c>
      <c r="BI30" s="11">
        <f>IFERROR('Export-dataset'!BI31/'Export-dataset'!BI30,0)</f>
        <v>1.066062176</v>
      </c>
      <c r="BJ30" s="11">
        <f>IFERROR('Export-dataset'!BJ31/'Export-dataset'!BJ30,0)</f>
        <v>1.114485981</v>
      </c>
      <c r="BK30" s="11">
        <f>IFERROR('Export-dataset'!BK31/'Export-dataset'!BK30,0)</f>
        <v>1.047640449</v>
      </c>
      <c r="BL30" s="11">
        <f>IFERROR('Export-dataset'!BL31/'Export-dataset'!BL30,0)</f>
        <v>1.169016698</v>
      </c>
      <c r="BM30" s="11">
        <f>IFERROR('Export-dataset'!BM31/'Export-dataset'!BM30,0)</f>
        <v>1.260273973</v>
      </c>
      <c r="BN30" s="11">
        <f>IFERROR('Export-dataset'!BN31/'Export-dataset'!BN30,0)</f>
        <v>1.28</v>
      </c>
      <c r="BO30" s="11">
        <f>IFERROR('Export-dataset'!BO31/'Export-dataset'!BO30,0)</f>
        <v>1.022727273</v>
      </c>
      <c r="BP30" s="11">
        <f>IFERROR('Export-dataset'!BP31/'Export-dataset'!BP30,0)</f>
        <v>1.226720648</v>
      </c>
      <c r="BQ30" s="11">
        <f>IFERROR('Export-dataset'!BQ31/'Export-dataset'!BQ30,0)</f>
        <v>1.205882353</v>
      </c>
      <c r="BR30" s="11">
        <f>IFERROR('Export-dataset'!BR31/'Export-dataset'!BR30,0)</f>
        <v>1.143864598</v>
      </c>
      <c r="BS30" s="11">
        <f>IFERROR('Export-dataset'!BS31/'Export-dataset'!BS30,0)</f>
        <v>1.363636364</v>
      </c>
      <c r="BT30" s="11">
        <f>IFERROR('Export-dataset'!BT31/'Export-dataset'!BT30,0)</f>
        <v>1.153456998</v>
      </c>
      <c r="BU30" s="11">
        <f>IFERROR('Export-dataset'!BU31/'Export-dataset'!BU30,0)</f>
        <v>1.063143542</v>
      </c>
      <c r="BV30" s="11">
        <f>IFERROR('Export-dataset'!BV31/'Export-dataset'!BV30,0)</f>
        <v>1.007739938</v>
      </c>
      <c r="BW30" s="11">
        <f>IFERROR('Export-dataset'!BW31/'Export-dataset'!BW30,0)</f>
        <v>1.18028169</v>
      </c>
      <c r="BX30" s="11">
        <f>IFERROR('Export-dataset'!BX31/'Export-dataset'!BX30,0)</f>
        <v>5</v>
      </c>
      <c r="BY30" s="11">
        <f>IFERROR('Export-dataset'!BY31/'Export-dataset'!BY30,0)</f>
        <v>1.077643213</v>
      </c>
      <c r="BZ30" s="11">
        <f>IFERROR('Export-dataset'!BZ31/'Export-dataset'!BZ30,0)</f>
        <v>1.026864129</v>
      </c>
      <c r="CA30" s="11">
        <f>IFERROR('Export-dataset'!CA31/'Export-dataset'!CA30,0)</f>
        <v>0.9386412864</v>
      </c>
    </row>
    <row r="31" ht="15.75" customHeight="1">
      <c r="A31" s="9" t="str">
        <f>'Export-dataset'!A32</f>
        <v>Y2016</v>
      </c>
      <c r="B31" s="11">
        <f>IFERROR('Export-dataset'!B32/'Export-dataset'!B31,0)</f>
        <v>0.91494614</v>
      </c>
      <c r="C31" s="11">
        <f>IFERROR('Export-dataset'!C32/'Export-dataset'!C31,0)</f>
        <v>0.987875593</v>
      </c>
      <c r="D31" s="11">
        <f>IFERROR('Export-dataset'!D32/'Export-dataset'!D31,0)</f>
        <v>0.8439640737</v>
      </c>
      <c r="E31" s="11">
        <f>IFERROR('Export-dataset'!E32/'Export-dataset'!E31,0)</f>
        <v>0.9246231156</v>
      </c>
      <c r="F31" s="11">
        <f>IFERROR('Export-dataset'!F32/'Export-dataset'!F31,0)</f>
        <v>0.9878223496</v>
      </c>
      <c r="G31" s="11">
        <f>IFERROR('Export-dataset'!G32/'Export-dataset'!G31,0)</f>
        <v>0.8116500696</v>
      </c>
      <c r="H31" s="11">
        <f>IFERROR('Export-dataset'!H32/'Export-dataset'!H31,0)</f>
        <v>1.066512583</v>
      </c>
      <c r="I31" s="11">
        <f>IFERROR('Export-dataset'!I32/'Export-dataset'!I31,0)</f>
        <v>1.135231317</v>
      </c>
      <c r="J31" s="11">
        <f>IFERROR('Export-dataset'!J32/'Export-dataset'!J31,0)</f>
        <v>1.106707317</v>
      </c>
      <c r="K31" s="11">
        <f>IFERROR('Export-dataset'!K32/'Export-dataset'!K31,0)</f>
        <v>0.9718543046</v>
      </c>
      <c r="L31" s="11">
        <f>IFERROR('Export-dataset'!L32/'Export-dataset'!L31,0)</f>
        <v>1.392917369</v>
      </c>
      <c r="M31" s="11">
        <f>IFERROR('Export-dataset'!M32/'Export-dataset'!M31,0)</f>
        <v>1.062276874</v>
      </c>
      <c r="N31" s="11">
        <f>IFERROR('Export-dataset'!N32/'Export-dataset'!N31,0)</f>
        <v>1.063136456</v>
      </c>
      <c r="O31" s="11">
        <f>IFERROR('Export-dataset'!O32/'Export-dataset'!O31,0)</f>
        <v>1.03030303</v>
      </c>
      <c r="P31" s="11">
        <f>IFERROR('Export-dataset'!P32/'Export-dataset'!P31,0)</f>
        <v>1.025434433</v>
      </c>
      <c r="Q31" s="11">
        <f>IFERROR('Export-dataset'!Q32/'Export-dataset'!Q31,0)</f>
        <v>0.8084066471</v>
      </c>
      <c r="R31" s="11">
        <f>IFERROR('Export-dataset'!R32/'Export-dataset'!R31,0)</f>
        <v>0.8810709838</v>
      </c>
      <c r="S31" s="11">
        <f>IFERROR('Export-dataset'!S32/'Export-dataset'!S31,0)</f>
        <v>0.6363636364</v>
      </c>
      <c r="T31" s="11">
        <f>IFERROR('Export-dataset'!T32/'Export-dataset'!T31,0)</f>
        <v>1.139085641</v>
      </c>
      <c r="U31" s="11">
        <f>IFERROR('Export-dataset'!U32/'Export-dataset'!U31,0)</f>
        <v>0.9527559055</v>
      </c>
      <c r="V31" s="11">
        <f>IFERROR('Export-dataset'!V32/'Export-dataset'!V31,0)</f>
        <v>1.15991157</v>
      </c>
      <c r="W31" s="11">
        <f>IFERROR('Export-dataset'!W32/'Export-dataset'!W31,0)</f>
        <v>1.11952862</v>
      </c>
      <c r="X31" s="11">
        <f>IFERROR('Export-dataset'!X32/'Export-dataset'!X31,0)</f>
        <v>1.021459347</v>
      </c>
      <c r="Y31" s="11">
        <f>IFERROR('Export-dataset'!Y32/'Export-dataset'!Y31,0)</f>
        <v>0.9896049896</v>
      </c>
      <c r="Z31" s="11">
        <f>IFERROR('Export-dataset'!Z32/'Export-dataset'!Z31,0)</f>
        <v>1.087551607</v>
      </c>
      <c r="AA31" s="11">
        <f>IFERROR('Export-dataset'!AA32/'Export-dataset'!AA31,0)</f>
        <v>1.13912692</v>
      </c>
      <c r="AB31" s="11">
        <f>IFERROR('Export-dataset'!AB32/'Export-dataset'!AB31,0)</f>
        <v>0.8591218306</v>
      </c>
      <c r="AC31" s="11">
        <f>IFERROR('Export-dataset'!AC32/'Export-dataset'!AC31,0)</f>
        <v>1.083616747</v>
      </c>
      <c r="AD31" s="11">
        <f>IFERROR('Export-dataset'!AD32/'Export-dataset'!AD31,0)</f>
        <v>1.033639144</v>
      </c>
      <c r="AE31" s="11">
        <f>IFERROR('Export-dataset'!AE32/'Export-dataset'!AE31,0)</f>
        <v>1.073791349</v>
      </c>
      <c r="AF31" s="11">
        <f>IFERROR('Export-dataset'!AF32/'Export-dataset'!AF31,0)</f>
        <v>0.9194915254</v>
      </c>
      <c r="AG31" s="11">
        <f>IFERROR('Export-dataset'!AG32/'Export-dataset'!AG31,0)</f>
        <v>1.48</v>
      </c>
      <c r="AH31" s="11">
        <f>IFERROR('Export-dataset'!AH32/'Export-dataset'!AH31,0)</f>
        <v>1.141434806</v>
      </c>
      <c r="AI31" s="11">
        <f>IFERROR('Export-dataset'!AI32/'Export-dataset'!AI31,0)</f>
        <v>1.096618357</v>
      </c>
      <c r="AJ31" s="11">
        <f>IFERROR('Export-dataset'!AJ32/'Export-dataset'!AJ31,0)</f>
        <v>0.7896634615</v>
      </c>
      <c r="AK31" s="11">
        <f>IFERROR('Export-dataset'!AK32/'Export-dataset'!AK31,0)</f>
        <v>1.002366864</v>
      </c>
      <c r="AL31" s="11">
        <f>IFERROR('Export-dataset'!AL32/'Export-dataset'!AL31,0)</f>
        <v>1.409623939</v>
      </c>
      <c r="AM31" s="11">
        <f>IFERROR('Export-dataset'!AM32/'Export-dataset'!AM31,0)</f>
        <v>1.196840826</v>
      </c>
      <c r="AN31" s="11">
        <f>IFERROR('Export-dataset'!AN32/'Export-dataset'!AN31,0)</f>
        <v>1.016528926</v>
      </c>
      <c r="AO31" s="11">
        <f>IFERROR('Export-dataset'!AO32/'Export-dataset'!AO31,0)</f>
        <v>0.8653846154</v>
      </c>
      <c r="AP31" s="11">
        <f>IFERROR('Export-dataset'!AP32/'Export-dataset'!AP31,0)</f>
        <v>1.111702128</v>
      </c>
      <c r="AQ31" s="11">
        <f>IFERROR('Export-dataset'!AQ32/'Export-dataset'!AQ31,0)</f>
        <v>1.015252622</v>
      </c>
      <c r="AR31" s="11">
        <f>IFERROR('Export-dataset'!AR32/'Export-dataset'!AR31,0)</f>
        <v>0.9108453384</v>
      </c>
      <c r="AS31" s="11">
        <f>IFERROR('Export-dataset'!AS32/'Export-dataset'!AS31,0)</f>
        <v>0.7301587302</v>
      </c>
      <c r="AT31" s="11">
        <f>IFERROR('Export-dataset'!AT32/'Export-dataset'!AT31,0)</f>
        <v>1.016528926</v>
      </c>
      <c r="AU31" s="11">
        <f>IFERROR('Export-dataset'!AU32/'Export-dataset'!AU31,0)</f>
        <v>1.077669903</v>
      </c>
      <c r="AV31" s="11">
        <f>IFERROR('Export-dataset'!AV32/'Export-dataset'!AV31,0)</f>
        <v>0.9810568295</v>
      </c>
      <c r="AW31" s="11">
        <f>IFERROR('Export-dataset'!AW32/'Export-dataset'!AW31,0)</f>
        <v>0.9503546099</v>
      </c>
      <c r="AX31" s="11">
        <f>IFERROR('Export-dataset'!AX32/'Export-dataset'!AX31,0)</f>
        <v>0.9814814815</v>
      </c>
      <c r="AY31" s="11">
        <f>IFERROR('Export-dataset'!AY32/'Export-dataset'!AY31,0)</f>
        <v>0.8852941176</v>
      </c>
      <c r="AZ31" s="11">
        <f>IFERROR('Export-dataset'!AZ32/'Export-dataset'!AZ31,0)</f>
        <v>0.8840231954</v>
      </c>
      <c r="BA31" s="11">
        <f>IFERROR('Export-dataset'!BA32/'Export-dataset'!BA31,0)</f>
        <v>1.032649254</v>
      </c>
      <c r="BB31" s="11">
        <f>IFERROR('Export-dataset'!BB32/'Export-dataset'!BB31,0)</f>
        <v>0.9597131275</v>
      </c>
      <c r="BC31" s="11">
        <f>IFERROR('Export-dataset'!BC32/'Export-dataset'!BC31,0)</f>
        <v>0.873747495</v>
      </c>
      <c r="BD31" s="11">
        <f>IFERROR('Export-dataset'!BD32/'Export-dataset'!BD31,0)</f>
        <v>0.9659442724</v>
      </c>
      <c r="BE31" s="11">
        <f>IFERROR('Export-dataset'!BE32/'Export-dataset'!BE31,0)</f>
        <v>1.00625</v>
      </c>
      <c r="BF31" s="11">
        <f>IFERROR('Export-dataset'!BF32/'Export-dataset'!BF31,0)</f>
        <v>1.04900601</v>
      </c>
      <c r="BG31" s="11">
        <f>IFERROR('Export-dataset'!BG32/'Export-dataset'!BG31,0)</f>
        <v>0.8781321185</v>
      </c>
      <c r="BH31" s="11">
        <f>IFERROR('Export-dataset'!BH32/'Export-dataset'!BH31,0)</f>
        <v>1.028169014</v>
      </c>
      <c r="BI31" s="11">
        <f>IFERROR('Export-dataset'!BI32/'Export-dataset'!BI31,0)</f>
        <v>1.027339004</v>
      </c>
      <c r="BJ31" s="11">
        <f>IFERROR('Export-dataset'!BJ32/'Export-dataset'!BJ31,0)</f>
        <v>0.8805031447</v>
      </c>
      <c r="BK31" s="11">
        <f>IFERROR('Export-dataset'!BK32/'Export-dataset'!BK31,0)</f>
        <v>0.9824109824</v>
      </c>
      <c r="BL31" s="11">
        <f>IFERROR('Export-dataset'!BL32/'Export-dataset'!BL31,0)</f>
        <v>1.040469767</v>
      </c>
      <c r="BM31" s="11">
        <f>IFERROR('Export-dataset'!BM32/'Export-dataset'!BM31,0)</f>
        <v>0.7391304348</v>
      </c>
      <c r="BN31" s="11">
        <f>IFERROR('Export-dataset'!BN32/'Export-dataset'!BN31,0)</f>
        <v>1.0390625</v>
      </c>
      <c r="BO31" s="11">
        <f>IFERROR('Export-dataset'!BO32/'Export-dataset'!BO31,0)</f>
        <v>1.422222222</v>
      </c>
      <c r="BP31" s="11">
        <f>IFERROR('Export-dataset'!BP32/'Export-dataset'!BP31,0)</f>
        <v>1.082508251</v>
      </c>
      <c r="BQ31" s="11">
        <f>IFERROR('Export-dataset'!BQ32/'Export-dataset'!BQ31,0)</f>
        <v>1.12195122</v>
      </c>
      <c r="BR31" s="11">
        <f>IFERROR('Export-dataset'!BR32/'Export-dataset'!BR31,0)</f>
        <v>1.040690506</v>
      </c>
      <c r="BS31" s="11">
        <f>IFERROR('Export-dataset'!BS32/'Export-dataset'!BS31,0)</f>
        <v>1.048717949</v>
      </c>
      <c r="BT31" s="11">
        <f>IFERROR('Export-dataset'!BT32/'Export-dataset'!BT31,0)</f>
        <v>1.046052632</v>
      </c>
      <c r="BU31" s="11">
        <f>IFERROR('Export-dataset'!BU32/'Export-dataset'!BU31,0)</f>
        <v>1.214089864</v>
      </c>
      <c r="BV31" s="11">
        <f>IFERROR('Export-dataset'!BV32/'Export-dataset'!BV31,0)</f>
        <v>1.200460829</v>
      </c>
      <c r="BW31" s="11">
        <f>IFERROR('Export-dataset'!BW32/'Export-dataset'!BW31,0)</f>
        <v>1.180190931</v>
      </c>
      <c r="BX31" s="11">
        <f>IFERROR('Export-dataset'!BX32/'Export-dataset'!BX31,0)</f>
        <v>0.2</v>
      </c>
      <c r="BY31" s="11">
        <f>IFERROR('Export-dataset'!BY32/'Export-dataset'!BY31,0)</f>
        <v>1.300124104</v>
      </c>
      <c r="BZ31" s="11">
        <f>IFERROR('Export-dataset'!BZ32/'Export-dataset'!BZ31,0)</f>
        <v>1.013416066</v>
      </c>
      <c r="CA31" s="11">
        <f>IFERROR('Export-dataset'!CA32/'Export-dataset'!CA31,0)</f>
        <v>1.035439143</v>
      </c>
    </row>
    <row r="32" ht="15.75" customHeight="1">
      <c r="A32" s="9" t="str">
        <f>'Export-dataset'!A33</f>
        <v>Y2017</v>
      </c>
      <c r="B32" s="11">
        <f>IFERROR('Export-dataset'!B33/'Export-dataset'!B32,0)</f>
        <v>1.122026</v>
      </c>
      <c r="C32" s="11">
        <f>IFERROR('Export-dataset'!C33/'Export-dataset'!C32,0)</f>
        <v>0.86339381</v>
      </c>
      <c r="D32" s="11">
        <f>IFERROR('Export-dataset'!D33/'Export-dataset'!D32,0)</f>
        <v>1.067279942</v>
      </c>
      <c r="E32" s="11">
        <f>IFERROR('Export-dataset'!E33/'Export-dataset'!E32,0)</f>
        <v>1.062047101</v>
      </c>
      <c r="F32" s="11">
        <f>IFERROR('Export-dataset'!F33/'Export-dataset'!F32,0)</f>
        <v>1.032632342</v>
      </c>
      <c r="G32" s="11">
        <f>IFERROR('Export-dataset'!G33/'Export-dataset'!G32,0)</f>
        <v>1.231662269</v>
      </c>
      <c r="H32" s="11">
        <f>IFERROR('Export-dataset'!H33/'Export-dataset'!H32,0)</f>
        <v>1.227787142</v>
      </c>
      <c r="I32" s="11">
        <f>IFERROR('Export-dataset'!I33/'Export-dataset'!I32,0)</f>
        <v>1.034482759</v>
      </c>
      <c r="J32" s="11">
        <f>IFERROR('Export-dataset'!J33/'Export-dataset'!J32,0)</f>
        <v>1.016528926</v>
      </c>
      <c r="K32" s="11">
        <f>IFERROR('Export-dataset'!K33/'Export-dataset'!K32,0)</f>
        <v>1.04770017</v>
      </c>
      <c r="L32" s="11">
        <f>IFERROR('Export-dataset'!L33/'Export-dataset'!L32,0)</f>
        <v>1.215092817</v>
      </c>
      <c r="M32" s="11">
        <f>IFERROR('Export-dataset'!M33/'Export-dataset'!M32,0)</f>
        <v>1.131067961</v>
      </c>
      <c r="N32" s="11">
        <f>IFERROR('Export-dataset'!N33/'Export-dataset'!N32,0)</f>
        <v>1.1348659</v>
      </c>
      <c r="O32" s="11">
        <f>IFERROR('Export-dataset'!O33/'Export-dataset'!O32,0)</f>
        <v>0.9852941176</v>
      </c>
      <c r="P32" s="11">
        <f>IFERROR('Export-dataset'!P33/'Export-dataset'!P32,0)</f>
        <v>1.189614552</v>
      </c>
      <c r="Q32" s="11">
        <f>IFERROR('Export-dataset'!Q33/'Export-dataset'!Q32,0)</f>
        <v>0.977025393</v>
      </c>
      <c r="R32" s="11">
        <f>IFERROR('Export-dataset'!R33/'Export-dataset'!R32,0)</f>
        <v>1.346996466</v>
      </c>
      <c r="S32" s="11">
        <f>IFERROR('Export-dataset'!S33/'Export-dataset'!S32,0)</f>
        <v>0</v>
      </c>
      <c r="T32" s="11">
        <f>IFERROR('Export-dataset'!T33/'Export-dataset'!T32,0)</f>
        <v>1.116449972</v>
      </c>
      <c r="U32" s="11">
        <f>IFERROR('Export-dataset'!U33/'Export-dataset'!U32,0)</f>
        <v>1.144628099</v>
      </c>
      <c r="V32" s="11">
        <f>IFERROR('Export-dataset'!V33/'Export-dataset'!V32,0)</f>
        <v>1.239305379</v>
      </c>
      <c r="W32" s="11">
        <f>IFERROR('Export-dataset'!W33/'Export-dataset'!W32,0)</f>
        <v>2.368421053</v>
      </c>
      <c r="X32" s="11">
        <f>IFERROR('Export-dataset'!X33/'Export-dataset'!X32,0)</f>
        <v>1.178096171</v>
      </c>
      <c r="Y32" s="11">
        <f>IFERROR('Export-dataset'!Y33/'Export-dataset'!Y32,0)</f>
        <v>1.042016807</v>
      </c>
      <c r="Z32" s="11">
        <f>IFERROR('Export-dataset'!Z33/'Export-dataset'!Z32,0)</f>
        <v>1.346400981</v>
      </c>
      <c r="AA32" s="11">
        <f>IFERROR('Export-dataset'!AA33/'Export-dataset'!AA32,0)</f>
        <v>1.351524614</v>
      </c>
      <c r="AB32" s="11">
        <f>IFERROR('Export-dataset'!AB33/'Export-dataset'!AB32,0)</f>
        <v>1.10308091</v>
      </c>
      <c r="AC32" s="11">
        <f>IFERROR('Export-dataset'!AC33/'Export-dataset'!AC32,0)</f>
        <v>1.426136364</v>
      </c>
      <c r="AD32" s="11">
        <f>IFERROR('Export-dataset'!AD33/'Export-dataset'!AD32,0)</f>
        <v>1.00591716</v>
      </c>
      <c r="AE32" s="11">
        <f>IFERROR('Export-dataset'!AE33/'Export-dataset'!AE32,0)</f>
        <v>0.9241706161</v>
      </c>
      <c r="AF32" s="11">
        <f>IFERROR('Export-dataset'!AF33/'Export-dataset'!AF32,0)</f>
        <v>1.110599078</v>
      </c>
      <c r="AG32" s="11">
        <f>IFERROR('Export-dataset'!AG33/'Export-dataset'!AG32,0)</f>
        <v>1.324324324</v>
      </c>
      <c r="AH32" s="11">
        <f>IFERROR('Export-dataset'!AH33/'Export-dataset'!AH32,0)</f>
        <v>1.032022942</v>
      </c>
      <c r="AI32" s="11">
        <f>IFERROR('Export-dataset'!AI33/'Export-dataset'!AI32,0)</f>
        <v>0.8766519824</v>
      </c>
      <c r="AJ32" s="11">
        <f>IFERROR('Export-dataset'!AJ33/'Export-dataset'!AJ32,0)</f>
        <v>1.068493151</v>
      </c>
      <c r="AK32" s="11">
        <f>IFERROR('Export-dataset'!AK33/'Export-dataset'!AK32,0)</f>
        <v>1.132231405</v>
      </c>
      <c r="AL32" s="11">
        <f>IFERROR('Export-dataset'!AL33/'Export-dataset'!AL32,0)</f>
        <v>0.9977051061</v>
      </c>
      <c r="AM32" s="11">
        <f>IFERROR('Export-dataset'!AM33/'Export-dataset'!AM32,0)</f>
        <v>1.197969543</v>
      </c>
      <c r="AN32" s="11">
        <f>IFERROR('Export-dataset'!AN33/'Export-dataset'!AN32,0)</f>
        <v>0.7181571816</v>
      </c>
      <c r="AO32" s="11">
        <f>IFERROR('Export-dataset'!AO33/'Export-dataset'!AO32,0)</f>
        <v>1.076190476</v>
      </c>
      <c r="AP32" s="11">
        <f>IFERROR('Export-dataset'!AP33/'Export-dataset'!AP32,0)</f>
        <v>1.059808612</v>
      </c>
      <c r="AQ32" s="11">
        <f>IFERROR('Export-dataset'!AQ33/'Export-dataset'!AQ32,0)</f>
        <v>1.00657277</v>
      </c>
      <c r="AR32" s="11">
        <f>IFERROR('Export-dataset'!AR33/'Export-dataset'!AR32,0)</f>
        <v>1.100566995</v>
      </c>
      <c r="AS32" s="11">
        <f>IFERROR('Export-dataset'!AS33/'Export-dataset'!AS32,0)</f>
        <v>0.902173913</v>
      </c>
      <c r="AT32" s="11">
        <f>IFERROR('Export-dataset'!AT33/'Export-dataset'!AT32,0)</f>
        <v>1.195121951</v>
      </c>
      <c r="AU32" s="11">
        <f>IFERROR('Export-dataset'!AU33/'Export-dataset'!AU32,0)</f>
        <v>1.036036036</v>
      </c>
      <c r="AV32" s="11">
        <f>IFERROR('Export-dataset'!AV33/'Export-dataset'!AV32,0)</f>
        <v>1.029471545</v>
      </c>
      <c r="AW32" s="11">
        <f>IFERROR('Export-dataset'!AW33/'Export-dataset'!AW32,0)</f>
        <v>1.02238806</v>
      </c>
      <c r="AX32" s="11">
        <f>IFERROR('Export-dataset'!AX33/'Export-dataset'!AX32,0)</f>
        <v>0.8509433962</v>
      </c>
      <c r="AY32" s="11">
        <f>IFERROR('Export-dataset'!AY33/'Export-dataset'!AY32,0)</f>
        <v>1.523255814</v>
      </c>
      <c r="AZ32" s="11">
        <f>IFERROR('Export-dataset'!AZ33/'Export-dataset'!AZ32,0)</f>
        <v>1.126102692</v>
      </c>
      <c r="BA32" s="11">
        <f>IFERROR('Export-dataset'!BA33/'Export-dataset'!BA32,0)</f>
        <v>1.006323397</v>
      </c>
      <c r="BB32" s="11">
        <f>IFERROR('Export-dataset'!BB33/'Export-dataset'!BB32,0)</f>
        <v>0.9512638898</v>
      </c>
      <c r="BC32" s="11">
        <f>IFERROR('Export-dataset'!BC33/'Export-dataset'!BC32,0)</f>
        <v>0.8509174312</v>
      </c>
      <c r="BD32" s="11">
        <f>IFERROR('Export-dataset'!BD33/'Export-dataset'!BD32,0)</f>
        <v>1.007478632</v>
      </c>
      <c r="BE32" s="11">
        <f>IFERROR('Export-dataset'!BE33/'Export-dataset'!BE32,0)</f>
        <v>1.167701863</v>
      </c>
      <c r="BF32" s="11">
        <f>IFERROR('Export-dataset'!BF33/'Export-dataset'!BF32,0)</f>
        <v>0.9656236227</v>
      </c>
      <c r="BG32" s="11">
        <f>IFERROR('Export-dataset'!BG33/'Export-dataset'!BG32,0)</f>
        <v>0.7950713359</v>
      </c>
      <c r="BH32" s="11">
        <f>IFERROR('Export-dataset'!BH33/'Export-dataset'!BH32,0)</f>
        <v>1.148401826</v>
      </c>
      <c r="BI32" s="11">
        <f>IFERROR('Export-dataset'!BI33/'Export-dataset'!BI32,0)</f>
        <v>1.092253105</v>
      </c>
      <c r="BJ32" s="11">
        <f>IFERROR('Export-dataset'!BJ33/'Export-dataset'!BJ32,0)</f>
        <v>0.7700680272</v>
      </c>
      <c r="BK32" s="11">
        <f>IFERROR('Export-dataset'!BK33/'Export-dataset'!BK32,0)</f>
        <v>0.9969432314</v>
      </c>
      <c r="BL32" s="11">
        <f>IFERROR('Export-dataset'!BL33/'Export-dataset'!BL32,0)</f>
        <v>1.04652227</v>
      </c>
      <c r="BM32" s="11">
        <f>IFERROR('Export-dataset'!BM33/'Export-dataset'!BM32,0)</f>
        <v>1.058823529</v>
      </c>
      <c r="BN32" s="11">
        <f>IFERROR('Export-dataset'!BN33/'Export-dataset'!BN32,0)</f>
        <v>1.060150376</v>
      </c>
      <c r="BO32" s="11">
        <f>IFERROR('Export-dataset'!BO33/'Export-dataset'!BO32,0)</f>
        <v>1.09375</v>
      </c>
      <c r="BP32" s="11">
        <f>IFERROR('Export-dataset'!BP33/'Export-dataset'!BP32,0)</f>
        <v>1</v>
      </c>
      <c r="BQ32" s="11">
        <f>IFERROR('Export-dataset'!BQ33/'Export-dataset'!BQ32,0)</f>
        <v>1.25</v>
      </c>
      <c r="BR32" s="11">
        <f>IFERROR('Export-dataset'!BR33/'Export-dataset'!BR32,0)</f>
        <v>1.03436019</v>
      </c>
      <c r="BS32" s="11">
        <f>IFERROR('Export-dataset'!BS33/'Export-dataset'!BS32,0)</f>
        <v>1.04400978</v>
      </c>
      <c r="BT32" s="11">
        <f>IFERROR('Export-dataset'!BT33/'Export-dataset'!BT32,0)</f>
        <v>1.054157932</v>
      </c>
      <c r="BU32" s="11">
        <f>IFERROR('Export-dataset'!BU33/'Export-dataset'!BU32,0)</f>
        <v>0.9296251776</v>
      </c>
      <c r="BV32" s="11">
        <f>IFERROR('Export-dataset'!BV33/'Export-dataset'!BV32,0)</f>
        <v>0.9430582214</v>
      </c>
      <c r="BW32" s="11">
        <f>IFERROR('Export-dataset'!BW33/'Export-dataset'!BW32,0)</f>
        <v>0.6845298281</v>
      </c>
      <c r="BX32" s="11">
        <f>IFERROR('Export-dataset'!BX33/'Export-dataset'!BX32,0)</f>
        <v>1</v>
      </c>
      <c r="BY32" s="11">
        <f>IFERROR('Export-dataset'!BY33/'Export-dataset'!BY32,0)</f>
        <v>0.9344010182</v>
      </c>
      <c r="BZ32" s="11">
        <f>IFERROR('Export-dataset'!BZ33/'Export-dataset'!BZ32,0)</f>
        <v>0.9513486679</v>
      </c>
      <c r="CA32" s="11">
        <f>IFERROR('Export-dataset'!CA33/'Export-dataset'!CA32,0)</f>
        <v>1.165907675</v>
      </c>
    </row>
    <row r="33" ht="15.75" customHeight="1">
      <c r="A33" s="9" t="str">
        <f>'Export-dataset'!A34</f>
        <v>Y2018</v>
      </c>
      <c r="B33" s="11">
        <f>IFERROR('Export-dataset'!B34/'Export-dataset'!B33,0)</f>
        <v>0.9637938573</v>
      </c>
      <c r="C33" s="11">
        <f>IFERROR('Export-dataset'!C34/'Export-dataset'!C33,0)</f>
        <v>1.127935723</v>
      </c>
      <c r="D33" s="11">
        <f>IFERROR('Export-dataset'!D34/'Export-dataset'!D33,0)</f>
        <v>1.149653541</v>
      </c>
      <c r="E33" s="11">
        <f>IFERROR('Export-dataset'!E34/'Export-dataset'!E33,0)</f>
        <v>1.057995736</v>
      </c>
      <c r="F33" s="11">
        <f>IFERROR('Export-dataset'!F34/'Export-dataset'!F33,0)</f>
        <v>1.031601124</v>
      </c>
      <c r="G33" s="11">
        <f>IFERROR('Export-dataset'!G34/'Export-dataset'!G33,0)</f>
        <v>0.7847043702</v>
      </c>
      <c r="H33" s="11">
        <f>IFERROR('Export-dataset'!H34/'Export-dataset'!H33,0)</f>
        <v>0.6995489312</v>
      </c>
      <c r="I33" s="11">
        <f>IFERROR('Export-dataset'!I34/'Export-dataset'!I33,0)</f>
        <v>0.9090909091</v>
      </c>
      <c r="J33" s="11">
        <f>IFERROR('Export-dataset'!J34/'Export-dataset'!J33,0)</f>
        <v>1.06504065</v>
      </c>
      <c r="K33" s="11">
        <f>IFERROR('Export-dataset'!K34/'Export-dataset'!K33,0)</f>
        <v>1.104878049</v>
      </c>
      <c r="L33" s="11">
        <f>IFERROR('Export-dataset'!L34/'Export-dataset'!L33,0)</f>
        <v>0.9784124875</v>
      </c>
      <c r="M33" s="11">
        <f>IFERROR('Export-dataset'!M34/'Export-dataset'!M33,0)</f>
        <v>1.114889402</v>
      </c>
      <c r="N33" s="11">
        <f>IFERROR('Export-dataset'!N34/'Export-dataset'!N33,0)</f>
        <v>1.120189061</v>
      </c>
      <c r="O33" s="11">
        <f>IFERROR('Export-dataset'!O34/'Export-dataset'!O33,0)</f>
        <v>0.8805970149</v>
      </c>
      <c r="P33" s="11">
        <f>IFERROR('Export-dataset'!P34/'Export-dataset'!P33,0)</f>
        <v>1.074473219</v>
      </c>
      <c r="Q33" s="11">
        <f>IFERROR('Export-dataset'!Q34/'Export-dataset'!Q33,0)</f>
        <v>0.9047029703</v>
      </c>
      <c r="R33" s="11">
        <f>IFERROR('Export-dataset'!R34/'Export-dataset'!R33,0)</f>
        <v>0.7334732424</v>
      </c>
      <c r="S33" s="11">
        <f>IFERROR('Export-dataset'!S34/'Export-dataset'!S33,0)</f>
        <v>0</v>
      </c>
      <c r="T33" s="11">
        <f>IFERROR('Export-dataset'!T34/'Export-dataset'!T33,0)</f>
        <v>1.123037975</v>
      </c>
      <c r="U33" s="11">
        <f>IFERROR('Export-dataset'!U34/'Export-dataset'!U33,0)</f>
        <v>0.8592057762</v>
      </c>
      <c r="V33" s="11">
        <f>IFERROR('Export-dataset'!V34/'Export-dataset'!V33,0)</f>
        <v>1.106288448</v>
      </c>
      <c r="W33" s="11">
        <f>IFERROR('Export-dataset'!W34/'Export-dataset'!W33,0)</f>
        <v>1.33968254</v>
      </c>
      <c r="X33" s="11">
        <f>IFERROR('Export-dataset'!X34/'Export-dataset'!X33,0)</f>
        <v>1.075407413</v>
      </c>
      <c r="Y33" s="11">
        <f>IFERROR('Export-dataset'!Y34/'Export-dataset'!Y33,0)</f>
        <v>1.177419355</v>
      </c>
      <c r="Z33" s="11">
        <f>IFERROR('Export-dataset'!Z34/'Export-dataset'!Z33,0)</f>
        <v>1.341393308</v>
      </c>
      <c r="AA33" s="11">
        <f>IFERROR('Export-dataset'!AA34/'Export-dataset'!AA33,0)</f>
        <v>1.170041832</v>
      </c>
      <c r="AB33" s="11">
        <f>IFERROR('Export-dataset'!AB34/'Export-dataset'!AB33,0)</f>
        <v>1.460584704</v>
      </c>
      <c r="AC33" s="11">
        <f>IFERROR('Export-dataset'!AC34/'Export-dataset'!AC33,0)</f>
        <v>1.67820148</v>
      </c>
      <c r="AD33" s="11">
        <f>IFERROR('Export-dataset'!AD34/'Export-dataset'!AD33,0)</f>
        <v>0.975</v>
      </c>
      <c r="AE33" s="11">
        <f>IFERROR('Export-dataset'!AE34/'Export-dataset'!AE33,0)</f>
        <v>0.9435897436</v>
      </c>
      <c r="AF33" s="11">
        <f>IFERROR('Export-dataset'!AF34/'Export-dataset'!AF33,0)</f>
        <v>0.9958506224</v>
      </c>
      <c r="AG33" s="11">
        <f>IFERROR('Export-dataset'!AG34/'Export-dataset'!AG33,0)</f>
        <v>1.12244898</v>
      </c>
      <c r="AH33" s="11">
        <f>IFERROR('Export-dataset'!AH34/'Export-dataset'!AH33,0)</f>
        <v>1.216741924</v>
      </c>
      <c r="AI33" s="11">
        <f>IFERROR('Export-dataset'!AI34/'Export-dataset'!AI33,0)</f>
        <v>1.010050251</v>
      </c>
      <c r="AJ33" s="11">
        <f>IFERROR('Export-dataset'!AJ34/'Export-dataset'!AJ33,0)</f>
        <v>1.334757835</v>
      </c>
      <c r="AK33" s="11">
        <f>IFERROR('Export-dataset'!AK34/'Export-dataset'!AK33,0)</f>
        <v>1.072992701</v>
      </c>
      <c r="AL33" s="11">
        <f>IFERROR('Export-dataset'!AL34/'Export-dataset'!AL33,0)</f>
        <v>1.36572743</v>
      </c>
      <c r="AM33" s="11">
        <f>IFERROR('Export-dataset'!AM34/'Export-dataset'!AM33,0)</f>
        <v>1.140677966</v>
      </c>
      <c r="AN33" s="11">
        <f>IFERROR('Export-dataset'!AN34/'Export-dataset'!AN33,0)</f>
        <v>1.20754717</v>
      </c>
      <c r="AO33" s="11">
        <f>IFERROR('Export-dataset'!AO34/'Export-dataset'!AO33,0)</f>
        <v>0.8790560472</v>
      </c>
      <c r="AP33" s="11">
        <f>IFERROR('Export-dataset'!AP34/'Export-dataset'!AP33,0)</f>
        <v>1</v>
      </c>
      <c r="AQ33" s="11">
        <f>IFERROR('Export-dataset'!AQ34/'Export-dataset'!AQ33,0)</f>
        <v>1.105410448</v>
      </c>
      <c r="AR33" s="11">
        <f>IFERROR('Export-dataset'!AR34/'Export-dataset'!AR33,0)</f>
        <v>1.154555315</v>
      </c>
      <c r="AS33" s="11">
        <f>IFERROR('Export-dataset'!AS34/'Export-dataset'!AS33,0)</f>
        <v>1</v>
      </c>
      <c r="AT33" s="11">
        <f>IFERROR('Export-dataset'!AT34/'Export-dataset'!AT33,0)</f>
        <v>1.044217687</v>
      </c>
      <c r="AU33" s="11">
        <f>IFERROR('Export-dataset'!AU34/'Export-dataset'!AU33,0)</f>
        <v>0.8434782609</v>
      </c>
      <c r="AV33" s="11">
        <f>IFERROR('Export-dataset'!AV34/'Export-dataset'!AV33,0)</f>
        <v>1.130306022</v>
      </c>
      <c r="AW33" s="11">
        <f>IFERROR('Export-dataset'!AW34/'Export-dataset'!AW33,0)</f>
        <v>0.996350365</v>
      </c>
      <c r="AX33" s="11">
        <f>IFERROR('Export-dataset'!AX34/'Export-dataset'!AX33,0)</f>
        <v>1.027716186</v>
      </c>
      <c r="AY33" s="11">
        <f>IFERROR('Export-dataset'!AY34/'Export-dataset'!AY33,0)</f>
        <v>1.122137405</v>
      </c>
      <c r="AZ33" s="11">
        <f>IFERROR('Export-dataset'!AZ34/'Export-dataset'!AZ33,0)</f>
        <v>1.187405845</v>
      </c>
      <c r="BA33" s="11">
        <f>IFERROR('Export-dataset'!BA34/'Export-dataset'!BA33,0)</f>
        <v>1.135547576</v>
      </c>
      <c r="BB33" s="11">
        <f>IFERROR('Export-dataset'!BB34/'Export-dataset'!BB33,0)</f>
        <v>1.048637202</v>
      </c>
      <c r="BC33" s="11">
        <f>IFERROR('Export-dataset'!BC34/'Export-dataset'!BC33,0)</f>
        <v>1.265498652</v>
      </c>
      <c r="BD33" s="11">
        <f>IFERROR('Export-dataset'!BD34/'Export-dataset'!BD33,0)</f>
        <v>0.9718981972</v>
      </c>
      <c r="BE33" s="11">
        <f>IFERROR('Export-dataset'!BE34/'Export-dataset'!BE33,0)</f>
        <v>1.462765957</v>
      </c>
      <c r="BF33" s="11">
        <f>IFERROR('Export-dataset'!BF34/'Export-dataset'!BF33,0)</f>
        <v>1.047923323</v>
      </c>
      <c r="BG33" s="11">
        <f>IFERROR('Export-dataset'!BG34/'Export-dataset'!BG33,0)</f>
        <v>1.04730832</v>
      </c>
      <c r="BH33" s="11">
        <f>IFERROR('Export-dataset'!BH34/'Export-dataset'!BH33,0)</f>
        <v>0.9980119284</v>
      </c>
      <c r="BI33" s="11">
        <f>IFERROR('Export-dataset'!BI34/'Export-dataset'!BI33,0)</f>
        <v>1.125067677</v>
      </c>
      <c r="BJ33" s="11">
        <f>IFERROR('Export-dataset'!BJ34/'Export-dataset'!BJ33,0)</f>
        <v>0.7477915194</v>
      </c>
      <c r="BK33" s="11">
        <f>IFERROR('Export-dataset'!BK34/'Export-dataset'!BK33,0)</f>
        <v>1.289969339</v>
      </c>
      <c r="BL33" s="11">
        <f>IFERROR('Export-dataset'!BL34/'Export-dataset'!BL33,0)</f>
        <v>1.062527328</v>
      </c>
      <c r="BM33" s="11">
        <f>IFERROR('Export-dataset'!BM34/'Export-dataset'!BM33,0)</f>
        <v>1.125</v>
      </c>
      <c r="BN33" s="11">
        <f>IFERROR('Export-dataset'!BN34/'Export-dataset'!BN33,0)</f>
        <v>1.078014184</v>
      </c>
      <c r="BO33" s="11">
        <f>IFERROR('Export-dataset'!BO34/'Export-dataset'!BO33,0)</f>
        <v>1.142857143</v>
      </c>
      <c r="BP33" s="11">
        <f>IFERROR('Export-dataset'!BP34/'Export-dataset'!BP33,0)</f>
        <v>1.024390244</v>
      </c>
      <c r="BQ33" s="11">
        <f>IFERROR('Export-dataset'!BQ34/'Export-dataset'!BQ33,0)</f>
        <v>1.07826087</v>
      </c>
      <c r="BR33" s="11">
        <f>IFERROR('Export-dataset'!BR34/'Export-dataset'!BR33,0)</f>
        <v>1.055746468</v>
      </c>
      <c r="BS33" s="11">
        <f>IFERROR('Export-dataset'!BS34/'Export-dataset'!BS33,0)</f>
        <v>1.030444965</v>
      </c>
      <c r="BT33" s="11">
        <f>IFERROR('Export-dataset'!BT34/'Export-dataset'!BT33,0)</f>
        <v>1.070931389</v>
      </c>
      <c r="BU33" s="11">
        <f>IFERROR('Export-dataset'!BU34/'Export-dataset'!BU33,0)</f>
        <v>1.017671721</v>
      </c>
      <c r="BV33" s="11">
        <f>IFERROR('Export-dataset'!BV34/'Export-dataset'!BV33,0)</f>
        <v>0.9301221167</v>
      </c>
      <c r="BW33" s="11">
        <f>IFERROR('Export-dataset'!BW34/'Export-dataset'!BW33,0)</f>
        <v>1.202363368</v>
      </c>
      <c r="BX33" s="11">
        <f>IFERROR('Export-dataset'!BX34/'Export-dataset'!BX33,0)</f>
        <v>0</v>
      </c>
      <c r="BY33" s="11">
        <f>IFERROR('Export-dataset'!BY34/'Export-dataset'!BY33,0)</f>
        <v>1.086038593</v>
      </c>
      <c r="BZ33" s="11">
        <f>IFERROR('Export-dataset'!BZ34/'Export-dataset'!BZ33,0)</f>
        <v>0.8090102627</v>
      </c>
      <c r="CA33" s="11">
        <f>IFERROR('Export-dataset'!CA34/'Export-dataset'!CA33,0)</f>
        <v>1.143613297</v>
      </c>
    </row>
    <row r="34" ht="15.75" customHeight="1">
      <c r="A34" s="9" t="str">
        <f>'Export-dataset'!A35</f>
        <v>Y2019</v>
      </c>
      <c r="B34" s="11">
        <f>IFERROR('Export-dataset'!B35/'Export-dataset'!B34,0)</f>
        <v>1.067505883</v>
      </c>
      <c r="C34" s="11">
        <f>IFERROR('Export-dataset'!C35/'Export-dataset'!C34,0)</f>
        <v>1.164931507</v>
      </c>
      <c r="D34" s="11">
        <f>IFERROR('Export-dataset'!D35/'Export-dataset'!D34,0)</f>
        <v>1.209996325</v>
      </c>
      <c r="E34" s="11">
        <f>IFERROR('Export-dataset'!E35/'Export-dataset'!E34,0)</f>
        <v>1.002821443</v>
      </c>
      <c r="F34" s="11">
        <f>IFERROR('Export-dataset'!F35/'Export-dataset'!F34,0)</f>
        <v>1.040844112</v>
      </c>
      <c r="G34" s="11">
        <f>IFERROR('Export-dataset'!G35/'Export-dataset'!G34,0)</f>
        <v>0.8041223041</v>
      </c>
      <c r="H34" s="11">
        <f>IFERROR('Export-dataset'!H35/'Export-dataset'!H34,0)</f>
        <v>1.152789459</v>
      </c>
      <c r="I34" s="11">
        <f>IFERROR('Export-dataset'!I35/'Export-dataset'!I34,0)</f>
        <v>0.8933333333</v>
      </c>
      <c r="J34" s="11">
        <f>IFERROR('Export-dataset'!J35/'Export-dataset'!J34,0)</f>
        <v>1.081424936</v>
      </c>
      <c r="K34" s="11">
        <f>IFERROR('Export-dataset'!K35/'Export-dataset'!K34,0)</f>
        <v>1.011037528</v>
      </c>
      <c r="L34" s="11">
        <f>IFERROR('Export-dataset'!L35/'Export-dataset'!L34,0)</f>
        <v>1.010522743</v>
      </c>
      <c r="M34" s="11">
        <f>IFERROR('Export-dataset'!M35/'Export-dataset'!M34,0)</f>
        <v>1.060704768</v>
      </c>
      <c r="N34" s="11">
        <f>IFERROR('Export-dataset'!N35/'Export-dataset'!N34,0)</f>
        <v>1.061784207</v>
      </c>
      <c r="O34" s="11">
        <f>IFERROR('Export-dataset'!O35/'Export-dataset'!O34,0)</f>
        <v>1</v>
      </c>
      <c r="P34" s="11">
        <f>IFERROR('Export-dataset'!P35/'Export-dataset'!P34,0)</f>
        <v>1.276328593</v>
      </c>
      <c r="Q34" s="11">
        <f>IFERROR('Export-dataset'!Q35/'Export-dataset'!Q34,0)</f>
        <v>0.7920656635</v>
      </c>
      <c r="R34" s="11">
        <f>IFERROR('Export-dataset'!R35/'Export-dataset'!R34,0)</f>
        <v>0.751788269</v>
      </c>
      <c r="S34" s="11">
        <f>IFERROR('Export-dataset'!S35/'Export-dataset'!S34,0)</f>
        <v>1.333333333</v>
      </c>
      <c r="T34" s="11">
        <f>IFERROR('Export-dataset'!T35/'Export-dataset'!T34,0)</f>
        <v>1.003155996</v>
      </c>
      <c r="U34" s="11">
        <f>IFERROR('Export-dataset'!U35/'Export-dataset'!U34,0)</f>
        <v>0.768907563</v>
      </c>
      <c r="V34" s="11">
        <f>IFERROR('Export-dataset'!V35/'Export-dataset'!V34,0)</f>
        <v>0.7482236639</v>
      </c>
      <c r="W34" s="11">
        <f>IFERROR('Export-dataset'!W35/'Export-dataset'!W34,0)</f>
        <v>0.8137440758</v>
      </c>
      <c r="X34" s="11">
        <f>IFERROR('Export-dataset'!X35/'Export-dataset'!X34,0)</f>
        <v>1.344735372</v>
      </c>
      <c r="Y34" s="11">
        <f>IFERROR('Export-dataset'!Y35/'Export-dataset'!Y34,0)</f>
        <v>1</v>
      </c>
      <c r="Z34" s="11">
        <f>IFERROR('Export-dataset'!Z35/'Export-dataset'!Z34,0)</f>
        <v>1.032886773</v>
      </c>
      <c r="AA34" s="11">
        <f>IFERROR('Export-dataset'!AA35/'Export-dataset'!AA34,0)</f>
        <v>0.9565132839</v>
      </c>
      <c r="AB34" s="11">
        <f>IFERROR('Export-dataset'!AB35/'Export-dataset'!AB34,0)</f>
        <v>1.092306318</v>
      </c>
      <c r="AC34" s="11">
        <f>IFERROR('Export-dataset'!AC35/'Export-dataset'!AC34,0)</f>
        <v>1.133283592</v>
      </c>
      <c r="AD34" s="11">
        <f>IFERROR('Export-dataset'!AD35/'Export-dataset'!AD34,0)</f>
        <v>0.9788838612</v>
      </c>
      <c r="AE34" s="11">
        <f>IFERROR('Export-dataset'!AE35/'Export-dataset'!AE34,0)</f>
        <v>0.9755434783</v>
      </c>
      <c r="AF34" s="11">
        <f>IFERROR('Export-dataset'!AF35/'Export-dataset'!AF34,0)</f>
        <v>1.0125</v>
      </c>
      <c r="AG34" s="11">
        <f>IFERROR('Export-dataset'!AG35/'Export-dataset'!AG34,0)</f>
        <v>0.8545454545</v>
      </c>
      <c r="AH34" s="11">
        <f>IFERROR('Export-dataset'!AH35/'Export-dataset'!AH34,0)</f>
        <v>1.138738224</v>
      </c>
      <c r="AI34" s="11">
        <f>IFERROR('Export-dataset'!AI35/'Export-dataset'!AI34,0)</f>
        <v>1.054726368</v>
      </c>
      <c r="AJ34" s="11">
        <f>IFERROR('Export-dataset'!AJ35/'Export-dataset'!AJ34,0)</f>
        <v>0.8046958378</v>
      </c>
      <c r="AK34" s="11">
        <f>IFERROR('Export-dataset'!AK35/'Export-dataset'!AK34,0)</f>
        <v>0.9795918367</v>
      </c>
      <c r="AL34" s="11">
        <f>IFERROR('Export-dataset'!AL35/'Export-dataset'!AL34,0)</f>
        <v>1.315578947</v>
      </c>
      <c r="AM34" s="11">
        <f>IFERROR('Export-dataset'!AM35/'Export-dataset'!AM34,0)</f>
        <v>1.138187221</v>
      </c>
      <c r="AN34" s="11">
        <f>IFERROR('Export-dataset'!AN35/'Export-dataset'!AN34,0)</f>
        <v>0.81875</v>
      </c>
      <c r="AO34" s="11">
        <f>IFERROR('Export-dataset'!AO35/'Export-dataset'!AO34,0)</f>
        <v>1.100671141</v>
      </c>
      <c r="AP34" s="11">
        <f>IFERROR('Export-dataset'!AP35/'Export-dataset'!AP34,0)</f>
        <v>0.8961625282</v>
      </c>
      <c r="AQ34" s="11">
        <f>IFERROR('Export-dataset'!AQ35/'Export-dataset'!AQ34,0)</f>
        <v>1.033755274</v>
      </c>
      <c r="AR34" s="11">
        <f>IFERROR('Export-dataset'!AR35/'Export-dataset'!AR34,0)</f>
        <v>1.031352748</v>
      </c>
      <c r="AS34" s="11">
        <f>IFERROR('Export-dataset'!AS35/'Export-dataset'!AS34,0)</f>
        <v>0.8493975904</v>
      </c>
      <c r="AT34" s="11">
        <f>IFERROR('Export-dataset'!AT35/'Export-dataset'!AT34,0)</f>
        <v>1.058631922</v>
      </c>
      <c r="AU34" s="11">
        <f>IFERROR('Export-dataset'!AU35/'Export-dataset'!AU34,0)</f>
        <v>1.113402062</v>
      </c>
      <c r="AV34" s="11">
        <f>IFERROR('Export-dataset'!AV35/'Export-dataset'!AV34,0)</f>
        <v>0.9554585153</v>
      </c>
      <c r="AW34" s="11">
        <f>IFERROR('Export-dataset'!AW35/'Export-dataset'!AW34,0)</f>
        <v>1.117216117</v>
      </c>
      <c r="AX34" s="11">
        <f>IFERROR('Export-dataset'!AX35/'Export-dataset'!AX34,0)</f>
        <v>1.084142395</v>
      </c>
      <c r="AY34" s="11">
        <f>IFERROR('Export-dataset'!AY35/'Export-dataset'!AY34,0)</f>
        <v>1.182701652</v>
      </c>
      <c r="AZ34" s="11">
        <f>IFERROR('Export-dataset'!AZ35/'Export-dataset'!AZ34,0)</f>
        <v>1.014886239</v>
      </c>
      <c r="BA34" s="11">
        <f>IFERROR('Export-dataset'!BA35/'Export-dataset'!BA34,0)</f>
        <v>1.08458498</v>
      </c>
      <c r="BB34" s="11">
        <f>IFERROR('Export-dataset'!BB35/'Export-dataset'!BB34,0)</f>
        <v>1.107289427</v>
      </c>
      <c r="BC34" s="11">
        <f>IFERROR('Export-dataset'!BC35/'Export-dataset'!BC34,0)</f>
        <v>1.133120341</v>
      </c>
      <c r="BD34" s="11">
        <f>IFERROR('Export-dataset'!BD35/'Export-dataset'!BD34,0)</f>
        <v>1.069830878</v>
      </c>
      <c r="BE34" s="11">
        <f>IFERROR('Export-dataset'!BE35/'Export-dataset'!BE34,0)</f>
        <v>0.6981818182</v>
      </c>
      <c r="BF34" s="11">
        <f>IFERROR('Export-dataset'!BF35/'Export-dataset'!BF34,0)</f>
        <v>1.069686411</v>
      </c>
      <c r="BG34" s="11">
        <f>IFERROR('Export-dataset'!BG35/'Export-dataset'!BG34,0)</f>
        <v>1.098130841</v>
      </c>
      <c r="BH34" s="11">
        <f>IFERROR('Export-dataset'!BH35/'Export-dataset'!BH34,0)</f>
        <v>1.323207171</v>
      </c>
      <c r="BI34" s="11">
        <f>IFERROR('Export-dataset'!BI35/'Export-dataset'!BI34,0)</f>
        <v>1.025505294</v>
      </c>
      <c r="BJ34" s="11">
        <f>IFERROR('Export-dataset'!BJ35/'Export-dataset'!BJ34,0)</f>
        <v>1.133490845</v>
      </c>
      <c r="BK34" s="11">
        <f>IFERROR('Export-dataset'!BK35/'Export-dataset'!BK34,0)</f>
        <v>1.089303905</v>
      </c>
      <c r="BL34" s="11">
        <f>IFERROR('Export-dataset'!BL35/'Export-dataset'!BL34,0)</f>
        <v>1.125514403</v>
      </c>
      <c r="BM34" s="11">
        <f>IFERROR('Export-dataset'!BM35/'Export-dataset'!BM34,0)</f>
        <v>0.9691358025</v>
      </c>
      <c r="BN34" s="11">
        <f>IFERROR('Export-dataset'!BN35/'Export-dataset'!BN34,0)</f>
        <v>1.197368421</v>
      </c>
      <c r="BO34" s="11">
        <f>IFERROR('Export-dataset'!BO35/'Export-dataset'!BO34,0)</f>
        <v>1.175</v>
      </c>
      <c r="BP34" s="11">
        <f>IFERROR('Export-dataset'!BP35/'Export-dataset'!BP34,0)</f>
        <v>1.12202381</v>
      </c>
      <c r="BQ34" s="11">
        <f>IFERROR('Export-dataset'!BQ35/'Export-dataset'!BQ34,0)</f>
        <v>0.9838709677</v>
      </c>
      <c r="BR34" s="11">
        <f>IFERROR('Export-dataset'!BR35/'Export-dataset'!BR34,0)</f>
        <v>1.412658228</v>
      </c>
      <c r="BS34" s="11">
        <f>IFERROR('Export-dataset'!BS35/'Export-dataset'!BS34,0)</f>
        <v>1.059090909</v>
      </c>
      <c r="BT34" s="11">
        <f>IFERROR('Export-dataset'!BT35/'Export-dataset'!BT34,0)</f>
        <v>0.8978644383</v>
      </c>
      <c r="BU34" s="11">
        <f>IFERROR('Export-dataset'!BU35/'Export-dataset'!BU34,0)</f>
        <v>1.180502079</v>
      </c>
      <c r="BV34" s="11">
        <f>IFERROR('Export-dataset'!BV35/'Export-dataset'!BV34,0)</f>
        <v>0.9037199125</v>
      </c>
      <c r="BW34" s="11">
        <f>IFERROR('Export-dataset'!BW35/'Export-dataset'!BW34,0)</f>
        <v>1.057739558</v>
      </c>
      <c r="BX34" s="11">
        <f>IFERROR('Export-dataset'!BX35/'Export-dataset'!BX34,0)</f>
        <v>0</v>
      </c>
      <c r="BY34" s="11">
        <f>IFERROR('Export-dataset'!BY35/'Export-dataset'!BY34,0)</f>
        <v>1.221362876</v>
      </c>
      <c r="BZ34" s="11">
        <f>IFERROR('Export-dataset'!BZ35/'Export-dataset'!BZ34,0)</f>
        <v>1.115459041</v>
      </c>
      <c r="CA34" s="11">
        <f>IFERROR('Export-dataset'!CA35/'Export-dataset'!CA34,0)</f>
        <v>1.131652027</v>
      </c>
    </row>
    <row r="35" ht="15.75" customHeight="1">
      <c r="A35" s="9" t="str">
        <f>'Export-dataset'!A36</f>
        <v>Y2020</v>
      </c>
      <c r="B35" s="11">
        <f>IFERROR('Export-dataset'!B36/'Export-dataset'!B35,0)</f>
        <v>0.9461648784</v>
      </c>
      <c r="C35" s="11">
        <f>IFERROR('Export-dataset'!C36/'Export-dataset'!C35,0)</f>
        <v>0.9167450611</v>
      </c>
      <c r="D35" s="11">
        <f>IFERROR('Export-dataset'!D36/'Export-dataset'!D35,0)</f>
        <v>0.8932693476</v>
      </c>
      <c r="E35" s="11">
        <f>IFERROR('Export-dataset'!E36/'Export-dataset'!E35,0)</f>
        <v>1.022508039</v>
      </c>
      <c r="F35" s="11">
        <f>IFERROR('Export-dataset'!F36/'Export-dataset'!F35,0)</f>
        <v>0.803793329</v>
      </c>
      <c r="G35" s="11">
        <f>IFERROR('Export-dataset'!G36/'Export-dataset'!G35,0)</f>
        <v>1.093193006</v>
      </c>
      <c r="H35" s="11">
        <f>IFERROR('Export-dataset'!H36/'Export-dataset'!H35,0)</f>
        <v>1.00364786</v>
      </c>
      <c r="I35" s="11">
        <f>IFERROR('Export-dataset'!I36/'Export-dataset'!I35,0)</f>
        <v>1.055970149</v>
      </c>
      <c r="J35" s="11">
        <f>IFERROR('Export-dataset'!J36/'Export-dataset'!J35,0)</f>
        <v>1.051764706</v>
      </c>
      <c r="K35" s="11">
        <f>IFERROR('Export-dataset'!K36/'Export-dataset'!K35,0)</f>
        <v>0.9534206696</v>
      </c>
      <c r="L35" s="11">
        <f>IFERROR('Export-dataset'!L36/'Export-dataset'!L35,0)</f>
        <v>0.8703392677</v>
      </c>
      <c r="M35" s="11">
        <f>IFERROR('Export-dataset'!M36/'Export-dataset'!M35,0)</f>
        <v>0.9165270798</v>
      </c>
      <c r="N35" s="11">
        <f>IFERROR('Export-dataset'!N36/'Export-dataset'!N35,0)</f>
        <v>0.9213738291</v>
      </c>
      <c r="O35" s="11">
        <f>IFERROR('Export-dataset'!O36/'Export-dataset'!O35,0)</f>
        <v>0.6271186441</v>
      </c>
      <c r="P35" s="11">
        <f>IFERROR('Export-dataset'!P36/'Export-dataset'!P35,0)</f>
        <v>1.114027886</v>
      </c>
      <c r="Q35" s="11">
        <f>IFERROR('Export-dataset'!Q36/'Export-dataset'!Q35,0)</f>
        <v>0.7150259067</v>
      </c>
      <c r="R35" s="11">
        <f>IFERROR('Export-dataset'!R36/'Export-dataset'!R35,0)</f>
        <v>1.125594672</v>
      </c>
      <c r="S35" s="11">
        <f>IFERROR('Export-dataset'!S36/'Export-dataset'!S35,0)</f>
        <v>0.5</v>
      </c>
      <c r="T35" s="11">
        <f>IFERROR('Export-dataset'!T36/'Export-dataset'!T35,0)</f>
        <v>0.7501123596</v>
      </c>
      <c r="U35" s="11">
        <f>IFERROR('Export-dataset'!U36/'Export-dataset'!U35,0)</f>
        <v>0.9398907104</v>
      </c>
      <c r="V35" s="11">
        <f>IFERROR('Export-dataset'!V36/'Export-dataset'!V35,0)</f>
        <v>0.5654417836</v>
      </c>
      <c r="W35" s="11">
        <f>IFERROR('Export-dataset'!W36/'Export-dataset'!W35,0)</f>
        <v>0.677344205</v>
      </c>
      <c r="X35" s="11">
        <f>IFERROR('Export-dataset'!X36/'Export-dataset'!X35,0)</f>
        <v>1.150601784</v>
      </c>
      <c r="Y35" s="11">
        <f>IFERROR('Export-dataset'!Y36/'Export-dataset'!Y35,0)</f>
        <v>0.9434931507</v>
      </c>
      <c r="Z35" s="11">
        <f>IFERROR('Export-dataset'!Z36/'Export-dataset'!Z35,0)</f>
        <v>0.7033154115</v>
      </c>
      <c r="AA35" s="11">
        <f>IFERROR('Export-dataset'!AA36/'Export-dataset'!AA35,0)</f>
        <v>0.6782346225</v>
      </c>
      <c r="AB35" s="11">
        <f>IFERROR('Export-dataset'!AB36/'Export-dataset'!AB35,0)</f>
        <v>0.6344077225</v>
      </c>
      <c r="AC35" s="11">
        <f>IFERROR('Export-dataset'!AC36/'Export-dataset'!AC35,0)</f>
        <v>0.7521147554</v>
      </c>
      <c r="AD35" s="11">
        <f>IFERROR('Export-dataset'!AD36/'Export-dataset'!AD35,0)</f>
        <v>1.169491525</v>
      </c>
      <c r="AE35" s="11">
        <f>IFERROR('Export-dataset'!AE36/'Export-dataset'!AE35,0)</f>
        <v>1.236768802</v>
      </c>
      <c r="AF35" s="11">
        <f>IFERROR('Export-dataset'!AF36/'Export-dataset'!AF35,0)</f>
        <v>1.160493827</v>
      </c>
      <c r="AG35" s="11">
        <f>IFERROR('Export-dataset'!AG36/'Export-dataset'!AG35,0)</f>
        <v>0.7021276596</v>
      </c>
      <c r="AH35" s="11">
        <f>IFERROR('Export-dataset'!AH36/'Export-dataset'!AH35,0)</f>
        <v>0.9273000752</v>
      </c>
      <c r="AI35" s="11">
        <f>IFERROR('Export-dataset'!AI36/'Export-dataset'!AI35,0)</f>
        <v>1.070754717</v>
      </c>
      <c r="AJ35" s="11">
        <f>IFERROR('Export-dataset'!AJ36/'Export-dataset'!AJ35,0)</f>
        <v>0.850132626</v>
      </c>
      <c r="AK35" s="11">
        <f>IFERROR('Export-dataset'!AK36/'Export-dataset'!AK35,0)</f>
        <v>0.8869047619</v>
      </c>
      <c r="AL35" s="11">
        <f>IFERROR('Export-dataset'!AL36/'Export-dataset'!AL35,0)</f>
        <v>0.8876620259</v>
      </c>
      <c r="AM35" s="11">
        <f>IFERROR('Export-dataset'!AM36/'Export-dataset'!AM35,0)</f>
        <v>1.037859008</v>
      </c>
      <c r="AN35" s="11">
        <f>IFERROR('Export-dataset'!AN36/'Export-dataset'!AN35,0)</f>
        <v>1.259541985</v>
      </c>
      <c r="AO35" s="11">
        <f>IFERROR('Export-dataset'!AO36/'Export-dataset'!AO35,0)</f>
        <v>0.7073170732</v>
      </c>
      <c r="AP35" s="11">
        <f>IFERROR('Export-dataset'!AP36/'Export-dataset'!AP35,0)</f>
        <v>0.7833753149</v>
      </c>
      <c r="AQ35" s="11">
        <f>IFERROR('Export-dataset'!AQ36/'Export-dataset'!AQ35,0)</f>
        <v>1.081632653</v>
      </c>
      <c r="AR35" s="11">
        <f>IFERROR('Export-dataset'!AR36/'Export-dataset'!AR35,0)</f>
        <v>0.8374131846</v>
      </c>
      <c r="AS35" s="11">
        <f>IFERROR('Export-dataset'!AS36/'Export-dataset'!AS35,0)</f>
        <v>0.7943262411</v>
      </c>
      <c r="AT35" s="11">
        <f>IFERROR('Export-dataset'!AT36/'Export-dataset'!AT35,0)</f>
        <v>0.8</v>
      </c>
      <c r="AU35" s="11">
        <f>IFERROR('Export-dataset'!AU36/'Export-dataset'!AU35,0)</f>
        <v>0.9537037037</v>
      </c>
      <c r="AV35" s="11">
        <f>IFERROR('Export-dataset'!AV36/'Export-dataset'!AV35,0)</f>
        <v>0.8537477148</v>
      </c>
      <c r="AW35" s="11">
        <f>IFERROR('Export-dataset'!AW36/'Export-dataset'!AW35,0)</f>
        <v>0.9049180328</v>
      </c>
      <c r="AX35" s="11">
        <f>IFERROR('Export-dataset'!AX36/'Export-dataset'!AX35,0)</f>
        <v>0.7323383085</v>
      </c>
      <c r="AY35" s="11">
        <f>IFERROR('Export-dataset'!AY36/'Export-dataset'!AY35,0)</f>
        <v>0.755957272</v>
      </c>
      <c r="AZ35" s="11">
        <f>IFERROR('Export-dataset'!AZ36/'Export-dataset'!AZ35,0)</f>
        <v>0.8513209434</v>
      </c>
      <c r="BA35" s="11">
        <f>IFERROR('Export-dataset'!BA36/'Export-dataset'!BA35,0)</f>
        <v>0.8411078717</v>
      </c>
      <c r="BB35" s="11">
        <f>IFERROR('Export-dataset'!BB36/'Export-dataset'!BB35,0)</f>
        <v>0.8636898459</v>
      </c>
      <c r="BC35" s="11">
        <f>IFERROR('Export-dataset'!BC36/'Export-dataset'!BC35,0)</f>
        <v>1.003759398</v>
      </c>
      <c r="BD35" s="11">
        <f>IFERROR('Export-dataset'!BD36/'Export-dataset'!BD35,0)</f>
        <v>0.90209077</v>
      </c>
      <c r="BE35" s="11">
        <f>IFERROR('Export-dataset'!BE36/'Export-dataset'!BE35,0)</f>
        <v>0.71875</v>
      </c>
      <c r="BF35" s="11">
        <f>IFERROR('Export-dataset'!BF36/'Export-dataset'!BF35,0)</f>
        <v>0.8811074919</v>
      </c>
      <c r="BG35" s="11">
        <f>IFERROR('Export-dataset'!BG36/'Export-dataset'!BG35,0)</f>
        <v>0.9219858156</v>
      </c>
      <c r="BH35" s="11">
        <f>IFERROR('Export-dataset'!BH36/'Export-dataset'!BH35,0)</f>
        <v>0.8471960858</v>
      </c>
      <c r="BI35" s="11">
        <f>IFERROR('Export-dataset'!BI36/'Export-dataset'!BI35,0)</f>
        <v>0.9413420929</v>
      </c>
      <c r="BJ35" s="11">
        <f>IFERROR('Export-dataset'!BJ36/'Export-dataset'!BJ35,0)</f>
        <v>0.8327253778</v>
      </c>
      <c r="BK35" s="11">
        <f>IFERROR('Export-dataset'!BK36/'Export-dataset'!BK35,0)</f>
        <v>0.7440773067</v>
      </c>
      <c r="BL35" s="11">
        <f>IFERROR('Export-dataset'!BL36/'Export-dataset'!BL35,0)</f>
        <v>0.8990859232</v>
      </c>
      <c r="BM35" s="11">
        <f>IFERROR('Export-dataset'!BM36/'Export-dataset'!BM35,0)</f>
        <v>1.025477707</v>
      </c>
      <c r="BN35" s="11">
        <f>IFERROR('Export-dataset'!BN36/'Export-dataset'!BN35,0)</f>
        <v>0.7472527473</v>
      </c>
      <c r="BO35" s="11">
        <f>IFERROR('Export-dataset'!BO36/'Export-dataset'!BO35,0)</f>
        <v>1.191489362</v>
      </c>
      <c r="BP35" s="11">
        <f>IFERROR('Export-dataset'!BP36/'Export-dataset'!BP35,0)</f>
        <v>1.026525199</v>
      </c>
      <c r="BQ35" s="11">
        <f>IFERROR('Export-dataset'!BQ36/'Export-dataset'!BQ35,0)</f>
        <v>1.057377049</v>
      </c>
      <c r="BR35" s="11">
        <f>IFERROR('Export-dataset'!BR36/'Export-dataset'!BR35,0)</f>
        <v>0.9027137737</v>
      </c>
      <c r="BS35" s="11">
        <f>IFERROR('Export-dataset'!BS36/'Export-dataset'!BS35,0)</f>
        <v>0.9270386266</v>
      </c>
      <c r="BT35" s="11">
        <f>IFERROR('Export-dataset'!BT36/'Export-dataset'!BT35,0)</f>
        <v>0.8597035505</v>
      </c>
      <c r="BU35" s="11">
        <f>IFERROR('Export-dataset'!BU36/'Export-dataset'!BU35,0)</f>
        <v>1.122341813</v>
      </c>
      <c r="BV35" s="11">
        <f>IFERROR('Export-dataset'!BV36/'Export-dataset'!BV35,0)</f>
        <v>0.8579499596</v>
      </c>
      <c r="BW35" s="11">
        <f>IFERROR('Export-dataset'!BW36/'Export-dataset'!BW35,0)</f>
        <v>1.513356562</v>
      </c>
      <c r="BX35" s="11">
        <f>IFERROR('Export-dataset'!BX36/'Export-dataset'!BX35,0)</f>
        <v>0</v>
      </c>
      <c r="BY35" s="11">
        <f>IFERROR('Export-dataset'!BY36/'Export-dataset'!BY35,0)</f>
        <v>1.090706829</v>
      </c>
      <c r="BZ35" s="11">
        <f>IFERROR('Export-dataset'!BZ36/'Export-dataset'!BZ35,0)</f>
        <v>1.262721665</v>
      </c>
      <c r="CA35" s="11">
        <f>IFERROR('Export-dataset'!CA36/'Export-dataset'!CA35,0)</f>
        <v>0.9301275443</v>
      </c>
    </row>
    <row r="36" ht="15.75" customHeight="1">
      <c r="A36" s="9" t="str">
        <f>'Export-dataset'!A37</f>
        <v>Y2021</v>
      </c>
      <c r="B36" s="11">
        <f>IFERROR('Export-dataset'!B37/'Export-dataset'!B36,0)</f>
        <v>1.222203509</v>
      </c>
      <c r="C36" s="11">
        <f>IFERROR('Export-dataset'!C37/'Export-dataset'!C36,0)</f>
        <v>0.8445356593</v>
      </c>
      <c r="D36" s="11">
        <f>IFERROR('Export-dataset'!D37/'Export-dataset'!D36,0)</f>
        <v>1.006528392</v>
      </c>
      <c r="E36" s="11">
        <f>IFERROR('Export-dataset'!E37/'Export-dataset'!E36,0)</f>
        <v>1.15841195</v>
      </c>
      <c r="F36" s="11">
        <f>IFERROR('Export-dataset'!F37/'Export-dataset'!F36,0)</f>
        <v>0.9820992677</v>
      </c>
      <c r="G36" s="11">
        <f>IFERROR('Export-dataset'!G37/'Export-dataset'!G36,0)</f>
        <v>2.190217391</v>
      </c>
      <c r="H36" s="11">
        <f>IFERROR('Export-dataset'!H37/'Export-dataset'!H36,0)</f>
        <v>1.093288103</v>
      </c>
      <c r="I36" s="11">
        <f>IFERROR('Export-dataset'!I37/'Export-dataset'!I36,0)</f>
        <v>1.123674912</v>
      </c>
      <c r="J36" s="11">
        <f>IFERROR('Export-dataset'!J37/'Export-dataset'!J36,0)</f>
        <v>1.064876957</v>
      </c>
      <c r="K36" s="11">
        <f>IFERROR('Export-dataset'!K37/'Export-dataset'!K36,0)</f>
        <v>1.087022901</v>
      </c>
      <c r="L36" s="11">
        <f>IFERROR('Export-dataset'!L37/'Export-dataset'!L36,0)</f>
        <v>0.8124276341</v>
      </c>
      <c r="M36" s="11">
        <f>IFERROR('Export-dataset'!M37/'Export-dataset'!M36,0)</f>
        <v>0.7688090161</v>
      </c>
      <c r="N36" s="11">
        <f>IFERROR('Export-dataset'!N37/'Export-dataset'!N36,0)</f>
        <v>0.7711028959</v>
      </c>
      <c r="O36" s="11">
        <f>IFERROR('Export-dataset'!O37/'Export-dataset'!O36,0)</f>
        <v>0.5675675676</v>
      </c>
      <c r="P36" s="11">
        <f>IFERROR('Export-dataset'!P37/'Export-dataset'!P36,0)</f>
        <v>1.304121235</v>
      </c>
      <c r="Q36" s="11">
        <f>IFERROR('Export-dataset'!Q37/'Export-dataset'!Q36,0)</f>
        <v>1.217391304</v>
      </c>
      <c r="R36" s="11">
        <f>IFERROR('Export-dataset'!R37/'Export-dataset'!R36,0)</f>
        <v>2.67624683</v>
      </c>
      <c r="S36" s="11">
        <f>IFERROR('Export-dataset'!S37/'Export-dataset'!S36,0)</f>
        <v>1.1</v>
      </c>
      <c r="T36" s="11">
        <f>IFERROR('Export-dataset'!T37/'Export-dataset'!T36,0)</f>
        <v>0.8016776513</v>
      </c>
      <c r="U36" s="11">
        <f>IFERROR('Export-dataset'!U37/'Export-dataset'!U36,0)</f>
        <v>1.546511628</v>
      </c>
      <c r="V36" s="11">
        <f>IFERROR('Export-dataset'!V37/'Export-dataset'!V36,0)</f>
        <v>1.85505659</v>
      </c>
      <c r="W36" s="11">
        <f>IFERROR('Export-dataset'!W37/'Export-dataset'!W36,0)</f>
        <v>1.674978504</v>
      </c>
      <c r="X36" s="11">
        <f>IFERROR('Export-dataset'!X37/'Export-dataset'!X36,0)</f>
        <v>1.285913596</v>
      </c>
      <c r="Y36" s="11">
        <f>IFERROR('Export-dataset'!Y37/'Export-dataset'!Y36,0)</f>
        <v>1.112522686</v>
      </c>
      <c r="Z36" s="11">
        <f>IFERROR('Export-dataset'!Z37/'Export-dataset'!Z36,0)</f>
        <v>1.423064365</v>
      </c>
      <c r="AA36" s="11">
        <f>IFERROR('Export-dataset'!AA37/'Export-dataset'!AA36,0)</f>
        <v>1.464339244</v>
      </c>
      <c r="AB36" s="11">
        <f>IFERROR('Export-dataset'!AB37/'Export-dataset'!AB36,0)</f>
        <v>1.510638298</v>
      </c>
      <c r="AC36" s="11">
        <f>IFERROR('Export-dataset'!AC37/'Export-dataset'!AC36,0)</f>
        <v>1.357569166</v>
      </c>
      <c r="AD36" s="11">
        <f>IFERROR('Export-dataset'!AD37/'Export-dataset'!AD36,0)</f>
        <v>1.42687747</v>
      </c>
      <c r="AE36" s="11">
        <f>IFERROR('Export-dataset'!AE37/'Export-dataset'!AE36,0)</f>
        <v>1.506756757</v>
      </c>
      <c r="AF36" s="11">
        <f>IFERROR('Export-dataset'!AF37/'Export-dataset'!AF36,0)</f>
        <v>1.276595745</v>
      </c>
      <c r="AG36" s="11">
        <f>IFERROR('Export-dataset'!AG37/'Export-dataset'!AG36,0)</f>
        <v>1.636363636</v>
      </c>
      <c r="AH36" s="11">
        <f>IFERROR('Export-dataset'!AH37/'Export-dataset'!AH36,0)</f>
        <v>0.9059205191</v>
      </c>
      <c r="AI36" s="11">
        <f>IFERROR('Export-dataset'!AI37/'Export-dataset'!AI36,0)</f>
        <v>1.052863436</v>
      </c>
      <c r="AJ36" s="11">
        <f>IFERROR('Export-dataset'!AJ37/'Export-dataset'!AJ36,0)</f>
        <v>1.260530421</v>
      </c>
      <c r="AK36" s="11">
        <f>IFERROR('Export-dataset'!AK37/'Export-dataset'!AK36,0)</f>
        <v>1.158836689</v>
      </c>
      <c r="AL36" s="11">
        <f>IFERROR('Export-dataset'!AL37/'Export-dataset'!AL36,0)</f>
        <v>0.654407788</v>
      </c>
      <c r="AM36" s="11">
        <f>IFERROR('Export-dataset'!AM37/'Export-dataset'!AM36,0)</f>
        <v>1.04591195</v>
      </c>
      <c r="AN36" s="11">
        <f>IFERROR('Export-dataset'!AN37/'Export-dataset'!AN36,0)</f>
        <v>1.484848485</v>
      </c>
      <c r="AO36" s="11">
        <f>IFERROR('Export-dataset'!AO37/'Export-dataset'!AO36,0)</f>
        <v>1.586206897</v>
      </c>
      <c r="AP36" s="11">
        <f>IFERROR('Export-dataset'!AP37/'Export-dataset'!AP36,0)</f>
        <v>1.109324759</v>
      </c>
      <c r="AQ36" s="11">
        <f>IFERROR('Export-dataset'!AQ37/'Export-dataset'!AQ36,0)</f>
        <v>1.11245283</v>
      </c>
      <c r="AR36" s="11">
        <f>IFERROR('Export-dataset'!AR37/'Export-dataset'!AR36,0)</f>
        <v>1.135622026</v>
      </c>
      <c r="AS36" s="11">
        <f>IFERROR('Export-dataset'!AS37/'Export-dataset'!AS36,0)</f>
        <v>1.428571429</v>
      </c>
      <c r="AT36" s="11">
        <f>IFERROR('Export-dataset'!AT37/'Export-dataset'!AT36,0)</f>
        <v>0.9884615385</v>
      </c>
      <c r="AU36" s="11">
        <f>IFERROR('Export-dataset'!AU37/'Export-dataset'!AU36,0)</f>
        <v>0.932038835</v>
      </c>
      <c r="AV36" s="11">
        <f>IFERROR('Export-dataset'!AV37/'Export-dataset'!AV36,0)</f>
        <v>1.014989293</v>
      </c>
      <c r="AW36" s="11">
        <f>IFERROR('Export-dataset'!AW37/'Export-dataset'!AW36,0)</f>
        <v>1.206521739</v>
      </c>
      <c r="AX36" s="11">
        <f>IFERROR('Export-dataset'!AX37/'Export-dataset'!AX36,0)</f>
        <v>0.7744565217</v>
      </c>
      <c r="AY36" s="11">
        <f>IFERROR('Export-dataset'!AY37/'Export-dataset'!AY36,0)</f>
        <v>0.8619565217</v>
      </c>
      <c r="AZ36" s="11">
        <f>IFERROR('Export-dataset'!AZ37/'Export-dataset'!AZ36,0)</f>
        <v>1.206852668</v>
      </c>
      <c r="BA36" s="11">
        <f>IFERROR('Export-dataset'!BA37/'Export-dataset'!BA36,0)</f>
        <v>1.057192374</v>
      </c>
      <c r="BB36" s="11">
        <f>IFERROR('Export-dataset'!BB37/'Export-dataset'!BB36,0)</f>
        <v>1.003337647</v>
      </c>
      <c r="BC36" s="11">
        <f>IFERROR('Export-dataset'!BC37/'Export-dataset'!BC36,0)</f>
        <v>0.8164794007</v>
      </c>
      <c r="BD36" s="11">
        <f>IFERROR('Export-dataset'!BD37/'Export-dataset'!BD36,0)</f>
        <v>0.9485585076</v>
      </c>
      <c r="BE36" s="11">
        <f>IFERROR('Export-dataset'!BE37/'Export-dataset'!BE36,0)</f>
        <v>1.268115942</v>
      </c>
      <c r="BF36" s="11">
        <f>IFERROR('Export-dataset'!BF37/'Export-dataset'!BF36,0)</f>
        <v>1.030499076</v>
      </c>
      <c r="BG36" s="11">
        <f>IFERROR('Export-dataset'!BG37/'Export-dataset'!BG36,0)</f>
        <v>1.058461538</v>
      </c>
      <c r="BH36" s="11">
        <f>IFERROR('Export-dataset'!BH37/'Export-dataset'!BH36,0)</f>
        <v>1.03553976</v>
      </c>
      <c r="BI36" s="11">
        <f>IFERROR('Export-dataset'!BI37/'Export-dataset'!BI36,0)</f>
        <v>1.110169492</v>
      </c>
      <c r="BJ36" s="11">
        <f>IFERROR('Export-dataset'!BJ37/'Export-dataset'!BJ36,0)</f>
        <v>1.159574468</v>
      </c>
      <c r="BK36" s="11">
        <f>IFERROR('Export-dataset'!BK37/'Export-dataset'!BK36,0)</f>
        <v>0.8328445748</v>
      </c>
      <c r="BL36" s="11">
        <f>IFERROR('Export-dataset'!BL37/'Export-dataset'!BL36,0)</f>
        <v>1.089467263</v>
      </c>
      <c r="BM36" s="11">
        <f>IFERROR('Export-dataset'!BM37/'Export-dataset'!BM36,0)</f>
        <v>1.260869565</v>
      </c>
      <c r="BN36" s="11">
        <f>IFERROR('Export-dataset'!BN37/'Export-dataset'!BN36,0)</f>
        <v>1.066176471</v>
      </c>
      <c r="BO36" s="11">
        <f>IFERROR('Export-dataset'!BO37/'Export-dataset'!BO36,0)</f>
        <v>1.035714286</v>
      </c>
      <c r="BP36" s="11">
        <f>IFERROR('Export-dataset'!BP37/'Export-dataset'!BP36,0)</f>
        <v>1.240310078</v>
      </c>
      <c r="BQ36" s="11">
        <f>IFERROR('Export-dataset'!BQ37/'Export-dataset'!BQ36,0)</f>
        <v>0.9224806202</v>
      </c>
      <c r="BR36" s="11">
        <f>IFERROR('Export-dataset'!BR37/'Export-dataset'!BR36,0)</f>
        <v>1.098979013</v>
      </c>
      <c r="BS36" s="11">
        <f>IFERROR('Export-dataset'!BS37/'Export-dataset'!BS36,0)</f>
        <v>1.048611111</v>
      </c>
      <c r="BT36" s="11">
        <f>IFERROR('Export-dataset'!BT37/'Export-dataset'!BT36,0)</f>
        <v>1.060946271</v>
      </c>
      <c r="BU36" s="11">
        <f>IFERROR('Export-dataset'!BU37/'Export-dataset'!BU36,0)</f>
        <v>1.073232397</v>
      </c>
      <c r="BV36" s="11">
        <f>IFERROR('Export-dataset'!BV37/'Export-dataset'!BV36,0)</f>
        <v>1.682972719</v>
      </c>
      <c r="BW36" s="11">
        <f>IFERROR('Export-dataset'!BW37/'Export-dataset'!BW36,0)</f>
        <v>1.976976209</v>
      </c>
      <c r="BX36" s="11">
        <f>IFERROR('Export-dataset'!BX37/'Export-dataset'!BX36,0)</f>
        <v>1</v>
      </c>
      <c r="BY36" s="11">
        <f>IFERROR('Export-dataset'!BY37/'Export-dataset'!BY36,0)</f>
        <v>0.9132669073</v>
      </c>
      <c r="BZ36" s="11">
        <f>IFERROR('Export-dataset'!BZ37/'Export-dataset'!BZ36,0)</f>
        <v>1.417035567</v>
      </c>
      <c r="CA36" s="11">
        <f>IFERROR('Export-dataset'!CA37/'Export-dataset'!CA36,0)</f>
        <v>1.263154993</v>
      </c>
    </row>
    <row r="37" ht="15.75" customHeight="1">
      <c r="A37" s="9" t="str">
        <f>'Export-dataset'!A38</f>
        <v>Y2022</v>
      </c>
      <c r="B37" s="11">
        <f>IFERROR('Export-dataset'!B38/'Export-dataset'!B37,0)</f>
        <v>1.220091408</v>
      </c>
      <c r="C37" s="11">
        <f>IFERROR('Export-dataset'!C38/'Export-dataset'!C37,0)</f>
        <v>0.922235723</v>
      </c>
      <c r="D37" s="11">
        <f>IFERROR('Export-dataset'!D38/'Export-dataset'!D37,0)</f>
        <v>1.121545841</v>
      </c>
      <c r="E37" s="11">
        <f>IFERROR('Export-dataset'!E38/'Export-dataset'!E37,0)</f>
        <v>1.148625721</v>
      </c>
      <c r="F37" s="11">
        <f>IFERROR('Export-dataset'!F38/'Export-dataset'!F37,0)</f>
        <v>0.9983429992</v>
      </c>
      <c r="G37" s="11">
        <f>IFERROR('Export-dataset'!G38/'Export-dataset'!G37,0)</f>
        <v>1.465579582</v>
      </c>
      <c r="H37" s="11">
        <f>IFERROR('Export-dataset'!H38/'Export-dataset'!H37,0)</f>
        <v>1.114140071</v>
      </c>
      <c r="I37" s="11">
        <f>IFERROR('Export-dataset'!I38/'Export-dataset'!I37,0)</f>
        <v>1.009433962</v>
      </c>
      <c r="J37" s="11">
        <f>IFERROR('Export-dataset'!J38/'Export-dataset'!J37,0)</f>
        <v>1.086134454</v>
      </c>
      <c r="K37" s="11">
        <f>IFERROR('Export-dataset'!K38/'Export-dataset'!K37,0)</f>
        <v>1.207162921</v>
      </c>
      <c r="L37" s="11">
        <f>IFERROR('Export-dataset'!L38/'Export-dataset'!L37,0)</f>
        <v>1.026128266</v>
      </c>
      <c r="M37" s="11">
        <f>IFERROR('Export-dataset'!M38/'Export-dataset'!M37,0)</f>
        <v>1.019017433</v>
      </c>
      <c r="N37" s="11">
        <f>IFERROR('Export-dataset'!N38/'Export-dataset'!N37,0)</f>
        <v>1.019976029</v>
      </c>
      <c r="O37" s="11">
        <f>IFERROR('Export-dataset'!O38/'Export-dataset'!O37,0)</f>
        <v>0.9047619048</v>
      </c>
      <c r="P37" s="11">
        <f>IFERROR('Export-dataset'!P38/'Export-dataset'!P37,0)</f>
        <v>0.9500772002</v>
      </c>
      <c r="Q37" s="11">
        <f>IFERROR('Export-dataset'!Q38/'Export-dataset'!Q37,0)</f>
        <v>0.9007936508</v>
      </c>
      <c r="R37" s="11">
        <f>IFERROR('Export-dataset'!R38/'Export-dataset'!R37,0)</f>
        <v>2.451674037</v>
      </c>
      <c r="S37" s="11">
        <f>IFERROR('Export-dataset'!S38/'Export-dataset'!S37,0)</f>
        <v>0.8181818182</v>
      </c>
      <c r="T37" s="11">
        <f>IFERROR('Export-dataset'!T38/'Export-dataset'!T37,0)</f>
        <v>1.138266069</v>
      </c>
      <c r="U37" s="11">
        <f>IFERROR('Export-dataset'!U38/'Export-dataset'!U37,0)</f>
        <v>1.154135338</v>
      </c>
      <c r="V37" s="11">
        <f>IFERROR('Export-dataset'!V38/'Export-dataset'!V37,0)</f>
        <v>1.517417831</v>
      </c>
      <c r="W37" s="11">
        <f>IFERROR('Export-dataset'!W38/'Export-dataset'!W37,0)</f>
        <v>6.357289528</v>
      </c>
      <c r="X37" s="11">
        <f>IFERROR('Export-dataset'!X38/'Export-dataset'!X37,0)</f>
        <v>0.8498966312</v>
      </c>
      <c r="Y37" s="11">
        <f>IFERROR('Export-dataset'!Y38/'Export-dataset'!Y37,0)</f>
        <v>1.128874388</v>
      </c>
      <c r="Z37" s="11">
        <f>IFERROR('Export-dataset'!Z38/'Export-dataset'!Z37,0)</f>
        <v>1.988433361</v>
      </c>
      <c r="AA37" s="11">
        <f>IFERROR('Export-dataset'!AA38/'Export-dataset'!AA37,0)</f>
        <v>2.241512346</v>
      </c>
      <c r="AB37" s="11">
        <f>IFERROR('Export-dataset'!AB38/'Export-dataset'!AB37,0)</f>
        <v>1.48023901</v>
      </c>
      <c r="AC37" s="11">
        <f>IFERROR('Export-dataset'!AC38/'Export-dataset'!AC37,0)</f>
        <v>1.790734481</v>
      </c>
      <c r="AD37" s="11">
        <f>IFERROR('Export-dataset'!AD38/'Export-dataset'!AD37,0)</f>
        <v>1.553093259</v>
      </c>
      <c r="AE37" s="11">
        <f>IFERROR('Export-dataset'!AE38/'Export-dataset'!AE37,0)</f>
        <v>1.614349776</v>
      </c>
      <c r="AF37" s="11">
        <f>IFERROR('Export-dataset'!AF38/'Export-dataset'!AF37,0)</f>
        <v>1.494444444</v>
      </c>
      <c r="AG37" s="11">
        <f>IFERROR('Export-dataset'!AG38/'Export-dataset'!AG37,0)</f>
        <v>1.185185185</v>
      </c>
      <c r="AH37" s="11">
        <f>IFERROR('Export-dataset'!AH38/'Export-dataset'!AH37,0)</f>
        <v>1.25096986</v>
      </c>
      <c r="AI37" s="11">
        <f>IFERROR('Export-dataset'!AI38/'Export-dataset'!AI37,0)</f>
        <v>1.025104603</v>
      </c>
      <c r="AJ37" s="11">
        <f>IFERROR('Export-dataset'!AJ38/'Export-dataset'!AJ37,0)</f>
        <v>2.073019802</v>
      </c>
      <c r="AK37" s="11">
        <f>IFERROR('Export-dataset'!AK38/'Export-dataset'!AK37,0)</f>
        <v>1.030888031</v>
      </c>
      <c r="AL37" s="11">
        <f>IFERROR('Export-dataset'!AL38/'Export-dataset'!AL37,0)</f>
        <v>1.192286501</v>
      </c>
      <c r="AM37" s="11">
        <f>IFERROR('Export-dataset'!AM38/'Export-dataset'!AM37,0)</f>
        <v>1.063138906</v>
      </c>
      <c r="AN37" s="11">
        <f>IFERROR('Export-dataset'!AN38/'Export-dataset'!AN37,0)</f>
        <v>1.491836735</v>
      </c>
      <c r="AO37" s="11">
        <f>IFERROR('Export-dataset'!AO38/'Export-dataset'!AO37,0)</f>
        <v>0.8233695652</v>
      </c>
      <c r="AP37" s="11">
        <f>IFERROR('Export-dataset'!AP38/'Export-dataset'!AP37,0)</f>
        <v>1.307246377</v>
      </c>
      <c r="AQ37" s="11">
        <f>IFERROR('Export-dataset'!AQ38/'Export-dataset'!AQ37,0)</f>
        <v>1.361601085</v>
      </c>
      <c r="AR37" s="11">
        <f>IFERROR('Export-dataset'!AR38/'Export-dataset'!AR37,0)</f>
        <v>1.163064951</v>
      </c>
      <c r="AS37" s="11">
        <f>IFERROR('Export-dataset'!AS38/'Export-dataset'!AS37,0)</f>
        <v>0.925</v>
      </c>
      <c r="AT37" s="11">
        <f>IFERROR('Export-dataset'!AT38/'Export-dataset'!AT37,0)</f>
        <v>1.412451362</v>
      </c>
      <c r="AU37" s="11">
        <f>IFERROR('Export-dataset'!AU38/'Export-dataset'!AU37,0)</f>
        <v>1</v>
      </c>
      <c r="AV37" s="11">
        <f>IFERROR('Export-dataset'!AV38/'Export-dataset'!AV37,0)</f>
        <v>1.069620253</v>
      </c>
      <c r="AW37" s="11">
        <f>IFERROR('Export-dataset'!AW38/'Export-dataset'!AW37,0)</f>
        <v>1.069069069</v>
      </c>
      <c r="AX37" s="11">
        <f>IFERROR('Export-dataset'!AX38/'Export-dataset'!AX37,0)</f>
        <v>1.059649123</v>
      </c>
      <c r="AY37" s="11">
        <f>IFERROR('Export-dataset'!AY38/'Export-dataset'!AY37,0)</f>
        <v>1.689785624</v>
      </c>
      <c r="AZ37" s="11">
        <f>IFERROR('Export-dataset'!AZ38/'Export-dataset'!AZ37,0)</f>
        <v>1.141953277</v>
      </c>
      <c r="BA37" s="11">
        <f>IFERROR('Export-dataset'!BA38/'Export-dataset'!BA37,0)</f>
        <v>1.172131148</v>
      </c>
      <c r="BB37" s="11">
        <f>IFERROR('Export-dataset'!BB38/'Export-dataset'!BB37,0)</f>
        <v>1.121452817</v>
      </c>
      <c r="BC37" s="11">
        <f>IFERROR('Export-dataset'!BC38/'Export-dataset'!BC37,0)</f>
        <v>1.177752294</v>
      </c>
      <c r="BD37" s="11">
        <f>IFERROR('Export-dataset'!BD38/'Export-dataset'!BD37,0)</f>
        <v>1.138855781</v>
      </c>
      <c r="BE37" s="11">
        <f>IFERROR('Export-dataset'!BE38/'Export-dataset'!BE37,0)</f>
        <v>1.485714286</v>
      </c>
      <c r="BF37" s="11">
        <f>IFERROR('Export-dataset'!BF38/'Export-dataset'!BF37,0)</f>
        <v>1.116143498</v>
      </c>
      <c r="BG37" s="11">
        <f>IFERROR('Export-dataset'!BG38/'Export-dataset'!BG37,0)</f>
        <v>1.122819767</v>
      </c>
      <c r="BH37" s="11">
        <f>IFERROR('Export-dataset'!BH38/'Export-dataset'!BH37,0)</f>
        <v>1.002574003</v>
      </c>
      <c r="BI37" s="11">
        <f>IFERROR('Export-dataset'!BI38/'Export-dataset'!BI37,0)</f>
        <v>1.208801078</v>
      </c>
      <c r="BJ37" s="11">
        <f>IFERROR('Export-dataset'!BJ38/'Export-dataset'!BJ37,0)</f>
        <v>1.086346465</v>
      </c>
      <c r="BK37" s="11">
        <f>IFERROR('Export-dataset'!BK38/'Export-dataset'!BK37,0)</f>
        <v>1.129275654</v>
      </c>
      <c r="BL37" s="11">
        <f>IFERROR('Export-dataset'!BL38/'Export-dataset'!BL37,0)</f>
        <v>1.129899216</v>
      </c>
      <c r="BM37" s="11">
        <f>IFERROR('Export-dataset'!BM38/'Export-dataset'!BM37,0)</f>
        <v>0.8620689655</v>
      </c>
      <c r="BN37" s="11">
        <f>IFERROR('Export-dataset'!BN38/'Export-dataset'!BN37,0)</f>
        <v>1.144827586</v>
      </c>
      <c r="BO37" s="11">
        <f>IFERROR('Export-dataset'!BO38/'Export-dataset'!BO37,0)</f>
        <v>1.732758621</v>
      </c>
      <c r="BP37" s="11">
        <f>IFERROR('Export-dataset'!BP38/'Export-dataset'!BP37,0)</f>
        <v>1.352083333</v>
      </c>
      <c r="BQ37" s="11">
        <f>IFERROR('Export-dataset'!BQ38/'Export-dataset'!BQ37,0)</f>
        <v>1.18487395</v>
      </c>
      <c r="BR37" s="11">
        <f>IFERROR('Export-dataset'!BR38/'Export-dataset'!BR37,0)</f>
        <v>1.137806452</v>
      </c>
      <c r="BS37" s="11">
        <f>IFERROR('Export-dataset'!BS38/'Export-dataset'!BS37,0)</f>
        <v>1.116997792</v>
      </c>
      <c r="BT37" s="11">
        <f>IFERROR('Export-dataset'!BT38/'Export-dataset'!BT37,0)</f>
        <v>1.071050642</v>
      </c>
      <c r="BU37" s="11">
        <f>IFERROR('Export-dataset'!BU38/'Export-dataset'!BU37,0)</f>
        <v>1.062901086</v>
      </c>
      <c r="BV37" s="11">
        <f>IFERROR('Export-dataset'!BV38/'Export-dataset'!BV37,0)</f>
        <v>0.4270542202</v>
      </c>
      <c r="BW37" s="11">
        <f>IFERROR('Export-dataset'!BW38/'Export-dataset'!BW37,0)</f>
        <v>1.182453416</v>
      </c>
      <c r="BX37" s="11">
        <f>IFERROR('Export-dataset'!BX38/'Export-dataset'!BX37,0)</f>
        <v>4.5</v>
      </c>
      <c r="BY37" s="11">
        <f>IFERROR('Export-dataset'!BY38/'Export-dataset'!BY37,0)</f>
        <v>1.010008161</v>
      </c>
      <c r="BZ37" s="11">
        <f>IFERROR('Export-dataset'!BZ38/'Export-dataset'!BZ37,0)</f>
        <v>1.284175374</v>
      </c>
      <c r="CA37" s="11">
        <f>IFERROR('Export-dataset'!CA38/'Export-dataset'!CA37,0)</f>
        <v>1.296112076</v>
      </c>
    </row>
    <row r="38" ht="15.75" customHeight="1">
      <c r="A38" s="9" t="str">
        <f>'Export-dataset'!A39</f>
        <v>Y2023</v>
      </c>
      <c r="B38" s="11">
        <f>IFERROR('Export-dataset'!B39/'Export-dataset'!B38,0)</f>
        <v>1.033939462</v>
      </c>
      <c r="C38" s="11">
        <f>IFERROR('Export-dataset'!C39/'Export-dataset'!C38,0)</f>
        <v>0.8162055336</v>
      </c>
      <c r="D38" s="11">
        <f>IFERROR('Export-dataset'!D39/'Export-dataset'!D38,0)</f>
        <v>1.078915663</v>
      </c>
      <c r="E38" s="11">
        <f>IFERROR('Export-dataset'!E39/'Export-dataset'!E38,0)</f>
        <v>0.8892171344</v>
      </c>
      <c r="F38" s="11">
        <f>IFERROR('Export-dataset'!F39/'Export-dataset'!F38,0)</f>
        <v>1.121161826</v>
      </c>
      <c r="G38" s="11">
        <f>IFERROR('Export-dataset'!G39/'Export-dataset'!G38,0)</f>
        <v>0.9985971362</v>
      </c>
      <c r="H38" s="11">
        <f>IFERROR('Export-dataset'!H39/'Export-dataset'!H38,0)</f>
        <v>1.176646111</v>
      </c>
      <c r="I38" s="11">
        <f>IFERROR('Export-dataset'!I39/'Export-dataset'!I38,0)</f>
        <v>0.9158878505</v>
      </c>
      <c r="J38" s="11">
        <f>IFERROR('Export-dataset'!J39/'Export-dataset'!J38,0)</f>
        <v>0.9613152805</v>
      </c>
      <c r="K38" s="11">
        <f>IFERROR('Export-dataset'!K39/'Export-dataset'!K38,0)</f>
        <v>1.015706806</v>
      </c>
      <c r="L38" s="11">
        <f>IFERROR('Export-dataset'!L39/'Export-dataset'!L38,0)</f>
        <v>1.075</v>
      </c>
      <c r="M38" s="11">
        <f>IFERROR('Export-dataset'!M39/'Export-dataset'!M38,0)</f>
        <v>0.9988335925</v>
      </c>
      <c r="N38" s="11">
        <f>IFERROR('Export-dataset'!N39/'Export-dataset'!N38,0)</f>
        <v>0.9968664316</v>
      </c>
      <c r="O38" s="11">
        <f>IFERROR('Export-dataset'!O39/'Export-dataset'!O38,0)</f>
        <v>1.263157895</v>
      </c>
      <c r="P38" s="11">
        <f>IFERROR('Export-dataset'!P39/'Export-dataset'!P38,0)</f>
        <v>1.077225798</v>
      </c>
      <c r="Q38" s="11">
        <f>IFERROR('Export-dataset'!Q39/'Export-dataset'!Q38,0)</f>
        <v>1</v>
      </c>
      <c r="R38" s="11">
        <f>IFERROR('Export-dataset'!R39/'Export-dataset'!R38,0)</f>
        <v>0.7094820922</v>
      </c>
      <c r="S38" s="11">
        <f>IFERROR('Export-dataset'!S39/'Export-dataset'!S38,0)</f>
        <v>1.555555556</v>
      </c>
      <c r="T38" s="11">
        <f>IFERROR('Export-dataset'!T39/'Export-dataset'!T38,0)</f>
        <v>0.9468154957</v>
      </c>
      <c r="U38" s="11">
        <f>IFERROR('Export-dataset'!U39/'Export-dataset'!U38,0)</f>
        <v>0.671009772</v>
      </c>
      <c r="V38" s="11">
        <f>IFERROR('Export-dataset'!V39/'Export-dataset'!V38,0)</f>
        <v>0.966536965</v>
      </c>
      <c r="W38" s="11">
        <f>IFERROR('Export-dataset'!W39/'Export-dataset'!W38,0)</f>
        <v>1.559916021</v>
      </c>
      <c r="X38" s="11">
        <f>IFERROR('Export-dataset'!X39/'Export-dataset'!X38,0)</f>
        <v>1.06564582</v>
      </c>
      <c r="Y38" s="11">
        <f>IFERROR('Export-dataset'!Y39/'Export-dataset'!Y38,0)</f>
        <v>0.9436416185</v>
      </c>
      <c r="Z38" s="11">
        <f>IFERROR('Export-dataset'!Z39/'Export-dataset'!Z38,0)</f>
        <v>0.7735881337</v>
      </c>
      <c r="AA38" s="11">
        <f>IFERROR('Export-dataset'!AA39/'Export-dataset'!AA38,0)</f>
        <v>0.7162738417</v>
      </c>
      <c r="AB38" s="11">
        <f>IFERROR('Export-dataset'!AB39/'Export-dataset'!AB38,0)</f>
        <v>0.9112507929</v>
      </c>
      <c r="AC38" s="11">
        <f>IFERROR('Export-dataset'!AC39/'Export-dataset'!AC38,0)</f>
        <v>0.8365594448</v>
      </c>
      <c r="AD38" s="11">
        <f>IFERROR('Export-dataset'!AD39/'Export-dataset'!AD38,0)</f>
        <v>0.9571938169</v>
      </c>
      <c r="AE38" s="11">
        <f>IFERROR('Export-dataset'!AE39/'Export-dataset'!AE38,0)</f>
        <v>0.9740740741</v>
      </c>
      <c r="AF38" s="11">
        <f>IFERROR('Export-dataset'!AF39/'Export-dataset'!AF38,0)</f>
        <v>0.7843866171</v>
      </c>
      <c r="AG38" s="11">
        <f>IFERROR('Export-dataset'!AG39/'Export-dataset'!AG38,0)</f>
        <v>2.125</v>
      </c>
      <c r="AH38" s="11">
        <f>IFERROR('Export-dataset'!AH39/'Export-dataset'!AH38,0)</f>
        <v>0.915235369</v>
      </c>
      <c r="AI38" s="11">
        <f>IFERROR('Export-dataset'!AI39/'Export-dataset'!AI38,0)</f>
        <v>0.9102040816</v>
      </c>
      <c r="AJ38" s="11">
        <f>IFERROR('Export-dataset'!AJ39/'Export-dataset'!AJ38,0)</f>
        <v>0.7540298507</v>
      </c>
      <c r="AK38" s="11">
        <f>IFERROR('Export-dataset'!AK39/'Export-dataset'!AK38,0)</f>
        <v>0.8651685393</v>
      </c>
      <c r="AL38" s="11">
        <f>IFERROR('Export-dataset'!AL39/'Export-dataset'!AL38,0)</f>
        <v>1.098197782</v>
      </c>
      <c r="AM38" s="11">
        <f>IFERROR('Export-dataset'!AM39/'Export-dataset'!AM38,0)</f>
        <v>0.9587104072</v>
      </c>
      <c r="AN38" s="11">
        <f>IFERROR('Export-dataset'!AN39/'Export-dataset'!AN38,0)</f>
        <v>0.462380301</v>
      </c>
      <c r="AO38" s="11">
        <f>IFERROR('Export-dataset'!AO39/'Export-dataset'!AO38,0)</f>
        <v>0.8778877888</v>
      </c>
      <c r="AP38" s="11">
        <f>IFERROR('Export-dataset'!AP39/'Export-dataset'!AP38,0)</f>
        <v>0.8580931264</v>
      </c>
      <c r="AQ38" s="11">
        <f>IFERROR('Export-dataset'!AQ39/'Export-dataset'!AQ38,0)</f>
        <v>0.8276033881</v>
      </c>
      <c r="AR38" s="11">
        <f>IFERROR('Export-dataset'!AR39/'Export-dataset'!AR38,0)</f>
        <v>0.9993823666</v>
      </c>
      <c r="AS38" s="11">
        <f>IFERROR('Export-dataset'!AS39/'Export-dataset'!AS38,0)</f>
        <v>0.75</v>
      </c>
      <c r="AT38" s="11">
        <f>IFERROR('Export-dataset'!AT39/'Export-dataset'!AT38,0)</f>
        <v>1.096418733</v>
      </c>
      <c r="AU38" s="11">
        <f>IFERROR('Export-dataset'!AU39/'Export-dataset'!AU38,0)</f>
        <v>1.03125</v>
      </c>
      <c r="AV38" s="11">
        <f>IFERROR('Export-dataset'!AV39/'Export-dataset'!AV38,0)</f>
        <v>0.8806706114</v>
      </c>
      <c r="AW38" s="11">
        <f>IFERROR('Export-dataset'!AW39/'Export-dataset'!AW38,0)</f>
        <v>1.028089888</v>
      </c>
      <c r="AX38" s="11">
        <f>IFERROR('Export-dataset'!AX39/'Export-dataset'!AX38,0)</f>
        <v>1.420529801</v>
      </c>
      <c r="AY38" s="11">
        <f>IFERROR('Export-dataset'!AY39/'Export-dataset'!AY38,0)</f>
        <v>0.8701492537</v>
      </c>
      <c r="AZ38" s="11">
        <f>IFERROR('Export-dataset'!AZ39/'Export-dataset'!AZ38,0)</f>
        <v>0.9997869015</v>
      </c>
      <c r="BA38" s="11">
        <f>IFERROR('Export-dataset'!BA39/'Export-dataset'!BA38,0)</f>
        <v>1.014685315</v>
      </c>
      <c r="BB38" s="11">
        <f>IFERROR('Export-dataset'!BB39/'Export-dataset'!BB38,0)</f>
        <v>1.130092621</v>
      </c>
      <c r="BC38" s="11">
        <f>IFERROR('Export-dataset'!BC39/'Export-dataset'!BC38,0)</f>
        <v>1.268743914</v>
      </c>
      <c r="BD38" s="11">
        <f>IFERROR('Export-dataset'!BD39/'Export-dataset'!BD38,0)</f>
        <v>1.113029827</v>
      </c>
      <c r="BE38" s="11">
        <f>IFERROR('Export-dataset'!BE39/'Export-dataset'!BE38,0)</f>
        <v>1.05</v>
      </c>
      <c r="BF38" s="11">
        <f>IFERROR('Export-dataset'!BF39/'Export-dataset'!BF38,0)</f>
        <v>1.229007634</v>
      </c>
      <c r="BG38" s="11">
        <f>IFERROR('Export-dataset'!BG39/'Export-dataset'!BG38,0)</f>
        <v>0.9631067961</v>
      </c>
      <c r="BH38" s="11">
        <f>IFERROR('Export-dataset'!BH39/'Export-dataset'!BH38,0)</f>
        <v>1.148053059</v>
      </c>
      <c r="BI38" s="11">
        <f>IFERROR('Export-dataset'!BI39/'Export-dataset'!BI38,0)</f>
        <v>1.100668648</v>
      </c>
      <c r="BJ38" s="11">
        <f>IFERROR('Export-dataset'!BJ39/'Export-dataset'!BJ38,0)</f>
        <v>1.087928465</v>
      </c>
      <c r="BK38" s="11">
        <f>IFERROR('Export-dataset'!BK39/'Export-dataset'!BK38,0)</f>
        <v>1.150111359</v>
      </c>
      <c r="BL38" s="11">
        <f>IFERROR('Export-dataset'!BL39/'Export-dataset'!BL38,0)</f>
        <v>1.160334765</v>
      </c>
      <c r="BM38" s="11">
        <f>IFERROR('Export-dataset'!BM39/'Export-dataset'!BM38,0)</f>
        <v>0.9714285714</v>
      </c>
      <c r="BN38" s="11">
        <f>IFERROR('Export-dataset'!BN39/'Export-dataset'!BN38,0)</f>
        <v>1.138554217</v>
      </c>
      <c r="BO38" s="11">
        <f>IFERROR('Export-dataset'!BO39/'Export-dataset'!BO38,0)</f>
        <v>0.9402985075</v>
      </c>
      <c r="BP38" s="11">
        <f>IFERROR('Export-dataset'!BP39/'Export-dataset'!BP38,0)</f>
        <v>1.081664099</v>
      </c>
      <c r="BQ38" s="11">
        <f>IFERROR('Export-dataset'!BQ39/'Export-dataset'!BQ38,0)</f>
        <v>1.29787234</v>
      </c>
      <c r="BR38" s="11">
        <f>IFERROR('Export-dataset'!BR39/'Export-dataset'!BR38,0)</f>
        <v>1.106373327</v>
      </c>
      <c r="BS38" s="11">
        <f>IFERROR('Export-dataset'!BS39/'Export-dataset'!BS38,0)</f>
        <v>1.14229249</v>
      </c>
      <c r="BT38" s="11">
        <f>IFERROR('Export-dataset'!BT39/'Export-dataset'!BT38,0)</f>
        <v>1.287226535</v>
      </c>
      <c r="BU38" s="11">
        <f>IFERROR('Export-dataset'!BU39/'Export-dataset'!BU38,0)</f>
        <v>1.051969226</v>
      </c>
      <c r="BV38" s="11">
        <f>IFERROR('Export-dataset'!BV39/'Export-dataset'!BV38,0)</f>
        <v>0.8062827225</v>
      </c>
      <c r="BW38" s="11">
        <f>IFERROR('Export-dataset'!BW39/'Export-dataset'!BW38,0)</f>
        <v>0.6602101116</v>
      </c>
      <c r="BX38" s="11">
        <f>IFERROR('Export-dataset'!BX39/'Export-dataset'!BX38,0)</f>
        <v>1.222222222</v>
      </c>
      <c r="BY38" s="11">
        <f>IFERROR('Export-dataset'!BY39/'Export-dataset'!BY38,0)</f>
        <v>1.205792294</v>
      </c>
      <c r="BZ38" s="11">
        <f>IFERROR('Export-dataset'!BZ39/'Export-dataset'!BZ38,0)</f>
        <v>0.8642731314</v>
      </c>
      <c r="CA38" s="11">
        <f>IFERROR('Export-dataset'!CA39/'Export-dataset'!CA38,0)</f>
        <v>0.9392637696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6" width="14.43"/>
  </cols>
  <sheetData>
    <row r="1">
      <c r="A1" s="12" t="s">
        <v>196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</row>
    <row r="2">
      <c r="A2" s="12" t="s">
        <v>79</v>
      </c>
      <c r="B2" s="12" t="s">
        <v>80</v>
      </c>
      <c r="C2" s="12" t="s">
        <v>80</v>
      </c>
      <c r="D2" s="12" t="s">
        <v>80</v>
      </c>
      <c r="E2" s="12" t="s">
        <v>80</v>
      </c>
      <c r="F2" s="12" t="s">
        <v>80</v>
      </c>
      <c r="G2" s="12" t="s">
        <v>80</v>
      </c>
      <c r="H2" s="12" t="s">
        <v>80</v>
      </c>
      <c r="I2" s="12" t="s">
        <v>80</v>
      </c>
      <c r="J2" s="12" t="s">
        <v>80</v>
      </c>
      <c r="K2" s="12" t="s">
        <v>80</v>
      </c>
      <c r="L2" s="12" t="s">
        <v>80</v>
      </c>
      <c r="M2" s="12" t="s">
        <v>80</v>
      </c>
      <c r="N2" s="12" t="s">
        <v>80</v>
      </c>
      <c r="O2" s="12" t="s">
        <v>80</v>
      </c>
      <c r="P2" s="12" t="s">
        <v>80</v>
      </c>
      <c r="Q2" s="12" t="s">
        <v>80</v>
      </c>
      <c r="R2" s="12" t="s">
        <v>80</v>
      </c>
      <c r="S2" s="12" t="s">
        <v>80</v>
      </c>
      <c r="T2" s="12" t="s">
        <v>80</v>
      </c>
      <c r="U2" s="12" t="s">
        <v>80</v>
      </c>
      <c r="V2" s="12" t="s">
        <v>80</v>
      </c>
      <c r="W2" s="12" t="s">
        <v>80</v>
      </c>
      <c r="X2" s="12" t="s">
        <v>80</v>
      </c>
      <c r="Y2" s="12" t="s">
        <v>80</v>
      </c>
      <c r="Z2" s="12" t="s">
        <v>80</v>
      </c>
      <c r="AA2" s="12" t="s">
        <v>80</v>
      </c>
      <c r="AB2" s="12" t="s">
        <v>80</v>
      </c>
      <c r="AC2" s="12" t="s">
        <v>80</v>
      </c>
      <c r="AD2" s="12" t="s">
        <v>80</v>
      </c>
      <c r="AE2" s="12" t="s">
        <v>80</v>
      </c>
      <c r="AF2" s="12" t="s">
        <v>80</v>
      </c>
      <c r="AG2" s="12" t="s">
        <v>80</v>
      </c>
      <c r="AH2" s="12" t="s">
        <v>80</v>
      </c>
      <c r="AI2" s="12" t="s">
        <v>80</v>
      </c>
      <c r="AJ2" s="12" t="s">
        <v>80</v>
      </c>
      <c r="AK2" s="12" t="s">
        <v>80</v>
      </c>
      <c r="AL2" s="12" t="s">
        <v>80</v>
      </c>
      <c r="AM2" s="12" t="s">
        <v>80</v>
      </c>
      <c r="AN2" s="12" t="s">
        <v>80</v>
      </c>
      <c r="AO2" s="12" t="s">
        <v>80</v>
      </c>
      <c r="AP2" s="12" t="s">
        <v>80</v>
      </c>
      <c r="AQ2" s="12" t="s">
        <v>80</v>
      </c>
      <c r="AR2" s="12" t="s">
        <v>80</v>
      </c>
      <c r="AS2" s="12" t="s">
        <v>80</v>
      </c>
      <c r="AT2" s="12" t="s">
        <v>80</v>
      </c>
      <c r="AU2" s="12" t="s">
        <v>80</v>
      </c>
      <c r="AV2" s="12" t="s">
        <v>80</v>
      </c>
      <c r="AW2" s="12" t="s">
        <v>80</v>
      </c>
      <c r="AX2" s="12" t="s">
        <v>80</v>
      </c>
      <c r="AY2" s="12" t="s">
        <v>80</v>
      </c>
      <c r="AZ2" s="12" t="s">
        <v>80</v>
      </c>
      <c r="BA2" s="12" t="s">
        <v>80</v>
      </c>
      <c r="BB2" s="12" t="s">
        <v>80</v>
      </c>
      <c r="BC2" s="12" t="s">
        <v>80</v>
      </c>
      <c r="BD2" s="12" t="s">
        <v>80</v>
      </c>
      <c r="BE2" s="12" t="s">
        <v>80</v>
      </c>
      <c r="BF2" s="12" t="s">
        <v>80</v>
      </c>
      <c r="BG2" s="12" t="s">
        <v>80</v>
      </c>
      <c r="BH2" s="12" t="s">
        <v>80</v>
      </c>
      <c r="BI2" s="12" t="s">
        <v>80</v>
      </c>
      <c r="BJ2" s="12" t="s">
        <v>80</v>
      </c>
      <c r="BK2" s="12" t="s">
        <v>80</v>
      </c>
      <c r="BL2" s="12" t="s">
        <v>80</v>
      </c>
      <c r="BM2" s="12" t="s">
        <v>80</v>
      </c>
      <c r="BN2" s="12" t="s">
        <v>80</v>
      </c>
      <c r="BO2" s="12" t="s">
        <v>80</v>
      </c>
      <c r="BP2" s="12" t="s">
        <v>80</v>
      </c>
      <c r="BQ2" s="12" t="s">
        <v>80</v>
      </c>
      <c r="BR2" s="12" t="s">
        <v>80</v>
      </c>
      <c r="BS2" s="12" t="s">
        <v>80</v>
      </c>
      <c r="BT2" s="12" t="s">
        <v>80</v>
      </c>
      <c r="BU2" s="12" t="s">
        <v>80</v>
      </c>
      <c r="BV2" s="12" t="s">
        <v>80</v>
      </c>
      <c r="BW2" s="12" t="s">
        <v>80</v>
      </c>
      <c r="BX2" s="12" t="s">
        <v>80</v>
      </c>
      <c r="BY2" s="12" t="s">
        <v>80</v>
      </c>
      <c r="BZ2" s="12" t="s">
        <v>80</v>
      </c>
      <c r="CA2" s="12" t="s">
        <v>80</v>
      </c>
    </row>
    <row r="3">
      <c r="A3" s="12" t="s">
        <v>81</v>
      </c>
      <c r="B3" s="12" t="s">
        <v>197</v>
      </c>
      <c r="C3" s="12" t="s">
        <v>198</v>
      </c>
      <c r="D3" s="12" t="s">
        <v>199</v>
      </c>
      <c r="E3" s="12" t="s">
        <v>200</v>
      </c>
      <c r="F3" s="12" t="s">
        <v>201</v>
      </c>
      <c r="G3" s="12" t="s">
        <v>202</v>
      </c>
      <c r="H3" s="12" t="s">
        <v>203</v>
      </c>
      <c r="I3" s="12" t="s">
        <v>204</v>
      </c>
      <c r="J3" s="12" t="s">
        <v>205</v>
      </c>
      <c r="K3" s="12" t="s">
        <v>206</v>
      </c>
      <c r="L3" s="12" t="s">
        <v>207</v>
      </c>
      <c r="M3" s="12" t="s">
        <v>208</v>
      </c>
      <c r="N3" s="12" t="s">
        <v>209</v>
      </c>
      <c r="O3" s="12" t="s">
        <v>210</v>
      </c>
      <c r="P3" s="12" t="s">
        <v>211</v>
      </c>
      <c r="Q3" s="12" t="s">
        <v>212</v>
      </c>
      <c r="R3" s="12" t="s">
        <v>213</v>
      </c>
      <c r="S3" s="12" t="s">
        <v>214</v>
      </c>
      <c r="T3" s="12" t="s">
        <v>215</v>
      </c>
      <c r="U3" s="12" t="s">
        <v>216</v>
      </c>
      <c r="V3" s="12" t="s">
        <v>217</v>
      </c>
      <c r="W3" s="12" t="s">
        <v>218</v>
      </c>
      <c r="X3" s="12" t="s">
        <v>219</v>
      </c>
      <c r="Y3" s="12" t="s">
        <v>220</v>
      </c>
      <c r="Z3" s="12" t="s">
        <v>221</v>
      </c>
      <c r="AA3" s="12" t="s">
        <v>222</v>
      </c>
      <c r="AB3" s="12" t="s">
        <v>223</v>
      </c>
      <c r="AC3" s="12" t="s">
        <v>224</v>
      </c>
      <c r="AD3" s="12" t="s">
        <v>225</v>
      </c>
      <c r="AE3" s="12" t="s">
        <v>226</v>
      </c>
      <c r="AF3" s="12" t="s">
        <v>227</v>
      </c>
      <c r="AG3" s="12" t="s">
        <v>228</v>
      </c>
      <c r="AH3" s="12" t="s">
        <v>229</v>
      </c>
      <c r="AI3" s="12" t="s">
        <v>230</v>
      </c>
      <c r="AJ3" s="12" t="s">
        <v>231</v>
      </c>
      <c r="AK3" s="12" t="s">
        <v>232</v>
      </c>
      <c r="AL3" s="12" t="s">
        <v>233</v>
      </c>
      <c r="AM3" s="12" t="s">
        <v>234</v>
      </c>
      <c r="AN3" s="12" t="s">
        <v>235</v>
      </c>
      <c r="AO3" s="12" t="s">
        <v>236</v>
      </c>
      <c r="AP3" s="12" t="s">
        <v>237</v>
      </c>
      <c r="AQ3" s="12" t="s">
        <v>238</v>
      </c>
      <c r="AR3" s="12" t="s">
        <v>239</v>
      </c>
      <c r="AS3" s="12" t="s">
        <v>240</v>
      </c>
      <c r="AT3" s="12" t="s">
        <v>241</v>
      </c>
      <c r="AU3" s="12" t="s">
        <v>242</v>
      </c>
      <c r="AV3" s="12" t="s">
        <v>243</v>
      </c>
      <c r="AW3" s="12" t="s">
        <v>244</v>
      </c>
      <c r="AX3" s="12" t="s">
        <v>245</v>
      </c>
      <c r="AY3" s="12" t="s">
        <v>246</v>
      </c>
      <c r="AZ3" s="12" t="s">
        <v>247</v>
      </c>
      <c r="BA3" s="12" t="s">
        <v>248</v>
      </c>
      <c r="BB3" s="12" t="s">
        <v>249</v>
      </c>
      <c r="BC3" s="12" t="s">
        <v>250</v>
      </c>
      <c r="BD3" s="12" t="s">
        <v>251</v>
      </c>
      <c r="BE3" s="12" t="s">
        <v>252</v>
      </c>
      <c r="BF3" s="12" t="s">
        <v>253</v>
      </c>
      <c r="BG3" s="12" t="s">
        <v>254</v>
      </c>
      <c r="BH3" s="12" t="s">
        <v>255</v>
      </c>
      <c r="BI3" s="12" t="s">
        <v>256</v>
      </c>
      <c r="BJ3" s="12" t="s">
        <v>257</v>
      </c>
      <c r="BK3" s="12" t="s">
        <v>258</v>
      </c>
      <c r="BL3" s="12" t="s">
        <v>259</v>
      </c>
      <c r="BM3" s="12" t="s">
        <v>260</v>
      </c>
      <c r="BN3" s="12" t="s">
        <v>261</v>
      </c>
      <c r="BO3" s="12" t="s">
        <v>262</v>
      </c>
      <c r="BP3" s="12" t="s">
        <v>263</v>
      </c>
      <c r="BQ3" s="12" t="s">
        <v>264</v>
      </c>
      <c r="BR3" s="12" t="s">
        <v>265</v>
      </c>
      <c r="BS3" s="12" t="s">
        <v>266</v>
      </c>
      <c r="BT3" s="12" t="s">
        <v>267</v>
      </c>
      <c r="BU3" s="12" t="s">
        <v>268</v>
      </c>
      <c r="BV3" s="12" t="s">
        <v>269</v>
      </c>
      <c r="BW3" s="12" t="s">
        <v>270</v>
      </c>
      <c r="BX3" s="12" t="s">
        <v>271</v>
      </c>
      <c r="BY3" s="12" t="s">
        <v>272</v>
      </c>
      <c r="BZ3" s="12" t="s">
        <v>273</v>
      </c>
      <c r="CA3" s="12" t="s">
        <v>274</v>
      </c>
    </row>
    <row r="4">
      <c r="A4" s="9" t="str">
        <f>'Import-dataset'!A5</f>
        <v>Y1989</v>
      </c>
      <c r="B4" s="11">
        <f>IFERROR('Import-dataset'!B5/'Import-dataset'!B4,0)</f>
        <v>1.141503848</v>
      </c>
      <c r="C4" s="11">
        <f>IFERROR('Import-dataset'!C5/'Import-dataset'!C4,0)</f>
        <v>0.9805194805</v>
      </c>
      <c r="D4" s="11">
        <f>IFERROR('Import-dataset'!D5/'Import-dataset'!D4,0)</f>
        <v>1.2</v>
      </c>
      <c r="E4" s="11">
        <f>IFERROR('Import-dataset'!E5/'Import-dataset'!E4,0)</f>
        <v>1.066666667</v>
      </c>
      <c r="F4" s="11">
        <f>IFERROR('Import-dataset'!F5/'Import-dataset'!F4,0)</f>
        <v>1.086206897</v>
      </c>
      <c r="G4" s="11">
        <f>IFERROR('Import-dataset'!G5/'Import-dataset'!G4,0)</f>
        <v>1.246376812</v>
      </c>
      <c r="H4" s="11">
        <f>IFERROR('Import-dataset'!H5/'Import-dataset'!H4,0)</f>
        <v>1.33974359</v>
      </c>
      <c r="I4" s="11">
        <f>IFERROR('Import-dataset'!I5/'Import-dataset'!I4,0)</f>
        <v>1.324324324</v>
      </c>
      <c r="J4" s="11">
        <f>IFERROR('Import-dataset'!J5/'Import-dataset'!J4,0)</f>
        <v>0.9944289694</v>
      </c>
      <c r="K4" s="11">
        <f>IFERROR('Import-dataset'!K5/'Import-dataset'!K4,0)</f>
        <v>1.116666667</v>
      </c>
      <c r="L4" s="11">
        <f>IFERROR('Import-dataset'!L5/'Import-dataset'!L4,0)</f>
        <v>1.316384181</v>
      </c>
      <c r="M4" s="11">
        <f>IFERROR('Import-dataset'!M5/'Import-dataset'!M4,0)</f>
        <v>1.051771117</v>
      </c>
      <c r="N4" s="11">
        <f>IFERROR('Import-dataset'!N5/'Import-dataset'!N4,0)</f>
        <v>1.128787879</v>
      </c>
      <c r="O4" s="11">
        <f>IFERROR('Import-dataset'!O5/'Import-dataset'!O4,0)</f>
        <v>0.854368932</v>
      </c>
      <c r="P4" s="11">
        <f>IFERROR('Import-dataset'!P5/'Import-dataset'!P4,0)</f>
        <v>1.059288538</v>
      </c>
      <c r="Q4" s="11">
        <f>IFERROR('Import-dataset'!Q5/'Import-dataset'!Q4,0)</f>
        <v>0.7692307692</v>
      </c>
      <c r="R4" s="11">
        <f>IFERROR('Import-dataset'!R5/'Import-dataset'!R4,0)</f>
        <v>0.7674418605</v>
      </c>
      <c r="S4" s="11">
        <f>IFERROR('Import-dataset'!S5/'Import-dataset'!S4,0)</f>
        <v>0.9279279279</v>
      </c>
      <c r="T4" s="11">
        <f>IFERROR('Import-dataset'!T5/'Import-dataset'!T4,0)</f>
        <v>1.182194617</v>
      </c>
      <c r="U4" s="11">
        <f>IFERROR('Import-dataset'!U5/'Import-dataset'!U4,0)</f>
        <v>1.030172414</v>
      </c>
      <c r="V4" s="11">
        <f>IFERROR('Import-dataset'!V5/'Import-dataset'!V4,0)</f>
        <v>0.8594594595</v>
      </c>
      <c r="W4" s="11">
        <f>IFERROR('Import-dataset'!W5/'Import-dataset'!W4,0)</f>
        <v>0.962406015</v>
      </c>
      <c r="X4" s="11">
        <f>IFERROR('Import-dataset'!X5/'Import-dataset'!X4,0)</f>
        <v>1.456790123</v>
      </c>
      <c r="Y4" s="11">
        <f>IFERROR('Import-dataset'!Y5/'Import-dataset'!Y4,0)</f>
        <v>1.144230769</v>
      </c>
      <c r="Z4" s="11">
        <f>IFERROR('Import-dataset'!Z5/'Import-dataset'!Z4,0)</f>
        <v>1.555620954</v>
      </c>
      <c r="AA4" s="11">
        <f>IFERROR('Import-dataset'!AA5/'Import-dataset'!AA4,0)</f>
        <v>7.666666667</v>
      </c>
      <c r="AB4" s="11">
        <f>IFERROR('Import-dataset'!AB5/'Import-dataset'!AB4,0)</f>
        <v>1.54282339</v>
      </c>
      <c r="AC4" s="11">
        <f>IFERROR('Import-dataset'!AC5/'Import-dataset'!AC4,0)</f>
        <v>2.666666667</v>
      </c>
      <c r="AD4" s="11">
        <f>IFERROR('Import-dataset'!AD5/'Import-dataset'!AD4,0)</f>
        <v>1.142857143</v>
      </c>
      <c r="AE4" s="11">
        <f>IFERROR('Import-dataset'!AE5/'Import-dataset'!AE4,0)</f>
        <v>0</v>
      </c>
      <c r="AF4" s="11">
        <f>IFERROR('Import-dataset'!AF5/'Import-dataset'!AF4,0)</f>
        <v>1.138297872</v>
      </c>
      <c r="AG4" s="11">
        <f>IFERROR('Import-dataset'!AG5/'Import-dataset'!AG4,0)</f>
        <v>1.090909091</v>
      </c>
      <c r="AH4" s="11">
        <f>IFERROR('Import-dataset'!AH5/'Import-dataset'!AH4,0)</f>
        <v>1.117140396</v>
      </c>
      <c r="AI4" s="11">
        <f>IFERROR('Import-dataset'!AI5/'Import-dataset'!AI4,0)</f>
        <v>0.9581911263</v>
      </c>
      <c r="AJ4" s="11">
        <f>IFERROR('Import-dataset'!AJ5/'Import-dataset'!AJ4,0)</f>
        <v>1.279461279</v>
      </c>
      <c r="AK4" s="11">
        <f>IFERROR('Import-dataset'!AK5/'Import-dataset'!AK4,0)</f>
        <v>1.165</v>
      </c>
      <c r="AL4" s="11">
        <f>IFERROR('Import-dataset'!AL5/'Import-dataset'!AL4,0)</f>
        <v>1.075691412</v>
      </c>
      <c r="AM4" s="11">
        <f>IFERROR('Import-dataset'!AM5/'Import-dataset'!AM4,0)</f>
        <v>1.211111111</v>
      </c>
      <c r="AN4" s="11">
        <f>IFERROR('Import-dataset'!AN5/'Import-dataset'!AN4,0)</f>
        <v>1.32748538</v>
      </c>
      <c r="AO4" s="11">
        <f>IFERROR('Import-dataset'!AO5/'Import-dataset'!AO4,0)</f>
        <v>1.170854271</v>
      </c>
      <c r="AP4" s="11">
        <f>IFERROR('Import-dataset'!AP5/'Import-dataset'!AP4,0)</f>
        <v>1.147268409</v>
      </c>
      <c r="AQ4" s="11">
        <f>IFERROR('Import-dataset'!AQ5/'Import-dataset'!AQ4,0)</f>
        <v>1.122180451</v>
      </c>
      <c r="AR4" s="11">
        <f>IFERROR('Import-dataset'!AR5/'Import-dataset'!AR4,0)</f>
        <v>1.179892725</v>
      </c>
      <c r="AS4" s="11">
        <f>IFERROR('Import-dataset'!AS5/'Import-dataset'!AS4,0)</f>
        <v>0.9733333333</v>
      </c>
      <c r="AT4" s="11">
        <f>IFERROR('Import-dataset'!AT5/'Import-dataset'!AT4,0)</f>
        <v>1.181964573</v>
      </c>
      <c r="AU4" s="11">
        <f>IFERROR('Import-dataset'!AU5/'Import-dataset'!AU4,0)</f>
        <v>1.135514019</v>
      </c>
      <c r="AV4" s="11">
        <f>IFERROR('Import-dataset'!AV5/'Import-dataset'!AV4,0)</f>
        <v>1.107260726</v>
      </c>
      <c r="AW4" s="11">
        <f>IFERROR('Import-dataset'!AW5/'Import-dataset'!AW4,0)</f>
        <v>1.070120356</v>
      </c>
      <c r="AX4" s="11">
        <f>IFERROR('Import-dataset'!AX5/'Import-dataset'!AX4,0)</f>
        <v>1.218079096</v>
      </c>
      <c r="AY4" s="11">
        <f>IFERROR('Import-dataset'!AY5/'Import-dataset'!AY4,0)</f>
        <v>1.365470852</v>
      </c>
      <c r="AZ4" s="11">
        <f>IFERROR('Import-dataset'!AZ5/'Import-dataset'!AZ4,0)</f>
        <v>1.393939394</v>
      </c>
      <c r="BA4" s="11">
        <f>IFERROR('Import-dataset'!BA5/'Import-dataset'!BA4,0)</f>
        <v>1.247933884</v>
      </c>
      <c r="BB4" s="11">
        <f>IFERROR('Import-dataset'!BB5/'Import-dataset'!BB4,0)</f>
        <v>1.3117101</v>
      </c>
      <c r="BC4" s="11">
        <f>IFERROR('Import-dataset'!BC5/'Import-dataset'!BC4,0)</f>
        <v>1.104185218</v>
      </c>
      <c r="BD4" s="11">
        <f>IFERROR('Import-dataset'!BD5/'Import-dataset'!BD4,0)</f>
        <v>1.291412482</v>
      </c>
      <c r="BE4" s="11">
        <f>IFERROR('Import-dataset'!BE5/'Import-dataset'!BE4,0)</f>
        <v>1.096045198</v>
      </c>
      <c r="BF4" s="11">
        <f>IFERROR('Import-dataset'!BF5/'Import-dataset'!BF4,0)</f>
        <v>1.242906277</v>
      </c>
      <c r="BG4" s="11">
        <f>IFERROR('Import-dataset'!BG5/'Import-dataset'!BG4,0)</f>
        <v>1.218006209</v>
      </c>
      <c r="BH4" s="11">
        <f>IFERROR('Import-dataset'!BH5/'Import-dataset'!BH4,0)</f>
        <v>1.218405703</v>
      </c>
      <c r="BI4" s="11">
        <f>IFERROR('Import-dataset'!BI5/'Import-dataset'!BI4,0)</f>
        <v>1.184365115</v>
      </c>
      <c r="BJ4" s="11">
        <f>IFERROR('Import-dataset'!BJ5/'Import-dataset'!BJ4,0)</f>
        <v>1.401090343</v>
      </c>
      <c r="BK4" s="11">
        <f>IFERROR('Import-dataset'!BK5/'Import-dataset'!BK4,0)</f>
        <v>1.912560722</v>
      </c>
      <c r="BL4" s="11">
        <f>IFERROR('Import-dataset'!BL5/'Import-dataset'!BL4,0)</f>
        <v>1.143312636</v>
      </c>
      <c r="BM4" s="11">
        <f>IFERROR('Import-dataset'!BM5/'Import-dataset'!BM4,0)</f>
        <v>1.206896552</v>
      </c>
      <c r="BN4" s="11">
        <f>IFERROR('Import-dataset'!BN5/'Import-dataset'!BN4,0)</f>
        <v>1.35059761</v>
      </c>
      <c r="BO4" s="11">
        <f>IFERROR('Import-dataset'!BO5/'Import-dataset'!BO4,0)</f>
        <v>1.228571429</v>
      </c>
      <c r="BP4" s="11">
        <f>IFERROR('Import-dataset'!BP5/'Import-dataset'!BP4,0)</f>
        <v>1.211428571</v>
      </c>
      <c r="BQ4" s="11">
        <f>IFERROR('Import-dataset'!BQ5/'Import-dataset'!BQ4,0)</f>
        <v>1.125</v>
      </c>
      <c r="BR4" s="11">
        <f>IFERROR('Import-dataset'!BR5/'Import-dataset'!BR4,0)</f>
        <v>1.146022155</v>
      </c>
      <c r="BS4" s="11">
        <f>IFERROR('Import-dataset'!BS5/'Import-dataset'!BS4,0)</f>
        <v>1.056356488</v>
      </c>
      <c r="BT4" s="11">
        <f>IFERROR('Import-dataset'!BT5/'Import-dataset'!BT4,0)</f>
        <v>1.123447497</v>
      </c>
      <c r="BU4" s="11">
        <f>IFERROR('Import-dataset'!BU5/'Import-dataset'!BU4,0)</f>
        <v>0.7743190661</v>
      </c>
      <c r="BV4" s="11">
        <f>IFERROR('Import-dataset'!BV5/'Import-dataset'!BV4,0)</f>
        <v>0.6962566845</v>
      </c>
      <c r="BW4" s="11">
        <f>IFERROR('Import-dataset'!BW5/'Import-dataset'!BW4,0)</f>
        <v>1.470588235</v>
      </c>
      <c r="BX4" s="11">
        <f>IFERROR('Import-dataset'!BX5/'Import-dataset'!BX4,0)</f>
        <v>0</v>
      </c>
      <c r="BY4" s="11">
        <f>IFERROR('Import-dataset'!BY5/'Import-dataset'!BY4,0)</f>
        <v>1.817307692</v>
      </c>
      <c r="BZ4" s="11">
        <f>IFERROR('Import-dataset'!BZ5/'Import-dataset'!BZ4,0)</f>
        <v>0.5545851528</v>
      </c>
      <c r="CA4" s="11">
        <f>IFERROR('Import-dataset'!CA5/'Import-dataset'!CA4,0)</f>
        <v>1.219170655</v>
      </c>
    </row>
    <row r="5">
      <c r="A5" s="9" t="str">
        <f>'Import-dataset'!A6</f>
        <v>Y1990</v>
      </c>
      <c r="B5" s="11">
        <f>IFERROR('Import-dataset'!B6/'Import-dataset'!B5,0)</f>
        <v>0.9932572614</v>
      </c>
      <c r="C5" s="11">
        <f>IFERROR('Import-dataset'!C6/'Import-dataset'!C5,0)</f>
        <v>0.8013245033</v>
      </c>
      <c r="D5" s="11">
        <f>IFERROR('Import-dataset'!D6/'Import-dataset'!D5,0)</f>
        <v>0.9333333333</v>
      </c>
      <c r="E5" s="11">
        <f>IFERROR('Import-dataset'!E6/'Import-dataset'!E5,0)</f>
        <v>1.197916667</v>
      </c>
      <c r="F5" s="11">
        <f>IFERROR('Import-dataset'!F6/'Import-dataset'!F5,0)</f>
        <v>0.9931972789</v>
      </c>
      <c r="G5" s="11">
        <f>IFERROR('Import-dataset'!G6/'Import-dataset'!G5,0)</f>
        <v>1.174418605</v>
      </c>
      <c r="H5" s="11">
        <f>IFERROR('Import-dataset'!H6/'Import-dataset'!H5,0)</f>
        <v>0.9282296651</v>
      </c>
      <c r="I5" s="11">
        <f>IFERROR('Import-dataset'!I6/'Import-dataset'!I5,0)</f>
        <v>1.244897959</v>
      </c>
      <c r="J5" s="11">
        <f>IFERROR('Import-dataset'!J6/'Import-dataset'!J5,0)</f>
        <v>0.8851540616</v>
      </c>
      <c r="K5" s="11">
        <f>IFERROR('Import-dataset'!K6/'Import-dataset'!K5,0)</f>
        <v>1.029850746</v>
      </c>
      <c r="L5" s="11">
        <f>IFERROR('Import-dataset'!L6/'Import-dataset'!L5,0)</f>
        <v>1.193133047</v>
      </c>
      <c r="M5" s="11">
        <f>IFERROR('Import-dataset'!M6/'Import-dataset'!M5,0)</f>
        <v>1.044041451</v>
      </c>
      <c r="N5" s="11">
        <f>IFERROR('Import-dataset'!N6/'Import-dataset'!N5,0)</f>
        <v>1.010067114</v>
      </c>
      <c r="O5" s="11">
        <f>IFERROR('Import-dataset'!O6/'Import-dataset'!O5,0)</f>
        <v>1.159090909</v>
      </c>
      <c r="P5" s="11">
        <f>IFERROR('Import-dataset'!P6/'Import-dataset'!P5,0)</f>
        <v>0.8737562189</v>
      </c>
      <c r="Q5" s="11">
        <f>IFERROR('Import-dataset'!Q6/'Import-dataset'!Q5,0)</f>
        <v>1.4</v>
      </c>
      <c r="R5" s="11">
        <f>IFERROR('Import-dataset'!R6/'Import-dataset'!R5,0)</f>
        <v>1.606060606</v>
      </c>
      <c r="S5" s="11">
        <f>IFERROR('Import-dataset'!S6/'Import-dataset'!S5,0)</f>
        <v>0.8058252427</v>
      </c>
      <c r="T5" s="11">
        <f>IFERROR('Import-dataset'!T6/'Import-dataset'!T5,0)</f>
        <v>0.7985989492</v>
      </c>
      <c r="U5" s="11">
        <f>IFERROR('Import-dataset'!U6/'Import-dataset'!U5,0)</f>
        <v>0.8661087866</v>
      </c>
      <c r="V5" s="11">
        <f>IFERROR('Import-dataset'!V6/'Import-dataset'!V5,0)</f>
        <v>0.8867924528</v>
      </c>
      <c r="W5" s="11">
        <f>IFERROR('Import-dataset'!W6/'Import-dataset'!W5,0)</f>
        <v>0.7265625</v>
      </c>
      <c r="X5" s="11">
        <f>IFERROR('Import-dataset'!X6/'Import-dataset'!X5,0)</f>
        <v>1.254237288</v>
      </c>
      <c r="Y5" s="11">
        <f>IFERROR('Import-dataset'!Y6/'Import-dataset'!Y5,0)</f>
        <v>0.9831932773</v>
      </c>
      <c r="Z5" s="11">
        <f>IFERROR('Import-dataset'!Z6/'Import-dataset'!Z5,0)</f>
        <v>1.061672342</v>
      </c>
      <c r="AA5" s="11">
        <f>IFERROR('Import-dataset'!AA6/'Import-dataset'!AA5,0)</f>
        <v>0.1304347826</v>
      </c>
      <c r="AB5" s="11">
        <f>IFERROR('Import-dataset'!AB6/'Import-dataset'!AB5,0)</f>
        <v>1.066998469</v>
      </c>
      <c r="AC5" s="11">
        <f>IFERROR('Import-dataset'!AC6/'Import-dataset'!AC5,0)</f>
        <v>2</v>
      </c>
      <c r="AD5" s="11">
        <f>IFERROR('Import-dataset'!AD6/'Import-dataset'!AD5,0)</f>
        <v>1.016666667</v>
      </c>
      <c r="AE5" s="11">
        <f>IFERROR('Import-dataset'!AE6/'Import-dataset'!AE5,0)</f>
        <v>0</v>
      </c>
      <c r="AF5" s="11">
        <f>IFERROR('Import-dataset'!AF6/'Import-dataset'!AF5,0)</f>
        <v>1.028037383</v>
      </c>
      <c r="AG5" s="11">
        <f>IFERROR('Import-dataset'!AG6/'Import-dataset'!AG5,0)</f>
        <v>1</v>
      </c>
      <c r="AH5" s="11">
        <f>IFERROR('Import-dataset'!AH6/'Import-dataset'!AH5,0)</f>
        <v>0.9886276022</v>
      </c>
      <c r="AI5" s="11">
        <f>IFERROR('Import-dataset'!AI6/'Import-dataset'!AI5,0)</f>
        <v>0.8762243989</v>
      </c>
      <c r="AJ5" s="11">
        <f>IFERROR('Import-dataset'!AJ6/'Import-dataset'!AJ5,0)</f>
        <v>0.9144736842</v>
      </c>
      <c r="AK5" s="11">
        <f>IFERROR('Import-dataset'!AK6/'Import-dataset'!AK5,0)</f>
        <v>0.982832618</v>
      </c>
      <c r="AL5" s="11">
        <f>IFERROR('Import-dataset'!AL6/'Import-dataset'!AL5,0)</f>
        <v>1.223274696</v>
      </c>
      <c r="AM5" s="11">
        <f>IFERROR('Import-dataset'!AM6/'Import-dataset'!AM5,0)</f>
        <v>1.036697248</v>
      </c>
      <c r="AN5" s="11">
        <f>IFERROR('Import-dataset'!AN6/'Import-dataset'!AN5,0)</f>
        <v>1.149779736</v>
      </c>
      <c r="AO5" s="11">
        <f>IFERROR('Import-dataset'!AO6/'Import-dataset'!AO5,0)</f>
        <v>0.8769670959</v>
      </c>
      <c r="AP5" s="11">
        <f>IFERROR('Import-dataset'!AP6/'Import-dataset'!AP5,0)</f>
        <v>0.950310559</v>
      </c>
      <c r="AQ5" s="11">
        <f>IFERROR('Import-dataset'!AQ6/'Import-dataset'!AQ5,0)</f>
        <v>1.08040201</v>
      </c>
      <c r="AR5" s="11">
        <f>IFERROR('Import-dataset'!AR6/'Import-dataset'!AR5,0)</f>
        <v>0.8890313556</v>
      </c>
      <c r="AS5" s="11">
        <f>IFERROR('Import-dataset'!AS6/'Import-dataset'!AS5,0)</f>
        <v>0.8767123288</v>
      </c>
      <c r="AT5" s="11">
        <f>IFERROR('Import-dataset'!AT6/'Import-dataset'!AT5,0)</f>
        <v>0.9577656676</v>
      </c>
      <c r="AU5" s="11">
        <f>IFERROR('Import-dataset'!AU6/'Import-dataset'!AU5,0)</f>
        <v>0.9094650206</v>
      </c>
      <c r="AV5" s="11">
        <f>IFERROR('Import-dataset'!AV6/'Import-dataset'!AV5,0)</f>
        <v>0.935171386</v>
      </c>
      <c r="AW5" s="11">
        <f>IFERROR('Import-dataset'!AW6/'Import-dataset'!AW5,0)</f>
        <v>0.9075794621</v>
      </c>
      <c r="AX5" s="11">
        <f>IFERROR('Import-dataset'!AX6/'Import-dataset'!AX5,0)</f>
        <v>0.9239332096</v>
      </c>
      <c r="AY5" s="11">
        <f>IFERROR('Import-dataset'!AY6/'Import-dataset'!AY5,0)</f>
        <v>0.684729064</v>
      </c>
      <c r="AZ5" s="11">
        <f>IFERROR('Import-dataset'!AZ6/'Import-dataset'!AZ5,0)</f>
        <v>0.9009661836</v>
      </c>
      <c r="BA5" s="11">
        <f>IFERROR('Import-dataset'!BA6/'Import-dataset'!BA5,0)</f>
        <v>0.9278881531</v>
      </c>
      <c r="BB5" s="11">
        <f>IFERROR('Import-dataset'!BB6/'Import-dataset'!BB5,0)</f>
        <v>0.9541695089</v>
      </c>
      <c r="BC5" s="11">
        <f>IFERROR('Import-dataset'!BC6/'Import-dataset'!BC5,0)</f>
        <v>1.097580645</v>
      </c>
      <c r="BD5" s="11">
        <f>IFERROR('Import-dataset'!BD6/'Import-dataset'!BD5,0)</f>
        <v>0.8888081395</v>
      </c>
      <c r="BE5" s="11">
        <f>IFERROR('Import-dataset'!BE6/'Import-dataset'!BE5,0)</f>
        <v>0.912371134</v>
      </c>
      <c r="BF5" s="11">
        <f>IFERROR('Import-dataset'!BF6/'Import-dataset'!BF5,0)</f>
        <v>0.9647180906</v>
      </c>
      <c r="BG5" s="11">
        <f>IFERROR('Import-dataset'!BG6/'Import-dataset'!BG5,0)</f>
        <v>0.9804587935</v>
      </c>
      <c r="BH5" s="11">
        <f>IFERROR('Import-dataset'!BH6/'Import-dataset'!BH5,0)</f>
        <v>0.9457446809</v>
      </c>
      <c r="BI5" s="11">
        <f>IFERROR('Import-dataset'!BI6/'Import-dataset'!BI5,0)</f>
        <v>0.9977107974</v>
      </c>
      <c r="BJ5" s="11">
        <f>IFERROR('Import-dataset'!BJ6/'Import-dataset'!BJ5,0)</f>
        <v>0.8940151936</v>
      </c>
      <c r="BK5" s="11">
        <f>IFERROR('Import-dataset'!BK6/'Import-dataset'!BK5,0)</f>
        <v>0.9981857765</v>
      </c>
      <c r="BL5" s="11">
        <f>IFERROR('Import-dataset'!BL6/'Import-dataset'!BL5,0)</f>
        <v>1.015411713</v>
      </c>
      <c r="BM5" s="11">
        <f>IFERROR('Import-dataset'!BM6/'Import-dataset'!BM5,0)</f>
        <v>0.9928571429</v>
      </c>
      <c r="BN5" s="11">
        <f>IFERROR('Import-dataset'!BN6/'Import-dataset'!BN5,0)</f>
        <v>0.9262536873</v>
      </c>
      <c r="BO5" s="11">
        <f>IFERROR('Import-dataset'!BO6/'Import-dataset'!BO5,0)</f>
        <v>0.9720930233</v>
      </c>
      <c r="BP5" s="11">
        <f>IFERROR('Import-dataset'!BP6/'Import-dataset'!BP5,0)</f>
        <v>1.077830189</v>
      </c>
      <c r="BQ5" s="11">
        <f>IFERROR('Import-dataset'!BQ6/'Import-dataset'!BQ5,0)</f>
        <v>1.049707602</v>
      </c>
      <c r="BR5" s="11">
        <f>IFERROR('Import-dataset'!BR6/'Import-dataset'!BR5,0)</f>
        <v>1.014938489</v>
      </c>
      <c r="BS5" s="11">
        <f>IFERROR('Import-dataset'!BS6/'Import-dataset'!BS5,0)</f>
        <v>0.9751861042</v>
      </c>
      <c r="BT5" s="11">
        <f>IFERROR('Import-dataset'!BT6/'Import-dataset'!BT5,0)</f>
        <v>1.019095477</v>
      </c>
      <c r="BU5" s="11">
        <f>IFERROR('Import-dataset'!BU6/'Import-dataset'!BU5,0)</f>
        <v>1.097487437</v>
      </c>
      <c r="BV5" s="11">
        <f>IFERROR('Import-dataset'!BV6/'Import-dataset'!BV5,0)</f>
        <v>0.757296467</v>
      </c>
      <c r="BW5" s="11">
        <f>IFERROR('Import-dataset'!BW6/'Import-dataset'!BW5,0)</f>
        <v>1.12</v>
      </c>
      <c r="BX5" s="11">
        <f>IFERROR('Import-dataset'!BX6/'Import-dataset'!BX5,0)</f>
        <v>2.333333333</v>
      </c>
      <c r="BY5" s="11">
        <f>IFERROR('Import-dataset'!BY6/'Import-dataset'!BY5,0)</f>
        <v>2.259259259</v>
      </c>
      <c r="BZ5" s="11">
        <f>IFERROR('Import-dataset'!BZ6/'Import-dataset'!BZ5,0)</f>
        <v>1.078740157</v>
      </c>
      <c r="CA5" s="11">
        <f>IFERROR('Import-dataset'!CA6/'Import-dataset'!CA5,0)</f>
        <v>0.9629128316</v>
      </c>
    </row>
    <row r="6">
      <c r="A6" s="9" t="str">
        <f>'Import-dataset'!A7</f>
        <v>Y1991</v>
      </c>
      <c r="B6" s="11">
        <f>IFERROR('Import-dataset'!B7/'Import-dataset'!B6,0)</f>
        <v>1.049086162</v>
      </c>
      <c r="C6" s="11">
        <f>IFERROR('Import-dataset'!C7/'Import-dataset'!C6,0)</f>
        <v>0.5123966942</v>
      </c>
      <c r="D6" s="11">
        <f>IFERROR('Import-dataset'!D7/'Import-dataset'!D6,0)</f>
        <v>1.428571429</v>
      </c>
      <c r="E6" s="11">
        <f>IFERROR('Import-dataset'!E7/'Import-dataset'!E6,0)</f>
        <v>1.156521739</v>
      </c>
      <c r="F6" s="11">
        <f>IFERROR('Import-dataset'!F7/'Import-dataset'!F6,0)</f>
        <v>1.034246575</v>
      </c>
      <c r="G6" s="11">
        <f>IFERROR('Import-dataset'!G7/'Import-dataset'!G6,0)</f>
        <v>1.069306931</v>
      </c>
      <c r="H6" s="11">
        <f>IFERROR('Import-dataset'!H7/'Import-dataset'!H6,0)</f>
        <v>1.115979381</v>
      </c>
      <c r="I6" s="11">
        <f>IFERROR('Import-dataset'!I7/'Import-dataset'!I6,0)</f>
        <v>0.9344262295</v>
      </c>
      <c r="J6" s="11">
        <f>IFERROR('Import-dataset'!J7/'Import-dataset'!J6,0)</f>
        <v>0.9810126582</v>
      </c>
      <c r="K6" s="11">
        <f>IFERROR('Import-dataset'!K7/'Import-dataset'!K6,0)</f>
        <v>1.231884058</v>
      </c>
      <c r="L6" s="11">
        <f>IFERROR('Import-dataset'!L7/'Import-dataset'!L6,0)</f>
        <v>1.179856115</v>
      </c>
      <c r="M6" s="11">
        <f>IFERROR('Import-dataset'!M7/'Import-dataset'!M6,0)</f>
        <v>0.9627791563</v>
      </c>
      <c r="N6" s="11">
        <f>IFERROR('Import-dataset'!N7/'Import-dataset'!N6,0)</f>
        <v>0.950166113</v>
      </c>
      <c r="O6" s="11">
        <f>IFERROR('Import-dataset'!O7/'Import-dataset'!O6,0)</f>
        <v>1</v>
      </c>
      <c r="P6" s="11">
        <f>IFERROR('Import-dataset'!P7/'Import-dataset'!P6,0)</f>
        <v>0.8505338078</v>
      </c>
      <c r="Q6" s="11">
        <f>IFERROR('Import-dataset'!Q7/'Import-dataset'!Q6,0)</f>
        <v>0.6428571429</v>
      </c>
      <c r="R6" s="11">
        <f>IFERROR('Import-dataset'!R7/'Import-dataset'!R6,0)</f>
        <v>1.094339623</v>
      </c>
      <c r="S6" s="11">
        <f>IFERROR('Import-dataset'!S7/'Import-dataset'!S6,0)</f>
        <v>0.9518072289</v>
      </c>
      <c r="T6" s="11">
        <f>IFERROR('Import-dataset'!T7/'Import-dataset'!T6,0)</f>
        <v>0.9583333333</v>
      </c>
      <c r="U6" s="11">
        <f>IFERROR('Import-dataset'!U7/'Import-dataset'!U6,0)</f>
        <v>0.6280193237</v>
      </c>
      <c r="V6" s="11">
        <f>IFERROR('Import-dataset'!V7/'Import-dataset'!V6,0)</f>
        <v>0.9503546099</v>
      </c>
      <c r="W6" s="11">
        <f>IFERROR('Import-dataset'!W7/'Import-dataset'!W6,0)</f>
        <v>0.6612903226</v>
      </c>
      <c r="X6" s="11">
        <f>IFERROR('Import-dataset'!X7/'Import-dataset'!X6,0)</f>
        <v>0.777027027</v>
      </c>
      <c r="Y6" s="11">
        <f>IFERROR('Import-dataset'!Y7/'Import-dataset'!Y6,0)</f>
        <v>0.9401709402</v>
      </c>
      <c r="Z6" s="11">
        <f>IFERROR('Import-dataset'!Z7/'Import-dataset'!Z6,0)</f>
        <v>1.050962224</v>
      </c>
      <c r="AA6" s="11">
        <f>IFERROR('Import-dataset'!AA7/'Import-dataset'!AA6,0)</f>
        <v>1.333333333</v>
      </c>
      <c r="AB6" s="11">
        <f>IFERROR('Import-dataset'!AB7/'Import-dataset'!AB6,0)</f>
        <v>1.054180122</v>
      </c>
      <c r="AC6" s="11">
        <f>IFERROR('Import-dataset'!AC7/'Import-dataset'!AC6,0)</f>
        <v>0.4375</v>
      </c>
      <c r="AD6" s="11">
        <f>IFERROR('Import-dataset'!AD7/'Import-dataset'!AD6,0)</f>
        <v>1.12295082</v>
      </c>
      <c r="AE6" s="11">
        <f>IFERROR('Import-dataset'!AE7/'Import-dataset'!AE6,0)</f>
        <v>0</v>
      </c>
      <c r="AF6" s="11">
        <f>IFERROR('Import-dataset'!AF7/'Import-dataset'!AF6,0)</f>
        <v>1.127272727</v>
      </c>
      <c r="AG6" s="11">
        <f>IFERROR('Import-dataset'!AG7/'Import-dataset'!AG6,0)</f>
        <v>1.083333333</v>
      </c>
      <c r="AH6" s="11">
        <f>IFERROR('Import-dataset'!AH7/'Import-dataset'!AH6,0)</f>
        <v>1.023981283</v>
      </c>
      <c r="AI6" s="11">
        <f>IFERROR('Import-dataset'!AI7/'Import-dataset'!AI6,0)</f>
        <v>1.06097561</v>
      </c>
      <c r="AJ6" s="11">
        <f>IFERROR('Import-dataset'!AJ7/'Import-dataset'!AJ6,0)</f>
        <v>1.033093525</v>
      </c>
      <c r="AK6" s="11">
        <f>IFERROR('Import-dataset'!AK7/'Import-dataset'!AK6,0)</f>
        <v>1.069868996</v>
      </c>
      <c r="AL6" s="11">
        <f>IFERROR('Import-dataset'!AL7/'Import-dataset'!AL6,0)</f>
        <v>1.036504425</v>
      </c>
      <c r="AM6" s="11">
        <f>IFERROR('Import-dataset'!AM7/'Import-dataset'!AM6,0)</f>
        <v>1.032448378</v>
      </c>
      <c r="AN6" s="11">
        <f>IFERROR('Import-dataset'!AN7/'Import-dataset'!AN6,0)</f>
        <v>1.088122605</v>
      </c>
      <c r="AO6" s="11">
        <f>IFERROR('Import-dataset'!AO7/'Import-dataset'!AO6,0)</f>
        <v>0.9820554649</v>
      </c>
      <c r="AP6" s="11">
        <f>IFERROR('Import-dataset'!AP7/'Import-dataset'!AP6,0)</f>
        <v>0.9891067538</v>
      </c>
      <c r="AQ6" s="11">
        <f>IFERROR('Import-dataset'!AQ7/'Import-dataset'!AQ6,0)</f>
        <v>0.9581395349</v>
      </c>
      <c r="AR6" s="11">
        <f>IFERROR('Import-dataset'!AR7/'Import-dataset'!AR6,0)</f>
        <v>0.9931821162</v>
      </c>
      <c r="AS6" s="11">
        <f>IFERROR('Import-dataset'!AS7/'Import-dataset'!AS6,0)</f>
        <v>0.921875</v>
      </c>
      <c r="AT6" s="11">
        <f>IFERROR('Import-dataset'!AT7/'Import-dataset'!AT6,0)</f>
        <v>1.001422475</v>
      </c>
      <c r="AU6" s="11">
        <f>IFERROR('Import-dataset'!AU7/'Import-dataset'!AU6,0)</f>
        <v>1.018099548</v>
      </c>
      <c r="AV6" s="11">
        <f>IFERROR('Import-dataset'!AV7/'Import-dataset'!AV6,0)</f>
        <v>0.9633466135</v>
      </c>
      <c r="AW6" s="11">
        <f>IFERROR('Import-dataset'!AW7/'Import-dataset'!AW6,0)</f>
        <v>1.027478448</v>
      </c>
      <c r="AX6" s="11">
        <f>IFERROR('Import-dataset'!AX7/'Import-dataset'!AX6,0)</f>
        <v>0.9287148594</v>
      </c>
      <c r="AY6" s="11">
        <f>IFERROR('Import-dataset'!AY7/'Import-dataset'!AY6,0)</f>
        <v>1.073141487</v>
      </c>
      <c r="AZ6" s="11">
        <f>IFERROR('Import-dataset'!AZ7/'Import-dataset'!AZ6,0)</f>
        <v>0.9946380697</v>
      </c>
      <c r="BA6" s="11">
        <f>IFERROR('Import-dataset'!BA7/'Import-dataset'!BA6,0)</f>
        <v>0.9682791435</v>
      </c>
      <c r="BB6" s="11">
        <f>IFERROR('Import-dataset'!BB7/'Import-dataset'!BB6,0)</f>
        <v>0.9778830258</v>
      </c>
      <c r="BC6" s="11">
        <f>IFERROR('Import-dataset'!BC7/'Import-dataset'!BC6,0)</f>
        <v>0.9632623071</v>
      </c>
      <c r="BD6" s="11">
        <f>IFERROR('Import-dataset'!BD7/'Import-dataset'!BD6,0)</f>
        <v>0.8270645953</v>
      </c>
      <c r="BE6" s="11">
        <f>IFERROR('Import-dataset'!BE7/'Import-dataset'!BE6,0)</f>
        <v>0.8898305085</v>
      </c>
      <c r="BF6" s="11">
        <f>IFERROR('Import-dataset'!BF7/'Import-dataset'!BF6,0)</f>
        <v>0.9910362137</v>
      </c>
      <c r="BG6" s="11">
        <f>IFERROR('Import-dataset'!BG7/'Import-dataset'!BG6,0)</f>
        <v>0.983824379</v>
      </c>
      <c r="BH6" s="11">
        <f>IFERROR('Import-dataset'!BH7/'Import-dataset'!BH6,0)</f>
        <v>1.025309336</v>
      </c>
      <c r="BI6" s="11">
        <f>IFERROR('Import-dataset'!BI7/'Import-dataset'!BI6,0)</f>
        <v>1.011472275</v>
      </c>
      <c r="BJ6" s="11">
        <f>IFERROR('Import-dataset'!BJ7/'Import-dataset'!BJ6,0)</f>
        <v>0.8870466321</v>
      </c>
      <c r="BK6" s="11">
        <f>IFERROR('Import-dataset'!BK7/'Import-dataset'!BK6,0)</f>
        <v>1.206470374</v>
      </c>
      <c r="BL6" s="11">
        <f>IFERROR('Import-dataset'!BL7/'Import-dataset'!BL6,0)</f>
        <v>1.052471813</v>
      </c>
      <c r="BM6" s="11">
        <f>IFERROR('Import-dataset'!BM7/'Import-dataset'!BM6,0)</f>
        <v>1.107913669</v>
      </c>
      <c r="BN6" s="11">
        <f>IFERROR('Import-dataset'!BN7/'Import-dataset'!BN6,0)</f>
        <v>0.9585987261</v>
      </c>
      <c r="BO6" s="11">
        <f>IFERROR('Import-dataset'!BO7/'Import-dataset'!BO6,0)</f>
        <v>1.057416268</v>
      </c>
      <c r="BP6" s="11">
        <f>IFERROR('Import-dataset'!BP7/'Import-dataset'!BP6,0)</f>
        <v>1.123632385</v>
      </c>
      <c r="BQ6" s="11">
        <f>IFERROR('Import-dataset'!BQ7/'Import-dataset'!BQ6,0)</f>
        <v>1.069637883</v>
      </c>
      <c r="BR6" s="11">
        <f>IFERROR('Import-dataset'!BR7/'Import-dataset'!BR6,0)</f>
        <v>1.074458874</v>
      </c>
      <c r="BS6" s="11">
        <f>IFERROR('Import-dataset'!BS7/'Import-dataset'!BS6,0)</f>
        <v>1.008905852</v>
      </c>
      <c r="BT6" s="11">
        <f>IFERROR('Import-dataset'!BT7/'Import-dataset'!BT6,0)</f>
        <v>1.03879027</v>
      </c>
      <c r="BU6" s="11">
        <f>IFERROR('Import-dataset'!BU7/'Import-dataset'!BU6,0)</f>
        <v>0.9139194139</v>
      </c>
      <c r="BV6" s="11">
        <f>IFERROR('Import-dataset'!BV7/'Import-dataset'!BV6,0)</f>
        <v>0.05679513185</v>
      </c>
      <c r="BW6" s="11">
        <f>IFERROR('Import-dataset'!BW7/'Import-dataset'!BW6,0)</f>
        <v>0.3928571429</v>
      </c>
      <c r="BX6" s="11">
        <f>IFERROR('Import-dataset'!BX7/'Import-dataset'!BX6,0)</f>
        <v>0</v>
      </c>
      <c r="BY6" s="11">
        <f>IFERROR('Import-dataset'!BY7/'Import-dataset'!BY6,0)</f>
        <v>2.028103044</v>
      </c>
      <c r="BZ6" s="11">
        <f>IFERROR('Import-dataset'!BZ7/'Import-dataset'!BZ6,0)</f>
        <v>0.6788321168</v>
      </c>
      <c r="CA6" s="11">
        <f>IFERROR('Import-dataset'!CA7/'Import-dataset'!CA6,0)</f>
        <v>0.9974296156</v>
      </c>
    </row>
    <row r="7">
      <c r="A7" s="9" t="str">
        <f>'Import-dataset'!A8</f>
        <v>Y1992</v>
      </c>
      <c r="B7" s="11">
        <f>IFERROR('Import-dataset'!B8/'Import-dataset'!B7,0)</f>
        <v>1.069188651</v>
      </c>
      <c r="C7" s="11">
        <f>IFERROR('Import-dataset'!C8/'Import-dataset'!C7,0)</f>
        <v>0.9516129032</v>
      </c>
      <c r="D7" s="11">
        <f>IFERROR('Import-dataset'!D8/'Import-dataset'!D7,0)</f>
        <v>0.975</v>
      </c>
      <c r="E7" s="11">
        <f>IFERROR('Import-dataset'!E8/'Import-dataset'!E7,0)</f>
        <v>1.142857143</v>
      </c>
      <c r="F7" s="11">
        <f>IFERROR('Import-dataset'!F8/'Import-dataset'!F7,0)</f>
        <v>1.066225166</v>
      </c>
      <c r="G7" s="11">
        <f>IFERROR('Import-dataset'!G8/'Import-dataset'!G7,0)</f>
        <v>1.212962963</v>
      </c>
      <c r="H7" s="11">
        <f>IFERROR('Import-dataset'!H8/'Import-dataset'!H7,0)</f>
        <v>1.096997691</v>
      </c>
      <c r="I7" s="11">
        <f>IFERROR('Import-dataset'!I8/'Import-dataset'!I7,0)</f>
        <v>1.280701754</v>
      </c>
      <c r="J7" s="11">
        <f>IFERROR('Import-dataset'!J8/'Import-dataset'!J7,0)</f>
        <v>1.058064516</v>
      </c>
      <c r="K7" s="11">
        <f>IFERROR('Import-dataset'!K8/'Import-dataset'!K7,0)</f>
        <v>0.8235294118</v>
      </c>
      <c r="L7" s="11">
        <f>IFERROR('Import-dataset'!L8/'Import-dataset'!L7,0)</f>
        <v>1.030487805</v>
      </c>
      <c r="M7" s="11">
        <f>IFERROR('Import-dataset'!M8/'Import-dataset'!M7,0)</f>
        <v>1.056701031</v>
      </c>
      <c r="N7" s="11">
        <f>IFERROR('Import-dataset'!N8/'Import-dataset'!N7,0)</f>
        <v>1.059440559</v>
      </c>
      <c r="O7" s="11">
        <f>IFERROR('Import-dataset'!O8/'Import-dataset'!O7,0)</f>
        <v>1.049019608</v>
      </c>
      <c r="P7" s="11">
        <f>IFERROR('Import-dataset'!P8/'Import-dataset'!P7,0)</f>
        <v>1.187447699</v>
      </c>
      <c r="Q7" s="11">
        <f>IFERROR('Import-dataset'!Q8/'Import-dataset'!Q7,0)</f>
        <v>0</v>
      </c>
      <c r="R7" s="11">
        <f>IFERROR('Import-dataset'!R8/'Import-dataset'!R7,0)</f>
        <v>1</v>
      </c>
      <c r="S7" s="11">
        <f>IFERROR('Import-dataset'!S8/'Import-dataset'!S7,0)</f>
        <v>1.17721519</v>
      </c>
      <c r="T7" s="11">
        <f>IFERROR('Import-dataset'!T8/'Import-dataset'!T7,0)</f>
        <v>1.180778032</v>
      </c>
      <c r="U7" s="11">
        <f>IFERROR('Import-dataset'!U8/'Import-dataset'!U7,0)</f>
        <v>1.176923077</v>
      </c>
      <c r="V7" s="11">
        <f>IFERROR('Import-dataset'!V8/'Import-dataset'!V7,0)</f>
        <v>1.059701493</v>
      </c>
      <c r="W7" s="11">
        <f>IFERROR('Import-dataset'!W8/'Import-dataset'!W7,0)</f>
        <v>1.25203252</v>
      </c>
      <c r="X7" s="11">
        <f>IFERROR('Import-dataset'!X8/'Import-dataset'!X7,0)</f>
        <v>1.47826087</v>
      </c>
      <c r="Y7" s="11">
        <f>IFERROR('Import-dataset'!Y8/'Import-dataset'!Y7,0)</f>
        <v>1.209090909</v>
      </c>
      <c r="Z7" s="11">
        <f>IFERROR('Import-dataset'!Z8/'Import-dataset'!Z7,0)</f>
        <v>1.099355714</v>
      </c>
      <c r="AA7" s="11">
        <f>IFERROR('Import-dataset'!AA8/'Import-dataset'!AA7,0)</f>
        <v>1.25</v>
      </c>
      <c r="AB7" s="11">
        <f>IFERROR('Import-dataset'!AB8/'Import-dataset'!AB7,0)</f>
        <v>1.096664398</v>
      </c>
      <c r="AC7" s="11">
        <f>IFERROR('Import-dataset'!AC8/'Import-dataset'!AC7,0)</f>
        <v>2.142857143</v>
      </c>
      <c r="AD7" s="11">
        <f>IFERROR('Import-dataset'!AD8/'Import-dataset'!AD7,0)</f>
        <v>1.270072993</v>
      </c>
      <c r="AE7" s="11">
        <f>IFERROR('Import-dataset'!AE8/'Import-dataset'!AE7,0)</f>
        <v>0</v>
      </c>
      <c r="AF7" s="11">
        <f>IFERROR('Import-dataset'!AF8/'Import-dataset'!AF7,0)</f>
        <v>1.258064516</v>
      </c>
      <c r="AG7" s="11">
        <f>IFERROR('Import-dataset'!AG8/'Import-dataset'!AG7,0)</f>
        <v>1.384615385</v>
      </c>
      <c r="AH7" s="11">
        <f>IFERROR('Import-dataset'!AH8/'Import-dataset'!AH7,0)</f>
        <v>1.184310739</v>
      </c>
      <c r="AI7" s="11">
        <f>IFERROR('Import-dataset'!AI8/'Import-dataset'!AI7,0)</f>
        <v>1.229885057</v>
      </c>
      <c r="AJ7" s="11">
        <f>IFERROR('Import-dataset'!AJ8/'Import-dataset'!AJ7,0)</f>
        <v>0.9749303621</v>
      </c>
      <c r="AK7" s="11">
        <f>IFERROR('Import-dataset'!AK8/'Import-dataset'!AK7,0)</f>
        <v>1.244897959</v>
      </c>
      <c r="AL7" s="11">
        <f>IFERROR('Import-dataset'!AL8/'Import-dataset'!AL7,0)</f>
        <v>1.36072572</v>
      </c>
      <c r="AM7" s="11">
        <f>IFERROR('Import-dataset'!AM8/'Import-dataset'!AM7,0)</f>
        <v>1.251428571</v>
      </c>
      <c r="AN7" s="11">
        <f>IFERROR('Import-dataset'!AN8/'Import-dataset'!AN7,0)</f>
        <v>1.091549296</v>
      </c>
      <c r="AO7" s="11">
        <f>IFERROR('Import-dataset'!AO8/'Import-dataset'!AO7,0)</f>
        <v>1.079734219</v>
      </c>
      <c r="AP7" s="11">
        <f>IFERROR('Import-dataset'!AP8/'Import-dataset'!AP7,0)</f>
        <v>1.169603524</v>
      </c>
      <c r="AQ7" s="11">
        <f>IFERROR('Import-dataset'!AQ8/'Import-dataset'!AQ7,0)</f>
        <v>1.176375405</v>
      </c>
      <c r="AR7" s="11">
        <f>IFERROR('Import-dataset'!AR8/'Import-dataset'!AR7,0)</f>
        <v>1.113267327</v>
      </c>
      <c r="AS7" s="11">
        <f>IFERROR('Import-dataset'!AS8/'Import-dataset'!AS7,0)</f>
        <v>1.118644068</v>
      </c>
      <c r="AT7" s="11">
        <f>IFERROR('Import-dataset'!AT8/'Import-dataset'!AT7,0)</f>
        <v>1.109375</v>
      </c>
      <c r="AU7" s="11">
        <f>IFERROR('Import-dataset'!AU8/'Import-dataset'!AU7,0)</f>
        <v>1.088888889</v>
      </c>
      <c r="AV7" s="11">
        <f>IFERROR('Import-dataset'!AV8/'Import-dataset'!AV7,0)</f>
        <v>1.147229115</v>
      </c>
      <c r="AW7" s="11">
        <f>IFERROR('Import-dataset'!AW8/'Import-dataset'!AW7,0)</f>
        <v>1.095962244</v>
      </c>
      <c r="AX7" s="11">
        <f>IFERROR('Import-dataset'!AX8/'Import-dataset'!AX7,0)</f>
        <v>1.107027027</v>
      </c>
      <c r="AY7" s="11">
        <f>IFERROR('Import-dataset'!AY8/'Import-dataset'!AY7,0)</f>
        <v>0.956424581</v>
      </c>
      <c r="AZ7" s="11">
        <f>IFERROR('Import-dataset'!AZ8/'Import-dataset'!AZ7,0)</f>
        <v>1.185983827</v>
      </c>
      <c r="BA7" s="11">
        <f>IFERROR('Import-dataset'!BA8/'Import-dataset'!BA7,0)</f>
        <v>1.21048321</v>
      </c>
      <c r="BB7" s="11">
        <f>IFERROR('Import-dataset'!BB8/'Import-dataset'!BB7,0)</f>
        <v>1.084346157</v>
      </c>
      <c r="BC7" s="11">
        <f>IFERROR('Import-dataset'!BC8/'Import-dataset'!BC7,0)</f>
        <v>1.025934401</v>
      </c>
      <c r="BD7" s="11">
        <f>IFERROR('Import-dataset'!BD8/'Import-dataset'!BD7,0)</f>
        <v>1.161641127</v>
      </c>
      <c r="BE7" s="11">
        <f>IFERROR('Import-dataset'!BE8/'Import-dataset'!BE7,0)</f>
        <v>0.9968253968</v>
      </c>
      <c r="BF7" s="11">
        <f>IFERROR('Import-dataset'!BF8/'Import-dataset'!BF7,0)</f>
        <v>1.046309696</v>
      </c>
      <c r="BG7" s="11">
        <f>IFERROR('Import-dataset'!BG8/'Import-dataset'!BG7,0)</f>
        <v>1.159424545</v>
      </c>
      <c r="BH7" s="11">
        <f>IFERROR('Import-dataset'!BH8/'Import-dataset'!BH7,0)</f>
        <v>1.200219419</v>
      </c>
      <c r="BI7" s="11">
        <f>IFERROR('Import-dataset'!BI8/'Import-dataset'!BI7,0)</f>
        <v>1.169376181</v>
      </c>
      <c r="BJ7" s="11">
        <f>IFERROR('Import-dataset'!BJ8/'Import-dataset'!BJ7,0)</f>
        <v>1.302803738</v>
      </c>
      <c r="BK7" s="11">
        <f>IFERROR('Import-dataset'!BK8/'Import-dataset'!BK7,0)</f>
        <v>0.6101235312</v>
      </c>
      <c r="BL7" s="11">
        <f>IFERROR('Import-dataset'!BL8/'Import-dataset'!BL7,0)</f>
        <v>1.169482214</v>
      </c>
      <c r="BM7" s="11">
        <f>IFERROR('Import-dataset'!BM8/'Import-dataset'!BM7,0)</f>
        <v>1.077922078</v>
      </c>
      <c r="BN7" s="11">
        <f>IFERROR('Import-dataset'!BN8/'Import-dataset'!BN7,0)</f>
        <v>1.136212625</v>
      </c>
      <c r="BO7" s="11">
        <f>IFERROR('Import-dataset'!BO8/'Import-dataset'!BO7,0)</f>
        <v>1.235294118</v>
      </c>
      <c r="BP7" s="11">
        <f>IFERROR('Import-dataset'!BP8/'Import-dataset'!BP7,0)</f>
        <v>1.17624148</v>
      </c>
      <c r="BQ7" s="11">
        <f>IFERROR('Import-dataset'!BQ8/'Import-dataset'!BQ7,0)</f>
        <v>1.252604167</v>
      </c>
      <c r="BR7" s="11">
        <f>IFERROR('Import-dataset'!BR8/'Import-dataset'!BR7,0)</f>
        <v>1.16357776</v>
      </c>
      <c r="BS7" s="11">
        <f>IFERROR('Import-dataset'!BS8/'Import-dataset'!BS7,0)</f>
        <v>1.174022699</v>
      </c>
      <c r="BT7" s="11">
        <f>IFERROR('Import-dataset'!BT8/'Import-dataset'!BT7,0)</f>
        <v>1.161392405</v>
      </c>
      <c r="BU7" s="11">
        <f>IFERROR('Import-dataset'!BU8/'Import-dataset'!BU7,0)</f>
        <v>1.200400802</v>
      </c>
      <c r="BV7" s="11">
        <f>IFERROR('Import-dataset'!BV8/'Import-dataset'!BV7,0)</f>
        <v>0.9642857143</v>
      </c>
      <c r="BW7" s="11">
        <f>IFERROR('Import-dataset'!BW8/'Import-dataset'!BW7,0)</f>
        <v>0.09090909091</v>
      </c>
      <c r="BX7" s="11">
        <f>IFERROR('Import-dataset'!BX8/'Import-dataset'!BX7,0)</f>
        <v>0</v>
      </c>
      <c r="BY7" s="11">
        <f>IFERROR('Import-dataset'!BY8/'Import-dataset'!BY7,0)</f>
        <v>1.27482679</v>
      </c>
      <c r="BZ7" s="11">
        <f>IFERROR('Import-dataset'!BZ8/'Import-dataset'!BZ7,0)</f>
        <v>0.7096774194</v>
      </c>
      <c r="CA7" s="11">
        <f>IFERROR('Import-dataset'!CA8/'Import-dataset'!CA7,0)</f>
        <v>1.117193477</v>
      </c>
    </row>
    <row r="8">
      <c r="A8" s="9" t="str">
        <f>'Import-dataset'!A9</f>
        <v>Y1993</v>
      </c>
      <c r="B8" s="11">
        <f>IFERROR('Import-dataset'!B9/'Import-dataset'!B8,0)</f>
        <v>1.108472998</v>
      </c>
      <c r="C8" s="11">
        <f>IFERROR('Import-dataset'!C9/'Import-dataset'!C8,0)</f>
        <v>1.101694915</v>
      </c>
      <c r="D8" s="11">
        <f>IFERROR('Import-dataset'!D9/'Import-dataset'!D8,0)</f>
        <v>1</v>
      </c>
      <c r="E8" s="11">
        <f>IFERROR('Import-dataset'!E9/'Import-dataset'!E8,0)</f>
        <v>1.046052632</v>
      </c>
      <c r="F8" s="11">
        <f>IFERROR('Import-dataset'!F9/'Import-dataset'!F8,0)</f>
        <v>1.113871636</v>
      </c>
      <c r="G8" s="11">
        <f>IFERROR('Import-dataset'!G9/'Import-dataset'!G8,0)</f>
        <v>1.061068702</v>
      </c>
      <c r="H8" s="11">
        <f>IFERROR('Import-dataset'!H9/'Import-dataset'!H8,0)</f>
        <v>1.054736842</v>
      </c>
      <c r="I8" s="11">
        <f>IFERROR('Import-dataset'!I9/'Import-dataset'!I8,0)</f>
        <v>1</v>
      </c>
      <c r="J8" s="11">
        <f>IFERROR('Import-dataset'!J9/'Import-dataset'!J8,0)</f>
        <v>1.091463415</v>
      </c>
      <c r="K8" s="11">
        <f>IFERROR('Import-dataset'!K9/'Import-dataset'!K8,0)</f>
        <v>1.242857143</v>
      </c>
      <c r="L8" s="11">
        <f>IFERROR('Import-dataset'!L9/'Import-dataset'!L8,0)</f>
        <v>1.24852071</v>
      </c>
      <c r="M8" s="11">
        <f>IFERROR('Import-dataset'!M9/'Import-dataset'!M8,0)</f>
        <v>1.1</v>
      </c>
      <c r="N8" s="11">
        <f>IFERROR('Import-dataset'!N9/'Import-dataset'!N8,0)</f>
        <v>1.04950495</v>
      </c>
      <c r="O8" s="11">
        <f>IFERROR('Import-dataset'!O9/'Import-dataset'!O8,0)</f>
        <v>1.242990654</v>
      </c>
      <c r="P8" s="11">
        <f>IFERROR('Import-dataset'!P9/'Import-dataset'!P8,0)</f>
        <v>1.090909091</v>
      </c>
      <c r="Q8" s="11">
        <f>IFERROR('Import-dataset'!Q9/'Import-dataset'!Q8,0)</f>
        <v>0</v>
      </c>
      <c r="R8" s="11">
        <f>IFERROR('Import-dataset'!R9/'Import-dataset'!R8,0)</f>
        <v>1.120689655</v>
      </c>
      <c r="S8" s="11">
        <f>IFERROR('Import-dataset'!S9/'Import-dataset'!S8,0)</f>
        <v>1.193548387</v>
      </c>
      <c r="T8" s="11">
        <f>IFERROR('Import-dataset'!T9/'Import-dataset'!T8,0)</f>
        <v>1.263565891</v>
      </c>
      <c r="U8" s="11">
        <f>IFERROR('Import-dataset'!U9/'Import-dataset'!U8,0)</f>
        <v>0.9215686275</v>
      </c>
      <c r="V8" s="11">
        <f>IFERROR('Import-dataset'!V9/'Import-dataset'!V8,0)</f>
        <v>1.077464789</v>
      </c>
      <c r="W8" s="11">
        <f>IFERROR('Import-dataset'!W9/'Import-dataset'!W8,0)</f>
        <v>0.9025974026</v>
      </c>
      <c r="X8" s="11">
        <f>IFERROR('Import-dataset'!X9/'Import-dataset'!X8,0)</f>
        <v>0.7529411765</v>
      </c>
      <c r="Y8" s="11">
        <f>IFERROR('Import-dataset'!Y9/'Import-dataset'!Y8,0)</f>
        <v>1.165413534</v>
      </c>
      <c r="Z8" s="11">
        <f>IFERROR('Import-dataset'!Z9/'Import-dataset'!Z8,0)</f>
        <v>1.177976558</v>
      </c>
      <c r="AA8" s="11">
        <f>IFERROR('Import-dataset'!AA9/'Import-dataset'!AA8,0)</f>
        <v>3.2</v>
      </c>
      <c r="AB8" s="11">
        <f>IFERROR('Import-dataset'!AB9/'Import-dataset'!AB8,0)</f>
        <v>1.173494724</v>
      </c>
      <c r="AC8" s="11">
        <f>IFERROR('Import-dataset'!AC9/'Import-dataset'!AC8,0)</f>
        <v>1.466666667</v>
      </c>
      <c r="AD8" s="11">
        <f>IFERROR('Import-dataset'!AD9/'Import-dataset'!AD8,0)</f>
        <v>1.126436782</v>
      </c>
      <c r="AE8" s="11">
        <f>IFERROR('Import-dataset'!AE9/'Import-dataset'!AE8,0)</f>
        <v>0</v>
      </c>
      <c r="AF8" s="11">
        <f>IFERROR('Import-dataset'!AF9/'Import-dataset'!AF8,0)</f>
        <v>1.147435897</v>
      </c>
      <c r="AG8" s="11">
        <f>IFERROR('Import-dataset'!AG9/'Import-dataset'!AG8,0)</f>
        <v>0.9444444444</v>
      </c>
      <c r="AH8" s="11">
        <f>IFERROR('Import-dataset'!AH9/'Import-dataset'!AH8,0)</f>
        <v>1.100160772</v>
      </c>
      <c r="AI8" s="11">
        <f>IFERROR('Import-dataset'!AI9/'Import-dataset'!AI8,0)</f>
        <v>1.161214953</v>
      </c>
      <c r="AJ8" s="11">
        <f>IFERROR('Import-dataset'!AJ9/'Import-dataset'!AJ8,0)</f>
        <v>0.8314285714</v>
      </c>
      <c r="AK8" s="11">
        <f>IFERROR('Import-dataset'!AK9/'Import-dataset'!AK8,0)</f>
        <v>1.098360656</v>
      </c>
      <c r="AL8" s="11">
        <f>IFERROR('Import-dataset'!AL9/'Import-dataset'!AL8,0)</f>
        <v>1.09254902</v>
      </c>
      <c r="AM8" s="11">
        <f>IFERROR('Import-dataset'!AM9/'Import-dataset'!AM8,0)</f>
        <v>1.121004566</v>
      </c>
      <c r="AN8" s="11">
        <f>IFERROR('Import-dataset'!AN9/'Import-dataset'!AN8,0)</f>
        <v>1.212903226</v>
      </c>
      <c r="AO8" s="11">
        <f>IFERROR('Import-dataset'!AO9/'Import-dataset'!AO8,0)</f>
        <v>1.12</v>
      </c>
      <c r="AP8" s="11">
        <f>IFERROR('Import-dataset'!AP9/'Import-dataset'!AP8,0)</f>
        <v>1.141242938</v>
      </c>
      <c r="AQ8" s="11">
        <f>IFERROR('Import-dataset'!AQ9/'Import-dataset'!AQ8,0)</f>
        <v>1.156808803</v>
      </c>
      <c r="AR8" s="11">
        <f>IFERROR('Import-dataset'!AR9/'Import-dataset'!AR8,0)</f>
        <v>1.083481561</v>
      </c>
      <c r="AS8" s="11">
        <f>IFERROR('Import-dataset'!AS9/'Import-dataset'!AS8,0)</f>
        <v>1.037878788</v>
      </c>
      <c r="AT8" s="11">
        <f>IFERROR('Import-dataset'!AT9/'Import-dataset'!AT8,0)</f>
        <v>1.130601793</v>
      </c>
      <c r="AU8" s="11">
        <f>IFERROR('Import-dataset'!AU9/'Import-dataset'!AU8,0)</f>
        <v>1.118367347</v>
      </c>
      <c r="AV8" s="11">
        <f>IFERROR('Import-dataset'!AV9/'Import-dataset'!AV8,0)</f>
        <v>1.070656092</v>
      </c>
      <c r="AW8" s="11">
        <f>IFERROR('Import-dataset'!AW9/'Import-dataset'!AW8,0)</f>
        <v>1.05645933</v>
      </c>
      <c r="AX8" s="11">
        <f>IFERROR('Import-dataset'!AX9/'Import-dataset'!AX8,0)</f>
        <v>1.013671875</v>
      </c>
      <c r="AY8" s="11">
        <f>IFERROR('Import-dataset'!AY9/'Import-dataset'!AY8,0)</f>
        <v>1.212616822</v>
      </c>
      <c r="AZ8" s="11">
        <f>IFERROR('Import-dataset'!AZ9/'Import-dataset'!AZ8,0)</f>
        <v>1.081818182</v>
      </c>
      <c r="BA8" s="11">
        <f>IFERROR('Import-dataset'!BA9/'Import-dataset'!BA8,0)</f>
        <v>1.081190798</v>
      </c>
      <c r="BB8" s="11">
        <f>IFERROR('Import-dataset'!BB9/'Import-dataset'!BB8,0)</f>
        <v>1.158183044</v>
      </c>
      <c r="BC8" s="11">
        <f>IFERROR('Import-dataset'!BC9/'Import-dataset'!BC8,0)</f>
        <v>1.237918216</v>
      </c>
      <c r="BD8" s="11">
        <f>IFERROR('Import-dataset'!BD9/'Import-dataset'!BD8,0)</f>
        <v>1.156170213</v>
      </c>
      <c r="BE8" s="11">
        <f>IFERROR('Import-dataset'!BE9/'Import-dataset'!BE8,0)</f>
        <v>1.031847134</v>
      </c>
      <c r="BF8" s="11">
        <f>IFERROR('Import-dataset'!BF9/'Import-dataset'!BF8,0)</f>
        <v>1.184301521</v>
      </c>
      <c r="BG8" s="11">
        <f>IFERROR('Import-dataset'!BG9/'Import-dataset'!BG8,0)</f>
        <v>1.158774373</v>
      </c>
      <c r="BH8" s="11">
        <f>IFERROR('Import-dataset'!BH9/'Import-dataset'!BH8,0)</f>
        <v>1.137111517</v>
      </c>
      <c r="BI8" s="11">
        <f>IFERROR('Import-dataset'!BI9/'Import-dataset'!BI8,0)</f>
        <v>1.213061752</v>
      </c>
      <c r="BJ8" s="11">
        <f>IFERROR('Import-dataset'!BJ9/'Import-dataset'!BJ8,0)</f>
        <v>1.200681492</v>
      </c>
      <c r="BK8" s="11">
        <f>IFERROR('Import-dataset'!BK9/'Import-dataset'!BK8,0)</f>
        <v>0.910617284</v>
      </c>
      <c r="BL8" s="11">
        <f>IFERROR('Import-dataset'!BL9/'Import-dataset'!BL8,0)</f>
        <v>1.10640047</v>
      </c>
      <c r="BM8" s="11">
        <f>IFERROR('Import-dataset'!BM9/'Import-dataset'!BM8,0)</f>
        <v>1.096385542</v>
      </c>
      <c r="BN8" s="11">
        <f>IFERROR('Import-dataset'!BN9/'Import-dataset'!BN8,0)</f>
        <v>1.078947368</v>
      </c>
      <c r="BO8" s="11">
        <f>IFERROR('Import-dataset'!BO9/'Import-dataset'!BO8,0)</f>
        <v>0.9963369963</v>
      </c>
      <c r="BP8" s="11">
        <f>IFERROR('Import-dataset'!BP9/'Import-dataset'!BP8,0)</f>
        <v>1.203642384</v>
      </c>
      <c r="BQ8" s="11">
        <f>IFERROR('Import-dataset'!BQ9/'Import-dataset'!BQ8,0)</f>
        <v>1.070686071</v>
      </c>
      <c r="BR8" s="11">
        <f>IFERROR('Import-dataset'!BR9/'Import-dataset'!BR8,0)</f>
        <v>1.141274238</v>
      </c>
      <c r="BS8" s="11">
        <f>IFERROR('Import-dataset'!BS9/'Import-dataset'!BS8,0)</f>
        <v>1.099892589</v>
      </c>
      <c r="BT8" s="11">
        <f>IFERROR('Import-dataset'!BT9/'Import-dataset'!BT8,0)</f>
        <v>1.078201635</v>
      </c>
      <c r="BU8" s="11">
        <f>IFERROR('Import-dataset'!BU9/'Import-dataset'!BU8,0)</f>
        <v>0.9257095159</v>
      </c>
      <c r="BV8" s="11">
        <f>IFERROR('Import-dataset'!BV9/'Import-dataset'!BV8,0)</f>
        <v>1.37037037</v>
      </c>
      <c r="BW8" s="11">
        <f>IFERROR('Import-dataset'!BW9/'Import-dataset'!BW8,0)</f>
        <v>1</v>
      </c>
      <c r="BX8" s="11">
        <f>IFERROR('Import-dataset'!BX9/'Import-dataset'!BX8,0)</f>
        <v>0</v>
      </c>
      <c r="BY8" s="11">
        <f>IFERROR('Import-dataset'!BY9/'Import-dataset'!BY8,0)</f>
        <v>0.9085144928</v>
      </c>
      <c r="BZ8" s="11">
        <f>IFERROR('Import-dataset'!BZ9/'Import-dataset'!BZ8,0)</f>
        <v>1.03030303</v>
      </c>
      <c r="CA8" s="11">
        <f>IFERROR('Import-dataset'!CA9/'Import-dataset'!CA8,0)</f>
        <v>1.124344488</v>
      </c>
    </row>
    <row r="9">
      <c r="A9" s="9" t="str">
        <f>'Import-dataset'!A10</f>
        <v>Y1994</v>
      </c>
      <c r="B9" s="11">
        <f>IFERROR('Import-dataset'!B10/'Import-dataset'!B9,0)</f>
        <v>1.084838303</v>
      </c>
      <c r="C9" s="11">
        <f>IFERROR('Import-dataset'!C10/'Import-dataset'!C9,0)</f>
        <v>1.246153846</v>
      </c>
      <c r="D9" s="11">
        <f>IFERROR('Import-dataset'!D10/'Import-dataset'!D9,0)</f>
        <v>1.076923077</v>
      </c>
      <c r="E9" s="11">
        <f>IFERROR('Import-dataset'!E10/'Import-dataset'!E9,0)</f>
        <v>1.012578616</v>
      </c>
      <c r="F9" s="11">
        <f>IFERROR('Import-dataset'!F10/'Import-dataset'!F9,0)</f>
        <v>1.081784387</v>
      </c>
      <c r="G9" s="11">
        <f>IFERROR('Import-dataset'!G10/'Import-dataset'!G9,0)</f>
        <v>1.064748201</v>
      </c>
      <c r="H9" s="11">
        <f>IFERROR('Import-dataset'!H10/'Import-dataset'!H9,0)</f>
        <v>1.005988024</v>
      </c>
      <c r="I9" s="11">
        <f>IFERROR('Import-dataset'!I10/'Import-dataset'!I9,0)</f>
        <v>1.02739726</v>
      </c>
      <c r="J9" s="11">
        <f>IFERROR('Import-dataset'!J10/'Import-dataset'!J9,0)</f>
        <v>1.220670391</v>
      </c>
      <c r="K9" s="11">
        <f>IFERROR('Import-dataset'!K10/'Import-dataset'!K9,0)</f>
        <v>1.229885057</v>
      </c>
      <c r="L9" s="11">
        <f>IFERROR('Import-dataset'!L10/'Import-dataset'!L9,0)</f>
        <v>1.056872038</v>
      </c>
      <c r="M9" s="11">
        <f>IFERROR('Import-dataset'!M10/'Import-dataset'!M9,0)</f>
        <v>1.110864745</v>
      </c>
      <c r="N9" s="11">
        <f>IFERROR('Import-dataset'!N10/'Import-dataset'!N9,0)</f>
        <v>1.062893082</v>
      </c>
      <c r="O9" s="11">
        <f>IFERROR('Import-dataset'!O10/'Import-dataset'!O9,0)</f>
        <v>1.22556391</v>
      </c>
      <c r="P9" s="11">
        <f>IFERROR('Import-dataset'!P10/'Import-dataset'!P9,0)</f>
        <v>1.065891473</v>
      </c>
      <c r="Q9" s="11">
        <f>IFERROR('Import-dataset'!Q10/'Import-dataset'!Q9,0)</f>
        <v>1</v>
      </c>
      <c r="R9" s="11">
        <f>IFERROR('Import-dataset'!R10/'Import-dataset'!R9,0)</f>
        <v>1.615384615</v>
      </c>
      <c r="S9" s="11">
        <f>IFERROR('Import-dataset'!S10/'Import-dataset'!S9,0)</f>
        <v>1.153153153</v>
      </c>
      <c r="T9" s="11">
        <f>IFERROR('Import-dataset'!T10/'Import-dataset'!T9,0)</f>
        <v>0.9279141104</v>
      </c>
      <c r="U9" s="11">
        <f>IFERROR('Import-dataset'!U10/'Import-dataset'!U9,0)</f>
        <v>0.9290780142</v>
      </c>
      <c r="V9" s="11">
        <f>IFERROR('Import-dataset'!V10/'Import-dataset'!V9,0)</f>
        <v>1.137254902</v>
      </c>
      <c r="W9" s="11">
        <f>IFERROR('Import-dataset'!W10/'Import-dataset'!W9,0)</f>
        <v>1.172661871</v>
      </c>
      <c r="X9" s="11">
        <f>IFERROR('Import-dataset'!X10/'Import-dataset'!X9,0)</f>
        <v>1.3203125</v>
      </c>
      <c r="Y9" s="11">
        <f>IFERROR('Import-dataset'!Y10/'Import-dataset'!Y9,0)</f>
        <v>1.103225806</v>
      </c>
      <c r="Z9" s="11">
        <f>IFERROR('Import-dataset'!Z10/'Import-dataset'!Z9,0)</f>
        <v>0.8546739984</v>
      </c>
      <c r="AA9" s="11">
        <f>IFERROR('Import-dataset'!AA10/'Import-dataset'!AA9,0)</f>
        <v>1.625</v>
      </c>
      <c r="AB9" s="11">
        <f>IFERROR('Import-dataset'!AB10/'Import-dataset'!AB9,0)</f>
        <v>0.8495107115</v>
      </c>
      <c r="AC9" s="11">
        <f>IFERROR('Import-dataset'!AC10/'Import-dataset'!AC9,0)</f>
        <v>1.181818182</v>
      </c>
      <c r="AD9" s="11">
        <f>IFERROR('Import-dataset'!AD10/'Import-dataset'!AD9,0)</f>
        <v>1.066326531</v>
      </c>
      <c r="AE9" s="11">
        <f>IFERROR('Import-dataset'!AE10/'Import-dataset'!AE9,0)</f>
        <v>0</v>
      </c>
      <c r="AF9" s="11">
        <f>IFERROR('Import-dataset'!AF10/'Import-dataset'!AF9,0)</f>
        <v>1.044692737</v>
      </c>
      <c r="AG9" s="11">
        <f>IFERROR('Import-dataset'!AG10/'Import-dataset'!AG9,0)</f>
        <v>1.176470588</v>
      </c>
      <c r="AH9" s="11">
        <f>IFERROR('Import-dataset'!AH10/'Import-dataset'!AH9,0)</f>
        <v>1.075405524</v>
      </c>
      <c r="AI9" s="11">
        <f>IFERROR('Import-dataset'!AI10/'Import-dataset'!AI9,0)</f>
        <v>1.144198524</v>
      </c>
      <c r="AJ9" s="11">
        <f>IFERROR('Import-dataset'!AJ10/'Import-dataset'!AJ9,0)</f>
        <v>0.793814433</v>
      </c>
      <c r="AK9" s="11">
        <f>IFERROR('Import-dataset'!AK10/'Import-dataset'!AK9,0)</f>
        <v>1.059701493</v>
      </c>
      <c r="AL9" s="11">
        <f>IFERROR('Import-dataset'!AL10/'Import-dataset'!AL9,0)</f>
        <v>1.079684135</v>
      </c>
      <c r="AM9" s="11">
        <f>IFERROR('Import-dataset'!AM10/'Import-dataset'!AM9,0)</f>
        <v>1.114052953</v>
      </c>
      <c r="AN9" s="11">
        <f>IFERROR('Import-dataset'!AN10/'Import-dataset'!AN9,0)</f>
        <v>1.178191489</v>
      </c>
      <c r="AO9" s="11">
        <f>IFERROR('Import-dataset'!AO10/'Import-dataset'!AO9,0)</f>
        <v>1.104395604</v>
      </c>
      <c r="AP9" s="11">
        <f>IFERROR('Import-dataset'!AP10/'Import-dataset'!AP9,0)</f>
        <v>1.099009901</v>
      </c>
      <c r="AQ9" s="11">
        <f>IFERROR('Import-dataset'!AQ10/'Import-dataset'!AQ9,0)</f>
        <v>1.03686088</v>
      </c>
      <c r="AR9" s="11">
        <f>IFERROR('Import-dataset'!AR10/'Import-dataset'!AR9,0)</f>
        <v>1.09653059</v>
      </c>
      <c r="AS9" s="11">
        <f>IFERROR('Import-dataset'!AS10/'Import-dataset'!AS9,0)</f>
        <v>1.138686131</v>
      </c>
      <c r="AT9" s="11">
        <f>IFERROR('Import-dataset'!AT10/'Import-dataset'!AT9,0)</f>
        <v>1.130237826</v>
      </c>
      <c r="AU9" s="11">
        <f>IFERROR('Import-dataset'!AU10/'Import-dataset'!AU9,0)</f>
        <v>1.113138686</v>
      </c>
      <c r="AV9" s="11">
        <f>IFERROR('Import-dataset'!AV10/'Import-dataset'!AV9,0)</f>
        <v>1.103703704</v>
      </c>
      <c r="AW9" s="11">
        <f>IFERROR('Import-dataset'!AW10/'Import-dataset'!AW9,0)</f>
        <v>1.072463768</v>
      </c>
      <c r="AX9" s="11">
        <f>IFERROR('Import-dataset'!AX10/'Import-dataset'!AX9,0)</f>
        <v>1.102119461</v>
      </c>
      <c r="AY9" s="11">
        <f>IFERROR('Import-dataset'!AY10/'Import-dataset'!AY9,0)</f>
        <v>1.060693642</v>
      </c>
      <c r="AZ9" s="11">
        <f>IFERROR('Import-dataset'!AZ10/'Import-dataset'!AZ9,0)</f>
        <v>1.235294118</v>
      </c>
      <c r="BA9" s="11">
        <f>IFERROR('Import-dataset'!BA10/'Import-dataset'!BA9,0)</f>
        <v>1.076345432</v>
      </c>
      <c r="BB9" s="11">
        <f>IFERROR('Import-dataset'!BB10/'Import-dataset'!BB9,0)</f>
        <v>1.143382085</v>
      </c>
      <c r="BC9" s="11">
        <f>IFERROR('Import-dataset'!BC10/'Import-dataset'!BC9,0)</f>
        <v>1.056456456</v>
      </c>
      <c r="BD9" s="11">
        <f>IFERROR('Import-dataset'!BD10/'Import-dataset'!BD9,0)</f>
        <v>1.229665072</v>
      </c>
      <c r="BE9" s="11">
        <f>IFERROR('Import-dataset'!BE10/'Import-dataset'!BE9,0)</f>
        <v>1.345679012</v>
      </c>
      <c r="BF9" s="11">
        <f>IFERROR('Import-dataset'!BF10/'Import-dataset'!BF9,0)</f>
        <v>1.142189781</v>
      </c>
      <c r="BG9" s="11">
        <f>IFERROR('Import-dataset'!BG10/'Import-dataset'!BG9,0)</f>
        <v>1.136582168</v>
      </c>
      <c r="BH9" s="11">
        <f>IFERROR('Import-dataset'!BH10/'Import-dataset'!BH9,0)</f>
        <v>1.155144695</v>
      </c>
      <c r="BI9" s="11">
        <f>IFERROR('Import-dataset'!BI10/'Import-dataset'!BI9,0)</f>
        <v>1.166044776</v>
      </c>
      <c r="BJ9" s="11">
        <f>IFERROR('Import-dataset'!BJ10/'Import-dataset'!BJ9,0)</f>
        <v>1.189395071</v>
      </c>
      <c r="BK9" s="11">
        <f>IFERROR('Import-dataset'!BK10/'Import-dataset'!BK9,0)</f>
        <v>0.8492407809</v>
      </c>
      <c r="BL9" s="11">
        <f>IFERROR('Import-dataset'!BL10/'Import-dataset'!BL9,0)</f>
        <v>1.085765842</v>
      </c>
      <c r="BM9" s="11">
        <f>IFERROR('Import-dataset'!BM10/'Import-dataset'!BM9,0)</f>
        <v>1.131868132</v>
      </c>
      <c r="BN9" s="11">
        <f>IFERROR('Import-dataset'!BN10/'Import-dataset'!BN9,0)</f>
        <v>1.151761518</v>
      </c>
      <c r="BO9" s="11">
        <f>IFERROR('Import-dataset'!BO10/'Import-dataset'!BO9,0)</f>
        <v>1.154411765</v>
      </c>
      <c r="BP9" s="11">
        <f>IFERROR('Import-dataset'!BP10/'Import-dataset'!BP9,0)</f>
        <v>1.063961486</v>
      </c>
      <c r="BQ9" s="11">
        <f>IFERROR('Import-dataset'!BQ10/'Import-dataset'!BQ9,0)</f>
        <v>1.081553398</v>
      </c>
      <c r="BR9" s="11">
        <f>IFERROR('Import-dataset'!BR10/'Import-dataset'!BR9,0)</f>
        <v>1.069174757</v>
      </c>
      <c r="BS9" s="11">
        <f>IFERROR('Import-dataset'!BS10/'Import-dataset'!BS9,0)</f>
        <v>1.11328125</v>
      </c>
      <c r="BT9" s="11">
        <f>IFERROR('Import-dataset'!BT10/'Import-dataset'!BT9,0)</f>
        <v>1.081122062</v>
      </c>
      <c r="BU9" s="11">
        <f>IFERROR('Import-dataset'!BU10/'Import-dataset'!BU9,0)</f>
        <v>0.7763751127</v>
      </c>
      <c r="BV9" s="11">
        <f>IFERROR('Import-dataset'!BV10/'Import-dataset'!BV9,0)</f>
        <v>0.6756756757</v>
      </c>
      <c r="BW9" s="11">
        <f>IFERROR('Import-dataset'!BW10/'Import-dataset'!BW9,0)</f>
        <v>1</v>
      </c>
      <c r="BX9" s="11">
        <f>IFERROR('Import-dataset'!BX10/'Import-dataset'!BX9,0)</f>
        <v>0</v>
      </c>
      <c r="BY9" s="11">
        <f>IFERROR('Import-dataset'!BY10/'Import-dataset'!BY9,0)</f>
        <v>0.7706879362</v>
      </c>
      <c r="BZ9" s="11">
        <f>IFERROR('Import-dataset'!BZ10/'Import-dataset'!BZ9,0)</f>
        <v>0.9117647059</v>
      </c>
      <c r="CA9" s="11">
        <f>IFERROR('Import-dataset'!CA10/'Import-dataset'!CA9,0)</f>
        <v>1.091535638</v>
      </c>
    </row>
    <row r="10">
      <c r="A10" s="9" t="str">
        <f>'Import-dataset'!A11</f>
        <v>Y1995</v>
      </c>
      <c r="B10" s="11">
        <f>IFERROR('Import-dataset'!B11/'Import-dataset'!B10,0)</f>
        <v>1.140921409</v>
      </c>
      <c r="C10" s="11">
        <f>IFERROR('Import-dataset'!C11/'Import-dataset'!C10,0)</f>
        <v>1.308641975</v>
      </c>
      <c r="D10" s="11">
        <f>IFERROR('Import-dataset'!D11/'Import-dataset'!D10,0)</f>
        <v>1.214285714</v>
      </c>
      <c r="E10" s="11">
        <f>IFERROR('Import-dataset'!E11/'Import-dataset'!E10,0)</f>
        <v>1.149068323</v>
      </c>
      <c r="F10" s="11">
        <f>IFERROR('Import-dataset'!F11/'Import-dataset'!F10,0)</f>
        <v>1.027491409</v>
      </c>
      <c r="G10" s="11">
        <f>IFERROR('Import-dataset'!G11/'Import-dataset'!G10,0)</f>
        <v>1.472972973</v>
      </c>
      <c r="H10" s="11">
        <f>IFERROR('Import-dataset'!H11/'Import-dataset'!H10,0)</f>
        <v>1.140873016</v>
      </c>
      <c r="I10" s="11">
        <f>IFERROR('Import-dataset'!I11/'Import-dataset'!I10,0)</f>
        <v>1.173333333</v>
      </c>
      <c r="J10" s="11">
        <f>IFERROR('Import-dataset'!J11/'Import-dataset'!J10,0)</f>
        <v>1.201372998</v>
      </c>
      <c r="K10" s="11">
        <f>IFERROR('Import-dataset'!K11/'Import-dataset'!K10,0)</f>
        <v>0.9719626168</v>
      </c>
      <c r="L10" s="11">
        <f>IFERROR('Import-dataset'!L11/'Import-dataset'!L10,0)</f>
        <v>1.114349776</v>
      </c>
      <c r="M10" s="11">
        <f>IFERROR('Import-dataset'!M11/'Import-dataset'!M10,0)</f>
        <v>1.005988024</v>
      </c>
      <c r="N10" s="11">
        <f>IFERROR('Import-dataset'!N11/'Import-dataset'!N10,0)</f>
        <v>1.00887574</v>
      </c>
      <c r="O10" s="11">
        <f>IFERROR('Import-dataset'!O11/'Import-dataset'!O10,0)</f>
        <v>1</v>
      </c>
      <c r="P10" s="11">
        <f>IFERROR('Import-dataset'!P11/'Import-dataset'!P10,0)</f>
        <v>1.058181818</v>
      </c>
      <c r="Q10" s="11">
        <f>IFERROR('Import-dataset'!Q11/'Import-dataset'!Q10,0)</f>
        <v>0.25</v>
      </c>
      <c r="R10" s="11">
        <f>IFERROR('Import-dataset'!R11/'Import-dataset'!R10,0)</f>
        <v>1.247619048</v>
      </c>
      <c r="S10" s="11">
        <f>IFERROR('Import-dataset'!S11/'Import-dataset'!S10,0)</f>
        <v>1.296875</v>
      </c>
      <c r="T10" s="11">
        <f>IFERROR('Import-dataset'!T11/'Import-dataset'!T10,0)</f>
        <v>0.8628099174</v>
      </c>
      <c r="U10" s="11">
        <f>IFERROR('Import-dataset'!U11/'Import-dataset'!U10,0)</f>
        <v>1.564885496</v>
      </c>
      <c r="V10" s="11">
        <f>IFERROR('Import-dataset'!V11/'Import-dataset'!V10,0)</f>
        <v>1.045977011</v>
      </c>
      <c r="W10" s="11">
        <f>IFERROR('Import-dataset'!W11/'Import-dataset'!W10,0)</f>
        <v>0.963190184</v>
      </c>
      <c r="X10" s="11">
        <f>IFERROR('Import-dataset'!X11/'Import-dataset'!X10,0)</f>
        <v>1.076923077</v>
      </c>
      <c r="Y10" s="11">
        <f>IFERROR('Import-dataset'!Y11/'Import-dataset'!Y10,0)</f>
        <v>1.169590643</v>
      </c>
      <c r="Z10" s="11">
        <f>IFERROR('Import-dataset'!Z11/'Import-dataset'!Z10,0)</f>
        <v>1.190870098</v>
      </c>
      <c r="AA10" s="11">
        <f>IFERROR('Import-dataset'!AA11/'Import-dataset'!AA10,0)</f>
        <v>0.5384615385</v>
      </c>
      <c r="AB10" s="11">
        <f>IFERROR('Import-dataset'!AB11/'Import-dataset'!AB10,0)</f>
        <v>1.190224159</v>
      </c>
      <c r="AC10" s="11">
        <f>IFERROR('Import-dataset'!AC11/'Import-dataset'!AC10,0)</f>
        <v>1.923076923</v>
      </c>
      <c r="AD10" s="11">
        <f>IFERROR('Import-dataset'!AD11/'Import-dataset'!AD10,0)</f>
        <v>1.200956938</v>
      </c>
      <c r="AE10" s="11">
        <f>IFERROR('Import-dataset'!AE11/'Import-dataset'!AE10,0)</f>
        <v>1</v>
      </c>
      <c r="AF10" s="11">
        <f>IFERROR('Import-dataset'!AF11/'Import-dataset'!AF10,0)</f>
        <v>1.20855615</v>
      </c>
      <c r="AG10" s="11">
        <f>IFERROR('Import-dataset'!AG11/'Import-dataset'!AG10,0)</f>
        <v>1.15</v>
      </c>
      <c r="AH10" s="11">
        <f>IFERROR('Import-dataset'!AH11/'Import-dataset'!AH10,0)</f>
        <v>1.168501155</v>
      </c>
      <c r="AI10" s="11">
        <f>IFERROR('Import-dataset'!AI11/'Import-dataset'!AI10,0)</f>
        <v>1.09144197</v>
      </c>
      <c r="AJ10" s="11">
        <f>IFERROR('Import-dataset'!AJ11/'Import-dataset'!AJ10,0)</f>
        <v>1.725108225</v>
      </c>
      <c r="AK10" s="11">
        <f>IFERROR('Import-dataset'!AK11/'Import-dataset'!AK10,0)</f>
        <v>1.042253521</v>
      </c>
      <c r="AL10" s="11">
        <f>IFERROR('Import-dataset'!AL11/'Import-dataset'!AL10,0)</f>
        <v>1.124335106</v>
      </c>
      <c r="AM10" s="11">
        <f>IFERROR('Import-dataset'!AM11/'Import-dataset'!AM10,0)</f>
        <v>1.093235832</v>
      </c>
      <c r="AN10" s="11">
        <f>IFERROR('Import-dataset'!AN11/'Import-dataset'!AN10,0)</f>
        <v>1.318284424</v>
      </c>
      <c r="AO10" s="11">
        <f>IFERROR('Import-dataset'!AO11/'Import-dataset'!AO10,0)</f>
        <v>1.218905473</v>
      </c>
      <c r="AP10" s="11">
        <f>IFERROR('Import-dataset'!AP11/'Import-dataset'!AP10,0)</f>
        <v>1.162162162</v>
      </c>
      <c r="AQ10" s="11">
        <f>IFERROR('Import-dataset'!AQ11/'Import-dataset'!AQ10,0)</f>
        <v>1.081422018</v>
      </c>
      <c r="AR10" s="11">
        <f>IFERROR('Import-dataset'!AR11/'Import-dataset'!AR10,0)</f>
        <v>1.133147021</v>
      </c>
      <c r="AS10" s="11">
        <f>IFERROR('Import-dataset'!AS11/'Import-dataset'!AS10,0)</f>
        <v>1.076923077</v>
      </c>
      <c r="AT10" s="11">
        <f>IFERROR('Import-dataset'!AT11/'Import-dataset'!AT10,0)</f>
        <v>1.086172345</v>
      </c>
      <c r="AU10" s="11">
        <f>IFERROR('Import-dataset'!AU11/'Import-dataset'!AU10,0)</f>
        <v>1.072131148</v>
      </c>
      <c r="AV10" s="11">
        <f>IFERROR('Import-dataset'!AV11/'Import-dataset'!AV10,0)</f>
        <v>1.249542404</v>
      </c>
      <c r="AW10" s="11">
        <f>IFERROR('Import-dataset'!AW11/'Import-dataset'!AW10,0)</f>
        <v>1.02027027</v>
      </c>
      <c r="AX10" s="11">
        <f>IFERROR('Import-dataset'!AX11/'Import-dataset'!AX10,0)</f>
        <v>1.058566434</v>
      </c>
      <c r="AY10" s="11">
        <f>IFERROR('Import-dataset'!AY11/'Import-dataset'!AY10,0)</f>
        <v>1.325158946</v>
      </c>
      <c r="AZ10" s="11">
        <f>IFERROR('Import-dataset'!AZ11/'Import-dataset'!AZ10,0)</f>
        <v>1.171768707</v>
      </c>
      <c r="BA10" s="11">
        <f>IFERROR('Import-dataset'!BA11/'Import-dataset'!BA10,0)</f>
        <v>1.134302326</v>
      </c>
      <c r="BB10" s="11">
        <f>IFERROR('Import-dataset'!BB11/'Import-dataset'!BB10,0)</f>
        <v>1.158016992</v>
      </c>
      <c r="BC10" s="11">
        <f>IFERROR('Import-dataset'!BC11/'Import-dataset'!BC10,0)</f>
        <v>1.048891416</v>
      </c>
      <c r="BD10" s="11">
        <f>IFERROR('Import-dataset'!BD11/'Import-dataset'!BD10,0)</f>
        <v>1.171505537</v>
      </c>
      <c r="BE10" s="11">
        <f>IFERROR('Import-dataset'!BE11/'Import-dataset'!BE10,0)</f>
        <v>1.279816514</v>
      </c>
      <c r="BF10" s="11">
        <f>IFERROR('Import-dataset'!BF11/'Import-dataset'!BF10,0)</f>
        <v>1.119376278</v>
      </c>
      <c r="BG10" s="11">
        <f>IFERROR('Import-dataset'!BG11/'Import-dataset'!BG10,0)</f>
        <v>1.147663911</v>
      </c>
      <c r="BH10" s="11">
        <f>IFERROR('Import-dataset'!BH11/'Import-dataset'!BH10,0)</f>
        <v>1.281837161</v>
      </c>
      <c r="BI10" s="11">
        <f>IFERROR('Import-dataset'!BI11/'Import-dataset'!BI10,0)</f>
        <v>1.210971429</v>
      </c>
      <c r="BJ10" s="11">
        <f>IFERROR('Import-dataset'!BJ11/'Import-dataset'!BJ10,0)</f>
        <v>1.059022981</v>
      </c>
      <c r="BK10" s="11">
        <f>IFERROR('Import-dataset'!BK11/'Import-dataset'!BK10,0)</f>
        <v>1.477011494</v>
      </c>
      <c r="BL10" s="11">
        <f>IFERROR('Import-dataset'!BL11/'Import-dataset'!BL10,0)</f>
        <v>1.07175677</v>
      </c>
      <c r="BM10" s="11">
        <f>IFERROR('Import-dataset'!BM11/'Import-dataset'!BM10,0)</f>
        <v>1.058252427</v>
      </c>
      <c r="BN10" s="11">
        <f>IFERROR('Import-dataset'!BN11/'Import-dataset'!BN10,0)</f>
        <v>1.075294118</v>
      </c>
      <c r="BO10" s="11">
        <f>IFERROR('Import-dataset'!BO11/'Import-dataset'!BO10,0)</f>
        <v>1.143312102</v>
      </c>
      <c r="BP10" s="11">
        <f>IFERROR('Import-dataset'!BP11/'Import-dataset'!BP10,0)</f>
        <v>1.100840336</v>
      </c>
      <c r="BQ10" s="11">
        <f>IFERROR('Import-dataset'!BQ11/'Import-dataset'!BQ10,0)</f>
        <v>1.019748654</v>
      </c>
      <c r="BR10" s="11">
        <f>IFERROR('Import-dataset'!BR11/'Import-dataset'!BR10,0)</f>
        <v>1.070942111</v>
      </c>
      <c r="BS10" s="11">
        <f>IFERROR('Import-dataset'!BS11/'Import-dataset'!BS10,0)</f>
        <v>1.078947368</v>
      </c>
      <c r="BT10" s="11">
        <f>IFERROR('Import-dataset'!BT11/'Import-dataset'!BT10,0)</f>
        <v>1.061477326</v>
      </c>
      <c r="BU10" s="11">
        <f>IFERROR('Import-dataset'!BU11/'Import-dataset'!BU10,0)</f>
        <v>0.9605110337</v>
      </c>
      <c r="BV10" s="11">
        <f>IFERROR('Import-dataset'!BV11/'Import-dataset'!BV10,0)</f>
        <v>1.08</v>
      </c>
      <c r="BW10" s="11">
        <f>IFERROR('Import-dataset'!BW11/'Import-dataset'!BW10,0)</f>
        <v>1</v>
      </c>
      <c r="BX10" s="11">
        <f>IFERROR('Import-dataset'!BX11/'Import-dataset'!BX10,0)</f>
        <v>0</v>
      </c>
      <c r="BY10" s="11">
        <f>IFERROR('Import-dataset'!BY11/'Import-dataset'!BY10,0)</f>
        <v>0.9456662354</v>
      </c>
      <c r="BZ10" s="11">
        <f>IFERROR('Import-dataset'!BZ11/'Import-dataset'!BZ10,0)</f>
        <v>1.096774194</v>
      </c>
      <c r="CA10" s="11">
        <f>IFERROR('Import-dataset'!CA11/'Import-dataset'!CA10,0)</f>
        <v>1.137558368</v>
      </c>
    </row>
    <row r="11">
      <c r="A11" s="9" t="str">
        <f>'Import-dataset'!A12</f>
        <v>Y1996</v>
      </c>
      <c r="B11" s="11">
        <f>IFERROR('Import-dataset'!B12/'Import-dataset'!B11,0)</f>
        <v>0.9904988124</v>
      </c>
      <c r="C11" s="11">
        <f>IFERROR('Import-dataset'!C12/'Import-dataset'!C11,0)</f>
        <v>0.8679245283</v>
      </c>
      <c r="D11" s="11">
        <f>IFERROR('Import-dataset'!D12/'Import-dataset'!D11,0)</f>
        <v>1.098039216</v>
      </c>
      <c r="E11" s="11">
        <f>IFERROR('Import-dataset'!E12/'Import-dataset'!E11,0)</f>
        <v>1.086486486</v>
      </c>
      <c r="F11" s="11">
        <f>IFERROR('Import-dataset'!F12/'Import-dataset'!F11,0)</f>
        <v>1.011705686</v>
      </c>
      <c r="G11" s="11">
        <f>IFERROR('Import-dataset'!G12/'Import-dataset'!G11,0)</f>
        <v>0.7568807339</v>
      </c>
      <c r="H11" s="11">
        <f>IFERROR('Import-dataset'!H12/'Import-dataset'!H11,0)</f>
        <v>1.03826087</v>
      </c>
      <c r="I11" s="11">
        <f>IFERROR('Import-dataset'!I12/'Import-dataset'!I11,0)</f>
        <v>0.9886363636</v>
      </c>
      <c r="J11" s="11">
        <f>IFERROR('Import-dataset'!J12/'Import-dataset'!J11,0)</f>
        <v>0.9219047619</v>
      </c>
      <c r="K11" s="11">
        <f>IFERROR('Import-dataset'!K12/'Import-dataset'!K11,0)</f>
        <v>1.009615385</v>
      </c>
      <c r="L11" s="11">
        <f>IFERROR('Import-dataset'!L12/'Import-dataset'!L11,0)</f>
        <v>1.060362173</v>
      </c>
      <c r="M11" s="11">
        <f>IFERROR('Import-dataset'!M12/'Import-dataset'!M11,0)</f>
        <v>1.013888889</v>
      </c>
      <c r="N11" s="11">
        <f>IFERROR('Import-dataset'!N12/'Import-dataset'!N11,0)</f>
        <v>1</v>
      </c>
      <c r="O11" s="11">
        <f>IFERROR('Import-dataset'!O12/'Import-dataset'!O11,0)</f>
        <v>1.042944785</v>
      </c>
      <c r="P11" s="11">
        <f>IFERROR('Import-dataset'!P12/'Import-dataset'!P11,0)</f>
        <v>0.8608247423</v>
      </c>
      <c r="Q11" s="11">
        <f>IFERROR('Import-dataset'!Q12/'Import-dataset'!Q11,0)</f>
        <v>0</v>
      </c>
      <c r="R11" s="11">
        <f>IFERROR('Import-dataset'!R12/'Import-dataset'!R11,0)</f>
        <v>0.7633587786</v>
      </c>
      <c r="S11" s="11">
        <f>IFERROR('Import-dataset'!S12/'Import-dataset'!S11,0)</f>
        <v>0.8674698795</v>
      </c>
      <c r="T11" s="11">
        <f>IFERROR('Import-dataset'!T12/'Import-dataset'!T11,0)</f>
        <v>0.8026819923</v>
      </c>
      <c r="U11" s="11">
        <f>IFERROR('Import-dataset'!U12/'Import-dataset'!U11,0)</f>
        <v>0.756097561</v>
      </c>
      <c r="V11" s="11">
        <f>IFERROR('Import-dataset'!V12/'Import-dataset'!V11,0)</f>
        <v>0.9120879121</v>
      </c>
      <c r="W11" s="11">
        <f>IFERROR('Import-dataset'!W12/'Import-dataset'!W11,0)</f>
        <v>0.8343949045</v>
      </c>
      <c r="X11" s="11">
        <f>IFERROR('Import-dataset'!X12/'Import-dataset'!X11,0)</f>
        <v>0.9395604396</v>
      </c>
      <c r="Y11" s="11">
        <f>IFERROR('Import-dataset'!Y12/'Import-dataset'!Y11,0)</f>
        <v>1.085</v>
      </c>
      <c r="Z11" s="11">
        <f>IFERROR('Import-dataset'!Z12/'Import-dataset'!Z11,0)</f>
        <v>1.260097762</v>
      </c>
      <c r="AA11" s="11">
        <f>IFERROR('Import-dataset'!AA12/'Import-dataset'!AA11,0)</f>
        <v>1.071428571</v>
      </c>
      <c r="AB11" s="11">
        <f>IFERROR('Import-dataset'!AB12/'Import-dataset'!AB11,0)</f>
        <v>1.255558462</v>
      </c>
      <c r="AC11" s="11">
        <f>IFERROR('Import-dataset'!AC12/'Import-dataset'!AC11,0)</f>
        <v>1.66</v>
      </c>
      <c r="AD11" s="11">
        <f>IFERROR('Import-dataset'!AD12/'Import-dataset'!AD11,0)</f>
        <v>1.047808765</v>
      </c>
      <c r="AE11" s="11">
        <f>IFERROR('Import-dataset'!AE12/'Import-dataset'!AE11,0)</f>
        <v>2</v>
      </c>
      <c r="AF11" s="11">
        <f>IFERROR('Import-dataset'!AF12/'Import-dataset'!AF11,0)</f>
        <v>1.044247788</v>
      </c>
      <c r="AG11" s="11">
        <f>IFERROR('Import-dataset'!AG12/'Import-dataset'!AG11,0)</f>
        <v>1</v>
      </c>
      <c r="AH11" s="11">
        <f>IFERROR('Import-dataset'!AH12/'Import-dataset'!AH11,0)</f>
        <v>1.055704152</v>
      </c>
      <c r="AI11" s="11">
        <f>IFERROR('Import-dataset'!AI12/'Import-dataset'!AI11,0)</f>
        <v>1.077873255</v>
      </c>
      <c r="AJ11" s="11">
        <f>IFERROR('Import-dataset'!AJ12/'Import-dataset'!AJ11,0)</f>
        <v>0.9974905897</v>
      </c>
      <c r="AK11" s="11">
        <f>IFERROR('Import-dataset'!AK12/'Import-dataset'!AK11,0)</f>
        <v>1.091891892</v>
      </c>
      <c r="AL11" s="11">
        <f>IFERROR('Import-dataset'!AL12/'Import-dataset'!AL11,0)</f>
        <v>1.14547605</v>
      </c>
      <c r="AM11" s="11">
        <f>IFERROR('Import-dataset'!AM12/'Import-dataset'!AM11,0)</f>
        <v>1.04180602</v>
      </c>
      <c r="AN11" s="11">
        <f>IFERROR('Import-dataset'!AN12/'Import-dataset'!AN11,0)</f>
        <v>1.27739726</v>
      </c>
      <c r="AO11" s="11">
        <f>IFERROR('Import-dataset'!AO12/'Import-dataset'!AO11,0)</f>
        <v>0.8867346939</v>
      </c>
      <c r="AP11" s="11">
        <f>IFERROR('Import-dataset'!AP12/'Import-dataset'!AP11,0)</f>
        <v>0.9289405685</v>
      </c>
      <c r="AQ11" s="11">
        <f>IFERROR('Import-dataset'!AQ12/'Import-dataset'!AQ11,0)</f>
        <v>1.037115589</v>
      </c>
      <c r="AR11" s="11">
        <f>IFERROR('Import-dataset'!AR12/'Import-dataset'!AR11,0)</f>
        <v>0.9345547432</v>
      </c>
      <c r="AS11" s="11">
        <f>IFERROR('Import-dataset'!AS12/'Import-dataset'!AS11,0)</f>
        <v>0.9464285714</v>
      </c>
      <c r="AT11" s="11">
        <f>IFERROR('Import-dataset'!AT12/'Import-dataset'!AT11,0)</f>
        <v>1.032287823</v>
      </c>
      <c r="AU11" s="11">
        <f>IFERROR('Import-dataset'!AU12/'Import-dataset'!AU11,0)</f>
        <v>0.9755351682</v>
      </c>
      <c r="AV11" s="11">
        <f>IFERROR('Import-dataset'!AV12/'Import-dataset'!AV11,0)</f>
        <v>0.8642578125</v>
      </c>
      <c r="AW11" s="11">
        <f>IFERROR('Import-dataset'!AW12/'Import-dataset'!AW11,0)</f>
        <v>0.9598509934</v>
      </c>
      <c r="AX11" s="11">
        <f>IFERROR('Import-dataset'!AX12/'Import-dataset'!AX11,0)</f>
        <v>0.9975227085</v>
      </c>
      <c r="AY11" s="11">
        <f>IFERROR('Import-dataset'!AY12/'Import-dataset'!AY11,0)</f>
        <v>0.8663468129</v>
      </c>
      <c r="AZ11" s="11">
        <f>IFERROR('Import-dataset'!AZ12/'Import-dataset'!AZ11,0)</f>
        <v>0.8722786647</v>
      </c>
      <c r="BA11" s="11">
        <f>IFERROR('Import-dataset'!BA12/'Import-dataset'!BA11,0)</f>
        <v>0.9487442337</v>
      </c>
      <c r="BB11" s="11">
        <f>IFERROR('Import-dataset'!BB12/'Import-dataset'!BB11,0)</f>
        <v>1.011540681</v>
      </c>
      <c r="BC11" s="11">
        <f>IFERROR('Import-dataset'!BC12/'Import-dataset'!BC11,0)</f>
        <v>1.104065041</v>
      </c>
      <c r="BD11" s="11">
        <f>IFERROR('Import-dataset'!BD12/'Import-dataset'!BD11,0)</f>
        <v>1.049310169</v>
      </c>
      <c r="BE11" s="11">
        <f>IFERROR('Import-dataset'!BE12/'Import-dataset'!BE11,0)</f>
        <v>1.086021505</v>
      </c>
      <c r="BF11" s="11">
        <f>IFERROR('Import-dataset'!BF12/'Import-dataset'!BF11,0)</f>
        <v>1.042932176</v>
      </c>
      <c r="BG11" s="11">
        <f>IFERROR('Import-dataset'!BG12/'Import-dataset'!BG11,0)</f>
        <v>0.9854246943</v>
      </c>
      <c r="BH11" s="11">
        <f>IFERROR('Import-dataset'!BH12/'Import-dataset'!BH11,0)</f>
        <v>1.010857763</v>
      </c>
      <c r="BI11" s="11">
        <f>IFERROR('Import-dataset'!BI12/'Import-dataset'!BI11,0)</f>
        <v>0.9626274066</v>
      </c>
      <c r="BJ11" s="11">
        <f>IFERROR('Import-dataset'!BJ12/'Import-dataset'!BJ11,0)</f>
        <v>0.9774694652</v>
      </c>
      <c r="BK11" s="11">
        <f>IFERROR('Import-dataset'!BK12/'Import-dataset'!BK11,0)</f>
        <v>1.101167315</v>
      </c>
      <c r="BL11" s="11">
        <f>IFERROR('Import-dataset'!BL12/'Import-dataset'!BL11,0)</f>
        <v>1.008391864</v>
      </c>
      <c r="BM11" s="11">
        <f>IFERROR('Import-dataset'!BM12/'Import-dataset'!BM11,0)</f>
        <v>1.032110092</v>
      </c>
      <c r="BN11" s="11">
        <f>IFERROR('Import-dataset'!BN12/'Import-dataset'!BN11,0)</f>
        <v>1.083150985</v>
      </c>
      <c r="BO11" s="11">
        <f>IFERROR('Import-dataset'!BO12/'Import-dataset'!BO11,0)</f>
        <v>0.9554317549</v>
      </c>
      <c r="BP11" s="11">
        <f>IFERROR('Import-dataset'!BP12/'Import-dataset'!BP11,0)</f>
        <v>1.058132707</v>
      </c>
      <c r="BQ11" s="11">
        <f>IFERROR('Import-dataset'!BQ12/'Import-dataset'!BQ11,0)</f>
        <v>1.073943662</v>
      </c>
      <c r="BR11" s="11">
        <f>IFERROR('Import-dataset'!BR12/'Import-dataset'!BR11,0)</f>
        <v>1.002649709</v>
      </c>
      <c r="BS11" s="11">
        <f>IFERROR('Import-dataset'!BS12/'Import-dataset'!BS11,0)</f>
        <v>1.008943089</v>
      </c>
      <c r="BT11" s="11">
        <f>IFERROR('Import-dataset'!BT12/'Import-dataset'!BT11,0)</f>
        <v>0.9792997137</v>
      </c>
      <c r="BU11" s="11">
        <f>IFERROR('Import-dataset'!BU12/'Import-dataset'!BU11,0)</f>
        <v>0.9081015719</v>
      </c>
      <c r="BV11" s="11">
        <f>IFERROR('Import-dataset'!BV12/'Import-dataset'!BV11,0)</f>
        <v>1.148148148</v>
      </c>
      <c r="BW11" s="11">
        <f>IFERROR('Import-dataset'!BW12/'Import-dataset'!BW11,0)</f>
        <v>9</v>
      </c>
      <c r="BX11" s="11">
        <f>IFERROR('Import-dataset'!BX12/'Import-dataset'!BX11,0)</f>
        <v>0</v>
      </c>
      <c r="BY11" s="11">
        <f>IFERROR('Import-dataset'!BY12/'Import-dataset'!BY11,0)</f>
        <v>0.8796169631</v>
      </c>
      <c r="BZ11" s="11">
        <f>IFERROR('Import-dataset'!BZ12/'Import-dataset'!BZ11,0)</f>
        <v>1</v>
      </c>
      <c r="CA11" s="11">
        <f>IFERROR('Import-dataset'!CA12/'Import-dataset'!CA11,0)</f>
        <v>1.012017555</v>
      </c>
    </row>
    <row r="12">
      <c r="A12" s="9" t="str">
        <f>'Import-dataset'!A13</f>
        <v>Y1997</v>
      </c>
      <c r="B12" s="11">
        <f>IFERROR('Import-dataset'!B13/'Import-dataset'!B12,0)</f>
        <v>1.09352518</v>
      </c>
      <c r="C12" s="11">
        <f>IFERROR('Import-dataset'!C13/'Import-dataset'!C12,0)</f>
        <v>1.304347826</v>
      </c>
      <c r="D12" s="11">
        <f>IFERROR('Import-dataset'!D13/'Import-dataset'!D12,0)</f>
        <v>1.232142857</v>
      </c>
      <c r="E12" s="11">
        <f>IFERROR('Import-dataset'!E13/'Import-dataset'!E12,0)</f>
        <v>0.960199005</v>
      </c>
      <c r="F12" s="11">
        <f>IFERROR('Import-dataset'!F13/'Import-dataset'!F12,0)</f>
        <v>1.042975207</v>
      </c>
      <c r="G12" s="11">
        <f>IFERROR('Import-dataset'!G13/'Import-dataset'!G12,0)</f>
        <v>1.236363636</v>
      </c>
      <c r="H12" s="11">
        <f>IFERROR('Import-dataset'!H13/'Import-dataset'!H12,0)</f>
        <v>0.9882747069</v>
      </c>
      <c r="I12" s="11">
        <f>IFERROR('Import-dataset'!I13/'Import-dataset'!I12,0)</f>
        <v>1.034482759</v>
      </c>
      <c r="J12" s="11">
        <f>IFERROR('Import-dataset'!J13/'Import-dataset'!J12,0)</f>
        <v>1.202479339</v>
      </c>
      <c r="K12" s="11">
        <f>IFERROR('Import-dataset'!K13/'Import-dataset'!K12,0)</f>
        <v>1.276190476</v>
      </c>
      <c r="L12" s="11">
        <f>IFERROR('Import-dataset'!L13/'Import-dataset'!L12,0)</f>
        <v>1.098671727</v>
      </c>
      <c r="M12" s="11">
        <f>IFERROR('Import-dataset'!M13/'Import-dataset'!M12,0)</f>
        <v>1.064579256</v>
      </c>
      <c r="N12" s="11">
        <f>IFERROR('Import-dataset'!N13/'Import-dataset'!N12,0)</f>
        <v>1.175953079</v>
      </c>
      <c r="O12" s="11">
        <f>IFERROR('Import-dataset'!O13/'Import-dataset'!O12,0)</f>
        <v>0.8411764706</v>
      </c>
      <c r="P12" s="11">
        <f>IFERROR('Import-dataset'!P13/'Import-dataset'!P12,0)</f>
        <v>1.039254824</v>
      </c>
      <c r="Q12" s="11">
        <f>IFERROR('Import-dataset'!Q13/'Import-dataset'!Q12,0)</f>
        <v>0</v>
      </c>
      <c r="R12" s="11">
        <f>IFERROR('Import-dataset'!R13/'Import-dataset'!R12,0)</f>
        <v>0.91</v>
      </c>
      <c r="S12" s="11">
        <f>IFERROR('Import-dataset'!S13/'Import-dataset'!S12,0)</f>
        <v>0.9027777778</v>
      </c>
      <c r="T12" s="11">
        <f>IFERROR('Import-dataset'!T13/'Import-dataset'!T12,0)</f>
        <v>1.102625298</v>
      </c>
      <c r="U12" s="11">
        <f>IFERROR('Import-dataset'!U13/'Import-dataset'!U12,0)</f>
        <v>0.8</v>
      </c>
      <c r="V12" s="11">
        <f>IFERROR('Import-dataset'!V13/'Import-dataset'!V12,0)</f>
        <v>0.8975903614</v>
      </c>
      <c r="W12" s="11">
        <f>IFERROR('Import-dataset'!W13/'Import-dataset'!W12,0)</f>
        <v>1.259541985</v>
      </c>
      <c r="X12" s="11">
        <f>IFERROR('Import-dataset'!X13/'Import-dataset'!X12,0)</f>
        <v>1.16374269</v>
      </c>
      <c r="Y12" s="11">
        <f>IFERROR('Import-dataset'!Y13/'Import-dataset'!Y12,0)</f>
        <v>1.110599078</v>
      </c>
      <c r="Z12" s="11">
        <f>IFERROR('Import-dataset'!Z13/'Import-dataset'!Z12,0)</f>
        <v>1.025520621</v>
      </c>
      <c r="AA12" s="11">
        <f>IFERROR('Import-dataset'!AA13/'Import-dataset'!AA12,0)</f>
        <v>0.8666666667</v>
      </c>
      <c r="AB12" s="11">
        <f>IFERROR('Import-dataset'!AB13/'Import-dataset'!AB12,0)</f>
        <v>1.024166667</v>
      </c>
      <c r="AC12" s="11">
        <f>IFERROR('Import-dataset'!AC13/'Import-dataset'!AC12,0)</f>
        <v>1.13253012</v>
      </c>
      <c r="AD12" s="11">
        <f>IFERROR('Import-dataset'!AD13/'Import-dataset'!AD12,0)</f>
        <v>1.02661597</v>
      </c>
      <c r="AE12" s="11">
        <f>IFERROR('Import-dataset'!AE13/'Import-dataset'!AE12,0)</f>
        <v>2.25</v>
      </c>
      <c r="AF12" s="11">
        <f>IFERROR('Import-dataset'!AF13/'Import-dataset'!AF12,0)</f>
        <v>1.016949153</v>
      </c>
      <c r="AG12" s="11">
        <f>IFERROR('Import-dataset'!AG13/'Import-dataset'!AG12,0)</f>
        <v>0.9130434783</v>
      </c>
      <c r="AH12" s="11">
        <f>IFERROR('Import-dataset'!AH13/'Import-dataset'!AH12,0)</f>
        <v>1.035470368</v>
      </c>
      <c r="AI12" s="11">
        <f>IFERROR('Import-dataset'!AI13/'Import-dataset'!AI12,0)</f>
        <v>1.031390135</v>
      </c>
      <c r="AJ12" s="11">
        <f>IFERROR('Import-dataset'!AJ13/'Import-dataset'!AJ12,0)</f>
        <v>0.7974842767</v>
      </c>
      <c r="AK12" s="11">
        <f>IFERROR('Import-dataset'!AK13/'Import-dataset'!AK12,0)</f>
        <v>1.051980198</v>
      </c>
      <c r="AL12" s="11">
        <f>IFERROR('Import-dataset'!AL13/'Import-dataset'!AL12,0)</f>
        <v>1.143520909</v>
      </c>
      <c r="AM12" s="11">
        <f>IFERROR('Import-dataset'!AM13/'Import-dataset'!AM12,0)</f>
        <v>1.085072231</v>
      </c>
      <c r="AN12" s="11">
        <f>IFERROR('Import-dataset'!AN13/'Import-dataset'!AN12,0)</f>
        <v>0.8860589812</v>
      </c>
      <c r="AO12" s="11">
        <f>IFERROR('Import-dataset'!AO13/'Import-dataset'!AO12,0)</f>
        <v>1.065592635</v>
      </c>
      <c r="AP12" s="11">
        <f>IFERROR('Import-dataset'!AP13/'Import-dataset'!AP12,0)</f>
        <v>1.04867872</v>
      </c>
      <c r="AQ12" s="11">
        <f>IFERROR('Import-dataset'!AQ13/'Import-dataset'!AQ12,0)</f>
        <v>1.062372188</v>
      </c>
      <c r="AR12" s="11">
        <f>IFERROR('Import-dataset'!AR13/'Import-dataset'!AR12,0)</f>
        <v>1.086993402</v>
      </c>
      <c r="AS12" s="11">
        <f>IFERROR('Import-dataset'!AS13/'Import-dataset'!AS12,0)</f>
        <v>1</v>
      </c>
      <c r="AT12" s="11">
        <f>IFERROR('Import-dataset'!AT13/'Import-dataset'!AT12,0)</f>
        <v>1.021447721</v>
      </c>
      <c r="AU12" s="11">
        <f>IFERROR('Import-dataset'!AU13/'Import-dataset'!AU12,0)</f>
        <v>1.153605016</v>
      </c>
      <c r="AV12" s="11">
        <f>IFERROR('Import-dataset'!AV13/'Import-dataset'!AV12,0)</f>
        <v>1.03559322</v>
      </c>
      <c r="AW12" s="11">
        <f>IFERROR('Import-dataset'!AW13/'Import-dataset'!AW12,0)</f>
        <v>1.028460543</v>
      </c>
      <c r="AX12" s="11">
        <f>IFERROR('Import-dataset'!AX13/'Import-dataset'!AX12,0)</f>
        <v>1.105960265</v>
      </c>
      <c r="AY12" s="11">
        <f>IFERROR('Import-dataset'!AY13/'Import-dataset'!AY12,0)</f>
        <v>1.159810127</v>
      </c>
      <c r="AZ12" s="11">
        <f>IFERROR('Import-dataset'!AZ13/'Import-dataset'!AZ12,0)</f>
        <v>1.151414309</v>
      </c>
      <c r="BA12" s="11">
        <f>IFERROR('Import-dataset'!BA13/'Import-dataset'!BA12,0)</f>
        <v>1.162074554</v>
      </c>
      <c r="BB12" s="11">
        <f>IFERROR('Import-dataset'!BB13/'Import-dataset'!BB12,0)</f>
        <v>1.05109608</v>
      </c>
      <c r="BC12" s="11">
        <f>IFERROR('Import-dataset'!BC13/'Import-dataset'!BC12,0)</f>
        <v>0.9582719686</v>
      </c>
      <c r="BD12" s="11">
        <f>IFERROR('Import-dataset'!BD13/'Import-dataset'!BD12,0)</f>
        <v>0.9817384953</v>
      </c>
      <c r="BE12" s="11">
        <f>IFERROR('Import-dataset'!BE13/'Import-dataset'!BE12,0)</f>
        <v>0.9834983498</v>
      </c>
      <c r="BF12" s="11">
        <f>IFERROR('Import-dataset'!BF13/'Import-dataset'!BF12,0)</f>
        <v>1.103569083</v>
      </c>
      <c r="BG12" s="11">
        <f>IFERROR('Import-dataset'!BG13/'Import-dataset'!BG12,0)</f>
        <v>1.104386263</v>
      </c>
      <c r="BH12" s="11">
        <f>IFERROR('Import-dataset'!BH13/'Import-dataset'!BH12,0)</f>
        <v>1.010741139</v>
      </c>
      <c r="BI12" s="11">
        <f>IFERROR('Import-dataset'!BI13/'Import-dataset'!BI12,0)</f>
        <v>0.9970588235</v>
      </c>
      <c r="BJ12" s="11">
        <f>IFERROR('Import-dataset'!BJ13/'Import-dataset'!BJ12,0)</f>
        <v>1.163411379</v>
      </c>
      <c r="BK12" s="11">
        <f>IFERROR('Import-dataset'!BK13/'Import-dataset'!BK12,0)</f>
        <v>0.839811543</v>
      </c>
      <c r="BL12" s="11">
        <f>IFERROR('Import-dataset'!BL13/'Import-dataset'!BL12,0)</f>
        <v>1.111352329</v>
      </c>
      <c r="BM12" s="11">
        <f>IFERROR('Import-dataset'!BM13/'Import-dataset'!BM12,0)</f>
        <v>1.146666667</v>
      </c>
      <c r="BN12" s="11">
        <f>IFERROR('Import-dataset'!BN13/'Import-dataset'!BN12,0)</f>
        <v>1.238383838</v>
      </c>
      <c r="BO12" s="11">
        <f>IFERROR('Import-dataset'!BO13/'Import-dataset'!BO12,0)</f>
        <v>1.043731778</v>
      </c>
      <c r="BP12" s="11">
        <f>IFERROR('Import-dataset'!BP13/'Import-dataset'!BP12,0)</f>
        <v>1.137069922</v>
      </c>
      <c r="BQ12" s="11">
        <f>IFERROR('Import-dataset'!BQ13/'Import-dataset'!BQ12,0)</f>
        <v>1.078688525</v>
      </c>
      <c r="BR12" s="11">
        <f>IFERROR('Import-dataset'!BR13/'Import-dataset'!BR12,0)</f>
        <v>1.130021142</v>
      </c>
      <c r="BS12" s="11">
        <f>IFERROR('Import-dataset'!BS13/'Import-dataset'!BS12,0)</f>
        <v>1.059629331</v>
      </c>
      <c r="BT12" s="11">
        <f>IFERROR('Import-dataset'!BT13/'Import-dataset'!BT12,0)</f>
        <v>1.101191815</v>
      </c>
      <c r="BU12" s="11">
        <f>IFERROR('Import-dataset'!BU13/'Import-dataset'!BU12,0)</f>
        <v>1.221038615</v>
      </c>
      <c r="BV12" s="11">
        <f>IFERROR('Import-dataset'!BV13/'Import-dataset'!BV12,0)</f>
        <v>1.193548387</v>
      </c>
      <c r="BW12" s="11">
        <f>IFERROR('Import-dataset'!BW13/'Import-dataset'!BW12,0)</f>
        <v>1</v>
      </c>
      <c r="BX12" s="11">
        <f>IFERROR('Import-dataset'!BX13/'Import-dataset'!BX12,0)</f>
        <v>0</v>
      </c>
      <c r="BY12" s="11">
        <f>IFERROR('Import-dataset'!BY13/'Import-dataset'!BY12,0)</f>
        <v>1.237947123</v>
      </c>
      <c r="BZ12" s="11">
        <f>IFERROR('Import-dataset'!BZ13/'Import-dataset'!BZ12,0)</f>
        <v>1.102941176</v>
      </c>
      <c r="CA12" s="11">
        <f>IFERROR('Import-dataset'!CA13/'Import-dataset'!CA12,0)</f>
        <v>1.064029796</v>
      </c>
    </row>
    <row r="13">
      <c r="A13" s="9" t="str">
        <f>'Import-dataset'!A14</f>
        <v>Y1998</v>
      </c>
      <c r="B13" s="11">
        <f>IFERROR('Import-dataset'!B14/'Import-dataset'!B13,0)</f>
        <v>1.147556391</v>
      </c>
      <c r="C13" s="11">
        <f>IFERROR('Import-dataset'!C14/'Import-dataset'!C13,0)</f>
        <v>1</v>
      </c>
      <c r="D13" s="11">
        <f>IFERROR('Import-dataset'!D14/'Import-dataset'!D13,0)</f>
        <v>0.8550724638</v>
      </c>
      <c r="E13" s="11">
        <f>IFERROR('Import-dataset'!E14/'Import-dataset'!E13,0)</f>
        <v>1.238341969</v>
      </c>
      <c r="F13" s="11">
        <f>IFERROR('Import-dataset'!F14/'Import-dataset'!F13,0)</f>
        <v>1.155309033</v>
      </c>
      <c r="G13" s="11">
        <f>IFERROR('Import-dataset'!G14/'Import-dataset'!G13,0)</f>
        <v>1.12745098</v>
      </c>
      <c r="H13" s="11">
        <f>IFERROR('Import-dataset'!H14/'Import-dataset'!H13,0)</f>
        <v>1.128813559</v>
      </c>
      <c r="I13" s="11">
        <f>IFERROR('Import-dataset'!I14/'Import-dataset'!I13,0)</f>
        <v>1.155555556</v>
      </c>
      <c r="J13" s="11">
        <f>IFERROR('Import-dataset'!J14/'Import-dataset'!J13,0)</f>
        <v>1.164948454</v>
      </c>
      <c r="K13" s="11">
        <f>IFERROR('Import-dataset'!K14/'Import-dataset'!K13,0)</f>
        <v>1.156716418</v>
      </c>
      <c r="L13" s="11">
        <f>IFERROR('Import-dataset'!L14/'Import-dataset'!L13,0)</f>
        <v>1.179620035</v>
      </c>
      <c r="M13" s="11">
        <f>IFERROR('Import-dataset'!M14/'Import-dataset'!M13,0)</f>
        <v>1.082720588</v>
      </c>
      <c r="N13" s="11">
        <f>IFERROR('Import-dataset'!N14/'Import-dataset'!N13,0)</f>
        <v>1.082294264</v>
      </c>
      <c r="O13" s="11">
        <f>IFERROR('Import-dataset'!O14/'Import-dataset'!O13,0)</f>
        <v>1.083916084</v>
      </c>
      <c r="P13" s="11">
        <f>IFERROR('Import-dataset'!P14/'Import-dataset'!P13,0)</f>
        <v>1.039692702</v>
      </c>
      <c r="Q13" s="11">
        <f>IFERROR('Import-dataset'!Q14/'Import-dataset'!Q13,0)</f>
        <v>0</v>
      </c>
      <c r="R13" s="11">
        <f>IFERROR('Import-dataset'!R14/'Import-dataset'!R13,0)</f>
        <v>0.7032967033</v>
      </c>
      <c r="S13" s="11">
        <f>IFERROR('Import-dataset'!S14/'Import-dataset'!S13,0)</f>
        <v>0.9076923077</v>
      </c>
      <c r="T13" s="11">
        <f>IFERROR('Import-dataset'!T14/'Import-dataset'!T13,0)</f>
        <v>1.038961039</v>
      </c>
      <c r="U13" s="11">
        <f>IFERROR('Import-dataset'!U14/'Import-dataset'!U13,0)</f>
        <v>1.39516129</v>
      </c>
      <c r="V13" s="11">
        <f>IFERROR('Import-dataset'!V14/'Import-dataset'!V13,0)</f>
        <v>0.932885906</v>
      </c>
      <c r="W13" s="11">
        <f>IFERROR('Import-dataset'!W14/'Import-dataset'!W13,0)</f>
        <v>1.157575758</v>
      </c>
      <c r="X13" s="11">
        <f>IFERROR('Import-dataset'!X14/'Import-dataset'!X13,0)</f>
        <v>1.005025126</v>
      </c>
      <c r="Y13" s="11">
        <f>IFERROR('Import-dataset'!Y14/'Import-dataset'!Y13,0)</f>
        <v>1.074688797</v>
      </c>
      <c r="Z13" s="11">
        <f>IFERROR('Import-dataset'!Z14/'Import-dataset'!Z13,0)</f>
        <v>0.8606410512</v>
      </c>
      <c r="AA13" s="11">
        <f>IFERROR('Import-dataset'!AA14/'Import-dataset'!AA13,0)</f>
        <v>2.153846154</v>
      </c>
      <c r="AB13" s="11">
        <f>IFERROR('Import-dataset'!AB14/'Import-dataset'!AB13,0)</f>
        <v>0.8590317331</v>
      </c>
      <c r="AC13" s="11">
        <f>IFERROR('Import-dataset'!AC14/'Import-dataset'!AC13,0)</f>
        <v>0.7659574468</v>
      </c>
      <c r="AD13" s="11">
        <f>IFERROR('Import-dataset'!AD14/'Import-dataset'!AD13,0)</f>
        <v>0.9925925926</v>
      </c>
      <c r="AE13" s="11">
        <f>IFERROR('Import-dataset'!AE14/'Import-dataset'!AE13,0)</f>
        <v>0.6666666667</v>
      </c>
      <c r="AF13" s="11">
        <f>IFERROR('Import-dataset'!AF14/'Import-dataset'!AF13,0)</f>
        <v>0.9916666667</v>
      </c>
      <c r="AG13" s="11">
        <f>IFERROR('Import-dataset'!AG14/'Import-dataset'!AG13,0)</f>
        <v>1.142857143</v>
      </c>
      <c r="AH13" s="11">
        <f>IFERROR('Import-dataset'!AH14/'Import-dataset'!AH13,0)</f>
        <v>1.174148936</v>
      </c>
      <c r="AI13" s="11">
        <f>IFERROR('Import-dataset'!AI14/'Import-dataset'!AI13,0)</f>
        <v>1.094202899</v>
      </c>
      <c r="AJ13" s="11">
        <f>IFERROR('Import-dataset'!AJ14/'Import-dataset'!AJ13,0)</f>
        <v>1.228706625</v>
      </c>
      <c r="AK13" s="11">
        <f>IFERROR('Import-dataset'!AK14/'Import-dataset'!AK13,0)</f>
        <v>1.110588235</v>
      </c>
      <c r="AL13" s="11">
        <f>IFERROR('Import-dataset'!AL14/'Import-dataset'!AL13,0)</f>
        <v>1.283521445</v>
      </c>
      <c r="AM13" s="11">
        <f>IFERROR('Import-dataset'!AM14/'Import-dataset'!AM13,0)</f>
        <v>1.220414201</v>
      </c>
      <c r="AN13" s="11">
        <f>IFERROR('Import-dataset'!AN14/'Import-dataset'!AN13,0)</f>
        <v>1.172465961</v>
      </c>
      <c r="AO13" s="11">
        <f>IFERROR('Import-dataset'!AO14/'Import-dataset'!AO13,0)</f>
        <v>1.090712743</v>
      </c>
      <c r="AP13" s="11">
        <f>IFERROR('Import-dataset'!AP14/'Import-dataset'!AP13,0)</f>
        <v>1.155172414</v>
      </c>
      <c r="AQ13" s="11">
        <f>IFERROR('Import-dataset'!AQ14/'Import-dataset'!AQ13,0)</f>
        <v>1.152069297</v>
      </c>
      <c r="AR13" s="11">
        <f>IFERROR('Import-dataset'!AR14/'Import-dataset'!AR13,0)</f>
        <v>1.128847655</v>
      </c>
      <c r="AS13" s="11">
        <f>IFERROR('Import-dataset'!AS14/'Import-dataset'!AS13,0)</f>
        <v>0.8616352201</v>
      </c>
      <c r="AT13" s="11">
        <f>IFERROR('Import-dataset'!AT14/'Import-dataset'!AT13,0)</f>
        <v>1.153105862</v>
      </c>
      <c r="AU13" s="11">
        <f>IFERROR('Import-dataset'!AU14/'Import-dataset'!AU13,0)</f>
        <v>1.138586957</v>
      </c>
      <c r="AV13" s="11">
        <f>IFERROR('Import-dataset'!AV14/'Import-dataset'!AV13,0)</f>
        <v>1.141298418</v>
      </c>
      <c r="AW13" s="11">
        <f>IFERROR('Import-dataset'!AW14/'Import-dataset'!AW13,0)</f>
        <v>1.090146751</v>
      </c>
      <c r="AX13" s="11">
        <f>IFERROR('Import-dataset'!AX14/'Import-dataset'!AX13,0)</f>
        <v>1.163922156</v>
      </c>
      <c r="AY13" s="11">
        <f>IFERROR('Import-dataset'!AY14/'Import-dataset'!AY13,0)</f>
        <v>1.097544338</v>
      </c>
      <c r="AZ13" s="11">
        <f>IFERROR('Import-dataset'!AZ14/'Import-dataset'!AZ13,0)</f>
        <v>1.26300578</v>
      </c>
      <c r="BA13" s="11">
        <f>IFERROR('Import-dataset'!BA14/'Import-dataset'!BA13,0)</f>
        <v>1.122733612</v>
      </c>
      <c r="BB13" s="11">
        <f>IFERROR('Import-dataset'!BB14/'Import-dataset'!BB13,0)</f>
        <v>1.145733189</v>
      </c>
      <c r="BC13" s="11">
        <f>IFERROR('Import-dataset'!BC14/'Import-dataset'!BC13,0)</f>
        <v>1.108094262</v>
      </c>
      <c r="BD13" s="11">
        <f>IFERROR('Import-dataset'!BD14/'Import-dataset'!BD13,0)</f>
        <v>1.104910714</v>
      </c>
      <c r="BE13" s="11">
        <f>IFERROR('Import-dataset'!BE14/'Import-dataset'!BE13,0)</f>
        <v>0.8909395973</v>
      </c>
      <c r="BF13" s="11">
        <f>IFERROR('Import-dataset'!BF14/'Import-dataset'!BF13,0)</f>
        <v>1.161706349</v>
      </c>
      <c r="BG13" s="11">
        <f>IFERROR('Import-dataset'!BG14/'Import-dataset'!BG13,0)</f>
        <v>1.091286946</v>
      </c>
      <c r="BH13" s="11">
        <f>IFERROR('Import-dataset'!BH14/'Import-dataset'!BH13,0)</f>
        <v>1.09989373</v>
      </c>
      <c r="BI13" s="11">
        <f>IFERROR('Import-dataset'!BI14/'Import-dataset'!BI13,0)</f>
        <v>1.124090462</v>
      </c>
      <c r="BJ13" s="11">
        <f>IFERROR('Import-dataset'!BJ14/'Import-dataset'!BJ13,0)</f>
        <v>1.222523462</v>
      </c>
      <c r="BK13" s="11">
        <f>IFERROR('Import-dataset'!BK14/'Import-dataset'!BK13,0)</f>
        <v>1.243571763</v>
      </c>
      <c r="BL13" s="11">
        <f>IFERROR('Import-dataset'!BL14/'Import-dataset'!BL13,0)</f>
        <v>1.184681752</v>
      </c>
      <c r="BM13" s="11">
        <f>IFERROR('Import-dataset'!BM14/'Import-dataset'!BM13,0)</f>
        <v>1.197674419</v>
      </c>
      <c r="BN13" s="11">
        <f>IFERROR('Import-dataset'!BN14/'Import-dataset'!BN13,0)</f>
        <v>1.225122349</v>
      </c>
      <c r="BO13" s="11">
        <f>IFERROR('Import-dataset'!BO14/'Import-dataset'!BO13,0)</f>
        <v>1.005586592</v>
      </c>
      <c r="BP13" s="11">
        <f>IFERROR('Import-dataset'!BP14/'Import-dataset'!BP13,0)</f>
        <v>1.180575891</v>
      </c>
      <c r="BQ13" s="11">
        <f>IFERROR('Import-dataset'!BQ14/'Import-dataset'!BQ13,0)</f>
        <v>1.185410334</v>
      </c>
      <c r="BR13" s="11">
        <f>IFERROR('Import-dataset'!BR14/'Import-dataset'!BR13,0)</f>
        <v>1.149204864</v>
      </c>
      <c r="BS13" s="11">
        <f>IFERROR('Import-dataset'!BS14/'Import-dataset'!BS13,0)</f>
        <v>1.080608365</v>
      </c>
      <c r="BT13" s="11">
        <f>IFERROR('Import-dataset'!BT14/'Import-dataset'!BT13,0)</f>
        <v>1.237083929</v>
      </c>
      <c r="BU13" s="11">
        <f>IFERROR('Import-dataset'!BU14/'Import-dataset'!BU13,0)</f>
        <v>3.67393675</v>
      </c>
      <c r="BV13" s="11">
        <f>IFERROR('Import-dataset'!BV14/'Import-dataset'!BV13,0)</f>
        <v>1.162162162</v>
      </c>
      <c r="BW13" s="11">
        <f>IFERROR('Import-dataset'!BW14/'Import-dataset'!BW13,0)</f>
        <v>0.4444444444</v>
      </c>
      <c r="BX13" s="11">
        <f>IFERROR('Import-dataset'!BX14/'Import-dataset'!BX13,0)</f>
        <v>0</v>
      </c>
      <c r="BY13" s="11">
        <f>IFERROR('Import-dataset'!BY14/'Import-dataset'!BY13,0)</f>
        <v>3.987437186</v>
      </c>
      <c r="BZ13" s="11">
        <f>IFERROR('Import-dataset'!BZ14/'Import-dataset'!BZ13,0)</f>
        <v>1.973333333</v>
      </c>
      <c r="CA13" s="11">
        <f>IFERROR('Import-dataset'!CA14/'Import-dataset'!CA13,0)</f>
        <v>1.160139533</v>
      </c>
    </row>
    <row r="14">
      <c r="A14" s="9" t="str">
        <f>'Import-dataset'!A15</f>
        <v>Y1999</v>
      </c>
      <c r="B14" s="11">
        <f>IFERROR('Import-dataset'!B15/'Import-dataset'!B14,0)</f>
        <v>1.049413049</v>
      </c>
      <c r="C14" s="11">
        <f>IFERROR('Import-dataset'!C15/'Import-dataset'!C14,0)</f>
        <v>1.041666667</v>
      </c>
      <c r="D14" s="11">
        <f>IFERROR('Import-dataset'!D15/'Import-dataset'!D14,0)</f>
        <v>1.661016949</v>
      </c>
      <c r="E14" s="11">
        <f>IFERROR('Import-dataset'!E15/'Import-dataset'!E14,0)</f>
        <v>1.146443515</v>
      </c>
      <c r="F14" s="11">
        <f>IFERROR('Import-dataset'!F15/'Import-dataset'!F14,0)</f>
        <v>1.068587106</v>
      </c>
      <c r="G14" s="11">
        <f>IFERROR('Import-dataset'!G15/'Import-dataset'!G14,0)</f>
        <v>1.1</v>
      </c>
      <c r="H14" s="11">
        <f>IFERROR('Import-dataset'!H15/'Import-dataset'!H14,0)</f>
        <v>1.114114114</v>
      </c>
      <c r="I14" s="11">
        <f>IFERROR('Import-dataset'!I15/'Import-dataset'!I14,0)</f>
        <v>1.019230769</v>
      </c>
      <c r="J14" s="11">
        <f>IFERROR('Import-dataset'!J15/'Import-dataset'!J14,0)</f>
        <v>0.9292035398</v>
      </c>
      <c r="K14" s="11">
        <f>IFERROR('Import-dataset'!K15/'Import-dataset'!K14,0)</f>
        <v>0.9290322581</v>
      </c>
      <c r="L14" s="11">
        <f>IFERROR('Import-dataset'!L15/'Import-dataset'!L14,0)</f>
        <v>1.014641288</v>
      </c>
      <c r="M14" s="11">
        <f>IFERROR('Import-dataset'!M15/'Import-dataset'!M14,0)</f>
        <v>1.140916808</v>
      </c>
      <c r="N14" s="11">
        <f>IFERROR('Import-dataset'!N15/'Import-dataset'!N14,0)</f>
        <v>1.142857143</v>
      </c>
      <c r="O14" s="11">
        <f>IFERROR('Import-dataset'!O15/'Import-dataset'!O14,0)</f>
        <v>1.135483871</v>
      </c>
      <c r="P14" s="11">
        <f>IFERROR('Import-dataset'!P15/'Import-dataset'!P14,0)</f>
        <v>0.9981527094</v>
      </c>
      <c r="Q14" s="11">
        <f>IFERROR('Import-dataset'!Q15/'Import-dataset'!Q14,0)</f>
        <v>0</v>
      </c>
      <c r="R14" s="11">
        <f>IFERROR('Import-dataset'!R15/'Import-dataset'!R14,0)</f>
        <v>1.0625</v>
      </c>
      <c r="S14" s="11">
        <f>IFERROR('Import-dataset'!S15/'Import-dataset'!S14,0)</f>
        <v>0.8813559322</v>
      </c>
      <c r="T14" s="11">
        <f>IFERROR('Import-dataset'!T15/'Import-dataset'!T14,0)</f>
        <v>1.0125</v>
      </c>
      <c r="U14" s="11">
        <f>IFERROR('Import-dataset'!U15/'Import-dataset'!U14,0)</f>
        <v>1.173410405</v>
      </c>
      <c r="V14" s="11">
        <f>IFERROR('Import-dataset'!V15/'Import-dataset'!V14,0)</f>
        <v>1</v>
      </c>
      <c r="W14" s="11">
        <f>IFERROR('Import-dataset'!W15/'Import-dataset'!W14,0)</f>
        <v>0.8219895288</v>
      </c>
      <c r="X14" s="11">
        <f>IFERROR('Import-dataset'!X15/'Import-dataset'!X14,0)</f>
        <v>0.91</v>
      </c>
      <c r="Y14" s="11">
        <f>IFERROR('Import-dataset'!Y15/'Import-dataset'!Y14,0)</f>
        <v>1.088803089</v>
      </c>
      <c r="Z14" s="11">
        <f>IFERROR('Import-dataset'!Z15/'Import-dataset'!Z14,0)</f>
        <v>1.366874855</v>
      </c>
      <c r="AA14" s="11">
        <f>IFERROR('Import-dataset'!AA15/'Import-dataset'!AA14,0)</f>
        <v>0.9285714286</v>
      </c>
      <c r="AB14" s="11">
        <f>IFERROR('Import-dataset'!AB15/'Import-dataset'!AB14,0)</f>
        <v>1.372720815</v>
      </c>
      <c r="AC14" s="11">
        <f>IFERROR('Import-dataset'!AC15/'Import-dataset'!AC14,0)</f>
        <v>1.194444444</v>
      </c>
      <c r="AD14" s="11">
        <f>IFERROR('Import-dataset'!AD15/'Import-dataset'!AD14,0)</f>
        <v>1.059701493</v>
      </c>
      <c r="AE14" s="11">
        <f>IFERROR('Import-dataset'!AE15/'Import-dataset'!AE14,0)</f>
        <v>1</v>
      </c>
      <c r="AF14" s="11">
        <f>IFERROR('Import-dataset'!AF15/'Import-dataset'!AF14,0)</f>
        <v>1.025210084</v>
      </c>
      <c r="AG14" s="11">
        <f>IFERROR('Import-dataset'!AG15/'Import-dataset'!AG14,0)</f>
        <v>1.416666667</v>
      </c>
      <c r="AH14" s="11">
        <f>IFERROR('Import-dataset'!AH15/'Import-dataset'!AH14,0)</f>
        <v>1.06568814</v>
      </c>
      <c r="AI14" s="11">
        <f>IFERROR('Import-dataset'!AI15/'Import-dataset'!AI14,0)</f>
        <v>1.128918322</v>
      </c>
      <c r="AJ14" s="11">
        <f>IFERROR('Import-dataset'!AJ15/'Import-dataset'!AJ14,0)</f>
        <v>0.8472400513</v>
      </c>
      <c r="AK14" s="11">
        <f>IFERROR('Import-dataset'!AK15/'Import-dataset'!AK14,0)</f>
        <v>1.059322034</v>
      </c>
      <c r="AL14" s="11">
        <f>IFERROR('Import-dataset'!AL15/'Import-dataset'!AL14,0)</f>
        <v>1.129792473</v>
      </c>
      <c r="AM14" s="11">
        <f>IFERROR('Import-dataset'!AM15/'Import-dataset'!AM14,0)</f>
        <v>1.071515152</v>
      </c>
      <c r="AN14" s="11">
        <f>IFERROR('Import-dataset'!AN15/'Import-dataset'!AN14,0)</f>
        <v>0.9625806452</v>
      </c>
      <c r="AO14" s="11">
        <f>IFERROR('Import-dataset'!AO15/'Import-dataset'!AO14,0)</f>
        <v>1.030693069</v>
      </c>
      <c r="AP14" s="11">
        <f>IFERROR('Import-dataset'!AP15/'Import-dataset'!AP14,0)</f>
        <v>1.034443169</v>
      </c>
      <c r="AQ14" s="11">
        <f>IFERROR('Import-dataset'!AQ15/'Import-dataset'!AQ14,0)</f>
        <v>1.053467001</v>
      </c>
      <c r="AR14" s="11">
        <f>IFERROR('Import-dataset'!AR15/'Import-dataset'!AR14,0)</f>
        <v>0.9934710807</v>
      </c>
      <c r="AS14" s="11">
        <f>IFERROR('Import-dataset'!AS15/'Import-dataset'!AS14,0)</f>
        <v>1.160583942</v>
      </c>
      <c r="AT14" s="11">
        <f>IFERROR('Import-dataset'!AT15/'Import-dataset'!AT14,0)</f>
        <v>0.9339908953</v>
      </c>
      <c r="AU14" s="11">
        <f>IFERROR('Import-dataset'!AU15/'Import-dataset'!AU14,0)</f>
        <v>1.217183771</v>
      </c>
      <c r="AV14" s="11">
        <f>IFERROR('Import-dataset'!AV15/'Import-dataset'!AV14,0)</f>
        <v>1.044933078</v>
      </c>
      <c r="AW14" s="11">
        <f>IFERROR('Import-dataset'!AW15/'Import-dataset'!AW14,0)</f>
        <v>0.9919230769</v>
      </c>
      <c r="AX14" s="11">
        <f>IFERROR('Import-dataset'!AX15/'Import-dataset'!AX14,0)</f>
        <v>1.079099678</v>
      </c>
      <c r="AY14" s="11">
        <f>IFERROR('Import-dataset'!AY15/'Import-dataset'!AY14,0)</f>
        <v>0.8781852082</v>
      </c>
      <c r="AZ14" s="11">
        <f>IFERROR('Import-dataset'!AZ15/'Import-dataset'!AZ14,0)</f>
        <v>0.9084668192</v>
      </c>
      <c r="BA14" s="11">
        <f>IFERROR('Import-dataset'!BA15/'Import-dataset'!BA14,0)</f>
        <v>0.9871635611</v>
      </c>
      <c r="BB14" s="11">
        <f>IFERROR('Import-dataset'!BB15/'Import-dataset'!BB14,0)</f>
        <v>1.078226152</v>
      </c>
      <c r="BC14" s="11">
        <f>IFERROR('Import-dataset'!BC15/'Import-dataset'!BC14,0)</f>
        <v>1.09246417</v>
      </c>
      <c r="BD14" s="11">
        <f>IFERROR('Import-dataset'!BD15/'Import-dataset'!BD14,0)</f>
        <v>0.9120089787</v>
      </c>
      <c r="BE14" s="11">
        <f>IFERROR('Import-dataset'!BE15/'Import-dataset'!BE14,0)</f>
        <v>0.8210922787</v>
      </c>
      <c r="BF14" s="11">
        <f>IFERROR('Import-dataset'!BF15/'Import-dataset'!BF14,0)</f>
        <v>0.9146029035</v>
      </c>
      <c r="BG14" s="11">
        <f>IFERROR('Import-dataset'!BG15/'Import-dataset'!BG14,0)</f>
        <v>1.015516998</v>
      </c>
      <c r="BH14" s="11">
        <f>IFERROR('Import-dataset'!BH15/'Import-dataset'!BH14,0)</f>
        <v>1.426811594</v>
      </c>
      <c r="BI14" s="11">
        <f>IFERROR('Import-dataset'!BI15/'Import-dataset'!BI14,0)</f>
        <v>1.0316655</v>
      </c>
      <c r="BJ14" s="11">
        <f>IFERROR('Import-dataset'!BJ15/'Import-dataset'!BJ14,0)</f>
        <v>1.055356534</v>
      </c>
      <c r="BK14" s="11">
        <f>IFERROR('Import-dataset'!BK15/'Import-dataset'!BK14,0)</f>
        <v>1.581954887</v>
      </c>
      <c r="BL14" s="11">
        <f>IFERROR('Import-dataset'!BL15/'Import-dataset'!BL14,0)</f>
        <v>0.9971143937</v>
      </c>
      <c r="BM14" s="11">
        <f>IFERROR('Import-dataset'!BM15/'Import-dataset'!BM14,0)</f>
        <v>1.051779935</v>
      </c>
      <c r="BN14" s="11">
        <f>IFERROR('Import-dataset'!BN15/'Import-dataset'!BN14,0)</f>
        <v>1.189081225</v>
      </c>
      <c r="BO14" s="11">
        <f>IFERROR('Import-dataset'!BO15/'Import-dataset'!BO14,0)</f>
        <v>1.061111111</v>
      </c>
      <c r="BP14" s="11">
        <f>IFERROR('Import-dataset'!BP15/'Import-dataset'!BP14,0)</f>
        <v>1.063662671</v>
      </c>
      <c r="BQ14" s="11">
        <f>IFERROR('Import-dataset'!BQ15/'Import-dataset'!BQ14,0)</f>
        <v>1.002564103</v>
      </c>
      <c r="BR14" s="11">
        <f>IFERROR('Import-dataset'!BR15/'Import-dataset'!BR14,0)</f>
        <v>1.015059015</v>
      </c>
      <c r="BS14" s="11">
        <f>IFERROR('Import-dataset'!BS15/'Import-dataset'!BS14,0)</f>
        <v>1.018296974</v>
      </c>
      <c r="BT14" s="11">
        <f>IFERROR('Import-dataset'!BT15/'Import-dataset'!BT14,0)</f>
        <v>0.9272036976</v>
      </c>
      <c r="BU14" s="11">
        <f>IFERROR('Import-dataset'!BU15/'Import-dataset'!BU14,0)</f>
        <v>0.642920748</v>
      </c>
      <c r="BV14" s="11">
        <f>IFERROR('Import-dataset'!BV15/'Import-dataset'!BV14,0)</f>
        <v>0.8604651163</v>
      </c>
      <c r="BW14" s="11">
        <f>IFERROR('Import-dataset'!BW15/'Import-dataset'!BW14,0)</f>
        <v>1.75</v>
      </c>
      <c r="BX14" s="11">
        <f>IFERROR('Import-dataset'!BX15/'Import-dataset'!BX14,0)</f>
        <v>0</v>
      </c>
      <c r="BY14" s="11">
        <f>IFERROR('Import-dataset'!BY15/'Import-dataset'!BY14,0)</f>
        <v>0.6316950221</v>
      </c>
      <c r="BZ14" s="11">
        <f>IFERROR('Import-dataset'!BZ15/'Import-dataset'!BZ14,0)</f>
        <v>0.7567567568</v>
      </c>
      <c r="CA14" s="11">
        <f>IFERROR('Import-dataset'!CA15/'Import-dataset'!CA14,0)</f>
        <v>1.048832403</v>
      </c>
    </row>
    <row r="15">
      <c r="A15" s="9" t="str">
        <f>'Import-dataset'!A16</f>
        <v>Y2000</v>
      </c>
      <c r="B15" s="11">
        <f>IFERROR('Import-dataset'!B16/'Import-dataset'!B15,0)</f>
        <v>1.060874089</v>
      </c>
      <c r="C15" s="11">
        <f>IFERROR('Import-dataset'!C16/'Import-dataset'!C15,0)</f>
        <v>0.776</v>
      </c>
      <c r="D15" s="11">
        <f>IFERROR('Import-dataset'!D16/'Import-dataset'!D15,0)</f>
        <v>1.653061224</v>
      </c>
      <c r="E15" s="11">
        <f>IFERROR('Import-dataset'!E16/'Import-dataset'!E15,0)</f>
        <v>1.010948905</v>
      </c>
      <c r="F15" s="11">
        <f>IFERROR('Import-dataset'!F16/'Import-dataset'!F15,0)</f>
        <v>1.030808729</v>
      </c>
      <c r="G15" s="11">
        <f>IFERROR('Import-dataset'!G16/'Import-dataset'!G15,0)</f>
        <v>1.169960474</v>
      </c>
      <c r="H15" s="11">
        <f>IFERROR('Import-dataset'!H16/'Import-dataset'!H15,0)</f>
        <v>1.002695418</v>
      </c>
      <c r="I15" s="11">
        <f>IFERROR('Import-dataset'!I16/'Import-dataset'!I15,0)</f>
        <v>1.113207547</v>
      </c>
      <c r="J15" s="11">
        <f>IFERROR('Import-dataset'!J16/'Import-dataset'!J15,0)</f>
        <v>0.9555555556</v>
      </c>
      <c r="K15" s="11">
        <f>IFERROR('Import-dataset'!K16/'Import-dataset'!K15,0)</f>
        <v>1.055555556</v>
      </c>
      <c r="L15" s="11">
        <f>IFERROR('Import-dataset'!L16/'Import-dataset'!L15,0)</f>
        <v>1.193362193</v>
      </c>
      <c r="M15" s="11">
        <f>IFERROR('Import-dataset'!M16/'Import-dataset'!M15,0)</f>
        <v>1.186011905</v>
      </c>
      <c r="N15" s="11">
        <f>IFERROR('Import-dataset'!N16/'Import-dataset'!N15,0)</f>
        <v>1.231854839</v>
      </c>
      <c r="O15" s="11">
        <f>IFERROR('Import-dataset'!O16/'Import-dataset'!O15,0)</f>
        <v>1.056818182</v>
      </c>
      <c r="P15" s="11">
        <f>IFERROR('Import-dataset'!P16/'Import-dataset'!P15,0)</f>
        <v>1.257248612</v>
      </c>
      <c r="Q15" s="11">
        <f>IFERROR('Import-dataset'!Q16/'Import-dataset'!Q15,0)</f>
        <v>0</v>
      </c>
      <c r="R15" s="11">
        <f>IFERROR('Import-dataset'!R16/'Import-dataset'!R15,0)</f>
        <v>1.338235294</v>
      </c>
      <c r="S15" s="11">
        <f>IFERROR('Import-dataset'!S16/'Import-dataset'!S15,0)</f>
        <v>1.125</v>
      </c>
      <c r="T15" s="11">
        <f>IFERROR('Import-dataset'!T16/'Import-dataset'!T15,0)</f>
        <v>1.37037037</v>
      </c>
      <c r="U15" s="11">
        <f>IFERROR('Import-dataset'!U16/'Import-dataset'!U15,0)</f>
        <v>1.660098522</v>
      </c>
      <c r="V15" s="11">
        <f>IFERROR('Import-dataset'!V16/'Import-dataset'!V15,0)</f>
        <v>1.050359712</v>
      </c>
      <c r="W15" s="11">
        <f>IFERROR('Import-dataset'!W16/'Import-dataset'!W15,0)</f>
        <v>1.121019108</v>
      </c>
      <c r="X15" s="11">
        <f>IFERROR('Import-dataset'!X16/'Import-dataset'!X15,0)</f>
        <v>1.28021978</v>
      </c>
      <c r="Y15" s="11">
        <f>IFERROR('Import-dataset'!Y16/'Import-dataset'!Y15,0)</f>
        <v>0.9645390071</v>
      </c>
      <c r="Z15" s="11">
        <f>IFERROR('Import-dataset'!Z16/'Import-dataset'!Z15,0)</f>
        <v>1.606532408</v>
      </c>
      <c r="AA15" s="11">
        <f>IFERROR('Import-dataset'!AA16/'Import-dataset'!AA15,0)</f>
        <v>0.6153846154</v>
      </c>
      <c r="AB15" s="11">
        <f>IFERROR('Import-dataset'!AB16/'Import-dataset'!AB15,0)</f>
        <v>1.60686562</v>
      </c>
      <c r="AC15" s="11">
        <f>IFERROR('Import-dataset'!AC16/'Import-dataset'!AC15,0)</f>
        <v>1.88372093</v>
      </c>
      <c r="AD15" s="11">
        <f>IFERROR('Import-dataset'!AD16/'Import-dataset'!AD15,0)</f>
        <v>0.9894366197</v>
      </c>
      <c r="AE15" s="11">
        <f>IFERROR('Import-dataset'!AE16/'Import-dataset'!AE15,0)</f>
        <v>1.5</v>
      </c>
      <c r="AF15" s="11">
        <f>IFERROR('Import-dataset'!AF16/'Import-dataset'!AF15,0)</f>
        <v>0.9713114754</v>
      </c>
      <c r="AG15" s="11">
        <f>IFERROR('Import-dataset'!AG16/'Import-dataset'!AG15,0)</f>
        <v>1.029411765</v>
      </c>
      <c r="AH15" s="11">
        <f>IFERROR('Import-dataset'!AH16/'Import-dataset'!AH15,0)</f>
        <v>1.131865329</v>
      </c>
      <c r="AI15" s="11">
        <f>IFERROR('Import-dataset'!AI16/'Import-dataset'!AI15,0)</f>
        <v>1.135705905</v>
      </c>
      <c r="AJ15" s="11">
        <f>IFERROR('Import-dataset'!AJ16/'Import-dataset'!AJ15,0)</f>
        <v>1.128787879</v>
      </c>
      <c r="AK15" s="11">
        <f>IFERROR('Import-dataset'!AK16/'Import-dataset'!AK15,0)</f>
        <v>1.092</v>
      </c>
      <c r="AL15" s="11">
        <f>IFERROR('Import-dataset'!AL16/'Import-dataset'!AL15,0)</f>
        <v>1.245952677</v>
      </c>
      <c r="AM15" s="11">
        <f>IFERROR('Import-dataset'!AM16/'Import-dataset'!AM15,0)</f>
        <v>1.07918552</v>
      </c>
      <c r="AN15" s="11">
        <f>IFERROR('Import-dataset'!AN16/'Import-dataset'!AN15,0)</f>
        <v>0.9772117962</v>
      </c>
      <c r="AO15" s="11">
        <f>IFERROR('Import-dataset'!AO16/'Import-dataset'!AO15,0)</f>
        <v>1.096061479</v>
      </c>
      <c r="AP15" s="11">
        <f>IFERROR('Import-dataset'!AP16/'Import-dataset'!AP15,0)</f>
        <v>1.081021088</v>
      </c>
      <c r="AQ15" s="11">
        <f>IFERROR('Import-dataset'!AQ16/'Import-dataset'!AQ15,0)</f>
        <v>1.04520222</v>
      </c>
      <c r="AR15" s="11">
        <f>IFERROR('Import-dataset'!AR16/'Import-dataset'!AR15,0)</f>
        <v>1.095175506</v>
      </c>
      <c r="AS15" s="11">
        <f>IFERROR('Import-dataset'!AS16/'Import-dataset'!AS15,0)</f>
        <v>1.113207547</v>
      </c>
      <c r="AT15" s="11">
        <f>IFERROR('Import-dataset'!AT16/'Import-dataset'!AT15,0)</f>
        <v>1.065800162</v>
      </c>
      <c r="AU15" s="11">
        <f>IFERROR('Import-dataset'!AU16/'Import-dataset'!AU15,0)</f>
        <v>1.119607843</v>
      </c>
      <c r="AV15" s="11">
        <f>IFERROR('Import-dataset'!AV16/'Import-dataset'!AV15,0)</f>
        <v>1.128545288</v>
      </c>
      <c r="AW15" s="11">
        <f>IFERROR('Import-dataset'!AW16/'Import-dataset'!AW15,0)</f>
        <v>1.032183017</v>
      </c>
      <c r="AX15" s="11">
        <f>IFERROR('Import-dataset'!AX16/'Import-dataset'!AX15,0)</f>
        <v>1.15613826</v>
      </c>
      <c r="AY15" s="11">
        <f>IFERROR('Import-dataset'!AY16/'Import-dataset'!AY15,0)</f>
        <v>1.06581741</v>
      </c>
      <c r="AZ15" s="11">
        <f>IFERROR('Import-dataset'!AZ16/'Import-dataset'!AZ15,0)</f>
        <v>1.065491184</v>
      </c>
      <c r="BA15" s="11">
        <f>IFERROR('Import-dataset'!BA16/'Import-dataset'!BA15,0)</f>
        <v>1.125838926</v>
      </c>
      <c r="BB15" s="11">
        <f>IFERROR('Import-dataset'!BB16/'Import-dataset'!BB15,0)</f>
        <v>1.13959959</v>
      </c>
      <c r="BC15" s="11">
        <f>IFERROR('Import-dataset'!BC16/'Import-dataset'!BC15,0)</f>
        <v>1.151502328</v>
      </c>
      <c r="BD15" s="11">
        <f>IFERROR('Import-dataset'!BD16/'Import-dataset'!BD15,0)</f>
        <v>0.9776027566</v>
      </c>
      <c r="BE15" s="11">
        <f>IFERROR('Import-dataset'!BE16/'Import-dataset'!BE15,0)</f>
        <v>0.997706422</v>
      </c>
      <c r="BF15" s="11">
        <f>IFERROR('Import-dataset'!BF16/'Import-dataset'!BF15,0)</f>
        <v>1.041269841</v>
      </c>
      <c r="BG15" s="11">
        <f>IFERROR('Import-dataset'!BG16/'Import-dataset'!BG15,0)</f>
        <v>1.180441728</v>
      </c>
      <c r="BH15" s="11">
        <f>IFERROR('Import-dataset'!BH16/'Import-dataset'!BH15,0)</f>
        <v>1.393431522</v>
      </c>
      <c r="BI15" s="11">
        <f>IFERROR('Import-dataset'!BI16/'Import-dataset'!BI15,0)</f>
        <v>1.147193488</v>
      </c>
      <c r="BJ15" s="11">
        <f>IFERROR('Import-dataset'!BJ16/'Import-dataset'!BJ15,0)</f>
        <v>1.141356179</v>
      </c>
      <c r="BK15" s="11">
        <f>IFERROR('Import-dataset'!BK16/'Import-dataset'!BK15,0)</f>
        <v>0.9871673004</v>
      </c>
      <c r="BL15" s="11">
        <f>IFERROR('Import-dataset'!BL16/'Import-dataset'!BL15,0)</f>
        <v>1.133535451</v>
      </c>
      <c r="BM15" s="11">
        <f>IFERROR('Import-dataset'!BM16/'Import-dataset'!BM15,0)</f>
        <v>1.153846154</v>
      </c>
      <c r="BN15" s="11">
        <f>IFERROR('Import-dataset'!BN16/'Import-dataset'!BN15,0)</f>
        <v>1.24300112</v>
      </c>
      <c r="BO15" s="11">
        <f>IFERROR('Import-dataset'!BO16/'Import-dataset'!BO15,0)</f>
        <v>1.188481675</v>
      </c>
      <c r="BP15" s="11">
        <f>IFERROR('Import-dataset'!BP16/'Import-dataset'!BP15,0)</f>
        <v>1.188495919</v>
      </c>
      <c r="BQ15" s="11">
        <f>IFERROR('Import-dataset'!BQ16/'Import-dataset'!BQ15,0)</f>
        <v>1.154731458</v>
      </c>
      <c r="BR15" s="11">
        <f>IFERROR('Import-dataset'!BR16/'Import-dataset'!BR15,0)</f>
        <v>1.064955894</v>
      </c>
      <c r="BS15" s="11">
        <f>IFERROR('Import-dataset'!BS16/'Import-dataset'!BS15,0)</f>
        <v>1.103662751</v>
      </c>
      <c r="BT15" s="11">
        <f>IFERROR('Import-dataset'!BT16/'Import-dataset'!BT15,0)</f>
        <v>1.121239096</v>
      </c>
      <c r="BU15" s="11">
        <f>IFERROR('Import-dataset'!BU16/'Import-dataset'!BU15,0)</f>
        <v>0.8536472761</v>
      </c>
      <c r="BV15" s="11">
        <f>IFERROR('Import-dataset'!BV16/'Import-dataset'!BV15,0)</f>
        <v>1.594594595</v>
      </c>
      <c r="BW15" s="11">
        <f>IFERROR('Import-dataset'!BW16/'Import-dataset'!BW15,0)</f>
        <v>1.285714286</v>
      </c>
      <c r="BX15" s="11">
        <f>IFERROR('Import-dataset'!BX16/'Import-dataset'!BX15,0)</f>
        <v>0.2</v>
      </c>
      <c r="BY15" s="11">
        <f>IFERROR('Import-dataset'!BY16/'Import-dataset'!BY15,0)</f>
        <v>0.8209476309</v>
      </c>
      <c r="BZ15" s="11">
        <f>IFERROR('Import-dataset'!BZ16/'Import-dataset'!BZ15,0)</f>
        <v>1.196428571</v>
      </c>
      <c r="CA15" s="11">
        <f>IFERROR('Import-dataset'!CA16/'Import-dataset'!CA15,0)</f>
        <v>1.152040273</v>
      </c>
    </row>
    <row r="16">
      <c r="A16" s="9" t="str">
        <f>'Import-dataset'!A17</f>
        <v>Y2001</v>
      </c>
      <c r="B16" s="11">
        <f>IFERROR('Import-dataset'!B17/'Import-dataset'!B16,0)</f>
        <v>1.093428151</v>
      </c>
      <c r="C16" s="11">
        <f>IFERROR('Import-dataset'!C17/'Import-dataset'!C16,0)</f>
        <v>0.7010309278</v>
      </c>
      <c r="D16" s="11">
        <f>IFERROR('Import-dataset'!D17/'Import-dataset'!D16,0)</f>
        <v>1.080246914</v>
      </c>
      <c r="E16" s="11">
        <f>IFERROR('Import-dataset'!E17/'Import-dataset'!E16,0)</f>
        <v>1.184115523</v>
      </c>
      <c r="F16" s="11">
        <f>IFERROR('Import-dataset'!F17/'Import-dataset'!F16,0)</f>
        <v>1.127023661</v>
      </c>
      <c r="G16" s="11">
        <f>IFERROR('Import-dataset'!G17/'Import-dataset'!G16,0)</f>
        <v>1.010135135</v>
      </c>
      <c r="H16" s="11">
        <f>IFERROR('Import-dataset'!H17/'Import-dataset'!H16,0)</f>
        <v>1.072580645</v>
      </c>
      <c r="I16" s="11">
        <f>IFERROR('Import-dataset'!I17/'Import-dataset'!I16,0)</f>
        <v>1.084745763</v>
      </c>
      <c r="J16" s="11">
        <f>IFERROR('Import-dataset'!J17/'Import-dataset'!J16,0)</f>
        <v>1.003322259</v>
      </c>
      <c r="K16" s="11">
        <f>IFERROR('Import-dataset'!K17/'Import-dataset'!K16,0)</f>
        <v>1.552631579</v>
      </c>
      <c r="L16" s="11">
        <f>IFERROR('Import-dataset'!L17/'Import-dataset'!L16,0)</f>
        <v>1.110036276</v>
      </c>
      <c r="M16" s="11">
        <f>IFERROR('Import-dataset'!M17/'Import-dataset'!M16,0)</f>
        <v>1.174404015</v>
      </c>
      <c r="N16" s="11">
        <f>IFERROR('Import-dataset'!N17/'Import-dataset'!N16,0)</f>
        <v>1.176759411</v>
      </c>
      <c r="O16" s="11">
        <f>IFERROR('Import-dataset'!O17/'Import-dataset'!O16,0)</f>
        <v>1.166666667</v>
      </c>
      <c r="P16" s="11">
        <f>IFERROR('Import-dataset'!P17/'Import-dataset'!P16,0)</f>
        <v>0.8537782139</v>
      </c>
      <c r="Q16" s="11">
        <f>IFERROR('Import-dataset'!Q17/'Import-dataset'!Q16,0)</f>
        <v>0</v>
      </c>
      <c r="R16" s="11">
        <f>IFERROR('Import-dataset'!R17/'Import-dataset'!R16,0)</f>
        <v>0.4505494505</v>
      </c>
      <c r="S16" s="11">
        <f>IFERROR('Import-dataset'!S17/'Import-dataset'!S16,0)</f>
        <v>1.11965812</v>
      </c>
      <c r="T16" s="11">
        <f>IFERROR('Import-dataset'!T17/'Import-dataset'!T16,0)</f>
        <v>0.6531531532</v>
      </c>
      <c r="U16" s="11">
        <f>IFERROR('Import-dataset'!U17/'Import-dataset'!U16,0)</f>
        <v>0.7329376855</v>
      </c>
      <c r="V16" s="11">
        <f>IFERROR('Import-dataset'!V17/'Import-dataset'!V16,0)</f>
        <v>0.9931506849</v>
      </c>
      <c r="W16" s="11">
        <f>IFERROR('Import-dataset'!W17/'Import-dataset'!W16,0)</f>
        <v>1.159090909</v>
      </c>
      <c r="X16" s="11">
        <f>IFERROR('Import-dataset'!X17/'Import-dataset'!X16,0)</f>
        <v>1.141630901</v>
      </c>
      <c r="Y16" s="11">
        <f>IFERROR('Import-dataset'!Y17/'Import-dataset'!Y16,0)</f>
        <v>0.9889705882</v>
      </c>
      <c r="Z16" s="11">
        <f>IFERROR('Import-dataset'!Z17/'Import-dataset'!Z16,0)</f>
        <v>1.047508691</v>
      </c>
      <c r="AA16" s="11">
        <f>IFERROR('Import-dataset'!AA17/'Import-dataset'!AA16,0)</f>
        <v>0.75</v>
      </c>
      <c r="AB16" s="11">
        <f>IFERROR('Import-dataset'!AB17/'Import-dataset'!AB16,0)</f>
        <v>1.052173913</v>
      </c>
      <c r="AC16" s="11">
        <f>IFERROR('Import-dataset'!AC17/'Import-dataset'!AC16,0)</f>
        <v>0.8086419753</v>
      </c>
      <c r="AD16" s="11">
        <f>IFERROR('Import-dataset'!AD17/'Import-dataset'!AD16,0)</f>
        <v>1.021352313</v>
      </c>
      <c r="AE16" s="11">
        <f>IFERROR('Import-dataset'!AE17/'Import-dataset'!AE16,0)</f>
        <v>1.777777778</v>
      </c>
      <c r="AF16" s="11">
        <f>IFERROR('Import-dataset'!AF17/'Import-dataset'!AF16,0)</f>
        <v>1.004219409</v>
      </c>
      <c r="AG16" s="11">
        <f>IFERROR('Import-dataset'!AG17/'Import-dataset'!AG16,0)</f>
        <v>0.9428571429</v>
      </c>
      <c r="AH16" s="11">
        <f>IFERROR('Import-dataset'!AH17/'Import-dataset'!AH16,0)</f>
        <v>1.095470593</v>
      </c>
      <c r="AI16" s="11">
        <f>IFERROR('Import-dataset'!AI17/'Import-dataset'!AI16,0)</f>
        <v>0.9276859504</v>
      </c>
      <c r="AJ16" s="11">
        <f>IFERROR('Import-dataset'!AJ17/'Import-dataset'!AJ16,0)</f>
        <v>1.461744966</v>
      </c>
      <c r="AK16" s="11">
        <f>IFERROR('Import-dataset'!AK17/'Import-dataset'!AK16,0)</f>
        <v>1.032967033</v>
      </c>
      <c r="AL16" s="11">
        <f>IFERROR('Import-dataset'!AL17/'Import-dataset'!AL16,0)</f>
        <v>1.153923038</v>
      </c>
      <c r="AM16" s="11">
        <f>IFERROR('Import-dataset'!AM17/'Import-dataset'!AM16,0)</f>
        <v>1.226415094</v>
      </c>
      <c r="AN16" s="11">
        <f>IFERROR('Import-dataset'!AN17/'Import-dataset'!AN16,0)</f>
        <v>1.141289438</v>
      </c>
      <c r="AO16" s="11">
        <f>IFERROR('Import-dataset'!AO17/'Import-dataset'!AO16,0)</f>
        <v>1.049079755</v>
      </c>
      <c r="AP16" s="11">
        <f>IFERROR('Import-dataset'!AP17/'Import-dataset'!AP16,0)</f>
        <v>1.007186858</v>
      </c>
      <c r="AQ16" s="11">
        <f>IFERROR('Import-dataset'!AQ17/'Import-dataset'!AQ16,0)</f>
        <v>1.091805766</v>
      </c>
      <c r="AR16" s="11">
        <f>IFERROR('Import-dataset'!AR17/'Import-dataset'!AR16,0)</f>
        <v>1.00162372</v>
      </c>
      <c r="AS16" s="11">
        <f>IFERROR('Import-dataset'!AS17/'Import-dataset'!AS16,0)</f>
        <v>1.118644068</v>
      </c>
      <c r="AT16" s="11">
        <f>IFERROR('Import-dataset'!AT17/'Import-dataset'!AT16,0)</f>
        <v>1.166158537</v>
      </c>
      <c r="AU16" s="11">
        <f>IFERROR('Import-dataset'!AU17/'Import-dataset'!AU16,0)</f>
        <v>0.9316987741</v>
      </c>
      <c r="AV16" s="11">
        <f>IFERROR('Import-dataset'!AV17/'Import-dataset'!AV16,0)</f>
        <v>0.9404134576</v>
      </c>
      <c r="AW16" s="11">
        <f>IFERROR('Import-dataset'!AW17/'Import-dataset'!AW16,0)</f>
        <v>0.9447783621</v>
      </c>
      <c r="AX16" s="11">
        <f>IFERROR('Import-dataset'!AX17/'Import-dataset'!AX16,0)</f>
        <v>0.9711340206</v>
      </c>
      <c r="AY16" s="11">
        <f>IFERROR('Import-dataset'!AY17/'Import-dataset'!AY16,0)</f>
        <v>1.051792829</v>
      </c>
      <c r="AZ16" s="11">
        <f>IFERROR('Import-dataset'!AZ17/'Import-dataset'!AZ16,0)</f>
        <v>1.076832151</v>
      </c>
      <c r="BA16" s="11">
        <f>IFERROR('Import-dataset'!BA17/'Import-dataset'!BA16,0)</f>
        <v>1.011177347</v>
      </c>
      <c r="BB16" s="11">
        <f>IFERROR('Import-dataset'!BB17/'Import-dataset'!BB16,0)</f>
        <v>0.9586775342</v>
      </c>
      <c r="BC16" s="11">
        <f>IFERROR('Import-dataset'!BC17/'Import-dataset'!BC16,0)</f>
        <v>1.123116501</v>
      </c>
      <c r="BD16" s="11">
        <f>IFERROR('Import-dataset'!BD17/'Import-dataset'!BD16,0)</f>
        <v>0.9823766365</v>
      </c>
      <c r="BE16" s="11">
        <f>IFERROR('Import-dataset'!BE17/'Import-dataset'!BE16,0)</f>
        <v>1.195402299</v>
      </c>
      <c r="BF16" s="11">
        <f>IFERROR('Import-dataset'!BF17/'Import-dataset'!BF16,0)</f>
        <v>1.096484935</v>
      </c>
      <c r="BG16" s="11">
        <f>IFERROR('Import-dataset'!BG17/'Import-dataset'!BG16,0)</f>
        <v>0.921393269</v>
      </c>
      <c r="BH16" s="11">
        <f>IFERROR('Import-dataset'!BH17/'Import-dataset'!BH16,0)</f>
        <v>0.8572469931</v>
      </c>
      <c r="BI16" s="11">
        <f>IFERROR('Import-dataset'!BI17/'Import-dataset'!BI16,0)</f>
        <v>0.9776792313</v>
      </c>
      <c r="BJ16" s="11">
        <f>IFERROR('Import-dataset'!BJ17/'Import-dataset'!BJ16,0)</f>
        <v>1.0061606</v>
      </c>
      <c r="BK16" s="11">
        <f>IFERROR('Import-dataset'!BK17/'Import-dataset'!BK16,0)</f>
        <v>0.7034183919</v>
      </c>
      <c r="BL16" s="11">
        <f>IFERROR('Import-dataset'!BL17/'Import-dataset'!BL16,0)</f>
        <v>1.035864081</v>
      </c>
      <c r="BM16" s="11">
        <f>IFERROR('Import-dataset'!BM17/'Import-dataset'!BM16,0)</f>
        <v>1.037333333</v>
      </c>
      <c r="BN16" s="11">
        <f>IFERROR('Import-dataset'!BN17/'Import-dataset'!BN16,0)</f>
        <v>1.017117117</v>
      </c>
      <c r="BO16" s="11">
        <f>IFERROR('Import-dataset'!BO17/'Import-dataset'!BO16,0)</f>
        <v>1.050660793</v>
      </c>
      <c r="BP16" s="11">
        <f>IFERROR('Import-dataset'!BP17/'Import-dataset'!BP16,0)</f>
        <v>1.035971223</v>
      </c>
      <c r="BQ16" s="11">
        <f>IFERROR('Import-dataset'!BQ17/'Import-dataset'!BQ16,0)</f>
        <v>1.03986711</v>
      </c>
      <c r="BR16" s="11">
        <f>IFERROR('Import-dataset'!BR17/'Import-dataset'!BR16,0)</f>
        <v>1.118975904</v>
      </c>
      <c r="BS16" s="11">
        <f>IFERROR('Import-dataset'!BS17/'Import-dataset'!BS16,0)</f>
        <v>1.010018785</v>
      </c>
      <c r="BT16" s="11">
        <f>IFERROR('Import-dataset'!BT17/'Import-dataset'!BT16,0)</f>
        <v>1.008891712</v>
      </c>
      <c r="BU16" s="11">
        <f>IFERROR('Import-dataset'!BU17/'Import-dataset'!BU16,0)</f>
        <v>1.267171444</v>
      </c>
      <c r="BV16" s="11">
        <f>IFERROR('Import-dataset'!BV17/'Import-dataset'!BV16,0)</f>
        <v>0.7288135593</v>
      </c>
      <c r="BW16" s="11">
        <f>IFERROR('Import-dataset'!BW17/'Import-dataset'!BW16,0)</f>
        <v>0.7777777778</v>
      </c>
      <c r="BX16" s="11">
        <f>IFERROR('Import-dataset'!BX17/'Import-dataset'!BX16,0)</f>
        <v>0</v>
      </c>
      <c r="BY16" s="11">
        <f>IFERROR('Import-dataset'!BY17/'Import-dataset'!BY16,0)</f>
        <v>1.309234508</v>
      </c>
      <c r="BZ16" s="11">
        <f>IFERROR('Import-dataset'!BZ17/'Import-dataset'!BZ16,0)</f>
        <v>1.029850746</v>
      </c>
      <c r="CA16" s="11">
        <f>IFERROR('Import-dataset'!CA17/'Import-dataset'!CA16,0)</f>
        <v>1.006892482</v>
      </c>
    </row>
    <row r="17">
      <c r="A17" s="9" t="str">
        <f>'Import-dataset'!A18</f>
        <v>Y2002</v>
      </c>
      <c r="B17" s="11">
        <f>IFERROR('Import-dataset'!B18/'Import-dataset'!B17,0)</f>
        <v>1.070867908</v>
      </c>
      <c r="C17" s="11">
        <f>IFERROR('Import-dataset'!C18/'Import-dataset'!C17,0)</f>
        <v>1.25</v>
      </c>
      <c r="D17" s="11">
        <f>IFERROR('Import-dataset'!D18/'Import-dataset'!D17,0)</f>
        <v>1.251428571</v>
      </c>
      <c r="E17" s="11">
        <f>IFERROR('Import-dataset'!E18/'Import-dataset'!E17,0)</f>
        <v>0.9024390244</v>
      </c>
      <c r="F17" s="11">
        <f>IFERROR('Import-dataset'!F18/'Import-dataset'!F17,0)</f>
        <v>1.014364641</v>
      </c>
      <c r="G17" s="11">
        <f>IFERROR('Import-dataset'!G18/'Import-dataset'!G17,0)</f>
        <v>1.010033445</v>
      </c>
      <c r="H17" s="11">
        <f>IFERROR('Import-dataset'!H18/'Import-dataset'!H17,0)</f>
        <v>1.088972431</v>
      </c>
      <c r="I17" s="11">
        <f>IFERROR('Import-dataset'!I18/'Import-dataset'!I17,0)</f>
        <v>1.1796875</v>
      </c>
      <c r="J17" s="11">
        <f>IFERROR('Import-dataset'!J18/'Import-dataset'!J17,0)</f>
        <v>1.102649007</v>
      </c>
      <c r="K17" s="11">
        <f>IFERROR('Import-dataset'!K18/'Import-dataset'!K17,0)</f>
        <v>1.279661017</v>
      </c>
      <c r="L17" s="11">
        <f>IFERROR('Import-dataset'!L18/'Import-dataset'!L17,0)</f>
        <v>1.053376906</v>
      </c>
      <c r="M17" s="11">
        <f>IFERROR('Import-dataset'!M18/'Import-dataset'!M17,0)</f>
        <v>1.030982906</v>
      </c>
      <c r="N17" s="11">
        <f>IFERROR('Import-dataset'!N18/'Import-dataset'!N17,0)</f>
        <v>0.9471488178</v>
      </c>
      <c r="O17" s="11">
        <f>IFERROR('Import-dataset'!O18/'Import-dataset'!O17,0)</f>
        <v>1.30875576</v>
      </c>
      <c r="P17" s="11">
        <f>IFERROR('Import-dataset'!P18/'Import-dataset'!P17,0)</f>
        <v>1.083333333</v>
      </c>
      <c r="Q17" s="11">
        <f>IFERROR('Import-dataset'!Q18/'Import-dataset'!Q17,0)</f>
        <v>1.5</v>
      </c>
      <c r="R17" s="11">
        <f>IFERROR('Import-dataset'!R18/'Import-dataset'!R17,0)</f>
        <v>1.097560976</v>
      </c>
      <c r="S17" s="11">
        <f>IFERROR('Import-dataset'!S18/'Import-dataset'!S17,0)</f>
        <v>0.9312977099</v>
      </c>
      <c r="T17" s="11">
        <f>IFERROR('Import-dataset'!T18/'Import-dataset'!T17,0)</f>
        <v>1.289655172</v>
      </c>
      <c r="U17" s="11">
        <f>IFERROR('Import-dataset'!U18/'Import-dataset'!U17,0)</f>
        <v>1.016194332</v>
      </c>
      <c r="V17" s="11">
        <f>IFERROR('Import-dataset'!V18/'Import-dataset'!V17,0)</f>
        <v>1.124137931</v>
      </c>
      <c r="W17" s="11">
        <f>IFERROR('Import-dataset'!W18/'Import-dataset'!W17,0)</f>
        <v>1.009803922</v>
      </c>
      <c r="X17" s="11">
        <f>IFERROR('Import-dataset'!X18/'Import-dataset'!X17,0)</f>
        <v>0.9436090226</v>
      </c>
      <c r="Y17" s="11">
        <f>IFERROR('Import-dataset'!Y18/'Import-dataset'!Y17,0)</f>
        <v>1.05204461</v>
      </c>
      <c r="Z17" s="11">
        <f>IFERROR('Import-dataset'!Z18/'Import-dataset'!Z17,0)</f>
        <v>0.935840708</v>
      </c>
      <c r="AA17" s="11">
        <f>IFERROR('Import-dataset'!AA18/'Import-dataset'!AA17,0)</f>
        <v>1.833333333</v>
      </c>
      <c r="AB17" s="11">
        <f>IFERROR('Import-dataset'!AB18/'Import-dataset'!AB17,0)</f>
        <v>0.9349046016</v>
      </c>
      <c r="AC17" s="11">
        <f>IFERROR('Import-dataset'!AC18/'Import-dataset'!AC17,0)</f>
        <v>0.9236641221</v>
      </c>
      <c r="AD17" s="11">
        <f>IFERROR('Import-dataset'!AD18/'Import-dataset'!AD17,0)</f>
        <v>1.18815331</v>
      </c>
      <c r="AE17" s="11">
        <f>IFERROR('Import-dataset'!AE18/'Import-dataset'!AE17,0)</f>
        <v>1.125</v>
      </c>
      <c r="AF17" s="11">
        <f>IFERROR('Import-dataset'!AF18/'Import-dataset'!AF17,0)</f>
        <v>1.18907563</v>
      </c>
      <c r="AG17" s="11">
        <f>IFERROR('Import-dataset'!AG18/'Import-dataset'!AG17,0)</f>
        <v>1.212121212</v>
      </c>
      <c r="AH17" s="11">
        <f>IFERROR('Import-dataset'!AH18/'Import-dataset'!AH17,0)</f>
        <v>1.010902359</v>
      </c>
      <c r="AI17" s="11">
        <f>IFERROR('Import-dataset'!AI18/'Import-dataset'!AI17,0)</f>
        <v>0.9101707498</v>
      </c>
      <c r="AJ17" s="11">
        <f>IFERROR('Import-dataset'!AJ18/'Import-dataset'!AJ17,0)</f>
        <v>0.650137741</v>
      </c>
      <c r="AK17" s="11">
        <f>IFERROR('Import-dataset'!AK18/'Import-dataset'!AK17,0)</f>
        <v>0.9627659574</v>
      </c>
      <c r="AL17" s="11">
        <f>IFERROR('Import-dataset'!AL18/'Import-dataset'!AL17,0)</f>
        <v>1.125595496</v>
      </c>
      <c r="AM17" s="11">
        <f>IFERROR('Import-dataset'!AM18/'Import-dataset'!AM17,0)</f>
        <v>1.038461538</v>
      </c>
      <c r="AN17" s="11">
        <f>IFERROR('Import-dataset'!AN18/'Import-dataset'!AN17,0)</f>
        <v>0.9483173077</v>
      </c>
      <c r="AO17" s="11">
        <f>IFERROR('Import-dataset'!AO18/'Import-dataset'!AO17,0)</f>
        <v>1.085213033</v>
      </c>
      <c r="AP17" s="11">
        <f>IFERROR('Import-dataset'!AP18/'Import-dataset'!AP17,0)</f>
        <v>1.047910296</v>
      </c>
      <c r="AQ17" s="11">
        <f>IFERROR('Import-dataset'!AQ18/'Import-dataset'!AQ17,0)</f>
        <v>1.050034746</v>
      </c>
      <c r="AR17" s="11">
        <f>IFERROR('Import-dataset'!AR18/'Import-dataset'!AR17,0)</f>
        <v>1.099520722</v>
      </c>
      <c r="AS17" s="11">
        <f>IFERROR('Import-dataset'!AS18/'Import-dataset'!AS17,0)</f>
        <v>1.085858586</v>
      </c>
      <c r="AT17" s="11">
        <f>IFERROR('Import-dataset'!AT18/'Import-dataset'!AT17,0)</f>
        <v>1.117647059</v>
      </c>
      <c r="AU17" s="11">
        <f>IFERROR('Import-dataset'!AU18/'Import-dataset'!AU17,0)</f>
        <v>1.246240602</v>
      </c>
      <c r="AV17" s="11">
        <f>IFERROR('Import-dataset'!AV18/'Import-dataset'!AV17,0)</f>
        <v>1.052155172</v>
      </c>
      <c r="AW17" s="11">
        <f>IFERROR('Import-dataset'!AW18/'Import-dataset'!AW17,0)</f>
        <v>1.076341948</v>
      </c>
      <c r="AX17" s="11">
        <f>IFERROR('Import-dataset'!AX18/'Import-dataset'!AX17,0)</f>
        <v>1.107749469</v>
      </c>
      <c r="AY17" s="11">
        <f>IFERROR('Import-dataset'!AY18/'Import-dataset'!AY17,0)</f>
        <v>1.159722222</v>
      </c>
      <c r="AZ17" s="11">
        <f>IFERROR('Import-dataset'!AZ18/'Import-dataset'!AZ17,0)</f>
        <v>1.048298573</v>
      </c>
      <c r="BA17" s="11">
        <f>IFERROR('Import-dataset'!BA18/'Import-dataset'!BA17,0)</f>
        <v>1.099852616</v>
      </c>
      <c r="BB17" s="11">
        <f>IFERROR('Import-dataset'!BB18/'Import-dataset'!BB17,0)</f>
        <v>1.119353542</v>
      </c>
      <c r="BC17" s="11">
        <f>IFERROR('Import-dataset'!BC18/'Import-dataset'!BC17,0)</f>
        <v>1.01341623</v>
      </c>
      <c r="BD17" s="11">
        <f>IFERROR('Import-dataset'!BD18/'Import-dataset'!BD17,0)</f>
        <v>1.141978473</v>
      </c>
      <c r="BE17" s="11">
        <f>IFERROR('Import-dataset'!BE18/'Import-dataset'!BE17,0)</f>
        <v>1.155769231</v>
      </c>
      <c r="BF17" s="11">
        <f>IFERROR('Import-dataset'!BF18/'Import-dataset'!BF17,0)</f>
        <v>1.097317632</v>
      </c>
      <c r="BG17" s="11">
        <f>IFERROR('Import-dataset'!BG18/'Import-dataset'!BG17,0)</f>
        <v>1.016730524</v>
      </c>
      <c r="BH17" s="11">
        <f>IFERROR('Import-dataset'!BH18/'Import-dataset'!BH17,0)</f>
        <v>0.9630102041</v>
      </c>
      <c r="BI17" s="11">
        <f>IFERROR('Import-dataset'!BI18/'Import-dataset'!BI17,0)</f>
        <v>1.026307832</v>
      </c>
      <c r="BJ17" s="11">
        <f>IFERROR('Import-dataset'!BJ18/'Import-dataset'!BJ17,0)</f>
        <v>1.11422338</v>
      </c>
      <c r="BK17" s="11">
        <f>IFERROR('Import-dataset'!BK18/'Import-dataset'!BK17,0)</f>
        <v>2.127652293</v>
      </c>
      <c r="BL17" s="11">
        <f>IFERROR('Import-dataset'!BL18/'Import-dataset'!BL17,0)</f>
        <v>1.079044657</v>
      </c>
      <c r="BM17" s="11">
        <f>IFERROR('Import-dataset'!BM18/'Import-dataset'!BM17,0)</f>
        <v>1.077120823</v>
      </c>
      <c r="BN17" s="11">
        <f>IFERROR('Import-dataset'!BN18/'Import-dataset'!BN17,0)</f>
        <v>1.225863596</v>
      </c>
      <c r="BO17" s="11">
        <f>IFERROR('Import-dataset'!BO18/'Import-dataset'!BO17,0)</f>
        <v>0.9790356394</v>
      </c>
      <c r="BP17" s="11">
        <f>IFERROR('Import-dataset'!BP18/'Import-dataset'!BP17,0)</f>
        <v>1.054924242</v>
      </c>
      <c r="BQ17" s="11">
        <f>IFERROR('Import-dataset'!BQ18/'Import-dataset'!BQ17,0)</f>
        <v>1.100106496</v>
      </c>
      <c r="BR17" s="11">
        <f>IFERROR('Import-dataset'!BR18/'Import-dataset'!BR17,0)</f>
        <v>1.003364738</v>
      </c>
      <c r="BS17" s="11">
        <f>IFERROR('Import-dataset'!BS18/'Import-dataset'!BS17,0)</f>
        <v>0.9646621203</v>
      </c>
      <c r="BT17" s="11">
        <f>IFERROR('Import-dataset'!BT18/'Import-dataset'!BT17,0)</f>
        <v>1.133931382</v>
      </c>
      <c r="BU17" s="11">
        <f>IFERROR('Import-dataset'!BU18/'Import-dataset'!BU17,0)</f>
        <v>1.367477593</v>
      </c>
      <c r="BV17" s="11">
        <f>IFERROR('Import-dataset'!BV18/'Import-dataset'!BV17,0)</f>
        <v>0.9302325581</v>
      </c>
      <c r="BW17" s="11">
        <f>IFERROR('Import-dataset'!BW18/'Import-dataset'!BW17,0)</f>
        <v>1.142857143</v>
      </c>
      <c r="BX17" s="11">
        <f>IFERROR('Import-dataset'!BX18/'Import-dataset'!BX17,0)</f>
        <v>0</v>
      </c>
      <c r="BY17" s="11">
        <f>IFERROR('Import-dataset'!BY18/'Import-dataset'!BY17,0)</f>
        <v>1.16612529</v>
      </c>
      <c r="BZ17" s="11">
        <f>IFERROR('Import-dataset'!BZ18/'Import-dataset'!BZ17,0)</f>
        <v>4.65942029</v>
      </c>
      <c r="CA17" s="11">
        <f>IFERROR('Import-dataset'!CA18/'Import-dataset'!CA17,0)</f>
        <v>1.084232876</v>
      </c>
    </row>
    <row r="18">
      <c r="A18" s="9" t="str">
        <f>'Import-dataset'!A19</f>
        <v>Y2003</v>
      </c>
      <c r="B18" s="11">
        <f>IFERROR('Import-dataset'!B19/'Import-dataset'!B18,0)</f>
        <v>1.082931937</v>
      </c>
      <c r="C18" s="11">
        <f>IFERROR('Import-dataset'!C19/'Import-dataset'!C18,0)</f>
        <v>0.9647058824</v>
      </c>
      <c r="D18" s="11">
        <f>IFERROR('Import-dataset'!D19/'Import-dataset'!D18,0)</f>
        <v>1.068493151</v>
      </c>
      <c r="E18" s="11">
        <f>IFERROR('Import-dataset'!E19/'Import-dataset'!E18,0)</f>
        <v>1.077702703</v>
      </c>
      <c r="F18" s="11">
        <f>IFERROR('Import-dataset'!F19/'Import-dataset'!F18,0)</f>
        <v>1.033769063</v>
      </c>
      <c r="G18" s="11">
        <f>IFERROR('Import-dataset'!G19/'Import-dataset'!G18,0)</f>
        <v>1.354304636</v>
      </c>
      <c r="H18" s="11">
        <f>IFERROR('Import-dataset'!H19/'Import-dataset'!H18,0)</f>
        <v>1.101265823</v>
      </c>
      <c r="I18" s="11">
        <f>IFERROR('Import-dataset'!I19/'Import-dataset'!I18,0)</f>
        <v>1.271523179</v>
      </c>
      <c r="J18" s="11">
        <f>IFERROR('Import-dataset'!J19/'Import-dataset'!J18,0)</f>
        <v>1.006006006</v>
      </c>
      <c r="K18" s="11">
        <f>IFERROR('Import-dataset'!K19/'Import-dataset'!K18,0)</f>
        <v>1.026490066</v>
      </c>
      <c r="L18" s="11">
        <f>IFERROR('Import-dataset'!L19/'Import-dataset'!L18,0)</f>
        <v>1.084798345</v>
      </c>
      <c r="M18" s="11">
        <f>IFERROR('Import-dataset'!M19/'Import-dataset'!M18,0)</f>
        <v>0.9937823834</v>
      </c>
      <c r="N18" s="11">
        <f>IFERROR('Import-dataset'!N19/'Import-dataset'!N18,0)</f>
        <v>1.035242291</v>
      </c>
      <c r="O18" s="11">
        <f>IFERROR('Import-dataset'!O19/'Import-dataset'!O18,0)</f>
        <v>0.8943661972</v>
      </c>
      <c r="P18" s="11">
        <f>IFERROR('Import-dataset'!P19/'Import-dataset'!P18,0)</f>
        <v>1.027586207</v>
      </c>
      <c r="Q18" s="11">
        <f>IFERROR('Import-dataset'!Q19/'Import-dataset'!Q18,0)</f>
        <v>0.6666666667</v>
      </c>
      <c r="R18" s="11">
        <f>IFERROR('Import-dataset'!R19/'Import-dataset'!R18,0)</f>
        <v>1.577777778</v>
      </c>
      <c r="S18" s="11">
        <f>IFERROR('Import-dataset'!S19/'Import-dataset'!S18,0)</f>
        <v>1.090163934</v>
      </c>
      <c r="T18" s="11">
        <f>IFERROR('Import-dataset'!T19/'Import-dataset'!T18,0)</f>
        <v>1.065953654</v>
      </c>
      <c r="U18" s="11">
        <f>IFERROR('Import-dataset'!U19/'Import-dataset'!U18,0)</f>
        <v>0.9282868526</v>
      </c>
      <c r="V18" s="11">
        <f>IFERROR('Import-dataset'!V19/'Import-dataset'!V18,0)</f>
        <v>1.024539877</v>
      </c>
      <c r="W18" s="11">
        <f>IFERROR('Import-dataset'!W19/'Import-dataset'!W18,0)</f>
        <v>0.9174757282</v>
      </c>
      <c r="X18" s="11">
        <f>IFERROR('Import-dataset'!X19/'Import-dataset'!X18,0)</f>
        <v>1.075697211</v>
      </c>
      <c r="Y18" s="11">
        <f>IFERROR('Import-dataset'!Y19/'Import-dataset'!Y18,0)</f>
        <v>0.9681978799</v>
      </c>
      <c r="Z18" s="11">
        <f>IFERROR('Import-dataset'!Z19/'Import-dataset'!Z18,0)</f>
        <v>1.078121642</v>
      </c>
      <c r="AA18" s="11">
        <f>IFERROR('Import-dataset'!AA19/'Import-dataset'!AA18,0)</f>
        <v>0.7727272727</v>
      </c>
      <c r="AB18" s="11">
        <f>IFERROR('Import-dataset'!AB19/'Import-dataset'!AB18,0)</f>
        <v>1.08228746</v>
      </c>
      <c r="AC18" s="11">
        <f>IFERROR('Import-dataset'!AC19/'Import-dataset'!AC18,0)</f>
        <v>0.8181818182</v>
      </c>
      <c r="AD18" s="11">
        <f>IFERROR('Import-dataset'!AD19/'Import-dataset'!AD18,0)</f>
        <v>1.046920821</v>
      </c>
      <c r="AE18" s="11">
        <f>IFERROR('Import-dataset'!AE19/'Import-dataset'!AE18,0)</f>
        <v>1.388888889</v>
      </c>
      <c r="AF18" s="11">
        <f>IFERROR('Import-dataset'!AF19/'Import-dataset'!AF18,0)</f>
        <v>1.024734982</v>
      </c>
      <c r="AG18" s="11">
        <f>IFERROR('Import-dataset'!AG19/'Import-dataset'!AG18,0)</f>
        <v>1.05</v>
      </c>
      <c r="AH18" s="11">
        <f>IFERROR('Import-dataset'!AH19/'Import-dataset'!AH18,0)</f>
        <v>1.013226616</v>
      </c>
      <c r="AI18" s="11">
        <f>IFERROR('Import-dataset'!AI19/'Import-dataset'!AI18,0)</f>
        <v>0.9669657423</v>
      </c>
      <c r="AJ18" s="11">
        <f>IFERROR('Import-dataset'!AJ19/'Import-dataset'!AJ18,0)</f>
        <v>0.9774011299</v>
      </c>
      <c r="AK18" s="11">
        <f>IFERROR('Import-dataset'!AK19/'Import-dataset'!AK18,0)</f>
        <v>0.9889502762</v>
      </c>
      <c r="AL18" s="11">
        <f>IFERROR('Import-dataset'!AL19/'Import-dataset'!AL18,0)</f>
        <v>1.063101193</v>
      </c>
      <c r="AM18" s="11">
        <f>IFERROR('Import-dataset'!AM19/'Import-dataset'!AM18,0)</f>
        <v>1.043621399</v>
      </c>
      <c r="AN18" s="11">
        <f>IFERROR('Import-dataset'!AN19/'Import-dataset'!AN18,0)</f>
        <v>0.9721166033</v>
      </c>
      <c r="AO18" s="11">
        <f>IFERROR('Import-dataset'!AO19/'Import-dataset'!AO18,0)</f>
        <v>0.9846035412</v>
      </c>
      <c r="AP18" s="11">
        <f>IFERROR('Import-dataset'!AP19/'Import-dataset'!AP18,0)</f>
        <v>1.011673152</v>
      </c>
      <c r="AQ18" s="11">
        <f>IFERROR('Import-dataset'!AQ19/'Import-dataset'!AQ18,0)</f>
        <v>0.9649238915</v>
      </c>
      <c r="AR18" s="11">
        <f>IFERROR('Import-dataset'!AR19/'Import-dataset'!AR18,0)</f>
        <v>1.013076923</v>
      </c>
      <c r="AS18" s="11">
        <f>IFERROR('Import-dataset'!AS19/'Import-dataset'!AS18,0)</f>
        <v>0.8093023256</v>
      </c>
      <c r="AT18" s="11">
        <f>IFERROR('Import-dataset'!AT19/'Import-dataset'!AT18,0)</f>
        <v>1.012280702</v>
      </c>
      <c r="AU18" s="11">
        <f>IFERROR('Import-dataset'!AU19/'Import-dataset'!AU18,0)</f>
        <v>0.9909502262</v>
      </c>
      <c r="AV18" s="11">
        <f>IFERROR('Import-dataset'!AV19/'Import-dataset'!AV18,0)</f>
        <v>1.013928718</v>
      </c>
      <c r="AW18" s="11">
        <f>IFERROR('Import-dataset'!AW19/'Import-dataset'!AW18,0)</f>
        <v>0.9423716291</v>
      </c>
      <c r="AX18" s="11">
        <f>IFERROR('Import-dataset'!AX19/'Import-dataset'!AX18,0)</f>
        <v>0.9841878294</v>
      </c>
      <c r="AY18" s="11">
        <f>IFERROR('Import-dataset'!AY19/'Import-dataset'!AY18,0)</f>
        <v>1.087642896</v>
      </c>
      <c r="AZ18" s="11">
        <f>IFERROR('Import-dataset'!AZ19/'Import-dataset'!AZ18,0)</f>
        <v>1.093193717</v>
      </c>
      <c r="BA18" s="11">
        <f>IFERROR('Import-dataset'!BA19/'Import-dataset'!BA18,0)</f>
        <v>1.045226131</v>
      </c>
      <c r="BB18" s="11">
        <f>IFERROR('Import-dataset'!BB19/'Import-dataset'!BB18,0)</f>
        <v>1.012128781</v>
      </c>
      <c r="BC18" s="11">
        <f>IFERROR('Import-dataset'!BC19/'Import-dataset'!BC18,0)</f>
        <v>0.9722311915</v>
      </c>
      <c r="BD18" s="11">
        <f>IFERROR('Import-dataset'!BD19/'Import-dataset'!BD18,0)</f>
        <v>1.023114901</v>
      </c>
      <c r="BE18" s="11">
        <f>IFERROR('Import-dataset'!BE19/'Import-dataset'!BE18,0)</f>
        <v>1.352745424</v>
      </c>
      <c r="BF18" s="11">
        <f>IFERROR('Import-dataset'!BF19/'Import-dataset'!BF18,0)</f>
        <v>1.036816217</v>
      </c>
      <c r="BG18" s="11">
        <f>IFERROR('Import-dataset'!BG19/'Import-dataset'!BG18,0)</f>
        <v>0.9444793368</v>
      </c>
      <c r="BH18" s="11">
        <f>IFERROR('Import-dataset'!BH19/'Import-dataset'!BH18,0)</f>
        <v>1.034289919</v>
      </c>
      <c r="BI18" s="11">
        <f>IFERROR('Import-dataset'!BI19/'Import-dataset'!BI18,0)</f>
        <v>1.016057749</v>
      </c>
      <c r="BJ18" s="11">
        <f>IFERROR('Import-dataset'!BJ19/'Import-dataset'!BJ18,0)</f>
        <v>1.087038909</v>
      </c>
      <c r="BK18" s="11">
        <f>IFERROR('Import-dataset'!BK19/'Import-dataset'!BK18,0)</f>
        <v>0.831912498</v>
      </c>
      <c r="BL18" s="11">
        <f>IFERROR('Import-dataset'!BL19/'Import-dataset'!BL18,0)</f>
        <v>0.9977159017</v>
      </c>
      <c r="BM18" s="11">
        <f>IFERROR('Import-dataset'!BM19/'Import-dataset'!BM18,0)</f>
        <v>1.076372315</v>
      </c>
      <c r="BN18" s="11">
        <f>IFERROR('Import-dataset'!BN19/'Import-dataset'!BN18,0)</f>
        <v>1.094653179</v>
      </c>
      <c r="BO18" s="11">
        <f>IFERROR('Import-dataset'!BO19/'Import-dataset'!BO18,0)</f>
        <v>1.004282655</v>
      </c>
      <c r="BP18" s="11">
        <f>IFERROR('Import-dataset'!BP19/'Import-dataset'!BP18,0)</f>
        <v>1.006283662</v>
      </c>
      <c r="BQ18" s="11">
        <f>IFERROR('Import-dataset'!BQ19/'Import-dataset'!BQ18,0)</f>
        <v>0.8877057115</v>
      </c>
      <c r="BR18" s="11">
        <f>IFERROR('Import-dataset'!BR19/'Import-dataset'!BR18,0)</f>
        <v>1.027833669</v>
      </c>
      <c r="BS18" s="11">
        <f>IFERROR('Import-dataset'!BS19/'Import-dataset'!BS18,0)</f>
        <v>0.8856041131</v>
      </c>
      <c r="BT18" s="11">
        <f>IFERROR('Import-dataset'!BT19/'Import-dataset'!BT18,0)</f>
        <v>0.9976405274</v>
      </c>
      <c r="BU18" s="11">
        <f>IFERROR('Import-dataset'!BU19/'Import-dataset'!BU18,0)</f>
        <v>1.019038702</v>
      </c>
      <c r="BV18" s="11">
        <f>IFERROR('Import-dataset'!BV19/'Import-dataset'!BV18,0)</f>
        <v>0.725</v>
      </c>
      <c r="BW18" s="11">
        <f>IFERROR('Import-dataset'!BW19/'Import-dataset'!BW18,0)</f>
        <v>0.25</v>
      </c>
      <c r="BX18" s="11">
        <f>IFERROR('Import-dataset'!BX19/'Import-dataset'!BX18,0)</f>
        <v>0</v>
      </c>
      <c r="BY18" s="11">
        <f>IFERROR('Import-dataset'!BY19/'Import-dataset'!BY18,0)</f>
        <v>1.159172304</v>
      </c>
      <c r="BZ18" s="11">
        <f>IFERROR('Import-dataset'!BZ19/'Import-dataset'!BZ18,0)</f>
        <v>0.499222395</v>
      </c>
      <c r="CA18" s="11">
        <f>IFERROR('Import-dataset'!CA19/'Import-dataset'!CA18,0)</f>
        <v>1.018110181</v>
      </c>
    </row>
    <row r="19">
      <c r="A19" s="9" t="str">
        <f>'Import-dataset'!A20</f>
        <v>Y2004</v>
      </c>
      <c r="B19" s="11">
        <f>IFERROR('Import-dataset'!B20/'Import-dataset'!B19,0)</f>
        <v>1.019145233</v>
      </c>
      <c r="C19" s="11">
        <f>IFERROR('Import-dataset'!C20/'Import-dataset'!C19,0)</f>
        <v>0.8048780488</v>
      </c>
      <c r="D19" s="11">
        <f>IFERROR('Import-dataset'!D20/'Import-dataset'!D19,0)</f>
        <v>1.217948718</v>
      </c>
      <c r="E19" s="11">
        <f>IFERROR('Import-dataset'!E20/'Import-dataset'!E19,0)</f>
        <v>1.109717868</v>
      </c>
      <c r="F19" s="11">
        <f>IFERROR('Import-dataset'!F20/'Import-dataset'!F19,0)</f>
        <v>0.9694415174</v>
      </c>
      <c r="G19" s="11">
        <f>IFERROR('Import-dataset'!G20/'Import-dataset'!G19,0)</f>
        <v>0.9315403423</v>
      </c>
      <c r="H19" s="11">
        <f>IFERROR('Import-dataset'!H20/'Import-dataset'!H19,0)</f>
        <v>1.108672936</v>
      </c>
      <c r="I19" s="11">
        <f>IFERROR('Import-dataset'!I20/'Import-dataset'!I19,0)</f>
        <v>0.90625</v>
      </c>
      <c r="J19" s="11">
        <f>IFERROR('Import-dataset'!J20/'Import-dataset'!J19,0)</f>
        <v>1.001492537</v>
      </c>
      <c r="K19" s="11">
        <f>IFERROR('Import-dataset'!K20/'Import-dataset'!K19,0)</f>
        <v>0.8612903226</v>
      </c>
      <c r="L19" s="11">
        <f>IFERROR('Import-dataset'!L20/'Import-dataset'!L19,0)</f>
        <v>1.040038132</v>
      </c>
      <c r="M19" s="11">
        <f>IFERROR('Import-dataset'!M20/'Import-dataset'!M19,0)</f>
        <v>0.9906152242</v>
      </c>
      <c r="N19" s="11">
        <f>IFERROR('Import-dataset'!N20/'Import-dataset'!N19,0)</f>
        <v>1.113475177</v>
      </c>
      <c r="O19" s="11">
        <f>IFERROR('Import-dataset'!O20/'Import-dataset'!O19,0)</f>
        <v>0.6496062992</v>
      </c>
      <c r="P19" s="11">
        <f>IFERROR('Import-dataset'!P20/'Import-dataset'!P19,0)</f>
        <v>0.9752194115</v>
      </c>
      <c r="Q19" s="11">
        <f>IFERROR('Import-dataset'!Q20/'Import-dataset'!Q19,0)</f>
        <v>0</v>
      </c>
      <c r="R19" s="11">
        <f>IFERROR('Import-dataset'!R20/'Import-dataset'!R19,0)</f>
        <v>0.9014084507</v>
      </c>
      <c r="S19" s="11">
        <f>IFERROR('Import-dataset'!S20/'Import-dataset'!S19,0)</f>
        <v>1.015037594</v>
      </c>
      <c r="T19" s="11">
        <f>IFERROR('Import-dataset'!T20/'Import-dataset'!T19,0)</f>
        <v>1.005016722</v>
      </c>
      <c r="U19" s="11">
        <f>IFERROR('Import-dataset'!U20/'Import-dataset'!U19,0)</f>
        <v>1.030042918</v>
      </c>
      <c r="V19" s="11">
        <f>IFERROR('Import-dataset'!V20/'Import-dataset'!V19,0)</f>
        <v>0.9281437126</v>
      </c>
      <c r="W19" s="11">
        <f>IFERROR('Import-dataset'!W20/'Import-dataset'!W19,0)</f>
        <v>0.9417989418</v>
      </c>
      <c r="X19" s="11">
        <f>IFERROR('Import-dataset'!X20/'Import-dataset'!X19,0)</f>
        <v>0.9407407407</v>
      </c>
      <c r="Y19" s="11">
        <f>IFERROR('Import-dataset'!Y20/'Import-dataset'!Y19,0)</f>
        <v>0.9562043796</v>
      </c>
      <c r="Z19" s="11">
        <f>IFERROR('Import-dataset'!Z20/'Import-dataset'!Z19,0)</f>
        <v>1.282268514</v>
      </c>
      <c r="AA19" s="11">
        <f>IFERROR('Import-dataset'!AA20/'Import-dataset'!AA19,0)</f>
        <v>1.058823529</v>
      </c>
      <c r="AB19" s="11">
        <f>IFERROR('Import-dataset'!AB20/'Import-dataset'!AB19,0)</f>
        <v>1.280629223</v>
      </c>
      <c r="AC19" s="11">
        <f>IFERROR('Import-dataset'!AC20/'Import-dataset'!AC19,0)</f>
        <v>1.484848485</v>
      </c>
      <c r="AD19" s="11">
        <f>IFERROR('Import-dataset'!AD20/'Import-dataset'!AD19,0)</f>
        <v>1.075630252</v>
      </c>
      <c r="AE19" s="11">
        <f>IFERROR('Import-dataset'!AE20/'Import-dataset'!AE19,0)</f>
        <v>0.72</v>
      </c>
      <c r="AF19" s="11">
        <f>IFERROR('Import-dataset'!AF20/'Import-dataset'!AF19,0)</f>
        <v>1.113793103</v>
      </c>
      <c r="AG19" s="11">
        <f>IFERROR('Import-dataset'!AG20/'Import-dataset'!AG19,0)</f>
        <v>1.023809524</v>
      </c>
      <c r="AH19" s="11">
        <f>IFERROR('Import-dataset'!AH20/'Import-dataset'!AH19,0)</f>
        <v>1.095394296</v>
      </c>
      <c r="AI19" s="11">
        <f>IFERROR('Import-dataset'!AI20/'Import-dataset'!AI19,0)</f>
        <v>1.084774357</v>
      </c>
      <c r="AJ19" s="11">
        <f>IFERROR('Import-dataset'!AJ20/'Import-dataset'!AJ19,0)</f>
        <v>1.047687861</v>
      </c>
      <c r="AK19" s="11">
        <f>IFERROR('Import-dataset'!AK20/'Import-dataset'!AK19,0)</f>
        <v>0.9888268156</v>
      </c>
      <c r="AL19" s="11">
        <f>IFERROR('Import-dataset'!AL20/'Import-dataset'!AL19,0)</f>
        <v>1.180781759</v>
      </c>
      <c r="AM19" s="11">
        <f>IFERROR('Import-dataset'!AM20/'Import-dataset'!AM19,0)</f>
        <v>1.021293375</v>
      </c>
      <c r="AN19" s="11">
        <f>IFERROR('Import-dataset'!AN20/'Import-dataset'!AN19,0)</f>
        <v>1.151238592</v>
      </c>
      <c r="AO19" s="11">
        <f>IFERROR('Import-dataset'!AO20/'Import-dataset'!AO19,0)</f>
        <v>0.9718530102</v>
      </c>
      <c r="AP19" s="11">
        <f>IFERROR('Import-dataset'!AP20/'Import-dataset'!AP19,0)</f>
        <v>1.026923077</v>
      </c>
      <c r="AQ19" s="11">
        <f>IFERROR('Import-dataset'!AQ20/'Import-dataset'!AQ19,0)</f>
        <v>1.043209877</v>
      </c>
      <c r="AR19" s="11">
        <f>IFERROR('Import-dataset'!AR20/'Import-dataset'!AR19,0)</f>
        <v>1.058466211</v>
      </c>
      <c r="AS19" s="11">
        <f>IFERROR('Import-dataset'!AS20/'Import-dataset'!AS19,0)</f>
        <v>0.9425287356</v>
      </c>
      <c r="AT19" s="11">
        <f>IFERROR('Import-dataset'!AT20/'Import-dataset'!AT19,0)</f>
        <v>1.020797227</v>
      </c>
      <c r="AU19" s="11">
        <f>IFERROR('Import-dataset'!AU20/'Import-dataset'!AU19,0)</f>
        <v>1.01369863</v>
      </c>
      <c r="AV19" s="11">
        <f>IFERROR('Import-dataset'!AV20/'Import-dataset'!AV19,0)</f>
        <v>1.013333333</v>
      </c>
      <c r="AW19" s="11">
        <f>IFERROR('Import-dataset'!AW20/'Import-dataset'!AW19,0)</f>
        <v>0.9733437868</v>
      </c>
      <c r="AX19" s="11">
        <f>IFERROR('Import-dataset'!AX20/'Import-dataset'!AX19,0)</f>
        <v>1.055014606</v>
      </c>
      <c r="AY19" s="11">
        <f>IFERROR('Import-dataset'!AY20/'Import-dataset'!AY19,0)</f>
        <v>1.247747748</v>
      </c>
      <c r="AZ19" s="11">
        <f>IFERROR('Import-dataset'!AZ20/'Import-dataset'!AZ19,0)</f>
        <v>0.9243295019</v>
      </c>
      <c r="BA19" s="11">
        <f>IFERROR('Import-dataset'!BA20/'Import-dataset'!BA19,0)</f>
        <v>1.126602564</v>
      </c>
      <c r="BB19" s="11">
        <f>IFERROR('Import-dataset'!BB20/'Import-dataset'!BB19,0)</f>
        <v>1.085658751</v>
      </c>
      <c r="BC19" s="11">
        <f>IFERROR('Import-dataset'!BC20/'Import-dataset'!BC19,0)</f>
        <v>1.036532713</v>
      </c>
      <c r="BD19" s="11">
        <f>IFERROR('Import-dataset'!BD20/'Import-dataset'!BD19,0)</f>
        <v>1.210133801</v>
      </c>
      <c r="BE19" s="11">
        <f>IFERROR('Import-dataset'!BE20/'Import-dataset'!BE19,0)</f>
        <v>0.7933579336</v>
      </c>
      <c r="BF19" s="11">
        <f>IFERROR('Import-dataset'!BF20/'Import-dataset'!BF19,0)</f>
        <v>1.109833237</v>
      </c>
      <c r="BG19" s="11">
        <f>IFERROR('Import-dataset'!BG20/'Import-dataset'!BG19,0)</f>
        <v>1.091368533</v>
      </c>
      <c r="BH19" s="11">
        <f>IFERROR('Import-dataset'!BH20/'Import-dataset'!BH19,0)</f>
        <v>1.211439954</v>
      </c>
      <c r="BI19" s="11">
        <f>IFERROR('Import-dataset'!BI20/'Import-dataset'!BI19,0)</f>
        <v>1.089894157</v>
      </c>
      <c r="BJ19" s="11">
        <f>IFERROR('Import-dataset'!BJ20/'Import-dataset'!BJ19,0)</f>
        <v>1.070133643</v>
      </c>
      <c r="BK19" s="11">
        <f>IFERROR('Import-dataset'!BK20/'Import-dataset'!BK19,0)</f>
        <v>0.8847641145</v>
      </c>
      <c r="BL19" s="11">
        <f>IFERROR('Import-dataset'!BL20/'Import-dataset'!BL19,0)</f>
        <v>1.083342418</v>
      </c>
      <c r="BM19" s="11">
        <f>IFERROR('Import-dataset'!BM20/'Import-dataset'!BM19,0)</f>
        <v>1.095343681</v>
      </c>
      <c r="BN19" s="11">
        <f>IFERROR('Import-dataset'!BN20/'Import-dataset'!BN19,0)</f>
        <v>1.187458746</v>
      </c>
      <c r="BO19" s="11">
        <f>IFERROR('Import-dataset'!BO20/'Import-dataset'!BO19,0)</f>
        <v>1.125799574</v>
      </c>
      <c r="BP19" s="11">
        <f>IFERROR('Import-dataset'!BP20/'Import-dataset'!BP19,0)</f>
        <v>1.077906631</v>
      </c>
      <c r="BQ19" s="11">
        <f>IFERROR('Import-dataset'!BQ20/'Import-dataset'!BQ19,0)</f>
        <v>1.047982552</v>
      </c>
      <c r="BR19" s="11">
        <f>IFERROR('Import-dataset'!BR20/'Import-dataset'!BR19,0)</f>
        <v>1.134747145</v>
      </c>
      <c r="BS19" s="11">
        <f>IFERROR('Import-dataset'!BS20/'Import-dataset'!BS19,0)</f>
        <v>0.9702467344</v>
      </c>
      <c r="BT19" s="11">
        <f>IFERROR('Import-dataset'!BT20/'Import-dataset'!BT19,0)</f>
        <v>1.064691152</v>
      </c>
      <c r="BU19" s="11">
        <f>IFERROR('Import-dataset'!BU20/'Import-dataset'!BU19,0)</f>
        <v>0.8294027565</v>
      </c>
      <c r="BV19" s="11">
        <f>IFERROR('Import-dataset'!BV20/'Import-dataset'!BV19,0)</f>
        <v>1</v>
      </c>
      <c r="BW19" s="11">
        <f>IFERROR('Import-dataset'!BW20/'Import-dataset'!BW19,0)</f>
        <v>3.5</v>
      </c>
      <c r="BX19" s="11">
        <f>IFERROR('Import-dataset'!BX20/'Import-dataset'!BX19,0)</f>
        <v>0</v>
      </c>
      <c r="BY19" s="11">
        <f>IFERROR('Import-dataset'!BY20/'Import-dataset'!BY19,0)</f>
        <v>0.8420871953</v>
      </c>
      <c r="BZ19" s="11">
        <f>IFERROR('Import-dataset'!BZ20/'Import-dataset'!BZ19,0)</f>
        <v>0.6292834891</v>
      </c>
      <c r="CA19" s="11">
        <f>IFERROR('Import-dataset'!CA20/'Import-dataset'!CA19,0)</f>
        <v>1.086862858</v>
      </c>
    </row>
    <row r="20">
      <c r="A20" s="9" t="str">
        <f>'Import-dataset'!A21</f>
        <v>Y2005</v>
      </c>
      <c r="B20" s="11">
        <f>IFERROR('Import-dataset'!B21/'Import-dataset'!B20,0)</f>
        <v>1.09487666</v>
      </c>
      <c r="C20" s="11">
        <f>IFERROR('Import-dataset'!C21/'Import-dataset'!C20,0)</f>
        <v>1.424242424</v>
      </c>
      <c r="D20" s="11">
        <f>IFERROR('Import-dataset'!D21/'Import-dataset'!D20,0)</f>
        <v>1.277192982</v>
      </c>
      <c r="E20" s="11">
        <f>IFERROR('Import-dataset'!E21/'Import-dataset'!E20,0)</f>
        <v>1.11299435</v>
      </c>
      <c r="F20" s="11">
        <f>IFERROR('Import-dataset'!F21/'Import-dataset'!F20,0)</f>
        <v>1.072826087</v>
      </c>
      <c r="G20" s="11">
        <f>IFERROR('Import-dataset'!G21/'Import-dataset'!G20,0)</f>
        <v>1.115485564</v>
      </c>
      <c r="H20" s="11">
        <f>IFERROR('Import-dataset'!H21/'Import-dataset'!H20,0)</f>
        <v>1.061262959</v>
      </c>
      <c r="I20" s="11">
        <f>IFERROR('Import-dataset'!I21/'Import-dataset'!I20,0)</f>
        <v>1.045977011</v>
      </c>
      <c r="J20" s="11">
        <f>IFERROR('Import-dataset'!J21/'Import-dataset'!J20,0)</f>
        <v>1.102831595</v>
      </c>
      <c r="K20" s="11">
        <f>IFERROR('Import-dataset'!K21/'Import-dataset'!K20,0)</f>
        <v>1.071161049</v>
      </c>
      <c r="L20" s="11">
        <f>IFERROR('Import-dataset'!L21/'Import-dataset'!L20,0)</f>
        <v>1.074243813</v>
      </c>
      <c r="M20" s="11">
        <f>IFERROR('Import-dataset'!M21/'Import-dataset'!M20,0)</f>
        <v>1.086315789</v>
      </c>
      <c r="N20" s="11">
        <f>IFERROR('Import-dataset'!N21/'Import-dataset'!N20,0)</f>
        <v>1.082802548</v>
      </c>
      <c r="O20" s="11">
        <f>IFERROR('Import-dataset'!O21/'Import-dataset'!O20,0)</f>
        <v>1.103030303</v>
      </c>
      <c r="P20" s="11">
        <f>IFERROR('Import-dataset'!P21/'Import-dataset'!P20,0)</f>
        <v>1.032821599</v>
      </c>
      <c r="Q20" s="11">
        <f>IFERROR('Import-dataset'!Q21/'Import-dataset'!Q20,0)</f>
        <v>0</v>
      </c>
      <c r="R20" s="11">
        <f>IFERROR('Import-dataset'!R21/'Import-dataset'!R20,0)</f>
        <v>1.046875</v>
      </c>
      <c r="S20" s="11">
        <f>IFERROR('Import-dataset'!S21/'Import-dataset'!S20,0)</f>
        <v>1.125925926</v>
      </c>
      <c r="T20" s="11">
        <f>IFERROR('Import-dataset'!T21/'Import-dataset'!T20,0)</f>
        <v>0.9667221298</v>
      </c>
      <c r="U20" s="11">
        <f>IFERROR('Import-dataset'!U21/'Import-dataset'!U20,0)</f>
        <v>0.9833333333</v>
      </c>
      <c r="V20" s="11">
        <f>IFERROR('Import-dataset'!V21/'Import-dataset'!V20,0)</f>
        <v>0.9225806452</v>
      </c>
      <c r="W20" s="11">
        <f>IFERROR('Import-dataset'!W21/'Import-dataset'!W20,0)</f>
        <v>1.005617978</v>
      </c>
      <c r="X20" s="11">
        <f>IFERROR('Import-dataset'!X21/'Import-dataset'!X20,0)</f>
        <v>1.311023622</v>
      </c>
      <c r="Y20" s="11">
        <f>IFERROR('Import-dataset'!Y21/'Import-dataset'!Y20,0)</f>
        <v>0.9923664122</v>
      </c>
      <c r="Z20" s="11">
        <f>IFERROR('Import-dataset'!Z21/'Import-dataset'!Z20,0)</f>
        <v>1.338359891</v>
      </c>
      <c r="AA20" s="11">
        <f>IFERROR('Import-dataset'!AA21/'Import-dataset'!AA20,0)</f>
        <v>1.277777778</v>
      </c>
      <c r="AB20" s="11">
        <f>IFERROR('Import-dataset'!AB21/'Import-dataset'!AB20,0)</f>
        <v>1.341732283</v>
      </c>
      <c r="AC20" s="11">
        <f>IFERROR('Import-dataset'!AC21/'Import-dataset'!AC20,0)</f>
        <v>1.054421769</v>
      </c>
      <c r="AD20" s="11">
        <f>IFERROR('Import-dataset'!AD21/'Import-dataset'!AD20,0)</f>
        <v>0.9583333333</v>
      </c>
      <c r="AE20" s="11">
        <f>IFERROR('Import-dataset'!AE21/'Import-dataset'!AE20,0)</f>
        <v>1.055555556</v>
      </c>
      <c r="AF20" s="11">
        <f>IFERROR('Import-dataset'!AF21/'Import-dataset'!AF20,0)</f>
        <v>0.9442724458</v>
      </c>
      <c r="AG20" s="11">
        <f>IFERROR('Import-dataset'!AG21/'Import-dataset'!AG20,0)</f>
        <v>1.023255814</v>
      </c>
      <c r="AH20" s="11">
        <f>IFERROR('Import-dataset'!AH21/'Import-dataset'!AH20,0)</f>
        <v>1.105848561</v>
      </c>
      <c r="AI20" s="11">
        <f>IFERROR('Import-dataset'!AI21/'Import-dataset'!AI20,0)</f>
        <v>1.124416796</v>
      </c>
      <c r="AJ20" s="11">
        <f>IFERROR('Import-dataset'!AJ21/'Import-dataset'!AJ20,0)</f>
        <v>1.426206897</v>
      </c>
      <c r="AK20" s="11">
        <f>IFERROR('Import-dataset'!AK21/'Import-dataset'!AK20,0)</f>
        <v>1.011299435</v>
      </c>
      <c r="AL20" s="11">
        <f>IFERROR('Import-dataset'!AL21/'Import-dataset'!AL20,0)</f>
        <v>1.095632184</v>
      </c>
      <c r="AM20" s="11">
        <f>IFERROR('Import-dataset'!AM21/'Import-dataset'!AM20,0)</f>
        <v>1.104247104</v>
      </c>
      <c r="AN20" s="11">
        <f>IFERROR('Import-dataset'!AN21/'Import-dataset'!AN20,0)</f>
        <v>1.158550396</v>
      </c>
      <c r="AO20" s="11">
        <f>IFERROR('Import-dataset'!AO21/'Import-dataset'!AO20,0)</f>
        <v>1.073209976</v>
      </c>
      <c r="AP20" s="11">
        <f>IFERROR('Import-dataset'!AP21/'Import-dataset'!AP20,0)</f>
        <v>1.040262172</v>
      </c>
      <c r="AQ20" s="11">
        <f>IFERROR('Import-dataset'!AQ21/'Import-dataset'!AQ20,0)</f>
        <v>1.042077581</v>
      </c>
      <c r="AR20" s="11">
        <f>IFERROR('Import-dataset'!AR21/'Import-dataset'!AR20,0)</f>
        <v>1.084349593</v>
      </c>
      <c r="AS20" s="11">
        <f>IFERROR('Import-dataset'!AS21/'Import-dataset'!AS20,0)</f>
        <v>0.8536585366</v>
      </c>
      <c r="AT20" s="11">
        <f>IFERROR('Import-dataset'!AT21/'Import-dataset'!AT20,0)</f>
        <v>1.089983022</v>
      </c>
      <c r="AU20" s="11">
        <f>IFERROR('Import-dataset'!AU21/'Import-dataset'!AU20,0)</f>
        <v>0.8843843844</v>
      </c>
      <c r="AV20" s="11">
        <f>IFERROR('Import-dataset'!AV21/'Import-dataset'!AV20,0)</f>
        <v>1.022328549</v>
      </c>
      <c r="AW20" s="11">
        <f>IFERROR('Import-dataset'!AW21/'Import-dataset'!AW20,0)</f>
        <v>0.9311316955</v>
      </c>
      <c r="AX20" s="11">
        <f>IFERROR('Import-dataset'!AX21/'Import-dataset'!AX20,0)</f>
        <v>0.9838486387</v>
      </c>
      <c r="AY20" s="11">
        <f>IFERROR('Import-dataset'!AY21/'Import-dataset'!AY20,0)</f>
        <v>1.385078219</v>
      </c>
      <c r="AZ20" s="11">
        <f>IFERROR('Import-dataset'!AZ21/'Import-dataset'!AZ20,0)</f>
        <v>1.135751295</v>
      </c>
      <c r="BA20" s="11">
        <f>IFERROR('Import-dataset'!BA21/'Import-dataset'!BA20,0)</f>
        <v>1.117211949</v>
      </c>
      <c r="BB20" s="11">
        <f>IFERROR('Import-dataset'!BB21/'Import-dataset'!BB20,0)</f>
        <v>1.071022683</v>
      </c>
      <c r="BC20" s="11">
        <f>IFERROR('Import-dataset'!BC21/'Import-dataset'!BC20,0)</f>
        <v>1.122396668</v>
      </c>
      <c r="BD20" s="11">
        <f>IFERROR('Import-dataset'!BD21/'Import-dataset'!BD20,0)</f>
        <v>1.131593257</v>
      </c>
      <c r="BE20" s="11">
        <f>IFERROR('Import-dataset'!BE21/'Import-dataset'!BE20,0)</f>
        <v>1.348837209</v>
      </c>
      <c r="BF20" s="11">
        <f>IFERROR('Import-dataset'!BF21/'Import-dataset'!BF20,0)</f>
        <v>1.056476684</v>
      </c>
      <c r="BG20" s="11">
        <f>IFERROR('Import-dataset'!BG21/'Import-dataset'!BG20,0)</f>
        <v>1.071167438</v>
      </c>
      <c r="BH20" s="11">
        <f>IFERROR('Import-dataset'!BH21/'Import-dataset'!BH20,0)</f>
        <v>1.00164435</v>
      </c>
      <c r="BI20" s="11">
        <f>IFERROR('Import-dataset'!BI21/'Import-dataset'!BI20,0)</f>
        <v>1.036450712</v>
      </c>
      <c r="BJ20" s="11">
        <f>IFERROR('Import-dataset'!BJ21/'Import-dataset'!BJ20,0)</f>
        <v>1.107672259</v>
      </c>
      <c r="BK20" s="11">
        <f>IFERROR('Import-dataset'!BK21/'Import-dataset'!BK20,0)</f>
        <v>0.986451049</v>
      </c>
      <c r="BL20" s="11">
        <f>IFERROR('Import-dataset'!BL21/'Import-dataset'!BL20,0)</f>
        <v>1.070188679</v>
      </c>
      <c r="BM20" s="11">
        <f>IFERROR('Import-dataset'!BM21/'Import-dataset'!BM20,0)</f>
        <v>1.034412955</v>
      </c>
      <c r="BN20" s="11">
        <f>IFERROR('Import-dataset'!BN21/'Import-dataset'!BN20,0)</f>
        <v>1.090605892</v>
      </c>
      <c r="BO20" s="11">
        <f>IFERROR('Import-dataset'!BO21/'Import-dataset'!BO20,0)</f>
        <v>1.064393939</v>
      </c>
      <c r="BP20" s="11">
        <f>IFERROR('Import-dataset'!BP21/'Import-dataset'!BP20,0)</f>
        <v>1.126896552</v>
      </c>
      <c r="BQ20" s="11">
        <f>IFERROR('Import-dataset'!BQ21/'Import-dataset'!BQ20,0)</f>
        <v>1.093652445</v>
      </c>
      <c r="BR20" s="11">
        <f>IFERROR('Import-dataset'!BR21/'Import-dataset'!BR20,0)</f>
        <v>1.059804485</v>
      </c>
      <c r="BS20" s="11">
        <f>IFERROR('Import-dataset'!BS21/'Import-dataset'!BS20,0)</f>
        <v>0.9887808527</v>
      </c>
      <c r="BT20" s="11">
        <f>IFERROR('Import-dataset'!BT21/'Import-dataset'!BT20,0)</f>
        <v>1.057232458</v>
      </c>
      <c r="BU20" s="11">
        <f>IFERROR('Import-dataset'!BU21/'Import-dataset'!BU20,0)</f>
        <v>1.095273264</v>
      </c>
      <c r="BV20" s="11">
        <f>IFERROR('Import-dataset'!BV21/'Import-dataset'!BV20,0)</f>
        <v>1.034482759</v>
      </c>
      <c r="BW20" s="11">
        <f>IFERROR('Import-dataset'!BW21/'Import-dataset'!BW20,0)</f>
        <v>0.4285714286</v>
      </c>
      <c r="BX20" s="11">
        <f>IFERROR('Import-dataset'!BX21/'Import-dataset'!BX20,0)</f>
        <v>0</v>
      </c>
      <c r="BY20" s="11">
        <f>IFERROR('Import-dataset'!BY21/'Import-dataset'!BY20,0)</f>
        <v>1.140236445</v>
      </c>
      <c r="BZ20" s="11">
        <f>IFERROR('Import-dataset'!BZ21/'Import-dataset'!BZ20,0)</f>
        <v>0.6732673267</v>
      </c>
      <c r="CA20" s="11">
        <f>IFERROR('Import-dataset'!CA21/'Import-dataset'!CA20,0)</f>
        <v>1.101504265</v>
      </c>
    </row>
    <row r="21" ht="15.75" customHeight="1">
      <c r="A21" s="9" t="str">
        <f>'Import-dataset'!A22</f>
        <v>Y2006</v>
      </c>
      <c r="B21" s="11">
        <f>IFERROR('Import-dataset'!B22/'Import-dataset'!B21,0)</f>
        <v>1.108318891</v>
      </c>
      <c r="C21" s="11">
        <f>IFERROR('Import-dataset'!C22/'Import-dataset'!C21,0)</f>
        <v>1.319148936</v>
      </c>
      <c r="D21" s="11">
        <f>IFERROR('Import-dataset'!D22/'Import-dataset'!D21,0)</f>
        <v>1.049450549</v>
      </c>
      <c r="E21" s="11">
        <f>IFERROR('Import-dataset'!E22/'Import-dataset'!E21,0)</f>
        <v>1.116751269</v>
      </c>
      <c r="F21" s="11">
        <f>IFERROR('Import-dataset'!F22/'Import-dataset'!F21,0)</f>
        <v>1.146909828</v>
      </c>
      <c r="G21" s="11">
        <f>IFERROR('Import-dataset'!G22/'Import-dataset'!G21,0)</f>
        <v>1.171764706</v>
      </c>
      <c r="H21" s="11">
        <f>IFERROR('Import-dataset'!H22/'Import-dataset'!H21,0)</f>
        <v>1.10035524</v>
      </c>
      <c r="I21" s="11">
        <f>IFERROR('Import-dataset'!I22/'Import-dataset'!I21,0)</f>
        <v>1.027472527</v>
      </c>
      <c r="J21" s="11">
        <f>IFERROR('Import-dataset'!J22/'Import-dataset'!J21,0)</f>
        <v>1.075675676</v>
      </c>
      <c r="K21" s="11">
        <f>IFERROR('Import-dataset'!K22/'Import-dataset'!K21,0)</f>
        <v>1.248251748</v>
      </c>
      <c r="L21" s="11">
        <f>IFERROR('Import-dataset'!L22/'Import-dataset'!L21,0)</f>
        <v>1.058020478</v>
      </c>
      <c r="M21" s="11">
        <f>IFERROR('Import-dataset'!M22/'Import-dataset'!M21,0)</f>
        <v>1.239341085</v>
      </c>
      <c r="N21" s="11">
        <f>IFERROR('Import-dataset'!N22/'Import-dataset'!N21,0)</f>
        <v>1.231764706</v>
      </c>
      <c r="O21" s="11">
        <f>IFERROR('Import-dataset'!O22/'Import-dataset'!O21,0)</f>
        <v>1.274725275</v>
      </c>
      <c r="P21" s="11">
        <f>IFERROR('Import-dataset'!P22/'Import-dataset'!P21,0)</f>
        <v>1.135827781</v>
      </c>
      <c r="Q21" s="11">
        <f>IFERROR('Import-dataset'!Q22/'Import-dataset'!Q21,0)</f>
        <v>0</v>
      </c>
      <c r="R21" s="11">
        <f>IFERROR('Import-dataset'!R22/'Import-dataset'!R21,0)</f>
        <v>0.9402985075</v>
      </c>
      <c r="S21" s="11">
        <f>IFERROR('Import-dataset'!S22/'Import-dataset'!S21,0)</f>
        <v>1.223684211</v>
      </c>
      <c r="T21" s="11">
        <f>IFERROR('Import-dataset'!T22/'Import-dataset'!T21,0)</f>
        <v>0.9449225473</v>
      </c>
      <c r="U21" s="11">
        <f>IFERROR('Import-dataset'!U22/'Import-dataset'!U21,0)</f>
        <v>1.038135593</v>
      </c>
      <c r="V21" s="11">
        <f>IFERROR('Import-dataset'!V22/'Import-dataset'!V21,0)</f>
        <v>1.041958042</v>
      </c>
      <c r="W21" s="11">
        <f>IFERROR('Import-dataset'!W22/'Import-dataset'!W21,0)</f>
        <v>0.9553072626</v>
      </c>
      <c r="X21" s="11">
        <f>IFERROR('Import-dataset'!X22/'Import-dataset'!X21,0)</f>
        <v>1.684684685</v>
      </c>
      <c r="Y21" s="11">
        <f>IFERROR('Import-dataset'!Y22/'Import-dataset'!Y21,0)</f>
        <v>1.123076923</v>
      </c>
      <c r="Z21" s="11">
        <f>IFERROR('Import-dataset'!Z22/'Import-dataset'!Z21,0)</f>
        <v>1.346381694</v>
      </c>
      <c r="AA21" s="11">
        <f>IFERROR('Import-dataset'!AA22/'Import-dataset'!AA21,0)</f>
        <v>0.8260869565</v>
      </c>
      <c r="AB21" s="11">
        <f>IFERROR('Import-dataset'!AB22/'Import-dataset'!AB21,0)</f>
        <v>1.312089202</v>
      </c>
      <c r="AC21" s="11">
        <f>IFERROR('Import-dataset'!AC22/'Import-dataset'!AC21,0)</f>
        <v>5.193548387</v>
      </c>
      <c r="AD21" s="11">
        <f>IFERROR('Import-dataset'!AD22/'Import-dataset'!AD21,0)</f>
        <v>1.301630435</v>
      </c>
      <c r="AE21" s="11">
        <f>IFERROR('Import-dataset'!AE22/'Import-dataset'!AE21,0)</f>
        <v>1</v>
      </c>
      <c r="AF21" s="11">
        <f>IFERROR('Import-dataset'!AF22/'Import-dataset'!AF21,0)</f>
        <v>1.340983607</v>
      </c>
      <c r="AG21" s="11">
        <f>IFERROR('Import-dataset'!AG22/'Import-dataset'!AG21,0)</f>
        <v>1.159090909</v>
      </c>
      <c r="AH21" s="11">
        <f>IFERROR('Import-dataset'!AH22/'Import-dataset'!AH21,0)</f>
        <v>1.048853274</v>
      </c>
      <c r="AI21" s="11">
        <f>IFERROR('Import-dataset'!AI22/'Import-dataset'!AI21,0)</f>
        <v>1.106500692</v>
      </c>
      <c r="AJ21" s="11">
        <f>IFERROR('Import-dataset'!AJ22/'Import-dataset'!AJ21,0)</f>
        <v>1.056092843</v>
      </c>
      <c r="AK21" s="11">
        <f>IFERROR('Import-dataset'!AK22/'Import-dataset'!AK21,0)</f>
        <v>1.122905028</v>
      </c>
      <c r="AL21" s="11">
        <f>IFERROR('Import-dataset'!AL22/'Import-dataset'!AL21,0)</f>
        <v>1.018324241</v>
      </c>
      <c r="AM21" s="11">
        <f>IFERROR('Import-dataset'!AM22/'Import-dataset'!AM21,0)</f>
        <v>1.084615385</v>
      </c>
      <c r="AN21" s="11">
        <f>IFERROR('Import-dataset'!AN22/'Import-dataset'!AN21,0)</f>
        <v>0.7605083089</v>
      </c>
      <c r="AO21" s="11">
        <f>IFERROR('Import-dataset'!AO22/'Import-dataset'!AO21,0)</f>
        <v>1.144677661</v>
      </c>
      <c r="AP21" s="11">
        <f>IFERROR('Import-dataset'!AP22/'Import-dataset'!AP21,0)</f>
        <v>1.096309631</v>
      </c>
      <c r="AQ21" s="11">
        <f>IFERROR('Import-dataset'!AQ22/'Import-dataset'!AQ21,0)</f>
        <v>1.09148265</v>
      </c>
      <c r="AR21" s="11">
        <f>IFERROR('Import-dataset'!AR22/'Import-dataset'!AR21,0)</f>
        <v>1.071944429</v>
      </c>
      <c r="AS21" s="11">
        <f>IFERROR('Import-dataset'!AS22/'Import-dataset'!AS21,0)</f>
        <v>1.042857143</v>
      </c>
      <c r="AT21" s="11">
        <f>IFERROR('Import-dataset'!AT22/'Import-dataset'!AT21,0)</f>
        <v>1.205088266</v>
      </c>
      <c r="AU21" s="11">
        <f>IFERROR('Import-dataset'!AU22/'Import-dataset'!AU21,0)</f>
        <v>1.069609508</v>
      </c>
      <c r="AV21" s="11">
        <f>IFERROR('Import-dataset'!AV22/'Import-dataset'!AV21,0)</f>
        <v>1.024570983</v>
      </c>
      <c r="AW21" s="11">
        <f>IFERROR('Import-dataset'!AW22/'Import-dataset'!AW21,0)</f>
        <v>1.054065744</v>
      </c>
      <c r="AX21" s="11">
        <f>IFERROR('Import-dataset'!AX22/'Import-dataset'!AX21,0)</f>
        <v>1.062851782</v>
      </c>
      <c r="AY21" s="11">
        <f>IFERROR('Import-dataset'!AY22/'Import-dataset'!AY21,0)</f>
        <v>0.954821894</v>
      </c>
      <c r="AZ21" s="11">
        <f>IFERROR('Import-dataset'!AZ22/'Import-dataset'!AZ21,0)</f>
        <v>1.351277372</v>
      </c>
      <c r="BA21" s="11">
        <f>IFERROR('Import-dataset'!BA22/'Import-dataset'!BA21,0)</f>
        <v>1.079449962</v>
      </c>
      <c r="BB21" s="11">
        <f>IFERROR('Import-dataset'!BB22/'Import-dataset'!BB21,0)</f>
        <v>1.087840686</v>
      </c>
      <c r="BC21" s="11">
        <f>IFERROR('Import-dataset'!BC22/'Import-dataset'!BC21,0)</f>
        <v>1.045104196</v>
      </c>
      <c r="BD21" s="11">
        <f>IFERROR('Import-dataset'!BD22/'Import-dataset'!BD21,0)</f>
        <v>1.094185488</v>
      </c>
      <c r="BE21" s="11">
        <f>IFERROR('Import-dataset'!BE22/'Import-dataset'!BE21,0)</f>
        <v>0.8344827586</v>
      </c>
      <c r="BF21" s="11">
        <f>IFERROR('Import-dataset'!BF22/'Import-dataset'!BF21,0)</f>
        <v>1.141981363</v>
      </c>
      <c r="BG21" s="11">
        <f>IFERROR('Import-dataset'!BG22/'Import-dataset'!BG21,0)</f>
        <v>1.103412969</v>
      </c>
      <c r="BH21" s="11">
        <f>IFERROR('Import-dataset'!BH22/'Import-dataset'!BH21,0)</f>
        <v>1.145755159</v>
      </c>
      <c r="BI21" s="11">
        <f>IFERROR('Import-dataset'!BI22/'Import-dataset'!BI21,0)</f>
        <v>1.081632653</v>
      </c>
      <c r="BJ21" s="11">
        <f>IFERROR('Import-dataset'!BJ22/'Import-dataset'!BJ21,0)</f>
        <v>1.053137255</v>
      </c>
      <c r="BK21" s="11">
        <f>IFERROR('Import-dataset'!BK22/'Import-dataset'!BK21,0)</f>
        <v>1.091050066</v>
      </c>
      <c r="BL21" s="11">
        <f>IFERROR('Import-dataset'!BL22/'Import-dataset'!BL21,0)</f>
        <v>1.091490362</v>
      </c>
      <c r="BM21" s="11">
        <f>IFERROR('Import-dataset'!BM22/'Import-dataset'!BM21,0)</f>
        <v>1.156555773</v>
      </c>
      <c r="BN21" s="11">
        <f>IFERROR('Import-dataset'!BN22/'Import-dataset'!BN21,0)</f>
        <v>1.146279307</v>
      </c>
      <c r="BO21" s="11">
        <f>IFERROR('Import-dataset'!BO22/'Import-dataset'!BO21,0)</f>
        <v>1.065836299</v>
      </c>
      <c r="BP21" s="11">
        <f>IFERROR('Import-dataset'!BP22/'Import-dataset'!BP21,0)</f>
        <v>1.065361077</v>
      </c>
      <c r="BQ21" s="11">
        <f>IFERROR('Import-dataset'!BQ22/'Import-dataset'!BQ21,0)</f>
        <v>1.106565176</v>
      </c>
      <c r="BR21" s="11">
        <f>IFERROR('Import-dataset'!BR22/'Import-dataset'!BR21,0)</f>
        <v>1.1017363</v>
      </c>
      <c r="BS21" s="11">
        <f>IFERROR('Import-dataset'!BS22/'Import-dataset'!BS21,0)</f>
        <v>0.9962178517</v>
      </c>
      <c r="BT21" s="11">
        <f>IFERROR('Import-dataset'!BT22/'Import-dataset'!BT21,0)</f>
        <v>1.098010135</v>
      </c>
      <c r="BU21" s="11">
        <f>IFERROR('Import-dataset'!BU22/'Import-dataset'!BU21,0)</f>
        <v>2.020903574</v>
      </c>
      <c r="BV21" s="11">
        <f>IFERROR('Import-dataset'!BV22/'Import-dataset'!BV21,0)</f>
        <v>1.366666667</v>
      </c>
      <c r="BW21" s="11">
        <f>IFERROR('Import-dataset'!BW22/'Import-dataset'!BW21,0)</f>
        <v>0.3333333333</v>
      </c>
      <c r="BX21" s="11">
        <f>IFERROR('Import-dataset'!BX22/'Import-dataset'!BX21,0)</f>
        <v>0</v>
      </c>
      <c r="BY21" s="11">
        <f>IFERROR('Import-dataset'!BY22/'Import-dataset'!BY21,0)</f>
        <v>2.070432606</v>
      </c>
      <c r="BZ21" s="11">
        <f>IFERROR('Import-dataset'!BZ22/'Import-dataset'!BZ21,0)</f>
        <v>1.183823529</v>
      </c>
      <c r="CA21" s="11">
        <f>IFERROR('Import-dataset'!CA22/'Import-dataset'!CA21,0)</f>
        <v>1.131217706</v>
      </c>
    </row>
    <row r="22" ht="15.75" customHeight="1">
      <c r="A22" s="9" t="str">
        <f>'Import-dataset'!A23</f>
        <v>Y2007</v>
      </c>
      <c r="B22" s="11">
        <f>IFERROR('Import-dataset'!B23/'Import-dataset'!B22,0)</f>
        <v>1.124784988</v>
      </c>
      <c r="C22" s="11">
        <f>IFERROR('Import-dataset'!C23/'Import-dataset'!C22,0)</f>
        <v>0.8709677419</v>
      </c>
      <c r="D22" s="11">
        <f>IFERROR('Import-dataset'!D23/'Import-dataset'!D22,0)</f>
        <v>1.243455497</v>
      </c>
      <c r="E22" s="11">
        <f>IFERROR('Import-dataset'!E23/'Import-dataset'!E22,0)</f>
        <v>1.097727273</v>
      </c>
      <c r="F22" s="11">
        <f>IFERROR('Import-dataset'!F23/'Import-dataset'!F22,0)</f>
        <v>1.018551237</v>
      </c>
      <c r="G22" s="11">
        <f>IFERROR('Import-dataset'!G23/'Import-dataset'!G22,0)</f>
        <v>1.140562249</v>
      </c>
      <c r="H22" s="11">
        <f>IFERROR('Import-dataset'!H23/'Import-dataset'!H22,0)</f>
        <v>1.133979015</v>
      </c>
      <c r="I22" s="11">
        <f>IFERROR('Import-dataset'!I23/'Import-dataset'!I22,0)</f>
        <v>1.203208556</v>
      </c>
      <c r="J22" s="11">
        <f>IFERROR('Import-dataset'!J23/'Import-dataset'!J22,0)</f>
        <v>1.139447236</v>
      </c>
      <c r="K22" s="11">
        <f>IFERROR('Import-dataset'!K23/'Import-dataset'!K22,0)</f>
        <v>1.422969188</v>
      </c>
      <c r="L22" s="11">
        <f>IFERROR('Import-dataset'!L23/'Import-dataset'!L22,0)</f>
        <v>1.097580645</v>
      </c>
      <c r="M22" s="11">
        <f>IFERROR('Import-dataset'!M23/'Import-dataset'!M22,0)</f>
        <v>1.118842846</v>
      </c>
      <c r="N22" s="11">
        <f>IFERROR('Import-dataset'!N23/'Import-dataset'!N22,0)</f>
        <v>1.155682904</v>
      </c>
      <c r="O22" s="11">
        <f>IFERROR('Import-dataset'!O23/'Import-dataset'!O22,0)</f>
        <v>0.9525862069</v>
      </c>
      <c r="P22" s="11">
        <f>IFERROR('Import-dataset'!P23/'Import-dataset'!P22,0)</f>
        <v>1.115523466</v>
      </c>
      <c r="Q22" s="11">
        <f>IFERROR('Import-dataset'!Q23/'Import-dataset'!Q22,0)</f>
        <v>0</v>
      </c>
      <c r="R22" s="11">
        <f>IFERROR('Import-dataset'!R23/'Import-dataset'!R22,0)</f>
        <v>1.126984127</v>
      </c>
      <c r="S22" s="11">
        <f>IFERROR('Import-dataset'!S23/'Import-dataset'!S22,0)</f>
        <v>0.8978494624</v>
      </c>
      <c r="T22" s="11">
        <f>IFERROR('Import-dataset'!T23/'Import-dataset'!T22,0)</f>
        <v>1.169398907</v>
      </c>
      <c r="U22" s="11">
        <f>IFERROR('Import-dataset'!U23/'Import-dataset'!U22,0)</f>
        <v>1.167346939</v>
      </c>
      <c r="V22" s="11">
        <f>IFERROR('Import-dataset'!V23/'Import-dataset'!V22,0)</f>
        <v>0.9463087248</v>
      </c>
      <c r="W22" s="11">
        <f>IFERROR('Import-dataset'!W23/'Import-dataset'!W22,0)</f>
        <v>1.046783626</v>
      </c>
      <c r="X22" s="11">
        <f>IFERROR('Import-dataset'!X23/'Import-dataset'!X22,0)</f>
        <v>1.229946524</v>
      </c>
      <c r="Y22" s="11">
        <f>IFERROR('Import-dataset'!Y23/'Import-dataset'!Y22,0)</f>
        <v>1.01369863</v>
      </c>
      <c r="Z22" s="11">
        <f>IFERROR('Import-dataset'!Z23/'Import-dataset'!Z22,0)</f>
        <v>1.054438789</v>
      </c>
      <c r="AA22" s="11">
        <f>IFERROR('Import-dataset'!AA23/'Import-dataset'!AA22,0)</f>
        <v>1</v>
      </c>
      <c r="AB22" s="11">
        <f>IFERROR('Import-dataset'!AB23/'Import-dataset'!AB22,0)</f>
        <v>1.04745505</v>
      </c>
      <c r="AC22" s="11">
        <f>IFERROR('Import-dataset'!AC23/'Import-dataset'!AC22,0)</f>
        <v>1.249689441</v>
      </c>
      <c r="AD22" s="11">
        <f>IFERROR('Import-dataset'!AD23/'Import-dataset'!AD22,0)</f>
        <v>1.114822547</v>
      </c>
      <c r="AE22" s="11">
        <f>IFERROR('Import-dataset'!AE23/'Import-dataset'!AE22,0)</f>
        <v>1.526315789</v>
      </c>
      <c r="AF22" s="11">
        <f>IFERROR('Import-dataset'!AF23/'Import-dataset'!AF22,0)</f>
        <v>1.112469438</v>
      </c>
      <c r="AG22" s="11">
        <f>IFERROR('Import-dataset'!AG23/'Import-dataset'!AG22,0)</f>
        <v>0.9803921569</v>
      </c>
      <c r="AH22" s="11">
        <f>IFERROR('Import-dataset'!AH23/'Import-dataset'!AH22,0)</f>
        <v>1.076558301</v>
      </c>
      <c r="AI22" s="11">
        <f>IFERROR('Import-dataset'!AI23/'Import-dataset'!AI22,0)</f>
        <v>1.05875</v>
      </c>
      <c r="AJ22" s="11">
        <f>IFERROR('Import-dataset'!AJ23/'Import-dataset'!AJ22,0)</f>
        <v>0.9816849817</v>
      </c>
      <c r="AK22" s="11">
        <f>IFERROR('Import-dataset'!AK23/'Import-dataset'!AK22,0)</f>
        <v>0.9933665008</v>
      </c>
      <c r="AL22" s="11">
        <f>IFERROR('Import-dataset'!AL23/'Import-dataset'!AL22,0)</f>
        <v>1.09793956</v>
      </c>
      <c r="AM22" s="11">
        <f>IFERROR('Import-dataset'!AM23/'Import-dataset'!AM22,0)</f>
        <v>1.037395229</v>
      </c>
      <c r="AN22" s="11">
        <f>IFERROR('Import-dataset'!AN23/'Import-dataset'!AN22,0)</f>
        <v>1.187660668</v>
      </c>
      <c r="AO22" s="11">
        <f>IFERROR('Import-dataset'!AO23/'Import-dataset'!AO22,0)</f>
        <v>1.141453831</v>
      </c>
      <c r="AP22" s="11">
        <f>IFERROR('Import-dataset'!AP23/'Import-dataset'!AP22,0)</f>
        <v>1.071428571</v>
      </c>
      <c r="AQ22" s="11">
        <f>IFERROR('Import-dataset'!AQ23/'Import-dataset'!AQ22,0)</f>
        <v>1.039884393</v>
      </c>
      <c r="AR22" s="11">
        <f>IFERROR('Import-dataset'!AR23/'Import-dataset'!AR22,0)</f>
        <v>1.092984983</v>
      </c>
      <c r="AS22" s="11">
        <f>IFERROR('Import-dataset'!AS23/'Import-dataset'!AS22,0)</f>
        <v>1.178082192</v>
      </c>
      <c r="AT22" s="11">
        <f>IFERROR('Import-dataset'!AT23/'Import-dataset'!AT22,0)</f>
        <v>1.059887979</v>
      </c>
      <c r="AU22" s="11">
        <f>IFERROR('Import-dataset'!AU23/'Import-dataset'!AU22,0)</f>
        <v>1.026984127</v>
      </c>
      <c r="AV22" s="11">
        <f>IFERROR('Import-dataset'!AV23/'Import-dataset'!AV22,0)</f>
        <v>1.046821469</v>
      </c>
      <c r="AW22" s="11">
        <f>IFERROR('Import-dataset'!AW23/'Import-dataset'!AW22,0)</f>
        <v>1.014772261</v>
      </c>
      <c r="AX22" s="11">
        <f>IFERROR('Import-dataset'!AX23/'Import-dataset'!AX22,0)</f>
        <v>1.051191527</v>
      </c>
      <c r="AY22" s="11">
        <f>IFERROR('Import-dataset'!AY23/'Import-dataset'!AY22,0)</f>
        <v>1.1507431</v>
      </c>
      <c r="AZ22" s="11">
        <f>IFERROR('Import-dataset'!AZ23/'Import-dataset'!AZ22,0)</f>
        <v>1.269412559</v>
      </c>
      <c r="BA22" s="11">
        <f>IFERROR('Import-dataset'!BA23/'Import-dataset'!BA22,0)</f>
        <v>1.107336636</v>
      </c>
      <c r="BB22" s="11">
        <f>IFERROR('Import-dataset'!BB23/'Import-dataset'!BB22,0)</f>
        <v>1.055105695</v>
      </c>
      <c r="BC22" s="11">
        <f>IFERROR('Import-dataset'!BC23/'Import-dataset'!BC22,0)</f>
        <v>1.07894018</v>
      </c>
      <c r="BD22" s="11">
        <f>IFERROR('Import-dataset'!BD23/'Import-dataset'!BD22,0)</f>
        <v>1.037476211</v>
      </c>
      <c r="BE22" s="11">
        <f>IFERROR('Import-dataset'!BE23/'Import-dataset'!BE22,0)</f>
        <v>1.114325069</v>
      </c>
      <c r="BF22" s="11">
        <f>IFERROR('Import-dataset'!BF23/'Import-dataset'!BF22,0)</f>
        <v>1.063989693</v>
      </c>
      <c r="BG22" s="11">
        <f>IFERROR('Import-dataset'!BG23/'Import-dataset'!BG22,0)</f>
        <v>0.9257655428</v>
      </c>
      <c r="BH22" s="11">
        <f>IFERROR('Import-dataset'!BH23/'Import-dataset'!BH22,0)</f>
        <v>1.117285846</v>
      </c>
      <c r="BI22" s="11">
        <f>IFERROR('Import-dataset'!BI23/'Import-dataset'!BI22,0)</f>
        <v>1.057197105</v>
      </c>
      <c r="BJ22" s="11">
        <f>IFERROR('Import-dataset'!BJ23/'Import-dataset'!BJ22,0)</f>
        <v>1.131493204</v>
      </c>
      <c r="BK22" s="11">
        <f>IFERROR('Import-dataset'!BK23/'Import-dataset'!BK22,0)</f>
        <v>0.8308629442</v>
      </c>
      <c r="BL22" s="11">
        <f>IFERROR('Import-dataset'!BL23/'Import-dataset'!BL22,0)</f>
        <v>1.054660579</v>
      </c>
      <c r="BM22" s="11">
        <f>IFERROR('Import-dataset'!BM23/'Import-dataset'!BM22,0)</f>
        <v>1.120135364</v>
      </c>
      <c r="BN22" s="11">
        <f>IFERROR('Import-dataset'!BN23/'Import-dataset'!BN22,0)</f>
        <v>1.082703424</v>
      </c>
      <c r="BO22" s="11">
        <f>IFERROR('Import-dataset'!BO23/'Import-dataset'!BO22,0)</f>
        <v>1.098497496</v>
      </c>
      <c r="BP22" s="11">
        <f>IFERROR('Import-dataset'!BP23/'Import-dataset'!BP22,0)</f>
        <v>1.025965074</v>
      </c>
      <c r="BQ22" s="11">
        <f>IFERROR('Import-dataset'!BQ23/'Import-dataset'!BQ22,0)</f>
        <v>1.006018917</v>
      </c>
      <c r="BR22" s="11">
        <f>IFERROR('Import-dataset'!BR23/'Import-dataset'!BR22,0)</f>
        <v>1.039645408</v>
      </c>
      <c r="BS22" s="11">
        <f>IFERROR('Import-dataset'!BS23/'Import-dataset'!BS22,0)</f>
        <v>1.022019742</v>
      </c>
      <c r="BT22" s="11">
        <f>IFERROR('Import-dataset'!BT23/'Import-dataset'!BT22,0)</f>
        <v>1.072377308</v>
      </c>
      <c r="BU22" s="11">
        <f>IFERROR('Import-dataset'!BU23/'Import-dataset'!BU22,0)</f>
        <v>1.097263931</v>
      </c>
      <c r="BV22" s="11">
        <f>IFERROR('Import-dataset'!BV23/'Import-dataset'!BV22,0)</f>
        <v>0.9268292683</v>
      </c>
      <c r="BW22" s="11">
        <f>IFERROR('Import-dataset'!BW23/'Import-dataset'!BW22,0)</f>
        <v>3</v>
      </c>
      <c r="BX22" s="11">
        <f>IFERROR('Import-dataset'!BX23/'Import-dataset'!BX22,0)</f>
        <v>0</v>
      </c>
      <c r="BY22" s="11">
        <f>IFERROR('Import-dataset'!BY23/'Import-dataset'!BY22,0)</f>
        <v>1.058193749</v>
      </c>
      <c r="BZ22" s="11">
        <f>IFERROR('Import-dataset'!BZ23/'Import-dataset'!BZ22,0)</f>
        <v>2.534161491</v>
      </c>
      <c r="CA22" s="11">
        <f>IFERROR('Import-dataset'!CA23/'Import-dataset'!CA22,0)</f>
        <v>1.066809831</v>
      </c>
    </row>
    <row r="23" ht="15.75" customHeight="1">
      <c r="A23" s="9" t="str">
        <f>'Import-dataset'!A24</f>
        <v>Y2008</v>
      </c>
      <c r="B23" s="11">
        <f>IFERROR('Import-dataset'!B24/'Import-dataset'!B23,0)</f>
        <v>1.151397192</v>
      </c>
      <c r="C23" s="11">
        <f>IFERROR('Import-dataset'!C24/'Import-dataset'!C23,0)</f>
        <v>1.287037037</v>
      </c>
      <c r="D23" s="11">
        <f>IFERROR('Import-dataset'!D24/'Import-dataset'!D23,0)</f>
        <v>1.033684211</v>
      </c>
      <c r="E23" s="11">
        <f>IFERROR('Import-dataset'!E24/'Import-dataset'!E23,0)</f>
        <v>1.405797101</v>
      </c>
      <c r="F23" s="11">
        <f>IFERROR('Import-dataset'!F24/'Import-dataset'!F23,0)</f>
        <v>1.053772767</v>
      </c>
      <c r="G23" s="11">
        <f>IFERROR('Import-dataset'!G24/'Import-dataset'!G23,0)</f>
        <v>1.345070423</v>
      </c>
      <c r="H23" s="11">
        <f>IFERROR('Import-dataset'!H24/'Import-dataset'!H23,0)</f>
        <v>1.177935943</v>
      </c>
      <c r="I23" s="11">
        <f>IFERROR('Import-dataset'!I24/'Import-dataset'!I23,0)</f>
        <v>1.053333333</v>
      </c>
      <c r="J23" s="11">
        <f>IFERROR('Import-dataset'!J24/'Import-dataset'!J23,0)</f>
        <v>1.19845645</v>
      </c>
      <c r="K23" s="11">
        <f>IFERROR('Import-dataset'!K24/'Import-dataset'!K23,0)</f>
        <v>1.114173228</v>
      </c>
      <c r="L23" s="11">
        <f>IFERROR('Import-dataset'!L24/'Import-dataset'!L23,0)</f>
        <v>1.064658339</v>
      </c>
      <c r="M23" s="11">
        <f>IFERROR('Import-dataset'!M24/'Import-dataset'!M23,0)</f>
        <v>1.157931516</v>
      </c>
      <c r="N23" s="11">
        <f>IFERROR('Import-dataset'!N24/'Import-dataset'!N23,0)</f>
        <v>1.214876033</v>
      </c>
      <c r="O23" s="11">
        <f>IFERROR('Import-dataset'!O24/'Import-dataset'!O23,0)</f>
        <v>0.8461538462</v>
      </c>
      <c r="P23" s="11">
        <f>IFERROR('Import-dataset'!P24/'Import-dataset'!P23,0)</f>
        <v>1.163430421</v>
      </c>
      <c r="Q23" s="11">
        <f>IFERROR('Import-dataset'!Q24/'Import-dataset'!Q23,0)</f>
        <v>0</v>
      </c>
      <c r="R23" s="11">
        <f>IFERROR('Import-dataset'!R24/'Import-dataset'!R23,0)</f>
        <v>0.8169014085</v>
      </c>
      <c r="S23" s="11">
        <f>IFERROR('Import-dataset'!S24/'Import-dataset'!S23,0)</f>
        <v>1.365269461</v>
      </c>
      <c r="T23" s="11">
        <f>IFERROR('Import-dataset'!T24/'Import-dataset'!T23,0)</f>
        <v>1.031152648</v>
      </c>
      <c r="U23" s="11">
        <f>IFERROR('Import-dataset'!U24/'Import-dataset'!U23,0)</f>
        <v>1.132867133</v>
      </c>
      <c r="V23" s="11">
        <f>IFERROR('Import-dataset'!V24/'Import-dataset'!V23,0)</f>
        <v>0.9929078014</v>
      </c>
      <c r="W23" s="11">
        <f>IFERROR('Import-dataset'!W24/'Import-dataset'!W23,0)</f>
        <v>3.055865922</v>
      </c>
      <c r="X23" s="11">
        <f>IFERROR('Import-dataset'!X24/'Import-dataset'!X23,0)</f>
        <v>0.8405797101</v>
      </c>
      <c r="Y23" s="11">
        <f>IFERROR('Import-dataset'!Y24/'Import-dataset'!Y23,0)</f>
        <v>1.138513514</v>
      </c>
      <c r="Z23" s="11">
        <f>IFERROR('Import-dataset'!Z24/'Import-dataset'!Z23,0)</f>
        <v>1.452012764</v>
      </c>
      <c r="AA23" s="11">
        <f>IFERROR('Import-dataset'!AA24/'Import-dataset'!AA23,0)</f>
        <v>1.421052632</v>
      </c>
      <c r="AB23" s="11">
        <f>IFERROR('Import-dataset'!AB24/'Import-dataset'!AB23,0)</f>
        <v>1.436226995</v>
      </c>
      <c r="AC23" s="11">
        <f>IFERROR('Import-dataset'!AC24/'Import-dataset'!AC23,0)</f>
        <v>1.820079523</v>
      </c>
      <c r="AD23" s="11">
        <f>IFERROR('Import-dataset'!AD24/'Import-dataset'!AD23,0)</f>
        <v>1.132958801</v>
      </c>
      <c r="AE23" s="11">
        <f>IFERROR('Import-dataset'!AE24/'Import-dataset'!AE23,0)</f>
        <v>1.344827586</v>
      </c>
      <c r="AF23" s="11">
        <f>IFERROR('Import-dataset'!AF24/'Import-dataset'!AF23,0)</f>
        <v>1.094505495</v>
      </c>
      <c r="AG23" s="11">
        <f>IFERROR('Import-dataset'!AG24/'Import-dataset'!AG23,0)</f>
        <v>1.36</v>
      </c>
      <c r="AH23" s="11">
        <f>IFERROR('Import-dataset'!AH24/'Import-dataset'!AH23,0)</f>
        <v>1.167041895</v>
      </c>
      <c r="AI23" s="11">
        <f>IFERROR('Import-dataset'!AI24/'Import-dataset'!AI23,0)</f>
        <v>1.07231405</v>
      </c>
      <c r="AJ23" s="11">
        <f>IFERROR('Import-dataset'!AJ24/'Import-dataset'!AJ23,0)</f>
        <v>1.704291045</v>
      </c>
      <c r="AK23" s="11">
        <f>IFERROR('Import-dataset'!AK24/'Import-dataset'!AK23,0)</f>
        <v>1.168614357</v>
      </c>
      <c r="AL23" s="11">
        <f>IFERROR('Import-dataset'!AL24/'Import-dataset'!AL23,0)</f>
        <v>1.043037658</v>
      </c>
      <c r="AM23" s="11">
        <f>IFERROR('Import-dataset'!AM24/'Import-dataset'!AM23,0)</f>
        <v>1.060285892</v>
      </c>
      <c r="AN23" s="11">
        <f>IFERROR('Import-dataset'!AN24/'Import-dataset'!AN23,0)</f>
        <v>2.437229437</v>
      </c>
      <c r="AO23" s="11">
        <f>IFERROR('Import-dataset'!AO24/'Import-dataset'!AO23,0)</f>
        <v>1.048192771</v>
      </c>
      <c r="AP23" s="11">
        <f>IFERROR('Import-dataset'!AP24/'Import-dataset'!AP23,0)</f>
        <v>1.082758621</v>
      </c>
      <c r="AQ23" s="11">
        <f>IFERROR('Import-dataset'!AQ24/'Import-dataset'!AQ23,0)</f>
        <v>1.195108394</v>
      </c>
      <c r="AR23" s="11">
        <f>IFERROR('Import-dataset'!AR24/'Import-dataset'!AR23,0)</f>
        <v>1.181441747</v>
      </c>
      <c r="AS23" s="11">
        <f>IFERROR('Import-dataset'!AS24/'Import-dataset'!AS23,0)</f>
        <v>1.098837209</v>
      </c>
      <c r="AT23" s="11">
        <f>IFERROR('Import-dataset'!AT24/'Import-dataset'!AT23,0)</f>
        <v>1.102439024</v>
      </c>
      <c r="AU23" s="11">
        <f>IFERROR('Import-dataset'!AU24/'Import-dataset'!AU23,0)</f>
        <v>1.098918083</v>
      </c>
      <c r="AV23" s="11">
        <f>IFERROR('Import-dataset'!AV24/'Import-dataset'!AV23,0)</f>
        <v>1.053090909</v>
      </c>
      <c r="AW23" s="11">
        <f>IFERROR('Import-dataset'!AW24/'Import-dataset'!AW23,0)</f>
        <v>1.053780833</v>
      </c>
      <c r="AX23" s="11">
        <f>IFERROR('Import-dataset'!AX24/'Import-dataset'!AX23,0)</f>
        <v>1.155331654</v>
      </c>
      <c r="AY23" s="11">
        <f>IFERROR('Import-dataset'!AY24/'Import-dataset'!AY23,0)</f>
        <v>1.424354244</v>
      </c>
      <c r="AZ23" s="11">
        <f>IFERROR('Import-dataset'!AZ24/'Import-dataset'!AZ23,0)</f>
        <v>1.209574468</v>
      </c>
      <c r="BA23" s="11">
        <f>IFERROR('Import-dataset'!BA24/'Import-dataset'!BA23,0)</f>
        <v>1.185342991</v>
      </c>
      <c r="BB23" s="11">
        <f>IFERROR('Import-dataset'!BB24/'Import-dataset'!BB23,0)</f>
        <v>1.114802057</v>
      </c>
      <c r="BC23" s="11">
        <f>IFERROR('Import-dataset'!BC24/'Import-dataset'!BC23,0)</f>
        <v>1.289620253</v>
      </c>
      <c r="BD23" s="11">
        <f>IFERROR('Import-dataset'!BD24/'Import-dataset'!BD23,0)</f>
        <v>1.215323832</v>
      </c>
      <c r="BE23" s="11">
        <f>IFERROR('Import-dataset'!BE24/'Import-dataset'!BE23,0)</f>
        <v>0.9715698393</v>
      </c>
      <c r="BF23" s="11">
        <f>IFERROR('Import-dataset'!BF24/'Import-dataset'!BF23,0)</f>
        <v>1.102926337</v>
      </c>
      <c r="BG23" s="11">
        <f>IFERROR('Import-dataset'!BG24/'Import-dataset'!BG23,0)</f>
        <v>0.9963247578</v>
      </c>
      <c r="BH23" s="11">
        <f>IFERROR('Import-dataset'!BH24/'Import-dataset'!BH23,0)</f>
        <v>1.025648072</v>
      </c>
      <c r="BI23" s="11">
        <f>IFERROR('Import-dataset'!BI24/'Import-dataset'!BI23,0)</f>
        <v>1.104052082</v>
      </c>
      <c r="BJ23" s="11">
        <f>IFERROR('Import-dataset'!BJ24/'Import-dataset'!BJ23,0)</f>
        <v>1.088403472</v>
      </c>
      <c r="BK23" s="11">
        <f>IFERROR('Import-dataset'!BK24/'Import-dataset'!BK23,0)</f>
        <v>1.507086999</v>
      </c>
      <c r="BL23" s="11">
        <f>IFERROR('Import-dataset'!BL24/'Import-dataset'!BL23,0)</f>
        <v>1.137962018</v>
      </c>
      <c r="BM23" s="11">
        <f>IFERROR('Import-dataset'!BM24/'Import-dataset'!BM23,0)</f>
        <v>1.185800604</v>
      </c>
      <c r="BN23" s="11">
        <f>IFERROR('Import-dataset'!BN24/'Import-dataset'!BN23,0)</f>
        <v>1.151129363</v>
      </c>
      <c r="BO23" s="11">
        <f>IFERROR('Import-dataset'!BO24/'Import-dataset'!BO23,0)</f>
        <v>1.158054711</v>
      </c>
      <c r="BP23" s="11">
        <f>IFERROR('Import-dataset'!BP24/'Import-dataset'!BP23,0)</f>
        <v>1.130795073</v>
      </c>
      <c r="BQ23" s="11">
        <f>IFERROR('Import-dataset'!BQ24/'Import-dataset'!BQ23,0)</f>
        <v>1.113675214</v>
      </c>
      <c r="BR23" s="11">
        <f>IFERROR('Import-dataset'!BR24/'Import-dataset'!BR23,0)</f>
        <v>1.147086689</v>
      </c>
      <c r="BS23" s="11">
        <f>IFERROR('Import-dataset'!BS24/'Import-dataset'!BS23,0)</f>
        <v>1.059435364</v>
      </c>
      <c r="BT23" s="11">
        <f>IFERROR('Import-dataset'!BT24/'Import-dataset'!BT23,0)</f>
        <v>1.143277002</v>
      </c>
      <c r="BU23" s="11">
        <f>IFERROR('Import-dataset'!BU24/'Import-dataset'!BU23,0)</f>
        <v>1.85327657</v>
      </c>
      <c r="BV23" s="11">
        <f>IFERROR('Import-dataset'!BV24/'Import-dataset'!BV23,0)</f>
        <v>1.342105263</v>
      </c>
      <c r="BW23" s="11">
        <f>IFERROR('Import-dataset'!BW24/'Import-dataset'!BW23,0)</f>
        <v>2</v>
      </c>
      <c r="BX23" s="11">
        <f>IFERROR('Import-dataset'!BX24/'Import-dataset'!BX23,0)</f>
        <v>0</v>
      </c>
      <c r="BY23" s="11">
        <f>IFERROR('Import-dataset'!BY24/'Import-dataset'!BY23,0)</f>
        <v>1.58828329</v>
      </c>
      <c r="BZ23" s="11">
        <f>IFERROR('Import-dataset'!BZ24/'Import-dataset'!BZ23,0)</f>
        <v>5.879901961</v>
      </c>
      <c r="CA23" s="11">
        <f>IFERROR('Import-dataset'!CA24/'Import-dataset'!CA23,0)</f>
        <v>1.203230342</v>
      </c>
    </row>
    <row r="24" ht="15.75" customHeight="1">
      <c r="A24" s="9" t="str">
        <f>'Import-dataset'!A25</f>
        <v>Y2009</v>
      </c>
      <c r="B24" s="11">
        <f>IFERROR('Import-dataset'!B25/'Import-dataset'!B24,0)</f>
        <v>1.043226274</v>
      </c>
      <c r="C24" s="11">
        <f>IFERROR('Import-dataset'!C25/'Import-dataset'!C24,0)</f>
        <v>0.726618705</v>
      </c>
      <c r="D24" s="11">
        <f>IFERROR('Import-dataset'!D25/'Import-dataset'!D24,0)</f>
        <v>1.16904277</v>
      </c>
      <c r="E24" s="11">
        <f>IFERROR('Import-dataset'!E25/'Import-dataset'!E24,0)</f>
        <v>0.7982326951</v>
      </c>
      <c r="F24" s="11">
        <f>IFERROR('Import-dataset'!F25/'Import-dataset'!F24,0)</f>
        <v>1.042798354</v>
      </c>
      <c r="G24" s="11">
        <f>IFERROR('Import-dataset'!G25/'Import-dataset'!G24,0)</f>
        <v>1.090314136</v>
      </c>
      <c r="H24" s="11">
        <f>IFERROR('Import-dataset'!H25/'Import-dataset'!H24,0)</f>
        <v>0.9734138973</v>
      </c>
      <c r="I24" s="11">
        <f>IFERROR('Import-dataset'!I25/'Import-dataset'!I24,0)</f>
        <v>1.202531646</v>
      </c>
      <c r="J24" s="11">
        <f>IFERROR('Import-dataset'!J25/'Import-dataset'!J24,0)</f>
        <v>1.112235511</v>
      </c>
      <c r="K24" s="11">
        <f>IFERROR('Import-dataset'!K25/'Import-dataset'!K24,0)</f>
        <v>1.051236749</v>
      </c>
      <c r="L24" s="11">
        <f>IFERROR('Import-dataset'!L25/'Import-dataset'!L24,0)</f>
        <v>1.120082816</v>
      </c>
      <c r="M24" s="11">
        <f>IFERROR('Import-dataset'!M25/'Import-dataset'!M24,0)</f>
        <v>1.054315027</v>
      </c>
      <c r="N24" s="11">
        <f>IFERROR('Import-dataset'!N25/'Import-dataset'!N24,0)</f>
        <v>1</v>
      </c>
      <c r="O24" s="11">
        <f>IFERROR('Import-dataset'!O25/'Import-dataset'!O24,0)</f>
        <v>1.481283422</v>
      </c>
      <c r="P24" s="11">
        <f>IFERROR('Import-dataset'!P25/'Import-dataset'!P24,0)</f>
        <v>0.6957579972</v>
      </c>
      <c r="Q24" s="11">
        <f>IFERROR('Import-dataset'!Q25/'Import-dataset'!Q24,0)</f>
        <v>0</v>
      </c>
      <c r="R24" s="11">
        <f>IFERROR('Import-dataset'!R25/'Import-dataset'!R24,0)</f>
        <v>0.8620689655</v>
      </c>
      <c r="S24" s="11">
        <f>IFERROR('Import-dataset'!S25/'Import-dataset'!S24,0)</f>
        <v>0.5657894737</v>
      </c>
      <c r="T24" s="11">
        <f>IFERROR('Import-dataset'!T25/'Import-dataset'!T24,0)</f>
        <v>0.8580060423</v>
      </c>
      <c r="U24" s="11">
        <f>IFERROR('Import-dataset'!U25/'Import-dataset'!U24,0)</f>
        <v>0.5586419753</v>
      </c>
      <c r="V24" s="11">
        <f>IFERROR('Import-dataset'!V25/'Import-dataset'!V24,0)</f>
        <v>0.9857142857</v>
      </c>
      <c r="W24" s="11">
        <f>IFERROR('Import-dataset'!W25/'Import-dataset'!W24,0)</f>
        <v>0.281535649</v>
      </c>
      <c r="X24" s="11">
        <f>IFERROR('Import-dataset'!X25/'Import-dataset'!X24,0)</f>
        <v>0.7637931034</v>
      </c>
      <c r="Y24" s="11">
        <f>IFERROR('Import-dataset'!Y25/'Import-dataset'!Y24,0)</f>
        <v>1.002967359</v>
      </c>
      <c r="Z24" s="11">
        <f>IFERROR('Import-dataset'!Z25/'Import-dataset'!Z24,0)</f>
        <v>0.7159721635</v>
      </c>
      <c r="AA24" s="11">
        <f>IFERROR('Import-dataset'!AA25/'Import-dataset'!AA24,0)</f>
        <v>0.9259259259</v>
      </c>
      <c r="AB24" s="11">
        <f>IFERROR('Import-dataset'!AB25/'Import-dataset'!AB24,0)</f>
        <v>0.6874981418</v>
      </c>
      <c r="AC24" s="11">
        <f>IFERROR('Import-dataset'!AC25/'Import-dataset'!AC24,0)</f>
        <v>1.235936647</v>
      </c>
      <c r="AD24" s="11">
        <f>IFERROR('Import-dataset'!AD25/'Import-dataset'!AD24,0)</f>
        <v>0.9272727273</v>
      </c>
      <c r="AE24" s="11">
        <f>IFERROR('Import-dataset'!AE25/'Import-dataset'!AE24,0)</f>
        <v>0.7692307692</v>
      </c>
      <c r="AF24" s="11">
        <f>IFERROR('Import-dataset'!AF25/'Import-dataset'!AF24,0)</f>
        <v>0.937751004</v>
      </c>
      <c r="AG24" s="11">
        <f>IFERROR('Import-dataset'!AG25/'Import-dataset'!AG24,0)</f>
        <v>0.9411764706</v>
      </c>
      <c r="AH24" s="11">
        <f>IFERROR('Import-dataset'!AH25/'Import-dataset'!AH24,0)</f>
        <v>0.9196477249</v>
      </c>
      <c r="AI24" s="11">
        <f>IFERROR('Import-dataset'!AI25/'Import-dataset'!AI24,0)</f>
        <v>0.880539499</v>
      </c>
      <c r="AJ24" s="11">
        <f>IFERROR('Import-dataset'!AJ25/'Import-dataset'!AJ24,0)</f>
        <v>0.7339901478</v>
      </c>
      <c r="AK24" s="11">
        <f>IFERROR('Import-dataset'!AK25/'Import-dataset'!AK24,0)</f>
        <v>0.8842857143</v>
      </c>
      <c r="AL24" s="11">
        <f>IFERROR('Import-dataset'!AL25/'Import-dataset'!AL24,0)</f>
        <v>1.124025429</v>
      </c>
      <c r="AM24" s="11">
        <f>IFERROR('Import-dataset'!AM25/'Import-dataset'!AM24,0)</f>
        <v>1.079132474</v>
      </c>
      <c r="AN24" s="11">
        <f>IFERROR('Import-dataset'!AN25/'Import-dataset'!AN24,0)</f>
        <v>0.4178507993</v>
      </c>
      <c r="AO24" s="11">
        <f>IFERROR('Import-dataset'!AO25/'Import-dataset'!AO24,0)</f>
        <v>0.7131910235</v>
      </c>
      <c r="AP24" s="11">
        <f>IFERROR('Import-dataset'!AP25/'Import-dataset'!AP24,0)</f>
        <v>0.9547062987</v>
      </c>
      <c r="AQ24" s="11">
        <f>IFERROR('Import-dataset'!AQ25/'Import-dataset'!AQ24,0)</f>
        <v>0.9139534884</v>
      </c>
      <c r="AR24" s="11">
        <f>IFERROR('Import-dataset'!AR25/'Import-dataset'!AR24,0)</f>
        <v>0.863788434</v>
      </c>
      <c r="AS24" s="11">
        <f>IFERROR('Import-dataset'!AS25/'Import-dataset'!AS24,0)</f>
        <v>0.7513227513</v>
      </c>
      <c r="AT24" s="11">
        <f>IFERROR('Import-dataset'!AT25/'Import-dataset'!AT24,0)</f>
        <v>0.9708702065</v>
      </c>
      <c r="AU24" s="11">
        <f>IFERROR('Import-dataset'!AU25/'Import-dataset'!AU24,0)</f>
        <v>0.8846694796</v>
      </c>
      <c r="AV24" s="11">
        <f>IFERROR('Import-dataset'!AV25/'Import-dataset'!AV24,0)</f>
        <v>0.9074585635</v>
      </c>
      <c r="AW24" s="11">
        <f>IFERROR('Import-dataset'!AW25/'Import-dataset'!AW24,0)</f>
        <v>0.9328472755</v>
      </c>
      <c r="AX24" s="11">
        <f>IFERROR('Import-dataset'!AX25/'Import-dataset'!AX24,0)</f>
        <v>0.957122093</v>
      </c>
      <c r="AY24" s="11">
        <f>IFERROR('Import-dataset'!AY25/'Import-dataset'!AY24,0)</f>
        <v>0.6700592154</v>
      </c>
      <c r="AZ24" s="11">
        <f>IFERROR('Import-dataset'!AZ25/'Import-dataset'!AZ24,0)</f>
        <v>0.7933157432</v>
      </c>
      <c r="BA24" s="11">
        <f>IFERROR('Import-dataset'!BA25/'Import-dataset'!BA24,0)</f>
        <v>0.9284687275</v>
      </c>
      <c r="BB24" s="11">
        <f>IFERROR('Import-dataset'!BB25/'Import-dataset'!BB24,0)</f>
        <v>0.868369932</v>
      </c>
      <c r="BC24" s="11">
        <f>IFERROR('Import-dataset'!BC25/'Import-dataset'!BC24,0)</f>
        <v>0.9458186101</v>
      </c>
      <c r="BD24" s="11">
        <f>IFERROR('Import-dataset'!BD25/'Import-dataset'!BD24,0)</f>
        <v>0.8032044584</v>
      </c>
      <c r="BE24" s="11">
        <f>IFERROR('Import-dataset'!BE25/'Import-dataset'!BE24,0)</f>
        <v>0.8078880407</v>
      </c>
      <c r="BF24" s="11">
        <f>IFERROR('Import-dataset'!BF25/'Import-dataset'!BF24,0)</f>
        <v>1.1084172</v>
      </c>
      <c r="BG24" s="11">
        <f>IFERROR('Import-dataset'!BG25/'Import-dataset'!BG24,0)</f>
        <v>0.9523809524</v>
      </c>
      <c r="BH24" s="11">
        <f>IFERROR('Import-dataset'!BH25/'Import-dataset'!BH24,0)</f>
        <v>1.04411896</v>
      </c>
      <c r="BI24" s="11">
        <f>IFERROR('Import-dataset'!BI25/'Import-dataset'!BI24,0)</f>
        <v>0.972854819</v>
      </c>
      <c r="BJ24" s="11">
        <f>IFERROR('Import-dataset'!BJ25/'Import-dataset'!BJ24,0)</f>
        <v>0.7547433668</v>
      </c>
      <c r="BK24" s="11">
        <f>IFERROR('Import-dataset'!BK25/'Import-dataset'!BK24,0)</f>
        <v>0.3575482406</v>
      </c>
      <c r="BL24" s="11">
        <f>IFERROR('Import-dataset'!BL25/'Import-dataset'!BL24,0)</f>
        <v>0.9831317518</v>
      </c>
      <c r="BM24" s="11">
        <f>IFERROR('Import-dataset'!BM25/'Import-dataset'!BM24,0)</f>
        <v>1.002547771</v>
      </c>
      <c r="BN24" s="11">
        <f>IFERROR('Import-dataset'!BN25/'Import-dataset'!BN24,0)</f>
        <v>0.9393506957</v>
      </c>
      <c r="BO24" s="11">
        <f>IFERROR('Import-dataset'!BO25/'Import-dataset'!BO24,0)</f>
        <v>1.026246719</v>
      </c>
      <c r="BP24" s="11">
        <f>IFERROR('Import-dataset'!BP25/'Import-dataset'!BP24,0)</f>
        <v>1.014458309</v>
      </c>
      <c r="BQ24" s="11">
        <f>IFERROR('Import-dataset'!BQ25/'Import-dataset'!BQ24,0)</f>
        <v>1.009209517</v>
      </c>
      <c r="BR24" s="11">
        <f>IFERROR('Import-dataset'!BR25/'Import-dataset'!BR24,0)</f>
        <v>0.9853396655</v>
      </c>
      <c r="BS24" s="11">
        <f>IFERROR('Import-dataset'!BS25/'Import-dataset'!BS24,0)</f>
        <v>1.02454418</v>
      </c>
      <c r="BT24" s="11">
        <f>IFERROR('Import-dataset'!BT25/'Import-dataset'!BT24,0)</f>
        <v>0.9659383033</v>
      </c>
      <c r="BU24" s="11">
        <f>IFERROR('Import-dataset'!BU25/'Import-dataset'!BU24,0)</f>
        <v>1.209287062</v>
      </c>
      <c r="BV24" s="11">
        <f>IFERROR('Import-dataset'!BV25/'Import-dataset'!BV24,0)</f>
        <v>1</v>
      </c>
      <c r="BW24" s="11">
        <f>IFERROR('Import-dataset'!BW25/'Import-dataset'!BW24,0)</f>
        <v>0.6666666667</v>
      </c>
      <c r="BX24" s="11">
        <f>IFERROR('Import-dataset'!BX25/'Import-dataset'!BX24,0)</f>
        <v>0</v>
      </c>
      <c r="BY24" s="11">
        <f>IFERROR('Import-dataset'!BY25/'Import-dataset'!BY24,0)</f>
        <v>0.9450323641</v>
      </c>
      <c r="BZ24" s="11">
        <f>IFERROR('Import-dataset'!BZ25/'Import-dataset'!BZ24,0)</f>
        <v>2.287203001</v>
      </c>
      <c r="CA24" s="11">
        <f>IFERROR('Import-dataset'!CA25/'Import-dataset'!CA24,0)</f>
        <v>0.8876098165</v>
      </c>
    </row>
    <row r="25" ht="15.75" customHeight="1">
      <c r="A25" s="9" t="str">
        <f>'Import-dataset'!A26</f>
        <v>Y2010</v>
      </c>
      <c r="B25" s="11">
        <f>IFERROR('Import-dataset'!B26/'Import-dataset'!B25,0)</f>
        <v>1.000694444</v>
      </c>
      <c r="C25" s="11">
        <f>IFERROR('Import-dataset'!C26/'Import-dataset'!C25,0)</f>
        <v>1.128712871</v>
      </c>
      <c r="D25" s="11">
        <f>IFERROR('Import-dataset'!D26/'Import-dataset'!D25,0)</f>
        <v>1</v>
      </c>
      <c r="E25" s="11">
        <f>IFERROR('Import-dataset'!E26/'Import-dataset'!E25,0)</f>
        <v>1.236162362</v>
      </c>
      <c r="F25" s="11">
        <f>IFERROR('Import-dataset'!F26/'Import-dataset'!F25,0)</f>
        <v>1.003157064</v>
      </c>
      <c r="G25" s="11">
        <f>IFERROR('Import-dataset'!G26/'Import-dataset'!G25,0)</f>
        <v>0.9243697479</v>
      </c>
      <c r="H25" s="11">
        <f>IFERROR('Import-dataset'!H26/'Import-dataset'!H25,0)</f>
        <v>0.9664804469</v>
      </c>
      <c r="I25" s="11">
        <f>IFERROR('Import-dataset'!I26/'Import-dataset'!I25,0)</f>
        <v>1.073684211</v>
      </c>
      <c r="J25" s="11">
        <f>IFERROR('Import-dataset'!J26/'Import-dataset'!J25,0)</f>
        <v>0.9801488834</v>
      </c>
      <c r="K25" s="11">
        <f>IFERROR('Import-dataset'!K26/'Import-dataset'!K25,0)</f>
        <v>0.9428571429</v>
      </c>
      <c r="L25" s="11">
        <f>IFERROR('Import-dataset'!L26/'Import-dataset'!L25,0)</f>
        <v>1.009242144</v>
      </c>
      <c r="M25" s="11">
        <f>IFERROR('Import-dataset'!M26/'Import-dataset'!M25,0)</f>
        <v>0.9765311963</v>
      </c>
      <c r="N25" s="11">
        <f>IFERROR('Import-dataset'!N26/'Import-dataset'!N25,0)</f>
        <v>0.9891156463</v>
      </c>
      <c r="O25" s="11">
        <f>IFERROR('Import-dataset'!O26/'Import-dataset'!O25,0)</f>
        <v>0.9097472924</v>
      </c>
      <c r="P25" s="11">
        <f>IFERROR('Import-dataset'!P26/'Import-dataset'!P25,0)</f>
        <v>1.164917541</v>
      </c>
      <c r="Q25" s="11">
        <f>IFERROR('Import-dataset'!Q26/'Import-dataset'!Q25,0)</f>
        <v>0</v>
      </c>
      <c r="R25" s="11">
        <f>IFERROR('Import-dataset'!R26/'Import-dataset'!R25,0)</f>
        <v>1.04</v>
      </c>
      <c r="S25" s="11">
        <f>IFERROR('Import-dataset'!S26/'Import-dataset'!S25,0)</f>
        <v>0.992248062</v>
      </c>
      <c r="T25" s="11">
        <f>IFERROR('Import-dataset'!T26/'Import-dataset'!T25,0)</f>
        <v>1.183098592</v>
      </c>
      <c r="U25" s="11">
        <f>IFERROR('Import-dataset'!U26/'Import-dataset'!U25,0)</f>
        <v>1.038674033</v>
      </c>
      <c r="V25" s="11">
        <f>IFERROR('Import-dataset'!V26/'Import-dataset'!V25,0)</f>
        <v>0.7826086957</v>
      </c>
      <c r="W25" s="11">
        <f>IFERROR('Import-dataset'!W26/'Import-dataset'!W25,0)</f>
        <v>1.279220779</v>
      </c>
      <c r="X25" s="11">
        <f>IFERROR('Import-dataset'!X26/'Import-dataset'!X25,0)</f>
        <v>1.528216704</v>
      </c>
      <c r="Y25" s="11">
        <f>IFERROR('Import-dataset'!Y26/'Import-dataset'!Y25,0)</f>
        <v>0.9142011834</v>
      </c>
      <c r="Z25" s="11">
        <f>IFERROR('Import-dataset'!Z26/'Import-dataset'!Z25,0)</f>
        <v>1.135014954</v>
      </c>
      <c r="AA25" s="11">
        <f>IFERROR('Import-dataset'!AA26/'Import-dataset'!AA25,0)</f>
        <v>1.72</v>
      </c>
      <c r="AB25" s="11">
        <f>IFERROR('Import-dataset'!AB26/'Import-dataset'!AB25,0)</f>
        <v>1.155595918</v>
      </c>
      <c r="AC25" s="11">
        <f>IFERROR('Import-dataset'!AC26/'Import-dataset'!AC25,0)</f>
        <v>0.9182501105</v>
      </c>
      <c r="AD25" s="11">
        <f>IFERROR('Import-dataset'!AD26/'Import-dataset'!AD25,0)</f>
        <v>0.935828877</v>
      </c>
      <c r="AE25" s="11">
        <f>IFERROR('Import-dataset'!AE26/'Import-dataset'!AE25,0)</f>
        <v>1.233333333</v>
      </c>
      <c r="AF25" s="11">
        <f>IFERROR('Import-dataset'!AF26/'Import-dataset'!AF25,0)</f>
        <v>0.9250535332</v>
      </c>
      <c r="AG25" s="11">
        <f>IFERROR('Import-dataset'!AG26/'Import-dataset'!AG25,0)</f>
        <v>0.875</v>
      </c>
      <c r="AH25" s="11">
        <f>IFERROR('Import-dataset'!AH26/'Import-dataset'!AH25,0)</f>
        <v>1.041360755</v>
      </c>
      <c r="AI25" s="11">
        <f>IFERROR('Import-dataset'!AI26/'Import-dataset'!AI25,0)</f>
        <v>1.05814317</v>
      </c>
      <c r="AJ25" s="11">
        <f>IFERROR('Import-dataset'!AJ26/'Import-dataset'!AJ25,0)</f>
        <v>0.8210290828</v>
      </c>
      <c r="AK25" s="11">
        <f>IFERROR('Import-dataset'!AK26/'Import-dataset'!AK25,0)</f>
        <v>1.01453958</v>
      </c>
      <c r="AL25" s="11">
        <f>IFERROR('Import-dataset'!AL26/'Import-dataset'!AL25,0)</f>
        <v>1.027104898</v>
      </c>
      <c r="AM25" s="11">
        <f>IFERROR('Import-dataset'!AM26/'Import-dataset'!AM25,0)</f>
        <v>0.9978272678</v>
      </c>
      <c r="AN25" s="11">
        <f>IFERROR('Import-dataset'!AN26/'Import-dataset'!AN25,0)</f>
        <v>1.408076514</v>
      </c>
      <c r="AO25" s="11">
        <f>IFERROR('Import-dataset'!AO26/'Import-dataset'!AO25,0)</f>
        <v>1.121258634</v>
      </c>
      <c r="AP25" s="11">
        <f>IFERROR('Import-dataset'!AP26/'Import-dataset'!AP25,0)</f>
        <v>1.042994811</v>
      </c>
      <c r="AQ25" s="11">
        <f>IFERROR('Import-dataset'!AQ26/'Import-dataset'!AQ25,0)</f>
        <v>1.051908397</v>
      </c>
      <c r="AR25" s="11">
        <f>IFERROR('Import-dataset'!AR26/'Import-dataset'!AR25,0)</f>
        <v>1.055053486</v>
      </c>
      <c r="AS25" s="11">
        <f>IFERROR('Import-dataset'!AS26/'Import-dataset'!AS25,0)</f>
        <v>0.9929577465</v>
      </c>
      <c r="AT25" s="11">
        <f>IFERROR('Import-dataset'!AT26/'Import-dataset'!AT25,0)</f>
        <v>1.123053551</v>
      </c>
      <c r="AU25" s="11">
        <f>IFERROR('Import-dataset'!AU26/'Import-dataset'!AU25,0)</f>
        <v>1.13990461</v>
      </c>
      <c r="AV25" s="11">
        <f>IFERROR('Import-dataset'!AV26/'Import-dataset'!AV25,0)</f>
        <v>1.078767123</v>
      </c>
      <c r="AW25" s="11">
        <f>IFERROR('Import-dataset'!AW26/'Import-dataset'!AW25,0)</f>
        <v>1</v>
      </c>
      <c r="AX25" s="11">
        <f>IFERROR('Import-dataset'!AX26/'Import-dataset'!AX25,0)</f>
        <v>0.9665907365</v>
      </c>
      <c r="AY25" s="11">
        <f>IFERROR('Import-dataset'!AY26/'Import-dataset'!AY25,0)</f>
        <v>1.028997514</v>
      </c>
      <c r="AZ25" s="11">
        <f>IFERROR('Import-dataset'!AZ26/'Import-dataset'!AZ25,0)</f>
        <v>1.375831486</v>
      </c>
      <c r="BA25" s="11">
        <f>IFERROR('Import-dataset'!BA26/'Import-dataset'!BA25,0)</f>
        <v>0.9769647696</v>
      </c>
      <c r="BB25" s="11">
        <f>IFERROR('Import-dataset'!BB26/'Import-dataset'!BB25,0)</f>
        <v>1.075811094</v>
      </c>
      <c r="BC25" s="11">
        <f>IFERROR('Import-dataset'!BC26/'Import-dataset'!BC25,0)</f>
        <v>0.8833540888</v>
      </c>
      <c r="BD25" s="11">
        <f>IFERROR('Import-dataset'!BD26/'Import-dataset'!BD25,0)</f>
        <v>1.001879156</v>
      </c>
      <c r="BE25" s="11">
        <f>IFERROR('Import-dataset'!BE26/'Import-dataset'!BE25,0)</f>
        <v>0.9937007874</v>
      </c>
      <c r="BF25" s="11">
        <f>IFERROR('Import-dataset'!BF26/'Import-dataset'!BF25,0)</f>
        <v>0.8659513</v>
      </c>
      <c r="BG25" s="11">
        <f>IFERROR('Import-dataset'!BG26/'Import-dataset'!BG25,0)</f>
        <v>1.120539906</v>
      </c>
      <c r="BH25" s="11">
        <f>IFERROR('Import-dataset'!BH26/'Import-dataset'!BH25,0)</f>
        <v>0.9766487041</v>
      </c>
      <c r="BI25" s="11">
        <f>IFERROR('Import-dataset'!BI26/'Import-dataset'!BI25,0)</f>
        <v>1.119866235</v>
      </c>
      <c r="BJ25" s="11">
        <f>IFERROR('Import-dataset'!BJ26/'Import-dataset'!BJ25,0)</f>
        <v>1.316640793</v>
      </c>
      <c r="BK25" s="11">
        <f>IFERROR('Import-dataset'!BK26/'Import-dataset'!BK25,0)</f>
        <v>0.8857142857</v>
      </c>
      <c r="BL25" s="11">
        <f>IFERROR('Import-dataset'!BL26/'Import-dataset'!BL25,0)</f>
        <v>0.9958018472</v>
      </c>
      <c r="BM25" s="11">
        <f>IFERROR('Import-dataset'!BM26/'Import-dataset'!BM25,0)</f>
        <v>1.101651842</v>
      </c>
      <c r="BN25" s="11">
        <f>IFERROR('Import-dataset'!BN26/'Import-dataset'!BN25,0)</f>
        <v>0.9984808204</v>
      </c>
      <c r="BO25" s="11">
        <f>IFERROR('Import-dataset'!BO26/'Import-dataset'!BO25,0)</f>
        <v>0.9718670077</v>
      </c>
      <c r="BP25" s="11">
        <f>IFERROR('Import-dataset'!BP26/'Import-dataset'!BP25,0)</f>
        <v>1.050175713</v>
      </c>
      <c r="BQ25" s="11">
        <f>IFERROR('Import-dataset'!BQ26/'Import-dataset'!BQ25,0)</f>
        <v>1.021292776</v>
      </c>
      <c r="BR25" s="11">
        <f>IFERROR('Import-dataset'!BR26/'Import-dataset'!BR25,0)</f>
        <v>0.9997904443</v>
      </c>
      <c r="BS25" s="11">
        <f>IFERROR('Import-dataset'!BS26/'Import-dataset'!BS25,0)</f>
        <v>0.9342915811</v>
      </c>
      <c r="BT25" s="11">
        <f>IFERROR('Import-dataset'!BT26/'Import-dataset'!BT25,0)</f>
        <v>0.9660678643</v>
      </c>
      <c r="BU25" s="11">
        <f>IFERROR('Import-dataset'!BU26/'Import-dataset'!BU25,0)</f>
        <v>0.8955223881</v>
      </c>
      <c r="BV25" s="11">
        <f>IFERROR('Import-dataset'!BV26/'Import-dataset'!BV25,0)</f>
        <v>0.7450980392</v>
      </c>
      <c r="BW25" s="11">
        <f>IFERROR('Import-dataset'!BW26/'Import-dataset'!BW25,0)</f>
        <v>3.25</v>
      </c>
      <c r="BX25" s="11">
        <f>IFERROR('Import-dataset'!BX26/'Import-dataset'!BX25,0)</f>
        <v>0</v>
      </c>
      <c r="BY25" s="11">
        <f>IFERROR('Import-dataset'!BY26/'Import-dataset'!BY25,0)</f>
        <v>0.7662535334</v>
      </c>
      <c r="BZ25" s="11">
        <f>IFERROR('Import-dataset'!BZ26/'Import-dataset'!BZ25,0)</f>
        <v>1.111536359</v>
      </c>
      <c r="CA25" s="11">
        <f>IFERROR('Import-dataset'!CA26/'Import-dataset'!CA25,0)</f>
        <v>1.049518576</v>
      </c>
    </row>
    <row r="26" ht="15.75" customHeight="1">
      <c r="A26" s="9" t="str">
        <f>'Import-dataset'!A27</f>
        <v>Y2011</v>
      </c>
      <c r="B26" s="11">
        <f>IFERROR('Import-dataset'!B27/'Import-dataset'!B26,0)</f>
        <v>1.069743234</v>
      </c>
      <c r="C26" s="11">
        <f>IFERROR('Import-dataset'!C27/'Import-dataset'!C26,0)</f>
        <v>0.9736842105</v>
      </c>
      <c r="D26" s="11">
        <f>IFERROR('Import-dataset'!D27/'Import-dataset'!D26,0)</f>
        <v>0.9616724739</v>
      </c>
      <c r="E26" s="11">
        <f>IFERROR('Import-dataset'!E27/'Import-dataset'!E26,0)</f>
        <v>1</v>
      </c>
      <c r="F26" s="11">
        <f>IFERROR('Import-dataset'!F27/'Import-dataset'!F26,0)</f>
        <v>1.02675059</v>
      </c>
      <c r="G26" s="11">
        <f>IFERROR('Import-dataset'!G27/'Import-dataset'!G26,0)</f>
        <v>1.044155844</v>
      </c>
      <c r="H26" s="11">
        <f>IFERROR('Import-dataset'!H27/'Import-dataset'!H26,0)</f>
        <v>1.183044316</v>
      </c>
      <c r="I26" s="11">
        <f>IFERROR('Import-dataset'!I27/'Import-dataset'!I26,0)</f>
        <v>1.235294118</v>
      </c>
      <c r="J26" s="11">
        <f>IFERROR('Import-dataset'!J27/'Import-dataset'!J26,0)</f>
        <v>1.143459916</v>
      </c>
      <c r="K26" s="11">
        <f>IFERROR('Import-dataset'!K27/'Import-dataset'!K26,0)</f>
        <v>0.9786096257</v>
      </c>
      <c r="L26" s="11">
        <f>IFERROR('Import-dataset'!L27/'Import-dataset'!L26,0)</f>
        <v>1.027472527</v>
      </c>
      <c r="M26" s="11">
        <f>IFERROR('Import-dataset'!M27/'Import-dataset'!M26,0)</f>
        <v>1.063892145</v>
      </c>
      <c r="N26" s="11">
        <f>IFERROR('Import-dataset'!N27/'Import-dataset'!N26,0)</f>
        <v>1.057083906</v>
      </c>
      <c r="O26" s="11">
        <f>IFERROR('Import-dataset'!O27/'Import-dataset'!O26,0)</f>
        <v>1.103174603</v>
      </c>
      <c r="P26" s="11">
        <f>IFERROR('Import-dataset'!P27/'Import-dataset'!P26,0)</f>
        <v>1.187902188</v>
      </c>
      <c r="Q26" s="11">
        <f>IFERROR('Import-dataset'!Q27/'Import-dataset'!Q26,0)</f>
        <v>0</v>
      </c>
      <c r="R26" s="11">
        <f>IFERROR('Import-dataset'!R27/'Import-dataset'!R26,0)</f>
        <v>0.8846153846</v>
      </c>
      <c r="S26" s="11">
        <f>IFERROR('Import-dataset'!S27/'Import-dataset'!S26,0)</f>
        <v>1.171875</v>
      </c>
      <c r="T26" s="11">
        <f>IFERROR('Import-dataset'!T27/'Import-dataset'!T26,0)</f>
        <v>0.9806547619</v>
      </c>
      <c r="U26" s="11">
        <f>IFERROR('Import-dataset'!U27/'Import-dataset'!U26,0)</f>
        <v>0.9734042553</v>
      </c>
      <c r="V26" s="11">
        <f>IFERROR('Import-dataset'!V27/'Import-dataset'!V26,0)</f>
        <v>1.055555556</v>
      </c>
      <c r="W26" s="11">
        <f>IFERROR('Import-dataset'!W27/'Import-dataset'!W26,0)</f>
        <v>1.461928934</v>
      </c>
      <c r="X26" s="11">
        <f>IFERROR('Import-dataset'!X27/'Import-dataset'!X26,0)</f>
        <v>1.460856721</v>
      </c>
      <c r="Y26" s="11">
        <f>IFERROR('Import-dataset'!Y27/'Import-dataset'!Y26,0)</f>
        <v>1.100323625</v>
      </c>
      <c r="Z26" s="11">
        <f>IFERROR('Import-dataset'!Z27/'Import-dataset'!Z26,0)</f>
        <v>1.327150435</v>
      </c>
      <c r="AA26" s="11">
        <f>IFERROR('Import-dataset'!AA27/'Import-dataset'!AA26,0)</f>
        <v>1.534883721</v>
      </c>
      <c r="AB26" s="11">
        <f>IFERROR('Import-dataset'!AB27/'Import-dataset'!AB26,0)</f>
        <v>1.339532969</v>
      </c>
      <c r="AC26" s="11">
        <f>IFERROR('Import-dataset'!AC27/'Import-dataset'!AC26,0)</f>
        <v>1.163618864</v>
      </c>
      <c r="AD26" s="11">
        <f>IFERROR('Import-dataset'!AD27/'Import-dataset'!AD26,0)</f>
        <v>1.034285714</v>
      </c>
      <c r="AE26" s="11">
        <f>IFERROR('Import-dataset'!AE27/'Import-dataset'!AE26,0)</f>
        <v>1.081081081</v>
      </c>
      <c r="AF26" s="11">
        <f>IFERROR('Import-dataset'!AF27/'Import-dataset'!AF26,0)</f>
        <v>1.013888889</v>
      </c>
      <c r="AG26" s="11">
        <f>IFERROR('Import-dataset'!AG27/'Import-dataset'!AG26,0)</f>
        <v>1.160714286</v>
      </c>
      <c r="AH26" s="11">
        <f>IFERROR('Import-dataset'!AH27/'Import-dataset'!AH26,0)</f>
        <v>1.066123664</v>
      </c>
      <c r="AI26" s="11">
        <f>IFERROR('Import-dataset'!AI27/'Import-dataset'!AI26,0)</f>
        <v>0.9045790251</v>
      </c>
      <c r="AJ26" s="11">
        <f>IFERROR('Import-dataset'!AJ27/'Import-dataset'!AJ26,0)</f>
        <v>1.294277929</v>
      </c>
      <c r="AK26" s="11">
        <f>IFERROR('Import-dataset'!AK27/'Import-dataset'!AK26,0)</f>
        <v>1.01433121</v>
      </c>
      <c r="AL26" s="11">
        <f>IFERROR('Import-dataset'!AL27/'Import-dataset'!AL26,0)</f>
        <v>1.098077922</v>
      </c>
      <c r="AM26" s="11">
        <f>IFERROR('Import-dataset'!AM27/'Import-dataset'!AM26,0)</f>
        <v>1.022318998</v>
      </c>
      <c r="AN26" s="11">
        <f>IFERROR('Import-dataset'!AN27/'Import-dataset'!AN26,0)</f>
        <v>1.218113208</v>
      </c>
      <c r="AO26" s="11">
        <f>IFERROR('Import-dataset'!AO27/'Import-dataset'!AO26,0)</f>
        <v>1.065023956</v>
      </c>
      <c r="AP26" s="11">
        <f>IFERROR('Import-dataset'!AP27/'Import-dataset'!AP26,0)</f>
        <v>1.015636105</v>
      </c>
      <c r="AQ26" s="11">
        <f>IFERROR('Import-dataset'!AQ27/'Import-dataset'!AQ26,0)</f>
        <v>1.05273343</v>
      </c>
      <c r="AR26" s="11">
        <f>IFERROR('Import-dataset'!AR27/'Import-dataset'!AR26,0)</f>
        <v>1.086530898</v>
      </c>
      <c r="AS26" s="11">
        <f>IFERROR('Import-dataset'!AS27/'Import-dataset'!AS26,0)</f>
        <v>1.056737589</v>
      </c>
      <c r="AT26" s="11">
        <f>IFERROR('Import-dataset'!AT27/'Import-dataset'!AT26,0)</f>
        <v>1.191410213</v>
      </c>
      <c r="AU26" s="11">
        <f>IFERROR('Import-dataset'!AU27/'Import-dataset'!AU26,0)</f>
        <v>1.064156206</v>
      </c>
      <c r="AV26" s="11">
        <f>IFERROR('Import-dataset'!AV27/'Import-dataset'!AV26,0)</f>
        <v>0.9097001764</v>
      </c>
      <c r="AW26" s="11">
        <f>IFERROR('Import-dataset'!AW27/'Import-dataset'!AW26,0)</f>
        <v>1.016865487</v>
      </c>
      <c r="AX26" s="11">
        <f>IFERROR('Import-dataset'!AX27/'Import-dataset'!AX26,0)</f>
        <v>0.9465828751</v>
      </c>
      <c r="AY26" s="11">
        <f>IFERROR('Import-dataset'!AY27/'Import-dataset'!AY26,0)</f>
        <v>0.9634997316</v>
      </c>
      <c r="AZ26" s="11">
        <f>IFERROR('Import-dataset'!AZ27/'Import-dataset'!AZ26,0)</f>
        <v>1.311039484</v>
      </c>
      <c r="BA26" s="11">
        <f>IFERROR('Import-dataset'!BA27/'Import-dataset'!BA26,0)</f>
        <v>1.21299782</v>
      </c>
      <c r="BB26" s="11">
        <f>IFERROR('Import-dataset'!BB27/'Import-dataset'!BB26,0)</f>
        <v>1.018556576</v>
      </c>
      <c r="BC26" s="11">
        <f>IFERROR('Import-dataset'!BC27/'Import-dataset'!BC26,0)</f>
        <v>1.08106203</v>
      </c>
      <c r="BD26" s="11">
        <f>IFERROR('Import-dataset'!BD27/'Import-dataset'!BD26,0)</f>
        <v>1.219160294</v>
      </c>
      <c r="BE26" s="11">
        <f>IFERROR('Import-dataset'!BE27/'Import-dataset'!BE26,0)</f>
        <v>1.080824089</v>
      </c>
      <c r="BF26" s="11">
        <f>IFERROR('Import-dataset'!BF27/'Import-dataset'!BF26,0)</f>
        <v>0.9927556954</v>
      </c>
      <c r="BG26" s="11">
        <f>IFERROR('Import-dataset'!BG27/'Import-dataset'!BG26,0)</f>
        <v>0.98051744</v>
      </c>
      <c r="BH26" s="11">
        <f>IFERROR('Import-dataset'!BH27/'Import-dataset'!BH26,0)</f>
        <v>1.007619548</v>
      </c>
      <c r="BI26" s="11">
        <f>IFERROR('Import-dataset'!BI27/'Import-dataset'!BI26,0)</f>
        <v>1.053004853</v>
      </c>
      <c r="BJ26" s="11">
        <f>IFERROR('Import-dataset'!BJ27/'Import-dataset'!BJ26,0)</f>
        <v>0.9397535372</v>
      </c>
      <c r="BK26" s="11">
        <f>IFERROR('Import-dataset'!BK27/'Import-dataset'!BK26,0)</f>
        <v>1.410650282</v>
      </c>
      <c r="BL26" s="11">
        <f>IFERROR('Import-dataset'!BL27/'Import-dataset'!BL26,0)</f>
        <v>1.030060855</v>
      </c>
      <c r="BM26" s="11">
        <f>IFERROR('Import-dataset'!BM27/'Import-dataset'!BM26,0)</f>
        <v>1.297577855</v>
      </c>
      <c r="BN26" s="11">
        <f>IFERROR('Import-dataset'!BN27/'Import-dataset'!BN26,0)</f>
        <v>1.058197033</v>
      </c>
      <c r="BO26" s="11">
        <f>IFERROR('Import-dataset'!BO27/'Import-dataset'!BO26,0)</f>
        <v>1.090789474</v>
      </c>
      <c r="BP26" s="11">
        <f>IFERROR('Import-dataset'!BP27/'Import-dataset'!BP26,0)</f>
        <v>1.056144265</v>
      </c>
      <c r="BQ26" s="11">
        <f>IFERROR('Import-dataset'!BQ27/'Import-dataset'!BQ26,0)</f>
        <v>0.9858525689</v>
      </c>
      <c r="BR26" s="11">
        <f>IFERROR('Import-dataset'!BR27/'Import-dataset'!BR26,0)</f>
        <v>1.010689583</v>
      </c>
      <c r="BS26" s="11">
        <f>IFERROR('Import-dataset'!BS27/'Import-dataset'!BS26,0)</f>
        <v>1.016849817</v>
      </c>
      <c r="BT26" s="11">
        <f>IFERROR('Import-dataset'!BT27/'Import-dataset'!BT26,0)</f>
        <v>0.9983274301</v>
      </c>
      <c r="BU26" s="11">
        <f>IFERROR('Import-dataset'!BU27/'Import-dataset'!BU26,0)</f>
        <v>0.9995454545</v>
      </c>
      <c r="BV26" s="11">
        <f>IFERROR('Import-dataset'!BV27/'Import-dataset'!BV26,0)</f>
        <v>1.184210526</v>
      </c>
      <c r="BW26" s="11">
        <f>IFERROR('Import-dataset'!BW27/'Import-dataset'!BW26,0)</f>
        <v>1.461538462</v>
      </c>
      <c r="BX26" s="11">
        <f>IFERROR('Import-dataset'!BX27/'Import-dataset'!BX26,0)</f>
        <v>2</v>
      </c>
      <c r="BY26" s="11">
        <f>IFERROR('Import-dataset'!BY27/'Import-dataset'!BY26,0)</f>
        <v>0.9077752554</v>
      </c>
      <c r="BZ26" s="11">
        <f>IFERROR('Import-dataset'!BZ27/'Import-dataset'!BZ26,0)</f>
        <v>1.103131661</v>
      </c>
      <c r="CA26" s="11">
        <f>IFERROR('Import-dataset'!CA27/'Import-dataset'!CA26,0)</f>
        <v>1.078077935</v>
      </c>
    </row>
    <row r="27" ht="15.75" customHeight="1">
      <c r="A27" s="9" t="str">
        <f>'Import-dataset'!A28</f>
        <v>Y2012</v>
      </c>
      <c r="B27" s="11">
        <f>IFERROR('Import-dataset'!B28/'Import-dataset'!B27,0)</f>
        <v>1.03708509</v>
      </c>
      <c r="C27" s="11">
        <f>IFERROR('Import-dataset'!C28/'Import-dataset'!C27,0)</f>
        <v>0.9009009009</v>
      </c>
      <c r="D27" s="11">
        <f>IFERROR('Import-dataset'!D28/'Import-dataset'!D27,0)</f>
        <v>1.121376812</v>
      </c>
      <c r="E27" s="11">
        <f>IFERROR('Import-dataset'!E28/'Import-dataset'!E27,0)</f>
        <v>0.9462686567</v>
      </c>
      <c r="F27" s="11">
        <f>IFERROR('Import-dataset'!F28/'Import-dataset'!F27,0)</f>
        <v>1.085057471</v>
      </c>
      <c r="G27" s="11">
        <f>IFERROR('Import-dataset'!G28/'Import-dataset'!G27,0)</f>
        <v>1.055970149</v>
      </c>
      <c r="H27" s="11">
        <f>IFERROR('Import-dataset'!H28/'Import-dataset'!H27,0)</f>
        <v>0.9793702497</v>
      </c>
      <c r="I27" s="11">
        <f>IFERROR('Import-dataset'!I28/'Import-dataset'!I27,0)</f>
        <v>0.9417989418</v>
      </c>
      <c r="J27" s="11">
        <f>IFERROR('Import-dataset'!J28/'Import-dataset'!J27,0)</f>
        <v>0.9970479705</v>
      </c>
      <c r="K27" s="11">
        <f>IFERROR('Import-dataset'!K28/'Import-dataset'!K27,0)</f>
        <v>1.156648452</v>
      </c>
      <c r="L27" s="11">
        <f>IFERROR('Import-dataset'!L28/'Import-dataset'!L27,0)</f>
        <v>1.086155674</v>
      </c>
      <c r="M27" s="11">
        <f>IFERROR('Import-dataset'!M28/'Import-dataset'!M27,0)</f>
        <v>1.099173554</v>
      </c>
      <c r="N27" s="11">
        <f>IFERROR('Import-dataset'!N28/'Import-dataset'!N27,0)</f>
        <v>1.096942095</v>
      </c>
      <c r="O27" s="11">
        <f>IFERROR('Import-dataset'!O28/'Import-dataset'!O27,0)</f>
        <v>1.111510791</v>
      </c>
      <c r="P27" s="11">
        <f>IFERROR('Import-dataset'!P28/'Import-dataset'!P27,0)</f>
        <v>0.908992416</v>
      </c>
      <c r="Q27" s="11">
        <f>IFERROR('Import-dataset'!Q28/'Import-dataset'!Q27,0)</f>
        <v>0</v>
      </c>
      <c r="R27" s="11">
        <f>IFERROR('Import-dataset'!R28/'Import-dataset'!R27,0)</f>
        <v>1.260869565</v>
      </c>
      <c r="S27" s="11">
        <f>IFERROR('Import-dataset'!S28/'Import-dataset'!S27,0)</f>
        <v>0.8933333333</v>
      </c>
      <c r="T27" s="11">
        <f>IFERROR('Import-dataset'!T28/'Import-dataset'!T27,0)</f>
        <v>0.9635811836</v>
      </c>
      <c r="U27" s="11">
        <f>IFERROR('Import-dataset'!U28/'Import-dataset'!U27,0)</f>
        <v>0.7923497268</v>
      </c>
      <c r="V27" s="11">
        <f>IFERROR('Import-dataset'!V28/'Import-dataset'!V27,0)</f>
        <v>0.798245614</v>
      </c>
      <c r="W27" s="11">
        <f>IFERROR('Import-dataset'!W28/'Import-dataset'!W27,0)</f>
        <v>1.086805556</v>
      </c>
      <c r="X27" s="11">
        <f>IFERROR('Import-dataset'!X28/'Import-dataset'!X27,0)</f>
        <v>0.7401415571</v>
      </c>
      <c r="Y27" s="11">
        <f>IFERROR('Import-dataset'!Y28/'Import-dataset'!Y27,0)</f>
        <v>1.2</v>
      </c>
      <c r="Z27" s="11">
        <f>IFERROR('Import-dataset'!Z28/'Import-dataset'!Z27,0)</f>
        <v>1.067295384</v>
      </c>
      <c r="AA27" s="11">
        <f>IFERROR('Import-dataset'!AA28/'Import-dataset'!AA27,0)</f>
        <v>0.2727272727</v>
      </c>
      <c r="AB27" s="11">
        <f>IFERROR('Import-dataset'!AB28/'Import-dataset'!AB27,0)</f>
        <v>1.067663081</v>
      </c>
      <c r="AC27" s="11">
        <f>IFERROR('Import-dataset'!AC28/'Import-dataset'!AC27,0)</f>
        <v>1.083540116</v>
      </c>
      <c r="AD27" s="11">
        <f>IFERROR('Import-dataset'!AD28/'Import-dataset'!AD27,0)</f>
        <v>1.005524862</v>
      </c>
      <c r="AE27" s="11">
        <f>IFERROR('Import-dataset'!AE28/'Import-dataset'!AE27,0)</f>
        <v>1.525</v>
      </c>
      <c r="AF27" s="11">
        <f>IFERROR('Import-dataset'!AF28/'Import-dataset'!AF27,0)</f>
        <v>0.9383561644</v>
      </c>
      <c r="AG27" s="11">
        <f>IFERROR('Import-dataset'!AG28/'Import-dataset'!AG27,0)</f>
        <v>1.138461538</v>
      </c>
      <c r="AH27" s="11">
        <f>IFERROR('Import-dataset'!AH28/'Import-dataset'!AH27,0)</f>
        <v>1.00583258</v>
      </c>
      <c r="AI27" s="11">
        <f>IFERROR('Import-dataset'!AI28/'Import-dataset'!AI27,0)</f>
        <v>0.9591770085</v>
      </c>
      <c r="AJ27" s="11">
        <f>IFERROR('Import-dataset'!AJ28/'Import-dataset'!AJ27,0)</f>
        <v>1.189473684</v>
      </c>
      <c r="AK27" s="11">
        <f>IFERROR('Import-dataset'!AK28/'Import-dataset'!AK27,0)</f>
        <v>0.9686028257</v>
      </c>
      <c r="AL27" s="11">
        <f>IFERROR('Import-dataset'!AL28/'Import-dataset'!AL27,0)</f>
        <v>0.9850506197</v>
      </c>
      <c r="AM27" s="11">
        <f>IFERROR('Import-dataset'!AM28/'Import-dataset'!AM27,0)</f>
        <v>1.05857295</v>
      </c>
      <c r="AN27" s="11">
        <f>IFERROR('Import-dataset'!AN28/'Import-dataset'!AN27,0)</f>
        <v>1.021685254</v>
      </c>
      <c r="AO27" s="11">
        <f>IFERROR('Import-dataset'!AO28/'Import-dataset'!AO27,0)</f>
        <v>0.9749357326</v>
      </c>
      <c r="AP27" s="11">
        <f>IFERROR('Import-dataset'!AP28/'Import-dataset'!AP27,0)</f>
        <v>1.009097271</v>
      </c>
      <c r="AQ27" s="11">
        <f>IFERROR('Import-dataset'!AQ28/'Import-dataset'!AQ27,0)</f>
        <v>1.025735294</v>
      </c>
      <c r="AR27" s="11">
        <f>IFERROR('Import-dataset'!AR28/'Import-dataset'!AR27,0)</f>
        <v>1.044807336</v>
      </c>
      <c r="AS27" s="11">
        <f>IFERROR('Import-dataset'!AS28/'Import-dataset'!AS27,0)</f>
        <v>0.9530201342</v>
      </c>
      <c r="AT27" s="11">
        <f>IFERROR('Import-dataset'!AT28/'Import-dataset'!AT27,0)</f>
        <v>1.132841328</v>
      </c>
      <c r="AU27" s="11">
        <f>IFERROR('Import-dataset'!AU28/'Import-dataset'!AU27,0)</f>
        <v>1.053735256</v>
      </c>
      <c r="AV27" s="11">
        <f>IFERROR('Import-dataset'!AV28/'Import-dataset'!AV27,0)</f>
        <v>1.030632028</v>
      </c>
      <c r="AW27" s="11">
        <f>IFERROR('Import-dataset'!AW28/'Import-dataset'!AW27,0)</f>
        <v>1.011731392</v>
      </c>
      <c r="AX27" s="11">
        <f>IFERROR('Import-dataset'!AX28/'Import-dataset'!AX27,0)</f>
        <v>1.007053942</v>
      </c>
      <c r="AY27" s="11">
        <f>IFERROR('Import-dataset'!AY28/'Import-dataset'!AY27,0)</f>
        <v>1.202506964</v>
      </c>
      <c r="AZ27" s="11">
        <f>IFERROR('Import-dataset'!AZ28/'Import-dataset'!AZ27,0)</f>
        <v>0.7799631223</v>
      </c>
      <c r="BA27" s="11">
        <f>IFERROR('Import-dataset'!BA28/'Import-dataset'!BA27,0)</f>
        <v>1.077752369</v>
      </c>
      <c r="BB27" s="11">
        <f>IFERROR('Import-dataset'!BB28/'Import-dataset'!BB27,0)</f>
        <v>1.142381299</v>
      </c>
      <c r="BC27" s="11">
        <f>IFERROR('Import-dataset'!BC28/'Import-dataset'!BC27,0)</f>
        <v>1.089763095</v>
      </c>
      <c r="BD27" s="11">
        <f>IFERROR('Import-dataset'!BD28/'Import-dataset'!BD27,0)</f>
        <v>1.390295858</v>
      </c>
      <c r="BE27" s="11">
        <f>IFERROR('Import-dataset'!BE28/'Import-dataset'!BE27,0)</f>
        <v>1.029325513</v>
      </c>
      <c r="BF27" s="11">
        <f>IFERROR('Import-dataset'!BF28/'Import-dataset'!BF27,0)</f>
        <v>1.172635622</v>
      </c>
      <c r="BG27" s="11">
        <f>IFERROR('Import-dataset'!BG28/'Import-dataset'!BG27,0)</f>
        <v>0.9842965495</v>
      </c>
      <c r="BH27" s="11">
        <f>IFERROR('Import-dataset'!BH28/'Import-dataset'!BH27,0)</f>
        <v>0.9968709257</v>
      </c>
      <c r="BI27" s="11">
        <f>IFERROR('Import-dataset'!BI28/'Import-dataset'!BI27,0)</f>
        <v>1.0016838</v>
      </c>
      <c r="BJ27" s="11">
        <f>IFERROR('Import-dataset'!BJ28/'Import-dataset'!BJ27,0)</f>
        <v>1.232475312</v>
      </c>
      <c r="BK27" s="11">
        <f>IFERROR('Import-dataset'!BK28/'Import-dataset'!BK27,0)</f>
        <v>1.296551724</v>
      </c>
      <c r="BL27" s="11">
        <f>IFERROR('Import-dataset'!BL28/'Import-dataset'!BL27,0)</f>
        <v>1.03580326</v>
      </c>
      <c r="BM27" s="11">
        <f>IFERROR('Import-dataset'!BM28/'Import-dataset'!BM27,0)</f>
        <v>1.192</v>
      </c>
      <c r="BN27" s="11">
        <f>IFERROR('Import-dataset'!BN28/'Import-dataset'!BN27,0)</f>
        <v>1.043853343</v>
      </c>
      <c r="BO27" s="11">
        <f>IFERROR('Import-dataset'!BO28/'Import-dataset'!BO27,0)</f>
        <v>1.117008444</v>
      </c>
      <c r="BP27" s="11">
        <f>IFERROR('Import-dataset'!BP28/'Import-dataset'!BP27,0)</f>
        <v>1.037317374</v>
      </c>
      <c r="BQ27" s="11">
        <f>IFERROR('Import-dataset'!BQ28/'Import-dataset'!BQ27,0)</f>
        <v>1.117824773</v>
      </c>
      <c r="BR27" s="11">
        <f>IFERROR('Import-dataset'!BR28/'Import-dataset'!BR27,0)</f>
        <v>1.088967234</v>
      </c>
      <c r="BS27" s="11">
        <f>IFERROR('Import-dataset'!BS28/'Import-dataset'!BS27,0)</f>
        <v>1.018011527</v>
      </c>
      <c r="BT27" s="11">
        <f>IFERROR('Import-dataset'!BT28/'Import-dataset'!BT27,0)</f>
        <v>0.9752636247</v>
      </c>
      <c r="BU27" s="11">
        <f>IFERROR('Import-dataset'!BU28/'Import-dataset'!BU27,0)</f>
        <v>0.8403819918</v>
      </c>
      <c r="BV27" s="11">
        <f>IFERROR('Import-dataset'!BV28/'Import-dataset'!BV27,0)</f>
        <v>1</v>
      </c>
      <c r="BW27" s="11">
        <f>IFERROR('Import-dataset'!BW28/'Import-dataset'!BW27,0)</f>
        <v>2.315789474</v>
      </c>
      <c r="BX27" s="11">
        <f>IFERROR('Import-dataset'!BX28/'Import-dataset'!BX27,0)</f>
        <v>1</v>
      </c>
      <c r="BY27" s="11">
        <f>IFERROR('Import-dataset'!BY28/'Import-dataset'!BY27,0)</f>
        <v>0.9129415442</v>
      </c>
      <c r="BZ27" s="11">
        <f>IFERROR('Import-dataset'!BZ28/'Import-dataset'!BZ27,0)</f>
        <v>0.7660523187</v>
      </c>
      <c r="CA27" s="11">
        <f>IFERROR('Import-dataset'!CA28/'Import-dataset'!CA27,0)</f>
        <v>1.065804086</v>
      </c>
    </row>
    <row r="28" ht="15.75" customHeight="1">
      <c r="A28" s="9" t="str">
        <f>'Import-dataset'!A29</f>
        <v>Y2013</v>
      </c>
      <c r="B28" s="11">
        <f>IFERROR('Import-dataset'!B29/'Import-dataset'!B28,0)</f>
        <v>1.108944954</v>
      </c>
      <c r="C28" s="11">
        <f>IFERROR('Import-dataset'!C29/'Import-dataset'!C28,0)</f>
        <v>0.97</v>
      </c>
      <c r="D28" s="11">
        <f>IFERROR('Import-dataset'!D29/'Import-dataset'!D28,0)</f>
        <v>1.012924071</v>
      </c>
      <c r="E28" s="11">
        <f>IFERROR('Import-dataset'!E29/'Import-dataset'!E28,0)</f>
        <v>1.173501577</v>
      </c>
      <c r="F28" s="11">
        <f>IFERROR('Import-dataset'!F29/'Import-dataset'!F28,0)</f>
        <v>1.132768362</v>
      </c>
      <c r="G28" s="11">
        <f>IFERROR('Import-dataset'!G29/'Import-dataset'!G28,0)</f>
        <v>1.201413428</v>
      </c>
      <c r="H28" s="11">
        <f>IFERROR('Import-dataset'!H29/'Import-dataset'!H28,0)</f>
        <v>1.075388027</v>
      </c>
      <c r="I28" s="11">
        <f>IFERROR('Import-dataset'!I29/'Import-dataset'!I28,0)</f>
        <v>1.064606742</v>
      </c>
      <c r="J28" s="11">
        <f>IFERROR('Import-dataset'!J29/'Import-dataset'!J28,0)</f>
        <v>1.058475204</v>
      </c>
      <c r="K28" s="11">
        <f>IFERROR('Import-dataset'!K29/'Import-dataset'!K28,0)</f>
        <v>1.160629921</v>
      </c>
      <c r="L28" s="11">
        <f>IFERROR('Import-dataset'!L29/'Import-dataset'!L28,0)</f>
        <v>1.126367615</v>
      </c>
      <c r="M28" s="11">
        <f>IFERROR('Import-dataset'!M29/'Import-dataset'!M28,0)</f>
        <v>1.215538847</v>
      </c>
      <c r="N28" s="11">
        <f>IFERROR('Import-dataset'!N29/'Import-dataset'!N28,0)</f>
        <v>1.139976275</v>
      </c>
      <c r="O28" s="11">
        <f>IFERROR('Import-dataset'!O29/'Import-dataset'!O28,0)</f>
        <v>1.627831715</v>
      </c>
      <c r="P28" s="11">
        <f>IFERROR('Import-dataset'!P29/'Import-dataset'!P28,0)</f>
        <v>0.9312673818</v>
      </c>
      <c r="Q28" s="11">
        <f>IFERROR('Import-dataset'!Q29/'Import-dataset'!Q28,0)</f>
        <v>1</v>
      </c>
      <c r="R28" s="11">
        <f>IFERROR('Import-dataset'!R29/'Import-dataset'!R28,0)</f>
        <v>1.172413793</v>
      </c>
      <c r="S28" s="11">
        <f>IFERROR('Import-dataset'!S29/'Import-dataset'!S28,0)</f>
        <v>0.7835820896</v>
      </c>
      <c r="T28" s="11">
        <f>IFERROR('Import-dataset'!T29/'Import-dataset'!T28,0)</f>
        <v>1.022047244</v>
      </c>
      <c r="U28" s="11">
        <f>IFERROR('Import-dataset'!U29/'Import-dataset'!U28,0)</f>
        <v>1.234482759</v>
      </c>
      <c r="V28" s="11">
        <f>IFERROR('Import-dataset'!V29/'Import-dataset'!V28,0)</f>
        <v>1.065934066</v>
      </c>
      <c r="W28" s="11">
        <f>IFERROR('Import-dataset'!W29/'Import-dataset'!W28,0)</f>
        <v>0.8881789137</v>
      </c>
      <c r="X28" s="11">
        <f>IFERROR('Import-dataset'!X29/'Import-dataset'!X28,0)</f>
        <v>0.7349726776</v>
      </c>
      <c r="Y28" s="11">
        <f>IFERROR('Import-dataset'!Y29/'Import-dataset'!Y28,0)</f>
        <v>1.051470588</v>
      </c>
      <c r="Z28" s="11">
        <f>IFERROR('Import-dataset'!Z29/'Import-dataset'!Z28,0)</f>
        <v>1.032015665</v>
      </c>
      <c r="AA28" s="11">
        <f>IFERROR('Import-dataset'!AA29/'Import-dataset'!AA28,0)</f>
        <v>2.055555556</v>
      </c>
      <c r="AB28" s="11">
        <f>IFERROR('Import-dataset'!AB29/'Import-dataset'!AB28,0)</f>
        <v>1.028704503</v>
      </c>
      <c r="AC28" s="11">
        <f>IFERROR('Import-dataset'!AC29/'Import-dataset'!AC28,0)</f>
        <v>1.073282443</v>
      </c>
      <c r="AD28" s="11">
        <f>IFERROR('Import-dataset'!AD29/'Import-dataset'!AD28,0)</f>
        <v>0.9743589744</v>
      </c>
      <c r="AE28" s="11">
        <f>IFERROR('Import-dataset'!AE29/'Import-dataset'!AE28,0)</f>
        <v>0.9180327869</v>
      </c>
      <c r="AF28" s="11">
        <f>IFERROR('Import-dataset'!AF29/'Import-dataset'!AF28,0)</f>
        <v>1.02919708</v>
      </c>
      <c r="AG28" s="11">
        <f>IFERROR('Import-dataset'!AG29/'Import-dataset'!AG28,0)</f>
        <v>0.7162162162</v>
      </c>
      <c r="AH28" s="11">
        <f>IFERROR('Import-dataset'!AH29/'Import-dataset'!AH28,0)</f>
        <v>0.9800718719</v>
      </c>
      <c r="AI28" s="11">
        <f>IFERROR('Import-dataset'!AI29/'Import-dataset'!AI28,0)</f>
        <v>0.7694926796</v>
      </c>
      <c r="AJ28" s="11">
        <f>IFERROR('Import-dataset'!AJ29/'Import-dataset'!AJ28,0)</f>
        <v>0.8076696165</v>
      </c>
      <c r="AK28" s="11">
        <f>IFERROR('Import-dataset'!AK29/'Import-dataset'!AK28,0)</f>
        <v>1.042139384</v>
      </c>
      <c r="AL28" s="11">
        <f>IFERROR('Import-dataset'!AL29/'Import-dataset'!AL28,0)</f>
        <v>0.981750072</v>
      </c>
      <c r="AM28" s="11">
        <f>IFERROR('Import-dataset'!AM29/'Import-dataset'!AM28,0)</f>
        <v>1.116197183</v>
      </c>
      <c r="AN28" s="11">
        <f>IFERROR('Import-dataset'!AN29/'Import-dataset'!AN28,0)</f>
        <v>0.925409339</v>
      </c>
      <c r="AO28" s="11">
        <f>IFERROR('Import-dataset'!AO29/'Import-dataset'!AO28,0)</f>
        <v>1.132498352</v>
      </c>
      <c r="AP28" s="11">
        <f>IFERROR('Import-dataset'!AP29/'Import-dataset'!AP28,0)</f>
        <v>1.097087379</v>
      </c>
      <c r="AQ28" s="11">
        <f>IFERROR('Import-dataset'!AQ29/'Import-dataset'!AQ28,0)</f>
        <v>1.103046595</v>
      </c>
      <c r="AR28" s="11">
        <f>IFERROR('Import-dataset'!AR29/'Import-dataset'!AR28,0)</f>
        <v>1.024715122</v>
      </c>
      <c r="AS28" s="11">
        <f>IFERROR('Import-dataset'!AS29/'Import-dataset'!AS28,0)</f>
        <v>1.021126761</v>
      </c>
      <c r="AT28" s="11">
        <f>IFERROR('Import-dataset'!AT29/'Import-dataset'!AT28,0)</f>
        <v>0.9060385868</v>
      </c>
      <c r="AU28" s="11">
        <f>IFERROR('Import-dataset'!AU29/'Import-dataset'!AU28,0)</f>
        <v>1.074626866</v>
      </c>
      <c r="AV28" s="11">
        <f>IFERROR('Import-dataset'!AV29/'Import-dataset'!AV28,0)</f>
        <v>1.011662904</v>
      </c>
      <c r="AW28" s="11">
        <f>IFERROR('Import-dataset'!AW29/'Import-dataset'!AW28,0)</f>
        <v>1.085965614</v>
      </c>
      <c r="AX28" s="11">
        <f>IFERROR('Import-dataset'!AX29/'Import-dataset'!AX28,0)</f>
        <v>1.101771735</v>
      </c>
      <c r="AY28" s="11">
        <f>IFERROR('Import-dataset'!AY29/'Import-dataset'!AY28,0)</f>
        <v>0.8318276581</v>
      </c>
      <c r="AZ28" s="11">
        <f>IFERROR('Import-dataset'!AZ29/'Import-dataset'!AZ28,0)</f>
        <v>1.035460993</v>
      </c>
      <c r="BA28" s="11">
        <f>IFERROR('Import-dataset'!BA29/'Import-dataset'!BA28,0)</f>
        <v>1.166262504</v>
      </c>
      <c r="BB28" s="11">
        <f>IFERROR('Import-dataset'!BB29/'Import-dataset'!BB28,0)</f>
        <v>0.9579775727</v>
      </c>
      <c r="BC28" s="11">
        <f>IFERROR('Import-dataset'!BC29/'Import-dataset'!BC28,0)</f>
        <v>0.9311926606</v>
      </c>
      <c r="BD28" s="11">
        <f>IFERROR('Import-dataset'!BD29/'Import-dataset'!BD28,0)</f>
        <v>0.6504085802</v>
      </c>
      <c r="BE28" s="11">
        <f>IFERROR('Import-dataset'!BE29/'Import-dataset'!BE28,0)</f>
        <v>0.7905982906</v>
      </c>
      <c r="BF28" s="11">
        <f>IFERROR('Import-dataset'!BF29/'Import-dataset'!BF28,0)</f>
        <v>1.188078277</v>
      </c>
      <c r="BG28" s="11">
        <f>IFERROR('Import-dataset'!BG29/'Import-dataset'!BG28,0)</f>
        <v>1.015628392</v>
      </c>
      <c r="BH28" s="11">
        <f>IFERROR('Import-dataset'!BH29/'Import-dataset'!BH28,0)</f>
        <v>1.007934432</v>
      </c>
      <c r="BI28" s="11">
        <f>IFERROR('Import-dataset'!BI29/'Import-dataset'!BI28,0)</f>
        <v>1.003538883</v>
      </c>
      <c r="BJ28" s="11">
        <f>IFERROR('Import-dataset'!BJ29/'Import-dataset'!BJ28,0)</f>
        <v>0.9742874031</v>
      </c>
      <c r="BK28" s="11">
        <f>IFERROR('Import-dataset'!BK29/'Import-dataset'!BK28,0)</f>
        <v>0.6609742441</v>
      </c>
      <c r="BL28" s="11">
        <f>IFERROR('Import-dataset'!BL29/'Import-dataset'!BL28,0)</f>
        <v>1.072773502</v>
      </c>
      <c r="BM28" s="11">
        <f>IFERROR('Import-dataset'!BM29/'Import-dataset'!BM28,0)</f>
        <v>1.044742729</v>
      </c>
      <c r="BN28" s="11">
        <f>IFERROR('Import-dataset'!BN29/'Import-dataset'!BN28,0)</f>
        <v>1.094008264</v>
      </c>
      <c r="BO28" s="11">
        <f>IFERROR('Import-dataset'!BO29/'Import-dataset'!BO28,0)</f>
        <v>1.146868251</v>
      </c>
      <c r="BP28" s="11">
        <f>IFERROR('Import-dataset'!BP29/'Import-dataset'!BP28,0)</f>
        <v>1.104530799</v>
      </c>
      <c r="BQ28" s="11">
        <f>IFERROR('Import-dataset'!BQ29/'Import-dataset'!BQ28,0)</f>
        <v>1.088513514</v>
      </c>
      <c r="BR28" s="11">
        <f>IFERROR('Import-dataset'!BR29/'Import-dataset'!BR28,0)</f>
        <v>0.9988573605</v>
      </c>
      <c r="BS28" s="11">
        <f>IFERROR('Import-dataset'!BS29/'Import-dataset'!BS28,0)</f>
        <v>1.077140835</v>
      </c>
      <c r="BT28" s="11">
        <f>IFERROR('Import-dataset'!BT29/'Import-dataset'!BT28,0)</f>
        <v>1.080739693</v>
      </c>
      <c r="BU28" s="11">
        <f>IFERROR('Import-dataset'!BU29/'Import-dataset'!BU28,0)</f>
        <v>0.8488455988</v>
      </c>
      <c r="BV28" s="11">
        <f>IFERROR('Import-dataset'!BV29/'Import-dataset'!BV28,0)</f>
        <v>0.4</v>
      </c>
      <c r="BW28" s="11">
        <f>IFERROR('Import-dataset'!BW29/'Import-dataset'!BW28,0)</f>
        <v>1.068181818</v>
      </c>
      <c r="BX28" s="11">
        <f>IFERROR('Import-dataset'!BX29/'Import-dataset'!BX28,0)</f>
        <v>2</v>
      </c>
      <c r="BY28" s="11">
        <f>IFERROR('Import-dataset'!BY29/'Import-dataset'!BY28,0)</f>
        <v>0.8210922787</v>
      </c>
      <c r="BZ28" s="11">
        <f>IFERROR('Import-dataset'!BZ29/'Import-dataset'!BZ28,0)</f>
        <v>0.8814513</v>
      </c>
      <c r="CA28" s="11">
        <f>IFERROR('Import-dataset'!CA29/'Import-dataset'!CA28,0)</f>
        <v>0.9965722272</v>
      </c>
    </row>
    <row r="29" ht="15.75" customHeight="1">
      <c r="A29" s="9" t="str">
        <f>'Import-dataset'!A30</f>
        <v>Y2014</v>
      </c>
      <c r="B29" s="11">
        <f>IFERROR('Import-dataset'!B30/'Import-dataset'!B29,0)</f>
        <v>1.140923193</v>
      </c>
      <c r="C29" s="11">
        <f>IFERROR('Import-dataset'!C30/'Import-dataset'!C29,0)</f>
        <v>1.113402062</v>
      </c>
      <c r="D29" s="11">
        <f>IFERROR('Import-dataset'!D30/'Import-dataset'!D29,0)</f>
        <v>1.159489633</v>
      </c>
      <c r="E29" s="11">
        <f>IFERROR('Import-dataset'!E30/'Import-dataset'!E29,0)</f>
        <v>1.204301075</v>
      </c>
      <c r="F29" s="11">
        <f>IFERROR('Import-dataset'!F30/'Import-dataset'!F29,0)</f>
        <v>1.125311721</v>
      </c>
      <c r="G29" s="11">
        <f>IFERROR('Import-dataset'!G30/'Import-dataset'!G29,0)</f>
        <v>1.108823529</v>
      </c>
      <c r="H29" s="11">
        <f>IFERROR('Import-dataset'!H30/'Import-dataset'!H29,0)</f>
        <v>1.164948454</v>
      </c>
      <c r="I29" s="11">
        <f>IFERROR('Import-dataset'!I30/'Import-dataset'!I29,0)</f>
        <v>1.18469657</v>
      </c>
      <c r="J29" s="11">
        <f>IFERROR('Import-dataset'!J30/'Import-dataset'!J29,0)</f>
        <v>1.181818182</v>
      </c>
      <c r="K29" s="11">
        <f>IFERROR('Import-dataset'!K30/'Import-dataset'!K29,0)</f>
        <v>1.092265943</v>
      </c>
      <c r="L29" s="11">
        <f>IFERROR('Import-dataset'!L30/'Import-dataset'!L29,0)</f>
        <v>1.100048567</v>
      </c>
      <c r="M29" s="11">
        <f>IFERROR('Import-dataset'!M30/'Import-dataset'!M29,0)</f>
        <v>1.127835052</v>
      </c>
      <c r="N29" s="11">
        <f>IFERROR('Import-dataset'!N30/'Import-dataset'!N29,0)</f>
        <v>1.054630593</v>
      </c>
      <c r="O29" s="11">
        <f>IFERROR('Import-dataset'!O30/'Import-dataset'!O29,0)</f>
        <v>1.407554672</v>
      </c>
      <c r="P29" s="11">
        <f>IFERROR('Import-dataset'!P30/'Import-dataset'!P29,0)</f>
        <v>1.243600683</v>
      </c>
      <c r="Q29" s="11">
        <f>IFERROR('Import-dataset'!Q30/'Import-dataset'!Q29,0)</f>
        <v>2</v>
      </c>
      <c r="R29" s="11">
        <f>IFERROR('Import-dataset'!R30/'Import-dataset'!R29,0)</f>
        <v>1.382352941</v>
      </c>
      <c r="S29" s="11">
        <f>IFERROR('Import-dataset'!S30/'Import-dataset'!S29,0)</f>
        <v>1.066666667</v>
      </c>
      <c r="T29" s="11">
        <f>IFERROR('Import-dataset'!T30/'Import-dataset'!T29,0)</f>
        <v>1.232665639</v>
      </c>
      <c r="U29" s="11">
        <f>IFERROR('Import-dataset'!U30/'Import-dataset'!U29,0)</f>
        <v>1.201117318</v>
      </c>
      <c r="V29" s="11">
        <f>IFERROR('Import-dataset'!V30/'Import-dataset'!V29,0)</f>
        <v>1.051546392</v>
      </c>
      <c r="W29" s="11">
        <f>IFERROR('Import-dataset'!W30/'Import-dataset'!W29,0)</f>
        <v>1.205035971</v>
      </c>
      <c r="X29" s="11">
        <f>IFERROR('Import-dataset'!X30/'Import-dataset'!X29,0)</f>
        <v>1.408921933</v>
      </c>
      <c r="Y29" s="11">
        <f>IFERROR('Import-dataset'!Y30/'Import-dataset'!Y29,0)</f>
        <v>1.158508159</v>
      </c>
      <c r="Z29" s="11">
        <f>IFERROR('Import-dataset'!Z30/'Import-dataset'!Z29,0)</f>
        <v>0.9440741883</v>
      </c>
      <c r="AA29" s="11">
        <f>IFERROR('Import-dataset'!AA30/'Import-dataset'!AA29,0)</f>
        <v>1.513513514</v>
      </c>
      <c r="AB29" s="11">
        <f>IFERROR('Import-dataset'!AB30/'Import-dataset'!AB29,0)</f>
        <v>1.002772549</v>
      </c>
      <c r="AC29" s="11">
        <f>IFERROR('Import-dataset'!AC30/'Import-dataset'!AC29,0)</f>
        <v>0.1159317212</v>
      </c>
      <c r="AD29" s="11">
        <f>IFERROR('Import-dataset'!AD30/'Import-dataset'!AD29,0)</f>
        <v>1.144736842</v>
      </c>
      <c r="AE29" s="11">
        <f>IFERROR('Import-dataset'!AE30/'Import-dataset'!AE29,0)</f>
        <v>1.053571429</v>
      </c>
      <c r="AF29" s="11">
        <f>IFERROR('Import-dataset'!AF30/'Import-dataset'!AF29,0)</f>
        <v>1.189125296</v>
      </c>
      <c r="AG29" s="11">
        <f>IFERROR('Import-dataset'!AG30/'Import-dataset'!AG29,0)</f>
        <v>0.8867924528</v>
      </c>
      <c r="AH29" s="11">
        <f>IFERROR('Import-dataset'!AH30/'Import-dataset'!AH29,0)</f>
        <v>1.048333333</v>
      </c>
      <c r="AI29" s="11">
        <f>IFERROR('Import-dataset'!AI30/'Import-dataset'!AI29,0)</f>
        <v>1.049557522</v>
      </c>
      <c r="AJ29" s="11">
        <f>IFERROR('Import-dataset'!AJ30/'Import-dataset'!AJ29,0)</f>
        <v>1.07742878</v>
      </c>
      <c r="AK29" s="11">
        <f>IFERROR('Import-dataset'!AK30/'Import-dataset'!AK29,0)</f>
        <v>1.087091757</v>
      </c>
      <c r="AL29" s="11">
        <f>IFERROR('Import-dataset'!AL30/'Import-dataset'!AL29,0)</f>
        <v>0.9708443401</v>
      </c>
      <c r="AM29" s="11">
        <f>IFERROR('Import-dataset'!AM30/'Import-dataset'!AM29,0)</f>
        <v>1.096890491</v>
      </c>
      <c r="AN29" s="11">
        <f>IFERROR('Import-dataset'!AN30/'Import-dataset'!AN29,0)</f>
        <v>1.155307995</v>
      </c>
      <c r="AO29" s="11">
        <f>IFERROR('Import-dataset'!AO30/'Import-dataset'!AO29,0)</f>
        <v>1.110593714</v>
      </c>
      <c r="AP29" s="11">
        <f>IFERROR('Import-dataset'!AP30/'Import-dataset'!AP29,0)</f>
        <v>1.092920354</v>
      </c>
      <c r="AQ29" s="11">
        <f>IFERROR('Import-dataset'!AQ30/'Import-dataset'!AQ29,0)</f>
        <v>1.160438668</v>
      </c>
      <c r="AR29" s="11">
        <f>IFERROR('Import-dataset'!AR30/'Import-dataset'!AR29,0)</f>
        <v>1.082350289</v>
      </c>
      <c r="AS29" s="11">
        <f>IFERROR('Import-dataset'!AS30/'Import-dataset'!AS29,0)</f>
        <v>1.213793103</v>
      </c>
      <c r="AT29" s="11">
        <f>IFERROR('Import-dataset'!AT30/'Import-dataset'!AT29,0)</f>
        <v>0.9471792035</v>
      </c>
      <c r="AU29" s="11">
        <f>IFERROR('Import-dataset'!AU30/'Import-dataset'!AU29,0)</f>
        <v>1.215277778</v>
      </c>
      <c r="AV29" s="11">
        <f>IFERROR('Import-dataset'!AV30/'Import-dataset'!AV29,0)</f>
        <v>1.075492748</v>
      </c>
      <c r="AW29" s="11">
        <f>IFERROR('Import-dataset'!AW30/'Import-dataset'!AW29,0)</f>
        <v>1.110456554</v>
      </c>
      <c r="AX29" s="11">
        <f>IFERROR('Import-dataset'!AX30/'Import-dataset'!AX29,0)</f>
        <v>1.19670905</v>
      </c>
      <c r="AY29" s="11">
        <f>IFERROR('Import-dataset'!AY30/'Import-dataset'!AY29,0)</f>
        <v>1.23614592</v>
      </c>
      <c r="AZ29" s="11">
        <f>IFERROR('Import-dataset'!AZ30/'Import-dataset'!AZ29,0)</f>
        <v>1.153729072</v>
      </c>
      <c r="BA29" s="11">
        <f>IFERROR('Import-dataset'!BA30/'Import-dataset'!BA29,0)</f>
        <v>0.9850552307</v>
      </c>
      <c r="BB29" s="11">
        <f>IFERROR('Import-dataset'!BB30/'Import-dataset'!BB29,0)</f>
        <v>1.035956625</v>
      </c>
      <c r="BC29" s="11">
        <f>IFERROR('Import-dataset'!BC30/'Import-dataset'!BC29,0)</f>
        <v>1.047119297</v>
      </c>
      <c r="BD29" s="11">
        <f>IFERROR('Import-dataset'!BD30/'Import-dataset'!BD29,0)</f>
        <v>0.927496401</v>
      </c>
      <c r="BE29" s="11">
        <f>IFERROR('Import-dataset'!BE30/'Import-dataset'!BE29,0)</f>
        <v>0.9837837838</v>
      </c>
      <c r="BF29" s="11">
        <f>IFERROR('Import-dataset'!BF30/'Import-dataset'!BF29,0)</f>
        <v>1.147002068</v>
      </c>
      <c r="BG29" s="11">
        <f>IFERROR('Import-dataset'!BG30/'Import-dataset'!BG29,0)</f>
        <v>1.055460568</v>
      </c>
      <c r="BH29" s="11">
        <f>IFERROR('Import-dataset'!BH30/'Import-dataset'!BH29,0)</f>
        <v>1.069723183</v>
      </c>
      <c r="BI29" s="11">
        <f>IFERROR('Import-dataset'!BI30/'Import-dataset'!BI29,0)</f>
        <v>1.059508067</v>
      </c>
      <c r="BJ29" s="11">
        <f>IFERROR('Import-dataset'!BJ30/'Import-dataset'!BJ29,0)</f>
        <v>0.9617108767</v>
      </c>
      <c r="BK29" s="11">
        <f>IFERROR('Import-dataset'!BK30/'Import-dataset'!BK29,0)</f>
        <v>1.271918679</v>
      </c>
      <c r="BL29" s="11">
        <f>IFERROR('Import-dataset'!BL30/'Import-dataset'!BL29,0)</f>
        <v>1.114662738</v>
      </c>
      <c r="BM29" s="11">
        <f>IFERROR('Import-dataset'!BM30/'Import-dataset'!BM29,0)</f>
        <v>1.017130621</v>
      </c>
      <c r="BN29" s="11">
        <f>IFERROR('Import-dataset'!BN30/'Import-dataset'!BN29,0)</f>
        <v>1.141013535</v>
      </c>
      <c r="BO29" s="11">
        <f>IFERROR('Import-dataset'!BO30/'Import-dataset'!BO29,0)</f>
        <v>1.108286252</v>
      </c>
      <c r="BP29" s="11">
        <f>IFERROR('Import-dataset'!BP30/'Import-dataset'!BP29,0)</f>
        <v>1.113996006</v>
      </c>
      <c r="BQ29" s="11">
        <f>IFERROR('Import-dataset'!BQ30/'Import-dataset'!BQ29,0)</f>
        <v>1.105524519</v>
      </c>
      <c r="BR29" s="11">
        <f>IFERROR('Import-dataset'!BR30/'Import-dataset'!BR29,0)</f>
        <v>1.137845567</v>
      </c>
      <c r="BS29" s="11">
        <f>IFERROR('Import-dataset'!BS30/'Import-dataset'!BS29,0)</f>
        <v>1.127463863</v>
      </c>
      <c r="BT29" s="11">
        <f>IFERROR('Import-dataset'!BT30/'Import-dataset'!BT29,0)</f>
        <v>1.108835905</v>
      </c>
      <c r="BU29" s="11">
        <f>IFERROR('Import-dataset'!BU30/'Import-dataset'!BU29,0)</f>
        <v>1.151827454</v>
      </c>
      <c r="BV29" s="11">
        <f>IFERROR('Import-dataset'!BV30/'Import-dataset'!BV29,0)</f>
        <v>0.4444444444</v>
      </c>
      <c r="BW29" s="11">
        <f>IFERROR('Import-dataset'!BW30/'Import-dataset'!BW29,0)</f>
        <v>0.9361702128</v>
      </c>
      <c r="BX29" s="11">
        <f>IFERROR('Import-dataset'!BX30/'Import-dataset'!BX29,0)</f>
        <v>0.125</v>
      </c>
      <c r="BY29" s="11">
        <f>IFERROR('Import-dataset'!BY30/'Import-dataset'!BY29,0)</f>
        <v>0.8348623853</v>
      </c>
      <c r="BZ29" s="11">
        <f>IFERROR('Import-dataset'!BZ30/'Import-dataset'!BZ29,0)</f>
        <v>1.493286375</v>
      </c>
      <c r="CA29" s="11">
        <f>IFERROR('Import-dataset'!CA30/'Import-dataset'!CA29,0)</f>
        <v>1.048776238</v>
      </c>
    </row>
    <row r="30" ht="15.75" customHeight="1">
      <c r="A30" s="9" t="str">
        <f>'Import-dataset'!A31</f>
        <v>Y2015</v>
      </c>
      <c r="B30" s="11">
        <f>IFERROR('Import-dataset'!B31/'Import-dataset'!B30,0)</f>
        <v>1.113958471</v>
      </c>
      <c r="C30" s="11">
        <f>IFERROR('Import-dataset'!C31/'Import-dataset'!C30,0)</f>
        <v>0.9166666667</v>
      </c>
      <c r="D30" s="11">
        <f>IFERROR('Import-dataset'!D31/'Import-dataset'!D30,0)</f>
        <v>1.114167813</v>
      </c>
      <c r="E30" s="11">
        <f>IFERROR('Import-dataset'!E31/'Import-dataset'!E30,0)</f>
        <v>1.065848214</v>
      </c>
      <c r="F30" s="11">
        <f>IFERROR('Import-dataset'!F31/'Import-dataset'!F30,0)</f>
        <v>0.9817174515</v>
      </c>
      <c r="G30" s="11">
        <f>IFERROR('Import-dataset'!G31/'Import-dataset'!G30,0)</f>
        <v>1.123784262</v>
      </c>
      <c r="H30" s="11">
        <f>IFERROR('Import-dataset'!H31/'Import-dataset'!H30,0)</f>
        <v>1.121681416</v>
      </c>
      <c r="I30" s="11">
        <f>IFERROR('Import-dataset'!I31/'Import-dataset'!I30,0)</f>
        <v>1.142538976</v>
      </c>
      <c r="J30" s="11">
        <f>IFERROR('Import-dataset'!J31/'Import-dataset'!J30,0)</f>
        <v>1.213609467</v>
      </c>
      <c r="K30" s="11">
        <f>IFERROR('Import-dataset'!K31/'Import-dataset'!K30,0)</f>
        <v>1.064596273</v>
      </c>
      <c r="L30" s="11">
        <f>IFERROR('Import-dataset'!L31/'Import-dataset'!L30,0)</f>
        <v>1.172626932</v>
      </c>
      <c r="M30" s="11">
        <f>IFERROR('Import-dataset'!M31/'Import-dataset'!M30,0)</f>
        <v>1.172943327</v>
      </c>
      <c r="N30" s="11">
        <f>IFERROR('Import-dataset'!N31/'Import-dataset'!N30,0)</f>
        <v>1.107054761</v>
      </c>
      <c r="O30" s="11">
        <f>IFERROR('Import-dataset'!O31/'Import-dataset'!O30,0)</f>
        <v>1.361581921</v>
      </c>
      <c r="P30" s="11">
        <f>IFERROR('Import-dataset'!P31/'Import-dataset'!P30,0)</f>
        <v>1.102915952</v>
      </c>
      <c r="Q30" s="11">
        <f>IFERROR('Import-dataset'!Q31/'Import-dataset'!Q30,0)</f>
        <v>2.5</v>
      </c>
      <c r="R30" s="11">
        <f>IFERROR('Import-dataset'!R31/'Import-dataset'!R30,0)</f>
        <v>1.117021277</v>
      </c>
      <c r="S30" s="11">
        <f>IFERROR('Import-dataset'!S31/'Import-dataset'!S30,0)</f>
        <v>0.9464285714</v>
      </c>
      <c r="T30" s="11">
        <f>IFERROR('Import-dataset'!T31/'Import-dataset'!T30,0)</f>
        <v>1.10125</v>
      </c>
      <c r="U30" s="11">
        <f>IFERROR('Import-dataset'!U31/'Import-dataset'!U30,0)</f>
        <v>1.079069767</v>
      </c>
      <c r="V30" s="11">
        <f>IFERROR('Import-dataset'!V31/'Import-dataset'!V30,0)</f>
        <v>1.039215686</v>
      </c>
      <c r="W30" s="11">
        <f>IFERROR('Import-dataset'!W31/'Import-dataset'!W30,0)</f>
        <v>1.07761194</v>
      </c>
      <c r="X30" s="11">
        <f>IFERROR('Import-dataset'!X31/'Import-dataset'!X30,0)</f>
        <v>1.104221636</v>
      </c>
      <c r="Y30" s="11">
        <f>IFERROR('Import-dataset'!Y31/'Import-dataset'!Y30,0)</f>
        <v>1.171026157</v>
      </c>
      <c r="Z30" s="11">
        <f>IFERROR('Import-dataset'!Z31/'Import-dataset'!Z30,0)</f>
        <v>0.7247833187</v>
      </c>
      <c r="AA30" s="11">
        <f>IFERROR('Import-dataset'!AA31/'Import-dataset'!AA30,0)</f>
        <v>1.214285714</v>
      </c>
      <c r="AB30" s="11">
        <f>IFERROR('Import-dataset'!AB31/'Import-dataset'!AB30,0)</f>
        <v>0.7232579966</v>
      </c>
      <c r="AC30" s="11">
        <f>IFERROR('Import-dataset'!AC31/'Import-dataset'!AC30,0)</f>
        <v>0.8251533742</v>
      </c>
      <c r="AD30" s="11">
        <f>IFERROR('Import-dataset'!AD31/'Import-dataset'!AD30,0)</f>
        <v>1.075533662</v>
      </c>
      <c r="AE30" s="11">
        <f>IFERROR('Import-dataset'!AE31/'Import-dataset'!AE30,0)</f>
        <v>1.372881356</v>
      </c>
      <c r="AF30" s="11">
        <f>IFERROR('Import-dataset'!AF31/'Import-dataset'!AF30,0)</f>
        <v>1.049701789</v>
      </c>
      <c r="AG30" s="11">
        <f>IFERROR('Import-dataset'!AG31/'Import-dataset'!AG30,0)</f>
        <v>0.9787234043</v>
      </c>
      <c r="AH30" s="11">
        <f>IFERROR('Import-dataset'!AH31/'Import-dataset'!AH30,0)</f>
        <v>1.080604134</v>
      </c>
      <c r="AI30" s="11">
        <f>IFERROR('Import-dataset'!AI31/'Import-dataset'!AI30,0)</f>
        <v>1.126475548</v>
      </c>
      <c r="AJ30" s="11">
        <f>IFERROR('Import-dataset'!AJ31/'Import-dataset'!AJ30,0)</f>
        <v>1.126779661</v>
      </c>
      <c r="AK30" s="11">
        <f>IFERROR('Import-dataset'!AK31/'Import-dataset'!AK30,0)</f>
        <v>1.280400572</v>
      </c>
      <c r="AL30" s="11">
        <f>IFERROR('Import-dataset'!AL31/'Import-dataset'!AL30,0)</f>
        <v>1.041519702</v>
      </c>
      <c r="AM30" s="11">
        <f>IFERROR('Import-dataset'!AM31/'Import-dataset'!AM30,0)</f>
        <v>1.198027938</v>
      </c>
      <c r="AN30" s="11">
        <f>IFERROR('Import-dataset'!AN31/'Import-dataset'!AN30,0)</f>
        <v>1.057855927</v>
      </c>
      <c r="AO30" s="11">
        <f>IFERROR('Import-dataset'!AO31/'Import-dataset'!AO30,0)</f>
        <v>1.029350105</v>
      </c>
      <c r="AP30" s="11">
        <f>IFERROR('Import-dataset'!AP31/'Import-dataset'!AP30,0)</f>
        <v>1.143435512</v>
      </c>
      <c r="AQ30" s="11">
        <f>IFERROR('Import-dataset'!AQ31/'Import-dataset'!AQ30,0)</f>
        <v>1.015750788</v>
      </c>
      <c r="AR30" s="11">
        <f>IFERROR('Import-dataset'!AR31/'Import-dataset'!AR30,0)</f>
        <v>1.128982992</v>
      </c>
      <c r="AS30" s="11">
        <f>IFERROR('Import-dataset'!AS31/'Import-dataset'!AS30,0)</f>
        <v>1.215909091</v>
      </c>
      <c r="AT30" s="11">
        <f>IFERROR('Import-dataset'!AT31/'Import-dataset'!AT30,0)</f>
        <v>1.016934307</v>
      </c>
      <c r="AU30" s="11">
        <f>IFERROR('Import-dataset'!AU31/'Import-dataset'!AU30,0)</f>
        <v>1.19047619</v>
      </c>
      <c r="AV30" s="11">
        <f>IFERROR('Import-dataset'!AV31/'Import-dataset'!AV30,0)</f>
        <v>1.076763485</v>
      </c>
      <c r="AW30" s="11">
        <f>IFERROR('Import-dataset'!AW31/'Import-dataset'!AW30,0)</f>
        <v>1.194297082</v>
      </c>
      <c r="AX30" s="11">
        <f>IFERROR('Import-dataset'!AX31/'Import-dataset'!AX30,0)</f>
        <v>1.146875</v>
      </c>
      <c r="AY30" s="11">
        <f>IFERROR('Import-dataset'!AY31/'Import-dataset'!AY30,0)</f>
        <v>1.13561613</v>
      </c>
      <c r="AZ30" s="11">
        <f>IFERROR('Import-dataset'!AZ31/'Import-dataset'!AZ30,0)</f>
        <v>0.9976912929</v>
      </c>
      <c r="BA30" s="11">
        <f>IFERROR('Import-dataset'!BA31/'Import-dataset'!BA30,0)</f>
        <v>1.20408971</v>
      </c>
      <c r="BB30" s="11">
        <f>IFERROR('Import-dataset'!BB31/'Import-dataset'!BB30,0)</f>
        <v>1.117404857</v>
      </c>
      <c r="BC30" s="11">
        <f>IFERROR('Import-dataset'!BC31/'Import-dataset'!BC30,0)</f>
        <v>0.9239108202</v>
      </c>
      <c r="BD30" s="11">
        <f>IFERROR('Import-dataset'!BD31/'Import-dataset'!BD30,0)</f>
        <v>1.3251023</v>
      </c>
      <c r="BE30" s="11">
        <f>IFERROR('Import-dataset'!BE31/'Import-dataset'!BE30,0)</f>
        <v>1.031135531</v>
      </c>
      <c r="BF30" s="11">
        <f>IFERROR('Import-dataset'!BF31/'Import-dataset'!BF30,0)</f>
        <v>1.022952593</v>
      </c>
      <c r="BG30" s="11">
        <f>IFERROR('Import-dataset'!BG31/'Import-dataset'!BG30,0)</f>
        <v>1.14184469</v>
      </c>
      <c r="BH30" s="11">
        <f>IFERROR('Import-dataset'!BH31/'Import-dataset'!BH30,0)</f>
        <v>1.173459486</v>
      </c>
      <c r="BI30" s="11">
        <f>IFERROR('Import-dataset'!BI31/'Import-dataset'!BI30,0)</f>
        <v>1.12148444</v>
      </c>
      <c r="BJ30" s="11">
        <f>IFERROR('Import-dataset'!BJ31/'Import-dataset'!BJ30,0)</f>
        <v>1.14463954</v>
      </c>
      <c r="BK30" s="11">
        <f>IFERROR('Import-dataset'!BK31/'Import-dataset'!BK30,0)</f>
        <v>0.8951048951</v>
      </c>
      <c r="BL30" s="11">
        <f>IFERROR('Import-dataset'!BL31/'Import-dataset'!BL30,0)</f>
        <v>1.160191943</v>
      </c>
      <c r="BM30" s="11">
        <f>IFERROR('Import-dataset'!BM31/'Import-dataset'!BM30,0)</f>
        <v>1.18245614</v>
      </c>
      <c r="BN30" s="11">
        <f>IFERROR('Import-dataset'!BN31/'Import-dataset'!BN30,0)</f>
        <v>1.196413793</v>
      </c>
      <c r="BO30" s="11">
        <f>IFERROR('Import-dataset'!BO31/'Import-dataset'!BO30,0)</f>
        <v>1.193712829</v>
      </c>
      <c r="BP30" s="11">
        <f>IFERROR('Import-dataset'!BP31/'Import-dataset'!BP30,0)</f>
        <v>1.214729003</v>
      </c>
      <c r="BQ30" s="11">
        <f>IFERROR('Import-dataset'!BQ31/'Import-dataset'!BQ30,0)</f>
        <v>1.245929253</v>
      </c>
      <c r="BR30" s="11">
        <f>IFERROR('Import-dataset'!BR31/'Import-dataset'!BR30,0)</f>
        <v>1.104892761</v>
      </c>
      <c r="BS30" s="11">
        <f>IFERROR('Import-dataset'!BS31/'Import-dataset'!BS30,0)</f>
        <v>1.212703963</v>
      </c>
      <c r="BT30" s="11">
        <f>IFERROR('Import-dataset'!BT31/'Import-dataset'!BT30,0)</f>
        <v>1.117126233</v>
      </c>
      <c r="BU30" s="11">
        <f>IFERROR('Import-dataset'!BU31/'Import-dataset'!BU30,0)</f>
        <v>1.053592842</v>
      </c>
      <c r="BV30" s="11">
        <f>IFERROR('Import-dataset'!BV31/'Import-dataset'!BV30,0)</f>
        <v>0.625</v>
      </c>
      <c r="BW30" s="11">
        <f>IFERROR('Import-dataset'!BW31/'Import-dataset'!BW30,0)</f>
        <v>1.068181818</v>
      </c>
      <c r="BX30" s="11">
        <f>IFERROR('Import-dataset'!BX31/'Import-dataset'!BX30,0)</f>
        <v>5</v>
      </c>
      <c r="BY30" s="11">
        <f>IFERROR('Import-dataset'!BY31/'Import-dataset'!BY30,0)</f>
        <v>1.112887113</v>
      </c>
      <c r="BZ30" s="11">
        <f>IFERROR('Import-dataset'!BZ31/'Import-dataset'!BZ30,0)</f>
        <v>1.018425708</v>
      </c>
      <c r="CA30" s="11">
        <f>IFERROR('Import-dataset'!CA31/'Import-dataset'!CA30,0)</f>
        <v>1.056556226</v>
      </c>
    </row>
    <row r="31" ht="15.75" customHeight="1">
      <c r="A31" s="9" t="str">
        <f>'Import-dataset'!A32</f>
        <v>Y2016</v>
      </c>
      <c r="B31" s="11">
        <f>IFERROR('Import-dataset'!B32/'Import-dataset'!B31,0)</f>
        <v>1.034026185</v>
      </c>
      <c r="C31" s="11">
        <f>IFERROR('Import-dataset'!C32/'Import-dataset'!C31,0)</f>
        <v>1.222222222</v>
      </c>
      <c r="D31" s="11">
        <f>IFERROR('Import-dataset'!D32/'Import-dataset'!D31,0)</f>
        <v>0.962962963</v>
      </c>
      <c r="E31" s="11">
        <f>IFERROR('Import-dataset'!E32/'Import-dataset'!E31,0)</f>
        <v>1.12565445</v>
      </c>
      <c r="F31" s="11">
        <f>IFERROR('Import-dataset'!F32/'Import-dataset'!F31,0)</f>
        <v>1.045146727</v>
      </c>
      <c r="G31" s="11">
        <f>IFERROR('Import-dataset'!G32/'Import-dataset'!G31,0)</f>
        <v>0.9952793076</v>
      </c>
      <c r="H31" s="11">
        <f>IFERROR('Import-dataset'!H32/'Import-dataset'!H31,0)</f>
        <v>1.026035503</v>
      </c>
      <c r="I31" s="11">
        <f>IFERROR('Import-dataset'!I32/'Import-dataset'!I31,0)</f>
        <v>0.9415204678</v>
      </c>
      <c r="J31" s="11">
        <f>IFERROR('Import-dataset'!J32/'Import-dataset'!J31,0)</f>
        <v>0.9629449049</v>
      </c>
      <c r="K31" s="11">
        <f>IFERROR('Import-dataset'!K32/'Import-dataset'!K31,0)</f>
        <v>1.072345391</v>
      </c>
      <c r="L31" s="11">
        <f>IFERROR('Import-dataset'!L32/'Import-dataset'!L31,0)</f>
        <v>1.094879518</v>
      </c>
      <c r="M31" s="11">
        <f>IFERROR('Import-dataset'!M32/'Import-dataset'!M31,0)</f>
        <v>1.018703242</v>
      </c>
      <c r="N31" s="11">
        <f>IFERROR('Import-dataset'!N32/'Import-dataset'!N31,0)</f>
        <v>0.9986631016</v>
      </c>
      <c r="O31" s="11">
        <f>IFERROR('Import-dataset'!O32/'Import-dataset'!O31,0)</f>
        <v>1.065352697</v>
      </c>
      <c r="P31" s="11">
        <f>IFERROR('Import-dataset'!P32/'Import-dataset'!P31,0)</f>
        <v>0.9956454121</v>
      </c>
      <c r="Q31" s="11">
        <f>IFERROR('Import-dataset'!Q32/'Import-dataset'!Q31,0)</f>
        <v>1</v>
      </c>
      <c r="R31" s="11">
        <f>IFERROR('Import-dataset'!R32/'Import-dataset'!R31,0)</f>
        <v>0.8380952381</v>
      </c>
      <c r="S31" s="11">
        <f>IFERROR('Import-dataset'!S32/'Import-dataset'!S31,0)</f>
        <v>0.9622641509</v>
      </c>
      <c r="T31" s="11">
        <f>IFERROR('Import-dataset'!T32/'Import-dataset'!T31,0)</f>
        <v>0.9262202043</v>
      </c>
      <c r="U31" s="11">
        <f>IFERROR('Import-dataset'!U32/'Import-dataset'!U31,0)</f>
        <v>0.9137931034</v>
      </c>
      <c r="V31" s="11">
        <f>IFERROR('Import-dataset'!V32/'Import-dataset'!V31,0)</f>
        <v>0.9339622642</v>
      </c>
      <c r="W31" s="11">
        <f>IFERROR('Import-dataset'!W32/'Import-dataset'!W31,0)</f>
        <v>0.8614958449</v>
      </c>
      <c r="X31" s="11">
        <f>IFERROR('Import-dataset'!X32/'Import-dataset'!X31,0)</f>
        <v>1.215053763</v>
      </c>
      <c r="Y31" s="11">
        <f>IFERROR('Import-dataset'!Y32/'Import-dataset'!Y31,0)</f>
        <v>0.9467353952</v>
      </c>
      <c r="Z31" s="11">
        <f>IFERROR('Import-dataset'!Z32/'Import-dataset'!Z31,0)</f>
        <v>0.8181629116</v>
      </c>
      <c r="AA31" s="11">
        <f>IFERROR('Import-dataset'!AA32/'Import-dataset'!AA31,0)</f>
        <v>0.75</v>
      </c>
      <c r="AB31" s="11">
        <f>IFERROR('Import-dataset'!AB32/'Import-dataset'!AB31,0)</f>
        <v>0.8176971908</v>
      </c>
      <c r="AC31" s="11">
        <f>IFERROR('Import-dataset'!AC32/'Import-dataset'!AC31,0)</f>
        <v>0.8847583643</v>
      </c>
      <c r="AD31" s="11">
        <f>IFERROR('Import-dataset'!AD32/'Import-dataset'!AD31,0)</f>
        <v>1.070229008</v>
      </c>
      <c r="AE31" s="11">
        <f>IFERROR('Import-dataset'!AE32/'Import-dataset'!AE31,0)</f>
        <v>0.7530864198</v>
      </c>
      <c r="AF31" s="11">
        <f>IFERROR('Import-dataset'!AF32/'Import-dataset'!AF31,0)</f>
        <v>1.128787879</v>
      </c>
      <c r="AG31" s="11">
        <f>IFERROR('Import-dataset'!AG32/'Import-dataset'!AG31,0)</f>
        <v>0.9565217391</v>
      </c>
      <c r="AH31" s="11">
        <f>IFERROR('Import-dataset'!AH32/'Import-dataset'!AH31,0)</f>
        <v>1.01894218</v>
      </c>
      <c r="AI31" s="11">
        <f>IFERROR('Import-dataset'!AI32/'Import-dataset'!AI31,0)</f>
        <v>0.9019461078</v>
      </c>
      <c r="AJ31" s="11">
        <f>IFERROR('Import-dataset'!AJ32/'Import-dataset'!AJ31,0)</f>
        <v>0.9428399519</v>
      </c>
      <c r="AK31" s="11">
        <f>IFERROR('Import-dataset'!AK32/'Import-dataset'!AK31,0)</f>
        <v>1.11396648</v>
      </c>
      <c r="AL31" s="11">
        <f>IFERROR('Import-dataset'!AL32/'Import-dataset'!AL31,0)</f>
        <v>1.086211901</v>
      </c>
      <c r="AM31" s="11">
        <f>IFERROR('Import-dataset'!AM32/'Import-dataset'!AM31,0)</f>
        <v>1.007544582</v>
      </c>
      <c r="AN31" s="11">
        <f>IFERROR('Import-dataset'!AN32/'Import-dataset'!AN31,0)</f>
        <v>0.9018766756</v>
      </c>
      <c r="AO31" s="11">
        <f>IFERROR('Import-dataset'!AO32/'Import-dataset'!AO31,0)</f>
        <v>0.9969450102</v>
      </c>
      <c r="AP31" s="11">
        <f>IFERROR('Import-dataset'!AP32/'Import-dataset'!AP31,0)</f>
        <v>0.9848254932</v>
      </c>
      <c r="AQ31" s="11">
        <f>IFERROR('Import-dataset'!AQ32/'Import-dataset'!AQ31,0)</f>
        <v>1.026188835</v>
      </c>
      <c r="AR31" s="11">
        <f>IFERROR('Import-dataset'!AR32/'Import-dataset'!AR31,0)</f>
        <v>0.86773658</v>
      </c>
      <c r="AS31" s="11">
        <f>IFERROR('Import-dataset'!AS32/'Import-dataset'!AS31,0)</f>
        <v>0.7663551402</v>
      </c>
      <c r="AT31" s="11">
        <f>IFERROR('Import-dataset'!AT32/'Import-dataset'!AT31,0)</f>
        <v>0.9758828596</v>
      </c>
      <c r="AU31" s="11">
        <f>IFERROR('Import-dataset'!AU32/'Import-dataset'!AU31,0)</f>
        <v>1.044</v>
      </c>
      <c r="AV31" s="11">
        <f>IFERROR('Import-dataset'!AV32/'Import-dataset'!AV31,0)</f>
        <v>0.9630700064</v>
      </c>
      <c r="AW31" s="11">
        <f>IFERROR('Import-dataset'!AW32/'Import-dataset'!AW31,0)</f>
        <v>0.9930594114</v>
      </c>
      <c r="AX31" s="11">
        <f>IFERROR('Import-dataset'!AX32/'Import-dataset'!AX31,0)</f>
        <v>1.048228883</v>
      </c>
      <c r="AY31" s="11">
        <f>IFERROR('Import-dataset'!AY32/'Import-dataset'!AY31,0)</f>
        <v>0.5022812934</v>
      </c>
      <c r="AZ31" s="11">
        <f>IFERROR('Import-dataset'!AZ32/'Import-dataset'!AZ31,0)</f>
        <v>0.8895867769</v>
      </c>
      <c r="BA31" s="11">
        <f>IFERROR('Import-dataset'!BA32/'Import-dataset'!BA31,0)</f>
        <v>0.844746357</v>
      </c>
      <c r="BB31" s="11">
        <f>IFERROR('Import-dataset'!BB32/'Import-dataset'!BB31,0)</f>
        <v>0.973829292</v>
      </c>
      <c r="BC31" s="11">
        <f>IFERROR('Import-dataset'!BC32/'Import-dataset'!BC31,0)</f>
        <v>0.9805180429</v>
      </c>
      <c r="BD31" s="11">
        <f>IFERROR('Import-dataset'!BD32/'Import-dataset'!BD31,0)</f>
        <v>0.8162070067</v>
      </c>
      <c r="BE31" s="11">
        <f>IFERROR('Import-dataset'!BE32/'Import-dataset'!BE31,0)</f>
        <v>1.056838366</v>
      </c>
      <c r="BF31" s="11">
        <f>IFERROR('Import-dataset'!BF32/'Import-dataset'!BF31,0)</f>
        <v>0.8503964758</v>
      </c>
      <c r="BG31" s="11">
        <f>IFERROR('Import-dataset'!BG32/'Import-dataset'!BG31,0)</f>
        <v>0.8665543536</v>
      </c>
      <c r="BH31" s="11">
        <f>IFERROR('Import-dataset'!BH32/'Import-dataset'!BH31,0)</f>
        <v>1.005995452</v>
      </c>
      <c r="BI31" s="11">
        <f>IFERROR('Import-dataset'!BI32/'Import-dataset'!BI31,0)</f>
        <v>0.9711381511</v>
      </c>
      <c r="BJ31" s="11">
        <f>IFERROR('Import-dataset'!BJ32/'Import-dataset'!BJ31,0)</f>
        <v>1.053643601</v>
      </c>
      <c r="BK31" s="11">
        <f>IFERROR('Import-dataset'!BK32/'Import-dataset'!BK31,0)</f>
        <v>1.597842262</v>
      </c>
      <c r="BL31" s="11">
        <f>IFERROR('Import-dataset'!BL32/'Import-dataset'!BL31,0)</f>
        <v>0.9997771008</v>
      </c>
      <c r="BM31" s="11">
        <f>IFERROR('Import-dataset'!BM32/'Import-dataset'!BM31,0)</f>
        <v>0.9857566766</v>
      </c>
      <c r="BN31" s="11">
        <f>IFERROR('Import-dataset'!BN32/'Import-dataset'!BN31,0)</f>
        <v>0.9859349781</v>
      </c>
      <c r="BO31" s="11">
        <f>IFERROR('Import-dataset'!BO32/'Import-dataset'!BO31,0)</f>
        <v>1.040569395</v>
      </c>
      <c r="BP31" s="11">
        <f>IFERROR('Import-dataset'!BP32/'Import-dataset'!BP31,0)</f>
        <v>0.9776339691</v>
      </c>
      <c r="BQ31" s="11">
        <f>IFERROR('Import-dataset'!BQ32/'Import-dataset'!BQ31,0)</f>
        <v>0.9923388914</v>
      </c>
      <c r="BR31" s="11">
        <f>IFERROR('Import-dataset'!BR32/'Import-dataset'!BR31,0)</f>
        <v>1.024567789</v>
      </c>
      <c r="BS31" s="11">
        <f>IFERROR('Import-dataset'!BS32/'Import-dataset'!BS31,0)</f>
        <v>0.8904372898</v>
      </c>
      <c r="BT31" s="11">
        <f>IFERROR('Import-dataset'!BT32/'Import-dataset'!BT31,0)</f>
        <v>1.022569444</v>
      </c>
      <c r="BU31" s="11">
        <f>IFERROR('Import-dataset'!BU32/'Import-dataset'!BU31,0)</f>
        <v>0.8720014008</v>
      </c>
      <c r="BV31" s="11">
        <f>IFERROR('Import-dataset'!BV32/'Import-dataset'!BV31,0)</f>
        <v>0.8</v>
      </c>
      <c r="BW31" s="11">
        <f>IFERROR('Import-dataset'!BW32/'Import-dataset'!BW31,0)</f>
        <v>0.8723404255</v>
      </c>
      <c r="BX31" s="11">
        <f>IFERROR('Import-dataset'!BX32/'Import-dataset'!BX31,0)</f>
        <v>1.4</v>
      </c>
      <c r="BY31" s="11">
        <f>IFERROR('Import-dataset'!BY32/'Import-dataset'!BY31,0)</f>
        <v>1.675942549</v>
      </c>
      <c r="BZ31" s="11">
        <f>IFERROR('Import-dataset'!BZ32/'Import-dataset'!BZ31,0)</f>
        <v>0.3531625416</v>
      </c>
      <c r="CA31" s="11">
        <f>IFERROR('Import-dataset'!CA32/'Import-dataset'!CA31,0)</f>
        <v>0.9523385167</v>
      </c>
    </row>
    <row r="32" ht="15.75" customHeight="1">
      <c r="A32" s="9" t="str">
        <f>'Import-dataset'!A33</f>
        <v>Y2017</v>
      </c>
      <c r="B32" s="11">
        <f>IFERROR('Import-dataset'!B33/'Import-dataset'!B32,0)</f>
        <v>1.023034552</v>
      </c>
      <c r="C32" s="11">
        <f>IFERROR('Import-dataset'!C33/'Import-dataset'!C32,0)</f>
        <v>1.280991736</v>
      </c>
      <c r="D32" s="11">
        <f>IFERROR('Import-dataset'!D33/'Import-dataset'!D32,0)</f>
        <v>1.067948718</v>
      </c>
      <c r="E32" s="11">
        <f>IFERROR('Import-dataset'!E33/'Import-dataset'!E32,0)</f>
        <v>1.228837209</v>
      </c>
      <c r="F32" s="11">
        <f>IFERROR('Import-dataset'!F33/'Import-dataset'!F32,0)</f>
        <v>1.052915767</v>
      </c>
      <c r="G32" s="11">
        <f>IFERROR('Import-dataset'!G33/'Import-dataset'!G32,0)</f>
        <v>1.034782609</v>
      </c>
      <c r="H32" s="11">
        <f>IFERROR('Import-dataset'!H33/'Import-dataset'!H32,0)</f>
        <v>1.031910804</v>
      </c>
      <c r="I32" s="11">
        <f>IFERROR('Import-dataset'!I33/'Import-dataset'!I32,0)</f>
        <v>0.9523809524</v>
      </c>
      <c r="J32" s="11">
        <f>IFERROR('Import-dataset'!J33/'Import-dataset'!J32,0)</f>
        <v>1.041518987</v>
      </c>
      <c r="K32" s="11">
        <f>IFERROR('Import-dataset'!K33/'Import-dataset'!K32,0)</f>
        <v>1.021762786</v>
      </c>
      <c r="L32" s="11">
        <f>IFERROR('Import-dataset'!L33/'Import-dataset'!L32,0)</f>
        <v>0.8916781293</v>
      </c>
      <c r="M32" s="11">
        <f>IFERROR('Import-dataset'!M33/'Import-dataset'!M32,0)</f>
        <v>1.005507956</v>
      </c>
      <c r="N32" s="11">
        <f>IFERROR('Import-dataset'!N33/'Import-dataset'!N32,0)</f>
        <v>1.017402945</v>
      </c>
      <c r="O32" s="11">
        <f>IFERROR('Import-dataset'!O33/'Import-dataset'!O32,0)</f>
        <v>0.9795520935</v>
      </c>
      <c r="P32" s="11">
        <f>IFERROR('Import-dataset'!P33/'Import-dataset'!P32,0)</f>
        <v>1.10652921</v>
      </c>
      <c r="Q32" s="11">
        <f>IFERROR('Import-dataset'!Q33/'Import-dataset'!Q32,0)</f>
        <v>0.6</v>
      </c>
      <c r="R32" s="11">
        <f>IFERROR('Import-dataset'!R33/'Import-dataset'!R32,0)</f>
        <v>1.261363636</v>
      </c>
      <c r="S32" s="11">
        <f>IFERROR('Import-dataset'!S33/'Import-dataset'!S32,0)</f>
        <v>1.617647059</v>
      </c>
      <c r="T32" s="11">
        <f>IFERROR('Import-dataset'!T33/'Import-dataset'!T32,0)</f>
        <v>1.024509804</v>
      </c>
      <c r="U32" s="11">
        <f>IFERROR('Import-dataset'!U33/'Import-dataset'!U32,0)</f>
        <v>1.094339623</v>
      </c>
      <c r="V32" s="11">
        <f>IFERROR('Import-dataset'!V33/'Import-dataset'!V32,0)</f>
        <v>0.9191919192</v>
      </c>
      <c r="W32" s="11">
        <f>IFERROR('Import-dataset'!W33/'Import-dataset'!W32,0)</f>
        <v>0.9196141479</v>
      </c>
      <c r="X32" s="11">
        <f>IFERROR('Import-dataset'!X33/'Import-dataset'!X32,0)</f>
        <v>1.200589971</v>
      </c>
      <c r="Y32" s="11">
        <f>IFERROR('Import-dataset'!Y33/'Import-dataset'!Y32,0)</f>
        <v>1.083484574</v>
      </c>
      <c r="Z32" s="11">
        <f>IFERROR('Import-dataset'!Z33/'Import-dataset'!Z32,0)</f>
        <v>1.262794442</v>
      </c>
      <c r="AA32" s="11">
        <f>IFERROR('Import-dataset'!AA33/'Import-dataset'!AA32,0)</f>
        <v>2.725490196</v>
      </c>
      <c r="AB32" s="11">
        <f>IFERROR('Import-dataset'!AB33/'Import-dataset'!AB32,0)</f>
        <v>1.259489599</v>
      </c>
      <c r="AC32" s="11">
        <f>IFERROR('Import-dataset'!AC33/'Import-dataset'!AC32,0)</f>
        <v>1.273109244</v>
      </c>
      <c r="AD32" s="11">
        <f>IFERROR('Import-dataset'!AD33/'Import-dataset'!AD32,0)</f>
        <v>0.9985734665</v>
      </c>
      <c r="AE32" s="11">
        <f>IFERROR('Import-dataset'!AE33/'Import-dataset'!AE32,0)</f>
        <v>0.9180327869</v>
      </c>
      <c r="AF32" s="11">
        <f>IFERROR('Import-dataset'!AF33/'Import-dataset'!AF32,0)</f>
        <v>0.9916107383</v>
      </c>
      <c r="AG32" s="11">
        <f>IFERROR('Import-dataset'!AG33/'Import-dataset'!AG32,0)</f>
        <v>1.204545455</v>
      </c>
      <c r="AH32" s="11">
        <f>IFERROR('Import-dataset'!AH33/'Import-dataset'!AH32,0)</f>
        <v>1.012742302</v>
      </c>
      <c r="AI32" s="11">
        <f>IFERROR('Import-dataset'!AI33/'Import-dataset'!AI32,0)</f>
        <v>0.9804979253</v>
      </c>
      <c r="AJ32" s="11">
        <f>IFERROR('Import-dataset'!AJ33/'Import-dataset'!AJ32,0)</f>
        <v>1.007019783</v>
      </c>
      <c r="AK32" s="11">
        <f>IFERROR('Import-dataset'!AK33/'Import-dataset'!AK32,0)</f>
        <v>1.022066199</v>
      </c>
      <c r="AL32" s="11">
        <f>IFERROR('Import-dataset'!AL33/'Import-dataset'!AL32,0)</f>
        <v>0.9921610547</v>
      </c>
      <c r="AM32" s="11">
        <f>IFERROR('Import-dataset'!AM33/'Import-dataset'!AM32,0)</f>
        <v>1.049693669</v>
      </c>
      <c r="AN32" s="11">
        <f>IFERROR('Import-dataset'!AN33/'Import-dataset'!AN32,0)</f>
        <v>0.9750297265</v>
      </c>
      <c r="AO32" s="11">
        <f>IFERROR('Import-dataset'!AO33/'Import-dataset'!AO32,0)</f>
        <v>1.07711951</v>
      </c>
      <c r="AP32" s="11">
        <f>IFERROR('Import-dataset'!AP33/'Import-dataset'!AP32,0)</f>
        <v>1.024139702</v>
      </c>
      <c r="AQ32" s="11">
        <f>IFERROR('Import-dataset'!AQ33/'Import-dataset'!AQ32,0)</f>
        <v>1.051376763</v>
      </c>
      <c r="AR32" s="11">
        <f>IFERROR('Import-dataset'!AR33/'Import-dataset'!AR32,0)</f>
        <v>1.017006803</v>
      </c>
      <c r="AS32" s="11">
        <f>IFERROR('Import-dataset'!AS33/'Import-dataset'!AS32,0)</f>
        <v>0.9756097561</v>
      </c>
      <c r="AT32" s="11">
        <f>IFERROR('Import-dataset'!AT33/'Import-dataset'!AT32,0)</f>
        <v>1.053250956</v>
      </c>
      <c r="AU32" s="11">
        <f>IFERROR('Import-dataset'!AU33/'Import-dataset'!AU32,0)</f>
        <v>1.078927203</v>
      </c>
      <c r="AV32" s="11">
        <f>IFERROR('Import-dataset'!AV33/'Import-dataset'!AV32,0)</f>
        <v>0.9786595532</v>
      </c>
      <c r="AW32" s="11">
        <f>IFERROR('Import-dataset'!AW33/'Import-dataset'!AW32,0)</f>
        <v>1.007548225</v>
      </c>
      <c r="AX32" s="11">
        <f>IFERROR('Import-dataset'!AX33/'Import-dataset'!AX32,0)</f>
        <v>0.9862230309</v>
      </c>
      <c r="AY32" s="11">
        <f>IFERROR('Import-dataset'!AY33/'Import-dataset'!AY32,0)</f>
        <v>1.208135861</v>
      </c>
      <c r="AZ32" s="11">
        <f>IFERROR('Import-dataset'!AZ33/'Import-dataset'!AZ32,0)</f>
        <v>0.9212188777</v>
      </c>
      <c r="BA32" s="11">
        <f>IFERROR('Import-dataset'!BA33/'Import-dataset'!BA32,0)</f>
        <v>0.9967574578</v>
      </c>
      <c r="BB32" s="11">
        <f>IFERROR('Import-dataset'!BB33/'Import-dataset'!BB32,0)</f>
        <v>1.141308766</v>
      </c>
      <c r="BC32" s="11">
        <f>IFERROR('Import-dataset'!BC33/'Import-dataset'!BC32,0)</f>
        <v>1.075412057</v>
      </c>
      <c r="BD32" s="11">
        <f>IFERROR('Import-dataset'!BD33/'Import-dataset'!BD32,0)</f>
        <v>1.157208089</v>
      </c>
      <c r="BE32" s="11">
        <f>IFERROR('Import-dataset'!BE33/'Import-dataset'!BE32,0)</f>
        <v>1.07394958</v>
      </c>
      <c r="BF32" s="11">
        <f>IFERROR('Import-dataset'!BF33/'Import-dataset'!BF32,0)</f>
        <v>0.9241607957</v>
      </c>
      <c r="BG32" s="11">
        <f>IFERROR('Import-dataset'!BG33/'Import-dataset'!BG32,0)</f>
        <v>1.073263072</v>
      </c>
      <c r="BH32" s="11">
        <f>IFERROR('Import-dataset'!BH33/'Import-dataset'!BH32,0)</f>
        <v>1.067543499</v>
      </c>
      <c r="BI32" s="11">
        <f>IFERROR('Import-dataset'!BI33/'Import-dataset'!BI32,0)</f>
        <v>1.118267247</v>
      </c>
      <c r="BJ32" s="11">
        <f>IFERROR('Import-dataset'!BJ33/'Import-dataset'!BJ32,0)</f>
        <v>1.08415669</v>
      </c>
      <c r="BK32" s="11">
        <f>IFERROR('Import-dataset'!BK33/'Import-dataset'!BK32,0)</f>
        <v>2.855878929</v>
      </c>
      <c r="BL32" s="11">
        <f>IFERROR('Import-dataset'!BL33/'Import-dataset'!BL32,0)</f>
        <v>1.004929647</v>
      </c>
      <c r="BM32" s="11">
        <f>IFERROR('Import-dataset'!BM33/'Import-dataset'!BM32,0)</f>
        <v>0.9807344973</v>
      </c>
      <c r="BN32" s="11">
        <f>IFERROR('Import-dataset'!BN33/'Import-dataset'!BN32,0)</f>
        <v>0.9953227315</v>
      </c>
      <c r="BO32" s="11">
        <f>IFERROR('Import-dataset'!BO33/'Import-dataset'!BO32,0)</f>
        <v>1.05129959</v>
      </c>
      <c r="BP32" s="11">
        <f>IFERROR('Import-dataset'!BP33/'Import-dataset'!BP32,0)</f>
        <v>1.014516316</v>
      </c>
      <c r="BQ32" s="11">
        <f>IFERROR('Import-dataset'!BQ33/'Import-dataset'!BQ32,0)</f>
        <v>0.9886466848</v>
      </c>
      <c r="BR32" s="11">
        <f>IFERROR('Import-dataset'!BR33/'Import-dataset'!BR32,0)</f>
        <v>0.9686204855</v>
      </c>
      <c r="BS32" s="11">
        <f>IFERROR('Import-dataset'!BS33/'Import-dataset'!BS32,0)</f>
        <v>0.982730707</v>
      </c>
      <c r="BT32" s="11">
        <f>IFERROR('Import-dataset'!BT33/'Import-dataset'!BT32,0)</f>
        <v>1.023621466</v>
      </c>
      <c r="BU32" s="11">
        <f>IFERROR('Import-dataset'!BU33/'Import-dataset'!BU32,0)</f>
        <v>2.148192771</v>
      </c>
      <c r="BV32" s="11">
        <f>IFERROR('Import-dataset'!BV33/'Import-dataset'!BV32,0)</f>
        <v>3</v>
      </c>
      <c r="BW32" s="11">
        <f>IFERROR('Import-dataset'!BW33/'Import-dataset'!BW32,0)</f>
        <v>0.512195122</v>
      </c>
      <c r="BX32" s="11">
        <f>IFERROR('Import-dataset'!BX33/'Import-dataset'!BX32,0)</f>
        <v>0.4285714286</v>
      </c>
      <c r="BY32" s="11">
        <f>IFERROR('Import-dataset'!BY33/'Import-dataset'!BY32,0)</f>
        <v>0.8328869845</v>
      </c>
      <c r="BZ32" s="11">
        <f>IFERROR('Import-dataset'!BZ33/'Import-dataset'!BZ32,0)</f>
        <v>6.204918033</v>
      </c>
      <c r="CA32" s="11">
        <f>IFERROR('Import-dataset'!CA33/'Import-dataset'!CA32,0)</f>
        <v>1.133493485</v>
      </c>
    </row>
    <row r="33" ht="15.75" customHeight="1">
      <c r="A33" s="9" t="str">
        <f>'Import-dataset'!A34</f>
        <v>Y2018</v>
      </c>
      <c r="B33" s="11">
        <f>IFERROR('Import-dataset'!B34/'Import-dataset'!B33,0)</f>
        <v>1.05817775</v>
      </c>
      <c r="C33" s="11">
        <f>IFERROR('Import-dataset'!C34/'Import-dataset'!C33,0)</f>
        <v>1.083870968</v>
      </c>
      <c r="D33" s="11">
        <f>IFERROR('Import-dataset'!D34/'Import-dataset'!D33,0)</f>
        <v>0.9867947179</v>
      </c>
      <c r="E33" s="11">
        <f>IFERROR('Import-dataset'!E34/'Import-dataset'!E33,0)</f>
        <v>1.074943225</v>
      </c>
      <c r="F33" s="11">
        <f>IFERROR('Import-dataset'!F34/'Import-dataset'!F33,0)</f>
        <v>1.032307692</v>
      </c>
      <c r="G33" s="11">
        <f>IFERROR('Import-dataset'!G34/'Import-dataset'!G33,0)</f>
        <v>1.12987013</v>
      </c>
      <c r="H33" s="11">
        <f>IFERROR('Import-dataset'!H34/'Import-dataset'!H33,0)</f>
        <v>0.9862146051</v>
      </c>
      <c r="I33" s="11">
        <f>IFERROR('Import-dataset'!I34/'Import-dataset'!I33,0)</f>
        <v>1.05</v>
      </c>
      <c r="J33" s="11">
        <f>IFERROR('Import-dataset'!J34/'Import-dataset'!J33,0)</f>
        <v>0.9873602333</v>
      </c>
      <c r="K33" s="11">
        <f>IFERROR('Import-dataset'!K34/'Import-dataset'!K33,0)</f>
        <v>1.171458999</v>
      </c>
      <c r="L33" s="11">
        <f>IFERROR('Import-dataset'!L34/'Import-dataset'!L33,0)</f>
        <v>1.145391438</v>
      </c>
      <c r="M33" s="11">
        <f>IFERROR('Import-dataset'!M34/'Import-dataset'!M33,0)</f>
        <v>1.07821059</v>
      </c>
      <c r="N33" s="11">
        <f>IFERROR('Import-dataset'!N34/'Import-dataset'!N33,0)</f>
        <v>1.087719298</v>
      </c>
      <c r="O33" s="11">
        <f>IFERROR('Import-dataset'!O34/'Import-dataset'!O33,0)</f>
        <v>1.05666004</v>
      </c>
      <c r="P33" s="11">
        <f>IFERROR('Import-dataset'!P34/'Import-dataset'!P33,0)</f>
        <v>1.125070582</v>
      </c>
      <c r="Q33" s="11">
        <f>IFERROR('Import-dataset'!Q34/'Import-dataset'!Q33,0)</f>
        <v>0.6666666667</v>
      </c>
      <c r="R33" s="11">
        <f>IFERROR('Import-dataset'!R34/'Import-dataset'!R33,0)</f>
        <v>1.036036036</v>
      </c>
      <c r="S33" s="11">
        <f>IFERROR('Import-dataset'!S34/'Import-dataset'!S33,0)</f>
        <v>0.9696969697</v>
      </c>
      <c r="T33" s="11">
        <f>IFERROR('Import-dataset'!T34/'Import-dataset'!T33,0)</f>
        <v>1.245215311</v>
      </c>
      <c r="U33" s="11">
        <f>IFERROR('Import-dataset'!U34/'Import-dataset'!U33,0)</f>
        <v>1.224137931</v>
      </c>
      <c r="V33" s="11">
        <f>IFERROR('Import-dataset'!V34/'Import-dataset'!V33,0)</f>
        <v>1.087912088</v>
      </c>
      <c r="W33" s="11">
        <f>IFERROR('Import-dataset'!W34/'Import-dataset'!W33,0)</f>
        <v>1.104895105</v>
      </c>
      <c r="X33" s="11">
        <f>IFERROR('Import-dataset'!X34/'Import-dataset'!X33,0)</f>
        <v>1.06961507</v>
      </c>
      <c r="Y33" s="11">
        <f>IFERROR('Import-dataset'!Y34/'Import-dataset'!Y33,0)</f>
        <v>1.108877722</v>
      </c>
      <c r="Z33" s="11">
        <f>IFERROR('Import-dataset'!Z34/'Import-dataset'!Z33,0)</f>
        <v>1.359244473</v>
      </c>
      <c r="AA33" s="11">
        <f>IFERROR('Import-dataset'!AA34/'Import-dataset'!AA33,0)</f>
        <v>1.28057554</v>
      </c>
      <c r="AB33" s="11">
        <f>IFERROR('Import-dataset'!AB34/'Import-dataset'!AB33,0)</f>
        <v>1.360360974</v>
      </c>
      <c r="AC33" s="11">
        <f>IFERROR('Import-dataset'!AC34/'Import-dataset'!AC33,0)</f>
        <v>1.287128713</v>
      </c>
      <c r="AD33" s="11">
        <f>IFERROR('Import-dataset'!AD34/'Import-dataset'!AD33,0)</f>
        <v>1.072857143</v>
      </c>
      <c r="AE33" s="11">
        <f>IFERROR('Import-dataset'!AE34/'Import-dataset'!AE33,0)</f>
        <v>1.25</v>
      </c>
      <c r="AF33" s="11">
        <f>IFERROR('Import-dataset'!AF34/'Import-dataset'!AF33,0)</f>
        <v>1.060913706</v>
      </c>
      <c r="AG33" s="11">
        <f>IFERROR('Import-dataset'!AG34/'Import-dataset'!AG33,0)</f>
        <v>1.018867925</v>
      </c>
      <c r="AH33" s="11">
        <f>IFERROR('Import-dataset'!AH34/'Import-dataset'!AH33,0)</f>
        <v>1.063373253</v>
      </c>
      <c r="AI33" s="11">
        <f>IFERROR('Import-dataset'!AI34/'Import-dataset'!AI33,0)</f>
        <v>1.060939484</v>
      </c>
      <c r="AJ33" s="11">
        <f>IFERROR('Import-dataset'!AJ34/'Import-dataset'!AJ33,0)</f>
        <v>0.7015209125</v>
      </c>
      <c r="AK33" s="11">
        <f>IFERROR('Import-dataset'!AK34/'Import-dataset'!AK33,0)</f>
        <v>1.090284593</v>
      </c>
      <c r="AL33" s="11">
        <f>IFERROR('Import-dataset'!AL34/'Import-dataset'!AL33,0)</f>
        <v>1.057820075</v>
      </c>
      <c r="AM33" s="11">
        <f>IFERROR('Import-dataset'!AM34/'Import-dataset'!AM33,0)</f>
        <v>1.165693904</v>
      </c>
      <c r="AN33" s="11">
        <f>IFERROR('Import-dataset'!AN34/'Import-dataset'!AN33,0)</f>
        <v>1.167682927</v>
      </c>
      <c r="AO33" s="11">
        <f>IFERROR('Import-dataset'!AO34/'Import-dataset'!AO33,0)</f>
        <v>1.166429587</v>
      </c>
      <c r="AP33" s="11">
        <f>IFERROR('Import-dataset'!AP34/'Import-dataset'!AP33,0)</f>
        <v>1.101303912</v>
      </c>
      <c r="AQ33" s="11">
        <f>IFERROR('Import-dataset'!AQ34/'Import-dataset'!AQ33,0)</f>
        <v>1.009581603</v>
      </c>
      <c r="AR33" s="11">
        <f>IFERROR('Import-dataset'!AR34/'Import-dataset'!AR33,0)</f>
        <v>1.130434783</v>
      </c>
      <c r="AS33" s="11">
        <f>IFERROR('Import-dataset'!AS34/'Import-dataset'!AS33,0)</f>
        <v>0.9625</v>
      </c>
      <c r="AT33" s="11">
        <f>IFERROR('Import-dataset'!AT34/'Import-dataset'!AT33,0)</f>
        <v>1.107821229</v>
      </c>
      <c r="AU33" s="11">
        <f>IFERROR('Import-dataset'!AU34/'Import-dataset'!AU33,0)</f>
        <v>1.133522727</v>
      </c>
      <c r="AV33" s="11">
        <f>IFERROR('Import-dataset'!AV34/'Import-dataset'!AV33,0)</f>
        <v>1.077683135</v>
      </c>
      <c r="AW33" s="11">
        <f>IFERROR('Import-dataset'!AW34/'Import-dataset'!AW33,0)</f>
        <v>1.058823529</v>
      </c>
      <c r="AX33" s="11">
        <f>IFERROR('Import-dataset'!AX34/'Import-dataset'!AX33,0)</f>
        <v>1.064312072</v>
      </c>
      <c r="AY33" s="11">
        <f>IFERROR('Import-dataset'!AY34/'Import-dataset'!AY33,0)</f>
        <v>1.275253351</v>
      </c>
      <c r="AZ33" s="11">
        <f>IFERROR('Import-dataset'!AZ34/'Import-dataset'!AZ33,0)</f>
        <v>1.119402985</v>
      </c>
      <c r="BA33" s="11">
        <f>IFERROR('Import-dataset'!BA34/'Import-dataset'!BA33,0)</f>
        <v>1.176187378</v>
      </c>
      <c r="BB33" s="11">
        <f>IFERROR('Import-dataset'!BB34/'Import-dataset'!BB33,0)</f>
        <v>1.029405779</v>
      </c>
      <c r="BC33" s="11">
        <f>IFERROR('Import-dataset'!BC34/'Import-dataset'!BC33,0)</f>
        <v>1.246273357</v>
      </c>
      <c r="BD33" s="11">
        <f>IFERROR('Import-dataset'!BD34/'Import-dataset'!BD33,0)</f>
        <v>1.181961669</v>
      </c>
      <c r="BE33" s="11">
        <f>IFERROR('Import-dataset'!BE34/'Import-dataset'!BE33,0)</f>
        <v>1.175273865</v>
      </c>
      <c r="BF33" s="11">
        <f>IFERROR('Import-dataset'!BF34/'Import-dataset'!BF33,0)</f>
        <v>1.117488789</v>
      </c>
      <c r="BG33" s="11">
        <f>IFERROR('Import-dataset'!BG34/'Import-dataset'!BG33,0)</f>
        <v>1.135189246</v>
      </c>
      <c r="BH33" s="11">
        <f>IFERROR('Import-dataset'!BH34/'Import-dataset'!BH33,0)</f>
        <v>1.101514374</v>
      </c>
      <c r="BI33" s="11">
        <f>IFERROR('Import-dataset'!BI34/'Import-dataset'!BI33,0)</f>
        <v>1.149347544</v>
      </c>
      <c r="BJ33" s="11">
        <f>IFERROR('Import-dataset'!BJ34/'Import-dataset'!BJ33,0)</f>
        <v>1.047791358</v>
      </c>
      <c r="BK33" s="11">
        <f>IFERROR('Import-dataset'!BK34/'Import-dataset'!BK33,0)</f>
        <v>0.3500733736</v>
      </c>
      <c r="BL33" s="11">
        <f>IFERROR('Import-dataset'!BL34/'Import-dataset'!BL33,0)</f>
        <v>1.091971307</v>
      </c>
      <c r="BM33" s="11">
        <f>IFERROR('Import-dataset'!BM34/'Import-dataset'!BM33,0)</f>
        <v>1.098219767</v>
      </c>
      <c r="BN33" s="11">
        <f>IFERROR('Import-dataset'!BN34/'Import-dataset'!BN33,0)</f>
        <v>1.145206767</v>
      </c>
      <c r="BO33" s="11">
        <f>IFERROR('Import-dataset'!BO34/'Import-dataset'!BO33,0)</f>
        <v>1.199089135</v>
      </c>
      <c r="BP33" s="11">
        <f>IFERROR('Import-dataset'!BP34/'Import-dataset'!BP33,0)</f>
        <v>1.085050366</v>
      </c>
      <c r="BQ33" s="11">
        <f>IFERROR('Import-dataset'!BQ34/'Import-dataset'!BQ33,0)</f>
        <v>1.067524116</v>
      </c>
      <c r="BR33" s="11">
        <f>IFERROR('Import-dataset'!BR34/'Import-dataset'!BR33,0)</f>
        <v>1.125305623</v>
      </c>
      <c r="BS33" s="11">
        <f>IFERROR('Import-dataset'!BS34/'Import-dataset'!BS33,0)</f>
        <v>1.062053817</v>
      </c>
      <c r="BT33" s="11">
        <f>IFERROR('Import-dataset'!BT34/'Import-dataset'!BT33,0)</f>
        <v>1.059421649</v>
      </c>
      <c r="BU33" s="11">
        <f>IFERROR('Import-dataset'!BU34/'Import-dataset'!BU33,0)</f>
        <v>0.5673022995</v>
      </c>
      <c r="BV33" s="11">
        <f>IFERROR('Import-dataset'!BV34/'Import-dataset'!BV33,0)</f>
        <v>0.4166666667</v>
      </c>
      <c r="BW33" s="11">
        <f>IFERROR('Import-dataset'!BW34/'Import-dataset'!BW33,0)</f>
        <v>1.428571429</v>
      </c>
      <c r="BX33" s="11">
        <f>IFERROR('Import-dataset'!BX34/'Import-dataset'!BX33,0)</f>
        <v>2.333333333</v>
      </c>
      <c r="BY33" s="11">
        <f>IFERROR('Import-dataset'!BY34/'Import-dataset'!BY33,0)</f>
        <v>1.026527331</v>
      </c>
      <c r="BZ33" s="11">
        <f>IFERROR('Import-dataset'!BZ34/'Import-dataset'!BZ33,0)</f>
        <v>0.3772126816</v>
      </c>
      <c r="CA33" s="11">
        <f>IFERROR('Import-dataset'!CA34/'Import-dataset'!CA33,0)</f>
        <v>1.054645415</v>
      </c>
    </row>
    <row r="34" ht="15.75" customHeight="1">
      <c r="A34" s="9" t="str">
        <f>'Import-dataset'!A35</f>
        <v>Y2019</v>
      </c>
      <c r="B34" s="11">
        <f>IFERROR('Import-dataset'!B35/'Import-dataset'!B34,0)</f>
        <v>1.119341836</v>
      </c>
      <c r="C34" s="11">
        <f>IFERROR('Import-dataset'!C35/'Import-dataset'!C34,0)</f>
        <v>0.8630952381</v>
      </c>
      <c r="D34" s="11">
        <f>IFERROR('Import-dataset'!D35/'Import-dataset'!D34,0)</f>
        <v>1.251824818</v>
      </c>
      <c r="E34" s="11">
        <f>IFERROR('Import-dataset'!E35/'Import-dataset'!E34,0)</f>
        <v>1.040140845</v>
      </c>
      <c r="F34" s="11">
        <f>IFERROR('Import-dataset'!F35/'Import-dataset'!F34,0)</f>
        <v>1.010432191</v>
      </c>
      <c r="G34" s="11">
        <f>IFERROR('Import-dataset'!G35/'Import-dataset'!G34,0)</f>
        <v>1.295469912</v>
      </c>
      <c r="H34" s="11">
        <f>IFERROR('Import-dataset'!H35/'Import-dataset'!H34,0)</f>
        <v>1.060068002</v>
      </c>
      <c r="I34" s="11">
        <f>IFERROR('Import-dataset'!I35/'Import-dataset'!I34,0)</f>
        <v>1.004140787</v>
      </c>
      <c r="J34" s="11">
        <f>IFERROR('Import-dataset'!J35/'Import-dataset'!J34,0)</f>
        <v>1.049236829</v>
      </c>
      <c r="K34" s="11">
        <f>IFERROR('Import-dataset'!K35/'Import-dataset'!K34,0)</f>
        <v>1.125454545</v>
      </c>
      <c r="L34" s="11">
        <f>IFERROR('Import-dataset'!L35/'Import-dataset'!L34,0)</f>
        <v>1.238383838</v>
      </c>
      <c r="M34" s="11">
        <f>IFERROR('Import-dataset'!M35/'Import-dataset'!M34,0)</f>
        <v>1.072819644</v>
      </c>
      <c r="N34" s="11">
        <f>IFERROR('Import-dataset'!N35/'Import-dataset'!N34,0)</f>
        <v>1.083870968</v>
      </c>
      <c r="O34" s="11">
        <f>IFERROR('Import-dataset'!O35/'Import-dataset'!O34,0)</f>
        <v>1.047036689</v>
      </c>
      <c r="P34" s="11">
        <f>IFERROR('Import-dataset'!P35/'Import-dataset'!P34,0)</f>
        <v>0.7867001255</v>
      </c>
      <c r="Q34" s="11">
        <f>IFERROR('Import-dataset'!Q35/'Import-dataset'!Q34,0)</f>
        <v>3.5</v>
      </c>
      <c r="R34" s="11">
        <f>IFERROR('Import-dataset'!R35/'Import-dataset'!R34,0)</f>
        <v>1.104347826</v>
      </c>
      <c r="S34" s="11">
        <f>IFERROR('Import-dataset'!S35/'Import-dataset'!S34,0)</f>
        <v>0.91875</v>
      </c>
      <c r="T34" s="11">
        <f>IFERROR('Import-dataset'!T35/'Import-dataset'!T34,0)</f>
        <v>0.7694524496</v>
      </c>
      <c r="U34" s="11">
        <f>IFERROR('Import-dataset'!U35/'Import-dataset'!U34,0)</f>
        <v>0.9154929577</v>
      </c>
      <c r="V34" s="11">
        <f>IFERROR('Import-dataset'!V35/'Import-dataset'!V34,0)</f>
        <v>0.9898989899</v>
      </c>
      <c r="W34" s="11">
        <f>IFERROR('Import-dataset'!W35/'Import-dataset'!W34,0)</f>
        <v>0.9050632911</v>
      </c>
      <c r="X34" s="11">
        <f>IFERROR('Import-dataset'!X35/'Import-dataset'!X34,0)</f>
        <v>0.5696784074</v>
      </c>
      <c r="Y34" s="11">
        <f>IFERROR('Import-dataset'!Y35/'Import-dataset'!Y34,0)</f>
        <v>1.004531722</v>
      </c>
      <c r="Z34" s="11">
        <f>IFERROR('Import-dataset'!Z35/'Import-dataset'!Z34,0)</f>
        <v>0.9575712699</v>
      </c>
      <c r="AA34" s="11">
        <f>IFERROR('Import-dataset'!AA35/'Import-dataset'!AA34,0)</f>
        <v>1.140449438</v>
      </c>
      <c r="AB34" s="11">
        <f>IFERROR('Import-dataset'!AB35/'Import-dataset'!AB34,0)</f>
        <v>0.9601972614</v>
      </c>
      <c r="AC34" s="11">
        <f>IFERROR('Import-dataset'!AC35/'Import-dataset'!AC34,0)</f>
        <v>0.6051282051</v>
      </c>
      <c r="AD34" s="11">
        <f>IFERROR('Import-dataset'!AD35/'Import-dataset'!AD34,0)</f>
        <v>0.9667110519</v>
      </c>
      <c r="AE34" s="11">
        <f>IFERROR('Import-dataset'!AE35/'Import-dataset'!AE34,0)</f>
        <v>1.185714286</v>
      </c>
      <c r="AF34" s="11">
        <f>IFERROR('Import-dataset'!AF35/'Import-dataset'!AF34,0)</f>
        <v>0.9234449761</v>
      </c>
      <c r="AG34" s="11">
        <f>IFERROR('Import-dataset'!AG35/'Import-dataset'!AG34,0)</f>
        <v>1.185185185</v>
      </c>
      <c r="AH34" s="11">
        <f>IFERROR('Import-dataset'!AH35/'Import-dataset'!AH34,0)</f>
        <v>1.040054971</v>
      </c>
      <c r="AI34" s="11">
        <f>IFERROR('Import-dataset'!AI35/'Import-dataset'!AI34,0)</f>
        <v>0.9014758676</v>
      </c>
      <c r="AJ34" s="11">
        <f>IFERROR('Import-dataset'!AJ35/'Import-dataset'!AJ34,0)</f>
        <v>0.9313459801</v>
      </c>
      <c r="AK34" s="11">
        <f>IFERROR('Import-dataset'!AK35/'Import-dataset'!AK34,0)</f>
        <v>0.9756975698</v>
      </c>
      <c r="AL34" s="11">
        <f>IFERROR('Import-dataset'!AL35/'Import-dataset'!AL34,0)</f>
        <v>1.11288406</v>
      </c>
      <c r="AM34" s="11">
        <f>IFERROR('Import-dataset'!AM35/'Import-dataset'!AM34,0)</f>
        <v>1.075104312</v>
      </c>
      <c r="AN34" s="11">
        <f>IFERROR('Import-dataset'!AN35/'Import-dataset'!AN34,0)</f>
        <v>1.122715405</v>
      </c>
      <c r="AO34" s="11">
        <f>IFERROR('Import-dataset'!AO35/'Import-dataset'!AO34,0)</f>
        <v>0.8987804878</v>
      </c>
      <c r="AP34" s="11">
        <f>IFERROR('Import-dataset'!AP35/'Import-dataset'!AP34,0)</f>
        <v>1.013661202</v>
      </c>
      <c r="AQ34" s="11">
        <f>IFERROR('Import-dataset'!AQ35/'Import-dataset'!AQ34,0)</f>
        <v>0.9775387536</v>
      </c>
      <c r="AR34" s="11">
        <f>IFERROR('Import-dataset'!AR35/'Import-dataset'!AR34,0)</f>
        <v>0.9949457594</v>
      </c>
      <c r="AS34" s="11">
        <f>IFERROR('Import-dataset'!AS35/'Import-dataset'!AS34,0)</f>
        <v>0.9285714286</v>
      </c>
      <c r="AT34" s="11">
        <f>IFERROR('Import-dataset'!AT35/'Import-dataset'!AT34,0)</f>
        <v>1.069591528</v>
      </c>
      <c r="AU34" s="11">
        <f>IFERROR('Import-dataset'!AU35/'Import-dataset'!AU34,0)</f>
        <v>0.9505012531</v>
      </c>
      <c r="AV34" s="11">
        <f>IFERROR('Import-dataset'!AV35/'Import-dataset'!AV34,0)</f>
        <v>1.05469491</v>
      </c>
      <c r="AW34" s="11">
        <f>IFERROR('Import-dataset'!AW35/'Import-dataset'!AW34,0)</f>
        <v>1.004716981</v>
      </c>
      <c r="AX34" s="11">
        <f>IFERROR('Import-dataset'!AX35/'Import-dataset'!AX34,0)</f>
        <v>1.017830609</v>
      </c>
      <c r="AY34" s="11">
        <f>IFERROR('Import-dataset'!AY35/'Import-dataset'!AY34,0)</f>
        <v>0.838502948</v>
      </c>
      <c r="AZ34" s="11">
        <f>IFERROR('Import-dataset'!AZ35/'Import-dataset'!AZ34,0)</f>
        <v>1.035675676</v>
      </c>
      <c r="BA34" s="11">
        <f>IFERROR('Import-dataset'!BA35/'Import-dataset'!BA34,0)</f>
        <v>0.9909282</v>
      </c>
      <c r="BB34" s="11">
        <f>IFERROR('Import-dataset'!BB35/'Import-dataset'!BB34,0)</f>
        <v>1.015534908</v>
      </c>
      <c r="BC34" s="11">
        <f>IFERROR('Import-dataset'!BC35/'Import-dataset'!BC34,0)</f>
        <v>1.063005391</v>
      </c>
      <c r="BD34" s="11">
        <f>IFERROR('Import-dataset'!BD35/'Import-dataset'!BD34,0)</f>
        <v>1.019458222</v>
      </c>
      <c r="BE34" s="11">
        <f>IFERROR('Import-dataset'!BE35/'Import-dataset'!BE34,0)</f>
        <v>1.150466045</v>
      </c>
      <c r="BF34" s="11">
        <f>IFERROR('Import-dataset'!BF35/'Import-dataset'!BF34,0)</f>
        <v>1.046415195</v>
      </c>
      <c r="BG34" s="11">
        <f>IFERROR('Import-dataset'!BG35/'Import-dataset'!BG34,0)</f>
        <v>0.9857226841</v>
      </c>
      <c r="BH34" s="11">
        <f>IFERROR('Import-dataset'!BH35/'Import-dataset'!BH34,0)</f>
        <v>1.02807876</v>
      </c>
      <c r="BI34" s="11">
        <f>IFERROR('Import-dataset'!BI35/'Import-dataset'!BI34,0)</f>
        <v>1.037329846</v>
      </c>
      <c r="BJ34" s="11">
        <f>IFERROR('Import-dataset'!BJ35/'Import-dataset'!BJ34,0)</f>
        <v>0.9538256888</v>
      </c>
      <c r="BK34" s="11">
        <f>IFERROR('Import-dataset'!BK35/'Import-dataset'!BK34,0)</f>
        <v>1.318118305</v>
      </c>
      <c r="BL34" s="11">
        <f>IFERROR('Import-dataset'!BL35/'Import-dataset'!BL34,0)</f>
        <v>1.045577678</v>
      </c>
      <c r="BM34" s="11">
        <f>IFERROR('Import-dataset'!BM35/'Import-dataset'!BM34,0)</f>
        <v>0.9737283399</v>
      </c>
      <c r="BN34" s="11">
        <f>IFERROR('Import-dataset'!BN35/'Import-dataset'!BN34,0)</f>
        <v>1.022363562</v>
      </c>
      <c r="BO34" s="11">
        <f>IFERROR('Import-dataset'!BO35/'Import-dataset'!BO34,0)</f>
        <v>1.023331525</v>
      </c>
      <c r="BP34" s="11">
        <f>IFERROR('Import-dataset'!BP35/'Import-dataset'!BP34,0)</f>
        <v>1.076590358</v>
      </c>
      <c r="BQ34" s="11">
        <f>IFERROR('Import-dataset'!BQ35/'Import-dataset'!BQ34,0)</f>
        <v>1.103270224</v>
      </c>
      <c r="BR34" s="11">
        <f>IFERROR('Import-dataset'!BR35/'Import-dataset'!BR34,0)</f>
        <v>1.049158066</v>
      </c>
      <c r="BS34" s="11">
        <f>IFERROR('Import-dataset'!BS35/'Import-dataset'!BS34,0)</f>
        <v>1.074457084</v>
      </c>
      <c r="BT34" s="11">
        <f>IFERROR('Import-dataset'!BT35/'Import-dataset'!BT34,0)</f>
        <v>1.030086447</v>
      </c>
      <c r="BU34" s="11">
        <f>IFERROR('Import-dataset'!BU35/'Import-dataset'!BU34,0)</f>
        <v>0.9265117812</v>
      </c>
      <c r="BV34" s="11">
        <f>IFERROR('Import-dataset'!BV35/'Import-dataset'!BV34,0)</f>
        <v>1</v>
      </c>
      <c r="BW34" s="11">
        <f>IFERROR('Import-dataset'!BW35/'Import-dataset'!BW34,0)</f>
        <v>1.1</v>
      </c>
      <c r="BX34" s="11">
        <f>IFERROR('Import-dataset'!BX35/'Import-dataset'!BX34,0)</f>
        <v>0.2857142857</v>
      </c>
      <c r="BY34" s="11">
        <f>IFERROR('Import-dataset'!BY35/'Import-dataset'!BY34,0)</f>
        <v>1.060610807</v>
      </c>
      <c r="BZ34" s="11">
        <f>IFERROR('Import-dataset'!BZ35/'Import-dataset'!BZ34,0)</f>
        <v>0.7763964279</v>
      </c>
      <c r="CA34" s="11">
        <f>IFERROR('Import-dataset'!CA35/'Import-dataset'!CA34,0)</f>
        <v>1.011557348</v>
      </c>
    </row>
    <row r="35" ht="15.75" customHeight="1">
      <c r="A35" s="9" t="str">
        <f>'Import-dataset'!A36</f>
        <v>Y2020</v>
      </c>
      <c r="B35" s="11">
        <f>IFERROR('Import-dataset'!B36/'Import-dataset'!B35,0)</f>
        <v>1.039258516</v>
      </c>
      <c r="C35" s="11">
        <f>IFERROR('Import-dataset'!C36/'Import-dataset'!C35,0)</f>
        <v>1.082758621</v>
      </c>
      <c r="D35" s="11">
        <f>IFERROR('Import-dataset'!D36/'Import-dataset'!D35,0)</f>
        <v>0.879494655</v>
      </c>
      <c r="E35" s="11">
        <f>IFERROR('Import-dataset'!E36/'Import-dataset'!E35,0)</f>
        <v>1.075829384</v>
      </c>
      <c r="F35" s="11">
        <f>IFERROR('Import-dataset'!F36/'Import-dataset'!F35,0)</f>
        <v>0.9252704031</v>
      </c>
      <c r="G35" s="11">
        <f>IFERROR('Import-dataset'!G36/'Import-dataset'!G35,0)</f>
        <v>1.089770355</v>
      </c>
      <c r="H35" s="11">
        <f>IFERROR('Import-dataset'!H36/'Import-dataset'!H35,0)</f>
        <v>1.107270135</v>
      </c>
      <c r="I35" s="11">
        <f>IFERROR('Import-dataset'!I36/'Import-dataset'!I35,0)</f>
        <v>1.008247423</v>
      </c>
      <c r="J35" s="11">
        <f>IFERROR('Import-dataset'!J36/'Import-dataset'!J35,0)</f>
        <v>1.036133271</v>
      </c>
      <c r="K35" s="11">
        <f>IFERROR('Import-dataset'!K36/'Import-dataset'!K35,0)</f>
        <v>1.09450727</v>
      </c>
      <c r="L35" s="11">
        <f>IFERROR('Import-dataset'!L36/'Import-dataset'!L35,0)</f>
        <v>1.039695487</v>
      </c>
      <c r="M35" s="11">
        <f>IFERROR('Import-dataset'!M36/'Import-dataset'!M35,0)</f>
        <v>0.9144961852</v>
      </c>
      <c r="N35" s="11">
        <f>IFERROR('Import-dataset'!N36/'Import-dataset'!N35,0)</f>
        <v>0.9616815476</v>
      </c>
      <c r="O35" s="11">
        <f>IFERROR('Import-dataset'!O36/'Import-dataset'!O35,0)</f>
        <v>0.8005390836</v>
      </c>
      <c r="P35" s="11">
        <f>IFERROR('Import-dataset'!P36/'Import-dataset'!P35,0)</f>
        <v>1.040510367</v>
      </c>
      <c r="Q35" s="11">
        <f>IFERROR('Import-dataset'!Q36/'Import-dataset'!Q35,0)</f>
        <v>1</v>
      </c>
      <c r="R35" s="11">
        <f>IFERROR('Import-dataset'!R36/'Import-dataset'!R35,0)</f>
        <v>1.11023622</v>
      </c>
      <c r="S35" s="11">
        <f>IFERROR('Import-dataset'!S36/'Import-dataset'!S35,0)</f>
        <v>0.8299319728</v>
      </c>
      <c r="T35" s="11">
        <f>IFERROR('Import-dataset'!T36/'Import-dataset'!T35,0)</f>
        <v>1</v>
      </c>
      <c r="U35" s="11">
        <f>IFERROR('Import-dataset'!U36/'Import-dataset'!U35,0)</f>
        <v>0.9230769231</v>
      </c>
      <c r="V35" s="11">
        <f>IFERROR('Import-dataset'!V36/'Import-dataset'!V35,0)</f>
        <v>0.9897959184</v>
      </c>
      <c r="W35" s="11">
        <f>IFERROR('Import-dataset'!W36/'Import-dataset'!W35,0)</f>
        <v>1.041958042</v>
      </c>
      <c r="X35" s="11">
        <f>IFERROR('Import-dataset'!X36/'Import-dataset'!X35,0)</f>
        <v>1.169354839</v>
      </c>
      <c r="Y35" s="11">
        <f>IFERROR('Import-dataset'!Y36/'Import-dataset'!Y35,0)</f>
        <v>1.031578947</v>
      </c>
      <c r="Z35" s="11">
        <f>IFERROR('Import-dataset'!Z36/'Import-dataset'!Z35,0)</f>
        <v>0.595679967</v>
      </c>
      <c r="AA35" s="11">
        <f>IFERROR('Import-dataset'!AA36/'Import-dataset'!AA35,0)</f>
        <v>0.7290640394</v>
      </c>
      <c r="AB35" s="11">
        <f>IFERROR('Import-dataset'!AB36/'Import-dataset'!AB35,0)</f>
        <v>0.5923299528</v>
      </c>
      <c r="AC35" s="11">
        <f>IFERROR('Import-dataset'!AC36/'Import-dataset'!AC35,0)</f>
        <v>1.025423729</v>
      </c>
      <c r="AD35" s="11">
        <f>IFERROR('Import-dataset'!AD36/'Import-dataset'!AD35,0)</f>
        <v>1.056473829</v>
      </c>
      <c r="AE35" s="11">
        <f>IFERROR('Import-dataset'!AE36/'Import-dataset'!AE35,0)</f>
        <v>1.024096386</v>
      </c>
      <c r="AF35" s="11">
        <f>IFERROR('Import-dataset'!AF36/'Import-dataset'!AF35,0)</f>
        <v>1.082901554</v>
      </c>
      <c r="AG35" s="11">
        <f>IFERROR('Import-dataset'!AG36/'Import-dataset'!AG35,0)</f>
        <v>0.859375</v>
      </c>
      <c r="AH35" s="11">
        <f>IFERROR('Import-dataset'!AH36/'Import-dataset'!AH35,0)</f>
        <v>1.072802862</v>
      </c>
      <c r="AI35" s="11">
        <f>IFERROR('Import-dataset'!AI36/'Import-dataset'!AI35,0)</f>
        <v>1.180530973</v>
      </c>
      <c r="AJ35" s="11">
        <f>IFERROR('Import-dataset'!AJ36/'Import-dataset'!AJ35,0)</f>
        <v>1.011639185</v>
      </c>
      <c r="AK35" s="11">
        <f>IFERROR('Import-dataset'!AK36/'Import-dataset'!AK35,0)</f>
        <v>1</v>
      </c>
      <c r="AL35" s="11">
        <f>IFERROR('Import-dataset'!AL36/'Import-dataset'!AL35,0)</f>
        <v>1.052623551</v>
      </c>
      <c r="AM35" s="11">
        <f>IFERROR('Import-dataset'!AM36/'Import-dataset'!AM35,0)</f>
        <v>1.027166882</v>
      </c>
      <c r="AN35" s="11">
        <f>IFERROR('Import-dataset'!AN36/'Import-dataset'!AN35,0)</f>
        <v>0.9869767442</v>
      </c>
      <c r="AO35" s="11">
        <f>IFERROR('Import-dataset'!AO36/'Import-dataset'!AO35,0)</f>
        <v>0.9669832655</v>
      </c>
      <c r="AP35" s="11">
        <f>IFERROR('Import-dataset'!AP36/'Import-dataset'!AP35,0)</f>
        <v>1.030548068</v>
      </c>
      <c r="AQ35" s="11">
        <f>IFERROR('Import-dataset'!AQ36/'Import-dataset'!AQ35,0)</f>
        <v>1.348543689</v>
      </c>
      <c r="AR35" s="11">
        <f>IFERROR('Import-dataset'!AR36/'Import-dataset'!AR35,0)</f>
        <v>1.065543303</v>
      </c>
      <c r="AS35" s="11">
        <f>IFERROR('Import-dataset'!AS36/'Import-dataset'!AS35,0)</f>
        <v>0.9440559441</v>
      </c>
      <c r="AT35" s="11">
        <f>IFERROR('Import-dataset'!AT36/'Import-dataset'!AT35,0)</f>
        <v>0.9639321075</v>
      </c>
      <c r="AU35" s="11">
        <f>IFERROR('Import-dataset'!AU36/'Import-dataset'!AU35,0)</f>
        <v>0.9353988134</v>
      </c>
      <c r="AV35" s="11">
        <f>IFERROR('Import-dataset'!AV36/'Import-dataset'!AV35,0)</f>
        <v>0.9814148681</v>
      </c>
      <c r="AW35" s="11">
        <f>IFERROR('Import-dataset'!AW36/'Import-dataset'!AW35,0)</f>
        <v>1.53781951</v>
      </c>
      <c r="AX35" s="11">
        <f>IFERROR('Import-dataset'!AX36/'Import-dataset'!AX35,0)</f>
        <v>0.9413625304</v>
      </c>
      <c r="AY35" s="11">
        <f>IFERROR('Import-dataset'!AY36/'Import-dataset'!AY35,0)</f>
        <v>0.9581167839</v>
      </c>
      <c r="AZ35" s="11">
        <f>IFERROR('Import-dataset'!AZ36/'Import-dataset'!AZ35,0)</f>
        <v>1.251217815</v>
      </c>
      <c r="BA35" s="11">
        <f>IFERROR('Import-dataset'!BA36/'Import-dataset'!BA35,0)</f>
        <v>1.00346098</v>
      </c>
      <c r="BB35" s="11">
        <f>IFERROR('Import-dataset'!BB36/'Import-dataset'!BB35,0)</f>
        <v>0.9712060994</v>
      </c>
      <c r="BC35" s="11">
        <f>IFERROR('Import-dataset'!BC36/'Import-dataset'!BC35,0)</f>
        <v>0.9019017433</v>
      </c>
      <c r="BD35" s="11">
        <f>IFERROR('Import-dataset'!BD36/'Import-dataset'!BD35,0)</f>
        <v>0.9917664671</v>
      </c>
      <c r="BE35" s="11">
        <f>IFERROR('Import-dataset'!BE36/'Import-dataset'!BE35,0)</f>
        <v>0.869212963</v>
      </c>
      <c r="BF35" s="11">
        <f>IFERROR('Import-dataset'!BF36/'Import-dataset'!BF35,0)</f>
        <v>1.001725681</v>
      </c>
      <c r="BG35" s="11">
        <f>IFERROR('Import-dataset'!BG36/'Import-dataset'!BG35,0)</f>
        <v>1.061174065</v>
      </c>
      <c r="BH35" s="11">
        <f>IFERROR('Import-dataset'!BH36/'Import-dataset'!BH35,0)</f>
        <v>0.9966001813</v>
      </c>
      <c r="BI35" s="11">
        <f>IFERROR('Import-dataset'!BI36/'Import-dataset'!BI35,0)</f>
        <v>1.024869635</v>
      </c>
      <c r="BJ35" s="11">
        <f>IFERROR('Import-dataset'!BJ36/'Import-dataset'!BJ35,0)</f>
        <v>0.8985141876</v>
      </c>
      <c r="BK35" s="11">
        <f>IFERROR('Import-dataset'!BK36/'Import-dataset'!BK35,0)</f>
        <v>0.9885159011</v>
      </c>
      <c r="BL35" s="11">
        <f>IFERROR('Import-dataset'!BL36/'Import-dataset'!BL35,0)</f>
        <v>0.9940410648</v>
      </c>
      <c r="BM35" s="11">
        <f>IFERROR('Import-dataset'!BM36/'Import-dataset'!BM35,0)</f>
        <v>0.990815155</v>
      </c>
      <c r="BN35" s="11">
        <f>IFERROR('Import-dataset'!BN36/'Import-dataset'!BN35,0)</f>
        <v>1.048364439</v>
      </c>
      <c r="BO35" s="11">
        <f>IFERROR('Import-dataset'!BO36/'Import-dataset'!BO35,0)</f>
        <v>0.8016967126</v>
      </c>
      <c r="BP35" s="11">
        <f>IFERROR('Import-dataset'!BP36/'Import-dataset'!BP35,0)</f>
        <v>0.9981381676</v>
      </c>
      <c r="BQ35" s="11">
        <f>IFERROR('Import-dataset'!BQ36/'Import-dataset'!BQ35,0)</f>
        <v>0.8217628705</v>
      </c>
      <c r="BR35" s="11">
        <f>IFERROR('Import-dataset'!BR36/'Import-dataset'!BR35,0)</f>
        <v>1.004141859</v>
      </c>
      <c r="BS35" s="11">
        <f>IFERROR('Import-dataset'!BS36/'Import-dataset'!BS35,0)</f>
        <v>0.9042348412</v>
      </c>
      <c r="BT35" s="11">
        <f>IFERROR('Import-dataset'!BT36/'Import-dataset'!BT35,0)</f>
        <v>1.034097667</v>
      </c>
      <c r="BU35" s="11">
        <f>IFERROR('Import-dataset'!BU36/'Import-dataset'!BU35,0)</f>
        <v>1.059398897</v>
      </c>
      <c r="BV35" s="11">
        <f>IFERROR('Import-dataset'!BV36/'Import-dataset'!BV35,0)</f>
        <v>0.4</v>
      </c>
      <c r="BW35" s="11">
        <f>IFERROR('Import-dataset'!BW36/'Import-dataset'!BW35,0)</f>
        <v>1.818181818</v>
      </c>
      <c r="BX35" s="11">
        <f>IFERROR('Import-dataset'!BX36/'Import-dataset'!BX35,0)</f>
        <v>6</v>
      </c>
      <c r="BY35" s="11">
        <f>IFERROR('Import-dataset'!BY36/'Import-dataset'!BY35,0)</f>
        <v>1.35971648</v>
      </c>
      <c r="BZ35" s="11">
        <f>IFERROR('Import-dataset'!BZ36/'Import-dataset'!BZ35,0)</f>
        <v>0.5935949481</v>
      </c>
      <c r="CA35" s="11">
        <f>IFERROR('Import-dataset'!CA36/'Import-dataset'!CA35,0)</f>
        <v>0.9546076739</v>
      </c>
    </row>
    <row r="36" ht="15.75" customHeight="1">
      <c r="A36" s="9" t="str">
        <f>'Import-dataset'!A37</f>
        <v>Y2021</v>
      </c>
      <c r="B36" s="11">
        <f>IFERROR('Import-dataset'!B37/'Import-dataset'!B36,0)</f>
        <v>0.9320608953</v>
      </c>
      <c r="C36" s="11">
        <f>IFERROR('Import-dataset'!C37/'Import-dataset'!C36,0)</f>
        <v>0.9936305732</v>
      </c>
      <c r="D36" s="11">
        <f>IFERROR('Import-dataset'!D37/'Import-dataset'!D36,0)</f>
        <v>1.067403315</v>
      </c>
      <c r="E36" s="11">
        <f>IFERROR('Import-dataset'!E37/'Import-dataset'!E36,0)</f>
        <v>0.9049716803</v>
      </c>
      <c r="F36" s="11">
        <f>IFERROR('Import-dataset'!F37/'Import-dataset'!F36,0)</f>
        <v>0.995749203</v>
      </c>
      <c r="G36" s="11">
        <f>IFERROR('Import-dataset'!G37/'Import-dataset'!G36,0)</f>
        <v>0.8271072797</v>
      </c>
      <c r="H36" s="11">
        <f>IFERROR('Import-dataset'!H37/'Import-dataset'!H36,0)</f>
        <v>0.9130994528</v>
      </c>
      <c r="I36" s="11">
        <f>IFERROR('Import-dataset'!I37/'Import-dataset'!I36,0)</f>
        <v>1.00408998</v>
      </c>
      <c r="J36" s="11">
        <f>IFERROR('Import-dataset'!J37/'Import-dataset'!J36,0)</f>
        <v>0.9800724638</v>
      </c>
      <c r="K36" s="11">
        <f>IFERROR('Import-dataset'!K37/'Import-dataset'!K36,0)</f>
        <v>0.9003690037</v>
      </c>
      <c r="L36" s="11">
        <f>IFERROR('Import-dataset'!L37/'Import-dataset'!L36,0)</f>
        <v>0.9244246862</v>
      </c>
      <c r="M36" s="11">
        <f>IFERROR('Import-dataset'!M37/'Import-dataset'!M36,0)</f>
        <v>0.9919447641</v>
      </c>
      <c r="N36" s="11">
        <f>IFERROR('Import-dataset'!N37/'Import-dataset'!N36,0)</f>
        <v>1.061508704</v>
      </c>
      <c r="O36" s="11">
        <f>IFERROR('Import-dataset'!O37/'Import-dataset'!O36,0)</f>
        <v>0.7901234568</v>
      </c>
      <c r="P36" s="11">
        <f>IFERROR('Import-dataset'!P37/'Import-dataset'!P36,0)</f>
        <v>1.302268547</v>
      </c>
      <c r="Q36" s="11">
        <f>IFERROR('Import-dataset'!Q37/'Import-dataset'!Q36,0)</f>
        <v>0.2857142857</v>
      </c>
      <c r="R36" s="11">
        <f>IFERROR('Import-dataset'!R37/'Import-dataset'!R36,0)</f>
        <v>0.7234042553</v>
      </c>
      <c r="S36" s="11">
        <f>IFERROR('Import-dataset'!S37/'Import-dataset'!S36,0)</f>
        <v>1.098360656</v>
      </c>
      <c r="T36" s="11">
        <f>IFERROR('Import-dataset'!T37/'Import-dataset'!T36,0)</f>
        <v>1.312109863</v>
      </c>
      <c r="U36" s="11">
        <f>IFERROR('Import-dataset'!U37/'Import-dataset'!U36,0)</f>
        <v>1.170833333</v>
      </c>
      <c r="V36" s="11">
        <f>IFERROR('Import-dataset'!V37/'Import-dataset'!V36,0)</f>
        <v>1.18556701</v>
      </c>
      <c r="W36" s="11">
        <f>IFERROR('Import-dataset'!W37/'Import-dataset'!W36,0)</f>
        <v>1.429530201</v>
      </c>
      <c r="X36" s="11">
        <f>IFERROR('Import-dataset'!X37/'Import-dataset'!X36,0)</f>
        <v>1.637931034</v>
      </c>
      <c r="Y36" s="11">
        <f>IFERROR('Import-dataset'!Y37/'Import-dataset'!Y36,0)</f>
        <v>1.037900875</v>
      </c>
      <c r="Z36" s="11">
        <f>IFERROR('Import-dataset'!Z37/'Import-dataset'!Z36,0)</f>
        <v>1.495196884</v>
      </c>
      <c r="AA36" s="11">
        <f>IFERROR('Import-dataset'!AA37/'Import-dataset'!AA36,0)</f>
        <v>1.351351351</v>
      </c>
      <c r="AB36" s="11">
        <f>IFERROR('Import-dataset'!AB37/'Import-dataset'!AB36,0)</f>
        <v>1.498415493</v>
      </c>
      <c r="AC36" s="11">
        <f>IFERROR('Import-dataset'!AC37/'Import-dataset'!AC36,0)</f>
        <v>1.280991736</v>
      </c>
      <c r="AD36" s="11">
        <f>IFERROR('Import-dataset'!AD37/'Import-dataset'!AD36,0)</f>
        <v>1.083441982</v>
      </c>
      <c r="AE36" s="11">
        <f>IFERROR('Import-dataset'!AE37/'Import-dataset'!AE36,0)</f>
        <v>1.058823529</v>
      </c>
      <c r="AF36" s="11">
        <f>IFERROR('Import-dataset'!AF37/'Import-dataset'!AF36,0)</f>
        <v>1.084529506</v>
      </c>
      <c r="AG36" s="11">
        <f>IFERROR('Import-dataset'!AG37/'Import-dataset'!AG36,0)</f>
        <v>1.109090909</v>
      </c>
      <c r="AH36" s="11">
        <f>IFERROR('Import-dataset'!AH37/'Import-dataset'!AH36,0)</f>
        <v>1.112232636</v>
      </c>
      <c r="AI36" s="11">
        <f>IFERROR('Import-dataset'!AI37/'Import-dataset'!AI36,0)</f>
        <v>1.143553223</v>
      </c>
      <c r="AJ36" s="11">
        <f>IFERROR('Import-dataset'!AJ37/'Import-dataset'!AJ36,0)</f>
        <v>1.232981783</v>
      </c>
      <c r="AK36" s="11">
        <f>IFERROR('Import-dataset'!AK37/'Import-dataset'!AK36,0)</f>
        <v>1.062730627</v>
      </c>
      <c r="AL36" s="11">
        <f>IFERROR('Import-dataset'!AL37/'Import-dataset'!AL36,0)</f>
        <v>1.070134763</v>
      </c>
      <c r="AM36" s="11">
        <f>IFERROR('Import-dataset'!AM37/'Import-dataset'!AM36,0)</f>
        <v>0.9725440806</v>
      </c>
      <c r="AN36" s="11">
        <f>IFERROR('Import-dataset'!AN37/'Import-dataset'!AN36,0)</f>
        <v>1.549952875</v>
      </c>
      <c r="AO36" s="11">
        <f>IFERROR('Import-dataset'!AO37/'Import-dataset'!AO36,0)</f>
        <v>1.252104771</v>
      </c>
      <c r="AP36" s="11">
        <f>IFERROR('Import-dataset'!AP37/'Import-dataset'!AP36,0)</f>
        <v>1.067131648</v>
      </c>
      <c r="AQ36" s="11">
        <f>IFERROR('Import-dataset'!AQ37/'Import-dataset'!AQ36,0)</f>
        <v>1.077513799</v>
      </c>
      <c r="AR36" s="11">
        <f>IFERROR('Import-dataset'!AR37/'Import-dataset'!AR36,0)</f>
        <v>1.074883721</v>
      </c>
      <c r="AS36" s="11">
        <f>IFERROR('Import-dataset'!AS37/'Import-dataset'!AS36,0)</f>
        <v>1.288888889</v>
      </c>
      <c r="AT36" s="11">
        <f>IFERROR('Import-dataset'!AT37/'Import-dataset'!AT36,0)</f>
        <v>1.063585229</v>
      </c>
      <c r="AU36" s="11">
        <f>IFERROR('Import-dataset'!AU37/'Import-dataset'!AU36,0)</f>
        <v>1.182522903</v>
      </c>
      <c r="AV36" s="11">
        <f>IFERROR('Import-dataset'!AV37/'Import-dataset'!AV36,0)</f>
        <v>0.9825901038</v>
      </c>
      <c r="AW36" s="11">
        <f>IFERROR('Import-dataset'!AW37/'Import-dataset'!AW36,0)</f>
        <v>0.7957937585</v>
      </c>
      <c r="AX36" s="11">
        <f>IFERROR('Import-dataset'!AX37/'Import-dataset'!AX36,0)</f>
        <v>1.106487464</v>
      </c>
      <c r="AY36" s="11">
        <f>IFERROR('Import-dataset'!AY37/'Import-dataset'!AY36,0)</f>
        <v>1.292278239</v>
      </c>
      <c r="AZ36" s="11">
        <f>IFERROR('Import-dataset'!AZ37/'Import-dataset'!AZ36,0)</f>
        <v>1.127919911</v>
      </c>
      <c r="BA36" s="11">
        <f>IFERROR('Import-dataset'!BA37/'Import-dataset'!BA36,0)</f>
        <v>1.16588785</v>
      </c>
      <c r="BB36" s="11">
        <f>IFERROR('Import-dataset'!BB37/'Import-dataset'!BB36,0)</f>
        <v>1.13081677</v>
      </c>
      <c r="BC36" s="11">
        <f>IFERROR('Import-dataset'!BC37/'Import-dataset'!BC36,0)</f>
        <v>0.9404322615</v>
      </c>
      <c r="BD36" s="11">
        <f>IFERROR('Import-dataset'!BD37/'Import-dataset'!BD36,0)</f>
        <v>1.223679245</v>
      </c>
      <c r="BE36" s="11">
        <f>IFERROR('Import-dataset'!BE37/'Import-dataset'!BE36,0)</f>
        <v>1.292942743</v>
      </c>
      <c r="BF36" s="11">
        <f>IFERROR('Import-dataset'!BF37/'Import-dataset'!BF36,0)</f>
        <v>1.080520641</v>
      </c>
      <c r="BG36" s="11">
        <f>IFERROR('Import-dataset'!BG37/'Import-dataset'!BG36,0)</f>
        <v>1.060136491</v>
      </c>
      <c r="BH36" s="11">
        <f>IFERROR('Import-dataset'!BH37/'Import-dataset'!BH36,0)</f>
        <v>1.005344553</v>
      </c>
      <c r="BI36" s="11">
        <f>IFERROR('Import-dataset'!BI37/'Import-dataset'!BI36,0)</f>
        <v>1.098909701</v>
      </c>
      <c r="BJ36" s="11">
        <f>IFERROR('Import-dataset'!BJ37/'Import-dataset'!BJ36,0)</f>
        <v>1.279804191</v>
      </c>
      <c r="BK36" s="11">
        <f>IFERROR('Import-dataset'!BK37/'Import-dataset'!BK36,0)</f>
        <v>1.029311886</v>
      </c>
      <c r="BL36" s="11">
        <f>IFERROR('Import-dataset'!BL37/'Import-dataset'!BL36,0)</f>
        <v>1.088899025</v>
      </c>
      <c r="BM36" s="11">
        <f>IFERROR('Import-dataset'!BM37/'Import-dataset'!BM36,0)</f>
        <v>1.134414832</v>
      </c>
      <c r="BN36" s="11">
        <f>IFERROR('Import-dataset'!BN37/'Import-dataset'!BN36,0)</f>
        <v>1.080972435</v>
      </c>
      <c r="BO36" s="11">
        <f>IFERROR('Import-dataset'!BO37/'Import-dataset'!BO36,0)</f>
        <v>1.079365079</v>
      </c>
      <c r="BP36" s="11">
        <f>IFERROR('Import-dataset'!BP37/'Import-dataset'!BP36,0)</f>
        <v>1.078342823</v>
      </c>
      <c r="BQ36" s="11">
        <f>IFERROR('Import-dataset'!BQ37/'Import-dataset'!BQ36,0)</f>
        <v>1.144280968</v>
      </c>
      <c r="BR36" s="11">
        <f>IFERROR('Import-dataset'!BR37/'Import-dataset'!BR36,0)</f>
        <v>1.053750967</v>
      </c>
      <c r="BS36" s="11">
        <f>IFERROR('Import-dataset'!BS37/'Import-dataset'!BS36,0)</f>
        <v>1.10005322</v>
      </c>
      <c r="BT36" s="11">
        <f>IFERROR('Import-dataset'!BT37/'Import-dataset'!BT36,0)</f>
        <v>1.102945875</v>
      </c>
      <c r="BU36" s="11">
        <f>IFERROR('Import-dataset'!BU37/'Import-dataset'!BU36,0)</f>
        <v>0.9409937888</v>
      </c>
      <c r="BV36" s="11">
        <f>IFERROR('Import-dataset'!BV37/'Import-dataset'!BV36,0)</f>
        <v>2</v>
      </c>
      <c r="BW36" s="11">
        <f>IFERROR('Import-dataset'!BW37/'Import-dataset'!BW36,0)</f>
        <v>0.9333333333</v>
      </c>
      <c r="BX36" s="11">
        <f>IFERROR('Import-dataset'!BX37/'Import-dataset'!BX36,0)</f>
        <v>0.9166666667</v>
      </c>
      <c r="BY36" s="11">
        <f>IFERROR('Import-dataset'!BY37/'Import-dataset'!BY36,0)</f>
        <v>0.7086229366</v>
      </c>
      <c r="BZ36" s="11">
        <f>IFERROR('Import-dataset'!BZ37/'Import-dataset'!BZ36,0)</f>
        <v>1.753419453</v>
      </c>
      <c r="CA36" s="11">
        <f>IFERROR('Import-dataset'!CA37/'Import-dataset'!CA36,0)</f>
        <v>1.124781166</v>
      </c>
    </row>
    <row r="37" ht="15.75" customHeight="1">
      <c r="A37" s="9" t="str">
        <f>'Import-dataset'!A38</f>
        <v>Y2022</v>
      </c>
      <c r="B37" s="11">
        <f>IFERROR('Import-dataset'!B38/'Import-dataset'!B37,0)</f>
        <v>1.189846416</v>
      </c>
      <c r="C37" s="11">
        <f>IFERROR('Import-dataset'!C38/'Import-dataset'!C37,0)</f>
        <v>1.070512821</v>
      </c>
      <c r="D37" s="11">
        <f>IFERROR('Import-dataset'!D38/'Import-dataset'!D37,0)</f>
        <v>1.107660455</v>
      </c>
      <c r="E37" s="11">
        <f>IFERROR('Import-dataset'!E38/'Import-dataset'!E37,0)</f>
        <v>1.257997218</v>
      </c>
      <c r="F37" s="11">
        <f>IFERROR('Import-dataset'!F38/'Import-dataset'!F37,0)</f>
        <v>1.306830309</v>
      </c>
      <c r="G37" s="11">
        <f>IFERROR('Import-dataset'!G38/'Import-dataset'!G37,0)</f>
        <v>1.164447018</v>
      </c>
      <c r="H37" s="11">
        <f>IFERROR('Import-dataset'!H38/'Import-dataset'!H37,0)</f>
        <v>1.114910116</v>
      </c>
      <c r="I37" s="11">
        <f>IFERROR('Import-dataset'!I38/'Import-dataset'!I37,0)</f>
        <v>1.150712831</v>
      </c>
      <c r="J37" s="11">
        <f>IFERROR('Import-dataset'!J38/'Import-dataset'!J37,0)</f>
        <v>1.185767098</v>
      </c>
      <c r="K37" s="11">
        <f>IFERROR('Import-dataset'!K38/'Import-dataset'!K37,0)</f>
        <v>1.360655738</v>
      </c>
      <c r="L37" s="11">
        <f>IFERROR('Import-dataset'!L38/'Import-dataset'!L37,0)</f>
        <v>1.149363508</v>
      </c>
      <c r="M37" s="11">
        <f>IFERROR('Import-dataset'!M38/'Import-dataset'!M37,0)</f>
        <v>1.117169374</v>
      </c>
      <c r="N37" s="11">
        <f>IFERROR('Import-dataset'!N38/'Import-dataset'!N37,0)</f>
        <v>1.155247813</v>
      </c>
      <c r="O37" s="11">
        <f>IFERROR('Import-dataset'!O38/'Import-dataset'!O37,0)</f>
        <v>0.96875</v>
      </c>
      <c r="P37" s="11">
        <f>IFERROR('Import-dataset'!P38/'Import-dataset'!P37,0)</f>
        <v>1.094868173</v>
      </c>
      <c r="Q37" s="11">
        <f>IFERROR('Import-dataset'!Q38/'Import-dataset'!Q37,0)</f>
        <v>2</v>
      </c>
      <c r="R37" s="11">
        <f>IFERROR('Import-dataset'!R38/'Import-dataset'!R37,0)</f>
        <v>1.323529412</v>
      </c>
      <c r="S37" s="11">
        <f>IFERROR('Import-dataset'!S38/'Import-dataset'!S37,0)</f>
        <v>1.104477612</v>
      </c>
      <c r="T37" s="11">
        <f>IFERROR('Import-dataset'!T38/'Import-dataset'!T37,0)</f>
        <v>1.373929591</v>
      </c>
      <c r="U37" s="11">
        <f>IFERROR('Import-dataset'!U38/'Import-dataset'!U37,0)</f>
        <v>1.298932384</v>
      </c>
      <c r="V37" s="11">
        <f>IFERROR('Import-dataset'!V38/'Import-dataset'!V37,0)</f>
        <v>1.086956522</v>
      </c>
      <c r="W37" s="11">
        <f>IFERROR('Import-dataset'!W38/'Import-dataset'!W37,0)</f>
        <v>1.417840376</v>
      </c>
      <c r="X37" s="11">
        <f>IFERROR('Import-dataset'!X38/'Import-dataset'!X37,0)</f>
        <v>0.6631578947</v>
      </c>
      <c r="Y37" s="11">
        <f>IFERROR('Import-dataset'!Y38/'Import-dataset'!Y37,0)</f>
        <v>1.237359551</v>
      </c>
      <c r="Z37" s="11">
        <f>IFERROR('Import-dataset'!Z38/'Import-dataset'!Z37,0)</f>
        <v>1.904526249</v>
      </c>
      <c r="AA37" s="11">
        <f>IFERROR('Import-dataset'!AA38/'Import-dataset'!AA37,0)</f>
        <v>1.875</v>
      </c>
      <c r="AB37" s="11">
        <f>IFERROR('Import-dataset'!AB38/'Import-dataset'!AB37,0)</f>
        <v>1.911702503</v>
      </c>
      <c r="AC37" s="11">
        <f>IFERROR('Import-dataset'!AC38/'Import-dataset'!AC37,0)</f>
        <v>1.135483871</v>
      </c>
      <c r="AD37" s="11">
        <f>IFERROR('Import-dataset'!AD38/'Import-dataset'!AD37,0)</f>
        <v>1.314079422</v>
      </c>
      <c r="AE37" s="11">
        <f>IFERROR('Import-dataset'!AE38/'Import-dataset'!AE37,0)</f>
        <v>1.422222222</v>
      </c>
      <c r="AF37" s="11">
        <f>IFERROR('Import-dataset'!AF38/'Import-dataset'!AF37,0)</f>
        <v>1.305882353</v>
      </c>
      <c r="AG37" s="11">
        <f>IFERROR('Import-dataset'!AG38/'Import-dataset'!AG37,0)</f>
        <v>1.245901639</v>
      </c>
      <c r="AH37" s="11">
        <f>IFERROR('Import-dataset'!AH38/'Import-dataset'!AH37,0)</f>
        <v>1.388018583</v>
      </c>
      <c r="AI37" s="11">
        <f>IFERROR('Import-dataset'!AI38/'Import-dataset'!AI37,0)</f>
        <v>1.230744018</v>
      </c>
      <c r="AJ37" s="11">
        <f>IFERROR('Import-dataset'!AJ38/'Import-dataset'!AJ37,0)</f>
        <v>2.644634526</v>
      </c>
      <c r="AK37" s="11">
        <f>IFERROR('Import-dataset'!AK38/'Import-dataset'!AK37,0)</f>
        <v>1.099826389</v>
      </c>
      <c r="AL37" s="11">
        <f>IFERROR('Import-dataset'!AL38/'Import-dataset'!AL37,0)</f>
        <v>1.293568043</v>
      </c>
      <c r="AM37" s="11">
        <f>IFERROR('Import-dataset'!AM38/'Import-dataset'!AM37,0)</f>
        <v>1.206164206</v>
      </c>
      <c r="AN37" s="11">
        <f>IFERROR('Import-dataset'!AN38/'Import-dataset'!AN37,0)</f>
        <v>1.734873822</v>
      </c>
      <c r="AO37" s="11">
        <f>IFERROR('Import-dataset'!AO38/'Import-dataset'!AO37,0)</f>
        <v>1.17594322</v>
      </c>
      <c r="AP37" s="11">
        <f>IFERROR('Import-dataset'!AP38/'Import-dataset'!AP37,0)</f>
        <v>1.170751634</v>
      </c>
      <c r="AQ37" s="11">
        <f>IFERROR('Import-dataset'!AQ38/'Import-dataset'!AQ37,0)</f>
        <v>1.666815145</v>
      </c>
      <c r="AR37" s="11">
        <f>IFERROR('Import-dataset'!AR38/'Import-dataset'!AR37,0)</f>
        <v>1.190420814</v>
      </c>
      <c r="AS37" s="11">
        <f>IFERROR('Import-dataset'!AS38/'Import-dataset'!AS37,0)</f>
        <v>1.16091954</v>
      </c>
      <c r="AT37" s="11">
        <f>IFERROR('Import-dataset'!AT38/'Import-dataset'!AT37,0)</f>
        <v>1.177971948</v>
      </c>
      <c r="AU37" s="11">
        <f>IFERROR('Import-dataset'!AU38/'Import-dataset'!AU37,0)</f>
        <v>1.218712753</v>
      </c>
      <c r="AV37" s="11">
        <f>IFERROR('Import-dataset'!AV38/'Import-dataset'!AV37,0)</f>
        <v>1.181846441</v>
      </c>
      <c r="AW37" s="11">
        <f>IFERROR('Import-dataset'!AW38/'Import-dataset'!AW37,0)</f>
        <v>1.134484228</v>
      </c>
      <c r="AX37" s="11">
        <f>IFERROR('Import-dataset'!AX38/'Import-dataset'!AX37,0)</f>
        <v>1.129409017</v>
      </c>
      <c r="AY37" s="11">
        <f>IFERROR('Import-dataset'!AY38/'Import-dataset'!AY37,0)</f>
        <v>1.287407407</v>
      </c>
      <c r="AZ37" s="11">
        <f>IFERROR('Import-dataset'!AZ38/'Import-dataset'!AZ37,0)</f>
        <v>1.238412229</v>
      </c>
      <c r="BA37" s="11">
        <f>IFERROR('Import-dataset'!BA38/'Import-dataset'!BA37,0)</f>
        <v>1.188090467</v>
      </c>
      <c r="BB37" s="11">
        <f>IFERROR('Import-dataset'!BB38/'Import-dataset'!BB37,0)</f>
        <v>1.158761927</v>
      </c>
      <c r="BC37" s="11">
        <f>IFERROR('Import-dataset'!BC38/'Import-dataset'!BC37,0)</f>
        <v>1.167787743</v>
      </c>
      <c r="BD37" s="11">
        <f>IFERROR('Import-dataset'!BD38/'Import-dataset'!BD37,0)</f>
        <v>1.21887287</v>
      </c>
      <c r="BE37" s="11">
        <f>IFERROR('Import-dataset'!BE38/'Import-dataset'!BE37,0)</f>
        <v>1.127703399</v>
      </c>
      <c r="BF37" s="11">
        <f>IFERROR('Import-dataset'!BF38/'Import-dataset'!BF37,0)</f>
        <v>1.17360496</v>
      </c>
      <c r="BG37" s="11">
        <f>IFERROR('Import-dataset'!BG38/'Import-dataset'!BG37,0)</f>
        <v>1.115343835</v>
      </c>
      <c r="BH37" s="11">
        <f>IFERROR('Import-dataset'!BH38/'Import-dataset'!BH37,0)</f>
        <v>1.150378916</v>
      </c>
      <c r="BI37" s="11">
        <f>IFERROR('Import-dataset'!BI38/'Import-dataset'!BI37,0)</f>
        <v>1.185458431</v>
      </c>
      <c r="BJ37" s="11">
        <f>IFERROR('Import-dataset'!BJ38/'Import-dataset'!BJ37,0)</f>
        <v>1.167319713</v>
      </c>
      <c r="BK37" s="11">
        <f>IFERROR('Import-dataset'!BK38/'Import-dataset'!BK37,0)</f>
        <v>0.9470394166</v>
      </c>
      <c r="BL37" s="11">
        <f>IFERROR('Import-dataset'!BL38/'Import-dataset'!BL37,0)</f>
        <v>1.146427574</v>
      </c>
      <c r="BM37" s="11">
        <f>IFERROR('Import-dataset'!BM38/'Import-dataset'!BM37,0)</f>
        <v>1.090909091</v>
      </c>
      <c r="BN37" s="11">
        <f>IFERROR('Import-dataset'!BN38/'Import-dataset'!BN37,0)</f>
        <v>1.109615725</v>
      </c>
      <c r="BO37" s="11">
        <f>IFERROR('Import-dataset'!BO38/'Import-dataset'!BO37,0)</f>
        <v>1.349877451</v>
      </c>
      <c r="BP37" s="11">
        <f>IFERROR('Import-dataset'!BP38/'Import-dataset'!BP37,0)</f>
        <v>1.167971595</v>
      </c>
      <c r="BQ37" s="11">
        <f>IFERROR('Import-dataset'!BQ38/'Import-dataset'!BQ37,0)</f>
        <v>1.287432601</v>
      </c>
      <c r="BR37" s="11">
        <f>IFERROR('Import-dataset'!BR38/'Import-dataset'!BR37,0)</f>
        <v>1.113639144</v>
      </c>
      <c r="BS37" s="11">
        <f>IFERROR('Import-dataset'!BS38/'Import-dataset'!BS37,0)</f>
        <v>1.200290276</v>
      </c>
      <c r="BT37" s="11">
        <f>IFERROR('Import-dataset'!BT38/'Import-dataset'!BT37,0)</f>
        <v>1.121205098</v>
      </c>
      <c r="BU37" s="11">
        <f>IFERROR('Import-dataset'!BU38/'Import-dataset'!BU37,0)</f>
        <v>1.096066363</v>
      </c>
      <c r="BV37" s="11">
        <f>IFERROR('Import-dataset'!BV38/'Import-dataset'!BV37,0)</f>
        <v>0.75</v>
      </c>
      <c r="BW37" s="11">
        <f>IFERROR('Import-dataset'!BW38/'Import-dataset'!BW37,0)</f>
        <v>1.428571429</v>
      </c>
      <c r="BX37" s="11">
        <f>IFERROR('Import-dataset'!BX38/'Import-dataset'!BX37,0)</f>
        <v>1.545454545</v>
      </c>
      <c r="BY37" s="11">
        <f>IFERROR('Import-dataset'!BY38/'Import-dataset'!BY37,0)</f>
        <v>1.06651341</v>
      </c>
      <c r="BZ37" s="11">
        <f>IFERROR('Import-dataset'!BZ38/'Import-dataset'!BZ37,0)</f>
        <v>1.13304442</v>
      </c>
      <c r="CA37" s="11">
        <f>IFERROR('Import-dataset'!CA38/'Import-dataset'!CA37,0)</f>
        <v>1.262719614</v>
      </c>
    </row>
    <row r="38" ht="15.75" customHeight="1">
      <c r="A38" s="9" t="str">
        <f>'Import-dataset'!A39</f>
        <v>Y2023</v>
      </c>
      <c r="B38" s="11">
        <f>IFERROR('Import-dataset'!B39/'Import-dataset'!B38,0)</f>
        <v>1.007990575</v>
      </c>
      <c r="C38" s="11">
        <f>IFERROR('Import-dataset'!C39/'Import-dataset'!C38,0)</f>
        <v>1.269461078</v>
      </c>
      <c r="D38" s="11">
        <f>IFERROR('Import-dataset'!D39/'Import-dataset'!D38,0)</f>
        <v>0.9672897196</v>
      </c>
      <c r="E38" s="11">
        <f>IFERROR('Import-dataset'!E39/'Import-dataset'!E38,0)</f>
        <v>1.124378109</v>
      </c>
      <c r="F38" s="11">
        <f>IFERROR('Import-dataset'!F39/'Import-dataset'!F38,0)</f>
        <v>0.9105757452</v>
      </c>
      <c r="G38" s="11">
        <f>IFERROR('Import-dataset'!G39/'Import-dataset'!G38,0)</f>
        <v>1.062655395</v>
      </c>
      <c r="H38" s="11">
        <f>IFERROR('Import-dataset'!H39/'Import-dataset'!H38,0)</f>
        <v>1.063863421</v>
      </c>
      <c r="I38" s="11">
        <f>IFERROR('Import-dataset'!I39/'Import-dataset'!I38,0)</f>
        <v>1.081415929</v>
      </c>
      <c r="J38" s="11">
        <f>IFERROR('Import-dataset'!J39/'Import-dataset'!J38,0)</f>
        <v>1.006235386</v>
      </c>
      <c r="K38" s="11">
        <f>IFERROR('Import-dataset'!K39/'Import-dataset'!K38,0)</f>
        <v>0.8662650602</v>
      </c>
      <c r="L38" s="11">
        <f>IFERROR('Import-dataset'!L39/'Import-dataset'!L38,0)</f>
        <v>0.9931085405</v>
      </c>
      <c r="M38" s="11">
        <f>IFERROR('Import-dataset'!M39/'Import-dataset'!M38,0)</f>
        <v>0.9127725857</v>
      </c>
      <c r="N38" s="11">
        <f>IFERROR('Import-dataset'!N39/'Import-dataset'!N38,0)</f>
        <v>0.923659306</v>
      </c>
      <c r="O38" s="11">
        <f>IFERROR('Import-dataset'!O39/'Import-dataset'!O38,0)</f>
        <v>0.862170088</v>
      </c>
      <c r="P38" s="11">
        <f>IFERROR('Import-dataset'!P39/'Import-dataset'!P38,0)</f>
        <v>0.8449795743</v>
      </c>
      <c r="Q38" s="11">
        <f>IFERROR('Import-dataset'!Q39/'Import-dataset'!Q38,0)</f>
        <v>0.5</v>
      </c>
      <c r="R38" s="11">
        <f>IFERROR('Import-dataset'!R39/'Import-dataset'!R38,0)</f>
        <v>0.8888888889</v>
      </c>
      <c r="S38" s="11">
        <f>IFERROR('Import-dataset'!S39/'Import-dataset'!S38,0)</f>
        <v>0.8783783784</v>
      </c>
      <c r="T38" s="11">
        <f>IFERROR('Import-dataset'!T39/'Import-dataset'!T38,0)</f>
        <v>0.5824099723</v>
      </c>
      <c r="U38" s="11">
        <f>IFERROR('Import-dataset'!U39/'Import-dataset'!U38,0)</f>
        <v>0.7671232877</v>
      </c>
      <c r="V38" s="11">
        <f>IFERROR('Import-dataset'!V39/'Import-dataset'!V38,0)</f>
        <v>0.952</v>
      </c>
      <c r="W38" s="11">
        <f>IFERROR('Import-dataset'!W39/'Import-dataset'!W38,0)</f>
        <v>0.7913907285</v>
      </c>
      <c r="X38" s="11">
        <f>IFERROR('Import-dataset'!X39/'Import-dataset'!X38,0)</f>
        <v>1.078306878</v>
      </c>
      <c r="Y38" s="11">
        <f>IFERROR('Import-dataset'!Y39/'Import-dataset'!Y38,0)</f>
        <v>1.068104427</v>
      </c>
      <c r="Z38" s="11">
        <f>IFERROR('Import-dataset'!Z39/'Import-dataset'!Z38,0)</f>
        <v>0.9266209789</v>
      </c>
      <c r="AA38" s="11">
        <f>IFERROR('Import-dataset'!AA39/'Import-dataset'!AA38,0)</f>
        <v>0.816</v>
      </c>
      <c r="AB38" s="11">
        <f>IFERROR('Import-dataset'!AB39/'Import-dataset'!AB38,0)</f>
        <v>0.9277680465</v>
      </c>
      <c r="AC38" s="11">
        <f>IFERROR('Import-dataset'!AC39/'Import-dataset'!AC38,0)</f>
        <v>0.8323863636</v>
      </c>
      <c r="AD38" s="11">
        <f>IFERROR('Import-dataset'!AD39/'Import-dataset'!AD38,0)</f>
        <v>0.9075091575</v>
      </c>
      <c r="AE38" s="11">
        <f>IFERROR('Import-dataset'!AE39/'Import-dataset'!AE38,0)</f>
        <v>1.265625</v>
      </c>
      <c r="AF38" s="11">
        <f>IFERROR('Import-dataset'!AF39/'Import-dataset'!AF38,0)</f>
        <v>0.8457207207</v>
      </c>
      <c r="AG38" s="11">
        <f>IFERROR('Import-dataset'!AG39/'Import-dataset'!AG38,0)</f>
        <v>1.026315789</v>
      </c>
      <c r="AH38" s="11">
        <f>IFERROR('Import-dataset'!AH39/'Import-dataset'!AH38,0)</f>
        <v>0.8334695466</v>
      </c>
      <c r="AI38" s="11">
        <f>IFERROR('Import-dataset'!AI39/'Import-dataset'!AI38,0)</f>
        <v>0.72436751</v>
      </c>
      <c r="AJ38" s="11">
        <f>IFERROR('Import-dataset'!AJ39/'Import-dataset'!AJ38,0)</f>
        <v>0.8321082035</v>
      </c>
      <c r="AK38" s="11">
        <f>IFERROR('Import-dataset'!AK39/'Import-dataset'!AK38,0)</f>
        <v>0.9060773481</v>
      </c>
      <c r="AL38" s="11">
        <f>IFERROR('Import-dataset'!AL39/'Import-dataset'!AL38,0)</f>
        <v>0.8898251858</v>
      </c>
      <c r="AM38" s="11">
        <f>IFERROR('Import-dataset'!AM39/'Import-dataset'!AM38,0)</f>
        <v>1.109727292</v>
      </c>
      <c r="AN38" s="11">
        <f>IFERROR('Import-dataset'!AN39/'Import-dataset'!AN38,0)</f>
        <v>0.6244304241</v>
      </c>
      <c r="AO38" s="11">
        <f>IFERROR('Import-dataset'!AO39/'Import-dataset'!AO38,0)</f>
        <v>0.8665819568</v>
      </c>
      <c r="AP38" s="11">
        <f>IFERROR('Import-dataset'!AP39/'Import-dataset'!AP38,0)</f>
        <v>0.9427773901</v>
      </c>
      <c r="AQ38" s="11">
        <f>IFERROR('Import-dataset'!AQ39/'Import-dataset'!AQ38,0)</f>
        <v>0.6643506146</v>
      </c>
      <c r="AR38" s="11">
        <f>IFERROR('Import-dataset'!AR39/'Import-dataset'!AR38,0)</f>
        <v>0.9234159529</v>
      </c>
      <c r="AS38" s="11">
        <f>IFERROR('Import-dataset'!AS39/'Import-dataset'!AS38,0)</f>
        <v>0.8712871287</v>
      </c>
      <c r="AT38" s="11">
        <f>IFERROR('Import-dataset'!AT39/'Import-dataset'!AT38,0)</f>
        <v>1.013078274</v>
      </c>
      <c r="AU38" s="11">
        <f>IFERROR('Import-dataset'!AU39/'Import-dataset'!AU38,0)</f>
        <v>0.8474327628</v>
      </c>
      <c r="AV38" s="11">
        <f>IFERROR('Import-dataset'!AV39/'Import-dataset'!AV38,0)</f>
        <v>1.006575487</v>
      </c>
      <c r="AW38" s="11">
        <f>IFERROR('Import-dataset'!AW39/'Import-dataset'!AW38,0)</f>
        <v>0.8034942701</v>
      </c>
      <c r="AX38" s="11">
        <f>IFERROR('Import-dataset'!AX39/'Import-dataset'!AX38,0)</f>
        <v>0.9524301965</v>
      </c>
      <c r="AY38" s="11">
        <f>IFERROR('Import-dataset'!AY39/'Import-dataset'!AY38,0)</f>
        <v>0.9102416571</v>
      </c>
      <c r="AZ38" s="11">
        <f>IFERROR('Import-dataset'!AZ39/'Import-dataset'!AZ38,0)</f>
        <v>0.8309775035</v>
      </c>
      <c r="BA38" s="11">
        <f>IFERROR('Import-dataset'!BA39/'Import-dataset'!BA38,0)</f>
        <v>0.9572690763</v>
      </c>
      <c r="BB38" s="11">
        <f>IFERROR('Import-dataset'!BB39/'Import-dataset'!BB38,0)</f>
        <v>1.105977655</v>
      </c>
      <c r="BC38" s="11">
        <f>IFERROR('Import-dataset'!BC39/'Import-dataset'!BC38,0)</f>
        <v>1.18384</v>
      </c>
      <c r="BD38" s="11">
        <f>IFERROR('Import-dataset'!BD39/'Import-dataset'!BD38,0)</f>
        <v>1.158760278</v>
      </c>
      <c r="BE38" s="11">
        <f>IFERROR('Import-dataset'!BE39/'Import-dataset'!BE38,0)</f>
        <v>1.069406393</v>
      </c>
      <c r="BF38" s="11">
        <f>IFERROR('Import-dataset'!BF39/'Import-dataset'!BF38,0)</f>
        <v>1.049308176</v>
      </c>
      <c r="BG38" s="11">
        <f>IFERROR('Import-dataset'!BG39/'Import-dataset'!BG38,0)</f>
        <v>0.8505466151</v>
      </c>
      <c r="BH38" s="11">
        <f>IFERROR('Import-dataset'!BH39/'Import-dataset'!BH38,0)</f>
        <v>0.9933139964</v>
      </c>
      <c r="BI38" s="11">
        <f>IFERROR('Import-dataset'!BI39/'Import-dataset'!BI38,0)</f>
        <v>1.029700846</v>
      </c>
      <c r="BJ38" s="11">
        <f>IFERROR('Import-dataset'!BJ39/'Import-dataset'!BJ38,0)</f>
        <v>1.26007992</v>
      </c>
      <c r="BK38" s="11">
        <f>IFERROR('Import-dataset'!BK39/'Import-dataset'!BK38,0)</f>
        <v>1.099193253</v>
      </c>
      <c r="BL38" s="11">
        <f>IFERROR('Import-dataset'!BL39/'Import-dataset'!BL38,0)</f>
        <v>0.9692214006</v>
      </c>
      <c r="BM38" s="11">
        <f>IFERROR('Import-dataset'!BM39/'Import-dataset'!BM38,0)</f>
        <v>0.9176029963</v>
      </c>
      <c r="BN38" s="11">
        <f>IFERROR('Import-dataset'!BN39/'Import-dataset'!BN38,0)</f>
        <v>0.8515799553</v>
      </c>
      <c r="BO38" s="11">
        <f>IFERROR('Import-dataset'!BO39/'Import-dataset'!BO38,0)</f>
        <v>1.020880617</v>
      </c>
      <c r="BP38" s="11">
        <f>IFERROR('Import-dataset'!BP39/'Import-dataset'!BP38,0)</f>
        <v>0.9482422636</v>
      </c>
      <c r="BQ38" s="11">
        <f>IFERROR('Import-dataset'!BQ39/'Import-dataset'!BQ38,0)</f>
        <v>0.9297680412</v>
      </c>
      <c r="BR38" s="11">
        <f>IFERROR('Import-dataset'!BR39/'Import-dataset'!BR38,0)</f>
        <v>1.099626538</v>
      </c>
      <c r="BS38" s="11">
        <f>IFERROR('Import-dataset'!BS39/'Import-dataset'!BS38,0)</f>
        <v>1.048367594</v>
      </c>
      <c r="BT38" s="11">
        <f>IFERROR('Import-dataset'!BT39/'Import-dataset'!BT38,0)</f>
        <v>0.9558701943</v>
      </c>
      <c r="BU38" s="11">
        <f>IFERROR('Import-dataset'!BU39/'Import-dataset'!BU38,0)</f>
        <v>1.023193359</v>
      </c>
      <c r="BV38" s="11">
        <f>IFERROR('Import-dataset'!BV39/'Import-dataset'!BV38,0)</f>
        <v>2</v>
      </c>
      <c r="BW38" s="11">
        <f>IFERROR('Import-dataset'!BW39/'Import-dataset'!BW38,0)</f>
        <v>0.825</v>
      </c>
      <c r="BX38" s="11">
        <f>IFERROR('Import-dataset'!BX39/'Import-dataset'!BX38,0)</f>
        <v>1.117647059</v>
      </c>
      <c r="BY38" s="11">
        <f>IFERROR('Import-dataset'!BY39/'Import-dataset'!BY38,0)</f>
        <v>1.230780285</v>
      </c>
      <c r="BZ38" s="11">
        <f>IFERROR('Import-dataset'!BZ39/'Import-dataset'!BZ38,0)</f>
        <v>0.7490916045</v>
      </c>
      <c r="CA38" s="11">
        <f>IFERROR('Import-dataset'!CA39/'Import-dataset'!CA38,0)</f>
        <v>0.9937265886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>
      <c r="A1" s="8" t="s">
        <v>275</v>
      </c>
      <c r="B1" s="8" t="s">
        <v>276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64</v>
      </c>
      <c r="BO1" s="8" t="s">
        <v>65</v>
      </c>
      <c r="BP1" s="8" t="s">
        <v>66</v>
      </c>
      <c r="BQ1" s="8" t="s">
        <v>67</v>
      </c>
      <c r="BR1" s="8" t="s">
        <v>68</v>
      </c>
      <c r="BS1" s="8" t="s">
        <v>69</v>
      </c>
      <c r="BT1" s="8" t="s">
        <v>70</v>
      </c>
      <c r="BU1" s="8" t="s">
        <v>71</v>
      </c>
      <c r="BV1" s="8" t="s">
        <v>72</v>
      </c>
      <c r="BW1" s="8" t="s">
        <v>73</v>
      </c>
      <c r="BX1" s="8" t="s">
        <v>74</v>
      </c>
      <c r="BY1" s="8" t="s">
        <v>75</v>
      </c>
      <c r="BZ1" s="8" t="s">
        <v>76</v>
      </c>
      <c r="CA1" s="8" t="s">
        <v>77</v>
      </c>
      <c r="CB1" s="8" t="s">
        <v>78</v>
      </c>
    </row>
    <row r="2">
      <c r="A2" s="9" t="s">
        <v>160</v>
      </c>
      <c r="B2" s="9" t="s">
        <v>0</v>
      </c>
      <c r="C2" s="9">
        <v>7903.0</v>
      </c>
      <c r="D2" s="9">
        <v>322.0</v>
      </c>
      <c r="E2" s="9">
        <v>2423.0</v>
      </c>
      <c r="F2" s="9">
        <v>529.0</v>
      </c>
      <c r="G2" s="9">
        <v>663.0</v>
      </c>
      <c r="H2" s="9">
        <v>2071.0</v>
      </c>
      <c r="I2" s="9">
        <v>604.0</v>
      </c>
      <c r="J2" s="9">
        <v>859.0</v>
      </c>
      <c r="K2" s="9">
        <v>68.0</v>
      </c>
      <c r="L2" s="9">
        <v>273.0</v>
      </c>
      <c r="M2" s="9">
        <v>91.0</v>
      </c>
      <c r="N2" s="9">
        <v>272.0</v>
      </c>
      <c r="O2" s="9">
        <v>250.0</v>
      </c>
      <c r="P2" s="9">
        <v>22.0</v>
      </c>
      <c r="Q2" s="9">
        <v>13373.0</v>
      </c>
      <c r="R2" s="9">
        <v>614.0</v>
      </c>
      <c r="S2" s="9">
        <v>63.0</v>
      </c>
      <c r="T2" s="9">
        <v>10.0</v>
      </c>
      <c r="U2" s="9">
        <v>439.0</v>
      </c>
      <c r="V2" s="9">
        <v>37.0</v>
      </c>
      <c r="W2" s="9">
        <v>6270.0</v>
      </c>
      <c r="X2" s="9">
        <v>221.0</v>
      </c>
      <c r="Y2" s="9">
        <v>5595.0</v>
      </c>
      <c r="Z2" s="9">
        <v>124.0</v>
      </c>
      <c r="AA2" s="9">
        <v>6461.0</v>
      </c>
      <c r="AB2" s="9">
        <v>4636.0</v>
      </c>
      <c r="AC2" s="9">
        <v>1615.0</v>
      </c>
      <c r="AD2" s="9">
        <v>210.0</v>
      </c>
      <c r="AE2" s="9">
        <v>146.0</v>
      </c>
      <c r="AF2" s="9">
        <v>122.0</v>
      </c>
      <c r="AG2" s="9">
        <v>14.0</v>
      </c>
      <c r="AH2" s="9">
        <v>10.0</v>
      </c>
      <c r="AI2" s="9">
        <v>1041.0</v>
      </c>
      <c r="AJ2" s="9">
        <v>102.0</v>
      </c>
      <c r="AK2" s="9">
        <v>86.0</v>
      </c>
      <c r="AL2" s="9">
        <v>109.0</v>
      </c>
      <c r="AM2" s="9">
        <v>229.0</v>
      </c>
      <c r="AN2" s="9">
        <v>89.0</v>
      </c>
      <c r="AO2" s="9">
        <v>9.0</v>
      </c>
      <c r="AP2" s="9">
        <v>157.0</v>
      </c>
      <c r="AQ2" s="9">
        <v>61.0</v>
      </c>
      <c r="AR2" s="9">
        <v>199.0</v>
      </c>
      <c r="AS2" s="9">
        <v>5344.0</v>
      </c>
      <c r="AT2" s="9">
        <v>165.0</v>
      </c>
      <c r="AU2" s="9">
        <v>72.0</v>
      </c>
      <c r="AV2" s="9">
        <v>15.0</v>
      </c>
      <c r="AW2" s="9">
        <v>116.0</v>
      </c>
      <c r="AX2" s="9">
        <v>148.0</v>
      </c>
      <c r="AY2" s="9">
        <v>318.0</v>
      </c>
      <c r="AZ2" s="9">
        <v>501.0</v>
      </c>
      <c r="BA2" s="9">
        <v>3703.0</v>
      </c>
      <c r="BB2" s="9">
        <v>306.0</v>
      </c>
      <c r="BC2" s="9">
        <v>2744.0</v>
      </c>
      <c r="BD2" s="9">
        <v>366.0</v>
      </c>
      <c r="BE2" s="9">
        <v>336.0</v>
      </c>
      <c r="BF2" s="9">
        <v>39.0</v>
      </c>
      <c r="BG2" s="9">
        <v>322.0</v>
      </c>
      <c r="BH2" s="9">
        <v>406.0</v>
      </c>
      <c r="BI2" s="9">
        <v>142.0</v>
      </c>
      <c r="BJ2" s="9">
        <v>280.0</v>
      </c>
      <c r="BK2" s="9">
        <v>392.0</v>
      </c>
      <c r="BL2" s="9">
        <v>461.0</v>
      </c>
      <c r="BM2" s="9">
        <v>1075.0</v>
      </c>
      <c r="BN2" s="9">
        <v>31.0</v>
      </c>
      <c r="BO2" s="9">
        <v>36.0</v>
      </c>
      <c r="BP2" s="9">
        <v>2.0</v>
      </c>
      <c r="BQ2" s="9">
        <v>65.0</v>
      </c>
      <c r="BR2" s="9">
        <v>14.0</v>
      </c>
      <c r="BS2" s="9">
        <v>196.0</v>
      </c>
      <c r="BT2" s="9">
        <v>277.0</v>
      </c>
      <c r="BU2" s="9">
        <v>454.0</v>
      </c>
      <c r="BV2" s="9">
        <v>4006.0</v>
      </c>
      <c r="BW2" s="9">
        <v>156.0</v>
      </c>
      <c r="BX2" s="9">
        <v>196.0</v>
      </c>
      <c r="BY2" s="9">
        <v>1.0</v>
      </c>
      <c r="BZ2" s="9">
        <v>2674.0</v>
      </c>
      <c r="CA2" s="9">
        <v>979.0</v>
      </c>
      <c r="CB2" s="9">
        <v>42365.0</v>
      </c>
    </row>
    <row r="3">
      <c r="A3" s="9" t="s">
        <v>161</v>
      </c>
      <c r="B3" s="9" t="s">
        <v>0</v>
      </c>
      <c r="C3" s="9">
        <v>9487.0</v>
      </c>
      <c r="D3" s="9">
        <v>244.0</v>
      </c>
      <c r="E3" s="9">
        <v>2639.0</v>
      </c>
      <c r="F3" s="9">
        <v>682.0</v>
      </c>
      <c r="G3" s="9">
        <v>646.0</v>
      </c>
      <c r="H3" s="9">
        <v>3205.0</v>
      </c>
      <c r="I3" s="9">
        <v>514.0</v>
      </c>
      <c r="J3" s="9">
        <v>1128.0</v>
      </c>
      <c r="K3" s="9">
        <v>65.0</v>
      </c>
      <c r="L3" s="9">
        <v>267.0</v>
      </c>
      <c r="M3" s="9">
        <v>97.0</v>
      </c>
      <c r="N3" s="9">
        <v>228.0</v>
      </c>
      <c r="O3" s="9">
        <v>211.0</v>
      </c>
      <c r="P3" s="9">
        <v>17.0</v>
      </c>
      <c r="Q3" s="9">
        <v>14124.0</v>
      </c>
      <c r="R3" s="9">
        <v>515.0</v>
      </c>
      <c r="S3" s="9">
        <v>44.0</v>
      </c>
      <c r="T3" s="9">
        <v>14.0</v>
      </c>
      <c r="U3" s="9">
        <v>409.0</v>
      </c>
      <c r="V3" s="9">
        <v>33.0</v>
      </c>
      <c r="W3" s="9">
        <v>5642.0</v>
      </c>
      <c r="X3" s="9">
        <v>206.0</v>
      </c>
      <c r="Y3" s="9">
        <v>7128.0</v>
      </c>
      <c r="Z3" s="9">
        <v>133.0</v>
      </c>
      <c r="AA3" s="9">
        <v>7234.0</v>
      </c>
      <c r="AB3" s="9">
        <v>5314.0</v>
      </c>
      <c r="AC3" s="9">
        <v>1660.0</v>
      </c>
      <c r="AD3" s="9">
        <v>260.0</v>
      </c>
      <c r="AE3" s="9">
        <v>111.0</v>
      </c>
      <c r="AF3" s="9">
        <v>100.0</v>
      </c>
      <c r="AG3" s="9">
        <v>1.0</v>
      </c>
      <c r="AH3" s="9">
        <v>10.0</v>
      </c>
      <c r="AI3" s="9">
        <v>1174.0</v>
      </c>
      <c r="AJ3" s="9">
        <v>90.0</v>
      </c>
      <c r="AK3" s="9">
        <v>117.0</v>
      </c>
      <c r="AL3" s="9">
        <v>236.0</v>
      </c>
      <c r="AM3" s="9">
        <v>246.0</v>
      </c>
      <c r="AN3" s="9">
        <v>92.0</v>
      </c>
      <c r="AO3" s="9">
        <v>9.0</v>
      </c>
      <c r="AP3" s="9">
        <v>145.0</v>
      </c>
      <c r="AQ3" s="9">
        <v>57.0</v>
      </c>
      <c r="AR3" s="9">
        <v>182.0</v>
      </c>
      <c r="AS3" s="9">
        <v>6063.0</v>
      </c>
      <c r="AT3" s="9">
        <v>151.0</v>
      </c>
      <c r="AU3" s="9">
        <v>62.0</v>
      </c>
      <c r="AV3" s="9">
        <v>13.0</v>
      </c>
      <c r="AW3" s="9">
        <v>137.0</v>
      </c>
      <c r="AX3" s="9">
        <v>168.0</v>
      </c>
      <c r="AY3" s="9">
        <v>447.0</v>
      </c>
      <c r="AZ3" s="9">
        <v>584.0</v>
      </c>
      <c r="BA3" s="9">
        <v>4153.0</v>
      </c>
      <c r="BB3" s="9">
        <v>348.0</v>
      </c>
      <c r="BC3" s="9">
        <v>3286.0</v>
      </c>
      <c r="BD3" s="9">
        <v>378.0</v>
      </c>
      <c r="BE3" s="9">
        <v>382.0</v>
      </c>
      <c r="BF3" s="9">
        <v>54.0</v>
      </c>
      <c r="BG3" s="9">
        <v>351.0</v>
      </c>
      <c r="BH3" s="9">
        <v>480.0</v>
      </c>
      <c r="BI3" s="9">
        <v>219.0</v>
      </c>
      <c r="BJ3" s="9">
        <v>327.0</v>
      </c>
      <c r="BK3" s="9">
        <v>508.0</v>
      </c>
      <c r="BL3" s="9">
        <v>587.0</v>
      </c>
      <c r="BM3" s="9">
        <v>1257.0</v>
      </c>
      <c r="BN3" s="9">
        <v>28.0</v>
      </c>
      <c r="BO3" s="9">
        <v>35.0</v>
      </c>
      <c r="BP3" s="9">
        <v>3.0</v>
      </c>
      <c r="BQ3" s="9">
        <v>88.0</v>
      </c>
      <c r="BR3" s="9">
        <v>23.0</v>
      </c>
      <c r="BS3" s="9">
        <v>241.0</v>
      </c>
      <c r="BT3" s="9">
        <v>250.0</v>
      </c>
      <c r="BU3" s="9">
        <v>589.0</v>
      </c>
      <c r="BV3" s="9">
        <v>4035.0</v>
      </c>
      <c r="BW3" s="9">
        <v>153.0</v>
      </c>
      <c r="BX3" s="9">
        <v>205.0</v>
      </c>
      <c r="BY3" s="9">
        <v>0.0</v>
      </c>
      <c r="BZ3" s="9">
        <v>2590.0</v>
      </c>
      <c r="CA3" s="9">
        <v>1087.0</v>
      </c>
      <c r="CB3" s="9">
        <v>46999.0</v>
      </c>
    </row>
    <row r="4">
      <c r="A4" s="9" t="s">
        <v>162</v>
      </c>
      <c r="B4" s="9" t="s">
        <v>0</v>
      </c>
      <c r="C4" s="9">
        <v>9726.0</v>
      </c>
      <c r="D4" s="9">
        <v>163.0</v>
      </c>
      <c r="E4" s="9">
        <v>3090.0</v>
      </c>
      <c r="F4" s="9">
        <v>676.0</v>
      </c>
      <c r="G4" s="9">
        <v>676.0</v>
      </c>
      <c r="H4" s="9">
        <v>3014.0</v>
      </c>
      <c r="I4" s="9">
        <v>581.0</v>
      </c>
      <c r="J4" s="9">
        <v>1101.0</v>
      </c>
      <c r="K4" s="9">
        <v>82.0</v>
      </c>
      <c r="L4" s="9">
        <v>238.0</v>
      </c>
      <c r="M4" s="9">
        <v>105.0</v>
      </c>
      <c r="N4" s="9">
        <v>285.0</v>
      </c>
      <c r="O4" s="9">
        <v>266.0</v>
      </c>
      <c r="P4" s="9">
        <v>19.0</v>
      </c>
      <c r="Q4" s="9">
        <v>13461.0</v>
      </c>
      <c r="R4" s="9">
        <v>528.0</v>
      </c>
      <c r="S4" s="9">
        <v>51.0</v>
      </c>
      <c r="T4" s="9">
        <v>8.0</v>
      </c>
      <c r="U4" s="9">
        <v>402.0</v>
      </c>
      <c r="V4" s="9">
        <v>21.0</v>
      </c>
      <c r="W4" s="9">
        <v>3939.0</v>
      </c>
      <c r="X4" s="9">
        <v>240.0</v>
      </c>
      <c r="Y4" s="9">
        <v>8113.0</v>
      </c>
      <c r="Z4" s="9">
        <v>159.0</v>
      </c>
      <c r="AA4" s="9">
        <v>9596.0</v>
      </c>
      <c r="AB4" s="9">
        <v>6024.0</v>
      </c>
      <c r="AC4" s="9">
        <v>2882.0</v>
      </c>
      <c r="AD4" s="9">
        <v>690.0</v>
      </c>
      <c r="AE4" s="9">
        <v>126.0</v>
      </c>
      <c r="AF4" s="9">
        <v>113.0</v>
      </c>
      <c r="AG4" s="9">
        <v>1.0</v>
      </c>
      <c r="AH4" s="9">
        <v>12.0</v>
      </c>
      <c r="AI4" s="9">
        <v>1295.0</v>
      </c>
      <c r="AJ4" s="9">
        <v>106.0</v>
      </c>
      <c r="AK4" s="9">
        <v>175.0</v>
      </c>
      <c r="AL4" s="9">
        <v>221.0</v>
      </c>
      <c r="AM4" s="9">
        <v>293.0</v>
      </c>
      <c r="AN4" s="9">
        <v>105.0</v>
      </c>
      <c r="AO4" s="9">
        <v>12.0</v>
      </c>
      <c r="AP4" s="9">
        <v>136.0</v>
      </c>
      <c r="AQ4" s="9">
        <v>76.0</v>
      </c>
      <c r="AR4" s="9">
        <v>171.0</v>
      </c>
      <c r="AS4" s="9">
        <v>6257.0</v>
      </c>
      <c r="AT4" s="9">
        <v>180.0</v>
      </c>
      <c r="AU4" s="9">
        <v>67.0</v>
      </c>
      <c r="AV4" s="9">
        <v>33.0</v>
      </c>
      <c r="AW4" s="9">
        <v>168.0</v>
      </c>
      <c r="AX4" s="9">
        <v>196.0</v>
      </c>
      <c r="AY4" s="9">
        <v>464.0</v>
      </c>
      <c r="AZ4" s="9">
        <v>909.0</v>
      </c>
      <c r="BA4" s="9">
        <v>3833.0</v>
      </c>
      <c r="BB4" s="9">
        <v>407.0</v>
      </c>
      <c r="BC4" s="9">
        <v>4117.0</v>
      </c>
      <c r="BD4" s="9">
        <v>490.0</v>
      </c>
      <c r="BE4" s="9">
        <v>459.0</v>
      </c>
      <c r="BF4" s="9">
        <v>80.0</v>
      </c>
      <c r="BG4" s="9">
        <v>430.0</v>
      </c>
      <c r="BH4" s="9">
        <v>635.0</v>
      </c>
      <c r="BI4" s="9">
        <v>291.0</v>
      </c>
      <c r="BJ4" s="9">
        <v>413.0</v>
      </c>
      <c r="BK4" s="9">
        <v>736.0</v>
      </c>
      <c r="BL4" s="9">
        <v>583.0</v>
      </c>
      <c r="BM4" s="9">
        <v>1306.0</v>
      </c>
      <c r="BN4" s="9">
        <v>37.0</v>
      </c>
      <c r="BO4" s="9">
        <v>42.0</v>
      </c>
      <c r="BP4" s="9">
        <v>5.0</v>
      </c>
      <c r="BQ4" s="9">
        <v>125.0</v>
      </c>
      <c r="BR4" s="9">
        <v>22.0</v>
      </c>
      <c r="BS4" s="9">
        <v>252.0</v>
      </c>
      <c r="BT4" s="9">
        <v>241.0</v>
      </c>
      <c r="BU4" s="9">
        <v>582.0</v>
      </c>
      <c r="BV4" s="9">
        <v>4723.0</v>
      </c>
      <c r="BW4" s="9">
        <v>186.0</v>
      </c>
      <c r="BX4" s="9">
        <v>250.0</v>
      </c>
      <c r="BY4" s="9">
        <v>2.0</v>
      </c>
      <c r="BZ4" s="9">
        <v>3440.0</v>
      </c>
      <c r="CA4" s="9">
        <v>845.0</v>
      </c>
      <c r="CB4" s="9">
        <v>50892.0</v>
      </c>
    </row>
    <row r="5">
      <c r="A5" s="9" t="s">
        <v>163</v>
      </c>
      <c r="B5" s="9" t="s">
        <v>0</v>
      </c>
      <c r="C5" s="9">
        <v>9311.0</v>
      </c>
      <c r="D5" s="9">
        <v>182.0</v>
      </c>
      <c r="E5" s="9">
        <v>3239.0</v>
      </c>
      <c r="F5" s="9">
        <v>793.0</v>
      </c>
      <c r="G5" s="9">
        <v>739.0</v>
      </c>
      <c r="H5" s="9">
        <v>2411.0</v>
      </c>
      <c r="I5" s="9">
        <v>651.0</v>
      </c>
      <c r="J5" s="9">
        <v>765.0</v>
      </c>
      <c r="K5" s="9">
        <v>92.0</v>
      </c>
      <c r="L5" s="9">
        <v>304.0</v>
      </c>
      <c r="M5" s="9">
        <v>135.0</v>
      </c>
      <c r="N5" s="9">
        <v>334.0</v>
      </c>
      <c r="O5" s="9">
        <v>313.0</v>
      </c>
      <c r="P5" s="9">
        <v>21.0</v>
      </c>
      <c r="Q5" s="9">
        <v>13673.0</v>
      </c>
      <c r="R5" s="9">
        <v>346.0</v>
      </c>
      <c r="S5" s="9">
        <v>59.0</v>
      </c>
      <c r="T5" s="9">
        <v>8.0</v>
      </c>
      <c r="U5" s="9">
        <v>461.0</v>
      </c>
      <c r="V5" s="9">
        <v>20.0</v>
      </c>
      <c r="W5" s="9">
        <v>4371.0</v>
      </c>
      <c r="X5" s="9">
        <v>290.0</v>
      </c>
      <c r="Y5" s="9">
        <v>7955.0</v>
      </c>
      <c r="Z5" s="9">
        <v>163.0</v>
      </c>
      <c r="AA5" s="9">
        <v>10877.0</v>
      </c>
      <c r="AB5" s="9">
        <v>6857.0</v>
      </c>
      <c r="AC5" s="9">
        <v>2915.0</v>
      </c>
      <c r="AD5" s="9">
        <v>1105.0</v>
      </c>
      <c r="AE5" s="9">
        <v>136.0</v>
      </c>
      <c r="AF5" s="9">
        <v>117.0</v>
      </c>
      <c r="AG5" s="9">
        <v>1.0</v>
      </c>
      <c r="AH5" s="9">
        <v>18.0</v>
      </c>
      <c r="AI5" s="9">
        <v>1531.0</v>
      </c>
      <c r="AJ5" s="9">
        <v>106.0</v>
      </c>
      <c r="AK5" s="9">
        <v>253.0</v>
      </c>
      <c r="AL5" s="9">
        <v>188.0</v>
      </c>
      <c r="AM5" s="9">
        <v>381.0</v>
      </c>
      <c r="AN5" s="9">
        <v>125.0</v>
      </c>
      <c r="AO5" s="9">
        <v>17.0</v>
      </c>
      <c r="AP5" s="9">
        <v>181.0</v>
      </c>
      <c r="AQ5" s="9">
        <v>82.0</v>
      </c>
      <c r="AR5" s="9">
        <v>198.0</v>
      </c>
      <c r="AS5" s="9">
        <v>6484.0</v>
      </c>
      <c r="AT5" s="9">
        <v>187.0</v>
      </c>
      <c r="AU5" s="9">
        <v>67.0</v>
      </c>
      <c r="AV5" s="9">
        <v>50.0</v>
      </c>
      <c r="AW5" s="9">
        <v>209.0</v>
      </c>
      <c r="AX5" s="9">
        <v>218.0</v>
      </c>
      <c r="AY5" s="9">
        <v>556.0</v>
      </c>
      <c r="AZ5" s="9">
        <v>1027.0</v>
      </c>
      <c r="BA5" s="9">
        <v>3621.0</v>
      </c>
      <c r="BB5" s="9">
        <v>549.0</v>
      </c>
      <c r="BC5" s="9">
        <v>4862.0</v>
      </c>
      <c r="BD5" s="9">
        <v>566.0</v>
      </c>
      <c r="BE5" s="9">
        <v>523.0</v>
      </c>
      <c r="BF5" s="9">
        <v>79.0</v>
      </c>
      <c r="BG5" s="9">
        <v>511.0</v>
      </c>
      <c r="BH5" s="9">
        <v>808.0</v>
      </c>
      <c r="BI5" s="9">
        <v>317.0</v>
      </c>
      <c r="BJ5" s="9">
        <v>542.0</v>
      </c>
      <c r="BK5" s="9">
        <v>820.0</v>
      </c>
      <c r="BL5" s="9">
        <v>696.0</v>
      </c>
      <c r="BM5" s="9">
        <v>1423.0</v>
      </c>
      <c r="BN5" s="9">
        <v>38.0</v>
      </c>
      <c r="BO5" s="9">
        <v>36.0</v>
      </c>
      <c r="BP5" s="9">
        <v>2.0</v>
      </c>
      <c r="BQ5" s="9">
        <v>142.0</v>
      </c>
      <c r="BR5" s="9">
        <v>30.0</v>
      </c>
      <c r="BS5" s="9">
        <v>311.0</v>
      </c>
      <c r="BT5" s="9">
        <v>260.0</v>
      </c>
      <c r="BU5" s="9">
        <v>604.0</v>
      </c>
      <c r="BV5" s="9">
        <v>5074.0</v>
      </c>
      <c r="BW5" s="9">
        <v>197.0</v>
      </c>
      <c r="BX5" s="9">
        <v>321.0</v>
      </c>
      <c r="BY5" s="9">
        <v>0.0</v>
      </c>
      <c r="BZ5" s="9">
        <v>3702.0</v>
      </c>
      <c r="CA5" s="9">
        <v>854.0</v>
      </c>
      <c r="CB5" s="9">
        <v>53705.0</v>
      </c>
    </row>
    <row r="6">
      <c r="A6" s="9" t="s">
        <v>164</v>
      </c>
      <c r="B6" s="9" t="s">
        <v>0</v>
      </c>
      <c r="C6" s="9">
        <v>10585.0</v>
      </c>
      <c r="D6" s="9">
        <v>226.0</v>
      </c>
      <c r="E6" s="9">
        <v>3669.0</v>
      </c>
      <c r="F6" s="9">
        <v>957.0</v>
      </c>
      <c r="G6" s="9">
        <v>913.0</v>
      </c>
      <c r="H6" s="9">
        <v>2449.0</v>
      </c>
      <c r="I6" s="9">
        <v>825.0</v>
      </c>
      <c r="J6" s="9">
        <v>888.0</v>
      </c>
      <c r="K6" s="9">
        <v>112.0</v>
      </c>
      <c r="L6" s="9">
        <v>405.0</v>
      </c>
      <c r="M6" s="9">
        <v>141.0</v>
      </c>
      <c r="N6" s="9">
        <v>377.0</v>
      </c>
      <c r="O6" s="9">
        <v>355.0</v>
      </c>
      <c r="P6" s="9">
        <v>22.0</v>
      </c>
      <c r="Q6" s="9">
        <v>13497.0</v>
      </c>
      <c r="R6" s="9">
        <v>398.0</v>
      </c>
      <c r="S6" s="9">
        <v>61.0</v>
      </c>
      <c r="T6" s="9">
        <v>11.0</v>
      </c>
      <c r="U6" s="9">
        <v>419.0</v>
      </c>
      <c r="V6" s="9">
        <v>9.0</v>
      </c>
      <c r="W6" s="9">
        <v>4539.0</v>
      </c>
      <c r="X6" s="9">
        <v>328.0</v>
      </c>
      <c r="Y6" s="9">
        <v>7539.0</v>
      </c>
      <c r="Z6" s="9">
        <v>193.0</v>
      </c>
      <c r="AA6" s="9">
        <v>11612.0</v>
      </c>
      <c r="AB6" s="9">
        <v>7345.0</v>
      </c>
      <c r="AC6" s="9">
        <v>3123.0</v>
      </c>
      <c r="AD6" s="9">
        <v>1144.0</v>
      </c>
      <c r="AE6" s="9">
        <v>154.0</v>
      </c>
      <c r="AF6" s="9">
        <v>131.0</v>
      </c>
      <c r="AG6" s="9">
        <v>1.0</v>
      </c>
      <c r="AH6" s="9">
        <v>22.0</v>
      </c>
      <c r="AI6" s="9">
        <v>1817.0</v>
      </c>
      <c r="AJ6" s="9">
        <v>77.0</v>
      </c>
      <c r="AK6" s="9">
        <v>195.0</v>
      </c>
      <c r="AL6" s="9">
        <v>297.0</v>
      </c>
      <c r="AM6" s="9">
        <v>517.0</v>
      </c>
      <c r="AN6" s="9">
        <v>155.0</v>
      </c>
      <c r="AO6" s="9">
        <v>15.0</v>
      </c>
      <c r="AP6" s="9">
        <v>192.0</v>
      </c>
      <c r="AQ6" s="9">
        <v>94.0</v>
      </c>
      <c r="AR6" s="9">
        <v>275.0</v>
      </c>
      <c r="AS6" s="9">
        <v>7078.0</v>
      </c>
      <c r="AT6" s="9">
        <v>259.0</v>
      </c>
      <c r="AU6" s="9">
        <v>98.0</v>
      </c>
      <c r="AV6" s="9">
        <v>61.0</v>
      </c>
      <c r="AW6" s="9">
        <v>247.0</v>
      </c>
      <c r="AX6" s="9">
        <v>268.0</v>
      </c>
      <c r="AY6" s="9">
        <v>603.0</v>
      </c>
      <c r="AZ6" s="9">
        <v>1179.0</v>
      </c>
      <c r="BA6" s="9">
        <v>3816.0</v>
      </c>
      <c r="BB6" s="9">
        <v>547.0</v>
      </c>
      <c r="BC6" s="9">
        <v>5721.0</v>
      </c>
      <c r="BD6" s="9">
        <v>614.0</v>
      </c>
      <c r="BE6" s="9">
        <v>629.0</v>
      </c>
      <c r="BF6" s="9">
        <v>95.0</v>
      </c>
      <c r="BG6" s="9">
        <v>618.0</v>
      </c>
      <c r="BH6" s="9">
        <v>904.0</v>
      </c>
      <c r="BI6" s="9">
        <v>401.0</v>
      </c>
      <c r="BJ6" s="9">
        <v>656.0</v>
      </c>
      <c r="BK6" s="9">
        <v>887.0</v>
      </c>
      <c r="BL6" s="9">
        <v>917.0</v>
      </c>
      <c r="BM6" s="9">
        <v>1772.0</v>
      </c>
      <c r="BN6" s="9">
        <v>91.0</v>
      </c>
      <c r="BO6" s="9">
        <v>45.0</v>
      </c>
      <c r="BP6" s="9">
        <v>4.0</v>
      </c>
      <c r="BQ6" s="9">
        <v>175.0</v>
      </c>
      <c r="BR6" s="9">
        <v>36.0</v>
      </c>
      <c r="BS6" s="9">
        <v>367.0</v>
      </c>
      <c r="BT6" s="9">
        <v>338.0</v>
      </c>
      <c r="BU6" s="9">
        <v>716.0</v>
      </c>
      <c r="BV6" s="9">
        <v>5759.0</v>
      </c>
      <c r="BW6" s="9">
        <v>203.0</v>
      </c>
      <c r="BX6" s="9">
        <v>289.0</v>
      </c>
      <c r="BY6" s="9">
        <v>0.0</v>
      </c>
      <c r="BZ6" s="9">
        <v>4476.0</v>
      </c>
      <c r="CA6" s="9">
        <v>791.0</v>
      </c>
      <c r="CB6" s="9">
        <v>58372.0</v>
      </c>
    </row>
    <row r="7">
      <c r="A7" s="9" t="s">
        <v>165</v>
      </c>
      <c r="B7" s="9" t="s">
        <v>0</v>
      </c>
      <c r="C7" s="9">
        <v>12435.0</v>
      </c>
      <c r="D7" s="9">
        <v>289.0</v>
      </c>
      <c r="E7" s="9">
        <v>3958.0</v>
      </c>
      <c r="F7" s="9">
        <v>1169.0</v>
      </c>
      <c r="G7" s="9">
        <v>1058.0</v>
      </c>
      <c r="H7" s="9">
        <v>3102.0</v>
      </c>
      <c r="I7" s="9">
        <v>912.0</v>
      </c>
      <c r="J7" s="9">
        <v>1210.0</v>
      </c>
      <c r="K7" s="9">
        <v>146.0</v>
      </c>
      <c r="L7" s="9">
        <v>430.0</v>
      </c>
      <c r="M7" s="9">
        <v>161.0</v>
      </c>
      <c r="N7" s="9">
        <v>492.0</v>
      </c>
      <c r="O7" s="9">
        <v>457.0</v>
      </c>
      <c r="P7" s="9">
        <v>35.0</v>
      </c>
      <c r="Q7" s="9">
        <v>12753.0</v>
      </c>
      <c r="R7" s="9">
        <v>378.0</v>
      </c>
      <c r="S7" s="9">
        <v>84.0</v>
      </c>
      <c r="T7" s="9">
        <v>10.0</v>
      </c>
      <c r="U7" s="9">
        <v>531.0</v>
      </c>
      <c r="V7" s="9">
        <v>13.0</v>
      </c>
      <c r="W7" s="9">
        <v>3662.0</v>
      </c>
      <c r="X7" s="9">
        <v>370.0</v>
      </c>
      <c r="Y7" s="9">
        <v>7499.0</v>
      </c>
      <c r="Z7" s="9">
        <v>206.0</v>
      </c>
      <c r="AA7" s="9">
        <v>11983.0</v>
      </c>
      <c r="AB7" s="9">
        <v>7798.0</v>
      </c>
      <c r="AC7" s="9">
        <v>2964.0</v>
      </c>
      <c r="AD7" s="9">
        <v>1221.0</v>
      </c>
      <c r="AE7" s="9">
        <v>209.0</v>
      </c>
      <c r="AF7" s="9">
        <v>173.0</v>
      </c>
      <c r="AG7" s="9">
        <v>2.0</v>
      </c>
      <c r="AH7" s="9">
        <v>34.0</v>
      </c>
      <c r="AI7" s="9">
        <v>2189.0</v>
      </c>
      <c r="AJ7" s="9">
        <v>83.0</v>
      </c>
      <c r="AK7" s="9">
        <v>221.0</v>
      </c>
      <c r="AL7" s="9">
        <v>354.0</v>
      </c>
      <c r="AM7" s="9">
        <v>639.0</v>
      </c>
      <c r="AN7" s="9">
        <v>191.0</v>
      </c>
      <c r="AO7" s="9">
        <v>14.0</v>
      </c>
      <c r="AP7" s="9">
        <v>211.0</v>
      </c>
      <c r="AQ7" s="9">
        <v>111.0</v>
      </c>
      <c r="AR7" s="9">
        <v>365.0</v>
      </c>
      <c r="AS7" s="9">
        <v>7575.0</v>
      </c>
      <c r="AT7" s="9">
        <v>327.0</v>
      </c>
      <c r="AU7" s="9">
        <v>117.0</v>
      </c>
      <c r="AV7" s="9">
        <v>88.0</v>
      </c>
      <c r="AW7" s="9">
        <v>253.0</v>
      </c>
      <c r="AX7" s="9">
        <v>355.0</v>
      </c>
      <c r="AY7" s="9">
        <v>580.0</v>
      </c>
      <c r="AZ7" s="9">
        <v>1380.0</v>
      </c>
      <c r="BA7" s="9">
        <v>3895.0</v>
      </c>
      <c r="BB7" s="9">
        <v>580.0</v>
      </c>
      <c r="BC7" s="9">
        <v>7020.0</v>
      </c>
      <c r="BD7" s="9">
        <v>624.0</v>
      </c>
      <c r="BE7" s="9">
        <v>801.0</v>
      </c>
      <c r="BF7" s="9">
        <v>97.0</v>
      </c>
      <c r="BG7" s="9">
        <v>817.0</v>
      </c>
      <c r="BH7" s="9">
        <v>1169.0</v>
      </c>
      <c r="BI7" s="9">
        <v>436.0</v>
      </c>
      <c r="BJ7" s="9">
        <v>886.0</v>
      </c>
      <c r="BK7" s="9">
        <v>1096.0</v>
      </c>
      <c r="BL7" s="9">
        <v>1094.0</v>
      </c>
      <c r="BM7" s="9">
        <v>2000.0</v>
      </c>
      <c r="BN7" s="9">
        <v>46.0</v>
      </c>
      <c r="BO7" s="9">
        <v>75.0</v>
      </c>
      <c r="BP7" s="9">
        <v>10.0</v>
      </c>
      <c r="BQ7" s="9">
        <v>222.0</v>
      </c>
      <c r="BR7" s="9">
        <v>52.0</v>
      </c>
      <c r="BS7" s="9">
        <v>388.0</v>
      </c>
      <c r="BT7" s="9">
        <v>445.0</v>
      </c>
      <c r="BU7" s="9">
        <v>762.0</v>
      </c>
      <c r="BV7" s="9">
        <v>6093.0</v>
      </c>
      <c r="BW7" s="9">
        <v>295.0</v>
      </c>
      <c r="BX7" s="9">
        <v>222.0</v>
      </c>
      <c r="BY7" s="9">
        <v>0.0</v>
      </c>
      <c r="BZ7" s="9">
        <v>4683.0</v>
      </c>
      <c r="CA7" s="9">
        <v>893.0</v>
      </c>
      <c r="CB7" s="9">
        <v>62749.0</v>
      </c>
    </row>
    <row r="8">
      <c r="A8" s="9" t="s">
        <v>166</v>
      </c>
      <c r="B8" s="9" t="s">
        <v>0</v>
      </c>
      <c r="C8" s="9">
        <v>13394.0</v>
      </c>
      <c r="D8" s="9">
        <v>359.0</v>
      </c>
      <c r="E8" s="9">
        <v>3799.0</v>
      </c>
      <c r="F8" s="9">
        <v>1423.0</v>
      </c>
      <c r="G8" s="9">
        <v>1092.0</v>
      </c>
      <c r="H8" s="9">
        <v>3340.0</v>
      </c>
      <c r="I8" s="9">
        <v>926.0</v>
      </c>
      <c r="J8" s="9">
        <v>1672.0</v>
      </c>
      <c r="K8" s="9">
        <v>173.0</v>
      </c>
      <c r="L8" s="9">
        <v>403.0</v>
      </c>
      <c r="M8" s="9">
        <v>207.0</v>
      </c>
      <c r="N8" s="9">
        <v>531.0</v>
      </c>
      <c r="O8" s="9">
        <v>493.0</v>
      </c>
      <c r="P8" s="9">
        <v>38.0</v>
      </c>
      <c r="Q8" s="9">
        <v>13074.0</v>
      </c>
      <c r="R8" s="9">
        <v>452.0</v>
      </c>
      <c r="S8" s="9">
        <v>128.0</v>
      </c>
      <c r="T8" s="9">
        <v>12.0</v>
      </c>
      <c r="U8" s="9">
        <v>531.0</v>
      </c>
      <c r="V8" s="9">
        <v>27.0</v>
      </c>
      <c r="W8" s="9">
        <v>4287.0</v>
      </c>
      <c r="X8" s="9">
        <v>352.0</v>
      </c>
      <c r="Y8" s="9">
        <v>7074.0</v>
      </c>
      <c r="Z8" s="9">
        <v>211.0</v>
      </c>
      <c r="AA8" s="9">
        <v>10671.0</v>
      </c>
      <c r="AB8" s="9">
        <v>6750.0</v>
      </c>
      <c r="AC8" s="9">
        <v>2705.0</v>
      </c>
      <c r="AD8" s="9">
        <v>1216.0</v>
      </c>
      <c r="AE8" s="9">
        <v>223.0</v>
      </c>
      <c r="AF8" s="9">
        <v>184.0</v>
      </c>
      <c r="AG8" s="9">
        <v>7.0</v>
      </c>
      <c r="AH8" s="9">
        <v>32.0</v>
      </c>
      <c r="AI8" s="9">
        <v>2467.0</v>
      </c>
      <c r="AJ8" s="9">
        <v>85.0</v>
      </c>
      <c r="AK8" s="9">
        <v>277.0</v>
      </c>
      <c r="AL8" s="9">
        <v>372.0</v>
      </c>
      <c r="AM8" s="9">
        <v>729.0</v>
      </c>
      <c r="AN8" s="9">
        <v>235.0</v>
      </c>
      <c r="AO8" s="9">
        <v>23.0</v>
      </c>
      <c r="AP8" s="9">
        <v>209.0</v>
      </c>
      <c r="AQ8" s="9">
        <v>123.0</v>
      </c>
      <c r="AR8" s="9">
        <v>414.0</v>
      </c>
      <c r="AS8" s="9">
        <v>8280.0</v>
      </c>
      <c r="AT8" s="9">
        <v>426.0</v>
      </c>
      <c r="AU8" s="9">
        <v>126.0</v>
      </c>
      <c r="AV8" s="9">
        <v>89.0</v>
      </c>
      <c r="AW8" s="9">
        <v>253.0</v>
      </c>
      <c r="AX8" s="9">
        <v>417.0</v>
      </c>
      <c r="AY8" s="9">
        <v>787.0</v>
      </c>
      <c r="AZ8" s="9">
        <v>1505.0</v>
      </c>
      <c r="BA8" s="9">
        <v>3994.0</v>
      </c>
      <c r="BB8" s="9">
        <v>683.0</v>
      </c>
      <c r="BC8" s="9">
        <v>7606.0</v>
      </c>
      <c r="BD8" s="9">
        <v>602.0</v>
      </c>
      <c r="BE8" s="9">
        <v>806.0</v>
      </c>
      <c r="BF8" s="9">
        <v>120.0</v>
      </c>
      <c r="BG8" s="9">
        <v>935.0</v>
      </c>
      <c r="BH8" s="9">
        <v>1509.0</v>
      </c>
      <c r="BI8" s="9">
        <v>689.0</v>
      </c>
      <c r="BJ8" s="9">
        <v>1088.0</v>
      </c>
      <c r="BK8" s="9">
        <v>1014.0</v>
      </c>
      <c r="BL8" s="9">
        <v>843.0</v>
      </c>
      <c r="BM8" s="9">
        <v>2235.0</v>
      </c>
      <c r="BN8" s="9">
        <v>48.0</v>
      </c>
      <c r="BO8" s="9">
        <v>75.0</v>
      </c>
      <c r="BP8" s="9">
        <v>13.0</v>
      </c>
      <c r="BQ8" s="9">
        <v>288.0</v>
      </c>
      <c r="BR8" s="9">
        <v>56.0</v>
      </c>
      <c r="BS8" s="9">
        <v>444.0</v>
      </c>
      <c r="BT8" s="9">
        <v>483.0</v>
      </c>
      <c r="BU8" s="9">
        <v>828.0</v>
      </c>
      <c r="BV8" s="9">
        <v>6281.0</v>
      </c>
      <c r="BW8" s="9">
        <v>381.0</v>
      </c>
      <c r="BX8" s="9">
        <v>246.0</v>
      </c>
      <c r="BY8" s="9">
        <v>0.0</v>
      </c>
      <c r="BZ8" s="9">
        <v>4671.0</v>
      </c>
      <c r="CA8" s="9">
        <v>983.0</v>
      </c>
      <c r="CB8" s="9">
        <v>64762.0</v>
      </c>
    </row>
    <row r="9">
      <c r="A9" s="9" t="s">
        <v>167</v>
      </c>
      <c r="B9" s="9" t="s">
        <v>0</v>
      </c>
      <c r="C9" s="9">
        <v>13073.0</v>
      </c>
      <c r="D9" s="9">
        <v>576.0</v>
      </c>
      <c r="E9" s="9">
        <v>3539.0</v>
      </c>
      <c r="F9" s="9">
        <v>1495.0</v>
      </c>
      <c r="G9" s="9">
        <v>1160.0</v>
      </c>
      <c r="H9" s="9">
        <v>2689.0</v>
      </c>
      <c r="I9" s="9">
        <v>921.0</v>
      </c>
      <c r="J9" s="9">
        <v>1877.0</v>
      </c>
      <c r="K9" s="9">
        <v>181.0</v>
      </c>
      <c r="L9" s="9">
        <v>412.0</v>
      </c>
      <c r="M9" s="9">
        <v>223.0</v>
      </c>
      <c r="N9" s="9">
        <v>585.0</v>
      </c>
      <c r="O9" s="9">
        <v>542.0</v>
      </c>
      <c r="P9" s="9">
        <v>43.0</v>
      </c>
      <c r="Q9" s="9">
        <v>14647.0</v>
      </c>
      <c r="R9" s="9">
        <v>492.0</v>
      </c>
      <c r="S9" s="9">
        <v>122.0</v>
      </c>
      <c r="T9" s="9">
        <v>13.0</v>
      </c>
      <c r="U9" s="9">
        <v>647.0</v>
      </c>
      <c r="V9" s="9">
        <v>47.0</v>
      </c>
      <c r="W9" s="9">
        <v>4404.0</v>
      </c>
      <c r="X9" s="9">
        <v>427.0</v>
      </c>
      <c r="Y9" s="9">
        <v>8270.0</v>
      </c>
      <c r="Z9" s="9">
        <v>225.0</v>
      </c>
      <c r="AA9" s="9">
        <v>11980.0</v>
      </c>
      <c r="AB9" s="9">
        <v>7433.0</v>
      </c>
      <c r="AC9" s="9">
        <v>3029.0</v>
      </c>
      <c r="AD9" s="9">
        <v>1518.0</v>
      </c>
      <c r="AE9" s="9">
        <v>256.0</v>
      </c>
      <c r="AF9" s="9">
        <v>216.0</v>
      </c>
      <c r="AG9" s="9">
        <v>2.0</v>
      </c>
      <c r="AH9" s="9">
        <v>38.0</v>
      </c>
      <c r="AI9" s="9">
        <v>2908.0</v>
      </c>
      <c r="AJ9" s="9">
        <v>80.0</v>
      </c>
      <c r="AK9" s="9">
        <v>356.0</v>
      </c>
      <c r="AL9" s="9">
        <v>425.0</v>
      </c>
      <c r="AM9" s="9">
        <v>834.0</v>
      </c>
      <c r="AN9" s="9">
        <v>279.0</v>
      </c>
      <c r="AO9" s="9">
        <v>29.0</v>
      </c>
      <c r="AP9" s="9">
        <v>340.0</v>
      </c>
      <c r="AQ9" s="9">
        <v>159.0</v>
      </c>
      <c r="AR9" s="9">
        <v>406.0</v>
      </c>
      <c r="AS9" s="9">
        <v>9791.0</v>
      </c>
      <c r="AT9" s="9">
        <v>504.0</v>
      </c>
      <c r="AU9" s="9">
        <v>151.0</v>
      </c>
      <c r="AV9" s="9">
        <v>103.0</v>
      </c>
      <c r="AW9" s="9">
        <v>280.0</v>
      </c>
      <c r="AX9" s="9">
        <v>518.0</v>
      </c>
      <c r="AY9" s="9">
        <v>680.0</v>
      </c>
      <c r="AZ9" s="9">
        <v>1767.0</v>
      </c>
      <c r="BA9" s="9">
        <v>5094.0</v>
      </c>
      <c r="BB9" s="9">
        <v>694.0</v>
      </c>
      <c r="BC9" s="9">
        <v>9164.0</v>
      </c>
      <c r="BD9" s="9">
        <v>799.0</v>
      </c>
      <c r="BE9" s="9">
        <v>1063.0</v>
      </c>
      <c r="BF9" s="9">
        <v>142.0</v>
      </c>
      <c r="BG9" s="9">
        <v>1015.0</v>
      </c>
      <c r="BH9" s="9">
        <v>1753.0</v>
      </c>
      <c r="BI9" s="9">
        <v>689.0</v>
      </c>
      <c r="BJ9" s="9">
        <v>1359.0</v>
      </c>
      <c r="BK9" s="9">
        <v>1126.0</v>
      </c>
      <c r="BL9" s="9">
        <v>1218.0</v>
      </c>
      <c r="BM9" s="9">
        <v>2496.0</v>
      </c>
      <c r="BN9" s="9">
        <v>65.0</v>
      </c>
      <c r="BO9" s="9">
        <v>86.0</v>
      </c>
      <c r="BP9" s="9">
        <v>12.0</v>
      </c>
      <c r="BQ9" s="9">
        <v>302.0</v>
      </c>
      <c r="BR9" s="9">
        <v>63.0</v>
      </c>
      <c r="BS9" s="9">
        <v>469.0</v>
      </c>
      <c r="BT9" s="9">
        <v>530.0</v>
      </c>
      <c r="BU9" s="9">
        <v>969.0</v>
      </c>
      <c r="BV9" s="9">
        <v>6785.0</v>
      </c>
      <c r="BW9" s="9">
        <v>424.0</v>
      </c>
      <c r="BX9" s="9">
        <v>163.0</v>
      </c>
      <c r="BY9" s="9">
        <v>0.0</v>
      </c>
      <c r="BZ9" s="9">
        <v>5263.0</v>
      </c>
      <c r="CA9" s="9">
        <v>935.0</v>
      </c>
      <c r="CB9" s="9">
        <v>71685.0</v>
      </c>
    </row>
    <row r="10">
      <c r="A10" s="9" t="s">
        <v>168</v>
      </c>
      <c r="B10" s="9" t="s">
        <v>0</v>
      </c>
      <c r="C10" s="9">
        <v>15804.0</v>
      </c>
      <c r="D10" s="9">
        <v>659.0</v>
      </c>
      <c r="E10" s="9">
        <v>2892.0</v>
      </c>
      <c r="F10" s="9">
        <v>1760.0</v>
      </c>
      <c r="G10" s="9">
        <v>1050.0</v>
      </c>
      <c r="H10" s="9">
        <v>5761.0</v>
      </c>
      <c r="I10" s="9">
        <v>1084.0</v>
      </c>
      <c r="J10" s="9">
        <v>1649.0</v>
      </c>
      <c r="K10" s="9">
        <v>196.0</v>
      </c>
      <c r="L10" s="9">
        <v>500.0</v>
      </c>
      <c r="M10" s="9">
        <v>253.0</v>
      </c>
      <c r="N10" s="9">
        <v>740.0</v>
      </c>
      <c r="O10" s="9">
        <v>677.0</v>
      </c>
      <c r="P10" s="9">
        <v>63.0</v>
      </c>
      <c r="Q10" s="9">
        <v>15023.0</v>
      </c>
      <c r="R10" s="9">
        <v>496.0</v>
      </c>
      <c r="S10" s="9">
        <v>218.0</v>
      </c>
      <c r="T10" s="9">
        <v>12.0</v>
      </c>
      <c r="U10" s="9">
        <v>621.0</v>
      </c>
      <c r="V10" s="9">
        <v>14.0</v>
      </c>
      <c r="W10" s="9">
        <v>4285.0</v>
      </c>
      <c r="X10" s="9">
        <v>384.0</v>
      </c>
      <c r="Y10" s="9">
        <v>8771.0</v>
      </c>
      <c r="Z10" s="9">
        <v>222.0</v>
      </c>
      <c r="AA10" s="9">
        <v>13002.0</v>
      </c>
      <c r="AB10" s="9">
        <v>7818.0</v>
      </c>
      <c r="AC10" s="9">
        <v>3508.0</v>
      </c>
      <c r="AD10" s="9">
        <v>1676.0</v>
      </c>
      <c r="AE10" s="9">
        <v>237.0</v>
      </c>
      <c r="AF10" s="9">
        <v>194.0</v>
      </c>
      <c r="AG10" s="9">
        <v>10.0</v>
      </c>
      <c r="AH10" s="9">
        <v>33.0</v>
      </c>
      <c r="AI10" s="9">
        <v>3001.0</v>
      </c>
      <c r="AJ10" s="9">
        <v>91.0</v>
      </c>
      <c r="AK10" s="9">
        <v>333.0</v>
      </c>
      <c r="AL10" s="9">
        <v>420.0</v>
      </c>
      <c r="AM10" s="9">
        <v>942.0</v>
      </c>
      <c r="AN10" s="9">
        <v>300.0</v>
      </c>
      <c r="AO10" s="9">
        <v>23.0</v>
      </c>
      <c r="AP10" s="9">
        <v>299.0</v>
      </c>
      <c r="AQ10" s="9">
        <v>153.0</v>
      </c>
      <c r="AR10" s="9">
        <v>440.0</v>
      </c>
      <c r="AS10" s="9">
        <v>9429.0</v>
      </c>
      <c r="AT10" s="9">
        <v>471.0</v>
      </c>
      <c r="AU10" s="9">
        <v>159.0</v>
      </c>
      <c r="AV10" s="9">
        <v>109.0</v>
      </c>
      <c r="AW10" s="9">
        <v>343.0</v>
      </c>
      <c r="AX10" s="9">
        <v>566.0</v>
      </c>
      <c r="AY10" s="9">
        <v>770.0</v>
      </c>
      <c r="AZ10" s="9">
        <v>1623.0</v>
      </c>
      <c r="BA10" s="9">
        <v>4619.0</v>
      </c>
      <c r="BB10" s="9">
        <v>769.0</v>
      </c>
      <c r="BC10" s="9">
        <v>9955.0</v>
      </c>
      <c r="BD10" s="9">
        <v>878.0</v>
      </c>
      <c r="BE10" s="9">
        <v>1089.0</v>
      </c>
      <c r="BF10" s="9">
        <v>200.0</v>
      </c>
      <c r="BG10" s="9">
        <v>1219.0</v>
      </c>
      <c r="BH10" s="9">
        <v>1781.0</v>
      </c>
      <c r="BI10" s="9">
        <v>655.0</v>
      </c>
      <c r="BJ10" s="9">
        <v>1347.0</v>
      </c>
      <c r="BK10" s="9">
        <v>1538.0</v>
      </c>
      <c r="BL10" s="9">
        <v>1248.0</v>
      </c>
      <c r="BM10" s="9">
        <v>2813.0</v>
      </c>
      <c r="BN10" s="9">
        <v>85.0</v>
      </c>
      <c r="BO10" s="9">
        <v>99.0</v>
      </c>
      <c r="BP10" s="9">
        <v>14.0</v>
      </c>
      <c r="BQ10" s="9">
        <v>339.0</v>
      </c>
      <c r="BR10" s="9">
        <v>64.0</v>
      </c>
      <c r="BS10" s="9">
        <v>596.0</v>
      </c>
      <c r="BT10" s="9">
        <v>578.0</v>
      </c>
      <c r="BU10" s="9">
        <v>1038.0</v>
      </c>
      <c r="BV10" s="9">
        <v>6987.0</v>
      </c>
      <c r="BW10" s="9">
        <v>508.0</v>
      </c>
      <c r="BX10" s="9">
        <v>126.0</v>
      </c>
      <c r="BY10" s="9">
        <v>0.0</v>
      </c>
      <c r="BZ10" s="9">
        <v>5236.0</v>
      </c>
      <c r="CA10" s="9">
        <v>1117.0</v>
      </c>
      <c r="CB10" s="9">
        <v>76991.0</v>
      </c>
    </row>
    <row r="11">
      <c r="A11" s="9" t="s">
        <v>169</v>
      </c>
      <c r="B11" s="9" t="s">
        <v>0</v>
      </c>
      <c r="C11" s="9">
        <v>17197.0</v>
      </c>
      <c r="D11" s="9">
        <v>743.0</v>
      </c>
      <c r="E11" s="9">
        <v>3442.0</v>
      </c>
      <c r="F11" s="9">
        <v>1834.0</v>
      </c>
      <c r="G11" s="9">
        <v>1203.0</v>
      </c>
      <c r="H11" s="9">
        <v>6042.0</v>
      </c>
      <c r="I11" s="9">
        <v>1156.0</v>
      </c>
      <c r="J11" s="9">
        <v>1723.0</v>
      </c>
      <c r="K11" s="9">
        <v>193.0</v>
      </c>
      <c r="L11" s="9">
        <v>558.0</v>
      </c>
      <c r="M11" s="9">
        <v>303.0</v>
      </c>
      <c r="N11" s="9">
        <v>890.0</v>
      </c>
      <c r="O11" s="9">
        <v>835.0</v>
      </c>
      <c r="P11" s="9">
        <v>55.0</v>
      </c>
      <c r="Q11" s="9">
        <v>17150.0</v>
      </c>
      <c r="R11" s="9">
        <v>546.0</v>
      </c>
      <c r="S11" s="9">
        <v>255.0</v>
      </c>
      <c r="T11" s="9">
        <v>11.0</v>
      </c>
      <c r="U11" s="9">
        <v>683.0</v>
      </c>
      <c r="V11" s="9">
        <v>19.0</v>
      </c>
      <c r="W11" s="9">
        <v>5225.0</v>
      </c>
      <c r="X11" s="9">
        <v>383.0</v>
      </c>
      <c r="Y11" s="9">
        <v>9801.0</v>
      </c>
      <c r="Z11" s="9">
        <v>227.0</v>
      </c>
      <c r="AA11" s="9">
        <v>14966.0</v>
      </c>
      <c r="AB11" s="9">
        <v>8821.0</v>
      </c>
      <c r="AC11" s="9">
        <v>4102.0</v>
      </c>
      <c r="AD11" s="9">
        <v>2043.0</v>
      </c>
      <c r="AE11" s="9">
        <v>270.0</v>
      </c>
      <c r="AF11" s="9">
        <v>196.0</v>
      </c>
      <c r="AG11" s="9">
        <v>30.0</v>
      </c>
      <c r="AH11" s="9">
        <v>44.0</v>
      </c>
      <c r="AI11" s="9">
        <v>3213.0</v>
      </c>
      <c r="AJ11" s="9">
        <v>143.0</v>
      </c>
      <c r="AK11" s="9">
        <v>328.0</v>
      </c>
      <c r="AL11" s="9">
        <v>439.0</v>
      </c>
      <c r="AM11" s="9">
        <v>1058.0</v>
      </c>
      <c r="AN11" s="9">
        <v>298.0</v>
      </c>
      <c r="AO11" s="9">
        <v>21.0</v>
      </c>
      <c r="AP11" s="9">
        <v>318.0</v>
      </c>
      <c r="AQ11" s="9">
        <v>162.0</v>
      </c>
      <c r="AR11" s="9">
        <v>446.0</v>
      </c>
      <c r="AS11" s="9">
        <v>9917.0</v>
      </c>
      <c r="AT11" s="9">
        <v>510.0</v>
      </c>
      <c r="AU11" s="9">
        <v>163.0</v>
      </c>
      <c r="AV11" s="9">
        <v>107.0</v>
      </c>
      <c r="AW11" s="9">
        <v>416.0</v>
      </c>
      <c r="AX11" s="9">
        <v>626.0</v>
      </c>
      <c r="AY11" s="9">
        <v>783.0</v>
      </c>
      <c r="AZ11" s="9">
        <v>1666.0</v>
      </c>
      <c r="BA11" s="9">
        <v>4897.0</v>
      </c>
      <c r="BB11" s="9">
        <v>749.0</v>
      </c>
      <c r="BC11" s="9">
        <v>11314.0</v>
      </c>
      <c r="BD11" s="9">
        <v>1035.0</v>
      </c>
      <c r="BE11" s="9">
        <v>1189.0</v>
      </c>
      <c r="BF11" s="9">
        <v>221.0</v>
      </c>
      <c r="BG11" s="9">
        <v>1146.0</v>
      </c>
      <c r="BH11" s="9">
        <v>1674.0</v>
      </c>
      <c r="BI11" s="9">
        <v>987.0</v>
      </c>
      <c r="BJ11" s="9">
        <v>1262.0</v>
      </c>
      <c r="BK11" s="9">
        <v>1869.0</v>
      </c>
      <c r="BL11" s="9">
        <v>1931.0</v>
      </c>
      <c r="BM11" s="9">
        <v>3051.0</v>
      </c>
      <c r="BN11" s="9">
        <v>87.0</v>
      </c>
      <c r="BO11" s="9">
        <v>97.0</v>
      </c>
      <c r="BP11" s="9">
        <v>14.0</v>
      </c>
      <c r="BQ11" s="9">
        <v>376.0</v>
      </c>
      <c r="BR11" s="9">
        <v>59.0</v>
      </c>
      <c r="BS11" s="9">
        <v>710.0</v>
      </c>
      <c r="BT11" s="9">
        <v>665.0</v>
      </c>
      <c r="BU11" s="9">
        <v>1043.0</v>
      </c>
      <c r="BV11" s="9">
        <v>6802.0</v>
      </c>
      <c r="BW11" s="9">
        <v>530.0</v>
      </c>
      <c r="BX11" s="9">
        <v>128.0</v>
      </c>
      <c r="BY11" s="9">
        <v>1.0</v>
      </c>
      <c r="BZ11" s="9">
        <v>4923.0</v>
      </c>
      <c r="CA11" s="9">
        <v>1220.0</v>
      </c>
      <c r="CB11" s="9">
        <v>84770.0</v>
      </c>
    </row>
    <row r="12">
      <c r="A12" s="9" t="s">
        <v>170</v>
      </c>
      <c r="B12" s="9" t="s">
        <v>0</v>
      </c>
      <c r="C12" s="9">
        <v>15152.0</v>
      </c>
      <c r="D12" s="9">
        <v>567.0</v>
      </c>
      <c r="E12" s="9">
        <v>3911.0</v>
      </c>
      <c r="F12" s="9">
        <v>2142.0</v>
      </c>
      <c r="G12" s="9">
        <v>1178.0</v>
      </c>
      <c r="H12" s="9">
        <v>5017.0</v>
      </c>
      <c r="I12" s="9">
        <v>1135.0</v>
      </c>
      <c r="J12" s="9">
        <v>180.0</v>
      </c>
      <c r="K12" s="9">
        <v>176.0</v>
      </c>
      <c r="L12" s="9">
        <v>545.0</v>
      </c>
      <c r="M12" s="9">
        <v>301.0</v>
      </c>
      <c r="N12" s="9">
        <v>1154.0</v>
      </c>
      <c r="O12" s="9">
        <v>1084.0</v>
      </c>
      <c r="P12" s="9">
        <v>70.0</v>
      </c>
      <c r="Q12" s="9">
        <v>17908.0</v>
      </c>
      <c r="R12" s="9">
        <v>510.0</v>
      </c>
      <c r="S12" s="9">
        <v>452.0</v>
      </c>
      <c r="T12" s="9">
        <v>10.0</v>
      </c>
      <c r="U12" s="9">
        <v>699.0</v>
      </c>
      <c r="V12" s="9">
        <v>22.0</v>
      </c>
      <c r="W12" s="9">
        <v>4503.0</v>
      </c>
      <c r="X12" s="9">
        <v>449.0</v>
      </c>
      <c r="Y12" s="9">
        <v>11015.0</v>
      </c>
      <c r="Z12" s="9">
        <v>248.0</v>
      </c>
      <c r="AA12" s="9">
        <v>15078.0</v>
      </c>
      <c r="AB12" s="9">
        <v>9849.0</v>
      </c>
      <c r="AC12" s="9">
        <v>3374.0</v>
      </c>
      <c r="AD12" s="9">
        <v>1855.0</v>
      </c>
      <c r="AE12" s="9">
        <v>385.0</v>
      </c>
      <c r="AF12" s="9">
        <v>265.0</v>
      </c>
      <c r="AG12" s="9">
        <v>70.0</v>
      </c>
      <c r="AH12" s="9">
        <v>50.0</v>
      </c>
      <c r="AI12" s="9">
        <v>3388.0</v>
      </c>
      <c r="AJ12" s="9">
        <v>139.0</v>
      </c>
      <c r="AK12" s="9">
        <v>316.0</v>
      </c>
      <c r="AL12" s="9">
        <v>525.0</v>
      </c>
      <c r="AM12" s="9">
        <v>1225.0</v>
      </c>
      <c r="AN12" s="9">
        <v>283.0</v>
      </c>
      <c r="AO12" s="9">
        <v>32.0</v>
      </c>
      <c r="AP12" s="9">
        <v>237.0</v>
      </c>
      <c r="AQ12" s="9">
        <v>164.0</v>
      </c>
      <c r="AR12" s="9">
        <v>467.0</v>
      </c>
      <c r="AS12" s="9">
        <v>10428.0</v>
      </c>
      <c r="AT12" s="9">
        <v>497.0</v>
      </c>
      <c r="AU12" s="9">
        <v>169.0</v>
      </c>
      <c r="AV12" s="9">
        <v>104.0</v>
      </c>
      <c r="AW12" s="9">
        <v>421.0</v>
      </c>
      <c r="AX12" s="9">
        <v>593.0</v>
      </c>
      <c r="AY12" s="9">
        <v>698.0</v>
      </c>
      <c r="AZ12" s="9">
        <v>1826.0</v>
      </c>
      <c r="BA12" s="9">
        <v>5418.0</v>
      </c>
      <c r="BB12" s="9">
        <v>702.0</v>
      </c>
      <c r="BC12" s="9">
        <v>10656.0</v>
      </c>
      <c r="BD12" s="9">
        <v>808.0</v>
      </c>
      <c r="BE12" s="9">
        <v>1365.0</v>
      </c>
      <c r="BF12" s="9">
        <v>181.0</v>
      </c>
      <c r="BG12" s="9">
        <v>1034.0</v>
      </c>
      <c r="BH12" s="9">
        <v>1565.0</v>
      </c>
      <c r="BI12" s="9">
        <v>862.0</v>
      </c>
      <c r="BJ12" s="9">
        <v>1277.0</v>
      </c>
      <c r="BK12" s="9">
        <v>1863.0</v>
      </c>
      <c r="BL12" s="9">
        <v>1701.0</v>
      </c>
      <c r="BM12" s="9">
        <v>3345.0</v>
      </c>
      <c r="BN12" s="9">
        <v>85.0</v>
      </c>
      <c r="BO12" s="9">
        <v>98.0</v>
      </c>
      <c r="BP12" s="9">
        <v>12.0</v>
      </c>
      <c r="BQ12" s="9">
        <v>365.0</v>
      </c>
      <c r="BR12" s="9">
        <v>62.0</v>
      </c>
      <c r="BS12" s="9">
        <v>872.0</v>
      </c>
      <c r="BT12" s="9">
        <v>671.0</v>
      </c>
      <c r="BU12" s="9">
        <v>1180.0</v>
      </c>
      <c r="BV12" s="9">
        <v>11493.0</v>
      </c>
      <c r="BW12" s="9">
        <v>766.0</v>
      </c>
      <c r="BX12" s="9">
        <v>135.0</v>
      </c>
      <c r="BY12" s="9">
        <v>2.0</v>
      </c>
      <c r="BZ12" s="9">
        <v>7642.0</v>
      </c>
      <c r="CA12" s="9">
        <v>2948.0</v>
      </c>
      <c r="CB12" s="9">
        <v>88987.0</v>
      </c>
    </row>
    <row r="13">
      <c r="A13" s="9" t="s">
        <v>171</v>
      </c>
      <c r="B13" s="9" t="s">
        <v>0</v>
      </c>
      <c r="C13" s="9">
        <v>15878.0</v>
      </c>
      <c r="D13" s="9">
        <v>698.0</v>
      </c>
      <c r="E13" s="9">
        <v>4163.0</v>
      </c>
      <c r="F13" s="9">
        <v>2209.0</v>
      </c>
      <c r="G13" s="9">
        <v>1387.0</v>
      </c>
      <c r="H13" s="9">
        <v>4882.0</v>
      </c>
      <c r="I13" s="9">
        <v>1192.0</v>
      </c>
      <c r="J13" s="9">
        <v>164.0</v>
      </c>
      <c r="K13" s="9">
        <v>213.0</v>
      </c>
      <c r="L13" s="9">
        <v>626.0</v>
      </c>
      <c r="M13" s="9">
        <v>344.0</v>
      </c>
      <c r="N13" s="9">
        <v>1402.0</v>
      </c>
      <c r="O13" s="9">
        <v>1345.0</v>
      </c>
      <c r="P13" s="9">
        <v>57.0</v>
      </c>
      <c r="Q13" s="9">
        <v>16669.0</v>
      </c>
      <c r="R13" s="9">
        <v>343.0</v>
      </c>
      <c r="S13" s="9">
        <v>777.0</v>
      </c>
      <c r="T13" s="9">
        <v>13.0</v>
      </c>
      <c r="U13" s="9">
        <v>698.0</v>
      </c>
      <c r="V13" s="9">
        <v>30.0</v>
      </c>
      <c r="W13" s="9">
        <v>3972.0</v>
      </c>
      <c r="X13" s="9">
        <v>415.0</v>
      </c>
      <c r="Y13" s="9">
        <v>10164.0</v>
      </c>
      <c r="Z13" s="9">
        <v>257.0</v>
      </c>
      <c r="AA13" s="9">
        <v>14460.0</v>
      </c>
      <c r="AB13" s="9">
        <v>8406.0</v>
      </c>
      <c r="AC13" s="9">
        <v>4174.0</v>
      </c>
      <c r="AD13" s="9">
        <v>1880.0</v>
      </c>
      <c r="AE13" s="9">
        <v>328.0</v>
      </c>
      <c r="AF13" s="9">
        <v>226.0</v>
      </c>
      <c r="AG13" s="9">
        <v>51.0</v>
      </c>
      <c r="AH13" s="9">
        <v>51.0</v>
      </c>
      <c r="AI13" s="9">
        <v>3855.0</v>
      </c>
      <c r="AJ13" s="9">
        <v>159.0</v>
      </c>
      <c r="AK13" s="9">
        <v>380.0</v>
      </c>
      <c r="AL13" s="9">
        <v>524.0</v>
      </c>
      <c r="AM13" s="9">
        <v>1481.0</v>
      </c>
      <c r="AN13" s="9">
        <v>334.0</v>
      </c>
      <c r="AO13" s="9">
        <v>31.0</v>
      </c>
      <c r="AP13" s="9">
        <v>232.0</v>
      </c>
      <c r="AQ13" s="9">
        <v>178.0</v>
      </c>
      <c r="AR13" s="9">
        <v>536.0</v>
      </c>
      <c r="AS13" s="9">
        <v>10684.0</v>
      </c>
      <c r="AT13" s="9">
        <v>430.0</v>
      </c>
      <c r="AU13" s="9">
        <v>180.0</v>
      </c>
      <c r="AV13" s="9">
        <v>138.0</v>
      </c>
      <c r="AW13" s="9">
        <v>470.0</v>
      </c>
      <c r="AX13" s="9">
        <v>604.0</v>
      </c>
      <c r="AY13" s="9">
        <v>868.0</v>
      </c>
      <c r="AZ13" s="9">
        <v>1362.0</v>
      </c>
      <c r="BA13" s="9">
        <v>5974.0</v>
      </c>
      <c r="BB13" s="9">
        <v>658.0</v>
      </c>
      <c r="BC13" s="9">
        <v>10988.0</v>
      </c>
      <c r="BD13" s="9">
        <v>793.0</v>
      </c>
      <c r="BE13" s="9">
        <v>1096.0</v>
      </c>
      <c r="BF13" s="9">
        <v>197.0</v>
      </c>
      <c r="BG13" s="9">
        <v>1029.0</v>
      </c>
      <c r="BH13" s="9">
        <v>1405.0</v>
      </c>
      <c r="BI13" s="9">
        <v>906.0</v>
      </c>
      <c r="BJ13" s="9">
        <v>1298.0</v>
      </c>
      <c r="BK13" s="9">
        <v>2441.0</v>
      </c>
      <c r="BL13" s="9">
        <v>1823.0</v>
      </c>
      <c r="BM13" s="9">
        <v>3618.0</v>
      </c>
      <c r="BN13" s="9">
        <v>77.0</v>
      </c>
      <c r="BO13" s="9">
        <v>127.0</v>
      </c>
      <c r="BP13" s="9">
        <v>12.0</v>
      </c>
      <c r="BQ13" s="9">
        <v>331.0</v>
      </c>
      <c r="BR13" s="9">
        <v>63.0</v>
      </c>
      <c r="BS13" s="9">
        <v>1004.0</v>
      </c>
      <c r="BT13" s="9">
        <v>784.0</v>
      </c>
      <c r="BU13" s="9">
        <v>1220.0</v>
      </c>
      <c r="BV13" s="9">
        <v>9018.0</v>
      </c>
      <c r="BW13" s="9">
        <v>1807.0</v>
      </c>
      <c r="BX13" s="9">
        <v>98.0</v>
      </c>
      <c r="BY13" s="9">
        <v>8.0</v>
      </c>
      <c r="BZ13" s="9">
        <v>4810.0</v>
      </c>
      <c r="CA13" s="9">
        <v>2295.0</v>
      </c>
      <c r="CB13" s="9">
        <v>86900.0</v>
      </c>
    </row>
    <row r="14">
      <c r="A14" s="9" t="s">
        <v>172</v>
      </c>
      <c r="B14" s="9" t="s">
        <v>0</v>
      </c>
      <c r="C14" s="9">
        <v>18974.0</v>
      </c>
      <c r="D14" s="9">
        <v>798.0</v>
      </c>
      <c r="E14" s="9">
        <v>5038.0</v>
      </c>
      <c r="F14" s="9">
        <v>2724.0</v>
      </c>
      <c r="G14" s="9">
        <v>1690.0</v>
      </c>
      <c r="H14" s="9">
        <v>5406.0</v>
      </c>
      <c r="I14" s="9">
        <v>1460.0</v>
      </c>
      <c r="J14" s="9">
        <v>209.0</v>
      </c>
      <c r="K14" s="9">
        <v>257.0</v>
      </c>
      <c r="L14" s="9">
        <v>977.0</v>
      </c>
      <c r="M14" s="9">
        <v>415.0</v>
      </c>
      <c r="N14" s="9">
        <v>1771.0</v>
      </c>
      <c r="O14" s="9">
        <v>1715.0</v>
      </c>
      <c r="P14" s="9">
        <v>56.0</v>
      </c>
      <c r="Q14" s="9">
        <v>21236.0</v>
      </c>
      <c r="R14" s="9">
        <v>594.0</v>
      </c>
      <c r="S14" s="9">
        <v>723.0</v>
      </c>
      <c r="T14" s="9">
        <v>11.0</v>
      </c>
      <c r="U14" s="9">
        <v>871.0</v>
      </c>
      <c r="V14" s="9">
        <v>52.0</v>
      </c>
      <c r="W14" s="9">
        <v>4879.0</v>
      </c>
      <c r="X14" s="9">
        <v>451.0</v>
      </c>
      <c r="Y14" s="9">
        <v>13382.0</v>
      </c>
      <c r="Z14" s="9">
        <v>273.0</v>
      </c>
      <c r="AA14" s="9">
        <v>23041.0</v>
      </c>
      <c r="AB14" s="9">
        <v>9349.0</v>
      </c>
      <c r="AC14" s="9">
        <v>10465.0</v>
      </c>
      <c r="AD14" s="9">
        <v>3227.0</v>
      </c>
      <c r="AE14" s="9">
        <v>307.0</v>
      </c>
      <c r="AF14" s="9">
        <v>215.0</v>
      </c>
      <c r="AG14" s="9">
        <v>42.0</v>
      </c>
      <c r="AH14" s="9">
        <v>50.0</v>
      </c>
      <c r="AI14" s="9">
        <v>4716.0</v>
      </c>
      <c r="AJ14" s="9">
        <v>123.0</v>
      </c>
      <c r="AK14" s="9">
        <v>489.0</v>
      </c>
      <c r="AL14" s="9">
        <v>620.0</v>
      </c>
      <c r="AM14" s="9">
        <v>2016.0</v>
      </c>
      <c r="AN14" s="9">
        <v>377.0</v>
      </c>
      <c r="AO14" s="9">
        <v>74.0</v>
      </c>
      <c r="AP14" s="9">
        <v>218.0</v>
      </c>
      <c r="AQ14" s="9">
        <v>201.0</v>
      </c>
      <c r="AR14" s="9">
        <v>598.0</v>
      </c>
      <c r="AS14" s="9">
        <v>13571.0</v>
      </c>
      <c r="AT14" s="9">
        <v>504.0</v>
      </c>
      <c r="AU14" s="9">
        <v>165.0</v>
      </c>
      <c r="AV14" s="9">
        <v>174.0</v>
      </c>
      <c r="AW14" s="9">
        <v>565.0</v>
      </c>
      <c r="AX14" s="9">
        <v>600.0</v>
      </c>
      <c r="AY14" s="9">
        <v>1010.0</v>
      </c>
      <c r="AZ14" s="9">
        <v>1172.0</v>
      </c>
      <c r="BA14" s="9">
        <v>8715.0</v>
      </c>
      <c r="BB14" s="9">
        <v>666.0</v>
      </c>
      <c r="BC14" s="9">
        <v>12494.0</v>
      </c>
      <c r="BD14" s="9">
        <v>966.0</v>
      </c>
      <c r="BE14" s="9">
        <v>1235.0</v>
      </c>
      <c r="BF14" s="9">
        <v>256.0</v>
      </c>
      <c r="BG14" s="9">
        <v>1119.0</v>
      </c>
      <c r="BH14" s="9">
        <v>1404.0</v>
      </c>
      <c r="BI14" s="9">
        <v>1450.0</v>
      </c>
      <c r="BJ14" s="9">
        <v>1502.0</v>
      </c>
      <c r="BK14" s="9">
        <v>3275.0</v>
      </c>
      <c r="BL14" s="9">
        <v>1287.0</v>
      </c>
      <c r="BM14" s="9">
        <v>4166.0</v>
      </c>
      <c r="BN14" s="9">
        <v>84.0</v>
      </c>
      <c r="BO14" s="9">
        <v>121.0</v>
      </c>
      <c r="BP14" s="9">
        <v>14.0</v>
      </c>
      <c r="BQ14" s="9">
        <v>340.0</v>
      </c>
      <c r="BR14" s="9">
        <v>65.0</v>
      </c>
      <c r="BS14" s="9">
        <v>1132.0</v>
      </c>
      <c r="BT14" s="9">
        <v>1061.0</v>
      </c>
      <c r="BU14" s="9">
        <v>1349.0</v>
      </c>
      <c r="BV14" s="9">
        <v>10092.0</v>
      </c>
      <c r="BW14" s="9">
        <v>1792.0</v>
      </c>
      <c r="BX14" s="9">
        <v>83.0</v>
      </c>
      <c r="BY14" s="9">
        <v>5.0</v>
      </c>
      <c r="BZ14" s="9">
        <v>4952.0</v>
      </c>
      <c r="CA14" s="9">
        <v>3260.0</v>
      </c>
      <c r="CB14" s="9">
        <v>110368.0</v>
      </c>
    </row>
    <row r="15">
      <c r="A15" s="9" t="s">
        <v>173</v>
      </c>
      <c r="B15" s="9" t="s">
        <v>0</v>
      </c>
      <c r="C15" s="9">
        <v>21988.0</v>
      </c>
      <c r="D15" s="9">
        <v>1030.0</v>
      </c>
      <c r="E15" s="9">
        <v>6369.0</v>
      </c>
      <c r="F15" s="9">
        <v>3049.0</v>
      </c>
      <c r="G15" s="9">
        <v>1711.0</v>
      </c>
      <c r="H15" s="9">
        <v>6281.0</v>
      </c>
      <c r="I15" s="9">
        <v>1634.0</v>
      </c>
      <c r="J15" s="9">
        <v>224.0</v>
      </c>
      <c r="K15" s="9">
        <v>258.0</v>
      </c>
      <c r="L15" s="9">
        <v>997.0</v>
      </c>
      <c r="M15" s="9">
        <v>435.0</v>
      </c>
      <c r="N15" s="9">
        <v>2187.0</v>
      </c>
      <c r="O15" s="9">
        <v>2115.0</v>
      </c>
      <c r="P15" s="9">
        <v>72.0</v>
      </c>
      <c r="Q15" s="9">
        <v>23774.0</v>
      </c>
      <c r="R15" s="9">
        <v>828.0</v>
      </c>
      <c r="S15" s="9">
        <v>735.0</v>
      </c>
      <c r="T15" s="9">
        <v>17.0</v>
      </c>
      <c r="U15" s="9">
        <v>859.0</v>
      </c>
      <c r="V15" s="9">
        <v>51.0</v>
      </c>
      <c r="W15" s="9">
        <v>5582.0</v>
      </c>
      <c r="X15" s="9">
        <v>531.0</v>
      </c>
      <c r="Y15" s="9">
        <v>14868.0</v>
      </c>
      <c r="Z15" s="9">
        <v>303.0</v>
      </c>
      <c r="AA15" s="9">
        <v>25430.0</v>
      </c>
      <c r="AB15" s="9">
        <v>12514.0</v>
      </c>
      <c r="AC15" s="9">
        <v>9212.0</v>
      </c>
      <c r="AD15" s="9">
        <v>3704.0</v>
      </c>
      <c r="AE15" s="9">
        <v>309.0</v>
      </c>
      <c r="AF15" s="9">
        <v>217.0</v>
      </c>
      <c r="AG15" s="9">
        <v>44.0</v>
      </c>
      <c r="AH15" s="9">
        <v>48.0</v>
      </c>
      <c r="AI15" s="9">
        <v>5425.0</v>
      </c>
      <c r="AJ15" s="9">
        <v>136.0</v>
      </c>
      <c r="AK15" s="9">
        <v>564.0</v>
      </c>
      <c r="AL15" s="9">
        <v>647.0</v>
      </c>
      <c r="AM15" s="9">
        <v>2434.0</v>
      </c>
      <c r="AN15" s="9">
        <v>394.0</v>
      </c>
      <c r="AO15" s="9">
        <v>152.0</v>
      </c>
      <c r="AP15" s="9">
        <v>234.0</v>
      </c>
      <c r="AQ15" s="9">
        <v>229.0</v>
      </c>
      <c r="AR15" s="9">
        <v>635.0</v>
      </c>
      <c r="AS15" s="9">
        <v>13923.0</v>
      </c>
      <c r="AT15" s="9">
        <v>545.0</v>
      </c>
      <c r="AU15" s="9">
        <v>173.0</v>
      </c>
      <c r="AV15" s="9">
        <v>217.0</v>
      </c>
      <c r="AW15" s="9">
        <v>661.0</v>
      </c>
      <c r="AX15" s="9">
        <v>568.0</v>
      </c>
      <c r="AY15" s="9">
        <v>952.0</v>
      </c>
      <c r="AZ15" s="9">
        <v>737.0</v>
      </c>
      <c r="BA15" s="9">
        <v>9319.0</v>
      </c>
      <c r="BB15" s="9">
        <v>751.0</v>
      </c>
      <c r="BC15" s="9">
        <v>13842.0</v>
      </c>
      <c r="BD15" s="9">
        <v>750.0</v>
      </c>
      <c r="BE15" s="9">
        <v>1376.0</v>
      </c>
      <c r="BF15" s="9">
        <v>208.0</v>
      </c>
      <c r="BG15" s="9">
        <v>1303.0</v>
      </c>
      <c r="BH15" s="9">
        <v>1638.0</v>
      </c>
      <c r="BI15" s="9">
        <v>1357.0</v>
      </c>
      <c r="BJ15" s="9">
        <v>1709.0</v>
      </c>
      <c r="BK15" s="9">
        <v>4250.0</v>
      </c>
      <c r="BL15" s="9">
        <v>1251.0</v>
      </c>
      <c r="BM15" s="9">
        <v>4561.0</v>
      </c>
      <c r="BN15" s="9">
        <v>95.0</v>
      </c>
      <c r="BO15" s="9">
        <v>148.0</v>
      </c>
      <c r="BP15" s="9">
        <v>13.0</v>
      </c>
      <c r="BQ15" s="9">
        <v>369.0</v>
      </c>
      <c r="BR15" s="9">
        <v>62.0</v>
      </c>
      <c r="BS15" s="9">
        <v>1291.0</v>
      </c>
      <c r="BT15" s="9">
        <v>1113.0</v>
      </c>
      <c r="BU15" s="9">
        <v>1470.0</v>
      </c>
      <c r="BV15" s="9">
        <v>11095.0</v>
      </c>
      <c r="BW15" s="9">
        <v>2232.0</v>
      </c>
      <c r="BX15" s="9">
        <v>61.0</v>
      </c>
      <c r="BY15" s="9">
        <v>0.0</v>
      </c>
      <c r="BZ15" s="9">
        <v>5157.0</v>
      </c>
      <c r="CA15" s="9">
        <v>3645.0</v>
      </c>
      <c r="CB15" s="9">
        <v>122534.0</v>
      </c>
    </row>
    <row r="16">
      <c r="A16" s="9" t="s">
        <v>174</v>
      </c>
      <c r="B16" s="9" t="s">
        <v>0</v>
      </c>
      <c r="C16" s="9">
        <v>21146.0</v>
      </c>
      <c r="D16" s="9">
        <v>1168.0</v>
      </c>
      <c r="E16" s="9">
        <v>5952.0</v>
      </c>
      <c r="F16" s="9">
        <v>2887.0</v>
      </c>
      <c r="G16" s="9">
        <v>1627.0</v>
      </c>
      <c r="H16" s="9">
        <v>5959.0</v>
      </c>
      <c r="I16" s="9">
        <v>1644.0</v>
      </c>
      <c r="J16" s="9">
        <v>230.0</v>
      </c>
      <c r="K16" s="9">
        <v>281.0</v>
      </c>
      <c r="L16" s="9">
        <v>959.0</v>
      </c>
      <c r="M16" s="9">
        <v>439.0</v>
      </c>
      <c r="N16" s="9">
        <v>2616.0</v>
      </c>
      <c r="O16" s="9">
        <v>2516.0</v>
      </c>
      <c r="P16" s="9">
        <v>100.0</v>
      </c>
      <c r="Q16" s="9">
        <v>22042.0</v>
      </c>
      <c r="R16" s="9">
        <v>658.0</v>
      </c>
      <c r="S16" s="9">
        <v>757.0</v>
      </c>
      <c r="T16" s="9">
        <v>19.0</v>
      </c>
      <c r="U16" s="9">
        <v>972.0</v>
      </c>
      <c r="V16" s="9">
        <v>48.0</v>
      </c>
      <c r="W16" s="9">
        <v>4896.0</v>
      </c>
      <c r="X16" s="9">
        <v>502.0</v>
      </c>
      <c r="Y16" s="9">
        <v>13889.0</v>
      </c>
      <c r="Z16" s="9">
        <v>301.0</v>
      </c>
      <c r="AA16" s="9">
        <v>24700.0</v>
      </c>
      <c r="AB16" s="9">
        <v>12877.0</v>
      </c>
      <c r="AC16" s="9">
        <v>8622.0</v>
      </c>
      <c r="AD16" s="9">
        <v>3201.0</v>
      </c>
      <c r="AE16" s="9">
        <v>320.0</v>
      </c>
      <c r="AF16" s="9">
        <v>208.0</v>
      </c>
      <c r="AG16" s="9">
        <v>55.0</v>
      </c>
      <c r="AH16" s="9">
        <v>57.0</v>
      </c>
      <c r="AI16" s="9">
        <v>5073.0</v>
      </c>
      <c r="AJ16" s="9">
        <v>131.0</v>
      </c>
      <c r="AK16" s="9">
        <v>548.0</v>
      </c>
      <c r="AL16" s="9">
        <v>679.0</v>
      </c>
      <c r="AM16" s="9">
        <v>1944.0</v>
      </c>
      <c r="AN16" s="9">
        <v>492.0</v>
      </c>
      <c r="AO16" s="9">
        <v>118.0</v>
      </c>
      <c r="AP16" s="9">
        <v>234.0</v>
      </c>
      <c r="AQ16" s="9">
        <v>253.0</v>
      </c>
      <c r="AR16" s="9">
        <v>674.0</v>
      </c>
      <c r="AS16" s="9">
        <v>13461.0</v>
      </c>
      <c r="AT16" s="9">
        <v>622.0</v>
      </c>
      <c r="AU16" s="9">
        <v>141.0</v>
      </c>
      <c r="AV16" s="9">
        <v>222.0</v>
      </c>
      <c r="AW16" s="9">
        <v>790.0</v>
      </c>
      <c r="AX16" s="9">
        <v>518.0</v>
      </c>
      <c r="AY16" s="9">
        <v>923.0</v>
      </c>
      <c r="AZ16" s="9">
        <v>795.0</v>
      </c>
      <c r="BA16" s="9">
        <v>8637.0</v>
      </c>
      <c r="BB16" s="9">
        <v>813.0</v>
      </c>
      <c r="BC16" s="9">
        <v>14192.0</v>
      </c>
      <c r="BD16" s="9">
        <v>675.0</v>
      </c>
      <c r="BE16" s="9">
        <v>1367.0</v>
      </c>
      <c r="BF16" s="9">
        <v>143.0</v>
      </c>
      <c r="BG16" s="9">
        <v>1259.0</v>
      </c>
      <c r="BH16" s="9">
        <v>1610.0</v>
      </c>
      <c r="BI16" s="9">
        <v>751.0</v>
      </c>
      <c r="BJ16" s="9">
        <v>1724.0</v>
      </c>
      <c r="BK16" s="9">
        <v>4263.0</v>
      </c>
      <c r="BL16" s="9">
        <v>2400.0</v>
      </c>
      <c r="BM16" s="9">
        <v>4426.0</v>
      </c>
      <c r="BN16" s="9">
        <v>127.0</v>
      </c>
      <c r="BO16" s="9">
        <v>177.0</v>
      </c>
      <c r="BP16" s="9">
        <v>15.0</v>
      </c>
      <c r="BQ16" s="9">
        <v>320.0</v>
      </c>
      <c r="BR16" s="9">
        <v>57.0</v>
      </c>
      <c r="BS16" s="9">
        <v>1335.0</v>
      </c>
      <c r="BT16" s="9">
        <v>725.0</v>
      </c>
      <c r="BU16" s="9">
        <v>1670.0</v>
      </c>
      <c r="BV16" s="9">
        <v>11471.0</v>
      </c>
      <c r="BW16" s="9">
        <v>2493.0</v>
      </c>
      <c r="BX16" s="9">
        <v>68.0</v>
      </c>
      <c r="BY16" s="9">
        <v>0.0</v>
      </c>
      <c r="BZ16" s="9">
        <v>5307.0</v>
      </c>
      <c r="CA16" s="9">
        <v>3603.0</v>
      </c>
      <c r="CB16" s="9">
        <v>119447.0</v>
      </c>
    </row>
    <row r="17">
      <c r="A17" s="9" t="s">
        <v>175</v>
      </c>
      <c r="B17" s="9" t="s">
        <v>0</v>
      </c>
      <c r="C17" s="9">
        <v>16388.0</v>
      </c>
      <c r="D17" s="9">
        <v>969.0</v>
      </c>
      <c r="E17" s="9">
        <v>5309.0</v>
      </c>
      <c r="F17" s="9">
        <v>2071.0</v>
      </c>
      <c r="G17" s="9">
        <v>1351.0</v>
      </c>
      <c r="H17" s="9">
        <v>3651.0</v>
      </c>
      <c r="I17" s="9">
        <v>1231.0</v>
      </c>
      <c r="J17" s="9">
        <v>178.0</v>
      </c>
      <c r="K17" s="9">
        <v>281.0</v>
      </c>
      <c r="L17" s="9">
        <v>868.0</v>
      </c>
      <c r="M17" s="9">
        <v>479.0</v>
      </c>
      <c r="N17" s="9">
        <v>2626.0</v>
      </c>
      <c r="O17" s="9">
        <v>2528.0</v>
      </c>
      <c r="P17" s="9">
        <v>98.0</v>
      </c>
      <c r="Q17" s="9">
        <v>20198.0</v>
      </c>
      <c r="R17" s="9">
        <v>637.0</v>
      </c>
      <c r="S17" s="9">
        <v>373.0</v>
      </c>
      <c r="T17" s="9">
        <v>16.0</v>
      </c>
      <c r="U17" s="9">
        <v>959.0</v>
      </c>
      <c r="V17" s="9">
        <v>56.0</v>
      </c>
      <c r="W17" s="9">
        <v>3497.0</v>
      </c>
      <c r="X17" s="9">
        <v>450.0</v>
      </c>
      <c r="Y17" s="9">
        <v>13968.0</v>
      </c>
      <c r="Z17" s="9">
        <v>242.0</v>
      </c>
      <c r="AA17" s="9">
        <v>21345.0</v>
      </c>
      <c r="AB17" s="9">
        <v>10900.0</v>
      </c>
      <c r="AC17" s="9">
        <v>7244.0</v>
      </c>
      <c r="AD17" s="9">
        <v>3201.0</v>
      </c>
      <c r="AE17" s="9">
        <v>328.0</v>
      </c>
      <c r="AF17" s="9">
        <v>239.0</v>
      </c>
      <c r="AG17" s="9">
        <v>38.0</v>
      </c>
      <c r="AH17" s="9">
        <v>51.0</v>
      </c>
      <c r="AI17" s="9">
        <v>5193.0</v>
      </c>
      <c r="AJ17" s="9">
        <v>145.0</v>
      </c>
      <c r="AK17" s="9">
        <v>522.0</v>
      </c>
      <c r="AL17" s="9">
        <v>618.0</v>
      </c>
      <c r="AM17" s="9">
        <v>2236.0</v>
      </c>
      <c r="AN17" s="9">
        <v>432.0</v>
      </c>
      <c r="AO17" s="9">
        <v>151.0</v>
      </c>
      <c r="AP17" s="9">
        <v>203.0</v>
      </c>
      <c r="AQ17" s="9">
        <v>243.0</v>
      </c>
      <c r="AR17" s="9">
        <v>643.0</v>
      </c>
      <c r="AS17" s="9">
        <v>11374.0</v>
      </c>
      <c r="AT17" s="9">
        <v>520.0</v>
      </c>
      <c r="AU17" s="9">
        <v>135.0</v>
      </c>
      <c r="AV17" s="9">
        <v>195.0</v>
      </c>
      <c r="AW17" s="9">
        <v>745.0</v>
      </c>
      <c r="AX17" s="9">
        <v>475.0</v>
      </c>
      <c r="AY17" s="9">
        <v>870.0</v>
      </c>
      <c r="AZ17" s="9">
        <v>893.0</v>
      </c>
      <c r="BA17" s="9">
        <v>6770.0</v>
      </c>
      <c r="BB17" s="9">
        <v>771.0</v>
      </c>
      <c r="BC17" s="9">
        <v>12451.0</v>
      </c>
      <c r="BD17" s="9">
        <v>746.0</v>
      </c>
      <c r="BE17" s="9">
        <v>1178.0</v>
      </c>
      <c r="BF17" s="9">
        <v>141.0</v>
      </c>
      <c r="BG17" s="9">
        <v>1247.0</v>
      </c>
      <c r="BH17" s="9">
        <v>1338.0</v>
      </c>
      <c r="BI17" s="9">
        <v>779.0</v>
      </c>
      <c r="BJ17" s="9">
        <v>1536.0</v>
      </c>
      <c r="BK17" s="9">
        <v>4101.0</v>
      </c>
      <c r="BL17" s="9">
        <v>1385.0</v>
      </c>
      <c r="BM17" s="9">
        <v>4291.0</v>
      </c>
      <c r="BN17" s="9">
        <v>97.0</v>
      </c>
      <c r="BO17" s="9">
        <v>158.0</v>
      </c>
      <c r="BP17" s="9">
        <v>21.0</v>
      </c>
      <c r="BQ17" s="9">
        <v>331.0</v>
      </c>
      <c r="BR17" s="9">
        <v>50.0</v>
      </c>
      <c r="BS17" s="9">
        <v>1205.0</v>
      </c>
      <c r="BT17" s="9">
        <v>583.0</v>
      </c>
      <c r="BU17" s="9">
        <v>1846.0</v>
      </c>
      <c r="BV17" s="9">
        <v>13766.0</v>
      </c>
      <c r="BW17" s="9">
        <v>2703.0</v>
      </c>
      <c r="BX17" s="9">
        <v>80.0</v>
      </c>
      <c r="BY17" s="9">
        <v>0.0</v>
      </c>
      <c r="BZ17" s="9">
        <v>5863.0</v>
      </c>
      <c r="CA17" s="9">
        <v>5120.0</v>
      </c>
      <c r="CB17" s="9">
        <v>107960.0</v>
      </c>
    </row>
    <row r="18">
      <c r="A18" s="9" t="s">
        <v>176</v>
      </c>
      <c r="B18" s="9" t="s">
        <v>0</v>
      </c>
      <c r="C18" s="9">
        <v>20435.0</v>
      </c>
      <c r="D18" s="9">
        <v>829.0</v>
      </c>
      <c r="E18" s="9">
        <v>6552.0</v>
      </c>
      <c r="F18" s="9">
        <v>2377.0</v>
      </c>
      <c r="G18" s="9">
        <v>1231.0</v>
      </c>
      <c r="H18" s="9">
        <v>6192.0</v>
      </c>
      <c r="I18" s="9">
        <v>1285.0</v>
      </c>
      <c r="J18" s="9">
        <v>200.0</v>
      </c>
      <c r="K18" s="9">
        <v>286.0</v>
      </c>
      <c r="L18" s="9">
        <v>1017.0</v>
      </c>
      <c r="M18" s="9">
        <v>466.0</v>
      </c>
      <c r="N18" s="9">
        <v>2942.0</v>
      </c>
      <c r="O18" s="9">
        <v>2837.0</v>
      </c>
      <c r="P18" s="9">
        <v>105.0</v>
      </c>
      <c r="Q18" s="9">
        <v>23058.0</v>
      </c>
      <c r="R18" s="9">
        <v>686.0</v>
      </c>
      <c r="S18" s="9">
        <v>635.0</v>
      </c>
      <c r="T18" s="9">
        <v>15.0</v>
      </c>
      <c r="U18" s="9">
        <v>1043.0</v>
      </c>
      <c r="V18" s="9">
        <v>69.0</v>
      </c>
      <c r="W18" s="9">
        <v>3580.0</v>
      </c>
      <c r="X18" s="9">
        <v>420.0</v>
      </c>
      <c r="Y18" s="9">
        <v>16333.0</v>
      </c>
      <c r="Z18" s="9">
        <v>277.0</v>
      </c>
      <c r="AA18" s="9">
        <v>23836.0</v>
      </c>
      <c r="AB18" s="9">
        <v>13475.0</v>
      </c>
      <c r="AC18" s="9">
        <v>7088.0</v>
      </c>
      <c r="AD18" s="9">
        <v>3273.0</v>
      </c>
      <c r="AE18" s="9">
        <v>366.0</v>
      </c>
      <c r="AF18" s="9">
        <v>240.0</v>
      </c>
      <c r="AG18" s="9">
        <v>61.0</v>
      </c>
      <c r="AH18" s="9">
        <v>65.0</v>
      </c>
      <c r="AI18" s="9">
        <v>5526.0</v>
      </c>
      <c r="AJ18" s="9">
        <v>131.0</v>
      </c>
      <c r="AK18" s="9">
        <v>512.0</v>
      </c>
      <c r="AL18" s="9">
        <v>627.0</v>
      </c>
      <c r="AM18" s="9">
        <v>2599.0</v>
      </c>
      <c r="AN18" s="9">
        <v>417.0</v>
      </c>
      <c r="AO18" s="9">
        <v>136.0</v>
      </c>
      <c r="AP18" s="9">
        <v>215.0</v>
      </c>
      <c r="AQ18" s="9">
        <v>282.0</v>
      </c>
      <c r="AR18" s="9">
        <v>607.0</v>
      </c>
      <c r="AS18" s="9">
        <v>12011.0</v>
      </c>
      <c r="AT18" s="9">
        <v>452.0</v>
      </c>
      <c r="AU18" s="9">
        <v>145.0</v>
      </c>
      <c r="AV18" s="9">
        <v>232.0</v>
      </c>
      <c r="AW18" s="9">
        <v>764.0</v>
      </c>
      <c r="AX18" s="9">
        <v>445.0</v>
      </c>
      <c r="AY18" s="9">
        <v>829.0</v>
      </c>
      <c r="AZ18" s="9">
        <v>867.0</v>
      </c>
      <c r="BA18" s="9">
        <v>7506.0</v>
      </c>
      <c r="BB18" s="9">
        <v>771.0</v>
      </c>
      <c r="BC18" s="9">
        <v>11970.0</v>
      </c>
      <c r="BD18" s="9">
        <v>935.0</v>
      </c>
      <c r="BE18" s="9">
        <v>1187.0</v>
      </c>
      <c r="BF18" s="9">
        <v>137.0</v>
      </c>
      <c r="BG18" s="9">
        <v>1370.0</v>
      </c>
      <c r="BH18" s="9">
        <v>1128.0</v>
      </c>
      <c r="BI18" s="9">
        <v>859.0</v>
      </c>
      <c r="BJ18" s="9">
        <v>1537.0</v>
      </c>
      <c r="BK18" s="9">
        <v>3947.0</v>
      </c>
      <c r="BL18" s="9">
        <v>870.0</v>
      </c>
      <c r="BM18" s="9">
        <v>4406.0</v>
      </c>
      <c r="BN18" s="9">
        <v>99.0</v>
      </c>
      <c r="BO18" s="9">
        <v>132.0</v>
      </c>
      <c r="BP18" s="9">
        <v>21.0</v>
      </c>
      <c r="BQ18" s="9">
        <v>290.0</v>
      </c>
      <c r="BR18" s="9">
        <v>44.0</v>
      </c>
      <c r="BS18" s="9">
        <v>1307.0</v>
      </c>
      <c r="BT18" s="9">
        <v>567.0</v>
      </c>
      <c r="BU18" s="9">
        <v>1946.0</v>
      </c>
      <c r="BV18" s="9">
        <v>13216.0</v>
      </c>
      <c r="BW18" s="9">
        <v>1936.0</v>
      </c>
      <c r="BX18" s="9">
        <v>109.0</v>
      </c>
      <c r="BY18" s="9">
        <v>0.0</v>
      </c>
      <c r="BZ18" s="9">
        <v>5641.0</v>
      </c>
      <c r="CA18" s="9">
        <v>5530.0</v>
      </c>
      <c r="CB18" s="9">
        <v>117766.0</v>
      </c>
    </row>
    <row r="19">
      <c r="A19" s="9" t="s">
        <v>177</v>
      </c>
      <c r="B19" s="9" t="s">
        <v>0</v>
      </c>
      <c r="C19" s="9">
        <v>18738.0</v>
      </c>
      <c r="D19" s="9">
        <v>817.0</v>
      </c>
      <c r="E19" s="9">
        <v>6860.0</v>
      </c>
      <c r="F19" s="9">
        <v>2439.0</v>
      </c>
      <c r="G19" s="9">
        <v>1222.0</v>
      </c>
      <c r="H19" s="9">
        <v>4406.0</v>
      </c>
      <c r="I19" s="9">
        <v>1289.0</v>
      </c>
      <c r="J19" s="9">
        <v>212.0</v>
      </c>
      <c r="K19" s="9">
        <v>245.0</v>
      </c>
      <c r="L19" s="9">
        <v>806.0</v>
      </c>
      <c r="M19" s="9">
        <v>442.0</v>
      </c>
      <c r="N19" s="9">
        <v>2961.0</v>
      </c>
      <c r="O19" s="9">
        <v>2884.0</v>
      </c>
      <c r="P19" s="9">
        <v>77.0</v>
      </c>
      <c r="Q19" s="9">
        <v>30128.0</v>
      </c>
      <c r="R19" s="9">
        <v>623.0</v>
      </c>
      <c r="S19" s="9">
        <v>398.0</v>
      </c>
      <c r="T19" s="9">
        <v>9.0</v>
      </c>
      <c r="U19" s="9">
        <v>1017.0</v>
      </c>
      <c r="V19" s="9">
        <v>131.0</v>
      </c>
      <c r="W19" s="9">
        <v>3362.0</v>
      </c>
      <c r="X19" s="9">
        <v>503.0</v>
      </c>
      <c r="Y19" s="9">
        <v>23806.0</v>
      </c>
      <c r="Z19" s="9">
        <v>279.0</v>
      </c>
      <c r="AA19" s="9">
        <v>35571.0</v>
      </c>
      <c r="AB19" s="9">
        <v>21895.0</v>
      </c>
      <c r="AC19" s="9">
        <v>9054.0</v>
      </c>
      <c r="AD19" s="9">
        <v>4622.0</v>
      </c>
      <c r="AE19" s="9">
        <v>296.0</v>
      </c>
      <c r="AF19" s="9">
        <v>204.0</v>
      </c>
      <c r="AG19" s="9">
        <v>56.0</v>
      </c>
      <c r="AH19" s="9">
        <v>36.0</v>
      </c>
      <c r="AI19" s="9">
        <v>6460.0</v>
      </c>
      <c r="AJ19" s="9">
        <v>134.0</v>
      </c>
      <c r="AK19" s="9">
        <v>541.0</v>
      </c>
      <c r="AL19" s="9">
        <v>625.0</v>
      </c>
      <c r="AM19" s="9">
        <v>3229.0</v>
      </c>
      <c r="AN19" s="9">
        <v>462.0</v>
      </c>
      <c r="AO19" s="9">
        <v>188.0</v>
      </c>
      <c r="AP19" s="9">
        <v>310.0</v>
      </c>
      <c r="AQ19" s="9">
        <v>317.0</v>
      </c>
      <c r="AR19" s="9">
        <v>654.0</v>
      </c>
      <c r="AS19" s="9">
        <v>12935.0</v>
      </c>
      <c r="AT19" s="9">
        <v>398.0</v>
      </c>
      <c r="AU19" s="9">
        <v>168.0</v>
      </c>
      <c r="AV19" s="9">
        <v>236.0</v>
      </c>
      <c r="AW19" s="9">
        <v>701.0</v>
      </c>
      <c r="AX19" s="9">
        <v>430.0</v>
      </c>
      <c r="AY19" s="9">
        <v>858.0</v>
      </c>
      <c r="AZ19" s="9">
        <v>746.0</v>
      </c>
      <c r="BA19" s="9">
        <v>8540.0</v>
      </c>
      <c r="BB19" s="9">
        <v>858.0</v>
      </c>
      <c r="BC19" s="9">
        <v>13141.0</v>
      </c>
      <c r="BD19" s="9">
        <v>1119.0</v>
      </c>
      <c r="BE19" s="9">
        <v>1424.0</v>
      </c>
      <c r="BF19" s="9">
        <v>183.0</v>
      </c>
      <c r="BG19" s="9">
        <v>1494.0</v>
      </c>
      <c r="BH19" s="9">
        <v>1215.0</v>
      </c>
      <c r="BI19" s="9">
        <v>794.0</v>
      </c>
      <c r="BJ19" s="9">
        <v>1523.0</v>
      </c>
      <c r="BK19" s="9">
        <v>4287.0</v>
      </c>
      <c r="BL19" s="9">
        <v>1102.0</v>
      </c>
      <c r="BM19" s="9">
        <v>4445.0</v>
      </c>
      <c r="BN19" s="9">
        <v>116.0</v>
      </c>
      <c r="BO19" s="9">
        <v>131.0</v>
      </c>
      <c r="BP19" s="9">
        <v>24.0</v>
      </c>
      <c r="BQ19" s="9">
        <v>271.0</v>
      </c>
      <c r="BR19" s="9">
        <v>44.0</v>
      </c>
      <c r="BS19" s="9">
        <v>1500.0</v>
      </c>
      <c r="BT19" s="9">
        <v>338.0</v>
      </c>
      <c r="BU19" s="9">
        <v>2021.0</v>
      </c>
      <c r="BV19" s="9">
        <v>14404.0</v>
      </c>
      <c r="BW19" s="9">
        <v>2017.0</v>
      </c>
      <c r="BX19" s="9">
        <v>113.0</v>
      </c>
      <c r="BY19" s="9">
        <v>0.0</v>
      </c>
      <c r="BZ19" s="9">
        <v>5823.0</v>
      </c>
      <c r="CA19" s="9">
        <v>6451.0</v>
      </c>
      <c r="CB19" s="9">
        <v>139079.0</v>
      </c>
    </row>
    <row r="20">
      <c r="A20" s="9" t="s">
        <v>178</v>
      </c>
      <c r="B20" s="9" t="s">
        <v>0</v>
      </c>
      <c r="C20" s="9">
        <v>20065.0</v>
      </c>
      <c r="D20" s="9">
        <v>881.0</v>
      </c>
      <c r="E20" s="9">
        <v>7084.0</v>
      </c>
      <c r="F20" s="9">
        <v>2424.0</v>
      </c>
      <c r="G20" s="9">
        <v>1222.0</v>
      </c>
      <c r="H20" s="9">
        <v>5193.0</v>
      </c>
      <c r="I20" s="9">
        <v>1453.0</v>
      </c>
      <c r="J20" s="9">
        <v>278.0</v>
      </c>
      <c r="K20" s="9">
        <v>217.0</v>
      </c>
      <c r="L20" s="9">
        <v>874.0</v>
      </c>
      <c r="M20" s="9">
        <v>439.0</v>
      </c>
      <c r="N20" s="9">
        <v>3008.0</v>
      </c>
      <c r="O20" s="9">
        <v>2892.0</v>
      </c>
      <c r="P20" s="9">
        <v>116.0</v>
      </c>
      <c r="Q20" s="9">
        <v>39187.0</v>
      </c>
      <c r="R20" s="9">
        <v>661.0</v>
      </c>
      <c r="S20" s="9">
        <v>366.0</v>
      </c>
      <c r="T20" s="9">
        <v>0.0</v>
      </c>
      <c r="U20" s="9">
        <v>1143.0</v>
      </c>
      <c r="V20" s="9">
        <v>158.0</v>
      </c>
      <c r="W20" s="9">
        <v>3415.0</v>
      </c>
      <c r="X20" s="9">
        <v>542.0</v>
      </c>
      <c r="Y20" s="9">
        <v>32664.0</v>
      </c>
      <c r="Z20" s="9">
        <v>238.0</v>
      </c>
      <c r="AA20" s="9">
        <v>39335.0</v>
      </c>
      <c r="AB20" s="9">
        <v>23357.0</v>
      </c>
      <c r="AC20" s="9">
        <v>9812.0</v>
      </c>
      <c r="AD20" s="9">
        <v>6166.0</v>
      </c>
      <c r="AE20" s="9">
        <v>284.0</v>
      </c>
      <c r="AF20" s="9">
        <v>206.0</v>
      </c>
      <c r="AG20" s="9">
        <v>65.0</v>
      </c>
      <c r="AH20" s="9">
        <v>13.0</v>
      </c>
      <c r="AI20" s="9">
        <v>6904.0</v>
      </c>
      <c r="AJ20" s="9">
        <v>157.0</v>
      </c>
      <c r="AK20" s="9">
        <v>648.0</v>
      </c>
      <c r="AL20" s="9">
        <v>641.0</v>
      </c>
      <c r="AM20" s="9">
        <v>3450.0</v>
      </c>
      <c r="AN20" s="9">
        <v>485.0</v>
      </c>
      <c r="AO20" s="9">
        <v>148.0</v>
      </c>
      <c r="AP20" s="9">
        <v>269.0</v>
      </c>
      <c r="AQ20" s="9">
        <v>353.0</v>
      </c>
      <c r="AR20" s="9">
        <v>753.0</v>
      </c>
      <c r="AS20" s="9">
        <v>17287.0</v>
      </c>
      <c r="AT20" s="9">
        <v>419.0</v>
      </c>
      <c r="AU20" s="9">
        <v>182.0</v>
      </c>
      <c r="AV20" s="9">
        <v>202.0</v>
      </c>
      <c r="AW20" s="9">
        <v>721.0</v>
      </c>
      <c r="AX20" s="9">
        <v>414.0</v>
      </c>
      <c r="AY20" s="9">
        <v>896.0</v>
      </c>
      <c r="AZ20" s="9">
        <v>1062.0</v>
      </c>
      <c r="BA20" s="9">
        <v>12413.0</v>
      </c>
      <c r="BB20" s="9">
        <v>978.0</v>
      </c>
      <c r="BC20" s="9">
        <v>13001.0</v>
      </c>
      <c r="BD20" s="9">
        <v>1292.0</v>
      </c>
      <c r="BE20" s="9">
        <v>1439.0</v>
      </c>
      <c r="BF20" s="9">
        <v>177.0</v>
      </c>
      <c r="BG20" s="9">
        <v>1609.0</v>
      </c>
      <c r="BH20" s="9">
        <v>1262.0</v>
      </c>
      <c r="BI20" s="9">
        <v>764.0</v>
      </c>
      <c r="BJ20" s="9">
        <v>1638.0</v>
      </c>
      <c r="BK20" s="9">
        <v>3836.0</v>
      </c>
      <c r="BL20" s="9">
        <v>984.0</v>
      </c>
      <c r="BM20" s="9">
        <v>4796.0</v>
      </c>
      <c r="BN20" s="9">
        <v>108.0</v>
      </c>
      <c r="BO20" s="9">
        <v>141.0</v>
      </c>
      <c r="BP20" s="9">
        <v>25.0</v>
      </c>
      <c r="BQ20" s="9">
        <v>244.0</v>
      </c>
      <c r="BR20" s="9">
        <v>43.0</v>
      </c>
      <c r="BS20" s="9">
        <v>1691.0</v>
      </c>
      <c r="BT20" s="9">
        <v>358.0</v>
      </c>
      <c r="BU20" s="9">
        <v>2186.0</v>
      </c>
      <c r="BV20" s="9">
        <v>19869.0</v>
      </c>
      <c r="BW20" s="9">
        <v>2696.0</v>
      </c>
      <c r="BX20" s="9">
        <v>151.0</v>
      </c>
      <c r="BY20" s="9">
        <v>0.0</v>
      </c>
      <c r="BZ20" s="9">
        <v>9153.0</v>
      </c>
      <c r="CA20" s="9">
        <v>7869.0</v>
      </c>
      <c r="CB20" s="9">
        <v>163736.0</v>
      </c>
    </row>
    <row r="21" ht="15.75" customHeight="1">
      <c r="A21" s="9" t="s">
        <v>179</v>
      </c>
      <c r="B21" s="9" t="s">
        <v>0</v>
      </c>
      <c r="C21" s="9">
        <v>17428.0</v>
      </c>
      <c r="D21" s="9">
        <v>928.0</v>
      </c>
      <c r="E21" s="9">
        <v>6624.0</v>
      </c>
      <c r="F21" s="9">
        <v>2435.0</v>
      </c>
      <c r="G21" s="9">
        <v>1110.0</v>
      </c>
      <c r="H21" s="9">
        <v>3362.0</v>
      </c>
      <c r="I21" s="9">
        <v>1285.0</v>
      </c>
      <c r="J21" s="9">
        <v>223.0</v>
      </c>
      <c r="K21" s="9">
        <v>256.0</v>
      </c>
      <c r="L21" s="9">
        <v>761.0</v>
      </c>
      <c r="M21" s="9">
        <v>444.0</v>
      </c>
      <c r="N21" s="9">
        <v>3248.0</v>
      </c>
      <c r="O21" s="9">
        <v>3101.0</v>
      </c>
      <c r="P21" s="9">
        <v>147.0</v>
      </c>
      <c r="Q21" s="9">
        <v>42059.0</v>
      </c>
      <c r="R21" s="9">
        <v>734.0</v>
      </c>
      <c r="S21" s="9">
        <v>150.0</v>
      </c>
      <c r="T21" s="9">
        <v>3.0</v>
      </c>
      <c r="U21" s="9">
        <v>1254.0</v>
      </c>
      <c r="V21" s="9">
        <v>227.0</v>
      </c>
      <c r="W21" s="9">
        <v>3339.0</v>
      </c>
      <c r="X21" s="9">
        <v>543.0</v>
      </c>
      <c r="Y21" s="9">
        <v>35606.0</v>
      </c>
      <c r="Z21" s="9">
        <v>203.0</v>
      </c>
      <c r="AA21" s="9">
        <v>38264.0</v>
      </c>
      <c r="AB21" s="9">
        <v>20875.0</v>
      </c>
      <c r="AC21" s="9">
        <v>11211.0</v>
      </c>
      <c r="AD21" s="9">
        <v>6178.0</v>
      </c>
      <c r="AE21" s="9">
        <v>363.0</v>
      </c>
      <c r="AF21" s="9">
        <v>282.0</v>
      </c>
      <c r="AG21" s="9">
        <v>68.0</v>
      </c>
      <c r="AH21" s="9">
        <v>13.0</v>
      </c>
      <c r="AI21" s="9">
        <v>7898.0</v>
      </c>
      <c r="AJ21" s="9">
        <v>160.0</v>
      </c>
      <c r="AK21" s="9">
        <v>814.0</v>
      </c>
      <c r="AL21" s="9">
        <v>616.0</v>
      </c>
      <c r="AM21" s="9">
        <v>3948.0</v>
      </c>
      <c r="AN21" s="9">
        <v>531.0</v>
      </c>
      <c r="AO21" s="9">
        <v>259.0</v>
      </c>
      <c r="AP21" s="9">
        <v>373.0</v>
      </c>
      <c r="AQ21" s="9">
        <v>349.0</v>
      </c>
      <c r="AR21" s="9">
        <v>848.0</v>
      </c>
      <c r="AS21" s="9">
        <v>18579.0</v>
      </c>
      <c r="AT21" s="9">
        <v>381.0</v>
      </c>
      <c r="AU21" s="9">
        <v>243.0</v>
      </c>
      <c r="AV21" s="9">
        <v>167.0</v>
      </c>
      <c r="AW21" s="9">
        <v>709.0</v>
      </c>
      <c r="AX21" s="9">
        <v>410.0</v>
      </c>
      <c r="AY21" s="9">
        <v>768.0</v>
      </c>
      <c r="AZ21" s="9">
        <v>1203.0</v>
      </c>
      <c r="BA21" s="9">
        <v>13642.0</v>
      </c>
      <c r="BB21" s="9">
        <v>1056.0</v>
      </c>
      <c r="BC21" s="9">
        <v>13770.0</v>
      </c>
      <c r="BD21" s="9">
        <v>1169.0</v>
      </c>
      <c r="BE21" s="9">
        <v>1720.0</v>
      </c>
      <c r="BF21" s="9">
        <v>204.0</v>
      </c>
      <c r="BG21" s="9">
        <v>1665.0</v>
      </c>
      <c r="BH21" s="9">
        <v>1155.0</v>
      </c>
      <c r="BI21" s="9">
        <v>879.0</v>
      </c>
      <c r="BJ21" s="9">
        <v>1847.0</v>
      </c>
      <c r="BK21" s="9">
        <v>4095.0</v>
      </c>
      <c r="BL21" s="9">
        <v>1036.0</v>
      </c>
      <c r="BM21" s="9">
        <v>5061.0</v>
      </c>
      <c r="BN21" s="9">
        <v>137.0</v>
      </c>
      <c r="BO21" s="9">
        <v>110.0</v>
      </c>
      <c r="BP21" s="9">
        <v>30.0</v>
      </c>
      <c r="BQ21" s="9">
        <v>241.0</v>
      </c>
      <c r="BR21" s="9">
        <v>45.0</v>
      </c>
      <c r="BS21" s="9">
        <v>1811.0</v>
      </c>
      <c r="BT21" s="9">
        <v>321.0</v>
      </c>
      <c r="BU21" s="9">
        <v>2366.0</v>
      </c>
      <c r="BV21" s="9">
        <v>21710.0</v>
      </c>
      <c r="BW21" s="9">
        <v>1350.0</v>
      </c>
      <c r="BX21" s="9">
        <v>209.0</v>
      </c>
      <c r="BY21" s="9">
        <v>0.0</v>
      </c>
      <c r="BZ21" s="9">
        <v>11361.0</v>
      </c>
      <c r="CA21" s="9">
        <v>8790.0</v>
      </c>
      <c r="CB21" s="9">
        <v>168380.0</v>
      </c>
    </row>
    <row r="22" ht="15.75" customHeight="1">
      <c r="A22" s="9" t="s">
        <v>180</v>
      </c>
      <c r="B22" s="9" t="s">
        <v>0</v>
      </c>
      <c r="C22" s="9">
        <v>21816.0</v>
      </c>
      <c r="D22" s="9">
        <v>1119.0</v>
      </c>
      <c r="E22" s="9">
        <v>7197.0</v>
      </c>
      <c r="F22" s="9">
        <v>2655.0</v>
      </c>
      <c r="G22" s="9">
        <v>1106.0</v>
      </c>
      <c r="H22" s="9">
        <v>6098.0</v>
      </c>
      <c r="I22" s="9">
        <v>1407.0</v>
      </c>
      <c r="J22" s="9">
        <v>239.0</v>
      </c>
      <c r="K22" s="9">
        <v>269.0</v>
      </c>
      <c r="L22" s="9">
        <v>1119.0</v>
      </c>
      <c r="M22" s="9">
        <v>607.0</v>
      </c>
      <c r="N22" s="9">
        <v>2774.0</v>
      </c>
      <c r="O22" s="9">
        <v>2649.0</v>
      </c>
      <c r="P22" s="9">
        <v>125.0</v>
      </c>
      <c r="Q22" s="9">
        <v>56263.0</v>
      </c>
      <c r="R22" s="9">
        <v>720.0</v>
      </c>
      <c r="S22" s="9">
        <v>395.0</v>
      </c>
      <c r="T22" s="9">
        <v>11.0</v>
      </c>
      <c r="U22" s="9">
        <v>1374.0</v>
      </c>
      <c r="V22" s="9">
        <v>292.0</v>
      </c>
      <c r="W22" s="9">
        <v>2783.0</v>
      </c>
      <c r="X22" s="9">
        <v>400.0</v>
      </c>
      <c r="Y22" s="9">
        <v>50045.0</v>
      </c>
      <c r="Z22" s="9">
        <v>243.0</v>
      </c>
      <c r="AA22" s="9">
        <v>71108.0</v>
      </c>
      <c r="AB22" s="9">
        <v>46868.0</v>
      </c>
      <c r="AC22" s="9">
        <v>13808.0</v>
      </c>
      <c r="AD22" s="9">
        <v>10432.0</v>
      </c>
      <c r="AE22" s="9">
        <v>572.0</v>
      </c>
      <c r="AF22" s="9">
        <v>392.0</v>
      </c>
      <c r="AG22" s="9">
        <v>167.0</v>
      </c>
      <c r="AH22" s="9">
        <v>13.0</v>
      </c>
      <c r="AI22" s="9">
        <v>8467.0</v>
      </c>
      <c r="AJ22" s="9">
        <v>185.0</v>
      </c>
      <c r="AK22" s="9">
        <v>768.0</v>
      </c>
      <c r="AL22" s="9">
        <v>584.0</v>
      </c>
      <c r="AM22" s="9">
        <v>3982.0</v>
      </c>
      <c r="AN22" s="9">
        <v>593.0</v>
      </c>
      <c r="AO22" s="9">
        <v>649.0</v>
      </c>
      <c r="AP22" s="9">
        <v>331.0</v>
      </c>
      <c r="AQ22" s="9">
        <v>362.0</v>
      </c>
      <c r="AR22" s="9">
        <v>1013.0</v>
      </c>
      <c r="AS22" s="9">
        <v>18013.0</v>
      </c>
      <c r="AT22" s="9">
        <v>325.0</v>
      </c>
      <c r="AU22" s="9">
        <v>276.0</v>
      </c>
      <c r="AV22" s="9">
        <v>163.0</v>
      </c>
      <c r="AW22" s="9">
        <v>717.0</v>
      </c>
      <c r="AX22" s="9">
        <v>379.0</v>
      </c>
      <c r="AY22" s="9">
        <v>814.0</v>
      </c>
      <c r="AZ22" s="9">
        <v>1705.0</v>
      </c>
      <c r="BA22" s="9">
        <v>12494.0</v>
      </c>
      <c r="BB22" s="9">
        <v>1140.0</v>
      </c>
      <c r="BC22" s="9">
        <v>15283.0</v>
      </c>
      <c r="BD22" s="9">
        <v>1057.0</v>
      </c>
      <c r="BE22" s="9">
        <v>1872.0</v>
      </c>
      <c r="BF22" s="9">
        <v>202.0</v>
      </c>
      <c r="BG22" s="9">
        <v>1827.0</v>
      </c>
      <c r="BH22" s="9">
        <v>1191.0</v>
      </c>
      <c r="BI22" s="9">
        <v>1034.0</v>
      </c>
      <c r="BJ22" s="9">
        <v>1857.0</v>
      </c>
      <c r="BK22" s="9">
        <v>4842.0</v>
      </c>
      <c r="BL22" s="9">
        <v>1401.0</v>
      </c>
      <c r="BM22" s="9">
        <v>5372.0</v>
      </c>
      <c r="BN22" s="9">
        <v>134.0</v>
      </c>
      <c r="BO22" s="9">
        <v>118.0</v>
      </c>
      <c r="BP22" s="9">
        <v>32.0</v>
      </c>
      <c r="BQ22" s="9">
        <v>253.0</v>
      </c>
      <c r="BR22" s="9">
        <v>51.0</v>
      </c>
      <c r="BS22" s="9">
        <v>2065.0</v>
      </c>
      <c r="BT22" s="9">
        <v>353.0</v>
      </c>
      <c r="BU22" s="9">
        <v>2366.0</v>
      </c>
      <c r="BV22" s="9">
        <v>22678.0</v>
      </c>
      <c r="BW22" s="9">
        <v>1362.0</v>
      </c>
      <c r="BX22" s="9">
        <v>415.0</v>
      </c>
      <c r="BY22" s="9">
        <v>0.0</v>
      </c>
      <c r="BZ22" s="9">
        <v>14298.0</v>
      </c>
      <c r="CA22" s="9">
        <v>6603.0</v>
      </c>
      <c r="CB22" s="9">
        <v>222346.0</v>
      </c>
    </row>
    <row r="23" ht="15.75" customHeight="1">
      <c r="A23" s="9" t="s">
        <v>181</v>
      </c>
      <c r="B23" s="9" t="s">
        <v>0</v>
      </c>
      <c r="C23" s="9">
        <v>21623.0</v>
      </c>
      <c r="D23" s="9">
        <v>1151.0</v>
      </c>
      <c r="E23" s="9">
        <v>6635.0</v>
      </c>
      <c r="F23" s="9">
        <v>2137.0</v>
      </c>
      <c r="G23" s="9">
        <v>1034.0</v>
      </c>
      <c r="H23" s="9">
        <v>6483.0</v>
      </c>
      <c r="I23" s="9">
        <v>1689.0</v>
      </c>
      <c r="J23" s="9">
        <v>272.0</v>
      </c>
      <c r="K23" s="9">
        <v>304.0</v>
      </c>
      <c r="L23" s="9">
        <v>1263.0</v>
      </c>
      <c r="M23" s="9">
        <v>655.0</v>
      </c>
      <c r="N23" s="9">
        <v>2591.0</v>
      </c>
      <c r="O23" s="9">
        <v>2462.0</v>
      </c>
      <c r="P23" s="9">
        <v>129.0</v>
      </c>
      <c r="Q23" s="9">
        <v>51326.0</v>
      </c>
      <c r="R23" s="9">
        <v>523.0</v>
      </c>
      <c r="S23" s="9">
        <v>765.0</v>
      </c>
      <c r="T23" s="9">
        <v>12.0</v>
      </c>
      <c r="U23" s="9">
        <v>1090.0</v>
      </c>
      <c r="V23" s="9">
        <v>210.0</v>
      </c>
      <c r="W23" s="9">
        <v>2426.0</v>
      </c>
      <c r="X23" s="9">
        <v>289.0</v>
      </c>
      <c r="Y23" s="9">
        <v>45798.0</v>
      </c>
      <c r="Z23" s="9">
        <v>213.0</v>
      </c>
      <c r="AA23" s="9">
        <v>57833.0</v>
      </c>
      <c r="AB23" s="9">
        <v>39602.0</v>
      </c>
      <c r="AC23" s="9">
        <v>9600.0</v>
      </c>
      <c r="AD23" s="9">
        <v>8631.0</v>
      </c>
      <c r="AE23" s="9">
        <v>448.0</v>
      </c>
      <c r="AF23" s="9">
        <v>272.0</v>
      </c>
      <c r="AG23" s="9">
        <v>161.0</v>
      </c>
      <c r="AH23" s="9">
        <v>15.0</v>
      </c>
      <c r="AI23" s="9">
        <v>8094.0</v>
      </c>
      <c r="AJ23" s="9">
        <v>154.0</v>
      </c>
      <c r="AK23" s="9">
        <v>518.0</v>
      </c>
      <c r="AL23" s="9">
        <v>676.0</v>
      </c>
      <c r="AM23" s="9">
        <v>4071.0</v>
      </c>
      <c r="AN23" s="9">
        <v>602.0</v>
      </c>
      <c r="AO23" s="9">
        <v>405.0</v>
      </c>
      <c r="AP23" s="9">
        <v>253.0</v>
      </c>
      <c r="AQ23" s="9">
        <v>419.0</v>
      </c>
      <c r="AR23" s="9">
        <v>996.0</v>
      </c>
      <c r="AS23" s="9">
        <v>13722.0</v>
      </c>
      <c r="AT23" s="9">
        <v>249.0</v>
      </c>
      <c r="AU23" s="9">
        <v>203.0</v>
      </c>
      <c r="AV23" s="9">
        <v>156.0</v>
      </c>
      <c r="AW23" s="9">
        <v>657.0</v>
      </c>
      <c r="AX23" s="9">
        <v>308.0</v>
      </c>
      <c r="AY23" s="9">
        <v>831.0</v>
      </c>
      <c r="AZ23" s="9">
        <v>860.0</v>
      </c>
      <c r="BA23" s="9">
        <v>9388.0</v>
      </c>
      <c r="BB23" s="9">
        <v>1070.0</v>
      </c>
      <c r="BC23" s="9">
        <v>11904.0</v>
      </c>
      <c r="BD23" s="9">
        <v>785.0</v>
      </c>
      <c r="BE23" s="9">
        <v>1863.0</v>
      </c>
      <c r="BF23" s="9">
        <v>146.0</v>
      </c>
      <c r="BG23" s="9">
        <v>1764.0</v>
      </c>
      <c r="BH23" s="9">
        <v>1019.0</v>
      </c>
      <c r="BI23" s="9">
        <v>1006.0</v>
      </c>
      <c r="BJ23" s="9">
        <v>1535.0</v>
      </c>
      <c r="BK23" s="9">
        <v>2501.0</v>
      </c>
      <c r="BL23" s="9">
        <v>1285.0</v>
      </c>
      <c r="BM23" s="9">
        <v>5068.0</v>
      </c>
      <c r="BN23" s="9">
        <v>143.0</v>
      </c>
      <c r="BO23" s="9">
        <v>108.0</v>
      </c>
      <c r="BP23" s="9">
        <v>33.0</v>
      </c>
      <c r="BQ23" s="9">
        <v>231.0</v>
      </c>
      <c r="BR23" s="9">
        <v>43.0</v>
      </c>
      <c r="BS23" s="9">
        <v>2092.0</v>
      </c>
      <c r="BT23" s="9">
        <v>332.0</v>
      </c>
      <c r="BU23" s="9">
        <v>2086.0</v>
      </c>
      <c r="BV23" s="9">
        <v>23957.0</v>
      </c>
      <c r="BW23" s="9">
        <v>1944.0</v>
      </c>
      <c r="BX23" s="9">
        <v>551.0</v>
      </c>
      <c r="BY23" s="9">
        <v>0.0</v>
      </c>
      <c r="BZ23" s="9">
        <v>15052.0</v>
      </c>
      <c r="CA23" s="9">
        <v>6410.0</v>
      </c>
      <c r="CB23" s="9">
        <v>196566.0</v>
      </c>
    </row>
    <row r="24" ht="15.75" customHeight="1">
      <c r="A24" s="9" t="s">
        <v>182</v>
      </c>
      <c r="B24" s="9" t="s">
        <v>0</v>
      </c>
      <c r="C24" s="9">
        <v>20880.0</v>
      </c>
      <c r="D24" s="9">
        <v>1145.0</v>
      </c>
      <c r="E24" s="9">
        <v>6709.0</v>
      </c>
      <c r="F24" s="9">
        <v>2160.0</v>
      </c>
      <c r="G24" s="9">
        <v>1019.0</v>
      </c>
      <c r="H24" s="9">
        <v>5862.0</v>
      </c>
      <c r="I24" s="9">
        <v>1555.0</v>
      </c>
      <c r="J24" s="9">
        <v>337.0</v>
      </c>
      <c r="K24" s="9">
        <v>285.0</v>
      </c>
      <c r="L24" s="9">
        <v>1010.0</v>
      </c>
      <c r="M24" s="9">
        <v>798.0</v>
      </c>
      <c r="N24" s="9">
        <v>2419.0</v>
      </c>
      <c r="O24" s="9">
        <v>2292.0</v>
      </c>
      <c r="P24" s="9">
        <v>127.0</v>
      </c>
      <c r="Q24" s="9">
        <v>75897.0</v>
      </c>
      <c r="R24" s="9">
        <v>720.0</v>
      </c>
      <c r="S24" s="9">
        <v>584.0</v>
      </c>
      <c r="T24" s="9">
        <v>15.0</v>
      </c>
      <c r="U24" s="9">
        <v>1216.0</v>
      </c>
      <c r="V24" s="9">
        <v>264.0</v>
      </c>
      <c r="W24" s="9">
        <v>3318.0</v>
      </c>
      <c r="X24" s="9">
        <v>361.0</v>
      </c>
      <c r="Y24" s="9">
        <v>69212.0</v>
      </c>
      <c r="Z24" s="9">
        <v>207.0</v>
      </c>
      <c r="AA24" s="9">
        <v>66590.0</v>
      </c>
      <c r="AB24" s="9">
        <v>43125.0</v>
      </c>
      <c r="AC24" s="9">
        <v>12957.0</v>
      </c>
      <c r="AD24" s="9">
        <v>10508.0</v>
      </c>
      <c r="AE24" s="9">
        <v>470.0</v>
      </c>
      <c r="AF24" s="9">
        <v>306.0</v>
      </c>
      <c r="AG24" s="9">
        <v>152.0</v>
      </c>
      <c r="AH24" s="9">
        <v>12.0</v>
      </c>
      <c r="AI24" s="9">
        <v>8079.0</v>
      </c>
      <c r="AJ24" s="9">
        <v>183.0</v>
      </c>
      <c r="AK24" s="9">
        <v>566.0</v>
      </c>
      <c r="AL24" s="9">
        <v>663.0</v>
      </c>
      <c r="AM24" s="9">
        <v>3998.0</v>
      </c>
      <c r="AN24" s="9">
        <v>653.0</v>
      </c>
      <c r="AO24" s="9">
        <v>326.0</v>
      </c>
      <c r="AP24" s="9">
        <v>347.0</v>
      </c>
      <c r="AQ24" s="9">
        <v>346.0</v>
      </c>
      <c r="AR24" s="9">
        <v>997.0</v>
      </c>
      <c r="AS24" s="9">
        <v>15250.0</v>
      </c>
      <c r="AT24" s="9">
        <v>276.0</v>
      </c>
      <c r="AU24" s="9">
        <v>187.0</v>
      </c>
      <c r="AV24" s="9">
        <v>151.0</v>
      </c>
      <c r="AW24" s="9">
        <v>796.0</v>
      </c>
      <c r="AX24" s="9">
        <v>265.0</v>
      </c>
      <c r="AY24" s="9">
        <v>728.0</v>
      </c>
      <c r="AZ24" s="9">
        <v>1404.0</v>
      </c>
      <c r="BA24" s="9">
        <v>10383.0</v>
      </c>
      <c r="BB24" s="9">
        <v>1060.0</v>
      </c>
      <c r="BC24" s="9">
        <v>12229.0</v>
      </c>
      <c r="BD24" s="9">
        <v>834.0</v>
      </c>
      <c r="BE24" s="9">
        <v>1903.0</v>
      </c>
      <c r="BF24" s="9">
        <v>136.0</v>
      </c>
      <c r="BG24" s="9">
        <v>1794.0</v>
      </c>
      <c r="BH24" s="9">
        <v>1182.0</v>
      </c>
      <c r="BI24" s="9">
        <v>933.0</v>
      </c>
      <c r="BJ24" s="9">
        <v>1545.0</v>
      </c>
      <c r="BK24" s="9">
        <v>2894.0</v>
      </c>
      <c r="BL24" s="9">
        <v>1008.0</v>
      </c>
      <c r="BM24" s="9">
        <v>4873.0</v>
      </c>
      <c r="BN24" s="9">
        <v>144.0</v>
      </c>
      <c r="BO24" s="9">
        <v>101.0</v>
      </c>
      <c r="BP24" s="9">
        <v>31.0</v>
      </c>
      <c r="BQ24" s="9">
        <v>241.0</v>
      </c>
      <c r="BR24" s="9">
        <v>42.0</v>
      </c>
      <c r="BS24" s="9">
        <v>1948.0</v>
      </c>
      <c r="BT24" s="9">
        <v>266.0</v>
      </c>
      <c r="BU24" s="9">
        <v>2100.0</v>
      </c>
      <c r="BV24" s="9">
        <v>24448.0</v>
      </c>
      <c r="BW24" s="9">
        <v>1577.0</v>
      </c>
      <c r="BX24" s="9">
        <v>569.0</v>
      </c>
      <c r="BY24" s="9">
        <v>0.0</v>
      </c>
      <c r="BZ24" s="9">
        <v>14436.0</v>
      </c>
      <c r="CA24" s="9">
        <v>7866.0</v>
      </c>
      <c r="CB24" s="9">
        <v>231135.0</v>
      </c>
    </row>
    <row r="25" ht="15.75" customHeight="1">
      <c r="A25" s="9" t="s">
        <v>183</v>
      </c>
      <c r="B25" s="9" t="s">
        <v>0</v>
      </c>
      <c r="C25" s="9">
        <v>24189.0</v>
      </c>
      <c r="D25" s="9">
        <v>1072.0</v>
      </c>
      <c r="E25" s="9">
        <v>7130.0</v>
      </c>
      <c r="F25" s="9">
        <v>2172.0</v>
      </c>
      <c r="G25" s="9">
        <v>1063.0</v>
      </c>
      <c r="H25" s="9">
        <v>8490.0</v>
      </c>
      <c r="I25" s="9">
        <v>1672.0</v>
      </c>
      <c r="J25" s="9">
        <v>330.0</v>
      </c>
      <c r="K25" s="9">
        <v>294.0</v>
      </c>
      <c r="L25" s="9">
        <v>1076.0</v>
      </c>
      <c r="M25" s="9">
        <v>890.0</v>
      </c>
      <c r="N25" s="9">
        <v>2209.0</v>
      </c>
      <c r="O25" s="9">
        <v>2088.0</v>
      </c>
      <c r="P25" s="9">
        <v>121.0</v>
      </c>
      <c r="Q25" s="9">
        <v>95780.0</v>
      </c>
      <c r="R25" s="9">
        <v>850.0</v>
      </c>
      <c r="S25" s="9">
        <v>1307.0</v>
      </c>
      <c r="T25" s="9">
        <v>17.0</v>
      </c>
      <c r="U25" s="9">
        <v>1092.0</v>
      </c>
      <c r="V25" s="9">
        <v>249.0</v>
      </c>
      <c r="W25" s="9">
        <v>5427.0</v>
      </c>
      <c r="X25" s="9">
        <v>415.0</v>
      </c>
      <c r="Y25" s="9">
        <v>86221.0</v>
      </c>
      <c r="Z25" s="9">
        <v>202.0</v>
      </c>
      <c r="AA25" s="9">
        <v>73391.0</v>
      </c>
      <c r="AB25" s="9">
        <v>46948.0</v>
      </c>
      <c r="AC25" s="9">
        <v>14396.0</v>
      </c>
      <c r="AD25" s="9">
        <v>12047.0</v>
      </c>
      <c r="AE25" s="9">
        <v>599.0</v>
      </c>
      <c r="AF25" s="9">
        <v>413.0</v>
      </c>
      <c r="AG25" s="9">
        <v>174.0</v>
      </c>
      <c r="AH25" s="9">
        <v>12.0</v>
      </c>
      <c r="AI25" s="9">
        <v>7898.0</v>
      </c>
      <c r="AJ25" s="9">
        <v>189.0</v>
      </c>
      <c r="AK25" s="9">
        <v>586.0</v>
      </c>
      <c r="AL25" s="9">
        <v>775.0</v>
      </c>
      <c r="AM25" s="9">
        <v>3743.0</v>
      </c>
      <c r="AN25" s="9">
        <v>623.0</v>
      </c>
      <c r="AO25" s="9">
        <v>396.0</v>
      </c>
      <c r="AP25" s="9">
        <v>301.0</v>
      </c>
      <c r="AQ25" s="9">
        <v>325.0</v>
      </c>
      <c r="AR25" s="9">
        <v>960.0</v>
      </c>
      <c r="AS25" s="9">
        <v>15978.0</v>
      </c>
      <c r="AT25" s="9">
        <v>242.0</v>
      </c>
      <c r="AU25" s="9">
        <v>204.0</v>
      </c>
      <c r="AV25" s="9">
        <v>117.0</v>
      </c>
      <c r="AW25" s="9">
        <v>848.0</v>
      </c>
      <c r="AX25" s="9">
        <v>264.0</v>
      </c>
      <c r="AY25" s="9">
        <v>653.0</v>
      </c>
      <c r="AZ25" s="9">
        <v>1234.0</v>
      </c>
      <c r="BA25" s="9">
        <v>11376.0</v>
      </c>
      <c r="BB25" s="9">
        <v>1040.0</v>
      </c>
      <c r="BC25" s="9">
        <v>12588.0</v>
      </c>
      <c r="BD25" s="9">
        <v>961.0</v>
      </c>
      <c r="BE25" s="9">
        <v>1949.0</v>
      </c>
      <c r="BF25" s="9">
        <v>161.0</v>
      </c>
      <c r="BG25" s="9">
        <v>1835.0</v>
      </c>
      <c r="BH25" s="9">
        <v>1151.0</v>
      </c>
      <c r="BI25" s="9">
        <v>974.0</v>
      </c>
      <c r="BJ25" s="9">
        <v>1557.0</v>
      </c>
      <c r="BK25" s="9">
        <v>2541.0</v>
      </c>
      <c r="BL25" s="9">
        <v>1459.0</v>
      </c>
      <c r="BM25" s="9">
        <v>5187.0</v>
      </c>
      <c r="BN25" s="9">
        <v>118.0</v>
      </c>
      <c r="BO25" s="9">
        <v>98.0</v>
      </c>
      <c r="BP25" s="9">
        <v>31.0</v>
      </c>
      <c r="BQ25" s="9">
        <v>250.0</v>
      </c>
      <c r="BR25" s="9">
        <v>52.0</v>
      </c>
      <c r="BS25" s="9">
        <v>1939.0</v>
      </c>
      <c r="BT25" s="9">
        <v>260.0</v>
      </c>
      <c r="BU25" s="9">
        <v>2439.0</v>
      </c>
      <c r="BV25" s="9">
        <v>23879.0</v>
      </c>
      <c r="BW25" s="9">
        <v>1282.0</v>
      </c>
      <c r="BX25" s="9">
        <v>896.0</v>
      </c>
      <c r="BY25" s="9">
        <v>0.0</v>
      </c>
      <c r="BZ25" s="9">
        <v>15075.0</v>
      </c>
      <c r="CA25" s="9">
        <v>6626.0</v>
      </c>
      <c r="CB25" s="9">
        <v>261698.0</v>
      </c>
    </row>
    <row r="26" ht="15.75" customHeight="1">
      <c r="A26" s="9" t="s">
        <v>184</v>
      </c>
      <c r="B26" s="9" t="s">
        <v>0</v>
      </c>
      <c r="C26" s="9">
        <v>25256.0</v>
      </c>
      <c r="D26" s="9">
        <v>1049.0</v>
      </c>
      <c r="E26" s="9">
        <v>7201.0</v>
      </c>
      <c r="F26" s="9">
        <v>2170.0</v>
      </c>
      <c r="G26" s="9">
        <v>953.0</v>
      </c>
      <c r="H26" s="9">
        <v>9037.0</v>
      </c>
      <c r="I26" s="9">
        <v>2082.0</v>
      </c>
      <c r="J26" s="9">
        <v>295.0</v>
      </c>
      <c r="K26" s="9">
        <v>253.0</v>
      </c>
      <c r="L26" s="9">
        <v>1302.0</v>
      </c>
      <c r="M26" s="9">
        <v>914.0</v>
      </c>
      <c r="N26" s="9">
        <v>2153.0</v>
      </c>
      <c r="O26" s="9">
        <v>2070.0</v>
      </c>
      <c r="P26" s="9">
        <v>83.0</v>
      </c>
      <c r="Q26" s="9">
        <v>86231.0</v>
      </c>
      <c r="R26" s="9">
        <v>818.0</v>
      </c>
      <c r="S26" s="9">
        <v>1797.0</v>
      </c>
      <c r="T26" s="9">
        <v>22.0</v>
      </c>
      <c r="U26" s="9">
        <v>888.0</v>
      </c>
      <c r="V26" s="9">
        <v>236.0</v>
      </c>
      <c r="W26" s="9">
        <v>5214.0</v>
      </c>
      <c r="X26" s="9">
        <v>428.0</v>
      </c>
      <c r="Y26" s="9">
        <v>76571.0</v>
      </c>
      <c r="Z26" s="9">
        <v>257.0</v>
      </c>
      <c r="AA26" s="9">
        <v>70344.0</v>
      </c>
      <c r="AB26" s="9">
        <v>41566.0</v>
      </c>
      <c r="AC26" s="9">
        <v>14286.0</v>
      </c>
      <c r="AD26" s="9">
        <v>14492.0</v>
      </c>
      <c r="AE26" s="9">
        <v>508.0</v>
      </c>
      <c r="AF26" s="9">
        <v>339.0</v>
      </c>
      <c r="AG26" s="9">
        <v>159.0</v>
      </c>
      <c r="AH26" s="9">
        <v>10.0</v>
      </c>
      <c r="AI26" s="9">
        <v>8423.0</v>
      </c>
      <c r="AJ26" s="9">
        <v>223.0</v>
      </c>
      <c r="AK26" s="9">
        <v>698.0</v>
      </c>
      <c r="AL26" s="9">
        <v>669.0</v>
      </c>
      <c r="AM26" s="9">
        <v>4321.0</v>
      </c>
      <c r="AN26" s="9">
        <v>625.0</v>
      </c>
      <c r="AO26" s="9">
        <v>309.0</v>
      </c>
      <c r="AP26" s="9">
        <v>329.0</v>
      </c>
      <c r="AQ26" s="9">
        <v>313.0</v>
      </c>
      <c r="AR26" s="9">
        <v>936.0</v>
      </c>
      <c r="AS26" s="9">
        <v>13822.0</v>
      </c>
      <c r="AT26" s="9">
        <v>196.0</v>
      </c>
      <c r="AU26" s="9">
        <v>210.0</v>
      </c>
      <c r="AV26" s="9">
        <v>95.0</v>
      </c>
      <c r="AW26" s="9">
        <v>802.0</v>
      </c>
      <c r="AX26" s="9">
        <v>247.0</v>
      </c>
      <c r="AY26" s="9">
        <v>610.0</v>
      </c>
      <c r="AZ26" s="9">
        <v>710.0</v>
      </c>
      <c r="BA26" s="9">
        <v>9879.0</v>
      </c>
      <c r="BB26" s="9">
        <v>1073.0</v>
      </c>
      <c r="BC26" s="9">
        <v>13305.0</v>
      </c>
      <c r="BD26" s="9">
        <v>843.0</v>
      </c>
      <c r="BE26" s="9">
        <v>2125.0</v>
      </c>
      <c r="BF26" s="9">
        <v>170.0</v>
      </c>
      <c r="BG26" s="9">
        <v>1890.0</v>
      </c>
      <c r="BH26" s="9">
        <v>1109.0</v>
      </c>
      <c r="BI26" s="9">
        <v>1008.0</v>
      </c>
      <c r="BJ26" s="9">
        <v>1579.0</v>
      </c>
      <c r="BK26" s="9">
        <v>3023.0</v>
      </c>
      <c r="BL26" s="9">
        <v>1558.0</v>
      </c>
      <c r="BM26" s="9">
        <v>4919.0</v>
      </c>
      <c r="BN26" s="9">
        <v>135.0</v>
      </c>
      <c r="BO26" s="9">
        <v>83.0</v>
      </c>
      <c r="BP26" s="9">
        <v>36.0</v>
      </c>
      <c r="BQ26" s="9">
        <v>256.0</v>
      </c>
      <c r="BR26" s="9">
        <v>49.0</v>
      </c>
      <c r="BS26" s="9">
        <v>1810.0</v>
      </c>
      <c r="BT26" s="9">
        <v>238.0</v>
      </c>
      <c r="BU26" s="9">
        <v>2312.0</v>
      </c>
      <c r="BV26" s="9">
        <v>22775.0</v>
      </c>
      <c r="BW26" s="9">
        <v>1034.0</v>
      </c>
      <c r="BX26" s="9">
        <v>732.0</v>
      </c>
      <c r="BY26" s="9">
        <v>0.0</v>
      </c>
      <c r="BZ26" s="9">
        <v>15526.0</v>
      </c>
      <c r="CA26" s="9">
        <v>5483.0</v>
      </c>
      <c r="CB26" s="9">
        <v>247736.0</v>
      </c>
    </row>
    <row r="27" ht="15.75" customHeight="1">
      <c r="A27" s="9" t="s">
        <v>185</v>
      </c>
      <c r="B27" s="9" t="s">
        <v>0</v>
      </c>
      <c r="C27" s="9">
        <v>27115.0</v>
      </c>
      <c r="D27" s="9">
        <v>1036.0</v>
      </c>
      <c r="E27" s="9">
        <v>8651.0</v>
      </c>
      <c r="F27" s="9">
        <v>2305.0</v>
      </c>
      <c r="G27" s="9">
        <v>1024.0</v>
      </c>
      <c r="H27" s="9">
        <v>9079.0</v>
      </c>
      <c r="I27" s="9">
        <v>2220.0</v>
      </c>
      <c r="J27" s="9">
        <v>287.0</v>
      </c>
      <c r="K27" s="9">
        <v>256.0</v>
      </c>
      <c r="L27" s="9">
        <v>1164.0</v>
      </c>
      <c r="M27" s="9">
        <v>1093.0</v>
      </c>
      <c r="N27" s="9">
        <v>2102.0</v>
      </c>
      <c r="O27" s="9">
        <v>2046.0</v>
      </c>
      <c r="P27" s="9">
        <v>56.0</v>
      </c>
      <c r="Q27" s="9">
        <v>101759.0</v>
      </c>
      <c r="R27" s="9">
        <v>1030.0</v>
      </c>
      <c r="S27" s="9">
        <v>2543.0</v>
      </c>
      <c r="T27" s="9">
        <v>19.0</v>
      </c>
      <c r="U27" s="9">
        <v>973.0</v>
      </c>
      <c r="V27" s="9">
        <v>231.0</v>
      </c>
      <c r="W27" s="9">
        <v>5287.0</v>
      </c>
      <c r="X27" s="9">
        <v>324.0</v>
      </c>
      <c r="Y27" s="9">
        <v>91067.0</v>
      </c>
      <c r="Z27" s="9">
        <v>285.0</v>
      </c>
      <c r="AA27" s="9">
        <v>67513.0</v>
      </c>
      <c r="AB27" s="9">
        <v>40009.0</v>
      </c>
      <c r="AC27" s="9">
        <v>11783.0</v>
      </c>
      <c r="AD27" s="9">
        <v>15721.0</v>
      </c>
      <c r="AE27" s="9">
        <v>644.0</v>
      </c>
      <c r="AF27" s="9">
        <v>405.0</v>
      </c>
      <c r="AG27" s="9">
        <v>217.0</v>
      </c>
      <c r="AH27" s="9">
        <v>22.0</v>
      </c>
      <c r="AI27" s="9">
        <v>7788.0</v>
      </c>
      <c r="AJ27" s="9">
        <v>168.0</v>
      </c>
      <c r="AK27" s="9">
        <v>837.0</v>
      </c>
      <c r="AL27" s="9">
        <v>688.0</v>
      </c>
      <c r="AM27" s="9">
        <v>3563.0</v>
      </c>
      <c r="AN27" s="9">
        <v>689.0</v>
      </c>
      <c r="AO27" s="9">
        <v>207.0</v>
      </c>
      <c r="AP27" s="9">
        <v>292.0</v>
      </c>
      <c r="AQ27" s="9">
        <v>327.0</v>
      </c>
      <c r="AR27" s="9">
        <v>1017.0</v>
      </c>
      <c r="AS27" s="9">
        <v>14472.0</v>
      </c>
      <c r="AT27" s="9">
        <v>217.0</v>
      </c>
      <c r="AU27" s="9">
        <v>200.0</v>
      </c>
      <c r="AV27" s="9">
        <v>75.0</v>
      </c>
      <c r="AW27" s="9">
        <v>935.0</v>
      </c>
      <c r="AX27" s="9">
        <v>233.0</v>
      </c>
      <c r="AY27" s="9">
        <v>825.0</v>
      </c>
      <c r="AZ27" s="9">
        <v>692.0</v>
      </c>
      <c r="BA27" s="9">
        <v>10227.0</v>
      </c>
      <c r="BB27" s="9">
        <v>1068.0</v>
      </c>
      <c r="BC27" s="9">
        <v>13620.0</v>
      </c>
      <c r="BD27" s="9">
        <v>899.0</v>
      </c>
      <c r="BE27" s="9">
        <v>1980.0</v>
      </c>
      <c r="BF27" s="9">
        <v>163.0</v>
      </c>
      <c r="BG27" s="9">
        <v>1903.0</v>
      </c>
      <c r="BH27" s="9">
        <v>1267.0</v>
      </c>
      <c r="BI27" s="9">
        <v>1135.0</v>
      </c>
      <c r="BJ27" s="9">
        <v>1482.0</v>
      </c>
      <c r="BK27" s="9">
        <v>3067.0</v>
      </c>
      <c r="BL27" s="9">
        <v>1724.0</v>
      </c>
      <c r="BM27" s="9">
        <v>5037.0</v>
      </c>
      <c r="BN27" s="9">
        <v>167.0</v>
      </c>
      <c r="BO27" s="9">
        <v>86.0</v>
      </c>
      <c r="BP27" s="9">
        <v>39.0</v>
      </c>
      <c r="BQ27" s="9">
        <v>238.0</v>
      </c>
      <c r="BR27" s="9">
        <v>57.0</v>
      </c>
      <c r="BS27" s="9">
        <v>1873.0</v>
      </c>
      <c r="BT27" s="9">
        <v>246.0</v>
      </c>
      <c r="BU27" s="9">
        <v>2331.0</v>
      </c>
      <c r="BV27" s="9">
        <v>21907.0</v>
      </c>
      <c r="BW27" s="9">
        <v>1145.0</v>
      </c>
      <c r="BX27" s="9">
        <v>1042.0</v>
      </c>
      <c r="BY27" s="9">
        <v>0.0</v>
      </c>
      <c r="BZ27" s="9">
        <v>13898.0</v>
      </c>
      <c r="CA27" s="9">
        <v>5822.0</v>
      </c>
      <c r="CB27" s="9">
        <v>261957.0</v>
      </c>
    </row>
    <row r="28" ht="15.75" customHeight="1">
      <c r="A28" s="9" t="s">
        <v>186</v>
      </c>
      <c r="B28" s="9" t="s">
        <v>0</v>
      </c>
      <c r="C28" s="9">
        <v>31106.0</v>
      </c>
      <c r="D28" s="9">
        <v>1617.0</v>
      </c>
      <c r="E28" s="9">
        <v>11574.0</v>
      </c>
      <c r="F28" s="9">
        <v>2560.0</v>
      </c>
      <c r="G28" s="9">
        <v>1210.0</v>
      </c>
      <c r="H28" s="9">
        <v>8975.0</v>
      </c>
      <c r="I28" s="9">
        <v>2363.0</v>
      </c>
      <c r="J28" s="9">
        <v>244.0</v>
      </c>
      <c r="K28" s="9">
        <v>296.0</v>
      </c>
      <c r="L28" s="9">
        <v>1162.0</v>
      </c>
      <c r="M28" s="9">
        <v>1105.0</v>
      </c>
      <c r="N28" s="9">
        <v>2150.0</v>
      </c>
      <c r="O28" s="9">
        <v>2086.0</v>
      </c>
      <c r="P28" s="9">
        <v>64.0</v>
      </c>
      <c r="Q28" s="9">
        <v>97437.0</v>
      </c>
      <c r="R28" s="9">
        <v>1027.0</v>
      </c>
      <c r="S28" s="9">
        <v>1627.0</v>
      </c>
      <c r="T28" s="9">
        <v>14.0</v>
      </c>
      <c r="U28" s="9">
        <v>1260.0</v>
      </c>
      <c r="V28" s="9">
        <v>235.0</v>
      </c>
      <c r="W28" s="9">
        <v>4500.0</v>
      </c>
      <c r="X28" s="9">
        <v>437.0</v>
      </c>
      <c r="Y28" s="9">
        <v>88010.0</v>
      </c>
      <c r="Z28" s="9">
        <v>327.0</v>
      </c>
      <c r="AA28" s="9">
        <v>70511.0</v>
      </c>
      <c r="AB28" s="9">
        <v>38193.0</v>
      </c>
      <c r="AC28" s="9">
        <v>13401.0</v>
      </c>
      <c r="AD28" s="9">
        <v>18917.0</v>
      </c>
      <c r="AE28" s="9">
        <v>650.0</v>
      </c>
      <c r="AF28" s="9">
        <v>422.0</v>
      </c>
      <c r="AG28" s="9">
        <v>209.0</v>
      </c>
      <c r="AH28" s="9">
        <v>19.0</v>
      </c>
      <c r="AI28" s="9">
        <v>7336.0</v>
      </c>
      <c r="AJ28" s="9">
        <v>168.0</v>
      </c>
      <c r="AK28" s="9">
        <v>800.0</v>
      </c>
      <c r="AL28" s="9">
        <v>779.0</v>
      </c>
      <c r="AM28" s="9">
        <v>2923.0</v>
      </c>
      <c r="AN28" s="9">
        <v>719.0</v>
      </c>
      <c r="AO28" s="9">
        <v>242.0</v>
      </c>
      <c r="AP28" s="9">
        <v>331.0</v>
      </c>
      <c r="AQ28" s="9">
        <v>345.0</v>
      </c>
      <c r="AR28" s="9">
        <v>1029.0</v>
      </c>
      <c r="AS28" s="9">
        <v>15366.0</v>
      </c>
      <c r="AT28" s="9">
        <v>241.0</v>
      </c>
      <c r="AU28" s="9">
        <v>208.0</v>
      </c>
      <c r="AV28" s="9">
        <v>101.0</v>
      </c>
      <c r="AW28" s="9">
        <v>985.0</v>
      </c>
      <c r="AX28" s="9">
        <v>238.0</v>
      </c>
      <c r="AY28" s="9">
        <v>930.0</v>
      </c>
      <c r="AZ28" s="9">
        <v>676.0</v>
      </c>
      <c r="BA28" s="9">
        <v>10909.0</v>
      </c>
      <c r="BB28" s="9">
        <v>1078.0</v>
      </c>
      <c r="BC28" s="9">
        <v>14713.0</v>
      </c>
      <c r="BD28" s="9">
        <v>915.0</v>
      </c>
      <c r="BE28" s="9">
        <v>1988.0</v>
      </c>
      <c r="BF28" s="9">
        <v>189.0</v>
      </c>
      <c r="BG28" s="9">
        <v>1978.0</v>
      </c>
      <c r="BH28" s="9">
        <v>1531.0</v>
      </c>
      <c r="BI28" s="9">
        <v>1347.0</v>
      </c>
      <c r="BJ28" s="9">
        <v>1544.0</v>
      </c>
      <c r="BK28" s="9">
        <v>2996.0</v>
      </c>
      <c r="BL28" s="9">
        <v>2225.0</v>
      </c>
      <c r="BM28" s="9">
        <v>5390.0</v>
      </c>
      <c r="BN28" s="9">
        <v>146.0</v>
      </c>
      <c r="BO28" s="9">
        <v>100.0</v>
      </c>
      <c r="BP28" s="9">
        <v>44.0</v>
      </c>
      <c r="BQ28" s="9">
        <v>247.0</v>
      </c>
      <c r="BR28" s="9">
        <v>68.0</v>
      </c>
      <c r="BS28" s="9">
        <v>2127.0</v>
      </c>
      <c r="BT28" s="9">
        <v>286.0</v>
      </c>
      <c r="BU28" s="9">
        <v>2372.0</v>
      </c>
      <c r="BV28" s="9">
        <v>21269.0</v>
      </c>
      <c r="BW28" s="9">
        <v>1292.0</v>
      </c>
      <c r="BX28" s="9">
        <v>710.0</v>
      </c>
      <c r="BY28" s="9">
        <v>1.0</v>
      </c>
      <c r="BZ28" s="9">
        <v>13459.0</v>
      </c>
      <c r="CA28" s="9">
        <v>5807.0</v>
      </c>
      <c r="CB28" s="9">
        <v>265928.0</v>
      </c>
    </row>
    <row r="29" ht="15.75" customHeight="1">
      <c r="A29" s="9" t="s">
        <v>187</v>
      </c>
      <c r="B29" s="9" t="s">
        <v>0</v>
      </c>
      <c r="C29" s="9">
        <v>35648.0</v>
      </c>
      <c r="D29" s="9">
        <v>1897.0</v>
      </c>
      <c r="E29" s="9">
        <v>13138.0</v>
      </c>
      <c r="F29" s="9">
        <v>2388.0</v>
      </c>
      <c r="G29" s="9">
        <v>1396.0</v>
      </c>
      <c r="H29" s="9">
        <v>9339.0</v>
      </c>
      <c r="I29" s="9">
        <v>3894.0</v>
      </c>
      <c r="J29" s="9">
        <v>281.0</v>
      </c>
      <c r="K29" s="9">
        <v>328.0</v>
      </c>
      <c r="L29" s="9">
        <v>1208.0</v>
      </c>
      <c r="M29" s="9">
        <v>1779.0</v>
      </c>
      <c r="N29" s="9">
        <v>2521.0</v>
      </c>
      <c r="O29" s="9">
        <v>2455.0</v>
      </c>
      <c r="P29" s="9">
        <v>66.0</v>
      </c>
      <c r="Q29" s="9">
        <v>81543.0</v>
      </c>
      <c r="R29" s="9">
        <v>1023.0</v>
      </c>
      <c r="S29" s="9">
        <v>1606.0</v>
      </c>
      <c r="T29" s="9">
        <v>11.0</v>
      </c>
      <c r="U29" s="9">
        <v>1553.0</v>
      </c>
      <c r="V29" s="9">
        <v>254.0</v>
      </c>
      <c r="W29" s="9">
        <v>4071.0</v>
      </c>
      <c r="X29" s="9">
        <v>594.0</v>
      </c>
      <c r="Y29" s="9">
        <v>71950.0</v>
      </c>
      <c r="Z29" s="9">
        <v>481.0</v>
      </c>
      <c r="AA29" s="9">
        <v>62249.0</v>
      </c>
      <c r="AB29" s="9">
        <v>37110.0</v>
      </c>
      <c r="AC29" s="9">
        <v>8085.0</v>
      </c>
      <c r="AD29" s="9">
        <v>17054.0</v>
      </c>
      <c r="AE29" s="9">
        <v>654.0</v>
      </c>
      <c r="AF29" s="9">
        <v>393.0</v>
      </c>
      <c r="AG29" s="9">
        <v>236.0</v>
      </c>
      <c r="AH29" s="9">
        <v>25.0</v>
      </c>
      <c r="AI29" s="9">
        <v>7332.0</v>
      </c>
      <c r="AJ29" s="9">
        <v>207.0</v>
      </c>
      <c r="AK29" s="9">
        <v>832.0</v>
      </c>
      <c r="AL29" s="9">
        <v>845.0</v>
      </c>
      <c r="AM29" s="9">
        <v>2473.0</v>
      </c>
      <c r="AN29" s="9">
        <v>823.0</v>
      </c>
      <c r="AO29" s="9">
        <v>363.0</v>
      </c>
      <c r="AP29" s="9">
        <v>364.0</v>
      </c>
      <c r="AQ29" s="9">
        <v>376.0</v>
      </c>
      <c r="AR29" s="9">
        <v>1049.0</v>
      </c>
      <c r="AS29" s="9">
        <v>14716.0</v>
      </c>
      <c r="AT29" s="9">
        <v>252.0</v>
      </c>
      <c r="AU29" s="9">
        <v>242.0</v>
      </c>
      <c r="AV29" s="9">
        <v>103.0</v>
      </c>
      <c r="AW29" s="9">
        <v>1003.0</v>
      </c>
      <c r="AX29" s="9">
        <v>282.0</v>
      </c>
      <c r="AY29" s="9">
        <v>1080.0</v>
      </c>
      <c r="AZ29" s="9">
        <v>680.0</v>
      </c>
      <c r="BA29" s="9">
        <v>10002.0</v>
      </c>
      <c r="BB29" s="9">
        <v>1072.0</v>
      </c>
      <c r="BC29" s="9">
        <v>16035.0</v>
      </c>
      <c r="BD29" s="9">
        <v>998.0</v>
      </c>
      <c r="BE29" s="9">
        <v>1938.0</v>
      </c>
      <c r="BF29" s="9">
        <v>160.0</v>
      </c>
      <c r="BG29" s="9">
        <v>2163.0</v>
      </c>
      <c r="BH29" s="9">
        <v>1756.0</v>
      </c>
      <c r="BI29" s="9">
        <v>1704.0</v>
      </c>
      <c r="BJ29" s="9">
        <v>1646.0</v>
      </c>
      <c r="BK29" s="9">
        <v>3339.0</v>
      </c>
      <c r="BL29" s="9">
        <v>2331.0</v>
      </c>
      <c r="BM29" s="9">
        <v>6301.0</v>
      </c>
      <c r="BN29" s="9">
        <v>184.0</v>
      </c>
      <c r="BO29" s="9">
        <v>128.0</v>
      </c>
      <c r="BP29" s="9">
        <v>45.0</v>
      </c>
      <c r="BQ29" s="9">
        <v>303.0</v>
      </c>
      <c r="BR29" s="9">
        <v>82.0</v>
      </c>
      <c r="BS29" s="9">
        <v>2433.0</v>
      </c>
      <c r="BT29" s="9">
        <v>390.0</v>
      </c>
      <c r="BU29" s="9">
        <v>2736.0</v>
      </c>
      <c r="BV29" s="9">
        <v>22612.0</v>
      </c>
      <c r="BW29" s="9">
        <v>1302.0</v>
      </c>
      <c r="BX29" s="9">
        <v>838.0</v>
      </c>
      <c r="BY29" s="9">
        <v>5.0</v>
      </c>
      <c r="BZ29" s="9">
        <v>14504.0</v>
      </c>
      <c r="CA29" s="9">
        <v>5963.0</v>
      </c>
      <c r="CB29" s="9">
        <v>249611.0</v>
      </c>
    </row>
    <row r="30" ht="15.75" customHeight="1">
      <c r="A30" s="9" t="s">
        <v>188</v>
      </c>
      <c r="B30" s="9" t="s">
        <v>0</v>
      </c>
      <c r="C30" s="9">
        <v>32616.0</v>
      </c>
      <c r="D30" s="9">
        <v>1874.0</v>
      </c>
      <c r="E30" s="9">
        <v>11088.0</v>
      </c>
      <c r="F30" s="9">
        <v>2208.0</v>
      </c>
      <c r="G30" s="9">
        <v>1379.0</v>
      </c>
      <c r="H30" s="9">
        <v>7580.0</v>
      </c>
      <c r="I30" s="9">
        <v>4153.0</v>
      </c>
      <c r="J30" s="9">
        <v>319.0</v>
      </c>
      <c r="K30" s="9">
        <v>363.0</v>
      </c>
      <c r="L30" s="9">
        <v>1174.0</v>
      </c>
      <c r="M30" s="9">
        <v>2478.0</v>
      </c>
      <c r="N30" s="9">
        <v>2678.0</v>
      </c>
      <c r="O30" s="9">
        <v>2610.0</v>
      </c>
      <c r="P30" s="9">
        <v>68.0</v>
      </c>
      <c r="Q30" s="9">
        <v>83617.0</v>
      </c>
      <c r="R30" s="9">
        <v>827.0</v>
      </c>
      <c r="S30" s="9">
        <v>1415.0</v>
      </c>
      <c r="T30" s="9">
        <v>7.0</v>
      </c>
      <c r="U30" s="9">
        <v>1769.0</v>
      </c>
      <c r="V30" s="9">
        <v>242.0</v>
      </c>
      <c r="W30" s="9">
        <v>4722.0</v>
      </c>
      <c r="X30" s="9">
        <v>665.0</v>
      </c>
      <c r="Y30" s="9">
        <v>73494.0</v>
      </c>
      <c r="Z30" s="9">
        <v>476.0</v>
      </c>
      <c r="AA30" s="9">
        <v>67699.0</v>
      </c>
      <c r="AB30" s="9">
        <v>42273.0</v>
      </c>
      <c r="AC30" s="9">
        <v>6946.0</v>
      </c>
      <c r="AD30" s="9">
        <v>18480.0</v>
      </c>
      <c r="AE30" s="9">
        <v>676.0</v>
      </c>
      <c r="AF30" s="9">
        <v>422.0</v>
      </c>
      <c r="AG30" s="9">
        <v>217.0</v>
      </c>
      <c r="AH30" s="9">
        <v>37.0</v>
      </c>
      <c r="AI30" s="9">
        <v>8369.0</v>
      </c>
      <c r="AJ30" s="9">
        <v>227.0</v>
      </c>
      <c r="AK30" s="9">
        <v>657.0</v>
      </c>
      <c r="AL30" s="9">
        <v>847.0</v>
      </c>
      <c r="AM30" s="9">
        <v>3486.0</v>
      </c>
      <c r="AN30" s="9">
        <v>985.0</v>
      </c>
      <c r="AO30" s="9">
        <v>369.0</v>
      </c>
      <c r="AP30" s="9">
        <v>315.0</v>
      </c>
      <c r="AQ30" s="9">
        <v>418.0</v>
      </c>
      <c r="AR30" s="9">
        <v>1065.0</v>
      </c>
      <c r="AS30" s="9">
        <v>13404.0</v>
      </c>
      <c r="AT30" s="9">
        <v>184.0</v>
      </c>
      <c r="AU30" s="9">
        <v>246.0</v>
      </c>
      <c r="AV30" s="9">
        <v>111.0</v>
      </c>
      <c r="AW30" s="9">
        <v>984.0</v>
      </c>
      <c r="AX30" s="9">
        <v>268.0</v>
      </c>
      <c r="AY30" s="9">
        <v>1060.0</v>
      </c>
      <c r="AZ30" s="9">
        <v>602.0</v>
      </c>
      <c r="BA30" s="9">
        <v>8842.0</v>
      </c>
      <c r="BB30" s="9">
        <v>1107.0</v>
      </c>
      <c r="BC30" s="9">
        <v>15389.0</v>
      </c>
      <c r="BD30" s="9">
        <v>872.0</v>
      </c>
      <c r="BE30" s="9">
        <v>1872.0</v>
      </c>
      <c r="BF30" s="9">
        <v>161.0</v>
      </c>
      <c r="BG30" s="9">
        <v>2269.0</v>
      </c>
      <c r="BH30" s="9">
        <v>1542.0</v>
      </c>
      <c r="BI30" s="9">
        <v>1752.0</v>
      </c>
      <c r="BJ30" s="9">
        <v>1691.0</v>
      </c>
      <c r="BK30" s="9">
        <v>2940.0</v>
      </c>
      <c r="BL30" s="9">
        <v>2290.0</v>
      </c>
      <c r="BM30" s="9">
        <v>6556.0</v>
      </c>
      <c r="BN30" s="9">
        <v>136.0</v>
      </c>
      <c r="BO30" s="9">
        <v>133.0</v>
      </c>
      <c r="BP30" s="9">
        <v>64.0</v>
      </c>
      <c r="BQ30" s="9">
        <v>328.0</v>
      </c>
      <c r="BR30" s="9">
        <v>92.0</v>
      </c>
      <c r="BS30" s="9">
        <v>2532.0</v>
      </c>
      <c r="BT30" s="9">
        <v>409.0</v>
      </c>
      <c r="BU30" s="9">
        <v>2862.0</v>
      </c>
      <c r="BV30" s="9">
        <v>27453.0</v>
      </c>
      <c r="BW30" s="9">
        <v>1563.0</v>
      </c>
      <c r="BX30" s="9">
        <v>989.0</v>
      </c>
      <c r="BY30" s="9">
        <v>1.0</v>
      </c>
      <c r="BZ30" s="9">
        <v>18857.0</v>
      </c>
      <c r="CA30" s="9">
        <v>6043.0</v>
      </c>
      <c r="CB30" s="9">
        <v>258457.0</v>
      </c>
    </row>
    <row r="31" ht="15.75" customHeight="1">
      <c r="A31" s="9" t="s">
        <v>189</v>
      </c>
      <c r="B31" s="9" t="s">
        <v>0</v>
      </c>
      <c r="C31" s="9">
        <v>36596.0</v>
      </c>
      <c r="D31" s="9">
        <v>1618.0</v>
      </c>
      <c r="E31" s="9">
        <v>11834.0</v>
      </c>
      <c r="F31" s="9">
        <v>2345.0</v>
      </c>
      <c r="G31" s="9">
        <v>1424.0</v>
      </c>
      <c r="H31" s="9">
        <v>9336.0</v>
      </c>
      <c r="I31" s="9">
        <v>5099.0</v>
      </c>
      <c r="J31" s="9">
        <v>330.0</v>
      </c>
      <c r="K31" s="9">
        <v>369.0</v>
      </c>
      <c r="L31" s="9">
        <v>1230.0</v>
      </c>
      <c r="M31" s="9">
        <v>3011.0</v>
      </c>
      <c r="N31" s="9">
        <v>3029.0</v>
      </c>
      <c r="O31" s="9">
        <v>2962.0</v>
      </c>
      <c r="P31" s="9">
        <v>67.0</v>
      </c>
      <c r="Q31" s="9">
        <v>99472.0</v>
      </c>
      <c r="R31" s="9">
        <v>808.0</v>
      </c>
      <c r="S31" s="9">
        <v>1906.0</v>
      </c>
      <c r="T31" s="9">
        <v>0.0</v>
      </c>
      <c r="U31" s="9">
        <v>1975.0</v>
      </c>
      <c r="V31" s="9">
        <v>277.0</v>
      </c>
      <c r="W31" s="9">
        <v>5852.0</v>
      </c>
      <c r="X31" s="9">
        <v>1575.0</v>
      </c>
      <c r="Y31" s="9">
        <v>86583.0</v>
      </c>
      <c r="Z31" s="9">
        <v>496.0</v>
      </c>
      <c r="AA31" s="9">
        <v>91150.0</v>
      </c>
      <c r="AB31" s="9">
        <v>57133.0</v>
      </c>
      <c r="AC31" s="9">
        <v>7662.0</v>
      </c>
      <c r="AD31" s="9">
        <v>26355.0</v>
      </c>
      <c r="AE31" s="9">
        <v>680.0</v>
      </c>
      <c r="AF31" s="9">
        <v>390.0</v>
      </c>
      <c r="AG31" s="9">
        <v>241.0</v>
      </c>
      <c r="AH31" s="9">
        <v>49.0</v>
      </c>
      <c r="AI31" s="9">
        <v>8637.0</v>
      </c>
      <c r="AJ31" s="9">
        <v>199.0</v>
      </c>
      <c r="AK31" s="9">
        <v>702.0</v>
      </c>
      <c r="AL31" s="9">
        <v>959.0</v>
      </c>
      <c r="AM31" s="9">
        <v>3478.0</v>
      </c>
      <c r="AN31" s="9">
        <v>1180.0</v>
      </c>
      <c r="AO31" s="9">
        <v>265.0</v>
      </c>
      <c r="AP31" s="9">
        <v>339.0</v>
      </c>
      <c r="AQ31" s="9">
        <v>443.0</v>
      </c>
      <c r="AR31" s="9">
        <v>1072.0</v>
      </c>
      <c r="AS31" s="9">
        <v>14752.0</v>
      </c>
      <c r="AT31" s="9">
        <v>166.0</v>
      </c>
      <c r="AU31" s="9">
        <v>294.0</v>
      </c>
      <c r="AV31" s="9">
        <v>115.0</v>
      </c>
      <c r="AW31" s="9">
        <v>1013.0</v>
      </c>
      <c r="AX31" s="9">
        <v>274.0</v>
      </c>
      <c r="AY31" s="9">
        <v>902.0</v>
      </c>
      <c r="AZ31" s="9">
        <v>917.0</v>
      </c>
      <c r="BA31" s="9">
        <v>9957.0</v>
      </c>
      <c r="BB31" s="9">
        <v>1114.0</v>
      </c>
      <c r="BC31" s="9">
        <v>14639.0</v>
      </c>
      <c r="BD31" s="9">
        <v>742.0</v>
      </c>
      <c r="BE31" s="9">
        <v>1886.0</v>
      </c>
      <c r="BF31" s="9">
        <v>188.0</v>
      </c>
      <c r="BG31" s="9">
        <v>2191.0</v>
      </c>
      <c r="BH31" s="9">
        <v>1226.0</v>
      </c>
      <c r="BI31" s="9">
        <v>2012.0</v>
      </c>
      <c r="BJ31" s="9">
        <v>1847.0</v>
      </c>
      <c r="BK31" s="9">
        <v>2264.0</v>
      </c>
      <c r="BL31" s="9">
        <v>2283.0</v>
      </c>
      <c r="BM31" s="9">
        <v>6861.0</v>
      </c>
      <c r="BN31" s="9">
        <v>144.0</v>
      </c>
      <c r="BO31" s="9">
        <v>141.0</v>
      </c>
      <c r="BP31" s="9">
        <v>70.0</v>
      </c>
      <c r="BQ31" s="9">
        <v>328.0</v>
      </c>
      <c r="BR31" s="9">
        <v>115.0</v>
      </c>
      <c r="BS31" s="9">
        <v>2619.0</v>
      </c>
      <c r="BT31" s="9">
        <v>427.0</v>
      </c>
      <c r="BU31" s="9">
        <v>3017.0</v>
      </c>
      <c r="BV31" s="9">
        <v>25521.0</v>
      </c>
      <c r="BW31" s="9">
        <v>1474.0</v>
      </c>
      <c r="BX31" s="9">
        <v>677.0</v>
      </c>
      <c r="BY31" s="9">
        <v>1.0</v>
      </c>
      <c r="BZ31" s="9">
        <v>17620.0</v>
      </c>
      <c r="CA31" s="9">
        <v>5749.0</v>
      </c>
      <c r="CB31" s="9">
        <v>301337.0</v>
      </c>
    </row>
    <row r="32" ht="15.75" customHeight="1">
      <c r="A32" s="9" t="s">
        <v>190</v>
      </c>
      <c r="B32" s="9" t="s">
        <v>0</v>
      </c>
      <c r="C32" s="9">
        <v>35271.0</v>
      </c>
      <c r="D32" s="9">
        <v>1825.0</v>
      </c>
      <c r="E32" s="9">
        <v>13605.0</v>
      </c>
      <c r="F32" s="9">
        <v>2481.0</v>
      </c>
      <c r="G32" s="9">
        <v>1469.0</v>
      </c>
      <c r="H32" s="9">
        <v>7326.0</v>
      </c>
      <c r="I32" s="9">
        <v>3567.0</v>
      </c>
      <c r="J32" s="9">
        <v>300.0</v>
      </c>
      <c r="K32" s="9">
        <v>393.0</v>
      </c>
      <c r="L32" s="9">
        <v>1359.0</v>
      </c>
      <c r="M32" s="9">
        <v>2946.0</v>
      </c>
      <c r="N32" s="9">
        <v>3377.0</v>
      </c>
      <c r="O32" s="9">
        <v>3318.0</v>
      </c>
      <c r="P32" s="9">
        <v>59.0</v>
      </c>
      <c r="Q32" s="9">
        <v>106880.0</v>
      </c>
      <c r="R32" s="9">
        <v>731.0</v>
      </c>
      <c r="S32" s="9">
        <v>1398.0</v>
      </c>
      <c r="T32" s="9">
        <v>15.0</v>
      </c>
      <c r="U32" s="9">
        <v>2218.0</v>
      </c>
      <c r="V32" s="9">
        <v>238.0</v>
      </c>
      <c r="W32" s="9">
        <v>6474.0</v>
      </c>
      <c r="X32" s="9">
        <v>2110.0</v>
      </c>
      <c r="Y32" s="9">
        <v>93112.0</v>
      </c>
      <c r="Z32" s="9">
        <v>584.0</v>
      </c>
      <c r="AA32" s="9">
        <v>122268.0</v>
      </c>
      <c r="AB32" s="9">
        <v>66848.0</v>
      </c>
      <c r="AC32" s="9">
        <v>11191.0</v>
      </c>
      <c r="AD32" s="9">
        <v>44229.0</v>
      </c>
      <c r="AE32" s="9">
        <v>663.0</v>
      </c>
      <c r="AF32" s="9">
        <v>368.0</v>
      </c>
      <c r="AG32" s="9">
        <v>240.0</v>
      </c>
      <c r="AH32" s="9">
        <v>55.0</v>
      </c>
      <c r="AI32" s="9">
        <v>10509.0</v>
      </c>
      <c r="AJ32" s="9">
        <v>201.0</v>
      </c>
      <c r="AK32" s="9">
        <v>937.0</v>
      </c>
      <c r="AL32" s="9">
        <v>1029.0</v>
      </c>
      <c r="AM32" s="9">
        <v>4750.0</v>
      </c>
      <c r="AN32" s="9">
        <v>1346.0</v>
      </c>
      <c r="AO32" s="9">
        <v>320.0</v>
      </c>
      <c r="AP32" s="9">
        <v>298.0</v>
      </c>
      <c r="AQ32" s="9">
        <v>443.0</v>
      </c>
      <c r="AR32" s="9">
        <v>1185.0</v>
      </c>
      <c r="AS32" s="9">
        <v>17032.0</v>
      </c>
      <c r="AT32" s="9">
        <v>166.0</v>
      </c>
      <c r="AU32" s="9">
        <v>307.0</v>
      </c>
      <c r="AV32" s="9">
        <v>97.0</v>
      </c>
      <c r="AW32" s="9">
        <v>1145.0</v>
      </c>
      <c r="AX32" s="9">
        <v>273.0</v>
      </c>
      <c r="AY32" s="9">
        <v>927.0</v>
      </c>
      <c r="AZ32" s="9">
        <v>1029.0</v>
      </c>
      <c r="BA32" s="9">
        <v>11823.0</v>
      </c>
      <c r="BB32" s="9">
        <v>1265.0</v>
      </c>
      <c r="BC32" s="9">
        <v>15351.0</v>
      </c>
      <c r="BD32" s="9">
        <v>939.0</v>
      </c>
      <c r="BE32" s="9">
        <v>1833.0</v>
      </c>
      <c r="BF32" s="9">
        <v>275.0</v>
      </c>
      <c r="BG32" s="9">
        <v>2296.0</v>
      </c>
      <c r="BH32" s="9">
        <v>1284.0</v>
      </c>
      <c r="BI32" s="9">
        <v>2008.0</v>
      </c>
      <c r="BJ32" s="9">
        <v>2078.0</v>
      </c>
      <c r="BK32" s="9">
        <v>1693.0</v>
      </c>
      <c r="BL32" s="9">
        <v>2945.0</v>
      </c>
      <c r="BM32" s="9">
        <v>7290.0</v>
      </c>
      <c r="BN32" s="9">
        <v>162.0</v>
      </c>
      <c r="BO32" s="9">
        <v>152.0</v>
      </c>
      <c r="BP32" s="9">
        <v>80.0</v>
      </c>
      <c r="BQ32" s="9">
        <v>336.0</v>
      </c>
      <c r="BR32" s="9">
        <v>124.0</v>
      </c>
      <c r="BS32" s="9">
        <v>2765.0</v>
      </c>
      <c r="BT32" s="9">
        <v>440.0</v>
      </c>
      <c r="BU32" s="9">
        <v>3231.0</v>
      </c>
      <c r="BV32" s="9">
        <v>25972.0</v>
      </c>
      <c r="BW32" s="9">
        <v>1371.0</v>
      </c>
      <c r="BX32" s="9">
        <v>814.0</v>
      </c>
      <c r="BY32" s="9">
        <v>0.0</v>
      </c>
      <c r="BZ32" s="9">
        <v>19136.0</v>
      </c>
      <c r="CA32" s="9">
        <v>4651.0</v>
      </c>
      <c r="CB32" s="9">
        <v>344613.0</v>
      </c>
    </row>
    <row r="33" ht="15.75" customHeight="1">
      <c r="A33" s="9" t="s">
        <v>191</v>
      </c>
      <c r="B33" s="9" t="s">
        <v>0</v>
      </c>
      <c r="C33" s="9">
        <v>37652.0</v>
      </c>
      <c r="D33" s="9">
        <v>2126.0</v>
      </c>
      <c r="E33" s="9">
        <v>16462.0</v>
      </c>
      <c r="F33" s="9">
        <v>2488.0</v>
      </c>
      <c r="G33" s="9">
        <v>1529.0</v>
      </c>
      <c r="H33" s="9">
        <v>5891.0</v>
      </c>
      <c r="I33" s="9">
        <v>4112.0</v>
      </c>
      <c r="J33" s="9">
        <v>268.0</v>
      </c>
      <c r="K33" s="9">
        <v>425.0</v>
      </c>
      <c r="L33" s="9">
        <v>1374.0</v>
      </c>
      <c r="M33" s="9">
        <v>2977.0</v>
      </c>
      <c r="N33" s="9">
        <v>3582.0</v>
      </c>
      <c r="O33" s="9">
        <v>3523.0</v>
      </c>
      <c r="P33" s="9">
        <v>59.0</v>
      </c>
      <c r="Q33" s="9">
        <v>136414.0</v>
      </c>
      <c r="R33" s="9">
        <v>579.0</v>
      </c>
      <c r="S33" s="9">
        <v>1051.0</v>
      </c>
      <c r="T33" s="9">
        <v>20.0</v>
      </c>
      <c r="U33" s="9">
        <v>2225.0</v>
      </c>
      <c r="V33" s="9">
        <v>183.0</v>
      </c>
      <c r="W33" s="9">
        <v>4844.0</v>
      </c>
      <c r="X33" s="9">
        <v>1717.0</v>
      </c>
      <c r="Y33" s="9">
        <v>125211.0</v>
      </c>
      <c r="Z33" s="9">
        <v>584.0</v>
      </c>
      <c r="AA33" s="9">
        <v>126289.0</v>
      </c>
      <c r="AB33" s="9">
        <v>63941.0</v>
      </c>
      <c r="AC33" s="9">
        <v>12224.0</v>
      </c>
      <c r="AD33" s="9">
        <v>50124.0</v>
      </c>
      <c r="AE33" s="9">
        <v>649.0</v>
      </c>
      <c r="AF33" s="9">
        <v>359.0</v>
      </c>
      <c r="AG33" s="9">
        <v>243.0</v>
      </c>
      <c r="AH33" s="9">
        <v>47.0</v>
      </c>
      <c r="AI33" s="9">
        <v>11967.0</v>
      </c>
      <c r="AJ33" s="9">
        <v>212.0</v>
      </c>
      <c r="AK33" s="9">
        <v>754.0</v>
      </c>
      <c r="AL33" s="9">
        <v>1008.0</v>
      </c>
      <c r="AM33" s="9">
        <v>6249.0</v>
      </c>
      <c r="AN33" s="9">
        <v>1532.0</v>
      </c>
      <c r="AO33" s="9">
        <v>262.0</v>
      </c>
      <c r="AP33" s="9">
        <v>328.0</v>
      </c>
      <c r="AQ33" s="9">
        <v>397.0</v>
      </c>
      <c r="AR33" s="9">
        <v>1225.0</v>
      </c>
      <c r="AS33" s="9">
        <v>17566.0</v>
      </c>
      <c r="AT33" s="9">
        <v>141.0</v>
      </c>
      <c r="AU33" s="9">
        <v>325.0</v>
      </c>
      <c r="AV33" s="9">
        <v>108.0</v>
      </c>
      <c r="AW33" s="9">
        <v>1094.0</v>
      </c>
      <c r="AX33" s="9">
        <v>305.0</v>
      </c>
      <c r="AY33" s="9">
        <v>1005.0</v>
      </c>
      <c r="AZ33" s="9">
        <v>1217.0</v>
      </c>
      <c r="BA33" s="9">
        <v>11999.0</v>
      </c>
      <c r="BB33" s="9">
        <v>1372.0</v>
      </c>
      <c r="BC33" s="9">
        <v>16998.0</v>
      </c>
      <c r="BD33" s="9">
        <v>1064.0</v>
      </c>
      <c r="BE33" s="9">
        <v>1961.0</v>
      </c>
      <c r="BF33" s="9">
        <v>192.0</v>
      </c>
      <c r="BG33" s="9">
        <v>2456.0</v>
      </c>
      <c r="BH33" s="9">
        <v>1410.0</v>
      </c>
      <c r="BI33" s="9">
        <v>2657.0</v>
      </c>
      <c r="BJ33" s="9">
        <v>2131.0</v>
      </c>
      <c r="BK33" s="9">
        <v>1919.0</v>
      </c>
      <c r="BL33" s="9">
        <v>3208.0</v>
      </c>
      <c r="BM33" s="9">
        <v>8205.0</v>
      </c>
      <c r="BN33" s="9">
        <v>157.0</v>
      </c>
      <c r="BO33" s="9">
        <v>182.0</v>
      </c>
      <c r="BP33" s="9">
        <v>94.0</v>
      </c>
      <c r="BQ33" s="9">
        <v>377.0</v>
      </c>
      <c r="BR33" s="9">
        <v>122.0</v>
      </c>
      <c r="BS33" s="9">
        <v>3906.0</v>
      </c>
      <c r="BT33" s="9">
        <v>466.0</v>
      </c>
      <c r="BU33" s="9">
        <v>2901.0</v>
      </c>
      <c r="BV33" s="9">
        <v>30660.0</v>
      </c>
      <c r="BW33" s="9">
        <v>1239.0</v>
      </c>
      <c r="BX33" s="9">
        <v>861.0</v>
      </c>
      <c r="BY33" s="9">
        <v>0.0</v>
      </c>
      <c r="BZ33" s="9">
        <v>23372.0</v>
      </c>
      <c r="CA33" s="9">
        <v>5188.0</v>
      </c>
      <c r="CB33" s="9">
        <v>389982.0</v>
      </c>
    </row>
    <row r="34" ht="15.75" customHeight="1">
      <c r="A34" s="9" t="s">
        <v>192</v>
      </c>
      <c r="B34" s="9" t="s">
        <v>0</v>
      </c>
      <c r="C34" s="9">
        <v>35625.0</v>
      </c>
      <c r="D34" s="9">
        <v>1949.0</v>
      </c>
      <c r="E34" s="9">
        <v>14705.0</v>
      </c>
      <c r="F34" s="9">
        <v>2544.0</v>
      </c>
      <c r="G34" s="9">
        <v>1229.0</v>
      </c>
      <c r="H34" s="9">
        <v>6440.0</v>
      </c>
      <c r="I34" s="9">
        <v>4127.0</v>
      </c>
      <c r="J34" s="9">
        <v>283.0</v>
      </c>
      <c r="K34" s="9">
        <v>447.0</v>
      </c>
      <c r="L34" s="9">
        <v>1310.0</v>
      </c>
      <c r="M34" s="9">
        <v>2591.0</v>
      </c>
      <c r="N34" s="9">
        <v>3283.0</v>
      </c>
      <c r="O34" s="9">
        <v>3246.0</v>
      </c>
      <c r="P34" s="9">
        <v>37.0</v>
      </c>
      <c r="Q34" s="9">
        <v>151969.0</v>
      </c>
      <c r="R34" s="9">
        <v>414.0</v>
      </c>
      <c r="S34" s="9">
        <v>1183.0</v>
      </c>
      <c r="T34" s="9">
        <v>10.0</v>
      </c>
      <c r="U34" s="9">
        <v>1669.0</v>
      </c>
      <c r="V34" s="9">
        <v>172.0</v>
      </c>
      <c r="W34" s="9">
        <v>2739.0</v>
      </c>
      <c r="X34" s="9">
        <v>1163.0</v>
      </c>
      <c r="Y34" s="9">
        <v>144068.0</v>
      </c>
      <c r="Z34" s="9">
        <v>551.0</v>
      </c>
      <c r="AA34" s="9">
        <v>88821.0</v>
      </c>
      <c r="AB34" s="9">
        <v>43367.0</v>
      </c>
      <c r="AC34" s="9">
        <v>7755.0</v>
      </c>
      <c r="AD34" s="9">
        <v>37699.0</v>
      </c>
      <c r="AE34" s="9">
        <v>759.0</v>
      </c>
      <c r="AF34" s="9">
        <v>444.0</v>
      </c>
      <c r="AG34" s="9">
        <v>282.0</v>
      </c>
      <c r="AH34" s="9">
        <v>33.0</v>
      </c>
      <c r="AI34" s="9">
        <v>11097.0</v>
      </c>
      <c r="AJ34" s="9">
        <v>227.0</v>
      </c>
      <c r="AK34" s="9">
        <v>641.0</v>
      </c>
      <c r="AL34" s="9">
        <v>894.0</v>
      </c>
      <c r="AM34" s="9">
        <v>5547.0</v>
      </c>
      <c r="AN34" s="9">
        <v>1590.0</v>
      </c>
      <c r="AO34" s="9">
        <v>330.0</v>
      </c>
      <c r="AP34" s="9">
        <v>232.0</v>
      </c>
      <c r="AQ34" s="9">
        <v>311.0</v>
      </c>
      <c r="AR34" s="9">
        <v>1325.0</v>
      </c>
      <c r="AS34" s="9">
        <v>14710.0</v>
      </c>
      <c r="AT34" s="9">
        <v>112.0</v>
      </c>
      <c r="AU34" s="9">
        <v>260.0</v>
      </c>
      <c r="AV34" s="9">
        <v>103.0</v>
      </c>
      <c r="AW34" s="9">
        <v>934.0</v>
      </c>
      <c r="AX34" s="9">
        <v>276.0</v>
      </c>
      <c r="AY34" s="9">
        <v>736.0</v>
      </c>
      <c r="AZ34" s="9">
        <v>920.0</v>
      </c>
      <c r="BA34" s="9">
        <v>10215.0</v>
      </c>
      <c r="BB34" s="9">
        <v>1154.0</v>
      </c>
      <c r="BC34" s="9">
        <v>14681.0</v>
      </c>
      <c r="BD34" s="9">
        <v>1068.0</v>
      </c>
      <c r="BE34" s="9">
        <v>1769.0</v>
      </c>
      <c r="BF34" s="9">
        <v>138.0</v>
      </c>
      <c r="BG34" s="9">
        <v>2164.0</v>
      </c>
      <c r="BH34" s="9">
        <v>1300.0</v>
      </c>
      <c r="BI34" s="9">
        <v>2251.0</v>
      </c>
      <c r="BJ34" s="9">
        <v>2006.0</v>
      </c>
      <c r="BK34" s="9">
        <v>1598.0</v>
      </c>
      <c r="BL34" s="9">
        <v>2387.0</v>
      </c>
      <c r="BM34" s="9">
        <v>7377.0</v>
      </c>
      <c r="BN34" s="9">
        <v>161.0</v>
      </c>
      <c r="BO34" s="9">
        <v>136.0</v>
      </c>
      <c r="BP34" s="9">
        <v>112.0</v>
      </c>
      <c r="BQ34" s="9">
        <v>387.0</v>
      </c>
      <c r="BR34" s="9">
        <v>129.0</v>
      </c>
      <c r="BS34" s="9">
        <v>3526.0</v>
      </c>
      <c r="BT34" s="9">
        <v>432.0</v>
      </c>
      <c r="BU34" s="9">
        <v>2494.0</v>
      </c>
      <c r="BV34" s="9">
        <v>34411.0</v>
      </c>
      <c r="BW34" s="9">
        <v>1063.0</v>
      </c>
      <c r="BX34" s="9">
        <v>1303.0</v>
      </c>
      <c r="BY34" s="9">
        <v>2.0</v>
      </c>
      <c r="BZ34" s="9">
        <v>25492.0</v>
      </c>
      <c r="CA34" s="9">
        <v>6551.0</v>
      </c>
      <c r="CB34" s="9">
        <v>362733.0</v>
      </c>
    </row>
    <row r="35" ht="15.75" customHeight="1">
      <c r="A35" s="9" t="s">
        <v>193</v>
      </c>
      <c r="B35" s="9" t="s">
        <v>0</v>
      </c>
      <c r="C35" s="9">
        <v>43541.0</v>
      </c>
      <c r="D35" s="9">
        <v>1646.0</v>
      </c>
      <c r="E35" s="9">
        <v>14801.0</v>
      </c>
      <c r="F35" s="9">
        <v>2947.0</v>
      </c>
      <c r="G35" s="9">
        <v>1207.0</v>
      </c>
      <c r="H35" s="9">
        <v>14105.0</v>
      </c>
      <c r="I35" s="9">
        <v>4512.0</v>
      </c>
      <c r="J35" s="9">
        <v>318.0</v>
      </c>
      <c r="K35" s="9">
        <v>476.0</v>
      </c>
      <c r="L35" s="9">
        <v>1424.0</v>
      </c>
      <c r="M35" s="9">
        <v>2105.0</v>
      </c>
      <c r="N35" s="9">
        <v>2524.0</v>
      </c>
      <c r="O35" s="9">
        <v>2503.0</v>
      </c>
      <c r="P35" s="9">
        <v>21.0</v>
      </c>
      <c r="Q35" s="9">
        <v>198186.0</v>
      </c>
      <c r="R35" s="9">
        <v>504.0</v>
      </c>
      <c r="S35" s="9">
        <v>3166.0</v>
      </c>
      <c r="T35" s="9">
        <v>11.0</v>
      </c>
      <c r="U35" s="9">
        <v>1338.0</v>
      </c>
      <c r="V35" s="9">
        <v>266.0</v>
      </c>
      <c r="W35" s="9">
        <v>5081.0</v>
      </c>
      <c r="X35" s="9">
        <v>1948.0</v>
      </c>
      <c r="Y35" s="9">
        <v>185259.0</v>
      </c>
      <c r="Z35" s="9">
        <v>613.0</v>
      </c>
      <c r="AA35" s="9">
        <v>126398.0</v>
      </c>
      <c r="AB35" s="9">
        <v>63504.0</v>
      </c>
      <c r="AC35" s="9">
        <v>11715.0</v>
      </c>
      <c r="AD35" s="9">
        <v>51179.0</v>
      </c>
      <c r="AE35" s="9">
        <v>1083.0</v>
      </c>
      <c r="AF35" s="9">
        <v>669.0</v>
      </c>
      <c r="AG35" s="9">
        <v>360.0</v>
      </c>
      <c r="AH35" s="9">
        <v>54.0</v>
      </c>
      <c r="AI35" s="9">
        <v>10053.0</v>
      </c>
      <c r="AJ35" s="9">
        <v>239.0</v>
      </c>
      <c r="AK35" s="9">
        <v>808.0</v>
      </c>
      <c r="AL35" s="9">
        <v>1036.0</v>
      </c>
      <c r="AM35" s="9">
        <v>3630.0</v>
      </c>
      <c r="AN35" s="9">
        <v>1663.0</v>
      </c>
      <c r="AO35" s="9">
        <v>490.0</v>
      </c>
      <c r="AP35" s="9">
        <v>368.0</v>
      </c>
      <c r="AQ35" s="9">
        <v>345.0</v>
      </c>
      <c r="AR35" s="9">
        <v>1474.0</v>
      </c>
      <c r="AS35" s="9">
        <v>16705.0</v>
      </c>
      <c r="AT35" s="9">
        <v>160.0</v>
      </c>
      <c r="AU35" s="9">
        <v>257.0</v>
      </c>
      <c r="AV35" s="9">
        <v>96.0</v>
      </c>
      <c r="AW35" s="9">
        <v>948.0</v>
      </c>
      <c r="AX35" s="9">
        <v>333.0</v>
      </c>
      <c r="AY35" s="9">
        <v>570.0</v>
      </c>
      <c r="AZ35" s="9">
        <v>793.0</v>
      </c>
      <c r="BA35" s="9">
        <v>12328.0</v>
      </c>
      <c r="BB35" s="9">
        <v>1220.0</v>
      </c>
      <c r="BC35" s="9">
        <v>14730.0</v>
      </c>
      <c r="BD35" s="9">
        <v>872.0</v>
      </c>
      <c r="BE35" s="9">
        <v>1678.0</v>
      </c>
      <c r="BF35" s="9">
        <v>175.0</v>
      </c>
      <c r="BG35" s="9">
        <v>2230.0</v>
      </c>
      <c r="BH35" s="9">
        <v>1376.0</v>
      </c>
      <c r="BI35" s="9">
        <v>2331.0</v>
      </c>
      <c r="BJ35" s="9">
        <v>2227.0</v>
      </c>
      <c r="BK35" s="9">
        <v>1853.0</v>
      </c>
      <c r="BL35" s="9">
        <v>1988.0</v>
      </c>
      <c r="BM35" s="9">
        <v>8037.0</v>
      </c>
      <c r="BN35" s="9">
        <v>203.0</v>
      </c>
      <c r="BO35" s="9">
        <v>145.0</v>
      </c>
      <c r="BP35" s="9">
        <v>116.0</v>
      </c>
      <c r="BQ35" s="9">
        <v>480.0</v>
      </c>
      <c r="BR35" s="9">
        <v>119.0</v>
      </c>
      <c r="BS35" s="9">
        <v>3875.0</v>
      </c>
      <c r="BT35" s="9">
        <v>453.0</v>
      </c>
      <c r="BU35" s="9">
        <v>2646.0</v>
      </c>
      <c r="BV35" s="9">
        <v>36931.0</v>
      </c>
      <c r="BW35" s="9">
        <v>1789.0</v>
      </c>
      <c r="BX35" s="9">
        <v>2576.0</v>
      </c>
      <c r="BY35" s="9">
        <v>2.0</v>
      </c>
      <c r="BZ35" s="9">
        <v>23281.0</v>
      </c>
      <c r="CA35" s="9">
        <v>9283.0</v>
      </c>
      <c r="CB35" s="9">
        <v>458188.0</v>
      </c>
    </row>
    <row r="36" ht="15.75" customHeight="1">
      <c r="A36" s="9" t="s">
        <v>194</v>
      </c>
      <c r="B36" s="9" t="s">
        <v>0</v>
      </c>
      <c r="C36" s="9">
        <v>53124.0</v>
      </c>
      <c r="D36" s="9">
        <v>1518.0</v>
      </c>
      <c r="E36" s="9">
        <v>16600.0</v>
      </c>
      <c r="F36" s="9">
        <v>3385.0</v>
      </c>
      <c r="G36" s="9">
        <v>1205.0</v>
      </c>
      <c r="H36" s="9">
        <v>20672.0</v>
      </c>
      <c r="I36" s="9">
        <v>5027.0</v>
      </c>
      <c r="J36" s="9">
        <v>321.0</v>
      </c>
      <c r="K36" s="9">
        <v>517.0</v>
      </c>
      <c r="L36" s="9">
        <v>1719.0</v>
      </c>
      <c r="M36" s="9">
        <v>2160.0</v>
      </c>
      <c r="N36" s="9">
        <v>2572.0</v>
      </c>
      <c r="O36" s="9">
        <v>2553.0</v>
      </c>
      <c r="P36" s="9">
        <v>19.0</v>
      </c>
      <c r="Q36" s="9">
        <v>188292.0</v>
      </c>
      <c r="R36" s="9">
        <v>454.0</v>
      </c>
      <c r="S36" s="9">
        <v>7762.0</v>
      </c>
      <c r="T36" s="9">
        <v>9.0</v>
      </c>
      <c r="U36" s="9">
        <v>1523.0</v>
      </c>
      <c r="V36" s="9">
        <v>307.0</v>
      </c>
      <c r="W36" s="9">
        <v>7710.0</v>
      </c>
      <c r="X36" s="9">
        <v>12384.0</v>
      </c>
      <c r="Y36" s="9">
        <v>157451.0</v>
      </c>
      <c r="Z36" s="9">
        <v>692.0</v>
      </c>
      <c r="AA36" s="9">
        <v>251334.0</v>
      </c>
      <c r="AB36" s="9">
        <v>142345.0</v>
      </c>
      <c r="AC36" s="9">
        <v>17341.0</v>
      </c>
      <c r="AD36" s="9">
        <v>91648.0</v>
      </c>
      <c r="AE36" s="9">
        <v>1682.0</v>
      </c>
      <c r="AF36" s="9">
        <v>1080.0</v>
      </c>
      <c r="AG36" s="9">
        <v>538.0</v>
      </c>
      <c r="AH36" s="9">
        <v>64.0</v>
      </c>
      <c r="AI36" s="9">
        <v>12576.0</v>
      </c>
      <c r="AJ36" s="9">
        <v>245.0</v>
      </c>
      <c r="AK36" s="9">
        <v>1675.0</v>
      </c>
      <c r="AL36" s="9">
        <v>1068.0</v>
      </c>
      <c r="AM36" s="9">
        <v>4328.0</v>
      </c>
      <c r="AN36" s="9">
        <v>1768.0</v>
      </c>
      <c r="AO36" s="9">
        <v>731.0</v>
      </c>
      <c r="AP36" s="9">
        <v>303.0</v>
      </c>
      <c r="AQ36" s="9">
        <v>451.0</v>
      </c>
      <c r="AR36" s="9">
        <v>2007.0</v>
      </c>
      <c r="AS36" s="9">
        <v>19429.0</v>
      </c>
      <c r="AT36" s="9">
        <v>148.0</v>
      </c>
      <c r="AU36" s="9">
        <v>363.0</v>
      </c>
      <c r="AV36" s="9">
        <v>96.0</v>
      </c>
      <c r="AW36" s="9">
        <v>1014.0</v>
      </c>
      <c r="AX36" s="9">
        <v>356.0</v>
      </c>
      <c r="AY36" s="9">
        <v>604.0</v>
      </c>
      <c r="AZ36" s="9">
        <v>1340.0</v>
      </c>
      <c r="BA36" s="9">
        <v>14078.0</v>
      </c>
      <c r="BB36" s="9">
        <v>1430.0</v>
      </c>
      <c r="BC36" s="9">
        <v>16519.0</v>
      </c>
      <c r="BD36" s="9">
        <v>1027.0</v>
      </c>
      <c r="BE36" s="9">
        <v>1911.0</v>
      </c>
      <c r="BF36" s="9">
        <v>260.0</v>
      </c>
      <c r="BG36" s="9">
        <v>2489.0</v>
      </c>
      <c r="BH36" s="9">
        <v>1545.0</v>
      </c>
      <c r="BI36" s="9">
        <v>2337.0</v>
      </c>
      <c r="BJ36" s="9">
        <v>2692.0</v>
      </c>
      <c r="BK36" s="9">
        <v>2013.0</v>
      </c>
      <c r="BL36" s="9">
        <v>2245.0</v>
      </c>
      <c r="BM36" s="9">
        <v>9081.0</v>
      </c>
      <c r="BN36" s="9">
        <v>175.0</v>
      </c>
      <c r="BO36" s="9">
        <v>166.0</v>
      </c>
      <c r="BP36" s="9">
        <v>201.0</v>
      </c>
      <c r="BQ36" s="9">
        <v>649.0</v>
      </c>
      <c r="BR36" s="9">
        <v>141.0</v>
      </c>
      <c r="BS36" s="9">
        <v>4409.0</v>
      </c>
      <c r="BT36" s="9">
        <v>506.0</v>
      </c>
      <c r="BU36" s="9">
        <v>2834.0</v>
      </c>
      <c r="BV36" s="9">
        <v>39254.0</v>
      </c>
      <c r="BW36" s="9">
        <v>764.0</v>
      </c>
      <c r="BX36" s="9">
        <v>3046.0</v>
      </c>
      <c r="BY36" s="9">
        <v>9.0</v>
      </c>
      <c r="BZ36" s="9">
        <v>23514.0</v>
      </c>
      <c r="CA36" s="9">
        <v>11921.0</v>
      </c>
      <c r="CB36" s="9">
        <v>593863.0</v>
      </c>
    </row>
    <row r="37" ht="15.75" customHeight="1">
      <c r="A37" s="9" t="s">
        <v>195</v>
      </c>
      <c r="B37" s="9" t="s">
        <v>0</v>
      </c>
      <c r="C37" s="9">
        <v>54927.0</v>
      </c>
      <c r="D37" s="9">
        <v>1239.0</v>
      </c>
      <c r="E37" s="9">
        <v>17910.0</v>
      </c>
      <c r="F37" s="9">
        <v>3010.0</v>
      </c>
      <c r="G37" s="9">
        <v>1351.0</v>
      </c>
      <c r="H37" s="9">
        <v>20643.0</v>
      </c>
      <c r="I37" s="9">
        <v>5915.0</v>
      </c>
      <c r="J37" s="9">
        <v>294.0</v>
      </c>
      <c r="K37" s="9">
        <v>497.0</v>
      </c>
      <c r="L37" s="9">
        <v>1746.0</v>
      </c>
      <c r="M37" s="9">
        <v>2322.0</v>
      </c>
      <c r="N37" s="9">
        <v>2569.0</v>
      </c>
      <c r="O37" s="9">
        <v>2545.0</v>
      </c>
      <c r="P37" s="9">
        <v>24.0</v>
      </c>
      <c r="Q37" s="9">
        <v>202833.0</v>
      </c>
      <c r="R37" s="9">
        <v>454.0</v>
      </c>
      <c r="S37" s="9">
        <v>5507.0</v>
      </c>
      <c r="T37" s="9">
        <v>14.0</v>
      </c>
      <c r="U37" s="9">
        <v>1442.0</v>
      </c>
      <c r="V37" s="9">
        <v>206.0</v>
      </c>
      <c r="W37" s="9">
        <v>7452.0</v>
      </c>
      <c r="X37" s="9">
        <v>19318.0</v>
      </c>
      <c r="Y37" s="9">
        <v>167787.0</v>
      </c>
      <c r="Z37" s="9">
        <v>653.0</v>
      </c>
      <c r="AA37" s="9">
        <v>194429.0</v>
      </c>
      <c r="AB37" s="9">
        <v>101958.0</v>
      </c>
      <c r="AC37" s="9">
        <v>15802.0</v>
      </c>
      <c r="AD37" s="9">
        <v>76669.0</v>
      </c>
      <c r="AE37" s="9">
        <v>1610.0</v>
      </c>
      <c r="AF37" s="9">
        <v>1052.0</v>
      </c>
      <c r="AG37" s="9">
        <v>422.0</v>
      </c>
      <c r="AH37" s="9">
        <v>136.0</v>
      </c>
      <c r="AI37" s="9">
        <v>11510.0</v>
      </c>
      <c r="AJ37" s="9">
        <v>223.0</v>
      </c>
      <c r="AK37" s="9">
        <v>1263.0</v>
      </c>
      <c r="AL37" s="9">
        <v>924.0</v>
      </c>
      <c r="AM37" s="9">
        <v>4753.0</v>
      </c>
      <c r="AN37" s="9">
        <v>1695.0</v>
      </c>
      <c r="AO37" s="9">
        <v>338.0</v>
      </c>
      <c r="AP37" s="9">
        <v>266.0</v>
      </c>
      <c r="AQ37" s="9">
        <v>387.0</v>
      </c>
      <c r="AR37" s="9">
        <v>1661.0</v>
      </c>
      <c r="AS37" s="9">
        <v>19417.0</v>
      </c>
      <c r="AT37" s="9">
        <v>111.0</v>
      </c>
      <c r="AU37" s="9">
        <v>398.0</v>
      </c>
      <c r="AV37" s="9">
        <v>99.0</v>
      </c>
      <c r="AW37" s="9">
        <v>893.0</v>
      </c>
      <c r="AX37" s="9">
        <v>366.0</v>
      </c>
      <c r="AY37" s="9">
        <v>858.0</v>
      </c>
      <c r="AZ37" s="9">
        <v>1166.0</v>
      </c>
      <c r="BA37" s="9">
        <v>14075.0</v>
      </c>
      <c r="BB37" s="9">
        <v>1451.0</v>
      </c>
      <c r="BC37" s="9">
        <v>18668.0</v>
      </c>
      <c r="BD37" s="9">
        <v>1303.0</v>
      </c>
      <c r="BE37" s="9">
        <v>2127.0</v>
      </c>
      <c r="BF37" s="9">
        <v>273.0</v>
      </c>
      <c r="BG37" s="9">
        <v>3059.0</v>
      </c>
      <c r="BH37" s="9">
        <v>1488.0</v>
      </c>
      <c r="BI37" s="9">
        <v>2683.0</v>
      </c>
      <c r="BJ37" s="9">
        <v>2963.0</v>
      </c>
      <c r="BK37" s="9">
        <v>2190.0</v>
      </c>
      <c r="BL37" s="9">
        <v>2582.0</v>
      </c>
      <c r="BM37" s="9">
        <v>10537.0</v>
      </c>
      <c r="BN37" s="9">
        <v>170.0</v>
      </c>
      <c r="BO37" s="9">
        <v>189.0</v>
      </c>
      <c r="BP37" s="9">
        <v>189.0</v>
      </c>
      <c r="BQ37" s="9">
        <v>702.0</v>
      </c>
      <c r="BR37" s="9">
        <v>183.0</v>
      </c>
      <c r="BS37" s="9">
        <v>4878.0</v>
      </c>
      <c r="BT37" s="9">
        <v>578.0</v>
      </c>
      <c r="BU37" s="9">
        <v>3648.0</v>
      </c>
      <c r="BV37" s="9">
        <v>41294.0</v>
      </c>
      <c r="BW37" s="9">
        <v>616.0</v>
      </c>
      <c r="BX37" s="9">
        <v>2011.0</v>
      </c>
      <c r="BY37" s="9">
        <v>11.0</v>
      </c>
      <c r="BZ37" s="9">
        <v>28353.0</v>
      </c>
      <c r="CA37" s="9">
        <v>10303.0</v>
      </c>
      <c r="CB37" s="9">
        <v>557794.0</v>
      </c>
    </row>
    <row r="38" ht="15.75" customHeight="1">
      <c r="A38" s="9" t="s">
        <v>160</v>
      </c>
      <c r="B38" s="9" t="s">
        <v>196</v>
      </c>
      <c r="C38" s="9">
        <v>1689.0</v>
      </c>
      <c r="D38" s="9">
        <v>154.0</v>
      </c>
      <c r="E38" s="9">
        <v>25.0</v>
      </c>
      <c r="F38" s="9">
        <v>90.0</v>
      </c>
      <c r="G38" s="9">
        <v>406.0</v>
      </c>
      <c r="H38" s="9">
        <v>69.0</v>
      </c>
      <c r="I38" s="9">
        <v>312.0</v>
      </c>
      <c r="J38" s="9">
        <v>37.0</v>
      </c>
      <c r="K38" s="9">
        <v>359.0</v>
      </c>
      <c r="L38" s="9">
        <v>60.0</v>
      </c>
      <c r="M38" s="9">
        <v>177.0</v>
      </c>
      <c r="N38" s="9">
        <v>367.0</v>
      </c>
      <c r="O38" s="9">
        <v>264.0</v>
      </c>
      <c r="P38" s="9">
        <v>103.0</v>
      </c>
      <c r="Q38" s="9">
        <v>1518.0</v>
      </c>
      <c r="R38" s="9">
        <v>13.0</v>
      </c>
      <c r="S38" s="9">
        <v>43.0</v>
      </c>
      <c r="T38" s="9">
        <v>111.0</v>
      </c>
      <c r="U38" s="9">
        <v>483.0</v>
      </c>
      <c r="V38" s="9">
        <v>232.0</v>
      </c>
      <c r="W38" s="9">
        <v>185.0</v>
      </c>
      <c r="X38" s="9">
        <v>266.0</v>
      </c>
      <c r="Y38" s="9">
        <v>81.0</v>
      </c>
      <c r="Z38" s="9">
        <v>104.0</v>
      </c>
      <c r="AA38" s="9">
        <v>1699.0</v>
      </c>
      <c r="AB38" s="9">
        <v>3.0</v>
      </c>
      <c r="AC38" s="9">
        <v>1693.0</v>
      </c>
      <c r="AD38" s="9">
        <v>3.0</v>
      </c>
      <c r="AE38" s="9">
        <v>105.0</v>
      </c>
      <c r="AF38" s="9">
        <v>0.0</v>
      </c>
      <c r="AG38" s="9">
        <v>94.0</v>
      </c>
      <c r="AH38" s="9">
        <v>11.0</v>
      </c>
      <c r="AI38" s="9">
        <v>4644.0</v>
      </c>
      <c r="AJ38" s="9">
        <v>1172.0</v>
      </c>
      <c r="AK38" s="9">
        <v>594.0</v>
      </c>
      <c r="AL38" s="9">
        <v>200.0</v>
      </c>
      <c r="AM38" s="9">
        <v>687.0</v>
      </c>
      <c r="AN38" s="9">
        <v>270.0</v>
      </c>
      <c r="AO38" s="9">
        <v>171.0</v>
      </c>
      <c r="AP38" s="9">
        <v>597.0</v>
      </c>
      <c r="AQ38" s="9">
        <v>421.0</v>
      </c>
      <c r="AR38" s="9">
        <v>532.0</v>
      </c>
      <c r="AS38" s="9">
        <v>7271.0</v>
      </c>
      <c r="AT38" s="9">
        <v>150.0</v>
      </c>
      <c r="AU38" s="9">
        <v>621.0</v>
      </c>
      <c r="AV38" s="9">
        <v>214.0</v>
      </c>
      <c r="AW38" s="9">
        <v>1212.0</v>
      </c>
      <c r="AX38" s="9">
        <v>1911.0</v>
      </c>
      <c r="AY38" s="9">
        <v>885.0</v>
      </c>
      <c r="AZ38" s="9">
        <v>892.0</v>
      </c>
      <c r="BA38" s="9">
        <v>297.0</v>
      </c>
      <c r="BB38" s="9">
        <v>1089.0</v>
      </c>
      <c r="BC38" s="9">
        <v>17882.0</v>
      </c>
      <c r="BD38" s="9">
        <v>1123.0</v>
      </c>
      <c r="BE38" s="9">
        <v>2131.0</v>
      </c>
      <c r="BF38" s="9">
        <v>354.0</v>
      </c>
      <c r="BG38" s="9">
        <v>2326.0</v>
      </c>
      <c r="BH38" s="9">
        <v>2899.0</v>
      </c>
      <c r="BI38" s="9">
        <v>1543.0</v>
      </c>
      <c r="BJ38" s="9">
        <v>2213.0</v>
      </c>
      <c r="BK38" s="9">
        <v>3852.0</v>
      </c>
      <c r="BL38" s="9">
        <v>1441.0</v>
      </c>
      <c r="BM38" s="9">
        <v>5959.0</v>
      </c>
      <c r="BN38" s="9">
        <v>116.0</v>
      </c>
      <c r="BO38" s="9">
        <v>251.0</v>
      </c>
      <c r="BP38" s="9">
        <v>175.0</v>
      </c>
      <c r="BQ38" s="9">
        <v>700.0</v>
      </c>
      <c r="BR38" s="9">
        <v>304.0</v>
      </c>
      <c r="BS38" s="9">
        <v>993.0</v>
      </c>
      <c r="BT38" s="9">
        <v>763.0</v>
      </c>
      <c r="BU38" s="9">
        <v>2657.0</v>
      </c>
      <c r="BV38" s="9">
        <v>1285.0</v>
      </c>
      <c r="BW38" s="9">
        <v>935.0</v>
      </c>
      <c r="BX38" s="9">
        <v>17.0</v>
      </c>
      <c r="BY38" s="9">
        <v>0.0</v>
      </c>
      <c r="BZ38" s="9">
        <v>104.0</v>
      </c>
      <c r="CA38" s="9">
        <v>229.0</v>
      </c>
      <c r="CB38" s="9">
        <v>42419.0</v>
      </c>
    </row>
    <row r="39" ht="15.75" customHeight="1">
      <c r="A39" s="9" t="s">
        <v>161</v>
      </c>
      <c r="B39" s="9" t="s">
        <v>196</v>
      </c>
      <c r="C39" s="9">
        <v>1928.0</v>
      </c>
      <c r="D39" s="9">
        <v>151.0</v>
      </c>
      <c r="E39" s="9">
        <v>30.0</v>
      </c>
      <c r="F39" s="9">
        <v>96.0</v>
      </c>
      <c r="G39" s="9">
        <v>441.0</v>
      </c>
      <c r="H39" s="9">
        <v>86.0</v>
      </c>
      <c r="I39" s="9">
        <v>418.0</v>
      </c>
      <c r="J39" s="9">
        <v>49.0</v>
      </c>
      <c r="K39" s="9">
        <v>357.0</v>
      </c>
      <c r="L39" s="9">
        <v>67.0</v>
      </c>
      <c r="M39" s="9">
        <v>233.0</v>
      </c>
      <c r="N39" s="9">
        <v>386.0</v>
      </c>
      <c r="O39" s="9">
        <v>298.0</v>
      </c>
      <c r="P39" s="9">
        <v>88.0</v>
      </c>
      <c r="Q39" s="9">
        <v>1608.0</v>
      </c>
      <c r="R39" s="9">
        <v>10.0</v>
      </c>
      <c r="S39" s="9">
        <v>33.0</v>
      </c>
      <c r="T39" s="9">
        <v>103.0</v>
      </c>
      <c r="U39" s="9">
        <v>571.0</v>
      </c>
      <c r="V39" s="9">
        <v>239.0</v>
      </c>
      <c r="W39" s="9">
        <v>159.0</v>
      </c>
      <c r="X39" s="9">
        <v>256.0</v>
      </c>
      <c r="Y39" s="9">
        <v>118.0</v>
      </c>
      <c r="Z39" s="9">
        <v>119.0</v>
      </c>
      <c r="AA39" s="9">
        <v>2643.0</v>
      </c>
      <c r="AB39" s="9">
        <v>23.0</v>
      </c>
      <c r="AC39" s="9">
        <v>2612.0</v>
      </c>
      <c r="AD39" s="9">
        <v>8.0</v>
      </c>
      <c r="AE39" s="9">
        <v>120.0</v>
      </c>
      <c r="AF39" s="9">
        <v>1.0</v>
      </c>
      <c r="AG39" s="9">
        <v>107.0</v>
      </c>
      <c r="AH39" s="9">
        <v>12.0</v>
      </c>
      <c r="AI39" s="9">
        <v>5188.0</v>
      </c>
      <c r="AJ39" s="9">
        <v>1123.0</v>
      </c>
      <c r="AK39" s="9">
        <v>760.0</v>
      </c>
      <c r="AL39" s="9">
        <v>233.0</v>
      </c>
      <c r="AM39" s="9">
        <v>739.0</v>
      </c>
      <c r="AN39" s="9">
        <v>327.0</v>
      </c>
      <c r="AO39" s="9">
        <v>227.0</v>
      </c>
      <c r="AP39" s="9">
        <v>699.0</v>
      </c>
      <c r="AQ39" s="9">
        <v>483.0</v>
      </c>
      <c r="AR39" s="9">
        <v>597.0</v>
      </c>
      <c r="AS39" s="9">
        <v>8579.0</v>
      </c>
      <c r="AT39" s="9">
        <v>146.0</v>
      </c>
      <c r="AU39" s="9">
        <v>734.0</v>
      </c>
      <c r="AV39" s="9">
        <v>243.0</v>
      </c>
      <c r="AW39" s="9">
        <v>1342.0</v>
      </c>
      <c r="AX39" s="9">
        <v>2045.0</v>
      </c>
      <c r="AY39" s="9">
        <v>1078.0</v>
      </c>
      <c r="AZ39" s="9">
        <v>1218.0</v>
      </c>
      <c r="BA39" s="9">
        <v>414.0</v>
      </c>
      <c r="BB39" s="9">
        <v>1359.0</v>
      </c>
      <c r="BC39" s="9">
        <v>23456.0</v>
      </c>
      <c r="BD39" s="9">
        <v>1240.0</v>
      </c>
      <c r="BE39" s="9">
        <v>2752.0</v>
      </c>
      <c r="BF39" s="9">
        <v>388.0</v>
      </c>
      <c r="BG39" s="9">
        <v>2891.0</v>
      </c>
      <c r="BH39" s="9">
        <v>3531.0</v>
      </c>
      <c r="BI39" s="9">
        <v>1880.0</v>
      </c>
      <c r="BJ39" s="9">
        <v>2621.0</v>
      </c>
      <c r="BK39" s="9">
        <v>5397.0</v>
      </c>
      <c r="BL39" s="9">
        <v>2756.0</v>
      </c>
      <c r="BM39" s="9">
        <v>6813.0</v>
      </c>
      <c r="BN39" s="9">
        <v>140.0</v>
      </c>
      <c r="BO39" s="9">
        <v>339.0</v>
      </c>
      <c r="BP39" s="9">
        <v>215.0</v>
      </c>
      <c r="BQ39" s="9">
        <v>848.0</v>
      </c>
      <c r="BR39" s="9">
        <v>342.0</v>
      </c>
      <c r="BS39" s="9">
        <v>1138.0</v>
      </c>
      <c r="BT39" s="9">
        <v>806.0</v>
      </c>
      <c r="BU39" s="9">
        <v>2985.0</v>
      </c>
      <c r="BV39" s="9">
        <v>995.0</v>
      </c>
      <c r="BW39" s="9">
        <v>651.0</v>
      </c>
      <c r="BX39" s="9">
        <v>25.0</v>
      </c>
      <c r="BY39" s="9">
        <v>3.0</v>
      </c>
      <c r="BZ39" s="9">
        <v>189.0</v>
      </c>
      <c r="CA39" s="9">
        <v>127.0</v>
      </c>
      <c r="CB39" s="9">
        <v>51716.0</v>
      </c>
    </row>
    <row r="40" ht="15.75" customHeight="1">
      <c r="A40" s="9" t="s">
        <v>162</v>
      </c>
      <c r="B40" s="9" t="s">
        <v>196</v>
      </c>
      <c r="C40" s="9">
        <v>1915.0</v>
      </c>
      <c r="D40" s="9">
        <v>121.0</v>
      </c>
      <c r="E40" s="9">
        <v>28.0</v>
      </c>
      <c r="F40" s="9">
        <v>115.0</v>
      </c>
      <c r="G40" s="9">
        <v>438.0</v>
      </c>
      <c r="H40" s="9">
        <v>101.0</v>
      </c>
      <c r="I40" s="9">
        <v>388.0</v>
      </c>
      <c r="J40" s="9">
        <v>61.0</v>
      </c>
      <c r="K40" s="9">
        <v>316.0</v>
      </c>
      <c r="L40" s="9">
        <v>69.0</v>
      </c>
      <c r="M40" s="9">
        <v>278.0</v>
      </c>
      <c r="N40" s="9">
        <v>403.0</v>
      </c>
      <c r="O40" s="9">
        <v>301.0</v>
      </c>
      <c r="P40" s="9">
        <v>102.0</v>
      </c>
      <c r="Q40" s="9">
        <v>1405.0</v>
      </c>
      <c r="R40" s="9">
        <v>14.0</v>
      </c>
      <c r="S40" s="9">
        <v>53.0</v>
      </c>
      <c r="T40" s="9">
        <v>83.0</v>
      </c>
      <c r="U40" s="9">
        <v>456.0</v>
      </c>
      <c r="V40" s="9">
        <v>207.0</v>
      </c>
      <c r="W40" s="9">
        <v>141.0</v>
      </c>
      <c r="X40" s="9">
        <v>186.0</v>
      </c>
      <c r="Y40" s="9">
        <v>148.0</v>
      </c>
      <c r="Z40" s="9">
        <v>117.0</v>
      </c>
      <c r="AA40" s="9">
        <v>2806.0</v>
      </c>
      <c r="AB40" s="9">
        <v>3.0</v>
      </c>
      <c r="AC40" s="9">
        <v>2787.0</v>
      </c>
      <c r="AD40" s="9">
        <v>16.0</v>
      </c>
      <c r="AE40" s="9">
        <v>122.0</v>
      </c>
      <c r="AF40" s="9">
        <v>0.0</v>
      </c>
      <c r="AG40" s="9">
        <v>110.0</v>
      </c>
      <c r="AH40" s="9">
        <v>12.0</v>
      </c>
      <c r="AI40" s="9">
        <v>5129.0</v>
      </c>
      <c r="AJ40" s="9">
        <v>984.0</v>
      </c>
      <c r="AK40" s="9">
        <v>695.0</v>
      </c>
      <c r="AL40" s="9">
        <v>229.0</v>
      </c>
      <c r="AM40" s="9">
        <v>904.0</v>
      </c>
      <c r="AN40" s="9">
        <v>339.0</v>
      </c>
      <c r="AO40" s="9">
        <v>261.0</v>
      </c>
      <c r="AP40" s="9">
        <v>613.0</v>
      </c>
      <c r="AQ40" s="9">
        <v>459.0</v>
      </c>
      <c r="AR40" s="9">
        <v>645.0</v>
      </c>
      <c r="AS40" s="9">
        <v>7627.0</v>
      </c>
      <c r="AT40" s="9">
        <v>128.0</v>
      </c>
      <c r="AU40" s="9">
        <v>703.0</v>
      </c>
      <c r="AV40" s="9">
        <v>221.0</v>
      </c>
      <c r="AW40" s="9">
        <v>1255.0</v>
      </c>
      <c r="AX40" s="9">
        <v>1856.0</v>
      </c>
      <c r="AY40" s="9">
        <v>996.0</v>
      </c>
      <c r="AZ40" s="9">
        <v>834.0</v>
      </c>
      <c r="BA40" s="9">
        <v>373.0</v>
      </c>
      <c r="BB40" s="9">
        <v>1261.0</v>
      </c>
      <c r="BC40" s="9">
        <v>22381.0</v>
      </c>
      <c r="BD40" s="9">
        <v>1361.0</v>
      </c>
      <c r="BE40" s="9">
        <v>2446.0</v>
      </c>
      <c r="BF40" s="9">
        <v>354.0</v>
      </c>
      <c r="BG40" s="9">
        <v>2789.0</v>
      </c>
      <c r="BH40" s="9">
        <v>3462.0</v>
      </c>
      <c r="BI40" s="9">
        <v>1778.0</v>
      </c>
      <c r="BJ40" s="9">
        <v>2615.0</v>
      </c>
      <c r="BK40" s="9">
        <v>4825.0</v>
      </c>
      <c r="BL40" s="9">
        <v>2751.0</v>
      </c>
      <c r="BM40" s="9">
        <v>6918.0</v>
      </c>
      <c r="BN40" s="9">
        <v>139.0</v>
      </c>
      <c r="BO40" s="9">
        <v>314.0</v>
      </c>
      <c r="BP40" s="9">
        <v>209.0</v>
      </c>
      <c r="BQ40" s="9">
        <v>914.0</v>
      </c>
      <c r="BR40" s="9">
        <v>359.0</v>
      </c>
      <c r="BS40" s="9">
        <v>1155.0</v>
      </c>
      <c r="BT40" s="9">
        <v>786.0</v>
      </c>
      <c r="BU40" s="9">
        <v>3042.0</v>
      </c>
      <c r="BV40" s="9">
        <v>1092.0</v>
      </c>
      <c r="BW40" s="9">
        <v>493.0</v>
      </c>
      <c r="BX40" s="9">
        <v>28.0</v>
      </c>
      <c r="BY40" s="9">
        <v>7.0</v>
      </c>
      <c r="BZ40" s="9">
        <v>427.0</v>
      </c>
      <c r="CA40" s="9">
        <v>137.0</v>
      </c>
      <c r="CB40" s="9">
        <v>49798.0</v>
      </c>
    </row>
    <row r="41" ht="15.75" customHeight="1">
      <c r="A41" s="9" t="s">
        <v>163</v>
      </c>
      <c r="B41" s="9" t="s">
        <v>196</v>
      </c>
      <c r="C41" s="9">
        <v>2009.0</v>
      </c>
      <c r="D41" s="9">
        <v>62.0</v>
      </c>
      <c r="E41" s="9">
        <v>40.0</v>
      </c>
      <c r="F41" s="9">
        <v>133.0</v>
      </c>
      <c r="G41" s="9">
        <v>453.0</v>
      </c>
      <c r="H41" s="9">
        <v>108.0</v>
      </c>
      <c r="I41" s="9">
        <v>433.0</v>
      </c>
      <c r="J41" s="9">
        <v>57.0</v>
      </c>
      <c r="K41" s="9">
        <v>310.0</v>
      </c>
      <c r="L41" s="9">
        <v>85.0</v>
      </c>
      <c r="M41" s="9">
        <v>328.0</v>
      </c>
      <c r="N41" s="9">
        <v>388.0</v>
      </c>
      <c r="O41" s="9">
        <v>286.0</v>
      </c>
      <c r="P41" s="9">
        <v>102.0</v>
      </c>
      <c r="Q41" s="9">
        <v>1195.0</v>
      </c>
      <c r="R41" s="9">
        <v>9.0</v>
      </c>
      <c r="S41" s="9">
        <v>58.0</v>
      </c>
      <c r="T41" s="9">
        <v>79.0</v>
      </c>
      <c r="U41" s="9">
        <v>437.0</v>
      </c>
      <c r="V41" s="9">
        <v>130.0</v>
      </c>
      <c r="W41" s="9">
        <v>134.0</v>
      </c>
      <c r="X41" s="9">
        <v>123.0</v>
      </c>
      <c r="Y41" s="9">
        <v>115.0</v>
      </c>
      <c r="Z41" s="9">
        <v>110.0</v>
      </c>
      <c r="AA41" s="9">
        <v>2949.0</v>
      </c>
      <c r="AB41" s="9">
        <v>4.0</v>
      </c>
      <c r="AC41" s="9">
        <v>2938.0</v>
      </c>
      <c r="AD41" s="9">
        <v>7.0</v>
      </c>
      <c r="AE41" s="9">
        <v>137.0</v>
      </c>
      <c r="AF41" s="9">
        <v>0.0</v>
      </c>
      <c r="AG41" s="9">
        <v>124.0</v>
      </c>
      <c r="AH41" s="9">
        <v>13.0</v>
      </c>
      <c r="AI41" s="9">
        <v>5252.0</v>
      </c>
      <c r="AJ41" s="9">
        <v>1044.0</v>
      </c>
      <c r="AK41" s="9">
        <v>718.0</v>
      </c>
      <c r="AL41" s="9">
        <v>245.0</v>
      </c>
      <c r="AM41" s="9">
        <v>937.0</v>
      </c>
      <c r="AN41" s="9">
        <v>350.0</v>
      </c>
      <c r="AO41" s="9">
        <v>284.0</v>
      </c>
      <c r="AP41" s="9">
        <v>602.0</v>
      </c>
      <c r="AQ41" s="9">
        <v>454.0</v>
      </c>
      <c r="AR41" s="9">
        <v>618.0</v>
      </c>
      <c r="AS41" s="9">
        <v>7575.0</v>
      </c>
      <c r="AT41" s="9">
        <v>118.0</v>
      </c>
      <c r="AU41" s="9">
        <v>704.0</v>
      </c>
      <c r="AV41" s="9">
        <v>225.0</v>
      </c>
      <c r="AW41" s="9">
        <v>1209.0</v>
      </c>
      <c r="AX41" s="9">
        <v>1907.0</v>
      </c>
      <c r="AY41" s="9">
        <v>925.0</v>
      </c>
      <c r="AZ41" s="9">
        <v>895.0</v>
      </c>
      <c r="BA41" s="9">
        <v>371.0</v>
      </c>
      <c r="BB41" s="9">
        <v>1221.0</v>
      </c>
      <c r="BC41" s="9">
        <v>21886.0</v>
      </c>
      <c r="BD41" s="9">
        <v>1311.0</v>
      </c>
      <c r="BE41" s="9">
        <v>2023.0</v>
      </c>
      <c r="BF41" s="9">
        <v>315.0</v>
      </c>
      <c r="BG41" s="9">
        <v>2764.0</v>
      </c>
      <c r="BH41" s="9">
        <v>3406.0</v>
      </c>
      <c r="BI41" s="9">
        <v>1823.0</v>
      </c>
      <c r="BJ41" s="9">
        <v>2645.0</v>
      </c>
      <c r="BK41" s="9">
        <v>4280.0</v>
      </c>
      <c r="BL41" s="9">
        <v>3319.0</v>
      </c>
      <c r="BM41" s="9">
        <v>7281.0</v>
      </c>
      <c r="BN41" s="9">
        <v>154.0</v>
      </c>
      <c r="BO41" s="9">
        <v>301.0</v>
      </c>
      <c r="BP41" s="9">
        <v>221.0</v>
      </c>
      <c r="BQ41" s="9">
        <v>1027.0</v>
      </c>
      <c r="BR41" s="9">
        <v>384.0</v>
      </c>
      <c r="BS41" s="9">
        <v>1241.0</v>
      </c>
      <c r="BT41" s="9">
        <v>793.0</v>
      </c>
      <c r="BU41" s="9">
        <v>3160.0</v>
      </c>
      <c r="BV41" s="9">
        <v>998.0</v>
      </c>
      <c r="BW41" s="9">
        <v>28.0</v>
      </c>
      <c r="BX41" s="9">
        <v>11.0</v>
      </c>
      <c r="BY41" s="9">
        <v>0.0</v>
      </c>
      <c r="BZ41" s="9">
        <v>866.0</v>
      </c>
      <c r="CA41" s="9">
        <v>93.0</v>
      </c>
      <c r="CB41" s="9">
        <v>49670.0</v>
      </c>
    </row>
    <row r="42" ht="15.75" customHeight="1">
      <c r="A42" s="9" t="s">
        <v>164</v>
      </c>
      <c r="B42" s="9" t="s">
        <v>196</v>
      </c>
      <c r="C42" s="9">
        <v>2148.0</v>
      </c>
      <c r="D42" s="9">
        <v>59.0</v>
      </c>
      <c r="E42" s="9">
        <v>39.0</v>
      </c>
      <c r="F42" s="9">
        <v>152.0</v>
      </c>
      <c r="G42" s="9">
        <v>483.0</v>
      </c>
      <c r="H42" s="9">
        <v>131.0</v>
      </c>
      <c r="I42" s="9">
        <v>475.0</v>
      </c>
      <c r="J42" s="9">
        <v>73.0</v>
      </c>
      <c r="K42" s="9">
        <v>328.0</v>
      </c>
      <c r="L42" s="9">
        <v>70.0</v>
      </c>
      <c r="M42" s="9">
        <v>338.0</v>
      </c>
      <c r="N42" s="9">
        <v>410.0</v>
      </c>
      <c r="O42" s="9">
        <v>303.0</v>
      </c>
      <c r="P42" s="9">
        <v>107.0</v>
      </c>
      <c r="Q42" s="9">
        <v>1419.0</v>
      </c>
      <c r="R42" s="9">
        <v>0.0</v>
      </c>
      <c r="S42" s="9">
        <v>58.0</v>
      </c>
      <c r="T42" s="9">
        <v>93.0</v>
      </c>
      <c r="U42" s="9">
        <v>516.0</v>
      </c>
      <c r="V42" s="9">
        <v>153.0</v>
      </c>
      <c r="W42" s="9">
        <v>142.0</v>
      </c>
      <c r="X42" s="9">
        <v>154.0</v>
      </c>
      <c r="Y42" s="9">
        <v>170.0</v>
      </c>
      <c r="Z42" s="9">
        <v>133.0</v>
      </c>
      <c r="AA42" s="9">
        <v>3242.0</v>
      </c>
      <c r="AB42" s="9">
        <v>5.0</v>
      </c>
      <c r="AC42" s="9">
        <v>3222.0</v>
      </c>
      <c r="AD42" s="9">
        <v>15.0</v>
      </c>
      <c r="AE42" s="9">
        <v>174.0</v>
      </c>
      <c r="AF42" s="9">
        <v>0.0</v>
      </c>
      <c r="AG42" s="9">
        <v>156.0</v>
      </c>
      <c r="AH42" s="9">
        <v>18.0</v>
      </c>
      <c r="AI42" s="9">
        <v>6220.0</v>
      </c>
      <c r="AJ42" s="9">
        <v>1284.0</v>
      </c>
      <c r="AK42" s="9">
        <v>700.0</v>
      </c>
      <c r="AL42" s="9">
        <v>305.0</v>
      </c>
      <c r="AM42" s="9">
        <v>1275.0</v>
      </c>
      <c r="AN42" s="9">
        <v>438.0</v>
      </c>
      <c r="AO42" s="9">
        <v>310.0</v>
      </c>
      <c r="AP42" s="9">
        <v>650.0</v>
      </c>
      <c r="AQ42" s="9">
        <v>531.0</v>
      </c>
      <c r="AR42" s="9">
        <v>727.0</v>
      </c>
      <c r="AS42" s="9">
        <v>8433.0</v>
      </c>
      <c r="AT42" s="9">
        <v>132.0</v>
      </c>
      <c r="AU42" s="9">
        <v>781.0</v>
      </c>
      <c r="AV42" s="9">
        <v>245.0</v>
      </c>
      <c r="AW42" s="9">
        <v>1387.0</v>
      </c>
      <c r="AX42" s="9">
        <v>2090.0</v>
      </c>
      <c r="AY42" s="9">
        <v>1024.0</v>
      </c>
      <c r="AZ42" s="9">
        <v>856.0</v>
      </c>
      <c r="BA42" s="9">
        <v>440.0</v>
      </c>
      <c r="BB42" s="9">
        <v>1478.0</v>
      </c>
      <c r="BC42" s="9">
        <v>23732.0</v>
      </c>
      <c r="BD42" s="9">
        <v>1345.0</v>
      </c>
      <c r="BE42" s="9">
        <v>2350.0</v>
      </c>
      <c r="BF42" s="9">
        <v>314.0</v>
      </c>
      <c r="BG42" s="9">
        <v>2892.0</v>
      </c>
      <c r="BH42" s="9">
        <v>3949.0</v>
      </c>
      <c r="BI42" s="9">
        <v>2188.0</v>
      </c>
      <c r="BJ42" s="9">
        <v>3093.0</v>
      </c>
      <c r="BK42" s="9">
        <v>5576.0</v>
      </c>
      <c r="BL42" s="9">
        <v>2025.0</v>
      </c>
      <c r="BM42" s="9">
        <v>8515.0</v>
      </c>
      <c r="BN42" s="9">
        <v>166.0</v>
      </c>
      <c r="BO42" s="9">
        <v>342.0</v>
      </c>
      <c r="BP42" s="9">
        <v>273.0</v>
      </c>
      <c r="BQ42" s="9">
        <v>1208.0</v>
      </c>
      <c r="BR42" s="9">
        <v>481.0</v>
      </c>
      <c r="BS42" s="9">
        <v>1444.0</v>
      </c>
      <c r="BT42" s="9">
        <v>931.0</v>
      </c>
      <c r="BU42" s="9">
        <v>3670.0</v>
      </c>
      <c r="BV42" s="9">
        <v>1198.0</v>
      </c>
      <c r="BW42" s="9">
        <v>27.0</v>
      </c>
      <c r="BX42" s="9">
        <v>1.0</v>
      </c>
      <c r="BY42" s="9">
        <v>0.0</v>
      </c>
      <c r="BZ42" s="9">
        <v>1104.0</v>
      </c>
      <c r="CA42" s="9">
        <v>66.0</v>
      </c>
      <c r="CB42" s="9">
        <v>55491.0</v>
      </c>
    </row>
    <row r="43" ht="15.75" customHeight="1">
      <c r="A43" s="9" t="s">
        <v>165</v>
      </c>
      <c r="B43" s="9" t="s">
        <v>196</v>
      </c>
      <c r="C43" s="9">
        <v>2381.0</v>
      </c>
      <c r="D43" s="9">
        <v>65.0</v>
      </c>
      <c r="E43" s="9">
        <v>39.0</v>
      </c>
      <c r="F43" s="9">
        <v>159.0</v>
      </c>
      <c r="G43" s="9">
        <v>538.0</v>
      </c>
      <c r="H43" s="9">
        <v>139.0</v>
      </c>
      <c r="I43" s="9">
        <v>501.0</v>
      </c>
      <c r="J43" s="9">
        <v>73.0</v>
      </c>
      <c r="K43" s="9">
        <v>358.0</v>
      </c>
      <c r="L43" s="9">
        <v>87.0</v>
      </c>
      <c r="M43" s="9">
        <v>422.0</v>
      </c>
      <c r="N43" s="9">
        <v>451.0</v>
      </c>
      <c r="O43" s="9">
        <v>318.0</v>
      </c>
      <c r="P43" s="9">
        <v>133.0</v>
      </c>
      <c r="Q43" s="9">
        <v>1548.0</v>
      </c>
      <c r="R43" s="9">
        <v>4.0</v>
      </c>
      <c r="S43" s="9">
        <v>65.0</v>
      </c>
      <c r="T43" s="9">
        <v>111.0</v>
      </c>
      <c r="U43" s="9">
        <v>652.0</v>
      </c>
      <c r="V43" s="9">
        <v>141.0</v>
      </c>
      <c r="W43" s="9">
        <v>153.0</v>
      </c>
      <c r="X43" s="9">
        <v>139.0</v>
      </c>
      <c r="Y43" s="9">
        <v>128.0</v>
      </c>
      <c r="Z43" s="9">
        <v>155.0</v>
      </c>
      <c r="AA43" s="9">
        <v>3819.0</v>
      </c>
      <c r="AB43" s="9">
        <v>16.0</v>
      </c>
      <c r="AC43" s="9">
        <v>3781.0</v>
      </c>
      <c r="AD43" s="9">
        <v>22.0</v>
      </c>
      <c r="AE43" s="9">
        <v>196.0</v>
      </c>
      <c r="AF43" s="9">
        <v>0.0</v>
      </c>
      <c r="AG43" s="9">
        <v>179.0</v>
      </c>
      <c r="AH43" s="9">
        <v>17.0</v>
      </c>
      <c r="AI43" s="9">
        <v>6843.0</v>
      </c>
      <c r="AJ43" s="9">
        <v>1491.0</v>
      </c>
      <c r="AK43" s="9">
        <v>582.0</v>
      </c>
      <c r="AL43" s="9">
        <v>335.0</v>
      </c>
      <c r="AM43" s="9">
        <v>1393.0</v>
      </c>
      <c r="AN43" s="9">
        <v>491.0</v>
      </c>
      <c r="AO43" s="9">
        <v>376.0</v>
      </c>
      <c r="AP43" s="9">
        <v>728.0</v>
      </c>
      <c r="AQ43" s="9">
        <v>606.0</v>
      </c>
      <c r="AR43" s="9">
        <v>841.0</v>
      </c>
      <c r="AS43" s="9">
        <v>9137.0</v>
      </c>
      <c r="AT43" s="9">
        <v>137.0</v>
      </c>
      <c r="AU43" s="9">
        <v>883.0</v>
      </c>
      <c r="AV43" s="9">
        <v>274.0</v>
      </c>
      <c r="AW43" s="9">
        <v>1485.0</v>
      </c>
      <c r="AX43" s="9">
        <v>2208.0</v>
      </c>
      <c r="AY43" s="9">
        <v>1038.0</v>
      </c>
      <c r="AZ43" s="9">
        <v>1038.0</v>
      </c>
      <c r="BA43" s="9">
        <v>476.0</v>
      </c>
      <c r="BB43" s="9">
        <v>1598.0</v>
      </c>
      <c r="BC43" s="9">
        <v>27486.0</v>
      </c>
      <c r="BD43" s="9">
        <v>1665.0</v>
      </c>
      <c r="BE43" s="9">
        <v>2717.0</v>
      </c>
      <c r="BF43" s="9">
        <v>324.0</v>
      </c>
      <c r="BG43" s="9">
        <v>3425.0</v>
      </c>
      <c r="BH43" s="9">
        <v>4576.0</v>
      </c>
      <c r="BI43" s="9">
        <v>2488.0</v>
      </c>
      <c r="BJ43" s="9">
        <v>3752.0</v>
      </c>
      <c r="BK43" s="9">
        <v>6695.0</v>
      </c>
      <c r="BL43" s="9">
        <v>1844.0</v>
      </c>
      <c r="BM43" s="9">
        <v>9421.0</v>
      </c>
      <c r="BN43" s="9">
        <v>182.0</v>
      </c>
      <c r="BO43" s="9">
        <v>369.0</v>
      </c>
      <c r="BP43" s="9">
        <v>272.0</v>
      </c>
      <c r="BQ43" s="9">
        <v>1454.0</v>
      </c>
      <c r="BR43" s="9">
        <v>515.0</v>
      </c>
      <c r="BS43" s="9">
        <v>1648.0</v>
      </c>
      <c r="BT43" s="9">
        <v>1024.0</v>
      </c>
      <c r="BU43" s="9">
        <v>3957.0</v>
      </c>
      <c r="BV43" s="9">
        <v>1109.0</v>
      </c>
      <c r="BW43" s="9">
        <v>37.0</v>
      </c>
      <c r="BX43" s="9">
        <v>1.0</v>
      </c>
      <c r="BY43" s="9">
        <v>0.0</v>
      </c>
      <c r="BZ43" s="9">
        <v>1003.0</v>
      </c>
      <c r="CA43" s="9">
        <v>68.0</v>
      </c>
      <c r="CB43" s="9">
        <v>62391.0</v>
      </c>
    </row>
    <row r="44" ht="15.75" customHeight="1">
      <c r="A44" s="9" t="s">
        <v>166</v>
      </c>
      <c r="B44" s="9" t="s">
        <v>196</v>
      </c>
      <c r="C44" s="9">
        <v>2583.0</v>
      </c>
      <c r="D44" s="9">
        <v>81.0</v>
      </c>
      <c r="E44" s="9">
        <v>42.0</v>
      </c>
      <c r="F44" s="9">
        <v>161.0</v>
      </c>
      <c r="G44" s="9">
        <v>582.0</v>
      </c>
      <c r="H44" s="9">
        <v>148.0</v>
      </c>
      <c r="I44" s="9">
        <v>504.0</v>
      </c>
      <c r="J44" s="9">
        <v>75.0</v>
      </c>
      <c r="K44" s="9">
        <v>437.0</v>
      </c>
      <c r="L44" s="9">
        <v>107.0</v>
      </c>
      <c r="M44" s="9">
        <v>446.0</v>
      </c>
      <c r="N44" s="9">
        <v>501.0</v>
      </c>
      <c r="O44" s="9">
        <v>338.0</v>
      </c>
      <c r="P44" s="9">
        <v>163.0</v>
      </c>
      <c r="Q44" s="9">
        <v>1650.0</v>
      </c>
      <c r="R44" s="9">
        <v>4.0</v>
      </c>
      <c r="S44" s="9">
        <v>105.0</v>
      </c>
      <c r="T44" s="9">
        <v>128.0</v>
      </c>
      <c r="U44" s="9">
        <v>605.0</v>
      </c>
      <c r="V44" s="9">
        <v>131.0</v>
      </c>
      <c r="W44" s="9">
        <v>174.0</v>
      </c>
      <c r="X44" s="9">
        <v>163.0</v>
      </c>
      <c r="Y44" s="9">
        <v>169.0</v>
      </c>
      <c r="Z44" s="9">
        <v>171.0</v>
      </c>
      <c r="AA44" s="9">
        <v>3264.0</v>
      </c>
      <c r="AB44" s="9">
        <v>26.0</v>
      </c>
      <c r="AC44" s="9">
        <v>3212.0</v>
      </c>
      <c r="AD44" s="9">
        <v>26.0</v>
      </c>
      <c r="AE44" s="9">
        <v>209.0</v>
      </c>
      <c r="AF44" s="9">
        <v>2.0</v>
      </c>
      <c r="AG44" s="9">
        <v>187.0</v>
      </c>
      <c r="AH44" s="9">
        <v>20.0</v>
      </c>
      <c r="AI44" s="9">
        <v>7359.0</v>
      </c>
      <c r="AJ44" s="9">
        <v>1706.0</v>
      </c>
      <c r="AK44" s="9">
        <v>462.0</v>
      </c>
      <c r="AL44" s="9">
        <v>355.0</v>
      </c>
      <c r="AM44" s="9">
        <v>1504.0</v>
      </c>
      <c r="AN44" s="9">
        <v>547.0</v>
      </c>
      <c r="AO44" s="9">
        <v>443.0</v>
      </c>
      <c r="AP44" s="9">
        <v>804.0</v>
      </c>
      <c r="AQ44" s="9">
        <v>666.0</v>
      </c>
      <c r="AR44" s="9">
        <v>872.0</v>
      </c>
      <c r="AS44" s="9">
        <v>10019.0</v>
      </c>
      <c r="AT44" s="9">
        <v>156.0</v>
      </c>
      <c r="AU44" s="9">
        <v>998.0</v>
      </c>
      <c r="AV44" s="9">
        <v>305.0</v>
      </c>
      <c r="AW44" s="9">
        <v>1639.0</v>
      </c>
      <c r="AX44" s="9">
        <v>2368.0</v>
      </c>
      <c r="AY44" s="9">
        <v>1144.0</v>
      </c>
      <c r="AZ44" s="9">
        <v>1101.0</v>
      </c>
      <c r="BA44" s="9">
        <v>588.0</v>
      </c>
      <c r="BB44" s="9">
        <v>1720.0</v>
      </c>
      <c r="BC44" s="9">
        <v>31427.0</v>
      </c>
      <c r="BD44" s="9">
        <v>1759.0</v>
      </c>
      <c r="BE44" s="9">
        <v>3341.0</v>
      </c>
      <c r="BF44" s="9">
        <v>436.0</v>
      </c>
      <c r="BG44" s="9">
        <v>3912.0</v>
      </c>
      <c r="BH44" s="9">
        <v>5201.0</v>
      </c>
      <c r="BI44" s="9">
        <v>2874.0</v>
      </c>
      <c r="BJ44" s="9">
        <v>4375.0</v>
      </c>
      <c r="BK44" s="9">
        <v>7963.0</v>
      </c>
      <c r="BL44" s="9">
        <v>1566.0</v>
      </c>
      <c r="BM44" s="9">
        <v>10229.0</v>
      </c>
      <c r="BN44" s="9">
        <v>206.0</v>
      </c>
      <c r="BO44" s="9">
        <v>425.0</v>
      </c>
      <c r="BP44" s="9">
        <v>314.0</v>
      </c>
      <c r="BQ44" s="9">
        <v>1547.0</v>
      </c>
      <c r="BR44" s="9">
        <v>557.0</v>
      </c>
      <c r="BS44" s="9">
        <v>1762.0</v>
      </c>
      <c r="BT44" s="9">
        <v>1140.0</v>
      </c>
      <c r="BU44" s="9">
        <v>4278.0</v>
      </c>
      <c r="BV44" s="9">
        <v>861.0</v>
      </c>
      <c r="BW44" s="9">
        <v>25.0</v>
      </c>
      <c r="BX44" s="9">
        <v>1.0</v>
      </c>
      <c r="BY44" s="9">
        <v>0.0</v>
      </c>
      <c r="BZ44" s="9">
        <v>773.0</v>
      </c>
      <c r="CA44" s="9">
        <v>62.0</v>
      </c>
      <c r="CB44" s="9">
        <v>68102.0</v>
      </c>
    </row>
    <row r="45" ht="15.75" customHeight="1">
      <c r="A45" s="9" t="s">
        <v>167</v>
      </c>
      <c r="B45" s="9" t="s">
        <v>196</v>
      </c>
      <c r="C45" s="9">
        <v>2947.0</v>
      </c>
      <c r="D45" s="9">
        <v>106.0</v>
      </c>
      <c r="E45" s="9">
        <v>51.0</v>
      </c>
      <c r="F45" s="9">
        <v>185.0</v>
      </c>
      <c r="G45" s="9">
        <v>598.0</v>
      </c>
      <c r="H45" s="9">
        <v>218.0</v>
      </c>
      <c r="I45" s="9">
        <v>575.0</v>
      </c>
      <c r="J45" s="9">
        <v>88.0</v>
      </c>
      <c r="K45" s="9">
        <v>525.0</v>
      </c>
      <c r="L45" s="9">
        <v>104.0</v>
      </c>
      <c r="M45" s="9">
        <v>497.0</v>
      </c>
      <c r="N45" s="9">
        <v>504.0</v>
      </c>
      <c r="O45" s="9">
        <v>341.0</v>
      </c>
      <c r="P45" s="9">
        <v>163.0</v>
      </c>
      <c r="Q45" s="9">
        <v>1746.0</v>
      </c>
      <c r="R45" s="9">
        <v>1.0</v>
      </c>
      <c r="S45" s="9">
        <v>131.0</v>
      </c>
      <c r="T45" s="9">
        <v>166.0</v>
      </c>
      <c r="U45" s="9">
        <v>522.0</v>
      </c>
      <c r="V45" s="9">
        <v>205.0</v>
      </c>
      <c r="W45" s="9">
        <v>182.0</v>
      </c>
      <c r="X45" s="9">
        <v>157.0</v>
      </c>
      <c r="Y45" s="9">
        <v>182.0</v>
      </c>
      <c r="Z45" s="9">
        <v>200.0</v>
      </c>
      <c r="AA45" s="9">
        <v>3887.0</v>
      </c>
      <c r="AB45" s="9">
        <v>14.0</v>
      </c>
      <c r="AC45" s="9">
        <v>3823.0</v>
      </c>
      <c r="AD45" s="9">
        <v>50.0</v>
      </c>
      <c r="AE45" s="9">
        <v>251.0</v>
      </c>
      <c r="AF45" s="9">
        <v>2.0</v>
      </c>
      <c r="AG45" s="9">
        <v>226.0</v>
      </c>
      <c r="AH45" s="9">
        <v>23.0</v>
      </c>
      <c r="AI45" s="9">
        <v>8599.0</v>
      </c>
      <c r="AJ45" s="9">
        <v>1862.0</v>
      </c>
      <c r="AK45" s="9">
        <v>797.0</v>
      </c>
      <c r="AL45" s="9">
        <v>370.0</v>
      </c>
      <c r="AM45" s="9">
        <v>1691.0</v>
      </c>
      <c r="AN45" s="9">
        <v>598.0</v>
      </c>
      <c r="AO45" s="9">
        <v>584.0</v>
      </c>
      <c r="AP45" s="9">
        <v>980.0</v>
      </c>
      <c r="AQ45" s="9">
        <v>774.0</v>
      </c>
      <c r="AR45" s="9">
        <v>943.0</v>
      </c>
      <c r="AS45" s="9">
        <v>11353.0</v>
      </c>
      <c r="AT45" s="9">
        <v>168.0</v>
      </c>
      <c r="AU45" s="9">
        <v>1084.0</v>
      </c>
      <c r="AV45" s="9">
        <v>327.0</v>
      </c>
      <c r="AW45" s="9">
        <v>2048.0</v>
      </c>
      <c r="AX45" s="9">
        <v>2416.0</v>
      </c>
      <c r="AY45" s="9">
        <v>1211.0</v>
      </c>
      <c r="AZ45" s="9">
        <v>1459.0</v>
      </c>
      <c r="BA45" s="9">
        <v>689.0</v>
      </c>
      <c r="BB45" s="9">
        <v>1951.0</v>
      </c>
      <c r="BC45" s="9">
        <v>36393.0</v>
      </c>
      <c r="BD45" s="9">
        <v>1845.0</v>
      </c>
      <c r="BE45" s="9">
        <v>3914.0</v>
      </c>
      <c r="BF45" s="9">
        <v>558.0</v>
      </c>
      <c r="BG45" s="9">
        <v>4379.0</v>
      </c>
      <c r="BH45" s="9">
        <v>5969.0</v>
      </c>
      <c r="BI45" s="9">
        <v>3684.0</v>
      </c>
      <c r="BJ45" s="9">
        <v>5298.0</v>
      </c>
      <c r="BK45" s="9">
        <v>8433.0</v>
      </c>
      <c r="BL45" s="9">
        <v>2313.0</v>
      </c>
      <c r="BM45" s="9">
        <v>10963.0</v>
      </c>
      <c r="BN45" s="9">
        <v>218.0</v>
      </c>
      <c r="BO45" s="9">
        <v>457.0</v>
      </c>
      <c r="BP45" s="9">
        <v>359.0</v>
      </c>
      <c r="BQ45" s="9">
        <v>1703.0</v>
      </c>
      <c r="BR45" s="9">
        <v>568.0</v>
      </c>
      <c r="BS45" s="9">
        <v>1887.0</v>
      </c>
      <c r="BT45" s="9">
        <v>1230.0</v>
      </c>
      <c r="BU45" s="9">
        <v>4541.0</v>
      </c>
      <c r="BV45" s="9">
        <v>827.0</v>
      </c>
      <c r="BW45" s="9">
        <v>27.0</v>
      </c>
      <c r="BX45" s="9">
        <v>1.0</v>
      </c>
      <c r="BY45" s="9">
        <v>0.0</v>
      </c>
      <c r="BZ45" s="9">
        <v>731.0</v>
      </c>
      <c r="CA45" s="9">
        <v>68.0</v>
      </c>
      <c r="CB45" s="9">
        <v>77470.0</v>
      </c>
    </row>
    <row r="46" ht="15.75" customHeight="1">
      <c r="A46" s="9" t="s">
        <v>168</v>
      </c>
      <c r="B46" s="9" t="s">
        <v>196</v>
      </c>
      <c r="C46" s="9">
        <v>2919.0</v>
      </c>
      <c r="D46" s="9">
        <v>92.0</v>
      </c>
      <c r="E46" s="9">
        <v>56.0</v>
      </c>
      <c r="F46" s="9">
        <v>201.0</v>
      </c>
      <c r="G46" s="9">
        <v>605.0</v>
      </c>
      <c r="H46" s="9">
        <v>165.0</v>
      </c>
      <c r="I46" s="9">
        <v>597.0</v>
      </c>
      <c r="J46" s="9">
        <v>87.0</v>
      </c>
      <c r="K46" s="9">
        <v>484.0</v>
      </c>
      <c r="L46" s="9">
        <v>105.0</v>
      </c>
      <c r="M46" s="9">
        <v>527.0</v>
      </c>
      <c r="N46" s="9">
        <v>511.0</v>
      </c>
      <c r="O46" s="9">
        <v>341.0</v>
      </c>
      <c r="P46" s="9">
        <v>170.0</v>
      </c>
      <c r="Q46" s="9">
        <v>1503.0</v>
      </c>
      <c r="R46" s="9">
        <v>0.0</v>
      </c>
      <c r="S46" s="9">
        <v>100.0</v>
      </c>
      <c r="T46" s="9">
        <v>144.0</v>
      </c>
      <c r="U46" s="9">
        <v>419.0</v>
      </c>
      <c r="V46" s="9">
        <v>155.0</v>
      </c>
      <c r="W46" s="9">
        <v>166.0</v>
      </c>
      <c r="X46" s="9">
        <v>131.0</v>
      </c>
      <c r="Y46" s="9">
        <v>171.0</v>
      </c>
      <c r="Z46" s="9">
        <v>217.0</v>
      </c>
      <c r="AA46" s="9">
        <v>4898.0</v>
      </c>
      <c r="AB46" s="9">
        <v>15.0</v>
      </c>
      <c r="AC46" s="9">
        <v>4800.0</v>
      </c>
      <c r="AD46" s="9">
        <v>83.0</v>
      </c>
      <c r="AE46" s="9">
        <v>263.0</v>
      </c>
      <c r="AF46" s="9">
        <v>4.0</v>
      </c>
      <c r="AG46" s="9">
        <v>236.0</v>
      </c>
      <c r="AH46" s="9">
        <v>23.0</v>
      </c>
      <c r="AI46" s="9">
        <v>9078.0</v>
      </c>
      <c r="AJ46" s="9">
        <v>2007.0</v>
      </c>
      <c r="AK46" s="9">
        <v>795.0</v>
      </c>
      <c r="AL46" s="9">
        <v>404.0</v>
      </c>
      <c r="AM46" s="9">
        <v>1937.0</v>
      </c>
      <c r="AN46" s="9">
        <v>623.0</v>
      </c>
      <c r="AO46" s="9">
        <v>746.0</v>
      </c>
      <c r="AP46" s="9">
        <v>869.0</v>
      </c>
      <c r="AQ46" s="9">
        <v>719.0</v>
      </c>
      <c r="AR46" s="9">
        <v>978.0</v>
      </c>
      <c r="AS46" s="9">
        <v>10610.0</v>
      </c>
      <c r="AT46" s="9">
        <v>159.0</v>
      </c>
      <c r="AU46" s="9">
        <v>1119.0</v>
      </c>
      <c r="AV46" s="9">
        <v>319.0</v>
      </c>
      <c r="AW46" s="9">
        <v>1770.0</v>
      </c>
      <c r="AX46" s="9">
        <v>2319.0</v>
      </c>
      <c r="AY46" s="9">
        <v>1208.0</v>
      </c>
      <c r="AZ46" s="9">
        <v>1264.0</v>
      </c>
      <c r="BA46" s="9">
        <v>601.0</v>
      </c>
      <c r="BB46" s="9">
        <v>1851.0</v>
      </c>
      <c r="BC46" s="9">
        <v>36813.0</v>
      </c>
      <c r="BD46" s="9">
        <v>2037.0</v>
      </c>
      <c r="BE46" s="9">
        <v>4107.0</v>
      </c>
      <c r="BF46" s="9">
        <v>606.0</v>
      </c>
      <c r="BG46" s="9">
        <v>4567.0</v>
      </c>
      <c r="BH46" s="9">
        <v>5882.0</v>
      </c>
      <c r="BI46" s="9">
        <v>3724.0</v>
      </c>
      <c r="BJ46" s="9">
        <v>5100.0</v>
      </c>
      <c r="BK46" s="9">
        <v>8243.0</v>
      </c>
      <c r="BL46" s="9">
        <v>2547.0</v>
      </c>
      <c r="BM46" s="9">
        <v>11055.0</v>
      </c>
      <c r="BN46" s="9">
        <v>225.0</v>
      </c>
      <c r="BO46" s="9">
        <v>495.0</v>
      </c>
      <c r="BP46" s="9">
        <v>343.0</v>
      </c>
      <c r="BQ46" s="9">
        <v>1802.0</v>
      </c>
      <c r="BR46" s="9">
        <v>610.0</v>
      </c>
      <c r="BS46" s="9">
        <v>1892.0</v>
      </c>
      <c r="BT46" s="9">
        <v>1241.0</v>
      </c>
      <c r="BU46" s="9">
        <v>4447.0</v>
      </c>
      <c r="BV46" s="9">
        <v>751.0</v>
      </c>
      <c r="BW46" s="9">
        <v>31.0</v>
      </c>
      <c r="BX46" s="9">
        <v>9.0</v>
      </c>
      <c r="BY46" s="9">
        <v>0.0</v>
      </c>
      <c r="BZ46" s="9">
        <v>643.0</v>
      </c>
      <c r="CA46" s="9">
        <v>68.0</v>
      </c>
      <c r="CB46" s="9">
        <v>78401.0</v>
      </c>
    </row>
    <row r="47" ht="15.75" customHeight="1">
      <c r="A47" s="9" t="s">
        <v>169</v>
      </c>
      <c r="B47" s="9" t="s">
        <v>196</v>
      </c>
      <c r="C47" s="9">
        <v>3192.0</v>
      </c>
      <c r="D47" s="9">
        <v>120.0</v>
      </c>
      <c r="E47" s="9">
        <v>69.0</v>
      </c>
      <c r="F47" s="9">
        <v>193.0</v>
      </c>
      <c r="G47" s="9">
        <v>631.0</v>
      </c>
      <c r="H47" s="9">
        <v>204.0</v>
      </c>
      <c r="I47" s="9">
        <v>590.0</v>
      </c>
      <c r="J47" s="9">
        <v>90.0</v>
      </c>
      <c r="K47" s="9">
        <v>582.0</v>
      </c>
      <c r="L47" s="9">
        <v>134.0</v>
      </c>
      <c r="M47" s="9">
        <v>579.0</v>
      </c>
      <c r="N47" s="9">
        <v>544.0</v>
      </c>
      <c r="O47" s="9">
        <v>401.0</v>
      </c>
      <c r="P47" s="9">
        <v>143.0</v>
      </c>
      <c r="Q47" s="9">
        <v>1562.0</v>
      </c>
      <c r="R47" s="9">
        <v>1.0</v>
      </c>
      <c r="S47" s="9">
        <v>91.0</v>
      </c>
      <c r="T47" s="9">
        <v>130.0</v>
      </c>
      <c r="U47" s="9">
        <v>462.0</v>
      </c>
      <c r="V47" s="9">
        <v>124.0</v>
      </c>
      <c r="W47" s="9">
        <v>149.0</v>
      </c>
      <c r="X47" s="9">
        <v>165.0</v>
      </c>
      <c r="Y47" s="9">
        <v>199.0</v>
      </c>
      <c r="Z47" s="9">
        <v>241.0</v>
      </c>
      <c r="AA47" s="9">
        <v>5023.0</v>
      </c>
      <c r="AB47" s="9">
        <v>13.0</v>
      </c>
      <c r="AC47" s="9">
        <v>4916.0</v>
      </c>
      <c r="AD47" s="9">
        <v>94.0</v>
      </c>
      <c r="AE47" s="9">
        <v>270.0</v>
      </c>
      <c r="AF47" s="9">
        <v>9.0</v>
      </c>
      <c r="AG47" s="9">
        <v>240.0</v>
      </c>
      <c r="AH47" s="9">
        <v>21.0</v>
      </c>
      <c r="AI47" s="9">
        <v>9400.0</v>
      </c>
      <c r="AJ47" s="9">
        <v>2070.0</v>
      </c>
      <c r="AK47" s="9">
        <v>634.0</v>
      </c>
      <c r="AL47" s="9">
        <v>425.0</v>
      </c>
      <c r="AM47" s="9">
        <v>2215.0</v>
      </c>
      <c r="AN47" s="9">
        <v>676.0</v>
      </c>
      <c r="AO47" s="9">
        <v>661.0</v>
      </c>
      <c r="AP47" s="9">
        <v>926.0</v>
      </c>
      <c r="AQ47" s="9">
        <v>754.0</v>
      </c>
      <c r="AR47" s="9">
        <v>1039.0</v>
      </c>
      <c r="AS47" s="9">
        <v>11533.0</v>
      </c>
      <c r="AT47" s="9">
        <v>159.0</v>
      </c>
      <c r="AU47" s="9">
        <v>1143.0</v>
      </c>
      <c r="AV47" s="9">
        <v>368.0</v>
      </c>
      <c r="AW47" s="9">
        <v>1833.0</v>
      </c>
      <c r="AX47" s="9">
        <v>2385.0</v>
      </c>
      <c r="AY47" s="9">
        <v>1336.0</v>
      </c>
      <c r="AZ47" s="9">
        <v>1466.0</v>
      </c>
      <c r="BA47" s="9">
        <v>692.0</v>
      </c>
      <c r="BB47" s="9">
        <v>2151.0</v>
      </c>
      <c r="BC47" s="9">
        <v>38694.0</v>
      </c>
      <c r="BD47" s="9">
        <v>1952.0</v>
      </c>
      <c r="BE47" s="9">
        <v>4032.0</v>
      </c>
      <c r="BF47" s="9">
        <v>596.0</v>
      </c>
      <c r="BG47" s="9">
        <v>5040.0</v>
      </c>
      <c r="BH47" s="9">
        <v>6496.0</v>
      </c>
      <c r="BI47" s="9">
        <v>3764.0</v>
      </c>
      <c r="BJ47" s="9">
        <v>5085.0</v>
      </c>
      <c r="BK47" s="9">
        <v>9590.0</v>
      </c>
      <c r="BL47" s="9">
        <v>2139.0</v>
      </c>
      <c r="BM47" s="9">
        <v>12286.0</v>
      </c>
      <c r="BN47" s="9">
        <v>258.0</v>
      </c>
      <c r="BO47" s="9">
        <v>613.0</v>
      </c>
      <c r="BP47" s="9">
        <v>358.0</v>
      </c>
      <c r="BQ47" s="9">
        <v>2049.0</v>
      </c>
      <c r="BR47" s="9">
        <v>658.0</v>
      </c>
      <c r="BS47" s="9">
        <v>2138.0</v>
      </c>
      <c r="BT47" s="9">
        <v>1315.0</v>
      </c>
      <c r="BU47" s="9">
        <v>4897.0</v>
      </c>
      <c r="BV47" s="9">
        <v>917.0</v>
      </c>
      <c r="BW47" s="9">
        <v>37.0</v>
      </c>
      <c r="BX47" s="9">
        <v>9.0</v>
      </c>
      <c r="BY47" s="9">
        <v>0.0</v>
      </c>
      <c r="BZ47" s="9">
        <v>796.0</v>
      </c>
      <c r="CA47" s="9">
        <v>75.0</v>
      </c>
      <c r="CB47" s="9">
        <v>83421.0</v>
      </c>
    </row>
    <row r="48" ht="15.75" customHeight="1">
      <c r="A48" s="9" t="s">
        <v>170</v>
      </c>
      <c r="B48" s="9" t="s">
        <v>196</v>
      </c>
      <c r="C48" s="9">
        <v>3663.0</v>
      </c>
      <c r="D48" s="9">
        <v>120.0</v>
      </c>
      <c r="E48" s="9">
        <v>59.0</v>
      </c>
      <c r="F48" s="9">
        <v>239.0</v>
      </c>
      <c r="G48" s="9">
        <v>729.0</v>
      </c>
      <c r="H48" s="9">
        <v>230.0</v>
      </c>
      <c r="I48" s="9">
        <v>666.0</v>
      </c>
      <c r="J48" s="9">
        <v>104.0</v>
      </c>
      <c r="K48" s="9">
        <v>678.0</v>
      </c>
      <c r="L48" s="9">
        <v>155.0</v>
      </c>
      <c r="M48" s="9">
        <v>683.0</v>
      </c>
      <c r="N48" s="9">
        <v>589.0</v>
      </c>
      <c r="O48" s="9">
        <v>434.0</v>
      </c>
      <c r="P48" s="9">
        <v>155.0</v>
      </c>
      <c r="Q48" s="9">
        <v>1624.0</v>
      </c>
      <c r="R48" s="9">
        <v>0.0</v>
      </c>
      <c r="S48" s="9">
        <v>64.0</v>
      </c>
      <c r="T48" s="9">
        <v>118.0</v>
      </c>
      <c r="U48" s="9">
        <v>480.0</v>
      </c>
      <c r="V48" s="9">
        <v>173.0</v>
      </c>
      <c r="W48" s="9">
        <v>139.0</v>
      </c>
      <c r="X48" s="9">
        <v>191.0</v>
      </c>
      <c r="Y48" s="9">
        <v>200.0</v>
      </c>
      <c r="Z48" s="9">
        <v>259.0</v>
      </c>
      <c r="AA48" s="9">
        <v>4323.0</v>
      </c>
      <c r="AB48" s="9">
        <v>28.0</v>
      </c>
      <c r="AC48" s="9">
        <v>4223.0</v>
      </c>
      <c r="AD48" s="9">
        <v>72.0</v>
      </c>
      <c r="AE48" s="9">
        <v>268.0</v>
      </c>
      <c r="AF48" s="9">
        <v>6.0</v>
      </c>
      <c r="AG48" s="9">
        <v>238.0</v>
      </c>
      <c r="AH48" s="9">
        <v>24.0</v>
      </c>
      <c r="AI48" s="9">
        <v>11037.0</v>
      </c>
      <c r="AJ48" s="9">
        <v>2265.0</v>
      </c>
      <c r="AK48" s="9">
        <v>779.0</v>
      </c>
      <c r="AL48" s="9">
        <v>472.0</v>
      </c>
      <c r="AM48" s="9">
        <v>2843.0</v>
      </c>
      <c r="AN48" s="9">
        <v>825.0</v>
      </c>
      <c r="AO48" s="9">
        <v>775.0</v>
      </c>
      <c r="AP48" s="9">
        <v>1010.0</v>
      </c>
      <c r="AQ48" s="9">
        <v>871.0</v>
      </c>
      <c r="AR48" s="9">
        <v>1197.0</v>
      </c>
      <c r="AS48" s="9">
        <v>13019.0</v>
      </c>
      <c r="AT48" s="9">
        <v>137.0</v>
      </c>
      <c r="AU48" s="9">
        <v>1318.0</v>
      </c>
      <c r="AV48" s="9">
        <v>419.0</v>
      </c>
      <c r="AW48" s="9">
        <v>2092.0</v>
      </c>
      <c r="AX48" s="9">
        <v>2600.0</v>
      </c>
      <c r="AY48" s="9">
        <v>1555.0</v>
      </c>
      <c r="AZ48" s="9">
        <v>1609.0</v>
      </c>
      <c r="BA48" s="9">
        <v>874.0</v>
      </c>
      <c r="BB48" s="9">
        <v>2415.0</v>
      </c>
      <c r="BC48" s="9">
        <v>44333.0</v>
      </c>
      <c r="BD48" s="9">
        <v>2163.0</v>
      </c>
      <c r="BE48" s="9">
        <v>4455.0</v>
      </c>
      <c r="BF48" s="9">
        <v>531.0</v>
      </c>
      <c r="BG48" s="9">
        <v>5855.0</v>
      </c>
      <c r="BH48" s="9">
        <v>7089.0</v>
      </c>
      <c r="BI48" s="9">
        <v>4140.0</v>
      </c>
      <c r="BJ48" s="9">
        <v>5716.0</v>
      </c>
      <c r="BK48" s="9">
        <v>11724.0</v>
      </c>
      <c r="BL48" s="9">
        <v>2660.0</v>
      </c>
      <c r="BM48" s="9">
        <v>14555.0</v>
      </c>
      <c r="BN48" s="9">
        <v>309.0</v>
      </c>
      <c r="BO48" s="9">
        <v>751.0</v>
      </c>
      <c r="BP48" s="9">
        <v>360.0</v>
      </c>
      <c r="BQ48" s="9">
        <v>2419.0</v>
      </c>
      <c r="BR48" s="9">
        <v>780.0</v>
      </c>
      <c r="BS48" s="9">
        <v>2457.0</v>
      </c>
      <c r="BT48" s="9">
        <v>1421.0</v>
      </c>
      <c r="BU48" s="9">
        <v>6058.0</v>
      </c>
      <c r="BV48" s="9">
        <v>3369.0</v>
      </c>
      <c r="BW48" s="9">
        <v>43.0</v>
      </c>
      <c r="BX48" s="9">
        <v>4.0</v>
      </c>
      <c r="BY48" s="9">
        <v>0.0</v>
      </c>
      <c r="BZ48" s="9">
        <v>3174.0</v>
      </c>
      <c r="CA48" s="9">
        <v>148.0</v>
      </c>
      <c r="CB48" s="9">
        <v>96780.0</v>
      </c>
    </row>
    <row r="49" ht="15.75" customHeight="1">
      <c r="A49" s="9" t="s">
        <v>171</v>
      </c>
      <c r="B49" s="9" t="s">
        <v>196</v>
      </c>
      <c r="C49" s="9">
        <v>3844.0</v>
      </c>
      <c r="D49" s="9">
        <v>125.0</v>
      </c>
      <c r="E49" s="9">
        <v>98.0</v>
      </c>
      <c r="F49" s="9">
        <v>274.0</v>
      </c>
      <c r="G49" s="9">
        <v>779.0</v>
      </c>
      <c r="H49" s="9">
        <v>253.0</v>
      </c>
      <c r="I49" s="9">
        <v>742.0</v>
      </c>
      <c r="J49" s="9">
        <v>106.0</v>
      </c>
      <c r="K49" s="9">
        <v>630.0</v>
      </c>
      <c r="L49" s="9">
        <v>144.0</v>
      </c>
      <c r="M49" s="9">
        <v>693.0</v>
      </c>
      <c r="N49" s="9">
        <v>672.0</v>
      </c>
      <c r="O49" s="9">
        <v>496.0</v>
      </c>
      <c r="P49" s="9">
        <v>176.0</v>
      </c>
      <c r="Q49" s="9">
        <v>1621.0</v>
      </c>
      <c r="R49" s="9">
        <v>0.0</v>
      </c>
      <c r="S49" s="9">
        <v>68.0</v>
      </c>
      <c r="T49" s="9">
        <v>104.0</v>
      </c>
      <c r="U49" s="9">
        <v>486.0</v>
      </c>
      <c r="V49" s="9">
        <v>203.0</v>
      </c>
      <c r="W49" s="9">
        <v>139.0</v>
      </c>
      <c r="X49" s="9">
        <v>157.0</v>
      </c>
      <c r="Y49" s="9">
        <v>182.0</v>
      </c>
      <c r="Z49" s="9">
        <v>282.0</v>
      </c>
      <c r="AA49" s="9">
        <v>5909.0</v>
      </c>
      <c r="AB49" s="9">
        <v>26.0</v>
      </c>
      <c r="AC49" s="9">
        <v>5797.0</v>
      </c>
      <c r="AD49" s="9">
        <v>86.0</v>
      </c>
      <c r="AE49" s="9">
        <v>284.0</v>
      </c>
      <c r="AF49" s="9">
        <v>6.0</v>
      </c>
      <c r="AG49" s="9">
        <v>244.0</v>
      </c>
      <c r="AH49" s="9">
        <v>34.0</v>
      </c>
      <c r="AI49" s="9">
        <v>11762.0</v>
      </c>
      <c r="AJ49" s="9">
        <v>2557.0</v>
      </c>
      <c r="AK49" s="9">
        <v>660.0</v>
      </c>
      <c r="AL49" s="9">
        <v>500.0</v>
      </c>
      <c r="AM49" s="9">
        <v>3212.0</v>
      </c>
      <c r="AN49" s="9">
        <v>884.0</v>
      </c>
      <c r="AO49" s="9">
        <v>746.0</v>
      </c>
      <c r="AP49" s="9">
        <v>1041.0</v>
      </c>
      <c r="AQ49" s="9">
        <v>901.0</v>
      </c>
      <c r="AR49" s="9">
        <v>1261.0</v>
      </c>
      <c r="AS49" s="9">
        <v>12934.0</v>
      </c>
      <c r="AT49" s="9">
        <v>159.0</v>
      </c>
      <c r="AU49" s="9">
        <v>1231.0</v>
      </c>
      <c r="AV49" s="9">
        <v>510.0</v>
      </c>
      <c r="AW49" s="9">
        <v>2186.0</v>
      </c>
      <c r="AX49" s="9">
        <v>2579.0</v>
      </c>
      <c r="AY49" s="9">
        <v>1678.0</v>
      </c>
      <c r="AZ49" s="9">
        <v>1413.0</v>
      </c>
      <c r="BA49" s="9">
        <v>794.0</v>
      </c>
      <c r="BB49" s="9">
        <v>2384.0</v>
      </c>
      <c r="BC49" s="9">
        <v>47801.0</v>
      </c>
      <c r="BD49" s="9">
        <v>2363.0</v>
      </c>
      <c r="BE49" s="9">
        <v>4063.0</v>
      </c>
      <c r="BF49" s="9">
        <v>436.0</v>
      </c>
      <c r="BG49" s="9">
        <v>5355.0</v>
      </c>
      <c r="BH49" s="9">
        <v>7199.0</v>
      </c>
      <c r="BI49" s="9">
        <v>5907.0</v>
      </c>
      <c r="BJ49" s="9">
        <v>5897.0</v>
      </c>
      <c r="BK49" s="9">
        <v>12373.0</v>
      </c>
      <c r="BL49" s="9">
        <v>4208.0</v>
      </c>
      <c r="BM49" s="9">
        <v>14513.0</v>
      </c>
      <c r="BN49" s="9">
        <v>325.0</v>
      </c>
      <c r="BO49" s="9">
        <v>893.0</v>
      </c>
      <c r="BP49" s="9">
        <v>382.0</v>
      </c>
      <c r="BQ49" s="9">
        <v>2573.0</v>
      </c>
      <c r="BR49" s="9">
        <v>782.0</v>
      </c>
      <c r="BS49" s="9">
        <v>2494.0</v>
      </c>
      <c r="BT49" s="9">
        <v>1447.0</v>
      </c>
      <c r="BU49" s="9">
        <v>5617.0</v>
      </c>
      <c r="BV49" s="9">
        <v>2166.0</v>
      </c>
      <c r="BW49" s="9">
        <v>37.0</v>
      </c>
      <c r="BX49" s="9">
        <v>7.0</v>
      </c>
      <c r="BY49" s="9">
        <v>5.0</v>
      </c>
      <c r="BZ49" s="9">
        <v>2005.0</v>
      </c>
      <c r="CA49" s="9">
        <v>112.0</v>
      </c>
      <c r="CB49" s="9">
        <v>101506.0</v>
      </c>
    </row>
    <row r="50" ht="15.75" customHeight="1">
      <c r="A50" s="9" t="s">
        <v>172</v>
      </c>
      <c r="B50" s="9" t="s">
        <v>196</v>
      </c>
      <c r="C50" s="9">
        <v>4078.0</v>
      </c>
      <c r="D50" s="9">
        <v>97.0</v>
      </c>
      <c r="E50" s="9">
        <v>162.0</v>
      </c>
      <c r="F50" s="9">
        <v>277.0</v>
      </c>
      <c r="G50" s="9">
        <v>803.0</v>
      </c>
      <c r="H50" s="9">
        <v>296.0</v>
      </c>
      <c r="I50" s="9">
        <v>744.0</v>
      </c>
      <c r="J50" s="9">
        <v>118.0</v>
      </c>
      <c r="K50" s="9">
        <v>602.0</v>
      </c>
      <c r="L50" s="9">
        <v>152.0</v>
      </c>
      <c r="M50" s="9">
        <v>827.0</v>
      </c>
      <c r="N50" s="9">
        <v>797.0</v>
      </c>
      <c r="O50" s="9">
        <v>611.0</v>
      </c>
      <c r="P50" s="9">
        <v>186.0</v>
      </c>
      <c r="Q50" s="9">
        <v>2038.0</v>
      </c>
      <c r="R50" s="9">
        <v>0.0</v>
      </c>
      <c r="S50" s="9">
        <v>91.0</v>
      </c>
      <c r="T50" s="9">
        <v>117.0</v>
      </c>
      <c r="U50" s="9">
        <v>666.0</v>
      </c>
      <c r="V50" s="9">
        <v>337.0</v>
      </c>
      <c r="W50" s="9">
        <v>146.0</v>
      </c>
      <c r="X50" s="9">
        <v>176.0</v>
      </c>
      <c r="Y50" s="9">
        <v>233.0</v>
      </c>
      <c r="Z50" s="9">
        <v>272.0</v>
      </c>
      <c r="AA50" s="9">
        <v>9493.0</v>
      </c>
      <c r="AB50" s="9">
        <v>16.0</v>
      </c>
      <c r="AC50" s="9">
        <v>9315.0</v>
      </c>
      <c r="AD50" s="9">
        <v>162.0</v>
      </c>
      <c r="AE50" s="9">
        <v>281.0</v>
      </c>
      <c r="AF50" s="9">
        <v>9.0</v>
      </c>
      <c r="AG50" s="9">
        <v>237.0</v>
      </c>
      <c r="AH50" s="9">
        <v>35.0</v>
      </c>
      <c r="AI50" s="9">
        <v>13313.0</v>
      </c>
      <c r="AJ50" s="9">
        <v>2904.0</v>
      </c>
      <c r="AK50" s="9">
        <v>745.0</v>
      </c>
      <c r="AL50" s="9">
        <v>546.0</v>
      </c>
      <c r="AM50" s="9">
        <v>4002.0</v>
      </c>
      <c r="AN50" s="9">
        <v>954.0</v>
      </c>
      <c r="AO50" s="9">
        <v>729.0</v>
      </c>
      <c r="AP50" s="9">
        <v>1141.0</v>
      </c>
      <c r="AQ50" s="9">
        <v>974.0</v>
      </c>
      <c r="AR50" s="9">
        <v>1318.0</v>
      </c>
      <c r="AS50" s="9">
        <v>14165.0</v>
      </c>
      <c r="AT50" s="9">
        <v>177.0</v>
      </c>
      <c r="AU50" s="9">
        <v>1312.0</v>
      </c>
      <c r="AV50" s="9">
        <v>571.0</v>
      </c>
      <c r="AW50" s="9">
        <v>2467.0</v>
      </c>
      <c r="AX50" s="9">
        <v>2662.0</v>
      </c>
      <c r="AY50" s="9">
        <v>1940.0</v>
      </c>
      <c r="AZ50" s="9">
        <v>1506.0</v>
      </c>
      <c r="BA50" s="9">
        <v>846.0</v>
      </c>
      <c r="BB50" s="9">
        <v>2684.0</v>
      </c>
      <c r="BC50" s="9">
        <v>54474.0</v>
      </c>
      <c r="BD50" s="9">
        <v>2721.0</v>
      </c>
      <c r="BE50" s="9">
        <v>3972.0</v>
      </c>
      <c r="BF50" s="9">
        <v>435.0</v>
      </c>
      <c r="BG50" s="9">
        <v>5576.0</v>
      </c>
      <c r="BH50" s="9">
        <v>8498.0</v>
      </c>
      <c r="BI50" s="9">
        <v>8231.0</v>
      </c>
      <c r="BJ50" s="9">
        <v>6765.0</v>
      </c>
      <c r="BK50" s="9">
        <v>14122.0</v>
      </c>
      <c r="BL50" s="9">
        <v>4154.0</v>
      </c>
      <c r="BM50" s="9">
        <v>16451.0</v>
      </c>
      <c r="BN50" s="9">
        <v>375.0</v>
      </c>
      <c r="BO50" s="9">
        <v>1110.0</v>
      </c>
      <c r="BP50" s="9">
        <v>454.0</v>
      </c>
      <c r="BQ50" s="9">
        <v>3058.0</v>
      </c>
      <c r="BR50" s="9">
        <v>903.0</v>
      </c>
      <c r="BS50" s="9">
        <v>2656.0</v>
      </c>
      <c r="BT50" s="9">
        <v>1597.0</v>
      </c>
      <c r="BU50" s="9">
        <v>6298.0</v>
      </c>
      <c r="BV50" s="9">
        <v>1849.0</v>
      </c>
      <c r="BW50" s="9">
        <v>59.0</v>
      </c>
      <c r="BX50" s="9">
        <v>9.0</v>
      </c>
      <c r="BY50" s="9">
        <v>1.0</v>
      </c>
      <c r="BZ50" s="9">
        <v>1646.0</v>
      </c>
      <c r="CA50" s="9">
        <v>134.0</v>
      </c>
      <c r="CB50" s="9">
        <v>116939.0</v>
      </c>
    </row>
    <row r="51" ht="15.75" customHeight="1">
      <c r="A51" s="9" t="s">
        <v>173</v>
      </c>
      <c r="B51" s="9" t="s">
        <v>196</v>
      </c>
      <c r="C51" s="9">
        <v>4459.0</v>
      </c>
      <c r="D51" s="9">
        <v>68.0</v>
      </c>
      <c r="E51" s="9">
        <v>175.0</v>
      </c>
      <c r="F51" s="9">
        <v>328.0</v>
      </c>
      <c r="G51" s="9">
        <v>905.0</v>
      </c>
      <c r="H51" s="9">
        <v>299.0</v>
      </c>
      <c r="I51" s="9">
        <v>798.0</v>
      </c>
      <c r="J51" s="9">
        <v>128.0</v>
      </c>
      <c r="K51" s="9">
        <v>604.0</v>
      </c>
      <c r="L51" s="9">
        <v>236.0</v>
      </c>
      <c r="M51" s="9">
        <v>918.0</v>
      </c>
      <c r="N51" s="9">
        <v>936.0</v>
      </c>
      <c r="O51" s="9">
        <v>719.0</v>
      </c>
      <c r="P51" s="9">
        <v>217.0</v>
      </c>
      <c r="Q51" s="9">
        <v>1740.0</v>
      </c>
      <c r="R51" s="9">
        <v>2.0</v>
      </c>
      <c r="S51" s="9">
        <v>41.0</v>
      </c>
      <c r="T51" s="9">
        <v>131.0</v>
      </c>
      <c r="U51" s="9">
        <v>435.0</v>
      </c>
      <c r="V51" s="9">
        <v>247.0</v>
      </c>
      <c r="W51" s="9">
        <v>145.0</v>
      </c>
      <c r="X51" s="9">
        <v>204.0</v>
      </c>
      <c r="Y51" s="9">
        <v>266.0</v>
      </c>
      <c r="Z51" s="9">
        <v>269.0</v>
      </c>
      <c r="AA51" s="9">
        <v>9944.0</v>
      </c>
      <c r="AB51" s="9">
        <v>12.0</v>
      </c>
      <c r="AC51" s="9">
        <v>9801.0</v>
      </c>
      <c r="AD51" s="9">
        <v>131.0</v>
      </c>
      <c r="AE51" s="9">
        <v>287.0</v>
      </c>
      <c r="AF51" s="9">
        <v>16.0</v>
      </c>
      <c r="AG51" s="9">
        <v>238.0</v>
      </c>
      <c r="AH51" s="9">
        <v>33.0</v>
      </c>
      <c r="AI51" s="9">
        <v>14584.0</v>
      </c>
      <c r="AJ51" s="9">
        <v>2694.0</v>
      </c>
      <c r="AK51" s="9">
        <v>1089.0</v>
      </c>
      <c r="AL51" s="9">
        <v>564.0</v>
      </c>
      <c r="AM51" s="9">
        <v>4618.0</v>
      </c>
      <c r="AN51" s="9">
        <v>1170.0</v>
      </c>
      <c r="AO51" s="9">
        <v>832.0</v>
      </c>
      <c r="AP51" s="9">
        <v>1197.0</v>
      </c>
      <c r="AQ51" s="9">
        <v>981.0</v>
      </c>
      <c r="AR51" s="9">
        <v>1439.0</v>
      </c>
      <c r="AS51" s="9">
        <v>14188.0</v>
      </c>
      <c r="AT51" s="9">
        <v>198.0</v>
      </c>
      <c r="AU51" s="9">
        <v>1530.0</v>
      </c>
      <c r="AV51" s="9">
        <v>532.0</v>
      </c>
      <c r="AW51" s="9">
        <v>2320.0</v>
      </c>
      <c r="AX51" s="9">
        <v>2515.0</v>
      </c>
      <c r="AY51" s="9">
        <v>1884.0</v>
      </c>
      <c r="AZ51" s="9">
        <v>1584.0</v>
      </c>
      <c r="BA51" s="9">
        <v>911.0</v>
      </c>
      <c r="BB51" s="9">
        <v>2714.0</v>
      </c>
      <c r="BC51" s="9">
        <v>52223.0</v>
      </c>
      <c r="BD51" s="9">
        <v>3056.0</v>
      </c>
      <c r="BE51" s="9">
        <v>3902.0</v>
      </c>
      <c r="BF51" s="9">
        <v>520.0</v>
      </c>
      <c r="BG51" s="9">
        <v>6114.0</v>
      </c>
      <c r="BH51" s="9">
        <v>7830.0</v>
      </c>
      <c r="BI51" s="9">
        <v>7056.0</v>
      </c>
      <c r="BJ51" s="9">
        <v>6614.0</v>
      </c>
      <c r="BK51" s="9">
        <v>14209.0</v>
      </c>
      <c r="BL51" s="9">
        <v>2922.0</v>
      </c>
      <c r="BM51" s="9">
        <v>17041.0</v>
      </c>
      <c r="BN51" s="9">
        <v>389.0</v>
      </c>
      <c r="BO51" s="9">
        <v>1129.0</v>
      </c>
      <c r="BP51" s="9">
        <v>477.0</v>
      </c>
      <c r="BQ51" s="9">
        <v>3168.0</v>
      </c>
      <c r="BR51" s="9">
        <v>939.0</v>
      </c>
      <c r="BS51" s="9">
        <v>2972.0</v>
      </c>
      <c r="BT51" s="9">
        <v>1613.0</v>
      </c>
      <c r="BU51" s="9">
        <v>6354.0</v>
      </c>
      <c r="BV51" s="9">
        <v>2343.0</v>
      </c>
      <c r="BW51" s="9">
        <v>43.0</v>
      </c>
      <c r="BX51" s="9">
        <v>7.0</v>
      </c>
      <c r="BY51" s="9">
        <v>0.0</v>
      </c>
      <c r="BZ51" s="9">
        <v>2155.0</v>
      </c>
      <c r="CA51" s="9">
        <v>138.0</v>
      </c>
      <c r="CB51" s="9">
        <v>117745.0</v>
      </c>
    </row>
    <row r="52" ht="15.75" customHeight="1">
      <c r="A52" s="9" t="s">
        <v>174</v>
      </c>
      <c r="B52" s="9" t="s">
        <v>196</v>
      </c>
      <c r="C52" s="9">
        <v>4775.0</v>
      </c>
      <c r="D52" s="9">
        <v>85.0</v>
      </c>
      <c r="E52" s="9">
        <v>219.0</v>
      </c>
      <c r="F52" s="9">
        <v>296.0</v>
      </c>
      <c r="G52" s="9">
        <v>918.0</v>
      </c>
      <c r="H52" s="9">
        <v>302.0</v>
      </c>
      <c r="I52" s="9">
        <v>869.0</v>
      </c>
      <c r="J52" s="9">
        <v>151.0</v>
      </c>
      <c r="K52" s="9">
        <v>666.0</v>
      </c>
      <c r="L52" s="9">
        <v>302.0</v>
      </c>
      <c r="M52" s="9">
        <v>967.0</v>
      </c>
      <c r="N52" s="9">
        <v>965.0</v>
      </c>
      <c r="O52" s="9">
        <v>681.0</v>
      </c>
      <c r="P52" s="9">
        <v>284.0</v>
      </c>
      <c r="Q52" s="9">
        <v>1885.0</v>
      </c>
      <c r="R52" s="9">
        <v>3.0</v>
      </c>
      <c r="S52" s="9">
        <v>45.0</v>
      </c>
      <c r="T52" s="9">
        <v>122.0</v>
      </c>
      <c r="U52" s="9">
        <v>561.0</v>
      </c>
      <c r="V52" s="9">
        <v>251.0</v>
      </c>
      <c r="W52" s="9">
        <v>163.0</v>
      </c>
      <c r="X52" s="9">
        <v>206.0</v>
      </c>
      <c r="Y52" s="9">
        <v>251.0</v>
      </c>
      <c r="Z52" s="9">
        <v>283.0</v>
      </c>
      <c r="AA52" s="9">
        <v>9306.0</v>
      </c>
      <c r="AB52" s="9">
        <v>22.0</v>
      </c>
      <c r="AC52" s="9">
        <v>9163.0</v>
      </c>
      <c r="AD52" s="9">
        <v>121.0</v>
      </c>
      <c r="AE52" s="9">
        <v>341.0</v>
      </c>
      <c r="AF52" s="9">
        <v>18.0</v>
      </c>
      <c r="AG52" s="9">
        <v>283.0</v>
      </c>
      <c r="AH52" s="9">
        <v>40.0</v>
      </c>
      <c r="AI52" s="9">
        <v>14743.0</v>
      </c>
      <c r="AJ52" s="9">
        <v>2452.0</v>
      </c>
      <c r="AK52" s="9">
        <v>708.0</v>
      </c>
      <c r="AL52" s="9">
        <v>543.0</v>
      </c>
      <c r="AM52" s="9">
        <v>5198.0</v>
      </c>
      <c r="AN52" s="9">
        <v>1215.0</v>
      </c>
      <c r="AO52" s="9">
        <v>789.0</v>
      </c>
      <c r="AP52" s="9">
        <v>1299.0</v>
      </c>
      <c r="AQ52" s="9">
        <v>1028.0</v>
      </c>
      <c r="AR52" s="9">
        <v>1511.0</v>
      </c>
      <c r="AS52" s="9">
        <v>15600.0</v>
      </c>
      <c r="AT52" s="9">
        <v>215.0</v>
      </c>
      <c r="AU52" s="9">
        <v>1710.0</v>
      </c>
      <c r="AV52" s="9">
        <v>663.0</v>
      </c>
      <c r="AW52" s="9">
        <v>2441.0</v>
      </c>
      <c r="AX52" s="9">
        <v>2707.0</v>
      </c>
      <c r="AY52" s="9">
        <v>2087.0</v>
      </c>
      <c r="AZ52" s="9">
        <v>1837.0</v>
      </c>
      <c r="BA52" s="9">
        <v>955.0</v>
      </c>
      <c r="BB52" s="9">
        <v>2985.0</v>
      </c>
      <c r="BC52" s="9">
        <v>58456.0</v>
      </c>
      <c r="BD52" s="9">
        <v>3097.0</v>
      </c>
      <c r="BE52" s="9">
        <v>4456.0</v>
      </c>
      <c r="BF52" s="9">
        <v>601.0</v>
      </c>
      <c r="BG52" s="9">
        <v>6709.0</v>
      </c>
      <c r="BH52" s="9">
        <v>7961.0</v>
      </c>
      <c r="BI52" s="9">
        <v>6795.0</v>
      </c>
      <c r="BJ52" s="9">
        <v>6788.0</v>
      </c>
      <c r="BK52" s="9">
        <v>15832.0</v>
      </c>
      <c r="BL52" s="9">
        <v>6217.0</v>
      </c>
      <c r="BM52" s="9">
        <v>18388.0</v>
      </c>
      <c r="BN52" s="9">
        <v>419.0</v>
      </c>
      <c r="BO52" s="9">
        <v>1384.0</v>
      </c>
      <c r="BP52" s="9">
        <v>467.0</v>
      </c>
      <c r="BQ52" s="9">
        <v>3342.0</v>
      </c>
      <c r="BR52" s="9">
        <v>1033.0</v>
      </c>
      <c r="BS52" s="9">
        <v>2982.0</v>
      </c>
      <c r="BT52" s="9">
        <v>1556.0</v>
      </c>
      <c r="BU52" s="9">
        <v>7205.0</v>
      </c>
      <c r="BV52" s="9">
        <v>3204.0</v>
      </c>
      <c r="BW52" s="9">
        <v>40.0</v>
      </c>
      <c r="BX52" s="9">
        <v>8.0</v>
      </c>
      <c r="BY52" s="9">
        <v>0.0</v>
      </c>
      <c r="BZ52" s="9">
        <v>2513.0</v>
      </c>
      <c r="CA52" s="9">
        <v>643.0</v>
      </c>
      <c r="CB52" s="9">
        <v>127663.0</v>
      </c>
    </row>
    <row r="53" ht="15.75" customHeight="1">
      <c r="A53" s="9" t="s">
        <v>175</v>
      </c>
      <c r="B53" s="9" t="s">
        <v>196</v>
      </c>
      <c r="C53" s="9">
        <v>5171.0</v>
      </c>
      <c r="D53" s="9">
        <v>82.0</v>
      </c>
      <c r="E53" s="9">
        <v>234.0</v>
      </c>
      <c r="F53" s="9">
        <v>319.0</v>
      </c>
      <c r="G53" s="9">
        <v>949.0</v>
      </c>
      <c r="H53" s="9">
        <v>409.0</v>
      </c>
      <c r="I53" s="9">
        <v>957.0</v>
      </c>
      <c r="J53" s="9">
        <v>192.0</v>
      </c>
      <c r="K53" s="9">
        <v>670.0</v>
      </c>
      <c r="L53" s="9">
        <v>310.0</v>
      </c>
      <c r="M53" s="9">
        <v>1049.0</v>
      </c>
      <c r="N53" s="9">
        <v>959.0</v>
      </c>
      <c r="O53" s="9">
        <v>705.0</v>
      </c>
      <c r="P53" s="9">
        <v>254.0</v>
      </c>
      <c r="Q53" s="9">
        <v>1937.0</v>
      </c>
      <c r="R53" s="9">
        <v>2.0</v>
      </c>
      <c r="S53" s="9">
        <v>71.0</v>
      </c>
      <c r="T53" s="9">
        <v>133.0</v>
      </c>
      <c r="U53" s="9">
        <v>598.0</v>
      </c>
      <c r="V53" s="9">
        <v>233.0</v>
      </c>
      <c r="W53" s="9">
        <v>167.0</v>
      </c>
      <c r="X53" s="9">
        <v>189.0</v>
      </c>
      <c r="Y53" s="9">
        <v>270.0</v>
      </c>
      <c r="Z53" s="9">
        <v>274.0</v>
      </c>
      <c r="AA53" s="9">
        <v>10033.0</v>
      </c>
      <c r="AB53" s="9">
        <v>17.0</v>
      </c>
      <c r="AC53" s="9">
        <v>9917.0</v>
      </c>
      <c r="AD53" s="9">
        <v>99.0</v>
      </c>
      <c r="AE53" s="9">
        <v>357.0</v>
      </c>
      <c r="AF53" s="9">
        <v>25.0</v>
      </c>
      <c r="AG53" s="9">
        <v>290.0</v>
      </c>
      <c r="AH53" s="9">
        <v>42.0</v>
      </c>
      <c r="AI53" s="9">
        <v>14938.0</v>
      </c>
      <c r="AJ53" s="9">
        <v>2371.0</v>
      </c>
      <c r="AK53" s="9">
        <v>692.0</v>
      </c>
      <c r="AL53" s="9">
        <v>537.0</v>
      </c>
      <c r="AM53" s="9">
        <v>5526.0</v>
      </c>
      <c r="AN53" s="9">
        <v>1268.0</v>
      </c>
      <c r="AO53" s="9">
        <v>767.0</v>
      </c>
      <c r="AP53" s="9">
        <v>1279.0</v>
      </c>
      <c r="AQ53" s="9">
        <v>1040.0</v>
      </c>
      <c r="AR53" s="9">
        <v>1458.0</v>
      </c>
      <c r="AS53" s="9">
        <v>15804.0</v>
      </c>
      <c r="AT53" s="9">
        <v>174.0</v>
      </c>
      <c r="AU53" s="9">
        <v>1731.0</v>
      </c>
      <c r="AV53" s="9">
        <v>657.0</v>
      </c>
      <c r="AW53" s="9">
        <v>2475.0</v>
      </c>
      <c r="AX53" s="9">
        <v>2551.0</v>
      </c>
      <c r="AY53" s="9">
        <v>2054.0</v>
      </c>
      <c r="AZ53" s="9">
        <v>1998.0</v>
      </c>
      <c r="BA53" s="9">
        <v>1044.0</v>
      </c>
      <c r="BB53" s="9">
        <v>3120.0</v>
      </c>
      <c r="BC53" s="9">
        <v>59165.0</v>
      </c>
      <c r="BD53" s="9">
        <v>3011.0</v>
      </c>
      <c r="BE53" s="9">
        <v>4559.0</v>
      </c>
      <c r="BF53" s="9">
        <v>813.0</v>
      </c>
      <c r="BG53" s="9">
        <v>6956.0</v>
      </c>
      <c r="BH53" s="9">
        <v>7519.0</v>
      </c>
      <c r="BI53" s="9">
        <v>7028.0</v>
      </c>
      <c r="BJ53" s="9">
        <v>6897.0</v>
      </c>
      <c r="BK53" s="9">
        <v>17210.0</v>
      </c>
      <c r="BL53" s="9">
        <v>5172.0</v>
      </c>
      <c r="BM53" s="9">
        <v>18346.0</v>
      </c>
      <c r="BN53" s="9">
        <v>451.0</v>
      </c>
      <c r="BO53" s="9">
        <v>1515.0</v>
      </c>
      <c r="BP53" s="9">
        <v>469.0</v>
      </c>
      <c r="BQ53" s="9">
        <v>3363.0</v>
      </c>
      <c r="BR53" s="9">
        <v>917.0</v>
      </c>
      <c r="BS53" s="9">
        <v>3065.0</v>
      </c>
      <c r="BT53" s="9">
        <v>1378.0</v>
      </c>
      <c r="BU53" s="9">
        <v>7188.0</v>
      </c>
      <c r="BV53" s="9">
        <v>3265.0</v>
      </c>
      <c r="BW53" s="9">
        <v>29.0</v>
      </c>
      <c r="BX53" s="9">
        <v>2.0</v>
      </c>
      <c r="BY53" s="9">
        <v>0.0</v>
      </c>
      <c r="BZ53" s="9">
        <v>2913.0</v>
      </c>
      <c r="CA53" s="9">
        <v>321.0</v>
      </c>
      <c r="CB53" s="9">
        <v>129975.0</v>
      </c>
    </row>
    <row r="54" ht="15.75" customHeight="1">
      <c r="A54" s="9" t="s">
        <v>176</v>
      </c>
      <c r="B54" s="9" t="s">
        <v>196</v>
      </c>
      <c r="C54" s="9">
        <v>5270.0</v>
      </c>
      <c r="D54" s="9">
        <v>66.0</v>
      </c>
      <c r="E54" s="9">
        <v>285.0</v>
      </c>
      <c r="F54" s="9">
        <v>354.0</v>
      </c>
      <c r="G54" s="9">
        <v>920.0</v>
      </c>
      <c r="H54" s="9">
        <v>381.0</v>
      </c>
      <c r="I54" s="9">
        <v>1061.0</v>
      </c>
      <c r="J54" s="9">
        <v>174.0</v>
      </c>
      <c r="K54" s="9">
        <v>671.0</v>
      </c>
      <c r="L54" s="9">
        <v>267.0</v>
      </c>
      <c r="M54" s="9">
        <v>1091.0</v>
      </c>
      <c r="N54" s="9">
        <v>950.0</v>
      </c>
      <c r="O54" s="9">
        <v>785.0</v>
      </c>
      <c r="P54" s="9">
        <v>165.0</v>
      </c>
      <c r="Q54" s="9">
        <v>1889.0</v>
      </c>
      <c r="R54" s="9">
        <v>0.0</v>
      </c>
      <c r="S54" s="9">
        <v>64.0</v>
      </c>
      <c r="T54" s="9">
        <v>135.0</v>
      </c>
      <c r="U54" s="9">
        <v>601.0</v>
      </c>
      <c r="V54" s="9">
        <v>240.0</v>
      </c>
      <c r="W54" s="9">
        <v>155.0</v>
      </c>
      <c r="X54" s="9">
        <v>178.0</v>
      </c>
      <c r="Y54" s="9">
        <v>254.0</v>
      </c>
      <c r="Z54" s="9">
        <v>262.0</v>
      </c>
      <c r="AA54" s="9">
        <v>12865.0</v>
      </c>
      <c r="AB54" s="9">
        <v>18.0</v>
      </c>
      <c r="AC54" s="9">
        <v>12700.0</v>
      </c>
      <c r="AD54" s="9">
        <v>147.0</v>
      </c>
      <c r="AE54" s="9">
        <v>384.0</v>
      </c>
      <c r="AF54" s="9">
        <v>18.0</v>
      </c>
      <c r="AG54" s="9">
        <v>323.0</v>
      </c>
      <c r="AH54" s="9">
        <v>43.0</v>
      </c>
      <c r="AI54" s="9">
        <v>16363.0</v>
      </c>
      <c r="AJ54" s="9">
        <v>2572.0</v>
      </c>
      <c r="AK54" s="9">
        <v>725.0</v>
      </c>
      <c r="AL54" s="9">
        <v>531.0</v>
      </c>
      <c r="AM54" s="9">
        <v>6525.0</v>
      </c>
      <c r="AN54" s="9">
        <v>1295.0</v>
      </c>
      <c r="AO54" s="9">
        <v>883.0</v>
      </c>
      <c r="AP54" s="9">
        <v>1243.0</v>
      </c>
      <c r="AQ54" s="9">
        <v>1068.0</v>
      </c>
      <c r="AR54" s="9">
        <v>1521.0</v>
      </c>
      <c r="AS54" s="9">
        <v>16728.0</v>
      </c>
      <c r="AT54" s="9">
        <v>164.0</v>
      </c>
      <c r="AU54" s="9">
        <v>1767.0</v>
      </c>
      <c r="AV54" s="9">
        <v>666.0</v>
      </c>
      <c r="AW54" s="9">
        <v>2508.0</v>
      </c>
      <c r="AX54" s="9">
        <v>2483.0</v>
      </c>
      <c r="AY54" s="9">
        <v>2167.0</v>
      </c>
      <c r="AZ54" s="9">
        <v>2493.0</v>
      </c>
      <c r="BA54" s="9">
        <v>965.0</v>
      </c>
      <c r="BB54" s="9">
        <v>3515.0</v>
      </c>
      <c r="BC54" s="9">
        <v>64233.0</v>
      </c>
      <c r="BD54" s="9">
        <v>3121.0</v>
      </c>
      <c r="BE54" s="9">
        <v>5517.0</v>
      </c>
      <c r="BF54" s="9">
        <v>645.0</v>
      </c>
      <c r="BG54" s="9">
        <v>7720.0</v>
      </c>
      <c r="BH54" s="9">
        <v>8206.0</v>
      </c>
      <c r="BI54" s="9">
        <v>8514.0</v>
      </c>
      <c r="BJ54" s="9">
        <v>7517.0</v>
      </c>
      <c r="BK54" s="9">
        <v>18417.0</v>
      </c>
      <c r="BL54" s="9">
        <v>4576.0</v>
      </c>
      <c r="BM54" s="9">
        <v>19875.0</v>
      </c>
      <c r="BN54" s="9">
        <v>494.0</v>
      </c>
      <c r="BO54" s="9">
        <v>1799.0</v>
      </c>
      <c r="BP54" s="9">
        <v>528.0</v>
      </c>
      <c r="BQ54" s="9">
        <v>3625.0</v>
      </c>
      <c r="BR54" s="9">
        <v>961.0</v>
      </c>
      <c r="BS54" s="9">
        <v>3478.0</v>
      </c>
      <c r="BT54" s="9">
        <v>1337.0</v>
      </c>
      <c r="BU54" s="9">
        <v>7653.0</v>
      </c>
      <c r="BV54" s="9">
        <v>2708.0</v>
      </c>
      <c r="BW54" s="9">
        <v>29.0</v>
      </c>
      <c r="BX54" s="9">
        <v>7.0</v>
      </c>
      <c r="BY54" s="9">
        <v>17.0</v>
      </c>
      <c r="BZ54" s="9">
        <v>2453.0</v>
      </c>
      <c r="CA54" s="9">
        <v>202.0</v>
      </c>
      <c r="CB54" s="9">
        <v>141265.0</v>
      </c>
    </row>
    <row r="55" ht="15.75" customHeight="1">
      <c r="A55" s="9" t="s">
        <v>177</v>
      </c>
      <c r="B55" s="9" t="s">
        <v>196</v>
      </c>
      <c r="C55" s="9">
        <v>5770.0</v>
      </c>
      <c r="D55" s="9">
        <v>94.0</v>
      </c>
      <c r="E55" s="9">
        <v>364.0</v>
      </c>
      <c r="F55" s="9">
        <v>394.0</v>
      </c>
      <c r="G55" s="9">
        <v>987.0</v>
      </c>
      <c r="H55" s="9">
        <v>425.0</v>
      </c>
      <c r="I55" s="9">
        <v>1126.0</v>
      </c>
      <c r="J55" s="9">
        <v>182.0</v>
      </c>
      <c r="K55" s="9">
        <v>740.0</v>
      </c>
      <c r="L55" s="9">
        <v>286.0</v>
      </c>
      <c r="M55" s="9">
        <v>1172.0</v>
      </c>
      <c r="N55" s="9">
        <v>1032.0</v>
      </c>
      <c r="O55" s="9">
        <v>850.0</v>
      </c>
      <c r="P55" s="9">
        <v>182.0</v>
      </c>
      <c r="Q55" s="9">
        <v>1951.0</v>
      </c>
      <c r="R55" s="9">
        <v>0.0</v>
      </c>
      <c r="S55" s="9">
        <v>67.0</v>
      </c>
      <c r="T55" s="9">
        <v>152.0</v>
      </c>
      <c r="U55" s="9">
        <v>581.0</v>
      </c>
      <c r="V55" s="9">
        <v>236.0</v>
      </c>
      <c r="W55" s="9">
        <v>143.0</v>
      </c>
      <c r="X55" s="9">
        <v>179.0</v>
      </c>
      <c r="Y55" s="9">
        <v>333.0</v>
      </c>
      <c r="Z55" s="9">
        <v>260.0</v>
      </c>
      <c r="AA55" s="9">
        <v>17218.0</v>
      </c>
      <c r="AB55" s="9">
        <v>23.0</v>
      </c>
      <c r="AC55" s="9">
        <v>17040.0</v>
      </c>
      <c r="AD55" s="9">
        <v>155.0</v>
      </c>
      <c r="AE55" s="9">
        <v>368.0</v>
      </c>
      <c r="AF55" s="9">
        <v>19.0</v>
      </c>
      <c r="AG55" s="9">
        <v>305.0</v>
      </c>
      <c r="AH55" s="9">
        <v>44.0</v>
      </c>
      <c r="AI55" s="9">
        <v>18095.0</v>
      </c>
      <c r="AJ55" s="9">
        <v>2892.0</v>
      </c>
      <c r="AK55" s="9">
        <v>1034.0</v>
      </c>
      <c r="AL55" s="9">
        <v>537.0</v>
      </c>
      <c r="AM55" s="9">
        <v>7149.0</v>
      </c>
      <c r="AN55" s="9">
        <v>1430.0</v>
      </c>
      <c r="AO55" s="9">
        <v>1023.0</v>
      </c>
      <c r="AP55" s="9">
        <v>1334.0</v>
      </c>
      <c r="AQ55" s="9">
        <v>1111.0</v>
      </c>
      <c r="AR55" s="9">
        <v>1585.0</v>
      </c>
      <c r="AS55" s="9">
        <v>18139.0</v>
      </c>
      <c r="AT55" s="9">
        <v>140.0</v>
      </c>
      <c r="AU55" s="9">
        <v>1926.0</v>
      </c>
      <c r="AV55" s="9">
        <v>589.0</v>
      </c>
      <c r="AW55" s="9">
        <v>2564.0</v>
      </c>
      <c r="AX55" s="9">
        <v>2312.0</v>
      </c>
      <c r="AY55" s="9">
        <v>2132.0</v>
      </c>
      <c r="AZ55" s="9">
        <v>3453.0</v>
      </c>
      <c r="BA55" s="9">
        <v>1096.0</v>
      </c>
      <c r="BB55" s="9">
        <v>3927.0</v>
      </c>
      <c r="BC55" s="9">
        <v>68795.0</v>
      </c>
      <c r="BD55" s="9">
        <v>3503.0</v>
      </c>
      <c r="BE55" s="9">
        <v>6243.0</v>
      </c>
      <c r="BF55" s="9">
        <v>870.0</v>
      </c>
      <c r="BG55" s="9">
        <v>8156.0</v>
      </c>
      <c r="BH55" s="9">
        <v>8790.0</v>
      </c>
      <c r="BI55" s="9">
        <v>8528.0</v>
      </c>
      <c r="BJ55" s="9">
        <v>7791.0</v>
      </c>
      <c r="BK55" s="9">
        <v>20400.0</v>
      </c>
      <c r="BL55" s="9">
        <v>4514.0</v>
      </c>
      <c r="BM55" s="9">
        <v>21270.0</v>
      </c>
      <c r="BN55" s="9">
        <v>511.0</v>
      </c>
      <c r="BO55" s="9">
        <v>1962.0</v>
      </c>
      <c r="BP55" s="9">
        <v>562.0</v>
      </c>
      <c r="BQ55" s="9">
        <v>4085.0</v>
      </c>
      <c r="BR55" s="9">
        <v>1051.0</v>
      </c>
      <c r="BS55" s="9">
        <v>3686.0</v>
      </c>
      <c r="BT55" s="9">
        <v>1322.0</v>
      </c>
      <c r="BU55" s="9">
        <v>8091.0</v>
      </c>
      <c r="BV55" s="9">
        <v>2966.0</v>
      </c>
      <c r="BW55" s="9">
        <v>30.0</v>
      </c>
      <c r="BX55" s="9">
        <v>3.0</v>
      </c>
      <c r="BY55" s="9">
        <v>0.0</v>
      </c>
      <c r="BZ55" s="9">
        <v>2797.0</v>
      </c>
      <c r="CA55" s="9">
        <v>136.0</v>
      </c>
      <c r="CB55" s="9">
        <v>155604.0</v>
      </c>
    </row>
    <row r="56" ht="15.75" customHeight="1">
      <c r="A56" s="9" t="s">
        <v>178</v>
      </c>
      <c r="B56" s="9" t="s">
        <v>196</v>
      </c>
      <c r="C56" s="9">
        <v>6395.0</v>
      </c>
      <c r="D56" s="9">
        <v>124.0</v>
      </c>
      <c r="E56" s="9">
        <v>382.0</v>
      </c>
      <c r="F56" s="9">
        <v>440.0</v>
      </c>
      <c r="G56" s="9">
        <v>1132.0</v>
      </c>
      <c r="H56" s="9">
        <v>498.0</v>
      </c>
      <c r="I56" s="9">
        <v>1239.0</v>
      </c>
      <c r="J56" s="9">
        <v>187.0</v>
      </c>
      <c r="K56" s="9">
        <v>796.0</v>
      </c>
      <c r="L56" s="9">
        <v>357.0</v>
      </c>
      <c r="M56" s="9">
        <v>1240.0</v>
      </c>
      <c r="N56" s="9">
        <v>1279.0</v>
      </c>
      <c r="O56" s="9">
        <v>1047.0</v>
      </c>
      <c r="P56" s="9">
        <v>232.0</v>
      </c>
      <c r="Q56" s="9">
        <v>2216.0</v>
      </c>
      <c r="R56" s="9">
        <v>0.0</v>
      </c>
      <c r="S56" s="9">
        <v>63.0</v>
      </c>
      <c r="T56" s="9">
        <v>186.0</v>
      </c>
      <c r="U56" s="9">
        <v>549.0</v>
      </c>
      <c r="V56" s="9">
        <v>245.0</v>
      </c>
      <c r="W56" s="9">
        <v>149.0</v>
      </c>
      <c r="X56" s="9">
        <v>171.0</v>
      </c>
      <c r="Y56" s="9">
        <v>561.0</v>
      </c>
      <c r="Z56" s="9">
        <v>292.0</v>
      </c>
      <c r="AA56" s="9">
        <v>23182.0</v>
      </c>
      <c r="AB56" s="9">
        <v>19.0</v>
      </c>
      <c r="AC56" s="9">
        <v>22358.0</v>
      </c>
      <c r="AD56" s="9">
        <v>805.0</v>
      </c>
      <c r="AE56" s="9">
        <v>479.0</v>
      </c>
      <c r="AF56" s="9">
        <v>19.0</v>
      </c>
      <c r="AG56" s="9">
        <v>409.0</v>
      </c>
      <c r="AH56" s="9">
        <v>51.0</v>
      </c>
      <c r="AI56" s="9">
        <v>18979.0</v>
      </c>
      <c r="AJ56" s="9">
        <v>3200.0</v>
      </c>
      <c r="AK56" s="9">
        <v>1092.0</v>
      </c>
      <c r="AL56" s="9">
        <v>603.0</v>
      </c>
      <c r="AM56" s="9">
        <v>7280.0</v>
      </c>
      <c r="AN56" s="9">
        <v>1551.0</v>
      </c>
      <c r="AO56" s="9">
        <v>778.0</v>
      </c>
      <c r="AP56" s="9">
        <v>1527.0</v>
      </c>
      <c r="AQ56" s="9">
        <v>1218.0</v>
      </c>
      <c r="AR56" s="9">
        <v>1730.0</v>
      </c>
      <c r="AS56" s="9">
        <v>19444.0</v>
      </c>
      <c r="AT56" s="9">
        <v>146.0</v>
      </c>
      <c r="AU56" s="9">
        <v>2321.0</v>
      </c>
      <c r="AV56" s="9">
        <v>630.0</v>
      </c>
      <c r="AW56" s="9">
        <v>2627.0</v>
      </c>
      <c r="AX56" s="9">
        <v>2437.0</v>
      </c>
      <c r="AY56" s="9">
        <v>2266.0</v>
      </c>
      <c r="AZ56" s="9">
        <v>3297.0</v>
      </c>
      <c r="BA56" s="9">
        <v>1481.0</v>
      </c>
      <c r="BB56" s="9">
        <v>4239.0</v>
      </c>
      <c r="BC56" s="9">
        <v>74838.0</v>
      </c>
      <c r="BD56" s="9">
        <v>3661.0</v>
      </c>
      <c r="BE56" s="9">
        <v>6831.0</v>
      </c>
      <c r="BF56" s="9">
        <v>726.0</v>
      </c>
      <c r="BG56" s="9">
        <v>9314.0</v>
      </c>
      <c r="BH56" s="9">
        <v>9699.0</v>
      </c>
      <c r="BI56" s="9">
        <v>9771.0</v>
      </c>
      <c r="BJ56" s="9">
        <v>8427.0</v>
      </c>
      <c r="BK56" s="9">
        <v>21484.0</v>
      </c>
      <c r="BL56" s="9">
        <v>4925.0</v>
      </c>
      <c r="BM56" s="9">
        <v>23216.0</v>
      </c>
      <c r="BN56" s="9">
        <v>591.0</v>
      </c>
      <c r="BO56" s="9">
        <v>2249.0</v>
      </c>
      <c r="BP56" s="9">
        <v>599.0</v>
      </c>
      <c r="BQ56" s="9">
        <v>4352.0</v>
      </c>
      <c r="BR56" s="9">
        <v>1163.0</v>
      </c>
      <c r="BS56" s="9">
        <v>4061.0</v>
      </c>
      <c r="BT56" s="9">
        <v>1317.0</v>
      </c>
      <c r="BU56" s="9">
        <v>8884.0</v>
      </c>
      <c r="BV56" s="9">
        <v>5994.0</v>
      </c>
      <c r="BW56" s="9">
        <v>41.0</v>
      </c>
      <c r="BX56" s="9">
        <v>1.0</v>
      </c>
      <c r="BY56" s="9">
        <v>0.0</v>
      </c>
      <c r="BZ56" s="9">
        <v>5791.0</v>
      </c>
      <c r="CA56" s="9">
        <v>161.0</v>
      </c>
      <c r="CB56" s="9">
        <v>176022.0</v>
      </c>
    </row>
    <row r="57" ht="15.75" customHeight="1">
      <c r="A57" s="9" t="s">
        <v>179</v>
      </c>
      <c r="B57" s="9" t="s">
        <v>196</v>
      </c>
      <c r="C57" s="9">
        <v>7193.0</v>
      </c>
      <c r="D57" s="9">
        <v>108.0</v>
      </c>
      <c r="E57" s="9">
        <v>475.0</v>
      </c>
      <c r="F57" s="9">
        <v>483.0</v>
      </c>
      <c r="G57" s="9">
        <v>1153.0</v>
      </c>
      <c r="H57" s="9">
        <v>568.0</v>
      </c>
      <c r="I57" s="9">
        <v>1405.0</v>
      </c>
      <c r="J57" s="9">
        <v>225.0</v>
      </c>
      <c r="K57" s="9">
        <v>907.0</v>
      </c>
      <c r="L57" s="9">
        <v>508.0</v>
      </c>
      <c r="M57" s="9">
        <v>1361.0</v>
      </c>
      <c r="N57" s="9">
        <v>1431.0</v>
      </c>
      <c r="O57" s="9">
        <v>1210.0</v>
      </c>
      <c r="P57" s="9">
        <v>221.0</v>
      </c>
      <c r="Q57" s="9">
        <v>2472.0</v>
      </c>
      <c r="R57" s="9">
        <v>0.0</v>
      </c>
      <c r="S57" s="9">
        <v>71.0</v>
      </c>
      <c r="T57" s="9">
        <v>167.0</v>
      </c>
      <c r="U57" s="9">
        <v>642.0</v>
      </c>
      <c r="V57" s="9">
        <v>286.0</v>
      </c>
      <c r="W57" s="9">
        <v>141.0</v>
      </c>
      <c r="X57" s="9">
        <v>179.0</v>
      </c>
      <c r="Y57" s="9">
        <v>690.0</v>
      </c>
      <c r="Z57" s="9">
        <v>296.0</v>
      </c>
      <c r="AA57" s="9">
        <v>24444.0</v>
      </c>
      <c r="AB57" s="9">
        <v>19.0</v>
      </c>
      <c r="AC57" s="9">
        <v>23419.0</v>
      </c>
      <c r="AD57" s="9">
        <v>1006.0</v>
      </c>
      <c r="AE57" s="9">
        <v>534.0</v>
      </c>
      <c r="AF57" s="9">
        <v>29.0</v>
      </c>
      <c r="AG57" s="9">
        <v>455.0</v>
      </c>
      <c r="AH57" s="9">
        <v>50.0</v>
      </c>
      <c r="AI57" s="9">
        <v>20432.0</v>
      </c>
      <c r="AJ57" s="9">
        <v>3388.0</v>
      </c>
      <c r="AK57" s="9">
        <v>1072.0</v>
      </c>
      <c r="AL57" s="9">
        <v>599.0</v>
      </c>
      <c r="AM57" s="9">
        <v>7993.0</v>
      </c>
      <c r="AN57" s="9">
        <v>1609.0</v>
      </c>
      <c r="AO57" s="9">
        <v>924.0</v>
      </c>
      <c r="AP57" s="9">
        <v>1743.0</v>
      </c>
      <c r="AQ57" s="9">
        <v>1305.0</v>
      </c>
      <c r="AR57" s="9">
        <v>1799.0</v>
      </c>
      <c r="AS57" s="9">
        <v>21252.0</v>
      </c>
      <c r="AT57" s="9">
        <v>172.0</v>
      </c>
      <c r="AU57" s="9">
        <v>2460.0</v>
      </c>
      <c r="AV57" s="9">
        <v>647.0</v>
      </c>
      <c r="AW57" s="9">
        <v>2750.0</v>
      </c>
      <c r="AX57" s="9">
        <v>2473.0</v>
      </c>
      <c r="AY57" s="9">
        <v>2382.0</v>
      </c>
      <c r="AZ57" s="9">
        <v>3794.0</v>
      </c>
      <c r="BA57" s="9">
        <v>1880.0</v>
      </c>
      <c r="BB57" s="9">
        <v>4694.0</v>
      </c>
      <c r="BC57" s="9">
        <v>78962.0</v>
      </c>
      <c r="BD57" s="9">
        <v>3950.0</v>
      </c>
      <c r="BE57" s="9">
        <v>7087.0</v>
      </c>
      <c r="BF57" s="9">
        <v>809.0</v>
      </c>
      <c r="BG57" s="9">
        <v>9910.0</v>
      </c>
      <c r="BH57" s="9">
        <v>8979.0</v>
      </c>
      <c r="BI57" s="9">
        <v>10917.0</v>
      </c>
      <c r="BJ57" s="9">
        <v>8909.0</v>
      </c>
      <c r="BK57" s="9">
        <v>24309.0</v>
      </c>
      <c r="BL57" s="9">
        <v>4092.0</v>
      </c>
      <c r="BM57" s="9">
        <v>24485.0</v>
      </c>
      <c r="BN57" s="9">
        <v>662.0</v>
      </c>
      <c r="BO57" s="9">
        <v>2435.0</v>
      </c>
      <c r="BP57" s="9">
        <v>658.0</v>
      </c>
      <c r="BQ57" s="9">
        <v>4465.0</v>
      </c>
      <c r="BR57" s="9">
        <v>1170.0</v>
      </c>
      <c r="BS57" s="9">
        <v>4222.0</v>
      </c>
      <c r="BT57" s="9">
        <v>1346.0</v>
      </c>
      <c r="BU57" s="9">
        <v>9527.0</v>
      </c>
      <c r="BV57" s="9">
        <v>6577.0</v>
      </c>
      <c r="BW57" s="9">
        <v>38.0</v>
      </c>
      <c r="BX57" s="9">
        <v>3.0</v>
      </c>
      <c r="BY57" s="9">
        <v>0.0</v>
      </c>
      <c r="BZ57" s="9">
        <v>6128.0</v>
      </c>
      <c r="CA57" s="9">
        <v>408.0</v>
      </c>
      <c r="CB57" s="9">
        <v>187782.0</v>
      </c>
    </row>
    <row r="58" ht="15.75" customHeight="1">
      <c r="A58" s="9" t="s">
        <v>180</v>
      </c>
      <c r="B58" s="9" t="s">
        <v>196</v>
      </c>
      <c r="C58" s="9">
        <v>8282.0</v>
      </c>
      <c r="D58" s="9">
        <v>139.0</v>
      </c>
      <c r="E58" s="9">
        <v>491.0</v>
      </c>
      <c r="F58" s="9">
        <v>679.0</v>
      </c>
      <c r="G58" s="9">
        <v>1215.0</v>
      </c>
      <c r="H58" s="9">
        <v>764.0</v>
      </c>
      <c r="I58" s="9">
        <v>1655.0</v>
      </c>
      <c r="J58" s="9">
        <v>237.0</v>
      </c>
      <c r="K58" s="9">
        <v>1087.0</v>
      </c>
      <c r="L58" s="9">
        <v>566.0</v>
      </c>
      <c r="M58" s="9">
        <v>1449.0</v>
      </c>
      <c r="N58" s="9">
        <v>1657.0</v>
      </c>
      <c r="O58" s="9">
        <v>1470.0</v>
      </c>
      <c r="P58" s="9">
        <v>187.0</v>
      </c>
      <c r="Q58" s="9">
        <v>2876.0</v>
      </c>
      <c r="R58" s="9">
        <v>0.0</v>
      </c>
      <c r="S58" s="9">
        <v>58.0</v>
      </c>
      <c r="T58" s="9">
        <v>228.0</v>
      </c>
      <c r="U58" s="9">
        <v>662.0</v>
      </c>
      <c r="V58" s="9">
        <v>324.0</v>
      </c>
      <c r="W58" s="9">
        <v>140.0</v>
      </c>
      <c r="X58" s="9">
        <v>547.0</v>
      </c>
      <c r="Y58" s="9">
        <v>580.0</v>
      </c>
      <c r="Z58" s="9">
        <v>337.0</v>
      </c>
      <c r="AA58" s="9">
        <v>35493.0</v>
      </c>
      <c r="AB58" s="9">
        <v>27.0</v>
      </c>
      <c r="AC58" s="9">
        <v>33635.0</v>
      </c>
      <c r="AD58" s="9">
        <v>1831.0</v>
      </c>
      <c r="AE58" s="9">
        <v>605.0</v>
      </c>
      <c r="AF58" s="9">
        <v>39.0</v>
      </c>
      <c r="AG58" s="9">
        <v>498.0</v>
      </c>
      <c r="AH58" s="9">
        <v>68.0</v>
      </c>
      <c r="AI58" s="9">
        <v>23845.0</v>
      </c>
      <c r="AJ58" s="9">
        <v>3633.0</v>
      </c>
      <c r="AK58" s="9">
        <v>1827.0</v>
      </c>
      <c r="AL58" s="9">
        <v>700.0</v>
      </c>
      <c r="AM58" s="9">
        <v>8337.0</v>
      </c>
      <c r="AN58" s="9">
        <v>1706.0</v>
      </c>
      <c r="AO58" s="9">
        <v>2252.0</v>
      </c>
      <c r="AP58" s="9">
        <v>1827.0</v>
      </c>
      <c r="AQ58" s="9">
        <v>1413.0</v>
      </c>
      <c r="AR58" s="9">
        <v>2150.0</v>
      </c>
      <c r="AS58" s="9">
        <v>25108.0</v>
      </c>
      <c r="AT58" s="9">
        <v>189.0</v>
      </c>
      <c r="AU58" s="9">
        <v>2712.0</v>
      </c>
      <c r="AV58" s="9">
        <v>711.0</v>
      </c>
      <c r="AW58" s="9">
        <v>2896.0</v>
      </c>
      <c r="AX58" s="9">
        <v>2606.0</v>
      </c>
      <c r="AY58" s="9">
        <v>2752.0</v>
      </c>
      <c r="AZ58" s="9">
        <v>5404.0</v>
      </c>
      <c r="BA58" s="9">
        <v>2274.0</v>
      </c>
      <c r="BB58" s="9">
        <v>5564.0</v>
      </c>
      <c r="BC58" s="9">
        <v>88027.0</v>
      </c>
      <c r="BD58" s="9">
        <v>5094.0</v>
      </c>
      <c r="BE58" s="9">
        <v>8613.0</v>
      </c>
      <c r="BF58" s="9">
        <v>786.0</v>
      </c>
      <c r="BG58" s="9">
        <v>10930.0</v>
      </c>
      <c r="BH58" s="9">
        <v>8946.0</v>
      </c>
      <c r="BI58" s="9">
        <v>11197.0</v>
      </c>
      <c r="BJ58" s="9">
        <v>9836.0</v>
      </c>
      <c r="BK58" s="9">
        <v>26458.0</v>
      </c>
      <c r="BL58" s="9">
        <v>6167.0</v>
      </c>
      <c r="BM58" s="9">
        <v>27863.0</v>
      </c>
      <c r="BN58" s="9">
        <v>785.0</v>
      </c>
      <c r="BO58" s="9">
        <v>2803.0</v>
      </c>
      <c r="BP58" s="9">
        <v>762.0</v>
      </c>
      <c r="BQ58" s="9">
        <v>5049.0</v>
      </c>
      <c r="BR58" s="9">
        <v>1303.0</v>
      </c>
      <c r="BS58" s="9">
        <v>4843.0</v>
      </c>
      <c r="BT58" s="9">
        <v>1426.0</v>
      </c>
      <c r="BU58" s="9">
        <v>10892.0</v>
      </c>
      <c r="BV58" s="9">
        <v>12189.0</v>
      </c>
      <c r="BW58" s="9">
        <v>51.0</v>
      </c>
      <c r="BX58" s="9">
        <v>6.0</v>
      </c>
      <c r="BY58" s="9">
        <v>0.0</v>
      </c>
      <c r="BZ58" s="9">
        <v>9733.0</v>
      </c>
      <c r="CA58" s="9">
        <v>2399.0</v>
      </c>
      <c r="CB58" s="9">
        <v>225945.0</v>
      </c>
    </row>
    <row r="59" ht="15.75" customHeight="1">
      <c r="A59" s="9" t="s">
        <v>181</v>
      </c>
      <c r="B59" s="9" t="s">
        <v>196</v>
      </c>
      <c r="C59" s="9">
        <v>8640.0</v>
      </c>
      <c r="D59" s="9">
        <v>101.0</v>
      </c>
      <c r="E59" s="9">
        <v>574.0</v>
      </c>
      <c r="F59" s="9">
        <v>542.0</v>
      </c>
      <c r="G59" s="9">
        <v>1267.0</v>
      </c>
      <c r="H59" s="9">
        <v>833.0</v>
      </c>
      <c r="I59" s="9">
        <v>1611.0</v>
      </c>
      <c r="J59" s="9">
        <v>285.0</v>
      </c>
      <c r="K59" s="9">
        <v>1209.0</v>
      </c>
      <c r="L59" s="9">
        <v>595.0</v>
      </c>
      <c r="M59" s="9">
        <v>1623.0</v>
      </c>
      <c r="N59" s="9">
        <v>1747.0</v>
      </c>
      <c r="O59" s="9">
        <v>1470.0</v>
      </c>
      <c r="P59" s="9">
        <v>277.0</v>
      </c>
      <c r="Q59" s="9">
        <v>2001.0</v>
      </c>
      <c r="R59" s="9">
        <v>0.0</v>
      </c>
      <c r="S59" s="9">
        <v>50.0</v>
      </c>
      <c r="T59" s="9">
        <v>129.0</v>
      </c>
      <c r="U59" s="9">
        <v>568.0</v>
      </c>
      <c r="V59" s="9">
        <v>181.0</v>
      </c>
      <c r="W59" s="9">
        <v>138.0</v>
      </c>
      <c r="X59" s="9">
        <v>154.0</v>
      </c>
      <c r="Y59" s="9">
        <v>443.0</v>
      </c>
      <c r="Z59" s="9">
        <v>338.0</v>
      </c>
      <c r="AA59" s="9">
        <v>25412.0</v>
      </c>
      <c r="AB59" s="9">
        <v>25.0</v>
      </c>
      <c r="AC59" s="9">
        <v>23124.0</v>
      </c>
      <c r="AD59" s="9">
        <v>2263.0</v>
      </c>
      <c r="AE59" s="9">
        <v>561.0</v>
      </c>
      <c r="AF59" s="9">
        <v>30.0</v>
      </c>
      <c r="AG59" s="9">
        <v>467.0</v>
      </c>
      <c r="AH59" s="9">
        <v>64.0</v>
      </c>
      <c r="AI59" s="9">
        <v>21929.0</v>
      </c>
      <c r="AJ59" s="9">
        <v>3199.0</v>
      </c>
      <c r="AK59" s="9">
        <v>1341.0</v>
      </c>
      <c r="AL59" s="9">
        <v>619.0</v>
      </c>
      <c r="AM59" s="9">
        <v>9371.0</v>
      </c>
      <c r="AN59" s="9">
        <v>1841.0</v>
      </c>
      <c r="AO59" s="9">
        <v>941.0</v>
      </c>
      <c r="AP59" s="9">
        <v>1303.0</v>
      </c>
      <c r="AQ59" s="9">
        <v>1349.0</v>
      </c>
      <c r="AR59" s="9">
        <v>1965.0</v>
      </c>
      <c r="AS59" s="9">
        <v>21688.0</v>
      </c>
      <c r="AT59" s="9">
        <v>142.0</v>
      </c>
      <c r="AU59" s="9">
        <v>2633.0</v>
      </c>
      <c r="AV59" s="9">
        <v>629.0</v>
      </c>
      <c r="AW59" s="9">
        <v>2628.0</v>
      </c>
      <c r="AX59" s="9">
        <v>2431.0</v>
      </c>
      <c r="AY59" s="9">
        <v>2634.0</v>
      </c>
      <c r="AZ59" s="9">
        <v>3621.0</v>
      </c>
      <c r="BA59" s="9">
        <v>1804.0</v>
      </c>
      <c r="BB59" s="9">
        <v>5166.0</v>
      </c>
      <c r="BC59" s="9">
        <v>76440.0</v>
      </c>
      <c r="BD59" s="9">
        <v>4818.0</v>
      </c>
      <c r="BE59" s="9">
        <v>6918.0</v>
      </c>
      <c r="BF59" s="9">
        <v>635.0</v>
      </c>
      <c r="BG59" s="9">
        <v>12115.0</v>
      </c>
      <c r="BH59" s="9">
        <v>8520.0</v>
      </c>
      <c r="BI59" s="9">
        <v>11691.0</v>
      </c>
      <c r="BJ59" s="9">
        <v>9569.0</v>
      </c>
      <c r="BK59" s="9">
        <v>19969.0</v>
      </c>
      <c r="BL59" s="9">
        <v>2205.0</v>
      </c>
      <c r="BM59" s="9">
        <v>27393.0</v>
      </c>
      <c r="BN59" s="9">
        <v>787.0</v>
      </c>
      <c r="BO59" s="9">
        <v>2633.0</v>
      </c>
      <c r="BP59" s="9">
        <v>782.0</v>
      </c>
      <c r="BQ59" s="9">
        <v>5122.0</v>
      </c>
      <c r="BR59" s="9">
        <v>1315.0</v>
      </c>
      <c r="BS59" s="9">
        <v>4772.0</v>
      </c>
      <c r="BT59" s="9">
        <v>1461.0</v>
      </c>
      <c r="BU59" s="9">
        <v>10521.0</v>
      </c>
      <c r="BV59" s="9">
        <v>14740.0</v>
      </c>
      <c r="BW59" s="9">
        <v>51.0</v>
      </c>
      <c r="BX59" s="9">
        <v>4.0</v>
      </c>
      <c r="BY59" s="9">
        <v>0.0</v>
      </c>
      <c r="BZ59" s="9">
        <v>9198.0</v>
      </c>
      <c r="CA59" s="9">
        <v>5487.0</v>
      </c>
      <c r="CB59" s="9">
        <v>200551.0</v>
      </c>
    </row>
    <row r="60" ht="15.75" customHeight="1">
      <c r="A60" s="9" t="s">
        <v>182</v>
      </c>
      <c r="B60" s="9" t="s">
        <v>196</v>
      </c>
      <c r="C60" s="9">
        <v>8646.0</v>
      </c>
      <c r="D60" s="9">
        <v>114.0</v>
      </c>
      <c r="E60" s="9">
        <v>574.0</v>
      </c>
      <c r="F60" s="9">
        <v>670.0</v>
      </c>
      <c r="G60" s="9">
        <v>1271.0</v>
      </c>
      <c r="H60" s="9">
        <v>770.0</v>
      </c>
      <c r="I60" s="9">
        <v>1557.0</v>
      </c>
      <c r="J60" s="9">
        <v>306.0</v>
      </c>
      <c r="K60" s="9">
        <v>1185.0</v>
      </c>
      <c r="L60" s="9">
        <v>561.0</v>
      </c>
      <c r="M60" s="9">
        <v>1638.0</v>
      </c>
      <c r="N60" s="9">
        <v>1706.0</v>
      </c>
      <c r="O60" s="9">
        <v>1454.0</v>
      </c>
      <c r="P60" s="9">
        <v>252.0</v>
      </c>
      <c r="Q60" s="9">
        <v>2331.0</v>
      </c>
      <c r="R60" s="9">
        <v>0.0</v>
      </c>
      <c r="S60" s="9">
        <v>52.0</v>
      </c>
      <c r="T60" s="9">
        <v>128.0</v>
      </c>
      <c r="U60" s="9">
        <v>672.0</v>
      </c>
      <c r="V60" s="9">
        <v>188.0</v>
      </c>
      <c r="W60" s="9">
        <v>108.0</v>
      </c>
      <c r="X60" s="9">
        <v>197.0</v>
      </c>
      <c r="Y60" s="9">
        <v>677.0</v>
      </c>
      <c r="Z60" s="9">
        <v>309.0</v>
      </c>
      <c r="AA60" s="9">
        <v>28843.0</v>
      </c>
      <c r="AB60" s="9">
        <v>43.0</v>
      </c>
      <c r="AC60" s="9">
        <v>26722.0</v>
      </c>
      <c r="AD60" s="9">
        <v>2078.0</v>
      </c>
      <c r="AE60" s="9">
        <v>525.0</v>
      </c>
      <c r="AF60" s="9">
        <v>37.0</v>
      </c>
      <c r="AG60" s="9">
        <v>432.0</v>
      </c>
      <c r="AH60" s="9">
        <v>56.0</v>
      </c>
      <c r="AI60" s="9">
        <v>22836.0</v>
      </c>
      <c r="AJ60" s="9">
        <v>3385.0</v>
      </c>
      <c r="AK60" s="9">
        <v>1101.0</v>
      </c>
      <c r="AL60" s="9">
        <v>628.0</v>
      </c>
      <c r="AM60" s="9">
        <v>9625.0</v>
      </c>
      <c r="AN60" s="9">
        <v>1837.0</v>
      </c>
      <c r="AO60" s="9">
        <v>1325.0</v>
      </c>
      <c r="AP60" s="9">
        <v>1461.0</v>
      </c>
      <c r="AQ60" s="9">
        <v>1407.0</v>
      </c>
      <c r="AR60" s="9">
        <v>2067.0</v>
      </c>
      <c r="AS60" s="9">
        <v>22882.0</v>
      </c>
      <c r="AT60" s="9">
        <v>141.0</v>
      </c>
      <c r="AU60" s="9">
        <v>2957.0</v>
      </c>
      <c r="AV60" s="9">
        <v>717.0</v>
      </c>
      <c r="AW60" s="9">
        <v>2835.0</v>
      </c>
      <c r="AX60" s="9">
        <v>2431.0</v>
      </c>
      <c r="AY60" s="9">
        <v>2546.0</v>
      </c>
      <c r="AZ60" s="9">
        <v>3726.0</v>
      </c>
      <c r="BA60" s="9">
        <v>2482.0</v>
      </c>
      <c r="BB60" s="9">
        <v>5047.0</v>
      </c>
      <c r="BC60" s="9">
        <v>82235.0</v>
      </c>
      <c r="BD60" s="9">
        <v>4256.0</v>
      </c>
      <c r="BE60" s="9">
        <v>6931.0</v>
      </c>
      <c r="BF60" s="9">
        <v>631.0</v>
      </c>
      <c r="BG60" s="9">
        <v>10491.0</v>
      </c>
      <c r="BH60" s="9">
        <v>9547.0</v>
      </c>
      <c r="BI60" s="9">
        <v>11418.0</v>
      </c>
      <c r="BJ60" s="9">
        <v>10716.0</v>
      </c>
      <c r="BK60" s="9">
        <v>26292.0</v>
      </c>
      <c r="BL60" s="9">
        <v>1953.0</v>
      </c>
      <c r="BM60" s="9">
        <v>27278.0</v>
      </c>
      <c r="BN60" s="9">
        <v>867.0</v>
      </c>
      <c r="BO60" s="9">
        <v>2629.0</v>
      </c>
      <c r="BP60" s="9">
        <v>760.0</v>
      </c>
      <c r="BQ60" s="9">
        <v>5379.0</v>
      </c>
      <c r="BR60" s="9">
        <v>1343.0</v>
      </c>
      <c r="BS60" s="9">
        <v>4771.0</v>
      </c>
      <c r="BT60" s="9">
        <v>1365.0</v>
      </c>
      <c r="BU60" s="9">
        <v>10164.0</v>
      </c>
      <c r="BV60" s="9">
        <v>13200.0</v>
      </c>
      <c r="BW60" s="9">
        <v>38.0</v>
      </c>
      <c r="BX60" s="9">
        <v>13.0</v>
      </c>
      <c r="BY60" s="9">
        <v>2.0</v>
      </c>
      <c r="BZ60" s="9">
        <v>7048.0</v>
      </c>
      <c r="CA60" s="9">
        <v>6099.0</v>
      </c>
      <c r="CB60" s="9">
        <v>210482.0</v>
      </c>
    </row>
    <row r="61" ht="15.75" customHeight="1">
      <c r="A61" s="9" t="s">
        <v>183</v>
      </c>
      <c r="B61" s="9" t="s">
        <v>196</v>
      </c>
      <c r="C61" s="9">
        <v>9249.0</v>
      </c>
      <c r="D61" s="9">
        <v>111.0</v>
      </c>
      <c r="E61" s="9">
        <v>552.0</v>
      </c>
      <c r="F61" s="9">
        <v>670.0</v>
      </c>
      <c r="G61" s="9">
        <v>1305.0</v>
      </c>
      <c r="H61" s="9">
        <v>804.0</v>
      </c>
      <c r="I61" s="9">
        <v>1842.0</v>
      </c>
      <c r="J61" s="9">
        <v>378.0</v>
      </c>
      <c r="K61" s="9">
        <v>1355.0</v>
      </c>
      <c r="L61" s="9">
        <v>549.0</v>
      </c>
      <c r="M61" s="9">
        <v>1683.0</v>
      </c>
      <c r="N61" s="9">
        <v>1815.0</v>
      </c>
      <c r="O61" s="9">
        <v>1537.0</v>
      </c>
      <c r="P61" s="9">
        <v>278.0</v>
      </c>
      <c r="Q61" s="9">
        <v>2769.0</v>
      </c>
      <c r="R61" s="9">
        <v>0.0</v>
      </c>
      <c r="S61" s="9">
        <v>46.0</v>
      </c>
      <c r="T61" s="9">
        <v>150.0</v>
      </c>
      <c r="U61" s="9">
        <v>659.0</v>
      </c>
      <c r="V61" s="9">
        <v>183.0</v>
      </c>
      <c r="W61" s="9">
        <v>114.0</v>
      </c>
      <c r="X61" s="9">
        <v>288.0</v>
      </c>
      <c r="Y61" s="9">
        <v>989.0</v>
      </c>
      <c r="Z61" s="9">
        <v>340.0</v>
      </c>
      <c r="AA61" s="9">
        <v>38279.0</v>
      </c>
      <c r="AB61" s="9">
        <v>66.0</v>
      </c>
      <c r="AC61" s="9">
        <v>35795.0</v>
      </c>
      <c r="AD61" s="9">
        <v>2418.0</v>
      </c>
      <c r="AE61" s="9">
        <v>543.0</v>
      </c>
      <c r="AF61" s="9">
        <v>40.0</v>
      </c>
      <c r="AG61" s="9">
        <v>438.0</v>
      </c>
      <c r="AH61" s="9">
        <v>65.0</v>
      </c>
      <c r="AI61" s="9">
        <v>24346.0</v>
      </c>
      <c r="AJ61" s="9">
        <v>3062.0</v>
      </c>
      <c r="AK61" s="9">
        <v>1425.0</v>
      </c>
      <c r="AL61" s="9">
        <v>637.0</v>
      </c>
      <c r="AM61" s="9">
        <v>10569.0</v>
      </c>
      <c r="AN61" s="9">
        <v>1878.0</v>
      </c>
      <c r="AO61" s="9">
        <v>1614.0</v>
      </c>
      <c r="AP61" s="9">
        <v>1556.0</v>
      </c>
      <c r="AQ61" s="9">
        <v>1429.0</v>
      </c>
      <c r="AR61" s="9">
        <v>2176.0</v>
      </c>
      <c r="AS61" s="9">
        <v>24862.0</v>
      </c>
      <c r="AT61" s="9">
        <v>149.0</v>
      </c>
      <c r="AU61" s="9">
        <v>3523.0</v>
      </c>
      <c r="AV61" s="9">
        <v>763.0</v>
      </c>
      <c r="AW61" s="9">
        <v>2579.0</v>
      </c>
      <c r="AX61" s="9">
        <v>2472.0</v>
      </c>
      <c r="AY61" s="9">
        <v>2410.0</v>
      </c>
      <c r="AZ61" s="9">
        <v>3590.0</v>
      </c>
      <c r="BA61" s="9">
        <v>3254.0</v>
      </c>
      <c r="BB61" s="9">
        <v>6122.0</v>
      </c>
      <c r="BC61" s="9">
        <v>83761.0</v>
      </c>
      <c r="BD61" s="9">
        <v>4601.0</v>
      </c>
      <c r="BE61" s="9">
        <v>8450.0</v>
      </c>
      <c r="BF61" s="9">
        <v>682.0</v>
      </c>
      <c r="BG61" s="9">
        <v>10415.0</v>
      </c>
      <c r="BH61" s="9">
        <v>9361.0</v>
      </c>
      <c r="BI61" s="9">
        <v>11505.0</v>
      </c>
      <c r="BJ61" s="9">
        <v>11284.0</v>
      </c>
      <c r="BK61" s="9">
        <v>24708.0</v>
      </c>
      <c r="BL61" s="9">
        <v>2755.0</v>
      </c>
      <c r="BM61" s="9">
        <v>28098.0</v>
      </c>
      <c r="BN61" s="9">
        <v>1125.0</v>
      </c>
      <c r="BO61" s="9">
        <v>2782.0</v>
      </c>
      <c r="BP61" s="9">
        <v>829.0</v>
      </c>
      <c r="BQ61" s="9">
        <v>5681.0</v>
      </c>
      <c r="BR61" s="9">
        <v>1324.0</v>
      </c>
      <c r="BS61" s="9">
        <v>4822.0</v>
      </c>
      <c r="BT61" s="9">
        <v>1388.0</v>
      </c>
      <c r="BU61" s="9">
        <v>10147.0</v>
      </c>
      <c r="BV61" s="9">
        <v>13194.0</v>
      </c>
      <c r="BW61" s="9">
        <v>45.0</v>
      </c>
      <c r="BX61" s="9">
        <v>19.0</v>
      </c>
      <c r="BY61" s="9">
        <v>4.0</v>
      </c>
      <c r="BZ61" s="9">
        <v>6398.0</v>
      </c>
      <c r="CA61" s="9">
        <v>6728.0</v>
      </c>
      <c r="CB61" s="9">
        <v>226916.0</v>
      </c>
    </row>
    <row r="62" ht="15.75" customHeight="1">
      <c r="A62" s="9" t="s">
        <v>184</v>
      </c>
      <c r="B62" s="9" t="s">
        <v>196</v>
      </c>
      <c r="C62" s="9">
        <v>9592.0</v>
      </c>
      <c r="D62" s="9">
        <v>100.0</v>
      </c>
      <c r="E62" s="9">
        <v>619.0</v>
      </c>
      <c r="F62" s="9">
        <v>634.0</v>
      </c>
      <c r="G62" s="9">
        <v>1416.0</v>
      </c>
      <c r="H62" s="9">
        <v>849.0</v>
      </c>
      <c r="I62" s="9">
        <v>1804.0</v>
      </c>
      <c r="J62" s="9">
        <v>356.0</v>
      </c>
      <c r="K62" s="9">
        <v>1351.0</v>
      </c>
      <c r="L62" s="9">
        <v>635.0</v>
      </c>
      <c r="M62" s="9">
        <v>1828.0</v>
      </c>
      <c r="N62" s="9">
        <v>1995.0</v>
      </c>
      <c r="O62" s="9">
        <v>1686.0</v>
      </c>
      <c r="P62" s="9">
        <v>309.0</v>
      </c>
      <c r="Q62" s="9">
        <v>2517.0</v>
      </c>
      <c r="R62" s="9">
        <v>1.0</v>
      </c>
      <c r="S62" s="9">
        <v>58.0</v>
      </c>
      <c r="T62" s="9">
        <v>134.0</v>
      </c>
      <c r="U62" s="9">
        <v>635.0</v>
      </c>
      <c r="V62" s="9">
        <v>145.0</v>
      </c>
      <c r="W62" s="9">
        <v>91.0</v>
      </c>
      <c r="X62" s="9">
        <v>313.0</v>
      </c>
      <c r="Y62" s="9">
        <v>732.0</v>
      </c>
      <c r="Z62" s="9">
        <v>408.0</v>
      </c>
      <c r="AA62" s="9">
        <v>40855.0</v>
      </c>
      <c r="AB62" s="9">
        <v>18.0</v>
      </c>
      <c r="AC62" s="9">
        <v>38217.0</v>
      </c>
      <c r="AD62" s="9">
        <v>2620.0</v>
      </c>
      <c r="AE62" s="9">
        <v>546.0</v>
      </c>
      <c r="AF62" s="9">
        <v>61.0</v>
      </c>
      <c r="AG62" s="9">
        <v>411.0</v>
      </c>
      <c r="AH62" s="9">
        <v>74.0</v>
      </c>
      <c r="AI62" s="9">
        <v>24488.0</v>
      </c>
      <c r="AJ62" s="9">
        <v>2937.0</v>
      </c>
      <c r="AK62" s="9">
        <v>1695.0</v>
      </c>
      <c r="AL62" s="9">
        <v>617.0</v>
      </c>
      <c r="AM62" s="9">
        <v>10411.0</v>
      </c>
      <c r="AN62" s="9">
        <v>1988.0</v>
      </c>
      <c r="AO62" s="9">
        <v>1649.0</v>
      </c>
      <c r="AP62" s="9">
        <v>1517.0</v>
      </c>
      <c r="AQ62" s="9">
        <v>1442.0</v>
      </c>
      <c r="AR62" s="9">
        <v>2232.0</v>
      </c>
      <c r="AS62" s="9">
        <v>25976.0</v>
      </c>
      <c r="AT62" s="9">
        <v>142.0</v>
      </c>
      <c r="AU62" s="9">
        <v>3991.0</v>
      </c>
      <c r="AV62" s="9">
        <v>804.0</v>
      </c>
      <c r="AW62" s="9">
        <v>2658.0</v>
      </c>
      <c r="AX62" s="9">
        <v>2501.0</v>
      </c>
      <c r="AY62" s="9">
        <v>2427.0</v>
      </c>
      <c r="AZ62" s="9">
        <v>4317.0</v>
      </c>
      <c r="BA62" s="9">
        <v>2538.0</v>
      </c>
      <c r="BB62" s="9">
        <v>6598.0</v>
      </c>
      <c r="BC62" s="9">
        <v>95687.0</v>
      </c>
      <c r="BD62" s="9">
        <v>5014.0</v>
      </c>
      <c r="BE62" s="9">
        <v>11748.0</v>
      </c>
      <c r="BF62" s="9">
        <v>702.0</v>
      </c>
      <c r="BG62" s="9">
        <v>12213.0</v>
      </c>
      <c r="BH62" s="9">
        <v>9214.0</v>
      </c>
      <c r="BI62" s="9">
        <v>11469.0</v>
      </c>
      <c r="BJ62" s="9">
        <v>11303.0</v>
      </c>
      <c r="BK62" s="9">
        <v>30452.0</v>
      </c>
      <c r="BL62" s="9">
        <v>3572.0</v>
      </c>
      <c r="BM62" s="9">
        <v>29104.0</v>
      </c>
      <c r="BN62" s="9">
        <v>1341.0</v>
      </c>
      <c r="BO62" s="9">
        <v>2904.0</v>
      </c>
      <c r="BP62" s="9">
        <v>926.0</v>
      </c>
      <c r="BQ62" s="9">
        <v>5893.0</v>
      </c>
      <c r="BR62" s="9">
        <v>1480.0</v>
      </c>
      <c r="BS62" s="9">
        <v>5251.0</v>
      </c>
      <c r="BT62" s="9">
        <v>1413.0</v>
      </c>
      <c r="BU62" s="9">
        <v>9896.0</v>
      </c>
      <c r="BV62" s="9">
        <v>11088.0</v>
      </c>
      <c r="BW62" s="9">
        <v>45.0</v>
      </c>
      <c r="BX62" s="9">
        <v>44.0</v>
      </c>
      <c r="BY62" s="9">
        <v>4.0</v>
      </c>
      <c r="BZ62" s="9">
        <v>5841.0</v>
      </c>
      <c r="CA62" s="9">
        <v>5154.0</v>
      </c>
      <c r="CB62" s="9">
        <v>241848.0</v>
      </c>
    </row>
    <row r="63" ht="15.75" customHeight="1">
      <c r="A63" s="9" t="s">
        <v>185</v>
      </c>
      <c r="B63" s="9" t="s">
        <v>196</v>
      </c>
      <c r="C63" s="9">
        <v>10637.0</v>
      </c>
      <c r="D63" s="9">
        <v>97.0</v>
      </c>
      <c r="E63" s="9">
        <v>627.0</v>
      </c>
      <c r="F63" s="9">
        <v>744.0</v>
      </c>
      <c r="G63" s="9">
        <v>1604.0</v>
      </c>
      <c r="H63" s="9">
        <v>1020.0</v>
      </c>
      <c r="I63" s="9">
        <v>1940.0</v>
      </c>
      <c r="J63" s="9">
        <v>379.0</v>
      </c>
      <c r="K63" s="9">
        <v>1430.0</v>
      </c>
      <c r="L63" s="9">
        <v>737.0</v>
      </c>
      <c r="M63" s="9">
        <v>2059.0</v>
      </c>
      <c r="N63" s="9">
        <v>2425.0</v>
      </c>
      <c r="O63" s="9">
        <v>1922.0</v>
      </c>
      <c r="P63" s="9">
        <v>503.0</v>
      </c>
      <c r="Q63" s="9">
        <v>2344.0</v>
      </c>
      <c r="R63" s="9">
        <v>1.0</v>
      </c>
      <c r="S63" s="9">
        <v>68.0</v>
      </c>
      <c r="T63" s="9">
        <v>105.0</v>
      </c>
      <c r="U63" s="9">
        <v>649.0</v>
      </c>
      <c r="V63" s="9">
        <v>179.0</v>
      </c>
      <c r="W63" s="9">
        <v>97.0</v>
      </c>
      <c r="X63" s="9">
        <v>278.0</v>
      </c>
      <c r="Y63" s="9">
        <v>538.0</v>
      </c>
      <c r="Z63" s="9">
        <v>429.0</v>
      </c>
      <c r="AA63" s="9">
        <v>42163.0</v>
      </c>
      <c r="AB63" s="9">
        <v>37.0</v>
      </c>
      <c r="AC63" s="9">
        <v>39314.0</v>
      </c>
      <c r="AD63" s="9">
        <v>2812.0</v>
      </c>
      <c r="AE63" s="9">
        <v>532.0</v>
      </c>
      <c r="AF63" s="9">
        <v>56.0</v>
      </c>
      <c r="AG63" s="9">
        <v>423.0</v>
      </c>
      <c r="AH63" s="9">
        <v>53.0</v>
      </c>
      <c r="AI63" s="9">
        <v>24000.0</v>
      </c>
      <c r="AJ63" s="9">
        <v>2260.0</v>
      </c>
      <c r="AK63" s="9">
        <v>1369.0</v>
      </c>
      <c r="AL63" s="9">
        <v>643.0</v>
      </c>
      <c r="AM63" s="9">
        <v>10221.0</v>
      </c>
      <c r="AN63" s="9">
        <v>2219.0</v>
      </c>
      <c r="AO63" s="9">
        <v>1526.0</v>
      </c>
      <c r="AP63" s="9">
        <v>1718.0</v>
      </c>
      <c r="AQ63" s="9">
        <v>1582.0</v>
      </c>
      <c r="AR63" s="9">
        <v>2462.0</v>
      </c>
      <c r="AS63" s="9">
        <v>26618.0</v>
      </c>
      <c r="AT63" s="9">
        <v>145.0</v>
      </c>
      <c r="AU63" s="9">
        <v>3616.0</v>
      </c>
      <c r="AV63" s="9">
        <v>864.0</v>
      </c>
      <c r="AW63" s="9">
        <v>2689.0</v>
      </c>
      <c r="AX63" s="9">
        <v>2716.0</v>
      </c>
      <c r="AY63" s="9">
        <v>2674.0</v>
      </c>
      <c r="AZ63" s="9">
        <v>3591.0</v>
      </c>
      <c r="BA63" s="9">
        <v>2628.0</v>
      </c>
      <c r="BB63" s="9">
        <v>7695.0</v>
      </c>
      <c r="BC63" s="9">
        <v>91666.0</v>
      </c>
      <c r="BD63" s="9">
        <v>4669.0</v>
      </c>
      <c r="BE63" s="9">
        <v>7641.0</v>
      </c>
      <c r="BF63" s="9">
        <v>555.0</v>
      </c>
      <c r="BG63" s="9">
        <v>14510.0</v>
      </c>
      <c r="BH63" s="9">
        <v>9358.0</v>
      </c>
      <c r="BI63" s="9">
        <v>11560.0</v>
      </c>
      <c r="BJ63" s="9">
        <v>11343.0</v>
      </c>
      <c r="BK63" s="9">
        <v>29669.0</v>
      </c>
      <c r="BL63" s="9">
        <v>2361.0</v>
      </c>
      <c r="BM63" s="9">
        <v>31222.0</v>
      </c>
      <c r="BN63" s="9">
        <v>1401.0</v>
      </c>
      <c r="BO63" s="9">
        <v>3177.0</v>
      </c>
      <c r="BP63" s="9">
        <v>1062.0</v>
      </c>
      <c r="BQ63" s="9">
        <v>6509.0</v>
      </c>
      <c r="BR63" s="9">
        <v>1611.0</v>
      </c>
      <c r="BS63" s="9">
        <v>5245.0</v>
      </c>
      <c r="BT63" s="9">
        <v>1522.0</v>
      </c>
      <c r="BU63" s="9">
        <v>10695.0</v>
      </c>
      <c r="BV63" s="9">
        <v>9412.0</v>
      </c>
      <c r="BW63" s="9">
        <v>18.0</v>
      </c>
      <c r="BX63" s="9">
        <v>47.0</v>
      </c>
      <c r="BY63" s="9">
        <v>8.0</v>
      </c>
      <c r="BZ63" s="9">
        <v>4796.0</v>
      </c>
      <c r="CA63" s="9">
        <v>4543.0</v>
      </c>
      <c r="CB63" s="9">
        <v>241019.0</v>
      </c>
    </row>
    <row r="64" ht="15.75" customHeight="1">
      <c r="A64" s="9" t="s">
        <v>186</v>
      </c>
      <c r="B64" s="9" t="s">
        <v>196</v>
      </c>
      <c r="C64" s="9">
        <v>12136.0</v>
      </c>
      <c r="D64" s="9">
        <v>108.0</v>
      </c>
      <c r="E64" s="9">
        <v>727.0</v>
      </c>
      <c r="F64" s="9">
        <v>896.0</v>
      </c>
      <c r="G64" s="9">
        <v>1805.0</v>
      </c>
      <c r="H64" s="9">
        <v>1131.0</v>
      </c>
      <c r="I64" s="9">
        <v>2260.0</v>
      </c>
      <c r="J64" s="9">
        <v>449.0</v>
      </c>
      <c r="K64" s="9">
        <v>1690.0</v>
      </c>
      <c r="L64" s="9">
        <v>805.0</v>
      </c>
      <c r="M64" s="9">
        <v>2265.0</v>
      </c>
      <c r="N64" s="9">
        <v>2735.0</v>
      </c>
      <c r="O64" s="9">
        <v>2027.0</v>
      </c>
      <c r="P64" s="9">
        <v>708.0</v>
      </c>
      <c r="Q64" s="9">
        <v>2915.0</v>
      </c>
      <c r="R64" s="9">
        <v>2.0</v>
      </c>
      <c r="S64" s="9">
        <v>94.0</v>
      </c>
      <c r="T64" s="9">
        <v>112.0</v>
      </c>
      <c r="U64" s="9">
        <v>800.0</v>
      </c>
      <c r="V64" s="9">
        <v>215.0</v>
      </c>
      <c r="W64" s="9">
        <v>102.0</v>
      </c>
      <c r="X64" s="9">
        <v>335.0</v>
      </c>
      <c r="Y64" s="9">
        <v>758.0</v>
      </c>
      <c r="Z64" s="9">
        <v>497.0</v>
      </c>
      <c r="AA64" s="9">
        <v>39805.0</v>
      </c>
      <c r="AB64" s="9">
        <v>56.0</v>
      </c>
      <c r="AC64" s="9">
        <v>39423.0</v>
      </c>
      <c r="AD64" s="9">
        <v>326.0</v>
      </c>
      <c r="AE64" s="9">
        <v>609.0</v>
      </c>
      <c r="AF64" s="9">
        <v>59.0</v>
      </c>
      <c r="AG64" s="9">
        <v>503.0</v>
      </c>
      <c r="AH64" s="9">
        <v>47.0</v>
      </c>
      <c r="AI64" s="9">
        <v>25160.0</v>
      </c>
      <c r="AJ64" s="9">
        <v>2372.0</v>
      </c>
      <c r="AK64" s="9">
        <v>1475.0</v>
      </c>
      <c r="AL64" s="9">
        <v>699.0</v>
      </c>
      <c r="AM64" s="9">
        <v>9923.0</v>
      </c>
      <c r="AN64" s="9">
        <v>2434.0</v>
      </c>
      <c r="AO64" s="9">
        <v>1763.0</v>
      </c>
      <c r="AP64" s="9">
        <v>1908.0</v>
      </c>
      <c r="AQ64" s="9">
        <v>1729.0</v>
      </c>
      <c r="AR64" s="9">
        <v>2857.0</v>
      </c>
      <c r="AS64" s="9">
        <v>28810.0</v>
      </c>
      <c r="AT64" s="9">
        <v>176.0</v>
      </c>
      <c r="AU64" s="9">
        <v>3425.0</v>
      </c>
      <c r="AV64" s="9">
        <v>1050.0</v>
      </c>
      <c r="AW64" s="9">
        <v>2892.0</v>
      </c>
      <c r="AX64" s="9">
        <v>3016.0</v>
      </c>
      <c r="AY64" s="9">
        <v>3200.0</v>
      </c>
      <c r="AZ64" s="9">
        <v>4439.0</v>
      </c>
      <c r="BA64" s="9">
        <v>3032.0</v>
      </c>
      <c r="BB64" s="9">
        <v>7580.0</v>
      </c>
      <c r="BC64" s="9">
        <v>94962.0</v>
      </c>
      <c r="BD64" s="9">
        <v>4889.0</v>
      </c>
      <c r="BE64" s="9">
        <v>7087.0</v>
      </c>
      <c r="BF64" s="9">
        <v>546.0</v>
      </c>
      <c r="BG64" s="9">
        <v>16643.0</v>
      </c>
      <c r="BH64" s="9">
        <v>9877.0</v>
      </c>
      <c r="BI64" s="9">
        <v>12366.0</v>
      </c>
      <c r="BJ64" s="9">
        <v>12018.0</v>
      </c>
      <c r="BK64" s="9">
        <v>28533.0</v>
      </c>
      <c r="BL64" s="9">
        <v>3003.0</v>
      </c>
      <c r="BM64" s="9">
        <v>34802.0</v>
      </c>
      <c r="BN64" s="9">
        <v>1425.0</v>
      </c>
      <c r="BO64" s="9">
        <v>3625.0</v>
      </c>
      <c r="BP64" s="9">
        <v>1177.0</v>
      </c>
      <c r="BQ64" s="9">
        <v>7251.0</v>
      </c>
      <c r="BR64" s="9">
        <v>1781.0</v>
      </c>
      <c r="BS64" s="9">
        <v>5968.0</v>
      </c>
      <c r="BT64" s="9">
        <v>1716.0</v>
      </c>
      <c r="BU64" s="9">
        <v>11859.0</v>
      </c>
      <c r="BV64" s="9">
        <v>10841.0</v>
      </c>
      <c r="BW64" s="9">
        <v>8.0</v>
      </c>
      <c r="BX64" s="9">
        <v>44.0</v>
      </c>
      <c r="BY64" s="9">
        <v>1.0</v>
      </c>
      <c r="BZ64" s="9">
        <v>4004.0</v>
      </c>
      <c r="CA64" s="9">
        <v>6784.0</v>
      </c>
      <c r="CB64" s="9">
        <v>252775.0</v>
      </c>
    </row>
    <row r="65" ht="15.75" customHeight="1">
      <c r="A65" s="9" t="s">
        <v>187</v>
      </c>
      <c r="B65" s="9" t="s">
        <v>196</v>
      </c>
      <c r="C65" s="9">
        <v>13519.0</v>
      </c>
      <c r="D65" s="9">
        <v>99.0</v>
      </c>
      <c r="E65" s="9">
        <v>810.0</v>
      </c>
      <c r="F65" s="9">
        <v>955.0</v>
      </c>
      <c r="G65" s="9">
        <v>1772.0</v>
      </c>
      <c r="H65" s="9">
        <v>1271.0</v>
      </c>
      <c r="I65" s="9">
        <v>2535.0</v>
      </c>
      <c r="J65" s="9">
        <v>513.0</v>
      </c>
      <c r="K65" s="9">
        <v>2051.0</v>
      </c>
      <c r="L65" s="9">
        <v>857.0</v>
      </c>
      <c r="M65" s="9">
        <v>2656.0</v>
      </c>
      <c r="N65" s="9">
        <v>3208.0</v>
      </c>
      <c r="O65" s="9">
        <v>2244.0</v>
      </c>
      <c r="P65" s="9">
        <v>964.0</v>
      </c>
      <c r="Q65" s="9">
        <v>3215.0</v>
      </c>
      <c r="R65" s="9">
        <v>5.0</v>
      </c>
      <c r="S65" s="9">
        <v>105.0</v>
      </c>
      <c r="T65" s="9">
        <v>106.0</v>
      </c>
      <c r="U65" s="9">
        <v>881.0</v>
      </c>
      <c r="V65" s="9">
        <v>232.0</v>
      </c>
      <c r="W65" s="9">
        <v>106.0</v>
      </c>
      <c r="X65" s="9">
        <v>361.0</v>
      </c>
      <c r="Y65" s="9">
        <v>837.0</v>
      </c>
      <c r="Z65" s="9">
        <v>582.0</v>
      </c>
      <c r="AA65" s="9">
        <v>28850.0</v>
      </c>
      <c r="AB65" s="9">
        <v>68.0</v>
      </c>
      <c r="AC65" s="9">
        <v>28513.0</v>
      </c>
      <c r="AD65" s="9">
        <v>269.0</v>
      </c>
      <c r="AE65" s="9">
        <v>655.0</v>
      </c>
      <c r="AF65" s="9">
        <v>81.0</v>
      </c>
      <c r="AG65" s="9">
        <v>528.0</v>
      </c>
      <c r="AH65" s="9">
        <v>46.0</v>
      </c>
      <c r="AI65" s="9">
        <v>27188.0</v>
      </c>
      <c r="AJ65" s="9">
        <v>2672.0</v>
      </c>
      <c r="AK65" s="9">
        <v>1662.0</v>
      </c>
      <c r="AL65" s="9">
        <v>895.0</v>
      </c>
      <c r="AM65" s="9">
        <v>10335.0</v>
      </c>
      <c r="AN65" s="9">
        <v>2916.0</v>
      </c>
      <c r="AO65" s="9">
        <v>1865.0</v>
      </c>
      <c r="AP65" s="9">
        <v>1964.0</v>
      </c>
      <c r="AQ65" s="9">
        <v>1977.0</v>
      </c>
      <c r="AR65" s="9">
        <v>2902.0</v>
      </c>
      <c r="AS65" s="9">
        <v>32526.0</v>
      </c>
      <c r="AT65" s="9">
        <v>214.0</v>
      </c>
      <c r="AU65" s="9">
        <v>3483.0</v>
      </c>
      <c r="AV65" s="9">
        <v>1250.0</v>
      </c>
      <c r="AW65" s="9">
        <v>3114.0</v>
      </c>
      <c r="AX65" s="9">
        <v>3602.0</v>
      </c>
      <c r="AY65" s="9">
        <v>3670.0</v>
      </c>
      <c r="AZ65" s="9">
        <v>5041.0</v>
      </c>
      <c r="BA65" s="9">
        <v>3025.0</v>
      </c>
      <c r="BB65" s="9">
        <v>9127.0</v>
      </c>
      <c r="BC65" s="9">
        <v>106111.0</v>
      </c>
      <c r="BD65" s="9">
        <v>4517.0</v>
      </c>
      <c r="BE65" s="9">
        <v>9391.0</v>
      </c>
      <c r="BF65" s="9">
        <v>563.0</v>
      </c>
      <c r="BG65" s="9">
        <v>17025.0</v>
      </c>
      <c r="BH65" s="9">
        <v>11278.0</v>
      </c>
      <c r="BI65" s="9">
        <v>14511.0</v>
      </c>
      <c r="BJ65" s="9">
        <v>13478.0</v>
      </c>
      <c r="BK65" s="9">
        <v>32660.0</v>
      </c>
      <c r="BL65" s="9">
        <v>2688.0</v>
      </c>
      <c r="BM65" s="9">
        <v>40377.0</v>
      </c>
      <c r="BN65" s="9">
        <v>1685.0</v>
      </c>
      <c r="BO65" s="9">
        <v>4337.0</v>
      </c>
      <c r="BP65" s="9">
        <v>1405.0</v>
      </c>
      <c r="BQ65" s="9">
        <v>8808.0</v>
      </c>
      <c r="BR65" s="9">
        <v>2219.0</v>
      </c>
      <c r="BS65" s="9">
        <v>6594.0</v>
      </c>
      <c r="BT65" s="9">
        <v>2081.0</v>
      </c>
      <c r="BU65" s="9">
        <v>13248.0</v>
      </c>
      <c r="BV65" s="9">
        <v>11422.0</v>
      </c>
      <c r="BW65" s="9">
        <v>5.0</v>
      </c>
      <c r="BX65" s="9">
        <v>47.0</v>
      </c>
      <c r="BY65" s="9">
        <v>5.0</v>
      </c>
      <c r="BZ65" s="9">
        <v>4456.0</v>
      </c>
      <c r="CA65" s="9">
        <v>6909.0</v>
      </c>
      <c r="CB65" s="9">
        <v>267071.0</v>
      </c>
    </row>
    <row r="66" ht="15.75" customHeight="1">
      <c r="A66" s="9" t="s">
        <v>188</v>
      </c>
      <c r="B66" s="9" t="s">
        <v>196</v>
      </c>
      <c r="C66" s="9">
        <v>13979.0</v>
      </c>
      <c r="D66" s="9">
        <v>121.0</v>
      </c>
      <c r="E66" s="9">
        <v>780.0</v>
      </c>
      <c r="F66" s="9">
        <v>1075.0</v>
      </c>
      <c r="G66" s="9">
        <v>1852.0</v>
      </c>
      <c r="H66" s="9">
        <v>1265.0</v>
      </c>
      <c r="I66" s="9">
        <v>2601.0</v>
      </c>
      <c r="J66" s="9">
        <v>483.0</v>
      </c>
      <c r="K66" s="9">
        <v>1975.0</v>
      </c>
      <c r="L66" s="9">
        <v>919.0</v>
      </c>
      <c r="M66" s="9">
        <v>2908.0</v>
      </c>
      <c r="N66" s="9">
        <v>3268.0</v>
      </c>
      <c r="O66" s="9">
        <v>2241.0</v>
      </c>
      <c r="P66" s="9">
        <v>1027.0</v>
      </c>
      <c r="Q66" s="9">
        <v>3201.0</v>
      </c>
      <c r="R66" s="9">
        <v>5.0</v>
      </c>
      <c r="S66" s="9">
        <v>88.0</v>
      </c>
      <c r="T66" s="9">
        <v>102.0</v>
      </c>
      <c r="U66" s="9">
        <v>816.0</v>
      </c>
      <c r="V66" s="9">
        <v>212.0</v>
      </c>
      <c r="W66" s="9">
        <v>99.0</v>
      </c>
      <c r="X66" s="9">
        <v>311.0</v>
      </c>
      <c r="Y66" s="9">
        <v>1017.0</v>
      </c>
      <c r="Z66" s="9">
        <v>551.0</v>
      </c>
      <c r="AA66" s="9">
        <v>23604.0</v>
      </c>
      <c r="AB66" s="9">
        <v>51.0</v>
      </c>
      <c r="AC66" s="9">
        <v>23315.0</v>
      </c>
      <c r="AD66" s="9">
        <v>238.0</v>
      </c>
      <c r="AE66" s="9">
        <v>701.0</v>
      </c>
      <c r="AF66" s="9">
        <v>61.0</v>
      </c>
      <c r="AG66" s="9">
        <v>596.0</v>
      </c>
      <c r="AH66" s="9">
        <v>44.0</v>
      </c>
      <c r="AI66" s="9">
        <v>27703.0</v>
      </c>
      <c r="AJ66" s="9">
        <v>2410.0</v>
      </c>
      <c r="AK66" s="9">
        <v>1567.0</v>
      </c>
      <c r="AL66" s="9">
        <v>997.0</v>
      </c>
      <c r="AM66" s="9">
        <v>11226.0</v>
      </c>
      <c r="AN66" s="9">
        <v>2938.0</v>
      </c>
      <c r="AO66" s="9">
        <v>1682.0</v>
      </c>
      <c r="AP66" s="9">
        <v>1958.0</v>
      </c>
      <c r="AQ66" s="9">
        <v>1947.0</v>
      </c>
      <c r="AR66" s="9">
        <v>2978.0</v>
      </c>
      <c r="AS66" s="9">
        <v>28224.0</v>
      </c>
      <c r="AT66" s="9">
        <v>164.0</v>
      </c>
      <c r="AU66" s="9">
        <v>3399.0</v>
      </c>
      <c r="AV66" s="9">
        <v>1305.0</v>
      </c>
      <c r="AW66" s="9">
        <v>2999.0</v>
      </c>
      <c r="AX66" s="9">
        <v>3577.0</v>
      </c>
      <c r="AY66" s="9">
        <v>3847.0</v>
      </c>
      <c r="AZ66" s="9">
        <v>2532.0</v>
      </c>
      <c r="BA66" s="9">
        <v>2691.0</v>
      </c>
      <c r="BB66" s="9">
        <v>7710.0</v>
      </c>
      <c r="BC66" s="9">
        <v>103334.0</v>
      </c>
      <c r="BD66" s="9">
        <v>4429.0</v>
      </c>
      <c r="BE66" s="9">
        <v>7665.0</v>
      </c>
      <c r="BF66" s="9">
        <v>595.0</v>
      </c>
      <c r="BG66" s="9">
        <v>14478.0</v>
      </c>
      <c r="BH66" s="9">
        <v>9773.0</v>
      </c>
      <c r="BI66" s="9">
        <v>14598.0</v>
      </c>
      <c r="BJ66" s="9">
        <v>13089.0</v>
      </c>
      <c r="BK66" s="9">
        <v>34412.0</v>
      </c>
      <c r="BL66" s="9">
        <v>4295.0</v>
      </c>
      <c r="BM66" s="9">
        <v>40368.0</v>
      </c>
      <c r="BN66" s="9">
        <v>1661.0</v>
      </c>
      <c r="BO66" s="9">
        <v>4276.0</v>
      </c>
      <c r="BP66" s="9">
        <v>1462.0</v>
      </c>
      <c r="BQ66" s="9">
        <v>8611.0</v>
      </c>
      <c r="BR66" s="9">
        <v>2202.0</v>
      </c>
      <c r="BS66" s="9">
        <v>6756.0</v>
      </c>
      <c r="BT66" s="9">
        <v>1853.0</v>
      </c>
      <c r="BU66" s="9">
        <v>13547.0</v>
      </c>
      <c r="BV66" s="9">
        <v>9960.0</v>
      </c>
      <c r="BW66" s="9">
        <v>4.0</v>
      </c>
      <c r="BX66" s="9">
        <v>41.0</v>
      </c>
      <c r="BY66" s="9">
        <v>7.0</v>
      </c>
      <c r="BZ66" s="9">
        <v>7468.0</v>
      </c>
      <c r="CA66" s="9">
        <v>2440.0</v>
      </c>
      <c r="CB66" s="9">
        <v>254342.0</v>
      </c>
    </row>
    <row r="67" ht="15.75" customHeight="1">
      <c r="A67" s="9" t="s">
        <v>189</v>
      </c>
      <c r="B67" s="9" t="s">
        <v>196</v>
      </c>
      <c r="C67" s="9">
        <v>14301.0</v>
      </c>
      <c r="D67" s="9">
        <v>155.0</v>
      </c>
      <c r="E67" s="9">
        <v>833.0</v>
      </c>
      <c r="F67" s="9">
        <v>1321.0</v>
      </c>
      <c r="G67" s="9">
        <v>1950.0</v>
      </c>
      <c r="H67" s="9">
        <v>1309.0</v>
      </c>
      <c r="I67" s="9">
        <v>2684.0</v>
      </c>
      <c r="J67" s="9">
        <v>460.0</v>
      </c>
      <c r="K67" s="9">
        <v>2057.0</v>
      </c>
      <c r="L67" s="9">
        <v>939.0</v>
      </c>
      <c r="M67" s="9">
        <v>2593.0</v>
      </c>
      <c r="N67" s="9">
        <v>3286.0</v>
      </c>
      <c r="O67" s="9">
        <v>2280.0</v>
      </c>
      <c r="P67" s="9">
        <v>1006.0</v>
      </c>
      <c r="Q67" s="9">
        <v>3542.0</v>
      </c>
      <c r="R67" s="9">
        <v>3.0</v>
      </c>
      <c r="S67" s="9">
        <v>111.0</v>
      </c>
      <c r="T67" s="9">
        <v>165.0</v>
      </c>
      <c r="U67" s="9">
        <v>836.0</v>
      </c>
      <c r="V67" s="9">
        <v>232.0</v>
      </c>
      <c r="W67" s="9">
        <v>91.0</v>
      </c>
      <c r="X67" s="9">
        <v>286.0</v>
      </c>
      <c r="Y67" s="9">
        <v>1221.0</v>
      </c>
      <c r="Z67" s="9">
        <v>597.0</v>
      </c>
      <c r="AA67" s="9">
        <v>29807.0</v>
      </c>
      <c r="AB67" s="9">
        <v>139.0</v>
      </c>
      <c r="AC67" s="9">
        <v>29365.0</v>
      </c>
      <c r="AD67" s="9">
        <v>303.0</v>
      </c>
      <c r="AE67" s="9">
        <v>700.0</v>
      </c>
      <c r="AF67" s="9">
        <v>56.0</v>
      </c>
      <c r="AG67" s="9">
        <v>591.0</v>
      </c>
      <c r="AH67" s="9">
        <v>53.0</v>
      </c>
      <c r="AI67" s="9">
        <v>28056.0</v>
      </c>
      <c r="AJ67" s="9">
        <v>2363.0</v>
      </c>
      <c r="AK67" s="9">
        <v>1578.0</v>
      </c>
      <c r="AL67" s="9">
        <v>1019.0</v>
      </c>
      <c r="AM67" s="9">
        <v>11138.0</v>
      </c>
      <c r="AN67" s="9">
        <v>3084.0</v>
      </c>
      <c r="AO67" s="9">
        <v>1640.0</v>
      </c>
      <c r="AP67" s="9">
        <v>2109.0</v>
      </c>
      <c r="AQ67" s="9">
        <v>1994.0</v>
      </c>
      <c r="AR67" s="9">
        <v>3131.0</v>
      </c>
      <c r="AS67" s="9">
        <v>28704.0</v>
      </c>
      <c r="AT67" s="9">
        <v>160.0</v>
      </c>
      <c r="AU67" s="9">
        <v>3580.0</v>
      </c>
      <c r="AV67" s="9">
        <v>1408.0</v>
      </c>
      <c r="AW67" s="9">
        <v>2935.0</v>
      </c>
      <c r="AX67" s="9">
        <v>3604.0</v>
      </c>
      <c r="AY67" s="9">
        <v>3794.0</v>
      </c>
      <c r="AZ67" s="9">
        <v>3059.0</v>
      </c>
      <c r="BA67" s="9">
        <v>2479.0</v>
      </c>
      <c r="BB67" s="9">
        <v>7685.0</v>
      </c>
      <c r="BC67" s="9">
        <v>117936.0</v>
      </c>
      <c r="BD67" s="9">
        <v>4763.0</v>
      </c>
      <c r="BE67" s="9">
        <v>8870.0</v>
      </c>
      <c r="BF67" s="9">
        <v>639.0</v>
      </c>
      <c r="BG67" s="9">
        <v>13380.0</v>
      </c>
      <c r="BH67" s="9">
        <v>10489.0</v>
      </c>
      <c r="BI67" s="9">
        <v>15584.0</v>
      </c>
      <c r="BJ67" s="9">
        <v>14637.0</v>
      </c>
      <c r="BK67" s="9">
        <v>37308.0</v>
      </c>
      <c r="BL67" s="9">
        <v>12266.0</v>
      </c>
      <c r="BM67" s="9">
        <v>40567.0</v>
      </c>
      <c r="BN67" s="9">
        <v>1629.0</v>
      </c>
      <c r="BO67" s="9">
        <v>4256.0</v>
      </c>
      <c r="BP67" s="9">
        <v>1537.0</v>
      </c>
      <c r="BQ67" s="9">
        <v>8736.0</v>
      </c>
      <c r="BR67" s="9">
        <v>2177.0</v>
      </c>
      <c r="BS67" s="9">
        <v>6544.0</v>
      </c>
      <c r="BT67" s="9">
        <v>1821.0</v>
      </c>
      <c r="BU67" s="9">
        <v>13867.0</v>
      </c>
      <c r="BV67" s="9">
        <v>21396.0</v>
      </c>
      <c r="BW67" s="9">
        <v>12.0</v>
      </c>
      <c r="BX67" s="9">
        <v>21.0</v>
      </c>
      <c r="BY67" s="9">
        <v>3.0</v>
      </c>
      <c r="BZ67" s="9">
        <v>6220.0</v>
      </c>
      <c r="CA67" s="9">
        <v>15140.0</v>
      </c>
      <c r="CB67" s="9">
        <v>288295.0</v>
      </c>
    </row>
    <row r="68" ht="15.75" customHeight="1">
      <c r="A68" s="9" t="s">
        <v>190</v>
      </c>
      <c r="B68" s="9" t="s">
        <v>196</v>
      </c>
      <c r="C68" s="9">
        <v>15133.0</v>
      </c>
      <c r="D68" s="9">
        <v>168.0</v>
      </c>
      <c r="E68" s="9">
        <v>822.0</v>
      </c>
      <c r="F68" s="9">
        <v>1420.0</v>
      </c>
      <c r="G68" s="9">
        <v>2013.0</v>
      </c>
      <c r="H68" s="9">
        <v>1479.0</v>
      </c>
      <c r="I68" s="9">
        <v>2647.0</v>
      </c>
      <c r="J68" s="9">
        <v>483.0</v>
      </c>
      <c r="K68" s="9">
        <v>2031.0</v>
      </c>
      <c r="L68" s="9">
        <v>1100.0</v>
      </c>
      <c r="M68" s="9">
        <v>2970.0</v>
      </c>
      <c r="N68" s="9">
        <v>3543.0</v>
      </c>
      <c r="O68" s="9">
        <v>2480.0</v>
      </c>
      <c r="P68" s="9">
        <v>1063.0</v>
      </c>
      <c r="Q68" s="9">
        <v>3985.0</v>
      </c>
      <c r="R68" s="9">
        <v>2.0</v>
      </c>
      <c r="S68" s="9">
        <v>115.0</v>
      </c>
      <c r="T68" s="9">
        <v>160.0</v>
      </c>
      <c r="U68" s="9">
        <v>1041.0</v>
      </c>
      <c r="V68" s="9">
        <v>284.0</v>
      </c>
      <c r="W68" s="9">
        <v>99.0</v>
      </c>
      <c r="X68" s="9">
        <v>316.0</v>
      </c>
      <c r="Y68" s="9">
        <v>1306.0</v>
      </c>
      <c r="Z68" s="9">
        <v>662.0</v>
      </c>
      <c r="AA68" s="9">
        <v>40515.0</v>
      </c>
      <c r="AB68" s="9">
        <v>178.0</v>
      </c>
      <c r="AC68" s="9">
        <v>39947.0</v>
      </c>
      <c r="AD68" s="9">
        <v>390.0</v>
      </c>
      <c r="AE68" s="9">
        <v>751.0</v>
      </c>
      <c r="AF68" s="9">
        <v>70.0</v>
      </c>
      <c r="AG68" s="9">
        <v>627.0</v>
      </c>
      <c r="AH68" s="9">
        <v>54.0</v>
      </c>
      <c r="AI68" s="9">
        <v>29834.0</v>
      </c>
      <c r="AJ68" s="9">
        <v>2507.0</v>
      </c>
      <c r="AK68" s="9">
        <v>1107.0</v>
      </c>
      <c r="AL68" s="9">
        <v>1111.0</v>
      </c>
      <c r="AM68" s="9">
        <v>11782.0</v>
      </c>
      <c r="AN68" s="9">
        <v>3595.0</v>
      </c>
      <c r="AO68" s="9">
        <v>1915.0</v>
      </c>
      <c r="AP68" s="9">
        <v>2460.0</v>
      </c>
      <c r="AQ68" s="9">
        <v>2196.0</v>
      </c>
      <c r="AR68" s="9">
        <v>3161.0</v>
      </c>
      <c r="AS68" s="9">
        <v>32448.0</v>
      </c>
      <c r="AT68" s="9">
        <v>154.0</v>
      </c>
      <c r="AU68" s="9">
        <v>3966.0</v>
      </c>
      <c r="AV68" s="9">
        <v>1596.0</v>
      </c>
      <c r="AW68" s="9">
        <v>3163.0</v>
      </c>
      <c r="AX68" s="9">
        <v>3816.0</v>
      </c>
      <c r="AY68" s="9">
        <v>4038.0</v>
      </c>
      <c r="AZ68" s="9">
        <v>3901.0</v>
      </c>
      <c r="BA68" s="9">
        <v>2775.0</v>
      </c>
      <c r="BB68" s="9">
        <v>9039.0</v>
      </c>
      <c r="BC68" s="9">
        <v>121404.0</v>
      </c>
      <c r="BD68" s="9">
        <v>5936.0</v>
      </c>
      <c r="BE68" s="9">
        <v>10484.0</v>
      </c>
      <c r="BF68" s="9">
        <v>751.0</v>
      </c>
      <c r="BG68" s="9">
        <v>14952.0</v>
      </c>
      <c r="BH68" s="9">
        <v>11907.0</v>
      </c>
      <c r="BI68" s="9">
        <v>17166.0</v>
      </c>
      <c r="BJ68" s="9">
        <v>16823.0</v>
      </c>
      <c r="BK68" s="9">
        <v>39091.0</v>
      </c>
      <c r="BL68" s="9">
        <v>4294.0</v>
      </c>
      <c r="BM68" s="9">
        <v>44298.0</v>
      </c>
      <c r="BN68" s="9">
        <v>1789.0</v>
      </c>
      <c r="BO68" s="9">
        <v>4874.0</v>
      </c>
      <c r="BP68" s="9">
        <v>1843.0</v>
      </c>
      <c r="BQ68" s="9">
        <v>9479.0</v>
      </c>
      <c r="BR68" s="9">
        <v>2324.0</v>
      </c>
      <c r="BS68" s="9">
        <v>7364.0</v>
      </c>
      <c r="BT68" s="9">
        <v>1934.0</v>
      </c>
      <c r="BU68" s="9">
        <v>14691.0</v>
      </c>
      <c r="BV68" s="9">
        <v>12138.0</v>
      </c>
      <c r="BW68" s="9">
        <v>5.0</v>
      </c>
      <c r="BX68" s="9">
        <v>30.0</v>
      </c>
      <c r="BY68" s="9">
        <v>7.0</v>
      </c>
      <c r="BZ68" s="9">
        <v>6385.0</v>
      </c>
      <c r="CA68" s="9">
        <v>5711.0</v>
      </c>
      <c r="CB68" s="9">
        <v>304049.0</v>
      </c>
    </row>
    <row r="69" ht="15.75" customHeight="1">
      <c r="A69" s="9" t="s">
        <v>191</v>
      </c>
      <c r="B69" s="9" t="s">
        <v>196</v>
      </c>
      <c r="C69" s="9">
        <v>16939.0</v>
      </c>
      <c r="D69" s="9">
        <v>145.0</v>
      </c>
      <c r="E69" s="9">
        <v>1029.0</v>
      </c>
      <c r="F69" s="9">
        <v>1477.0</v>
      </c>
      <c r="G69" s="9">
        <v>2034.0</v>
      </c>
      <c r="H69" s="9">
        <v>1916.0</v>
      </c>
      <c r="I69" s="9">
        <v>2806.0</v>
      </c>
      <c r="J69" s="9">
        <v>485.0</v>
      </c>
      <c r="K69" s="9">
        <v>2131.0</v>
      </c>
      <c r="L69" s="9">
        <v>1238.0</v>
      </c>
      <c r="M69" s="9">
        <v>3678.0</v>
      </c>
      <c r="N69" s="9">
        <v>3801.0</v>
      </c>
      <c r="O69" s="9">
        <v>2688.0</v>
      </c>
      <c r="P69" s="9">
        <v>1113.0</v>
      </c>
      <c r="Q69" s="9">
        <v>3135.0</v>
      </c>
      <c r="R69" s="9">
        <v>7.0</v>
      </c>
      <c r="S69" s="9">
        <v>127.0</v>
      </c>
      <c r="T69" s="9">
        <v>147.0</v>
      </c>
      <c r="U69" s="9">
        <v>801.0</v>
      </c>
      <c r="V69" s="9">
        <v>260.0</v>
      </c>
      <c r="W69" s="9">
        <v>98.0</v>
      </c>
      <c r="X69" s="9">
        <v>286.0</v>
      </c>
      <c r="Y69" s="9">
        <v>744.0</v>
      </c>
      <c r="Z69" s="9">
        <v>665.0</v>
      </c>
      <c r="AA69" s="9">
        <v>38796.0</v>
      </c>
      <c r="AB69" s="9">
        <v>203.0</v>
      </c>
      <c r="AC69" s="9">
        <v>38357.0</v>
      </c>
      <c r="AD69" s="9">
        <v>236.0</v>
      </c>
      <c r="AE69" s="9">
        <v>726.0</v>
      </c>
      <c r="AF69" s="9">
        <v>83.0</v>
      </c>
      <c r="AG69" s="9">
        <v>579.0</v>
      </c>
      <c r="AH69" s="9">
        <v>64.0</v>
      </c>
      <c r="AI69" s="9">
        <v>31029.0</v>
      </c>
      <c r="AJ69" s="9">
        <v>2260.0</v>
      </c>
      <c r="AK69" s="9">
        <v>1031.0</v>
      </c>
      <c r="AL69" s="9">
        <v>1084.0</v>
      </c>
      <c r="AM69" s="9">
        <v>13112.0</v>
      </c>
      <c r="AN69" s="9">
        <v>3865.0</v>
      </c>
      <c r="AO69" s="9">
        <v>2150.0</v>
      </c>
      <c r="AP69" s="9">
        <v>2211.0</v>
      </c>
      <c r="AQ69" s="9">
        <v>2226.0</v>
      </c>
      <c r="AR69" s="9">
        <v>3090.0</v>
      </c>
      <c r="AS69" s="9">
        <v>32284.0</v>
      </c>
      <c r="AT69" s="9">
        <v>143.0</v>
      </c>
      <c r="AU69" s="9">
        <v>4242.0</v>
      </c>
      <c r="AV69" s="9">
        <v>1517.0</v>
      </c>
      <c r="AW69" s="9">
        <v>3336.0</v>
      </c>
      <c r="AX69" s="9">
        <v>3834.0</v>
      </c>
      <c r="AY69" s="9">
        <v>4110.0</v>
      </c>
      <c r="AZ69" s="9">
        <v>3271.0</v>
      </c>
      <c r="BA69" s="9">
        <v>2874.0</v>
      </c>
      <c r="BB69" s="9">
        <v>8957.0</v>
      </c>
      <c r="BC69" s="9">
        <v>123290.0</v>
      </c>
      <c r="BD69" s="9">
        <v>6310.0</v>
      </c>
      <c r="BE69" s="9">
        <v>10688.0</v>
      </c>
      <c r="BF69" s="9">
        <v>864.0</v>
      </c>
      <c r="BG69" s="9">
        <v>15646.0</v>
      </c>
      <c r="BH69" s="9">
        <v>11737.0</v>
      </c>
      <c r="BI69" s="9">
        <v>17648.0</v>
      </c>
      <c r="BJ69" s="9">
        <v>17451.0</v>
      </c>
      <c r="BK69" s="9">
        <v>37286.0</v>
      </c>
      <c r="BL69" s="9">
        <v>5660.0</v>
      </c>
      <c r="BM69" s="9">
        <v>46317.0</v>
      </c>
      <c r="BN69" s="9">
        <v>1742.0</v>
      </c>
      <c r="BO69" s="9">
        <v>4983.0</v>
      </c>
      <c r="BP69" s="9">
        <v>1886.0</v>
      </c>
      <c r="BQ69" s="9">
        <v>10205.0</v>
      </c>
      <c r="BR69" s="9">
        <v>2564.0</v>
      </c>
      <c r="BS69" s="9">
        <v>7726.0</v>
      </c>
      <c r="BT69" s="9">
        <v>2078.0</v>
      </c>
      <c r="BU69" s="9">
        <v>15133.0</v>
      </c>
      <c r="BV69" s="9">
        <v>11246.0</v>
      </c>
      <c r="BW69" s="9">
        <v>5.0</v>
      </c>
      <c r="BX69" s="9">
        <v>33.0</v>
      </c>
      <c r="BY69" s="9">
        <v>2.0</v>
      </c>
      <c r="BZ69" s="9">
        <v>6772.0</v>
      </c>
      <c r="CA69" s="9">
        <v>4434.0</v>
      </c>
      <c r="CB69" s="9">
        <v>307563.0</v>
      </c>
    </row>
    <row r="70" ht="15.75" customHeight="1">
      <c r="A70" s="9" t="s">
        <v>192</v>
      </c>
      <c r="B70" s="9" t="s">
        <v>196</v>
      </c>
      <c r="C70" s="9">
        <v>17604.0</v>
      </c>
      <c r="D70" s="9">
        <v>157.0</v>
      </c>
      <c r="E70" s="9">
        <v>905.0</v>
      </c>
      <c r="F70" s="9">
        <v>1589.0</v>
      </c>
      <c r="G70" s="9">
        <v>1882.0</v>
      </c>
      <c r="H70" s="9">
        <v>2088.0</v>
      </c>
      <c r="I70" s="9">
        <v>3107.0</v>
      </c>
      <c r="J70" s="9">
        <v>489.0</v>
      </c>
      <c r="K70" s="9">
        <v>2208.0</v>
      </c>
      <c r="L70" s="9">
        <v>1355.0</v>
      </c>
      <c r="M70" s="9">
        <v>3824.0</v>
      </c>
      <c r="N70" s="9">
        <v>3476.0</v>
      </c>
      <c r="O70" s="9">
        <v>2585.0</v>
      </c>
      <c r="P70" s="9">
        <v>891.0</v>
      </c>
      <c r="Q70" s="9">
        <v>3262.0</v>
      </c>
      <c r="R70" s="9">
        <v>7.0</v>
      </c>
      <c r="S70" s="9">
        <v>141.0</v>
      </c>
      <c r="T70" s="9">
        <v>122.0</v>
      </c>
      <c r="U70" s="9">
        <v>801.0</v>
      </c>
      <c r="V70" s="9">
        <v>240.0</v>
      </c>
      <c r="W70" s="9">
        <v>97.0</v>
      </c>
      <c r="X70" s="9">
        <v>298.0</v>
      </c>
      <c r="Y70" s="9">
        <v>870.0</v>
      </c>
      <c r="Z70" s="9">
        <v>686.0</v>
      </c>
      <c r="AA70" s="9">
        <v>23110.0</v>
      </c>
      <c r="AB70" s="9">
        <v>148.0</v>
      </c>
      <c r="AC70" s="9">
        <v>22720.0</v>
      </c>
      <c r="AD70" s="9">
        <v>242.0</v>
      </c>
      <c r="AE70" s="9">
        <v>767.0</v>
      </c>
      <c r="AF70" s="9">
        <v>85.0</v>
      </c>
      <c r="AG70" s="9">
        <v>627.0</v>
      </c>
      <c r="AH70" s="9">
        <v>55.0</v>
      </c>
      <c r="AI70" s="9">
        <v>33288.0</v>
      </c>
      <c r="AJ70" s="9">
        <v>2668.0</v>
      </c>
      <c r="AK70" s="9">
        <v>1043.0</v>
      </c>
      <c r="AL70" s="9">
        <v>1084.0</v>
      </c>
      <c r="AM70" s="9">
        <v>13802.0</v>
      </c>
      <c r="AN70" s="9">
        <v>3970.0</v>
      </c>
      <c r="AO70" s="9">
        <v>2122.0</v>
      </c>
      <c r="AP70" s="9">
        <v>2138.0</v>
      </c>
      <c r="AQ70" s="9">
        <v>2294.0</v>
      </c>
      <c r="AR70" s="9">
        <v>4167.0</v>
      </c>
      <c r="AS70" s="9">
        <v>34400.0</v>
      </c>
      <c r="AT70" s="9">
        <v>135.0</v>
      </c>
      <c r="AU70" s="9">
        <v>4089.0</v>
      </c>
      <c r="AV70" s="9">
        <v>1419.0</v>
      </c>
      <c r="AW70" s="9">
        <v>3274.0</v>
      </c>
      <c r="AX70" s="9">
        <v>5896.0</v>
      </c>
      <c r="AY70" s="9">
        <v>3869.0</v>
      </c>
      <c r="AZ70" s="9">
        <v>3134.0</v>
      </c>
      <c r="BA70" s="9">
        <v>3596.0</v>
      </c>
      <c r="BB70" s="9">
        <v>8988.0</v>
      </c>
      <c r="BC70" s="9">
        <v>119740.0</v>
      </c>
      <c r="BD70" s="9">
        <v>5691.0</v>
      </c>
      <c r="BE70" s="9">
        <v>10600.0</v>
      </c>
      <c r="BF70" s="9">
        <v>751.0</v>
      </c>
      <c r="BG70" s="9">
        <v>15673.0</v>
      </c>
      <c r="BH70" s="9">
        <v>12455.0</v>
      </c>
      <c r="BI70" s="9">
        <v>17588.0</v>
      </c>
      <c r="BJ70" s="9">
        <v>17885.0</v>
      </c>
      <c r="BK70" s="9">
        <v>33502.0</v>
      </c>
      <c r="BL70" s="9">
        <v>5595.0</v>
      </c>
      <c r="BM70" s="9">
        <v>46041.0</v>
      </c>
      <c r="BN70" s="9">
        <v>1726.0</v>
      </c>
      <c r="BO70" s="9">
        <v>5224.0</v>
      </c>
      <c r="BP70" s="9">
        <v>1512.0</v>
      </c>
      <c r="BQ70" s="9">
        <v>10186.0</v>
      </c>
      <c r="BR70" s="9">
        <v>2107.0</v>
      </c>
      <c r="BS70" s="9">
        <v>7758.0</v>
      </c>
      <c r="BT70" s="9">
        <v>1879.0</v>
      </c>
      <c r="BU70" s="9">
        <v>15649.0</v>
      </c>
      <c r="BV70" s="9">
        <v>11914.0</v>
      </c>
      <c r="BW70" s="9">
        <v>2.0</v>
      </c>
      <c r="BX70" s="9">
        <v>60.0</v>
      </c>
      <c r="BY70" s="9">
        <v>12.0</v>
      </c>
      <c r="BZ70" s="9">
        <v>9208.0</v>
      </c>
      <c r="CA70" s="9">
        <v>2632.0</v>
      </c>
      <c r="CB70" s="9">
        <v>293602.0</v>
      </c>
    </row>
    <row r="71" ht="15.75" customHeight="1">
      <c r="A71" s="9" t="s">
        <v>193</v>
      </c>
      <c r="B71" s="9" t="s">
        <v>196</v>
      </c>
      <c r="C71" s="9">
        <v>16408.0</v>
      </c>
      <c r="D71" s="9">
        <v>156.0</v>
      </c>
      <c r="E71" s="9">
        <v>966.0</v>
      </c>
      <c r="F71" s="9">
        <v>1438.0</v>
      </c>
      <c r="G71" s="9">
        <v>1874.0</v>
      </c>
      <c r="H71" s="9">
        <v>1727.0</v>
      </c>
      <c r="I71" s="9">
        <v>2837.0</v>
      </c>
      <c r="J71" s="9">
        <v>491.0</v>
      </c>
      <c r="K71" s="9">
        <v>2164.0</v>
      </c>
      <c r="L71" s="9">
        <v>1220.0</v>
      </c>
      <c r="M71" s="9">
        <v>3535.0</v>
      </c>
      <c r="N71" s="9">
        <v>3448.0</v>
      </c>
      <c r="O71" s="9">
        <v>2744.0</v>
      </c>
      <c r="P71" s="9">
        <v>704.0</v>
      </c>
      <c r="Q71" s="9">
        <v>4248.0</v>
      </c>
      <c r="R71" s="9">
        <v>2.0</v>
      </c>
      <c r="S71" s="9">
        <v>102.0</v>
      </c>
      <c r="T71" s="9">
        <v>134.0</v>
      </c>
      <c r="U71" s="9">
        <v>1051.0</v>
      </c>
      <c r="V71" s="9">
        <v>281.0</v>
      </c>
      <c r="W71" s="9">
        <v>115.0</v>
      </c>
      <c r="X71" s="9">
        <v>426.0</v>
      </c>
      <c r="Y71" s="9">
        <v>1425.0</v>
      </c>
      <c r="Z71" s="9">
        <v>712.0</v>
      </c>
      <c r="AA71" s="9">
        <v>34554.0</v>
      </c>
      <c r="AB71" s="9">
        <v>200.0</v>
      </c>
      <c r="AC71" s="9">
        <v>34044.0</v>
      </c>
      <c r="AD71" s="9">
        <v>310.0</v>
      </c>
      <c r="AE71" s="9">
        <v>831.0</v>
      </c>
      <c r="AF71" s="9">
        <v>90.0</v>
      </c>
      <c r="AG71" s="9">
        <v>680.0</v>
      </c>
      <c r="AH71" s="9">
        <v>61.0</v>
      </c>
      <c r="AI71" s="9">
        <v>37024.0</v>
      </c>
      <c r="AJ71" s="9">
        <v>3051.0</v>
      </c>
      <c r="AK71" s="9">
        <v>1286.0</v>
      </c>
      <c r="AL71" s="9">
        <v>1152.0</v>
      </c>
      <c r="AM71" s="9">
        <v>14770.0</v>
      </c>
      <c r="AN71" s="9">
        <v>3861.0</v>
      </c>
      <c r="AO71" s="9">
        <v>3289.0</v>
      </c>
      <c r="AP71" s="9">
        <v>2677.0</v>
      </c>
      <c r="AQ71" s="9">
        <v>2448.0</v>
      </c>
      <c r="AR71" s="9">
        <v>4490.0</v>
      </c>
      <c r="AS71" s="9">
        <v>36976.0</v>
      </c>
      <c r="AT71" s="9">
        <v>174.0</v>
      </c>
      <c r="AU71" s="9">
        <v>4349.0</v>
      </c>
      <c r="AV71" s="9">
        <v>1678.0</v>
      </c>
      <c r="AW71" s="9">
        <v>3217.0</v>
      </c>
      <c r="AX71" s="9">
        <v>4692.0</v>
      </c>
      <c r="AY71" s="9">
        <v>4281.0</v>
      </c>
      <c r="AZ71" s="9">
        <v>4050.0</v>
      </c>
      <c r="BA71" s="9">
        <v>4056.0</v>
      </c>
      <c r="BB71" s="9">
        <v>10479.0</v>
      </c>
      <c r="BC71" s="9">
        <v>135404.0</v>
      </c>
      <c r="BD71" s="9">
        <v>5352.0</v>
      </c>
      <c r="BE71" s="9">
        <v>12971.0</v>
      </c>
      <c r="BF71" s="9">
        <v>971.0</v>
      </c>
      <c r="BG71" s="9">
        <v>16935.0</v>
      </c>
      <c r="BH71" s="9">
        <v>13204.0</v>
      </c>
      <c r="BI71" s="9">
        <v>17682.0</v>
      </c>
      <c r="BJ71" s="9">
        <v>19654.0</v>
      </c>
      <c r="BK71" s="9">
        <v>42876.0</v>
      </c>
      <c r="BL71" s="9">
        <v>5759.0</v>
      </c>
      <c r="BM71" s="9">
        <v>50134.0</v>
      </c>
      <c r="BN71" s="9">
        <v>1958.0</v>
      </c>
      <c r="BO71" s="9">
        <v>5647.0</v>
      </c>
      <c r="BP71" s="9">
        <v>1632.0</v>
      </c>
      <c r="BQ71" s="9">
        <v>10984.0</v>
      </c>
      <c r="BR71" s="9">
        <v>2411.0</v>
      </c>
      <c r="BS71" s="9">
        <v>8175.0</v>
      </c>
      <c r="BT71" s="9">
        <v>2067.0</v>
      </c>
      <c r="BU71" s="9">
        <v>17260.0</v>
      </c>
      <c r="BV71" s="9">
        <v>11211.0</v>
      </c>
      <c r="BW71" s="9">
        <v>4.0</v>
      </c>
      <c r="BX71" s="9">
        <v>56.0</v>
      </c>
      <c r="BY71" s="9">
        <v>11.0</v>
      </c>
      <c r="BZ71" s="9">
        <v>6525.0</v>
      </c>
      <c r="CA71" s="9">
        <v>4615.0</v>
      </c>
      <c r="CB71" s="9">
        <v>330238.0</v>
      </c>
    </row>
    <row r="72" ht="15.75" customHeight="1">
      <c r="A72" s="9" t="s">
        <v>194</v>
      </c>
      <c r="B72" s="9" t="s">
        <v>196</v>
      </c>
      <c r="C72" s="9">
        <v>19523.0</v>
      </c>
      <c r="D72" s="9">
        <v>167.0</v>
      </c>
      <c r="E72" s="9">
        <v>1070.0</v>
      </c>
      <c r="F72" s="9">
        <v>1809.0</v>
      </c>
      <c r="G72" s="9">
        <v>2449.0</v>
      </c>
      <c r="H72" s="9">
        <v>2011.0</v>
      </c>
      <c r="I72" s="9">
        <v>3163.0</v>
      </c>
      <c r="J72" s="9">
        <v>565.0</v>
      </c>
      <c r="K72" s="9">
        <v>2566.0</v>
      </c>
      <c r="L72" s="9">
        <v>1660.0</v>
      </c>
      <c r="M72" s="9">
        <v>4063.0</v>
      </c>
      <c r="N72" s="9">
        <v>3852.0</v>
      </c>
      <c r="O72" s="9">
        <v>3170.0</v>
      </c>
      <c r="P72" s="9">
        <v>682.0</v>
      </c>
      <c r="Q72" s="9">
        <v>4651.0</v>
      </c>
      <c r="R72" s="9">
        <v>4.0</v>
      </c>
      <c r="S72" s="9">
        <v>135.0</v>
      </c>
      <c r="T72" s="9">
        <v>148.0</v>
      </c>
      <c r="U72" s="9">
        <v>1444.0</v>
      </c>
      <c r="V72" s="9">
        <v>365.0</v>
      </c>
      <c r="W72" s="9">
        <v>125.0</v>
      </c>
      <c r="X72" s="9">
        <v>604.0</v>
      </c>
      <c r="Y72" s="9">
        <v>945.0</v>
      </c>
      <c r="Z72" s="9">
        <v>881.0</v>
      </c>
      <c r="AA72" s="9">
        <v>65809.0</v>
      </c>
      <c r="AB72" s="9">
        <v>375.0</v>
      </c>
      <c r="AC72" s="9">
        <v>65082.0</v>
      </c>
      <c r="AD72" s="9">
        <v>352.0</v>
      </c>
      <c r="AE72" s="9">
        <v>1092.0</v>
      </c>
      <c r="AF72" s="9">
        <v>128.0</v>
      </c>
      <c r="AG72" s="9">
        <v>888.0</v>
      </c>
      <c r="AH72" s="9">
        <v>76.0</v>
      </c>
      <c r="AI72" s="9">
        <v>51390.0</v>
      </c>
      <c r="AJ72" s="9">
        <v>3755.0</v>
      </c>
      <c r="AK72" s="9">
        <v>3401.0</v>
      </c>
      <c r="AL72" s="9">
        <v>1267.0</v>
      </c>
      <c r="AM72" s="9">
        <v>19106.0</v>
      </c>
      <c r="AN72" s="9">
        <v>4657.0</v>
      </c>
      <c r="AO72" s="9">
        <v>5706.0</v>
      </c>
      <c r="AP72" s="9">
        <v>3148.0</v>
      </c>
      <c r="AQ72" s="9">
        <v>2866.0</v>
      </c>
      <c r="AR72" s="9">
        <v>7484.0</v>
      </c>
      <c r="AS72" s="9">
        <v>44017.0</v>
      </c>
      <c r="AT72" s="9">
        <v>202.0</v>
      </c>
      <c r="AU72" s="9">
        <v>5123.0</v>
      </c>
      <c r="AV72" s="9">
        <v>2045.0</v>
      </c>
      <c r="AW72" s="9">
        <v>3802.0</v>
      </c>
      <c r="AX72" s="9">
        <v>5323.0</v>
      </c>
      <c r="AY72" s="9">
        <v>4835.0</v>
      </c>
      <c r="AZ72" s="9">
        <v>5214.0</v>
      </c>
      <c r="BA72" s="9">
        <v>5023.0</v>
      </c>
      <c r="BB72" s="9">
        <v>12450.0</v>
      </c>
      <c r="BC72" s="9">
        <v>156901.0</v>
      </c>
      <c r="BD72" s="9">
        <v>6250.0</v>
      </c>
      <c r="BE72" s="9">
        <v>15810.0</v>
      </c>
      <c r="BF72" s="9">
        <v>1095.0</v>
      </c>
      <c r="BG72" s="9">
        <v>19875.0</v>
      </c>
      <c r="BH72" s="9">
        <v>14727.0</v>
      </c>
      <c r="BI72" s="9">
        <v>20341.0</v>
      </c>
      <c r="BJ72" s="9">
        <v>23299.0</v>
      </c>
      <c r="BK72" s="9">
        <v>50050.0</v>
      </c>
      <c r="BL72" s="9">
        <v>5454.0</v>
      </c>
      <c r="BM72" s="9">
        <v>57475.0</v>
      </c>
      <c r="BN72" s="9">
        <v>2136.0</v>
      </c>
      <c r="BO72" s="9">
        <v>6266.0</v>
      </c>
      <c r="BP72" s="9">
        <v>2203.0</v>
      </c>
      <c r="BQ72" s="9">
        <v>12829.0</v>
      </c>
      <c r="BR72" s="9">
        <v>3104.0</v>
      </c>
      <c r="BS72" s="9">
        <v>9104.0</v>
      </c>
      <c r="BT72" s="9">
        <v>2481.0</v>
      </c>
      <c r="BU72" s="9">
        <v>19352.0</v>
      </c>
      <c r="BV72" s="9">
        <v>12288.0</v>
      </c>
      <c r="BW72" s="9">
        <v>3.0</v>
      </c>
      <c r="BX72" s="9">
        <v>80.0</v>
      </c>
      <c r="BY72" s="9">
        <v>17.0</v>
      </c>
      <c r="BZ72" s="9">
        <v>6959.0</v>
      </c>
      <c r="CA72" s="9">
        <v>5229.0</v>
      </c>
      <c r="CB72" s="9">
        <v>416998.0</v>
      </c>
    </row>
    <row r="73" ht="15.75" customHeight="1">
      <c r="A73" s="9" t="s">
        <v>195</v>
      </c>
      <c r="B73" s="9" t="s">
        <v>196</v>
      </c>
      <c r="C73" s="9">
        <v>19679.0</v>
      </c>
      <c r="D73" s="9">
        <v>212.0</v>
      </c>
      <c r="E73" s="9">
        <v>1035.0</v>
      </c>
      <c r="F73" s="9">
        <v>2034.0</v>
      </c>
      <c r="G73" s="9">
        <v>2230.0</v>
      </c>
      <c r="H73" s="9">
        <v>2137.0</v>
      </c>
      <c r="I73" s="9">
        <v>3365.0</v>
      </c>
      <c r="J73" s="9">
        <v>611.0</v>
      </c>
      <c r="K73" s="9">
        <v>2582.0</v>
      </c>
      <c r="L73" s="9">
        <v>1438.0</v>
      </c>
      <c r="M73" s="9">
        <v>4035.0</v>
      </c>
      <c r="N73" s="9">
        <v>3516.0</v>
      </c>
      <c r="O73" s="9">
        <v>2928.0</v>
      </c>
      <c r="P73" s="9">
        <v>588.0</v>
      </c>
      <c r="Q73" s="9">
        <v>3930.0</v>
      </c>
      <c r="R73" s="9">
        <v>2.0</v>
      </c>
      <c r="S73" s="9">
        <v>120.0</v>
      </c>
      <c r="T73" s="9">
        <v>130.0</v>
      </c>
      <c r="U73" s="9">
        <v>841.0</v>
      </c>
      <c r="V73" s="9">
        <v>280.0</v>
      </c>
      <c r="W73" s="9">
        <v>119.0</v>
      </c>
      <c r="X73" s="9">
        <v>478.0</v>
      </c>
      <c r="Y73" s="9">
        <v>1019.0</v>
      </c>
      <c r="Z73" s="9">
        <v>941.0</v>
      </c>
      <c r="AA73" s="9">
        <v>60980.0</v>
      </c>
      <c r="AB73" s="9">
        <v>306.0</v>
      </c>
      <c r="AC73" s="9">
        <v>60381.0</v>
      </c>
      <c r="AD73" s="9">
        <v>293.0</v>
      </c>
      <c r="AE73" s="9">
        <v>991.0</v>
      </c>
      <c r="AF73" s="9">
        <v>162.0</v>
      </c>
      <c r="AG73" s="9">
        <v>751.0</v>
      </c>
      <c r="AH73" s="9">
        <v>78.0</v>
      </c>
      <c r="AI73" s="9">
        <v>42832.0</v>
      </c>
      <c r="AJ73" s="9">
        <v>2720.0</v>
      </c>
      <c r="AK73" s="9">
        <v>2830.0</v>
      </c>
      <c r="AL73" s="9">
        <v>1148.0</v>
      </c>
      <c r="AM73" s="9">
        <v>17001.0</v>
      </c>
      <c r="AN73" s="9">
        <v>5168.0</v>
      </c>
      <c r="AO73" s="9">
        <v>3563.0</v>
      </c>
      <c r="AP73" s="9">
        <v>2728.0</v>
      </c>
      <c r="AQ73" s="9">
        <v>2702.0</v>
      </c>
      <c r="AR73" s="9">
        <v>4972.0</v>
      </c>
      <c r="AS73" s="9">
        <v>40646.0</v>
      </c>
      <c r="AT73" s="9">
        <v>176.0</v>
      </c>
      <c r="AU73" s="9">
        <v>5190.0</v>
      </c>
      <c r="AV73" s="9">
        <v>1733.0</v>
      </c>
      <c r="AW73" s="9">
        <v>3827.0</v>
      </c>
      <c r="AX73" s="9">
        <v>4277.0</v>
      </c>
      <c r="AY73" s="9">
        <v>4605.0</v>
      </c>
      <c r="AZ73" s="9">
        <v>4746.0</v>
      </c>
      <c r="BA73" s="9">
        <v>4174.0</v>
      </c>
      <c r="BB73" s="9">
        <v>11918.0</v>
      </c>
      <c r="BC73" s="9">
        <v>173529.0</v>
      </c>
      <c r="BD73" s="9">
        <v>7399.0</v>
      </c>
      <c r="BE73" s="9">
        <v>18320.0</v>
      </c>
      <c r="BF73" s="9">
        <v>1171.0</v>
      </c>
      <c r="BG73" s="9">
        <v>20855.0</v>
      </c>
      <c r="BH73" s="9">
        <v>12526.0</v>
      </c>
      <c r="BI73" s="9">
        <v>20205.0</v>
      </c>
      <c r="BJ73" s="9">
        <v>23991.0</v>
      </c>
      <c r="BK73" s="9">
        <v>63067.0</v>
      </c>
      <c r="BL73" s="9">
        <v>5995.0</v>
      </c>
      <c r="BM73" s="9">
        <v>55706.0</v>
      </c>
      <c r="BN73" s="9">
        <v>1960.0</v>
      </c>
      <c r="BO73" s="9">
        <v>5336.0</v>
      </c>
      <c r="BP73" s="9">
        <v>2249.0</v>
      </c>
      <c r="BQ73" s="9">
        <v>12165.0</v>
      </c>
      <c r="BR73" s="9">
        <v>2886.0</v>
      </c>
      <c r="BS73" s="9">
        <v>10011.0</v>
      </c>
      <c r="BT73" s="9">
        <v>2601.0</v>
      </c>
      <c r="BU73" s="9">
        <v>18498.0</v>
      </c>
      <c r="BV73" s="9">
        <v>12573.0</v>
      </c>
      <c r="BW73" s="9">
        <v>6.0</v>
      </c>
      <c r="BX73" s="9">
        <v>66.0</v>
      </c>
      <c r="BY73" s="9">
        <v>19.0</v>
      </c>
      <c r="BZ73" s="9">
        <v>8565.0</v>
      </c>
      <c r="CA73" s="9">
        <v>3917.0</v>
      </c>
      <c r="CB73" s="9">
        <v>414382.0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>
      <c r="A1" s="12" t="s">
        <v>275</v>
      </c>
      <c r="B1" s="12" t="s">
        <v>276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2" t="s">
        <v>66</v>
      </c>
      <c r="BQ1" s="12" t="s">
        <v>67</v>
      </c>
      <c r="BR1" s="12" t="s">
        <v>68</v>
      </c>
      <c r="BS1" s="12" t="s">
        <v>69</v>
      </c>
      <c r="BT1" s="12" t="s">
        <v>70</v>
      </c>
      <c r="BU1" s="12" t="s">
        <v>71</v>
      </c>
      <c r="BV1" s="12" t="s">
        <v>72</v>
      </c>
      <c r="BW1" s="12" t="s">
        <v>73</v>
      </c>
      <c r="BX1" s="12" t="s">
        <v>74</v>
      </c>
      <c r="BY1" s="12" t="s">
        <v>75</v>
      </c>
      <c r="BZ1" s="12" t="s">
        <v>76</v>
      </c>
      <c r="CA1" s="12" t="s">
        <v>77</v>
      </c>
      <c r="CB1" s="12" t="s">
        <v>78</v>
      </c>
    </row>
    <row r="2">
      <c r="A2" s="9" t="s">
        <v>160</v>
      </c>
      <c r="B2" s="9" t="s">
        <v>0</v>
      </c>
      <c r="C2" s="11">
        <v>0.18654549746252802</v>
      </c>
      <c r="D2" s="11">
        <v>0.04074402125775022</v>
      </c>
      <c r="E2" s="11">
        <v>0.30659243325319496</v>
      </c>
      <c r="F2" s="11">
        <v>0.06693660635201822</v>
      </c>
      <c r="G2" s="11">
        <v>0.08389219283816272</v>
      </c>
      <c r="H2" s="11">
        <v>0.26205238517018853</v>
      </c>
      <c r="I2" s="11">
        <v>0.0764266734151588</v>
      </c>
      <c r="J2" s="11">
        <v>0.10869290142983677</v>
      </c>
      <c r="K2" s="11">
        <v>0.008604327470580792</v>
      </c>
      <c r="L2" s="11">
        <v>0.03454384410983171</v>
      </c>
      <c r="M2" s="11">
        <v>0.011514614703277236</v>
      </c>
      <c r="N2" s="11">
        <v>0.0064203941933199575</v>
      </c>
      <c r="O2" s="11">
        <v>0.9191176470588235</v>
      </c>
      <c r="P2" s="11">
        <v>0.08088235294117647</v>
      </c>
      <c r="Q2" s="11">
        <v>0.3156615130414257</v>
      </c>
      <c r="R2" s="11">
        <v>0.04591340761235325</v>
      </c>
      <c r="S2" s="11">
        <v>0.004710984820160024</v>
      </c>
      <c r="T2" s="11">
        <v>7.477753682793689E-4</v>
      </c>
      <c r="U2" s="11">
        <v>0.0328273386674643</v>
      </c>
      <c r="V2" s="11">
        <v>0.0027667688626336648</v>
      </c>
      <c r="W2" s="11">
        <v>0.4688551559111643</v>
      </c>
      <c r="X2" s="11">
        <v>0.016525835638974053</v>
      </c>
      <c r="Y2" s="11">
        <v>0.4183803185523069</v>
      </c>
      <c r="Z2" s="11">
        <v>0.009272414566664174</v>
      </c>
      <c r="AA2" s="11">
        <v>0.15250796648176562</v>
      </c>
      <c r="AB2" s="11">
        <v>0.717535985141619</v>
      </c>
      <c r="AC2" s="11">
        <v>0.24996130629933447</v>
      </c>
      <c r="AD2" s="11">
        <v>0.032502708559046585</v>
      </c>
      <c r="AE2" s="11">
        <v>0.003446241000826154</v>
      </c>
      <c r="AF2" s="11">
        <v>0.8356164383561644</v>
      </c>
      <c r="AG2" s="11">
        <v>0.0958904109589041</v>
      </c>
      <c r="AH2" s="11">
        <v>0.0684931506849315</v>
      </c>
      <c r="AI2" s="11">
        <v>0.02457217042369881</v>
      </c>
      <c r="AJ2" s="11">
        <v>0.09798270893371758</v>
      </c>
      <c r="AK2" s="11">
        <v>0.08261287223823247</v>
      </c>
      <c r="AL2" s="11">
        <v>0.10470701248799232</v>
      </c>
      <c r="AM2" s="11">
        <v>0.21998078770413065</v>
      </c>
      <c r="AN2" s="11">
        <v>0.08549471661863593</v>
      </c>
      <c r="AO2" s="11">
        <v>0.008645533141210375</v>
      </c>
      <c r="AP2" s="11">
        <v>0.15081652257444764</v>
      </c>
      <c r="AQ2" s="11">
        <v>0.05859750240153699</v>
      </c>
      <c r="AR2" s="11">
        <v>0.19116234390009607</v>
      </c>
      <c r="AS2" s="11">
        <v>0.12614186238640387</v>
      </c>
      <c r="AT2" s="11">
        <v>0.030875748502994012</v>
      </c>
      <c r="AU2" s="11">
        <v>0.01347305389221557</v>
      </c>
      <c r="AV2" s="11">
        <v>0.00280688622754491</v>
      </c>
      <c r="AW2" s="11">
        <v>0.021706586826347306</v>
      </c>
      <c r="AX2" s="11">
        <v>0.027694610778443114</v>
      </c>
      <c r="AY2" s="11">
        <v>0.05950598802395209</v>
      </c>
      <c r="AZ2" s="11">
        <v>0.09375</v>
      </c>
      <c r="BA2" s="11">
        <v>0.6929266467065869</v>
      </c>
      <c r="BB2" s="11">
        <v>0.05726047904191617</v>
      </c>
      <c r="BC2" s="11">
        <v>0.06477044730319839</v>
      </c>
      <c r="BD2" s="11">
        <v>0.13338192419825073</v>
      </c>
      <c r="BE2" s="11">
        <v>0.12244897959183673</v>
      </c>
      <c r="BF2" s="11">
        <v>0.014212827988338192</v>
      </c>
      <c r="BG2" s="11">
        <v>0.11734693877551021</v>
      </c>
      <c r="BH2" s="11">
        <v>0.14795918367346939</v>
      </c>
      <c r="BI2" s="11">
        <v>0.05174927113702624</v>
      </c>
      <c r="BJ2" s="11">
        <v>0.10204081632653061</v>
      </c>
      <c r="BK2" s="11">
        <v>0.14285714285714285</v>
      </c>
      <c r="BL2" s="11">
        <v>0.16800291545189505</v>
      </c>
      <c r="BM2" s="11">
        <v>0.025374719697863802</v>
      </c>
      <c r="BN2" s="11">
        <v>0.02883720930232558</v>
      </c>
      <c r="BO2" s="11">
        <v>0.03348837209302326</v>
      </c>
      <c r="BP2" s="11">
        <v>0.0018604651162790699</v>
      </c>
      <c r="BQ2" s="11">
        <v>0.06046511627906977</v>
      </c>
      <c r="BR2" s="11">
        <v>0.013023255813953489</v>
      </c>
      <c r="BS2" s="11">
        <v>0.18232558139534882</v>
      </c>
      <c r="BT2" s="11">
        <v>0.2576744186046512</v>
      </c>
      <c r="BU2" s="11">
        <v>0.4223255813953488</v>
      </c>
      <c r="BV2" s="11">
        <v>0.09455918800896967</v>
      </c>
      <c r="BW2" s="11">
        <v>0.038941587618572145</v>
      </c>
      <c r="BX2" s="11">
        <v>0.04892661008487269</v>
      </c>
      <c r="BY2" s="11">
        <v>2.4962556165751375E-4</v>
      </c>
      <c r="BZ2" s="11">
        <v>0.6674987518721918</v>
      </c>
      <c r="CA2" s="11">
        <v>0.24438342486270595</v>
      </c>
      <c r="CB2" s="11">
        <v>1.0</v>
      </c>
    </row>
    <row r="3">
      <c r="A3" s="9" t="s">
        <v>161</v>
      </c>
      <c r="B3" s="9" t="s">
        <v>0</v>
      </c>
      <c r="C3" s="11">
        <v>0.2018553586246516</v>
      </c>
      <c r="D3" s="11">
        <v>0.02571940550226626</v>
      </c>
      <c r="E3" s="11">
        <v>0.2781701275429535</v>
      </c>
      <c r="F3" s="11">
        <v>0.07188784652682619</v>
      </c>
      <c r="G3" s="11">
        <v>0.06809318014124592</v>
      </c>
      <c r="H3" s="11">
        <v>0.3378307157162433</v>
      </c>
      <c r="I3" s="11">
        <v>0.05417940339411827</v>
      </c>
      <c r="J3" s="11">
        <v>0.11889954674818172</v>
      </c>
      <c r="K3" s="11">
        <v>0.006851480973964372</v>
      </c>
      <c r="L3" s="11">
        <v>0.028143775693053652</v>
      </c>
      <c r="M3" s="11">
        <v>0.010224517761146832</v>
      </c>
      <c r="N3" s="11">
        <v>0.0048511670461073636</v>
      </c>
      <c r="O3" s="11">
        <v>0.9254385964912281</v>
      </c>
      <c r="P3" s="11">
        <v>0.07456140350877193</v>
      </c>
      <c r="Q3" s="11">
        <v>0.3005170322772825</v>
      </c>
      <c r="R3" s="11">
        <v>0.03646275842537525</v>
      </c>
      <c r="S3" s="11">
        <v>0.003115264797507788</v>
      </c>
      <c r="T3" s="11">
        <v>9.912206173888418E-4</v>
      </c>
      <c r="U3" s="11">
        <v>0.028957802322288305</v>
      </c>
      <c r="V3" s="11">
        <v>0.002336448598130841</v>
      </c>
      <c r="W3" s="11">
        <v>0.3994619088077032</v>
      </c>
      <c r="X3" s="11">
        <v>0.014585103370150098</v>
      </c>
      <c r="Y3" s="11">
        <v>0.5046728971962616</v>
      </c>
      <c r="Z3" s="11">
        <v>0.009416595865193996</v>
      </c>
      <c r="AA3" s="11">
        <v>0.15391816847166961</v>
      </c>
      <c r="AB3" s="11">
        <v>0.734586674039259</v>
      </c>
      <c r="AC3" s="11">
        <v>0.22947193807022395</v>
      </c>
      <c r="AD3" s="11">
        <v>0.035941387890517006</v>
      </c>
      <c r="AE3" s="11">
        <v>0.002361752377710164</v>
      </c>
      <c r="AF3" s="11">
        <v>0.9009009009009009</v>
      </c>
      <c r="AG3" s="11">
        <v>0.009009009009009009</v>
      </c>
      <c r="AH3" s="11">
        <v>0.09009009009009009</v>
      </c>
      <c r="AI3" s="11">
        <v>0.024979254877763358</v>
      </c>
      <c r="AJ3" s="11">
        <v>0.07666098807495741</v>
      </c>
      <c r="AK3" s="11">
        <v>0.09965928449744463</v>
      </c>
      <c r="AL3" s="11">
        <v>0.2010221465076661</v>
      </c>
      <c r="AM3" s="11">
        <v>0.20954003407155025</v>
      </c>
      <c r="AN3" s="11">
        <v>0.07836456558773425</v>
      </c>
      <c r="AO3" s="11">
        <v>0.007666098807495741</v>
      </c>
      <c r="AP3" s="11">
        <v>0.12350936967632027</v>
      </c>
      <c r="AQ3" s="11">
        <v>0.048551959114139696</v>
      </c>
      <c r="AR3" s="11">
        <v>0.15502555366269166</v>
      </c>
      <c r="AS3" s="11">
        <v>0.12900274473924978</v>
      </c>
      <c r="AT3" s="11">
        <v>0.024905162460827975</v>
      </c>
      <c r="AU3" s="11">
        <v>0.010225960745505525</v>
      </c>
      <c r="AV3" s="11">
        <v>0.0021441530595414813</v>
      </c>
      <c r="AW3" s="11">
        <v>0.02259607455055253</v>
      </c>
      <c r="AX3" s="11">
        <v>0.027709054923305294</v>
      </c>
      <c r="AY3" s="11">
        <v>0.07372587827808016</v>
      </c>
      <c r="AZ3" s="11">
        <v>0.09632195282863269</v>
      </c>
      <c r="BA3" s="11">
        <v>0.6849744350981363</v>
      </c>
      <c r="BB3" s="11">
        <v>0.05739732805541811</v>
      </c>
      <c r="BC3" s="11">
        <v>0.06991638119959999</v>
      </c>
      <c r="BD3" s="11">
        <v>0.11503347534996956</v>
      </c>
      <c r="BE3" s="11">
        <v>0.1162507608034084</v>
      </c>
      <c r="BF3" s="11">
        <v>0.016433353621424222</v>
      </c>
      <c r="BG3" s="11">
        <v>0.10681679853925746</v>
      </c>
      <c r="BH3" s="11">
        <v>0.14607425441265978</v>
      </c>
      <c r="BI3" s="11">
        <v>0.06664637857577602</v>
      </c>
      <c r="BJ3" s="11">
        <v>0.09951308581862446</v>
      </c>
      <c r="BK3" s="11">
        <v>0.1545952525867316</v>
      </c>
      <c r="BL3" s="11">
        <v>0.1786366402921485</v>
      </c>
      <c r="BM3" s="11">
        <v>0.02674524989893402</v>
      </c>
      <c r="BN3" s="11">
        <v>0.022275258552108195</v>
      </c>
      <c r="BO3" s="11">
        <v>0.02784407319013524</v>
      </c>
      <c r="BP3" s="11">
        <v>0.002386634844868735</v>
      </c>
      <c r="BQ3" s="11">
        <v>0.07000795544948289</v>
      </c>
      <c r="BR3" s="11">
        <v>0.018297533810660304</v>
      </c>
      <c r="BS3" s="11">
        <v>0.1917263325377884</v>
      </c>
      <c r="BT3" s="11">
        <v>0.19888623707239458</v>
      </c>
      <c r="BU3" s="11">
        <v>0.46857597454256167</v>
      </c>
      <c r="BV3" s="11">
        <v>0.08585289048703164</v>
      </c>
      <c r="BW3" s="11">
        <v>0.0379182156133829</v>
      </c>
      <c r="BX3" s="11">
        <v>0.05080545229244114</v>
      </c>
      <c r="BY3" s="11">
        <v>0.0</v>
      </c>
      <c r="BZ3" s="11">
        <v>0.6418835192069393</v>
      </c>
      <c r="CA3" s="11">
        <v>0.26939281288723665</v>
      </c>
      <c r="CB3" s="11">
        <v>0.9999999999999999</v>
      </c>
    </row>
    <row r="4">
      <c r="A4" s="9" t="s">
        <v>162</v>
      </c>
      <c r="B4" s="9" t="s">
        <v>0</v>
      </c>
      <c r="C4" s="11">
        <v>0.1911105871256779</v>
      </c>
      <c r="D4" s="11">
        <v>0.016759202138597575</v>
      </c>
      <c r="E4" s="11">
        <v>0.31770512029611353</v>
      </c>
      <c r="F4" s="11">
        <v>0.06950442113921447</v>
      </c>
      <c r="G4" s="11">
        <v>0.06950442113921447</v>
      </c>
      <c r="H4" s="11">
        <v>0.3098910137775036</v>
      </c>
      <c r="I4" s="11">
        <v>0.059736787990952084</v>
      </c>
      <c r="J4" s="11">
        <v>0.11320172732880937</v>
      </c>
      <c r="K4" s="11">
        <v>0.008431009664815957</v>
      </c>
      <c r="L4" s="11">
        <v>0.024470491466173146</v>
      </c>
      <c r="M4" s="11">
        <v>0.0107958050586058</v>
      </c>
      <c r="N4" s="11">
        <v>0.005600094317377977</v>
      </c>
      <c r="O4" s="11">
        <v>0.9333333333333333</v>
      </c>
      <c r="P4" s="11">
        <v>0.06666666666666667</v>
      </c>
      <c r="Q4" s="11">
        <v>0.2645012968639472</v>
      </c>
      <c r="R4" s="11">
        <v>0.03922442611990194</v>
      </c>
      <c r="S4" s="11">
        <v>0.003788722977490528</v>
      </c>
      <c r="T4" s="11">
        <v>5.943094866651809E-4</v>
      </c>
      <c r="U4" s="11">
        <v>0.02986405170492534</v>
      </c>
      <c r="V4" s="11">
        <v>0.0015600624024961</v>
      </c>
      <c r="W4" s="11">
        <v>0.29262313349676844</v>
      </c>
      <c r="X4" s="11">
        <v>0.017829284599955426</v>
      </c>
      <c r="Y4" s="11">
        <v>0.6027041081643266</v>
      </c>
      <c r="Z4" s="11">
        <v>0.01181190104747047</v>
      </c>
      <c r="AA4" s="11">
        <v>0.18855615813880375</v>
      </c>
      <c r="AB4" s="11">
        <v>0.6277615673197166</v>
      </c>
      <c r="AC4" s="11">
        <v>0.3003334722801167</v>
      </c>
      <c r="AD4" s="11">
        <v>0.07190496040016674</v>
      </c>
      <c r="AE4" s="11">
        <v>0.0024758311718934213</v>
      </c>
      <c r="AF4" s="11">
        <v>0.8968253968253969</v>
      </c>
      <c r="AG4" s="11">
        <v>0.007936507936507936</v>
      </c>
      <c r="AH4" s="11">
        <v>0.09523809523809523</v>
      </c>
      <c r="AI4" s="11">
        <v>0.02544604260001572</v>
      </c>
      <c r="AJ4" s="11">
        <v>0.08185328185328185</v>
      </c>
      <c r="AK4" s="11">
        <v>0.13513513513513514</v>
      </c>
      <c r="AL4" s="11">
        <v>0.17065637065637065</v>
      </c>
      <c r="AM4" s="11">
        <v>0.22625482625482626</v>
      </c>
      <c r="AN4" s="11">
        <v>0.08108108108108109</v>
      </c>
      <c r="AO4" s="11">
        <v>0.009266409266409266</v>
      </c>
      <c r="AP4" s="11">
        <v>0.10501930501930502</v>
      </c>
      <c r="AQ4" s="11">
        <v>0.05868725868725869</v>
      </c>
      <c r="AR4" s="11">
        <v>0.13204633204633204</v>
      </c>
      <c r="AS4" s="11">
        <v>0.12294663208362808</v>
      </c>
      <c r="AT4" s="11">
        <v>0.02876778008630334</v>
      </c>
      <c r="AU4" s="11">
        <v>0.01070800703212402</v>
      </c>
      <c r="AV4" s="11">
        <v>0.005274093015822279</v>
      </c>
      <c r="AW4" s="11">
        <v>0.026849928080549784</v>
      </c>
      <c r="AX4" s="11">
        <v>0.031324916093974746</v>
      </c>
      <c r="AY4" s="11">
        <v>0.07415694422247084</v>
      </c>
      <c r="AZ4" s="11">
        <v>0.14527728943583187</v>
      </c>
      <c r="BA4" s="11">
        <v>0.6125938948377817</v>
      </c>
      <c r="BB4" s="11">
        <v>0.06504714719514144</v>
      </c>
      <c r="BC4" s="11">
        <v>0.08089680106893028</v>
      </c>
      <c r="BD4" s="11">
        <v>0.11901870293903327</v>
      </c>
      <c r="BE4" s="11">
        <v>0.11148894826329851</v>
      </c>
      <c r="BF4" s="11">
        <v>0.019431624969638087</v>
      </c>
      <c r="BG4" s="11">
        <v>0.10444498421180472</v>
      </c>
      <c r="BH4" s="11">
        <v>0.1542385231965023</v>
      </c>
      <c r="BI4" s="11">
        <v>0.07068253582705854</v>
      </c>
      <c r="BJ4" s="11">
        <v>0.10031576390575662</v>
      </c>
      <c r="BK4" s="11">
        <v>0.1787709497206704</v>
      </c>
      <c r="BL4" s="11">
        <v>0.14160796696623756</v>
      </c>
      <c r="BM4" s="11">
        <v>0.025662186591212763</v>
      </c>
      <c r="BN4" s="11">
        <v>0.028330781010719754</v>
      </c>
      <c r="BO4" s="11">
        <v>0.03215926493108729</v>
      </c>
      <c r="BP4" s="11">
        <v>0.0038284839203675345</v>
      </c>
      <c r="BQ4" s="11">
        <v>0.09571209800918837</v>
      </c>
      <c r="BR4" s="11">
        <v>0.016845329249617153</v>
      </c>
      <c r="BS4" s="11">
        <v>0.19295558958652373</v>
      </c>
      <c r="BT4" s="11">
        <v>0.18453292496171517</v>
      </c>
      <c r="BU4" s="11">
        <v>0.445635528330781</v>
      </c>
      <c r="BV4" s="11">
        <v>0.09280437003851293</v>
      </c>
      <c r="BW4" s="11">
        <v>0.039381748888418375</v>
      </c>
      <c r="BX4" s="11">
        <v>0.05293245818335803</v>
      </c>
      <c r="BY4" s="11">
        <v>4.234596654668643E-4</v>
      </c>
      <c r="BZ4" s="11">
        <v>0.7283506246030066</v>
      </c>
      <c r="CA4" s="11">
        <v>0.17891170865975015</v>
      </c>
      <c r="CB4" s="11">
        <v>1.0</v>
      </c>
    </row>
    <row r="5">
      <c r="A5" s="9" t="s">
        <v>163</v>
      </c>
      <c r="B5" s="9" t="s">
        <v>0</v>
      </c>
      <c r="C5" s="11">
        <v>0.173373056512429</v>
      </c>
      <c r="D5" s="11">
        <v>0.019546772634518313</v>
      </c>
      <c r="E5" s="11">
        <v>0.3478681129846418</v>
      </c>
      <c r="F5" s="11">
        <v>0.08516808076468693</v>
      </c>
      <c r="G5" s="11">
        <v>0.07936848888411556</v>
      </c>
      <c r="H5" s="11">
        <v>0.25894103748254754</v>
      </c>
      <c r="I5" s="11">
        <v>0.06991730211577704</v>
      </c>
      <c r="J5" s="11">
        <v>0.08216088497476104</v>
      </c>
      <c r="K5" s="11">
        <v>0.009880786166899367</v>
      </c>
      <c r="L5" s="11">
        <v>0.032649554290623994</v>
      </c>
      <c r="M5" s="11">
        <v>0.014498979701428417</v>
      </c>
      <c r="N5" s="11">
        <v>0.006219160227166931</v>
      </c>
      <c r="O5" s="11">
        <v>0.937125748502994</v>
      </c>
      <c r="P5" s="11">
        <v>0.06287425149700598</v>
      </c>
      <c r="Q5" s="11">
        <v>0.2545945442696211</v>
      </c>
      <c r="R5" s="11">
        <v>0.025305346302932786</v>
      </c>
      <c r="S5" s="11">
        <v>0.004315073502523221</v>
      </c>
      <c r="T5" s="11">
        <v>5.850947122065384E-4</v>
      </c>
      <c r="U5" s="11">
        <v>0.033716082790901776</v>
      </c>
      <c r="V5" s="11">
        <v>0.001462736780516346</v>
      </c>
      <c r="W5" s="11">
        <v>0.31968112338184745</v>
      </c>
      <c r="X5" s="11">
        <v>0.02120968331748702</v>
      </c>
      <c r="Y5" s="11">
        <v>0.5818035544503767</v>
      </c>
      <c r="Z5" s="11">
        <v>0.01192130476120822</v>
      </c>
      <c r="AA5" s="11">
        <v>0.2025323526673494</v>
      </c>
      <c r="AB5" s="11">
        <v>0.6304127976464099</v>
      </c>
      <c r="AC5" s="11">
        <v>0.2679966902638595</v>
      </c>
      <c r="AD5" s="11">
        <v>0.10159051208973062</v>
      </c>
      <c r="AE5" s="11">
        <v>0.0025323526673494087</v>
      </c>
      <c r="AF5" s="11">
        <v>0.8602941176470589</v>
      </c>
      <c r="AG5" s="11">
        <v>0.007352941176470588</v>
      </c>
      <c r="AH5" s="11">
        <v>0.1323529411764706</v>
      </c>
      <c r="AI5" s="11">
        <v>0.028507587747881948</v>
      </c>
      <c r="AJ5" s="11">
        <v>0.06923579359895493</v>
      </c>
      <c r="AK5" s="11">
        <v>0.16525146962769433</v>
      </c>
      <c r="AL5" s="11">
        <v>0.12279555845852384</v>
      </c>
      <c r="AM5" s="11">
        <v>0.2488569562377531</v>
      </c>
      <c r="AN5" s="11">
        <v>0.08164598301763554</v>
      </c>
      <c r="AO5" s="11">
        <v>0.011103853690398433</v>
      </c>
      <c r="AP5" s="11">
        <v>0.11822338340953625</v>
      </c>
      <c r="AQ5" s="11">
        <v>0.05355976485956891</v>
      </c>
      <c r="AR5" s="11">
        <v>0.12932723709993468</v>
      </c>
      <c r="AS5" s="11">
        <v>0.12073363746392328</v>
      </c>
      <c r="AT5" s="11">
        <v>0.028840222085132636</v>
      </c>
      <c r="AU5" s="11">
        <v>0.010333127698951264</v>
      </c>
      <c r="AV5" s="11">
        <v>0.0077112893275755705</v>
      </c>
      <c r="AW5" s="11">
        <v>0.032233189389265886</v>
      </c>
      <c r="AX5" s="11">
        <v>0.03362122146822949</v>
      </c>
      <c r="AY5" s="11">
        <v>0.08574953732264035</v>
      </c>
      <c r="AZ5" s="11">
        <v>0.15838988278840221</v>
      </c>
      <c r="BA5" s="11">
        <v>0.5584515731030228</v>
      </c>
      <c r="BB5" s="11">
        <v>0.08466995681677976</v>
      </c>
      <c r="BC5" s="11">
        <v>0.09053160785774136</v>
      </c>
      <c r="BD5" s="11">
        <v>0.11641299876593994</v>
      </c>
      <c r="BE5" s="11">
        <v>0.10756890168654874</v>
      </c>
      <c r="BF5" s="11">
        <v>0.016248457424928014</v>
      </c>
      <c r="BG5" s="11">
        <v>0.1051007815713698</v>
      </c>
      <c r="BH5" s="11">
        <v>0.16618675442204853</v>
      </c>
      <c r="BI5" s="11">
        <v>0.06519950637597696</v>
      </c>
      <c r="BJ5" s="11">
        <v>0.11147675853558206</v>
      </c>
      <c r="BK5" s="11">
        <v>0.16865487453722747</v>
      </c>
      <c r="BL5" s="11">
        <v>0.14315096668037844</v>
      </c>
      <c r="BM5" s="11">
        <v>0.0264966018061633</v>
      </c>
      <c r="BN5" s="11">
        <v>0.026704146170063246</v>
      </c>
      <c r="BO5" s="11">
        <v>0.025298664792691498</v>
      </c>
      <c r="BP5" s="11">
        <v>0.0014054813773717498</v>
      </c>
      <c r="BQ5" s="11">
        <v>0.09978917779339423</v>
      </c>
      <c r="BR5" s="11">
        <v>0.02108222066057625</v>
      </c>
      <c r="BS5" s="11">
        <v>0.21855235418130708</v>
      </c>
      <c r="BT5" s="11">
        <v>0.18271257905832747</v>
      </c>
      <c r="BU5" s="11">
        <v>0.4244553759662684</v>
      </c>
      <c r="BV5" s="11">
        <v>0.09447909878037426</v>
      </c>
      <c r="BW5" s="11">
        <v>0.03882538431217974</v>
      </c>
      <c r="BX5" s="11">
        <v>0.06326369728025226</v>
      </c>
      <c r="BY5" s="11">
        <v>0.0</v>
      </c>
      <c r="BZ5" s="11">
        <v>0.7296018919984233</v>
      </c>
      <c r="CA5" s="11">
        <v>0.16830902640914466</v>
      </c>
      <c r="CB5" s="11">
        <v>1.0</v>
      </c>
    </row>
    <row r="6">
      <c r="A6" s="9" t="s">
        <v>164</v>
      </c>
      <c r="B6" s="9" t="s">
        <v>0</v>
      </c>
      <c r="C6" s="11">
        <v>0.18133694236962927</v>
      </c>
      <c r="D6" s="11">
        <v>0.021350968351440718</v>
      </c>
      <c r="E6" s="11">
        <v>0.3466225791213982</v>
      </c>
      <c r="F6" s="11">
        <v>0.09041095890410959</v>
      </c>
      <c r="G6" s="11">
        <v>0.08625413320736892</v>
      </c>
      <c r="H6" s="11">
        <v>0.23136513934813416</v>
      </c>
      <c r="I6" s="11">
        <v>0.07794048181388757</v>
      </c>
      <c r="J6" s="11">
        <v>0.0838923004251299</v>
      </c>
      <c r="K6" s="11">
        <v>0.010581010864430798</v>
      </c>
      <c r="L6" s="11">
        <v>0.038261691072272085</v>
      </c>
      <c r="M6" s="11">
        <v>0.013320736891828059</v>
      </c>
      <c r="N6" s="11">
        <v>0.0064585760296032345</v>
      </c>
      <c r="O6" s="11">
        <v>0.9416445623342176</v>
      </c>
      <c r="P6" s="11">
        <v>0.058355437665782495</v>
      </c>
      <c r="Q6" s="11">
        <v>0.2312238744603577</v>
      </c>
      <c r="R6" s="11">
        <v>0.02948803437800993</v>
      </c>
      <c r="S6" s="11">
        <v>0.00451952285693117</v>
      </c>
      <c r="T6" s="11">
        <v>8.149959250203749E-4</v>
      </c>
      <c r="U6" s="11">
        <v>0.031043935689412463</v>
      </c>
      <c r="V6" s="11">
        <v>6.668148477439431E-4</v>
      </c>
      <c r="W6" s="11">
        <v>0.33629695487886196</v>
      </c>
      <c r="X6" s="11">
        <v>0.024301696673334816</v>
      </c>
      <c r="Y6" s="11">
        <v>0.5585685707935096</v>
      </c>
      <c r="Z6" s="11">
        <v>0.014299473957175669</v>
      </c>
      <c r="AA6" s="11">
        <v>0.19893099431234154</v>
      </c>
      <c r="AB6" s="11">
        <v>0.6325353083017567</v>
      </c>
      <c r="AC6" s="11">
        <v>0.26894591801584566</v>
      </c>
      <c r="AD6" s="11">
        <v>0.09851877368239752</v>
      </c>
      <c r="AE6" s="11">
        <v>0.0026382512163365996</v>
      </c>
      <c r="AF6" s="11">
        <v>0.8506493506493507</v>
      </c>
      <c r="AG6" s="11">
        <v>0.006493506493506494</v>
      </c>
      <c r="AH6" s="11">
        <v>0.14285714285714285</v>
      </c>
      <c r="AI6" s="11">
        <v>0.03112793805249092</v>
      </c>
      <c r="AJ6" s="11">
        <v>0.04237754540451293</v>
      </c>
      <c r="AK6" s="11">
        <v>0.10731975784259769</v>
      </c>
      <c r="AL6" s="11">
        <v>0.16345624656026417</v>
      </c>
      <c r="AM6" s="11">
        <v>0.2845349477160154</v>
      </c>
      <c r="AN6" s="11">
        <v>0.085305448541552</v>
      </c>
      <c r="AO6" s="11">
        <v>0.00825536598789213</v>
      </c>
      <c r="AP6" s="11">
        <v>0.10566868464501926</v>
      </c>
      <c r="AQ6" s="11">
        <v>0.051733626857457346</v>
      </c>
      <c r="AR6" s="11">
        <v>0.15134837644468904</v>
      </c>
      <c r="AS6" s="11">
        <v>0.12125676694305489</v>
      </c>
      <c r="AT6" s="11">
        <v>0.03659225769991523</v>
      </c>
      <c r="AU6" s="11">
        <v>0.013845719129697655</v>
      </c>
      <c r="AV6" s="11">
        <v>0.00861825374399548</v>
      </c>
      <c r="AW6" s="11">
        <v>0.03489686352076858</v>
      </c>
      <c r="AX6" s="11">
        <v>0.03786380333427522</v>
      </c>
      <c r="AY6" s="11">
        <v>0.08519355750211924</v>
      </c>
      <c r="AZ6" s="11">
        <v>0.16657247810115852</v>
      </c>
      <c r="BA6" s="11">
        <v>0.5391353489686352</v>
      </c>
      <c r="BB6" s="11">
        <v>0.07728171799943487</v>
      </c>
      <c r="BC6" s="11">
        <v>0.0980093195367642</v>
      </c>
      <c r="BD6" s="11">
        <v>0.10732389442405174</v>
      </c>
      <c r="BE6" s="11">
        <v>0.10994581366893899</v>
      </c>
      <c r="BF6" s="11">
        <v>0.016605488550952632</v>
      </c>
      <c r="BG6" s="11">
        <v>0.108023072889355</v>
      </c>
      <c r="BH6" s="11">
        <v>0.15801433315853872</v>
      </c>
      <c r="BI6" s="11">
        <v>0.07009264114665269</v>
      </c>
      <c r="BJ6" s="11">
        <v>0.11466526830973606</v>
      </c>
      <c r="BK6" s="11">
        <v>0.15504282468099984</v>
      </c>
      <c r="BL6" s="11">
        <v>0.16028666317077434</v>
      </c>
      <c r="BM6" s="11">
        <v>0.03035702048927568</v>
      </c>
      <c r="BN6" s="11">
        <v>0.051354401805869074</v>
      </c>
      <c r="BO6" s="11">
        <v>0.025395033860045147</v>
      </c>
      <c r="BP6" s="11">
        <v>0.002257336343115124</v>
      </c>
      <c r="BQ6" s="11">
        <v>0.09875846501128668</v>
      </c>
      <c r="BR6" s="11">
        <v>0.020316027088036117</v>
      </c>
      <c r="BS6" s="11">
        <v>0.20711060948081264</v>
      </c>
      <c r="BT6" s="11">
        <v>0.19074492099322798</v>
      </c>
      <c r="BU6" s="11">
        <v>0.4040632054176072</v>
      </c>
      <c r="BV6" s="11">
        <v>0.09866031659014596</v>
      </c>
      <c r="BW6" s="11">
        <v>0.035249175204028475</v>
      </c>
      <c r="BX6" s="11">
        <v>0.05018232332002084</v>
      </c>
      <c r="BY6" s="11">
        <v>0.0</v>
      </c>
      <c r="BZ6" s="11">
        <v>0.7772182670602535</v>
      </c>
      <c r="CA6" s="11">
        <v>0.13735023441569716</v>
      </c>
      <c r="CB6" s="11">
        <v>1.0</v>
      </c>
    </row>
    <row r="7">
      <c r="A7" s="9" t="s">
        <v>165</v>
      </c>
      <c r="B7" s="9" t="s">
        <v>0</v>
      </c>
      <c r="C7" s="11">
        <v>0.19817048877272944</v>
      </c>
      <c r="D7" s="11">
        <v>0.02324085243264978</v>
      </c>
      <c r="E7" s="11">
        <v>0.3182951347004423</v>
      </c>
      <c r="F7" s="11">
        <v>0.09400884599919582</v>
      </c>
      <c r="G7" s="11">
        <v>0.08508242862887012</v>
      </c>
      <c r="H7" s="11">
        <v>0.24945717732207479</v>
      </c>
      <c r="I7" s="11">
        <v>0.07334137515078408</v>
      </c>
      <c r="J7" s="11">
        <v>0.0973059911540008</v>
      </c>
      <c r="K7" s="11">
        <v>0.011741053478086048</v>
      </c>
      <c r="L7" s="11">
        <v>0.03457981503819863</v>
      </c>
      <c r="M7" s="11">
        <v>0.012947326095697627</v>
      </c>
      <c r="N7" s="11">
        <v>0.007840762402588089</v>
      </c>
      <c r="O7" s="11">
        <v>0.9288617886178862</v>
      </c>
      <c r="P7" s="11">
        <v>0.07113821138211382</v>
      </c>
      <c r="Q7" s="11">
        <v>0.20323829861830467</v>
      </c>
      <c r="R7" s="11">
        <v>0.029640084685956247</v>
      </c>
      <c r="S7" s="11">
        <v>0.006586685485768054</v>
      </c>
      <c r="T7" s="11">
        <v>7.84129224496197E-4</v>
      </c>
      <c r="U7" s="11">
        <v>0.04163726182074806</v>
      </c>
      <c r="V7" s="11">
        <v>0.0010193679918450561</v>
      </c>
      <c r="W7" s="11">
        <v>0.2871481220105073</v>
      </c>
      <c r="X7" s="11">
        <v>0.029012781306359287</v>
      </c>
      <c r="Y7" s="11">
        <v>0.5880185054496981</v>
      </c>
      <c r="Z7" s="11">
        <v>0.016153062024621658</v>
      </c>
      <c r="AA7" s="11">
        <v>0.19096718672807536</v>
      </c>
      <c r="AB7" s="11">
        <v>0.6507552365851623</v>
      </c>
      <c r="AC7" s="11">
        <v>0.24735041308520403</v>
      </c>
      <c r="AD7" s="11">
        <v>0.10189435032963365</v>
      </c>
      <c r="AE7" s="11">
        <v>0.0033307303702051027</v>
      </c>
      <c r="AF7" s="11">
        <v>0.8277511961722488</v>
      </c>
      <c r="AG7" s="11">
        <v>0.009569377990430622</v>
      </c>
      <c r="AH7" s="11">
        <v>0.16267942583732056</v>
      </c>
      <c r="AI7" s="11">
        <v>0.034885018087937654</v>
      </c>
      <c r="AJ7" s="11">
        <v>0.0379168570123344</v>
      </c>
      <c r="AK7" s="11">
        <v>0.10095934216537232</v>
      </c>
      <c r="AL7" s="11">
        <v>0.161717679305619</v>
      </c>
      <c r="AM7" s="11">
        <v>0.29191411603471906</v>
      </c>
      <c r="AN7" s="11">
        <v>0.08725445408862495</v>
      </c>
      <c r="AO7" s="11">
        <v>0.006395614435815441</v>
      </c>
      <c r="AP7" s="11">
        <v>0.09639104613978985</v>
      </c>
      <c r="AQ7" s="11">
        <v>0.05070808588396528</v>
      </c>
      <c r="AR7" s="11">
        <v>0.1667428049337597</v>
      </c>
      <c r="AS7" s="11">
        <v>0.12071905528374954</v>
      </c>
      <c r="AT7" s="11">
        <v>0.043168316831683165</v>
      </c>
      <c r="AU7" s="11">
        <v>0.015445544554455445</v>
      </c>
      <c r="AV7" s="11">
        <v>0.011617161716171618</v>
      </c>
      <c r="AW7" s="11">
        <v>0.0333993399339934</v>
      </c>
      <c r="AX7" s="11">
        <v>0.04686468646864687</v>
      </c>
      <c r="AY7" s="11">
        <v>0.07656765676567656</v>
      </c>
      <c r="AZ7" s="11">
        <v>0.18217821782178217</v>
      </c>
      <c r="BA7" s="11">
        <v>0.5141914191419142</v>
      </c>
      <c r="BB7" s="11">
        <v>0.07656765676567656</v>
      </c>
      <c r="BC7" s="11">
        <v>0.11187429281741541</v>
      </c>
      <c r="BD7" s="11">
        <v>0.08888888888888889</v>
      </c>
      <c r="BE7" s="11">
        <v>0.1141025641025641</v>
      </c>
      <c r="BF7" s="11">
        <v>0.013817663817663818</v>
      </c>
      <c r="BG7" s="11">
        <v>0.11638176638176638</v>
      </c>
      <c r="BH7" s="11">
        <v>0.16652421652421653</v>
      </c>
      <c r="BI7" s="11">
        <v>0.062108262108262105</v>
      </c>
      <c r="BJ7" s="11">
        <v>0.12621082621082622</v>
      </c>
      <c r="BK7" s="11">
        <v>0.15612535612535614</v>
      </c>
      <c r="BL7" s="11">
        <v>0.15584045584045583</v>
      </c>
      <c r="BM7" s="11">
        <v>0.03187301789669955</v>
      </c>
      <c r="BN7" s="11">
        <v>0.023</v>
      </c>
      <c r="BO7" s="11">
        <v>0.0375</v>
      </c>
      <c r="BP7" s="11">
        <v>0.005</v>
      </c>
      <c r="BQ7" s="11">
        <v>0.111</v>
      </c>
      <c r="BR7" s="11">
        <v>0.026</v>
      </c>
      <c r="BS7" s="11">
        <v>0.194</v>
      </c>
      <c r="BT7" s="11">
        <v>0.2225</v>
      </c>
      <c r="BU7" s="11">
        <v>0.381</v>
      </c>
      <c r="BV7" s="11">
        <v>0.09710114902229518</v>
      </c>
      <c r="BW7" s="11">
        <v>0.04841621532906614</v>
      </c>
      <c r="BX7" s="11">
        <v>0.03643525356967011</v>
      </c>
      <c r="BY7" s="11">
        <v>0.0</v>
      </c>
      <c r="BZ7" s="11">
        <v>0.7685869030034466</v>
      </c>
      <c r="CA7" s="11">
        <v>0.14656162809781717</v>
      </c>
      <c r="CB7" s="11">
        <v>1.0000000000000002</v>
      </c>
    </row>
    <row r="8">
      <c r="A8" s="9" t="s">
        <v>166</v>
      </c>
      <c r="B8" s="9" t="s">
        <v>0</v>
      </c>
      <c r="C8" s="11">
        <v>0.20681881350174486</v>
      </c>
      <c r="D8" s="11">
        <v>0.026803046140062715</v>
      </c>
      <c r="E8" s="11">
        <v>0.28363446319247426</v>
      </c>
      <c r="F8" s="11">
        <v>0.10624160071673884</v>
      </c>
      <c r="G8" s="11">
        <v>0.08152904285500971</v>
      </c>
      <c r="H8" s="11">
        <v>0.24936538748693446</v>
      </c>
      <c r="I8" s="11">
        <v>0.06913543377631776</v>
      </c>
      <c r="J8" s="11">
        <v>0.12483201433477677</v>
      </c>
      <c r="K8" s="11">
        <v>0.012916231148275347</v>
      </c>
      <c r="L8" s="11">
        <v>0.03008809914887263</v>
      </c>
      <c r="M8" s="11">
        <v>0.015454681200537555</v>
      </c>
      <c r="N8" s="11">
        <v>0.00819925264815787</v>
      </c>
      <c r="O8" s="11">
        <v>0.928436911487759</v>
      </c>
      <c r="P8" s="11">
        <v>0.07156308851224105</v>
      </c>
      <c r="Q8" s="11">
        <v>0.20187764429758193</v>
      </c>
      <c r="R8" s="11">
        <v>0.034572433838152054</v>
      </c>
      <c r="S8" s="11">
        <v>0.009790423741777575</v>
      </c>
      <c r="T8" s="11">
        <v>9.178522257916476E-4</v>
      </c>
      <c r="U8" s="11">
        <v>0.040614960991280404</v>
      </c>
      <c r="V8" s="11">
        <v>0.002065167508031207</v>
      </c>
      <c r="W8" s="11">
        <v>0.3279027076640661</v>
      </c>
      <c r="X8" s="11">
        <v>0.026923665289888328</v>
      </c>
      <c r="Y8" s="11">
        <v>0.5410738871041763</v>
      </c>
      <c r="Z8" s="11">
        <v>0.01613890163683647</v>
      </c>
      <c r="AA8" s="11">
        <v>0.1647725518050709</v>
      </c>
      <c r="AB8" s="11">
        <v>0.6325555243182457</v>
      </c>
      <c r="AC8" s="11">
        <v>0.2534907693749414</v>
      </c>
      <c r="AD8" s="11">
        <v>0.11395370630681285</v>
      </c>
      <c r="AE8" s="11">
        <v>0.003443377289151045</v>
      </c>
      <c r="AF8" s="11">
        <v>0.8251121076233184</v>
      </c>
      <c r="AG8" s="11">
        <v>0.03139013452914798</v>
      </c>
      <c r="AH8" s="11">
        <v>0.14349775784753363</v>
      </c>
      <c r="AI8" s="11">
        <v>0.03809332633334363</v>
      </c>
      <c r="AJ8" s="11">
        <v>0.03445480340494528</v>
      </c>
      <c r="AK8" s="11">
        <v>0.11228212403729226</v>
      </c>
      <c r="AL8" s="11">
        <v>0.15079043372517228</v>
      </c>
      <c r="AM8" s="11">
        <v>0.2955006080259424</v>
      </c>
      <c r="AN8" s="11">
        <v>0.09525739764896636</v>
      </c>
      <c r="AO8" s="11">
        <v>0.009323064450749898</v>
      </c>
      <c r="AP8" s="11">
        <v>0.08471828131333603</v>
      </c>
      <c r="AQ8" s="11">
        <v>0.04985812728009728</v>
      </c>
      <c r="AR8" s="11">
        <v>0.16781516011349817</v>
      </c>
      <c r="AS8" s="11">
        <v>0.12785275315771594</v>
      </c>
      <c r="AT8" s="11">
        <v>0.05144927536231884</v>
      </c>
      <c r="AU8" s="11">
        <v>0.015217391304347827</v>
      </c>
      <c r="AV8" s="11">
        <v>0.010748792270531401</v>
      </c>
      <c r="AW8" s="11">
        <v>0.030555555555555555</v>
      </c>
      <c r="AX8" s="11">
        <v>0.05036231884057971</v>
      </c>
      <c r="AY8" s="11">
        <v>0.09504830917874396</v>
      </c>
      <c r="AZ8" s="11">
        <v>0.1817632850241546</v>
      </c>
      <c r="BA8" s="11">
        <v>0.48236714975845413</v>
      </c>
      <c r="BB8" s="11">
        <v>0.082487922705314</v>
      </c>
      <c r="BC8" s="11">
        <v>0.11744541552144776</v>
      </c>
      <c r="BD8" s="11">
        <v>0.07914804102024717</v>
      </c>
      <c r="BE8" s="11">
        <v>0.10596897186431764</v>
      </c>
      <c r="BF8" s="11">
        <v>0.015777018143570864</v>
      </c>
      <c r="BG8" s="11">
        <v>0.12292926636865632</v>
      </c>
      <c r="BH8" s="11">
        <v>0.19839600315540362</v>
      </c>
      <c r="BI8" s="11">
        <v>0.09058637917433605</v>
      </c>
      <c r="BJ8" s="11">
        <v>0.14304496450170917</v>
      </c>
      <c r="BK8" s="11">
        <v>0.1333158033131738</v>
      </c>
      <c r="BL8" s="11">
        <v>0.11083355245858532</v>
      </c>
      <c r="BM8" s="11">
        <v>0.0345109786603255</v>
      </c>
      <c r="BN8" s="11">
        <v>0.021476510067114093</v>
      </c>
      <c r="BO8" s="11">
        <v>0.03355704697986577</v>
      </c>
      <c r="BP8" s="11">
        <v>0.0058165548098434005</v>
      </c>
      <c r="BQ8" s="11">
        <v>0.12885906040268458</v>
      </c>
      <c r="BR8" s="11">
        <v>0.02505592841163311</v>
      </c>
      <c r="BS8" s="11">
        <v>0.19865771812080538</v>
      </c>
      <c r="BT8" s="11">
        <v>0.21610738255033557</v>
      </c>
      <c r="BU8" s="11">
        <v>0.3704697986577181</v>
      </c>
      <c r="BV8" s="11">
        <v>0.0969858867854606</v>
      </c>
      <c r="BW8" s="11">
        <v>0.06065913071167012</v>
      </c>
      <c r="BX8" s="11">
        <v>0.0391657379398185</v>
      </c>
      <c r="BY8" s="11">
        <v>0.0</v>
      </c>
      <c r="BZ8" s="11">
        <v>0.743671389906066</v>
      </c>
      <c r="CA8" s="11">
        <v>0.15650374144244547</v>
      </c>
      <c r="CB8" s="11">
        <v>0.9999999999999999</v>
      </c>
    </row>
    <row r="9">
      <c r="A9" s="9" t="s">
        <v>167</v>
      </c>
      <c r="B9" s="9" t="s">
        <v>0</v>
      </c>
      <c r="C9" s="11">
        <v>0.18236730138801702</v>
      </c>
      <c r="D9" s="11">
        <v>0.044060276906601394</v>
      </c>
      <c r="E9" s="11">
        <v>0.27071062495219156</v>
      </c>
      <c r="F9" s="11">
        <v>0.11435783676279354</v>
      </c>
      <c r="G9" s="11">
        <v>0.08873250210357225</v>
      </c>
      <c r="H9" s="11">
        <v>0.20569111910043603</v>
      </c>
      <c r="I9" s="11">
        <v>0.07045054692878452</v>
      </c>
      <c r="J9" s="11">
        <v>0.14357836762793544</v>
      </c>
      <c r="K9" s="11">
        <v>0.013845330069609118</v>
      </c>
      <c r="L9" s="11">
        <v>0.03151533695402738</v>
      </c>
      <c r="M9" s="11">
        <v>0.017058058594048804</v>
      </c>
      <c r="N9" s="11">
        <v>0.008160703075957313</v>
      </c>
      <c r="O9" s="11">
        <v>0.9264957264957265</v>
      </c>
      <c r="P9" s="11">
        <v>0.0735042735042735</v>
      </c>
      <c r="Q9" s="11">
        <v>0.204324475134268</v>
      </c>
      <c r="R9" s="11">
        <v>0.03359049634737489</v>
      </c>
      <c r="S9" s="11">
        <v>0.008329350720284017</v>
      </c>
      <c r="T9" s="11">
        <v>8.875537652761658E-4</v>
      </c>
      <c r="U9" s="11">
        <v>0.04417286816412917</v>
      </c>
      <c r="V9" s="11">
        <v>0.0032088482283061377</v>
      </c>
      <c r="W9" s="11">
        <v>0.3006759063289411</v>
      </c>
      <c r="X9" s="11">
        <v>0.02915272752099406</v>
      </c>
      <c r="Y9" s="11">
        <v>0.5646207414487608</v>
      </c>
      <c r="Z9" s="11">
        <v>0.015361507475933638</v>
      </c>
      <c r="AA9" s="11">
        <v>0.1671200390597754</v>
      </c>
      <c r="AB9" s="11">
        <v>0.6204507512520868</v>
      </c>
      <c r="AC9" s="11">
        <v>0.2528380634390651</v>
      </c>
      <c r="AD9" s="11">
        <v>0.1267111853088481</v>
      </c>
      <c r="AE9" s="11">
        <v>0.003571179465718072</v>
      </c>
      <c r="AF9" s="11">
        <v>0.84375</v>
      </c>
      <c r="AG9" s="11">
        <v>0.0078125</v>
      </c>
      <c r="AH9" s="11">
        <v>0.1484375</v>
      </c>
      <c r="AI9" s="11">
        <v>0.04056636674339122</v>
      </c>
      <c r="AJ9" s="11">
        <v>0.027510316368638238</v>
      </c>
      <c r="AK9" s="11">
        <v>0.12242090784044017</v>
      </c>
      <c r="AL9" s="11">
        <v>0.14614855570839064</v>
      </c>
      <c r="AM9" s="11">
        <v>0.2867950481430536</v>
      </c>
      <c r="AN9" s="11">
        <v>0.09594222833562586</v>
      </c>
      <c r="AO9" s="11">
        <v>0.009972489683631361</v>
      </c>
      <c r="AP9" s="11">
        <v>0.11691884456671252</v>
      </c>
      <c r="AQ9" s="11">
        <v>0.0546767537826685</v>
      </c>
      <c r="AR9" s="11">
        <v>0.13961485557083905</v>
      </c>
      <c r="AS9" s="11">
        <v>0.1365836646439283</v>
      </c>
      <c r="AT9" s="11">
        <v>0.05147584516392605</v>
      </c>
      <c r="AU9" s="11">
        <v>0.015422326626493718</v>
      </c>
      <c r="AV9" s="11">
        <v>0.010519865182310285</v>
      </c>
      <c r="AW9" s="11">
        <v>0.028597691757736698</v>
      </c>
      <c r="AX9" s="11">
        <v>0.05290572975181289</v>
      </c>
      <c r="AY9" s="11">
        <v>0.06945153712593198</v>
      </c>
      <c r="AZ9" s="11">
        <v>0.18047186191400266</v>
      </c>
      <c r="BA9" s="11">
        <v>0.5202737207639669</v>
      </c>
      <c r="BB9" s="11">
        <v>0.07088142171381881</v>
      </c>
      <c r="BC9" s="11">
        <v>0.1278370649368766</v>
      </c>
      <c r="BD9" s="11">
        <v>0.08718900043649061</v>
      </c>
      <c r="BE9" s="11">
        <v>0.11599738105630729</v>
      </c>
      <c r="BF9" s="11">
        <v>0.015495416848537757</v>
      </c>
      <c r="BG9" s="11">
        <v>0.11075949367088607</v>
      </c>
      <c r="BH9" s="11">
        <v>0.19129201222173722</v>
      </c>
      <c r="BI9" s="11">
        <v>0.075185508511567</v>
      </c>
      <c r="BJ9" s="11">
        <v>0.1482976865997381</v>
      </c>
      <c r="BK9" s="11">
        <v>0.12287210824967264</v>
      </c>
      <c r="BL9" s="11">
        <v>0.13291139240506328</v>
      </c>
      <c r="BM9" s="11">
        <v>0.034818999790751204</v>
      </c>
      <c r="BN9" s="11">
        <v>0.026041666666666668</v>
      </c>
      <c r="BO9" s="11">
        <v>0.03445512820512821</v>
      </c>
      <c r="BP9" s="11">
        <v>0.004807692307692308</v>
      </c>
      <c r="BQ9" s="11">
        <v>0.12099358974358974</v>
      </c>
      <c r="BR9" s="11">
        <v>0.025240384615384616</v>
      </c>
      <c r="BS9" s="11">
        <v>0.18790064102564102</v>
      </c>
      <c r="BT9" s="11">
        <v>0.21233974358974358</v>
      </c>
      <c r="BU9" s="11">
        <v>0.38822115384615385</v>
      </c>
      <c r="BV9" s="11">
        <v>0.09465020576131687</v>
      </c>
      <c r="BW9" s="11">
        <v>0.06249078850405306</v>
      </c>
      <c r="BX9" s="11">
        <v>0.024023581429624172</v>
      </c>
      <c r="BY9" s="11">
        <v>0.0</v>
      </c>
      <c r="BZ9" s="11">
        <v>0.7756816507000737</v>
      </c>
      <c r="CA9" s="11">
        <v>0.13780397936624908</v>
      </c>
      <c r="CB9" s="11">
        <v>1.0</v>
      </c>
    </row>
    <row r="10">
      <c r="A10" s="9" t="s">
        <v>168</v>
      </c>
      <c r="B10" s="9" t="s">
        <v>0</v>
      </c>
      <c r="C10" s="11">
        <v>0.20527074593134262</v>
      </c>
      <c r="D10" s="11">
        <v>0.04169830422677803</v>
      </c>
      <c r="E10" s="11">
        <v>0.1829916476841306</v>
      </c>
      <c r="F10" s="11">
        <v>0.11136421159200202</v>
      </c>
      <c r="G10" s="11">
        <v>0.06643887623386484</v>
      </c>
      <c r="H10" s="11">
        <v>0.36452796760313844</v>
      </c>
      <c r="I10" s="11">
        <v>0.06859023032143761</v>
      </c>
      <c r="J10" s="11">
        <v>0.10434067324727916</v>
      </c>
      <c r="K10" s="11">
        <v>0.012401923563654771</v>
      </c>
      <c r="L10" s="11">
        <v>0.03163756011136421</v>
      </c>
      <c r="M10" s="11">
        <v>0.01600860541635029</v>
      </c>
      <c r="N10" s="11">
        <v>0.009611513033990986</v>
      </c>
      <c r="O10" s="11">
        <v>0.9148648648648648</v>
      </c>
      <c r="P10" s="11">
        <v>0.08513513513513514</v>
      </c>
      <c r="Q10" s="11">
        <v>0.19512670312114402</v>
      </c>
      <c r="R10" s="11">
        <v>0.0330160420688278</v>
      </c>
      <c r="S10" s="11">
        <v>0.014511083006057378</v>
      </c>
      <c r="T10" s="11">
        <v>7.98775211342608E-4</v>
      </c>
      <c r="U10" s="11">
        <v>0.041336617186979965</v>
      </c>
      <c r="V10" s="11">
        <v>9.319044132330426E-4</v>
      </c>
      <c r="W10" s="11">
        <v>0.2852293150502563</v>
      </c>
      <c r="X10" s="11">
        <v>0.025560806762963455</v>
      </c>
      <c r="Y10" s="11">
        <v>0.5838381148905012</v>
      </c>
      <c r="Z10" s="11">
        <v>0.014777341409838248</v>
      </c>
      <c r="AA10" s="11">
        <v>0.16887688171344703</v>
      </c>
      <c r="AB10" s="11">
        <v>0.6012921089063221</v>
      </c>
      <c r="AC10" s="11">
        <v>0.2698046454391632</v>
      </c>
      <c r="AD10" s="11">
        <v>0.1289032456545147</v>
      </c>
      <c r="AE10" s="11">
        <v>0.0030782818771025186</v>
      </c>
      <c r="AF10" s="11">
        <v>0.8185654008438819</v>
      </c>
      <c r="AG10" s="11">
        <v>0.04219409282700422</v>
      </c>
      <c r="AH10" s="11">
        <v>0.13924050632911392</v>
      </c>
      <c r="AI10" s="11">
        <v>0.03897858191217155</v>
      </c>
      <c r="AJ10" s="11">
        <v>0.03032322559146951</v>
      </c>
      <c r="AK10" s="11">
        <v>0.11096301232922359</v>
      </c>
      <c r="AL10" s="11">
        <v>0.13995334888370542</v>
      </c>
      <c r="AM10" s="11">
        <v>0.3138953682105965</v>
      </c>
      <c r="AN10" s="11">
        <v>0.09996667777407531</v>
      </c>
      <c r="AO10" s="11">
        <v>0.007664111962679107</v>
      </c>
      <c r="AP10" s="11">
        <v>0.09963345551482838</v>
      </c>
      <c r="AQ10" s="11">
        <v>0.050983005664778404</v>
      </c>
      <c r="AR10" s="11">
        <v>0.14661779406864378</v>
      </c>
      <c r="AS10" s="11">
        <v>0.12246885999662298</v>
      </c>
      <c r="AT10" s="11">
        <v>0.04995227489659561</v>
      </c>
      <c r="AU10" s="11">
        <v>0.016862869869551385</v>
      </c>
      <c r="AV10" s="11">
        <v>0.01156008060239686</v>
      </c>
      <c r="AW10" s="11">
        <v>0.03637713437268003</v>
      </c>
      <c r="AX10" s="11">
        <v>0.060027574504189204</v>
      </c>
      <c r="AY10" s="11">
        <v>0.08166295471417966</v>
      </c>
      <c r="AZ10" s="11">
        <v>0.17212853961183583</v>
      </c>
      <c r="BA10" s="11">
        <v>0.48987167249973484</v>
      </c>
      <c r="BB10" s="11">
        <v>0.08155689892883657</v>
      </c>
      <c r="BC10" s="11">
        <v>0.1293008273694328</v>
      </c>
      <c r="BD10" s="11">
        <v>0.08819688598694124</v>
      </c>
      <c r="BE10" s="11">
        <v>0.10939226519337017</v>
      </c>
      <c r="BF10" s="11">
        <v>0.020090406830738324</v>
      </c>
      <c r="BG10" s="11">
        <v>0.12245102963335007</v>
      </c>
      <c r="BH10" s="11">
        <v>0.17890507282772475</v>
      </c>
      <c r="BI10" s="11">
        <v>0.065796082370668</v>
      </c>
      <c r="BJ10" s="11">
        <v>0.1353088900050226</v>
      </c>
      <c r="BK10" s="11">
        <v>0.1544952285283777</v>
      </c>
      <c r="BL10" s="11">
        <v>0.12536413862380713</v>
      </c>
      <c r="BM10" s="11">
        <v>0.03653673806029276</v>
      </c>
      <c r="BN10" s="11">
        <v>0.03021685033771774</v>
      </c>
      <c r="BO10" s="11">
        <v>0.03519374333451831</v>
      </c>
      <c r="BP10" s="11">
        <v>0.004976892996800568</v>
      </c>
      <c r="BQ10" s="11">
        <v>0.12051190899395663</v>
      </c>
      <c r="BR10" s="11">
        <v>0.022751510842516885</v>
      </c>
      <c r="BS10" s="11">
        <v>0.2118734447209385</v>
      </c>
      <c r="BT10" s="11">
        <v>0.20547458229648063</v>
      </c>
      <c r="BU10" s="11">
        <v>0.36900106647707076</v>
      </c>
      <c r="BV10" s="11">
        <v>0.09075086698445273</v>
      </c>
      <c r="BW10" s="11">
        <v>0.07270645484471161</v>
      </c>
      <c r="BX10" s="11">
        <v>0.018033490768570203</v>
      </c>
      <c r="BY10" s="11">
        <v>0.0</v>
      </c>
      <c r="BZ10" s="11">
        <v>0.7493917274939172</v>
      </c>
      <c r="CA10" s="11">
        <v>0.15986832689280092</v>
      </c>
      <c r="CB10" s="11">
        <v>1.0</v>
      </c>
    </row>
    <row r="11">
      <c r="A11" s="9" t="s">
        <v>169</v>
      </c>
      <c r="B11" s="9" t="s">
        <v>0</v>
      </c>
      <c r="C11" s="11">
        <v>0.2028665801580748</v>
      </c>
      <c r="D11" s="11">
        <v>0.043205210211083325</v>
      </c>
      <c r="E11" s="11">
        <v>0.20015118916090016</v>
      </c>
      <c r="F11" s="11">
        <v>0.10664650811187998</v>
      </c>
      <c r="G11" s="11">
        <v>0.06995406175495726</v>
      </c>
      <c r="H11" s="11">
        <v>0.3513403500610572</v>
      </c>
      <c r="I11" s="11">
        <v>0.06722102692330058</v>
      </c>
      <c r="J11" s="11">
        <v>0.10019189393498866</v>
      </c>
      <c r="K11" s="11">
        <v>0.011222887712973193</v>
      </c>
      <c r="L11" s="11">
        <v>0.03244751991626447</v>
      </c>
      <c r="M11" s="11">
        <v>0.01761935221259522</v>
      </c>
      <c r="N11" s="11">
        <v>0.010498997286775983</v>
      </c>
      <c r="O11" s="11">
        <v>0.9382022471910112</v>
      </c>
      <c r="P11" s="11">
        <v>0.06179775280898876</v>
      </c>
      <c r="Q11" s="11">
        <v>0.2023121387283237</v>
      </c>
      <c r="R11" s="11">
        <v>0.03183673469387755</v>
      </c>
      <c r="S11" s="11">
        <v>0.014868804664723033</v>
      </c>
      <c r="T11" s="11">
        <v>6.413994169096209E-4</v>
      </c>
      <c r="U11" s="11">
        <v>0.03982507288629738</v>
      </c>
      <c r="V11" s="11">
        <v>0.001107871720116618</v>
      </c>
      <c r="W11" s="11">
        <v>0.30466472303207</v>
      </c>
      <c r="X11" s="11">
        <v>0.022332361516034984</v>
      </c>
      <c r="Y11" s="11">
        <v>0.5714868804664723</v>
      </c>
      <c r="Z11" s="11">
        <v>0.013236151603498543</v>
      </c>
      <c r="AA11" s="11">
        <v>0.17654830718414533</v>
      </c>
      <c r="AB11" s="11">
        <v>0.5894026459975945</v>
      </c>
      <c r="AC11" s="11">
        <v>0.27408793264733394</v>
      </c>
      <c r="AD11" s="11">
        <v>0.1365094213550715</v>
      </c>
      <c r="AE11" s="11">
        <v>0.003185089064527545</v>
      </c>
      <c r="AF11" s="11">
        <v>0.725925925925926</v>
      </c>
      <c r="AG11" s="11">
        <v>0.1111111111111111</v>
      </c>
      <c r="AH11" s="11">
        <v>0.16296296296296298</v>
      </c>
      <c r="AI11" s="11">
        <v>0.037902559867877786</v>
      </c>
      <c r="AJ11" s="11">
        <v>0.044506691565515094</v>
      </c>
      <c r="AK11" s="11">
        <v>0.10208527855586678</v>
      </c>
      <c r="AL11" s="11">
        <v>0.1366324307500778</v>
      </c>
      <c r="AM11" s="11">
        <v>0.32928727046374107</v>
      </c>
      <c r="AN11" s="11">
        <v>0.09274821039526922</v>
      </c>
      <c r="AO11" s="11">
        <v>0.006535947712418301</v>
      </c>
      <c r="AP11" s="11">
        <v>0.09897292250233426</v>
      </c>
      <c r="AQ11" s="11">
        <v>0.05042016806722689</v>
      </c>
      <c r="AR11" s="11">
        <v>0.13881107998755057</v>
      </c>
      <c r="AS11" s="11">
        <v>0.11698714167748024</v>
      </c>
      <c r="AT11" s="11">
        <v>0.05142684279520016</v>
      </c>
      <c r="AU11" s="11">
        <v>0.0164364223051326</v>
      </c>
      <c r="AV11" s="11">
        <v>0.010789553292326308</v>
      </c>
      <c r="AW11" s="11">
        <v>0.04194816980941817</v>
      </c>
      <c r="AX11" s="11">
        <v>0.06312392860744177</v>
      </c>
      <c r="AY11" s="11">
        <v>0.07895532923263084</v>
      </c>
      <c r="AZ11" s="11">
        <v>0.1679943531309872</v>
      </c>
      <c r="BA11" s="11">
        <v>0.4937985277805788</v>
      </c>
      <c r="BB11" s="11">
        <v>0.07552687304628417</v>
      </c>
      <c r="BC11" s="11">
        <v>0.13346702842986904</v>
      </c>
      <c r="BD11" s="11">
        <v>0.09147958281774793</v>
      </c>
      <c r="BE11" s="11">
        <v>0.10509103765246597</v>
      </c>
      <c r="BF11" s="11">
        <v>0.01953332154852395</v>
      </c>
      <c r="BG11" s="11">
        <v>0.10129043662718755</v>
      </c>
      <c r="BH11" s="11">
        <v>0.14795828177479228</v>
      </c>
      <c r="BI11" s="11">
        <v>0.08723705144069295</v>
      </c>
      <c r="BJ11" s="11">
        <v>0.11154322078840374</v>
      </c>
      <c r="BK11" s="11">
        <v>0.16519356549407813</v>
      </c>
      <c r="BL11" s="11">
        <v>0.17067350185610747</v>
      </c>
      <c r="BM11" s="11">
        <v>0.03599150642916126</v>
      </c>
      <c r="BN11" s="11">
        <v>0.028515240904621434</v>
      </c>
      <c r="BO11" s="11">
        <v>0.03179285480170436</v>
      </c>
      <c r="BP11" s="11">
        <v>0.004588659455916093</v>
      </c>
      <c r="BQ11" s="11">
        <v>0.12323828253031793</v>
      </c>
      <c r="BR11" s="11">
        <v>0.01933792199278925</v>
      </c>
      <c r="BS11" s="11">
        <v>0.23271058669288758</v>
      </c>
      <c r="BT11" s="11">
        <v>0.2179613241560144</v>
      </c>
      <c r="BU11" s="11">
        <v>0.3418551294657489</v>
      </c>
      <c r="BV11" s="11">
        <v>0.0802406511737643</v>
      </c>
      <c r="BW11" s="11">
        <v>0.07791825933548956</v>
      </c>
      <c r="BX11" s="11">
        <v>0.018817994707438987</v>
      </c>
      <c r="BY11" s="11">
        <v>1.4701558365186709E-4</v>
      </c>
      <c r="BZ11" s="11">
        <v>0.7237577183181417</v>
      </c>
      <c r="CA11" s="11">
        <v>0.17935901205527785</v>
      </c>
      <c r="CB11" s="11">
        <v>1.0</v>
      </c>
    </row>
    <row r="12">
      <c r="A12" s="9" t="s">
        <v>170</v>
      </c>
      <c r="B12" s="9" t="s">
        <v>0</v>
      </c>
      <c r="C12" s="11">
        <v>0.17027206221133423</v>
      </c>
      <c r="D12" s="11">
        <v>0.037420802534318905</v>
      </c>
      <c r="E12" s="11">
        <v>0.25811774023231254</v>
      </c>
      <c r="F12" s="11">
        <v>0.1413674762407603</v>
      </c>
      <c r="G12" s="11">
        <v>0.0777455121436114</v>
      </c>
      <c r="H12" s="11">
        <v>0.3311114044350581</v>
      </c>
      <c r="I12" s="11">
        <v>0.07490760295670539</v>
      </c>
      <c r="J12" s="11">
        <v>0.01187961985216473</v>
      </c>
      <c r="K12" s="11">
        <v>0.011615628299894404</v>
      </c>
      <c r="L12" s="11">
        <v>0.0359688489968321</v>
      </c>
      <c r="M12" s="11">
        <v>0.019865364308342133</v>
      </c>
      <c r="N12" s="11">
        <v>0.012968186364300404</v>
      </c>
      <c r="O12" s="11">
        <v>0.9393414211438474</v>
      </c>
      <c r="P12" s="11">
        <v>0.060658578856152515</v>
      </c>
      <c r="Q12" s="11">
        <v>0.20124287817321632</v>
      </c>
      <c r="R12" s="11">
        <v>0.02847889211525575</v>
      </c>
      <c r="S12" s="11">
        <v>0.02524011614920706</v>
      </c>
      <c r="T12" s="11">
        <v>5.584096493187402E-4</v>
      </c>
      <c r="U12" s="11">
        <v>0.039032834487379944</v>
      </c>
      <c r="V12" s="11">
        <v>0.0012285012285012285</v>
      </c>
      <c r="W12" s="11">
        <v>0.2514518650882287</v>
      </c>
      <c r="X12" s="11">
        <v>0.025072593254411437</v>
      </c>
      <c r="Y12" s="11">
        <v>0.6150882287245923</v>
      </c>
      <c r="Z12" s="11">
        <v>0.013848559303104758</v>
      </c>
      <c r="AA12" s="11">
        <v>0.1694404800701226</v>
      </c>
      <c r="AB12" s="11">
        <v>0.6532033426183844</v>
      </c>
      <c r="AC12" s="11">
        <v>0.22376973073351902</v>
      </c>
      <c r="AD12" s="11">
        <v>0.12302692664809657</v>
      </c>
      <c r="AE12" s="11">
        <v>0.004326474653601088</v>
      </c>
      <c r="AF12" s="11">
        <v>0.6883116883116883</v>
      </c>
      <c r="AG12" s="11">
        <v>0.18181818181818182</v>
      </c>
      <c r="AH12" s="11">
        <v>0.12987012987012986</v>
      </c>
      <c r="AI12" s="11">
        <v>0.038072976951689576</v>
      </c>
      <c r="AJ12" s="11">
        <v>0.0410271546635183</v>
      </c>
      <c r="AK12" s="11">
        <v>0.09327036599763873</v>
      </c>
      <c r="AL12" s="11">
        <v>0.15495867768595042</v>
      </c>
      <c r="AM12" s="11">
        <v>0.3615702479338843</v>
      </c>
      <c r="AN12" s="11">
        <v>0.08353010625737899</v>
      </c>
      <c r="AO12" s="11">
        <v>0.009445100354191263</v>
      </c>
      <c r="AP12" s="11">
        <v>0.06995277449822905</v>
      </c>
      <c r="AQ12" s="11">
        <v>0.048406139315230225</v>
      </c>
      <c r="AR12" s="11">
        <v>0.13783943329397874</v>
      </c>
      <c r="AS12" s="11">
        <v>0.11718565633182375</v>
      </c>
      <c r="AT12" s="11">
        <v>0.04766014576141159</v>
      </c>
      <c r="AU12" s="11">
        <v>0.01620636747219026</v>
      </c>
      <c r="AV12" s="11">
        <v>0.009973149213655544</v>
      </c>
      <c r="AW12" s="11">
        <v>0.04037207518220177</v>
      </c>
      <c r="AX12" s="11">
        <v>0.056866129650939776</v>
      </c>
      <c r="AY12" s="11">
        <v>0.06693517453011123</v>
      </c>
      <c r="AZ12" s="11">
        <v>0.1751054852320675</v>
      </c>
      <c r="BA12" s="11">
        <v>0.5195627157652474</v>
      </c>
      <c r="BB12" s="11">
        <v>0.06731875719217491</v>
      </c>
      <c r="BC12" s="11">
        <v>0.11974782833447582</v>
      </c>
      <c r="BD12" s="11">
        <v>0.07582582582582582</v>
      </c>
      <c r="BE12" s="11">
        <v>0.12809684684684686</v>
      </c>
      <c r="BF12" s="11">
        <v>0.016985735735735735</v>
      </c>
      <c r="BG12" s="11">
        <v>0.09703453453453453</v>
      </c>
      <c r="BH12" s="11">
        <v>0.14686561561561562</v>
      </c>
      <c r="BI12" s="11">
        <v>0.0808933933933934</v>
      </c>
      <c r="BJ12" s="11">
        <v>0.11983858858858859</v>
      </c>
      <c r="BK12" s="11">
        <v>0.17483108108108109</v>
      </c>
      <c r="BL12" s="11">
        <v>0.15962837837837837</v>
      </c>
      <c r="BM12" s="11">
        <v>0.037589760302066594</v>
      </c>
      <c r="BN12" s="11">
        <v>0.025411061285500747</v>
      </c>
      <c r="BO12" s="11">
        <v>0.02929745889387145</v>
      </c>
      <c r="BP12" s="11">
        <v>0.003587443946188341</v>
      </c>
      <c r="BQ12" s="11">
        <v>0.10911808669656203</v>
      </c>
      <c r="BR12" s="11">
        <v>0.018535127055306428</v>
      </c>
      <c r="BS12" s="11">
        <v>0.26068759342301945</v>
      </c>
      <c r="BT12" s="11">
        <v>0.20059790732436472</v>
      </c>
      <c r="BU12" s="11">
        <v>0.35276532137518685</v>
      </c>
      <c r="BV12" s="11">
        <v>0.1291536966073696</v>
      </c>
      <c r="BW12" s="11">
        <v>0.06664926476985991</v>
      </c>
      <c r="BX12" s="11">
        <v>0.011746280344557557</v>
      </c>
      <c r="BY12" s="11">
        <v>1.7401896806751936E-4</v>
      </c>
      <c r="BZ12" s="11">
        <v>0.6649264769859915</v>
      </c>
      <c r="CA12" s="11">
        <v>0.25650395893152356</v>
      </c>
      <c r="CB12" s="11">
        <v>1.0</v>
      </c>
    </row>
    <row r="13">
      <c r="A13" s="9" t="s">
        <v>171</v>
      </c>
      <c r="B13" s="9" t="s">
        <v>0</v>
      </c>
      <c r="C13" s="11">
        <v>0.18271576524741082</v>
      </c>
      <c r="D13" s="11">
        <v>0.043960196498299534</v>
      </c>
      <c r="E13" s="11">
        <v>0.26218667338455726</v>
      </c>
      <c r="F13" s="11">
        <v>0.1391233152790024</v>
      </c>
      <c r="G13" s="11">
        <v>0.08735357097871269</v>
      </c>
      <c r="H13" s="11">
        <v>0.30746945459125835</v>
      </c>
      <c r="I13" s="11">
        <v>0.07507242725784104</v>
      </c>
      <c r="J13" s="11">
        <v>0.010328756770374103</v>
      </c>
      <c r="K13" s="11">
        <v>0.013414787756644413</v>
      </c>
      <c r="L13" s="11">
        <v>0.03942562035520846</v>
      </c>
      <c r="M13" s="11">
        <v>0.021665197128101776</v>
      </c>
      <c r="N13" s="11">
        <v>0.01613348676639816</v>
      </c>
      <c r="O13" s="11">
        <v>0.9593437945791726</v>
      </c>
      <c r="P13" s="11">
        <v>0.04065620542082739</v>
      </c>
      <c r="Q13" s="11">
        <v>0.1918181818181818</v>
      </c>
      <c r="R13" s="11">
        <v>0.020577119203311536</v>
      </c>
      <c r="S13" s="11">
        <v>0.04661347411362409</v>
      </c>
      <c r="T13" s="11">
        <v>7.7989081528586E-4</v>
      </c>
      <c r="U13" s="11">
        <v>0.041874137620733096</v>
      </c>
      <c r="V13" s="11">
        <v>0.0017997480352750614</v>
      </c>
      <c r="W13" s="11">
        <v>0.23828663987041815</v>
      </c>
      <c r="X13" s="11">
        <v>0.024896514487971685</v>
      </c>
      <c r="Y13" s="11">
        <v>0.6097546343511908</v>
      </c>
      <c r="Z13" s="11">
        <v>0.015417841502189694</v>
      </c>
      <c r="AA13" s="11">
        <v>0.1663981588032221</v>
      </c>
      <c r="AB13" s="11">
        <v>0.5813278008298756</v>
      </c>
      <c r="AC13" s="11">
        <v>0.2886583679114799</v>
      </c>
      <c r="AD13" s="11">
        <v>0.13001383125864455</v>
      </c>
      <c r="AE13" s="11">
        <v>0.003774453394706559</v>
      </c>
      <c r="AF13" s="11">
        <v>0.6890243902439024</v>
      </c>
      <c r="AG13" s="11">
        <v>0.15548780487804878</v>
      </c>
      <c r="AH13" s="11">
        <v>0.15548780487804878</v>
      </c>
      <c r="AI13" s="11">
        <v>0.044361334867663985</v>
      </c>
      <c r="AJ13" s="11">
        <v>0.04124513618677043</v>
      </c>
      <c r="AK13" s="11">
        <v>0.09857328145265888</v>
      </c>
      <c r="AL13" s="11">
        <v>0.13592736705577171</v>
      </c>
      <c r="AM13" s="11">
        <v>0.38417639429312583</v>
      </c>
      <c r="AN13" s="11">
        <v>0.08664072632944228</v>
      </c>
      <c r="AO13" s="11">
        <v>0.008041504539559013</v>
      </c>
      <c r="AP13" s="11">
        <v>0.06018158236057069</v>
      </c>
      <c r="AQ13" s="11">
        <v>0.046173800259403375</v>
      </c>
      <c r="AR13" s="11">
        <v>0.1390402075226978</v>
      </c>
      <c r="AS13" s="11">
        <v>0.12294591484464902</v>
      </c>
      <c r="AT13" s="11">
        <v>0.040247098464994385</v>
      </c>
      <c r="AU13" s="11">
        <v>0.01684762261325346</v>
      </c>
      <c r="AV13" s="11">
        <v>0.012916510670160988</v>
      </c>
      <c r="AW13" s="11">
        <v>0.04399101460127293</v>
      </c>
      <c r="AX13" s="11">
        <v>0.056533133657806066</v>
      </c>
      <c r="AY13" s="11">
        <v>0.08124298015724447</v>
      </c>
      <c r="AZ13" s="11">
        <v>0.12748034444028453</v>
      </c>
      <c r="BA13" s="11">
        <v>0.559153874953201</v>
      </c>
      <c r="BB13" s="11">
        <v>0.0615874204417821</v>
      </c>
      <c r="BC13" s="11">
        <v>0.12644418872266974</v>
      </c>
      <c r="BD13" s="11">
        <v>0.07216963960684383</v>
      </c>
      <c r="BE13" s="11">
        <v>0.09974517655624317</v>
      </c>
      <c r="BF13" s="11">
        <v>0.01792864943574809</v>
      </c>
      <c r="BG13" s="11">
        <v>0.09364761558063342</v>
      </c>
      <c r="BH13" s="11">
        <v>0.1278667637422643</v>
      </c>
      <c r="BI13" s="11">
        <v>0.08245358572988715</v>
      </c>
      <c r="BJ13" s="11">
        <v>0.11812886785584274</v>
      </c>
      <c r="BK13" s="11">
        <v>0.22215143793228978</v>
      </c>
      <c r="BL13" s="11">
        <v>0.16590826356024754</v>
      </c>
      <c r="BM13" s="11">
        <v>0.041634062140391254</v>
      </c>
      <c r="BN13" s="11">
        <v>0.021282476506357104</v>
      </c>
      <c r="BO13" s="11">
        <v>0.03510226644555003</v>
      </c>
      <c r="BP13" s="11">
        <v>0.003316749585406302</v>
      </c>
      <c r="BQ13" s="11">
        <v>0.09148700939745716</v>
      </c>
      <c r="BR13" s="11">
        <v>0.017412935323383085</v>
      </c>
      <c r="BS13" s="11">
        <v>0.27750138197899393</v>
      </c>
      <c r="BT13" s="11">
        <v>0.21669430624654507</v>
      </c>
      <c r="BU13" s="11">
        <v>0.33720287451630737</v>
      </c>
      <c r="BV13" s="11">
        <v>0.10377445339470656</v>
      </c>
      <c r="BW13" s="11">
        <v>0.20037702373031716</v>
      </c>
      <c r="BX13" s="11">
        <v>0.01086715457972943</v>
      </c>
      <c r="BY13" s="11">
        <v>8.871146595697493E-4</v>
      </c>
      <c r="BZ13" s="11">
        <v>0.5333776890663118</v>
      </c>
      <c r="CA13" s="11">
        <v>0.25449101796407186</v>
      </c>
      <c r="CB13" s="11">
        <v>1.0</v>
      </c>
    </row>
    <row r="14">
      <c r="A14" s="9" t="s">
        <v>172</v>
      </c>
      <c r="B14" s="9" t="s">
        <v>0</v>
      </c>
      <c r="C14" s="11">
        <v>0.17191577268773559</v>
      </c>
      <c r="D14" s="11">
        <v>0.0420575524401813</v>
      </c>
      <c r="E14" s="11">
        <v>0.2655212395910193</v>
      </c>
      <c r="F14" s="11">
        <v>0.14356487825445347</v>
      </c>
      <c r="G14" s="11">
        <v>0.08906925266153684</v>
      </c>
      <c r="H14" s="11">
        <v>0.2849162011173184</v>
      </c>
      <c r="I14" s="11">
        <v>0.07694740170759988</v>
      </c>
      <c r="J14" s="11">
        <v>0.011015073258142721</v>
      </c>
      <c r="K14" s="11">
        <v>0.013544850848529567</v>
      </c>
      <c r="L14" s="11">
        <v>0.05149151470433225</v>
      </c>
      <c r="M14" s="11">
        <v>0.021872035416886267</v>
      </c>
      <c r="N14" s="11">
        <v>0.016046317773267614</v>
      </c>
      <c r="O14" s="11">
        <v>0.9683794466403162</v>
      </c>
      <c r="P14" s="11">
        <v>0.03162055335968379</v>
      </c>
      <c r="Q14" s="11">
        <v>0.19241084372281822</v>
      </c>
      <c r="R14" s="11">
        <v>0.027971369372763233</v>
      </c>
      <c r="S14" s="11">
        <v>0.0340459596910906</v>
      </c>
      <c r="T14" s="11">
        <v>5.179883217178376E-4</v>
      </c>
      <c r="U14" s="11">
        <v>0.041015257110566965</v>
      </c>
      <c r="V14" s="11">
        <v>0.002448672066302505</v>
      </c>
      <c r="W14" s="11">
        <v>0.22975136560557544</v>
      </c>
      <c r="X14" s="11">
        <v>0.021237521190431343</v>
      </c>
      <c r="Y14" s="11">
        <v>0.630156338293464</v>
      </c>
      <c r="Z14" s="11">
        <v>0.012855528348088152</v>
      </c>
      <c r="AA14" s="11">
        <v>0.20876522180342127</v>
      </c>
      <c r="AB14" s="11">
        <v>0.40575495855214616</v>
      </c>
      <c r="AC14" s="11">
        <v>0.4541903563213402</v>
      </c>
      <c r="AD14" s="11">
        <v>0.14005468512651362</v>
      </c>
      <c r="AE14" s="11">
        <v>0.002781603363293708</v>
      </c>
      <c r="AF14" s="11">
        <v>0.7003257328990228</v>
      </c>
      <c r="AG14" s="11">
        <v>0.13680781758957655</v>
      </c>
      <c r="AH14" s="11">
        <v>0.16286644951140064</v>
      </c>
      <c r="AI14" s="11">
        <v>0.04272977674688316</v>
      </c>
      <c r="AJ14" s="11">
        <v>0.02608142493638677</v>
      </c>
      <c r="AK14" s="11">
        <v>0.10368956743002544</v>
      </c>
      <c r="AL14" s="11">
        <v>0.13146734520780323</v>
      </c>
      <c r="AM14" s="11">
        <v>0.42748091603053434</v>
      </c>
      <c r="AN14" s="11">
        <v>0.07994062765055132</v>
      </c>
      <c r="AO14" s="11">
        <v>0.015691263782866838</v>
      </c>
      <c r="AP14" s="11">
        <v>0.046225614927905</v>
      </c>
      <c r="AQ14" s="11">
        <v>0.04262086513994911</v>
      </c>
      <c r="AR14" s="11">
        <v>0.12680237489397794</v>
      </c>
      <c r="AS14" s="11">
        <v>0.12296136561322123</v>
      </c>
      <c r="AT14" s="11">
        <v>0.03713801488468057</v>
      </c>
      <c r="AU14" s="11">
        <v>0.012158278682484711</v>
      </c>
      <c r="AV14" s="11">
        <v>0.012821457519711149</v>
      </c>
      <c r="AW14" s="11">
        <v>0.04163289367032643</v>
      </c>
      <c r="AX14" s="11">
        <v>0.04421192248176258</v>
      </c>
      <c r="AY14" s="11">
        <v>0.07442340284430035</v>
      </c>
      <c r="AZ14" s="11">
        <v>0.08636062191437624</v>
      </c>
      <c r="BA14" s="11">
        <v>0.6421781740476015</v>
      </c>
      <c r="BB14" s="11">
        <v>0.049075233954756464</v>
      </c>
      <c r="BC14" s="11">
        <v>0.1132031023485068</v>
      </c>
      <c r="BD14" s="11">
        <v>0.07731711221386266</v>
      </c>
      <c r="BE14" s="11">
        <v>0.09884744677445173</v>
      </c>
      <c r="BF14" s="11">
        <v>0.020489835120858012</v>
      </c>
      <c r="BG14" s="11">
        <v>0.08956299023531294</v>
      </c>
      <c r="BH14" s="11">
        <v>0.11237393949095566</v>
      </c>
      <c r="BI14" s="11">
        <v>0.11605570673923483</v>
      </c>
      <c r="BJ14" s="11">
        <v>0.12021770449815912</v>
      </c>
      <c r="BK14" s="11">
        <v>0.262125820393789</v>
      </c>
      <c r="BL14" s="11">
        <v>0.10300944453337602</v>
      </c>
      <c r="BM14" s="11">
        <v>0.03774644824586837</v>
      </c>
      <c r="BN14" s="11">
        <v>0.020163226116178587</v>
      </c>
      <c r="BO14" s="11">
        <v>0.029044647143542966</v>
      </c>
      <c r="BP14" s="11">
        <v>0.003360537686029765</v>
      </c>
      <c r="BQ14" s="11">
        <v>0.08161305808929428</v>
      </c>
      <c r="BR14" s="11">
        <v>0.015602496399423908</v>
      </c>
      <c r="BS14" s="11">
        <v>0.271723475756121</v>
      </c>
      <c r="BT14" s="11">
        <v>0.25468074891982717</v>
      </c>
      <c r="BU14" s="11">
        <v>0.32381180988958236</v>
      </c>
      <c r="BV14" s="11">
        <v>0.09143954769498405</v>
      </c>
      <c r="BW14" s="11">
        <v>0.17756638921918352</v>
      </c>
      <c r="BX14" s="11">
        <v>0.008224336107808166</v>
      </c>
      <c r="BY14" s="11">
        <v>4.954419342053111E-4</v>
      </c>
      <c r="BZ14" s="11">
        <v>0.49068569163694015</v>
      </c>
      <c r="CA14" s="11">
        <v>0.32302814110186284</v>
      </c>
      <c r="CB14" s="11">
        <v>1.0</v>
      </c>
    </row>
    <row r="15">
      <c r="A15" s="9" t="s">
        <v>173</v>
      </c>
      <c r="B15" s="9" t="s">
        <v>0</v>
      </c>
      <c r="C15" s="11">
        <v>0.17944407266554588</v>
      </c>
      <c r="D15" s="11">
        <v>0.04684373294524286</v>
      </c>
      <c r="E15" s="11">
        <v>0.28965799527014735</v>
      </c>
      <c r="F15" s="11">
        <v>0.13866654538839368</v>
      </c>
      <c r="G15" s="11">
        <v>0.07781517191195197</v>
      </c>
      <c r="H15" s="11">
        <v>0.2856558122612334</v>
      </c>
      <c r="I15" s="11">
        <v>0.07431326177915226</v>
      </c>
      <c r="J15" s="11">
        <v>0.01018737493178097</v>
      </c>
      <c r="K15" s="11">
        <v>0.011733672912497725</v>
      </c>
      <c r="L15" s="11">
        <v>0.04534291431690013</v>
      </c>
      <c r="M15" s="11">
        <v>0.019783518282699655</v>
      </c>
      <c r="N15" s="11">
        <v>0.017848107464050793</v>
      </c>
      <c r="O15" s="11">
        <v>0.9670781893004116</v>
      </c>
      <c r="P15" s="11">
        <v>0.03292181069958848</v>
      </c>
      <c r="Q15" s="11">
        <v>0.1940196190445101</v>
      </c>
      <c r="R15" s="11">
        <v>0.03482796332127534</v>
      </c>
      <c r="S15" s="11">
        <v>0.030916126861277024</v>
      </c>
      <c r="T15" s="11">
        <v>7.150668797846387E-4</v>
      </c>
      <c r="U15" s="11">
        <v>0.03613190880794145</v>
      </c>
      <c r="V15" s="11">
        <v>0.002145200639353916</v>
      </c>
      <c r="W15" s="11">
        <v>0.23479431311516782</v>
      </c>
      <c r="X15" s="11">
        <v>0.02233532430386136</v>
      </c>
      <c r="Y15" s="11">
        <v>0.6253890805081181</v>
      </c>
      <c r="Z15" s="11">
        <v>0.012745015563220325</v>
      </c>
      <c r="AA15" s="11">
        <v>0.2075342353958901</v>
      </c>
      <c r="AB15" s="11">
        <v>0.4920959496657491</v>
      </c>
      <c r="AC15" s="11">
        <v>0.3622493118364137</v>
      </c>
      <c r="AD15" s="11">
        <v>0.1456547384978372</v>
      </c>
      <c r="AE15" s="11">
        <v>0.0025217490655654756</v>
      </c>
      <c r="AF15" s="11">
        <v>0.7022653721682848</v>
      </c>
      <c r="AG15" s="11">
        <v>0.1423948220064725</v>
      </c>
      <c r="AH15" s="11">
        <v>0.1553398058252427</v>
      </c>
      <c r="AI15" s="11">
        <v>0.04427342615110908</v>
      </c>
      <c r="AJ15" s="11">
        <v>0.025069124423963134</v>
      </c>
      <c r="AK15" s="11">
        <v>0.103963133640553</v>
      </c>
      <c r="AL15" s="11">
        <v>0.11926267281105991</v>
      </c>
      <c r="AM15" s="11">
        <v>0.44866359447004606</v>
      </c>
      <c r="AN15" s="11">
        <v>0.07262672811059907</v>
      </c>
      <c r="AO15" s="11">
        <v>0.028018433179723502</v>
      </c>
      <c r="AP15" s="11">
        <v>0.04313364055299539</v>
      </c>
      <c r="AQ15" s="11">
        <v>0.042211981566820274</v>
      </c>
      <c r="AR15" s="11">
        <v>0.11705069124423963</v>
      </c>
      <c r="AS15" s="11">
        <v>0.11362560595426575</v>
      </c>
      <c r="AT15" s="11">
        <v>0.03914386267327444</v>
      </c>
      <c r="AU15" s="11">
        <v>0.012425483013718307</v>
      </c>
      <c r="AV15" s="11">
        <v>0.01558572146807441</v>
      </c>
      <c r="AW15" s="11">
        <v>0.047475400416576885</v>
      </c>
      <c r="AX15" s="11">
        <v>0.040795805501687855</v>
      </c>
      <c r="AY15" s="11">
        <v>0.06837606837606838</v>
      </c>
      <c r="AZ15" s="11">
        <v>0.0529339941104647</v>
      </c>
      <c r="BA15" s="11">
        <v>0.6693241399123752</v>
      </c>
      <c r="BB15" s="11">
        <v>0.053939524527759825</v>
      </c>
      <c r="BC15" s="11">
        <v>0.11296456493707868</v>
      </c>
      <c r="BD15" s="11">
        <v>0.054182921543129606</v>
      </c>
      <c r="BE15" s="11">
        <v>0.09940760005779511</v>
      </c>
      <c r="BF15" s="11">
        <v>0.015026730241294611</v>
      </c>
      <c r="BG15" s="11">
        <v>0.09413379569426383</v>
      </c>
      <c r="BH15" s="11">
        <v>0.11833550065019506</v>
      </c>
      <c r="BI15" s="11">
        <v>0.09803496604536917</v>
      </c>
      <c r="BJ15" s="11">
        <v>0.12346481722294467</v>
      </c>
      <c r="BK15" s="11">
        <v>0.3070365554110678</v>
      </c>
      <c r="BL15" s="11">
        <v>0.09037711313394019</v>
      </c>
      <c r="BM15" s="11">
        <v>0.03722232196778037</v>
      </c>
      <c r="BN15" s="11">
        <v>0.020828765621574215</v>
      </c>
      <c r="BO15" s="11">
        <v>0.03244902433676825</v>
      </c>
      <c r="BP15" s="11">
        <v>0.0028502521376891033</v>
      </c>
      <c r="BQ15" s="11">
        <v>0.080903310677483</v>
      </c>
      <c r="BR15" s="11">
        <v>0.013593510195132646</v>
      </c>
      <c r="BS15" s="11">
        <v>0.2830519622889717</v>
      </c>
      <c r="BT15" s="11">
        <v>0.24402543301907476</v>
      </c>
      <c r="BU15" s="11">
        <v>0.3222977417233063</v>
      </c>
      <c r="BV15" s="11">
        <v>0.09054629735420373</v>
      </c>
      <c r="BW15" s="11">
        <v>0.20117169896349707</v>
      </c>
      <c r="BX15" s="11">
        <v>0.005497972059486255</v>
      </c>
      <c r="BY15" s="11">
        <v>0.0</v>
      </c>
      <c r="BZ15" s="11">
        <v>0.464803965750338</v>
      </c>
      <c r="CA15" s="11">
        <v>0.32852636322667866</v>
      </c>
      <c r="CB15" s="11">
        <v>0.9999999999999999</v>
      </c>
    </row>
    <row r="16">
      <c r="A16" s="9" t="s">
        <v>174</v>
      </c>
      <c r="B16" s="9" t="s">
        <v>0</v>
      </c>
      <c r="C16" s="11">
        <v>0.17703249139785845</v>
      </c>
      <c r="D16" s="11">
        <v>0.05523503263028469</v>
      </c>
      <c r="E16" s="11">
        <v>0.2814716731296699</v>
      </c>
      <c r="F16" s="11">
        <v>0.13652700274283552</v>
      </c>
      <c r="G16" s="11">
        <v>0.07694126548756267</v>
      </c>
      <c r="H16" s="11">
        <v>0.28180270500331034</v>
      </c>
      <c r="I16" s="11">
        <v>0.07774520003783221</v>
      </c>
      <c r="J16" s="11">
        <v>0.010876761562470444</v>
      </c>
      <c r="K16" s="11">
        <v>0.013288565213279107</v>
      </c>
      <c r="L16" s="11">
        <v>0.04535136668873546</v>
      </c>
      <c r="M16" s="11">
        <v>0.02076042750401967</v>
      </c>
      <c r="N16" s="11">
        <v>0.02190092677086909</v>
      </c>
      <c r="O16" s="11">
        <v>0.9617737003058104</v>
      </c>
      <c r="P16" s="11">
        <v>0.0382262996941896</v>
      </c>
      <c r="Q16" s="11">
        <v>0.18453372625515918</v>
      </c>
      <c r="R16" s="11">
        <v>0.02985210053534162</v>
      </c>
      <c r="S16" s="11">
        <v>0.03434352599582615</v>
      </c>
      <c r="T16" s="11">
        <v>8.619907449414753E-4</v>
      </c>
      <c r="U16" s="11">
        <v>0.04409763179384811</v>
      </c>
      <c r="V16" s="11">
        <v>0.0021776608293258325</v>
      </c>
      <c r="W16" s="11">
        <v>0.22212140459123492</v>
      </c>
      <c r="X16" s="11">
        <v>0.022774702840032666</v>
      </c>
      <c r="Y16" s="11">
        <v>0.6301152345522185</v>
      </c>
      <c r="Z16" s="11">
        <v>0.013655748117230741</v>
      </c>
      <c r="AA16" s="11">
        <v>0.20678627340996425</v>
      </c>
      <c r="AB16" s="11">
        <v>0.521336032388664</v>
      </c>
      <c r="AC16" s="11">
        <v>0.3490688259109312</v>
      </c>
      <c r="AD16" s="11">
        <v>0.12959514170040487</v>
      </c>
      <c r="AE16" s="11">
        <v>0.002679012449035974</v>
      </c>
      <c r="AF16" s="11">
        <v>0.65</v>
      </c>
      <c r="AG16" s="11">
        <v>0.171875</v>
      </c>
      <c r="AH16" s="11">
        <v>0.178125</v>
      </c>
      <c r="AI16" s="11">
        <v>0.04247071923112343</v>
      </c>
      <c r="AJ16" s="11">
        <v>0.025822984427360536</v>
      </c>
      <c r="AK16" s="11">
        <v>0.10802286615414942</v>
      </c>
      <c r="AL16" s="11">
        <v>0.13384585058150997</v>
      </c>
      <c r="AM16" s="11">
        <v>0.38320520402128916</v>
      </c>
      <c r="AN16" s="11">
        <v>0.09698403311649911</v>
      </c>
      <c r="AO16" s="11">
        <v>0.02326039818647743</v>
      </c>
      <c r="AP16" s="11">
        <v>0.046126552335895916</v>
      </c>
      <c r="AQ16" s="11">
        <v>0.049871870687955844</v>
      </c>
      <c r="AR16" s="11">
        <v>0.1328602404888626</v>
      </c>
      <c r="AS16" s="11">
        <v>0.1126943330514789</v>
      </c>
      <c r="AT16" s="11">
        <v>0.046207562588217815</v>
      </c>
      <c r="AU16" s="11">
        <v>0.010474704702473813</v>
      </c>
      <c r="AV16" s="11">
        <v>0.01649208825495877</v>
      </c>
      <c r="AW16" s="11">
        <v>0.058688061808186615</v>
      </c>
      <c r="AX16" s="11">
        <v>0.03848153926157046</v>
      </c>
      <c r="AY16" s="11">
        <v>0.06856845702399525</v>
      </c>
      <c r="AZ16" s="11">
        <v>0.05905950523735235</v>
      </c>
      <c r="BA16" s="11">
        <v>0.6416313795408959</v>
      </c>
      <c r="BB16" s="11">
        <v>0.060396701582349006</v>
      </c>
      <c r="BC16" s="11">
        <v>0.11881420211474546</v>
      </c>
      <c r="BD16" s="11">
        <v>0.0475620067643743</v>
      </c>
      <c r="BE16" s="11">
        <v>0.0963218714768884</v>
      </c>
      <c r="BF16" s="11">
        <v>0.010076099210823</v>
      </c>
      <c r="BG16" s="11">
        <v>0.0887119503945885</v>
      </c>
      <c r="BH16" s="11">
        <v>0.11344419391206313</v>
      </c>
      <c r="BI16" s="11">
        <v>0.052917136414881626</v>
      </c>
      <c r="BJ16" s="11">
        <v>0.12147688838782413</v>
      </c>
      <c r="BK16" s="11">
        <v>0.300380496054115</v>
      </c>
      <c r="BL16" s="11">
        <v>0.16910935738444194</v>
      </c>
      <c r="BM16" s="11">
        <v>0.03705409093572882</v>
      </c>
      <c r="BN16" s="11">
        <v>0.02869408043380027</v>
      </c>
      <c r="BO16" s="11">
        <v>0.03999096249435156</v>
      </c>
      <c r="BP16" s="11">
        <v>0.0033890646181653863</v>
      </c>
      <c r="BQ16" s="11">
        <v>0.07230004518752824</v>
      </c>
      <c r="BR16" s="11">
        <v>0.012878445549028467</v>
      </c>
      <c r="BS16" s="11">
        <v>0.3016267510167194</v>
      </c>
      <c r="BT16" s="11">
        <v>0.16380478987799368</v>
      </c>
      <c r="BU16" s="11">
        <v>0.37731586082241303</v>
      </c>
      <c r="BV16" s="11">
        <v>0.09603422438403643</v>
      </c>
      <c r="BW16" s="11">
        <v>0.21733065992502834</v>
      </c>
      <c r="BX16" s="11">
        <v>0.005927992328480516</v>
      </c>
      <c r="BY16" s="11">
        <v>0.0</v>
      </c>
      <c r="BZ16" s="11">
        <v>0.46264493069479556</v>
      </c>
      <c r="CA16" s="11">
        <v>0.31409641705169555</v>
      </c>
      <c r="CB16" s="11">
        <v>1.0000000000000002</v>
      </c>
    </row>
    <row r="17">
      <c r="A17" s="9" t="s">
        <v>175</v>
      </c>
      <c r="B17" s="9" t="s">
        <v>0</v>
      </c>
      <c r="C17" s="11">
        <v>0.15179696183771768</v>
      </c>
      <c r="D17" s="11">
        <v>0.05912863070539419</v>
      </c>
      <c r="E17" s="11">
        <v>0.3239565535757872</v>
      </c>
      <c r="F17" s="11">
        <v>0.12637295582133268</v>
      </c>
      <c r="G17" s="11">
        <v>0.08243836953868684</v>
      </c>
      <c r="H17" s="11">
        <v>0.22278496460824995</v>
      </c>
      <c r="I17" s="11">
        <v>0.0751159384915792</v>
      </c>
      <c r="J17" s="11">
        <v>0.010861606053209665</v>
      </c>
      <c r="K17" s="11">
        <v>0.017146692701977058</v>
      </c>
      <c r="L17" s="11">
        <v>0.05296558457407859</v>
      </c>
      <c r="M17" s="11">
        <v>0.029228703929704662</v>
      </c>
      <c r="N17" s="11">
        <v>0.024323823638384586</v>
      </c>
      <c r="O17" s="11">
        <v>0.9626808834729627</v>
      </c>
      <c r="P17" s="11">
        <v>0.037319116527037316</v>
      </c>
      <c r="Q17" s="11">
        <v>0.18708781030011115</v>
      </c>
      <c r="R17" s="11">
        <v>0.031537776017427466</v>
      </c>
      <c r="S17" s="11">
        <v>0.018467174967818595</v>
      </c>
      <c r="T17" s="11">
        <v>7.921576393702346E-4</v>
      </c>
      <c r="U17" s="11">
        <v>0.04747994850975344</v>
      </c>
      <c r="V17" s="11">
        <v>0.0027725517377958212</v>
      </c>
      <c r="W17" s="11">
        <v>0.1731359540548569</v>
      </c>
      <c r="X17" s="11">
        <v>0.02227943360728785</v>
      </c>
      <c r="Y17" s="11">
        <v>0.6915536191702149</v>
      </c>
      <c r="Z17" s="11">
        <v>0.0119813842954748</v>
      </c>
      <c r="AA17" s="11">
        <v>0.19771211559836976</v>
      </c>
      <c r="AB17" s="11">
        <v>0.5106582337784025</v>
      </c>
      <c r="AC17" s="11">
        <v>0.33937690325603187</v>
      </c>
      <c r="AD17" s="11">
        <v>0.14996486296556572</v>
      </c>
      <c r="AE17" s="11">
        <v>0.003038162282326788</v>
      </c>
      <c r="AF17" s="11">
        <v>0.7286585365853658</v>
      </c>
      <c r="AG17" s="11">
        <v>0.11585365853658537</v>
      </c>
      <c r="AH17" s="11">
        <v>0.15548780487804878</v>
      </c>
      <c r="AI17" s="11">
        <v>0.048101148573545756</v>
      </c>
      <c r="AJ17" s="11">
        <v>0.02792220296553052</v>
      </c>
      <c r="AK17" s="11">
        <v>0.10051993067590988</v>
      </c>
      <c r="AL17" s="11">
        <v>0.11900635470826113</v>
      </c>
      <c r="AM17" s="11">
        <v>0.430579626420181</v>
      </c>
      <c r="AN17" s="11">
        <v>0.0831889081455806</v>
      </c>
      <c r="AO17" s="11">
        <v>0.029077604467552476</v>
      </c>
      <c r="AP17" s="11">
        <v>0.03909108415174273</v>
      </c>
      <c r="AQ17" s="11">
        <v>0.04679376083188908</v>
      </c>
      <c r="AR17" s="11">
        <v>0.12382052763335259</v>
      </c>
      <c r="AS17" s="11">
        <v>0.10535383475361244</v>
      </c>
      <c r="AT17" s="11">
        <v>0.045718304905925794</v>
      </c>
      <c r="AU17" s="11">
        <v>0.01186917531211535</v>
      </c>
      <c r="AV17" s="11">
        <v>0.017144364339722173</v>
      </c>
      <c r="AW17" s="11">
        <v>0.06550026375945138</v>
      </c>
      <c r="AX17" s="11">
        <v>0.04176191313522068</v>
      </c>
      <c r="AY17" s="11">
        <v>0.07649024090029893</v>
      </c>
      <c r="AZ17" s="11">
        <v>0.07851239669421488</v>
      </c>
      <c r="BA17" s="11">
        <v>0.5952171619483031</v>
      </c>
      <c r="BB17" s="11">
        <v>0.06778617900474768</v>
      </c>
      <c r="BC17" s="11">
        <v>0.11532975175991107</v>
      </c>
      <c r="BD17" s="11">
        <v>0.05991486627580114</v>
      </c>
      <c r="BE17" s="11">
        <v>0.0946108746285439</v>
      </c>
      <c r="BF17" s="11">
        <v>0.011324391615131315</v>
      </c>
      <c r="BG17" s="11">
        <v>0.10015259818488474</v>
      </c>
      <c r="BH17" s="11">
        <v>0.1074612480925227</v>
      </c>
      <c r="BI17" s="11">
        <v>0.06256525580274677</v>
      </c>
      <c r="BJ17" s="11">
        <v>0.12336358525419645</v>
      </c>
      <c r="BK17" s="11">
        <v>0.32937113484860653</v>
      </c>
      <c r="BL17" s="11">
        <v>0.11123604529756646</v>
      </c>
      <c r="BM17" s="11">
        <v>0.03974620229714709</v>
      </c>
      <c r="BN17" s="11">
        <v>0.022605453274295036</v>
      </c>
      <c r="BO17" s="11">
        <v>0.036821253786996036</v>
      </c>
      <c r="BP17" s="11">
        <v>0.004893964110929853</v>
      </c>
      <c r="BQ17" s="11">
        <v>0.07713819622465626</v>
      </c>
      <c r="BR17" s="11">
        <v>0.011652295502213935</v>
      </c>
      <c r="BS17" s="11">
        <v>0.28082032160335585</v>
      </c>
      <c r="BT17" s="11">
        <v>0.1358657655558145</v>
      </c>
      <c r="BU17" s="11">
        <v>0.4302027499417385</v>
      </c>
      <c r="BV17" s="11">
        <v>0.12751018895887364</v>
      </c>
      <c r="BW17" s="11">
        <v>0.19635333430190324</v>
      </c>
      <c r="BX17" s="11">
        <v>0.005811419439198024</v>
      </c>
      <c r="BY17" s="11">
        <v>0.0</v>
      </c>
      <c r="BZ17" s="11">
        <v>0.4259044021502252</v>
      </c>
      <c r="CA17" s="11">
        <v>0.37193084410867355</v>
      </c>
      <c r="CB17" s="11">
        <v>1.0</v>
      </c>
    </row>
    <row r="18">
      <c r="A18" s="9" t="s">
        <v>176</v>
      </c>
      <c r="B18" s="9" t="s">
        <v>0</v>
      </c>
      <c r="C18" s="11">
        <v>0.17352206918805088</v>
      </c>
      <c r="D18" s="11">
        <v>0.040567653535600684</v>
      </c>
      <c r="E18" s="11">
        <v>0.32062637631514557</v>
      </c>
      <c r="F18" s="11">
        <v>0.1163200391485197</v>
      </c>
      <c r="G18" s="11">
        <v>0.060239784683141666</v>
      </c>
      <c r="H18" s="11">
        <v>0.30300954245167605</v>
      </c>
      <c r="I18" s="11">
        <v>0.0628823097626621</v>
      </c>
      <c r="J18" s="11">
        <v>0.009787129924149743</v>
      </c>
      <c r="K18" s="11">
        <v>0.013995595791534133</v>
      </c>
      <c r="L18" s="11">
        <v>0.049767555664301445</v>
      </c>
      <c r="M18" s="11">
        <v>0.0228040127232689</v>
      </c>
      <c r="N18" s="11">
        <v>0.024981743457364605</v>
      </c>
      <c r="O18" s="11">
        <v>0.9643099932019035</v>
      </c>
      <c r="P18" s="11">
        <v>0.03569000679809653</v>
      </c>
      <c r="Q18" s="11">
        <v>0.19579505120323354</v>
      </c>
      <c r="R18" s="11">
        <v>0.029751062537947785</v>
      </c>
      <c r="S18" s="11">
        <v>0.02753924885072426</v>
      </c>
      <c r="T18" s="11">
        <v>6.505334374186833E-4</v>
      </c>
      <c r="U18" s="11">
        <v>0.04523375834851245</v>
      </c>
      <c r="V18" s="11">
        <v>0.0029924538121259433</v>
      </c>
      <c r="W18" s="11">
        <v>0.15526064706392576</v>
      </c>
      <c r="X18" s="11">
        <v>0.018214936247723135</v>
      </c>
      <c r="Y18" s="11">
        <v>0.7083441755572903</v>
      </c>
      <c r="Z18" s="11">
        <v>0.012013184144331685</v>
      </c>
      <c r="AA18" s="11">
        <v>0.20240137221269297</v>
      </c>
      <c r="AB18" s="11">
        <v>0.5653213626447391</v>
      </c>
      <c r="AC18" s="11">
        <v>0.2973653297533143</v>
      </c>
      <c r="AD18" s="11">
        <v>0.13731330760194663</v>
      </c>
      <c r="AE18" s="11">
        <v>0.0031078579556068813</v>
      </c>
      <c r="AF18" s="11">
        <v>0.6557377049180327</v>
      </c>
      <c r="AG18" s="11">
        <v>0.16666666666666666</v>
      </c>
      <c r="AH18" s="11">
        <v>0.17759562841530055</v>
      </c>
      <c r="AI18" s="11">
        <v>0.04692356028055636</v>
      </c>
      <c r="AJ18" s="11">
        <v>0.02370611653999276</v>
      </c>
      <c r="AK18" s="11">
        <v>0.09265291349981904</v>
      </c>
      <c r="AL18" s="11">
        <v>0.11346362649294245</v>
      </c>
      <c r="AM18" s="11">
        <v>0.4703221136445892</v>
      </c>
      <c r="AN18" s="11">
        <v>0.07546145494028231</v>
      </c>
      <c r="AO18" s="11">
        <v>0.024610930148389432</v>
      </c>
      <c r="AP18" s="11">
        <v>0.038906985161056826</v>
      </c>
      <c r="AQ18" s="11">
        <v>0.051031487513572206</v>
      </c>
      <c r="AR18" s="11">
        <v>0.10984437205935577</v>
      </c>
      <c r="AS18" s="11">
        <v>0.10199038771801708</v>
      </c>
      <c r="AT18" s="11">
        <v>0.0376321705103655</v>
      </c>
      <c r="AU18" s="11">
        <v>0.012072267088502207</v>
      </c>
      <c r="AV18" s="11">
        <v>0.01931562734160353</v>
      </c>
      <c r="AW18" s="11">
        <v>0.0636083590042461</v>
      </c>
      <c r="AX18" s="11">
        <v>0.03704937140954125</v>
      </c>
      <c r="AY18" s="11">
        <v>0.06902006494047123</v>
      </c>
      <c r="AZ18" s="11">
        <v>0.07218383148780284</v>
      </c>
      <c r="BA18" s="11">
        <v>0.624927150112397</v>
      </c>
      <c r="BB18" s="11">
        <v>0.06419115810507035</v>
      </c>
      <c r="BC18" s="11">
        <v>0.10164223969566769</v>
      </c>
      <c r="BD18" s="11">
        <v>0.07811194653299916</v>
      </c>
      <c r="BE18" s="11">
        <v>0.09916457811194654</v>
      </c>
      <c r="BF18" s="11">
        <v>0.011445279866332498</v>
      </c>
      <c r="BG18" s="11">
        <v>0.11445279866332497</v>
      </c>
      <c r="BH18" s="11">
        <v>0.09423558897243108</v>
      </c>
      <c r="BI18" s="11">
        <v>0.07176274018379282</v>
      </c>
      <c r="BJ18" s="11">
        <v>0.12840434419381788</v>
      </c>
      <c r="BK18" s="11">
        <v>0.32974101921470345</v>
      </c>
      <c r="BL18" s="11">
        <v>0.07268170426065163</v>
      </c>
      <c r="BM18" s="11">
        <v>0.03741317527979213</v>
      </c>
      <c r="BN18" s="11">
        <v>0.022469359963685882</v>
      </c>
      <c r="BO18" s="11">
        <v>0.029959146618247844</v>
      </c>
      <c r="BP18" s="11">
        <v>0.004766227871084884</v>
      </c>
      <c r="BQ18" s="11">
        <v>0.0658193372673627</v>
      </c>
      <c r="BR18" s="11">
        <v>0.009986382206082615</v>
      </c>
      <c r="BS18" s="11">
        <v>0.29664094416704495</v>
      </c>
      <c r="BT18" s="11">
        <v>0.1286881525192919</v>
      </c>
      <c r="BU18" s="11">
        <v>0.4416704493871993</v>
      </c>
      <c r="BV18" s="11">
        <v>0.11222254300901788</v>
      </c>
      <c r="BW18" s="11">
        <v>0.14648910411622276</v>
      </c>
      <c r="BX18" s="11">
        <v>0.008247578692493946</v>
      </c>
      <c r="BY18" s="11">
        <v>0.0</v>
      </c>
      <c r="BZ18" s="11">
        <v>0.4268311138014528</v>
      </c>
      <c r="CA18" s="11">
        <v>0.4184322033898305</v>
      </c>
      <c r="CB18" s="11">
        <v>1.0</v>
      </c>
    </row>
    <row r="19">
      <c r="A19" s="9" t="s">
        <v>177</v>
      </c>
      <c r="B19" s="9" t="s">
        <v>0</v>
      </c>
      <c r="C19" s="11">
        <v>0.13472918269472745</v>
      </c>
      <c r="D19" s="11">
        <v>0.043601238125733806</v>
      </c>
      <c r="E19" s="11">
        <v>0.36610097128829117</v>
      </c>
      <c r="F19" s="11">
        <v>0.13016330451488953</v>
      </c>
      <c r="G19" s="11">
        <v>0.06521507097875974</v>
      </c>
      <c r="H19" s="11">
        <v>0.23513715444551178</v>
      </c>
      <c r="I19" s="11">
        <v>0.06879069271000107</v>
      </c>
      <c r="J19" s="11">
        <v>0.011313907567509872</v>
      </c>
      <c r="K19" s="11">
        <v>0.013075034688867542</v>
      </c>
      <c r="L19" s="11">
        <v>0.04301419575194791</v>
      </c>
      <c r="M19" s="11">
        <v>0.023588429928487566</v>
      </c>
      <c r="N19" s="11">
        <v>0.021290058168379124</v>
      </c>
      <c r="O19" s="11">
        <v>0.9739952718676123</v>
      </c>
      <c r="P19" s="11">
        <v>0.026004728132387706</v>
      </c>
      <c r="Q19" s="11">
        <v>0.21662508358558805</v>
      </c>
      <c r="R19" s="11">
        <v>0.020678438661710038</v>
      </c>
      <c r="S19" s="11">
        <v>0.013210302708443972</v>
      </c>
      <c r="T19" s="11">
        <v>2.987254381306426E-4</v>
      </c>
      <c r="U19" s="11">
        <v>0.03375597450876261</v>
      </c>
      <c r="V19" s="11">
        <v>0.004348114710568242</v>
      </c>
      <c r="W19" s="11">
        <v>0.11159054699946894</v>
      </c>
      <c r="X19" s="11">
        <v>0.016695432819968135</v>
      </c>
      <c r="Y19" s="11">
        <v>0.7901619755708975</v>
      </c>
      <c r="Z19" s="11">
        <v>0.009260488582049921</v>
      </c>
      <c r="AA19" s="11">
        <v>0.25576111418690095</v>
      </c>
      <c r="AB19" s="11">
        <v>0.6155295043715386</v>
      </c>
      <c r="AC19" s="11">
        <v>0.2545331871468331</v>
      </c>
      <c r="AD19" s="11">
        <v>0.1299373084816283</v>
      </c>
      <c r="AE19" s="11">
        <v>0.0021282868010267545</v>
      </c>
      <c r="AF19" s="11">
        <v>0.6891891891891891</v>
      </c>
      <c r="AG19" s="11">
        <v>0.1891891891891892</v>
      </c>
      <c r="AH19" s="11">
        <v>0.12162162162162163</v>
      </c>
      <c r="AI19" s="11">
        <v>0.0464484214007866</v>
      </c>
      <c r="AJ19" s="11">
        <v>0.020743034055727555</v>
      </c>
      <c r="AK19" s="11">
        <v>0.08374613003095975</v>
      </c>
      <c r="AL19" s="11">
        <v>0.09674922600619196</v>
      </c>
      <c r="AM19" s="11">
        <v>0.4998452012383901</v>
      </c>
      <c r="AN19" s="11">
        <v>0.07151702786377709</v>
      </c>
      <c r="AO19" s="11">
        <v>0.02910216718266254</v>
      </c>
      <c r="AP19" s="11">
        <v>0.047987616099071206</v>
      </c>
      <c r="AQ19" s="11">
        <v>0.04907120743034056</v>
      </c>
      <c r="AR19" s="11">
        <v>0.10123839009287926</v>
      </c>
      <c r="AS19" s="11">
        <v>0.09300469517324686</v>
      </c>
      <c r="AT19" s="11">
        <v>0.03076923076923077</v>
      </c>
      <c r="AU19" s="11">
        <v>0.012988017008117511</v>
      </c>
      <c r="AV19" s="11">
        <v>0.01824507151140317</v>
      </c>
      <c r="AW19" s="11">
        <v>0.05419404715887128</v>
      </c>
      <c r="AX19" s="11">
        <v>0.03324313877077696</v>
      </c>
      <c r="AY19" s="11">
        <v>0.06633165829145729</v>
      </c>
      <c r="AZ19" s="11">
        <v>0.05767298028604561</v>
      </c>
      <c r="BA19" s="11">
        <v>0.6602241979126401</v>
      </c>
      <c r="BB19" s="11">
        <v>0.06633165829145729</v>
      </c>
      <c r="BC19" s="11">
        <v>0.09448586774423169</v>
      </c>
      <c r="BD19" s="11">
        <v>0.08515333688455977</v>
      </c>
      <c r="BE19" s="11">
        <v>0.10836313826953808</v>
      </c>
      <c r="BF19" s="11">
        <v>0.013925880830986987</v>
      </c>
      <c r="BG19" s="11">
        <v>0.11368997793166426</v>
      </c>
      <c r="BH19" s="11">
        <v>0.09245871699261853</v>
      </c>
      <c r="BI19" s="11">
        <v>0.06042158131040256</v>
      </c>
      <c r="BJ19" s="11">
        <v>0.11589681150597367</v>
      </c>
      <c r="BK19" s="11">
        <v>0.3262308804504984</v>
      </c>
      <c r="BL19" s="11">
        <v>0.08385967582375771</v>
      </c>
      <c r="BM19" s="11">
        <v>0.031960252805959204</v>
      </c>
      <c r="BN19" s="11">
        <v>0.02609673790776153</v>
      </c>
      <c r="BO19" s="11">
        <v>0.029471316085489314</v>
      </c>
      <c r="BP19" s="11">
        <v>0.005399325084364455</v>
      </c>
      <c r="BQ19" s="11">
        <v>0.0609673790776153</v>
      </c>
      <c r="BR19" s="11">
        <v>0.009898762654668167</v>
      </c>
      <c r="BS19" s="11">
        <v>0.3374578177727784</v>
      </c>
      <c r="BT19" s="11">
        <v>0.07604049493813274</v>
      </c>
      <c r="BU19" s="11">
        <v>0.4546681664791901</v>
      </c>
      <c r="BV19" s="11">
        <v>0.10356703743915328</v>
      </c>
      <c r="BW19" s="11">
        <v>0.14003054707025825</v>
      </c>
      <c r="BX19" s="11">
        <v>0.007845043043599</v>
      </c>
      <c r="BY19" s="11">
        <v>0.0</v>
      </c>
      <c r="BZ19" s="11">
        <v>0.40426270480422105</v>
      </c>
      <c r="CA19" s="11">
        <v>0.4478617050819217</v>
      </c>
      <c r="CB19" s="11">
        <v>0.9999999999999999</v>
      </c>
    </row>
    <row r="20">
      <c r="A20" s="9" t="s">
        <v>178</v>
      </c>
      <c r="B20" s="9" t="s">
        <v>0</v>
      </c>
      <c r="C20" s="11">
        <v>0.12254482826012605</v>
      </c>
      <c r="D20" s="11">
        <v>0.04390730127086968</v>
      </c>
      <c r="E20" s="11">
        <v>0.3530525791178669</v>
      </c>
      <c r="F20" s="11">
        <v>0.1208073760279093</v>
      </c>
      <c r="G20" s="11">
        <v>0.06090206827809619</v>
      </c>
      <c r="H20" s="11">
        <v>0.2588088711687017</v>
      </c>
      <c r="I20" s="11">
        <v>0.07241465237976576</v>
      </c>
      <c r="J20" s="11">
        <v>0.013854971343134811</v>
      </c>
      <c r="K20" s="11">
        <v>0.010814851731871418</v>
      </c>
      <c r="L20" s="11">
        <v>0.0435584350859706</v>
      </c>
      <c r="M20" s="11">
        <v>0.021878893595813607</v>
      </c>
      <c r="N20" s="11">
        <v>0.018371036302340354</v>
      </c>
      <c r="O20" s="11">
        <v>0.961436170212766</v>
      </c>
      <c r="P20" s="11">
        <v>0.03856382978723404</v>
      </c>
      <c r="Q20" s="11">
        <v>0.23933038549860752</v>
      </c>
      <c r="R20" s="11">
        <v>0.01686783882409983</v>
      </c>
      <c r="S20" s="11">
        <v>0.009339832087171766</v>
      </c>
      <c r="T20" s="11">
        <v>0.0</v>
      </c>
      <c r="U20" s="11">
        <v>0.029167836272233138</v>
      </c>
      <c r="V20" s="11">
        <v>0.004031949370964861</v>
      </c>
      <c r="W20" s="11">
        <v>0.08714624748003165</v>
      </c>
      <c r="X20" s="11">
        <v>0.013831117462423763</v>
      </c>
      <c r="Y20" s="11">
        <v>0.8335417357797229</v>
      </c>
      <c r="Z20" s="11">
        <v>0.006073442723352132</v>
      </c>
      <c r="AA20" s="11">
        <v>0.24023427957199395</v>
      </c>
      <c r="AB20" s="11">
        <v>0.5937968730138553</v>
      </c>
      <c r="AC20" s="11">
        <v>0.2494470573280793</v>
      </c>
      <c r="AD20" s="11">
        <v>0.15675606965806535</v>
      </c>
      <c r="AE20" s="11">
        <v>0.0017344994381199004</v>
      </c>
      <c r="AF20" s="11">
        <v>0.7253521126760564</v>
      </c>
      <c r="AG20" s="11">
        <v>0.22887323943661972</v>
      </c>
      <c r="AH20" s="11">
        <v>0.045774647887323945</v>
      </c>
      <c r="AI20" s="11">
        <v>0.04216543704499927</v>
      </c>
      <c r="AJ20" s="11">
        <v>0.022740440324449593</v>
      </c>
      <c r="AK20" s="11">
        <v>0.09385863267670916</v>
      </c>
      <c r="AL20" s="11">
        <v>0.09284472769409038</v>
      </c>
      <c r="AM20" s="11">
        <v>0.49971031286210893</v>
      </c>
      <c r="AN20" s="11">
        <v>0.07024913093858633</v>
      </c>
      <c r="AO20" s="11">
        <v>0.021436848203939745</v>
      </c>
      <c r="AP20" s="11">
        <v>0.03896292004634994</v>
      </c>
      <c r="AQ20" s="11">
        <v>0.051129779837775204</v>
      </c>
      <c r="AR20" s="11">
        <v>0.10906720741599073</v>
      </c>
      <c r="AS20" s="11">
        <v>0.10557849220696731</v>
      </c>
      <c r="AT20" s="11">
        <v>0.024237866604963267</v>
      </c>
      <c r="AU20" s="11">
        <v>0.01052814253485278</v>
      </c>
      <c r="AV20" s="11">
        <v>0.01168508127494649</v>
      </c>
      <c r="AW20" s="11">
        <v>0.04170764158037832</v>
      </c>
      <c r="AX20" s="11">
        <v>0.023948631919939838</v>
      </c>
      <c r="AY20" s="11">
        <v>0.0518308555561983</v>
      </c>
      <c r="AZ20" s="11">
        <v>0.06143344709897611</v>
      </c>
      <c r="BA20" s="11">
        <v>0.7180540290391624</v>
      </c>
      <c r="BB20" s="11">
        <v>0.05657430439058252</v>
      </c>
      <c r="BC20" s="11">
        <v>0.07940220843308742</v>
      </c>
      <c r="BD20" s="11">
        <v>0.0993769710022306</v>
      </c>
      <c r="BE20" s="11">
        <v>0.11068379355434198</v>
      </c>
      <c r="BF20" s="11">
        <v>0.013614337358664718</v>
      </c>
      <c r="BG20" s="11">
        <v>0.12375971079147757</v>
      </c>
      <c r="BH20" s="11">
        <v>0.09706945619567725</v>
      </c>
      <c r="BI20" s="11">
        <v>0.058764710406891775</v>
      </c>
      <c r="BJ20" s="11">
        <v>0.12599030843781248</v>
      </c>
      <c r="BK20" s="11">
        <v>0.295054226597954</v>
      </c>
      <c r="BL20" s="11">
        <v>0.07568648565494962</v>
      </c>
      <c r="BM20" s="11">
        <v>0.02929105389163043</v>
      </c>
      <c r="BN20" s="11">
        <v>0.022518765638031693</v>
      </c>
      <c r="BO20" s="11">
        <v>0.029399499582985822</v>
      </c>
      <c r="BP20" s="11">
        <v>0.0052126772310258545</v>
      </c>
      <c r="BQ20" s="11">
        <v>0.05087572977481234</v>
      </c>
      <c r="BR20" s="11">
        <v>0.00896580483736447</v>
      </c>
      <c r="BS20" s="11">
        <v>0.35258548790658883</v>
      </c>
      <c r="BT20" s="11">
        <v>0.07464553794829024</v>
      </c>
      <c r="BU20" s="11">
        <v>0.45579649708090075</v>
      </c>
      <c r="BV20" s="11">
        <v>0.12134777935212782</v>
      </c>
      <c r="BW20" s="11">
        <v>0.1356887613870854</v>
      </c>
      <c r="BX20" s="11">
        <v>0.00759977854949922</v>
      </c>
      <c r="BY20" s="11">
        <v>0.0</v>
      </c>
      <c r="BZ20" s="11">
        <v>0.46066737128189644</v>
      </c>
      <c r="CA20" s="11">
        <v>0.3960440887815189</v>
      </c>
      <c r="CB20" s="11">
        <v>1.0</v>
      </c>
    </row>
    <row r="21" ht="15.75" customHeight="1">
      <c r="A21" s="9" t="s">
        <v>179</v>
      </c>
      <c r="B21" s="9" t="s">
        <v>0</v>
      </c>
      <c r="C21" s="11">
        <v>0.10350397909490439</v>
      </c>
      <c r="D21" s="11">
        <v>0.05324764746385127</v>
      </c>
      <c r="E21" s="11">
        <v>0.3800780353454212</v>
      </c>
      <c r="F21" s="11">
        <v>0.13971769566215286</v>
      </c>
      <c r="G21" s="11">
        <v>0.06369061280697728</v>
      </c>
      <c r="H21" s="11">
        <v>0.1929079641955474</v>
      </c>
      <c r="I21" s="11">
        <v>0.07373192563690613</v>
      </c>
      <c r="J21" s="11">
        <v>0.012795501491852192</v>
      </c>
      <c r="K21" s="11">
        <v>0.01468900619692449</v>
      </c>
      <c r="L21" s="11">
        <v>0.04366536607757631</v>
      </c>
      <c r="M21" s="11">
        <v>0.02547624512279091</v>
      </c>
      <c r="N21" s="11">
        <v>0.01928970186482955</v>
      </c>
      <c r="O21" s="11">
        <v>0.9547413793103449</v>
      </c>
      <c r="P21" s="11">
        <v>0.04525862068965517</v>
      </c>
      <c r="Q21" s="11">
        <v>0.24978619788573464</v>
      </c>
      <c r="R21" s="11">
        <v>0.017451675027936944</v>
      </c>
      <c r="S21" s="11">
        <v>0.0035664186024394304</v>
      </c>
      <c r="T21" s="11">
        <v>7.13283720487886E-5</v>
      </c>
      <c r="U21" s="11">
        <v>0.029815259516393636</v>
      </c>
      <c r="V21" s="11">
        <v>0.005397180151691671</v>
      </c>
      <c r="W21" s="11">
        <v>0.07938847809030172</v>
      </c>
      <c r="X21" s="11">
        <v>0.012910435340830738</v>
      </c>
      <c r="Y21" s="11">
        <v>0.8465726717230557</v>
      </c>
      <c r="Z21" s="11">
        <v>0.004826553175301363</v>
      </c>
      <c r="AA21" s="11">
        <v>0.22724789167359544</v>
      </c>
      <c r="AB21" s="11">
        <v>0.5455519548400586</v>
      </c>
      <c r="AC21" s="11">
        <v>0.2929908007526657</v>
      </c>
      <c r="AD21" s="11">
        <v>0.16145724440727577</v>
      </c>
      <c r="AE21" s="11">
        <v>0.0021558379855089677</v>
      </c>
      <c r="AF21" s="11">
        <v>0.7768595041322314</v>
      </c>
      <c r="AG21" s="11">
        <v>0.18732782369146006</v>
      </c>
      <c r="AH21" s="11">
        <v>0.03581267217630854</v>
      </c>
      <c r="AI21" s="11">
        <v>0.04690580829077087</v>
      </c>
      <c r="AJ21" s="11">
        <v>0.02025829323879463</v>
      </c>
      <c r="AK21" s="11">
        <v>0.10306406685236769</v>
      </c>
      <c r="AL21" s="11">
        <v>0.07799442896935933</v>
      </c>
      <c r="AM21" s="11">
        <v>0.49987338566725753</v>
      </c>
      <c r="AN21" s="11">
        <v>0.06723221068624968</v>
      </c>
      <c r="AO21" s="11">
        <v>0.03279311218029881</v>
      </c>
      <c r="AP21" s="11">
        <v>0.04722714611293998</v>
      </c>
      <c r="AQ21" s="11">
        <v>0.04418840212712079</v>
      </c>
      <c r="AR21" s="11">
        <v>0.10736895416561154</v>
      </c>
      <c r="AS21" s="11">
        <v>0.11033970780377717</v>
      </c>
      <c r="AT21" s="11">
        <v>0.020507024059421928</v>
      </c>
      <c r="AU21" s="11">
        <v>0.013079283061521072</v>
      </c>
      <c r="AV21" s="11">
        <v>0.00898864309166263</v>
      </c>
      <c r="AW21" s="11">
        <v>0.03816136498196889</v>
      </c>
      <c r="AX21" s="11">
        <v>0.022067926153183703</v>
      </c>
      <c r="AY21" s="11">
        <v>0.041336993379622156</v>
      </c>
      <c r="AZ21" s="11">
        <v>0.06475052478604877</v>
      </c>
      <c r="BA21" s="11">
        <v>0.7342698745895904</v>
      </c>
      <c r="BB21" s="11">
        <v>0.056838365896980464</v>
      </c>
      <c r="BC21" s="11">
        <v>0.0817793087064972</v>
      </c>
      <c r="BD21" s="11">
        <v>0.08489469862018882</v>
      </c>
      <c r="BE21" s="11">
        <v>0.12490922294843863</v>
      </c>
      <c r="BF21" s="11">
        <v>0.014814814814814815</v>
      </c>
      <c r="BG21" s="11">
        <v>0.12091503267973856</v>
      </c>
      <c r="BH21" s="11">
        <v>0.08387799564270153</v>
      </c>
      <c r="BI21" s="11">
        <v>0.06383442265795207</v>
      </c>
      <c r="BJ21" s="11">
        <v>0.13413217138707334</v>
      </c>
      <c r="BK21" s="11">
        <v>0.2973856209150327</v>
      </c>
      <c r="BL21" s="11">
        <v>0.07523602033405954</v>
      </c>
      <c r="BM21" s="11">
        <v>0.030057013897137427</v>
      </c>
      <c r="BN21" s="11">
        <v>0.027069749061450307</v>
      </c>
      <c r="BO21" s="11">
        <v>0.02173483501284331</v>
      </c>
      <c r="BP21" s="11">
        <v>0.005927682276229994</v>
      </c>
      <c r="BQ21" s="11">
        <v>0.047619047619047616</v>
      </c>
      <c r="BR21" s="11">
        <v>0.00889152341434499</v>
      </c>
      <c r="BS21" s="11">
        <v>0.357834420075084</v>
      </c>
      <c r="BT21" s="11">
        <v>0.06342620035566093</v>
      </c>
      <c r="BU21" s="11">
        <v>0.46749654218533887</v>
      </c>
      <c r="BV21" s="11">
        <v>0.12893455279724433</v>
      </c>
      <c r="BW21" s="11">
        <v>0.062183325656379546</v>
      </c>
      <c r="BX21" s="11">
        <v>0.009626900046061723</v>
      </c>
      <c r="BY21" s="11">
        <v>0.0</v>
      </c>
      <c r="BZ21" s="11">
        <v>0.5233072316904652</v>
      </c>
      <c r="CA21" s="11">
        <v>0.4048825426070935</v>
      </c>
      <c r="CB21" s="11">
        <v>0.9999999999999999</v>
      </c>
    </row>
    <row r="22" ht="15.75" customHeight="1">
      <c r="A22" s="9" t="s">
        <v>180</v>
      </c>
      <c r="B22" s="9" t="s">
        <v>0</v>
      </c>
      <c r="C22" s="11">
        <v>0.09811734863680929</v>
      </c>
      <c r="D22" s="11">
        <v>0.05129262926292629</v>
      </c>
      <c r="E22" s="11">
        <v>0.32989548954895487</v>
      </c>
      <c r="F22" s="11">
        <v>0.1216996699669967</v>
      </c>
      <c r="G22" s="11">
        <v>0.0506967363403007</v>
      </c>
      <c r="H22" s="11">
        <v>0.27951961862852953</v>
      </c>
      <c r="I22" s="11">
        <v>0.06449394939493949</v>
      </c>
      <c r="J22" s="11">
        <v>0.010955262192885956</v>
      </c>
      <c r="K22" s="11">
        <v>0.01233039970663733</v>
      </c>
      <c r="L22" s="11">
        <v>0.05129262926292629</v>
      </c>
      <c r="M22" s="11">
        <v>0.027823615694902822</v>
      </c>
      <c r="N22" s="11">
        <v>0.012476050839682297</v>
      </c>
      <c r="O22" s="11">
        <v>0.9549387166546504</v>
      </c>
      <c r="P22" s="11">
        <v>0.04506128334534967</v>
      </c>
      <c r="Q22" s="11">
        <v>0.2530425552966997</v>
      </c>
      <c r="R22" s="11">
        <v>0.012797042461297833</v>
      </c>
      <c r="S22" s="11">
        <v>0.0070205996836286725</v>
      </c>
      <c r="T22" s="11">
        <v>1.9551037093649469E-4</v>
      </c>
      <c r="U22" s="11">
        <v>0.0244210226969767</v>
      </c>
      <c r="V22" s="11">
        <v>0.005189911664859677</v>
      </c>
      <c r="W22" s="11">
        <v>0.049464123846933154</v>
      </c>
      <c r="X22" s="11">
        <v>0.007109468034054352</v>
      </c>
      <c r="Y22" s="11">
        <v>0.8894833194106251</v>
      </c>
      <c r="Z22" s="11">
        <v>0.004319001830688019</v>
      </c>
      <c r="AA22" s="11">
        <v>0.31980786701807096</v>
      </c>
      <c r="AB22" s="11">
        <v>0.6591100860662654</v>
      </c>
      <c r="AC22" s="11">
        <v>0.19418349552792935</v>
      </c>
      <c r="AD22" s="11">
        <v>0.14670641840580526</v>
      </c>
      <c r="AE22" s="11">
        <v>0.002572567080136364</v>
      </c>
      <c r="AF22" s="11">
        <v>0.6853146853146853</v>
      </c>
      <c r="AG22" s="11">
        <v>0.291958041958042</v>
      </c>
      <c r="AH22" s="11">
        <v>0.022727272727272728</v>
      </c>
      <c r="AI22" s="11">
        <v>0.038080289278871665</v>
      </c>
      <c r="AJ22" s="11">
        <v>0.021849533482933742</v>
      </c>
      <c r="AK22" s="11">
        <v>0.09070509035077359</v>
      </c>
      <c r="AL22" s="11">
        <v>0.06897366245423409</v>
      </c>
      <c r="AM22" s="11">
        <v>0.47029644502184953</v>
      </c>
      <c r="AN22" s="11">
        <v>0.07003661273178222</v>
      </c>
      <c r="AO22" s="11">
        <v>0.07665052556985945</v>
      </c>
      <c r="AP22" s="11">
        <v>0.03909294909649227</v>
      </c>
      <c r="AQ22" s="11">
        <v>0.042754222274713594</v>
      </c>
      <c r="AR22" s="11">
        <v>0.11964095901736152</v>
      </c>
      <c r="AS22" s="11">
        <v>0.08101337554981874</v>
      </c>
      <c r="AT22" s="11">
        <v>0.018042524843168824</v>
      </c>
      <c r="AU22" s="11">
        <v>0.015322267251429524</v>
      </c>
      <c r="AV22" s="11">
        <v>0.009049020152112364</v>
      </c>
      <c r="AW22" s="11">
        <v>0.03980458557708322</v>
      </c>
      <c r="AX22" s="11">
        <v>0.021040359740187642</v>
      </c>
      <c r="AY22" s="11">
        <v>0.04518958529950591</v>
      </c>
      <c r="AZ22" s="11">
        <v>0.09465386110031644</v>
      </c>
      <c r="BA22" s="11">
        <v>0.6936101704324654</v>
      </c>
      <c r="BB22" s="11">
        <v>0.06328762560373064</v>
      </c>
      <c r="BC22" s="11">
        <v>0.06873521448553156</v>
      </c>
      <c r="BD22" s="11">
        <v>0.06916181378001701</v>
      </c>
      <c r="BE22" s="11">
        <v>0.12248904010992606</v>
      </c>
      <c r="BF22" s="11">
        <v>0.013217300268271935</v>
      </c>
      <c r="BG22" s="11">
        <v>0.11954459203036052</v>
      </c>
      <c r="BH22" s="11">
        <v>0.0779297258391677</v>
      </c>
      <c r="BI22" s="11">
        <v>0.0676568736504613</v>
      </c>
      <c r="BJ22" s="11">
        <v>0.12150755741673755</v>
      </c>
      <c r="BK22" s="11">
        <v>0.31682261336125106</v>
      </c>
      <c r="BL22" s="11">
        <v>0.09167048354380684</v>
      </c>
      <c r="BM22" s="11">
        <v>0.024160542577784175</v>
      </c>
      <c r="BN22" s="11">
        <v>0.02494415487714073</v>
      </c>
      <c r="BO22" s="11">
        <v>0.021965748324646314</v>
      </c>
      <c r="BP22" s="11">
        <v>0.005956813104988831</v>
      </c>
      <c r="BQ22" s="11">
        <v>0.047096053611317946</v>
      </c>
      <c r="BR22" s="11">
        <v>0.00949367088607595</v>
      </c>
      <c r="BS22" s="11">
        <v>0.3844005956813105</v>
      </c>
      <c r="BT22" s="11">
        <v>0.06571109456440805</v>
      </c>
      <c r="BU22" s="11">
        <v>0.4404318689501117</v>
      </c>
      <c r="BV22" s="11">
        <v>0.10199418923659521</v>
      </c>
      <c r="BW22" s="11">
        <v>0.06005820619102214</v>
      </c>
      <c r="BX22" s="11">
        <v>0.018299673692565483</v>
      </c>
      <c r="BY22" s="11">
        <v>0.0</v>
      </c>
      <c r="BZ22" s="11">
        <v>0.6304788782079549</v>
      </c>
      <c r="CA22" s="11">
        <v>0.29116324190845755</v>
      </c>
      <c r="CB22" s="11">
        <v>1.0</v>
      </c>
    </row>
    <row r="23" ht="15.75" customHeight="1">
      <c r="A23" s="9" t="s">
        <v>181</v>
      </c>
      <c r="B23" s="9" t="s">
        <v>0</v>
      </c>
      <c r="C23" s="11">
        <v>0.11000376463884903</v>
      </c>
      <c r="D23" s="11">
        <v>0.053230356564768995</v>
      </c>
      <c r="E23" s="11">
        <v>0.3068491883642418</v>
      </c>
      <c r="F23" s="11">
        <v>0.09882994959071359</v>
      </c>
      <c r="G23" s="11">
        <v>0.04781945150996624</v>
      </c>
      <c r="H23" s="11">
        <v>0.2998196364981732</v>
      </c>
      <c r="I23" s="11">
        <v>0.07811127040651158</v>
      </c>
      <c r="J23" s="11">
        <v>0.012579198076122648</v>
      </c>
      <c r="K23" s="11">
        <v>0.014059103732137077</v>
      </c>
      <c r="L23" s="11">
        <v>0.058410026360819496</v>
      </c>
      <c r="M23" s="11">
        <v>0.030291818896545347</v>
      </c>
      <c r="N23" s="11">
        <v>0.013181323321428936</v>
      </c>
      <c r="O23" s="11">
        <v>0.95021227325357</v>
      </c>
      <c r="P23" s="11">
        <v>0.04978772674642995</v>
      </c>
      <c r="Q23" s="11">
        <v>0.261113315629356</v>
      </c>
      <c r="R23" s="11">
        <v>0.010189767369364455</v>
      </c>
      <c r="S23" s="11">
        <v>0.014904726649261582</v>
      </c>
      <c r="T23" s="11">
        <v>2.3379963371390717E-4</v>
      </c>
      <c r="U23" s="11">
        <v>0.02123680006234657</v>
      </c>
      <c r="V23" s="11">
        <v>0.004091493589993376</v>
      </c>
      <c r="W23" s="11">
        <v>0.047266492615828236</v>
      </c>
      <c r="X23" s="11">
        <v>0.005630674511943264</v>
      </c>
      <c r="Y23" s="11">
        <v>0.8922963020691268</v>
      </c>
      <c r="Z23" s="11">
        <v>0.004149943498421852</v>
      </c>
      <c r="AA23" s="11">
        <v>0.2942167007519103</v>
      </c>
      <c r="AB23" s="11">
        <v>0.6847647536873411</v>
      </c>
      <c r="AC23" s="11">
        <v>0.16599519305586777</v>
      </c>
      <c r="AD23" s="11">
        <v>0.1492400532567911</v>
      </c>
      <c r="AE23" s="11">
        <v>0.0022791327086067784</v>
      </c>
      <c r="AF23" s="11">
        <v>0.6071428571428571</v>
      </c>
      <c r="AG23" s="11">
        <v>0.359375</v>
      </c>
      <c r="AH23" s="11">
        <v>0.033482142857142856</v>
      </c>
      <c r="AI23" s="11">
        <v>0.04117700924880193</v>
      </c>
      <c r="AJ23" s="11">
        <v>0.019026439337781073</v>
      </c>
      <c r="AK23" s="11">
        <v>0.06399802322708179</v>
      </c>
      <c r="AL23" s="11">
        <v>0.08351865579441561</v>
      </c>
      <c r="AM23" s="11">
        <v>0.5029651593773166</v>
      </c>
      <c r="AN23" s="11">
        <v>0.07437608104768964</v>
      </c>
      <c r="AO23" s="11">
        <v>0.050037064492216454</v>
      </c>
      <c r="AP23" s="11">
        <v>0.03125772176921176</v>
      </c>
      <c r="AQ23" s="11">
        <v>0.0517667407956511</v>
      </c>
      <c r="AR23" s="11">
        <v>0.12305411415863603</v>
      </c>
      <c r="AS23" s="11">
        <v>0.06980861390067458</v>
      </c>
      <c r="AT23" s="11">
        <v>0.018146042850896372</v>
      </c>
      <c r="AU23" s="11">
        <v>0.014793761842297042</v>
      </c>
      <c r="AV23" s="11">
        <v>0.011368605159597726</v>
      </c>
      <c r="AW23" s="11">
        <v>0.047879317883690424</v>
      </c>
      <c r="AX23" s="11">
        <v>0.022445707622795512</v>
      </c>
      <c r="AY23" s="11">
        <v>0.06055968517708789</v>
      </c>
      <c r="AZ23" s="11">
        <v>0.06267307972598747</v>
      </c>
      <c r="BA23" s="11">
        <v>0.6841568284506632</v>
      </c>
      <c r="BB23" s="11">
        <v>0.0779769712869844</v>
      </c>
      <c r="BC23" s="11">
        <v>0.06055981197155154</v>
      </c>
      <c r="BD23" s="11">
        <v>0.06594422043010753</v>
      </c>
      <c r="BE23" s="11">
        <v>0.15650201612903225</v>
      </c>
      <c r="BF23" s="11">
        <v>0.012264784946236559</v>
      </c>
      <c r="BG23" s="11">
        <v>0.14818548387096775</v>
      </c>
      <c r="BH23" s="11">
        <v>0.08560147849462366</v>
      </c>
      <c r="BI23" s="11">
        <v>0.08450940860215053</v>
      </c>
      <c r="BJ23" s="11">
        <v>0.12894825268817203</v>
      </c>
      <c r="BK23" s="11">
        <v>0.21009744623655913</v>
      </c>
      <c r="BL23" s="11">
        <v>0.10794690860215053</v>
      </c>
      <c r="BM23" s="11">
        <v>0.02578268876611418</v>
      </c>
      <c r="BN23" s="11">
        <v>0.028216258879242305</v>
      </c>
      <c r="BO23" s="11">
        <v>0.021310181531176007</v>
      </c>
      <c r="BP23" s="11">
        <v>0.006511444356748224</v>
      </c>
      <c r="BQ23" s="11">
        <v>0.04558011049723757</v>
      </c>
      <c r="BR23" s="11">
        <v>0.008484609313338595</v>
      </c>
      <c r="BS23" s="11">
        <v>0.4127861089187056</v>
      </c>
      <c r="BT23" s="11">
        <v>0.06550907655880031</v>
      </c>
      <c r="BU23" s="11">
        <v>0.4116022099447514</v>
      </c>
      <c r="BV23" s="11">
        <v>0.12187763906270667</v>
      </c>
      <c r="BW23" s="11">
        <v>0.08114538548232249</v>
      </c>
      <c r="BX23" s="11">
        <v>0.02299954084401219</v>
      </c>
      <c r="BY23" s="11">
        <v>0.0</v>
      </c>
      <c r="BZ23" s="11">
        <v>0.6282923571398756</v>
      </c>
      <c r="CA23" s="11">
        <v>0.2675627165337897</v>
      </c>
      <c r="CB23" s="11">
        <v>1.0000000000000002</v>
      </c>
    </row>
    <row r="24" ht="15.75" customHeight="1">
      <c r="A24" s="9" t="s">
        <v>182</v>
      </c>
      <c r="B24" s="9" t="s">
        <v>0</v>
      </c>
      <c r="C24" s="11">
        <v>0.09033681614640794</v>
      </c>
      <c r="D24" s="11">
        <v>0.05483716475095785</v>
      </c>
      <c r="E24" s="11">
        <v>0.32131226053639844</v>
      </c>
      <c r="F24" s="11">
        <v>0.10344827586206896</v>
      </c>
      <c r="G24" s="11">
        <v>0.048802681992337164</v>
      </c>
      <c r="H24" s="11">
        <v>0.2807471264367816</v>
      </c>
      <c r="I24" s="11">
        <v>0.07447318007662836</v>
      </c>
      <c r="J24" s="11">
        <v>0.01613984674329502</v>
      </c>
      <c r="K24" s="11">
        <v>0.013649425287356323</v>
      </c>
      <c r="L24" s="11">
        <v>0.04837164750957854</v>
      </c>
      <c r="M24" s="11">
        <v>0.0382183908045977</v>
      </c>
      <c r="N24" s="11">
        <v>0.010465745127306553</v>
      </c>
      <c r="O24" s="11">
        <v>0.9474989665150889</v>
      </c>
      <c r="P24" s="11">
        <v>0.05250103348491112</v>
      </c>
      <c r="Q24" s="11">
        <v>0.3283665390356285</v>
      </c>
      <c r="R24" s="11">
        <v>0.009486540969998814</v>
      </c>
      <c r="S24" s="11">
        <v>0.007694638786776816</v>
      </c>
      <c r="T24" s="11">
        <v>1.9763627020830864E-4</v>
      </c>
      <c r="U24" s="11">
        <v>0.01602171363822022</v>
      </c>
      <c r="V24" s="11">
        <v>0.003478398355666232</v>
      </c>
      <c r="W24" s="11">
        <v>0.043717142970077866</v>
      </c>
      <c r="X24" s="11">
        <v>0.004756446236346627</v>
      </c>
      <c r="Y24" s="11">
        <v>0.9119201022438305</v>
      </c>
      <c r="Z24" s="11">
        <v>0.002727380528874659</v>
      </c>
      <c r="AA24" s="11">
        <v>0.2881000281220931</v>
      </c>
      <c r="AB24" s="11">
        <v>0.6476197627271362</v>
      </c>
      <c r="AC24" s="11">
        <v>0.19457876558041748</v>
      </c>
      <c r="AD24" s="11">
        <v>0.15780147169244632</v>
      </c>
      <c r="AE24" s="11">
        <v>0.0020334436584679948</v>
      </c>
      <c r="AF24" s="11">
        <v>0.6510638297872341</v>
      </c>
      <c r="AG24" s="11">
        <v>0.32340425531914896</v>
      </c>
      <c r="AH24" s="11">
        <v>0.02553191489361702</v>
      </c>
      <c r="AI24" s="11">
        <v>0.03495359854630411</v>
      </c>
      <c r="AJ24" s="11">
        <v>0.02265131823245451</v>
      </c>
      <c r="AK24" s="11">
        <v>0.07005817551677188</v>
      </c>
      <c r="AL24" s="11">
        <v>0.08206461195692537</v>
      </c>
      <c r="AM24" s="11">
        <v>0.49486322564673846</v>
      </c>
      <c r="AN24" s="11">
        <v>0.08082683500433221</v>
      </c>
      <c r="AO24" s="11">
        <v>0.04035152865453645</v>
      </c>
      <c r="AP24" s="11">
        <v>0.04295086025498205</v>
      </c>
      <c r="AQ24" s="11">
        <v>0.042827082559722736</v>
      </c>
      <c r="AR24" s="11">
        <v>0.12340636217353633</v>
      </c>
      <c r="AS24" s="11">
        <v>0.06597875700348281</v>
      </c>
      <c r="AT24" s="11">
        <v>0.018098360655737705</v>
      </c>
      <c r="AU24" s="11">
        <v>0.012262295081967214</v>
      </c>
      <c r="AV24" s="11">
        <v>0.009901639344262294</v>
      </c>
      <c r="AW24" s="11">
        <v>0.05219672131147541</v>
      </c>
      <c r="AX24" s="11">
        <v>0.01737704918032787</v>
      </c>
      <c r="AY24" s="11">
        <v>0.04773770491803279</v>
      </c>
      <c r="AZ24" s="11">
        <v>0.09206557377049181</v>
      </c>
      <c r="BA24" s="11">
        <v>0.6808524590163935</v>
      </c>
      <c r="BB24" s="11">
        <v>0.06950819672131148</v>
      </c>
      <c r="BC24" s="11">
        <v>0.0529084734029896</v>
      </c>
      <c r="BD24" s="11">
        <v>0.06819854444353586</v>
      </c>
      <c r="BE24" s="11">
        <v>0.15561370512715675</v>
      </c>
      <c r="BF24" s="11">
        <v>0.011121105568730067</v>
      </c>
      <c r="BG24" s="11">
        <v>0.14670046610515985</v>
      </c>
      <c r="BH24" s="11">
        <v>0.09665549104587456</v>
      </c>
      <c r="BI24" s="11">
        <v>0.07629405511489083</v>
      </c>
      <c r="BJ24" s="11">
        <v>0.12633903017417614</v>
      </c>
      <c r="BK24" s="11">
        <v>0.23665058467577071</v>
      </c>
      <c r="BL24" s="11">
        <v>0.0824270177447052</v>
      </c>
      <c r="BM24" s="11">
        <v>0.021082916910030933</v>
      </c>
      <c r="BN24" s="11">
        <v>0.029550584855325263</v>
      </c>
      <c r="BO24" s="11">
        <v>0.020726451877693414</v>
      </c>
      <c r="BP24" s="11">
        <v>0.0063615842396880775</v>
      </c>
      <c r="BQ24" s="11">
        <v>0.04945618715370408</v>
      </c>
      <c r="BR24" s="11">
        <v>0.008618920582803202</v>
      </c>
      <c r="BS24" s="11">
        <v>0.3997537451262056</v>
      </c>
      <c r="BT24" s="11">
        <v>0.054586497024420276</v>
      </c>
      <c r="BU24" s="11">
        <v>0.43094602914016006</v>
      </c>
      <c r="BV24" s="11">
        <v>0.10577368204728838</v>
      </c>
      <c r="BW24" s="11">
        <v>0.06450425392670157</v>
      </c>
      <c r="BX24" s="11">
        <v>0.023273887434554975</v>
      </c>
      <c r="BY24" s="11">
        <v>0.0</v>
      </c>
      <c r="BZ24" s="11">
        <v>0.5904777486910995</v>
      </c>
      <c r="CA24" s="11">
        <v>0.32174410994764396</v>
      </c>
      <c r="CB24" s="11">
        <v>1.0</v>
      </c>
    </row>
    <row r="25" ht="15.75" customHeight="1">
      <c r="A25" s="9" t="s">
        <v>183</v>
      </c>
      <c r="B25" s="9" t="s">
        <v>0</v>
      </c>
      <c r="C25" s="11">
        <v>0.09243097004944631</v>
      </c>
      <c r="D25" s="11">
        <v>0.044317665054363554</v>
      </c>
      <c r="E25" s="11">
        <v>0.294762081938071</v>
      </c>
      <c r="F25" s="11">
        <v>0.08979288106163959</v>
      </c>
      <c r="G25" s="11">
        <v>0.04394559510521311</v>
      </c>
      <c r="H25" s="11">
        <v>0.35098598536524866</v>
      </c>
      <c r="I25" s="11">
        <v>0.06912232833105958</v>
      </c>
      <c r="J25" s="11">
        <v>0.013642564802182811</v>
      </c>
      <c r="K25" s="11">
        <v>0.012154285005581049</v>
      </c>
      <c r="L25" s="11">
        <v>0.04448302947620819</v>
      </c>
      <c r="M25" s="11">
        <v>0.03679358386043243</v>
      </c>
      <c r="N25" s="11">
        <v>0.008441027443847489</v>
      </c>
      <c r="O25" s="11">
        <v>0.9452240832956089</v>
      </c>
      <c r="P25" s="11">
        <v>0.05477591670439113</v>
      </c>
      <c r="Q25" s="11">
        <v>0.36599439048063037</v>
      </c>
      <c r="R25" s="11">
        <v>0.00887450407183128</v>
      </c>
      <c r="S25" s="11">
        <v>0.013645855084568803</v>
      </c>
      <c r="T25" s="11">
        <v>1.774900814366256E-4</v>
      </c>
      <c r="U25" s="11">
        <v>0.011401127584046773</v>
      </c>
      <c r="V25" s="11">
        <v>0.0025997076633952807</v>
      </c>
      <c r="W25" s="11">
        <v>0.0566610983503863</v>
      </c>
      <c r="X25" s="11">
        <v>0.004332846105658802</v>
      </c>
      <c r="Y25" s="11">
        <v>0.900198371267488</v>
      </c>
      <c r="Z25" s="11">
        <v>0.0021089997911881396</v>
      </c>
      <c r="AA25" s="11">
        <v>0.2804415776964287</v>
      </c>
      <c r="AB25" s="11">
        <v>0.6396969655679852</v>
      </c>
      <c r="AC25" s="11">
        <v>0.19615484187434426</v>
      </c>
      <c r="AD25" s="11">
        <v>0.16414819255767055</v>
      </c>
      <c r="AE25" s="11">
        <v>0.002288897889934199</v>
      </c>
      <c r="AF25" s="11">
        <v>0.6894824707846411</v>
      </c>
      <c r="AG25" s="11">
        <v>0.2904841402337229</v>
      </c>
      <c r="AH25" s="11">
        <v>0.02003338898163606</v>
      </c>
      <c r="AI25" s="11">
        <v>0.03017982560050134</v>
      </c>
      <c r="AJ25" s="11">
        <v>0.023930108888326158</v>
      </c>
      <c r="AK25" s="11">
        <v>0.07419599898708534</v>
      </c>
      <c r="AL25" s="11">
        <v>0.0981261078754115</v>
      </c>
      <c r="AM25" s="11">
        <v>0.47391744745505193</v>
      </c>
      <c r="AN25" s="11">
        <v>0.07888072929855659</v>
      </c>
      <c r="AO25" s="11">
        <v>0.05013927576601671</v>
      </c>
      <c r="AP25" s="11">
        <v>0.0381109141554824</v>
      </c>
      <c r="AQ25" s="11">
        <v>0.041149658141301594</v>
      </c>
      <c r="AR25" s="11">
        <v>0.12154975943276779</v>
      </c>
      <c r="AS25" s="11">
        <v>0.06105510932448853</v>
      </c>
      <c r="AT25" s="11">
        <v>0.015145825510076354</v>
      </c>
      <c r="AU25" s="11">
        <v>0.012767555388659407</v>
      </c>
      <c r="AV25" s="11">
        <v>0.00732256853173113</v>
      </c>
      <c r="AW25" s="11">
        <v>0.053072975341094</v>
      </c>
      <c r="AX25" s="11">
        <v>0.016522718738265114</v>
      </c>
      <c r="AY25" s="11">
        <v>0.040868694454875454</v>
      </c>
      <c r="AZ25" s="11">
        <v>0.07723119289022405</v>
      </c>
      <c r="BA25" s="11">
        <v>0.7119789710852422</v>
      </c>
      <c r="BB25" s="11">
        <v>0.06508949805983227</v>
      </c>
      <c r="BC25" s="11">
        <v>0.048101246474944404</v>
      </c>
      <c r="BD25" s="11">
        <v>0.0763425484588497</v>
      </c>
      <c r="BE25" s="11">
        <v>0.1548299968223705</v>
      </c>
      <c r="BF25" s="11">
        <v>0.012789958690816651</v>
      </c>
      <c r="BG25" s="11">
        <v>0.1457737527804258</v>
      </c>
      <c r="BH25" s="11">
        <v>0.09143628852875754</v>
      </c>
      <c r="BI25" s="11">
        <v>0.07737527804258024</v>
      </c>
      <c r="BJ25" s="11">
        <v>0.12368922783603432</v>
      </c>
      <c r="BK25" s="11">
        <v>0.20185891325071498</v>
      </c>
      <c r="BL25" s="11">
        <v>0.11590403558945027</v>
      </c>
      <c r="BM25" s="11">
        <v>0.01982055651934673</v>
      </c>
      <c r="BN25" s="11">
        <v>0.022749180643917486</v>
      </c>
      <c r="BO25" s="11">
        <v>0.018893387314439947</v>
      </c>
      <c r="BP25" s="11">
        <v>0.005976479660690187</v>
      </c>
      <c r="BQ25" s="11">
        <v>0.04819741661846925</v>
      </c>
      <c r="BR25" s="11">
        <v>0.010025062656641603</v>
      </c>
      <c r="BS25" s="11">
        <v>0.3738191632928475</v>
      </c>
      <c r="BT25" s="11">
        <v>0.05012531328320802</v>
      </c>
      <c r="BU25" s="11">
        <v>0.470213996529786</v>
      </c>
      <c r="BV25" s="11">
        <v>0.09124639852043195</v>
      </c>
      <c r="BW25" s="11">
        <v>0.0536873403408853</v>
      </c>
      <c r="BX25" s="11">
        <v>0.03752250931781063</v>
      </c>
      <c r="BY25" s="11">
        <v>0.0</v>
      </c>
      <c r="BZ25" s="11">
        <v>0.6313078437120483</v>
      </c>
      <c r="CA25" s="11">
        <v>0.2774823066292558</v>
      </c>
      <c r="CB25" s="11">
        <v>1.0000000000000002</v>
      </c>
    </row>
    <row r="26" ht="15.75" customHeight="1">
      <c r="A26" s="9" t="s">
        <v>184</v>
      </c>
      <c r="B26" s="9" t="s">
        <v>0</v>
      </c>
      <c r="C26" s="11">
        <v>0.1019472341524849</v>
      </c>
      <c r="D26" s="11">
        <v>0.04153468482736775</v>
      </c>
      <c r="E26" s="11">
        <v>0.2851203674374406</v>
      </c>
      <c r="F26" s="11">
        <v>0.08592017738359202</v>
      </c>
      <c r="G26" s="11">
        <v>0.03773360785555908</v>
      </c>
      <c r="H26" s="11">
        <v>0.35781596452328157</v>
      </c>
      <c r="I26" s="11">
        <v>0.08243585682610073</v>
      </c>
      <c r="J26" s="11">
        <v>0.011680392777953753</v>
      </c>
      <c r="K26" s="11">
        <v>0.010017421602787456</v>
      </c>
      <c r="L26" s="11">
        <v>0.05155210643015521</v>
      </c>
      <c r="M26" s="11">
        <v>0.0361894203357618</v>
      </c>
      <c r="N26" s="11">
        <v>0.008690703006426196</v>
      </c>
      <c r="O26" s="11">
        <v>0.9614491407338597</v>
      </c>
      <c r="P26" s="11">
        <v>0.03855085926614027</v>
      </c>
      <c r="Q26" s="11">
        <v>0.34807617786676137</v>
      </c>
      <c r="R26" s="11">
        <v>0.009486147673110599</v>
      </c>
      <c r="S26" s="11">
        <v>0.02083937331122218</v>
      </c>
      <c r="T26" s="11">
        <v>2.551286660249794E-4</v>
      </c>
      <c r="U26" s="11">
        <v>0.010297920701371897</v>
      </c>
      <c r="V26" s="11">
        <v>0.002736834780995234</v>
      </c>
      <c r="W26" s="11">
        <v>0.06046549384792012</v>
      </c>
      <c r="X26" s="11">
        <v>0.004963412229940509</v>
      </c>
      <c r="Y26" s="11">
        <v>0.8879753220999409</v>
      </c>
      <c r="Z26" s="11">
        <v>0.002980366689473623</v>
      </c>
      <c r="AA26" s="11">
        <v>0.28394742790712696</v>
      </c>
      <c r="AB26" s="11">
        <v>0.590896167405891</v>
      </c>
      <c r="AC26" s="11">
        <v>0.20308768338451041</v>
      </c>
      <c r="AD26" s="11">
        <v>0.20601614920959854</v>
      </c>
      <c r="AE26" s="11">
        <v>0.002050569961571996</v>
      </c>
      <c r="AF26" s="11">
        <v>0.6673228346456693</v>
      </c>
      <c r="AG26" s="11">
        <v>0.31299212598425197</v>
      </c>
      <c r="AH26" s="11">
        <v>0.01968503937007874</v>
      </c>
      <c r="AI26" s="11">
        <v>0.03399990312267898</v>
      </c>
      <c r="AJ26" s="11">
        <v>0.026475127626736317</v>
      </c>
      <c r="AK26" s="11">
        <v>0.08286833669713879</v>
      </c>
      <c r="AL26" s="11">
        <v>0.07942538288020895</v>
      </c>
      <c r="AM26" s="11">
        <v>0.5130001187225454</v>
      </c>
      <c r="AN26" s="11">
        <v>0.07420159088210851</v>
      </c>
      <c r="AO26" s="11">
        <v>0.03668526653211445</v>
      </c>
      <c r="AP26" s="11">
        <v>0.03905971744034192</v>
      </c>
      <c r="AQ26" s="11">
        <v>0.03716015671375994</v>
      </c>
      <c r="AR26" s="11">
        <v>0.11112430250504571</v>
      </c>
      <c r="AS26" s="11">
        <v>0.05579326379694514</v>
      </c>
      <c r="AT26" s="11">
        <v>0.014180292287657359</v>
      </c>
      <c r="AU26" s="11">
        <v>0.015193170308204312</v>
      </c>
      <c r="AV26" s="11">
        <v>0.006873100853711475</v>
      </c>
      <c r="AW26" s="11">
        <v>0.058023440891332656</v>
      </c>
      <c r="AX26" s="11">
        <v>0.017870062219649832</v>
      </c>
      <c r="AY26" s="11">
        <v>0.04413254232383157</v>
      </c>
      <c r="AZ26" s="11">
        <v>0.05136738532773839</v>
      </c>
      <c r="BA26" s="11">
        <v>0.7147301403559543</v>
      </c>
      <c r="BB26" s="11">
        <v>0.07762986543192013</v>
      </c>
      <c r="BC26" s="11">
        <v>0.05370636483999096</v>
      </c>
      <c r="BD26" s="11">
        <v>0.06335963923337092</v>
      </c>
      <c r="BE26" s="11">
        <v>0.15971439308530627</v>
      </c>
      <c r="BF26" s="11">
        <v>0.012777151446824501</v>
      </c>
      <c r="BG26" s="11">
        <v>0.14205186020293123</v>
      </c>
      <c r="BH26" s="11">
        <v>0.0833521232619316</v>
      </c>
      <c r="BI26" s="11">
        <v>0.07576099210823</v>
      </c>
      <c r="BJ26" s="11">
        <v>0.1186771890266817</v>
      </c>
      <c r="BK26" s="11">
        <v>0.22720781661029688</v>
      </c>
      <c r="BL26" s="11">
        <v>0.1170988350244269</v>
      </c>
      <c r="BM26" s="11">
        <v>0.019855814253883167</v>
      </c>
      <c r="BN26" s="11">
        <v>0.02744460256149624</v>
      </c>
      <c r="BO26" s="11">
        <v>0.016873348241512504</v>
      </c>
      <c r="BP26" s="11">
        <v>0.007318560683065664</v>
      </c>
      <c r="BQ26" s="11">
        <v>0.05204309819068916</v>
      </c>
      <c r="BR26" s="11">
        <v>0.009961374263061597</v>
      </c>
      <c r="BS26" s="11">
        <v>0.367960967676357</v>
      </c>
      <c r="BT26" s="11">
        <v>0.04838381784915633</v>
      </c>
      <c r="BU26" s="11">
        <v>0.4700142305346615</v>
      </c>
      <c r="BV26" s="11">
        <v>0.09193254109213034</v>
      </c>
      <c r="BW26" s="11">
        <v>0.0454006586169045</v>
      </c>
      <c r="BX26" s="11">
        <v>0.032140504939626786</v>
      </c>
      <c r="BY26" s="11">
        <v>0.0</v>
      </c>
      <c r="BZ26" s="11">
        <v>0.6817124039517014</v>
      </c>
      <c r="CA26" s="11">
        <v>0.24074643249176728</v>
      </c>
      <c r="CB26" s="11">
        <v>1.0</v>
      </c>
    </row>
    <row r="27" ht="15.75" customHeight="1">
      <c r="A27" s="9" t="s">
        <v>185</v>
      </c>
      <c r="B27" s="9" t="s">
        <v>0</v>
      </c>
      <c r="C27" s="11">
        <v>0.10350935458873022</v>
      </c>
      <c r="D27" s="11">
        <v>0.03820763415083902</v>
      </c>
      <c r="E27" s="11">
        <v>0.31904849714180344</v>
      </c>
      <c r="F27" s="11">
        <v>0.0850082979900424</v>
      </c>
      <c r="G27" s="11">
        <v>0.037765074681910385</v>
      </c>
      <c r="H27" s="11">
        <v>0.3348331182002582</v>
      </c>
      <c r="I27" s="11">
        <v>0.0818735017517979</v>
      </c>
      <c r="J27" s="11">
        <v>0.010584547298543242</v>
      </c>
      <c r="K27" s="11">
        <v>0.009441268670477596</v>
      </c>
      <c r="L27" s="11">
        <v>0.042928268486077815</v>
      </c>
      <c r="M27" s="11">
        <v>0.04030979162825005</v>
      </c>
      <c r="N27" s="11">
        <v>0.008024217715121185</v>
      </c>
      <c r="O27" s="11">
        <v>0.9733587059942912</v>
      </c>
      <c r="P27" s="11">
        <v>0.02664129400570885</v>
      </c>
      <c r="Q27" s="11">
        <v>0.38845688414510776</v>
      </c>
      <c r="R27" s="11">
        <v>0.010121954814807535</v>
      </c>
      <c r="S27" s="11">
        <v>0.024990418537918023</v>
      </c>
      <c r="T27" s="11">
        <v>1.8671567134110988E-4</v>
      </c>
      <c r="U27" s="11">
        <v>0.009561807800784207</v>
      </c>
      <c r="V27" s="11">
        <v>0.00227006947788402</v>
      </c>
      <c r="W27" s="11">
        <v>0.051956092335813046</v>
      </c>
      <c r="X27" s="11">
        <v>0.0031839935533957684</v>
      </c>
      <c r="Y27" s="11">
        <v>0.8949282127379397</v>
      </c>
      <c r="Z27" s="11">
        <v>0.002800735070116648</v>
      </c>
      <c r="AA27" s="11">
        <v>0.2577255045675435</v>
      </c>
      <c r="AB27" s="11">
        <v>0.5926117932842564</v>
      </c>
      <c r="AC27" s="11">
        <v>0.17452934990298163</v>
      </c>
      <c r="AD27" s="11">
        <v>0.232858856812762</v>
      </c>
      <c r="AE27" s="11">
        <v>0.002458418748115149</v>
      </c>
      <c r="AF27" s="11">
        <v>0.6288819875776398</v>
      </c>
      <c r="AG27" s="11">
        <v>0.33695652173913043</v>
      </c>
      <c r="AH27" s="11">
        <v>0.034161490683229816</v>
      </c>
      <c r="AI27" s="11">
        <v>0.029730070202361455</v>
      </c>
      <c r="AJ27" s="11">
        <v>0.02157164869029276</v>
      </c>
      <c r="AK27" s="11">
        <v>0.10747303543913714</v>
      </c>
      <c r="AL27" s="11">
        <v>0.08834103749357987</v>
      </c>
      <c r="AM27" s="11">
        <v>0.4574987159732922</v>
      </c>
      <c r="AN27" s="11">
        <v>0.08846944016435541</v>
      </c>
      <c r="AO27" s="11">
        <v>0.026579352850539292</v>
      </c>
      <c r="AP27" s="11">
        <v>0.03749357986646122</v>
      </c>
      <c r="AQ27" s="11">
        <v>0.04198767334360555</v>
      </c>
      <c r="AR27" s="11">
        <v>0.1305855161787365</v>
      </c>
      <c r="AS27" s="11">
        <v>0.05524570826509694</v>
      </c>
      <c r="AT27" s="11">
        <v>0.014994472084024322</v>
      </c>
      <c r="AU27" s="11">
        <v>0.013819789939192924</v>
      </c>
      <c r="AV27" s="11">
        <v>0.005182421227197346</v>
      </c>
      <c r="AW27" s="11">
        <v>0.06460751796572692</v>
      </c>
      <c r="AX27" s="11">
        <v>0.016100055279159756</v>
      </c>
      <c r="AY27" s="11">
        <v>0.05700663349917081</v>
      </c>
      <c r="AZ27" s="11">
        <v>0.047816473189607515</v>
      </c>
      <c r="BA27" s="11">
        <v>0.7066749585406302</v>
      </c>
      <c r="BB27" s="11">
        <v>0.07379767827529021</v>
      </c>
      <c r="BC27" s="11">
        <v>0.051993266070385596</v>
      </c>
      <c r="BD27" s="11">
        <v>0.06600587371512481</v>
      </c>
      <c r="BE27" s="11">
        <v>0.14537444933920704</v>
      </c>
      <c r="BF27" s="11">
        <v>0.01196769456681351</v>
      </c>
      <c r="BG27" s="11">
        <v>0.13972099853157122</v>
      </c>
      <c r="BH27" s="11">
        <v>0.09302496328928048</v>
      </c>
      <c r="BI27" s="11">
        <v>0.08333333333333333</v>
      </c>
      <c r="BJ27" s="11">
        <v>0.10881057268722467</v>
      </c>
      <c r="BK27" s="11">
        <v>0.22518355359765052</v>
      </c>
      <c r="BL27" s="11">
        <v>0.12657856093979442</v>
      </c>
      <c r="BM27" s="11">
        <v>0.019228346637043484</v>
      </c>
      <c r="BN27" s="11">
        <v>0.03315465554893786</v>
      </c>
      <c r="BO27" s="11">
        <v>0.017073654953345244</v>
      </c>
      <c r="BP27" s="11">
        <v>0.007742703990470518</v>
      </c>
      <c r="BQ27" s="11">
        <v>0.047250347429025216</v>
      </c>
      <c r="BR27" s="11">
        <v>0.011316259678379988</v>
      </c>
      <c r="BS27" s="11">
        <v>0.3718483224141354</v>
      </c>
      <c r="BT27" s="11">
        <v>0.048838594401429423</v>
      </c>
      <c r="BU27" s="11">
        <v>0.46277546158427635</v>
      </c>
      <c r="BV27" s="11">
        <v>0.08362822906049466</v>
      </c>
      <c r="BW27" s="11">
        <v>0.05226639886794175</v>
      </c>
      <c r="BX27" s="11">
        <v>0.047564705345323414</v>
      </c>
      <c r="BY27" s="11">
        <v>0.0</v>
      </c>
      <c r="BZ27" s="11">
        <v>0.6344090929839777</v>
      </c>
      <c r="CA27" s="11">
        <v>0.26575980280275713</v>
      </c>
      <c r="CB27" s="11">
        <v>1.0</v>
      </c>
    </row>
    <row r="28" ht="15.75" customHeight="1">
      <c r="A28" s="9" t="s">
        <v>186</v>
      </c>
      <c r="B28" s="9" t="s">
        <v>0</v>
      </c>
      <c r="C28" s="11">
        <v>0.11697151108570741</v>
      </c>
      <c r="D28" s="11">
        <v>0.05198354015302514</v>
      </c>
      <c r="E28" s="11">
        <v>0.3720825564199833</v>
      </c>
      <c r="F28" s="11">
        <v>0.08229923487430078</v>
      </c>
      <c r="G28" s="11">
        <v>0.03889924773355623</v>
      </c>
      <c r="H28" s="11">
        <v>0.28852954413939436</v>
      </c>
      <c r="I28" s="11">
        <v>0.07596605156561435</v>
      </c>
      <c r="J28" s="11">
        <v>0.007844145823956794</v>
      </c>
      <c r="K28" s="11">
        <v>0.009515849032341027</v>
      </c>
      <c r="L28" s="11">
        <v>0.037356137079663086</v>
      </c>
      <c r="M28" s="11">
        <v>0.035523693178164985</v>
      </c>
      <c r="N28" s="11">
        <v>0.00808489515959207</v>
      </c>
      <c r="O28" s="11">
        <v>0.9702325581395349</v>
      </c>
      <c r="P28" s="11">
        <v>0.029767441860465118</v>
      </c>
      <c r="Q28" s="11">
        <v>0.3664036882163593</v>
      </c>
      <c r="R28" s="11">
        <v>0.01054014388784548</v>
      </c>
      <c r="S28" s="11">
        <v>0.016697968944035635</v>
      </c>
      <c r="T28" s="11">
        <v>1.436825846444369E-4</v>
      </c>
      <c r="U28" s="11">
        <v>0.012931432617999323</v>
      </c>
      <c r="V28" s="11">
        <v>0.0024118148136744767</v>
      </c>
      <c r="W28" s="11">
        <v>0.04618368792142615</v>
      </c>
      <c r="X28" s="11">
        <v>0.004484949249258495</v>
      </c>
      <c r="Y28" s="11">
        <v>0.9032503053254923</v>
      </c>
      <c r="Z28" s="11">
        <v>0.0033560146556236336</v>
      </c>
      <c r="AA28" s="11">
        <v>0.26515071748744024</v>
      </c>
      <c r="AB28" s="11">
        <v>0.5416601664988442</v>
      </c>
      <c r="AC28" s="11">
        <v>0.19005545234076954</v>
      </c>
      <c r="AD28" s="11">
        <v>0.26828438116038633</v>
      </c>
      <c r="AE28" s="11">
        <v>0.0024442706296441143</v>
      </c>
      <c r="AF28" s="11">
        <v>0.6492307692307693</v>
      </c>
      <c r="AG28" s="11">
        <v>0.32153846153846155</v>
      </c>
      <c r="AH28" s="11">
        <v>0.02923076923076923</v>
      </c>
      <c r="AI28" s="11">
        <v>0.027586414367798802</v>
      </c>
      <c r="AJ28" s="11">
        <v>0.022900763358778626</v>
      </c>
      <c r="AK28" s="11">
        <v>0.10905125408942203</v>
      </c>
      <c r="AL28" s="11">
        <v>0.1061886586695747</v>
      </c>
      <c r="AM28" s="11">
        <v>0.3984460196292257</v>
      </c>
      <c r="AN28" s="11">
        <v>0.09800981461286805</v>
      </c>
      <c r="AO28" s="11">
        <v>0.03298800436205016</v>
      </c>
      <c r="AP28" s="11">
        <v>0.045119956379498366</v>
      </c>
      <c r="AQ28" s="11">
        <v>0.04702835332606325</v>
      </c>
      <c r="AR28" s="11">
        <v>0.14026717557251908</v>
      </c>
      <c r="AS28" s="11">
        <v>0.05778255768478686</v>
      </c>
      <c r="AT28" s="11">
        <v>0.015683977612911622</v>
      </c>
      <c r="AU28" s="11">
        <v>0.01353637901861252</v>
      </c>
      <c r="AV28" s="11">
        <v>0.006572953273460888</v>
      </c>
      <c r="AW28" s="11">
        <v>0.0641025641025641</v>
      </c>
      <c r="AX28" s="11">
        <v>0.01548874137706625</v>
      </c>
      <c r="AY28" s="11">
        <v>0.0605232331120656</v>
      </c>
      <c r="AZ28" s="11">
        <v>0.043993231810490696</v>
      </c>
      <c r="BA28" s="11">
        <v>0.7099440322790577</v>
      </c>
      <c r="BB28" s="11">
        <v>0.07015488741377066</v>
      </c>
      <c r="BC28" s="11">
        <v>0.05532700580608285</v>
      </c>
      <c r="BD28" s="11">
        <v>0.06218990008835724</v>
      </c>
      <c r="BE28" s="11">
        <v>0.13511860259634337</v>
      </c>
      <c r="BF28" s="11">
        <v>0.012845782641201658</v>
      </c>
      <c r="BG28" s="11">
        <v>0.13443893155712636</v>
      </c>
      <c r="BH28" s="11">
        <v>0.1040576361041256</v>
      </c>
      <c r="BI28" s="11">
        <v>0.09155168898253245</v>
      </c>
      <c r="BJ28" s="11">
        <v>0.10494120845510772</v>
      </c>
      <c r="BK28" s="11">
        <v>0.20362944334941888</v>
      </c>
      <c r="BL28" s="11">
        <v>0.15122680622578671</v>
      </c>
      <c r="BM28" s="11">
        <v>0.020268644144279653</v>
      </c>
      <c r="BN28" s="11">
        <v>0.027087198515769944</v>
      </c>
      <c r="BO28" s="11">
        <v>0.01855287569573284</v>
      </c>
      <c r="BP28" s="11">
        <v>0.00816326530612245</v>
      </c>
      <c r="BQ28" s="11">
        <v>0.04582560296846011</v>
      </c>
      <c r="BR28" s="11">
        <v>0.01261595547309833</v>
      </c>
      <c r="BS28" s="11">
        <v>0.39461966604823745</v>
      </c>
      <c r="BT28" s="11">
        <v>0.053061224489795916</v>
      </c>
      <c r="BU28" s="11">
        <v>0.4400742115027829</v>
      </c>
      <c r="BV28" s="11">
        <v>0.07998029541830871</v>
      </c>
      <c r="BW28" s="11">
        <v>0.06074568620997696</v>
      </c>
      <c r="BX28" s="11">
        <v>0.03338191734449198</v>
      </c>
      <c r="BY28" s="11">
        <v>4.701678499224223E-5</v>
      </c>
      <c r="BZ28" s="11">
        <v>0.6327989092105882</v>
      </c>
      <c r="CA28" s="11">
        <v>0.27302647044995065</v>
      </c>
      <c r="CB28" s="11">
        <v>1.0000000000000002</v>
      </c>
    </row>
    <row r="29" ht="15.75" customHeight="1">
      <c r="A29" s="9" t="s">
        <v>187</v>
      </c>
      <c r="B29" s="9" t="s">
        <v>0</v>
      </c>
      <c r="C29" s="11">
        <v>0.14281421892464674</v>
      </c>
      <c r="D29" s="11">
        <v>0.05321476660682226</v>
      </c>
      <c r="E29" s="11">
        <v>0.3685480251346499</v>
      </c>
      <c r="F29" s="11">
        <v>0.06698833034111311</v>
      </c>
      <c r="G29" s="11">
        <v>0.03916068222621185</v>
      </c>
      <c r="H29" s="11">
        <v>0.2619782315978456</v>
      </c>
      <c r="I29" s="11">
        <v>0.10923473967684022</v>
      </c>
      <c r="J29" s="11">
        <v>0.007882630161579892</v>
      </c>
      <c r="K29" s="11">
        <v>0.009201077199281867</v>
      </c>
      <c r="L29" s="11">
        <v>0.03388689407540395</v>
      </c>
      <c r="M29" s="11">
        <v>0.04990462298025135</v>
      </c>
      <c r="N29" s="11">
        <v>0.010099715156783956</v>
      </c>
      <c r="O29" s="11">
        <v>0.9738199127330425</v>
      </c>
      <c r="P29" s="11">
        <v>0.026180087266957558</v>
      </c>
      <c r="Q29" s="11">
        <v>0.3266803145694701</v>
      </c>
      <c r="R29" s="11">
        <v>0.01254552812626467</v>
      </c>
      <c r="S29" s="11">
        <v>0.01969513017671658</v>
      </c>
      <c r="T29" s="11">
        <v>1.3489815189531904E-4</v>
      </c>
      <c r="U29" s="11">
        <v>0.019045166353948224</v>
      </c>
      <c r="V29" s="11">
        <v>0.0031149209619464576</v>
      </c>
      <c r="W29" s="11">
        <v>0.04992457966962216</v>
      </c>
      <c r="X29" s="11">
        <v>0.007284500202347228</v>
      </c>
      <c r="Y29" s="11">
        <v>0.8823565480789277</v>
      </c>
      <c r="Z29" s="11">
        <v>0.005898728278331678</v>
      </c>
      <c r="AA29" s="11">
        <v>0.24938404156868088</v>
      </c>
      <c r="AB29" s="11">
        <v>0.5961541550868287</v>
      </c>
      <c r="AC29" s="11">
        <v>0.12988160452376746</v>
      </c>
      <c r="AD29" s="11">
        <v>0.27396424038940387</v>
      </c>
      <c r="AE29" s="11">
        <v>0.002620076839562359</v>
      </c>
      <c r="AF29" s="11">
        <v>0.6009174311926605</v>
      </c>
      <c r="AG29" s="11">
        <v>0.36085626911314983</v>
      </c>
      <c r="AH29" s="11">
        <v>0.0382262996941896</v>
      </c>
      <c r="AI29" s="11">
        <v>0.029373705485735806</v>
      </c>
      <c r="AJ29" s="11">
        <v>0.02823240589198036</v>
      </c>
      <c r="AK29" s="11">
        <v>0.11347517730496454</v>
      </c>
      <c r="AL29" s="11">
        <v>0.11524822695035461</v>
      </c>
      <c r="AM29" s="11">
        <v>0.3372885979268958</v>
      </c>
      <c r="AN29" s="11">
        <v>0.11224768139661756</v>
      </c>
      <c r="AO29" s="11">
        <v>0.049509001636661214</v>
      </c>
      <c r="AP29" s="11">
        <v>0.04964539007092199</v>
      </c>
      <c r="AQ29" s="11">
        <v>0.05128205128205128</v>
      </c>
      <c r="AR29" s="11">
        <v>0.14307146753955263</v>
      </c>
      <c r="AS29" s="11">
        <v>0.058955735123852715</v>
      </c>
      <c r="AT29" s="11">
        <v>0.017124218537646098</v>
      </c>
      <c r="AU29" s="11">
        <v>0.016444686055993477</v>
      </c>
      <c r="AV29" s="11">
        <v>0.0069991845610220165</v>
      </c>
      <c r="AW29" s="11">
        <v>0.06815710790975808</v>
      </c>
      <c r="AX29" s="11">
        <v>0.01916281598260397</v>
      </c>
      <c r="AY29" s="11">
        <v>0.07338950801848329</v>
      </c>
      <c r="AZ29" s="11">
        <v>0.04620820875237836</v>
      </c>
      <c r="BA29" s="11">
        <v>0.6796683881489535</v>
      </c>
      <c r="BB29" s="11">
        <v>0.07284588203316118</v>
      </c>
      <c r="BC29" s="11">
        <v>0.06423995737367344</v>
      </c>
      <c r="BD29" s="11">
        <v>0.062238852510134085</v>
      </c>
      <c r="BE29" s="11">
        <v>0.12086061739943872</v>
      </c>
      <c r="BF29" s="11">
        <v>0.009978172747115684</v>
      </c>
      <c r="BG29" s="11">
        <v>0.13489242282507016</v>
      </c>
      <c r="BH29" s="11">
        <v>0.10951044589959463</v>
      </c>
      <c r="BI29" s="11">
        <v>0.10626753975678203</v>
      </c>
      <c r="BJ29" s="11">
        <v>0.1026504521359526</v>
      </c>
      <c r="BK29" s="11">
        <v>0.20823199251637045</v>
      </c>
      <c r="BL29" s="11">
        <v>0.14536950420954162</v>
      </c>
      <c r="BM29" s="11">
        <v>0.025243278541410435</v>
      </c>
      <c r="BN29" s="11">
        <v>0.029201714013648628</v>
      </c>
      <c r="BO29" s="11">
        <v>0.020314235835581652</v>
      </c>
      <c r="BP29" s="11">
        <v>0.007141723535946675</v>
      </c>
      <c r="BQ29" s="11">
        <v>0.04808760514204095</v>
      </c>
      <c r="BR29" s="11">
        <v>0.013013807332169497</v>
      </c>
      <c r="BS29" s="11">
        <v>0.3861291858435169</v>
      </c>
      <c r="BT29" s="11">
        <v>0.06189493731153785</v>
      </c>
      <c r="BU29" s="11">
        <v>0.4342167909855578</v>
      </c>
      <c r="BV29" s="11">
        <v>0.09058895641618359</v>
      </c>
      <c r="BW29" s="11">
        <v>0.05758004599327791</v>
      </c>
      <c r="BX29" s="11">
        <v>0.03705996815849991</v>
      </c>
      <c r="BY29" s="11">
        <v>2.2112152839200424E-4</v>
      </c>
      <c r="BZ29" s="11">
        <v>0.6414293295595259</v>
      </c>
      <c r="CA29" s="11">
        <v>0.2637095347603043</v>
      </c>
      <c r="CB29" s="11">
        <v>1.0</v>
      </c>
    </row>
    <row r="30" ht="15.75" customHeight="1">
      <c r="A30" s="9" t="s">
        <v>188</v>
      </c>
      <c r="B30" s="9" t="s">
        <v>0</v>
      </c>
      <c r="C30" s="11">
        <v>0.12619507306824734</v>
      </c>
      <c r="D30" s="11">
        <v>0.05745646308560216</v>
      </c>
      <c r="E30" s="11">
        <v>0.33995584988962474</v>
      </c>
      <c r="F30" s="11">
        <v>0.06769683590875644</v>
      </c>
      <c r="G30" s="11">
        <v>0.04227986264410105</v>
      </c>
      <c r="H30" s="11">
        <v>0.23240127544763306</v>
      </c>
      <c r="I30" s="11">
        <v>0.12733014471425066</v>
      </c>
      <c r="J30" s="11">
        <v>0.00978047584007849</v>
      </c>
      <c r="K30" s="11">
        <v>0.011129506990434144</v>
      </c>
      <c r="L30" s="11">
        <v>0.03599460387539858</v>
      </c>
      <c r="M30" s="11">
        <v>0.07597498160412068</v>
      </c>
      <c r="N30" s="11">
        <v>0.010361491466665635</v>
      </c>
      <c r="O30" s="11">
        <v>0.9746079163554892</v>
      </c>
      <c r="P30" s="11">
        <v>0.02539208364451083</v>
      </c>
      <c r="Q30" s="11">
        <v>0.3235238356864004</v>
      </c>
      <c r="R30" s="11">
        <v>0.009890333305428323</v>
      </c>
      <c r="S30" s="11">
        <v>0.016922396163459582</v>
      </c>
      <c r="T30" s="11">
        <v>8.371503402418169E-5</v>
      </c>
      <c r="U30" s="11">
        <v>0.0211559850269682</v>
      </c>
      <c r="V30" s="11">
        <v>0.0028941483191217096</v>
      </c>
      <c r="W30" s="11">
        <v>0.05647177009459799</v>
      </c>
      <c r="X30" s="11">
        <v>0.00795292823229726</v>
      </c>
      <c r="Y30" s="11">
        <v>0.8789361015104584</v>
      </c>
      <c r="Z30" s="11">
        <v>0.005692622313644355</v>
      </c>
      <c r="AA30" s="11">
        <v>0.2619352542202378</v>
      </c>
      <c r="AB30" s="11">
        <v>0.6244257669980354</v>
      </c>
      <c r="AC30" s="11">
        <v>0.10260122010664854</v>
      </c>
      <c r="AD30" s="11">
        <v>0.27297301289531606</v>
      </c>
      <c r="AE30" s="11">
        <v>0.0026155221177990924</v>
      </c>
      <c r="AF30" s="11">
        <v>0.6242603550295858</v>
      </c>
      <c r="AG30" s="11">
        <v>0.3210059171597633</v>
      </c>
      <c r="AH30" s="11">
        <v>0.05473372781065089</v>
      </c>
      <c r="AI30" s="11">
        <v>0.032380628112219825</v>
      </c>
      <c r="AJ30" s="11">
        <v>0.02712390966662684</v>
      </c>
      <c r="AK30" s="11">
        <v>0.07850400286772613</v>
      </c>
      <c r="AL30" s="11">
        <v>0.10120683474728163</v>
      </c>
      <c r="AM30" s="11">
        <v>0.4165372206954236</v>
      </c>
      <c r="AN30" s="11">
        <v>0.11769626000716932</v>
      </c>
      <c r="AO30" s="11">
        <v>0.04409128928187358</v>
      </c>
      <c r="AP30" s="11">
        <v>0.037638905484526225</v>
      </c>
      <c r="AQ30" s="11">
        <v>0.049946230135022106</v>
      </c>
      <c r="AR30" s="11">
        <v>0.12725534711435058</v>
      </c>
      <c r="AS30" s="11">
        <v>0.051861624951152416</v>
      </c>
      <c r="AT30" s="11">
        <v>0.013727245598328858</v>
      </c>
      <c r="AU30" s="11">
        <v>0.018352730528200537</v>
      </c>
      <c r="AV30" s="11">
        <v>0.00828111011638317</v>
      </c>
      <c r="AW30" s="11">
        <v>0.07341092211280215</v>
      </c>
      <c r="AX30" s="11">
        <v>0.019994031632348554</v>
      </c>
      <c r="AY30" s="11">
        <v>0.07908087138167712</v>
      </c>
      <c r="AZ30" s="11">
        <v>0.04491196657714115</v>
      </c>
      <c r="BA30" s="11">
        <v>0.6596538346762161</v>
      </c>
      <c r="BB30" s="11">
        <v>0.08258728737690242</v>
      </c>
      <c r="BC30" s="11">
        <v>0.059541819335518095</v>
      </c>
      <c r="BD30" s="11">
        <v>0.05666385080252128</v>
      </c>
      <c r="BE30" s="11">
        <v>0.12164533108064202</v>
      </c>
      <c r="BF30" s="11">
        <v>0.010462018324777438</v>
      </c>
      <c r="BG30" s="11">
        <v>0.14744297875105594</v>
      </c>
      <c r="BH30" s="11">
        <v>0.10020144258886217</v>
      </c>
      <c r="BI30" s="11">
        <v>0.11384755344726753</v>
      </c>
      <c r="BJ30" s="11">
        <v>0.10988368315030217</v>
      </c>
      <c r="BK30" s="11">
        <v>0.19104555201767495</v>
      </c>
      <c r="BL30" s="11">
        <v>0.1488075898368965</v>
      </c>
      <c r="BM30" s="11">
        <v>0.025365921603980546</v>
      </c>
      <c r="BN30" s="11">
        <v>0.020744356314826115</v>
      </c>
      <c r="BO30" s="11">
        <v>0.020286760219646125</v>
      </c>
      <c r="BP30" s="11">
        <v>0.009762050030506406</v>
      </c>
      <c r="BQ30" s="11">
        <v>0.050030506406345335</v>
      </c>
      <c r="BR30" s="11">
        <v>0.014032946918852958</v>
      </c>
      <c r="BS30" s="11">
        <v>0.3862111043319097</v>
      </c>
      <c r="BT30" s="11">
        <v>0.062385600976205005</v>
      </c>
      <c r="BU30" s="11">
        <v>0.43654667480170833</v>
      </c>
      <c r="BV30" s="11">
        <v>0.10621882943777881</v>
      </c>
      <c r="BW30" s="11">
        <v>0.05693366845153535</v>
      </c>
      <c r="BX30" s="11">
        <v>0.0360252067169344</v>
      </c>
      <c r="BY30" s="11">
        <v>3.642589152369504E-5</v>
      </c>
      <c r="BZ30" s="11">
        <v>0.6868830364623174</v>
      </c>
      <c r="CA30" s="11">
        <v>0.22012166247768913</v>
      </c>
      <c r="CB30" s="11">
        <v>1.0</v>
      </c>
    </row>
    <row r="31" ht="15.75" customHeight="1">
      <c r="A31" s="9" t="s">
        <v>189</v>
      </c>
      <c r="B31" s="9" t="s">
        <v>0</v>
      </c>
      <c r="C31" s="11">
        <v>0.12144542488974139</v>
      </c>
      <c r="D31" s="11">
        <v>0.04421248223849601</v>
      </c>
      <c r="E31" s="11">
        <v>0.3233686741720407</v>
      </c>
      <c r="F31" s="11">
        <v>0.06407804131599082</v>
      </c>
      <c r="G31" s="11">
        <v>0.03891135643239698</v>
      </c>
      <c r="H31" s="11">
        <v>0.2551098480708274</v>
      </c>
      <c r="I31" s="11">
        <v>0.13933216744999455</v>
      </c>
      <c r="J31" s="11">
        <v>0.009017378948518964</v>
      </c>
      <c r="K31" s="11">
        <v>0.010083069187889386</v>
      </c>
      <c r="L31" s="11">
        <v>0.033610230626297956</v>
      </c>
      <c r="M31" s="11">
        <v>0.08227675155754727</v>
      </c>
      <c r="N31" s="11">
        <v>0.010051868837879185</v>
      </c>
      <c r="O31" s="11">
        <v>0.9778804886101023</v>
      </c>
      <c r="P31" s="11">
        <v>0.022119511389897657</v>
      </c>
      <c r="Q31" s="11">
        <v>0.33010217796022395</v>
      </c>
      <c r="R31" s="11">
        <v>0.008122888853144604</v>
      </c>
      <c r="S31" s="11">
        <v>0.019161170982789126</v>
      </c>
      <c r="T31" s="11">
        <v>0.0</v>
      </c>
      <c r="U31" s="11">
        <v>0.019854833520990833</v>
      </c>
      <c r="V31" s="11">
        <v>0.0027847032330706126</v>
      </c>
      <c r="W31" s="11">
        <v>0.05883062570371562</v>
      </c>
      <c r="X31" s="11">
        <v>0.0158336014154737</v>
      </c>
      <c r="Y31" s="11">
        <v>0.8704258484799743</v>
      </c>
      <c r="Z31" s="11">
        <v>0.004986327810841242</v>
      </c>
      <c r="AA31" s="11">
        <v>0.3024852573696559</v>
      </c>
      <c r="AB31" s="11">
        <v>0.6268019747668678</v>
      </c>
      <c r="AC31" s="11">
        <v>0.08405924300603401</v>
      </c>
      <c r="AD31" s="11">
        <v>0.2891387822270982</v>
      </c>
      <c r="AE31" s="11">
        <v>0.002256609709395129</v>
      </c>
      <c r="AF31" s="11">
        <v>0.5735294117647058</v>
      </c>
      <c r="AG31" s="11">
        <v>0.35441176470588237</v>
      </c>
      <c r="AH31" s="11">
        <v>0.07205882352941176</v>
      </c>
      <c r="AI31" s="11">
        <v>0.028662261853008426</v>
      </c>
      <c r="AJ31" s="11">
        <v>0.02304040754891745</v>
      </c>
      <c r="AK31" s="11">
        <v>0.08127822160472387</v>
      </c>
      <c r="AL31" s="11">
        <v>0.11103392381613986</v>
      </c>
      <c r="AM31" s="11">
        <v>0.4026861178649994</v>
      </c>
      <c r="AN31" s="11">
        <v>0.1366215120991085</v>
      </c>
      <c r="AO31" s="11">
        <v>0.030681949751070973</v>
      </c>
      <c r="AP31" s="11">
        <v>0.03924973949287947</v>
      </c>
      <c r="AQ31" s="11">
        <v>0.05129095750839412</v>
      </c>
      <c r="AR31" s="11">
        <v>0.12411717031376636</v>
      </c>
      <c r="AS31" s="11">
        <v>0.048955156519113155</v>
      </c>
      <c r="AT31" s="11">
        <v>0.011252711496746204</v>
      </c>
      <c r="AU31" s="11">
        <v>0.0199295010845987</v>
      </c>
      <c r="AV31" s="11">
        <v>0.007795553145336226</v>
      </c>
      <c r="AW31" s="11">
        <v>0.06866865509761388</v>
      </c>
      <c r="AX31" s="11">
        <v>0.018573752711496746</v>
      </c>
      <c r="AY31" s="11">
        <v>0.06114425162689805</v>
      </c>
      <c r="AZ31" s="11">
        <v>0.06216106290672451</v>
      </c>
      <c r="BA31" s="11">
        <v>0.6749593275488069</v>
      </c>
      <c r="BB31" s="11">
        <v>0.07551518438177875</v>
      </c>
      <c r="BC31" s="11">
        <v>0.048580161082110725</v>
      </c>
      <c r="BD31" s="11">
        <v>0.050686522303436024</v>
      </c>
      <c r="BE31" s="11">
        <v>0.12883393674431315</v>
      </c>
      <c r="BF31" s="11">
        <v>0.012842407268256029</v>
      </c>
      <c r="BG31" s="11">
        <v>0.14966869321674978</v>
      </c>
      <c r="BH31" s="11">
        <v>0.08374888995149941</v>
      </c>
      <c r="BI31" s="11">
        <v>0.137441082041123</v>
      </c>
      <c r="BJ31" s="11">
        <v>0.1261698203429196</v>
      </c>
      <c r="BK31" s="11">
        <v>0.1546553726347428</v>
      </c>
      <c r="BL31" s="11">
        <v>0.15595327549696017</v>
      </c>
      <c r="BM31" s="11">
        <v>0.022768528259058795</v>
      </c>
      <c r="BN31" s="11">
        <v>0.020988194140795804</v>
      </c>
      <c r="BO31" s="11">
        <v>0.020550940096195888</v>
      </c>
      <c r="BP31" s="11">
        <v>0.01020259437399796</v>
      </c>
      <c r="BQ31" s="11">
        <v>0.04780644220959044</v>
      </c>
      <c r="BR31" s="11">
        <v>0.016761405042996648</v>
      </c>
      <c r="BS31" s="11">
        <v>0.38172278093572365</v>
      </c>
      <c r="BT31" s="11">
        <v>0.06223582568138755</v>
      </c>
      <c r="BU31" s="11">
        <v>0.43973181751931206</v>
      </c>
      <c r="BV31" s="11">
        <v>0.08469255351981336</v>
      </c>
      <c r="BW31" s="11">
        <v>0.05775635750950198</v>
      </c>
      <c r="BX31" s="11">
        <v>0.026527173700090122</v>
      </c>
      <c r="BY31" s="11">
        <v>3.918341757768113E-5</v>
      </c>
      <c r="BZ31" s="11">
        <v>0.6904118177187414</v>
      </c>
      <c r="CA31" s="11">
        <v>0.22526546765408878</v>
      </c>
      <c r="CB31" s="11">
        <v>1.0000000000000002</v>
      </c>
    </row>
    <row r="32" ht="15.75" customHeight="1">
      <c r="A32" s="9" t="s">
        <v>190</v>
      </c>
      <c r="B32" s="9" t="s">
        <v>0</v>
      </c>
      <c r="C32" s="11">
        <v>0.10234959215119568</v>
      </c>
      <c r="D32" s="11">
        <v>0.05174222449037453</v>
      </c>
      <c r="E32" s="11">
        <v>0.3857276516118057</v>
      </c>
      <c r="F32" s="11">
        <v>0.07034107340307902</v>
      </c>
      <c r="G32" s="11">
        <v>0.041648946726772704</v>
      </c>
      <c r="H32" s="11">
        <v>0.207706047461087</v>
      </c>
      <c r="I32" s="11">
        <v>0.10113124096283066</v>
      </c>
      <c r="J32" s="11">
        <v>0.008505571149102662</v>
      </c>
      <c r="K32" s="11">
        <v>0.011142298205324487</v>
      </c>
      <c r="L32" s="11">
        <v>0.03853023730543506</v>
      </c>
      <c r="M32" s="11">
        <v>0.08352470868418814</v>
      </c>
      <c r="N32" s="11">
        <v>0.009799398165478377</v>
      </c>
      <c r="O32" s="11">
        <v>0.9825288717796861</v>
      </c>
      <c r="P32" s="11">
        <v>0.017471128220313888</v>
      </c>
      <c r="Q32" s="11">
        <v>0.3101450032355135</v>
      </c>
      <c r="R32" s="11">
        <v>0.0068394461077844314</v>
      </c>
      <c r="S32" s="11">
        <v>0.013080089820359282</v>
      </c>
      <c r="T32" s="11">
        <v>1.403443113772455E-4</v>
      </c>
      <c r="U32" s="11">
        <v>0.020752245508982036</v>
      </c>
      <c r="V32" s="11">
        <v>0.0022267964071856286</v>
      </c>
      <c r="W32" s="11">
        <v>0.06057260479041916</v>
      </c>
      <c r="X32" s="11">
        <v>0.01974176646706587</v>
      </c>
      <c r="Y32" s="11">
        <v>0.8711826347305389</v>
      </c>
      <c r="Z32" s="11">
        <v>0.0054640718562874255</v>
      </c>
      <c r="AA32" s="11">
        <v>0.3547979907896684</v>
      </c>
      <c r="AB32" s="11">
        <v>0.5467334053063762</v>
      </c>
      <c r="AC32" s="11">
        <v>0.0915284457094252</v>
      </c>
      <c r="AD32" s="11">
        <v>0.36173814898419865</v>
      </c>
      <c r="AE32" s="11">
        <v>0.001923897241253232</v>
      </c>
      <c r="AF32" s="11">
        <v>0.555052790346908</v>
      </c>
      <c r="AG32" s="11">
        <v>0.36199095022624433</v>
      </c>
      <c r="AH32" s="11">
        <v>0.08295625942684766</v>
      </c>
      <c r="AI32" s="11">
        <v>0.03049507708647091</v>
      </c>
      <c r="AJ32" s="11">
        <v>0.019126463031687125</v>
      </c>
      <c r="AK32" s="11">
        <v>0.08916167094871062</v>
      </c>
      <c r="AL32" s="11">
        <v>0.09791607193833857</v>
      </c>
      <c r="AM32" s="11">
        <v>0.4519935293557903</v>
      </c>
      <c r="AN32" s="11">
        <v>0.12808069273955658</v>
      </c>
      <c r="AO32" s="11">
        <v>0.03045009039870587</v>
      </c>
      <c r="AP32" s="11">
        <v>0.028356646683794843</v>
      </c>
      <c r="AQ32" s="11">
        <v>0.04215434389570844</v>
      </c>
      <c r="AR32" s="11">
        <v>0.11276049100770767</v>
      </c>
      <c r="AS32" s="11">
        <v>0.04942355627907247</v>
      </c>
      <c r="AT32" s="11">
        <v>0.009746359793330201</v>
      </c>
      <c r="AU32" s="11">
        <v>0.018024894316580553</v>
      </c>
      <c r="AV32" s="11">
        <v>0.005695162047909817</v>
      </c>
      <c r="AW32" s="11">
        <v>0.06722639736965712</v>
      </c>
      <c r="AX32" s="11">
        <v>0.016028651949271958</v>
      </c>
      <c r="AY32" s="11">
        <v>0.05442696101456083</v>
      </c>
      <c r="AZ32" s="11">
        <v>0.060415688116486614</v>
      </c>
      <c r="BA32" s="11">
        <v>0.6941639267261626</v>
      </c>
      <c r="BB32" s="11">
        <v>0.07427195866604039</v>
      </c>
      <c r="BC32" s="11">
        <v>0.04454562073978637</v>
      </c>
      <c r="BD32" s="11">
        <v>0.0611686535079148</v>
      </c>
      <c r="BE32" s="11">
        <v>0.11940590189564197</v>
      </c>
      <c r="BF32" s="11">
        <v>0.017914142401146506</v>
      </c>
      <c r="BG32" s="11">
        <v>0.14956680346557227</v>
      </c>
      <c r="BH32" s="11">
        <v>0.08364275942935313</v>
      </c>
      <c r="BI32" s="11">
        <v>0.13080581069637157</v>
      </c>
      <c r="BJ32" s="11">
        <v>0.1353657742166634</v>
      </c>
      <c r="BK32" s="11">
        <v>0.1102859748550583</v>
      </c>
      <c r="BL32" s="11">
        <v>0.19184417953227803</v>
      </c>
      <c r="BM32" s="11">
        <v>0.021154164236404316</v>
      </c>
      <c r="BN32" s="11">
        <v>0.022222222222222223</v>
      </c>
      <c r="BO32" s="11">
        <v>0.020850480109739368</v>
      </c>
      <c r="BP32" s="11">
        <v>0.010973936899862825</v>
      </c>
      <c r="BQ32" s="11">
        <v>0.04609053497942387</v>
      </c>
      <c r="BR32" s="11">
        <v>0.01700960219478738</v>
      </c>
      <c r="BS32" s="11">
        <v>0.3792866941015089</v>
      </c>
      <c r="BT32" s="11">
        <v>0.06035665294924554</v>
      </c>
      <c r="BU32" s="11">
        <v>0.44320987654320987</v>
      </c>
      <c r="BV32" s="11">
        <v>0.07536570007515676</v>
      </c>
      <c r="BW32" s="11">
        <v>0.05278761743415986</v>
      </c>
      <c r="BX32" s="11">
        <v>0.03134144463268135</v>
      </c>
      <c r="BY32" s="11">
        <v>0.0</v>
      </c>
      <c r="BZ32" s="11">
        <v>0.7367934698906514</v>
      </c>
      <c r="CA32" s="11">
        <v>0.17907746804250732</v>
      </c>
      <c r="CB32" s="11">
        <v>1.0000000000000002</v>
      </c>
    </row>
    <row r="33" ht="15.75" customHeight="1">
      <c r="A33" s="9" t="s">
        <v>191</v>
      </c>
      <c r="B33" s="9" t="s">
        <v>0</v>
      </c>
      <c r="C33" s="11">
        <v>0.09654804580724238</v>
      </c>
      <c r="D33" s="11">
        <v>0.05646446403909487</v>
      </c>
      <c r="E33" s="11">
        <v>0.437214490598109</v>
      </c>
      <c r="F33" s="11">
        <v>0.06607882715393605</v>
      </c>
      <c r="G33" s="11">
        <v>0.040608732603845746</v>
      </c>
      <c r="H33" s="11">
        <v>0.156459152236269</v>
      </c>
      <c r="I33" s="11">
        <v>0.10921066610007436</v>
      </c>
      <c r="J33" s="11">
        <v>0.007117815786677998</v>
      </c>
      <c r="K33" s="11">
        <v>0.011287581004993094</v>
      </c>
      <c r="L33" s="11">
        <v>0.03649208541378944</v>
      </c>
      <c r="M33" s="11">
        <v>0.07906618506321045</v>
      </c>
      <c r="N33" s="11">
        <v>0.009185039309506593</v>
      </c>
      <c r="O33" s="11">
        <v>0.9835287548855388</v>
      </c>
      <c r="P33" s="11">
        <v>0.016471245114461196</v>
      </c>
      <c r="Q33" s="11">
        <v>0.349795631593253</v>
      </c>
      <c r="R33" s="11">
        <v>0.004244432389637428</v>
      </c>
      <c r="S33" s="11">
        <v>0.007704487809169147</v>
      </c>
      <c r="T33" s="11">
        <v>1.466125177767678E-4</v>
      </c>
      <c r="U33" s="11">
        <v>0.016310642602665414</v>
      </c>
      <c r="V33" s="11">
        <v>0.0013415045376574252</v>
      </c>
      <c r="W33" s="11">
        <v>0.035509551805533154</v>
      </c>
      <c r="X33" s="11">
        <v>0.012586684651135514</v>
      </c>
      <c r="Y33" s="11">
        <v>0.9178749981673435</v>
      </c>
      <c r="Z33" s="11">
        <v>0.004281085519081619</v>
      </c>
      <c r="AA33" s="11">
        <v>0.32383289485155725</v>
      </c>
      <c r="AB33" s="11">
        <v>0.5063069626016518</v>
      </c>
      <c r="AC33" s="11">
        <v>0.09679386169816849</v>
      </c>
      <c r="AD33" s="11">
        <v>0.39689917570017974</v>
      </c>
      <c r="AE33" s="11">
        <v>0.0016641793723812894</v>
      </c>
      <c r="AF33" s="11">
        <v>0.5531587057010786</v>
      </c>
      <c r="AG33" s="11">
        <v>0.37442218798151</v>
      </c>
      <c r="AH33" s="11">
        <v>0.0724191063174114</v>
      </c>
      <c r="AI33" s="11">
        <v>0.03068603166299983</v>
      </c>
      <c r="AJ33" s="11">
        <v>0.017715383972591293</v>
      </c>
      <c r="AK33" s="11">
        <v>0.06300660148742375</v>
      </c>
      <c r="AL33" s="11">
        <v>0.08423163700175483</v>
      </c>
      <c r="AM33" s="11">
        <v>0.5221860115317122</v>
      </c>
      <c r="AN33" s="11">
        <v>0.12801871814155594</v>
      </c>
      <c r="AO33" s="11">
        <v>0.02189354056990056</v>
      </c>
      <c r="AP33" s="11">
        <v>0.027408707278348793</v>
      </c>
      <c r="AQ33" s="11">
        <v>0.03317456338263558</v>
      </c>
      <c r="AR33" s="11">
        <v>0.10236483663407704</v>
      </c>
      <c r="AS33" s="11">
        <v>0.045043104553543496</v>
      </c>
      <c r="AT33" s="11">
        <v>0.008026870089946488</v>
      </c>
      <c r="AU33" s="11">
        <v>0.018501650916543322</v>
      </c>
      <c r="AV33" s="11">
        <v>0.006148240919959012</v>
      </c>
      <c r="AW33" s="11">
        <v>0.06227940339291814</v>
      </c>
      <c r="AX33" s="11">
        <v>0.01736308778321758</v>
      </c>
      <c r="AY33" s="11">
        <v>0.05721279744961858</v>
      </c>
      <c r="AZ33" s="11">
        <v>0.06928156666287145</v>
      </c>
      <c r="BA33" s="11">
        <v>0.6830809518387795</v>
      </c>
      <c r="BB33" s="11">
        <v>0.07810543094614597</v>
      </c>
      <c r="BC33" s="11">
        <v>0.04358662707509577</v>
      </c>
      <c r="BD33" s="11">
        <v>0.06259559948229203</v>
      </c>
      <c r="BE33" s="11">
        <v>0.115366513707495</v>
      </c>
      <c r="BF33" s="11">
        <v>0.011295446523120367</v>
      </c>
      <c r="BG33" s="11">
        <v>0.1444875867749147</v>
      </c>
      <c r="BH33" s="11">
        <v>0.08295093540416519</v>
      </c>
      <c r="BI33" s="11">
        <v>0.15631250735380633</v>
      </c>
      <c r="BJ33" s="11">
        <v>0.12536769031650782</v>
      </c>
      <c r="BK33" s="11">
        <v>0.11289563478056241</v>
      </c>
      <c r="BL33" s="11">
        <v>0.18872808565713614</v>
      </c>
      <c r="BM33" s="11">
        <v>0.021039432589196425</v>
      </c>
      <c r="BN33" s="11">
        <v>0.019134673979280925</v>
      </c>
      <c r="BO33" s="11">
        <v>0.02218159658744668</v>
      </c>
      <c r="BP33" s="11">
        <v>0.01145642900670323</v>
      </c>
      <c r="BQ33" s="11">
        <v>0.04594759293113955</v>
      </c>
      <c r="BR33" s="11">
        <v>0.014868982327848872</v>
      </c>
      <c r="BS33" s="11">
        <v>0.4760511882998172</v>
      </c>
      <c r="BT33" s="11">
        <v>0.05679463741620963</v>
      </c>
      <c r="BU33" s="11">
        <v>0.35356489945155395</v>
      </c>
      <c r="BV33" s="11">
        <v>0.07861901318522393</v>
      </c>
      <c r="BW33" s="11">
        <v>0.04041095890410959</v>
      </c>
      <c r="BX33" s="11">
        <v>0.028082191780821917</v>
      </c>
      <c r="BY33" s="11">
        <v>0.0</v>
      </c>
      <c r="BZ33" s="11">
        <v>0.7622961513372473</v>
      </c>
      <c r="CA33" s="11">
        <v>0.16921069797782126</v>
      </c>
      <c r="CB33" s="11">
        <v>0.9999999999999999</v>
      </c>
    </row>
    <row r="34" ht="15.75" customHeight="1">
      <c r="A34" s="9" t="s">
        <v>192</v>
      </c>
      <c r="B34" s="9" t="s">
        <v>0</v>
      </c>
      <c r="C34" s="11">
        <v>0.09821273498689119</v>
      </c>
      <c r="D34" s="11">
        <v>0.05470877192982456</v>
      </c>
      <c r="E34" s="11">
        <v>0.4127719298245614</v>
      </c>
      <c r="F34" s="11">
        <v>0.07141052631578948</v>
      </c>
      <c r="G34" s="11">
        <v>0.03449824561403509</v>
      </c>
      <c r="H34" s="11">
        <v>0.18077192982456142</v>
      </c>
      <c r="I34" s="11">
        <v>0.11584561403508772</v>
      </c>
      <c r="J34" s="11">
        <v>0.007943859649122807</v>
      </c>
      <c r="K34" s="11">
        <v>0.012547368421052632</v>
      </c>
      <c r="L34" s="11">
        <v>0.0367719298245614</v>
      </c>
      <c r="M34" s="11">
        <v>0.0727298245614035</v>
      </c>
      <c r="N34" s="11">
        <v>0.009050734286651613</v>
      </c>
      <c r="O34" s="11">
        <v>0.9887298202863235</v>
      </c>
      <c r="P34" s="11">
        <v>0.011270179713676515</v>
      </c>
      <c r="Q34" s="11">
        <v>0.41895554030099275</v>
      </c>
      <c r="R34" s="11">
        <v>0.002724239812066935</v>
      </c>
      <c r="S34" s="11">
        <v>0.0077844823615342605</v>
      </c>
      <c r="T34" s="11">
        <v>6.580289401127861E-5</v>
      </c>
      <c r="U34" s="11">
        <v>0.0109825030104824</v>
      </c>
      <c r="V34" s="11">
        <v>0.0011318097769939923</v>
      </c>
      <c r="W34" s="11">
        <v>0.018023412669689213</v>
      </c>
      <c r="X34" s="11">
        <v>0.007652876573511703</v>
      </c>
      <c r="Y34" s="11">
        <v>0.9480091334416888</v>
      </c>
      <c r="Z34" s="11">
        <v>0.0036257394600214517</v>
      </c>
      <c r="AA34" s="11">
        <v>0.24486605850584314</v>
      </c>
      <c r="AB34" s="11">
        <v>0.4882516521993673</v>
      </c>
      <c r="AC34" s="11">
        <v>0.08731043334346607</v>
      </c>
      <c r="AD34" s="11">
        <v>0.42443791445716667</v>
      </c>
      <c r="AE34" s="11">
        <v>0.002092448164352292</v>
      </c>
      <c r="AF34" s="11">
        <v>0.5849802371541502</v>
      </c>
      <c r="AG34" s="11">
        <v>0.3715415019762846</v>
      </c>
      <c r="AH34" s="11">
        <v>0.043478260869565216</v>
      </c>
      <c r="AI34" s="11">
        <v>0.030592750039285094</v>
      </c>
      <c r="AJ34" s="11">
        <v>0.02045597909344868</v>
      </c>
      <c r="AK34" s="11">
        <v>0.05776335946652248</v>
      </c>
      <c r="AL34" s="11">
        <v>0.08056231413895648</v>
      </c>
      <c r="AM34" s="11">
        <v>0.4998648283319816</v>
      </c>
      <c r="AN34" s="11">
        <v>0.14328196809948635</v>
      </c>
      <c r="AO34" s="11">
        <v>0.029737766964044336</v>
      </c>
      <c r="AP34" s="11">
        <v>0.020906551320176624</v>
      </c>
      <c r="AQ34" s="11">
        <v>0.028025592502478148</v>
      </c>
      <c r="AR34" s="11">
        <v>0.11940164008290528</v>
      </c>
      <c r="AS34" s="11">
        <v>0.040553244397394224</v>
      </c>
      <c r="AT34" s="11">
        <v>0.007613868116927261</v>
      </c>
      <c r="AU34" s="11">
        <v>0.017675050985723997</v>
      </c>
      <c r="AV34" s="11">
        <v>0.007002039428959891</v>
      </c>
      <c r="AW34" s="11">
        <v>0.06349422161794697</v>
      </c>
      <c r="AX34" s="11">
        <v>0.01876274643099932</v>
      </c>
      <c r="AY34" s="11">
        <v>0.05003399048266485</v>
      </c>
      <c r="AZ34" s="11">
        <v>0.06254248810333107</v>
      </c>
      <c r="BA34" s="11">
        <v>0.6944255608429639</v>
      </c>
      <c r="BB34" s="11">
        <v>0.07845003399048267</v>
      </c>
      <c r="BC34" s="11">
        <v>0.04047329578505402</v>
      </c>
      <c r="BD34" s="11">
        <v>0.07274708807301955</v>
      </c>
      <c r="BE34" s="11">
        <v>0.12049587902731422</v>
      </c>
      <c r="BF34" s="11">
        <v>0.009399904638648593</v>
      </c>
      <c r="BG34" s="11">
        <v>0.1474014031741707</v>
      </c>
      <c r="BH34" s="11">
        <v>0.08854982630610994</v>
      </c>
      <c r="BI34" s="11">
        <v>0.15332743001157959</v>
      </c>
      <c r="BJ34" s="11">
        <v>0.1366391935154281</v>
      </c>
      <c r="BK34" s="11">
        <v>0.10884817110551052</v>
      </c>
      <c r="BL34" s="11">
        <v>0.16259110414821878</v>
      </c>
      <c r="BM34" s="11">
        <v>0.020337272870127616</v>
      </c>
      <c r="BN34" s="11">
        <v>0.02182458994171072</v>
      </c>
      <c r="BO34" s="11">
        <v>0.01843567846007862</v>
      </c>
      <c r="BP34" s="11">
        <v>0.015182323437711807</v>
      </c>
      <c r="BQ34" s="11">
        <v>0.05246034973566491</v>
      </c>
      <c r="BR34" s="11">
        <v>0.017486783245221633</v>
      </c>
      <c r="BS34" s="11">
        <v>0.47797207536939135</v>
      </c>
      <c r="BT34" s="11">
        <v>0.058560390402602684</v>
      </c>
      <c r="BU34" s="11">
        <v>0.3380778094076183</v>
      </c>
      <c r="BV34" s="11">
        <v>0.09486592066340807</v>
      </c>
      <c r="BW34" s="11">
        <v>0.030891284763593038</v>
      </c>
      <c r="BX34" s="11">
        <v>0.0378657987271512</v>
      </c>
      <c r="BY34" s="11">
        <v>5.812094969631804E-5</v>
      </c>
      <c r="BZ34" s="11">
        <v>0.7408096248292697</v>
      </c>
      <c r="CA34" s="11">
        <v>0.19037517073028973</v>
      </c>
      <c r="CB34" s="11">
        <v>1.0</v>
      </c>
    </row>
    <row r="35" ht="15.75" customHeight="1">
      <c r="A35" s="9" t="s">
        <v>193</v>
      </c>
      <c r="B35" s="9" t="s">
        <v>0</v>
      </c>
      <c r="C35" s="11">
        <v>0.09502867818450068</v>
      </c>
      <c r="D35" s="11">
        <v>0.03780344962219517</v>
      </c>
      <c r="E35" s="11">
        <v>0.3399324774350612</v>
      </c>
      <c r="F35" s="11">
        <v>0.06768333295055236</v>
      </c>
      <c r="G35" s="11">
        <v>0.02772099859902161</v>
      </c>
      <c r="H35" s="11">
        <v>0.3239475436944489</v>
      </c>
      <c r="I35" s="11">
        <v>0.1036264670081073</v>
      </c>
      <c r="J35" s="11">
        <v>0.0073034611056245835</v>
      </c>
      <c r="K35" s="11">
        <v>0.010932224799614157</v>
      </c>
      <c r="L35" s="11">
        <v>0.032704806963551596</v>
      </c>
      <c r="M35" s="11">
        <v>0.04834523782182311</v>
      </c>
      <c r="N35" s="11">
        <v>0.005508655835595869</v>
      </c>
      <c r="O35" s="11">
        <v>0.9916798732171157</v>
      </c>
      <c r="P35" s="11">
        <v>0.00832012678288431</v>
      </c>
      <c r="Q35" s="11">
        <v>0.4325429736265463</v>
      </c>
      <c r="R35" s="11">
        <v>0.002543065605037692</v>
      </c>
      <c r="S35" s="11">
        <v>0.01597489227291534</v>
      </c>
      <c r="T35" s="11">
        <v>5.5503415982965495E-5</v>
      </c>
      <c r="U35" s="11">
        <v>0.006751233689564349</v>
      </c>
      <c r="V35" s="11">
        <v>0.0013421735137698928</v>
      </c>
      <c r="W35" s="11">
        <v>0.0256375324190407</v>
      </c>
      <c r="X35" s="11">
        <v>0.009829150394074254</v>
      </c>
      <c r="Y35" s="11">
        <v>0.9347733946898368</v>
      </c>
      <c r="Z35" s="11">
        <v>0.003093053999777986</v>
      </c>
      <c r="AA35" s="11">
        <v>0.2758649288065161</v>
      </c>
      <c r="AB35" s="11">
        <v>0.5024130128641277</v>
      </c>
      <c r="AC35" s="11">
        <v>0.09268342853526164</v>
      </c>
      <c r="AD35" s="11">
        <v>0.4049035586006108</v>
      </c>
      <c r="AE35" s="11">
        <v>0.0023636585855587662</v>
      </c>
      <c r="AF35" s="11">
        <v>0.6177285318559557</v>
      </c>
      <c r="AG35" s="11">
        <v>0.33240997229916897</v>
      </c>
      <c r="AH35" s="11">
        <v>0.04986149584487535</v>
      </c>
      <c r="AI35" s="11">
        <v>0.021940775402236636</v>
      </c>
      <c r="AJ35" s="11">
        <v>0.023773997811598526</v>
      </c>
      <c r="AK35" s="11">
        <v>0.08037401770615736</v>
      </c>
      <c r="AL35" s="11">
        <v>0.10305381478165722</v>
      </c>
      <c r="AM35" s="11">
        <v>0.3610862429125634</v>
      </c>
      <c r="AN35" s="11">
        <v>0.1654232567392818</v>
      </c>
      <c r="AO35" s="11">
        <v>0.04874166915348652</v>
      </c>
      <c r="AP35" s="11">
        <v>0.03660598826221029</v>
      </c>
      <c r="AQ35" s="11">
        <v>0.034318113995822144</v>
      </c>
      <c r="AR35" s="11">
        <v>0.14662289863722272</v>
      </c>
      <c r="AS35" s="11">
        <v>0.03645883349192908</v>
      </c>
      <c r="AT35" s="11">
        <v>0.009577970667464832</v>
      </c>
      <c r="AU35" s="11">
        <v>0.015384615384615385</v>
      </c>
      <c r="AV35" s="11">
        <v>0.005746782400478899</v>
      </c>
      <c r="AW35" s="11">
        <v>0.05674947620472912</v>
      </c>
      <c r="AX35" s="11">
        <v>0.019934151451661178</v>
      </c>
      <c r="AY35" s="11">
        <v>0.03412152050284346</v>
      </c>
      <c r="AZ35" s="11">
        <v>0.047470817120622566</v>
      </c>
      <c r="BA35" s="11">
        <v>0.7379826399281653</v>
      </c>
      <c r="BB35" s="11">
        <v>0.07303202633941934</v>
      </c>
      <c r="BC35" s="11">
        <v>0.032148375775882386</v>
      </c>
      <c r="BD35" s="11">
        <v>0.05919891378139851</v>
      </c>
      <c r="BE35" s="11">
        <v>0.11391717583163612</v>
      </c>
      <c r="BF35" s="11">
        <v>0.01188051595383571</v>
      </c>
      <c r="BG35" s="11">
        <v>0.1513917175831636</v>
      </c>
      <c r="BH35" s="11">
        <v>0.09341479972844535</v>
      </c>
      <c r="BI35" s="11">
        <v>0.15824847250509164</v>
      </c>
      <c r="BJ35" s="11">
        <v>0.15118805159538357</v>
      </c>
      <c r="BK35" s="11">
        <v>0.12579769178547182</v>
      </c>
      <c r="BL35" s="11">
        <v>0.13496266123557366</v>
      </c>
      <c r="BM35" s="11">
        <v>0.017540834766515054</v>
      </c>
      <c r="BN35" s="11">
        <v>0.0252581809132761</v>
      </c>
      <c r="BO35" s="11">
        <v>0.018041557795197213</v>
      </c>
      <c r="BP35" s="11">
        <v>0.01443324623615777</v>
      </c>
      <c r="BQ35" s="11">
        <v>0.059723777528928705</v>
      </c>
      <c r="BR35" s="11">
        <v>0.014806519845713574</v>
      </c>
      <c r="BS35" s="11">
        <v>0.4821450790095807</v>
      </c>
      <c r="BT35" s="11">
        <v>0.056364315042926466</v>
      </c>
      <c r="BU35" s="11">
        <v>0.3292273236282195</v>
      </c>
      <c r="BV35" s="11">
        <v>0.08060228552471911</v>
      </c>
      <c r="BW35" s="11">
        <v>0.04844168855433105</v>
      </c>
      <c r="BX35" s="11">
        <v>0.069751699114565</v>
      </c>
      <c r="BY35" s="11">
        <v>5.41550458964014E-5</v>
      </c>
      <c r="BZ35" s="11">
        <v>0.6303918117570605</v>
      </c>
      <c r="CA35" s="11">
        <v>0.2513606455281471</v>
      </c>
      <c r="CB35" s="11">
        <v>0.9999999999999999</v>
      </c>
    </row>
    <row r="36" ht="15.75" customHeight="1">
      <c r="A36" s="9" t="s">
        <v>194</v>
      </c>
      <c r="B36" s="9" t="s">
        <v>0</v>
      </c>
      <c r="C36" s="11">
        <v>0.08945497530575233</v>
      </c>
      <c r="D36" s="11">
        <v>0.02857465552292749</v>
      </c>
      <c r="E36" s="11">
        <v>0.3124764701453204</v>
      </c>
      <c r="F36" s="11">
        <v>0.06371884647240418</v>
      </c>
      <c r="G36" s="11">
        <v>0.02268277991115127</v>
      </c>
      <c r="H36" s="11">
        <v>0.38912732474964234</v>
      </c>
      <c r="I36" s="11">
        <v>0.09462766357954973</v>
      </c>
      <c r="J36" s="11">
        <v>0.006042466681725774</v>
      </c>
      <c r="K36" s="11">
        <v>0.009731947895489798</v>
      </c>
      <c r="L36" s="11">
        <v>0.032358256155409985</v>
      </c>
      <c r="M36" s="11">
        <v>0.040659588886379036</v>
      </c>
      <c r="N36" s="11">
        <v>0.004330965222618685</v>
      </c>
      <c r="O36" s="11">
        <v>0.9926127527216174</v>
      </c>
      <c r="P36" s="11">
        <v>0.007387247278382581</v>
      </c>
      <c r="Q36" s="11">
        <v>0.31706302632088545</v>
      </c>
      <c r="R36" s="11">
        <v>0.0024111486414717565</v>
      </c>
      <c r="S36" s="11">
        <v>0.04122320650903915</v>
      </c>
      <c r="T36" s="11">
        <v>4.779810082212733E-5</v>
      </c>
      <c r="U36" s="11">
        <v>0.008088500839122215</v>
      </c>
      <c r="V36" s="11">
        <v>0.0016304463280436769</v>
      </c>
      <c r="W36" s="11">
        <v>0.04094703970428908</v>
      </c>
      <c r="X36" s="11">
        <v>0.06577018673124721</v>
      </c>
      <c r="Y36" s="11">
        <v>0.8362065302827523</v>
      </c>
      <c r="Z36" s="11">
        <v>0.0036751428632124574</v>
      </c>
      <c r="AA36" s="11">
        <v>0.4232188231965959</v>
      </c>
      <c r="AB36" s="11">
        <v>0.5663579141699889</v>
      </c>
      <c r="AC36" s="11">
        <v>0.06899583820732572</v>
      </c>
      <c r="AD36" s="11">
        <v>0.3646462476226853</v>
      </c>
      <c r="AE36" s="11">
        <v>0.0028323030732677404</v>
      </c>
      <c r="AF36" s="11">
        <v>0.6420927467300832</v>
      </c>
      <c r="AG36" s="11">
        <v>0.31985731272294887</v>
      </c>
      <c r="AH36" s="11">
        <v>0.03804994054696789</v>
      </c>
      <c r="AI36" s="11">
        <v>0.02117660133734548</v>
      </c>
      <c r="AJ36" s="11">
        <v>0.01948155216284987</v>
      </c>
      <c r="AK36" s="11">
        <v>0.13319020356234096</v>
      </c>
      <c r="AL36" s="11">
        <v>0.08492366412213741</v>
      </c>
      <c r="AM36" s="11">
        <v>0.344147582697201</v>
      </c>
      <c r="AN36" s="11">
        <v>0.1405852417302799</v>
      </c>
      <c r="AO36" s="11">
        <v>0.058126590330788805</v>
      </c>
      <c r="AP36" s="11">
        <v>0.024093511450381678</v>
      </c>
      <c r="AQ36" s="11">
        <v>0.03586195928753181</v>
      </c>
      <c r="AR36" s="11">
        <v>0.15958969465648856</v>
      </c>
      <c r="AS36" s="11">
        <v>0.032716299887347755</v>
      </c>
      <c r="AT36" s="11">
        <v>0.007617479026197952</v>
      </c>
      <c r="AU36" s="11">
        <v>0.018683411395336868</v>
      </c>
      <c r="AV36" s="11">
        <v>0.004941067476452726</v>
      </c>
      <c r="AW36" s="11">
        <v>0.05219002522003191</v>
      </c>
      <c r="AX36" s="11">
        <v>0.018323125225178857</v>
      </c>
      <c r="AY36" s="11">
        <v>0.0310875495393484</v>
      </c>
      <c r="AZ36" s="11">
        <v>0.06896906685881929</v>
      </c>
      <c r="BA36" s="11">
        <v>0.7245869576406403</v>
      </c>
      <c r="BB36" s="11">
        <v>0.07360131761799373</v>
      </c>
      <c r="BC36" s="11">
        <v>0.027816179825986803</v>
      </c>
      <c r="BD36" s="11">
        <v>0.06217083358556813</v>
      </c>
      <c r="BE36" s="11">
        <v>0.11568496882377868</v>
      </c>
      <c r="BF36" s="11">
        <v>0.01573945154065016</v>
      </c>
      <c r="BG36" s="11">
        <v>0.15067498032568558</v>
      </c>
      <c r="BH36" s="11">
        <v>0.0935286639627096</v>
      </c>
      <c r="BI36" s="11">
        <v>0.14147345480961318</v>
      </c>
      <c r="BJ36" s="11">
        <v>0.16296385979780859</v>
      </c>
      <c r="BK36" s="11">
        <v>0.1218596767358799</v>
      </c>
      <c r="BL36" s="11">
        <v>0.1359041104183062</v>
      </c>
      <c r="BM36" s="11">
        <v>0.015291405593545986</v>
      </c>
      <c r="BN36" s="11">
        <v>0.019271005395881512</v>
      </c>
      <c r="BO36" s="11">
        <v>0.018279925118379035</v>
      </c>
      <c r="BP36" s="11">
        <v>0.022134126197555334</v>
      </c>
      <c r="BQ36" s="11">
        <v>0.071467900011012</v>
      </c>
      <c r="BR36" s="11">
        <v>0.015526924347538818</v>
      </c>
      <c r="BS36" s="11">
        <v>0.48551921594538044</v>
      </c>
      <c r="BT36" s="11">
        <v>0.05572073560180597</v>
      </c>
      <c r="BU36" s="11">
        <v>0.31208016738244687</v>
      </c>
      <c r="BV36" s="11">
        <v>0.06609942023665391</v>
      </c>
      <c r="BW36" s="11">
        <v>0.019462984663983288</v>
      </c>
      <c r="BX36" s="11">
        <v>0.07759718754776583</v>
      </c>
      <c r="BY36" s="11">
        <v>2.2927599735058849E-4</v>
      </c>
      <c r="BZ36" s="11">
        <v>0.5990217557446375</v>
      </c>
      <c r="CA36" s="11">
        <v>0.3036887960462628</v>
      </c>
      <c r="CB36" s="11">
        <v>1.0</v>
      </c>
    </row>
    <row r="37" ht="15.75" customHeight="1">
      <c r="A37" s="9" t="s">
        <v>195</v>
      </c>
      <c r="B37" s="9" t="s">
        <v>0</v>
      </c>
      <c r="C37" s="11">
        <v>0.09847183727325859</v>
      </c>
      <c r="D37" s="11">
        <v>0.022557212299961767</v>
      </c>
      <c r="E37" s="11">
        <v>0.32606914632148126</v>
      </c>
      <c r="F37" s="11">
        <v>0.054800007282392996</v>
      </c>
      <c r="G37" s="11">
        <v>0.02459628233837639</v>
      </c>
      <c r="H37" s="11">
        <v>0.3758260964552952</v>
      </c>
      <c r="I37" s="11">
        <v>0.10768838640377228</v>
      </c>
      <c r="J37" s="11">
        <v>0.005352558850838385</v>
      </c>
      <c r="K37" s="11">
        <v>0.00904837329546489</v>
      </c>
      <c r="L37" s="11">
        <v>0.03178764542028511</v>
      </c>
      <c r="M37" s="11">
        <v>0.04227429133213174</v>
      </c>
      <c r="N37" s="11">
        <v>0.004605642943452243</v>
      </c>
      <c r="O37" s="11">
        <v>0.990657843518879</v>
      </c>
      <c r="P37" s="11">
        <v>0.009342156481121059</v>
      </c>
      <c r="Q37" s="11">
        <v>0.3636342449004471</v>
      </c>
      <c r="R37" s="11">
        <v>0.0022382945575917133</v>
      </c>
      <c r="S37" s="11">
        <v>0.02715041438030301</v>
      </c>
      <c r="T37" s="11">
        <v>6.902229913278411E-5</v>
      </c>
      <c r="U37" s="11">
        <v>0.007109296810676764</v>
      </c>
      <c r="V37" s="11">
        <v>0.0010156138300966805</v>
      </c>
      <c r="W37" s="11">
        <v>0.036739583795536226</v>
      </c>
      <c r="X37" s="11">
        <v>0.09524091247479453</v>
      </c>
      <c r="Y37" s="11">
        <v>0.8272174646137462</v>
      </c>
      <c r="Z37" s="11">
        <v>0.003219397238122002</v>
      </c>
      <c r="AA37" s="11">
        <v>0.34856775081840247</v>
      </c>
      <c r="AB37" s="11">
        <v>0.5243970806824085</v>
      </c>
      <c r="AC37" s="11">
        <v>0.08127388403993231</v>
      </c>
      <c r="AD37" s="11">
        <v>0.3943290352776592</v>
      </c>
      <c r="AE37" s="11">
        <v>0.0028863702370409148</v>
      </c>
      <c r="AF37" s="11">
        <v>0.653416149068323</v>
      </c>
      <c r="AG37" s="11">
        <v>0.26211180124223604</v>
      </c>
      <c r="AH37" s="11">
        <v>0.084472049689441</v>
      </c>
      <c r="AI37" s="11">
        <v>0.020634858030025422</v>
      </c>
      <c r="AJ37" s="11">
        <v>0.01937445699391833</v>
      </c>
      <c r="AK37" s="11">
        <v>0.10973066898349261</v>
      </c>
      <c r="AL37" s="11">
        <v>0.08027801911381408</v>
      </c>
      <c r="AM37" s="11">
        <v>0.4129452649869679</v>
      </c>
      <c r="AN37" s="11">
        <v>0.1472632493483927</v>
      </c>
      <c r="AO37" s="11">
        <v>0.029365768896611643</v>
      </c>
      <c r="AP37" s="11">
        <v>0.023110338835794962</v>
      </c>
      <c r="AQ37" s="11">
        <v>0.03362293657688966</v>
      </c>
      <c r="AR37" s="11">
        <v>0.14430929626411815</v>
      </c>
      <c r="AS37" s="11">
        <v>0.03481034216933133</v>
      </c>
      <c r="AT37" s="11">
        <v>0.005716640057681413</v>
      </c>
      <c r="AU37" s="11">
        <v>0.020497502188803626</v>
      </c>
      <c r="AV37" s="11">
        <v>0.00509862491631045</v>
      </c>
      <c r="AW37" s="11">
        <v>0.045990626770355876</v>
      </c>
      <c r="AX37" s="11">
        <v>0.018849461811814388</v>
      </c>
      <c r="AY37" s="11">
        <v>0.0441880826080239</v>
      </c>
      <c r="AZ37" s="11">
        <v>0.0600504712365453</v>
      </c>
      <c r="BA37" s="11">
        <v>0.7248802595663594</v>
      </c>
      <c r="BB37" s="11">
        <v>0.07472833084410568</v>
      </c>
      <c r="BC37" s="11">
        <v>0.03346755253731665</v>
      </c>
      <c r="BD37" s="11">
        <v>0.06979858581529891</v>
      </c>
      <c r="BE37" s="11">
        <v>0.11393829012213413</v>
      </c>
      <c r="BF37" s="11">
        <v>0.014623955431754874</v>
      </c>
      <c r="BG37" s="11">
        <v>0.16386329547889436</v>
      </c>
      <c r="BH37" s="11">
        <v>0.07970859224341119</v>
      </c>
      <c r="BI37" s="11">
        <v>0.14372187700878508</v>
      </c>
      <c r="BJ37" s="11">
        <v>0.1587208056567388</v>
      </c>
      <c r="BK37" s="11">
        <v>0.11731304906792372</v>
      </c>
      <c r="BL37" s="11">
        <v>0.13831154917505892</v>
      </c>
      <c r="BM37" s="11">
        <v>0.01889048645198765</v>
      </c>
      <c r="BN37" s="11">
        <v>0.01613362437126317</v>
      </c>
      <c r="BO37" s="11">
        <v>0.017936794153933757</v>
      </c>
      <c r="BP37" s="11">
        <v>0.017936794153933757</v>
      </c>
      <c r="BQ37" s="11">
        <v>0.06662237828603967</v>
      </c>
      <c r="BR37" s="11">
        <v>0.01736737211730094</v>
      </c>
      <c r="BS37" s="11">
        <v>0.4629401157824808</v>
      </c>
      <c r="BT37" s="11">
        <v>0.054854322862294774</v>
      </c>
      <c r="BU37" s="11">
        <v>0.34620859827275313</v>
      </c>
      <c r="BV37" s="11">
        <v>0.0740309146387376</v>
      </c>
      <c r="BW37" s="11">
        <v>0.014917421417155035</v>
      </c>
      <c r="BX37" s="11">
        <v>0.04869956894464087</v>
      </c>
      <c r="BY37" s="11">
        <v>2.663825253063399E-4</v>
      </c>
      <c r="BZ37" s="11">
        <v>0.686613067273696</v>
      </c>
      <c r="CA37" s="11">
        <v>0.24950355983920183</v>
      </c>
      <c r="CB37" s="11">
        <v>0.9999999999999999</v>
      </c>
    </row>
    <row r="38" ht="15.75" customHeight="1">
      <c r="A38" s="9" t="s">
        <v>160</v>
      </c>
      <c r="B38" s="9" t="s">
        <v>196</v>
      </c>
      <c r="C38" s="11">
        <v>0.03981706310851269</v>
      </c>
      <c r="D38" s="11">
        <v>0.09117821195973949</v>
      </c>
      <c r="E38" s="11">
        <v>0.014801657785671996</v>
      </c>
      <c r="F38" s="11">
        <v>0.05328596802841918</v>
      </c>
      <c r="G38" s="11">
        <v>0.2403789224393132</v>
      </c>
      <c r="H38" s="11">
        <v>0.04085257548845471</v>
      </c>
      <c r="I38" s="11">
        <v>0.1847246891651865</v>
      </c>
      <c r="J38" s="11">
        <v>0.021906453522794554</v>
      </c>
      <c r="K38" s="11">
        <v>0.21255180580224986</v>
      </c>
      <c r="L38" s="11">
        <v>0.035523978685612786</v>
      </c>
      <c r="M38" s="11">
        <v>0.10479573712255773</v>
      </c>
      <c r="N38" s="11">
        <v>0.008651783398948584</v>
      </c>
      <c r="O38" s="11">
        <v>0.7193460490463215</v>
      </c>
      <c r="P38" s="11">
        <v>0.28065395095367845</v>
      </c>
      <c r="Q38" s="11">
        <v>0.03578585068011976</v>
      </c>
      <c r="R38" s="11">
        <v>0.008563899868247694</v>
      </c>
      <c r="S38" s="11">
        <v>0.028326745718050064</v>
      </c>
      <c r="T38" s="11">
        <v>0.07312252964426877</v>
      </c>
      <c r="U38" s="11">
        <v>0.3181818181818182</v>
      </c>
      <c r="V38" s="11">
        <v>0.152832674571805</v>
      </c>
      <c r="W38" s="11">
        <v>0.12187088274044795</v>
      </c>
      <c r="X38" s="11">
        <v>0.17523056653491437</v>
      </c>
      <c r="Y38" s="11">
        <v>0.0533596837944664</v>
      </c>
      <c r="Z38" s="11">
        <v>0.06851119894598155</v>
      </c>
      <c r="AA38" s="11">
        <v>0.04005280652537778</v>
      </c>
      <c r="AB38" s="11">
        <v>0.0017657445556209534</v>
      </c>
      <c r="AC38" s="11">
        <v>0.9964685108887581</v>
      </c>
      <c r="AD38" s="11">
        <v>0.0017657445556209534</v>
      </c>
      <c r="AE38" s="11">
        <v>0.0024753058770833826</v>
      </c>
      <c r="AF38" s="11">
        <v>0.0</v>
      </c>
      <c r="AG38" s="11">
        <v>0.8952380952380953</v>
      </c>
      <c r="AH38" s="11">
        <v>0.10476190476190476</v>
      </c>
      <c r="AI38" s="11">
        <v>0.10947924279214503</v>
      </c>
      <c r="AJ38" s="11">
        <v>0.2523686477174849</v>
      </c>
      <c r="AK38" s="11">
        <v>0.12790697674418605</v>
      </c>
      <c r="AL38" s="11">
        <v>0.04306632213608958</v>
      </c>
      <c r="AM38" s="11">
        <v>0.1479328165374677</v>
      </c>
      <c r="AN38" s="11">
        <v>0.05813953488372093</v>
      </c>
      <c r="AO38" s="11">
        <v>0.03682170542635659</v>
      </c>
      <c r="AP38" s="11">
        <v>0.1285529715762274</v>
      </c>
      <c r="AQ38" s="11">
        <v>0.09065460809646857</v>
      </c>
      <c r="AR38" s="11">
        <v>0.11455641688199827</v>
      </c>
      <c r="AS38" s="11">
        <v>0.1714090384026026</v>
      </c>
      <c r="AT38" s="11">
        <v>0.020629899601155275</v>
      </c>
      <c r="AU38" s="11">
        <v>0.08540778434878284</v>
      </c>
      <c r="AV38" s="11">
        <v>0.02943199009764819</v>
      </c>
      <c r="AW38" s="11">
        <v>0.1666895887773346</v>
      </c>
      <c r="AX38" s="11">
        <v>0.2628249209187182</v>
      </c>
      <c r="AY38" s="11">
        <v>0.12171640764681611</v>
      </c>
      <c r="AZ38" s="11">
        <v>0.12267913629487003</v>
      </c>
      <c r="BA38" s="11">
        <v>0.04084720121028744</v>
      </c>
      <c r="BB38" s="11">
        <v>0.14977307110438728</v>
      </c>
      <c r="BC38" s="11">
        <v>0.4215563780381433</v>
      </c>
      <c r="BD38" s="11">
        <v>0.06280058159042613</v>
      </c>
      <c r="BE38" s="11">
        <v>0.1191701151996421</v>
      </c>
      <c r="BF38" s="11">
        <v>0.01979644335085561</v>
      </c>
      <c r="BG38" s="11">
        <v>0.1300749356895202</v>
      </c>
      <c r="BH38" s="11">
        <v>0.16211833128285427</v>
      </c>
      <c r="BI38" s="11">
        <v>0.08628788726093278</v>
      </c>
      <c r="BJ38" s="11">
        <v>0.12375573202102673</v>
      </c>
      <c r="BK38" s="11">
        <v>0.21541214629236102</v>
      </c>
      <c r="BL38" s="11">
        <v>0.08058382731238116</v>
      </c>
      <c r="BM38" s="11">
        <v>0.1404795021099036</v>
      </c>
      <c r="BN38" s="11">
        <v>0.019466353415002517</v>
      </c>
      <c r="BO38" s="11">
        <v>0.04212116126866924</v>
      </c>
      <c r="BP38" s="11">
        <v>0.029367343514012417</v>
      </c>
      <c r="BQ38" s="11">
        <v>0.11746937405604967</v>
      </c>
      <c r="BR38" s="11">
        <v>0.05101527101862729</v>
      </c>
      <c r="BS38" s="11">
        <v>0.1666386977680819</v>
      </c>
      <c r="BT38" s="11">
        <v>0.12804161772109415</v>
      </c>
      <c r="BU38" s="11">
        <v>0.44588018123846285</v>
      </c>
      <c r="BV38" s="11">
        <v>0.0302930290671633</v>
      </c>
      <c r="BW38" s="11">
        <v>0.7276264591439688</v>
      </c>
      <c r="BX38" s="11">
        <v>0.013229571984435798</v>
      </c>
      <c r="BY38" s="11">
        <v>0.0</v>
      </c>
      <c r="BZ38" s="11">
        <v>0.08093385214007782</v>
      </c>
      <c r="CA38" s="11">
        <v>0.17821011673151751</v>
      </c>
      <c r="CB38" s="11">
        <v>0.9999999999999999</v>
      </c>
    </row>
    <row r="39" ht="15.75" customHeight="1">
      <c r="A39" s="9" t="s">
        <v>161</v>
      </c>
      <c r="B39" s="9" t="s">
        <v>196</v>
      </c>
      <c r="C39" s="11">
        <v>0.03728053213705623</v>
      </c>
      <c r="D39" s="11">
        <v>0.0783195020746888</v>
      </c>
      <c r="E39" s="11">
        <v>0.015560165975103735</v>
      </c>
      <c r="F39" s="11">
        <v>0.04979253112033195</v>
      </c>
      <c r="G39" s="11">
        <v>0.2287344398340249</v>
      </c>
      <c r="H39" s="11">
        <v>0.044605809128630707</v>
      </c>
      <c r="I39" s="11">
        <v>0.21680497925311204</v>
      </c>
      <c r="J39" s="11">
        <v>0.0254149377593361</v>
      </c>
      <c r="K39" s="11">
        <v>0.18516597510373445</v>
      </c>
      <c r="L39" s="11">
        <v>0.03475103734439834</v>
      </c>
      <c r="M39" s="11">
        <v>0.120850622406639</v>
      </c>
      <c r="N39" s="11">
        <v>0.00746384097764715</v>
      </c>
      <c r="O39" s="11">
        <v>0.772020725388601</v>
      </c>
      <c r="P39" s="11">
        <v>0.22797927461139897</v>
      </c>
      <c r="Q39" s="11">
        <v>0.031092891948333205</v>
      </c>
      <c r="R39" s="11">
        <v>0.006218905472636816</v>
      </c>
      <c r="S39" s="11">
        <v>0.020522388059701493</v>
      </c>
      <c r="T39" s="11">
        <v>0.0640547263681592</v>
      </c>
      <c r="U39" s="11">
        <v>0.35509950248756217</v>
      </c>
      <c r="V39" s="11">
        <v>0.1486318407960199</v>
      </c>
      <c r="W39" s="11">
        <v>0.09888059701492537</v>
      </c>
      <c r="X39" s="11">
        <v>0.15920398009950248</v>
      </c>
      <c r="Y39" s="11">
        <v>0.07338308457711443</v>
      </c>
      <c r="Z39" s="11">
        <v>0.0740049751243781</v>
      </c>
      <c r="AA39" s="11">
        <v>0.05110604068373424</v>
      </c>
      <c r="AB39" s="11">
        <v>0.00870223231176693</v>
      </c>
      <c r="AC39" s="11">
        <v>0.9882709042754446</v>
      </c>
      <c r="AD39" s="11">
        <v>0.003026863412788498</v>
      </c>
      <c r="AE39" s="11">
        <v>0.0023203650707711346</v>
      </c>
      <c r="AF39" s="11">
        <v>0.008333333333333333</v>
      </c>
      <c r="AG39" s="11">
        <v>0.8916666666666667</v>
      </c>
      <c r="AH39" s="11">
        <v>0.1</v>
      </c>
      <c r="AI39" s="11">
        <v>0.10031711655967206</v>
      </c>
      <c r="AJ39" s="11">
        <v>0.21646106399383191</v>
      </c>
      <c r="AK39" s="11">
        <v>0.14649190439475712</v>
      </c>
      <c r="AL39" s="11">
        <v>0.044911333847340015</v>
      </c>
      <c r="AM39" s="11">
        <v>0.14244410177332306</v>
      </c>
      <c r="AN39" s="11">
        <v>0.06303006939090208</v>
      </c>
      <c r="AO39" s="11">
        <v>0.043754818812644564</v>
      </c>
      <c r="AP39" s="11">
        <v>0.13473400154202006</v>
      </c>
      <c r="AQ39" s="11">
        <v>0.09309946029298381</v>
      </c>
      <c r="AR39" s="11">
        <v>0.11507324595219738</v>
      </c>
      <c r="AS39" s="11">
        <v>0.16588676618454637</v>
      </c>
      <c r="AT39" s="11">
        <v>0.01701830050122392</v>
      </c>
      <c r="AU39" s="11">
        <v>0.0855577573143723</v>
      </c>
      <c r="AV39" s="11">
        <v>0.02832497960135214</v>
      </c>
      <c r="AW39" s="11">
        <v>0.15642848816878424</v>
      </c>
      <c r="AX39" s="11">
        <v>0.23837277071919805</v>
      </c>
      <c r="AY39" s="11">
        <v>0.12565567082410536</v>
      </c>
      <c r="AZ39" s="11">
        <v>0.14197458911295022</v>
      </c>
      <c r="BA39" s="11">
        <v>0.04825737265415549</v>
      </c>
      <c r="BB39" s="11">
        <v>0.15841007110385827</v>
      </c>
      <c r="BC39" s="11">
        <v>0.45355402583339777</v>
      </c>
      <c r="BD39" s="11">
        <v>0.05286493860845839</v>
      </c>
      <c r="BE39" s="11">
        <v>0.11732605729877217</v>
      </c>
      <c r="BF39" s="11">
        <v>0.016541609822646658</v>
      </c>
      <c r="BG39" s="11">
        <v>0.12325204638472033</v>
      </c>
      <c r="BH39" s="11">
        <v>0.15053717598908595</v>
      </c>
      <c r="BI39" s="11">
        <v>0.08015006821282401</v>
      </c>
      <c r="BJ39" s="11">
        <v>0.11174113233287858</v>
      </c>
      <c r="BK39" s="11">
        <v>0.23009038199181447</v>
      </c>
      <c r="BL39" s="11">
        <v>0.11749658935879946</v>
      </c>
      <c r="BM39" s="11">
        <v>0.13173872689303118</v>
      </c>
      <c r="BN39" s="11">
        <v>0.020548950535740497</v>
      </c>
      <c r="BO39" s="11">
        <v>0.04975781594011449</v>
      </c>
      <c r="BP39" s="11">
        <v>0.031557316894172904</v>
      </c>
      <c r="BQ39" s="11">
        <v>0.12446792895934243</v>
      </c>
      <c r="BR39" s="11">
        <v>0.05019815059445178</v>
      </c>
      <c r="BS39" s="11">
        <v>0.16703361221194774</v>
      </c>
      <c r="BT39" s="11">
        <v>0.11830324379862028</v>
      </c>
      <c r="BU39" s="11">
        <v>0.4381329810656099</v>
      </c>
      <c r="BV39" s="11">
        <v>0.019239693711810658</v>
      </c>
      <c r="BW39" s="11">
        <v>0.6542713567839196</v>
      </c>
      <c r="BX39" s="11">
        <v>0.02512562814070352</v>
      </c>
      <c r="BY39" s="11">
        <v>0.003015075376884422</v>
      </c>
      <c r="BZ39" s="11">
        <v>0.1899497487437186</v>
      </c>
      <c r="CA39" s="11">
        <v>0.12763819095477386</v>
      </c>
      <c r="CB39" s="11">
        <v>1.0</v>
      </c>
    </row>
    <row r="40" ht="15.75" customHeight="1">
      <c r="A40" s="9" t="s">
        <v>162</v>
      </c>
      <c r="B40" s="9" t="s">
        <v>196</v>
      </c>
      <c r="C40" s="11">
        <v>0.038455359652998115</v>
      </c>
      <c r="D40" s="11">
        <v>0.06318537859007833</v>
      </c>
      <c r="E40" s="11">
        <v>0.014621409921671017</v>
      </c>
      <c r="F40" s="11">
        <v>0.06005221932114883</v>
      </c>
      <c r="G40" s="11">
        <v>0.22872062663185377</v>
      </c>
      <c r="H40" s="11">
        <v>0.05274151436031332</v>
      </c>
      <c r="I40" s="11">
        <v>0.20261096605744125</v>
      </c>
      <c r="J40" s="11">
        <v>0.03185378590078329</v>
      </c>
      <c r="K40" s="11">
        <v>0.1650130548302872</v>
      </c>
      <c r="L40" s="11">
        <v>0.03603133159268929</v>
      </c>
      <c r="M40" s="11">
        <v>0.14516971279373367</v>
      </c>
      <c r="N40" s="11">
        <v>0.008092694485722318</v>
      </c>
      <c r="O40" s="11">
        <v>0.7468982630272953</v>
      </c>
      <c r="P40" s="11">
        <v>0.2531017369727047</v>
      </c>
      <c r="Q40" s="11">
        <v>0.028213984497369372</v>
      </c>
      <c r="R40" s="11">
        <v>0.0099644128113879</v>
      </c>
      <c r="S40" s="11">
        <v>0.03772241992882562</v>
      </c>
      <c r="T40" s="11">
        <v>0.05907473309608541</v>
      </c>
      <c r="U40" s="11">
        <v>0.32455516014234875</v>
      </c>
      <c r="V40" s="11">
        <v>0.14733096085409253</v>
      </c>
      <c r="W40" s="11">
        <v>0.100355871886121</v>
      </c>
      <c r="X40" s="11">
        <v>0.13238434163701068</v>
      </c>
      <c r="Y40" s="11">
        <v>0.10533807829181495</v>
      </c>
      <c r="Z40" s="11">
        <v>0.08327402135231317</v>
      </c>
      <c r="AA40" s="11">
        <v>0.0563476444837142</v>
      </c>
      <c r="AB40" s="11">
        <v>0.0010691375623663579</v>
      </c>
      <c r="AC40" s="11">
        <v>0.9932287954383464</v>
      </c>
      <c r="AD40" s="11">
        <v>0.005702066999287242</v>
      </c>
      <c r="AE40" s="11">
        <v>0.002449897586248444</v>
      </c>
      <c r="AF40" s="11">
        <v>0.0</v>
      </c>
      <c r="AG40" s="11">
        <v>0.9016393442622951</v>
      </c>
      <c r="AH40" s="11">
        <v>0.09836065573770492</v>
      </c>
      <c r="AI40" s="11">
        <v>0.1029961042612153</v>
      </c>
      <c r="AJ40" s="11">
        <v>0.19185026320920257</v>
      </c>
      <c r="AK40" s="11">
        <v>0.13550399688048353</v>
      </c>
      <c r="AL40" s="11">
        <v>0.04464807954767011</v>
      </c>
      <c r="AM40" s="11">
        <v>0.17625268083447065</v>
      </c>
      <c r="AN40" s="11">
        <v>0.0660947553129265</v>
      </c>
      <c r="AO40" s="11">
        <v>0.05088711249756288</v>
      </c>
      <c r="AP40" s="11">
        <v>0.11951647494638332</v>
      </c>
      <c r="AQ40" s="11">
        <v>0.08949112887502438</v>
      </c>
      <c r="AR40" s="11">
        <v>0.12575550789627607</v>
      </c>
      <c r="AS40" s="11">
        <v>0.15315876139604</v>
      </c>
      <c r="AT40" s="11">
        <v>0.01678248328307329</v>
      </c>
      <c r="AU40" s="11">
        <v>0.0921725449062541</v>
      </c>
      <c r="AV40" s="11">
        <v>0.028976006293431233</v>
      </c>
      <c r="AW40" s="11">
        <v>0.16454700406450767</v>
      </c>
      <c r="AX40" s="11">
        <v>0.24334600760456274</v>
      </c>
      <c r="AY40" s="11">
        <v>0.13058869804641404</v>
      </c>
      <c r="AZ40" s="11">
        <v>0.10934836764127442</v>
      </c>
      <c r="BA40" s="11">
        <v>0.04890520519208077</v>
      </c>
      <c r="BB40" s="11">
        <v>0.16533368296840173</v>
      </c>
      <c r="BC40" s="11">
        <v>0.44943572031005263</v>
      </c>
      <c r="BD40" s="11">
        <v>0.060810508913810825</v>
      </c>
      <c r="BE40" s="11">
        <v>0.1092891291720656</v>
      </c>
      <c r="BF40" s="11">
        <v>0.01581698762343059</v>
      </c>
      <c r="BG40" s="11">
        <v>0.12461462847951388</v>
      </c>
      <c r="BH40" s="11">
        <v>0.15468477726643134</v>
      </c>
      <c r="BI40" s="11">
        <v>0.07944238416514007</v>
      </c>
      <c r="BJ40" s="11">
        <v>0.11684017693579375</v>
      </c>
      <c r="BK40" s="11">
        <v>0.21558464769223895</v>
      </c>
      <c r="BL40" s="11">
        <v>0.122916759751575</v>
      </c>
      <c r="BM40" s="11">
        <v>0.13892124181694043</v>
      </c>
      <c r="BN40" s="11">
        <v>0.02009251228678809</v>
      </c>
      <c r="BO40" s="11">
        <v>0.045388840705406185</v>
      </c>
      <c r="BP40" s="11">
        <v>0.03021104365423533</v>
      </c>
      <c r="BQ40" s="11">
        <v>0.13211910956923967</v>
      </c>
      <c r="BR40" s="11">
        <v>0.051893610870193695</v>
      </c>
      <c r="BS40" s="11">
        <v>0.16695576756287944</v>
      </c>
      <c r="BT40" s="11">
        <v>0.11361665221162186</v>
      </c>
      <c r="BU40" s="11">
        <v>0.43972246313963576</v>
      </c>
      <c r="BV40" s="11">
        <v>0.021928591509699186</v>
      </c>
      <c r="BW40" s="11">
        <v>0.45146520146520147</v>
      </c>
      <c r="BX40" s="11">
        <v>0.02564102564102564</v>
      </c>
      <c r="BY40" s="11">
        <v>0.00641025641025641</v>
      </c>
      <c r="BZ40" s="11">
        <v>0.391025641025641</v>
      </c>
      <c r="CA40" s="11">
        <v>0.12545787545787546</v>
      </c>
      <c r="CB40" s="11">
        <v>1.0</v>
      </c>
    </row>
    <row r="41" ht="15.75" customHeight="1">
      <c r="A41" s="9" t="s">
        <v>163</v>
      </c>
      <c r="B41" s="9" t="s">
        <v>196</v>
      </c>
      <c r="C41" s="11">
        <v>0.0404469498691363</v>
      </c>
      <c r="D41" s="11">
        <v>0.03086112493777999</v>
      </c>
      <c r="E41" s="11">
        <v>0.019910403185664508</v>
      </c>
      <c r="F41" s="11">
        <v>0.06620209059233449</v>
      </c>
      <c r="G41" s="11">
        <v>0.22548531607765057</v>
      </c>
      <c r="H41" s="11">
        <v>0.05375808860129418</v>
      </c>
      <c r="I41" s="11">
        <v>0.21553011448481832</v>
      </c>
      <c r="J41" s="11">
        <v>0.028372324539571926</v>
      </c>
      <c r="K41" s="11">
        <v>0.15430562468889994</v>
      </c>
      <c r="L41" s="11">
        <v>0.042309606769537086</v>
      </c>
      <c r="M41" s="11">
        <v>0.16326530612244897</v>
      </c>
      <c r="N41" s="11">
        <v>0.007811556271391182</v>
      </c>
      <c r="O41" s="11">
        <v>0.7371134020618557</v>
      </c>
      <c r="P41" s="11">
        <v>0.26288659793814434</v>
      </c>
      <c r="Q41" s="11">
        <v>0.024058788000805315</v>
      </c>
      <c r="R41" s="11">
        <v>0.007531380753138075</v>
      </c>
      <c r="S41" s="11">
        <v>0.048535564853556486</v>
      </c>
      <c r="T41" s="11">
        <v>0.06610878661087866</v>
      </c>
      <c r="U41" s="11">
        <v>0.36569037656903763</v>
      </c>
      <c r="V41" s="11">
        <v>0.1087866108786611</v>
      </c>
      <c r="W41" s="11">
        <v>0.11213389121338913</v>
      </c>
      <c r="X41" s="11">
        <v>0.10292887029288703</v>
      </c>
      <c r="Y41" s="11">
        <v>0.09623430962343096</v>
      </c>
      <c r="Z41" s="11">
        <v>0.09205020920502092</v>
      </c>
      <c r="AA41" s="11">
        <v>0.0593718542379706</v>
      </c>
      <c r="AB41" s="11">
        <v>0.0013563919972872161</v>
      </c>
      <c r="AC41" s="11">
        <v>0.9962699220074601</v>
      </c>
      <c r="AD41" s="11">
        <v>0.002373685995252628</v>
      </c>
      <c r="AE41" s="11">
        <v>0.0027582041473726594</v>
      </c>
      <c r="AF41" s="11">
        <v>0.0</v>
      </c>
      <c r="AG41" s="11">
        <v>0.9051094890510949</v>
      </c>
      <c r="AH41" s="11">
        <v>0.0948905109489051</v>
      </c>
      <c r="AI41" s="11">
        <v>0.10573786994161466</v>
      </c>
      <c r="AJ41" s="11">
        <v>0.19878141660319879</v>
      </c>
      <c r="AK41" s="11">
        <v>0.13670982482863672</v>
      </c>
      <c r="AL41" s="11">
        <v>0.04664889565879665</v>
      </c>
      <c r="AM41" s="11">
        <v>0.17840822543792842</v>
      </c>
      <c r="AN41" s="11">
        <v>0.06664127951256664</v>
      </c>
      <c r="AO41" s="11">
        <v>0.05407463823305408</v>
      </c>
      <c r="AP41" s="11">
        <v>0.11462300076161462</v>
      </c>
      <c r="AQ41" s="11">
        <v>0.08644325971058645</v>
      </c>
      <c r="AR41" s="11">
        <v>0.11766945925361767</v>
      </c>
      <c r="AS41" s="11">
        <v>0.15250654318502113</v>
      </c>
      <c r="AT41" s="11">
        <v>0.015577557755775578</v>
      </c>
      <c r="AU41" s="11">
        <v>0.09293729372937294</v>
      </c>
      <c r="AV41" s="11">
        <v>0.0297029702970297</v>
      </c>
      <c r="AW41" s="11">
        <v>0.1596039603960396</v>
      </c>
      <c r="AX41" s="11">
        <v>0.25174917491749177</v>
      </c>
      <c r="AY41" s="11">
        <v>0.12211221122112212</v>
      </c>
      <c r="AZ41" s="11">
        <v>0.11815181518151815</v>
      </c>
      <c r="BA41" s="11">
        <v>0.048976897689768976</v>
      </c>
      <c r="BB41" s="11">
        <v>0.1611881188118812</v>
      </c>
      <c r="BC41" s="11">
        <v>0.4406281457620294</v>
      </c>
      <c r="BD41" s="11">
        <v>0.05990130677145207</v>
      </c>
      <c r="BE41" s="11">
        <v>0.09243351914465868</v>
      </c>
      <c r="BF41" s="11">
        <v>0.014392762496573152</v>
      </c>
      <c r="BG41" s="11">
        <v>0.1262907794937403</v>
      </c>
      <c r="BH41" s="11">
        <v>0.15562460020104177</v>
      </c>
      <c r="BI41" s="11">
        <v>0.08329525724207255</v>
      </c>
      <c r="BJ41" s="11">
        <v>0.12085351366170155</v>
      </c>
      <c r="BK41" s="11">
        <v>0.19555880471534315</v>
      </c>
      <c r="BL41" s="11">
        <v>0.1516494562734168</v>
      </c>
      <c r="BM41" s="11">
        <v>0.1465874773505134</v>
      </c>
      <c r="BN41" s="11">
        <v>0.0211509408048345</v>
      </c>
      <c r="BO41" s="11">
        <v>0.04134047520944925</v>
      </c>
      <c r="BP41" s="11">
        <v>0.03035297349265211</v>
      </c>
      <c r="BQ41" s="11">
        <v>0.14105205328938333</v>
      </c>
      <c r="BR41" s="11">
        <v>0.05274000824062629</v>
      </c>
      <c r="BS41" s="11">
        <v>0.17044362038181568</v>
      </c>
      <c r="BT41" s="11">
        <v>0.10891361076775168</v>
      </c>
      <c r="BU41" s="11">
        <v>0.43400631781348714</v>
      </c>
      <c r="BV41" s="11">
        <v>0.02009261123414536</v>
      </c>
      <c r="BW41" s="11">
        <v>0.028056112224448898</v>
      </c>
      <c r="BX41" s="11">
        <v>0.011022044088176353</v>
      </c>
      <c r="BY41" s="11">
        <v>0.0</v>
      </c>
      <c r="BZ41" s="11">
        <v>0.8677354709418837</v>
      </c>
      <c r="CA41" s="11">
        <v>0.09318637274549098</v>
      </c>
      <c r="CB41" s="11">
        <v>1.0</v>
      </c>
    </row>
    <row r="42" ht="15.75" customHeight="1">
      <c r="A42" s="9" t="s">
        <v>164</v>
      </c>
      <c r="B42" s="9" t="s">
        <v>196</v>
      </c>
      <c r="C42" s="11">
        <v>0.03870897983456777</v>
      </c>
      <c r="D42" s="11">
        <v>0.027467411545623835</v>
      </c>
      <c r="E42" s="11">
        <v>0.018156424581005588</v>
      </c>
      <c r="F42" s="11">
        <v>0.07076350093109869</v>
      </c>
      <c r="G42" s="11">
        <v>0.22486033519553073</v>
      </c>
      <c r="H42" s="11">
        <v>0.06098696461824953</v>
      </c>
      <c r="I42" s="11">
        <v>0.22113594040968343</v>
      </c>
      <c r="J42" s="11">
        <v>0.03398510242085661</v>
      </c>
      <c r="K42" s="11">
        <v>0.1527001862197393</v>
      </c>
      <c r="L42" s="11">
        <v>0.032588454376163874</v>
      </c>
      <c r="M42" s="11">
        <v>0.15735567970204842</v>
      </c>
      <c r="N42" s="11">
        <v>0.007388585536393289</v>
      </c>
      <c r="O42" s="11">
        <v>0.7390243902439024</v>
      </c>
      <c r="P42" s="11">
        <v>0.26097560975609757</v>
      </c>
      <c r="Q42" s="11">
        <v>0.025571714332053845</v>
      </c>
      <c r="R42" s="11">
        <v>0.0</v>
      </c>
      <c r="S42" s="11">
        <v>0.0408738548273432</v>
      </c>
      <c r="T42" s="11">
        <v>0.06553911205073996</v>
      </c>
      <c r="U42" s="11">
        <v>0.36363636363636365</v>
      </c>
      <c r="V42" s="11">
        <v>0.10782241014799154</v>
      </c>
      <c r="W42" s="11">
        <v>0.10007047216349542</v>
      </c>
      <c r="X42" s="11">
        <v>0.10852713178294573</v>
      </c>
      <c r="Y42" s="11">
        <v>0.11980267794221283</v>
      </c>
      <c r="Z42" s="11">
        <v>0.09372797744890768</v>
      </c>
      <c r="AA42" s="11">
        <v>0.058423888558504986</v>
      </c>
      <c r="AB42" s="11">
        <v>0.0015422578655151142</v>
      </c>
      <c r="AC42" s="11">
        <v>0.9938309685379395</v>
      </c>
      <c r="AD42" s="11">
        <v>0.0046267735965453425</v>
      </c>
      <c r="AE42" s="11">
        <v>0.003135643617883981</v>
      </c>
      <c r="AF42" s="11">
        <v>0.0</v>
      </c>
      <c r="AG42" s="11">
        <v>0.896551724137931</v>
      </c>
      <c r="AH42" s="11">
        <v>0.10344827586206896</v>
      </c>
      <c r="AI42" s="11">
        <v>0.11209024886918599</v>
      </c>
      <c r="AJ42" s="11">
        <v>0.20643086816720257</v>
      </c>
      <c r="AK42" s="11">
        <v>0.11254019292604502</v>
      </c>
      <c r="AL42" s="11">
        <v>0.04903536977491962</v>
      </c>
      <c r="AM42" s="11">
        <v>0.204983922829582</v>
      </c>
      <c r="AN42" s="11">
        <v>0.07041800643086817</v>
      </c>
      <c r="AO42" s="11">
        <v>0.04983922829581994</v>
      </c>
      <c r="AP42" s="11">
        <v>0.1045016077170418</v>
      </c>
      <c r="AQ42" s="11">
        <v>0.08536977491961414</v>
      </c>
      <c r="AR42" s="11">
        <v>0.11688102893890676</v>
      </c>
      <c r="AS42" s="11">
        <v>0.1519705898253771</v>
      </c>
      <c r="AT42" s="11">
        <v>0.015652792600498042</v>
      </c>
      <c r="AU42" s="11">
        <v>0.09261235621961342</v>
      </c>
      <c r="AV42" s="11">
        <v>0.029052531720621368</v>
      </c>
      <c r="AW42" s="11">
        <v>0.16447290406735443</v>
      </c>
      <c r="AX42" s="11">
        <v>0.24783588284121902</v>
      </c>
      <c r="AY42" s="11">
        <v>0.12142772441598482</v>
      </c>
      <c r="AZ42" s="11">
        <v>0.1015059883789873</v>
      </c>
      <c r="BA42" s="11">
        <v>0.05217597533499348</v>
      </c>
      <c r="BB42" s="11">
        <v>0.1752638444207281</v>
      </c>
      <c r="BC42" s="11">
        <v>0.4276729559748428</v>
      </c>
      <c r="BD42" s="11">
        <v>0.056674532277094215</v>
      </c>
      <c r="BE42" s="11">
        <v>0.09902241698971852</v>
      </c>
      <c r="BF42" s="11">
        <v>0.013231080397775156</v>
      </c>
      <c r="BG42" s="11">
        <v>0.12186077869543233</v>
      </c>
      <c r="BH42" s="11">
        <v>0.16639979774144614</v>
      </c>
      <c r="BI42" s="11">
        <v>0.0921961907972358</v>
      </c>
      <c r="BJ42" s="11">
        <v>0.1303303556379572</v>
      </c>
      <c r="BK42" s="11">
        <v>0.2349570200573066</v>
      </c>
      <c r="BL42" s="11">
        <v>0.08532782740603405</v>
      </c>
      <c r="BM42" s="11">
        <v>0.15344830693265574</v>
      </c>
      <c r="BN42" s="11">
        <v>0.01949500880798591</v>
      </c>
      <c r="BO42" s="11">
        <v>0.04016441573693482</v>
      </c>
      <c r="BP42" s="11">
        <v>0.03206106870229008</v>
      </c>
      <c r="BQ42" s="11">
        <v>0.14186729301233117</v>
      </c>
      <c r="BR42" s="11">
        <v>0.05648854961832061</v>
      </c>
      <c r="BS42" s="11">
        <v>0.16958308866705812</v>
      </c>
      <c r="BT42" s="11">
        <v>0.1093364650616559</v>
      </c>
      <c r="BU42" s="11">
        <v>0.43100411039342335</v>
      </c>
      <c r="BV42" s="11">
        <v>0.02158908651853454</v>
      </c>
      <c r="BW42" s="11">
        <v>0.022537562604340568</v>
      </c>
      <c r="BX42" s="11">
        <v>8.347245409015025E-4</v>
      </c>
      <c r="BY42" s="11">
        <v>0.0</v>
      </c>
      <c r="BZ42" s="11">
        <v>0.9215358931552587</v>
      </c>
      <c r="CA42" s="11">
        <v>0.05509181969949917</v>
      </c>
      <c r="CB42" s="11">
        <v>1.0000000000000002</v>
      </c>
    </row>
    <row r="43" ht="15.75" customHeight="1">
      <c r="A43" s="9" t="s">
        <v>165</v>
      </c>
      <c r="B43" s="9" t="s">
        <v>196</v>
      </c>
      <c r="C43" s="11">
        <v>0.0381625554967864</v>
      </c>
      <c r="D43" s="11">
        <v>0.027299454010919783</v>
      </c>
      <c r="E43" s="11">
        <v>0.01637967240655187</v>
      </c>
      <c r="F43" s="11">
        <v>0.06677866442671146</v>
      </c>
      <c r="G43" s="11">
        <v>0.2259554808903822</v>
      </c>
      <c r="H43" s="11">
        <v>0.05837883242335153</v>
      </c>
      <c r="I43" s="11">
        <v>0.21041579168416633</v>
      </c>
      <c r="J43" s="11">
        <v>0.030659386812263753</v>
      </c>
      <c r="K43" s="11">
        <v>0.15035699286014279</v>
      </c>
      <c r="L43" s="11">
        <v>0.036539269214615706</v>
      </c>
      <c r="M43" s="11">
        <v>0.17723645527089457</v>
      </c>
      <c r="N43" s="11">
        <v>0.007228606690067477</v>
      </c>
      <c r="O43" s="11">
        <v>0.70509977827051</v>
      </c>
      <c r="P43" s="11">
        <v>0.29490022172949004</v>
      </c>
      <c r="Q43" s="11">
        <v>0.024811270856373517</v>
      </c>
      <c r="R43" s="11">
        <v>0.002583979328165375</v>
      </c>
      <c r="S43" s="11">
        <v>0.04198966408268734</v>
      </c>
      <c r="T43" s="11">
        <v>0.07170542635658915</v>
      </c>
      <c r="U43" s="11">
        <v>0.42118863049095606</v>
      </c>
      <c r="V43" s="11">
        <v>0.09108527131782945</v>
      </c>
      <c r="W43" s="11">
        <v>0.09883720930232558</v>
      </c>
      <c r="X43" s="11">
        <v>0.08979328165374677</v>
      </c>
      <c r="Y43" s="11">
        <v>0.082687338501292</v>
      </c>
      <c r="Z43" s="11">
        <v>0.10012919896640828</v>
      </c>
      <c r="AA43" s="11">
        <v>0.06121075155070443</v>
      </c>
      <c r="AB43" s="11">
        <v>0.004189578423671118</v>
      </c>
      <c r="AC43" s="11">
        <v>0.9900497512437811</v>
      </c>
      <c r="AD43" s="11">
        <v>0.005760670332547788</v>
      </c>
      <c r="AE43" s="11">
        <v>0.0031414787389206777</v>
      </c>
      <c r="AF43" s="11">
        <v>0.0</v>
      </c>
      <c r="AG43" s="11">
        <v>0.9132653061224489</v>
      </c>
      <c r="AH43" s="11">
        <v>0.08673469387755102</v>
      </c>
      <c r="AI43" s="11">
        <v>0.10967928066548059</v>
      </c>
      <c r="AJ43" s="11">
        <v>0.21788689171416045</v>
      </c>
      <c r="AK43" s="11">
        <v>0.08505041648399825</v>
      </c>
      <c r="AL43" s="11">
        <v>0.04895513663597837</v>
      </c>
      <c r="AM43" s="11">
        <v>0.20356568756393395</v>
      </c>
      <c r="AN43" s="11">
        <v>0.07175215548735935</v>
      </c>
      <c r="AO43" s="11">
        <v>0.054946660821277214</v>
      </c>
      <c r="AP43" s="11">
        <v>0.1063860879731112</v>
      </c>
      <c r="AQ43" s="11">
        <v>0.08855765015344147</v>
      </c>
      <c r="AR43" s="11">
        <v>0.12289931316673973</v>
      </c>
      <c r="AS43" s="11">
        <v>0.1464474042730522</v>
      </c>
      <c r="AT43" s="11">
        <v>0.014993980518769837</v>
      </c>
      <c r="AU43" s="11">
        <v>0.09664003502243625</v>
      </c>
      <c r="AV43" s="11">
        <v>0.029987961037539673</v>
      </c>
      <c r="AW43" s="11">
        <v>0.16252599321440298</v>
      </c>
      <c r="AX43" s="11">
        <v>0.24165481011272846</v>
      </c>
      <c r="AY43" s="11">
        <v>0.11360402758016855</v>
      </c>
      <c r="AZ43" s="11">
        <v>0.11360402758016855</v>
      </c>
      <c r="BA43" s="11">
        <v>0.052095873919229506</v>
      </c>
      <c r="BB43" s="11">
        <v>0.1748932910145562</v>
      </c>
      <c r="BC43" s="11">
        <v>0.44054430927537624</v>
      </c>
      <c r="BD43" s="11">
        <v>0.060576293385723644</v>
      </c>
      <c r="BE43" s="11">
        <v>0.09885032380120788</v>
      </c>
      <c r="BF43" s="11">
        <v>0.011787819253438114</v>
      </c>
      <c r="BG43" s="11">
        <v>0.12460889179946154</v>
      </c>
      <c r="BH43" s="11">
        <v>0.16648475587571854</v>
      </c>
      <c r="BI43" s="11">
        <v>0.09051880957578404</v>
      </c>
      <c r="BJ43" s="11">
        <v>0.13650585752746852</v>
      </c>
      <c r="BK43" s="11">
        <v>0.2435785490795314</v>
      </c>
      <c r="BL43" s="11">
        <v>0.0670886997016663</v>
      </c>
      <c r="BM43" s="11">
        <v>0.15099934285393726</v>
      </c>
      <c r="BN43" s="11">
        <v>0.019318543679014966</v>
      </c>
      <c r="BO43" s="11">
        <v>0.03916781657998089</v>
      </c>
      <c r="BP43" s="11">
        <v>0.028871669674132256</v>
      </c>
      <c r="BQ43" s="11">
        <v>0.15433605774333936</v>
      </c>
      <c r="BR43" s="11">
        <v>0.05466510986094894</v>
      </c>
      <c r="BS43" s="11">
        <v>0.1749283515550366</v>
      </c>
      <c r="BT43" s="11">
        <v>0.10869334465555673</v>
      </c>
      <c r="BU43" s="11">
        <v>0.42001910625199024</v>
      </c>
      <c r="BV43" s="11">
        <v>0.01777499959930118</v>
      </c>
      <c r="BW43" s="11">
        <v>0.033363390441839495</v>
      </c>
      <c r="BX43" s="11">
        <v>9.017132551848512E-4</v>
      </c>
      <c r="BY43" s="11">
        <v>0.0</v>
      </c>
      <c r="BZ43" s="11">
        <v>0.9044183949504058</v>
      </c>
      <c r="CA43" s="11">
        <v>0.061316501352569885</v>
      </c>
      <c r="CB43" s="11">
        <v>1.0</v>
      </c>
    </row>
    <row r="44" ht="15.75" customHeight="1">
      <c r="A44" s="9" t="s">
        <v>166</v>
      </c>
      <c r="B44" s="9" t="s">
        <v>196</v>
      </c>
      <c r="C44" s="11">
        <v>0.037928401515374</v>
      </c>
      <c r="D44" s="11">
        <v>0.0313588850174216</v>
      </c>
      <c r="E44" s="11">
        <v>0.016260162601626018</v>
      </c>
      <c r="F44" s="11">
        <v>0.06233062330623306</v>
      </c>
      <c r="G44" s="11">
        <v>0.22531939605110338</v>
      </c>
      <c r="H44" s="11">
        <v>0.057297715834301204</v>
      </c>
      <c r="I44" s="11">
        <v>0.1951219512195122</v>
      </c>
      <c r="J44" s="11">
        <v>0.029036004645760744</v>
      </c>
      <c r="K44" s="11">
        <v>0.1691831204026326</v>
      </c>
      <c r="L44" s="11">
        <v>0.041424699961285325</v>
      </c>
      <c r="M44" s="11">
        <v>0.17266744096012387</v>
      </c>
      <c r="N44" s="11">
        <v>0.00735661214061261</v>
      </c>
      <c r="O44" s="11">
        <v>0.6746506986027944</v>
      </c>
      <c r="P44" s="11">
        <v>0.3253493013972056</v>
      </c>
      <c r="Q44" s="11">
        <v>0.02422836333734692</v>
      </c>
      <c r="R44" s="11">
        <v>0.0024242424242424242</v>
      </c>
      <c r="S44" s="11">
        <v>0.06363636363636363</v>
      </c>
      <c r="T44" s="11">
        <v>0.07757575757575758</v>
      </c>
      <c r="U44" s="11">
        <v>0.36666666666666664</v>
      </c>
      <c r="V44" s="11">
        <v>0.07939393939393939</v>
      </c>
      <c r="W44" s="11">
        <v>0.10545454545454545</v>
      </c>
      <c r="X44" s="11">
        <v>0.09878787878787879</v>
      </c>
      <c r="Y44" s="11">
        <v>0.10242424242424242</v>
      </c>
      <c r="Z44" s="11">
        <v>0.10363636363636364</v>
      </c>
      <c r="AA44" s="11">
        <v>0.04792810783824263</v>
      </c>
      <c r="AB44" s="11">
        <v>0.007965686274509803</v>
      </c>
      <c r="AC44" s="11">
        <v>0.9840686274509803</v>
      </c>
      <c r="AD44" s="11">
        <v>0.007965686274509803</v>
      </c>
      <c r="AE44" s="11">
        <v>0.00306892602273061</v>
      </c>
      <c r="AF44" s="11">
        <v>0.009569377990430622</v>
      </c>
      <c r="AG44" s="11">
        <v>0.8947368421052632</v>
      </c>
      <c r="AH44" s="11">
        <v>0.09569377990430622</v>
      </c>
      <c r="AI44" s="11">
        <v>0.10805850048456726</v>
      </c>
      <c r="AJ44" s="11">
        <v>0.23182497621959505</v>
      </c>
      <c r="AK44" s="11">
        <v>0.06278026905829596</v>
      </c>
      <c r="AL44" s="11">
        <v>0.048240250033972004</v>
      </c>
      <c r="AM44" s="11">
        <v>0.20437559451012366</v>
      </c>
      <c r="AN44" s="11">
        <v>0.0743307514607963</v>
      </c>
      <c r="AO44" s="11">
        <v>0.060198396521266476</v>
      </c>
      <c r="AP44" s="11">
        <v>0.10925397472482674</v>
      </c>
      <c r="AQ44" s="11">
        <v>0.09050142682429678</v>
      </c>
      <c r="AR44" s="11">
        <v>0.11849436064682702</v>
      </c>
      <c r="AS44" s="11">
        <v>0.14711755895568412</v>
      </c>
      <c r="AT44" s="11">
        <v>0.015570416209202515</v>
      </c>
      <c r="AU44" s="11">
        <v>0.09961073959476993</v>
      </c>
      <c r="AV44" s="11">
        <v>0.030442159896197224</v>
      </c>
      <c r="AW44" s="11">
        <v>0.1635891805569418</v>
      </c>
      <c r="AX44" s="11">
        <v>0.23635093322686895</v>
      </c>
      <c r="AY44" s="11">
        <v>0.11418305220081844</v>
      </c>
      <c r="AZ44" s="11">
        <v>0.10989120670725622</v>
      </c>
      <c r="BA44" s="11">
        <v>0.05868849186545563</v>
      </c>
      <c r="BB44" s="11">
        <v>0.17167381974248927</v>
      </c>
      <c r="BC44" s="11">
        <v>0.4614695603653344</v>
      </c>
      <c r="BD44" s="11">
        <v>0.05597098036720018</v>
      </c>
      <c r="BE44" s="11">
        <v>0.10630986094759283</v>
      </c>
      <c r="BF44" s="11">
        <v>0.013873420943774462</v>
      </c>
      <c r="BG44" s="11">
        <v>0.12447895122028829</v>
      </c>
      <c r="BH44" s="11">
        <v>0.16549463836828204</v>
      </c>
      <c r="BI44" s="11">
        <v>0.09145002704680688</v>
      </c>
      <c r="BJ44" s="11">
        <v>0.13921150602984694</v>
      </c>
      <c r="BK44" s="11">
        <v>0.25338085086072487</v>
      </c>
      <c r="BL44" s="11">
        <v>0.049829764215483505</v>
      </c>
      <c r="BM44" s="11">
        <v>0.15020116883498283</v>
      </c>
      <c r="BN44" s="11">
        <v>0.02013882099912015</v>
      </c>
      <c r="BO44" s="11">
        <v>0.04154853846905856</v>
      </c>
      <c r="BP44" s="11">
        <v>0.030697037833610323</v>
      </c>
      <c r="BQ44" s="11">
        <v>0.15123668002737314</v>
      </c>
      <c r="BR44" s="11">
        <v>0.054453025711213215</v>
      </c>
      <c r="BS44" s="11">
        <v>0.1722553524293675</v>
      </c>
      <c r="BT44" s="11">
        <v>0.11144784436406296</v>
      </c>
      <c r="BU44" s="11">
        <v>0.4182227001661942</v>
      </c>
      <c r="BV44" s="11">
        <v>0.012642800505124665</v>
      </c>
      <c r="BW44" s="11">
        <v>0.029036004645760744</v>
      </c>
      <c r="BX44" s="11">
        <v>0.0011614401858304297</v>
      </c>
      <c r="BY44" s="11">
        <v>0.0</v>
      </c>
      <c r="BZ44" s="11">
        <v>0.8977932636469221</v>
      </c>
      <c r="CA44" s="11">
        <v>0.07200929152148665</v>
      </c>
      <c r="CB44" s="11">
        <v>1.0</v>
      </c>
    </row>
    <row r="45" ht="15.75" customHeight="1">
      <c r="A45" s="9" t="s">
        <v>167</v>
      </c>
      <c r="B45" s="9" t="s">
        <v>196</v>
      </c>
      <c r="C45" s="11">
        <v>0.038040531818768555</v>
      </c>
      <c r="D45" s="11">
        <v>0.03596878181201221</v>
      </c>
      <c r="E45" s="11">
        <v>0.017305734645402103</v>
      </c>
      <c r="F45" s="11">
        <v>0.06277570410587038</v>
      </c>
      <c r="G45" s="11">
        <v>0.20291822192059722</v>
      </c>
      <c r="H45" s="11">
        <v>0.07397353240583644</v>
      </c>
      <c r="I45" s="11">
        <v>0.19511367492365117</v>
      </c>
      <c r="J45" s="11">
        <v>0.02986087546657618</v>
      </c>
      <c r="K45" s="11">
        <v>0.17814726840855108</v>
      </c>
      <c r="L45" s="11">
        <v>0.03529012555140821</v>
      </c>
      <c r="M45" s="11">
        <v>0.16864608076009502</v>
      </c>
      <c r="N45" s="11">
        <v>0.006505744159029302</v>
      </c>
      <c r="O45" s="11">
        <v>0.6765873015873016</v>
      </c>
      <c r="P45" s="11">
        <v>0.32341269841269843</v>
      </c>
      <c r="Q45" s="11">
        <v>0.02253775655092294</v>
      </c>
      <c r="R45" s="11">
        <v>5.72737686139748E-4</v>
      </c>
      <c r="S45" s="11">
        <v>0.07502863688430698</v>
      </c>
      <c r="T45" s="11">
        <v>0.09507445589919816</v>
      </c>
      <c r="U45" s="11">
        <v>0.29896907216494845</v>
      </c>
      <c r="V45" s="11">
        <v>0.11741122565864834</v>
      </c>
      <c r="W45" s="11">
        <v>0.10423825887743414</v>
      </c>
      <c r="X45" s="11">
        <v>0.08991981672394044</v>
      </c>
      <c r="Y45" s="11">
        <v>0.10423825887743414</v>
      </c>
      <c r="Z45" s="11">
        <v>0.1145475372279496</v>
      </c>
      <c r="AA45" s="11">
        <v>0.050174261004259715</v>
      </c>
      <c r="AB45" s="11">
        <v>0.0036017494211474143</v>
      </c>
      <c r="AC45" s="11">
        <v>0.9835348597890404</v>
      </c>
      <c r="AD45" s="11">
        <v>0.012863390789812194</v>
      </c>
      <c r="AE45" s="11">
        <v>0.003239963856976894</v>
      </c>
      <c r="AF45" s="11">
        <v>0.00796812749003984</v>
      </c>
      <c r="AG45" s="11">
        <v>0.900398406374502</v>
      </c>
      <c r="AH45" s="11">
        <v>0.09163346613545817</v>
      </c>
      <c r="AI45" s="11">
        <v>0.11099780560216858</v>
      </c>
      <c r="AJ45" s="11">
        <v>0.21653680660541924</v>
      </c>
      <c r="AK45" s="11">
        <v>0.09268519595301779</v>
      </c>
      <c r="AL45" s="11">
        <v>0.043028259099895334</v>
      </c>
      <c r="AM45" s="11">
        <v>0.19665077334573788</v>
      </c>
      <c r="AN45" s="11">
        <v>0.06954297011280382</v>
      </c>
      <c r="AO45" s="11">
        <v>0.06791487382253751</v>
      </c>
      <c r="AP45" s="11">
        <v>0.11396674031864171</v>
      </c>
      <c r="AQ45" s="11">
        <v>0.09001046633329457</v>
      </c>
      <c r="AR45" s="11">
        <v>0.10966391440865217</v>
      </c>
      <c r="AS45" s="11">
        <v>0.14654705047115013</v>
      </c>
      <c r="AT45" s="11">
        <v>0.014797850788337884</v>
      </c>
      <c r="AU45" s="11">
        <v>0.09548137056284682</v>
      </c>
      <c r="AV45" s="11">
        <v>0.028802959570157667</v>
      </c>
      <c r="AW45" s="11">
        <v>0.1803928477054523</v>
      </c>
      <c r="AX45" s="11">
        <v>0.21280718752752575</v>
      </c>
      <c r="AY45" s="11">
        <v>0.10666784109926891</v>
      </c>
      <c r="AZ45" s="11">
        <v>0.12851228750110102</v>
      </c>
      <c r="BA45" s="11">
        <v>0.06068880472121906</v>
      </c>
      <c r="BB45" s="11">
        <v>0.17184885052409055</v>
      </c>
      <c r="BC45" s="11">
        <v>0.46976894281657416</v>
      </c>
      <c r="BD45" s="11">
        <v>0.05069656252576045</v>
      </c>
      <c r="BE45" s="11">
        <v>0.10754815486494655</v>
      </c>
      <c r="BF45" s="11">
        <v>0.01533261891022999</v>
      </c>
      <c r="BG45" s="11">
        <v>0.12032533729013821</v>
      </c>
      <c r="BH45" s="11">
        <v>0.16401505784079357</v>
      </c>
      <c r="BI45" s="11">
        <v>0.10122825818151843</v>
      </c>
      <c r="BJ45" s="11">
        <v>0.14557744621218366</v>
      </c>
      <c r="BK45" s="11">
        <v>0.2317203857884758</v>
      </c>
      <c r="BL45" s="11">
        <v>0.06355617838595334</v>
      </c>
      <c r="BM45" s="11">
        <v>0.14151284368142505</v>
      </c>
      <c r="BN45" s="11">
        <v>0.0198850679558515</v>
      </c>
      <c r="BO45" s="11">
        <v>0.04168566998084466</v>
      </c>
      <c r="BP45" s="11">
        <v>0.032746510991516924</v>
      </c>
      <c r="BQ45" s="11">
        <v>0.15534069141658305</v>
      </c>
      <c r="BR45" s="11">
        <v>0.05181063577487914</v>
      </c>
      <c r="BS45" s="11">
        <v>0.17212441849858615</v>
      </c>
      <c r="BT45" s="11">
        <v>0.11219556690686856</v>
      </c>
      <c r="BU45" s="11">
        <v>0.41421143847487</v>
      </c>
      <c r="BV45" s="11">
        <v>0.010675100038724667</v>
      </c>
      <c r="BW45" s="11">
        <v>0.032648125755743655</v>
      </c>
      <c r="BX45" s="11">
        <v>0.0012091898428053204</v>
      </c>
      <c r="BY45" s="11">
        <v>0.0</v>
      </c>
      <c r="BZ45" s="11">
        <v>0.8839177750906893</v>
      </c>
      <c r="CA45" s="11">
        <v>0.08222490931076179</v>
      </c>
      <c r="CB45" s="11">
        <v>1.0</v>
      </c>
    </row>
    <row r="46" ht="15.75" customHeight="1">
      <c r="A46" s="9" t="s">
        <v>168</v>
      </c>
      <c r="B46" s="9" t="s">
        <v>196</v>
      </c>
      <c r="C46" s="11">
        <v>0.037231667963418834</v>
      </c>
      <c r="D46" s="11">
        <v>0.0315176430284344</v>
      </c>
      <c r="E46" s="11">
        <v>0.019184652278177457</v>
      </c>
      <c r="F46" s="11">
        <v>0.06885919835560124</v>
      </c>
      <c r="G46" s="11">
        <v>0.20726276121959575</v>
      </c>
      <c r="H46" s="11">
        <v>0.0565262076053443</v>
      </c>
      <c r="I46" s="11">
        <v>0.20452209660842754</v>
      </c>
      <c r="J46" s="11">
        <v>0.029804727646454265</v>
      </c>
      <c r="K46" s="11">
        <v>0.1658102089756766</v>
      </c>
      <c r="L46" s="11">
        <v>0.03597122302158273</v>
      </c>
      <c r="M46" s="11">
        <v>0.18054128126070573</v>
      </c>
      <c r="N46" s="11">
        <v>0.006517774007984592</v>
      </c>
      <c r="O46" s="11">
        <v>0.6673189823874756</v>
      </c>
      <c r="P46" s="11">
        <v>0.33268101761252444</v>
      </c>
      <c r="Q46" s="11">
        <v>0.019170673843445875</v>
      </c>
      <c r="R46" s="11">
        <v>0.0</v>
      </c>
      <c r="S46" s="11">
        <v>0.0665335994677312</v>
      </c>
      <c r="T46" s="11">
        <v>0.09580838323353294</v>
      </c>
      <c r="U46" s="11">
        <v>0.27877578176979373</v>
      </c>
      <c r="V46" s="11">
        <v>0.10312707917498337</v>
      </c>
      <c r="W46" s="11">
        <v>0.1104457751164338</v>
      </c>
      <c r="X46" s="11">
        <v>0.08715901530272788</v>
      </c>
      <c r="Y46" s="11">
        <v>0.11377245508982035</v>
      </c>
      <c r="Z46" s="11">
        <v>0.14437791084497673</v>
      </c>
      <c r="AA46" s="11">
        <v>0.06247369293759008</v>
      </c>
      <c r="AB46" s="11">
        <v>0.0030624744793793387</v>
      </c>
      <c r="AC46" s="11">
        <v>0.9799918334013883</v>
      </c>
      <c r="AD46" s="11">
        <v>0.01694569211923234</v>
      </c>
      <c r="AE46" s="11">
        <v>0.0033545490491192712</v>
      </c>
      <c r="AF46" s="11">
        <v>0.015209125475285171</v>
      </c>
      <c r="AG46" s="11">
        <v>0.8973384030418251</v>
      </c>
      <c r="AH46" s="11">
        <v>0.08745247148288973</v>
      </c>
      <c r="AI46" s="11">
        <v>0.11578933942169105</v>
      </c>
      <c r="AJ46" s="11">
        <v>0.221083939193655</v>
      </c>
      <c r="AK46" s="11">
        <v>0.0875743555849306</v>
      </c>
      <c r="AL46" s="11">
        <v>0.044503194536241464</v>
      </c>
      <c r="AM46" s="11">
        <v>0.21337298964529633</v>
      </c>
      <c r="AN46" s="11">
        <v>0.06862745098039216</v>
      </c>
      <c r="AO46" s="11">
        <v>0.08217669090107953</v>
      </c>
      <c r="AP46" s="11">
        <v>0.0957259308217669</v>
      </c>
      <c r="AQ46" s="11">
        <v>0.07920246750385547</v>
      </c>
      <c r="AR46" s="11">
        <v>0.10773298083278256</v>
      </c>
      <c r="AS46" s="11">
        <v>0.13532990650629456</v>
      </c>
      <c r="AT46" s="11">
        <v>0.014985862393967955</v>
      </c>
      <c r="AU46" s="11">
        <v>0.10546654099905749</v>
      </c>
      <c r="AV46" s="11">
        <v>0.03006597549481621</v>
      </c>
      <c r="AW46" s="11">
        <v>0.16682375117813383</v>
      </c>
      <c r="AX46" s="11">
        <v>0.2185673892554194</v>
      </c>
      <c r="AY46" s="11">
        <v>0.11385485391140433</v>
      </c>
      <c r="AZ46" s="11">
        <v>0.11913289349670123</v>
      </c>
      <c r="BA46" s="11">
        <v>0.05664467483506126</v>
      </c>
      <c r="BB46" s="11">
        <v>0.17445805843543827</v>
      </c>
      <c r="BC46" s="11">
        <v>0.46954758230124616</v>
      </c>
      <c r="BD46" s="11">
        <v>0.05533371363377068</v>
      </c>
      <c r="BE46" s="11">
        <v>0.11156384972699862</v>
      </c>
      <c r="BF46" s="11">
        <v>0.016461576073669628</v>
      </c>
      <c r="BG46" s="11">
        <v>0.12405943552549371</v>
      </c>
      <c r="BH46" s="11">
        <v>0.15978051231901774</v>
      </c>
      <c r="BI46" s="11">
        <v>0.10115991633390378</v>
      </c>
      <c r="BJ46" s="11">
        <v>0.13853801646157607</v>
      </c>
      <c r="BK46" s="11">
        <v>0.2239154646456415</v>
      </c>
      <c r="BL46" s="11">
        <v>0.06918751527992828</v>
      </c>
      <c r="BM46" s="11">
        <v>0.14100585451716177</v>
      </c>
      <c r="BN46" s="11">
        <v>0.0203527815468114</v>
      </c>
      <c r="BO46" s="11">
        <v>0.04477611940298507</v>
      </c>
      <c r="BP46" s="11">
        <v>0.031026684758028042</v>
      </c>
      <c r="BQ46" s="11">
        <v>0.1630031659882406</v>
      </c>
      <c r="BR46" s="11">
        <v>0.055178652193577565</v>
      </c>
      <c r="BS46" s="11">
        <v>0.17114427860696518</v>
      </c>
      <c r="BT46" s="11">
        <v>0.11225689733152419</v>
      </c>
      <c r="BU46" s="11">
        <v>0.40226142017186794</v>
      </c>
      <c r="BV46" s="11">
        <v>0.009578959452047805</v>
      </c>
      <c r="BW46" s="11">
        <v>0.041278295605858856</v>
      </c>
      <c r="BX46" s="11">
        <v>0.011984021304926764</v>
      </c>
      <c r="BY46" s="11">
        <v>0.0</v>
      </c>
      <c r="BZ46" s="11">
        <v>0.8561917443408789</v>
      </c>
      <c r="CA46" s="11">
        <v>0.09054593874833555</v>
      </c>
      <c r="CB46" s="11">
        <v>0.9999999999999999</v>
      </c>
    </row>
    <row r="47" ht="15.75" customHeight="1">
      <c r="A47" s="9" t="s">
        <v>169</v>
      </c>
      <c r="B47" s="9" t="s">
        <v>196</v>
      </c>
      <c r="C47" s="11">
        <v>0.03826374653864135</v>
      </c>
      <c r="D47" s="11">
        <v>0.03759398496240601</v>
      </c>
      <c r="E47" s="11">
        <v>0.021616541353383457</v>
      </c>
      <c r="F47" s="11">
        <v>0.06046365914786967</v>
      </c>
      <c r="G47" s="11">
        <v>0.19768170426065163</v>
      </c>
      <c r="H47" s="11">
        <v>0.06390977443609022</v>
      </c>
      <c r="I47" s="11">
        <v>0.18483709273182958</v>
      </c>
      <c r="J47" s="11">
        <v>0.02819548872180451</v>
      </c>
      <c r="K47" s="11">
        <v>0.18233082706766918</v>
      </c>
      <c r="L47" s="11">
        <v>0.041979949874686714</v>
      </c>
      <c r="M47" s="11">
        <v>0.18139097744360902</v>
      </c>
      <c r="N47" s="11">
        <v>0.006521139760971458</v>
      </c>
      <c r="O47" s="11">
        <v>0.7371323529411765</v>
      </c>
      <c r="P47" s="11">
        <v>0.26286764705882354</v>
      </c>
      <c r="Q47" s="11">
        <v>0.018724302034259958</v>
      </c>
      <c r="R47" s="11">
        <v>6.402048655569782E-4</v>
      </c>
      <c r="S47" s="11">
        <v>0.05825864276568502</v>
      </c>
      <c r="T47" s="11">
        <v>0.08322663252240717</v>
      </c>
      <c r="U47" s="11">
        <v>0.29577464788732394</v>
      </c>
      <c r="V47" s="11">
        <v>0.0793854033290653</v>
      </c>
      <c r="W47" s="11">
        <v>0.09539052496798976</v>
      </c>
      <c r="X47" s="11">
        <v>0.1056338028169014</v>
      </c>
      <c r="Y47" s="11">
        <v>0.12740076824583868</v>
      </c>
      <c r="Z47" s="11">
        <v>0.15428937259923176</v>
      </c>
      <c r="AA47" s="11">
        <v>0.060212656285587564</v>
      </c>
      <c r="AB47" s="11">
        <v>0.002588094764085208</v>
      </c>
      <c r="AC47" s="11">
        <v>0.9786979892494525</v>
      </c>
      <c r="AD47" s="11">
        <v>0.018713915986462274</v>
      </c>
      <c r="AE47" s="11">
        <v>0.003236595101952746</v>
      </c>
      <c r="AF47" s="11">
        <v>0.03333333333333333</v>
      </c>
      <c r="AG47" s="11">
        <v>0.8888888888888888</v>
      </c>
      <c r="AH47" s="11">
        <v>0.07777777777777778</v>
      </c>
      <c r="AI47" s="11">
        <v>0.11268145910502152</v>
      </c>
      <c r="AJ47" s="11">
        <v>0.22021276595744682</v>
      </c>
      <c r="AK47" s="11">
        <v>0.06744680851063829</v>
      </c>
      <c r="AL47" s="11">
        <v>0.04521276595744681</v>
      </c>
      <c r="AM47" s="11">
        <v>0.23563829787234042</v>
      </c>
      <c r="AN47" s="11">
        <v>0.07191489361702127</v>
      </c>
      <c r="AO47" s="11">
        <v>0.07031914893617021</v>
      </c>
      <c r="AP47" s="11">
        <v>0.09851063829787234</v>
      </c>
      <c r="AQ47" s="11">
        <v>0.08021276595744681</v>
      </c>
      <c r="AR47" s="11">
        <v>0.11053191489361702</v>
      </c>
      <c r="AS47" s="11">
        <v>0.1382505604104482</v>
      </c>
      <c r="AT47" s="11">
        <v>0.013786525622127807</v>
      </c>
      <c r="AU47" s="11">
        <v>0.09910691060435273</v>
      </c>
      <c r="AV47" s="11">
        <v>0.03190843666001907</v>
      </c>
      <c r="AW47" s="11">
        <v>0.1589352293418885</v>
      </c>
      <c r="AX47" s="11">
        <v>0.20679788433191712</v>
      </c>
      <c r="AY47" s="11">
        <v>0.1158414983091997</v>
      </c>
      <c r="AZ47" s="11">
        <v>0.12711350039018468</v>
      </c>
      <c r="BA47" s="11">
        <v>0.060001734154166306</v>
      </c>
      <c r="BB47" s="11">
        <v>0.1865082805861441</v>
      </c>
      <c r="BC47" s="11">
        <v>0.46384004027762793</v>
      </c>
      <c r="BD47" s="11">
        <v>0.050447097741251876</v>
      </c>
      <c r="BE47" s="11">
        <v>0.10420220189176617</v>
      </c>
      <c r="BF47" s="11">
        <v>0.015402904843128134</v>
      </c>
      <c r="BG47" s="11">
        <v>0.1302527523647077</v>
      </c>
      <c r="BH47" s="11">
        <v>0.16788132527006772</v>
      </c>
      <c r="BI47" s="11">
        <v>0.09727606347237298</v>
      </c>
      <c r="BJ47" s="11">
        <v>0.13141572336796403</v>
      </c>
      <c r="BK47" s="11">
        <v>0.2478420426939577</v>
      </c>
      <c r="BL47" s="11">
        <v>0.05527988835478369</v>
      </c>
      <c r="BM47" s="11">
        <v>0.14727706452811642</v>
      </c>
      <c r="BN47" s="11">
        <v>0.020999511639264203</v>
      </c>
      <c r="BO47" s="11">
        <v>0.04989418850724402</v>
      </c>
      <c r="BP47" s="11">
        <v>0.029138857235878234</v>
      </c>
      <c r="BQ47" s="11">
        <v>0.1667751912746215</v>
      </c>
      <c r="BR47" s="11">
        <v>0.05355689402572033</v>
      </c>
      <c r="BS47" s="11">
        <v>0.174019208855608</v>
      </c>
      <c r="BT47" s="11">
        <v>0.10703239459547452</v>
      </c>
      <c r="BU47" s="11">
        <v>0.39858375386618916</v>
      </c>
      <c r="BV47" s="11">
        <v>0.010992435957372844</v>
      </c>
      <c r="BW47" s="11">
        <v>0.04034896401308615</v>
      </c>
      <c r="BX47" s="11">
        <v>0.009814612868047983</v>
      </c>
      <c r="BY47" s="11">
        <v>0.0</v>
      </c>
      <c r="BZ47" s="11">
        <v>0.8680479825517994</v>
      </c>
      <c r="CA47" s="11">
        <v>0.08178844056706652</v>
      </c>
      <c r="CB47" s="11">
        <v>1.0</v>
      </c>
    </row>
    <row r="48" ht="15.75" customHeight="1">
      <c r="A48" s="9" t="s">
        <v>170</v>
      </c>
      <c r="B48" s="9" t="s">
        <v>196</v>
      </c>
      <c r="C48" s="11">
        <v>0.03784872907625542</v>
      </c>
      <c r="D48" s="11">
        <v>0.03276003276003276</v>
      </c>
      <c r="E48" s="11">
        <v>0.016107016107016106</v>
      </c>
      <c r="F48" s="11">
        <v>0.06524706524706525</v>
      </c>
      <c r="G48" s="11">
        <v>0.19901719901719903</v>
      </c>
      <c r="H48" s="11">
        <v>0.06279006279006279</v>
      </c>
      <c r="I48" s="11">
        <v>0.18181818181818182</v>
      </c>
      <c r="J48" s="11">
        <v>0.028392028392028392</v>
      </c>
      <c r="K48" s="11">
        <v>0.1850941850941851</v>
      </c>
      <c r="L48" s="11">
        <v>0.042315042315042316</v>
      </c>
      <c r="M48" s="11">
        <v>0.18645918645918647</v>
      </c>
      <c r="N48" s="11">
        <v>0.006085968175242819</v>
      </c>
      <c r="O48" s="11">
        <v>0.7368421052631579</v>
      </c>
      <c r="P48" s="11">
        <v>0.2631578947368421</v>
      </c>
      <c r="Q48" s="11">
        <v>0.01678032651374251</v>
      </c>
      <c r="R48" s="11">
        <v>0.0</v>
      </c>
      <c r="S48" s="11">
        <v>0.03940886699507389</v>
      </c>
      <c r="T48" s="11">
        <v>0.07266009852216748</v>
      </c>
      <c r="U48" s="11">
        <v>0.2955665024630542</v>
      </c>
      <c r="V48" s="11">
        <v>0.10652709359605911</v>
      </c>
      <c r="W48" s="11">
        <v>0.08559113300492611</v>
      </c>
      <c r="X48" s="11">
        <v>0.11761083743842364</v>
      </c>
      <c r="Y48" s="11">
        <v>0.12315270935960591</v>
      </c>
      <c r="Z48" s="11">
        <v>0.15948275862068967</v>
      </c>
      <c r="AA48" s="11">
        <v>0.04466831990080595</v>
      </c>
      <c r="AB48" s="11">
        <v>0.006476983576220218</v>
      </c>
      <c r="AC48" s="11">
        <v>0.9768679157992135</v>
      </c>
      <c r="AD48" s="11">
        <v>0.016655100624566273</v>
      </c>
      <c r="AE48" s="11">
        <v>0.002769167183302335</v>
      </c>
      <c r="AF48" s="11">
        <v>0.022388059701492536</v>
      </c>
      <c r="AG48" s="11">
        <v>0.8880597014925373</v>
      </c>
      <c r="AH48" s="11">
        <v>0.08955223880597014</v>
      </c>
      <c r="AI48" s="11">
        <v>0.11404215747055177</v>
      </c>
      <c r="AJ48" s="11">
        <v>0.20521880945909216</v>
      </c>
      <c r="AK48" s="11">
        <v>0.07058077376098577</v>
      </c>
      <c r="AL48" s="11">
        <v>0.04276524417867174</v>
      </c>
      <c r="AM48" s="11">
        <v>0.2575881127117876</v>
      </c>
      <c r="AN48" s="11">
        <v>0.07474857298178852</v>
      </c>
      <c r="AO48" s="11">
        <v>0.0702183564374377</v>
      </c>
      <c r="AP48" s="11">
        <v>0.09151037419588656</v>
      </c>
      <c r="AQ48" s="11">
        <v>0.07891637220259129</v>
      </c>
      <c r="AR48" s="11">
        <v>0.10845338407175863</v>
      </c>
      <c r="AS48" s="11">
        <v>0.1345215953709444</v>
      </c>
      <c r="AT48" s="11">
        <v>0.010523081649896305</v>
      </c>
      <c r="AU48" s="11">
        <v>0.10123665412090023</v>
      </c>
      <c r="AV48" s="11">
        <v>0.03218373146939089</v>
      </c>
      <c r="AW48" s="11">
        <v>0.16068822490206622</v>
      </c>
      <c r="AX48" s="11">
        <v>0.19970811890314155</v>
      </c>
      <c r="AY48" s="11">
        <v>0.1194408172670712</v>
      </c>
      <c r="AZ48" s="11">
        <v>0.12358860127505952</v>
      </c>
      <c r="BA48" s="11">
        <v>0.06713265227744067</v>
      </c>
      <c r="BB48" s="11">
        <v>0.18549811813503342</v>
      </c>
      <c r="BC48" s="11">
        <v>0.45808018185575533</v>
      </c>
      <c r="BD48" s="11">
        <v>0.04878984052511673</v>
      </c>
      <c r="BE48" s="11">
        <v>0.10048947736449146</v>
      </c>
      <c r="BF48" s="11">
        <v>0.01197753366566666</v>
      </c>
      <c r="BG48" s="11">
        <v>0.13206866217039226</v>
      </c>
      <c r="BH48" s="11">
        <v>0.15990345792073624</v>
      </c>
      <c r="BI48" s="11">
        <v>0.09338416078316378</v>
      </c>
      <c r="BJ48" s="11">
        <v>0.12893330025037783</v>
      </c>
      <c r="BK48" s="11">
        <v>0.26445311618884354</v>
      </c>
      <c r="BL48" s="11">
        <v>0.06000045113121151</v>
      </c>
      <c r="BM48" s="11">
        <v>0.15039264310808018</v>
      </c>
      <c r="BN48" s="11">
        <v>0.021229817931982135</v>
      </c>
      <c r="BO48" s="11">
        <v>0.05159738921332875</v>
      </c>
      <c r="BP48" s="11">
        <v>0.024733768464445208</v>
      </c>
      <c r="BQ48" s="11">
        <v>0.16619718309859155</v>
      </c>
      <c r="BR48" s="11">
        <v>0.05358983167296462</v>
      </c>
      <c r="BS48" s="11">
        <v>0.16880796976983856</v>
      </c>
      <c r="BT48" s="11">
        <v>0.09762968052215733</v>
      </c>
      <c r="BU48" s="11">
        <v>0.4162143593266919</v>
      </c>
      <c r="BV48" s="11">
        <v>0.03481091134531928</v>
      </c>
      <c r="BW48" s="11">
        <v>0.012763431285247848</v>
      </c>
      <c r="BX48" s="11">
        <v>0.0011872959335114278</v>
      </c>
      <c r="BY48" s="11">
        <v>0.0</v>
      </c>
      <c r="BZ48" s="11">
        <v>0.9421193232413179</v>
      </c>
      <c r="CA48" s="11">
        <v>0.043929949539922825</v>
      </c>
      <c r="CB48" s="11">
        <v>1.0</v>
      </c>
    </row>
    <row r="49" ht="15.75" customHeight="1">
      <c r="A49" s="9" t="s">
        <v>171</v>
      </c>
      <c r="B49" s="9" t="s">
        <v>196</v>
      </c>
      <c r="C49" s="11">
        <v>0.037869682580340076</v>
      </c>
      <c r="D49" s="11">
        <v>0.032518210197710715</v>
      </c>
      <c r="E49" s="11">
        <v>0.025494276795005204</v>
      </c>
      <c r="F49" s="11">
        <v>0.0712799167533819</v>
      </c>
      <c r="G49" s="11">
        <v>0.2026534859521332</v>
      </c>
      <c r="H49" s="11">
        <v>0.06581685744016649</v>
      </c>
      <c r="I49" s="11">
        <v>0.19302809573361082</v>
      </c>
      <c r="J49" s="11">
        <v>0.027575442247658687</v>
      </c>
      <c r="K49" s="11">
        <v>0.16389177939646202</v>
      </c>
      <c r="L49" s="11">
        <v>0.037460978147762745</v>
      </c>
      <c r="M49" s="11">
        <v>0.18028095733610822</v>
      </c>
      <c r="N49" s="11">
        <v>0.006620298307489212</v>
      </c>
      <c r="O49" s="11">
        <v>0.7380952380952381</v>
      </c>
      <c r="P49" s="11">
        <v>0.2619047619047619</v>
      </c>
      <c r="Q49" s="11">
        <v>0.015969499339940497</v>
      </c>
      <c r="R49" s="11">
        <v>0.0</v>
      </c>
      <c r="S49" s="11">
        <v>0.041949413942011106</v>
      </c>
      <c r="T49" s="11">
        <v>0.06415792720542875</v>
      </c>
      <c r="U49" s="11">
        <v>0.2998149290561382</v>
      </c>
      <c r="V49" s="11">
        <v>0.12523133867982728</v>
      </c>
      <c r="W49" s="11">
        <v>0.08574953732264035</v>
      </c>
      <c r="X49" s="11">
        <v>0.09685379395434916</v>
      </c>
      <c r="Y49" s="11">
        <v>0.11227637260950031</v>
      </c>
      <c r="Z49" s="11">
        <v>0.17396668723010486</v>
      </c>
      <c r="AA49" s="11">
        <v>0.0582133075877288</v>
      </c>
      <c r="AB49" s="11">
        <v>0.004400067693349129</v>
      </c>
      <c r="AC49" s="11">
        <v>0.9810458622440346</v>
      </c>
      <c r="AD49" s="11">
        <v>0.014554070062616348</v>
      </c>
      <c r="AE49" s="11">
        <v>0.002797864165665084</v>
      </c>
      <c r="AF49" s="11">
        <v>0.02112676056338028</v>
      </c>
      <c r="AG49" s="11">
        <v>0.8591549295774648</v>
      </c>
      <c r="AH49" s="11">
        <v>0.11971830985915492</v>
      </c>
      <c r="AI49" s="11">
        <v>0.11587492364983351</v>
      </c>
      <c r="AJ49" s="11">
        <v>0.21739500085019556</v>
      </c>
      <c r="AK49" s="11">
        <v>0.05611290596837273</v>
      </c>
      <c r="AL49" s="11">
        <v>0.042509777248767214</v>
      </c>
      <c r="AM49" s="11">
        <v>0.2730828090460806</v>
      </c>
      <c r="AN49" s="11">
        <v>0.07515728617582045</v>
      </c>
      <c r="AO49" s="11">
        <v>0.06342458765516068</v>
      </c>
      <c r="AP49" s="11">
        <v>0.08850535623193334</v>
      </c>
      <c r="AQ49" s="11">
        <v>0.07660261860227853</v>
      </c>
      <c r="AR49" s="11">
        <v>0.10720965822139092</v>
      </c>
      <c r="AS49" s="11">
        <v>0.12742103915039504</v>
      </c>
      <c r="AT49" s="11">
        <v>0.01229318076387815</v>
      </c>
      <c r="AU49" s="11">
        <v>0.095175506417195</v>
      </c>
      <c r="AV49" s="11">
        <v>0.03943095716715633</v>
      </c>
      <c r="AW49" s="11">
        <v>0.16901190660275245</v>
      </c>
      <c r="AX49" s="11">
        <v>0.19939693830214938</v>
      </c>
      <c r="AY49" s="11">
        <v>0.12973558064017318</v>
      </c>
      <c r="AZ49" s="11">
        <v>0.1092469460337096</v>
      </c>
      <c r="BA49" s="11">
        <v>0.06138858821710221</v>
      </c>
      <c r="BB49" s="11">
        <v>0.18432039585588372</v>
      </c>
      <c r="BC49" s="11">
        <v>0.47091797529210094</v>
      </c>
      <c r="BD49" s="11">
        <v>0.04943411225706575</v>
      </c>
      <c r="BE49" s="11">
        <v>0.08499822179452313</v>
      </c>
      <c r="BF49" s="11">
        <v>0.009121148093136126</v>
      </c>
      <c r="BG49" s="11">
        <v>0.11202694504299074</v>
      </c>
      <c r="BH49" s="11">
        <v>0.15060354385891508</v>
      </c>
      <c r="BI49" s="11">
        <v>0.12357482061044749</v>
      </c>
      <c r="BJ49" s="11">
        <v>0.1233656199661095</v>
      </c>
      <c r="BK49" s="11">
        <v>0.2588439572393883</v>
      </c>
      <c r="BL49" s="11">
        <v>0.0880316311374239</v>
      </c>
      <c r="BM49" s="11">
        <v>0.14297676984611746</v>
      </c>
      <c r="BN49" s="11">
        <v>0.022393715978777647</v>
      </c>
      <c r="BO49" s="11">
        <v>0.06153104113553366</v>
      </c>
      <c r="BP49" s="11">
        <v>0.026321229242747882</v>
      </c>
      <c r="BQ49" s="11">
        <v>0.17728932681044582</v>
      </c>
      <c r="BR49" s="11">
        <v>0.05388272583201268</v>
      </c>
      <c r="BS49" s="11">
        <v>0.171845931234066</v>
      </c>
      <c r="BT49" s="11">
        <v>0.09970371391166541</v>
      </c>
      <c r="BU49" s="11">
        <v>0.3870323158547509</v>
      </c>
      <c r="BV49" s="11">
        <v>0.021338640080389337</v>
      </c>
      <c r="BW49" s="11">
        <v>0.017082179132040628</v>
      </c>
      <c r="BX49" s="11">
        <v>0.003231763619575254</v>
      </c>
      <c r="BY49" s="11">
        <v>0.0023084025854108957</v>
      </c>
      <c r="BZ49" s="11">
        <v>0.9256694367497692</v>
      </c>
      <c r="CA49" s="11">
        <v>0.05170821791320406</v>
      </c>
      <c r="CB49" s="11">
        <v>0.9999999999999999</v>
      </c>
    </row>
    <row r="50" ht="15.75" customHeight="1">
      <c r="A50" s="9" t="s">
        <v>172</v>
      </c>
      <c r="B50" s="9" t="s">
        <v>196</v>
      </c>
      <c r="C50" s="11">
        <v>0.034872882442983096</v>
      </c>
      <c r="D50" s="11">
        <v>0.02378616969102501</v>
      </c>
      <c r="E50" s="11">
        <v>0.039725355566454144</v>
      </c>
      <c r="F50" s="11">
        <v>0.06792545365375184</v>
      </c>
      <c r="G50" s="11">
        <v>0.19691025012260913</v>
      </c>
      <c r="H50" s="11">
        <v>0.07258460029426189</v>
      </c>
      <c r="I50" s="11">
        <v>0.18244237371260422</v>
      </c>
      <c r="J50" s="11">
        <v>0.02893575282000981</v>
      </c>
      <c r="K50" s="11">
        <v>0.1476213830308975</v>
      </c>
      <c r="L50" s="11">
        <v>0.03727317312408043</v>
      </c>
      <c r="M50" s="11">
        <v>0.20279548798430602</v>
      </c>
      <c r="N50" s="11">
        <v>0.006815519202319158</v>
      </c>
      <c r="O50" s="11">
        <v>0.766624843161857</v>
      </c>
      <c r="P50" s="11">
        <v>0.23337515683814303</v>
      </c>
      <c r="Q50" s="11">
        <v>0.01742788975448738</v>
      </c>
      <c r="R50" s="11">
        <v>0.0</v>
      </c>
      <c r="S50" s="11">
        <v>0.04465161923454367</v>
      </c>
      <c r="T50" s="11">
        <v>0.05740922473012758</v>
      </c>
      <c r="U50" s="11">
        <v>0.3267909715407262</v>
      </c>
      <c r="V50" s="11">
        <v>0.16535819430814525</v>
      </c>
      <c r="W50" s="11">
        <v>0.07163886162904809</v>
      </c>
      <c r="X50" s="11">
        <v>0.08635917566241413</v>
      </c>
      <c r="Y50" s="11">
        <v>0.11432777232580962</v>
      </c>
      <c r="Z50" s="11">
        <v>0.13346418056918546</v>
      </c>
      <c r="AA50" s="11">
        <v>0.08117907627053421</v>
      </c>
      <c r="AB50" s="11">
        <v>0.0016854524386389971</v>
      </c>
      <c r="AC50" s="11">
        <v>0.9812493416201411</v>
      </c>
      <c r="AD50" s="11">
        <v>0.017065205941219845</v>
      </c>
      <c r="AE50" s="11">
        <v>0.0024029622281702425</v>
      </c>
      <c r="AF50" s="11">
        <v>0.03202846975088968</v>
      </c>
      <c r="AG50" s="11">
        <v>0.8434163701067615</v>
      </c>
      <c r="AH50" s="11">
        <v>0.12455516014234876</v>
      </c>
      <c r="AI50" s="11">
        <v>0.11384568022644284</v>
      </c>
      <c r="AJ50" s="11">
        <v>0.21813265229474949</v>
      </c>
      <c r="AK50" s="11">
        <v>0.05596033951776459</v>
      </c>
      <c r="AL50" s="11">
        <v>0.04101254412979794</v>
      </c>
      <c r="AM50" s="11">
        <v>0.30060842785247505</v>
      </c>
      <c r="AN50" s="11">
        <v>0.07165928040261399</v>
      </c>
      <c r="AO50" s="11">
        <v>0.0547585067227522</v>
      </c>
      <c r="AP50" s="11">
        <v>0.08570570119432135</v>
      </c>
      <c r="AQ50" s="11">
        <v>0.07316157139637948</v>
      </c>
      <c r="AR50" s="11">
        <v>0.09900097648914595</v>
      </c>
      <c r="AS50" s="11">
        <v>0.12113153011399105</v>
      </c>
      <c r="AT50" s="11">
        <v>0.012495587716201906</v>
      </c>
      <c r="AU50" s="11">
        <v>0.092622661489587</v>
      </c>
      <c r="AV50" s="11">
        <v>0.04031062477938581</v>
      </c>
      <c r="AW50" s="11">
        <v>0.17416166607836217</v>
      </c>
      <c r="AX50" s="11">
        <v>0.1879279915284151</v>
      </c>
      <c r="AY50" s="11">
        <v>0.13695728909283444</v>
      </c>
      <c r="AZ50" s="11">
        <v>0.10631839039887045</v>
      </c>
      <c r="BA50" s="11">
        <v>0.05972467349099894</v>
      </c>
      <c r="BB50" s="11">
        <v>0.18948111542534415</v>
      </c>
      <c r="BC50" s="11">
        <v>0.4658326135848605</v>
      </c>
      <c r="BD50" s="11">
        <v>0.04995043506994162</v>
      </c>
      <c r="BE50" s="11">
        <v>0.07291551933032273</v>
      </c>
      <c r="BF50" s="11">
        <v>0.007985460953849543</v>
      </c>
      <c r="BG50" s="11">
        <v>0.10236075926129896</v>
      </c>
      <c r="BH50" s="11">
        <v>0.15600102801336418</v>
      </c>
      <c r="BI50" s="11">
        <v>0.15109960715203583</v>
      </c>
      <c r="BJ50" s="11">
        <v>0.12418768586848772</v>
      </c>
      <c r="BK50" s="11">
        <v>0.25924294158681205</v>
      </c>
      <c r="BL50" s="11">
        <v>0.07625656276388736</v>
      </c>
      <c r="BM50" s="11">
        <v>0.14068018368551125</v>
      </c>
      <c r="BN50" s="11">
        <v>0.022794966871314815</v>
      </c>
      <c r="BO50" s="11">
        <v>0.06747310193909185</v>
      </c>
      <c r="BP50" s="11">
        <v>0.027597106558871803</v>
      </c>
      <c r="BQ50" s="11">
        <v>0.18588535651328186</v>
      </c>
      <c r="BR50" s="11">
        <v>0.05489028022612607</v>
      </c>
      <c r="BS50" s="11">
        <v>0.1614491520272324</v>
      </c>
      <c r="BT50" s="11">
        <v>0.09707616558263936</v>
      </c>
      <c r="BU50" s="11">
        <v>0.38283387028144183</v>
      </c>
      <c r="BV50" s="11">
        <v>0.01581166249070028</v>
      </c>
      <c r="BW50" s="11">
        <v>0.0319091400757166</v>
      </c>
      <c r="BX50" s="11">
        <v>0.0048674959437533805</v>
      </c>
      <c r="BY50" s="11">
        <v>5.408328826392645E-4</v>
      </c>
      <c r="BZ50" s="11">
        <v>0.8902109248242294</v>
      </c>
      <c r="CA50" s="11">
        <v>0.07247160627366143</v>
      </c>
      <c r="CB50" s="11">
        <v>1.0</v>
      </c>
    </row>
    <row r="51" ht="15.75" customHeight="1">
      <c r="A51" s="9" t="s">
        <v>173</v>
      </c>
      <c r="B51" s="9" t="s">
        <v>196</v>
      </c>
      <c r="C51" s="11">
        <v>0.03786997324727165</v>
      </c>
      <c r="D51" s="11">
        <v>0.015250056066382597</v>
      </c>
      <c r="E51" s="11">
        <v>0.03924646781789639</v>
      </c>
      <c r="F51" s="11">
        <v>0.07355909396725724</v>
      </c>
      <c r="G51" s="11">
        <v>0.20296030500112133</v>
      </c>
      <c r="H51" s="11">
        <v>0.06705539358600583</v>
      </c>
      <c r="I51" s="11">
        <v>0.17896389324960754</v>
      </c>
      <c r="J51" s="11">
        <v>0.02870598788966136</v>
      </c>
      <c r="K51" s="11">
        <v>0.13545638035433955</v>
      </c>
      <c r="L51" s="11">
        <v>0.05292666517156313</v>
      </c>
      <c r="M51" s="11">
        <v>0.20587575689616505</v>
      </c>
      <c r="N51" s="11">
        <v>0.007949382139368976</v>
      </c>
      <c r="O51" s="11">
        <v>0.7681623931623932</v>
      </c>
      <c r="P51" s="11">
        <v>0.23183760683760685</v>
      </c>
      <c r="Q51" s="11">
        <v>0.014777697566775659</v>
      </c>
      <c r="R51" s="11">
        <v>0.0011494252873563218</v>
      </c>
      <c r="S51" s="11">
        <v>0.023563218390804597</v>
      </c>
      <c r="T51" s="11">
        <v>0.07528735632183908</v>
      </c>
      <c r="U51" s="11">
        <v>0.25</v>
      </c>
      <c r="V51" s="11">
        <v>0.14195402298850573</v>
      </c>
      <c r="W51" s="11">
        <v>0.08333333333333333</v>
      </c>
      <c r="X51" s="11">
        <v>0.11724137931034483</v>
      </c>
      <c r="Y51" s="11">
        <v>0.1528735632183908</v>
      </c>
      <c r="Z51" s="11">
        <v>0.15459770114942528</v>
      </c>
      <c r="AA51" s="11">
        <v>0.08445369230115929</v>
      </c>
      <c r="AB51" s="11">
        <v>0.0012067578439259854</v>
      </c>
      <c r="AC51" s="11">
        <v>0.9856194690265486</v>
      </c>
      <c r="AD51" s="11">
        <v>0.013173773129525342</v>
      </c>
      <c r="AE51" s="11">
        <v>0.002437470805554376</v>
      </c>
      <c r="AF51" s="11">
        <v>0.05574912891986063</v>
      </c>
      <c r="AG51" s="11">
        <v>0.8292682926829268</v>
      </c>
      <c r="AH51" s="11">
        <v>0.11498257839721254</v>
      </c>
      <c r="AI51" s="11">
        <v>0.12386088581256104</v>
      </c>
      <c r="AJ51" s="11">
        <v>0.1847229840921558</v>
      </c>
      <c r="AK51" s="11">
        <v>0.07467087218869994</v>
      </c>
      <c r="AL51" s="11">
        <v>0.03867251782775644</v>
      </c>
      <c r="AM51" s="11">
        <v>0.3166483817882611</v>
      </c>
      <c r="AN51" s="11">
        <v>0.08022490400438836</v>
      </c>
      <c r="AO51" s="11">
        <v>0.05704882062534284</v>
      </c>
      <c r="AP51" s="11">
        <v>0.08207624794295118</v>
      </c>
      <c r="AQ51" s="11">
        <v>0.06726549643444871</v>
      </c>
      <c r="AR51" s="11">
        <v>0.09866977509599562</v>
      </c>
      <c r="AS51" s="11">
        <v>0.12049768567667417</v>
      </c>
      <c r="AT51" s="11">
        <v>0.013955455314350156</v>
      </c>
      <c r="AU51" s="11">
        <v>0.10783760924725119</v>
      </c>
      <c r="AV51" s="11">
        <v>0.03749647589512264</v>
      </c>
      <c r="AW51" s="11">
        <v>0.16351846630955738</v>
      </c>
      <c r="AX51" s="11">
        <v>0.17726247533126585</v>
      </c>
      <c r="AY51" s="11">
        <v>0.13278827177896815</v>
      </c>
      <c r="AZ51" s="11">
        <v>0.11164364251480124</v>
      </c>
      <c r="BA51" s="11">
        <v>0.06420919086552015</v>
      </c>
      <c r="BB51" s="11">
        <v>0.19128841274316324</v>
      </c>
      <c r="BC51" s="11">
        <v>0.44352626438489956</v>
      </c>
      <c r="BD51" s="11">
        <v>0.05851827738735806</v>
      </c>
      <c r="BE51" s="11">
        <v>0.07471803611435575</v>
      </c>
      <c r="BF51" s="11">
        <v>0.009957298508320089</v>
      </c>
      <c r="BG51" s="11">
        <v>0.1170748520766712</v>
      </c>
      <c r="BH51" s="11">
        <v>0.14993393715412748</v>
      </c>
      <c r="BI51" s="11">
        <v>0.1351128812975126</v>
      </c>
      <c r="BJ51" s="11">
        <v>0.1266491775654405</v>
      </c>
      <c r="BK51" s="11">
        <v>0.2720831817398464</v>
      </c>
      <c r="BL51" s="11">
        <v>0.055952358156367885</v>
      </c>
      <c r="BM51" s="11">
        <v>0.1447280139284046</v>
      </c>
      <c r="BN51" s="11">
        <v>0.022827298867437357</v>
      </c>
      <c r="BO51" s="11">
        <v>0.06625198051757526</v>
      </c>
      <c r="BP51" s="11">
        <v>0.02799131506366997</v>
      </c>
      <c r="BQ51" s="11">
        <v>0.18590458306437416</v>
      </c>
      <c r="BR51" s="11">
        <v>0.0551024000938912</v>
      </c>
      <c r="BS51" s="11">
        <v>0.17440291062731061</v>
      </c>
      <c r="BT51" s="11">
        <v>0.09465406959685464</v>
      </c>
      <c r="BU51" s="11">
        <v>0.3728654421688868</v>
      </c>
      <c r="BV51" s="11">
        <v>0.01989893413733067</v>
      </c>
      <c r="BW51" s="11">
        <v>0.01835253947930004</v>
      </c>
      <c r="BX51" s="11">
        <v>0.002987622705932565</v>
      </c>
      <c r="BY51" s="11">
        <v>0.0</v>
      </c>
      <c r="BZ51" s="11">
        <v>0.9197609901835254</v>
      </c>
      <c r="CA51" s="11">
        <v>0.058898847631242</v>
      </c>
      <c r="CB51" s="11">
        <v>1.0</v>
      </c>
    </row>
    <row r="52" ht="15.75" customHeight="1">
      <c r="A52" s="9" t="s">
        <v>174</v>
      </c>
      <c r="B52" s="9" t="s">
        <v>196</v>
      </c>
      <c r="C52" s="11">
        <v>0.03740316301512576</v>
      </c>
      <c r="D52" s="11">
        <v>0.01780104712041885</v>
      </c>
      <c r="E52" s="11">
        <v>0.04586387434554974</v>
      </c>
      <c r="F52" s="11">
        <v>0.061989528795811516</v>
      </c>
      <c r="G52" s="11">
        <v>0.19225130890052355</v>
      </c>
      <c r="H52" s="11">
        <v>0.06324607329842932</v>
      </c>
      <c r="I52" s="11">
        <v>0.1819895287958115</v>
      </c>
      <c r="J52" s="11">
        <v>0.03162303664921466</v>
      </c>
      <c r="K52" s="11">
        <v>0.13947643979057592</v>
      </c>
      <c r="L52" s="11">
        <v>0.06324607329842932</v>
      </c>
      <c r="M52" s="11">
        <v>0.2025130890052356</v>
      </c>
      <c r="N52" s="11">
        <v>0.007558963834470442</v>
      </c>
      <c r="O52" s="11">
        <v>0.705699481865285</v>
      </c>
      <c r="P52" s="11">
        <v>0.29430051813471503</v>
      </c>
      <c r="Q52" s="11">
        <v>0.014765437127437081</v>
      </c>
      <c r="R52" s="11">
        <v>0.0015915119363395225</v>
      </c>
      <c r="S52" s="11">
        <v>0.023872679045092837</v>
      </c>
      <c r="T52" s="11">
        <v>0.06472148541114059</v>
      </c>
      <c r="U52" s="11">
        <v>0.2976127320954907</v>
      </c>
      <c r="V52" s="11">
        <v>0.13315649867374005</v>
      </c>
      <c r="W52" s="11">
        <v>0.08647214854111406</v>
      </c>
      <c r="X52" s="11">
        <v>0.10928381962864721</v>
      </c>
      <c r="Y52" s="11">
        <v>0.13315649867374005</v>
      </c>
      <c r="Z52" s="11">
        <v>0.15013262599469496</v>
      </c>
      <c r="AA52" s="11">
        <v>0.07289504398298646</v>
      </c>
      <c r="AB52" s="11">
        <v>0.002364066193853428</v>
      </c>
      <c r="AC52" s="11">
        <v>0.9846335697399528</v>
      </c>
      <c r="AD52" s="11">
        <v>0.013002364066193853</v>
      </c>
      <c r="AE52" s="11">
        <v>0.0026710949922843738</v>
      </c>
      <c r="AF52" s="11">
        <v>0.05278592375366569</v>
      </c>
      <c r="AG52" s="11">
        <v>0.8299120234604106</v>
      </c>
      <c r="AH52" s="11">
        <v>0.11730205278592376</v>
      </c>
      <c r="AI52" s="11">
        <v>0.11548373451979038</v>
      </c>
      <c r="AJ52" s="11">
        <v>0.16631621786610595</v>
      </c>
      <c r="AK52" s="11">
        <v>0.04802279047683646</v>
      </c>
      <c r="AL52" s="11">
        <v>0.03683103845892966</v>
      </c>
      <c r="AM52" s="11">
        <v>0.35257410296411856</v>
      </c>
      <c r="AN52" s="11">
        <v>0.0824119921318592</v>
      </c>
      <c r="AO52" s="11">
        <v>0.05351692328562708</v>
      </c>
      <c r="AP52" s="11">
        <v>0.08810961134097538</v>
      </c>
      <c r="AQ52" s="11">
        <v>0.06972800651156481</v>
      </c>
      <c r="AR52" s="11">
        <v>0.1024893169639829</v>
      </c>
      <c r="AS52" s="11">
        <v>0.1221967210546517</v>
      </c>
      <c r="AT52" s="11">
        <v>0.013782051282051282</v>
      </c>
      <c r="AU52" s="11">
        <v>0.10961538461538461</v>
      </c>
      <c r="AV52" s="11">
        <v>0.0425</v>
      </c>
      <c r="AW52" s="11">
        <v>0.15647435897435896</v>
      </c>
      <c r="AX52" s="11">
        <v>0.17352564102564103</v>
      </c>
      <c r="AY52" s="11">
        <v>0.13378205128205128</v>
      </c>
      <c r="AZ52" s="11">
        <v>0.11775641025641026</v>
      </c>
      <c r="BA52" s="11">
        <v>0.061217948717948716</v>
      </c>
      <c r="BB52" s="11">
        <v>0.19134615384615383</v>
      </c>
      <c r="BC52" s="11">
        <v>0.4578930465365846</v>
      </c>
      <c r="BD52" s="11">
        <v>0.05298001915970987</v>
      </c>
      <c r="BE52" s="11">
        <v>0.07622827425756125</v>
      </c>
      <c r="BF52" s="11">
        <v>0.010281237169837143</v>
      </c>
      <c r="BG52" s="11">
        <v>0.114770083481593</v>
      </c>
      <c r="BH52" s="11">
        <v>0.13618790201176953</v>
      </c>
      <c r="BI52" s="11">
        <v>0.11624127548925688</v>
      </c>
      <c r="BJ52" s="11">
        <v>0.11612152730258656</v>
      </c>
      <c r="BK52" s="11">
        <v>0.270836184480635</v>
      </c>
      <c r="BL52" s="11">
        <v>0.10635349664705078</v>
      </c>
      <c r="BM52" s="11">
        <v>0.14403546838159842</v>
      </c>
      <c r="BN52" s="11">
        <v>0.022786599956493365</v>
      </c>
      <c r="BO52" s="11">
        <v>0.07526647813791604</v>
      </c>
      <c r="BP52" s="11">
        <v>0.025396998042201437</v>
      </c>
      <c r="BQ52" s="11">
        <v>0.1817489667174244</v>
      </c>
      <c r="BR52" s="11">
        <v>0.05617794213617577</v>
      </c>
      <c r="BS52" s="11">
        <v>0.1621709810746139</v>
      </c>
      <c r="BT52" s="11">
        <v>0.08462040461170328</v>
      </c>
      <c r="BU52" s="11">
        <v>0.3918316293234718</v>
      </c>
      <c r="BV52" s="11">
        <v>0.025097326555070774</v>
      </c>
      <c r="BW52" s="11">
        <v>0.012484394506866416</v>
      </c>
      <c r="BX52" s="11">
        <v>0.0024968789013732834</v>
      </c>
      <c r="BY52" s="11">
        <v>0.0</v>
      </c>
      <c r="BZ52" s="11">
        <v>0.7843320848938826</v>
      </c>
      <c r="CA52" s="11">
        <v>0.20068664169787764</v>
      </c>
      <c r="CB52" s="11">
        <v>1.0</v>
      </c>
    </row>
    <row r="53" ht="15.75" customHeight="1">
      <c r="A53" s="9" t="s">
        <v>175</v>
      </c>
      <c r="B53" s="9" t="s">
        <v>196</v>
      </c>
      <c r="C53" s="11">
        <v>0.0397845739565301</v>
      </c>
      <c r="D53" s="11">
        <v>0.015857667762521756</v>
      </c>
      <c r="E53" s="11">
        <v>0.04525236898085477</v>
      </c>
      <c r="F53" s="11">
        <v>0.061690195320054146</v>
      </c>
      <c r="G53" s="11">
        <v>0.18352349642235544</v>
      </c>
      <c r="H53" s="11">
        <v>0.07909495262038291</v>
      </c>
      <c r="I53" s="11">
        <v>0.18507058596016243</v>
      </c>
      <c r="J53" s="11">
        <v>0.037130148907368016</v>
      </c>
      <c r="K53" s="11">
        <v>0.12956874879133629</v>
      </c>
      <c r="L53" s="11">
        <v>0.05994971959002127</v>
      </c>
      <c r="M53" s="11">
        <v>0.20286211564494294</v>
      </c>
      <c r="N53" s="11">
        <v>0.0073783419888440085</v>
      </c>
      <c r="O53" s="11">
        <v>0.735140771637122</v>
      </c>
      <c r="P53" s="11">
        <v>0.264859228362878</v>
      </c>
      <c r="Q53" s="11">
        <v>0.014902865935756876</v>
      </c>
      <c r="R53" s="11">
        <v>0.0010325245224574084</v>
      </c>
      <c r="S53" s="11">
        <v>0.036654620547238</v>
      </c>
      <c r="T53" s="11">
        <v>0.06866288074341766</v>
      </c>
      <c r="U53" s="11">
        <v>0.3087248322147651</v>
      </c>
      <c r="V53" s="11">
        <v>0.12028910686628808</v>
      </c>
      <c r="W53" s="11">
        <v>0.0862157976251936</v>
      </c>
      <c r="X53" s="11">
        <v>0.09757356737222508</v>
      </c>
      <c r="Y53" s="11">
        <v>0.13939081053175012</v>
      </c>
      <c r="Z53" s="11">
        <v>0.14145585957666496</v>
      </c>
      <c r="AA53" s="11">
        <v>0.07719176764762455</v>
      </c>
      <c r="AB53" s="11">
        <v>0.0016944084521080434</v>
      </c>
      <c r="AC53" s="11">
        <v>0.988438154091498</v>
      </c>
      <c r="AD53" s="11">
        <v>0.0098674374563939</v>
      </c>
      <c r="AE53" s="11">
        <v>0.0027466820542412004</v>
      </c>
      <c r="AF53" s="11">
        <v>0.0700280112044818</v>
      </c>
      <c r="AG53" s="11">
        <v>0.8123249299719888</v>
      </c>
      <c r="AH53" s="11">
        <v>0.11764705882352941</v>
      </c>
      <c r="AI53" s="11">
        <v>0.1149297941911906</v>
      </c>
      <c r="AJ53" s="11">
        <v>0.15872272057839068</v>
      </c>
      <c r="AK53" s="11">
        <v>0.04632480921140715</v>
      </c>
      <c r="AL53" s="11">
        <v>0.03594858749497925</v>
      </c>
      <c r="AM53" s="11">
        <v>0.36992904003213284</v>
      </c>
      <c r="AN53" s="11">
        <v>0.08488418797697148</v>
      </c>
      <c r="AO53" s="11">
        <v>0.051345561654840007</v>
      </c>
      <c r="AP53" s="11">
        <v>0.0856205650020083</v>
      </c>
      <c r="AQ53" s="11">
        <v>0.0696211005489356</v>
      </c>
      <c r="AR53" s="11">
        <v>0.09760342750033471</v>
      </c>
      <c r="AS53" s="11">
        <v>0.12159261396422388</v>
      </c>
      <c r="AT53" s="11">
        <v>0.011009870918754746</v>
      </c>
      <c r="AU53" s="11">
        <v>0.1095292331055429</v>
      </c>
      <c r="AV53" s="11">
        <v>0.041571753986332574</v>
      </c>
      <c r="AW53" s="11">
        <v>0.15660592255125286</v>
      </c>
      <c r="AX53" s="11">
        <v>0.16141483168818022</v>
      </c>
      <c r="AY53" s="11">
        <v>0.12996709693748418</v>
      </c>
      <c r="AZ53" s="11">
        <v>0.1264236902050114</v>
      </c>
      <c r="BA53" s="11">
        <v>0.06605922551252848</v>
      </c>
      <c r="BB53" s="11">
        <v>0.19741837509491267</v>
      </c>
      <c r="BC53" s="11">
        <v>0.45520292363916137</v>
      </c>
      <c r="BD53" s="11">
        <v>0.05089157441054678</v>
      </c>
      <c r="BE53" s="11">
        <v>0.07705569170962562</v>
      </c>
      <c r="BF53" s="11">
        <v>0.013741232147384434</v>
      </c>
      <c r="BG53" s="11">
        <v>0.11756950900025352</v>
      </c>
      <c r="BH53" s="11">
        <v>0.12708527000760586</v>
      </c>
      <c r="BI53" s="11">
        <v>0.11878644468858278</v>
      </c>
      <c r="BJ53" s="11">
        <v>0.11657229781120595</v>
      </c>
      <c r="BK53" s="11">
        <v>0.2908814332798107</v>
      </c>
      <c r="BL53" s="11">
        <v>0.08741654694498437</v>
      </c>
      <c r="BM53" s="11">
        <v>0.14115022119638393</v>
      </c>
      <c r="BN53" s="11">
        <v>0.024583015371198082</v>
      </c>
      <c r="BO53" s="11">
        <v>0.08257930884116428</v>
      </c>
      <c r="BP53" s="11">
        <v>0.02556415567426142</v>
      </c>
      <c r="BQ53" s="11">
        <v>0.18330971328900034</v>
      </c>
      <c r="BR53" s="11">
        <v>0.04998364766161561</v>
      </c>
      <c r="BS53" s="11">
        <v>0.16706639049384062</v>
      </c>
      <c r="BT53" s="11">
        <v>0.07511174097895999</v>
      </c>
      <c r="BU53" s="11">
        <v>0.39180202768995964</v>
      </c>
      <c r="BV53" s="11">
        <v>0.02512021542604347</v>
      </c>
      <c r="BW53" s="11">
        <v>0.00888208269525268</v>
      </c>
      <c r="BX53" s="11">
        <v>6.125574272588055E-4</v>
      </c>
      <c r="BY53" s="11">
        <v>0.0</v>
      </c>
      <c r="BZ53" s="11">
        <v>0.8921898928024502</v>
      </c>
      <c r="CA53" s="11">
        <v>0.09831546707503828</v>
      </c>
      <c r="CB53" s="11">
        <v>1.0</v>
      </c>
    </row>
    <row r="54" ht="15.75" customHeight="1">
      <c r="A54" s="9" t="s">
        <v>176</v>
      </c>
      <c r="B54" s="9" t="s">
        <v>196</v>
      </c>
      <c r="C54" s="11">
        <v>0.03730577283828266</v>
      </c>
      <c r="D54" s="11">
        <v>0.012523719165085389</v>
      </c>
      <c r="E54" s="11">
        <v>0.054079696394686905</v>
      </c>
      <c r="F54" s="11">
        <v>0.06717267552182163</v>
      </c>
      <c r="G54" s="11">
        <v>0.174573055028463</v>
      </c>
      <c r="H54" s="11">
        <v>0.07229601518026565</v>
      </c>
      <c r="I54" s="11">
        <v>0.20132827324478178</v>
      </c>
      <c r="J54" s="11">
        <v>0.03301707779886148</v>
      </c>
      <c r="K54" s="11">
        <v>0.12732447817836812</v>
      </c>
      <c r="L54" s="11">
        <v>0.050664136622390894</v>
      </c>
      <c r="M54" s="11">
        <v>0.20702087286527515</v>
      </c>
      <c r="N54" s="11">
        <v>0.006724949562878279</v>
      </c>
      <c r="O54" s="11">
        <v>0.8263157894736842</v>
      </c>
      <c r="P54" s="11">
        <v>0.1736842105263158</v>
      </c>
      <c r="Q54" s="11">
        <v>0.013372031288712703</v>
      </c>
      <c r="R54" s="11">
        <v>0.0</v>
      </c>
      <c r="S54" s="11">
        <v>0.03388035997882478</v>
      </c>
      <c r="T54" s="11">
        <v>0.0714663843303335</v>
      </c>
      <c r="U54" s="11">
        <v>0.3181577554261514</v>
      </c>
      <c r="V54" s="11">
        <v>0.12705134992059292</v>
      </c>
      <c r="W54" s="11">
        <v>0.08205399682371625</v>
      </c>
      <c r="X54" s="11">
        <v>0.09422975119110641</v>
      </c>
      <c r="Y54" s="11">
        <v>0.13446267866596082</v>
      </c>
      <c r="Z54" s="11">
        <v>0.13869772366331393</v>
      </c>
      <c r="AA54" s="11">
        <v>0.09106997486992532</v>
      </c>
      <c r="AB54" s="11">
        <v>0.0013991449669646327</v>
      </c>
      <c r="AC54" s="11">
        <v>0.9871745044694908</v>
      </c>
      <c r="AD54" s="11">
        <v>0.011426350563544501</v>
      </c>
      <c r="AE54" s="11">
        <v>0.0027182954022581672</v>
      </c>
      <c r="AF54" s="11">
        <v>0.046875</v>
      </c>
      <c r="AG54" s="11">
        <v>0.8411458333333334</v>
      </c>
      <c r="AH54" s="11">
        <v>0.11197916666666667</v>
      </c>
      <c r="AI54" s="11">
        <v>0.1158319470498708</v>
      </c>
      <c r="AJ54" s="11">
        <v>0.15718389048462997</v>
      </c>
      <c r="AK54" s="11">
        <v>0.04430727861639064</v>
      </c>
      <c r="AL54" s="11">
        <v>0.03245126199352197</v>
      </c>
      <c r="AM54" s="11">
        <v>0.3987655075475157</v>
      </c>
      <c r="AN54" s="11">
        <v>0.0791419666320357</v>
      </c>
      <c r="AO54" s="11">
        <v>0.05396320968037646</v>
      </c>
      <c r="AP54" s="11">
        <v>0.07596406526920492</v>
      </c>
      <c r="AQ54" s="11">
        <v>0.06526920491352442</v>
      </c>
      <c r="AR54" s="11">
        <v>0.09295361486280022</v>
      </c>
      <c r="AS54" s="11">
        <v>0.11841574346087141</v>
      </c>
      <c r="AT54" s="11">
        <v>0.00980392156862745</v>
      </c>
      <c r="AU54" s="11">
        <v>0.10563127690100431</v>
      </c>
      <c r="AV54" s="11">
        <v>0.039813486370157816</v>
      </c>
      <c r="AW54" s="11">
        <v>0.14992826398852224</v>
      </c>
      <c r="AX54" s="11">
        <v>0.1484337637494022</v>
      </c>
      <c r="AY54" s="11">
        <v>0.12954328072692492</v>
      </c>
      <c r="AZ54" s="11">
        <v>0.1490315638450502</v>
      </c>
      <c r="BA54" s="11">
        <v>0.057687709230033475</v>
      </c>
      <c r="BB54" s="11">
        <v>0.21012673362027737</v>
      </c>
      <c r="BC54" s="11">
        <v>0.4546986160761689</v>
      </c>
      <c r="BD54" s="11">
        <v>0.048588731648840935</v>
      </c>
      <c r="BE54" s="11">
        <v>0.08589043015272524</v>
      </c>
      <c r="BF54" s="11">
        <v>0.0100415674186166</v>
      </c>
      <c r="BG54" s="11">
        <v>0.12018744259181417</v>
      </c>
      <c r="BH54" s="11">
        <v>0.12775364687932994</v>
      </c>
      <c r="BI54" s="11">
        <v>0.1325486899257391</v>
      </c>
      <c r="BJ54" s="11">
        <v>0.11702707331122632</v>
      </c>
      <c r="BK54" s="11">
        <v>0.2867217785250572</v>
      </c>
      <c r="BL54" s="11">
        <v>0.07124063954665047</v>
      </c>
      <c r="BM54" s="11">
        <v>0.1406930237496903</v>
      </c>
      <c r="BN54" s="11">
        <v>0.024855345911949687</v>
      </c>
      <c r="BO54" s="11">
        <v>0.09051572327044025</v>
      </c>
      <c r="BP54" s="11">
        <v>0.026566037735849056</v>
      </c>
      <c r="BQ54" s="11">
        <v>0.18238993710691823</v>
      </c>
      <c r="BR54" s="11">
        <v>0.04835220125786163</v>
      </c>
      <c r="BS54" s="11">
        <v>0.1749937106918239</v>
      </c>
      <c r="BT54" s="11">
        <v>0.06727044025157233</v>
      </c>
      <c r="BU54" s="11">
        <v>0.3850566037735849</v>
      </c>
      <c r="BV54" s="11">
        <v>0.01916964570134145</v>
      </c>
      <c r="BW54" s="11">
        <v>0.01070901033973412</v>
      </c>
      <c r="BX54" s="11">
        <v>0.00258493353028065</v>
      </c>
      <c r="BY54" s="11">
        <v>0.006277695716395864</v>
      </c>
      <c r="BZ54" s="11">
        <v>0.9058345642540621</v>
      </c>
      <c r="CA54" s="11">
        <v>0.07459379615952733</v>
      </c>
      <c r="CB54" s="11">
        <v>1.0</v>
      </c>
    </row>
    <row r="55" ht="15.75" customHeight="1">
      <c r="A55" s="9" t="s">
        <v>177</v>
      </c>
      <c r="B55" s="9" t="s">
        <v>196</v>
      </c>
      <c r="C55" s="11">
        <v>0.037081308963779855</v>
      </c>
      <c r="D55" s="11">
        <v>0.016291161178509532</v>
      </c>
      <c r="E55" s="11">
        <v>0.06308492201039861</v>
      </c>
      <c r="F55" s="11">
        <v>0.0682842287694974</v>
      </c>
      <c r="G55" s="11">
        <v>0.17105719237435008</v>
      </c>
      <c r="H55" s="11">
        <v>0.07365684575389948</v>
      </c>
      <c r="I55" s="11">
        <v>0.1951473136915078</v>
      </c>
      <c r="J55" s="11">
        <v>0.03154246100519931</v>
      </c>
      <c r="K55" s="11">
        <v>0.12824956672443674</v>
      </c>
      <c r="L55" s="11">
        <v>0.04956672443674177</v>
      </c>
      <c r="M55" s="11">
        <v>0.20311958405545927</v>
      </c>
      <c r="N55" s="11">
        <v>0.006632220251407419</v>
      </c>
      <c r="O55" s="11">
        <v>0.8236434108527132</v>
      </c>
      <c r="P55" s="11">
        <v>0.17635658914728683</v>
      </c>
      <c r="Q55" s="11">
        <v>0.012538238091565769</v>
      </c>
      <c r="R55" s="11">
        <v>0.0</v>
      </c>
      <c r="S55" s="11">
        <v>0.03434136340338288</v>
      </c>
      <c r="T55" s="11">
        <v>0.07790876473603281</v>
      </c>
      <c r="U55" s="11">
        <v>0.29779600205023066</v>
      </c>
      <c r="V55" s="11">
        <v>0.12096360840594567</v>
      </c>
      <c r="W55" s="11">
        <v>0.07329574577139929</v>
      </c>
      <c r="X55" s="11">
        <v>0.09174782162993336</v>
      </c>
      <c r="Y55" s="11">
        <v>0.17068170169144029</v>
      </c>
      <c r="Z55" s="11">
        <v>0.13326499231163505</v>
      </c>
      <c r="AA55" s="11">
        <v>0.11065268245032261</v>
      </c>
      <c r="AB55" s="11">
        <v>0.0013358113602044371</v>
      </c>
      <c r="AC55" s="11">
        <v>0.9896619816471135</v>
      </c>
      <c r="AD55" s="11">
        <v>0.009002206992682078</v>
      </c>
      <c r="AE55" s="11">
        <v>0.0023649777640677616</v>
      </c>
      <c r="AF55" s="11">
        <v>0.051630434782608696</v>
      </c>
      <c r="AG55" s="11">
        <v>0.8288043478260869</v>
      </c>
      <c r="AH55" s="11">
        <v>0.11956521739130435</v>
      </c>
      <c r="AI55" s="11">
        <v>0.1162887843500167</v>
      </c>
      <c r="AJ55" s="11">
        <v>0.1598231555678364</v>
      </c>
      <c r="AK55" s="11">
        <v>0.05714285714285714</v>
      </c>
      <c r="AL55" s="11">
        <v>0.029676706272450955</v>
      </c>
      <c r="AM55" s="11">
        <v>0.3950815142304504</v>
      </c>
      <c r="AN55" s="11">
        <v>0.0790273556231003</v>
      </c>
      <c r="AO55" s="11">
        <v>0.056534954407294835</v>
      </c>
      <c r="AP55" s="11">
        <v>0.07372202265819287</v>
      </c>
      <c r="AQ55" s="11">
        <v>0.06139817629179331</v>
      </c>
      <c r="AR55" s="11">
        <v>0.08759325780602377</v>
      </c>
      <c r="AS55" s="11">
        <v>0.11657155343050307</v>
      </c>
      <c r="AT55" s="11">
        <v>0.007718176305198743</v>
      </c>
      <c r="AU55" s="11">
        <v>0.10618005402723414</v>
      </c>
      <c r="AV55" s="11">
        <v>0.03247147031258614</v>
      </c>
      <c r="AW55" s="11">
        <v>0.14135288604663984</v>
      </c>
      <c r="AX55" s="11">
        <v>0.1274601686972821</v>
      </c>
      <c r="AY55" s="11">
        <v>0.11753679916202657</v>
      </c>
      <c r="AZ55" s="11">
        <v>0.19036330558465187</v>
      </c>
      <c r="BA55" s="11">
        <v>0.06042229450355587</v>
      </c>
      <c r="BB55" s="11">
        <v>0.21649484536082475</v>
      </c>
      <c r="BC55" s="11">
        <v>0.4421158839104393</v>
      </c>
      <c r="BD55" s="11">
        <v>0.050919398212079366</v>
      </c>
      <c r="BE55" s="11">
        <v>0.09074787411875863</v>
      </c>
      <c r="BF55" s="11">
        <v>0.012646267897376263</v>
      </c>
      <c r="BG55" s="11">
        <v>0.11855512755287448</v>
      </c>
      <c r="BH55" s="11">
        <v>0.12777091358383602</v>
      </c>
      <c r="BI55" s="11">
        <v>0.12396249727451122</v>
      </c>
      <c r="BJ55" s="11">
        <v>0.11324950941202122</v>
      </c>
      <c r="BK55" s="11">
        <v>0.2965331782833055</v>
      </c>
      <c r="BL55" s="11">
        <v>0.0656152336652373</v>
      </c>
      <c r="BM55" s="11">
        <v>0.13669314413511222</v>
      </c>
      <c r="BN55" s="11">
        <v>0.024024447578749414</v>
      </c>
      <c r="BO55" s="11">
        <v>0.0922425952045134</v>
      </c>
      <c r="BP55" s="11">
        <v>0.026422190879172542</v>
      </c>
      <c r="BQ55" s="11">
        <v>0.192054536906441</v>
      </c>
      <c r="BR55" s="11">
        <v>0.04941231781852374</v>
      </c>
      <c r="BS55" s="11">
        <v>0.17329572167371884</v>
      </c>
      <c r="BT55" s="11">
        <v>0.06215326751292901</v>
      </c>
      <c r="BU55" s="11">
        <v>0.380394922425952</v>
      </c>
      <c r="BV55" s="11">
        <v>0.019061206652785274</v>
      </c>
      <c r="BW55" s="11">
        <v>0.010114632501685773</v>
      </c>
      <c r="BX55" s="11">
        <v>0.0010114632501685772</v>
      </c>
      <c r="BY55" s="11">
        <v>0.0</v>
      </c>
      <c r="BZ55" s="11">
        <v>0.9430209035738368</v>
      </c>
      <c r="CA55" s="11">
        <v>0.045853000674308836</v>
      </c>
      <c r="CB55" s="11">
        <v>1.0</v>
      </c>
    </row>
    <row r="56" ht="15.75" customHeight="1">
      <c r="A56" s="9" t="s">
        <v>178</v>
      </c>
      <c r="B56" s="9" t="s">
        <v>196</v>
      </c>
      <c r="C56" s="11">
        <v>0.03633068593698515</v>
      </c>
      <c r="D56" s="11">
        <v>0.019390148553557467</v>
      </c>
      <c r="E56" s="11">
        <v>0.05973416731821736</v>
      </c>
      <c r="F56" s="11">
        <v>0.0688037529319781</v>
      </c>
      <c r="G56" s="11">
        <v>0.17701329163408913</v>
      </c>
      <c r="H56" s="11">
        <v>0.07787333854573886</v>
      </c>
      <c r="I56" s="11">
        <v>0.19374511336982017</v>
      </c>
      <c r="J56" s="11">
        <v>0.029241594996090695</v>
      </c>
      <c r="K56" s="11">
        <v>0.12447224394057858</v>
      </c>
      <c r="L56" s="11">
        <v>0.05582486317435496</v>
      </c>
      <c r="M56" s="11">
        <v>0.19390148553557468</v>
      </c>
      <c r="N56" s="11">
        <v>0.00726613718739703</v>
      </c>
      <c r="O56" s="11">
        <v>0.818608287724785</v>
      </c>
      <c r="P56" s="11">
        <v>0.181391712275215</v>
      </c>
      <c r="Q56" s="11">
        <v>0.012589335423981093</v>
      </c>
      <c r="R56" s="11">
        <v>0.0</v>
      </c>
      <c r="S56" s="11">
        <v>0.028429602888086644</v>
      </c>
      <c r="T56" s="11">
        <v>0.08393501805054152</v>
      </c>
      <c r="U56" s="11">
        <v>0.2477436823104693</v>
      </c>
      <c r="V56" s="11">
        <v>0.11055956678700361</v>
      </c>
      <c r="W56" s="11">
        <v>0.06723826714801444</v>
      </c>
      <c r="X56" s="11">
        <v>0.07716606498194946</v>
      </c>
      <c r="Y56" s="11">
        <v>0.25315884476534295</v>
      </c>
      <c r="Z56" s="11">
        <v>0.13176895306859207</v>
      </c>
      <c r="AA56" s="11">
        <v>0.13169944666007657</v>
      </c>
      <c r="AB56" s="11">
        <v>8.196014148908636E-4</v>
      </c>
      <c r="AC56" s="11">
        <v>0.9644551807436804</v>
      </c>
      <c r="AD56" s="11">
        <v>0.03472521784142869</v>
      </c>
      <c r="AE56" s="11">
        <v>0.0027212507527468155</v>
      </c>
      <c r="AF56" s="11">
        <v>0.03966597077244259</v>
      </c>
      <c r="AG56" s="11">
        <v>0.8538622129436325</v>
      </c>
      <c r="AH56" s="11">
        <v>0.10647181628392484</v>
      </c>
      <c r="AI56" s="11">
        <v>0.10782174955403302</v>
      </c>
      <c r="AJ56" s="11">
        <v>0.16860740818799727</v>
      </c>
      <c r="AK56" s="11">
        <v>0.05753727804415407</v>
      </c>
      <c r="AL56" s="11">
        <v>0.03177195848042574</v>
      </c>
      <c r="AM56" s="11">
        <v>0.38358185362769376</v>
      </c>
      <c r="AN56" s="11">
        <v>0.08172190315611992</v>
      </c>
      <c r="AO56" s="11">
        <v>0.04099267611570683</v>
      </c>
      <c r="AP56" s="11">
        <v>0.08045734759470995</v>
      </c>
      <c r="AQ56" s="11">
        <v>0.06417619474155646</v>
      </c>
      <c r="AR56" s="11">
        <v>0.09115338005163602</v>
      </c>
      <c r="AS56" s="11">
        <v>0.11046346479417346</v>
      </c>
      <c r="AT56" s="11">
        <v>0.00750874305698416</v>
      </c>
      <c r="AU56" s="11">
        <v>0.11936844270726188</v>
      </c>
      <c r="AV56" s="11">
        <v>0.032400740588356305</v>
      </c>
      <c r="AW56" s="11">
        <v>0.13510594527874922</v>
      </c>
      <c r="AX56" s="11">
        <v>0.12533429335527668</v>
      </c>
      <c r="AY56" s="11">
        <v>0.1165398066241514</v>
      </c>
      <c r="AZ56" s="11">
        <v>0.16956387574573134</v>
      </c>
      <c r="BA56" s="11">
        <v>0.07616745525612013</v>
      </c>
      <c r="BB56" s="11">
        <v>0.21801069738736886</v>
      </c>
      <c r="BC56" s="11">
        <v>0.42516276374544093</v>
      </c>
      <c r="BD56" s="11">
        <v>0.04891899836981213</v>
      </c>
      <c r="BE56" s="11">
        <v>0.09127715866271145</v>
      </c>
      <c r="BF56" s="11">
        <v>0.009700954060771266</v>
      </c>
      <c r="BG56" s="11">
        <v>0.12445549052620326</v>
      </c>
      <c r="BH56" s="11">
        <v>0.12959993586146076</v>
      </c>
      <c r="BI56" s="11">
        <v>0.13056201395013228</v>
      </c>
      <c r="BJ56" s="11">
        <v>0.11260322296159705</v>
      </c>
      <c r="BK56" s="11">
        <v>0.2870734119030439</v>
      </c>
      <c r="BL56" s="11">
        <v>0.06580881370426789</v>
      </c>
      <c r="BM56" s="11">
        <v>0.1318926043335492</v>
      </c>
      <c r="BN56" s="11">
        <v>0.0254565816678153</v>
      </c>
      <c r="BO56" s="11">
        <v>0.09687284631288766</v>
      </c>
      <c r="BP56" s="11">
        <v>0.02580117160578911</v>
      </c>
      <c r="BQ56" s="11">
        <v>0.1874569262577533</v>
      </c>
      <c r="BR56" s="11">
        <v>0.0500947622329428</v>
      </c>
      <c r="BS56" s="11">
        <v>0.17492246726395588</v>
      </c>
      <c r="BT56" s="11">
        <v>0.056728118538938666</v>
      </c>
      <c r="BU56" s="11">
        <v>0.3826671261199173</v>
      </c>
      <c r="BV56" s="11">
        <v>0.03405256161161673</v>
      </c>
      <c r="BW56" s="11">
        <v>0.006840173506840174</v>
      </c>
      <c r="BX56" s="11">
        <v>1.668335001668335E-4</v>
      </c>
      <c r="BY56" s="11">
        <v>0.0</v>
      </c>
      <c r="BZ56" s="11">
        <v>0.9661327994661328</v>
      </c>
      <c r="CA56" s="11">
        <v>0.026860193526860192</v>
      </c>
      <c r="CB56" s="11">
        <v>1.0</v>
      </c>
    </row>
    <row r="57" ht="15.75" customHeight="1">
      <c r="A57" s="9" t="s">
        <v>179</v>
      </c>
      <c r="B57" s="9" t="s">
        <v>196</v>
      </c>
      <c r="C57" s="11">
        <v>0.03830505586264924</v>
      </c>
      <c r="D57" s="11">
        <v>0.01501459752537189</v>
      </c>
      <c r="E57" s="11">
        <v>0.06603642430140415</v>
      </c>
      <c r="F57" s="11">
        <v>0.06714861671069094</v>
      </c>
      <c r="G57" s="11">
        <v>0.160294730988461</v>
      </c>
      <c r="H57" s="11">
        <v>0.07896566105936327</v>
      </c>
      <c r="I57" s="11">
        <v>0.19532879188099542</v>
      </c>
      <c r="J57" s="11">
        <v>0.03128041151119144</v>
      </c>
      <c r="K57" s="11">
        <v>0.1260948144028917</v>
      </c>
      <c r="L57" s="11">
        <v>0.07062421798971222</v>
      </c>
      <c r="M57" s="11">
        <v>0.18921173362991797</v>
      </c>
      <c r="N57" s="11">
        <v>0.00762053870978049</v>
      </c>
      <c r="O57" s="11">
        <v>0.8455625436757512</v>
      </c>
      <c r="P57" s="11">
        <v>0.15443745632424877</v>
      </c>
      <c r="Q57" s="11">
        <v>0.013164201041633383</v>
      </c>
      <c r="R57" s="11">
        <v>0.0</v>
      </c>
      <c r="S57" s="11">
        <v>0.02872168284789644</v>
      </c>
      <c r="T57" s="11">
        <v>0.06755663430420712</v>
      </c>
      <c r="U57" s="11">
        <v>0.25970873786407767</v>
      </c>
      <c r="V57" s="11">
        <v>0.1156957928802589</v>
      </c>
      <c r="W57" s="11">
        <v>0.05703883495145631</v>
      </c>
      <c r="X57" s="11">
        <v>0.07241100323624595</v>
      </c>
      <c r="Y57" s="11">
        <v>0.279126213592233</v>
      </c>
      <c r="Z57" s="11">
        <v>0.11974110032362459</v>
      </c>
      <c r="AA57" s="11">
        <v>0.13017222097964662</v>
      </c>
      <c r="AB57" s="11">
        <v>7.772868597610865E-4</v>
      </c>
      <c r="AC57" s="11">
        <v>0.9580674194076256</v>
      </c>
      <c r="AD57" s="11">
        <v>0.04115529373261332</v>
      </c>
      <c r="AE57" s="11">
        <v>0.0028437230405470174</v>
      </c>
      <c r="AF57" s="11">
        <v>0.054307116104868915</v>
      </c>
      <c r="AG57" s="11">
        <v>0.8520599250936329</v>
      </c>
      <c r="AH57" s="11">
        <v>0.09363295880149813</v>
      </c>
      <c r="AI57" s="11">
        <v>0.1088070209072222</v>
      </c>
      <c r="AJ57" s="11">
        <v>0.1658183241973375</v>
      </c>
      <c r="AK57" s="11">
        <v>0.052466718872357085</v>
      </c>
      <c r="AL57" s="11">
        <v>0.029316758026624902</v>
      </c>
      <c r="AM57" s="11">
        <v>0.39120007830853565</v>
      </c>
      <c r="AN57" s="11">
        <v>0.07874902114330462</v>
      </c>
      <c r="AO57" s="11">
        <v>0.04522317932654659</v>
      </c>
      <c r="AP57" s="11">
        <v>0.08530736100234926</v>
      </c>
      <c r="AQ57" s="11">
        <v>0.06387039937353171</v>
      </c>
      <c r="AR57" s="11">
        <v>0.08804815974941269</v>
      </c>
      <c r="AS57" s="11">
        <v>0.11317378662491613</v>
      </c>
      <c r="AT57" s="11">
        <v>0.008093355919442876</v>
      </c>
      <c r="AU57" s="11">
        <v>0.11575381140598531</v>
      </c>
      <c r="AV57" s="11">
        <v>0.030444193487671748</v>
      </c>
      <c r="AW57" s="11">
        <v>0.12939958592132506</v>
      </c>
      <c r="AX57" s="11">
        <v>0.11636551853943158</v>
      </c>
      <c r="AY57" s="11">
        <v>0.11208356860530773</v>
      </c>
      <c r="AZ57" s="11">
        <v>0.1785243741765481</v>
      </c>
      <c r="BA57" s="11">
        <v>0.08846226237530586</v>
      </c>
      <c r="BB57" s="11">
        <v>0.22087332956898173</v>
      </c>
      <c r="BC57" s="11">
        <v>0.4204982373177408</v>
      </c>
      <c r="BD57" s="11">
        <v>0.050024062207137614</v>
      </c>
      <c r="BE57" s="11">
        <v>0.08975203262328715</v>
      </c>
      <c r="BF57" s="11">
        <v>0.010245434512803627</v>
      </c>
      <c r="BG57" s="11">
        <v>0.1255034067019579</v>
      </c>
      <c r="BH57" s="11">
        <v>0.11371292520452876</v>
      </c>
      <c r="BI57" s="11">
        <v>0.13825637648489147</v>
      </c>
      <c r="BJ57" s="11">
        <v>0.11282642283630101</v>
      </c>
      <c r="BK57" s="11">
        <v>0.3078569438464071</v>
      </c>
      <c r="BL57" s="11">
        <v>0.051822395582685345</v>
      </c>
      <c r="BM57" s="11">
        <v>0.1303905592655313</v>
      </c>
      <c r="BN57" s="11">
        <v>0.0270369614049418</v>
      </c>
      <c r="BO57" s="11">
        <v>0.09944864202573003</v>
      </c>
      <c r="BP57" s="11">
        <v>0.026873596079232183</v>
      </c>
      <c r="BQ57" s="11">
        <v>0.18235654482336125</v>
      </c>
      <c r="BR57" s="11">
        <v>0.047784357770063304</v>
      </c>
      <c r="BS57" s="11">
        <v>0.17243210128650194</v>
      </c>
      <c r="BT57" s="11">
        <v>0.0549724321012865</v>
      </c>
      <c r="BU57" s="11">
        <v>0.389095364508883</v>
      </c>
      <c r="BV57" s="11">
        <v>0.03502465625033283</v>
      </c>
      <c r="BW57" s="11">
        <v>0.005777710202219857</v>
      </c>
      <c r="BX57" s="11">
        <v>4.5613501596472556E-4</v>
      </c>
      <c r="BY57" s="11">
        <v>0.0</v>
      </c>
      <c r="BZ57" s="11">
        <v>0.9317317926106128</v>
      </c>
      <c r="CA57" s="11">
        <v>0.06203436217120267</v>
      </c>
      <c r="CB57" s="11">
        <v>1.0</v>
      </c>
    </row>
    <row r="58" ht="15.75" customHeight="1">
      <c r="A58" s="9" t="s">
        <v>180</v>
      </c>
      <c r="B58" s="9" t="s">
        <v>196</v>
      </c>
      <c r="C58" s="11">
        <v>0.036654938148664495</v>
      </c>
      <c r="D58" s="11">
        <v>0.016783385655638736</v>
      </c>
      <c r="E58" s="11">
        <v>0.05928519681236416</v>
      </c>
      <c r="F58" s="11">
        <v>0.0819850277710698</v>
      </c>
      <c r="G58" s="11">
        <v>0.14670369475971987</v>
      </c>
      <c r="H58" s="11">
        <v>0.09224824921516542</v>
      </c>
      <c r="I58" s="11">
        <v>0.19983095870562667</v>
      </c>
      <c r="J58" s="11">
        <v>0.02861627626177252</v>
      </c>
      <c r="K58" s="11">
        <v>0.13124849070272882</v>
      </c>
      <c r="L58" s="11">
        <v>0.06834098043950737</v>
      </c>
      <c r="M58" s="11">
        <v>0.17495773967640665</v>
      </c>
      <c r="N58" s="11">
        <v>0.007333643143242825</v>
      </c>
      <c r="O58" s="11">
        <v>0.8871454435727217</v>
      </c>
      <c r="P58" s="11">
        <v>0.11285455642727821</v>
      </c>
      <c r="Q58" s="11">
        <v>0.012728761424240412</v>
      </c>
      <c r="R58" s="11">
        <v>0.0</v>
      </c>
      <c r="S58" s="11">
        <v>0.020166898470097356</v>
      </c>
      <c r="T58" s="11">
        <v>0.07927677329624479</v>
      </c>
      <c r="U58" s="11">
        <v>0.2301808066759388</v>
      </c>
      <c r="V58" s="11">
        <v>0.11265646731571627</v>
      </c>
      <c r="W58" s="11">
        <v>0.048678720445062586</v>
      </c>
      <c r="X58" s="11">
        <v>0.19019471488178025</v>
      </c>
      <c r="Y58" s="11">
        <v>0.20166898470097358</v>
      </c>
      <c r="Z58" s="11">
        <v>0.11717663421418636</v>
      </c>
      <c r="AA58" s="11">
        <v>0.15708690167961228</v>
      </c>
      <c r="AB58" s="11">
        <v>7.607133801031189E-4</v>
      </c>
      <c r="AC58" s="11">
        <v>0.9476516496210521</v>
      </c>
      <c r="AD58" s="11">
        <v>0.05158763699884484</v>
      </c>
      <c r="AE58" s="11">
        <v>0.0026776427891743565</v>
      </c>
      <c r="AF58" s="11">
        <v>0.06446280991735537</v>
      </c>
      <c r="AG58" s="11">
        <v>0.8231404958677686</v>
      </c>
      <c r="AH58" s="11">
        <v>0.11239669421487604</v>
      </c>
      <c r="AI58" s="11">
        <v>0.10553453274026865</v>
      </c>
      <c r="AJ58" s="11">
        <v>0.15235898511218285</v>
      </c>
      <c r="AK58" s="11">
        <v>0.0766198364436989</v>
      </c>
      <c r="AL58" s="11">
        <v>0.02935625917383099</v>
      </c>
      <c r="AM58" s="11">
        <v>0.34963304676032714</v>
      </c>
      <c r="AN58" s="11">
        <v>0.07154539735793668</v>
      </c>
      <c r="AO58" s="11">
        <v>0.09444327951352485</v>
      </c>
      <c r="AP58" s="11">
        <v>0.0766198364436989</v>
      </c>
      <c r="AQ58" s="11">
        <v>0.05925770601803313</v>
      </c>
      <c r="AR58" s="11">
        <v>0.09016565317676661</v>
      </c>
      <c r="AS58" s="11">
        <v>0.11112438867866073</v>
      </c>
      <c r="AT58" s="11">
        <v>0.007527481280866656</v>
      </c>
      <c r="AU58" s="11">
        <v>0.10801338218894377</v>
      </c>
      <c r="AV58" s="11">
        <v>0.028317667675641228</v>
      </c>
      <c r="AW58" s="11">
        <v>0.11534172375338538</v>
      </c>
      <c r="AX58" s="11">
        <v>0.10379162020073283</v>
      </c>
      <c r="AY58" s="11">
        <v>0.10960649992034412</v>
      </c>
      <c r="AZ58" s="11">
        <v>0.21523020551218736</v>
      </c>
      <c r="BA58" s="11">
        <v>0.09056874303010992</v>
      </c>
      <c r="BB58" s="11">
        <v>0.22160267643778875</v>
      </c>
      <c r="BC58" s="11">
        <v>0.3895948128969439</v>
      </c>
      <c r="BD58" s="11">
        <v>0.057868608495120814</v>
      </c>
      <c r="BE58" s="11">
        <v>0.09784497938132618</v>
      </c>
      <c r="BF58" s="11">
        <v>0.008929078578163519</v>
      </c>
      <c r="BG58" s="11">
        <v>0.12416644893044179</v>
      </c>
      <c r="BH58" s="11">
        <v>0.10162790961863974</v>
      </c>
      <c r="BI58" s="11">
        <v>0.12719960921081033</v>
      </c>
      <c r="BJ58" s="11">
        <v>0.11173844388653481</v>
      </c>
      <c r="BK58" s="11">
        <v>0.3005668715280539</v>
      </c>
      <c r="BL58" s="11">
        <v>0.07005805037090893</v>
      </c>
      <c r="BM58" s="11">
        <v>0.12331762154506627</v>
      </c>
      <c r="BN58" s="11">
        <v>0.02817356350716003</v>
      </c>
      <c r="BO58" s="11">
        <v>0.10059936115996124</v>
      </c>
      <c r="BP58" s="11">
        <v>0.027348096041345152</v>
      </c>
      <c r="BQ58" s="11">
        <v>0.18120805369127516</v>
      </c>
      <c r="BR58" s="11">
        <v>0.04676452643290385</v>
      </c>
      <c r="BS58" s="11">
        <v>0.1738147363887593</v>
      </c>
      <c r="BT58" s="11">
        <v>0.051178982880522556</v>
      </c>
      <c r="BU58" s="11">
        <v>0.3909126798980727</v>
      </c>
      <c r="BV58" s="11">
        <v>0.053946756954126006</v>
      </c>
      <c r="BW58" s="11">
        <v>0.0041841004184100415</v>
      </c>
      <c r="BX58" s="11">
        <v>4.922471080482402E-4</v>
      </c>
      <c r="BY58" s="11">
        <v>0.0</v>
      </c>
      <c r="BZ58" s="11">
        <v>0.7985068504389203</v>
      </c>
      <c r="CA58" s="11">
        <v>0.19681680203462137</v>
      </c>
      <c r="CB58" s="11">
        <v>1.0</v>
      </c>
    </row>
    <row r="59" ht="15.75" customHeight="1">
      <c r="A59" s="9" t="s">
        <v>181</v>
      </c>
      <c r="B59" s="9" t="s">
        <v>196</v>
      </c>
      <c r="C59" s="11">
        <v>0.043081310988227435</v>
      </c>
      <c r="D59" s="11">
        <v>0.011689814814814814</v>
      </c>
      <c r="E59" s="11">
        <v>0.06643518518518518</v>
      </c>
      <c r="F59" s="11">
        <v>0.06273148148148149</v>
      </c>
      <c r="G59" s="11">
        <v>0.1466435185185185</v>
      </c>
      <c r="H59" s="11">
        <v>0.09641203703703703</v>
      </c>
      <c r="I59" s="11">
        <v>0.18645833333333334</v>
      </c>
      <c r="J59" s="11">
        <v>0.03298611111111111</v>
      </c>
      <c r="K59" s="11">
        <v>0.13993055555555556</v>
      </c>
      <c r="L59" s="11">
        <v>0.06886574074074074</v>
      </c>
      <c r="M59" s="11">
        <v>0.18784722222222222</v>
      </c>
      <c r="N59" s="11">
        <v>0.00871100119171682</v>
      </c>
      <c r="O59" s="11">
        <v>0.8414424728105323</v>
      </c>
      <c r="P59" s="11">
        <v>0.15855752718946767</v>
      </c>
      <c r="Q59" s="11">
        <v>0.009977511954565173</v>
      </c>
      <c r="R59" s="11">
        <v>0.0</v>
      </c>
      <c r="S59" s="11">
        <v>0.02498750624687656</v>
      </c>
      <c r="T59" s="11">
        <v>0.06446776611694154</v>
      </c>
      <c r="U59" s="11">
        <v>0.28385807096451776</v>
      </c>
      <c r="V59" s="11">
        <v>0.09045477261369315</v>
      </c>
      <c r="W59" s="11">
        <v>0.06896551724137931</v>
      </c>
      <c r="X59" s="11">
        <v>0.0769615192403798</v>
      </c>
      <c r="Y59" s="11">
        <v>0.22138930534732634</v>
      </c>
      <c r="Z59" s="11">
        <v>0.16891554222888555</v>
      </c>
      <c r="AA59" s="11">
        <v>0.1267109114389856</v>
      </c>
      <c r="AB59" s="11">
        <v>9.837871871556745E-4</v>
      </c>
      <c r="AC59" s="11">
        <v>0.9099637966315127</v>
      </c>
      <c r="AD59" s="11">
        <v>0.08905241618133165</v>
      </c>
      <c r="AE59" s="11">
        <v>0.0027972934565272676</v>
      </c>
      <c r="AF59" s="11">
        <v>0.053475935828877004</v>
      </c>
      <c r="AG59" s="11">
        <v>0.8324420677361853</v>
      </c>
      <c r="AH59" s="11">
        <v>0.1140819964349376</v>
      </c>
      <c r="AI59" s="11">
        <v>0.10934375794685641</v>
      </c>
      <c r="AJ59" s="11">
        <v>0.14587988508367913</v>
      </c>
      <c r="AK59" s="11">
        <v>0.06115189931141411</v>
      </c>
      <c r="AL59" s="11">
        <v>0.028227461352546855</v>
      </c>
      <c r="AM59" s="11">
        <v>0.42733366774590725</v>
      </c>
      <c r="AN59" s="11">
        <v>0.08395275662364905</v>
      </c>
      <c r="AO59" s="11">
        <v>0.04291121346162616</v>
      </c>
      <c r="AP59" s="11">
        <v>0.05941903415568425</v>
      </c>
      <c r="AQ59" s="11">
        <v>0.061516713028409865</v>
      </c>
      <c r="AR59" s="11">
        <v>0.08960736923708332</v>
      </c>
      <c r="AS59" s="11">
        <v>0.10814206860100423</v>
      </c>
      <c r="AT59" s="11">
        <v>0.006547399483585393</v>
      </c>
      <c r="AU59" s="11">
        <v>0.12140354112873479</v>
      </c>
      <c r="AV59" s="11">
        <v>0.02900221320545924</v>
      </c>
      <c r="AW59" s="11">
        <v>0.12117299889339728</v>
      </c>
      <c r="AX59" s="11">
        <v>0.11208963482109922</v>
      </c>
      <c r="AY59" s="11">
        <v>0.12144964957580229</v>
      </c>
      <c r="AZ59" s="11">
        <v>0.1669586868314275</v>
      </c>
      <c r="BA59" s="11">
        <v>0.08317963850977499</v>
      </c>
      <c r="BB59" s="11">
        <v>0.23819623755071928</v>
      </c>
      <c r="BC59" s="11">
        <v>0.3811499319375122</v>
      </c>
      <c r="BD59" s="11">
        <v>0.0630298273155416</v>
      </c>
      <c r="BE59" s="11">
        <v>0.09050235478806908</v>
      </c>
      <c r="BF59" s="11">
        <v>0.008307169021454735</v>
      </c>
      <c r="BG59" s="11">
        <v>0.1584903192046049</v>
      </c>
      <c r="BH59" s="11">
        <v>0.11145996860282574</v>
      </c>
      <c r="BI59" s="11">
        <v>0.15294348508634223</v>
      </c>
      <c r="BJ59" s="11">
        <v>0.12518315018315018</v>
      </c>
      <c r="BK59" s="11">
        <v>0.26123757195185765</v>
      </c>
      <c r="BL59" s="11">
        <v>0.028846153846153848</v>
      </c>
      <c r="BM59" s="11">
        <v>0.13658869813663357</v>
      </c>
      <c r="BN59" s="11">
        <v>0.028729967509947798</v>
      </c>
      <c r="BO59" s="11">
        <v>0.09611944657394225</v>
      </c>
      <c r="BP59" s="11">
        <v>0.028547439126784216</v>
      </c>
      <c r="BQ59" s="11">
        <v>0.18698207571277334</v>
      </c>
      <c r="BR59" s="11">
        <v>0.04800496477202205</v>
      </c>
      <c r="BS59" s="11">
        <v>0.1742050888913226</v>
      </c>
      <c r="BT59" s="11">
        <v>0.05333479356039864</v>
      </c>
      <c r="BU59" s="11">
        <v>0.3840762238528091</v>
      </c>
      <c r="BV59" s="11">
        <v>0.07349751434797133</v>
      </c>
      <c r="BW59" s="11">
        <v>0.0034599728629579377</v>
      </c>
      <c r="BX59" s="11">
        <v>2.71370420624152E-4</v>
      </c>
      <c r="BY59" s="11">
        <v>0.0</v>
      </c>
      <c r="BZ59" s="11">
        <v>0.6240162822252374</v>
      </c>
      <c r="CA59" s="11">
        <v>0.3722523744911805</v>
      </c>
      <c r="CB59" s="11">
        <v>1.0</v>
      </c>
    </row>
    <row r="60" ht="15.75" customHeight="1">
      <c r="A60" s="9" t="s">
        <v>182</v>
      </c>
      <c r="B60" s="9" t="s">
        <v>196</v>
      </c>
      <c r="C60" s="11">
        <v>0.04107714673938864</v>
      </c>
      <c r="D60" s="11">
        <v>0.0131852879944483</v>
      </c>
      <c r="E60" s="11">
        <v>0.06638908165625723</v>
      </c>
      <c r="F60" s="11">
        <v>0.07749248207263475</v>
      </c>
      <c r="G60" s="11">
        <v>0.14700439509599814</v>
      </c>
      <c r="H60" s="11">
        <v>0.089058524173028</v>
      </c>
      <c r="I60" s="11">
        <v>0.18008327550312284</v>
      </c>
      <c r="J60" s="11">
        <v>0.03539208882720333</v>
      </c>
      <c r="K60" s="11">
        <v>0.13705759888965996</v>
      </c>
      <c r="L60" s="11">
        <v>0.0648854961832061</v>
      </c>
      <c r="M60" s="11">
        <v>0.18945176960444135</v>
      </c>
      <c r="N60" s="11">
        <v>0.00810520614589371</v>
      </c>
      <c r="O60" s="11">
        <v>0.8522860492379836</v>
      </c>
      <c r="P60" s="11">
        <v>0.1477139507620164</v>
      </c>
      <c r="Q60" s="11">
        <v>0.011074581199342461</v>
      </c>
      <c r="R60" s="11">
        <v>0.0</v>
      </c>
      <c r="S60" s="11">
        <v>0.02230802230802231</v>
      </c>
      <c r="T60" s="11">
        <v>0.05491205491205491</v>
      </c>
      <c r="U60" s="11">
        <v>0.2882882882882883</v>
      </c>
      <c r="V60" s="11">
        <v>0.08065208065208065</v>
      </c>
      <c r="W60" s="11">
        <v>0.04633204633204633</v>
      </c>
      <c r="X60" s="11">
        <v>0.08451308451308451</v>
      </c>
      <c r="Y60" s="11">
        <v>0.2904332904332904</v>
      </c>
      <c r="Z60" s="11">
        <v>0.13256113256113256</v>
      </c>
      <c r="AA60" s="11">
        <v>0.13703309546659573</v>
      </c>
      <c r="AB60" s="11">
        <v>0.0014908296640432687</v>
      </c>
      <c r="AC60" s="11">
        <v>0.9264639600596332</v>
      </c>
      <c r="AD60" s="11">
        <v>0.07204521027632355</v>
      </c>
      <c r="AE60" s="11">
        <v>0.002494275044896951</v>
      </c>
      <c r="AF60" s="11">
        <v>0.07047619047619047</v>
      </c>
      <c r="AG60" s="11">
        <v>0.8228571428571428</v>
      </c>
      <c r="AH60" s="11">
        <v>0.10666666666666667</v>
      </c>
      <c r="AI60" s="11">
        <v>0.10849383795288908</v>
      </c>
      <c r="AJ60" s="11">
        <v>0.14823086354878262</v>
      </c>
      <c r="AK60" s="11">
        <v>0.04821334734629532</v>
      </c>
      <c r="AL60" s="11">
        <v>0.027500437905062184</v>
      </c>
      <c r="AM60" s="11">
        <v>0.4214836223506744</v>
      </c>
      <c r="AN60" s="11">
        <v>0.0804431599229287</v>
      </c>
      <c r="AO60" s="11">
        <v>0.05802242073918375</v>
      </c>
      <c r="AP60" s="11">
        <v>0.063977929584866</v>
      </c>
      <c r="AQ60" s="11">
        <v>0.0616132422490804</v>
      </c>
      <c r="AR60" s="11">
        <v>0.09051497635312664</v>
      </c>
      <c r="AS60" s="11">
        <v>0.10871238395682291</v>
      </c>
      <c r="AT60" s="11">
        <v>0.006162048771960493</v>
      </c>
      <c r="AU60" s="11">
        <v>0.12922821431693035</v>
      </c>
      <c r="AV60" s="11">
        <v>0.031334673542522506</v>
      </c>
      <c r="AW60" s="11">
        <v>0.12389651254260992</v>
      </c>
      <c r="AX60" s="11">
        <v>0.1062407132243685</v>
      </c>
      <c r="AY60" s="11">
        <v>0.1112664976837689</v>
      </c>
      <c r="AZ60" s="11">
        <v>0.16283541648457303</v>
      </c>
      <c r="BA60" s="11">
        <v>0.10846953937592868</v>
      </c>
      <c r="BB60" s="11">
        <v>0.22056638405733764</v>
      </c>
      <c r="BC60" s="11">
        <v>0.39069849203257284</v>
      </c>
      <c r="BD60" s="11">
        <v>0.051754119292272145</v>
      </c>
      <c r="BE60" s="11">
        <v>0.08428284793579376</v>
      </c>
      <c r="BF60" s="11">
        <v>0.007673131878154071</v>
      </c>
      <c r="BG60" s="11">
        <v>0.12757341764455524</v>
      </c>
      <c r="BH60" s="11">
        <v>0.11609412050829938</v>
      </c>
      <c r="BI60" s="11">
        <v>0.13884599015017937</v>
      </c>
      <c r="BJ60" s="11">
        <v>0.13030947893232808</v>
      </c>
      <c r="BK60" s="11">
        <v>0.31971788168054965</v>
      </c>
      <c r="BL60" s="11">
        <v>0.023749011977868304</v>
      </c>
      <c r="BM60" s="11">
        <v>0.12959778033276004</v>
      </c>
      <c r="BN60" s="11">
        <v>0.031783855121343206</v>
      </c>
      <c r="BO60" s="11">
        <v>0.0963780335801745</v>
      </c>
      <c r="BP60" s="11">
        <v>0.02786128015250385</v>
      </c>
      <c r="BQ60" s="11">
        <v>0.19719187623726078</v>
      </c>
      <c r="BR60" s="11">
        <v>0.049233814795806144</v>
      </c>
      <c r="BS60" s="11">
        <v>0.17490285211525772</v>
      </c>
      <c r="BT60" s="11">
        <v>0.050040325537062835</v>
      </c>
      <c r="BU60" s="11">
        <v>0.37260796246059097</v>
      </c>
      <c r="BV60" s="11">
        <v>0.06271320112883762</v>
      </c>
      <c r="BW60" s="11">
        <v>0.0028787878787878787</v>
      </c>
      <c r="BX60" s="11">
        <v>9.84848484848485E-4</v>
      </c>
      <c r="BY60" s="11">
        <v>1.5151515151515152E-4</v>
      </c>
      <c r="BZ60" s="11">
        <v>0.5339393939393939</v>
      </c>
      <c r="CA60" s="11">
        <v>0.46204545454545454</v>
      </c>
      <c r="CB60" s="11">
        <v>0.9999999999999999</v>
      </c>
    </row>
    <row r="61" ht="15.75" customHeight="1">
      <c r="A61" s="9" t="s">
        <v>183</v>
      </c>
      <c r="B61" s="9" t="s">
        <v>196</v>
      </c>
      <c r="C61" s="11">
        <v>0.04075957623085195</v>
      </c>
      <c r="D61" s="11">
        <v>0.012001297437560817</v>
      </c>
      <c r="E61" s="11">
        <v>0.05968212779759974</v>
      </c>
      <c r="F61" s="11">
        <v>0.07244026381230403</v>
      </c>
      <c r="G61" s="11">
        <v>0.1410963347388907</v>
      </c>
      <c r="H61" s="11">
        <v>0.08692831657476484</v>
      </c>
      <c r="I61" s="11">
        <v>0.1991566655854687</v>
      </c>
      <c r="J61" s="11">
        <v>0.04086928316574765</v>
      </c>
      <c r="K61" s="11">
        <v>0.1465023245756298</v>
      </c>
      <c r="L61" s="11">
        <v>0.05935776840739539</v>
      </c>
      <c r="M61" s="11">
        <v>0.18196561790463833</v>
      </c>
      <c r="N61" s="11">
        <v>0.00799855453119216</v>
      </c>
      <c r="O61" s="11">
        <v>0.846831955922865</v>
      </c>
      <c r="P61" s="11">
        <v>0.153168044077135</v>
      </c>
      <c r="Q61" s="11">
        <v>0.012202753441802253</v>
      </c>
      <c r="R61" s="11">
        <v>0.0</v>
      </c>
      <c r="S61" s="11">
        <v>0.016612495485734922</v>
      </c>
      <c r="T61" s="11">
        <v>0.05417118093174431</v>
      </c>
      <c r="U61" s="11">
        <v>0.23799205489346334</v>
      </c>
      <c r="V61" s="11">
        <v>0.06608884073672806</v>
      </c>
      <c r="W61" s="11">
        <v>0.041170097508125676</v>
      </c>
      <c r="X61" s="11">
        <v>0.10400866738894908</v>
      </c>
      <c r="Y61" s="11">
        <v>0.35716865294330086</v>
      </c>
      <c r="Z61" s="11">
        <v>0.12278801011195377</v>
      </c>
      <c r="AA61" s="11">
        <v>0.16869237955895575</v>
      </c>
      <c r="AB61" s="11">
        <v>0.0017241829723869484</v>
      </c>
      <c r="AC61" s="11">
        <v>0.9351080226756184</v>
      </c>
      <c r="AD61" s="11">
        <v>0.06316779435199457</v>
      </c>
      <c r="AE61" s="11">
        <v>0.0023929559837120346</v>
      </c>
      <c r="AF61" s="11">
        <v>0.07366482504604052</v>
      </c>
      <c r="AG61" s="11">
        <v>0.8066298342541437</v>
      </c>
      <c r="AH61" s="11">
        <v>0.11970534069981584</v>
      </c>
      <c r="AI61" s="11">
        <v>0.10729080364540182</v>
      </c>
      <c r="AJ61" s="11">
        <v>0.1257701470467428</v>
      </c>
      <c r="AK61" s="11">
        <v>0.05853117555245215</v>
      </c>
      <c r="AL61" s="11">
        <v>0.0261644623346751</v>
      </c>
      <c r="AM61" s="11">
        <v>0.4341164873079767</v>
      </c>
      <c r="AN61" s="11">
        <v>0.077137928201758</v>
      </c>
      <c r="AO61" s="11">
        <v>0.06629425778361948</v>
      </c>
      <c r="AP61" s="11">
        <v>0.06391193625236179</v>
      </c>
      <c r="AQ61" s="11">
        <v>0.05869547358909061</v>
      </c>
      <c r="AR61" s="11">
        <v>0.08937813193132342</v>
      </c>
      <c r="AS61" s="11">
        <v>0.10956477286749282</v>
      </c>
      <c r="AT61" s="11">
        <v>0.005993081811600032</v>
      </c>
      <c r="AU61" s="11">
        <v>0.14170219612259674</v>
      </c>
      <c r="AV61" s="11">
        <v>0.03068940551846191</v>
      </c>
      <c r="AW61" s="11">
        <v>0.10373260397393613</v>
      </c>
      <c r="AX61" s="11">
        <v>0.09942884723674685</v>
      </c>
      <c r="AY61" s="11">
        <v>0.09693508165071194</v>
      </c>
      <c r="AZ61" s="11">
        <v>0.1443970718365377</v>
      </c>
      <c r="BA61" s="11">
        <v>0.1308824712412517</v>
      </c>
      <c r="BB61" s="11">
        <v>0.24623924060815702</v>
      </c>
      <c r="BC61" s="11">
        <v>0.3691277829681468</v>
      </c>
      <c r="BD61" s="11">
        <v>0.0549300987333007</v>
      </c>
      <c r="BE61" s="11">
        <v>0.10088227217917646</v>
      </c>
      <c r="BF61" s="11">
        <v>0.00814221415694655</v>
      </c>
      <c r="BG61" s="11">
        <v>0.12434187748474827</v>
      </c>
      <c r="BH61" s="11">
        <v>0.11175845560583088</v>
      </c>
      <c r="BI61" s="11">
        <v>0.13735509365934026</v>
      </c>
      <c r="BJ61" s="11">
        <v>0.13471663423311564</v>
      </c>
      <c r="BK61" s="11">
        <v>0.29498215159799906</v>
      </c>
      <c r="BL61" s="11">
        <v>0.03289120234954215</v>
      </c>
      <c r="BM61" s="11">
        <v>0.12382555659362936</v>
      </c>
      <c r="BN61" s="11">
        <v>0.04003843689942345</v>
      </c>
      <c r="BO61" s="11">
        <v>0.09901060573706313</v>
      </c>
      <c r="BP61" s="11">
        <v>0.02950387927966403</v>
      </c>
      <c r="BQ61" s="11">
        <v>0.2021852089116663</v>
      </c>
      <c r="BR61" s="11">
        <v>0.04712079151541035</v>
      </c>
      <c r="BS61" s="11">
        <v>0.17161363798135099</v>
      </c>
      <c r="BT61" s="11">
        <v>0.04939853370346644</v>
      </c>
      <c r="BU61" s="11">
        <v>0.3611289059719553</v>
      </c>
      <c r="BV61" s="11">
        <v>0.05814486417881507</v>
      </c>
      <c r="BW61" s="11">
        <v>0.0034106412005457027</v>
      </c>
      <c r="BX61" s="11">
        <v>0.0014400485068970744</v>
      </c>
      <c r="BY61" s="11">
        <v>3.0316810671517357E-4</v>
      </c>
      <c r="BZ61" s="11">
        <v>0.4849173866909201</v>
      </c>
      <c r="CA61" s="11">
        <v>0.5099287554949219</v>
      </c>
      <c r="CB61" s="11">
        <v>1.0</v>
      </c>
    </row>
    <row r="62" ht="15.75" customHeight="1">
      <c r="A62" s="9" t="s">
        <v>184</v>
      </c>
      <c r="B62" s="9" t="s">
        <v>196</v>
      </c>
      <c r="C62" s="11">
        <v>0.03966127485031921</v>
      </c>
      <c r="D62" s="11">
        <v>0.010425354462051709</v>
      </c>
      <c r="E62" s="11">
        <v>0.06453294412010008</v>
      </c>
      <c r="F62" s="11">
        <v>0.06609674728940784</v>
      </c>
      <c r="G62" s="11">
        <v>0.14762301918265222</v>
      </c>
      <c r="H62" s="11">
        <v>0.08851125938281902</v>
      </c>
      <c r="I62" s="11">
        <v>0.18807339449541285</v>
      </c>
      <c r="J62" s="11">
        <v>0.03711426188490409</v>
      </c>
      <c r="K62" s="11">
        <v>0.1408465387823186</v>
      </c>
      <c r="L62" s="11">
        <v>0.06620100083402836</v>
      </c>
      <c r="M62" s="11">
        <v>0.19057547956630524</v>
      </c>
      <c r="N62" s="11">
        <v>0.008248982832192121</v>
      </c>
      <c r="O62" s="11">
        <v>0.8451127819548873</v>
      </c>
      <c r="P62" s="11">
        <v>0.1548872180451128</v>
      </c>
      <c r="Q62" s="11">
        <v>0.01040736330257021</v>
      </c>
      <c r="R62" s="11">
        <v>3.972983710766786E-4</v>
      </c>
      <c r="S62" s="11">
        <v>0.023043305522447356</v>
      </c>
      <c r="T62" s="11">
        <v>0.05323798172427493</v>
      </c>
      <c r="U62" s="11">
        <v>0.2522844656336909</v>
      </c>
      <c r="V62" s="11">
        <v>0.057608263806118394</v>
      </c>
      <c r="W62" s="11">
        <v>0.03615415176797775</v>
      </c>
      <c r="X62" s="11">
        <v>0.1243543901470004</v>
      </c>
      <c r="Y62" s="11">
        <v>0.2908224076281287</v>
      </c>
      <c r="Z62" s="11">
        <v>0.16209773539928488</v>
      </c>
      <c r="AA62" s="11">
        <v>0.1689284178492276</v>
      </c>
      <c r="AB62" s="11">
        <v>4.405825480357361E-4</v>
      </c>
      <c r="AC62" s="11">
        <v>0.9354301799045405</v>
      </c>
      <c r="AD62" s="11">
        <v>0.06412923754742382</v>
      </c>
      <c r="AE62" s="11">
        <v>0.002257616354073633</v>
      </c>
      <c r="AF62" s="11">
        <v>0.11172161172161173</v>
      </c>
      <c r="AG62" s="11">
        <v>0.7527472527472527</v>
      </c>
      <c r="AH62" s="11">
        <v>0.13553113553113552</v>
      </c>
      <c r="AI62" s="11">
        <v>0.10125367999735371</v>
      </c>
      <c r="AJ62" s="11">
        <v>0.11993629532832407</v>
      </c>
      <c r="AK62" s="11">
        <v>0.06921757595557007</v>
      </c>
      <c r="AL62" s="11">
        <v>0.025196014374387454</v>
      </c>
      <c r="AM62" s="11">
        <v>0.4251470107807906</v>
      </c>
      <c r="AN62" s="11">
        <v>0.0811826200588043</v>
      </c>
      <c r="AO62" s="11">
        <v>0.06733910486769029</v>
      </c>
      <c r="AP62" s="11">
        <v>0.061948709572035285</v>
      </c>
      <c r="AQ62" s="11">
        <v>0.0588859849722313</v>
      </c>
      <c r="AR62" s="11">
        <v>0.09114668409016662</v>
      </c>
      <c r="AS62" s="11">
        <v>0.10740630478647746</v>
      </c>
      <c r="AT62" s="11">
        <v>0.005466584539574992</v>
      </c>
      <c r="AU62" s="11">
        <v>0.15364182322143516</v>
      </c>
      <c r="AV62" s="11">
        <v>0.030951647674776716</v>
      </c>
      <c r="AW62" s="11">
        <v>0.1023252232830305</v>
      </c>
      <c r="AX62" s="11">
        <v>0.09628118263012012</v>
      </c>
      <c r="AY62" s="11">
        <v>0.09343239913766553</v>
      </c>
      <c r="AZ62" s="11">
        <v>0.16619186941792424</v>
      </c>
      <c r="BA62" s="11">
        <v>0.0977055743763474</v>
      </c>
      <c r="BB62" s="11">
        <v>0.25400369571912534</v>
      </c>
      <c r="BC62" s="11">
        <v>0.39564933346564785</v>
      </c>
      <c r="BD62" s="11">
        <v>0.052400012540888524</v>
      </c>
      <c r="BE62" s="11">
        <v>0.12277529862990792</v>
      </c>
      <c r="BF62" s="11">
        <v>0.007336419785341792</v>
      </c>
      <c r="BG62" s="11">
        <v>0.12763489293216423</v>
      </c>
      <c r="BH62" s="11">
        <v>0.09629312236771975</v>
      </c>
      <c r="BI62" s="11">
        <v>0.11985954204855415</v>
      </c>
      <c r="BJ62" s="11">
        <v>0.11812471913635081</v>
      </c>
      <c r="BK62" s="11">
        <v>0.3182459477253963</v>
      </c>
      <c r="BL62" s="11">
        <v>0.03733004483367647</v>
      </c>
      <c r="BM62" s="11">
        <v>0.12034004829479673</v>
      </c>
      <c r="BN62" s="11">
        <v>0.0460761407366685</v>
      </c>
      <c r="BO62" s="11">
        <v>0.09978009895547003</v>
      </c>
      <c r="BP62" s="11">
        <v>0.031816932380428806</v>
      </c>
      <c r="BQ62" s="11">
        <v>0.20248075865860363</v>
      </c>
      <c r="BR62" s="11">
        <v>0.0508521165475536</v>
      </c>
      <c r="BS62" s="11">
        <v>0.18042193512919186</v>
      </c>
      <c r="BT62" s="11">
        <v>0.048550027487630563</v>
      </c>
      <c r="BU62" s="11">
        <v>0.340021990104453</v>
      </c>
      <c r="BV62" s="11">
        <v>0.04584697826734147</v>
      </c>
      <c r="BW62" s="11">
        <v>0.004058441558441558</v>
      </c>
      <c r="BX62" s="11">
        <v>0.003968253968253968</v>
      </c>
      <c r="BY62" s="11">
        <v>3.6075036075036075E-4</v>
      </c>
      <c r="BZ62" s="11">
        <v>0.5267857142857143</v>
      </c>
      <c r="CA62" s="11">
        <v>0.4648268398268398</v>
      </c>
      <c r="CB62" s="11">
        <v>1.0</v>
      </c>
    </row>
    <row r="63" ht="15.75" customHeight="1">
      <c r="A63" s="9" t="s">
        <v>185</v>
      </c>
      <c r="B63" s="9" t="s">
        <v>196</v>
      </c>
      <c r="C63" s="11">
        <v>0.04413345005995378</v>
      </c>
      <c r="D63" s="11">
        <v>0.009119112531728871</v>
      </c>
      <c r="E63" s="11">
        <v>0.05894519131334023</v>
      </c>
      <c r="F63" s="11">
        <v>0.06994453323305443</v>
      </c>
      <c r="G63" s="11">
        <v>0.1507943969164238</v>
      </c>
      <c r="H63" s="11">
        <v>0.09589169878725204</v>
      </c>
      <c r="I63" s="11">
        <v>0.18238225063457741</v>
      </c>
      <c r="J63" s="11">
        <v>0.035630346902322085</v>
      </c>
      <c r="K63" s="11">
        <v>0.1344364012409514</v>
      </c>
      <c r="L63" s="11">
        <v>0.06928645294725956</v>
      </c>
      <c r="M63" s="11">
        <v>0.19356961549309015</v>
      </c>
      <c r="N63" s="11">
        <v>0.01006144743775387</v>
      </c>
      <c r="O63" s="11">
        <v>0.7925773195876289</v>
      </c>
      <c r="P63" s="11">
        <v>0.20742268041237114</v>
      </c>
      <c r="Q63" s="11">
        <v>0.009725374348080441</v>
      </c>
      <c r="R63" s="11">
        <v>4.266211604095563E-4</v>
      </c>
      <c r="S63" s="11">
        <v>0.02901023890784983</v>
      </c>
      <c r="T63" s="11">
        <v>0.04479522184300341</v>
      </c>
      <c r="U63" s="11">
        <v>0.27687713310580203</v>
      </c>
      <c r="V63" s="11">
        <v>0.07636518771331058</v>
      </c>
      <c r="W63" s="11">
        <v>0.04138225255972696</v>
      </c>
      <c r="X63" s="11">
        <v>0.11860068259385666</v>
      </c>
      <c r="Y63" s="11">
        <v>0.2295221843003413</v>
      </c>
      <c r="Z63" s="11">
        <v>0.18302047781569966</v>
      </c>
      <c r="AA63" s="11">
        <v>0.1749364158012439</v>
      </c>
      <c r="AB63" s="11">
        <v>8.775466641368024E-4</v>
      </c>
      <c r="AC63" s="11">
        <v>0.9324289068614662</v>
      </c>
      <c r="AD63" s="11">
        <v>0.06669354647439699</v>
      </c>
      <c r="AE63" s="11">
        <v>0.0022072948605711584</v>
      </c>
      <c r="AF63" s="11">
        <v>0.10526315789473684</v>
      </c>
      <c r="AG63" s="11">
        <v>0.7951127819548872</v>
      </c>
      <c r="AH63" s="11">
        <v>0.09962406015037593</v>
      </c>
      <c r="AI63" s="11">
        <v>0.09957721175508985</v>
      </c>
      <c r="AJ63" s="11">
        <v>0.09416666666666666</v>
      </c>
      <c r="AK63" s="11">
        <v>0.057041666666666664</v>
      </c>
      <c r="AL63" s="11">
        <v>0.026791666666666665</v>
      </c>
      <c r="AM63" s="11">
        <v>0.425875</v>
      </c>
      <c r="AN63" s="11">
        <v>0.09245833333333334</v>
      </c>
      <c r="AO63" s="11">
        <v>0.06358333333333334</v>
      </c>
      <c r="AP63" s="11">
        <v>0.07158333333333333</v>
      </c>
      <c r="AQ63" s="11">
        <v>0.06591666666666667</v>
      </c>
      <c r="AR63" s="11">
        <v>0.10258333333333333</v>
      </c>
      <c r="AS63" s="11">
        <v>0.11043942593737423</v>
      </c>
      <c r="AT63" s="11">
        <v>0.005447441580885115</v>
      </c>
      <c r="AU63" s="11">
        <v>0.13584792245848673</v>
      </c>
      <c r="AV63" s="11">
        <v>0.032459238109549926</v>
      </c>
      <c r="AW63" s="11">
        <v>0.10102186490344879</v>
      </c>
      <c r="AX63" s="11">
        <v>0.10203621609437223</v>
      </c>
      <c r="AY63" s="11">
        <v>0.10045833646404688</v>
      </c>
      <c r="AZ63" s="11">
        <v>0.13490870839281688</v>
      </c>
      <c r="BA63" s="11">
        <v>0.09873018258321437</v>
      </c>
      <c r="BB63" s="11">
        <v>0.28909008941317904</v>
      </c>
      <c r="BC63" s="11">
        <v>0.3803268621975861</v>
      </c>
      <c r="BD63" s="11">
        <v>0.05093491589029738</v>
      </c>
      <c r="BE63" s="11">
        <v>0.08335696986887177</v>
      </c>
      <c r="BF63" s="11">
        <v>0.006054589487923549</v>
      </c>
      <c r="BG63" s="11">
        <v>0.15829206030589313</v>
      </c>
      <c r="BH63" s="11">
        <v>0.10208801518556498</v>
      </c>
      <c r="BI63" s="11">
        <v>0.126110008072786</v>
      </c>
      <c r="BJ63" s="11">
        <v>0.12374271812885912</v>
      </c>
      <c r="BK63" s="11">
        <v>0.32366417210306986</v>
      </c>
      <c r="BL63" s="11">
        <v>0.02575655095673423</v>
      </c>
      <c r="BM63" s="11">
        <v>0.1295416543923923</v>
      </c>
      <c r="BN63" s="11">
        <v>0.04487220549612453</v>
      </c>
      <c r="BO63" s="11">
        <v>0.10175517263468067</v>
      </c>
      <c r="BP63" s="11">
        <v>0.03401447697136634</v>
      </c>
      <c r="BQ63" s="11">
        <v>0.20847479341489975</v>
      </c>
      <c r="BR63" s="11">
        <v>0.05159823201588623</v>
      </c>
      <c r="BS63" s="11">
        <v>0.16799051950547692</v>
      </c>
      <c r="BT63" s="11">
        <v>0.0487476779194158</v>
      </c>
      <c r="BU63" s="11">
        <v>0.34254692204214976</v>
      </c>
      <c r="BV63" s="11">
        <v>0.0390508632099544</v>
      </c>
      <c r="BW63" s="11">
        <v>0.0019124521886952825</v>
      </c>
      <c r="BX63" s="11">
        <v>0.004993625159371015</v>
      </c>
      <c r="BY63" s="11">
        <v>8.499787505312367E-4</v>
      </c>
      <c r="BZ63" s="11">
        <v>0.5095622609434765</v>
      </c>
      <c r="CA63" s="11">
        <v>0.4826816829579261</v>
      </c>
      <c r="CB63" s="11">
        <v>1.0</v>
      </c>
    </row>
    <row r="64" ht="15.75" customHeight="1">
      <c r="A64" s="9" t="s">
        <v>186</v>
      </c>
      <c r="B64" s="9" t="s">
        <v>196</v>
      </c>
      <c r="C64" s="11">
        <v>0.04801107704480269</v>
      </c>
      <c r="D64" s="11">
        <v>0.008899143045484509</v>
      </c>
      <c r="E64" s="11">
        <v>0.05990441661173369</v>
      </c>
      <c r="F64" s="11">
        <v>0.07382992748846408</v>
      </c>
      <c r="G64" s="11">
        <v>0.14873104812129204</v>
      </c>
      <c r="H64" s="11">
        <v>0.09319380355965722</v>
      </c>
      <c r="I64" s="11">
        <v>0.1862228081740277</v>
      </c>
      <c r="J64" s="11">
        <v>0.03699736321687541</v>
      </c>
      <c r="K64" s="11">
        <v>0.13925510876730388</v>
      </c>
      <c r="L64" s="11">
        <v>0.06633157547791695</v>
      </c>
      <c r="M64" s="11">
        <v>0.18663480553724457</v>
      </c>
      <c r="N64" s="11">
        <v>0.010819899119770547</v>
      </c>
      <c r="O64" s="11">
        <v>0.7411334552102377</v>
      </c>
      <c r="P64" s="11">
        <v>0.25886654478976234</v>
      </c>
      <c r="Q64" s="11">
        <v>0.011531994857086341</v>
      </c>
      <c r="R64" s="11">
        <v>6.861063464837049E-4</v>
      </c>
      <c r="S64" s="11">
        <v>0.03224699828473413</v>
      </c>
      <c r="T64" s="11">
        <v>0.03842195540308748</v>
      </c>
      <c r="U64" s="11">
        <v>0.274442538593482</v>
      </c>
      <c r="V64" s="11">
        <v>0.07375643224699828</v>
      </c>
      <c r="W64" s="11">
        <v>0.03499142367066895</v>
      </c>
      <c r="X64" s="11">
        <v>0.11492281303602059</v>
      </c>
      <c r="Y64" s="11">
        <v>0.2600343053173242</v>
      </c>
      <c r="Z64" s="11">
        <v>0.1704974271012007</v>
      </c>
      <c r="AA64" s="11">
        <v>0.15747206013252893</v>
      </c>
      <c r="AB64" s="11">
        <v>0.0014068584348699911</v>
      </c>
      <c r="AC64" s="11">
        <v>0.9904032156764225</v>
      </c>
      <c r="AD64" s="11">
        <v>0.008189925888707449</v>
      </c>
      <c r="AE64" s="11">
        <v>0.0024092572445851054</v>
      </c>
      <c r="AF64" s="11">
        <v>0.09688013136288999</v>
      </c>
      <c r="AG64" s="11">
        <v>0.825944170771757</v>
      </c>
      <c r="AH64" s="11">
        <v>0.07717569786535304</v>
      </c>
      <c r="AI64" s="11">
        <v>0.09953515972702996</v>
      </c>
      <c r="AJ64" s="11">
        <v>0.09427662957074721</v>
      </c>
      <c r="AK64" s="11">
        <v>0.058624801271860094</v>
      </c>
      <c r="AL64" s="11">
        <v>0.027782193958664547</v>
      </c>
      <c r="AM64" s="11">
        <v>0.39439586645469</v>
      </c>
      <c r="AN64" s="11">
        <v>0.09674085850556438</v>
      </c>
      <c r="AO64" s="11">
        <v>0.07007154213036566</v>
      </c>
      <c r="AP64" s="11">
        <v>0.07583465818759937</v>
      </c>
      <c r="AQ64" s="11">
        <v>0.06872019077901431</v>
      </c>
      <c r="AR64" s="11">
        <v>0.11355325914149443</v>
      </c>
      <c r="AS64" s="11">
        <v>0.11397487884482246</v>
      </c>
      <c r="AT64" s="11">
        <v>0.006108989934050677</v>
      </c>
      <c r="AU64" s="11">
        <v>0.11888233252342936</v>
      </c>
      <c r="AV64" s="11">
        <v>0.03644567858382506</v>
      </c>
      <c r="AW64" s="11">
        <v>0.10038181187087816</v>
      </c>
      <c r="AX64" s="11">
        <v>0.10468587296077751</v>
      </c>
      <c r="AY64" s="11">
        <v>0.11107254425546685</v>
      </c>
      <c r="AZ64" s="11">
        <v>0.15407844498438042</v>
      </c>
      <c r="BA64" s="11">
        <v>0.10524123568205485</v>
      </c>
      <c r="BB64" s="11">
        <v>0.2631030892051371</v>
      </c>
      <c r="BC64" s="11">
        <v>0.3756779744832361</v>
      </c>
      <c r="BD64" s="11">
        <v>0.05148375139529496</v>
      </c>
      <c r="BE64" s="11">
        <v>0.07462985194077632</v>
      </c>
      <c r="BF64" s="11">
        <v>0.005749668288367979</v>
      </c>
      <c r="BG64" s="11">
        <v>0.17525957751521662</v>
      </c>
      <c r="BH64" s="11">
        <v>0.10401002506265664</v>
      </c>
      <c r="BI64" s="11">
        <v>0.1302205092563341</v>
      </c>
      <c r="BJ64" s="11">
        <v>0.12655588551209956</v>
      </c>
      <c r="BK64" s="11">
        <v>0.30046755544322995</v>
      </c>
      <c r="BL64" s="11">
        <v>0.031623175586023886</v>
      </c>
      <c r="BM64" s="11">
        <v>0.13767975472257937</v>
      </c>
      <c r="BN64" s="11">
        <v>0.04094592264812367</v>
      </c>
      <c r="BO64" s="11">
        <v>0.10416068042066548</v>
      </c>
      <c r="BP64" s="11">
        <v>0.03381989540830987</v>
      </c>
      <c r="BQ64" s="11">
        <v>0.20835009482213665</v>
      </c>
      <c r="BR64" s="11">
        <v>0.05117521981495316</v>
      </c>
      <c r="BS64" s="11">
        <v>0.1714843974484225</v>
      </c>
      <c r="BT64" s="11">
        <v>0.04930751106258261</v>
      </c>
      <c r="BU64" s="11">
        <v>0.34075627837480604</v>
      </c>
      <c r="BV64" s="11">
        <v>0.042887943823558504</v>
      </c>
      <c r="BW64" s="11">
        <v>7.379393044922055E-4</v>
      </c>
      <c r="BX64" s="11">
        <v>0.0040586661747071305</v>
      </c>
      <c r="BY64" s="11">
        <v>9.224241306152569E-5</v>
      </c>
      <c r="BZ64" s="11">
        <v>0.3693386218983489</v>
      </c>
      <c r="CA64" s="11">
        <v>0.6257725302093903</v>
      </c>
      <c r="CB64" s="11">
        <v>1.0</v>
      </c>
    </row>
    <row r="65" ht="15.75" customHeight="1">
      <c r="A65" s="9" t="s">
        <v>187</v>
      </c>
      <c r="B65" s="9" t="s">
        <v>196</v>
      </c>
      <c r="C65" s="11">
        <v>0.05061949818587567</v>
      </c>
      <c r="D65" s="11">
        <v>0.007323026851098454</v>
      </c>
      <c r="E65" s="11">
        <v>0.059915674236260076</v>
      </c>
      <c r="F65" s="11">
        <v>0.07064131962423256</v>
      </c>
      <c r="G65" s="11">
        <v>0.13107478363784303</v>
      </c>
      <c r="H65" s="11">
        <v>0.09401582957319328</v>
      </c>
      <c r="I65" s="11">
        <v>0.18751386936903616</v>
      </c>
      <c r="J65" s="11">
        <v>0.03794659368296471</v>
      </c>
      <c r="K65" s="11">
        <v>0.15171240476366596</v>
      </c>
      <c r="L65" s="11">
        <v>0.06339226274132702</v>
      </c>
      <c r="M65" s="11">
        <v>0.19646423552037873</v>
      </c>
      <c r="N65" s="11">
        <v>0.012011787127767522</v>
      </c>
      <c r="O65" s="11">
        <v>0.699501246882793</v>
      </c>
      <c r="P65" s="11">
        <v>0.300498753117207</v>
      </c>
      <c r="Q65" s="11">
        <v>0.012037997386462777</v>
      </c>
      <c r="R65" s="11">
        <v>0.0015552099533437014</v>
      </c>
      <c r="S65" s="11">
        <v>0.03265940902021773</v>
      </c>
      <c r="T65" s="11">
        <v>0.03297045101088647</v>
      </c>
      <c r="U65" s="11">
        <v>0.2740279937791602</v>
      </c>
      <c r="V65" s="11">
        <v>0.07216174183514774</v>
      </c>
      <c r="W65" s="11">
        <v>0.03297045101088647</v>
      </c>
      <c r="X65" s="11">
        <v>0.11228615863141524</v>
      </c>
      <c r="Y65" s="11">
        <v>0.2603421461897356</v>
      </c>
      <c r="Z65" s="11">
        <v>0.18102643856920683</v>
      </c>
      <c r="AA65" s="11">
        <v>0.10802370905115119</v>
      </c>
      <c r="AB65" s="11">
        <v>0.0023570190641247833</v>
      </c>
      <c r="AC65" s="11">
        <v>0.988318890814558</v>
      </c>
      <c r="AD65" s="11">
        <v>0.009324090121317158</v>
      </c>
      <c r="AE65" s="11">
        <v>0.002452531349341561</v>
      </c>
      <c r="AF65" s="11">
        <v>0.12366412213740458</v>
      </c>
      <c r="AG65" s="11">
        <v>0.8061068702290076</v>
      </c>
      <c r="AH65" s="11">
        <v>0.07022900763358779</v>
      </c>
      <c r="AI65" s="11">
        <v>0.1018006447723639</v>
      </c>
      <c r="AJ65" s="11">
        <v>0.09827865234662352</v>
      </c>
      <c r="AK65" s="11">
        <v>0.06112991025452406</v>
      </c>
      <c r="AL65" s="11">
        <v>0.03291893482418714</v>
      </c>
      <c r="AM65" s="11">
        <v>0.38013094012064147</v>
      </c>
      <c r="AN65" s="11">
        <v>0.10725319994115051</v>
      </c>
      <c r="AO65" s="11">
        <v>0.0685964396057084</v>
      </c>
      <c r="AP65" s="11">
        <v>0.07223775194938943</v>
      </c>
      <c r="AQ65" s="11">
        <v>0.07271590407532735</v>
      </c>
      <c r="AR65" s="11">
        <v>0.10673826688244814</v>
      </c>
      <c r="AS65" s="11">
        <v>0.12178783918882993</v>
      </c>
      <c r="AT65" s="11">
        <v>0.00657935190309291</v>
      </c>
      <c r="AU65" s="11">
        <v>0.10708356391809629</v>
      </c>
      <c r="AV65" s="11">
        <v>0.03843079382647728</v>
      </c>
      <c r="AW65" s="11">
        <v>0.0957387935805202</v>
      </c>
      <c r="AX65" s="11">
        <v>0.11074217549037693</v>
      </c>
      <c r="AY65" s="11">
        <v>0.11283281067453729</v>
      </c>
      <c r="AZ65" s="11">
        <v>0.15498370534341757</v>
      </c>
      <c r="BA65" s="11">
        <v>0.09300252106007502</v>
      </c>
      <c r="BB65" s="11">
        <v>0.2806062842034065</v>
      </c>
      <c r="BC65" s="11">
        <v>0.3973138229160036</v>
      </c>
      <c r="BD65" s="11">
        <v>0.042568630961917236</v>
      </c>
      <c r="BE65" s="11">
        <v>0.08850166335252707</v>
      </c>
      <c r="BF65" s="11">
        <v>0.0053057647180782385</v>
      </c>
      <c r="BG65" s="11">
        <v>0.1604451941834494</v>
      </c>
      <c r="BH65" s="11">
        <v>0.10628492804704508</v>
      </c>
      <c r="BI65" s="11">
        <v>0.13675302277803433</v>
      </c>
      <c r="BJ65" s="11">
        <v>0.1270179340501927</v>
      </c>
      <c r="BK65" s="11">
        <v>0.3077908982103646</v>
      </c>
      <c r="BL65" s="11">
        <v>0.025331963698391306</v>
      </c>
      <c r="BM65" s="11">
        <v>0.1511845164768919</v>
      </c>
      <c r="BN65" s="11">
        <v>0.041731678926121306</v>
      </c>
      <c r="BO65" s="11">
        <v>0.10741263590658048</v>
      </c>
      <c r="BP65" s="11">
        <v>0.034797037917626374</v>
      </c>
      <c r="BQ65" s="11">
        <v>0.21814399286722638</v>
      </c>
      <c r="BR65" s="11">
        <v>0.05495702999232236</v>
      </c>
      <c r="BS65" s="11">
        <v>0.16331079575005572</v>
      </c>
      <c r="BT65" s="11">
        <v>0.05153924263813557</v>
      </c>
      <c r="BU65" s="11">
        <v>0.3281075860019318</v>
      </c>
      <c r="BV65" s="11">
        <v>0.04276765354531192</v>
      </c>
      <c r="BW65" s="11">
        <v>4.377517072316582E-4</v>
      </c>
      <c r="BX65" s="11">
        <v>0.004114866047977587</v>
      </c>
      <c r="BY65" s="11">
        <v>4.377517072316582E-4</v>
      </c>
      <c r="BZ65" s="11">
        <v>0.39012432148485376</v>
      </c>
      <c r="CA65" s="11">
        <v>0.6048853090527053</v>
      </c>
      <c r="CB65" s="11">
        <v>1.0</v>
      </c>
    </row>
    <row r="66" ht="15.75" customHeight="1">
      <c r="A66" s="9" t="s">
        <v>188</v>
      </c>
      <c r="B66" s="9" t="s">
        <v>196</v>
      </c>
      <c r="C66" s="11">
        <v>0.054961429885744394</v>
      </c>
      <c r="D66" s="11">
        <v>0.008655840904213462</v>
      </c>
      <c r="E66" s="11">
        <v>0.05579798268831819</v>
      </c>
      <c r="F66" s="11">
        <v>0.0769010658845411</v>
      </c>
      <c r="G66" s="11">
        <v>0.132484440947135</v>
      </c>
      <c r="H66" s="11">
        <v>0.09049288218041347</v>
      </c>
      <c r="I66" s="11">
        <v>0.18606481150296875</v>
      </c>
      <c r="J66" s="11">
        <v>0.03455182774161242</v>
      </c>
      <c r="K66" s="11">
        <v>0.1412833536018313</v>
      </c>
      <c r="L66" s="11">
        <v>0.06574146934687745</v>
      </c>
      <c r="M66" s="11">
        <v>0.20802632520208886</v>
      </c>
      <c r="N66" s="11">
        <v>0.012848841323886735</v>
      </c>
      <c r="O66" s="11">
        <v>0.6857405140758874</v>
      </c>
      <c r="P66" s="11">
        <v>0.3142594859241126</v>
      </c>
      <c r="Q66" s="11">
        <v>0.012585416486463108</v>
      </c>
      <c r="R66" s="11">
        <v>0.001562011871290222</v>
      </c>
      <c r="S66" s="11">
        <v>0.027491408934707903</v>
      </c>
      <c r="T66" s="11">
        <v>0.031865042174320526</v>
      </c>
      <c r="U66" s="11">
        <v>0.2549203373945642</v>
      </c>
      <c r="V66" s="11">
        <v>0.06622930334270541</v>
      </c>
      <c r="W66" s="11">
        <v>0.030927835051546393</v>
      </c>
      <c r="X66" s="11">
        <v>0.0971571383942518</v>
      </c>
      <c r="Y66" s="11">
        <v>0.3177132146204311</v>
      </c>
      <c r="Z66" s="11">
        <v>0.17213370821618243</v>
      </c>
      <c r="AA66" s="11">
        <v>0.09280417705294446</v>
      </c>
      <c r="AB66" s="11">
        <v>0.0021606507371631925</v>
      </c>
      <c r="AC66" s="11">
        <v>0.9877563124894085</v>
      </c>
      <c r="AD66" s="11">
        <v>0.010083036773428233</v>
      </c>
      <c r="AE66" s="11">
        <v>0.002756131507969584</v>
      </c>
      <c r="AF66" s="11">
        <v>0.08701854493580599</v>
      </c>
      <c r="AG66" s="11">
        <v>0.8502139800285307</v>
      </c>
      <c r="AH66" s="11">
        <v>0.06276747503566334</v>
      </c>
      <c r="AI66" s="11">
        <v>0.10892027270368244</v>
      </c>
      <c r="AJ66" s="11">
        <v>0.0869941883550518</v>
      </c>
      <c r="AK66" s="11">
        <v>0.056564271017579326</v>
      </c>
      <c r="AL66" s="11">
        <v>0.03598888207053388</v>
      </c>
      <c r="AM66" s="11">
        <v>0.40522687073602137</v>
      </c>
      <c r="AN66" s="11">
        <v>0.10605349601126232</v>
      </c>
      <c r="AO66" s="11">
        <v>0.06071544598057972</v>
      </c>
      <c r="AP66" s="11">
        <v>0.07067826589178067</v>
      </c>
      <c r="AQ66" s="11">
        <v>0.07028119698227629</v>
      </c>
      <c r="AR66" s="11">
        <v>0.10749738295491464</v>
      </c>
      <c r="AS66" s="11">
        <v>0.11096869569320049</v>
      </c>
      <c r="AT66" s="11">
        <v>0.005810657596371882</v>
      </c>
      <c r="AU66" s="11">
        <v>0.12042942176870748</v>
      </c>
      <c r="AV66" s="11">
        <v>0.04623724489795918</v>
      </c>
      <c r="AW66" s="11">
        <v>0.10625708616780045</v>
      </c>
      <c r="AX66" s="11">
        <v>0.1267361111111111</v>
      </c>
      <c r="AY66" s="11">
        <v>0.13630243764172337</v>
      </c>
      <c r="AZ66" s="11">
        <v>0.0897108843537415</v>
      </c>
      <c r="BA66" s="11">
        <v>0.09534438775510204</v>
      </c>
      <c r="BB66" s="11">
        <v>0.273171768707483</v>
      </c>
      <c r="BC66" s="11">
        <v>0.40627973358705993</v>
      </c>
      <c r="BD66" s="11">
        <v>0.04286101379991097</v>
      </c>
      <c r="BE66" s="11">
        <v>0.07417694079393036</v>
      </c>
      <c r="BF66" s="11">
        <v>0.00575802736756537</v>
      </c>
      <c r="BG66" s="11">
        <v>0.1401087734917839</v>
      </c>
      <c r="BH66" s="11">
        <v>0.09457680918187625</v>
      </c>
      <c r="BI66" s="11">
        <v>0.14127005632221729</v>
      </c>
      <c r="BJ66" s="11">
        <v>0.12666692472951788</v>
      </c>
      <c r="BK66" s="11">
        <v>0.3330172063406043</v>
      </c>
      <c r="BL66" s="11">
        <v>0.041564247972593726</v>
      </c>
      <c r="BM66" s="11">
        <v>0.15871543040473063</v>
      </c>
      <c r="BN66" s="11">
        <v>0.04114645263575109</v>
      </c>
      <c r="BO66" s="11">
        <v>0.10592548553309553</v>
      </c>
      <c r="BP66" s="11">
        <v>0.036216805390408245</v>
      </c>
      <c r="BQ66" s="11">
        <v>0.21331252477209672</v>
      </c>
      <c r="BR66" s="11">
        <v>0.054548156956004755</v>
      </c>
      <c r="BS66" s="11">
        <v>0.1673602853745541</v>
      </c>
      <c r="BT66" s="11">
        <v>0.045902695204122074</v>
      </c>
      <c r="BU66" s="11">
        <v>0.3355875941339675</v>
      </c>
      <c r="BV66" s="11">
        <v>0.0391598713543182</v>
      </c>
      <c r="BW66" s="11">
        <v>4.0160642570281126E-4</v>
      </c>
      <c r="BX66" s="11">
        <v>0.004116465863453815</v>
      </c>
      <c r="BY66" s="11">
        <v>7.028112449799197E-4</v>
      </c>
      <c r="BZ66" s="11">
        <v>0.7497991967871486</v>
      </c>
      <c r="CA66" s="11">
        <v>0.24497991967871485</v>
      </c>
      <c r="CB66" s="11">
        <v>1.0</v>
      </c>
    </row>
    <row r="67" ht="15.75" customHeight="1">
      <c r="A67" s="9" t="s">
        <v>189</v>
      </c>
      <c r="B67" s="9" t="s">
        <v>196</v>
      </c>
      <c r="C67" s="11">
        <v>0.04960543887337623</v>
      </c>
      <c r="D67" s="11">
        <v>0.01083840290888749</v>
      </c>
      <c r="E67" s="11">
        <v>0.05824767498776309</v>
      </c>
      <c r="F67" s="11">
        <v>0.09237116285574436</v>
      </c>
      <c r="G67" s="11">
        <v>0.13635410111181037</v>
      </c>
      <c r="H67" s="11">
        <v>0.09153206069505629</v>
      </c>
      <c r="I67" s="11">
        <v>0.18767918327389693</v>
      </c>
      <c r="J67" s="11">
        <v>0.03216558282637578</v>
      </c>
      <c r="K67" s="11">
        <v>0.1438360953779456</v>
      </c>
      <c r="L67" s="11">
        <v>0.065659744073841</v>
      </c>
      <c r="M67" s="11">
        <v>0.1813159918886791</v>
      </c>
      <c r="N67" s="11">
        <v>0.01139804713921504</v>
      </c>
      <c r="O67" s="11">
        <v>0.6938527084601339</v>
      </c>
      <c r="P67" s="11">
        <v>0.3061472915398661</v>
      </c>
      <c r="Q67" s="11">
        <v>0.012286026465946339</v>
      </c>
      <c r="R67" s="11">
        <v>8.469791078486731E-4</v>
      </c>
      <c r="S67" s="11">
        <v>0.031338226990400904</v>
      </c>
      <c r="T67" s="11">
        <v>0.046583850931677016</v>
      </c>
      <c r="U67" s="11">
        <v>0.2360248447204969</v>
      </c>
      <c r="V67" s="11">
        <v>0.06549971767363072</v>
      </c>
      <c r="W67" s="11">
        <v>0.025691699604743084</v>
      </c>
      <c r="X67" s="11">
        <v>0.08074534161490683</v>
      </c>
      <c r="Y67" s="11">
        <v>0.3447204968944099</v>
      </c>
      <c r="Z67" s="11">
        <v>0.16854884246188595</v>
      </c>
      <c r="AA67" s="11">
        <v>0.10339062418703064</v>
      </c>
      <c r="AB67" s="11">
        <v>0.004663334116147214</v>
      </c>
      <c r="AC67" s="11">
        <v>0.985171268493978</v>
      </c>
      <c r="AD67" s="11">
        <v>0.010165397389874861</v>
      </c>
      <c r="AE67" s="11">
        <v>0.002428068471530897</v>
      </c>
      <c r="AF67" s="11">
        <v>0.08</v>
      </c>
      <c r="AG67" s="11">
        <v>0.8442857142857143</v>
      </c>
      <c r="AH67" s="11">
        <v>0.07571428571428572</v>
      </c>
      <c r="AI67" s="11">
        <v>0.09731698433895836</v>
      </c>
      <c r="AJ67" s="11">
        <v>0.08422440832620473</v>
      </c>
      <c r="AK67" s="11">
        <v>0.056244653550042774</v>
      </c>
      <c r="AL67" s="11">
        <v>0.03632021670943827</v>
      </c>
      <c r="AM67" s="11">
        <v>0.39699173082406614</v>
      </c>
      <c r="AN67" s="11">
        <v>0.10992301112061591</v>
      </c>
      <c r="AO67" s="11">
        <v>0.058454519532363844</v>
      </c>
      <c r="AP67" s="11">
        <v>0.0751710863986313</v>
      </c>
      <c r="AQ67" s="11">
        <v>0.07107214143142287</v>
      </c>
      <c r="AR67" s="11">
        <v>0.11159823210721415</v>
      </c>
      <c r="AS67" s="11">
        <v>0.09956468200974695</v>
      </c>
      <c r="AT67" s="11">
        <v>0.005574136008918618</v>
      </c>
      <c r="AU67" s="11">
        <v>0.12472129319955406</v>
      </c>
      <c r="AV67" s="11">
        <v>0.04905239687848383</v>
      </c>
      <c r="AW67" s="11">
        <v>0.1022505574136009</v>
      </c>
      <c r="AX67" s="11">
        <v>0.12555741360089187</v>
      </c>
      <c r="AY67" s="11">
        <v>0.13217670011148272</v>
      </c>
      <c r="AZ67" s="11">
        <v>0.10657051282051282</v>
      </c>
      <c r="BA67" s="11">
        <v>0.08636426978818283</v>
      </c>
      <c r="BB67" s="11">
        <v>0.26773272017837235</v>
      </c>
      <c r="BC67" s="11">
        <v>0.40908097608352556</v>
      </c>
      <c r="BD67" s="11">
        <v>0.040386311219644554</v>
      </c>
      <c r="BE67" s="11">
        <v>0.07521028354361688</v>
      </c>
      <c r="BF67" s="11">
        <v>0.005418192918192918</v>
      </c>
      <c r="BG67" s="11">
        <v>0.11345136345136345</v>
      </c>
      <c r="BH67" s="11">
        <v>0.08893806810473477</v>
      </c>
      <c r="BI67" s="11">
        <v>0.1321394654727988</v>
      </c>
      <c r="BJ67" s="11">
        <v>0.1241096866096866</v>
      </c>
      <c r="BK67" s="11">
        <v>0.31634106634106635</v>
      </c>
      <c r="BL67" s="11">
        <v>0.10400556233889567</v>
      </c>
      <c r="BM67" s="11">
        <v>0.14071350526370557</v>
      </c>
      <c r="BN67" s="11">
        <v>0.04015579165331427</v>
      </c>
      <c r="BO67" s="11">
        <v>0.10491286020657184</v>
      </c>
      <c r="BP67" s="11">
        <v>0.03788793847215717</v>
      </c>
      <c r="BQ67" s="11">
        <v>0.2153474498977001</v>
      </c>
      <c r="BR67" s="11">
        <v>0.05366430842803264</v>
      </c>
      <c r="BS67" s="11">
        <v>0.16131338279882662</v>
      </c>
      <c r="BT67" s="11">
        <v>0.04488870264007691</v>
      </c>
      <c r="BU67" s="11">
        <v>0.3418295659033204</v>
      </c>
      <c r="BV67" s="11">
        <v>0.0742156471669644</v>
      </c>
      <c r="BW67" s="11">
        <v>5.608524957936063E-4</v>
      </c>
      <c r="BX67" s="11">
        <v>9.81491867638811E-4</v>
      </c>
      <c r="BY67" s="11">
        <v>1.4021312394840157E-4</v>
      </c>
      <c r="BZ67" s="11">
        <v>0.29070854365301924</v>
      </c>
      <c r="CA67" s="11">
        <v>0.7076088988595999</v>
      </c>
      <c r="CB67" s="11">
        <v>1.0</v>
      </c>
    </row>
    <row r="68" ht="15.75" customHeight="1">
      <c r="A68" s="9" t="s">
        <v>190</v>
      </c>
      <c r="B68" s="9" t="s">
        <v>196</v>
      </c>
      <c r="C68" s="11">
        <v>0.04977158286986637</v>
      </c>
      <c r="D68" s="11">
        <v>0.011101566113791053</v>
      </c>
      <c r="E68" s="11">
        <v>0.054318377056763366</v>
      </c>
      <c r="F68" s="11">
        <v>0.09383466596180533</v>
      </c>
      <c r="G68" s="11">
        <v>0.13302055111346064</v>
      </c>
      <c r="H68" s="11">
        <v>0.09773343025176766</v>
      </c>
      <c r="I68" s="11">
        <v>0.1749157470428864</v>
      </c>
      <c r="J68" s="11">
        <v>0.03191700257714928</v>
      </c>
      <c r="K68" s="11">
        <v>0.13421000462565255</v>
      </c>
      <c r="L68" s="11">
        <v>0.07268882574506047</v>
      </c>
      <c r="M68" s="11">
        <v>0.19625982951166326</v>
      </c>
      <c r="N68" s="11">
        <v>0.01165272702755148</v>
      </c>
      <c r="O68" s="11">
        <v>0.6999717753316399</v>
      </c>
      <c r="P68" s="11">
        <v>0.30002822466836016</v>
      </c>
      <c r="Q68" s="11">
        <v>0.01310644008038178</v>
      </c>
      <c r="R68" s="11">
        <v>5.018820577164366E-4</v>
      </c>
      <c r="S68" s="11">
        <v>0.028858218318695106</v>
      </c>
      <c r="T68" s="11">
        <v>0.04015056461731493</v>
      </c>
      <c r="U68" s="11">
        <v>0.2612296110414053</v>
      </c>
      <c r="V68" s="11">
        <v>0.071267252195734</v>
      </c>
      <c r="W68" s="11">
        <v>0.024843161856963614</v>
      </c>
      <c r="X68" s="11">
        <v>0.079297365119197</v>
      </c>
      <c r="Y68" s="11">
        <v>0.32772898368883313</v>
      </c>
      <c r="Z68" s="11">
        <v>0.16612296110414052</v>
      </c>
      <c r="AA68" s="11">
        <v>0.13325154827018013</v>
      </c>
      <c r="AB68" s="11">
        <v>0.004393434530420832</v>
      </c>
      <c r="AC68" s="11">
        <v>0.9859805010489942</v>
      </c>
      <c r="AD68" s="11">
        <v>0.009626064420584968</v>
      </c>
      <c r="AE68" s="11">
        <v>0.002469996612388135</v>
      </c>
      <c r="AF68" s="11">
        <v>0.09320905459387484</v>
      </c>
      <c r="AG68" s="11">
        <v>0.8348868175765646</v>
      </c>
      <c r="AH68" s="11">
        <v>0.07190412782956059</v>
      </c>
      <c r="AI68" s="11">
        <v>0.09812234212248684</v>
      </c>
      <c r="AJ68" s="11">
        <v>0.08403164175102232</v>
      </c>
      <c r="AK68" s="11">
        <v>0.03710531608232218</v>
      </c>
      <c r="AL68" s="11">
        <v>0.03723939129851847</v>
      </c>
      <c r="AM68" s="11">
        <v>0.39491854930616077</v>
      </c>
      <c r="AN68" s="11">
        <v>0.12050010055641215</v>
      </c>
      <c r="AO68" s="11">
        <v>0.06418850975397197</v>
      </c>
      <c r="AP68" s="11">
        <v>0.08245625796071596</v>
      </c>
      <c r="AQ68" s="11">
        <v>0.07360729369176108</v>
      </c>
      <c r="AR68" s="11">
        <v>0.1059529395991151</v>
      </c>
      <c r="AS68" s="11">
        <v>0.10671964058424793</v>
      </c>
      <c r="AT68" s="11">
        <v>0.0047460552268244575</v>
      </c>
      <c r="AU68" s="11">
        <v>0.12222633136094675</v>
      </c>
      <c r="AV68" s="11">
        <v>0.04918639053254438</v>
      </c>
      <c r="AW68" s="11">
        <v>0.09747904339250493</v>
      </c>
      <c r="AX68" s="11">
        <v>0.11760355029585799</v>
      </c>
      <c r="AY68" s="11">
        <v>0.12444526627218935</v>
      </c>
      <c r="AZ68" s="11">
        <v>0.12022312623274162</v>
      </c>
      <c r="BA68" s="11">
        <v>0.08552144970414201</v>
      </c>
      <c r="BB68" s="11">
        <v>0.2785687869822485</v>
      </c>
      <c r="BC68" s="11">
        <v>0.39929090376880044</v>
      </c>
      <c r="BD68" s="11">
        <v>0.04889459984843992</v>
      </c>
      <c r="BE68" s="11">
        <v>0.08635629798029719</v>
      </c>
      <c r="BF68" s="11">
        <v>0.006185957629073177</v>
      </c>
      <c r="BG68" s="11">
        <v>0.12315903924088169</v>
      </c>
      <c r="BH68" s="11">
        <v>0.09807749332806168</v>
      </c>
      <c r="BI68" s="11">
        <v>0.14139567065335573</v>
      </c>
      <c r="BJ68" s="11">
        <v>0.13857039306777372</v>
      </c>
      <c r="BK68" s="11">
        <v>0.32199103818655067</v>
      </c>
      <c r="BL68" s="11">
        <v>0.03536951006556621</v>
      </c>
      <c r="BM68" s="11">
        <v>0.14569362175175712</v>
      </c>
      <c r="BN68" s="11">
        <v>0.040385570454648065</v>
      </c>
      <c r="BO68" s="11">
        <v>0.11002754074676058</v>
      </c>
      <c r="BP68" s="11">
        <v>0.041604587114542416</v>
      </c>
      <c r="BQ68" s="11">
        <v>0.21398257257664002</v>
      </c>
      <c r="BR68" s="11">
        <v>0.0524628651406384</v>
      </c>
      <c r="BS68" s="11">
        <v>0.1662377533974446</v>
      </c>
      <c r="BT68" s="11">
        <v>0.043658855930290306</v>
      </c>
      <c r="BU68" s="11">
        <v>0.3316402546390356</v>
      </c>
      <c r="BV68" s="11">
        <v>0.039921196912339786</v>
      </c>
      <c r="BW68" s="11">
        <v>4.119294776734223E-4</v>
      </c>
      <c r="BX68" s="11">
        <v>0.002471576866040534</v>
      </c>
      <c r="BY68" s="11">
        <v>5.767012687427913E-4</v>
      </c>
      <c r="BZ68" s="11">
        <v>0.5260339429889603</v>
      </c>
      <c r="CA68" s="11">
        <v>0.470505849398583</v>
      </c>
      <c r="CB68" s="11">
        <v>1.0</v>
      </c>
    </row>
    <row r="69" ht="15.75" customHeight="1">
      <c r="A69" s="9" t="s">
        <v>191</v>
      </c>
      <c r="B69" s="9" t="s">
        <v>196</v>
      </c>
      <c r="C69" s="11">
        <v>0.05507489522471819</v>
      </c>
      <c r="D69" s="11">
        <v>0.008560127516382313</v>
      </c>
      <c r="E69" s="11">
        <v>0.06074738768522345</v>
      </c>
      <c r="F69" s="11">
        <v>0.0871952299427357</v>
      </c>
      <c r="G69" s="11">
        <v>0.12007792667808018</v>
      </c>
      <c r="H69" s="11">
        <v>0.11311175394061043</v>
      </c>
      <c r="I69" s="11">
        <v>0.16565322628254325</v>
      </c>
      <c r="J69" s="11">
        <v>0.028632150658244288</v>
      </c>
      <c r="K69" s="11">
        <v>0.12580435680972904</v>
      </c>
      <c r="L69" s="11">
        <v>0.07308577838125037</v>
      </c>
      <c r="M69" s="11">
        <v>0.21713206210520103</v>
      </c>
      <c r="N69" s="11">
        <v>0.012358443635938002</v>
      </c>
      <c r="O69" s="11">
        <v>0.7071823204419889</v>
      </c>
      <c r="P69" s="11">
        <v>0.292817679558011</v>
      </c>
      <c r="Q69" s="11">
        <v>0.010193033622379805</v>
      </c>
      <c r="R69" s="11">
        <v>0.0022328548644338117</v>
      </c>
      <c r="S69" s="11">
        <v>0.0405103668261563</v>
      </c>
      <c r="T69" s="11">
        <v>0.04688995215311005</v>
      </c>
      <c r="U69" s="11">
        <v>0.2555023923444976</v>
      </c>
      <c r="V69" s="11">
        <v>0.08293460925039872</v>
      </c>
      <c r="W69" s="11">
        <v>0.03125996810207336</v>
      </c>
      <c r="X69" s="11">
        <v>0.0912280701754386</v>
      </c>
      <c r="Y69" s="11">
        <v>0.23732057416267943</v>
      </c>
      <c r="Z69" s="11">
        <v>0.21212121212121213</v>
      </c>
      <c r="AA69" s="11">
        <v>0.1261400103393451</v>
      </c>
      <c r="AB69" s="11">
        <v>0.005232498195690278</v>
      </c>
      <c r="AC69" s="11">
        <v>0.988684400453655</v>
      </c>
      <c r="AD69" s="11">
        <v>0.006083101350654706</v>
      </c>
      <c r="AE69" s="11">
        <v>0.002360491996761639</v>
      </c>
      <c r="AF69" s="11">
        <v>0.11432506887052342</v>
      </c>
      <c r="AG69" s="11">
        <v>0.7975206611570248</v>
      </c>
      <c r="AH69" s="11">
        <v>0.0881542699724518</v>
      </c>
      <c r="AI69" s="11">
        <v>0.10088664761365965</v>
      </c>
      <c r="AJ69" s="11">
        <v>0.07283508975474556</v>
      </c>
      <c r="AK69" s="11">
        <v>0.03322698121112508</v>
      </c>
      <c r="AL69" s="11">
        <v>0.03493506074962132</v>
      </c>
      <c r="AM69" s="11">
        <v>0.422572432240807</v>
      </c>
      <c r="AN69" s="11">
        <v>0.12456089464694318</v>
      </c>
      <c r="AO69" s="11">
        <v>0.06929001901447034</v>
      </c>
      <c r="AP69" s="11">
        <v>0.07125592187953204</v>
      </c>
      <c r="AQ69" s="11">
        <v>0.07173934061684231</v>
      </c>
      <c r="AR69" s="11">
        <v>0.09958425988591318</v>
      </c>
      <c r="AS69" s="11">
        <v>0.10496711242899828</v>
      </c>
      <c r="AT69" s="11">
        <v>0.004429438731260067</v>
      </c>
      <c r="AU69" s="11">
        <v>0.13139635732870772</v>
      </c>
      <c r="AV69" s="11">
        <v>0.046989220666584064</v>
      </c>
      <c r="AW69" s="11">
        <v>0.10333292033205303</v>
      </c>
      <c r="AX69" s="11">
        <v>0.11875851815140627</v>
      </c>
      <c r="AY69" s="11">
        <v>0.12730764465369843</v>
      </c>
      <c r="AZ69" s="11">
        <v>0.10131953909057118</v>
      </c>
      <c r="BA69" s="11">
        <v>0.08902242596952051</v>
      </c>
      <c r="BB69" s="11">
        <v>0.27744393507619874</v>
      </c>
      <c r="BC69" s="11">
        <v>0.4008609618192045</v>
      </c>
      <c r="BD69" s="11">
        <v>0.051180144375050696</v>
      </c>
      <c r="BE69" s="11">
        <v>0.08668991807932516</v>
      </c>
      <c r="BF69" s="11">
        <v>0.007007867629167005</v>
      </c>
      <c r="BG69" s="11">
        <v>0.12690404736799415</v>
      </c>
      <c r="BH69" s="11">
        <v>0.09519831292075594</v>
      </c>
      <c r="BI69" s="11">
        <v>0.14314218509205937</v>
      </c>
      <c r="BJ69" s="11">
        <v>0.14154432638494607</v>
      </c>
      <c r="BK69" s="11">
        <v>0.30242517641333444</v>
      </c>
      <c r="BL69" s="11">
        <v>0.04590802173736718</v>
      </c>
      <c r="BM69" s="11">
        <v>0.15059353693389646</v>
      </c>
      <c r="BN69" s="11">
        <v>0.03761038063777879</v>
      </c>
      <c r="BO69" s="11">
        <v>0.1075846881274694</v>
      </c>
      <c r="BP69" s="11">
        <v>0.04071939028866291</v>
      </c>
      <c r="BQ69" s="11">
        <v>0.2203294686616145</v>
      </c>
      <c r="BR69" s="11">
        <v>0.055357644061575666</v>
      </c>
      <c r="BS69" s="11">
        <v>0.1668070039078524</v>
      </c>
      <c r="BT69" s="11">
        <v>0.044864736489841746</v>
      </c>
      <c r="BU69" s="11">
        <v>0.3267266878252046</v>
      </c>
      <c r="BV69" s="11">
        <v>0.03656486638509834</v>
      </c>
      <c r="BW69" s="11">
        <v>4.4460252534234395E-4</v>
      </c>
      <c r="BX69" s="11">
        <v>0.00293437666725947</v>
      </c>
      <c r="BY69" s="11">
        <v>1.7784101013693757E-4</v>
      </c>
      <c r="BZ69" s="11">
        <v>0.6021696603236706</v>
      </c>
      <c r="CA69" s="11">
        <v>0.39427351947359063</v>
      </c>
      <c r="CB69" s="11">
        <v>1.0</v>
      </c>
    </row>
    <row r="70" ht="15.75" customHeight="1">
      <c r="A70" s="9" t="s">
        <v>192</v>
      </c>
      <c r="B70" s="9" t="s">
        <v>196</v>
      </c>
      <c r="C70" s="11">
        <v>0.059958719627250495</v>
      </c>
      <c r="D70" s="11">
        <v>0.008918427630084071</v>
      </c>
      <c r="E70" s="11">
        <v>0.05140877073392411</v>
      </c>
      <c r="F70" s="11">
        <v>0.09026357645989548</v>
      </c>
      <c r="G70" s="11">
        <v>0.10690752101795047</v>
      </c>
      <c r="H70" s="11">
        <v>0.11860940695296524</v>
      </c>
      <c r="I70" s="11">
        <v>0.1764939786412179</v>
      </c>
      <c r="J70" s="11">
        <v>0.027777777777777776</v>
      </c>
      <c r="K70" s="11">
        <v>0.125426039536469</v>
      </c>
      <c r="L70" s="11">
        <v>0.07697114292206317</v>
      </c>
      <c r="M70" s="11">
        <v>0.2172233583276528</v>
      </c>
      <c r="N70" s="11">
        <v>0.011839156409016288</v>
      </c>
      <c r="O70" s="11">
        <v>0.7436708860759493</v>
      </c>
      <c r="P70" s="11">
        <v>0.2563291139240506</v>
      </c>
      <c r="Q70" s="11">
        <v>0.011110278540336919</v>
      </c>
      <c r="R70" s="11">
        <v>0.002145922746781116</v>
      </c>
      <c r="S70" s="11">
        <v>0.04322501532801962</v>
      </c>
      <c r="T70" s="11">
        <v>0.03740036787247088</v>
      </c>
      <c r="U70" s="11">
        <v>0.24555487431023912</v>
      </c>
      <c r="V70" s="11">
        <v>0.07357449417535254</v>
      </c>
      <c r="W70" s="11">
        <v>0.02973635806253832</v>
      </c>
      <c r="X70" s="11">
        <v>0.09135499693439608</v>
      </c>
      <c r="Y70" s="11">
        <v>0.26670754138565295</v>
      </c>
      <c r="Z70" s="11">
        <v>0.21030042918454936</v>
      </c>
      <c r="AA70" s="11">
        <v>0.07871199787467388</v>
      </c>
      <c r="AB70" s="11">
        <v>0.00640415404586759</v>
      </c>
      <c r="AC70" s="11">
        <v>0.9831241886629165</v>
      </c>
      <c r="AD70" s="11">
        <v>0.010471657291215923</v>
      </c>
      <c r="AE70" s="11">
        <v>0.0026123800246592326</v>
      </c>
      <c r="AF70" s="11">
        <v>0.11082138200782268</v>
      </c>
      <c r="AG70" s="11">
        <v>0.817470664928292</v>
      </c>
      <c r="AH70" s="11">
        <v>0.07170795306388526</v>
      </c>
      <c r="AI70" s="11">
        <v>0.11337797426448049</v>
      </c>
      <c r="AJ70" s="11">
        <v>0.08014900264359529</v>
      </c>
      <c r="AK70" s="11">
        <v>0.031332612352799806</v>
      </c>
      <c r="AL70" s="11">
        <v>0.03256428743090603</v>
      </c>
      <c r="AM70" s="11">
        <v>0.41462388848834414</v>
      </c>
      <c r="AN70" s="11">
        <v>0.1192621965873588</v>
      </c>
      <c r="AO70" s="11">
        <v>0.063746695505888</v>
      </c>
      <c r="AP70" s="11">
        <v>0.06422734919490507</v>
      </c>
      <c r="AQ70" s="11">
        <v>0.06891372266282143</v>
      </c>
      <c r="AR70" s="11">
        <v>0.1251802451333814</v>
      </c>
      <c r="AS70" s="11">
        <v>0.11716541440453403</v>
      </c>
      <c r="AT70" s="11">
        <v>0.003924418604651163</v>
      </c>
      <c r="AU70" s="11">
        <v>0.11886627906976745</v>
      </c>
      <c r="AV70" s="11">
        <v>0.04125</v>
      </c>
      <c r="AW70" s="11">
        <v>0.09517441860465116</v>
      </c>
      <c r="AX70" s="11">
        <v>0.1713953488372093</v>
      </c>
      <c r="AY70" s="11">
        <v>0.11247093023255814</v>
      </c>
      <c r="AZ70" s="11">
        <v>0.09110465116279069</v>
      </c>
      <c r="BA70" s="11">
        <v>0.10453488372093023</v>
      </c>
      <c r="BB70" s="11">
        <v>0.26127906976744186</v>
      </c>
      <c r="BC70" s="11">
        <v>0.40783100932554955</v>
      </c>
      <c r="BD70" s="11">
        <v>0.047527977284115584</v>
      </c>
      <c r="BE70" s="11">
        <v>0.08852513779856355</v>
      </c>
      <c r="BF70" s="11">
        <v>0.006271922498747286</v>
      </c>
      <c r="BG70" s="11">
        <v>0.130891932520461</v>
      </c>
      <c r="BH70" s="11">
        <v>0.10401703691331218</v>
      </c>
      <c r="BI70" s="11">
        <v>0.14688491732086187</v>
      </c>
      <c r="BJ70" s="11">
        <v>0.14936529146484048</v>
      </c>
      <c r="BK70" s="11">
        <v>0.27978954401202605</v>
      </c>
      <c r="BL70" s="11">
        <v>0.04672624018707199</v>
      </c>
      <c r="BM70" s="11">
        <v>0.1568143268778823</v>
      </c>
      <c r="BN70" s="11">
        <v>0.03748832562281445</v>
      </c>
      <c r="BO70" s="11">
        <v>0.11346408635781152</v>
      </c>
      <c r="BP70" s="11">
        <v>0.03284029452010165</v>
      </c>
      <c r="BQ70" s="11">
        <v>0.22123759258052605</v>
      </c>
      <c r="BR70" s="11">
        <v>0.045763558567363874</v>
      </c>
      <c r="BS70" s="11">
        <v>0.16850198735909297</v>
      </c>
      <c r="BT70" s="11">
        <v>0.04081145066353902</v>
      </c>
      <c r="BU70" s="11">
        <v>0.33989270432875046</v>
      </c>
      <c r="BV70" s="11">
        <v>0.04057874265161682</v>
      </c>
      <c r="BW70" s="11">
        <v>1.6786973308712439E-4</v>
      </c>
      <c r="BX70" s="11">
        <v>0.005036091992613732</v>
      </c>
      <c r="BY70" s="11">
        <v>0.0010072183985227463</v>
      </c>
      <c r="BZ70" s="11">
        <v>0.7728722511331207</v>
      </c>
      <c r="CA70" s="11">
        <v>0.2209165687426557</v>
      </c>
      <c r="CB70" s="11">
        <v>1.0</v>
      </c>
    </row>
    <row r="71" ht="15.75" customHeight="1">
      <c r="A71" s="9" t="s">
        <v>193</v>
      </c>
      <c r="B71" s="9" t="s">
        <v>196</v>
      </c>
      <c r="C71" s="11">
        <v>0.04968537842404569</v>
      </c>
      <c r="D71" s="11">
        <v>0.009507557289127255</v>
      </c>
      <c r="E71" s="11">
        <v>0.05887372013651877</v>
      </c>
      <c r="F71" s="11">
        <v>0.08764017552413457</v>
      </c>
      <c r="G71" s="11">
        <v>0.11421257922964408</v>
      </c>
      <c r="H71" s="11">
        <v>0.1052535348610434</v>
      </c>
      <c r="I71" s="11">
        <v>0.17290346172598733</v>
      </c>
      <c r="J71" s="11">
        <v>0.02992442710872745</v>
      </c>
      <c r="K71" s="11">
        <v>0.1318868844466114</v>
      </c>
      <c r="L71" s="11">
        <v>0.07435397367137982</v>
      </c>
      <c r="M71" s="11">
        <v>0.21544368600682595</v>
      </c>
      <c r="N71" s="11">
        <v>0.010440954705394292</v>
      </c>
      <c r="O71" s="11">
        <v>0.7958236658932715</v>
      </c>
      <c r="P71" s="11">
        <v>0.20417633410672853</v>
      </c>
      <c r="Q71" s="11">
        <v>0.01286344999666907</v>
      </c>
      <c r="R71" s="11">
        <v>4.7080979284369113E-4</v>
      </c>
      <c r="S71" s="11">
        <v>0.02401129943502825</v>
      </c>
      <c r="T71" s="11">
        <v>0.03154425612052731</v>
      </c>
      <c r="U71" s="11">
        <v>0.2474105461393597</v>
      </c>
      <c r="V71" s="11">
        <v>0.0661487758945386</v>
      </c>
      <c r="W71" s="11">
        <v>0.027071563088512243</v>
      </c>
      <c r="X71" s="11">
        <v>0.10028248587570622</v>
      </c>
      <c r="Y71" s="11">
        <v>0.3354519774011299</v>
      </c>
      <c r="Z71" s="11">
        <v>0.16760828625235405</v>
      </c>
      <c r="AA71" s="11">
        <v>0.10463362786838583</v>
      </c>
      <c r="AB71" s="11">
        <v>0.005788041905423395</v>
      </c>
      <c r="AC71" s="11">
        <v>0.9852404931411703</v>
      </c>
      <c r="AD71" s="11">
        <v>0.008971464953406262</v>
      </c>
      <c r="AE71" s="11">
        <v>0.0025163669838116753</v>
      </c>
      <c r="AF71" s="11">
        <v>0.10830324909747292</v>
      </c>
      <c r="AG71" s="11">
        <v>0.8182912154031288</v>
      </c>
      <c r="AH71" s="11">
        <v>0.07340553549939831</v>
      </c>
      <c r="AI71" s="11">
        <v>0.11211308208019671</v>
      </c>
      <c r="AJ71" s="11">
        <v>0.08240600691443388</v>
      </c>
      <c r="AK71" s="11">
        <v>0.03473422644770959</v>
      </c>
      <c r="AL71" s="11">
        <v>0.03111495246326707</v>
      </c>
      <c r="AM71" s="11">
        <v>0.3989304235090752</v>
      </c>
      <c r="AN71" s="11">
        <v>0.10428370786516854</v>
      </c>
      <c r="AO71" s="11">
        <v>0.08883426966292135</v>
      </c>
      <c r="AP71" s="11">
        <v>0.07230445116681072</v>
      </c>
      <c r="AQ71" s="11">
        <v>0.06611927398444252</v>
      </c>
      <c r="AR71" s="11">
        <v>0.12127268798617113</v>
      </c>
      <c r="AS71" s="11">
        <v>0.11196773236272022</v>
      </c>
      <c r="AT71" s="11">
        <v>0.0047057550843790565</v>
      </c>
      <c r="AU71" s="11">
        <v>0.11761683254002596</v>
      </c>
      <c r="AV71" s="11">
        <v>0.0453807875378624</v>
      </c>
      <c r="AW71" s="11">
        <v>0.08700237992211164</v>
      </c>
      <c r="AX71" s="11">
        <v>0.12689311986153182</v>
      </c>
      <c r="AY71" s="11">
        <v>0.11577780181739507</v>
      </c>
      <c r="AZ71" s="11">
        <v>0.1095305062743401</v>
      </c>
      <c r="BA71" s="11">
        <v>0.10969277369104284</v>
      </c>
      <c r="BB71" s="11">
        <v>0.28340004327131113</v>
      </c>
      <c r="BC71" s="11">
        <v>0.41001944052471245</v>
      </c>
      <c r="BD71" s="11">
        <v>0.03952615875454196</v>
      </c>
      <c r="BE71" s="11">
        <v>0.09579480665268382</v>
      </c>
      <c r="BF71" s="11">
        <v>0.0071711323151457855</v>
      </c>
      <c r="BG71" s="11">
        <v>0.12507016040885055</v>
      </c>
      <c r="BH71" s="11">
        <v>0.09751558299607102</v>
      </c>
      <c r="BI71" s="11">
        <v>0.1305869841363623</v>
      </c>
      <c r="BJ71" s="11">
        <v>0.1451508079524977</v>
      </c>
      <c r="BK71" s="11">
        <v>0.3166523884080234</v>
      </c>
      <c r="BL71" s="11">
        <v>0.04253197837582346</v>
      </c>
      <c r="BM71" s="11">
        <v>0.15181172366596213</v>
      </c>
      <c r="BN71" s="11">
        <v>0.03905533171101448</v>
      </c>
      <c r="BO71" s="11">
        <v>0.11263812981210357</v>
      </c>
      <c r="BP71" s="11">
        <v>0.03255275860693342</v>
      </c>
      <c r="BQ71" s="11">
        <v>0.2190928312123509</v>
      </c>
      <c r="BR71" s="11">
        <v>0.04809111580963019</v>
      </c>
      <c r="BS71" s="11">
        <v>0.16306299118362788</v>
      </c>
      <c r="BT71" s="11">
        <v>0.04122950492679619</v>
      </c>
      <c r="BU71" s="11">
        <v>0.3442773367375434</v>
      </c>
      <c r="BV71" s="11">
        <v>0.033948243388101915</v>
      </c>
      <c r="BW71" s="11">
        <v>3.567924360003568E-4</v>
      </c>
      <c r="BX71" s="11">
        <v>0.004995094104004995</v>
      </c>
      <c r="BY71" s="11">
        <v>9.811791990009813E-4</v>
      </c>
      <c r="BZ71" s="11">
        <v>0.5820176612255821</v>
      </c>
      <c r="CA71" s="11">
        <v>0.41164927303541166</v>
      </c>
      <c r="CB71" s="11">
        <v>0.9999999999999999</v>
      </c>
    </row>
    <row r="72" ht="15.75" customHeight="1">
      <c r="A72" s="9" t="s">
        <v>194</v>
      </c>
      <c r="B72" s="9" t="s">
        <v>196</v>
      </c>
      <c r="C72" s="11">
        <v>0.0468179703499777</v>
      </c>
      <c r="D72" s="11">
        <v>0.008554013215182094</v>
      </c>
      <c r="E72" s="11">
        <v>0.05480715054038826</v>
      </c>
      <c r="F72" s="11">
        <v>0.0926599395584695</v>
      </c>
      <c r="G72" s="11">
        <v>0.12544178661066435</v>
      </c>
      <c r="H72" s="11">
        <v>0.1030067100343185</v>
      </c>
      <c r="I72" s="11">
        <v>0.16201403472826922</v>
      </c>
      <c r="J72" s="11">
        <v>0.028940224350765764</v>
      </c>
      <c r="K72" s="11">
        <v>0.1314347180248937</v>
      </c>
      <c r="L72" s="11">
        <v>0.08502791579163038</v>
      </c>
      <c r="M72" s="11">
        <v>0.20811350714541824</v>
      </c>
      <c r="N72" s="11">
        <v>0.009237454376279982</v>
      </c>
      <c r="O72" s="11">
        <v>0.8229491173416407</v>
      </c>
      <c r="P72" s="11">
        <v>0.1770508826583593</v>
      </c>
      <c r="Q72" s="11">
        <v>0.011153530712377518</v>
      </c>
      <c r="R72" s="11">
        <v>8.600301010535369E-4</v>
      </c>
      <c r="S72" s="11">
        <v>0.029026015910556868</v>
      </c>
      <c r="T72" s="11">
        <v>0.03182111373898087</v>
      </c>
      <c r="U72" s="11">
        <v>0.3104708664803268</v>
      </c>
      <c r="V72" s="11">
        <v>0.07847774672113524</v>
      </c>
      <c r="W72" s="11">
        <v>0.026875940657923026</v>
      </c>
      <c r="X72" s="11">
        <v>0.12986454525908406</v>
      </c>
      <c r="Y72" s="11">
        <v>0.20318211137389808</v>
      </c>
      <c r="Z72" s="11">
        <v>0.1894216297570415</v>
      </c>
      <c r="AA72" s="11">
        <v>0.15781610463359536</v>
      </c>
      <c r="AB72" s="11">
        <v>0.005698308741965385</v>
      </c>
      <c r="AC72" s="11">
        <v>0.9889528787855765</v>
      </c>
      <c r="AD72" s="11">
        <v>0.005348812472458175</v>
      </c>
      <c r="AE72" s="11">
        <v>0.0026187175957678452</v>
      </c>
      <c r="AF72" s="11">
        <v>0.11721611721611722</v>
      </c>
      <c r="AG72" s="11">
        <v>0.8131868131868132</v>
      </c>
      <c r="AH72" s="11">
        <v>0.0695970695970696</v>
      </c>
      <c r="AI72" s="11">
        <v>0.12323800114149229</v>
      </c>
      <c r="AJ72" s="11">
        <v>0.0730686904066939</v>
      </c>
      <c r="AK72" s="11">
        <v>0.06618019069857949</v>
      </c>
      <c r="AL72" s="11">
        <v>0.024654602062658106</v>
      </c>
      <c r="AM72" s="11">
        <v>0.37178439385094375</v>
      </c>
      <c r="AN72" s="11">
        <v>0.09062074333527924</v>
      </c>
      <c r="AO72" s="11">
        <v>0.11103327495621716</v>
      </c>
      <c r="AP72" s="11">
        <v>0.06125705390153727</v>
      </c>
      <c r="AQ72" s="11">
        <v>0.05576960498151391</v>
      </c>
      <c r="AR72" s="11">
        <v>0.14563144580657716</v>
      </c>
      <c r="AS72" s="11">
        <v>0.1055568611839865</v>
      </c>
      <c r="AT72" s="11">
        <v>0.004589136015630325</v>
      </c>
      <c r="AU72" s="11">
        <v>0.11638685053502056</v>
      </c>
      <c r="AV72" s="11">
        <v>0.046459322534475316</v>
      </c>
      <c r="AW72" s="11">
        <v>0.0863757184724084</v>
      </c>
      <c r="AX72" s="11">
        <v>0.12093054956039712</v>
      </c>
      <c r="AY72" s="11">
        <v>0.10984392393847832</v>
      </c>
      <c r="AZ72" s="11">
        <v>0.1184542335915669</v>
      </c>
      <c r="BA72" s="11">
        <v>0.11411500102233228</v>
      </c>
      <c r="BB72" s="11">
        <v>0.2828452643296908</v>
      </c>
      <c r="BC72" s="11">
        <v>0.3762631955069329</v>
      </c>
      <c r="BD72" s="11">
        <v>0.039834035474598635</v>
      </c>
      <c r="BE72" s="11">
        <v>0.1007641761365447</v>
      </c>
      <c r="BF72" s="11">
        <v>0.006978923015149681</v>
      </c>
      <c r="BG72" s="11">
        <v>0.12667223280922366</v>
      </c>
      <c r="BH72" s="11">
        <v>0.09386173446950626</v>
      </c>
      <c r="BI72" s="11">
        <v>0.1296422584942097</v>
      </c>
      <c r="BJ72" s="11">
        <v>0.14849491080362776</v>
      </c>
      <c r="BK72" s="11">
        <v>0.31899095608058586</v>
      </c>
      <c r="BL72" s="11">
        <v>0.03476077271655375</v>
      </c>
      <c r="BM72" s="11">
        <v>0.1378303972680924</v>
      </c>
      <c r="BN72" s="11">
        <v>0.037163984341017836</v>
      </c>
      <c r="BO72" s="11">
        <v>0.10902131361461505</v>
      </c>
      <c r="BP72" s="11">
        <v>0.03832970856894302</v>
      </c>
      <c r="BQ72" s="11">
        <v>0.22321009134406264</v>
      </c>
      <c r="BR72" s="11">
        <v>0.05400608960417573</v>
      </c>
      <c r="BS72" s="11">
        <v>0.15839930404523705</v>
      </c>
      <c r="BT72" s="11">
        <v>0.04316659417137886</v>
      </c>
      <c r="BU72" s="11">
        <v>0.3367029143105698</v>
      </c>
      <c r="BV72" s="11">
        <v>0.029467767231497514</v>
      </c>
      <c r="BW72" s="11">
        <v>2.44140625E-4</v>
      </c>
      <c r="BX72" s="11">
        <v>0.006510416666666667</v>
      </c>
      <c r="BY72" s="11">
        <v>0.0013834635416666667</v>
      </c>
      <c r="BZ72" s="11">
        <v>0.5663248697916666</v>
      </c>
      <c r="CA72" s="11">
        <v>0.425537109375</v>
      </c>
      <c r="CB72" s="11">
        <v>1.0</v>
      </c>
    </row>
    <row r="73" ht="15.75" customHeight="1">
      <c r="A73" s="9" t="s">
        <v>195</v>
      </c>
      <c r="B73" s="9" t="s">
        <v>196</v>
      </c>
      <c r="C73" s="11">
        <v>0.047489997152385964</v>
      </c>
      <c r="D73" s="11">
        <v>0.010772905127293054</v>
      </c>
      <c r="E73" s="11">
        <v>0.05259413588088826</v>
      </c>
      <c r="F73" s="11">
        <v>0.10335891051374561</v>
      </c>
      <c r="G73" s="11">
        <v>0.11331876619746939</v>
      </c>
      <c r="H73" s="11">
        <v>0.10859291630672291</v>
      </c>
      <c r="I73" s="11">
        <v>0.17099446110066568</v>
      </c>
      <c r="J73" s="11">
        <v>0.03104832562630215</v>
      </c>
      <c r="K73" s="11">
        <v>0.1312058539559937</v>
      </c>
      <c r="L73" s="11">
        <v>0.07307281874078968</v>
      </c>
      <c r="M73" s="11">
        <v>0.20504090655012958</v>
      </c>
      <c r="N73" s="11">
        <v>0.008484924538228012</v>
      </c>
      <c r="O73" s="11">
        <v>0.8327645051194539</v>
      </c>
      <c r="P73" s="11">
        <v>0.16723549488054607</v>
      </c>
      <c r="Q73" s="11">
        <v>0.009484002683514245</v>
      </c>
      <c r="R73" s="11">
        <v>5.089058524173028E-4</v>
      </c>
      <c r="S73" s="11">
        <v>0.030534351145038167</v>
      </c>
      <c r="T73" s="11">
        <v>0.03307888040712468</v>
      </c>
      <c r="U73" s="11">
        <v>0.21399491094147582</v>
      </c>
      <c r="V73" s="11">
        <v>0.07124681933842239</v>
      </c>
      <c r="W73" s="11">
        <v>0.030279898218829517</v>
      </c>
      <c r="X73" s="11">
        <v>0.12162849872773537</v>
      </c>
      <c r="Y73" s="11">
        <v>0.2592875318066158</v>
      </c>
      <c r="Z73" s="11">
        <v>0.23944020356234097</v>
      </c>
      <c r="AA73" s="11">
        <v>0.14715890168974521</v>
      </c>
      <c r="AB73" s="11">
        <v>0.0050180387012135124</v>
      </c>
      <c r="AC73" s="11">
        <v>0.9901771072482781</v>
      </c>
      <c r="AD73" s="11">
        <v>0.004804854050508363</v>
      </c>
      <c r="AE73" s="11">
        <v>0.002391513144875984</v>
      </c>
      <c r="AF73" s="11">
        <v>0.16347124117053483</v>
      </c>
      <c r="AG73" s="11">
        <v>0.7578203834510595</v>
      </c>
      <c r="AH73" s="11">
        <v>0.07870837537840565</v>
      </c>
      <c r="AI73" s="11">
        <v>0.10336356308913032</v>
      </c>
      <c r="AJ73" s="11">
        <v>0.0635039223010833</v>
      </c>
      <c r="AK73" s="11">
        <v>0.06607209562943593</v>
      </c>
      <c r="AL73" s="11">
        <v>0.026802390735898393</v>
      </c>
      <c r="AM73" s="11">
        <v>0.39692286141202837</v>
      </c>
      <c r="AN73" s="11">
        <v>0.12065745237205827</v>
      </c>
      <c r="AO73" s="11">
        <v>0.08318546880836758</v>
      </c>
      <c r="AP73" s="11">
        <v>0.06369069854314531</v>
      </c>
      <c r="AQ73" s="11">
        <v>0.06308367575644377</v>
      </c>
      <c r="AR73" s="11">
        <v>0.11608143444153904</v>
      </c>
      <c r="AS73" s="11">
        <v>0.09808823742344021</v>
      </c>
      <c r="AT73" s="11">
        <v>0.00433006937952074</v>
      </c>
      <c r="AU73" s="11">
        <v>0.12768784136200365</v>
      </c>
      <c r="AV73" s="11">
        <v>0.04263642178812183</v>
      </c>
      <c r="AW73" s="11">
        <v>0.094154406337647</v>
      </c>
      <c r="AX73" s="11">
        <v>0.1052256064557398</v>
      </c>
      <c r="AY73" s="11">
        <v>0.113295281208483</v>
      </c>
      <c r="AZ73" s="11">
        <v>0.1167642572454854</v>
      </c>
      <c r="BA73" s="11">
        <v>0.102691531762043</v>
      </c>
      <c r="BB73" s="11">
        <v>0.29321458446095555</v>
      </c>
      <c r="BC73" s="11">
        <v>0.41876577650573626</v>
      </c>
      <c r="BD73" s="11">
        <v>0.042638406260625025</v>
      </c>
      <c r="BE73" s="11">
        <v>0.10557313186844851</v>
      </c>
      <c r="BF73" s="11">
        <v>0.006748151605783471</v>
      </c>
      <c r="BG73" s="11">
        <v>0.1201816411089789</v>
      </c>
      <c r="BH73" s="11">
        <v>0.07218390009739006</v>
      </c>
      <c r="BI73" s="11">
        <v>0.1164358695088429</v>
      </c>
      <c r="BJ73" s="11">
        <v>0.13825354839825044</v>
      </c>
      <c r="BK73" s="11">
        <v>0.36343781154734944</v>
      </c>
      <c r="BL73" s="11">
        <v>0.03454753960433127</v>
      </c>
      <c r="BM73" s="11">
        <v>0.13443151488240318</v>
      </c>
      <c r="BN73" s="11">
        <v>0.035184719778838906</v>
      </c>
      <c r="BO73" s="11">
        <v>0.0957886044591247</v>
      </c>
      <c r="BP73" s="11">
        <v>0.040372670807453416</v>
      </c>
      <c r="BQ73" s="11">
        <v>0.21837863066815064</v>
      </c>
      <c r="BR73" s="11">
        <v>0.05180770473557606</v>
      </c>
      <c r="BS73" s="11">
        <v>0.17971134168671238</v>
      </c>
      <c r="BT73" s="11">
        <v>0.04669155925753061</v>
      </c>
      <c r="BU73" s="11">
        <v>0.33206476860661327</v>
      </c>
      <c r="BV73" s="11">
        <v>0.030341568890540613</v>
      </c>
      <c r="BW73" s="11">
        <v>4.772130756382725E-4</v>
      </c>
      <c r="BX73" s="11">
        <v>0.005249343832020997</v>
      </c>
      <c r="BY73" s="11">
        <v>0.0015111747395211961</v>
      </c>
      <c r="BZ73" s="11">
        <v>0.6812216654736339</v>
      </c>
      <c r="CA73" s="11">
        <v>0.31154060287918556</v>
      </c>
      <c r="CB73" s="11">
        <v>1.0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>
      <c r="A1" s="12" t="s">
        <v>275</v>
      </c>
      <c r="B1" s="12" t="s">
        <v>276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2" t="s">
        <v>66</v>
      </c>
      <c r="BQ1" s="12" t="s">
        <v>67</v>
      </c>
      <c r="BR1" s="12" t="s">
        <v>68</v>
      </c>
      <c r="BS1" s="12" t="s">
        <v>69</v>
      </c>
      <c r="BT1" s="12" t="s">
        <v>70</v>
      </c>
      <c r="BU1" s="12" t="s">
        <v>71</v>
      </c>
      <c r="BV1" s="12" t="s">
        <v>72</v>
      </c>
      <c r="BW1" s="12" t="s">
        <v>73</v>
      </c>
      <c r="BX1" s="12" t="s">
        <v>74</v>
      </c>
      <c r="BY1" s="12" t="s">
        <v>75</v>
      </c>
      <c r="BZ1" s="12" t="s">
        <v>76</v>
      </c>
      <c r="CA1" s="12" t="s">
        <v>77</v>
      </c>
      <c r="CB1" s="12" t="s">
        <v>78</v>
      </c>
    </row>
    <row r="2">
      <c r="A2" s="9" t="s">
        <v>161</v>
      </c>
      <c r="B2" s="9" t="s">
        <v>0</v>
      </c>
      <c r="C2" s="11">
        <v>1.200430216373529</v>
      </c>
      <c r="D2" s="11">
        <v>0.7577639751552795</v>
      </c>
      <c r="E2" s="11">
        <v>1.0891456871646719</v>
      </c>
      <c r="F2" s="11">
        <v>1.289224952741021</v>
      </c>
      <c r="G2" s="11">
        <v>0.9743589743589743</v>
      </c>
      <c r="H2" s="11">
        <v>1.5475615644616127</v>
      </c>
      <c r="I2" s="11">
        <v>0.8509933774834437</v>
      </c>
      <c r="J2" s="11">
        <v>1.3131548311990686</v>
      </c>
      <c r="K2" s="11">
        <v>0.9558823529411765</v>
      </c>
      <c r="L2" s="11">
        <v>0.978021978021978</v>
      </c>
      <c r="M2" s="11">
        <v>1.065934065934066</v>
      </c>
      <c r="N2" s="11">
        <v>0.8382352941176471</v>
      </c>
      <c r="O2" s="11">
        <v>0.844</v>
      </c>
      <c r="P2" s="11">
        <v>0.7727272727272727</v>
      </c>
      <c r="Q2" s="11">
        <v>1.0561579301577806</v>
      </c>
      <c r="R2" s="11">
        <v>0.8387622149837134</v>
      </c>
      <c r="S2" s="11">
        <v>0.6984126984126984</v>
      </c>
      <c r="T2" s="11">
        <v>1.4</v>
      </c>
      <c r="U2" s="11">
        <v>0.9316628701594533</v>
      </c>
      <c r="V2" s="11">
        <v>0.8918918918918919</v>
      </c>
      <c r="W2" s="11">
        <v>0.8998405103668261</v>
      </c>
      <c r="X2" s="11">
        <v>0.9321266968325792</v>
      </c>
      <c r="Y2" s="11">
        <v>1.2739946380697051</v>
      </c>
      <c r="Z2" s="11">
        <v>1.0725806451612903</v>
      </c>
      <c r="AA2" s="11">
        <v>1.1196409224578239</v>
      </c>
      <c r="AB2" s="11">
        <v>1.146246764452114</v>
      </c>
      <c r="AC2" s="11">
        <v>1.0278637770897834</v>
      </c>
      <c r="AD2" s="11">
        <v>1.2380952380952381</v>
      </c>
      <c r="AE2" s="11">
        <v>0.7602739726027398</v>
      </c>
      <c r="AF2" s="11">
        <v>0.819672131147541</v>
      </c>
      <c r="AG2" s="11">
        <v>0.07142857142857142</v>
      </c>
      <c r="AH2" s="11">
        <v>1.0</v>
      </c>
      <c r="AI2" s="11">
        <v>1.12776176753122</v>
      </c>
      <c r="AJ2" s="11">
        <v>0.8823529411764706</v>
      </c>
      <c r="AK2" s="11">
        <v>1.3604651162790697</v>
      </c>
      <c r="AL2" s="11">
        <v>2.165137614678899</v>
      </c>
      <c r="AM2" s="11">
        <v>1.074235807860262</v>
      </c>
      <c r="AN2" s="11">
        <v>1.0337078651685394</v>
      </c>
      <c r="AO2" s="11">
        <v>1.0</v>
      </c>
      <c r="AP2" s="11">
        <v>0.9235668789808917</v>
      </c>
      <c r="AQ2" s="11">
        <v>0.9344262295081968</v>
      </c>
      <c r="AR2" s="11">
        <v>0.914572864321608</v>
      </c>
      <c r="AS2" s="11">
        <v>1.1345434131736527</v>
      </c>
      <c r="AT2" s="11">
        <v>0.9151515151515152</v>
      </c>
      <c r="AU2" s="11">
        <v>0.8611111111111112</v>
      </c>
      <c r="AV2" s="11">
        <v>0.8666666666666667</v>
      </c>
      <c r="AW2" s="11">
        <v>1.1810344827586208</v>
      </c>
      <c r="AX2" s="11">
        <v>1.135135135135135</v>
      </c>
      <c r="AY2" s="11">
        <v>1.4056603773584906</v>
      </c>
      <c r="AZ2" s="11">
        <v>1.1656686626746506</v>
      </c>
      <c r="BA2" s="11">
        <v>1.1215230893869834</v>
      </c>
      <c r="BB2" s="11">
        <v>1.1372549019607843</v>
      </c>
      <c r="BC2" s="11">
        <v>1.1975218658892128</v>
      </c>
      <c r="BD2" s="11">
        <v>1.0327868852459017</v>
      </c>
      <c r="BE2" s="11">
        <v>1.1369047619047619</v>
      </c>
      <c r="BF2" s="11">
        <v>1.3846153846153846</v>
      </c>
      <c r="BG2" s="11">
        <v>1.0900621118012421</v>
      </c>
      <c r="BH2" s="11">
        <v>1.1822660098522169</v>
      </c>
      <c r="BI2" s="11">
        <v>1.5422535211267605</v>
      </c>
      <c r="BJ2" s="11">
        <v>1.167857142857143</v>
      </c>
      <c r="BK2" s="11">
        <v>1.2959183673469388</v>
      </c>
      <c r="BL2" s="11">
        <v>1.2733188720173536</v>
      </c>
      <c r="BM2" s="11">
        <v>1.1693023255813952</v>
      </c>
      <c r="BN2" s="11">
        <v>0.9032258064516129</v>
      </c>
      <c r="BO2" s="11">
        <v>0.9722222222222222</v>
      </c>
      <c r="BP2" s="11">
        <v>1.5</v>
      </c>
      <c r="BQ2" s="11">
        <v>1.353846153846154</v>
      </c>
      <c r="BR2" s="11">
        <v>1.6428571428571428</v>
      </c>
      <c r="BS2" s="11">
        <v>1.2295918367346939</v>
      </c>
      <c r="BT2" s="11">
        <v>0.9025270758122743</v>
      </c>
      <c r="BU2" s="11">
        <v>1.2973568281938326</v>
      </c>
      <c r="BV2" s="11">
        <v>1.007239141288068</v>
      </c>
      <c r="BW2" s="11">
        <v>0.9807692307692307</v>
      </c>
      <c r="BX2" s="11">
        <v>1.0459183673469388</v>
      </c>
      <c r="BY2" s="11">
        <v>0.0</v>
      </c>
      <c r="BZ2" s="11">
        <v>0.9685863874345549</v>
      </c>
      <c r="CA2" s="11">
        <v>1.1103166496424923</v>
      </c>
      <c r="CB2" s="11">
        <v>1.1093827451906055</v>
      </c>
    </row>
    <row r="3">
      <c r="A3" s="9" t="s">
        <v>162</v>
      </c>
      <c r="B3" s="9" t="s">
        <v>0</v>
      </c>
      <c r="C3" s="11">
        <v>1.025192368504269</v>
      </c>
      <c r="D3" s="11">
        <v>0.6680327868852459</v>
      </c>
      <c r="E3" s="11">
        <v>1.1708980674497915</v>
      </c>
      <c r="F3" s="11">
        <v>0.9912023460410557</v>
      </c>
      <c r="G3" s="11">
        <v>1.0464396284829722</v>
      </c>
      <c r="H3" s="11">
        <v>0.940405616224649</v>
      </c>
      <c r="I3" s="11">
        <v>1.1303501945525292</v>
      </c>
      <c r="J3" s="11">
        <v>0.976063829787234</v>
      </c>
      <c r="K3" s="11">
        <v>1.2615384615384615</v>
      </c>
      <c r="L3" s="11">
        <v>0.8913857677902621</v>
      </c>
      <c r="M3" s="11">
        <v>1.0824742268041236</v>
      </c>
      <c r="N3" s="11">
        <v>1.25</v>
      </c>
      <c r="O3" s="11">
        <v>1.2606635071090047</v>
      </c>
      <c r="P3" s="11">
        <v>1.1176470588235294</v>
      </c>
      <c r="Q3" s="11">
        <v>0.9530586236193713</v>
      </c>
      <c r="R3" s="11">
        <v>1.025242718446602</v>
      </c>
      <c r="S3" s="11">
        <v>1.1590909090909092</v>
      </c>
      <c r="T3" s="11">
        <v>0.5714285714285714</v>
      </c>
      <c r="U3" s="11">
        <v>0.9828850855745721</v>
      </c>
      <c r="V3" s="11">
        <v>0.6363636363636364</v>
      </c>
      <c r="W3" s="11">
        <v>0.6981566820276498</v>
      </c>
      <c r="X3" s="11">
        <v>1.1650485436893203</v>
      </c>
      <c r="Y3" s="11">
        <v>1.1381874298540966</v>
      </c>
      <c r="Z3" s="11">
        <v>1.1954887218045114</v>
      </c>
      <c r="AA3" s="11">
        <v>1.3265136853746198</v>
      </c>
      <c r="AB3" s="11">
        <v>1.1336093338351525</v>
      </c>
      <c r="AC3" s="11">
        <v>1.736144578313253</v>
      </c>
      <c r="AD3" s="11">
        <v>2.6538461538461537</v>
      </c>
      <c r="AE3" s="11">
        <v>1.135135135135135</v>
      </c>
      <c r="AF3" s="11">
        <v>1.13</v>
      </c>
      <c r="AG3" s="11">
        <v>1.0</v>
      </c>
      <c r="AH3" s="11">
        <v>1.2</v>
      </c>
      <c r="AI3" s="11">
        <v>1.1030664395229983</v>
      </c>
      <c r="AJ3" s="11">
        <v>1.1777777777777778</v>
      </c>
      <c r="AK3" s="11">
        <v>1.4957264957264957</v>
      </c>
      <c r="AL3" s="11">
        <v>0.9364406779661016</v>
      </c>
      <c r="AM3" s="11">
        <v>1.1910569105691058</v>
      </c>
      <c r="AN3" s="11">
        <v>1.141304347826087</v>
      </c>
      <c r="AO3" s="11">
        <v>1.3333333333333333</v>
      </c>
      <c r="AP3" s="11">
        <v>0.9379310344827586</v>
      </c>
      <c r="AQ3" s="11">
        <v>1.3333333333333333</v>
      </c>
      <c r="AR3" s="11">
        <v>0.9395604395604396</v>
      </c>
      <c r="AS3" s="11">
        <v>1.0319973610423883</v>
      </c>
      <c r="AT3" s="11">
        <v>1.1920529801324504</v>
      </c>
      <c r="AU3" s="11">
        <v>1.0806451612903225</v>
      </c>
      <c r="AV3" s="11">
        <v>2.5384615384615383</v>
      </c>
      <c r="AW3" s="11">
        <v>1.2262773722627738</v>
      </c>
      <c r="AX3" s="11">
        <v>1.1666666666666667</v>
      </c>
      <c r="AY3" s="11">
        <v>1.0380313199105144</v>
      </c>
      <c r="AZ3" s="11">
        <v>1.5565068493150684</v>
      </c>
      <c r="BA3" s="11">
        <v>0.9229472670358777</v>
      </c>
      <c r="BB3" s="11">
        <v>1.1695402298850575</v>
      </c>
      <c r="BC3" s="11">
        <v>1.2528910529519173</v>
      </c>
      <c r="BD3" s="11">
        <v>1.2962962962962963</v>
      </c>
      <c r="BE3" s="11">
        <v>1.2015706806282722</v>
      </c>
      <c r="BF3" s="11">
        <v>1.4814814814814814</v>
      </c>
      <c r="BG3" s="11">
        <v>1.225071225071225</v>
      </c>
      <c r="BH3" s="11">
        <v>1.3229166666666667</v>
      </c>
      <c r="BI3" s="11">
        <v>1.3287671232876712</v>
      </c>
      <c r="BJ3" s="11">
        <v>1.2629969418960245</v>
      </c>
      <c r="BK3" s="11">
        <v>1.4488188976377954</v>
      </c>
      <c r="BL3" s="11">
        <v>0.9931856899488927</v>
      </c>
      <c r="BM3" s="11">
        <v>1.0389817024661894</v>
      </c>
      <c r="BN3" s="11">
        <v>1.3214285714285714</v>
      </c>
      <c r="BO3" s="11">
        <v>1.2</v>
      </c>
      <c r="BP3" s="11">
        <v>1.6666666666666667</v>
      </c>
      <c r="BQ3" s="11">
        <v>1.4204545454545454</v>
      </c>
      <c r="BR3" s="11">
        <v>0.9565217391304348</v>
      </c>
      <c r="BS3" s="11">
        <v>1.045643153526971</v>
      </c>
      <c r="BT3" s="11">
        <v>0.964</v>
      </c>
      <c r="BU3" s="11">
        <v>0.9881154499151104</v>
      </c>
      <c r="BV3" s="11">
        <v>1.1705080545229245</v>
      </c>
      <c r="BW3" s="11">
        <v>1.2156862745098038</v>
      </c>
      <c r="BX3" s="11">
        <v>1.2195121951219512</v>
      </c>
      <c r="BY3" s="11">
        <v>0.0</v>
      </c>
      <c r="BZ3" s="11">
        <v>1.3281853281853282</v>
      </c>
      <c r="CA3" s="11">
        <v>0.7773689052437902</v>
      </c>
      <c r="CB3" s="11">
        <v>1.0828315496074385</v>
      </c>
    </row>
    <row r="4">
      <c r="A4" s="9" t="s">
        <v>163</v>
      </c>
      <c r="B4" s="9" t="s">
        <v>0</v>
      </c>
      <c r="C4" s="11">
        <v>0.9573308657207485</v>
      </c>
      <c r="D4" s="11">
        <v>1.116564417177914</v>
      </c>
      <c r="E4" s="11">
        <v>1.0482200647249191</v>
      </c>
      <c r="F4" s="11">
        <v>1.1730769230769231</v>
      </c>
      <c r="G4" s="11">
        <v>1.0931952662721893</v>
      </c>
      <c r="H4" s="11">
        <v>0.7999336429993364</v>
      </c>
      <c r="I4" s="11">
        <v>1.1204819277108433</v>
      </c>
      <c r="J4" s="11">
        <v>0.6948228882833788</v>
      </c>
      <c r="K4" s="11">
        <v>1.1219512195121952</v>
      </c>
      <c r="L4" s="11">
        <v>1.2773109243697478</v>
      </c>
      <c r="M4" s="11">
        <v>1.2857142857142858</v>
      </c>
      <c r="N4" s="11">
        <v>1.1719298245614036</v>
      </c>
      <c r="O4" s="11">
        <v>1.1766917293233083</v>
      </c>
      <c r="P4" s="11">
        <v>1.105263157894737</v>
      </c>
      <c r="Q4" s="11">
        <v>1.0157492013966274</v>
      </c>
      <c r="R4" s="11">
        <v>0.6553030303030303</v>
      </c>
      <c r="S4" s="11">
        <v>1.1568627450980393</v>
      </c>
      <c r="T4" s="11">
        <v>1.0</v>
      </c>
      <c r="U4" s="11">
        <v>1.1467661691542288</v>
      </c>
      <c r="V4" s="11">
        <v>0.9523809523809523</v>
      </c>
      <c r="W4" s="11">
        <v>1.1096725057121097</v>
      </c>
      <c r="X4" s="11">
        <v>1.2083333333333333</v>
      </c>
      <c r="Y4" s="11">
        <v>0.9805250831998028</v>
      </c>
      <c r="Z4" s="11">
        <v>1.0251572327044025</v>
      </c>
      <c r="AA4" s="11">
        <v>1.1334931221342226</v>
      </c>
      <c r="AB4" s="11">
        <v>1.1382802124833997</v>
      </c>
      <c r="AC4" s="11">
        <v>1.0114503816793894</v>
      </c>
      <c r="AD4" s="11">
        <v>1.6014492753623188</v>
      </c>
      <c r="AE4" s="11">
        <v>1.0793650793650793</v>
      </c>
      <c r="AF4" s="11">
        <v>1.0353982300884956</v>
      </c>
      <c r="AG4" s="11">
        <v>1.0</v>
      </c>
      <c r="AH4" s="11">
        <v>1.5</v>
      </c>
      <c r="AI4" s="11">
        <v>1.1822393822393822</v>
      </c>
      <c r="AJ4" s="11">
        <v>1.0</v>
      </c>
      <c r="AK4" s="11">
        <v>1.4457142857142857</v>
      </c>
      <c r="AL4" s="11">
        <v>0.8506787330316742</v>
      </c>
      <c r="AM4" s="11">
        <v>1.3003412969283277</v>
      </c>
      <c r="AN4" s="11">
        <v>1.1904761904761905</v>
      </c>
      <c r="AO4" s="11">
        <v>1.4166666666666667</v>
      </c>
      <c r="AP4" s="11">
        <v>1.3308823529411764</v>
      </c>
      <c r="AQ4" s="11">
        <v>1.0789473684210527</v>
      </c>
      <c r="AR4" s="11">
        <v>1.1578947368421053</v>
      </c>
      <c r="AS4" s="11">
        <v>1.0362793671088382</v>
      </c>
      <c r="AT4" s="11">
        <v>1.038888888888889</v>
      </c>
      <c r="AU4" s="11">
        <v>1.0</v>
      </c>
      <c r="AV4" s="11">
        <v>1.5151515151515151</v>
      </c>
      <c r="AW4" s="11">
        <v>1.244047619047619</v>
      </c>
      <c r="AX4" s="11">
        <v>1.1122448979591837</v>
      </c>
      <c r="AY4" s="11">
        <v>1.1982758620689655</v>
      </c>
      <c r="AZ4" s="11">
        <v>1.12981298129813</v>
      </c>
      <c r="BA4" s="11">
        <v>0.9446908426819723</v>
      </c>
      <c r="BB4" s="11">
        <v>1.348894348894349</v>
      </c>
      <c r="BC4" s="11">
        <v>1.1809570075297546</v>
      </c>
      <c r="BD4" s="11">
        <v>1.1551020408163266</v>
      </c>
      <c r="BE4" s="11">
        <v>1.1394335511982572</v>
      </c>
      <c r="BF4" s="11">
        <v>0.9875</v>
      </c>
      <c r="BG4" s="11">
        <v>1.1883720930232557</v>
      </c>
      <c r="BH4" s="11">
        <v>1.2724409448818899</v>
      </c>
      <c r="BI4" s="11">
        <v>1.0893470790378006</v>
      </c>
      <c r="BJ4" s="11">
        <v>1.3123486682808716</v>
      </c>
      <c r="BK4" s="11">
        <v>1.1141304347826086</v>
      </c>
      <c r="BL4" s="11">
        <v>1.1938250428816466</v>
      </c>
      <c r="BM4" s="11">
        <v>1.0895865237366003</v>
      </c>
      <c r="BN4" s="11">
        <v>1.027027027027027</v>
      </c>
      <c r="BO4" s="11">
        <v>0.8571428571428571</v>
      </c>
      <c r="BP4" s="11">
        <v>0.4</v>
      </c>
      <c r="BQ4" s="11">
        <v>1.136</v>
      </c>
      <c r="BR4" s="11">
        <v>1.3636363636363635</v>
      </c>
      <c r="BS4" s="11">
        <v>1.2341269841269842</v>
      </c>
      <c r="BT4" s="11">
        <v>1.0788381742738589</v>
      </c>
      <c r="BU4" s="11">
        <v>1.0378006872852235</v>
      </c>
      <c r="BV4" s="11">
        <v>1.0743171712894346</v>
      </c>
      <c r="BW4" s="11">
        <v>1.0591397849462365</v>
      </c>
      <c r="BX4" s="11">
        <v>1.284</v>
      </c>
      <c r="BY4" s="11">
        <v>0.0</v>
      </c>
      <c r="BZ4" s="11">
        <v>1.0761627906976745</v>
      </c>
      <c r="CA4" s="11">
        <v>1.0106508875739646</v>
      </c>
      <c r="CB4" s="11">
        <v>1.0552739133852078</v>
      </c>
    </row>
    <row r="5">
      <c r="A5" s="9" t="s">
        <v>164</v>
      </c>
      <c r="B5" s="9" t="s">
        <v>0</v>
      </c>
      <c r="C5" s="11">
        <v>1.136827408441628</v>
      </c>
      <c r="D5" s="11">
        <v>1.2417582417582418</v>
      </c>
      <c r="E5" s="11">
        <v>1.1327570237727693</v>
      </c>
      <c r="F5" s="11">
        <v>1.2068095838587642</v>
      </c>
      <c r="G5" s="11">
        <v>1.2354533152909337</v>
      </c>
      <c r="H5" s="11">
        <v>1.0157610949813356</v>
      </c>
      <c r="I5" s="11">
        <v>1.2672811059907834</v>
      </c>
      <c r="J5" s="11">
        <v>1.1607843137254903</v>
      </c>
      <c r="K5" s="11">
        <v>1.2173913043478262</v>
      </c>
      <c r="L5" s="11">
        <v>1.332236842105263</v>
      </c>
      <c r="M5" s="11">
        <v>1.0444444444444445</v>
      </c>
      <c r="N5" s="11">
        <v>1.1287425149700598</v>
      </c>
      <c r="O5" s="11">
        <v>1.134185303514377</v>
      </c>
      <c r="P5" s="11">
        <v>1.0476190476190477</v>
      </c>
      <c r="Q5" s="11">
        <v>0.9871279163314561</v>
      </c>
      <c r="R5" s="11">
        <v>1.1502890173410405</v>
      </c>
      <c r="S5" s="11">
        <v>1.0338983050847457</v>
      </c>
      <c r="T5" s="11">
        <v>1.375</v>
      </c>
      <c r="U5" s="11">
        <v>0.9088937093275488</v>
      </c>
      <c r="V5" s="11">
        <v>0.45</v>
      </c>
      <c r="W5" s="11">
        <v>1.0384351407000687</v>
      </c>
      <c r="X5" s="11">
        <v>1.1310344827586207</v>
      </c>
      <c r="Y5" s="11">
        <v>0.947705845380264</v>
      </c>
      <c r="Z5" s="11">
        <v>1.1840490797546013</v>
      </c>
      <c r="AA5" s="11">
        <v>1.0675737795347982</v>
      </c>
      <c r="AB5" s="11">
        <v>1.0711681493364444</v>
      </c>
      <c r="AC5" s="11">
        <v>1.0713550600343054</v>
      </c>
      <c r="AD5" s="11">
        <v>1.035294117647059</v>
      </c>
      <c r="AE5" s="11">
        <v>1.1323529411764706</v>
      </c>
      <c r="AF5" s="11">
        <v>1.1196581196581197</v>
      </c>
      <c r="AG5" s="11">
        <v>1.0</v>
      </c>
      <c r="AH5" s="11">
        <v>1.2222222222222223</v>
      </c>
      <c r="AI5" s="11">
        <v>1.1868060091443502</v>
      </c>
      <c r="AJ5" s="11">
        <v>0.7264150943396226</v>
      </c>
      <c r="AK5" s="11">
        <v>0.7707509881422925</v>
      </c>
      <c r="AL5" s="11">
        <v>1.5797872340425532</v>
      </c>
      <c r="AM5" s="11">
        <v>1.356955380577428</v>
      </c>
      <c r="AN5" s="11">
        <v>1.24</v>
      </c>
      <c r="AO5" s="11">
        <v>0.8823529411764706</v>
      </c>
      <c r="AP5" s="11">
        <v>1.0607734806629834</v>
      </c>
      <c r="AQ5" s="11">
        <v>1.146341463414634</v>
      </c>
      <c r="AR5" s="11">
        <v>1.3888888888888888</v>
      </c>
      <c r="AS5" s="11">
        <v>1.0916101172115977</v>
      </c>
      <c r="AT5" s="11">
        <v>1.3850267379679144</v>
      </c>
      <c r="AU5" s="11">
        <v>1.462686567164179</v>
      </c>
      <c r="AV5" s="11">
        <v>1.22</v>
      </c>
      <c r="AW5" s="11">
        <v>1.1818181818181819</v>
      </c>
      <c r="AX5" s="11">
        <v>1.2293577981651376</v>
      </c>
      <c r="AY5" s="11">
        <v>1.0845323741007193</v>
      </c>
      <c r="AZ5" s="11">
        <v>1.1480038948393378</v>
      </c>
      <c r="BA5" s="11">
        <v>1.0538525269262635</v>
      </c>
      <c r="BB5" s="11">
        <v>0.9963570127504554</v>
      </c>
      <c r="BC5" s="11">
        <v>1.176676264911559</v>
      </c>
      <c r="BD5" s="11">
        <v>1.0848056537102473</v>
      </c>
      <c r="BE5" s="11">
        <v>1.2026768642447419</v>
      </c>
      <c r="BF5" s="11">
        <v>1.2025316455696202</v>
      </c>
      <c r="BG5" s="11">
        <v>1.2093933463796478</v>
      </c>
      <c r="BH5" s="11">
        <v>1.118811881188119</v>
      </c>
      <c r="BI5" s="11">
        <v>1.2649842271293374</v>
      </c>
      <c r="BJ5" s="11">
        <v>1.2103321033210332</v>
      </c>
      <c r="BK5" s="11">
        <v>1.0817073170731708</v>
      </c>
      <c r="BL5" s="11">
        <v>1.3175287356321839</v>
      </c>
      <c r="BM5" s="11">
        <v>1.2452565003513703</v>
      </c>
      <c r="BN5" s="11">
        <v>2.3947368421052633</v>
      </c>
      <c r="BO5" s="11">
        <v>1.25</v>
      </c>
      <c r="BP5" s="11">
        <v>2.0</v>
      </c>
      <c r="BQ5" s="11">
        <v>1.232394366197183</v>
      </c>
      <c r="BR5" s="11">
        <v>1.2</v>
      </c>
      <c r="BS5" s="11">
        <v>1.180064308681672</v>
      </c>
      <c r="BT5" s="11">
        <v>1.3</v>
      </c>
      <c r="BU5" s="11">
        <v>1.185430463576159</v>
      </c>
      <c r="BV5" s="11">
        <v>1.135001970831691</v>
      </c>
      <c r="BW5" s="11">
        <v>1.0304568527918783</v>
      </c>
      <c r="BX5" s="11">
        <v>0.9003115264797508</v>
      </c>
      <c r="BY5" s="11">
        <v>0.0</v>
      </c>
      <c r="BZ5" s="11">
        <v>1.2090761750405186</v>
      </c>
      <c r="CA5" s="11">
        <v>0.9262295081967213</v>
      </c>
      <c r="CB5" s="11">
        <v>1.0869006610185272</v>
      </c>
    </row>
    <row r="6">
      <c r="A6" s="9" t="s">
        <v>165</v>
      </c>
      <c r="B6" s="9" t="s">
        <v>0</v>
      </c>
      <c r="C6" s="11">
        <v>1.1747756258856874</v>
      </c>
      <c r="D6" s="11">
        <v>1.2787610619469028</v>
      </c>
      <c r="E6" s="11">
        <v>1.0787680566911966</v>
      </c>
      <c r="F6" s="11">
        <v>1.2215256008359456</v>
      </c>
      <c r="G6" s="11">
        <v>1.15881708652793</v>
      </c>
      <c r="H6" s="11">
        <v>1.2666394446712943</v>
      </c>
      <c r="I6" s="11">
        <v>1.1054545454545455</v>
      </c>
      <c r="J6" s="11">
        <v>1.3626126126126126</v>
      </c>
      <c r="K6" s="11">
        <v>1.3035714285714286</v>
      </c>
      <c r="L6" s="11">
        <v>1.0617283950617284</v>
      </c>
      <c r="M6" s="11">
        <v>1.1418439716312057</v>
      </c>
      <c r="N6" s="11">
        <v>1.3050397877984086</v>
      </c>
      <c r="O6" s="11">
        <v>1.287323943661972</v>
      </c>
      <c r="P6" s="11">
        <v>1.5909090909090908</v>
      </c>
      <c r="Q6" s="11">
        <v>0.9448766392531673</v>
      </c>
      <c r="R6" s="11">
        <v>0.949748743718593</v>
      </c>
      <c r="S6" s="11">
        <v>1.3770491803278688</v>
      </c>
      <c r="T6" s="11">
        <v>0.9090909090909091</v>
      </c>
      <c r="U6" s="11">
        <v>1.2673031026252983</v>
      </c>
      <c r="V6" s="11">
        <v>1.4444444444444444</v>
      </c>
      <c r="W6" s="11">
        <v>0.8067856356025557</v>
      </c>
      <c r="X6" s="11">
        <v>1.1280487804878048</v>
      </c>
      <c r="Y6" s="11">
        <v>0.9946942565326966</v>
      </c>
      <c r="Z6" s="11">
        <v>1.067357512953368</v>
      </c>
      <c r="AA6" s="11">
        <v>1.0319497071994488</v>
      </c>
      <c r="AB6" s="11">
        <v>1.0616746085772635</v>
      </c>
      <c r="AC6" s="11">
        <v>0.9490874159462056</v>
      </c>
      <c r="AD6" s="11">
        <v>1.0673076923076923</v>
      </c>
      <c r="AE6" s="11">
        <v>1.3571428571428572</v>
      </c>
      <c r="AF6" s="11">
        <v>1.3206106870229009</v>
      </c>
      <c r="AG6" s="11">
        <v>2.0</v>
      </c>
      <c r="AH6" s="11">
        <v>1.5454545454545454</v>
      </c>
      <c r="AI6" s="11">
        <v>1.2047330764997248</v>
      </c>
      <c r="AJ6" s="11">
        <v>1.077922077922078</v>
      </c>
      <c r="AK6" s="11">
        <v>1.1333333333333333</v>
      </c>
      <c r="AL6" s="11">
        <v>1.1919191919191918</v>
      </c>
      <c r="AM6" s="11">
        <v>1.2359767891682785</v>
      </c>
      <c r="AN6" s="11">
        <v>1.232258064516129</v>
      </c>
      <c r="AO6" s="11">
        <v>0.9333333333333333</v>
      </c>
      <c r="AP6" s="11">
        <v>1.0989583333333333</v>
      </c>
      <c r="AQ6" s="11">
        <v>1.1808510638297873</v>
      </c>
      <c r="AR6" s="11">
        <v>1.3272727272727274</v>
      </c>
      <c r="AS6" s="11">
        <v>1.070217575586324</v>
      </c>
      <c r="AT6" s="11">
        <v>1.2625482625482625</v>
      </c>
      <c r="AU6" s="11">
        <v>1.1938775510204083</v>
      </c>
      <c r="AV6" s="11">
        <v>1.4426229508196722</v>
      </c>
      <c r="AW6" s="11">
        <v>1.0242914979757085</v>
      </c>
      <c r="AX6" s="11">
        <v>1.3246268656716418</v>
      </c>
      <c r="AY6" s="11">
        <v>0.9618573797678275</v>
      </c>
      <c r="AZ6" s="11">
        <v>1.1704834605597965</v>
      </c>
      <c r="BA6" s="11">
        <v>1.0207023060796645</v>
      </c>
      <c r="BB6" s="11">
        <v>1.0603290676416819</v>
      </c>
      <c r="BC6" s="11">
        <v>1.2270582066072364</v>
      </c>
      <c r="BD6" s="11">
        <v>1.01628664495114</v>
      </c>
      <c r="BE6" s="11">
        <v>1.273449920508744</v>
      </c>
      <c r="BF6" s="11">
        <v>1.0210526315789474</v>
      </c>
      <c r="BG6" s="11">
        <v>1.3220064724919094</v>
      </c>
      <c r="BH6" s="11">
        <v>1.293141592920354</v>
      </c>
      <c r="BI6" s="11">
        <v>1.087281795511222</v>
      </c>
      <c r="BJ6" s="11">
        <v>1.350609756097561</v>
      </c>
      <c r="BK6" s="11">
        <v>1.2356257046223225</v>
      </c>
      <c r="BL6" s="11">
        <v>1.193020719738277</v>
      </c>
      <c r="BM6" s="11">
        <v>1.1286681715575622</v>
      </c>
      <c r="BN6" s="11">
        <v>0.5054945054945055</v>
      </c>
      <c r="BO6" s="11">
        <v>1.6666666666666667</v>
      </c>
      <c r="BP6" s="11">
        <v>2.5</v>
      </c>
      <c r="BQ6" s="11">
        <v>1.2685714285714285</v>
      </c>
      <c r="BR6" s="11">
        <v>1.4444444444444444</v>
      </c>
      <c r="BS6" s="11">
        <v>1.0572207084468666</v>
      </c>
      <c r="BT6" s="11">
        <v>1.316568047337278</v>
      </c>
      <c r="BU6" s="11">
        <v>1.0642458100558658</v>
      </c>
      <c r="BV6" s="11">
        <v>1.0579961798923425</v>
      </c>
      <c r="BW6" s="11">
        <v>1.4532019704433496</v>
      </c>
      <c r="BX6" s="11">
        <v>0.7681660899653979</v>
      </c>
      <c r="BY6" s="11">
        <v>0.0</v>
      </c>
      <c r="BZ6" s="11">
        <v>1.0462466487935658</v>
      </c>
      <c r="CA6" s="11">
        <v>1.1289506953223767</v>
      </c>
      <c r="CB6" s="11">
        <v>1.0749845816487358</v>
      </c>
    </row>
    <row r="7">
      <c r="A7" s="9" t="s">
        <v>166</v>
      </c>
      <c r="B7" s="9" t="s">
        <v>0</v>
      </c>
      <c r="C7" s="11">
        <v>1.0771210293526337</v>
      </c>
      <c r="D7" s="11">
        <v>1.2422145328719723</v>
      </c>
      <c r="E7" s="11">
        <v>0.9598281960586155</v>
      </c>
      <c r="F7" s="11">
        <v>1.2172797262617623</v>
      </c>
      <c r="G7" s="11">
        <v>1.0321361058601135</v>
      </c>
      <c r="H7" s="11">
        <v>1.0767246937459702</v>
      </c>
      <c r="I7" s="11">
        <v>1.0153508771929824</v>
      </c>
      <c r="J7" s="11">
        <v>1.3818181818181818</v>
      </c>
      <c r="K7" s="11">
        <v>1.1849315068493151</v>
      </c>
      <c r="L7" s="11">
        <v>0.9372093023255814</v>
      </c>
      <c r="M7" s="11">
        <v>1.2857142857142858</v>
      </c>
      <c r="N7" s="11">
        <v>1.079268292682927</v>
      </c>
      <c r="O7" s="11">
        <v>1.0787746170678336</v>
      </c>
      <c r="P7" s="11">
        <v>1.0857142857142856</v>
      </c>
      <c r="Q7" s="11">
        <v>1.025170548106328</v>
      </c>
      <c r="R7" s="11">
        <v>1.1957671957671958</v>
      </c>
      <c r="S7" s="11">
        <v>1.5238095238095237</v>
      </c>
      <c r="T7" s="11">
        <v>1.2</v>
      </c>
      <c r="U7" s="11">
        <v>1.0</v>
      </c>
      <c r="V7" s="11">
        <v>2.076923076923077</v>
      </c>
      <c r="W7" s="11">
        <v>1.1706717640633533</v>
      </c>
      <c r="X7" s="11">
        <v>0.9513513513513514</v>
      </c>
      <c r="Y7" s="11">
        <v>0.943325776770236</v>
      </c>
      <c r="Z7" s="11">
        <v>1.0242718446601942</v>
      </c>
      <c r="AA7" s="11">
        <v>0.8905115580405575</v>
      </c>
      <c r="AB7" s="11">
        <v>0.865606565786099</v>
      </c>
      <c r="AC7" s="11">
        <v>0.9126180836707153</v>
      </c>
      <c r="AD7" s="11">
        <v>0.9959049959049959</v>
      </c>
      <c r="AE7" s="11">
        <v>1.0669856459330143</v>
      </c>
      <c r="AF7" s="11">
        <v>1.0635838150289016</v>
      </c>
      <c r="AG7" s="11">
        <v>3.5</v>
      </c>
      <c r="AH7" s="11">
        <v>0.9411764705882353</v>
      </c>
      <c r="AI7" s="11">
        <v>1.1269986295111922</v>
      </c>
      <c r="AJ7" s="11">
        <v>1.0240963855421688</v>
      </c>
      <c r="AK7" s="11">
        <v>1.253393665158371</v>
      </c>
      <c r="AL7" s="11">
        <v>1.0508474576271187</v>
      </c>
      <c r="AM7" s="11">
        <v>1.1408450704225352</v>
      </c>
      <c r="AN7" s="11">
        <v>1.2303664921465969</v>
      </c>
      <c r="AO7" s="11">
        <v>1.6428571428571428</v>
      </c>
      <c r="AP7" s="11">
        <v>0.990521327014218</v>
      </c>
      <c r="AQ7" s="11">
        <v>1.1081081081081081</v>
      </c>
      <c r="AR7" s="11">
        <v>1.1342465753424658</v>
      </c>
      <c r="AS7" s="11">
        <v>1.0930693069306932</v>
      </c>
      <c r="AT7" s="11">
        <v>1.3027522935779816</v>
      </c>
      <c r="AU7" s="11">
        <v>1.0769230769230769</v>
      </c>
      <c r="AV7" s="11">
        <v>1.0113636363636365</v>
      </c>
      <c r="AW7" s="11">
        <v>1.0</v>
      </c>
      <c r="AX7" s="11">
        <v>1.1746478873239437</v>
      </c>
      <c r="AY7" s="11">
        <v>1.356896551724138</v>
      </c>
      <c r="AZ7" s="11">
        <v>1.0905797101449275</v>
      </c>
      <c r="BA7" s="11">
        <v>1.0254172015404364</v>
      </c>
      <c r="BB7" s="11">
        <v>1.1775862068965517</v>
      </c>
      <c r="BC7" s="11">
        <v>1.0834757834757835</v>
      </c>
      <c r="BD7" s="11">
        <v>0.9647435897435898</v>
      </c>
      <c r="BE7" s="11">
        <v>1.0062421972534332</v>
      </c>
      <c r="BF7" s="11">
        <v>1.2371134020618557</v>
      </c>
      <c r="BG7" s="11">
        <v>1.1444308445532436</v>
      </c>
      <c r="BH7" s="11">
        <v>1.290846877673225</v>
      </c>
      <c r="BI7" s="11">
        <v>1.5802752293577982</v>
      </c>
      <c r="BJ7" s="11">
        <v>1.2279909706546275</v>
      </c>
      <c r="BK7" s="11">
        <v>0.9251824817518248</v>
      </c>
      <c r="BL7" s="11">
        <v>0.7705667276051188</v>
      </c>
      <c r="BM7" s="11">
        <v>1.1175</v>
      </c>
      <c r="BN7" s="11">
        <v>1.0434782608695652</v>
      </c>
      <c r="BO7" s="11">
        <v>1.0</v>
      </c>
      <c r="BP7" s="11">
        <v>1.3</v>
      </c>
      <c r="BQ7" s="11">
        <v>1.2972972972972974</v>
      </c>
      <c r="BR7" s="11">
        <v>1.0769230769230769</v>
      </c>
      <c r="BS7" s="11">
        <v>1.1443298969072164</v>
      </c>
      <c r="BT7" s="11">
        <v>1.0853932584269663</v>
      </c>
      <c r="BU7" s="11">
        <v>1.0866141732283465</v>
      </c>
      <c r="BV7" s="11">
        <v>1.0308550795995404</v>
      </c>
      <c r="BW7" s="11">
        <v>1.2915254237288136</v>
      </c>
      <c r="BX7" s="11">
        <v>1.1081081081081081</v>
      </c>
      <c r="BY7" s="11">
        <v>0.0</v>
      </c>
      <c r="BZ7" s="11">
        <v>0.9974375400384369</v>
      </c>
      <c r="CA7" s="11">
        <v>1.100783874580067</v>
      </c>
      <c r="CB7" s="11">
        <v>1.032080192513028</v>
      </c>
    </row>
    <row r="8">
      <c r="A8" s="9" t="s">
        <v>167</v>
      </c>
      <c r="B8" s="9" t="s">
        <v>0</v>
      </c>
      <c r="C8" s="11">
        <v>0.9760340450948186</v>
      </c>
      <c r="D8" s="11">
        <v>1.6044568245125348</v>
      </c>
      <c r="E8" s="11">
        <v>0.9315609370887076</v>
      </c>
      <c r="F8" s="11">
        <v>1.050597329585383</v>
      </c>
      <c r="G8" s="11">
        <v>1.0622710622710623</v>
      </c>
      <c r="H8" s="11">
        <v>0.8050898203592814</v>
      </c>
      <c r="I8" s="11">
        <v>0.9946004319654428</v>
      </c>
      <c r="J8" s="11">
        <v>1.1226076555023923</v>
      </c>
      <c r="K8" s="11">
        <v>1.046242774566474</v>
      </c>
      <c r="L8" s="11">
        <v>1.022332506203474</v>
      </c>
      <c r="M8" s="11">
        <v>1.077294685990338</v>
      </c>
      <c r="N8" s="11">
        <v>1.1016949152542372</v>
      </c>
      <c r="O8" s="11">
        <v>1.0993914807302232</v>
      </c>
      <c r="P8" s="11">
        <v>1.131578947368421</v>
      </c>
      <c r="Q8" s="11">
        <v>1.1203151292641884</v>
      </c>
      <c r="R8" s="11">
        <v>1.0884955752212389</v>
      </c>
      <c r="S8" s="11">
        <v>0.953125</v>
      </c>
      <c r="T8" s="11">
        <v>1.0833333333333333</v>
      </c>
      <c r="U8" s="11">
        <v>1.2184557438794728</v>
      </c>
      <c r="V8" s="11">
        <v>1.7407407407407407</v>
      </c>
      <c r="W8" s="11">
        <v>1.027291812456263</v>
      </c>
      <c r="X8" s="11">
        <v>1.2130681818181819</v>
      </c>
      <c r="Y8" s="11">
        <v>1.1690698331919707</v>
      </c>
      <c r="Z8" s="11">
        <v>1.066350710900474</v>
      </c>
      <c r="AA8" s="11">
        <v>1.1226689157529754</v>
      </c>
      <c r="AB8" s="11">
        <v>1.1011851851851853</v>
      </c>
      <c r="AC8" s="11">
        <v>1.1197781885397413</v>
      </c>
      <c r="AD8" s="11">
        <v>1.2483552631578947</v>
      </c>
      <c r="AE8" s="11">
        <v>1.147982062780269</v>
      </c>
      <c r="AF8" s="11">
        <v>1.173913043478261</v>
      </c>
      <c r="AG8" s="11">
        <v>0.2857142857142857</v>
      </c>
      <c r="AH8" s="11">
        <v>1.1875</v>
      </c>
      <c r="AI8" s="11">
        <v>1.1787596270774219</v>
      </c>
      <c r="AJ8" s="11">
        <v>0.9411764705882353</v>
      </c>
      <c r="AK8" s="11">
        <v>1.2851985559566788</v>
      </c>
      <c r="AL8" s="11">
        <v>1.14247311827957</v>
      </c>
      <c r="AM8" s="11">
        <v>1.1440329218106995</v>
      </c>
      <c r="AN8" s="11">
        <v>1.1872340425531915</v>
      </c>
      <c r="AO8" s="11">
        <v>1.2608695652173914</v>
      </c>
      <c r="AP8" s="11">
        <v>1.6267942583732058</v>
      </c>
      <c r="AQ8" s="11">
        <v>1.2926829268292683</v>
      </c>
      <c r="AR8" s="11">
        <v>0.9806763285024155</v>
      </c>
      <c r="AS8" s="11">
        <v>1.182487922705314</v>
      </c>
      <c r="AT8" s="11">
        <v>1.1830985915492958</v>
      </c>
      <c r="AU8" s="11">
        <v>1.1984126984126984</v>
      </c>
      <c r="AV8" s="11">
        <v>1.1573033707865168</v>
      </c>
      <c r="AW8" s="11">
        <v>1.1067193675889329</v>
      </c>
      <c r="AX8" s="11">
        <v>1.2422062350119905</v>
      </c>
      <c r="AY8" s="11">
        <v>0.8640406607369758</v>
      </c>
      <c r="AZ8" s="11">
        <v>1.1740863787375415</v>
      </c>
      <c r="BA8" s="11">
        <v>1.2754131196795193</v>
      </c>
      <c r="BB8" s="11">
        <v>1.0161054172767203</v>
      </c>
      <c r="BC8" s="11">
        <v>1.2048382855640285</v>
      </c>
      <c r="BD8" s="11">
        <v>1.3272425249169435</v>
      </c>
      <c r="BE8" s="11">
        <v>1.3188585607940446</v>
      </c>
      <c r="BF8" s="11">
        <v>1.1833333333333333</v>
      </c>
      <c r="BG8" s="11">
        <v>1.085561497326203</v>
      </c>
      <c r="BH8" s="11">
        <v>1.1616964877402254</v>
      </c>
      <c r="BI8" s="11">
        <v>1.0</v>
      </c>
      <c r="BJ8" s="11">
        <v>1.2490808823529411</v>
      </c>
      <c r="BK8" s="11">
        <v>1.1104536489151873</v>
      </c>
      <c r="BL8" s="11">
        <v>1.4448398576512456</v>
      </c>
      <c r="BM8" s="11">
        <v>1.1167785234899328</v>
      </c>
      <c r="BN8" s="11">
        <v>1.3541666666666667</v>
      </c>
      <c r="BO8" s="11">
        <v>1.1466666666666667</v>
      </c>
      <c r="BP8" s="11">
        <v>0.9230769230769231</v>
      </c>
      <c r="BQ8" s="11">
        <v>1.0486111111111112</v>
      </c>
      <c r="BR8" s="11">
        <v>1.125</v>
      </c>
      <c r="BS8" s="11">
        <v>1.0563063063063063</v>
      </c>
      <c r="BT8" s="11">
        <v>1.0973084886128364</v>
      </c>
      <c r="BU8" s="11">
        <v>1.1702898550724639</v>
      </c>
      <c r="BV8" s="11">
        <v>1.0802419996815793</v>
      </c>
      <c r="BW8" s="11">
        <v>1.1128608923884515</v>
      </c>
      <c r="BX8" s="11">
        <v>0.6626016260162602</v>
      </c>
      <c r="BY8" s="11">
        <v>0.0</v>
      </c>
      <c r="BZ8" s="11">
        <v>1.126739456219225</v>
      </c>
      <c r="CA8" s="11">
        <v>0.9511698880976602</v>
      </c>
      <c r="CB8" s="11">
        <v>1.1068991075013126</v>
      </c>
    </row>
    <row r="9">
      <c r="A9" s="9" t="s">
        <v>168</v>
      </c>
      <c r="B9" s="9" t="s">
        <v>0</v>
      </c>
      <c r="C9" s="11">
        <v>1.2089038476248757</v>
      </c>
      <c r="D9" s="11">
        <v>1.1440972222222223</v>
      </c>
      <c r="E9" s="11">
        <v>0.817179994348686</v>
      </c>
      <c r="F9" s="11">
        <v>1.1772575250836121</v>
      </c>
      <c r="G9" s="11">
        <v>0.9051724137931034</v>
      </c>
      <c r="H9" s="11">
        <v>2.1424321309036816</v>
      </c>
      <c r="I9" s="11">
        <v>1.1769815418023888</v>
      </c>
      <c r="J9" s="11">
        <v>0.878529568460309</v>
      </c>
      <c r="K9" s="11">
        <v>1.0828729281767955</v>
      </c>
      <c r="L9" s="11">
        <v>1.2135922330097086</v>
      </c>
      <c r="M9" s="11">
        <v>1.1345291479820627</v>
      </c>
      <c r="N9" s="11">
        <v>1.264957264957265</v>
      </c>
      <c r="O9" s="11">
        <v>1.2490774907749078</v>
      </c>
      <c r="P9" s="11">
        <v>1.4651162790697674</v>
      </c>
      <c r="Q9" s="11">
        <v>1.025670785826449</v>
      </c>
      <c r="R9" s="11">
        <v>1.008130081300813</v>
      </c>
      <c r="S9" s="11">
        <v>1.7868852459016393</v>
      </c>
      <c r="T9" s="11">
        <v>0.9230769230769231</v>
      </c>
      <c r="U9" s="11">
        <v>0.9598145285935085</v>
      </c>
      <c r="V9" s="11">
        <v>0.2978723404255319</v>
      </c>
      <c r="W9" s="11">
        <v>0.9729791099000908</v>
      </c>
      <c r="X9" s="11">
        <v>0.8992974238875878</v>
      </c>
      <c r="Y9" s="11">
        <v>1.0605804111245465</v>
      </c>
      <c r="Z9" s="11">
        <v>0.9866666666666667</v>
      </c>
      <c r="AA9" s="11">
        <v>1.0853088480801336</v>
      </c>
      <c r="AB9" s="11">
        <v>1.05179604466568</v>
      </c>
      <c r="AC9" s="11">
        <v>1.158137999339716</v>
      </c>
      <c r="AD9" s="11">
        <v>1.1040843214756257</v>
      </c>
      <c r="AE9" s="11">
        <v>0.92578125</v>
      </c>
      <c r="AF9" s="11">
        <v>0.8981481481481481</v>
      </c>
      <c r="AG9" s="11">
        <v>5.0</v>
      </c>
      <c r="AH9" s="11">
        <v>0.868421052631579</v>
      </c>
      <c r="AI9" s="11">
        <v>1.031980742778542</v>
      </c>
      <c r="AJ9" s="11">
        <v>1.1375</v>
      </c>
      <c r="AK9" s="11">
        <v>0.9353932584269663</v>
      </c>
      <c r="AL9" s="11">
        <v>0.9882352941176471</v>
      </c>
      <c r="AM9" s="11">
        <v>1.129496402877698</v>
      </c>
      <c r="AN9" s="11">
        <v>1.075268817204301</v>
      </c>
      <c r="AO9" s="11">
        <v>0.7931034482758621</v>
      </c>
      <c r="AP9" s="11">
        <v>0.8794117647058823</v>
      </c>
      <c r="AQ9" s="11">
        <v>0.9622641509433962</v>
      </c>
      <c r="AR9" s="11">
        <v>1.083743842364532</v>
      </c>
      <c r="AS9" s="11">
        <v>0.9630272699417832</v>
      </c>
      <c r="AT9" s="11">
        <v>0.9345238095238095</v>
      </c>
      <c r="AU9" s="11">
        <v>1.0529801324503312</v>
      </c>
      <c r="AV9" s="11">
        <v>1.058252427184466</v>
      </c>
      <c r="AW9" s="11">
        <v>1.225</v>
      </c>
      <c r="AX9" s="11">
        <v>1.0926640926640927</v>
      </c>
      <c r="AY9" s="11">
        <v>1.1323529411764706</v>
      </c>
      <c r="AZ9" s="11">
        <v>0.9185059422750425</v>
      </c>
      <c r="BA9" s="11">
        <v>0.9067530427954457</v>
      </c>
      <c r="BB9" s="11">
        <v>1.1080691642651297</v>
      </c>
      <c r="BC9" s="11">
        <v>1.0863160192055872</v>
      </c>
      <c r="BD9" s="11">
        <v>1.0988735919899875</v>
      </c>
      <c r="BE9" s="11">
        <v>1.024459078080903</v>
      </c>
      <c r="BF9" s="11">
        <v>1.408450704225352</v>
      </c>
      <c r="BG9" s="11">
        <v>1.2009852216748769</v>
      </c>
      <c r="BH9" s="11">
        <v>1.0159726183685112</v>
      </c>
      <c r="BI9" s="11">
        <v>0.9506531204644412</v>
      </c>
      <c r="BJ9" s="11">
        <v>0.9911699779249448</v>
      </c>
      <c r="BK9" s="11">
        <v>1.3658969804618117</v>
      </c>
      <c r="BL9" s="11">
        <v>1.0246305418719213</v>
      </c>
      <c r="BM9" s="11">
        <v>1.127003205128205</v>
      </c>
      <c r="BN9" s="11">
        <v>1.3076923076923077</v>
      </c>
      <c r="BO9" s="11">
        <v>1.1511627906976745</v>
      </c>
      <c r="BP9" s="11">
        <v>1.1666666666666667</v>
      </c>
      <c r="BQ9" s="11">
        <v>1.1225165562913908</v>
      </c>
      <c r="BR9" s="11">
        <v>1.0158730158730158</v>
      </c>
      <c r="BS9" s="11">
        <v>1.2707889125799574</v>
      </c>
      <c r="BT9" s="11">
        <v>1.090566037735849</v>
      </c>
      <c r="BU9" s="11">
        <v>1.0712074303405572</v>
      </c>
      <c r="BV9" s="11">
        <v>1.0297715549005158</v>
      </c>
      <c r="BW9" s="11">
        <v>1.1981132075471699</v>
      </c>
      <c r="BX9" s="11">
        <v>0.7730061349693251</v>
      </c>
      <c r="BY9" s="11">
        <v>0.0</v>
      </c>
      <c r="BZ9" s="11">
        <v>0.9948698460953829</v>
      </c>
      <c r="CA9" s="11">
        <v>1.1946524064171122</v>
      </c>
      <c r="CB9" s="11">
        <v>1.0740182743949223</v>
      </c>
    </row>
    <row r="10">
      <c r="A10" s="9" t="s">
        <v>169</v>
      </c>
      <c r="B10" s="9" t="s">
        <v>0</v>
      </c>
      <c r="C10" s="11">
        <v>1.0881422424702607</v>
      </c>
      <c r="D10" s="11">
        <v>1.127465857359636</v>
      </c>
      <c r="E10" s="11">
        <v>1.190179806362379</v>
      </c>
      <c r="F10" s="11">
        <v>1.0420454545454545</v>
      </c>
      <c r="G10" s="11">
        <v>1.1457142857142857</v>
      </c>
      <c r="H10" s="11">
        <v>1.0487762541225483</v>
      </c>
      <c r="I10" s="11">
        <v>1.066420664206642</v>
      </c>
      <c r="J10" s="11">
        <v>1.0448756822316556</v>
      </c>
      <c r="K10" s="11">
        <v>0.9846938775510204</v>
      </c>
      <c r="L10" s="11">
        <v>1.116</v>
      </c>
      <c r="M10" s="11">
        <v>1.1976284584980237</v>
      </c>
      <c r="N10" s="11">
        <v>1.2027027027027026</v>
      </c>
      <c r="O10" s="11">
        <v>1.2333825701624814</v>
      </c>
      <c r="P10" s="11">
        <v>0.873015873015873</v>
      </c>
      <c r="Q10" s="11">
        <v>1.1415829062104772</v>
      </c>
      <c r="R10" s="11">
        <v>1.1008064516129032</v>
      </c>
      <c r="S10" s="11">
        <v>1.1697247706422018</v>
      </c>
      <c r="T10" s="11">
        <v>0.9166666666666666</v>
      </c>
      <c r="U10" s="11">
        <v>1.0998389694041868</v>
      </c>
      <c r="V10" s="11">
        <v>1.3571428571428572</v>
      </c>
      <c r="W10" s="11">
        <v>1.2193698949824971</v>
      </c>
      <c r="X10" s="11">
        <v>0.9973958333333334</v>
      </c>
      <c r="Y10" s="11">
        <v>1.117432447839471</v>
      </c>
      <c r="Z10" s="11">
        <v>1.0225225225225225</v>
      </c>
      <c r="AA10" s="11">
        <v>1.1510536840486079</v>
      </c>
      <c r="AB10" s="11">
        <v>1.128293681248401</v>
      </c>
      <c r="AC10" s="11">
        <v>1.169327251995439</v>
      </c>
      <c r="AD10" s="11">
        <v>1.2189737470167064</v>
      </c>
      <c r="AE10" s="11">
        <v>1.139240506329114</v>
      </c>
      <c r="AF10" s="11">
        <v>1.0103092783505154</v>
      </c>
      <c r="AG10" s="11">
        <v>3.0</v>
      </c>
      <c r="AH10" s="11">
        <v>1.3333333333333333</v>
      </c>
      <c r="AI10" s="11">
        <v>1.0706431189603465</v>
      </c>
      <c r="AJ10" s="11">
        <v>1.5714285714285714</v>
      </c>
      <c r="AK10" s="11">
        <v>0.984984984984985</v>
      </c>
      <c r="AL10" s="11">
        <v>1.0452380952380953</v>
      </c>
      <c r="AM10" s="11">
        <v>1.1231422505307855</v>
      </c>
      <c r="AN10" s="11">
        <v>0.9933333333333333</v>
      </c>
      <c r="AO10" s="11">
        <v>0.9130434782608695</v>
      </c>
      <c r="AP10" s="11">
        <v>1.0635451505016722</v>
      </c>
      <c r="AQ10" s="11">
        <v>1.0588235294117647</v>
      </c>
      <c r="AR10" s="11">
        <v>1.0136363636363637</v>
      </c>
      <c r="AS10" s="11">
        <v>1.051755223247428</v>
      </c>
      <c r="AT10" s="11">
        <v>1.0828025477707006</v>
      </c>
      <c r="AU10" s="11">
        <v>1.0251572327044025</v>
      </c>
      <c r="AV10" s="11">
        <v>0.981651376146789</v>
      </c>
      <c r="AW10" s="11">
        <v>1.2128279883381925</v>
      </c>
      <c r="AX10" s="11">
        <v>1.1060070671378093</v>
      </c>
      <c r="AY10" s="11">
        <v>1.016883116883117</v>
      </c>
      <c r="AZ10" s="11">
        <v>1.026494146642021</v>
      </c>
      <c r="BA10" s="11">
        <v>1.0601861874864689</v>
      </c>
      <c r="BB10" s="11">
        <v>0.9739921976592978</v>
      </c>
      <c r="BC10" s="11">
        <v>1.1365143144148668</v>
      </c>
      <c r="BD10" s="11">
        <v>1.1788154897494305</v>
      </c>
      <c r="BE10" s="11">
        <v>1.0918273645546372</v>
      </c>
      <c r="BF10" s="11">
        <v>1.105</v>
      </c>
      <c r="BG10" s="11">
        <v>0.9401148482362592</v>
      </c>
      <c r="BH10" s="11">
        <v>0.939921392476137</v>
      </c>
      <c r="BI10" s="11">
        <v>1.5068702290076337</v>
      </c>
      <c r="BJ10" s="11">
        <v>0.9368968077208611</v>
      </c>
      <c r="BK10" s="11">
        <v>1.2152145643693109</v>
      </c>
      <c r="BL10" s="11">
        <v>1.547275641025641</v>
      </c>
      <c r="BM10" s="11">
        <v>1.0846071809456097</v>
      </c>
      <c r="BN10" s="11">
        <v>1.0235294117647058</v>
      </c>
      <c r="BO10" s="11">
        <v>0.9797979797979798</v>
      </c>
      <c r="BP10" s="11">
        <v>1.0</v>
      </c>
      <c r="BQ10" s="11">
        <v>1.1091445427728615</v>
      </c>
      <c r="BR10" s="11">
        <v>0.921875</v>
      </c>
      <c r="BS10" s="11">
        <v>1.191275167785235</v>
      </c>
      <c r="BT10" s="11">
        <v>1.1505190311418685</v>
      </c>
      <c r="BU10" s="11">
        <v>1.0048169556840076</v>
      </c>
      <c r="BV10" s="11">
        <v>0.9735222556175755</v>
      </c>
      <c r="BW10" s="11">
        <v>1.0433070866141732</v>
      </c>
      <c r="BX10" s="11">
        <v>1.0158730158730158</v>
      </c>
      <c r="BY10" s="11">
        <v>0.0</v>
      </c>
      <c r="BZ10" s="11">
        <v>0.9402215431627197</v>
      </c>
      <c r="CA10" s="11">
        <v>1.0922112802148611</v>
      </c>
      <c r="CB10" s="11">
        <v>1.1010377836370484</v>
      </c>
    </row>
    <row r="11">
      <c r="A11" s="9" t="s">
        <v>170</v>
      </c>
      <c r="B11" s="9" t="s">
        <v>0</v>
      </c>
      <c r="C11" s="11">
        <v>0.8810839099842996</v>
      </c>
      <c r="D11" s="11">
        <v>0.7631224764468372</v>
      </c>
      <c r="E11" s="11">
        <v>1.1362579895409646</v>
      </c>
      <c r="F11" s="11">
        <v>1.16793893129771</v>
      </c>
      <c r="G11" s="11">
        <v>0.9792186201163757</v>
      </c>
      <c r="H11" s="11">
        <v>0.8303541873551804</v>
      </c>
      <c r="I11" s="11">
        <v>0.9818339100346021</v>
      </c>
      <c r="J11" s="11">
        <v>0.1044689495066744</v>
      </c>
      <c r="K11" s="11">
        <v>0.9119170984455959</v>
      </c>
      <c r="L11" s="11">
        <v>0.9767025089605734</v>
      </c>
      <c r="M11" s="11">
        <v>0.9933993399339934</v>
      </c>
      <c r="N11" s="11">
        <v>1.296629213483146</v>
      </c>
      <c r="O11" s="11">
        <v>1.2982035928143714</v>
      </c>
      <c r="P11" s="11">
        <v>1.2727272727272727</v>
      </c>
      <c r="Q11" s="11">
        <v>1.044198250728863</v>
      </c>
      <c r="R11" s="11">
        <v>0.9340659340659341</v>
      </c>
      <c r="S11" s="11">
        <v>1.772549019607843</v>
      </c>
      <c r="T11" s="11">
        <v>0.9090909090909091</v>
      </c>
      <c r="U11" s="11">
        <v>1.0234260614934114</v>
      </c>
      <c r="V11" s="11">
        <v>1.1578947368421053</v>
      </c>
      <c r="W11" s="11">
        <v>0.8618181818181818</v>
      </c>
      <c r="X11" s="11">
        <v>1.1723237597911227</v>
      </c>
      <c r="Y11" s="11">
        <v>1.1238649117436996</v>
      </c>
      <c r="Z11" s="11">
        <v>1.092511013215859</v>
      </c>
      <c r="AA11" s="11">
        <v>1.0074836295603367</v>
      </c>
      <c r="AB11" s="11">
        <v>1.116540074821449</v>
      </c>
      <c r="AC11" s="11">
        <v>0.8225255972696246</v>
      </c>
      <c r="AD11" s="11">
        <v>0.9079784630445423</v>
      </c>
      <c r="AE11" s="11">
        <v>1.4259259259259258</v>
      </c>
      <c r="AF11" s="11">
        <v>1.3520408163265305</v>
      </c>
      <c r="AG11" s="11">
        <v>2.3333333333333335</v>
      </c>
      <c r="AH11" s="11">
        <v>1.1363636363636365</v>
      </c>
      <c r="AI11" s="11">
        <v>1.0544662309368191</v>
      </c>
      <c r="AJ11" s="11">
        <v>0.972027972027972</v>
      </c>
      <c r="AK11" s="11">
        <v>0.9634146341463414</v>
      </c>
      <c r="AL11" s="11">
        <v>1.1958997722095672</v>
      </c>
      <c r="AM11" s="11">
        <v>1.1578449905482042</v>
      </c>
      <c r="AN11" s="11">
        <v>0.9496644295302014</v>
      </c>
      <c r="AO11" s="11">
        <v>1.5238095238095237</v>
      </c>
      <c r="AP11" s="11">
        <v>0.7452830188679245</v>
      </c>
      <c r="AQ11" s="11">
        <v>1.0123456790123457</v>
      </c>
      <c r="AR11" s="11">
        <v>1.047085201793722</v>
      </c>
      <c r="AS11" s="11">
        <v>1.0515276797418573</v>
      </c>
      <c r="AT11" s="11">
        <v>0.9745098039215686</v>
      </c>
      <c r="AU11" s="11">
        <v>1.0368098159509203</v>
      </c>
      <c r="AV11" s="11">
        <v>0.9719626168224299</v>
      </c>
      <c r="AW11" s="11">
        <v>1.0120192307692308</v>
      </c>
      <c r="AX11" s="11">
        <v>0.9472843450479234</v>
      </c>
      <c r="AY11" s="11">
        <v>0.8914431673052363</v>
      </c>
      <c r="AZ11" s="11">
        <v>1.0960384153661464</v>
      </c>
      <c r="BA11" s="11">
        <v>1.1063916683683888</v>
      </c>
      <c r="BB11" s="11">
        <v>0.9372496662216289</v>
      </c>
      <c r="BC11" s="11">
        <v>0.9418419657062047</v>
      </c>
      <c r="BD11" s="11">
        <v>0.7806763285024154</v>
      </c>
      <c r="BE11" s="11">
        <v>1.1480235492010094</v>
      </c>
      <c r="BF11" s="11">
        <v>0.8190045248868778</v>
      </c>
      <c r="BG11" s="11">
        <v>0.9022687609075044</v>
      </c>
      <c r="BH11" s="11">
        <v>0.9348864994026285</v>
      </c>
      <c r="BI11" s="11">
        <v>0.8733535967578521</v>
      </c>
      <c r="BJ11" s="11">
        <v>1.0118858954041206</v>
      </c>
      <c r="BK11" s="11">
        <v>0.9967897271268058</v>
      </c>
      <c r="BL11" s="11">
        <v>0.8808907301916106</v>
      </c>
      <c r="BM11" s="11">
        <v>1.096361848574238</v>
      </c>
      <c r="BN11" s="11">
        <v>0.9770114942528736</v>
      </c>
      <c r="BO11" s="11">
        <v>1.0103092783505154</v>
      </c>
      <c r="BP11" s="11">
        <v>0.8571428571428571</v>
      </c>
      <c r="BQ11" s="11">
        <v>0.9707446808510638</v>
      </c>
      <c r="BR11" s="11">
        <v>1.0508474576271187</v>
      </c>
      <c r="BS11" s="11">
        <v>1.228169014084507</v>
      </c>
      <c r="BT11" s="11">
        <v>1.0090225563909774</v>
      </c>
      <c r="BU11" s="11">
        <v>1.1313518696069031</v>
      </c>
      <c r="BV11" s="11">
        <v>1.6896501029109086</v>
      </c>
      <c r="BW11" s="11">
        <v>1.4452830188679244</v>
      </c>
      <c r="BX11" s="11">
        <v>1.0546875</v>
      </c>
      <c r="BY11" s="11">
        <v>2.0</v>
      </c>
      <c r="BZ11" s="11">
        <v>1.5523055047735121</v>
      </c>
      <c r="CA11" s="11">
        <v>2.416393442622951</v>
      </c>
      <c r="CB11" s="11">
        <v>1.0497463725374543</v>
      </c>
    </row>
    <row r="12">
      <c r="A12" s="9" t="s">
        <v>171</v>
      </c>
      <c r="B12" s="9" t="s">
        <v>0</v>
      </c>
      <c r="C12" s="11">
        <v>1.0479144667370643</v>
      </c>
      <c r="D12" s="11">
        <v>1.2310405643738977</v>
      </c>
      <c r="E12" s="11">
        <v>1.0644336486832011</v>
      </c>
      <c r="F12" s="11">
        <v>1.031279178338002</v>
      </c>
      <c r="G12" s="11">
        <v>1.1774193548387097</v>
      </c>
      <c r="H12" s="11">
        <v>0.9730914889376121</v>
      </c>
      <c r="I12" s="11">
        <v>1.0502202643171805</v>
      </c>
      <c r="J12" s="11">
        <v>0.9111111111111111</v>
      </c>
      <c r="K12" s="11">
        <v>1.2102272727272727</v>
      </c>
      <c r="L12" s="11">
        <v>1.1486238532110091</v>
      </c>
      <c r="M12" s="11">
        <v>1.1428571428571428</v>
      </c>
      <c r="N12" s="11">
        <v>1.2149046793760832</v>
      </c>
      <c r="O12" s="11">
        <v>1.2407749077490775</v>
      </c>
      <c r="P12" s="11">
        <v>0.8142857142857143</v>
      </c>
      <c r="Q12" s="11">
        <v>0.930813044449408</v>
      </c>
      <c r="R12" s="11">
        <v>0.6725490196078432</v>
      </c>
      <c r="S12" s="11">
        <v>1.7190265486725664</v>
      </c>
      <c r="T12" s="11">
        <v>1.3</v>
      </c>
      <c r="U12" s="11">
        <v>0.9985693848354793</v>
      </c>
      <c r="V12" s="11">
        <v>1.3636363636363635</v>
      </c>
      <c r="W12" s="11">
        <v>0.8820786142571619</v>
      </c>
      <c r="X12" s="11">
        <v>0.9242761692650334</v>
      </c>
      <c r="Y12" s="11">
        <v>0.9227417158420336</v>
      </c>
      <c r="Z12" s="11">
        <v>1.0362903225806452</v>
      </c>
      <c r="AA12" s="11">
        <v>0.9590131317150816</v>
      </c>
      <c r="AB12" s="11">
        <v>0.8534876637222053</v>
      </c>
      <c r="AC12" s="11">
        <v>1.2371072910491998</v>
      </c>
      <c r="AD12" s="11">
        <v>1.013477088948787</v>
      </c>
      <c r="AE12" s="11">
        <v>0.8519480519480519</v>
      </c>
      <c r="AF12" s="11">
        <v>0.8528301886792453</v>
      </c>
      <c r="AG12" s="11">
        <v>0.7285714285714285</v>
      </c>
      <c r="AH12" s="11">
        <v>1.02</v>
      </c>
      <c r="AI12" s="11">
        <v>1.1378394332939787</v>
      </c>
      <c r="AJ12" s="11">
        <v>1.143884892086331</v>
      </c>
      <c r="AK12" s="11">
        <v>1.2025316455696202</v>
      </c>
      <c r="AL12" s="11">
        <v>0.9980952380952381</v>
      </c>
      <c r="AM12" s="11">
        <v>1.2089795918367348</v>
      </c>
      <c r="AN12" s="11">
        <v>1.1802120141342756</v>
      </c>
      <c r="AO12" s="11">
        <v>0.96875</v>
      </c>
      <c r="AP12" s="11">
        <v>0.9789029535864979</v>
      </c>
      <c r="AQ12" s="11">
        <v>1.0853658536585367</v>
      </c>
      <c r="AR12" s="11">
        <v>1.1477516059957173</v>
      </c>
      <c r="AS12" s="11">
        <v>1.0245492903720752</v>
      </c>
      <c r="AT12" s="11">
        <v>0.8651911468812877</v>
      </c>
      <c r="AU12" s="11">
        <v>1.0650887573964498</v>
      </c>
      <c r="AV12" s="11">
        <v>1.3269230769230769</v>
      </c>
      <c r="AW12" s="11">
        <v>1.1163895486935866</v>
      </c>
      <c r="AX12" s="11">
        <v>1.0185497470489038</v>
      </c>
      <c r="AY12" s="11">
        <v>1.2435530085959885</v>
      </c>
      <c r="AZ12" s="11">
        <v>0.7458926615553122</v>
      </c>
      <c r="BA12" s="11">
        <v>1.1026208933185677</v>
      </c>
      <c r="BB12" s="11">
        <v>0.9373219373219374</v>
      </c>
      <c r="BC12" s="11">
        <v>1.0311561561561562</v>
      </c>
      <c r="BD12" s="11">
        <v>0.9814356435643564</v>
      </c>
      <c r="BE12" s="11">
        <v>0.802930402930403</v>
      </c>
      <c r="BF12" s="11">
        <v>1.0883977900552486</v>
      </c>
      <c r="BG12" s="11">
        <v>0.995164410058027</v>
      </c>
      <c r="BH12" s="11">
        <v>0.8977635782747604</v>
      </c>
      <c r="BI12" s="11">
        <v>1.051044083526682</v>
      </c>
      <c r="BJ12" s="11">
        <v>1.0164447924823805</v>
      </c>
      <c r="BK12" s="11">
        <v>1.310252281266774</v>
      </c>
      <c r="BL12" s="11">
        <v>1.0717225161669606</v>
      </c>
      <c r="BM12" s="11">
        <v>1.0816143497757849</v>
      </c>
      <c r="BN12" s="11">
        <v>0.9058823529411765</v>
      </c>
      <c r="BO12" s="11">
        <v>1.2959183673469388</v>
      </c>
      <c r="BP12" s="11">
        <v>1.0</v>
      </c>
      <c r="BQ12" s="11">
        <v>0.9068493150684932</v>
      </c>
      <c r="BR12" s="11">
        <v>1.0161290322580645</v>
      </c>
      <c r="BS12" s="11">
        <v>1.151376146788991</v>
      </c>
      <c r="BT12" s="11">
        <v>1.1684053651266766</v>
      </c>
      <c r="BU12" s="11">
        <v>1.0338983050847457</v>
      </c>
      <c r="BV12" s="11">
        <v>0.7846515270164448</v>
      </c>
      <c r="BW12" s="11">
        <v>2.3590078328981723</v>
      </c>
      <c r="BX12" s="11">
        <v>0.725925925925926</v>
      </c>
      <c r="BY12" s="11">
        <v>4.0</v>
      </c>
      <c r="BZ12" s="11">
        <v>0.6294163831457733</v>
      </c>
      <c r="CA12" s="11">
        <v>0.7784938941655359</v>
      </c>
      <c r="CB12" s="11">
        <v>0.9765471360985313</v>
      </c>
    </row>
    <row r="13">
      <c r="A13" s="9" t="s">
        <v>172</v>
      </c>
      <c r="B13" s="9" t="s">
        <v>0</v>
      </c>
      <c r="C13" s="11">
        <v>1.1949867741529159</v>
      </c>
      <c r="D13" s="11">
        <v>1.143266475644699</v>
      </c>
      <c r="E13" s="11">
        <v>1.2101849627672352</v>
      </c>
      <c r="F13" s="11">
        <v>1.2331371661385242</v>
      </c>
      <c r="G13" s="11">
        <v>1.2184571016582553</v>
      </c>
      <c r="H13" s="11">
        <v>1.1073330602212208</v>
      </c>
      <c r="I13" s="11">
        <v>1.2248322147651007</v>
      </c>
      <c r="J13" s="11">
        <v>1.274390243902439</v>
      </c>
      <c r="K13" s="11">
        <v>1.2065727699530517</v>
      </c>
      <c r="L13" s="11">
        <v>1.560702875399361</v>
      </c>
      <c r="M13" s="11">
        <v>1.2063953488372092</v>
      </c>
      <c r="N13" s="11">
        <v>1.2631954350927246</v>
      </c>
      <c r="O13" s="11">
        <v>1.275092936802974</v>
      </c>
      <c r="P13" s="11">
        <v>0.9824561403508771</v>
      </c>
      <c r="Q13" s="11">
        <v>1.27398164257004</v>
      </c>
      <c r="R13" s="11">
        <v>1.7317784256559767</v>
      </c>
      <c r="S13" s="11">
        <v>0.9305019305019305</v>
      </c>
      <c r="T13" s="11">
        <v>0.8461538461538461</v>
      </c>
      <c r="U13" s="11">
        <v>1.2478510028653296</v>
      </c>
      <c r="V13" s="11">
        <v>1.7333333333333334</v>
      </c>
      <c r="W13" s="11">
        <v>1.2283484390735147</v>
      </c>
      <c r="X13" s="11">
        <v>1.0867469879518072</v>
      </c>
      <c r="Y13" s="11">
        <v>1.3166076347894529</v>
      </c>
      <c r="Z13" s="11">
        <v>1.0622568093385214</v>
      </c>
      <c r="AA13" s="11">
        <v>1.593430152143845</v>
      </c>
      <c r="AB13" s="11">
        <v>1.1121817749226743</v>
      </c>
      <c r="AC13" s="11">
        <v>2.507187350263536</v>
      </c>
      <c r="AD13" s="11">
        <v>1.7164893617021277</v>
      </c>
      <c r="AE13" s="11">
        <v>0.9359756097560976</v>
      </c>
      <c r="AF13" s="11">
        <v>0.9513274336283186</v>
      </c>
      <c r="AG13" s="11">
        <v>0.8235294117647058</v>
      </c>
      <c r="AH13" s="11">
        <v>0.9803921568627451</v>
      </c>
      <c r="AI13" s="11">
        <v>1.2233463035019456</v>
      </c>
      <c r="AJ13" s="11">
        <v>0.7735849056603774</v>
      </c>
      <c r="AK13" s="11">
        <v>1.2868421052631578</v>
      </c>
      <c r="AL13" s="11">
        <v>1.183206106870229</v>
      </c>
      <c r="AM13" s="11">
        <v>1.361242403781229</v>
      </c>
      <c r="AN13" s="11">
        <v>1.1287425149700598</v>
      </c>
      <c r="AO13" s="11">
        <v>2.3870967741935485</v>
      </c>
      <c r="AP13" s="11">
        <v>0.9396551724137931</v>
      </c>
      <c r="AQ13" s="11">
        <v>1.1292134831460674</v>
      </c>
      <c r="AR13" s="11">
        <v>1.1156716417910448</v>
      </c>
      <c r="AS13" s="11">
        <v>1.270217147135904</v>
      </c>
      <c r="AT13" s="11">
        <v>1.172093023255814</v>
      </c>
      <c r="AU13" s="11">
        <v>0.9166666666666666</v>
      </c>
      <c r="AV13" s="11">
        <v>1.2608695652173914</v>
      </c>
      <c r="AW13" s="11">
        <v>1.202127659574468</v>
      </c>
      <c r="AX13" s="11">
        <v>0.9933774834437086</v>
      </c>
      <c r="AY13" s="11">
        <v>1.163594470046083</v>
      </c>
      <c r="AZ13" s="11">
        <v>0.8604992657856094</v>
      </c>
      <c r="BA13" s="11">
        <v>1.4588215600937395</v>
      </c>
      <c r="BB13" s="11">
        <v>1.012158054711246</v>
      </c>
      <c r="BC13" s="11">
        <v>1.137058609392064</v>
      </c>
      <c r="BD13" s="11">
        <v>1.2181588902900378</v>
      </c>
      <c r="BE13" s="11">
        <v>1.1268248175182483</v>
      </c>
      <c r="BF13" s="11">
        <v>1.299492385786802</v>
      </c>
      <c r="BG13" s="11">
        <v>1.087463556851312</v>
      </c>
      <c r="BH13" s="11">
        <v>0.999288256227758</v>
      </c>
      <c r="BI13" s="11">
        <v>1.6004415011037527</v>
      </c>
      <c r="BJ13" s="11">
        <v>1.1571648690292757</v>
      </c>
      <c r="BK13" s="11">
        <v>1.34166325276526</v>
      </c>
      <c r="BL13" s="11">
        <v>0.7059791552386177</v>
      </c>
      <c r="BM13" s="11">
        <v>1.1514648977335544</v>
      </c>
      <c r="BN13" s="11">
        <v>1.0909090909090908</v>
      </c>
      <c r="BO13" s="11">
        <v>0.952755905511811</v>
      </c>
      <c r="BP13" s="11">
        <v>1.1666666666666667</v>
      </c>
      <c r="BQ13" s="11">
        <v>1.027190332326284</v>
      </c>
      <c r="BR13" s="11">
        <v>1.0317460317460319</v>
      </c>
      <c r="BS13" s="11">
        <v>1.1274900398406376</v>
      </c>
      <c r="BT13" s="11">
        <v>1.3533163265306123</v>
      </c>
      <c r="BU13" s="11">
        <v>1.1057377049180328</v>
      </c>
      <c r="BV13" s="11">
        <v>1.119095143047239</v>
      </c>
      <c r="BW13" s="11">
        <v>0.991698948533481</v>
      </c>
      <c r="BX13" s="11">
        <v>0.8469387755102041</v>
      </c>
      <c r="BY13" s="11">
        <v>0.625</v>
      </c>
      <c r="BZ13" s="11">
        <v>1.0295218295218296</v>
      </c>
      <c r="CA13" s="11">
        <v>1.420479302832244</v>
      </c>
      <c r="CB13" s="11">
        <v>1.2700575373993095</v>
      </c>
    </row>
    <row r="14">
      <c r="A14" s="9" t="s">
        <v>173</v>
      </c>
      <c r="B14" s="9" t="s">
        <v>0</v>
      </c>
      <c r="C14" s="11">
        <v>1.158848951196374</v>
      </c>
      <c r="D14" s="11">
        <v>1.2907268170426065</v>
      </c>
      <c r="E14" s="11">
        <v>1.2641921397379912</v>
      </c>
      <c r="F14" s="11">
        <v>1.1193098384728342</v>
      </c>
      <c r="G14" s="11">
        <v>1.0124260355029586</v>
      </c>
      <c r="H14" s="11">
        <v>1.161857195708472</v>
      </c>
      <c r="I14" s="11">
        <v>1.1191780821917807</v>
      </c>
      <c r="J14" s="11">
        <v>1.0717703349282297</v>
      </c>
      <c r="K14" s="11">
        <v>1.0038910505836576</v>
      </c>
      <c r="L14" s="11">
        <v>1.0204708290685773</v>
      </c>
      <c r="M14" s="11">
        <v>1.0481927710843373</v>
      </c>
      <c r="N14" s="11">
        <v>1.2348955392433654</v>
      </c>
      <c r="O14" s="11">
        <v>1.2332361516034986</v>
      </c>
      <c r="P14" s="11">
        <v>1.2857142857142858</v>
      </c>
      <c r="Q14" s="11">
        <v>1.1195140327745339</v>
      </c>
      <c r="R14" s="11">
        <v>1.393939393939394</v>
      </c>
      <c r="S14" s="11">
        <v>1.016597510373444</v>
      </c>
      <c r="T14" s="11">
        <v>1.5454545454545454</v>
      </c>
      <c r="U14" s="11">
        <v>0.9862227324913893</v>
      </c>
      <c r="V14" s="11">
        <v>0.9807692307692307</v>
      </c>
      <c r="W14" s="11">
        <v>1.1440869030539045</v>
      </c>
      <c r="X14" s="11">
        <v>1.1773835920177385</v>
      </c>
      <c r="Y14" s="11">
        <v>1.1110446868928412</v>
      </c>
      <c r="Z14" s="11">
        <v>1.10989010989011</v>
      </c>
      <c r="AA14" s="11">
        <v>1.1036847359055597</v>
      </c>
      <c r="AB14" s="11">
        <v>1.3385388811637609</v>
      </c>
      <c r="AC14" s="11">
        <v>0.8802675585284281</v>
      </c>
      <c r="AD14" s="11">
        <v>1.1478153083359157</v>
      </c>
      <c r="AE14" s="11">
        <v>1.006514657980456</v>
      </c>
      <c r="AF14" s="11">
        <v>1.0093023255813953</v>
      </c>
      <c r="AG14" s="11">
        <v>1.0476190476190477</v>
      </c>
      <c r="AH14" s="11">
        <v>0.96</v>
      </c>
      <c r="AI14" s="11">
        <v>1.1503392705682782</v>
      </c>
      <c r="AJ14" s="11">
        <v>1.1056910569105691</v>
      </c>
      <c r="AK14" s="11">
        <v>1.1533742331288344</v>
      </c>
      <c r="AL14" s="11">
        <v>1.043548387096774</v>
      </c>
      <c r="AM14" s="11">
        <v>1.2073412698412698</v>
      </c>
      <c r="AN14" s="11">
        <v>1.0450928381962865</v>
      </c>
      <c r="AO14" s="11">
        <v>2.054054054054054</v>
      </c>
      <c r="AP14" s="11">
        <v>1.073394495412844</v>
      </c>
      <c r="AQ14" s="11">
        <v>1.1393034825870647</v>
      </c>
      <c r="AR14" s="11">
        <v>1.0618729096989967</v>
      </c>
      <c r="AS14" s="11">
        <v>1.0259376611893007</v>
      </c>
      <c r="AT14" s="11">
        <v>1.0813492063492063</v>
      </c>
      <c r="AU14" s="11">
        <v>1.0484848484848486</v>
      </c>
      <c r="AV14" s="11">
        <v>1.2471264367816093</v>
      </c>
      <c r="AW14" s="11">
        <v>1.1699115044247788</v>
      </c>
      <c r="AX14" s="11">
        <v>0.9466666666666667</v>
      </c>
      <c r="AY14" s="11">
        <v>0.9425742574257425</v>
      </c>
      <c r="AZ14" s="11">
        <v>0.628839590443686</v>
      </c>
      <c r="BA14" s="11">
        <v>1.0693057946069995</v>
      </c>
      <c r="BB14" s="11">
        <v>1.1276276276276276</v>
      </c>
      <c r="BC14" s="11">
        <v>1.107891788058268</v>
      </c>
      <c r="BD14" s="11">
        <v>0.7763975155279503</v>
      </c>
      <c r="BE14" s="11">
        <v>1.11417004048583</v>
      </c>
      <c r="BF14" s="11">
        <v>0.8125</v>
      </c>
      <c r="BG14" s="11">
        <v>1.1644325290437891</v>
      </c>
      <c r="BH14" s="11">
        <v>1.1666666666666667</v>
      </c>
      <c r="BI14" s="11">
        <v>0.9358620689655173</v>
      </c>
      <c r="BJ14" s="11">
        <v>1.1378162450066578</v>
      </c>
      <c r="BK14" s="11">
        <v>1.297709923664122</v>
      </c>
      <c r="BL14" s="11">
        <v>0.972027972027972</v>
      </c>
      <c r="BM14" s="11">
        <v>1.0948151704272684</v>
      </c>
      <c r="BN14" s="11">
        <v>1.130952380952381</v>
      </c>
      <c r="BO14" s="11">
        <v>1.2231404958677685</v>
      </c>
      <c r="BP14" s="11">
        <v>0.9285714285714286</v>
      </c>
      <c r="BQ14" s="11">
        <v>1.0852941176470587</v>
      </c>
      <c r="BR14" s="11">
        <v>0.9538461538461539</v>
      </c>
      <c r="BS14" s="11">
        <v>1.1404593639575973</v>
      </c>
      <c r="BT14" s="11">
        <v>1.049010367577757</v>
      </c>
      <c r="BU14" s="11">
        <v>1.089696071163825</v>
      </c>
      <c r="BV14" s="11">
        <v>1.0993856520015854</v>
      </c>
      <c r="BW14" s="11">
        <v>1.2455357142857142</v>
      </c>
      <c r="BX14" s="11">
        <v>0.7349397590361446</v>
      </c>
      <c r="BY14" s="11">
        <v>0.0</v>
      </c>
      <c r="BZ14" s="11">
        <v>1.0413974151857834</v>
      </c>
      <c r="CA14" s="11">
        <v>1.1180981595092025</v>
      </c>
      <c r="CB14" s="11">
        <v>1.110231226442447</v>
      </c>
    </row>
    <row r="15">
      <c r="A15" s="9" t="s">
        <v>174</v>
      </c>
      <c r="B15" s="9" t="s">
        <v>0</v>
      </c>
      <c r="C15" s="11">
        <v>0.9617063853010733</v>
      </c>
      <c r="D15" s="11">
        <v>1.133980582524272</v>
      </c>
      <c r="E15" s="11">
        <v>0.93452661328309</v>
      </c>
      <c r="F15" s="11">
        <v>0.9468678255165628</v>
      </c>
      <c r="G15" s="11">
        <v>0.950905902980713</v>
      </c>
      <c r="H15" s="11">
        <v>0.9487342779812132</v>
      </c>
      <c r="I15" s="11">
        <v>1.0061199510403918</v>
      </c>
      <c r="J15" s="11">
        <v>1.0267857142857142</v>
      </c>
      <c r="K15" s="11">
        <v>1.0891472868217054</v>
      </c>
      <c r="L15" s="11">
        <v>0.9618856569709128</v>
      </c>
      <c r="M15" s="11">
        <v>1.0091954022988505</v>
      </c>
      <c r="N15" s="11">
        <v>1.196159122085048</v>
      </c>
      <c r="O15" s="11">
        <v>1.1895981087470449</v>
      </c>
      <c r="P15" s="11">
        <v>1.3888888888888888</v>
      </c>
      <c r="Q15" s="11">
        <v>0.9271473037772356</v>
      </c>
      <c r="R15" s="11">
        <v>0.7946859903381642</v>
      </c>
      <c r="S15" s="11">
        <v>1.0299319727891156</v>
      </c>
      <c r="T15" s="11">
        <v>1.1176470588235294</v>
      </c>
      <c r="U15" s="11">
        <v>1.1315483119906868</v>
      </c>
      <c r="V15" s="11">
        <v>0.9411764705882353</v>
      </c>
      <c r="W15" s="11">
        <v>0.8771049802938015</v>
      </c>
      <c r="X15" s="11">
        <v>0.9453860640301318</v>
      </c>
      <c r="Y15" s="11">
        <v>0.9341538875437181</v>
      </c>
      <c r="Z15" s="11">
        <v>0.9933993399339934</v>
      </c>
      <c r="AA15" s="11">
        <v>0.9712937475422729</v>
      </c>
      <c r="AB15" s="11">
        <v>1.0290075115870225</v>
      </c>
      <c r="AC15" s="11">
        <v>0.9359531046461138</v>
      </c>
      <c r="AD15" s="11">
        <v>0.8642008639308856</v>
      </c>
      <c r="AE15" s="11">
        <v>1.035598705501618</v>
      </c>
      <c r="AF15" s="11">
        <v>0.9585253456221198</v>
      </c>
      <c r="AG15" s="11">
        <v>1.25</v>
      </c>
      <c r="AH15" s="11">
        <v>1.1875</v>
      </c>
      <c r="AI15" s="11">
        <v>0.9351152073732719</v>
      </c>
      <c r="AJ15" s="11">
        <v>0.9632352941176471</v>
      </c>
      <c r="AK15" s="11">
        <v>0.9716312056737588</v>
      </c>
      <c r="AL15" s="11">
        <v>1.0494590417310665</v>
      </c>
      <c r="AM15" s="11">
        <v>0.7986852917009039</v>
      </c>
      <c r="AN15" s="11">
        <v>1.248730964467005</v>
      </c>
      <c r="AO15" s="11">
        <v>0.7763157894736842</v>
      </c>
      <c r="AP15" s="11">
        <v>1.0</v>
      </c>
      <c r="AQ15" s="11">
        <v>1.1048034934497817</v>
      </c>
      <c r="AR15" s="11">
        <v>1.0614173228346457</v>
      </c>
      <c r="AS15" s="11">
        <v>0.9668174962292609</v>
      </c>
      <c r="AT15" s="11">
        <v>1.1412844036697247</v>
      </c>
      <c r="AU15" s="11">
        <v>0.815028901734104</v>
      </c>
      <c r="AV15" s="11">
        <v>1.023041474654378</v>
      </c>
      <c r="AW15" s="11">
        <v>1.1951588502269288</v>
      </c>
      <c r="AX15" s="11">
        <v>0.9119718309859155</v>
      </c>
      <c r="AY15" s="11">
        <v>0.9695378151260504</v>
      </c>
      <c r="AZ15" s="11">
        <v>1.0786974219810042</v>
      </c>
      <c r="BA15" s="11">
        <v>0.9268161819937761</v>
      </c>
      <c r="BB15" s="11">
        <v>1.0825565912117177</v>
      </c>
      <c r="BC15" s="11">
        <v>1.0252853633867938</v>
      </c>
      <c r="BD15" s="11">
        <v>0.9</v>
      </c>
      <c r="BE15" s="11">
        <v>0.9934593023255814</v>
      </c>
      <c r="BF15" s="11">
        <v>0.6875</v>
      </c>
      <c r="BG15" s="11">
        <v>0.9662317728319263</v>
      </c>
      <c r="BH15" s="11">
        <v>0.9829059829059829</v>
      </c>
      <c r="BI15" s="11">
        <v>0.5534266764922623</v>
      </c>
      <c r="BJ15" s="11">
        <v>1.0087770626097132</v>
      </c>
      <c r="BK15" s="11">
        <v>1.0030588235294118</v>
      </c>
      <c r="BL15" s="11">
        <v>1.9184652278177459</v>
      </c>
      <c r="BM15" s="11">
        <v>0.9704012278009209</v>
      </c>
      <c r="BN15" s="11">
        <v>1.3368421052631578</v>
      </c>
      <c r="BO15" s="11">
        <v>1.195945945945946</v>
      </c>
      <c r="BP15" s="11">
        <v>1.1538461538461537</v>
      </c>
      <c r="BQ15" s="11">
        <v>0.8672086720867209</v>
      </c>
      <c r="BR15" s="11">
        <v>0.9193548387096774</v>
      </c>
      <c r="BS15" s="11">
        <v>1.0340821068938808</v>
      </c>
      <c r="BT15" s="11">
        <v>0.651392632524708</v>
      </c>
      <c r="BU15" s="11">
        <v>1.1360544217687074</v>
      </c>
      <c r="BV15" s="11">
        <v>1.0338891392519152</v>
      </c>
      <c r="BW15" s="11">
        <v>1.1169354838709677</v>
      </c>
      <c r="BX15" s="11">
        <v>1.1147540983606556</v>
      </c>
      <c r="BY15" s="11">
        <v>0.0</v>
      </c>
      <c r="BZ15" s="11">
        <v>1.029086678301338</v>
      </c>
      <c r="CA15" s="11">
        <v>0.988477366255144</v>
      </c>
      <c r="CB15" s="11">
        <v>0.9748069923449818</v>
      </c>
    </row>
    <row r="16">
      <c r="A16" s="9" t="s">
        <v>175</v>
      </c>
      <c r="B16" s="9" t="s">
        <v>0</v>
      </c>
      <c r="C16" s="11">
        <v>0.7749929064598505</v>
      </c>
      <c r="D16" s="11">
        <v>0.8296232876712328</v>
      </c>
      <c r="E16" s="11">
        <v>0.8919690860215054</v>
      </c>
      <c r="F16" s="11">
        <v>0.717353654312435</v>
      </c>
      <c r="G16" s="11">
        <v>0.8303626306084819</v>
      </c>
      <c r="H16" s="11">
        <v>0.6126866923980534</v>
      </c>
      <c r="I16" s="11">
        <v>0.7487834549878345</v>
      </c>
      <c r="J16" s="11">
        <v>0.7739130434782608</v>
      </c>
      <c r="K16" s="11">
        <v>1.0</v>
      </c>
      <c r="L16" s="11">
        <v>0.9051094890510949</v>
      </c>
      <c r="M16" s="11">
        <v>1.0911161731207288</v>
      </c>
      <c r="N16" s="11">
        <v>1.003822629969419</v>
      </c>
      <c r="O16" s="11">
        <v>1.0047694753577106</v>
      </c>
      <c r="P16" s="11">
        <v>0.98</v>
      </c>
      <c r="Q16" s="11">
        <v>0.9163415298067326</v>
      </c>
      <c r="R16" s="11">
        <v>0.9680851063829787</v>
      </c>
      <c r="S16" s="11">
        <v>0.49273447820343463</v>
      </c>
      <c r="T16" s="11">
        <v>0.8421052631578947</v>
      </c>
      <c r="U16" s="11">
        <v>0.9866255144032922</v>
      </c>
      <c r="V16" s="11">
        <v>1.1666666666666667</v>
      </c>
      <c r="W16" s="11">
        <v>0.7142565359477124</v>
      </c>
      <c r="X16" s="11">
        <v>0.896414342629482</v>
      </c>
      <c r="Y16" s="11">
        <v>1.005687954496364</v>
      </c>
      <c r="Z16" s="11">
        <v>0.8039867109634552</v>
      </c>
      <c r="AA16" s="11">
        <v>0.8641700404858299</v>
      </c>
      <c r="AB16" s="11">
        <v>0.8464704511920479</v>
      </c>
      <c r="AC16" s="11">
        <v>0.8401762932034331</v>
      </c>
      <c r="AD16" s="11">
        <v>1.0</v>
      </c>
      <c r="AE16" s="11">
        <v>1.025</v>
      </c>
      <c r="AF16" s="11">
        <v>1.1490384615384615</v>
      </c>
      <c r="AG16" s="11">
        <v>0.6909090909090909</v>
      </c>
      <c r="AH16" s="11">
        <v>0.8947368421052632</v>
      </c>
      <c r="AI16" s="11">
        <v>1.0236546422235364</v>
      </c>
      <c r="AJ16" s="11">
        <v>1.1068702290076335</v>
      </c>
      <c r="AK16" s="11">
        <v>0.9525547445255474</v>
      </c>
      <c r="AL16" s="11">
        <v>0.9101620029455081</v>
      </c>
      <c r="AM16" s="11">
        <v>1.1502057613168724</v>
      </c>
      <c r="AN16" s="11">
        <v>0.8780487804878049</v>
      </c>
      <c r="AO16" s="11">
        <v>1.2796610169491525</v>
      </c>
      <c r="AP16" s="11">
        <v>0.8675213675213675</v>
      </c>
      <c r="AQ16" s="11">
        <v>0.9604743083003953</v>
      </c>
      <c r="AR16" s="11">
        <v>0.9540059347181009</v>
      </c>
      <c r="AS16" s="11">
        <v>0.8449595126662209</v>
      </c>
      <c r="AT16" s="11">
        <v>0.8360128617363344</v>
      </c>
      <c r="AU16" s="11">
        <v>0.9574468085106383</v>
      </c>
      <c r="AV16" s="11">
        <v>0.8783783783783784</v>
      </c>
      <c r="AW16" s="11">
        <v>0.9430379746835443</v>
      </c>
      <c r="AX16" s="11">
        <v>0.916988416988417</v>
      </c>
      <c r="AY16" s="11">
        <v>0.942578548212351</v>
      </c>
      <c r="AZ16" s="11">
        <v>1.1232704402515723</v>
      </c>
      <c r="BA16" s="11">
        <v>0.7838369804330207</v>
      </c>
      <c r="BB16" s="11">
        <v>0.948339483394834</v>
      </c>
      <c r="BC16" s="11">
        <v>0.8773252536640361</v>
      </c>
      <c r="BD16" s="11">
        <v>1.1051851851851853</v>
      </c>
      <c r="BE16" s="11">
        <v>0.8617410387710315</v>
      </c>
      <c r="BF16" s="11">
        <v>0.986013986013986</v>
      </c>
      <c r="BG16" s="11">
        <v>0.9904686258935663</v>
      </c>
      <c r="BH16" s="11">
        <v>0.831055900621118</v>
      </c>
      <c r="BI16" s="11">
        <v>1.0372836218375499</v>
      </c>
      <c r="BJ16" s="11">
        <v>0.8909512761020881</v>
      </c>
      <c r="BK16" s="11">
        <v>0.9619985925404645</v>
      </c>
      <c r="BL16" s="11">
        <v>0.5770833333333333</v>
      </c>
      <c r="BM16" s="11">
        <v>0.9694984184365115</v>
      </c>
      <c r="BN16" s="11">
        <v>0.7637795275590551</v>
      </c>
      <c r="BO16" s="11">
        <v>0.8926553672316384</v>
      </c>
      <c r="BP16" s="11">
        <v>1.4</v>
      </c>
      <c r="BQ16" s="11">
        <v>1.034375</v>
      </c>
      <c r="BR16" s="11">
        <v>0.8771929824561403</v>
      </c>
      <c r="BS16" s="11">
        <v>0.9026217228464419</v>
      </c>
      <c r="BT16" s="11">
        <v>0.8041379310344827</v>
      </c>
      <c r="BU16" s="11">
        <v>1.1053892215568861</v>
      </c>
      <c r="BV16" s="11">
        <v>1.2000697410862173</v>
      </c>
      <c r="BW16" s="11">
        <v>1.0842358604091455</v>
      </c>
      <c r="BX16" s="11">
        <v>1.1764705882352942</v>
      </c>
      <c r="BY16" s="11">
        <v>0.0</v>
      </c>
      <c r="BZ16" s="11">
        <v>1.1047672884869042</v>
      </c>
      <c r="CA16" s="11">
        <v>1.4210380238689981</v>
      </c>
      <c r="CB16" s="11">
        <v>0.9038318249935118</v>
      </c>
    </row>
    <row r="17">
      <c r="A17" s="9" t="s">
        <v>176</v>
      </c>
      <c r="B17" s="9" t="s">
        <v>0</v>
      </c>
      <c r="C17" s="11">
        <v>1.2469489870637052</v>
      </c>
      <c r="D17" s="11">
        <v>0.8555211558307534</v>
      </c>
      <c r="E17" s="11">
        <v>1.2341307214164625</v>
      </c>
      <c r="F17" s="11">
        <v>1.1477547078705939</v>
      </c>
      <c r="G17" s="11">
        <v>0.9111769059955589</v>
      </c>
      <c r="H17" s="11">
        <v>1.695973705834018</v>
      </c>
      <c r="I17" s="11">
        <v>1.0438667749796913</v>
      </c>
      <c r="J17" s="11">
        <v>1.1235955056179776</v>
      </c>
      <c r="K17" s="11">
        <v>1.0177935943060499</v>
      </c>
      <c r="L17" s="11">
        <v>1.1716589861751152</v>
      </c>
      <c r="M17" s="11">
        <v>0.9728601252609603</v>
      </c>
      <c r="N17" s="11">
        <v>1.1203351104341204</v>
      </c>
      <c r="O17" s="11">
        <v>1.1222310126582278</v>
      </c>
      <c r="P17" s="11">
        <v>1.0714285714285714</v>
      </c>
      <c r="Q17" s="11">
        <v>1.1415981780374294</v>
      </c>
      <c r="R17" s="11">
        <v>1.0769230769230769</v>
      </c>
      <c r="S17" s="11">
        <v>1.7024128686327078</v>
      </c>
      <c r="T17" s="11">
        <v>0.9375</v>
      </c>
      <c r="U17" s="11">
        <v>1.0875912408759123</v>
      </c>
      <c r="V17" s="11">
        <v>1.2321428571428572</v>
      </c>
      <c r="W17" s="11">
        <v>1.023734629682585</v>
      </c>
      <c r="X17" s="11">
        <v>0.9333333333333333</v>
      </c>
      <c r="Y17" s="11">
        <v>1.169315578465063</v>
      </c>
      <c r="Z17" s="11">
        <v>1.1446280991735538</v>
      </c>
      <c r="AA17" s="11">
        <v>1.116701803701101</v>
      </c>
      <c r="AB17" s="11">
        <v>1.2362385321100917</v>
      </c>
      <c r="AC17" s="11">
        <v>0.9784649364991718</v>
      </c>
      <c r="AD17" s="11">
        <v>1.022492970946579</v>
      </c>
      <c r="AE17" s="11">
        <v>1.1158536585365855</v>
      </c>
      <c r="AF17" s="11">
        <v>1.00418410041841</v>
      </c>
      <c r="AG17" s="11">
        <v>1.605263157894737</v>
      </c>
      <c r="AH17" s="11">
        <v>1.2745098039215685</v>
      </c>
      <c r="AI17" s="11">
        <v>1.0641247833622183</v>
      </c>
      <c r="AJ17" s="11">
        <v>0.903448275862069</v>
      </c>
      <c r="AK17" s="11">
        <v>0.9808429118773946</v>
      </c>
      <c r="AL17" s="11">
        <v>1.0145631067961165</v>
      </c>
      <c r="AM17" s="11">
        <v>1.1623434704830053</v>
      </c>
      <c r="AN17" s="11">
        <v>0.9652777777777778</v>
      </c>
      <c r="AO17" s="11">
        <v>0.9006622516556292</v>
      </c>
      <c r="AP17" s="11">
        <v>1.0591133004926108</v>
      </c>
      <c r="AQ17" s="11">
        <v>1.1604938271604939</v>
      </c>
      <c r="AR17" s="11">
        <v>0.9440124416796267</v>
      </c>
      <c r="AS17" s="11">
        <v>1.056004923509759</v>
      </c>
      <c r="AT17" s="11">
        <v>0.8692307692307693</v>
      </c>
      <c r="AU17" s="11">
        <v>1.0740740740740742</v>
      </c>
      <c r="AV17" s="11">
        <v>1.1897435897435897</v>
      </c>
      <c r="AW17" s="11">
        <v>1.025503355704698</v>
      </c>
      <c r="AX17" s="11">
        <v>0.9368421052631579</v>
      </c>
      <c r="AY17" s="11">
        <v>0.9528735632183908</v>
      </c>
      <c r="AZ17" s="11">
        <v>0.9708846584546472</v>
      </c>
      <c r="BA17" s="11">
        <v>1.108714918759232</v>
      </c>
      <c r="BB17" s="11">
        <v>1.0</v>
      </c>
      <c r="BC17" s="11">
        <v>0.9613685647739137</v>
      </c>
      <c r="BD17" s="11">
        <v>1.2533512064343164</v>
      </c>
      <c r="BE17" s="11">
        <v>1.0076400679117148</v>
      </c>
      <c r="BF17" s="11">
        <v>0.9716312056737588</v>
      </c>
      <c r="BG17" s="11">
        <v>1.0986367281475542</v>
      </c>
      <c r="BH17" s="11">
        <v>0.8430493273542601</v>
      </c>
      <c r="BI17" s="11">
        <v>1.1026957637997432</v>
      </c>
      <c r="BJ17" s="11">
        <v>1.0006510416666667</v>
      </c>
      <c r="BK17" s="11">
        <v>0.9624481833699098</v>
      </c>
      <c r="BL17" s="11">
        <v>0.628158844765343</v>
      </c>
      <c r="BM17" s="11">
        <v>1.0268002796550921</v>
      </c>
      <c r="BN17" s="11">
        <v>1.0206185567010309</v>
      </c>
      <c r="BO17" s="11">
        <v>0.8354430379746836</v>
      </c>
      <c r="BP17" s="11">
        <v>1.0</v>
      </c>
      <c r="BQ17" s="11">
        <v>0.8761329305135952</v>
      </c>
      <c r="BR17" s="11">
        <v>0.88</v>
      </c>
      <c r="BS17" s="11">
        <v>1.0846473029045642</v>
      </c>
      <c r="BT17" s="11">
        <v>0.9725557461406518</v>
      </c>
      <c r="BU17" s="11">
        <v>1.0541711809317442</v>
      </c>
      <c r="BV17" s="11">
        <v>0.9600464913555136</v>
      </c>
      <c r="BW17" s="11">
        <v>0.7162412134665187</v>
      </c>
      <c r="BX17" s="11">
        <v>1.3625</v>
      </c>
      <c r="BY17" s="11">
        <v>0.0</v>
      </c>
      <c r="BZ17" s="11">
        <v>0.9621354255500597</v>
      </c>
      <c r="CA17" s="11">
        <v>1.080078125</v>
      </c>
      <c r="CB17" s="11">
        <v>1.0908299370137087</v>
      </c>
    </row>
    <row r="18">
      <c r="A18" s="9" t="s">
        <v>177</v>
      </c>
      <c r="B18" s="9" t="s">
        <v>0</v>
      </c>
      <c r="C18" s="11">
        <v>0.9169562025935895</v>
      </c>
      <c r="D18" s="11">
        <v>0.985524728588661</v>
      </c>
      <c r="E18" s="11">
        <v>1.047008547008547</v>
      </c>
      <c r="F18" s="11">
        <v>1.0260832982751367</v>
      </c>
      <c r="G18" s="11">
        <v>0.9926888708367181</v>
      </c>
      <c r="H18" s="11">
        <v>0.71156330749354</v>
      </c>
      <c r="I18" s="11">
        <v>1.003112840466926</v>
      </c>
      <c r="J18" s="11">
        <v>1.06</v>
      </c>
      <c r="K18" s="11">
        <v>0.8566433566433567</v>
      </c>
      <c r="L18" s="11">
        <v>0.7925270403146509</v>
      </c>
      <c r="M18" s="11">
        <v>0.9484978540772532</v>
      </c>
      <c r="N18" s="11">
        <v>1.0064581917063222</v>
      </c>
      <c r="O18" s="11">
        <v>1.0165667959111737</v>
      </c>
      <c r="P18" s="11">
        <v>0.7333333333333333</v>
      </c>
      <c r="Q18" s="11">
        <v>1.3066180935033394</v>
      </c>
      <c r="R18" s="11">
        <v>0.9081632653061225</v>
      </c>
      <c r="S18" s="11">
        <v>0.6267716535433071</v>
      </c>
      <c r="T18" s="11">
        <v>0.6</v>
      </c>
      <c r="U18" s="11">
        <v>0.975071907957814</v>
      </c>
      <c r="V18" s="11">
        <v>1.8985507246376812</v>
      </c>
      <c r="W18" s="11">
        <v>0.9391061452513967</v>
      </c>
      <c r="X18" s="11">
        <v>1.1976190476190476</v>
      </c>
      <c r="Y18" s="11">
        <v>1.4575399497948938</v>
      </c>
      <c r="Z18" s="11">
        <v>1.0072202166064983</v>
      </c>
      <c r="AA18" s="11">
        <v>1.4923225373384796</v>
      </c>
      <c r="AB18" s="11">
        <v>1.624860853432282</v>
      </c>
      <c r="AC18" s="11">
        <v>1.277370203160271</v>
      </c>
      <c r="AD18" s="11">
        <v>1.4121600977696303</v>
      </c>
      <c r="AE18" s="11">
        <v>0.8087431693989071</v>
      </c>
      <c r="AF18" s="11">
        <v>0.85</v>
      </c>
      <c r="AG18" s="11">
        <v>0.9180327868852459</v>
      </c>
      <c r="AH18" s="11">
        <v>0.5538461538461539</v>
      </c>
      <c r="AI18" s="11">
        <v>1.169019182048498</v>
      </c>
      <c r="AJ18" s="11">
        <v>1.0229007633587786</v>
      </c>
      <c r="AK18" s="11">
        <v>1.056640625</v>
      </c>
      <c r="AL18" s="11">
        <v>0.9968102073365231</v>
      </c>
      <c r="AM18" s="11">
        <v>1.2424009234320892</v>
      </c>
      <c r="AN18" s="11">
        <v>1.1079136690647482</v>
      </c>
      <c r="AO18" s="11">
        <v>1.3823529411764706</v>
      </c>
      <c r="AP18" s="11">
        <v>1.441860465116279</v>
      </c>
      <c r="AQ18" s="11">
        <v>1.124113475177305</v>
      </c>
      <c r="AR18" s="11">
        <v>1.0774299835255354</v>
      </c>
      <c r="AS18" s="11">
        <v>1.0769294813088002</v>
      </c>
      <c r="AT18" s="11">
        <v>0.8805309734513275</v>
      </c>
      <c r="AU18" s="11">
        <v>1.1586206896551725</v>
      </c>
      <c r="AV18" s="11">
        <v>1.0172413793103448</v>
      </c>
      <c r="AW18" s="11">
        <v>0.9175392670157068</v>
      </c>
      <c r="AX18" s="11">
        <v>0.9662921348314607</v>
      </c>
      <c r="AY18" s="11">
        <v>1.034981905910736</v>
      </c>
      <c r="AZ18" s="11">
        <v>0.8604382929642446</v>
      </c>
      <c r="BA18" s="11">
        <v>1.1377564614974687</v>
      </c>
      <c r="BB18" s="11">
        <v>1.11284046692607</v>
      </c>
      <c r="BC18" s="11">
        <v>1.097827903091061</v>
      </c>
      <c r="BD18" s="11">
        <v>1.1967914438502674</v>
      </c>
      <c r="BE18" s="11">
        <v>1.1996630160067396</v>
      </c>
      <c r="BF18" s="11">
        <v>1.3357664233576643</v>
      </c>
      <c r="BG18" s="11">
        <v>1.0905109489051095</v>
      </c>
      <c r="BH18" s="11">
        <v>1.077127659574468</v>
      </c>
      <c r="BI18" s="11">
        <v>0.9243306169965075</v>
      </c>
      <c r="BJ18" s="11">
        <v>0.9908913467794405</v>
      </c>
      <c r="BK18" s="11">
        <v>1.0861413731948315</v>
      </c>
      <c r="BL18" s="11">
        <v>1.2666666666666666</v>
      </c>
      <c r="BM18" s="11">
        <v>1.0088515660463004</v>
      </c>
      <c r="BN18" s="11">
        <v>1.1717171717171717</v>
      </c>
      <c r="BO18" s="11">
        <v>0.9924242424242424</v>
      </c>
      <c r="BP18" s="11">
        <v>1.1428571428571428</v>
      </c>
      <c r="BQ18" s="11">
        <v>0.9344827586206896</v>
      </c>
      <c r="BR18" s="11">
        <v>1.0</v>
      </c>
      <c r="BS18" s="11">
        <v>1.1476664116296864</v>
      </c>
      <c r="BT18" s="11">
        <v>0.5961199294532628</v>
      </c>
      <c r="BU18" s="11">
        <v>1.0385405960945528</v>
      </c>
      <c r="BV18" s="11">
        <v>1.0898910411622276</v>
      </c>
      <c r="BW18" s="11">
        <v>1.0418388429752066</v>
      </c>
      <c r="BX18" s="11">
        <v>1.036697247706422</v>
      </c>
      <c r="BY18" s="11">
        <v>0.0</v>
      </c>
      <c r="BZ18" s="11">
        <v>1.0322637830171955</v>
      </c>
      <c r="CA18" s="11">
        <v>1.1665461121157323</v>
      </c>
      <c r="CB18" s="11">
        <v>1.1809775317154356</v>
      </c>
    </row>
    <row r="19">
      <c r="A19" s="9" t="s">
        <v>178</v>
      </c>
      <c r="B19" s="9" t="s">
        <v>0</v>
      </c>
      <c r="C19" s="11">
        <v>1.0708186572739886</v>
      </c>
      <c r="D19" s="11">
        <v>1.0783353733170136</v>
      </c>
      <c r="E19" s="11">
        <v>1.0326530612244897</v>
      </c>
      <c r="F19" s="11">
        <v>0.993849938499385</v>
      </c>
      <c r="G19" s="11">
        <v>1.0</v>
      </c>
      <c r="H19" s="11">
        <v>1.178620063549705</v>
      </c>
      <c r="I19" s="11">
        <v>1.1272304111714508</v>
      </c>
      <c r="J19" s="11">
        <v>1.3113207547169812</v>
      </c>
      <c r="K19" s="11">
        <v>0.8857142857142857</v>
      </c>
      <c r="L19" s="11">
        <v>1.0843672456575681</v>
      </c>
      <c r="M19" s="11">
        <v>0.9932126696832579</v>
      </c>
      <c r="N19" s="11">
        <v>1.0158730158730158</v>
      </c>
      <c r="O19" s="11">
        <v>1.0027739251040222</v>
      </c>
      <c r="P19" s="11">
        <v>1.5064935064935066</v>
      </c>
      <c r="Q19" s="11">
        <v>1.3006837493361656</v>
      </c>
      <c r="R19" s="11">
        <v>1.0609951845906902</v>
      </c>
      <c r="S19" s="11">
        <v>0.9195979899497487</v>
      </c>
      <c r="T19" s="11">
        <v>0.0</v>
      </c>
      <c r="U19" s="11">
        <v>1.1238938053097345</v>
      </c>
      <c r="V19" s="11">
        <v>1.2061068702290076</v>
      </c>
      <c r="W19" s="11">
        <v>1.0157644259369423</v>
      </c>
      <c r="X19" s="11">
        <v>1.077534791252485</v>
      </c>
      <c r="Y19" s="11">
        <v>1.3720910694782829</v>
      </c>
      <c r="Z19" s="11">
        <v>0.8530465949820788</v>
      </c>
      <c r="AA19" s="11">
        <v>1.1058165359422</v>
      </c>
      <c r="AB19" s="11">
        <v>1.066773235898607</v>
      </c>
      <c r="AC19" s="11">
        <v>1.0837199028053899</v>
      </c>
      <c r="AD19" s="11">
        <v>1.3340545218520121</v>
      </c>
      <c r="AE19" s="11">
        <v>0.9594594594594594</v>
      </c>
      <c r="AF19" s="11">
        <v>1.0098039215686274</v>
      </c>
      <c r="AG19" s="11">
        <v>1.1607142857142858</v>
      </c>
      <c r="AH19" s="11">
        <v>0.3611111111111111</v>
      </c>
      <c r="AI19" s="11">
        <v>1.0687306501547988</v>
      </c>
      <c r="AJ19" s="11">
        <v>1.171641791044776</v>
      </c>
      <c r="AK19" s="11">
        <v>1.1977818853974123</v>
      </c>
      <c r="AL19" s="11">
        <v>1.0256</v>
      </c>
      <c r="AM19" s="11">
        <v>1.0684422421802415</v>
      </c>
      <c r="AN19" s="11">
        <v>1.0497835497835497</v>
      </c>
      <c r="AO19" s="11">
        <v>0.7872340425531915</v>
      </c>
      <c r="AP19" s="11">
        <v>0.867741935483871</v>
      </c>
      <c r="AQ19" s="11">
        <v>1.113564668769716</v>
      </c>
      <c r="AR19" s="11">
        <v>1.151376146788991</v>
      </c>
      <c r="AS19" s="11">
        <v>1.3364514882102823</v>
      </c>
      <c r="AT19" s="11">
        <v>1.0527638190954773</v>
      </c>
      <c r="AU19" s="11">
        <v>1.0833333333333333</v>
      </c>
      <c r="AV19" s="11">
        <v>0.8559322033898306</v>
      </c>
      <c r="AW19" s="11">
        <v>1.028530670470756</v>
      </c>
      <c r="AX19" s="11">
        <v>0.9627906976744186</v>
      </c>
      <c r="AY19" s="11">
        <v>1.0442890442890442</v>
      </c>
      <c r="AZ19" s="11">
        <v>1.4235924932975872</v>
      </c>
      <c r="BA19" s="11">
        <v>1.453512880562061</v>
      </c>
      <c r="BB19" s="11">
        <v>1.1398601398601398</v>
      </c>
      <c r="BC19" s="11">
        <v>0.9893463206757477</v>
      </c>
      <c r="BD19" s="11">
        <v>1.1546023235031277</v>
      </c>
      <c r="BE19" s="11">
        <v>1.0105337078651686</v>
      </c>
      <c r="BF19" s="11">
        <v>0.9672131147540983</v>
      </c>
      <c r="BG19" s="11">
        <v>1.0769745649263722</v>
      </c>
      <c r="BH19" s="11">
        <v>1.0386831275720165</v>
      </c>
      <c r="BI19" s="11">
        <v>0.9622166246851386</v>
      </c>
      <c r="BJ19" s="11">
        <v>1.0755088640840447</v>
      </c>
      <c r="BK19" s="11">
        <v>0.8947982271985071</v>
      </c>
      <c r="BL19" s="11">
        <v>0.8929219600725953</v>
      </c>
      <c r="BM19" s="11">
        <v>1.07896512935883</v>
      </c>
      <c r="BN19" s="11">
        <v>0.9310344827586207</v>
      </c>
      <c r="BO19" s="11">
        <v>1.0763358778625953</v>
      </c>
      <c r="BP19" s="11">
        <v>1.0416666666666667</v>
      </c>
      <c r="BQ19" s="11">
        <v>0.9003690036900369</v>
      </c>
      <c r="BR19" s="11">
        <v>0.9772727272727273</v>
      </c>
      <c r="BS19" s="11">
        <v>1.1273333333333333</v>
      </c>
      <c r="BT19" s="11">
        <v>1.0591715976331362</v>
      </c>
      <c r="BU19" s="11">
        <v>1.0816427511133102</v>
      </c>
      <c r="BV19" s="11">
        <v>1.3794084976395447</v>
      </c>
      <c r="BW19" s="11">
        <v>1.3366385721368368</v>
      </c>
      <c r="BX19" s="11">
        <v>1.336283185840708</v>
      </c>
      <c r="BY19" s="11">
        <v>0.0</v>
      </c>
      <c r="BZ19" s="11">
        <v>1.571870170015456</v>
      </c>
      <c r="CA19" s="11">
        <v>1.2198108820337932</v>
      </c>
      <c r="CB19" s="11">
        <v>1.177287728557151</v>
      </c>
    </row>
    <row r="20">
      <c r="A20" s="9" t="s">
        <v>179</v>
      </c>
      <c r="B20" s="9" t="s">
        <v>0</v>
      </c>
      <c r="C20" s="11">
        <v>0.8685771243458759</v>
      </c>
      <c r="D20" s="11">
        <v>1.0533484676503972</v>
      </c>
      <c r="E20" s="11">
        <v>0.935064935064935</v>
      </c>
      <c r="F20" s="11">
        <v>1.0045379537953796</v>
      </c>
      <c r="G20" s="11">
        <v>0.9083469721767594</v>
      </c>
      <c r="H20" s="11">
        <v>0.6474099749663008</v>
      </c>
      <c r="I20" s="11">
        <v>0.8843771507226428</v>
      </c>
      <c r="J20" s="11">
        <v>0.802158273381295</v>
      </c>
      <c r="K20" s="11">
        <v>1.1797235023041475</v>
      </c>
      <c r="L20" s="11">
        <v>0.8707093821510298</v>
      </c>
      <c r="M20" s="11">
        <v>1.0113895216400912</v>
      </c>
      <c r="N20" s="11">
        <v>1.0797872340425532</v>
      </c>
      <c r="O20" s="11">
        <v>1.072268326417704</v>
      </c>
      <c r="P20" s="11">
        <v>1.2672413793103448</v>
      </c>
      <c r="Q20" s="11">
        <v>1.073289611350703</v>
      </c>
      <c r="R20" s="11">
        <v>1.1104387291981845</v>
      </c>
      <c r="S20" s="11">
        <v>0.4098360655737705</v>
      </c>
      <c r="T20" s="11">
        <v>0.0</v>
      </c>
      <c r="U20" s="11">
        <v>1.0971128608923884</v>
      </c>
      <c r="V20" s="11">
        <v>1.4367088607594938</v>
      </c>
      <c r="W20" s="11">
        <v>0.9777452415812592</v>
      </c>
      <c r="X20" s="11">
        <v>1.0018450184501846</v>
      </c>
      <c r="Y20" s="11">
        <v>1.090068577026696</v>
      </c>
      <c r="Z20" s="11">
        <v>0.8529411764705882</v>
      </c>
      <c r="AA20" s="11">
        <v>0.9727723401550782</v>
      </c>
      <c r="AB20" s="11">
        <v>0.8937363531275421</v>
      </c>
      <c r="AC20" s="11">
        <v>1.1425805136567468</v>
      </c>
      <c r="AD20" s="11">
        <v>1.001946156341226</v>
      </c>
      <c r="AE20" s="11">
        <v>1.278169014084507</v>
      </c>
      <c r="AF20" s="11">
        <v>1.3689320388349515</v>
      </c>
      <c r="AG20" s="11">
        <v>1.0461538461538462</v>
      </c>
      <c r="AH20" s="11">
        <v>1.0</v>
      </c>
      <c r="AI20" s="11">
        <v>1.1439745075318657</v>
      </c>
      <c r="AJ20" s="11">
        <v>1.019108280254777</v>
      </c>
      <c r="AK20" s="11">
        <v>1.2561728395061729</v>
      </c>
      <c r="AL20" s="11">
        <v>0.9609984399375975</v>
      </c>
      <c r="AM20" s="11">
        <v>1.1443478260869566</v>
      </c>
      <c r="AN20" s="11">
        <v>1.0948453608247424</v>
      </c>
      <c r="AO20" s="11">
        <v>1.75</v>
      </c>
      <c r="AP20" s="11">
        <v>1.3866171003717471</v>
      </c>
      <c r="AQ20" s="11">
        <v>0.9886685552407932</v>
      </c>
      <c r="AR20" s="11">
        <v>1.1261620185922976</v>
      </c>
      <c r="AS20" s="11">
        <v>1.0747382426100538</v>
      </c>
      <c r="AT20" s="11">
        <v>0.9093078758949881</v>
      </c>
      <c r="AU20" s="11">
        <v>1.335164835164835</v>
      </c>
      <c r="AV20" s="11">
        <v>0.8267326732673267</v>
      </c>
      <c r="AW20" s="11">
        <v>0.9833564493758669</v>
      </c>
      <c r="AX20" s="11">
        <v>0.9903381642512077</v>
      </c>
      <c r="AY20" s="11">
        <v>0.8571428571428571</v>
      </c>
      <c r="AZ20" s="11">
        <v>1.1327683615819208</v>
      </c>
      <c r="BA20" s="11">
        <v>1.0990091033593814</v>
      </c>
      <c r="BB20" s="11">
        <v>1.0797546012269938</v>
      </c>
      <c r="BC20" s="11">
        <v>1.059149296207984</v>
      </c>
      <c r="BD20" s="11">
        <v>0.9047987616099071</v>
      </c>
      <c r="BE20" s="11">
        <v>1.1952744961779014</v>
      </c>
      <c r="BF20" s="11">
        <v>1.152542372881356</v>
      </c>
      <c r="BG20" s="11">
        <v>1.0348042262274704</v>
      </c>
      <c r="BH20" s="11">
        <v>0.9152139461172741</v>
      </c>
      <c r="BI20" s="11">
        <v>1.1505235602094241</v>
      </c>
      <c r="BJ20" s="11">
        <v>1.1275946275946276</v>
      </c>
      <c r="BK20" s="11">
        <v>1.0675182481751824</v>
      </c>
      <c r="BL20" s="11">
        <v>1.0528455284552845</v>
      </c>
      <c r="BM20" s="11">
        <v>1.0552543786488742</v>
      </c>
      <c r="BN20" s="11">
        <v>1.2685185185185186</v>
      </c>
      <c r="BO20" s="11">
        <v>0.7801418439716312</v>
      </c>
      <c r="BP20" s="11">
        <v>1.2</v>
      </c>
      <c r="BQ20" s="11">
        <v>0.9877049180327869</v>
      </c>
      <c r="BR20" s="11">
        <v>1.0465116279069768</v>
      </c>
      <c r="BS20" s="11">
        <v>1.070963926670609</v>
      </c>
      <c r="BT20" s="11">
        <v>0.8966480446927374</v>
      </c>
      <c r="BU20" s="11">
        <v>1.082342177493138</v>
      </c>
      <c r="BV20" s="11">
        <v>1.0926569027127686</v>
      </c>
      <c r="BW20" s="11">
        <v>0.5007418397626113</v>
      </c>
      <c r="BX20" s="11">
        <v>1.3841059602649006</v>
      </c>
      <c r="BY20" s="11">
        <v>0.0</v>
      </c>
      <c r="BZ20" s="11">
        <v>1.2412323828253031</v>
      </c>
      <c r="CA20" s="11">
        <v>1.1170415554708348</v>
      </c>
      <c r="CB20" s="11">
        <v>1.028362730248693</v>
      </c>
    </row>
    <row r="21" ht="15.75" customHeight="1">
      <c r="A21" s="9" t="s">
        <v>180</v>
      </c>
      <c r="B21" s="9" t="s">
        <v>0</v>
      </c>
      <c r="C21" s="11">
        <v>1.2517787468441588</v>
      </c>
      <c r="D21" s="11">
        <v>1.2058189655172413</v>
      </c>
      <c r="E21" s="11">
        <v>1.0865036231884058</v>
      </c>
      <c r="F21" s="11">
        <v>1.0903490759753593</v>
      </c>
      <c r="G21" s="11">
        <v>0.9963963963963964</v>
      </c>
      <c r="H21" s="11">
        <v>1.8138013087447948</v>
      </c>
      <c r="I21" s="11">
        <v>1.0949416342412452</v>
      </c>
      <c r="J21" s="11">
        <v>1.0717488789237668</v>
      </c>
      <c r="K21" s="11">
        <v>1.05078125</v>
      </c>
      <c r="L21" s="11">
        <v>1.4704336399474376</v>
      </c>
      <c r="M21" s="11">
        <v>1.367117117117117</v>
      </c>
      <c r="N21" s="11">
        <v>0.854064039408867</v>
      </c>
      <c r="O21" s="11">
        <v>0.854240567558852</v>
      </c>
      <c r="P21" s="11">
        <v>0.8503401360544217</v>
      </c>
      <c r="Q21" s="11">
        <v>1.3377160655269977</v>
      </c>
      <c r="R21" s="11">
        <v>0.9809264305177112</v>
      </c>
      <c r="S21" s="11">
        <v>2.6333333333333333</v>
      </c>
      <c r="T21" s="11">
        <v>3.6666666666666665</v>
      </c>
      <c r="U21" s="11">
        <v>1.0956937799043063</v>
      </c>
      <c r="V21" s="11">
        <v>1.2863436123348018</v>
      </c>
      <c r="W21" s="11">
        <v>0.8334830787660976</v>
      </c>
      <c r="X21" s="11">
        <v>0.7366482504604052</v>
      </c>
      <c r="Y21" s="11">
        <v>1.4055215413132618</v>
      </c>
      <c r="Z21" s="11">
        <v>1.1970443349753694</v>
      </c>
      <c r="AA21" s="11">
        <v>1.8583524984319464</v>
      </c>
      <c r="AB21" s="11">
        <v>2.2451736526946107</v>
      </c>
      <c r="AC21" s="11">
        <v>1.2316474890732316</v>
      </c>
      <c r="AD21" s="11">
        <v>1.6885723535124635</v>
      </c>
      <c r="AE21" s="11">
        <v>1.5757575757575757</v>
      </c>
      <c r="AF21" s="11">
        <v>1.3900709219858156</v>
      </c>
      <c r="AG21" s="11">
        <v>2.4558823529411766</v>
      </c>
      <c r="AH21" s="11">
        <v>1.0</v>
      </c>
      <c r="AI21" s="11">
        <v>1.0720435553304635</v>
      </c>
      <c r="AJ21" s="11">
        <v>1.15625</v>
      </c>
      <c r="AK21" s="11">
        <v>0.9434889434889435</v>
      </c>
      <c r="AL21" s="11">
        <v>0.948051948051948</v>
      </c>
      <c r="AM21" s="11">
        <v>1.008611955420466</v>
      </c>
      <c r="AN21" s="11">
        <v>1.1167608286252355</v>
      </c>
      <c r="AO21" s="11">
        <v>2.505791505791506</v>
      </c>
      <c r="AP21" s="11">
        <v>0.8873994638069705</v>
      </c>
      <c r="AQ21" s="11">
        <v>1.0372492836676217</v>
      </c>
      <c r="AR21" s="11">
        <v>1.1945754716981132</v>
      </c>
      <c r="AS21" s="11">
        <v>0.9695354970665806</v>
      </c>
      <c r="AT21" s="11">
        <v>0.8530183727034121</v>
      </c>
      <c r="AU21" s="11">
        <v>1.1358024691358024</v>
      </c>
      <c r="AV21" s="11">
        <v>0.9760479041916168</v>
      </c>
      <c r="AW21" s="11">
        <v>1.0112834978843441</v>
      </c>
      <c r="AX21" s="11">
        <v>0.9243902439024391</v>
      </c>
      <c r="AY21" s="11">
        <v>1.0598958333333333</v>
      </c>
      <c r="AZ21" s="11">
        <v>1.4172901080631755</v>
      </c>
      <c r="BA21" s="11">
        <v>0.915848116112007</v>
      </c>
      <c r="BB21" s="11">
        <v>1.0795454545454546</v>
      </c>
      <c r="BC21" s="11">
        <v>1.1098765432098765</v>
      </c>
      <c r="BD21" s="11">
        <v>0.9041916167664671</v>
      </c>
      <c r="BE21" s="11">
        <v>1.0883720930232559</v>
      </c>
      <c r="BF21" s="11">
        <v>0.9901960784313726</v>
      </c>
      <c r="BG21" s="11">
        <v>1.0972972972972972</v>
      </c>
      <c r="BH21" s="11">
        <v>1.0311688311688312</v>
      </c>
      <c r="BI21" s="11">
        <v>1.1763367463026166</v>
      </c>
      <c r="BJ21" s="11">
        <v>1.0054141851651326</v>
      </c>
      <c r="BK21" s="11">
        <v>1.1824175824175824</v>
      </c>
      <c r="BL21" s="11">
        <v>1.3523166023166022</v>
      </c>
      <c r="BM21" s="11">
        <v>1.0614503062635843</v>
      </c>
      <c r="BN21" s="11">
        <v>0.9781021897810219</v>
      </c>
      <c r="BO21" s="11">
        <v>1.0727272727272728</v>
      </c>
      <c r="BP21" s="11">
        <v>1.0666666666666667</v>
      </c>
      <c r="BQ21" s="11">
        <v>1.049792531120332</v>
      </c>
      <c r="BR21" s="11">
        <v>1.1333333333333333</v>
      </c>
      <c r="BS21" s="11">
        <v>1.1402540033130868</v>
      </c>
      <c r="BT21" s="11">
        <v>1.0996884735202492</v>
      </c>
      <c r="BU21" s="11">
        <v>1.0</v>
      </c>
      <c r="BV21" s="11">
        <v>1.0445877475817595</v>
      </c>
      <c r="BW21" s="11">
        <v>1.008888888888889</v>
      </c>
      <c r="BX21" s="11">
        <v>1.985645933014354</v>
      </c>
      <c r="BY21" s="11">
        <v>0.0</v>
      </c>
      <c r="BZ21" s="11">
        <v>1.258515975706364</v>
      </c>
      <c r="CA21" s="11">
        <v>0.7511945392491468</v>
      </c>
      <c r="CB21" s="11">
        <v>1.3205012471789999</v>
      </c>
    </row>
    <row r="22" ht="15.75" customHeight="1">
      <c r="A22" s="9" t="s">
        <v>181</v>
      </c>
      <c r="B22" s="9" t="s">
        <v>0</v>
      </c>
      <c r="C22" s="11">
        <v>0.9911532819948662</v>
      </c>
      <c r="D22" s="11">
        <v>1.028596961572833</v>
      </c>
      <c r="E22" s="11">
        <v>0.9219119077393358</v>
      </c>
      <c r="F22" s="11">
        <v>0.8048964218455744</v>
      </c>
      <c r="G22" s="11">
        <v>0.9349005424954792</v>
      </c>
      <c r="H22" s="11">
        <v>1.0631354542472942</v>
      </c>
      <c r="I22" s="11">
        <v>1.2004264392324093</v>
      </c>
      <c r="J22" s="11">
        <v>1.1380753138075315</v>
      </c>
      <c r="K22" s="11">
        <v>1.1301115241635689</v>
      </c>
      <c r="L22" s="11">
        <v>1.128686327077748</v>
      </c>
      <c r="M22" s="11">
        <v>1.0790774299835255</v>
      </c>
      <c r="N22" s="11">
        <v>0.934030281182408</v>
      </c>
      <c r="O22" s="11">
        <v>0.9294073235183088</v>
      </c>
      <c r="P22" s="11">
        <v>1.032</v>
      </c>
      <c r="Q22" s="11">
        <v>0.9122513907896842</v>
      </c>
      <c r="R22" s="11">
        <v>0.7263888888888889</v>
      </c>
      <c r="S22" s="11">
        <v>1.9367088607594938</v>
      </c>
      <c r="T22" s="11">
        <v>1.0909090909090908</v>
      </c>
      <c r="U22" s="11">
        <v>0.7933042212518195</v>
      </c>
      <c r="V22" s="11">
        <v>0.7191780821917808</v>
      </c>
      <c r="W22" s="11">
        <v>0.8717211642112828</v>
      </c>
      <c r="X22" s="11">
        <v>0.7225</v>
      </c>
      <c r="Y22" s="11">
        <v>0.9151363772604656</v>
      </c>
      <c r="Z22" s="11">
        <v>0.8765432098765432</v>
      </c>
      <c r="AA22" s="11">
        <v>0.8133121449063396</v>
      </c>
      <c r="AB22" s="11">
        <v>0.8449688486814031</v>
      </c>
      <c r="AC22" s="11">
        <v>0.6952491309385863</v>
      </c>
      <c r="AD22" s="11">
        <v>0.8273581288343558</v>
      </c>
      <c r="AE22" s="11">
        <v>0.7832167832167832</v>
      </c>
      <c r="AF22" s="11">
        <v>0.6938775510204082</v>
      </c>
      <c r="AG22" s="11">
        <v>0.9640718562874252</v>
      </c>
      <c r="AH22" s="11">
        <v>1.1538461538461537</v>
      </c>
      <c r="AI22" s="11">
        <v>0.9559466162749498</v>
      </c>
      <c r="AJ22" s="11">
        <v>0.8324324324324325</v>
      </c>
      <c r="AK22" s="11">
        <v>0.6744791666666666</v>
      </c>
      <c r="AL22" s="11">
        <v>1.1575342465753424</v>
      </c>
      <c r="AM22" s="11">
        <v>1.0223505775991963</v>
      </c>
      <c r="AN22" s="11">
        <v>1.015177065767285</v>
      </c>
      <c r="AO22" s="11">
        <v>0.6240369799691834</v>
      </c>
      <c r="AP22" s="11">
        <v>0.7643504531722054</v>
      </c>
      <c r="AQ22" s="11">
        <v>1.1574585635359116</v>
      </c>
      <c r="AR22" s="11">
        <v>0.983218163869694</v>
      </c>
      <c r="AS22" s="11">
        <v>0.7617831566091157</v>
      </c>
      <c r="AT22" s="11">
        <v>0.7661538461538462</v>
      </c>
      <c r="AU22" s="11">
        <v>0.7355072463768116</v>
      </c>
      <c r="AV22" s="11">
        <v>0.9570552147239264</v>
      </c>
      <c r="AW22" s="11">
        <v>0.9163179916317992</v>
      </c>
      <c r="AX22" s="11">
        <v>0.8126649076517151</v>
      </c>
      <c r="AY22" s="11">
        <v>1.020884520884521</v>
      </c>
      <c r="AZ22" s="11">
        <v>0.5043988269794721</v>
      </c>
      <c r="BA22" s="11">
        <v>0.7514006723227149</v>
      </c>
      <c r="BB22" s="11">
        <v>0.9385964912280702</v>
      </c>
      <c r="BC22" s="11">
        <v>0.7789046653144016</v>
      </c>
      <c r="BD22" s="11">
        <v>0.7426679280983917</v>
      </c>
      <c r="BE22" s="11">
        <v>0.9951923076923077</v>
      </c>
      <c r="BF22" s="11">
        <v>0.7227722772277227</v>
      </c>
      <c r="BG22" s="11">
        <v>0.9655172413793104</v>
      </c>
      <c r="BH22" s="11">
        <v>0.855583543240974</v>
      </c>
      <c r="BI22" s="11">
        <v>0.9729206963249516</v>
      </c>
      <c r="BJ22" s="11">
        <v>0.8266020463112547</v>
      </c>
      <c r="BK22" s="11">
        <v>0.5165220983064849</v>
      </c>
      <c r="BL22" s="11">
        <v>0.9172019985724482</v>
      </c>
      <c r="BM22" s="11">
        <v>0.9434102755026061</v>
      </c>
      <c r="BN22" s="11">
        <v>1.0671641791044777</v>
      </c>
      <c r="BO22" s="11">
        <v>0.9152542372881356</v>
      </c>
      <c r="BP22" s="11">
        <v>1.03125</v>
      </c>
      <c r="BQ22" s="11">
        <v>0.9130434782608695</v>
      </c>
      <c r="BR22" s="11">
        <v>0.8431372549019608</v>
      </c>
      <c r="BS22" s="11">
        <v>1.0130750605326877</v>
      </c>
      <c r="BT22" s="11">
        <v>0.9405099150141643</v>
      </c>
      <c r="BU22" s="11">
        <v>0.8816568047337278</v>
      </c>
      <c r="BV22" s="11">
        <v>1.056398271452509</v>
      </c>
      <c r="BW22" s="11">
        <v>1.4273127753303965</v>
      </c>
      <c r="BX22" s="11">
        <v>1.3277108433734939</v>
      </c>
      <c r="BY22" s="11">
        <v>0.0</v>
      </c>
      <c r="BZ22" s="11">
        <v>1.052734648202546</v>
      </c>
      <c r="CA22" s="11">
        <v>0.9707708617295169</v>
      </c>
      <c r="CB22" s="11">
        <v>0.8840545815980498</v>
      </c>
    </row>
    <row r="23" ht="15.75" customHeight="1">
      <c r="A23" s="9" t="s">
        <v>182</v>
      </c>
      <c r="B23" s="9" t="s">
        <v>0</v>
      </c>
      <c r="C23" s="11">
        <v>0.965638440549415</v>
      </c>
      <c r="D23" s="11">
        <v>0.9947871416159861</v>
      </c>
      <c r="E23" s="11">
        <v>1.0111529766390355</v>
      </c>
      <c r="F23" s="11">
        <v>1.0107627515208235</v>
      </c>
      <c r="G23" s="11">
        <v>0.9854932301740812</v>
      </c>
      <c r="H23" s="11">
        <v>0.9042110134197131</v>
      </c>
      <c r="I23" s="11">
        <v>0.9206631142687981</v>
      </c>
      <c r="J23" s="11">
        <v>1.2389705882352942</v>
      </c>
      <c r="K23" s="11">
        <v>0.9375</v>
      </c>
      <c r="L23" s="11">
        <v>0.7996832937450514</v>
      </c>
      <c r="M23" s="11">
        <v>1.2183206106870228</v>
      </c>
      <c r="N23" s="11">
        <v>0.9336163643380934</v>
      </c>
      <c r="O23" s="11">
        <v>0.9309504467912266</v>
      </c>
      <c r="P23" s="11">
        <v>0.9844961240310077</v>
      </c>
      <c r="Q23" s="11">
        <v>1.4787242333320345</v>
      </c>
      <c r="R23" s="11">
        <v>1.3766730401529637</v>
      </c>
      <c r="S23" s="11">
        <v>0.7633986928104575</v>
      </c>
      <c r="T23" s="11">
        <v>1.25</v>
      </c>
      <c r="U23" s="11">
        <v>1.1155963302752294</v>
      </c>
      <c r="V23" s="11">
        <v>1.2571428571428571</v>
      </c>
      <c r="W23" s="11">
        <v>1.3676834295136027</v>
      </c>
      <c r="X23" s="11">
        <v>1.2491349480968859</v>
      </c>
      <c r="Y23" s="11">
        <v>1.5112450325341718</v>
      </c>
      <c r="Z23" s="11">
        <v>0.971830985915493</v>
      </c>
      <c r="AA23" s="11">
        <v>1.1514187401656493</v>
      </c>
      <c r="AB23" s="11">
        <v>1.0889601535275997</v>
      </c>
      <c r="AC23" s="11">
        <v>1.3496875</v>
      </c>
      <c r="AD23" s="11">
        <v>1.2174719036032904</v>
      </c>
      <c r="AE23" s="11">
        <v>1.0491071428571428</v>
      </c>
      <c r="AF23" s="11">
        <v>1.125</v>
      </c>
      <c r="AG23" s="11">
        <v>0.9440993788819876</v>
      </c>
      <c r="AH23" s="11">
        <v>0.8</v>
      </c>
      <c r="AI23" s="11">
        <v>0.9981467753891772</v>
      </c>
      <c r="AJ23" s="11">
        <v>1.1883116883116882</v>
      </c>
      <c r="AK23" s="11">
        <v>1.0926640926640927</v>
      </c>
      <c r="AL23" s="11">
        <v>0.9807692307692307</v>
      </c>
      <c r="AM23" s="11">
        <v>0.9820682878899534</v>
      </c>
      <c r="AN23" s="11">
        <v>1.084717607973422</v>
      </c>
      <c r="AO23" s="11">
        <v>0.8049382716049382</v>
      </c>
      <c r="AP23" s="11">
        <v>1.3715415019762847</v>
      </c>
      <c r="AQ23" s="11">
        <v>0.8257756563245824</v>
      </c>
      <c r="AR23" s="11">
        <v>1.001004016064257</v>
      </c>
      <c r="AS23" s="11">
        <v>1.1113540300247777</v>
      </c>
      <c r="AT23" s="11">
        <v>1.108433734939759</v>
      </c>
      <c r="AU23" s="11">
        <v>0.9211822660098522</v>
      </c>
      <c r="AV23" s="11">
        <v>0.967948717948718</v>
      </c>
      <c r="AW23" s="11">
        <v>1.2115677321156773</v>
      </c>
      <c r="AX23" s="11">
        <v>0.8603896103896104</v>
      </c>
      <c r="AY23" s="11">
        <v>0.8760529482551144</v>
      </c>
      <c r="AZ23" s="11">
        <v>1.6325581395348838</v>
      </c>
      <c r="BA23" s="11">
        <v>1.105986365573072</v>
      </c>
      <c r="BB23" s="11">
        <v>0.9906542056074766</v>
      </c>
      <c r="BC23" s="11">
        <v>1.027301747311828</v>
      </c>
      <c r="BD23" s="11">
        <v>1.062420382165605</v>
      </c>
      <c r="BE23" s="11">
        <v>1.0214707461084274</v>
      </c>
      <c r="BF23" s="11">
        <v>0.9315068493150684</v>
      </c>
      <c r="BG23" s="11">
        <v>1.0170068027210883</v>
      </c>
      <c r="BH23" s="11">
        <v>1.1599607458292445</v>
      </c>
      <c r="BI23" s="11">
        <v>0.9274353876739563</v>
      </c>
      <c r="BJ23" s="11">
        <v>1.006514657980456</v>
      </c>
      <c r="BK23" s="11">
        <v>1.1571371451419432</v>
      </c>
      <c r="BL23" s="11">
        <v>0.7844357976653696</v>
      </c>
      <c r="BM23" s="11">
        <v>0.9615232833464877</v>
      </c>
      <c r="BN23" s="11">
        <v>1.006993006993007</v>
      </c>
      <c r="BO23" s="11">
        <v>0.9351851851851852</v>
      </c>
      <c r="BP23" s="11">
        <v>0.9393939393939394</v>
      </c>
      <c r="BQ23" s="11">
        <v>1.0432900432900434</v>
      </c>
      <c r="BR23" s="11">
        <v>0.9767441860465116</v>
      </c>
      <c r="BS23" s="11">
        <v>0.9311663479923518</v>
      </c>
      <c r="BT23" s="11">
        <v>0.8012048192771084</v>
      </c>
      <c r="BU23" s="11">
        <v>1.0067114093959733</v>
      </c>
      <c r="BV23" s="11">
        <v>1.0204950536377677</v>
      </c>
      <c r="BW23" s="11">
        <v>0.8112139917695473</v>
      </c>
      <c r="BX23" s="11">
        <v>1.0326678765880217</v>
      </c>
      <c r="BY23" s="11">
        <v>0.0</v>
      </c>
      <c r="BZ23" s="11">
        <v>0.9590752059526974</v>
      </c>
      <c r="CA23" s="11">
        <v>1.227145085803432</v>
      </c>
      <c r="CB23" s="11">
        <v>1.1758645950978297</v>
      </c>
    </row>
    <row r="24" ht="15.75" customHeight="1">
      <c r="A24" s="9" t="s">
        <v>183</v>
      </c>
      <c r="B24" s="9" t="s">
        <v>0</v>
      </c>
      <c r="C24" s="11">
        <v>1.1584770114942529</v>
      </c>
      <c r="D24" s="11">
        <v>0.9362445414847161</v>
      </c>
      <c r="E24" s="11">
        <v>1.0627515277984796</v>
      </c>
      <c r="F24" s="11">
        <v>1.0055555555555555</v>
      </c>
      <c r="G24" s="11">
        <v>1.0431795878312071</v>
      </c>
      <c r="H24" s="11">
        <v>1.4483111566018423</v>
      </c>
      <c r="I24" s="11">
        <v>1.0752411575562701</v>
      </c>
      <c r="J24" s="11">
        <v>0.9792284866468842</v>
      </c>
      <c r="K24" s="11">
        <v>1.0315789473684212</v>
      </c>
      <c r="L24" s="11">
        <v>1.0653465346534654</v>
      </c>
      <c r="M24" s="11">
        <v>1.1152882205513786</v>
      </c>
      <c r="N24" s="11">
        <v>0.913187267465895</v>
      </c>
      <c r="O24" s="11">
        <v>0.9109947643979057</v>
      </c>
      <c r="P24" s="11">
        <v>0.952755905511811</v>
      </c>
      <c r="Q24" s="11">
        <v>1.2619734640367868</v>
      </c>
      <c r="R24" s="11">
        <v>1.1805555555555556</v>
      </c>
      <c r="S24" s="11">
        <v>2.238013698630137</v>
      </c>
      <c r="T24" s="11">
        <v>1.1333333333333333</v>
      </c>
      <c r="U24" s="11">
        <v>0.8980263157894737</v>
      </c>
      <c r="V24" s="11">
        <v>0.9431818181818182</v>
      </c>
      <c r="W24" s="11">
        <v>1.635623869801085</v>
      </c>
      <c r="X24" s="11">
        <v>1.149584487534626</v>
      </c>
      <c r="Y24" s="11">
        <v>1.245752181702595</v>
      </c>
      <c r="Z24" s="11">
        <v>0.9758454106280193</v>
      </c>
      <c r="AA24" s="11">
        <v>1.102132452320168</v>
      </c>
      <c r="AB24" s="11">
        <v>1.088649275362319</v>
      </c>
      <c r="AC24" s="11">
        <v>1.1110596588716524</v>
      </c>
      <c r="AD24" s="11">
        <v>1.146459840121812</v>
      </c>
      <c r="AE24" s="11">
        <v>1.274468085106383</v>
      </c>
      <c r="AF24" s="11">
        <v>1.3496732026143792</v>
      </c>
      <c r="AG24" s="11">
        <v>1.144736842105263</v>
      </c>
      <c r="AH24" s="11">
        <v>1.0</v>
      </c>
      <c r="AI24" s="11">
        <v>0.9775962371580641</v>
      </c>
      <c r="AJ24" s="11">
        <v>1.0327868852459017</v>
      </c>
      <c r="AK24" s="11">
        <v>1.0353356890459364</v>
      </c>
      <c r="AL24" s="11">
        <v>1.1689291101055808</v>
      </c>
      <c r="AM24" s="11">
        <v>0.9362181090545273</v>
      </c>
      <c r="AN24" s="11">
        <v>0.9540581929555896</v>
      </c>
      <c r="AO24" s="11">
        <v>1.2147239263803682</v>
      </c>
      <c r="AP24" s="11">
        <v>0.8674351585014409</v>
      </c>
      <c r="AQ24" s="11">
        <v>0.9393063583815029</v>
      </c>
      <c r="AR24" s="11">
        <v>0.9628886659979939</v>
      </c>
      <c r="AS24" s="11">
        <v>1.0477377049180328</v>
      </c>
      <c r="AT24" s="11">
        <v>0.8768115942028986</v>
      </c>
      <c r="AU24" s="11">
        <v>1.0909090909090908</v>
      </c>
      <c r="AV24" s="11">
        <v>0.7748344370860927</v>
      </c>
      <c r="AW24" s="11">
        <v>1.065326633165829</v>
      </c>
      <c r="AX24" s="11">
        <v>0.9962264150943396</v>
      </c>
      <c r="AY24" s="11">
        <v>0.896978021978022</v>
      </c>
      <c r="AZ24" s="11">
        <v>0.8789173789173789</v>
      </c>
      <c r="BA24" s="11">
        <v>1.0956370991043052</v>
      </c>
      <c r="BB24" s="11">
        <v>0.9811320754716981</v>
      </c>
      <c r="BC24" s="11">
        <v>1.0293564477880448</v>
      </c>
      <c r="BD24" s="11">
        <v>1.1522781774580335</v>
      </c>
      <c r="BE24" s="11">
        <v>1.024172359432475</v>
      </c>
      <c r="BF24" s="11">
        <v>1.1838235294117647</v>
      </c>
      <c r="BG24" s="11">
        <v>1.0228539576365663</v>
      </c>
      <c r="BH24" s="11">
        <v>0.9737732656514383</v>
      </c>
      <c r="BI24" s="11">
        <v>1.0439442658092175</v>
      </c>
      <c r="BJ24" s="11">
        <v>1.007766990291262</v>
      </c>
      <c r="BK24" s="11">
        <v>0.8780234968901175</v>
      </c>
      <c r="BL24" s="11">
        <v>1.4474206349206349</v>
      </c>
      <c r="BM24" s="11">
        <v>1.0644366919761954</v>
      </c>
      <c r="BN24" s="11">
        <v>0.8194444444444444</v>
      </c>
      <c r="BO24" s="11">
        <v>0.9702970297029703</v>
      </c>
      <c r="BP24" s="11">
        <v>1.0</v>
      </c>
      <c r="BQ24" s="11">
        <v>1.037344398340249</v>
      </c>
      <c r="BR24" s="11">
        <v>1.2380952380952381</v>
      </c>
      <c r="BS24" s="11">
        <v>0.9953798767967146</v>
      </c>
      <c r="BT24" s="11">
        <v>0.9774436090225563</v>
      </c>
      <c r="BU24" s="11">
        <v>1.1614285714285715</v>
      </c>
      <c r="BV24" s="11">
        <v>0.9767261125654451</v>
      </c>
      <c r="BW24" s="11">
        <v>0.8129359543436906</v>
      </c>
      <c r="BX24" s="11">
        <v>1.5746924428822495</v>
      </c>
      <c r="BY24" s="11">
        <v>0.0</v>
      </c>
      <c r="BZ24" s="11">
        <v>1.0442643391521198</v>
      </c>
      <c r="CA24" s="11">
        <v>0.8423595219933893</v>
      </c>
      <c r="CB24" s="11">
        <v>1.1322300819867177</v>
      </c>
    </row>
    <row r="25" ht="15.75" customHeight="1">
      <c r="A25" s="9" t="s">
        <v>184</v>
      </c>
      <c r="B25" s="9" t="s">
        <v>0</v>
      </c>
      <c r="C25" s="11">
        <v>1.0441109595270577</v>
      </c>
      <c r="D25" s="11">
        <v>0.9785447761194029</v>
      </c>
      <c r="E25" s="11">
        <v>1.0099579242636747</v>
      </c>
      <c r="F25" s="11">
        <v>0.9990791896869244</v>
      </c>
      <c r="G25" s="11">
        <v>0.896519285042333</v>
      </c>
      <c r="H25" s="11">
        <v>1.0644287396937573</v>
      </c>
      <c r="I25" s="11">
        <v>1.2452153110047848</v>
      </c>
      <c r="J25" s="11">
        <v>0.8939393939393939</v>
      </c>
      <c r="K25" s="11">
        <v>0.8605442176870748</v>
      </c>
      <c r="L25" s="11">
        <v>1.2100371747211895</v>
      </c>
      <c r="M25" s="11">
        <v>1.0269662921348315</v>
      </c>
      <c r="N25" s="11">
        <v>0.974649162516976</v>
      </c>
      <c r="O25" s="11">
        <v>0.9913793103448276</v>
      </c>
      <c r="P25" s="11">
        <v>0.6859504132231405</v>
      </c>
      <c r="Q25" s="11">
        <v>0.9003027771977449</v>
      </c>
      <c r="R25" s="11">
        <v>0.9623529411764706</v>
      </c>
      <c r="S25" s="11">
        <v>1.3749043611323641</v>
      </c>
      <c r="T25" s="11">
        <v>1.2941176470588236</v>
      </c>
      <c r="U25" s="11">
        <v>0.8131868131868132</v>
      </c>
      <c r="V25" s="11">
        <v>0.9477911646586346</v>
      </c>
      <c r="W25" s="11">
        <v>0.960751796572692</v>
      </c>
      <c r="X25" s="11">
        <v>1.0313253012048194</v>
      </c>
      <c r="Y25" s="11">
        <v>0.8880783103884204</v>
      </c>
      <c r="Z25" s="11">
        <v>1.2722772277227723</v>
      </c>
      <c r="AA25" s="11">
        <v>0.9584826477360985</v>
      </c>
      <c r="AB25" s="11">
        <v>0.8853625287552186</v>
      </c>
      <c r="AC25" s="11">
        <v>0.9923589886079467</v>
      </c>
      <c r="AD25" s="11">
        <v>1.2029550925541628</v>
      </c>
      <c r="AE25" s="11">
        <v>0.8480801335559266</v>
      </c>
      <c r="AF25" s="11">
        <v>0.8208232445520581</v>
      </c>
      <c r="AG25" s="11">
        <v>0.9137931034482759</v>
      </c>
      <c r="AH25" s="11">
        <v>0.8333333333333334</v>
      </c>
      <c r="AI25" s="11">
        <v>1.0664725246897948</v>
      </c>
      <c r="AJ25" s="11">
        <v>1.17989417989418</v>
      </c>
      <c r="AK25" s="11">
        <v>1.1911262798634812</v>
      </c>
      <c r="AL25" s="11">
        <v>0.863225806451613</v>
      </c>
      <c r="AM25" s="11">
        <v>1.1544215869623298</v>
      </c>
      <c r="AN25" s="11">
        <v>1.0032102728731942</v>
      </c>
      <c r="AO25" s="11">
        <v>0.7803030303030303</v>
      </c>
      <c r="AP25" s="11">
        <v>1.0930232558139534</v>
      </c>
      <c r="AQ25" s="11">
        <v>0.963076923076923</v>
      </c>
      <c r="AR25" s="11">
        <v>0.975</v>
      </c>
      <c r="AS25" s="11">
        <v>0.8650644636375016</v>
      </c>
      <c r="AT25" s="11">
        <v>0.8099173553719008</v>
      </c>
      <c r="AU25" s="11">
        <v>1.0294117647058822</v>
      </c>
      <c r="AV25" s="11">
        <v>0.811965811965812</v>
      </c>
      <c r="AW25" s="11">
        <v>0.9457547169811321</v>
      </c>
      <c r="AX25" s="11">
        <v>0.9356060606060606</v>
      </c>
      <c r="AY25" s="11">
        <v>0.9341500765696784</v>
      </c>
      <c r="AZ25" s="11">
        <v>0.5753646677471637</v>
      </c>
      <c r="BA25" s="11">
        <v>0.8684071729957806</v>
      </c>
      <c r="BB25" s="11">
        <v>1.0317307692307693</v>
      </c>
      <c r="BC25" s="11">
        <v>1.0569590085795997</v>
      </c>
      <c r="BD25" s="11">
        <v>0.8772112382934444</v>
      </c>
      <c r="BE25" s="11">
        <v>1.0903027193432528</v>
      </c>
      <c r="BF25" s="11">
        <v>1.0559006211180124</v>
      </c>
      <c r="BG25" s="11">
        <v>1.0299727520435968</v>
      </c>
      <c r="BH25" s="11">
        <v>0.9635099913119027</v>
      </c>
      <c r="BI25" s="11">
        <v>1.0349075975359343</v>
      </c>
      <c r="BJ25" s="11">
        <v>1.0141297366730893</v>
      </c>
      <c r="BK25" s="11">
        <v>1.189689098780008</v>
      </c>
      <c r="BL25" s="11">
        <v>1.067854694996573</v>
      </c>
      <c r="BM25" s="11">
        <v>0.948332369385001</v>
      </c>
      <c r="BN25" s="11">
        <v>1.1440677966101696</v>
      </c>
      <c r="BO25" s="11">
        <v>0.8469387755102041</v>
      </c>
      <c r="BP25" s="11">
        <v>1.1612903225806452</v>
      </c>
      <c r="BQ25" s="11">
        <v>1.024</v>
      </c>
      <c r="BR25" s="11">
        <v>0.9423076923076923</v>
      </c>
      <c r="BS25" s="11">
        <v>0.9334708612686952</v>
      </c>
      <c r="BT25" s="11">
        <v>0.9153846153846154</v>
      </c>
      <c r="BU25" s="11">
        <v>0.947929479294793</v>
      </c>
      <c r="BV25" s="11">
        <v>0.9537669081619833</v>
      </c>
      <c r="BW25" s="11">
        <v>0.8065522620904836</v>
      </c>
      <c r="BX25" s="11">
        <v>0.8169642857142857</v>
      </c>
      <c r="BY25" s="11">
        <v>0.0</v>
      </c>
      <c r="BZ25" s="11">
        <v>1.0299170812603649</v>
      </c>
      <c r="CA25" s="11">
        <v>0.8274977361907636</v>
      </c>
      <c r="CB25" s="11">
        <v>0.9466484268125855</v>
      </c>
    </row>
    <row r="26" ht="15.75" customHeight="1">
      <c r="A26" s="9" t="s">
        <v>185</v>
      </c>
      <c r="B26" s="9" t="s">
        <v>0</v>
      </c>
      <c r="C26" s="11">
        <v>1.0736062717770034</v>
      </c>
      <c r="D26" s="11">
        <v>0.9876072449952336</v>
      </c>
      <c r="E26" s="11">
        <v>1.2013609220941537</v>
      </c>
      <c r="F26" s="11">
        <v>1.0622119815668203</v>
      </c>
      <c r="G26" s="11">
        <v>1.074501573976915</v>
      </c>
      <c r="H26" s="11">
        <v>1.0046475600309837</v>
      </c>
      <c r="I26" s="11">
        <v>1.0662824207492796</v>
      </c>
      <c r="J26" s="11">
        <v>0.9728813559322034</v>
      </c>
      <c r="K26" s="11">
        <v>1.0118577075098814</v>
      </c>
      <c r="L26" s="11">
        <v>0.8940092165898618</v>
      </c>
      <c r="M26" s="11">
        <v>1.1958424507658643</v>
      </c>
      <c r="N26" s="11">
        <v>0.9763121226196005</v>
      </c>
      <c r="O26" s="11">
        <v>0.9884057971014493</v>
      </c>
      <c r="P26" s="11">
        <v>0.6746987951807228</v>
      </c>
      <c r="Q26" s="11">
        <v>1.1800744511834491</v>
      </c>
      <c r="R26" s="11">
        <v>1.2591687041564792</v>
      </c>
      <c r="S26" s="11">
        <v>1.4151363383416806</v>
      </c>
      <c r="T26" s="11">
        <v>0.8636363636363636</v>
      </c>
      <c r="U26" s="11">
        <v>1.0957207207207207</v>
      </c>
      <c r="V26" s="11">
        <v>0.9788135593220338</v>
      </c>
      <c r="W26" s="11">
        <v>1.0140007671653242</v>
      </c>
      <c r="X26" s="11">
        <v>0.7570093457943925</v>
      </c>
      <c r="Y26" s="11">
        <v>1.1893144924318606</v>
      </c>
      <c r="Z26" s="11">
        <v>1.1089494163424125</v>
      </c>
      <c r="AA26" s="11">
        <v>0.9597549186853178</v>
      </c>
      <c r="AB26" s="11">
        <v>0.9625415002646394</v>
      </c>
      <c r="AC26" s="11">
        <v>0.8247935041299174</v>
      </c>
      <c r="AD26" s="11">
        <v>1.0848054098813138</v>
      </c>
      <c r="AE26" s="11">
        <v>1.2677165354330708</v>
      </c>
      <c r="AF26" s="11">
        <v>1.1946902654867257</v>
      </c>
      <c r="AG26" s="11">
        <v>1.3647798742138364</v>
      </c>
      <c r="AH26" s="11">
        <v>2.2</v>
      </c>
      <c r="AI26" s="11">
        <v>0.9246111836637777</v>
      </c>
      <c r="AJ26" s="11">
        <v>0.7533632286995515</v>
      </c>
      <c r="AK26" s="11">
        <v>1.1991404011461317</v>
      </c>
      <c r="AL26" s="11">
        <v>1.0284005979073243</v>
      </c>
      <c r="AM26" s="11">
        <v>0.8245776440638741</v>
      </c>
      <c r="AN26" s="11">
        <v>1.1024</v>
      </c>
      <c r="AO26" s="11">
        <v>0.6699029126213593</v>
      </c>
      <c r="AP26" s="11">
        <v>0.8875379939209727</v>
      </c>
      <c r="AQ26" s="11">
        <v>1.0447284345047922</v>
      </c>
      <c r="AR26" s="11">
        <v>1.0865384615384615</v>
      </c>
      <c r="AS26" s="11">
        <v>1.0470264795253943</v>
      </c>
      <c r="AT26" s="11">
        <v>1.1071428571428572</v>
      </c>
      <c r="AU26" s="11">
        <v>0.9523809523809523</v>
      </c>
      <c r="AV26" s="11">
        <v>0.7894736842105263</v>
      </c>
      <c r="AW26" s="11">
        <v>1.1658354114713216</v>
      </c>
      <c r="AX26" s="11">
        <v>0.9433198380566802</v>
      </c>
      <c r="AY26" s="11">
        <v>1.3524590163934427</v>
      </c>
      <c r="AZ26" s="11">
        <v>0.9746478873239437</v>
      </c>
      <c r="BA26" s="11">
        <v>1.0352262374734285</v>
      </c>
      <c r="BB26" s="11">
        <v>0.9953401677539608</v>
      </c>
      <c r="BC26" s="11">
        <v>1.0236753100338218</v>
      </c>
      <c r="BD26" s="11">
        <v>1.066429418742586</v>
      </c>
      <c r="BE26" s="11">
        <v>0.9317647058823529</v>
      </c>
      <c r="BF26" s="11">
        <v>0.9588235294117647</v>
      </c>
      <c r="BG26" s="11">
        <v>1.006878306878307</v>
      </c>
      <c r="BH26" s="11">
        <v>1.1424706943192064</v>
      </c>
      <c r="BI26" s="11">
        <v>1.1259920634920635</v>
      </c>
      <c r="BJ26" s="11">
        <v>0.9385687143761875</v>
      </c>
      <c r="BK26" s="11">
        <v>1.014555077737347</v>
      </c>
      <c r="BL26" s="11">
        <v>1.1065468549422337</v>
      </c>
      <c r="BM26" s="11">
        <v>1.0239886155722708</v>
      </c>
      <c r="BN26" s="11">
        <v>1.237037037037037</v>
      </c>
      <c r="BO26" s="11">
        <v>1.036144578313253</v>
      </c>
      <c r="BP26" s="11">
        <v>1.0833333333333333</v>
      </c>
      <c r="BQ26" s="11">
        <v>0.9296875</v>
      </c>
      <c r="BR26" s="11">
        <v>1.163265306122449</v>
      </c>
      <c r="BS26" s="11">
        <v>1.0348066298342542</v>
      </c>
      <c r="BT26" s="11">
        <v>1.0336134453781514</v>
      </c>
      <c r="BU26" s="11">
        <v>1.0082179930795847</v>
      </c>
      <c r="BV26" s="11">
        <v>0.9618880351262349</v>
      </c>
      <c r="BW26" s="11">
        <v>1.1073500967117988</v>
      </c>
      <c r="BX26" s="11">
        <v>1.4234972677595628</v>
      </c>
      <c r="BY26" s="11">
        <v>0.0</v>
      </c>
      <c r="BZ26" s="11">
        <v>0.895143630039933</v>
      </c>
      <c r="CA26" s="11">
        <v>1.0618274667153018</v>
      </c>
      <c r="CB26" s="11">
        <v>1.0574038492588884</v>
      </c>
    </row>
    <row r="27" ht="15.75" customHeight="1">
      <c r="A27" s="9" t="s">
        <v>186</v>
      </c>
      <c r="B27" s="9" t="s">
        <v>0</v>
      </c>
      <c r="C27" s="11">
        <v>1.147187903374516</v>
      </c>
      <c r="D27" s="11">
        <v>1.5608108108108107</v>
      </c>
      <c r="E27" s="11">
        <v>1.3378800138712288</v>
      </c>
      <c r="F27" s="11">
        <v>1.1106290672451193</v>
      </c>
      <c r="G27" s="11">
        <v>1.181640625</v>
      </c>
      <c r="H27" s="11">
        <v>0.9885449939420641</v>
      </c>
      <c r="I27" s="11">
        <v>1.0644144144144143</v>
      </c>
      <c r="J27" s="11">
        <v>0.8501742160278746</v>
      </c>
      <c r="K27" s="11">
        <v>1.15625</v>
      </c>
      <c r="L27" s="11">
        <v>0.9982817869415808</v>
      </c>
      <c r="M27" s="11">
        <v>1.010978956999085</v>
      </c>
      <c r="N27" s="11">
        <v>1.0228353948620361</v>
      </c>
      <c r="O27" s="11">
        <v>1.0195503421309873</v>
      </c>
      <c r="P27" s="11">
        <v>1.1428571428571428</v>
      </c>
      <c r="Q27" s="11">
        <v>0.957527098340196</v>
      </c>
      <c r="R27" s="11">
        <v>0.9970873786407767</v>
      </c>
      <c r="S27" s="11">
        <v>0.6397955171057805</v>
      </c>
      <c r="T27" s="11">
        <v>0.7368421052631579</v>
      </c>
      <c r="U27" s="11">
        <v>1.2949640287769784</v>
      </c>
      <c r="V27" s="11">
        <v>1.0173160173160174</v>
      </c>
      <c r="W27" s="11">
        <v>0.8511443162473993</v>
      </c>
      <c r="X27" s="11">
        <v>1.3487654320987654</v>
      </c>
      <c r="Y27" s="11">
        <v>0.9664313088165856</v>
      </c>
      <c r="Z27" s="11">
        <v>1.1473684210526316</v>
      </c>
      <c r="AA27" s="11">
        <v>1.0444062624975932</v>
      </c>
      <c r="AB27" s="11">
        <v>0.954610212702142</v>
      </c>
      <c r="AC27" s="11">
        <v>1.1373164728846643</v>
      </c>
      <c r="AD27" s="11">
        <v>1.2032949557916164</v>
      </c>
      <c r="AE27" s="11">
        <v>1.0093167701863355</v>
      </c>
      <c r="AF27" s="11">
        <v>1.0419753086419754</v>
      </c>
      <c r="AG27" s="11">
        <v>0.9631336405529954</v>
      </c>
      <c r="AH27" s="11">
        <v>0.8636363636363636</v>
      </c>
      <c r="AI27" s="11">
        <v>0.9419619928094505</v>
      </c>
      <c r="AJ27" s="11">
        <v>1.0</v>
      </c>
      <c r="AK27" s="11">
        <v>0.955794504181601</v>
      </c>
      <c r="AL27" s="11">
        <v>1.132267441860465</v>
      </c>
      <c r="AM27" s="11">
        <v>0.8203760875666574</v>
      </c>
      <c r="AN27" s="11">
        <v>1.0435413642960814</v>
      </c>
      <c r="AO27" s="11">
        <v>1.1690821256038648</v>
      </c>
      <c r="AP27" s="11">
        <v>1.1335616438356164</v>
      </c>
      <c r="AQ27" s="11">
        <v>1.055045871559633</v>
      </c>
      <c r="AR27" s="11">
        <v>1.0117994100294985</v>
      </c>
      <c r="AS27" s="11">
        <v>1.0617744610281923</v>
      </c>
      <c r="AT27" s="11">
        <v>1.1105990783410138</v>
      </c>
      <c r="AU27" s="11">
        <v>1.04</v>
      </c>
      <c r="AV27" s="11">
        <v>1.3466666666666667</v>
      </c>
      <c r="AW27" s="11">
        <v>1.053475935828877</v>
      </c>
      <c r="AX27" s="11">
        <v>1.0214592274678111</v>
      </c>
      <c r="AY27" s="11">
        <v>1.1272727272727272</v>
      </c>
      <c r="AZ27" s="11">
        <v>0.976878612716763</v>
      </c>
      <c r="BA27" s="11">
        <v>1.0666862227437177</v>
      </c>
      <c r="BB27" s="11">
        <v>1.0093632958801497</v>
      </c>
      <c r="BC27" s="11">
        <v>1.0802496328928046</v>
      </c>
      <c r="BD27" s="11">
        <v>1.0177975528364849</v>
      </c>
      <c r="BE27" s="11">
        <v>1.004040404040404</v>
      </c>
      <c r="BF27" s="11">
        <v>1.1595092024539877</v>
      </c>
      <c r="BG27" s="11">
        <v>1.0394114555964267</v>
      </c>
      <c r="BH27" s="11">
        <v>1.2083662194159432</v>
      </c>
      <c r="BI27" s="11">
        <v>1.186784140969163</v>
      </c>
      <c r="BJ27" s="11">
        <v>1.0418353576248314</v>
      </c>
      <c r="BK27" s="11">
        <v>0.976850342354092</v>
      </c>
      <c r="BL27" s="11">
        <v>1.2906032482598608</v>
      </c>
      <c r="BM27" s="11">
        <v>1.0700813976573358</v>
      </c>
      <c r="BN27" s="11">
        <v>0.874251497005988</v>
      </c>
      <c r="BO27" s="11">
        <v>1.1627906976744187</v>
      </c>
      <c r="BP27" s="11">
        <v>1.1282051282051282</v>
      </c>
      <c r="BQ27" s="11">
        <v>1.0378151260504203</v>
      </c>
      <c r="BR27" s="11">
        <v>1.1929824561403508</v>
      </c>
      <c r="BS27" s="11">
        <v>1.1356113187399892</v>
      </c>
      <c r="BT27" s="11">
        <v>1.1626016260162602</v>
      </c>
      <c r="BU27" s="11">
        <v>1.0175890175890177</v>
      </c>
      <c r="BV27" s="11">
        <v>0.9708768886657233</v>
      </c>
      <c r="BW27" s="11">
        <v>1.1283842794759826</v>
      </c>
      <c r="BX27" s="11">
        <v>0.6813819577735125</v>
      </c>
      <c r="BY27" s="11">
        <v>0.0</v>
      </c>
      <c r="BZ27" s="11">
        <v>0.9684127212548568</v>
      </c>
      <c r="CA27" s="11">
        <v>0.9974235657849536</v>
      </c>
      <c r="CB27" s="11">
        <v>1.015158976473238</v>
      </c>
    </row>
    <row r="28" ht="15.75" customHeight="1">
      <c r="A28" s="9" t="s">
        <v>187</v>
      </c>
      <c r="B28" s="9" t="s">
        <v>0</v>
      </c>
      <c r="C28" s="11">
        <v>1.1460168456246382</v>
      </c>
      <c r="D28" s="11">
        <v>1.173160173160173</v>
      </c>
      <c r="E28" s="11">
        <v>1.135130464834975</v>
      </c>
      <c r="F28" s="11">
        <v>0.9328125</v>
      </c>
      <c r="G28" s="11">
        <v>1.1537190082644628</v>
      </c>
      <c r="H28" s="11">
        <v>1.0405571030640668</v>
      </c>
      <c r="I28" s="11">
        <v>1.6479052052475667</v>
      </c>
      <c r="J28" s="11">
        <v>1.151639344262295</v>
      </c>
      <c r="K28" s="11">
        <v>1.1081081081081081</v>
      </c>
      <c r="L28" s="11">
        <v>1.0395869191049913</v>
      </c>
      <c r="M28" s="11">
        <v>1.6099547511312218</v>
      </c>
      <c r="N28" s="11">
        <v>1.1725581395348836</v>
      </c>
      <c r="O28" s="11">
        <v>1.1768935762224353</v>
      </c>
      <c r="P28" s="11">
        <v>1.03125</v>
      </c>
      <c r="Q28" s="11">
        <v>0.8368792142615228</v>
      </c>
      <c r="R28" s="11">
        <v>0.9961051606621227</v>
      </c>
      <c r="S28" s="11">
        <v>0.9870928088506453</v>
      </c>
      <c r="T28" s="11">
        <v>0.7857142857142857</v>
      </c>
      <c r="U28" s="11">
        <v>1.2325396825396826</v>
      </c>
      <c r="V28" s="11">
        <v>1.0808510638297872</v>
      </c>
      <c r="W28" s="11">
        <v>0.9046666666666666</v>
      </c>
      <c r="X28" s="11">
        <v>1.3592677345537758</v>
      </c>
      <c r="Y28" s="11">
        <v>0.8175207362799682</v>
      </c>
      <c r="Z28" s="11">
        <v>1.470948012232416</v>
      </c>
      <c r="AA28" s="11">
        <v>0.8828267929826552</v>
      </c>
      <c r="AB28" s="11">
        <v>0.9716440185374283</v>
      </c>
      <c r="AC28" s="11">
        <v>0.6033131855831655</v>
      </c>
      <c r="AD28" s="11">
        <v>0.901517153882751</v>
      </c>
      <c r="AE28" s="11">
        <v>1.0061538461538462</v>
      </c>
      <c r="AF28" s="11">
        <v>0.9312796208530806</v>
      </c>
      <c r="AG28" s="11">
        <v>1.1291866028708133</v>
      </c>
      <c r="AH28" s="11">
        <v>1.3157894736842106</v>
      </c>
      <c r="AI28" s="11">
        <v>0.9994547437295529</v>
      </c>
      <c r="AJ28" s="11">
        <v>1.2321428571428572</v>
      </c>
      <c r="AK28" s="11">
        <v>1.04</v>
      </c>
      <c r="AL28" s="11">
        <v>1.0847240051347882</v>
      </c>
      <c r="AM28" s="11">
        <v>0.8460485802257954</v>
      </c>
      <c r="AN28" s="11">
        <v>1.144645340751043</v>
      </c>
      <c r="AO28" s="11">
        <v>1.5</v>
      </c>
      <c r="AP28" s="11">
        <v>1.0996978851963746</v>
      </c>
      <c r="AQ28" s="11">
        <v>1.0898550724637681</v>
      </c>
      <c r="AR28" s="11">
        <v>1.0194363459669582</v>
      </c>
      <c r="AS28" s="11">
        <v>0.9576988155668359</v>
      </c>
      <c r="AT28" s="11">
        <v>1.045643153526971</v>
      </c>
      <c r="AU28" s="11">
        <v>1.1634615384615385</v>
      </c>
      <c r="AV28" s="11">
        <v>1.0198019801980198</v>
      </c>
      <c r="AW28" s="11">
        <v>1.0182741116751268</v>
      </c>
      <c r="AX28" s="11">
        <v>1.184873949579832</v>
      </c>
      <c r="AY28" s="11">
        <v>1.1612903225806452</v>
      </c>
      <c r="AZ28" s="11">
        <v>1.0059171597633136</v>
      </c>
      <c r="BA28" s="11">
        <v>0.9168576404803374</v>
      </c>
      <c r="BB28" s="11">
        <v>0.9944341372912802</v>
      </c>
      <c r="BC28" s="11">
        <v>1.08985251138449</v>
      </c>
      <c r="BD28" s="11">
        <v>1.0907103825136613</v>
      </c>
      <c r="BE28" s="11">
        <v>0.9748490945674044</v>
      </c>
      <c r="BF28" s="11">
        <v>0.8465608465608465</v>
      </c>
      <c r="BG28" s="11">
        <v>1.0935288169868553</v>
      </c>
      <c r="BH28" s="11">
        <v>1.146962769431744</v>
      </c>
      <c r="BI28" s="11">
        <v>1.265033407572383</v>
      </c>
      <c r="BJ28" s="11">
        <v>1.0660621761658031</v>
      </c>
      <c r="BK28" s="11">
        <v>1.1144859813084111</v>
      </c>
      <c r="BL28" s="11">
        <v>1.0476404494382023</v>
      </c>
      <c r="BM28" s="11">
        <v>1.1690166975881262</v>
      </c>
      <c r="BN28" s="11">
        <v>1.2602739726027397</v>
      </c>
      <c r="BO28" s="11">
        <v>1.28</v>
      </c>
      <c r="BP28" s="11">
        <v>1.0227272727272727</v>
      </c>
      <c r="BQ28" s="11">
        <v>1.2267206477732793</v>
      </c>
      <c r="BR28" s="11">
        <v>1.2058823529411764</v>
      </c>
      <c r="BS28" s="11">
        <v>1.1438645980253879</v>
      </c>
      <c r="BT28" s="11">
        <v>1.3636363636363635</v>
      </c>
      <c r="BU28" s="11">
        <v>1.1534569983136593</v>
      </c>
      <c r="BV28" s="11">
        <v>1.0631435422445814</v>
      </c>
      <c r="BW28" s="11">
        <v>1.0077399380804954</v>
      </c>
      <c r="BX28" s="11">
        <v>1.180281690140845</v>
      </c>
      <c r="BY28" s="11">
        <v>5.0</v>
      </c>
      <c r="BZ28" s="11">
        <v>1.077643212720113</v>
      </c>
      <c r="CA28" s="11">
        <v>1.0268641294988807</v>
      </c>
      <c r="CB28" s="11">
        <v>0.9386412863632262</v>
      </c>
    </row>
    <row r="29" ht="15.75" customHeight="1">
      <c r="A29" s="9" t="s">
        <v>188</v>
      </c>
      <c r="B29" s="9" t="s">
        <v>0</v>
      </c>
      <c r="C29" s="11">
        <v>0.9149461400359067</v>
      </c>
      <c r="D29" s="11">
        <v>0.9878755930416447</v>
      </c>
      <c r="E29" s="11">
        <v>0.8439640736794033</v>
      </c>
      <c r="F29" s="11">
        <v>0.9246231155778895</v>
      </c>
      <c r="G29" s="11">
        <v>0.9878223495702005</v>
      </c>
      <c r="H29" s="11">
        <v>0.8116500696005996</v>
      </c>
      <c r="I29" s="11">
        <v>1.066512583461736</v>
      </c>
      <c r="J29" s="11">
        <v>1.1352313167259787</v>
      </c>
      <c r="K29" s="11">
        <v>1.1067073170731707</v>
      </c>
      <c r="L29" s="11">
        <v>0.9718543046357616</v>
      </c>
      <c r="M29" s="11">
        <v>1.3929173693086003</v>
      </c>
      <c r="N29" s="11">
        <v>1.0622768742562476</v>
      </c>
      <c r="O29" s="11">
        <v>1.0631364562118126</v>
      </c>
      <c r="P29" s="11">
        <v>1.0303030303030303</v>
      </c>
      <c r="Q29" s="11">
        <v>1.0254344333664447</v>
      </c>
      <c r="R29" s="11">
        <v>0.8084066471163245</v>
      </c>
      <c r="S29" s="11">
        <v>0.8810709838107098</v>
      </c>
      <c r="T29" s="11">
        <v>0.6363636363636364</v>
      </c>
      <c r="U29" s="11">
        <v>1.1390856406954282</v>
      </c>
      <c r="V29" s="11">
        <v>0.952755905511811</v>
      </c>
      <c r="W29" s="11">
        <v>1.1599115696389093</v>
      </c>
      <c r="X29" s="11">
        <v>1.1195286195286196</v>
      </c>
      <c r="Y29" s="11">
        <v>1.0214593467685893</v>
      </c>
      <c r="Z29" s="11">
        <v>0.9896049896049897</v>
      </c>
      <c r="AA29" s="11">
        <v>1.087551607254735</v>
      </c>
      <c r="AB29" s="11">
        <v>1.1391269199676637</v>
      </c>
      <c r="AC29" s="11">
        <v>0.859121830550402</v>
      </c>
      <c r="AD29" s="11">
        <v>1.0836167468042688</v>
      </c>
      <c r="AE29" s="11">
        <v>1.033639143730887</v>
      </c>
      <c r="AF29" s="11">
        <v>1.0737913486005088</v>
      </c>
      <c r="AG29" s="11">
        <v>0.9194915254237288</v>
      </c>
      <c r="AH29" s="11">
        <v>1.48</v>
      </c>
      <c r="AI29" s="11">
        <v>1.1414348063284234</v>
      </c>
      <c r="AJ29" s="11">
        <v>1.0966183574879227</v>
      </c>
      <c r="AK29" s="11">
        <v>0.7896634615384616</v>
      </c>
      <c r="AL29" s="11">
        <v>1.0023668639053254</v>
      </c>
      <c r="AM29" s="11">
        <v>1.4096239385361908</v>
      </c>
      <c r="AN29" s="11">
        <v>1.1968408262454435</v>
      </c>
      <c r="AO29" s="11">
        <v>1.0165289256198347</v>
      </c>
      <c r="AP29" s="11">
        <v>0.8653846153846154</v>
      </c>
      <c r="AQ29" s="11">
        <v>1.1117021276595744</v>
      </c>
      <c r="AR29" s="11">
        <v>1.0152526215443278</v>
      </c>
      <c r="AS29" s="11">
        <v>0.9108453384071759</v>
      </c>
      <c r="AT29" s="11">
        <v>0.7301587301587301</v>
      </c>
      <c r="AU29" s="11">
        <v>1.0165289256198347</v>
      </c>
      <c r="AV29" s="11">
        <v>1.0776699029126213</v>
      </c>
      <c r="AW29" s="11">
        <v>0.9810568295114656</v>
      </c>
      <c r="AX29" s="11">
        <v>0.950354609929078</v>
      </c>
      <c r="AY29" s="11">
        <v>0.9814814814814815</v>
      </c>
      <c r="AZ29" s="11">
        <v>0.8852941176470588</v>
      </c>
      <c r="BA29" s="11">
        <v>0.8840231953609278</v>
      </c>
      <c r="BB29" s="11">
        <v>1.0326492537313432</v>
      </c>
      <c r="BC29" s="11">
        <v>0.9597131275335204</v>
      </c>
      <c r="BD29" s="11">
        <v>0.87374749498998</v>
      </c>
      <c r="BE29" s="11">
        <v>0.9659442724458205</v>
      </c>
      <c r="BF29" s="11">
        <v>1.00625</v>
      </c>
      <c r="BG29" s="11">
        <v>1.0490060101710588</v>
      </c>
      <c r="BH29" s="11">
        <v>0.878132118451025</v>
      </c>
      <c r="BI29" s="11">
        <v>1.028169014084507</v>
      </c>
      <c r="BJ29" s="11">
        <v>1.0273390036452006</v>
      </c>
      <c r="BK29" s="11">
        <v>0.8805031446540881</v>
      </c>
      <c r="BL29" s="11">
        <v>0.9824109824109825</v>
      </c>
      <c r="BM29" s="11">
        <v>1.0404697667036977</v>
      </c>
      <c r="BN29" s="11">
        <v>0.7391304347826086</v>
      </c>
      <c r="BO29" s="11">
        <v>1.0390625</v>
      </c>
      <c r="BP29" s="11">
        <v>1.4222222222222223</v>
      </c>
      <c r="BQ29" s="11">
        <v>1.0825082508250825</v>
      </c>
      <c r="BR29" s="11">
        <v>1.1219512195121952</v>
      </c>
      <c r="BS29" s="11">
        <v>1.0406905055487052</v>
      </c>
      <c r="BT29" s="11">
        <v>1.0487179487179488</v>
      </c>
      <c r="BU29" s="11">
        <v>1.0460526315789473</v>
      </c>
      <c r="BV29" s="11">
        <v>1.2140898637891384</v>
      </c>
      <c r="BW29" s="11">
        <v>1.2004608294930876</v>
      </c>
      <c r="BX29" s="11">
        <v>1.1801909307875895</v>
      </c>
      <c r="BY29" s="11">
        <v>0.2</v>
      </c>
      <c r="BZ29" s="11">
        <v>1.3001241036955322</v>
      </c>
      <c r="CA29" s="11">
        <v>1.0134160657387221</v>
      </c>
      <c r="CB29" s="11">
        <v>1.0354391433069856</v>
      </c>
    </row>
    <row r="30" ht="15.75" customHeight="1">
      <c r="A30" s="9" t="s">
        <v>189</v>
      </c>
      <c r="B30" s="9" t="s">
        <v>0</v>
      </c>
      <c r="C30" s="11">
        <v>1.1220259995094433</v>
      </c>
      <c r="D30" s="11">
        <v>0.8633938100320171</v>
      </c>
      <c r="E30" s="11">
        <v>1.0672799422799424</v>
      </c>
      <c r="F30" s="11">
        <v>1.0620471014492754</v>
      </c>
      <c r="G30" s="11">
        <v>1.0326323422770123</v>
      </c>
      <c r="H30" s="11">
        <v>1.2316622691292876</v>
      </c>
      <c r="I30" s="11">
        <v>1.2277871418251867</v>
      </c>
      <c r="J30" s="11">
        <v>1.0344827586206897</v>
      </c>
      <c r="K30" s="11">
        <v>1.0165289256198347</v>
      </c>
      <c r="L30" s="11">
        <v>1.0477001703577513</v>
      </c>
      <c r="M30" s="11">
        <v>1.215092816787732</v>
      </c>
      <c r="N30" s="11">
        <v>1.1310679611650485</v>
      </c>
      <c r="O30" s="11">
        <v>1.1348659003831418</v>
      </c>
      <c r="P30" s="11">
        <v>0.9852941176470589</v>
      </c>
      <c r="Q30" s="11">
        <v>1.1896145520647716</v>
      </c>
      <c r="R30" s="11">
        <v>0.9770253929866989</v>
      </c>
      <c r="S30" s="11">
        <v>1.3469964664310954</v>
      </c>
      <c r="T30" s="11">
        <v>0.0</v>
      </c>
      <c r="U30" s="11">
        <v>1.1164499717354437</v>
      </c>
      <c r="V30" s="11">
        <v>1.1446280991735538</v>
      </c>
      <c r="W30" s="11">
        <v>1.2393053790766624</v>
      </c>
      <c r="X30" s="11">
        <v>2.3684210526315788</v>
      </c>
      <c r="Y30" s="11">
        <v>1.1780961711160094</v>
      </c>
      <c r="Z30" s="11">
        <v>1.0420168067226891</v>
      </c>
      <c r="AA30" s="11">
        <v>1.3464009808121242</v>
      </c>
      <c r="AB30" s="11">
        <v>1.3515246138196957</v>
      </c>
      <c r="AC30" s="11">
        <v>1.1030809098761878</v>
      </c>
      <c r="AD30" s="11">
        <v>1.4261363636363635</v>
      </c>
      <c r="AE30" s="11">
        <v>1.0059171597633136</v>
      </c>
      <c r="AF30" s="11">
        <v>0.9241706161137441</v>
      </c>
      <c r="AG30" s="11">
        <v>1.1105990783410138</v>
      </c>
      <c r="AH30" s="11">
        <v>1.3243243243243243</v>
      </c>
      <c r="AI30" s="11">
        <v>1.0320229418090572</v>
      </c>
      <c r="AJ30" s="11">
        <v>0.8766519823788547</v>
      </c>
      <c r="AK30" s="11">
        <v>1.0684931506849316</v>
      </c>
      <c r="AL30" s="11">
        <v>1.1322314049586777</v>
      </c>
      <c r="AM30" s="11">
        <v>0.9977051061388411</v>
      </c>
      <c r="AN30" s="11">
        <v>1.1979695431472082</v>
      </c>
      <c r="AO30" s="11">
        <v>0.7181571815718157</v>
      </c>
      <c r="AP30" s="11">
        <v>1.0761904761904761</v>
      </c>
      <c r="AQ30" s="11">
        <v>1.0598086124401913</v>
      </c>
      <c r="AR30" s="11">
        <v>1.0065727699530516</v>
      </c>
      <c r="AS30" s="11">
        <v>1.1005669949268875</v>
      </c>
      <c r="AT30" s="11">
        <v>0.9021739130434783</v>
      </c>
      <c r="AU30" s="11">
        <v>1.1951219512195121</v>
      </c>
      <c r="AV30" s="11">
        <v>1.0360360360360361</v>
      </c>
      <c r="AW30" s="11">
        <v>1.0294715447154472</v>
      </c>
      <c r="AX30" s="11">
        <v>1.0223880597014925</v>
      </c>
      <c r="AY30" s="11">
        <v>0.8509433962264151</v>
      </c>
      <c r="AZ30" s="11">
        <v>1.5232558139534884</v>
      </c>
      <c r="BA30" s="11">
        <v>1.1261026916987107</v>
      </c>
      <c r="BB30" s="11">
        <v>1.006323396567299</v>
      </c>
      <c r="BC30" s="11">
        <v>0.9512638897914094</v>
      </c>
      <c r="BD30" s="11">
        <v>0.8509174311926605</v>
      </c>
      <c r="BE30" s="11">
        <v>1.0074786324786325</v>
      </c>
      <c r="BF30" s="11">
        <v>1.1677018633540373</v>
      </c>
      <c r="BG30" s="11">
        <v>0.9656236227412958</v>
      </c>
      <c r="BH30" s="11">
        <v>0.795071335927367</v>
      </c>
      <c r="BI30" s="11">
        <v>1.1484018264840183</v>
      </c>
      <c r="BJ30" s="11">
        <v>1.0922531046717918</v>
      </c>
      <c r="BK30" s="11">
        <v>0.7700680272108843</v>
      </c>
      <c r="BL30" s="11">
        <v>0.996943231441048</v>
      </c>
      <c r="BM30" s="11">
        <v>1.046522269676632</v>
      </c>
      <c r="BN30" s="11">
        <v>1.0588235294117647</v>
      </c>
      <c r="BO30" s="11">
        <v>1.0601503759398496</v>
      </c>
      <c r="BP30" s="11">
        <v>1.09375</v>
      </c>
      <c r="BQ30" s="11">
        <v>1.0</v>
      </c>
      <c r="BR30" s="11">
        <v>1.25</v>
      </c>
      <c r="BS30" s="11">
        <v>1.0343601895734598</v>
      </c>
      <c r="BT30" s="11">
        <v>1.0440097799511003</v>
      </c>
      <c r="BU30" s="11">
        <v>1.054157931516422</v>
      </c>
      <c r="BV30" s="11">
        <v>0.9296251775762212</v>
      </c>
      <c r="BW30" s="11">
        <v>0.9430582213691618</v>
      </c>
      <c r="BX30" s="11">
        <v>0.6845298281092013</v>
      </c>
      <c r="BY30" s="11">
        <v>1.0</v>
      </c>
      <c r="BZ30" s="11">
        <v>0.9344010181895317</v>
      </c>
      <c r="CA30" s="11">
        <v>0.951348667880192</v>
      </c>
      <c r="CB30" s="11">
        <v>1.165907675164534</v>
      </c>
    </row>
    <row r="31" ht="15.75" customHeight="1">
      <c r="A31" s="9" t="s">
        <v>190</v>
      </c>
      <c r="B31" s="9" t="s">
        <v>0</v>
      </c>
      <c r="C31" s="11">
        <v>0.9637938572521587</v>
      </c>
      <c r="D31" s="11">
        <v>1.1279357231149567</v>
      </c>
      <c r="E31" s="11">
        <v>1.1496535406455974</v>
      </c>
      <c r="F31" s="11">
        <v>1.057995735607676</v>
      </c>
      <c r="G31" s="11">
        <v>1.0316011235955056</v>
      </c>
      <c r="H31" s="11">
        <v>0.7847043701799485</v>
      </c>
      <c r="I31" s="11">
        <v>0.6995489311629731</v>
      </c>
      <c r="J31" s="11">
        <v>0.9090909090909091</v>
      </c>
      <c r="K31" s="11">
        <v>1.065040650406504</v>
      </c>
      <c r="L31" s="11">
        <v>1.104878048780488</v>
      </c>
      <c r="M31" s="11">
        <v>0.9784124875456659</v>
      </c>
      <c r="N31" s="11">
        <v>1.1148894024430505</v>
      </c>
      <c r="O31" s="11">
        <v>1.1201890614449697</v>
      </c>
      <c r="P31" s="11">
        <v>0.8805970149253731</v>
      </c>
      <c r="Q31" s="11">
        <v>1.0744732185941772</v>
      </c>
      <c r="R31" s="11">
        <v>0.9047029702970297</v>
      </c>
      <c r="S31" s="11">
        <v>0.7334732423924449</v>
      </c>
      <c r="T31" s="11">
        <v>0.0</v>
      </c>
      <c r="U31" s="11">
        <v>1.1230379746835444</v>
      </c>
      <c r="V31" s="11">
        <v>0.8592057761732852</v>
      </c>
      <c r="W31" s="11">
        <v>1.1062884483937117</v>
      </c>
      <c r="X31" s="11">
        <v>1.3396825396825396</v>
      </c>
      <c r="Y31" s="11">
        <v>1.075407412540568</v>
      </c>
      <c r="Z31" s="11">
        <v>1.1774193548387097</v>
      </c>
      <c r="AA31" s="11">
        <v>1.3413933077345035</v>
      </c>
      <c r="AB31" s="11">
        <v>1.1700418322160573</v>
      </c>
      <c r="AC31" s="11">
        <v>1.4605847037327069</v>
      </c>
      <c r="AD31" s="11">
        <v>1.6782014797951053</v>
      </c>
      <c r="AE31" s="11">
        <v>0.975</v>
      </c>
      <c r="AF31" s="11">
        <v>0.9435897435897436</v>
      </c>
      <c r="AG31" s="11">
        <v>0.995850622406639</v>
      </c>
      <c r="AH31" s="11">
        <v>1.1224489795918366</v>
      </c>
      <c r="AI31" s="11">
        <v>1.2167419242792636</v>
      </c>
      <c r="AJ31" s="11">
        <v>1.0100502512562815</v>
      </c>
      <c r="AK31" s="11">
        <v>1.3347578347578348</v>
      </c>
      <c r="AL31" s="11">
        <v>1.072992700729927</v>
      </c>
      <c r="AM31" s="11">
        <v>1.3657274295572168</v>
      </c>
      <c r="AN31" s="11">
        <v>1.1406779661016948</v>
      </c>
      <c r="AO31" s="11">
        <v>1.2075471698113207</v>
      </c>
      <c r="AP31" s="11">
        <v>0.8790560471976401</v>
      </c>
      <c r="AQ31" s="11">
        <v>1.0</v>
      </c>
      <c r="AR31" s="11">
        <v>1.1054104477611941</v>
      </c>
      <c r="AS31" s="11">
        <v>1.1545553145336225</v>
      </c>
      <c r="AT31" s="11">
        <v>1.0</v>
      </c>
      <c r="AU31" s="11">
        <v>1.0442176870748299</v>
      </c>
      <c r="AV31" s="11">
        <v>0.8434782608695652</v>
      </c>
      <c r="AW31" s="11">
        <v>1.1303060217176704</v>
      </c>
      <c r="AX31" s="11">
        <v>0.9963503649635036</v>
      </c>
      <c r="AY31" s="11">
        <v>1.0277161862527717</v>
      </c>
      <c r="AZ31" s="11">
        <v>1.1221374045801527</v>
      </c>
      <c r="BA31" s="11">
        <v>1.1874058451340765</v>
      </c>
      <c r="BB31" s="11">
        <v>1.1355475763016158</v>
      </c>
      <c r="BC31" s="11">
        <v>1.0486372019946717</v>
      </c>
      <c r="BD31" s="11">
        <v>1.2654986522911051</v>
      </c>
      <c r="BE31" s="11">
        <v>0.971898197242842</v>
      </c>
      <c r="BF31" s="11">
        <v>1.4627659574468086</v>
      </c>
      <c r="BG31" s="11">
        <v>1.0479233226837061</v>
      </c>
      <c r="BH31" s="11">
        <v>1.0473083197389885</v>
      </c>
      <c r="BI31" s="11">
        <v>0.9980119284294234</v>
      </c>
      <c r="BJ31" s="11">
        <v>1.1250676773145643</v>
      </c>
      <c r="BK31" s="11">
        <v>0.747791519434629</v>
      </c>
      <c r="BL31" s="11">
        <v>1.2899693385895752</v>
      </c>
      <c r="BM31" s="11">
        <v>1.0625273283777874</v>
      </c>
      <c r="BN31" s="11">
        <v>1.125</v>
      </c>
      <c r="BO31" s="11">
        <v>1.0780141843971631</v>
      </c>
      <c r="BP31" s="11">
        <v>1.1428571428571428</v>
      </c>
      <c r="BQ31" s="11">
        <v>1.024390243902439</v>
      </c>
      <c r="BR31" s="11">
        <v>1.0782608695652174</v>
      </c>
      <c r="BS31" s="11">
        <v>1.055746468117602</v>
      </c>
      <c r="BT31" s="11">
        <v>1.0304449648711944</v>
      </c>
      <c r="BU31" s="11">
        <v>1.070931388796818</v>
      </c>
      <c r="BV31" s="11">
        <v>1.0176717213275341</v>
      </c>
      <c r="BW31" s="11">
        <v>0.9301221166892809</v>
      </c>
      <c r="BX31" s="11">
        <v>1.2023633677991137</v>
      </c>
      <c r="BY31" s="11">
        <v>0.0</v>
      </c>
      <c r="BZ31" s="11">
        <v>1.086038592508513</v>
      </c>
      <c r="CA31" s="11">
        <v>0.8090102626543747</v>
      </c>
      <c r="CB31" s="11">
        <v>1.1436132967408583</v>
      </c>
    </row>
    <row r="32" ht="15.75" customHeight="1">
      <c r="A32" s="9" t="s">
        <v>191</v>
      </c>
      <c r="B32" s="9" t="s">
        <v>0</v>
      </c>
      <c r="C32" s="11">
        <v>1.0675058830200448</v>
      </c>
      <c r="D32" s="11">
        <v>1.1649315068493151</v>
      </c>
      <c r="E32" s="11">
        <v>1.2099963248805585</v>
      </c>
      <c r="F32" s="11">
        <v>1.0028214429665459</v>
      </c>
      <c r="G32" s="11">
        <v>1.0408441116405718</v>
      </c>
      <c r="H32" s="11">
        <v>0.8041223041223041</v>
      </c>
      <c r="I32" s="11">
        <v>1.1527894589290721</v>
      </c>
      <c r="J32" s="11">
        <v>0.8933333333333333</v>
      </c>
      <c r="K32" s="11">
        <v>1.0814249363867685</v>
      </c>
      <c r="L32" s="11">
        <v>1.011037527593819</v>
      </c>
      <c r="M32" s="11">
        <v>1.0105227427019687</v>
      </c>
      <c r="N32" s="11">
        <v>1.0607047675451584</v>
      </c>
      <c r="O32" s="11">
        <v>1.0617842073538275</v>
      </c>
      <c r="P32" s="11">
        <v>1.0</v>
      </c>
      <c r="Q32" s="11">
        <v>1.2763285928143713</v>
      </c>
      <c r="R32" s="11">
        <v>0.7920656634746922</v>
      </c>
      <c r="S32" s="11">
        <v>0.751788268955651</v>
      </c>
      <c r="T32" s="11">
        <v>1.3333333333333333</v>
      </c>
      <c r="U32" s="11">
        <v>1.003155996393147</v>
      </c>
      <c r="V32" s="11">
        <v>0.7689075630252101</v>
      </c>
      <c r="W32" s="11">
        <v>0.7482236638863144</v>
      </c>
      <c r="X32" s="11">
        <v>0.8137440758293839</v>
      </c>
      <c r="Y32" s="11">
        <v>1.3447353724546782</v>
      </c>
      <c r="Z32" s="11">
        <v>1.0</v>
      </c>
      <c r="AA32" s="11">
        <v>1.0328867733176301</v>
      </c>
      <c r="AB32" s="11">
        <v>0.9565132838678794</v>
      </c>
      <c r="AC32" s="11">
        <v>1.092306317576624</v>
      </c>
      <c r="AD32" s="11">
        <v>1.1332835922132538</v>
      </c>
      <c r="AE32" s="11">
        <v>0.9788838612368024</v>
      </c>
      <c r="AF32" s="11">
        <v>0.9755434782608695</v>
      </c>
      <c r="AG32" s="11">
        <v>1.0125</v>
      </c>
      <c r="AH32" s="11">
        <v>0.8545454545454545</v>
      </c>
      <c r="AI32" s="11">
        <v>1.1387382243791035</v>
      </c>
      <c r="AJ32" s="11">
        <v>1.054726368159204</v>
      </c>
      <c r="AK32" s="11">
        <v>0.8046958377801494</v>
      </c>
      <c r="AL32" s="11">
        <v>0.9795918367346939</v>
      </c>
      <c r="AM32" s="11">
        <v>1.315578947368421</v>
      </c>
      <c r="AN32" s="11">
        <v>1.138187221396731</v>
      </c>
      <c r="AO32" s="11">
        <v>0.81875</v>
      </c>
      <c r="AP32" s="11">
        <v>1.1006711409395973</v>
      </c>
      <c r="AQ32" s="11">
        <v>0.8961625282167043</v>
      </c>
      <c r="AR32" s="11">
        <v>1.0337552742616034</v>
      </c>
      <c r="AS32" s="11">
        <v>1.0313527477689055</v>
      </c>
      <c r="AT32" s="11">
        <v>0.8493975903614458</v>
      </c>
      <c r="AU32" s="11">
        <v>1.0586319218241043</v>
      </c>
      <c r="AV32" s="11">
        <v>1.1134020618556701</v>
      </c>
      <c r="AW32" s="11">
        <v>0.9554585152838428</v>
      </c>
      <c r="AX32" s="11">
        <v>1.1172161172161172</v>
      </c>
      <c r="AY32" s="11">
        <v>1.0841423948220066</v>
      </c>
      <c r="AZ32" s="11">
        <v>1.1827016520894071</v>
      </c>
      <c r="BA32" s="11">
        <v>1.0148862386873043</v>
      </c>
      <c r="BB32" s="11">
        <v>1.084584980237154</v>
      </c>
      <c r="BC32" s="11">
        <v>1.1072894273988665</v>
      </c>
      <c r="BD32" s="11">
        <v>1.1331203407880723</v>
      </c>
      <c r="BE32" s="11">
        <v>1.0698308783415167</v>
      </c>
      <c r="BF32" s="11">
        <v>0.6981818181818182</v>
      </c>
      <c r="BG32" s="11">
        <v>1.0696864111498259</v>
      </c>
      <c r="BH32" s="11">
        <v>1.0981308411214954</v>
      </c>
      <c r="BI32" s="11">
        <v>1.323207171314741</v>
      </c>
      <c r="BJ32" s="11">
        <v>1.025505293551492</v>
      </c>
      <c r="BK32" s="11">
        <v>1.1334908446544596</v>
      </c>
      <c r="BL32" s="11">
        <v>1.0893039049235993</v>
      </c>
      <c r="BM32" s="11">
        <v>1.125514403292181</v>
      </c>
      <c r="BN32" s="11">
        <v>0.9691358024691358</v>
      </c>
      <c r="BO32" s="11">
        <v>1.1973684210526316</v>
      </c>
      <c r="BP32" s="11">
        <v>1.175</v>
      </c>
      <c r="BQ32" s="11">
        <v>1.1220238095238095</v>
      </c>
      <c r="BR32" s="11">
        <v>0.9838709677419355</v>
      </c>
      <c r="BS32" s="11">
        <v>1.4126582278481012</v>
      </c>
      <c r="BT32" s="11">
        <v>1.059090909090909</v>
      </c>
      <c r="BU32" s="11">
        <v>0.8978644382544104</v>
      </c>
      <c r="BV32" s="11">
        <v>1.1805020791621748</v>
      </c>
      <c r="BW32" s="11">
        <v>0.9037199124726477</v>
      </c>
      <c r="BX32" s="11">
        <v>1.0577395577395576</v>
      </c>
      <c r="BY32" s="11">
        <v>0.0</v>
      </c>
      <c r="BZ32" s="11">
        <v>1.2213628762541806</v>
      </c>
      <c r="CA32" s="11">
        <v>1.1154590410664373</v>
      </c>
      <c r="CB32" s="11">
        <v>1.1316520270564372</v>
      </c>
    </row>
    <row r="33" ht="15.75" customHeight="1">
      <c r="A33" s="9" t="s">
        <v>192</v>
      </c>
      <c r="B33" s="9" t="s">
        <v>0</v>
      </c>
      <c r="C33" s="11">
        <v>0.9461648783597153</v>
      </c>
      <c r="D33" s="11">
        <v>0.9167450611476952</v>
      </c>
      <c r="E33" s="11">
        <v>0.8932693475883854</v>
      </c>
      <c r="F33" s="11">
        <v>1.022508038585209</v>
      </c>
      <c r="G33" s="11">
        <v>0.8037933289731851</v>
      </c>
      <c r="H33" s="11">
        <v>1.0931930062807673</v>
      </c>
      <c r="I33" s="11">
        <v>1.003647859922179</v>
      </c>
      <c r="J33" s="11">
        <v>1.0559701492537314</v>
      </c>
      <c r="K33" s="11">
        <v>1.051764705882353</v>
      </c>
      <c r="L33" s="11">
        <v>0.9534206695778749</v>
      </c>
      <c r="M33" s="11">
        <v>0.8703392677191804</v>
      </c>
      <c r="N33" s="11">
        <v>0.9165270798436628</v>
      </c>
      <c r="O33" s="11">
        <v>0.9213738291229067</v>
      </c>
      <c r="P33" s="11">
        <v>0.6271186440677966</v>
      </c>
      <c r="Q33" s="11">
        <v>1.1140278857008812</v>
      </c>
      <c r="R33" s="11">
        <v>0.7150259067357513</v>
      </c>
      <c r="S33" s="11">
        <v>1.1255946717411989</v>
      </c>
      <c r="T33" s="11">
        <v>0.5</v>
      </c>
      <c r="U33" s="11">
        <v>0.7501123595505618</v>
      </c>
      <c r="V33" s="11">
        <v>0.9398907103825137</v>
      </c>
      <c r="W33" s="11">
        <v>0.5654417836498762</v>
      </c>
      <c r="X33" s="11">
        <v>0.6773442050087362</v>
      </c>
      <c r="Y33" s="11">
        <v>1.15060178418829</v>
      </c>
      <c r="Z33" s="11">
        <v>0.9434931506849316</v>
      </c>
      <c r="AA33" s="11">
        <v>0.7033154114768507</v>
      </c>
      <c r="AB33" s="11">
        <v>0.6782346225426565</v>
      </c>
      <c r="AC33" s="11">
        <v>0.634407722513089</v>
      </c>
      <c r="AD33" s="11">
        <v>0.7521147554065917</v>
      </c>
      <c r="AE33" s="11">
        <v>1.1694915254237288</v>
      </c>
      <c r="AF33" s="11">
        <v>1.2367688022284122</v>
      </c>
      <c r="AG33" s="11">
        <v>1.1604938271604939</v>
      </c>
      <c r="AH33" s="11">
        <v>0.7021276595744681</v>
      </c>
      <c r="AI33" s="11">
        <v>0.9273000752068188</v>
      </c>
      <c r="AJ33" s="11">
        <v>1.070754716981132</v>
      </c>
      <c r="AK33" s="11">
        <v>0.850132625994695</v>
      </c>
      <c r="AL33" s="11">
        <v>0.8869047619047619</v>
      </c>
      <c r="AM33" s="11">
        <v>0.8876620259241479</v>
      </c>
      <c r="AN33" s="11">
        <v>1.0378590078328982</v>
      </c>
      <c r="AO33" s="11">
        <v>1.2595419847328244</v>
      </c>
      <c r="AP33" s="11">
        <v>0.7073170731707317</v>
      </c>
      <c r="AQ33" s="11">
        <v>0.783375314861461</v>
      </c>
      <c r="AR33" s="11">
        <v>1.0816326530612246</v>
      </c>
      <c r="AS33" s="11">
        <v>0.8374131845610839</v>
      </c>
      <c r="AT33" s="11">
        <v>0.7943262411347518</v>
      </c>
      <c r="AU33" s="11">
        <v>0.8</v>
      </c>
      <c r="AV33" s="11">
        <v>0.9537037037037037</v>
      </c>
      <c r="AW33" s="11">
        <v>0.8537477148080439</v>
      </c>
      <c r="AX33" s="11">
        <v>0.9049180327868852</v>
      </c>
      <c r="AY33" s="11">
        <v>0.7323383084577114</v>
      </c>
      <c r="AZ33" s="11">
        <v>0.7559572719802794</v>
      </c>
      <c r="BA33" s="11">
        <v>0.851320943411951</v>
      </c>
      <c r="BB33" s="11">
        <v>0.8411078717201166</v>
      </c>
      <c r="BC33" s="11">
        <v>0.8636898458642194</v>
      </c>
      <c r="BD33" s="11">
        <v>1.0037593984962405</v>
      </c>
      <c r="BE33" s="11">
        <v>0.9020907700152984</v>
      </c>
      <c r="BF33" s="11">
        <v>0.71875</v>
      </c>
      <c r="BG33" s="11">
        <v>0.8811074918566775</v>
      </c>
      <c r="BH33" s="11">
        <v>0.9219858156028369</v>
      </c>
      <c r="BI33" s="11">
        <v>0.8471960858110651</v>
      </c>
      <c r="BJ33" s="11">
        <v>0.9413420929141249</v>
      </c>
      <c r="BK33" s="11">
        <v>0.832725377800938</v>
      </c>
      <c r="BL33" s="11">
        <v>0.7440773067331671</v>
      </c>
      <c r="BM33" s="11">
        <v>0.8990859232175503</v>
      </c>
      <c r="BN33" s="11">
        <v>1.0254777070063694</v>
      </c>
      <c r="BO33" s="11">
        <v>0.7472527472527473</v>
      </c>
      <c r="BP33" s="11">
        <v>1.1914893617021276</v>
      </c>
      <c r="BQ33" s="11">
        <v>1.026525198938992</v>
      </c>
      <c r="BR33" s="11">
        <v>1.0573770491803278</v>
      </c>
      <c r="BS33" s="11">
        <v>0.9027137736815156</v>
      </c>
      <c r="BT33" s="11">
        <v>0.927038626609442</v>
      </c>
      <c r="BU33" s="11">
        <v>0.8597035504998276</v>
      </c>
      <c r="BV33" s="11">
        <v>1.122341813437704</v>
      </c>
      <c r="BW33" s="11">
        <v>0.8579499596448749</v>
      </c>
      <c r="BX33" s="11">
        <v>1.51335656213705</v>
      </c>
      <c r="BY33" s="11">
        <v>0.0</v>
      </c>
      <c r="BZ33" s="11">
        <v>1.0907068286838952</v>
      </c>
      <c r="CA33" s="11">
        <v>1.26272166538165</v>
      </c>
      <c r="CB33" s="11">
        <v>0.9301275443482007</v>
      </c>
    </row>
    <row r="34" ht="15.75" customHeight="1">
      <c r="A34" s="9" t="s">
        <v>193</v>
      </c>
      <c r="B34" s="9" t="s">
        <v>0</v>
      </c>
      <c r="C34" s="11">
        <v>1.2222035087719298</v>
      </c>
      <c r="D34" s="11">
        <v>0.8445356593124679</v>
      </c>
      <c r="E34" s="11">
        <v>1.0065283917035022</v>
      </c>
      <c r="F34" s="11">
        <v>1.1584119496855345</v>
      </c>
      <c r="G34" s="11">
        <v>0.9820992676973149</v>
      </c>
      <c r="H34" s="11">
        <v>2.1902173913043477</v>
      </c>
      <c r="I34" s="11">
        <v>1.0932881027380663</v>
      </c>
      <c r="J34" s="11">
        <v>1.1236749116607774</v>
      </c>
      <c r="K34" s="11">
        <v>1.0648769574944073</v>
      </c>
      <c r="L34" s="11">
        <v>1.0870229007633587</v>
      </c>
      <c r="M34" s="11">
        <v>0.8124276341181011</v>
      </c>
      <c r="N34" s="11">
        <v>0.768809016143771</v>
      </c>
      <c r="O34" s="11">
        <v>0.7711028958718422</v>
      </c>
      <c r="P34" s="11">
        <v>0.5675675675675675</v>
      </c>
      <c r="Q34" s="11">
        <v>1.3041212352519265</v>
      </c>
      <c r="R34" s="11">
        <v>1.2173913043478262</v>
      </c>
      <c r="S34" s="11">
        <v>2.676246830092984</v>
      </c>
      <c r="T34" s="11">
        <v>1.1</v>
      </c>
      <c r="U34" s="11">
        <v>0.8016776512881966</v>
      </c>
      <c r="V34" s="11">
        <v>1.5465116279069768</v>
      </c>
      <c r="W34" s="11">
        <v>1.855056589996349</v>
      </c>
      <c r="X34" s="11">
        <v>1.6749785038693035</v>
      </c>
      <c r="Y34" s="11">
        <v>1.2859135963572756</v>
      </c>
      <c r="Z34" s="11">
        <v>1.1125226860254083</v>
      </c>
      <c r="AA34" s="11">
        <v>1.423064365409081</v>
      </c>
      <c r="AB34" s="11">
        <v>1.4643392441257177</v>
      </c>
      <c r="AC34" s="11">
        <v>1.5106382978723405</v>
      </c>
      <c r="AD34" s="11">
        <v>1.357569166290883</v>
      </c>
      <c r="AE34" s="11">
        <v>1.4268774703557312</v>
      </c>
      <c r="AF34" s="11">
        <v>1.5067567567567568</v>
      </c>
      <c r="AG34" s="11">
        <v>1.2765957446808511</v>
      </c>
      <c r="AH34" s="11">
        <v>1.6363636363636365</v>
      </c>
      <c r="AI34" s="11">
        <v>0.9059205190592052</v>
      </c>
      <c r="AJ34" s="11">
        <v>1.052863436123348</v>
      </c>
      <c r="AK34" s="11">
        <v>1.2605304212168487</v>
      </c>
      <c r="AL34" s="11">
        <v>1.1588366890380313</v>
      </c>
      <c r="AM34" s="11">
        <v>0.65440778799351</v>
      </c>
      <c r="AN34" s="11">
        <v>1.0459119496855347</v>
      </c>
      <c r="AO34" s="11">
        <v>1.4848484848484849</v>
      </c>
      <c r="AP34" s="11">
        <v>1.5862068965517242</v>
      </c>
      <c r="AQ34" s="11">
        <v>1.1093247588424437</v>
      </c>
      <c r="AR34" s="11">
        <v>1.1124528301886794</v>
      </c>
      <c r="AS34" s="11">
        <v>1.1356220258327667</v>
      </c>
      <c r="AT34" s="11">
        <v>1.4285714285714286</v>
      </c>
      <c r="AU34" s="11">
        <v>0.9884615384615385</v>
      </c>
      <c r="AV34" s="11">
        <v>0.9320388349514563</v>
      </c>
      <c r="AW34" s="11">
        <v>1.0149892933618843</v>
      </c>
      <c r="AX34" s="11">
        <v>1.2065217391304348</v>
      </c>
      <c r="AY34" s="11">
        <v>0.7744565217391305</v>
      </c>
      <c r="AZ34" s="11">
        <v>0.8619565217391304</v>
      </c>
      <c r="BA34" s="11">
        <v>1.2068526676456193</v>
      </c>
      <c r="BB34" s="11">
        <v>1.0571923743500866</v>
      </c>
      <c r="BC34" s="11">
        <v>1.0033376472992304</v>
      </c>
      <c r="BD34" s="11">
        <v>0.8164794007490637</v>
      </c>
      <c r="BE34" s="11">
        <v>0.9485585076314302</v>
      </c>
      <c r="BF34" s="11">
        <v>1.2681159420289856</v>
      </c>
      <c r="BG34" s="11">
        <v>1.0304990757855823</v>
      </c>
      <c r="BH34" s="11">
        <v>1.0584615384615386</v>
      </c>
      <c r="BI34" s="11">
        <v>1.0355397601066192</v>
      </c>
      <c r="BJ34" s="11">
        <v>1.1101694915254237</v>
      </c>
      <c r="BK34" s="11">
        <v>1.1595744680851063</v>
      </c>
      <c r="BL34" s="11">
        <v>0.8328445747800587</v>
      </c>
      <c r="BM34" s="11">
        <v>1.0894672631150875</v>
      </c>
      <c r="BN34" s="11">
        <v>1.2608695652173914</v>
      </c>
      <c r="BO34" s="11">
        <v>1.0661764705882353</v>
      </c>
      <c r="BP34" s="11">
        <v>1.0357142857142858</v>
      </c>
      <c r="BQ34" s="11">
        <v>1.2403100775193798</v>
      </c>
      <c r="BR34" s="11">
        <v>0.9224806201550387</v>
      </c>
      <c r="BS34" s="11">
        <v>1.0989790130459445</v>
      </c>
      <c r="BT34" s="11">
        <v>1.0486111111111112</v>
      </c>
      <c r="BU34" s="11">
        <v>1.0609462710505213</v>
      </c>
      <c r="BV34" s="11">
        <v>1.0732323966173607</v>
      </c>
      <c r="BW34" s="11">
        <v>1.682972718720602</v>
      </c>
      <c r="BX34" s="11">
        <v>1.9769762087490406</v>
      </c>
      <c r="BY34" s="11">
        <v>1.0</v>
      </c>
      <c r="BZ34" s="11">
        <v>0.9132669072650244</v>
      </c>
      <c r="CA34" s="11">
        <v>1.417035567088994</v>
      </c>
      <c r="CB34" s="11">
        <v>1.2631549927908405</v>
      </c>
    </row>
    <row r="35" ht="15.75" customHeight="1">
      <c r="A35" s="9" t="s">
        <v>194</v>
      </c>
      <c r="B35" s="9" t="s">
        <v>0</v>
      </c>
      <c r="C35" s="11">
        <v>1.2200914080981144</v>
      </c>
      <c r="D35" s="11">
        <v>0.9222357229647631</v>
      </c>
      <c r="E35" s="11">
        <v>1.1215458414971962</v>
      </c>
      <c r="F35" s="11">
        <v>1.1486257210722768</v>
      </c>
      <c r="G35" s="11">
        <v>0.9983429991714996</v>
      </c>
      <c r="H35" s="11">
        <v>1.465579581708614</v>
      </c>
      <c r="I35" s="11">
        <v>1.1141400709219857</v>
      </c>
      <c r="J35" s="11">
        <v>1.009433962264151</v>
      </c>
      <c r="K35" s="11">
        <v>1.0861344537815125</v>
      </c>
      <c r="L35" s="11">
        <v>1.2071629213483146</v>
      </c>
      <c r="M35" s="11">
        <v>1.0261282660332542</v>
      </c>
      <c r="N35" s="11">
        <v>1.0190174326465926</v>
      </c>
      <c r="O35" s="11">
        <v>1.0199760287654813</v>
      </c>
      <c r="P35" s="11">
        <v>0.9047619047619048</v>
      </c>
      <c r="Q35" s="11">
        <v>0.9500772002058672</v>
      </c>
      <c r="R35" s="11">
        <v>0.9007936507936508</v>
      </c>
      <c r="S35" s="11">
        <v>2.4516740366392926</v>
      </c>
      <c r="T35" s="11">
        <v>0.8181818181818182</v>
      </c>
      <c r="U35" s="11">
        <v>1.1382660687593422</v>
      </c>
      <c r="V35" s="11">
        <v>1.1541353383458646</v>
      </c>
      <c r="W35" s="11">
        <v>1.5174178311356032</v>
      </c>
      <c r="X35" s="11">
        <v>6.357289527720739</v>
      </c>
      <c r="Y35" s="11">
        <v>0.8498966312028026</v>
      </c>
      <c r="Z35" s="11">
        <v>1.128874388254486</v>
      </c>
      <c r="AA35" s="11">
        <v>1.9884333612873621</v>
      </c>
      <c r="AB35" s="11">
        <v>2.2415123456790123</v>
      </c>
      <c r="AC35" s="11">
        <v>1.4802390098164746</v>
      </c>
      <c r="AD35" s="11">
        <v>1.7907344809394479</v>
      </c>
      <c r="AE35" s="11">
        <v>1.5530932594644506</v>
      </c>
      <c r="AF35" s="11">
        <v>1.6143497757847534</v>
      </c>
      <c r="AG35" s="11">
        <v>1.4944444444444445</v>
      </c>
      <c r="AH35" s="11">
        <v>1.1851851851851851</v>
      </c>
      <c r="AI35" s="11">
        <v>1.2509698597433603</v>
      </c>
      <c r="AJ35" s="11">
        <v>1.0251046025104602</v>
      </c>
      <c r="AK35" s="11">
        <v>2.073019801980198</v>
      </c>
      <c r="AL35" s="11">
        <v>1.0308880308880308</v>
      </c>
      <c r="AM35" s="11">
        <v>1.1922865013774104</v>
      </c>
      <c r="AN35" s="11">
        <v>1.063138905592303</v>
      </c>
      <c r="AO35" s="11">
        <v>1.4918367346938775</v>
      </c>
      <c r="AP35" s="11">
        <v>0.8233695652173914</v>
      </c>
      <c r="AQ35" s="11">
        <v>1.3072463768115943</v>
      </c>
      <c r="AR35" s="11">
        <v>1.3616010854816825</v>
      </c>
      <c r="AS35" s="11">
        <v>1.1630649506135888</v>
      </c>
      <c r="AT35" s="11">
        <v>0.925</v>
      </c>
      <c r="AU35" s="11">
        <v>1.4124513618677044</v>
      </c>
      <c r="AV35" s="11">
        <v>1.0</v>
      </c>
      <c r="AW35" s="11">
        <v>1.0696202531645569</v>
      </c>
      <c r="AX35" s="11">
        <v>1.0690690690690692</v>
      </c>
      <c r="AY35" s="11">
        <v>1.0596491228070175</v>
      </c>
      <c r="AZ35" s="11">
        <v>1.6897856242118536</v>
      </c>
      <c r="BA35" s="11">
        <v>1.141953277092797</v>
      </c>
      <c r="BB35" s="11">
        <v>1.1721311475409837</v>
      </c>
      <c r="BC35" s="11">
        <v>1.1214528173794975</v>
      </c>
      <c r="BD35" s="11">
        <v>1.1777522935779816</v>
      </c>
      <c r="BE35" s="11">
        <v>1.1388557806912991</v>
      </c>
      <c r="BF35" s="11">
        <v>1.4857142857142858</v>
      </c>
      <c r="BG35" s="11">
        <v>1.1161434977578475</v>
      </c>
      <c r="BH35" s="11">
        <v>1.1228197674418605</v>
      </c>
      <c r="BI35" s="11">
        <v>1.0025740025740026</v>
      </c>
      <c r="BJ35" s="11">
        <v>1.2088010776829816</v>
      </c>
      <c r="BK35" s="11">
        <v>1.0863464651915813</v>
      </c>
      <c r="BL35" s="11">
        <v>1.1292756539235413</v>
      </c>
      <c r="BM35" s="11">
        <v>1.12989921612542</v>
      </c>
      <c r="BN35" s="11">
        <v>0.8620689655172413</v>
      </c>
      <c r="BO35" s="11">
        <v>1.1448275862068966</v>
      </c>
      <c r="BP35" s="11">
        <v>1.7327586206896552</v>
      </c>
      <c r="BQ35" s="11">
        <v>1.3520833333333333</v>
      </c>
      <c r="BR35" s="11">
        <v>1.184873949579832</v>
      </c>
      <c r="BS35" s="11">
        <v>1.1378064516129032</v>
      </c>
      <c r="BT35" s="11">
        <v>1.1169977924944812</v>
      </c>
      <c r="BU35" s="11">
        <v>1.0710506424792139</v>
      </c>
      <c r="BV35" s="11">
        <v>1.0629010858086703</v>
      </c>
      <c r="BW35" s="11">
        <v>0.427054220234768</v>
      </c>
      <c r="BX35" s="11">
        <v>1.1824534161490683</v>
      </c>
      <c r="BY35" s="11">
        <v>4.5</v>
      </c>
      <c r="BZ35" s="11">
        <v>1.0100081611614622</v>
      </c>
      <c r="CA35" s="11">
        <v>1.2841753743401918</v>
      </c>
      <c r="CB35" s="11">
        <v>1.2961120762656377</v>
      </c>
    </row>
    <row r="36" ht="15.75" customHeight="1">
      <c r="A36" s="9" t="s">
        <v>195</v>
      </c>
      <c r="B36" s="9" t="s">
        <v>0</v>
      </c>
      <c r="C36" s="11">
        <v>1.0339394623898803</v>
      </c>
      <c r="D36" s="11">
        <v>0.8162055335968379</v>
      </c>
      <c r="E36" s="11">
        <v>1.0789156626506025</v>
      </c>
      <c r="F36" s="11">
        <v>0.8892171344165436</v>
      </c>
      <c r="G36" s="11">
        <v>1.121161825726141</v>
      </c>
      <c r="H36" s="11">
        <v>0.9985971362229102</v>
      </c>
      <c r="I36" s="11">
        <v>1.1766461110005968</v>
      </c>
      <c r="J36" s="11">
        <v>0.9158878504672897</v>
      </c>
      <c r="K36" s="11">
        <v>0.9613152804642167</v>
      </c>
      <c r="L36" s="11">
        <v>1.0157068062827226</v>
      </c>
      <c r="M36" s="11">
        <v>1.075</v>
      </c>
      <c r="N36" s="11">
        <v>0.9988335925349923</v>
      </c>
      <c r="O36" s="11">
        <v>0.9968664316490403</v>
      </c>
      <c r="P36" s="11">
        <v>1.263157894736842</v>
      </c>
      <c r="Q36" s="11">
        <v>1.0772257982282838</v>
      </c>
      <c r="R36" s="11">
        <v>1.0</v>
      </c>
      <c r="S36" s="11">
        <v>0.709482092244267</v>
      </c>
      <c r="T36" s="11">
        <v>1.5555555555555556</v>
      </c>
      <c r="U36" s="11">
        <v>0.9468154957321077</v>
      </c>
      <c r="V36" s="11">
        <v>0.6710097719869706</v>
      </c>
      <c r="W36" s="11">
        <v>0.9665369649805448</v>
      </c>
      <c r="X36" s="11">
        <v>1.5599160206718345</v>
      </c>
      <c r="Y36" s="11">
        <v>1.0656458199693872</v>
      </c>
      <c r="Z36" s="11">
        <v>0.9436416184971098</v>
      </c>
      <c r="AA36" s="11">
        <v>0.7735881337184782</v>
      </c>
      <c r="AB36" s="11">
        <v>0.7162738417225755</v>
      </c>
      <c r="AC36" s="11">
        <v>0.9112507929185168</v>
      </c>
      <c r="AD36" s="11">
        <v>0.8365594448324022</v>
      </c>
      <c r="AE36" s="11">
        <v>0.9571938168846611</v>
      </c>
      <c r="AF36" s="11">
        <v>0.9740740740740741</v>
      </c>
      <c r="AG36" s="11">
        <v>0.7843866171003717</v>
      </c>
      <c r="AH36" s="11">
        <v>2.125</v>
      </c>
      <c r="AI36" s="11">
        <v>0.915235368956743</v>
      </c>
      <c r="AJ36" s="11">
        <v>0.9102040816326531</v>
      </c>
      <c r="AK36" s="11">
        <v>0.7540298507462686</v>
      </c>
      <c r="AL36" s="11">
        <v>0.8651685393258427</v>
      </c>
      <c r="AM36" s="11">
        <v>1.0981977818853974</v>
      </c>
      <c r="AN36" s="11">
        <v>0.958710407239819</v>
      </c>
      <c r="AO36" s="11">
        <v>0.46238030095759236</v>
      </c>
      <c r="AP36" s="11">
        <v>0.8778877887788779</v>
      </c>
      <c r="AQ36" s="11">
        <v>0.8580931263858093</v>
      </c>
      <c r="AR36" s="11">
        <v>0.8276033881415047</v>
      </c>
      <c r="AS36" s="11">
        <v>0.9993823665654434</v>
      </c>
      <c r="AT36" s="11">
        <v>0.75</v>
      </c>
      <c r="AU36" s="11">
        <v>1.0964187327823691</v>
      </c>
      <c r="AV36" s="11">
        <v>1.03125</v>
      </c>
      <c r="AW36" s="11">
        <v>0.8806706114398422</v>
      </c>
      <c r="AX36" s="11">
        <v>1.0280898876404494</v>
      </c>
      <c r="AY36" s="11">
        <v>1.4205298013245033</v>
      </c>
      <c r="AZ36" s="11">
        <v>0.8701492537313433</v>
      </c>
      <c r="BA36" s="11">
        <v>0.9997869015485155</v>
      </c>
      <c r="BB36" s="11">
        <v>1.0146853146853148</v>
      </c>
      <c r="BC36" s="11">
        <v>1.1300926206186814</v>
      </c>
      <c r="BD36" s="11">
        <v>1.2687439143135346</v>
      </c>
      <c r="BE36" s="11">
        <v>1.1130298273155417</v>
      </c>
      <c r="BF36" s="11">
        <v>1.05</v>
      </c>
      <c r="BG36" s="11">
        <v>1.2290076335877862</v>
      </c>
      <c r="BH36" s="11">
        <v>0.9631067961165048</v>
      </c>
      <c r="BI36" s="11">
        <v>1.1480530594779632</v>
      </c>
      <c r="BJ36" s="11">
        <v>1.1006686478454681</v>
      </c>
      <c r="BK36" s="11">
        <v>1.0879284649776453</v>
      </c>
      <c r="BL36" s="11">
        <v>1.1501113585746103</v>
      </c>
      <c r="BM36" s="11">
        <v>1.160334764893734</v>
      </c>
      <c r="BN36" s="11">
        <v>0.9714285714285714</v>
      </c>
      <c r="BO36" s="11">
        <v>1.1385542168674698</v>
      </c>
      <c r="BP36" s="11">
        <v>0.9402985074626866</v>
      </c>
      <c r="BQ36" s="11">
        <v>1.081664098613251</v>
      </c>
      <c r="BR36" s="11">
        <v>1.297872340425532</v>
      </c>
      <c r="BS36" s="11">
        <v>1.1063733272850986</v>
      </c>
      <c r="BT36" s="11">
        <v>1.1422924901185771</v>
      </c>
      <c r="BU36" s="11">
        <v>1.287226534932957</v>
      </c>
      <c r="BV36" s="11">
        <v>1.0519692260661333</v>
      </c>
      <c r="BW36" s="11">
        <v>0.806282722513089</v>
      </c>
      <c r="BX36" s="11">
        <v>0.6602101116217991</v>
      </c>
      <c r="BY36" s="11">
        <v>1.2222222222222223</v>
      </c>
      <c r="BZ36" s="11">
        <v>1.205792293952539</v>
      </c>
      <c r="CA36" s="11">
        <v>0.864273131448704</v>
      </c>
      <c r="CB36" s="11">
        <v>0.9392637695899559</v>
      </c>
    </row>
    <row r="37" ht="15.75" customHeight="1">
      <c r="A37" s="9" t="s">
        <v>161</v>
      </c>
      <c r="B37" s="9" t="s">
        <v>196</v>
      </c>
      <c r="C37" s="11">
        <v>1.1415038484310243</v>
      </c>
      <c r="D37" s="11">
        <v>0.9805194805194806</v>
      </c>
      <c r="E37" s="11">
        <v>1.2</v>
      </c>
      <c r="F37" s="11">
        <v>1.0666666666666667</v>
      </c>
      <c r="G37" s="11">
        <v>1.0862068965517242</v>
      </c>
      <c r="H37" s="11">
        <v>1.2463768115942029</v>
      </c>
      <c r="I37" s="11">
        <v>1.3397435897435896</v>
      </c>
      <c r="J37" s="11">
        <v>1.3243243243243243</v>
      </c>
      <c r="K37" s="11">
        <v>0.9944289693593314</v>
      </c>
      <c r="L37" s="11">
        <v>1.1166666666666667</v>
      </c>
      <c r="M37" s="11">
        <v>1.3163841807909604</v>
      </c>
      <c r="N37" s="11">
        <v>1.0517711171662125</v>
      </c>
      <c r="O37" s="11">
        <v>1.128787878787879</v>
      </c>
      <c r="P37" s="11">
        <v>0.8543689320388349</v>
      </c>
      <c r="Q37" s="11">
        <v>1.0592885375494072</v>
      </c>
      <c r="R37" s="11">
        <v>0.7692307692307693</v>
      </c>
      <c r="S37" s="11">
        <v>0.7674418604651163</v>
      </c>
      <c r="T37" s="11">
        <v>0.9279279279279279</v>
      </c>
      <c r="U37" s="11">
        <v>1.1821946169772257</v>
      </c>
      <c r="V37" s="11">
        <v>1.0301724137931034</v>
      </c>
      <c r="W37" s="11">
        <v>0.8594594594594595</v>
      </c>
      <c r="X37" s="11">
        <v>0.9624060150375939</v>
      </c>
      <c r="Y37" s="11">
        <v>1.4567901234567902</v>
      </c>
      <c r="Z37" s="11">
        <v>1.1442307692307692</v>
      </c>
      <c r="AA37" s="11">
        <v>1.55562095350206</v>
      </c>
      <c r="AB37" s="11">
        <v>7.666666666666667</v>
      </c>
      <c r="AC37" s="11">
        <v>1.5428233904311872</v>
      </c>
      <c r="AD37" s="11">
        <v>2.6666666666666665</v>
      </c>
      <c r="AE37" s="11">
        <v>1.1428571428571428</v>
      </c>
      <c r="AF37" s="11">
        <v>0.0</v>
      </c>
      <c r="AG37" s="11">
        <v>1.1382978723404256</v>
      </c>
      <c r="AH37" s="11">
        <v>1.0909090909090908</v>
      </c>
      <c r="AI37" s="11">
        <v>1.1171403962101636</v>
      </c>
      <c r="AJ37" s="11">
        <v>0.9581911262798635</v>
      </c>
      <c r="AK37" s="11">
        <v>1.2794612794612794</v>
      </c>
      <c r="AL37" s="11">
        <v>1.165</v>
      </c>
      <c r="AM37" s="11">
        <v>1.0756914119359535</v>
      </c>
      <c r="AN37" s="11">
        <v>1.211111111111111</v>
      </c>
      <c r="AO37" s="11">
        <v>1.327485380116959</v>
      </c>
      <c r="AP37" s="11">
        <v>1.170854271356784</v>
      </c>
      <c r="AQ37" s="11">
        <v>1.147268408551069</v>
      </c>
      <c r="AR37" s="11">
        <v>1.1221804511278195</v>
      </c>
      <c r="AS37" s="11">
        <v>1.179892724522074</v>
      </c>
      <c r="AT37" s="11">
        <v>0.9733333333333334</v>
      </c>
      <c r="AU37" s="11">
        <v>1.181964573268921</v>
      </c>
      <c r="AV37" s="11">
        <v>1.1355140186915889</v>
      </c>
      <c r="AW37" s="11">
        <v>1.1072607260726073</v>
      </c>
      <c r="AX37" s="11">
        <v>1.0701203558346415</v>
      </c>
      <c r="AY37" s="11">
        <v>1.2180790960451977</v>
      </c>
      <c r="AZ37" s="11">
        <v>1.3654708520179373</v>
      </c>
      <c r="BA37" s="11">
        <v>1.393939393939394</v>
      </c>
      <c r="BB37" s="11">
        <v>1.2479338842975207</v>
      </c>
      <c r="BC37" s="11">
        <v>1.3117100995414384</v>
      </c>
      <c r="BD37" s="11">
        <v>1.1041852181656278</v>
      </c>
      <c r="BE37" s="11">
        <v>1.2914124824026278</v>
      </c>
      <c r="BF37" s="11">
        <v>1.0960451977401129</v>
      </c>
      <c r="BG37" s="11">
        <v>1.2429062768701633</v>
      </c>
      <c r="BH37" s="11">
        <v>1.2180062090375992</v>
      </c>
      <c r="BI37" s="11">
        <v>1.218405703175632</v>
      </c>
      <c r="BJ37" s="11">
        <v>1.184365115228197</v>
      </c>
      <c r="BK37" s="11">
        <v>1.4010903426791277</v>
      </c>
      <c r="BL37" s="11">
        <v>1.912560721721027</v>
      </c>
      <c r="BM37" s="11">
        <v>1.1433126363483805</v>
      </c>
      <c r="BN37" s="11">
        <v>1.206896551724138</v>
      </c>
      <c r="BO37" s="11">
        <v>1.350597609561753</v>
      </c>
      <c r="BP37" s="11">
        <v>1.2285714285714286</v>
      </c>
      <c r="BQ37" s="11">
        <v>1.2114285714285715</v>
      </c>
      <c r="BR37" s="11">
        <v>1.125</v>
      </c>
      <c r="BS37" s="11">
        <v>1.1460221550855991</v>
      </c>
      <c r="BT37" s="11">
        <v>1.056356487549148</v>
      </c>
      <c r="BU37" s="11">
        <v>1.1234474971772677</v>
      </c>
      <c r="BV37" s="11">
        <v>0.77431906614786</v>
      </c>
      <c r="BW37" s="11">
        <v>0.6962566844919786</v>
      </c>
      <c r="BX37" s="11">
        <v>1.4705882352941178</v>
      </c>
      <c r="BY37" s="11">
        <v>0.0</v>
      </c>
      <c r="BZ37" s="11">
        <v>1.8173076923076923</v>
      </c>
      <c r="CA37" s="11">
        <v>0.5545851528384279</v>
      </c>
      <c r="CB37" s="11">
        <v>1.2191706546594687</v>
      </c>
    </row>
    <row r="38" ht="15.75" customHeight="1">
      <c r="A38" s="9" t="s">
        <v>162</v>
      </c>
      <c r="B38" s="9" t="s">
        <v>196</v>
      </c>
      <c r="C38" s="11">
        <v>0.9932572614107884</v>
      </c>
      <c r="D38" s="11">
        <v>0.8013245033112583</v>
      </c>
      <c r="E38" s="11">
        <v>0.9333333333333333</v>
      </c>
      <c r="F38" s="11">
        <v>1.1979166666666667</v>
      </c>
      <c r="G38" s="11">
        <v>0.9931972789115646</v>
      </c>
      <c r="H38" s="11">
        <v>1.1744186046511629</v>
      </c>
      <c r="I38" s="11">
        <v>0.9282296650717703</v>
      </c>
      <c r="J38" s="11">
        <v>1.2448979591836735</v>
      </c>
      <c r="K38" s="11">
        <v>0.8851540616246498</v>
      </c>
      <c r="L38" s="11">
        <v>1.0298507462686568</v>
      </c>
      <c r="M38" s="11">
        <v>1.1931330472103003</v>
      </c>
      <c r="N38" s="11">
        <v>1.044041450777202</v>
      </c>
      <c r="O38" s="11">
        <v>1.0100671140939597</v>
      </c>
      <c r="P38" s="11">
        <v>1.1590909090909092</v>
      </c>
      <c r="Q38" s="11">
        <v>0.8737562189054726</v>
      </c>
      <c r="R38" s="11">
        <v>1.4</v>
      </c>
      <c r="S38" s="11">
        <v>1.606060606060606</v>
      </c>
      <c r="T38" s="11">
        <v>0.8058252427184466</v>
      </c>
      <c r="U38" s="11">
        <v>0.7985989492119089</v>
      </c>
      <c r="V38" s="11">
        <v>0.8661087866108786</v>
      </c>
      <c r="W38" s="11">
        <v>0.8867924528301887</v>
      </c>
      <c r="X38" s="11">
        <v>0.7265625</v>
      </c>
      <c r="Y38" s="11">
        <v>1.2542372881355932</v>
      </c>
      <c r="Z38" s="11">
        <v>0.9831932773109243</v>
      </c>
      <c r="AA38" s="11">
        <v>1.0616723420355656</v>
      </c>
      <c r="AB38" s="11">
        <v>0.13043478260869565</v>
      </c>
      <c r="AC38" s="11">
        <v>1.0669984686064318</v>
      </c>
      <c r="AD38" s="11">
        <v>2.0</v>
      </c>
      <c r="AE38" s="11">
        <v>1.0166666666666666</v>
      </c>
      <c r="AF38" s="11">
        <v>0.0</v>
      </c>
      <c r="AG38" s="11">
        <v>1.02803738317757</v>
      </c>
      <c r="AH38" s="11">
        <v>1.0</v>
      </c>
      <c r="AI38" s="11">
        <v>0.9886276021588281</v>
      </c>
      <c r="AJ38" s="11">
        <v>0.8762243989314337</v>
      </c>
      <c r="AK38" s="11">
        <v>0.9144736842105263</v>
      </c>
      <c r="AL38" s="11">
        <v>0.9828326180257511</v>
      </c>
      <c r="AM38" s="11">
        <v>1.2232746955345062</v>
      </c>
      <c r="AN38" s="11">
        <v>1.036697247706422</v>
      </c>
      <c r="AO38" s="11">
        <v>1.1497797356828194</v>
      </c>
      <c r="AP38" s="11">
        <v>0.876967095851216</v>
      </c>
      <c r="AQ38" s="11">
        <v>0.9503105590062112</v>
      </c>
      <c r="AR38" s="11">
        <v>1.0804020100502512</v>
      </c>
      <c r="AS38" s="11">
        <v>0.889031355635855</v>
      </c>
      <c r="AT38" s="11">
        <v>0.8767123287671232</v>
      </c>
      <c r="AU38" s="11">
        <v>0.9577656675749319</v>
      </c>
      <c r="AV38" s="11">
        <v>0.9094650205761317</v>
      </c>
      <c r="AW38" s="11">
        <v>0.9351713859910581</v>
      </c>
      <c r="AX38" s="11">
        <v>0.9075794621026895</v>
      </c>
      <c r="AY38" s="11">
        <v>0.9239332096474954</v>
      </c>
      <c r="AZ38" s="11">
        <v>0.6847290640394089</v>
      </c>
      <c r="BA38" s="11">
        <v>0.9009661835748792</v>
      </c>
      <c r="BB38" s="11">
        <v>0.927888153053716</v>
      </c>
      <c r="BC38" s="11">
        <v>0.9541695088676672</v>
      </c>
      <c r="BD38" s="11">
        <v>1.0975806451612904</v>
      </c>
      <c r="BE38" s="11">
        <v>0.8888081395348837</v>
      </c>
      <c r="BF38" s="11">
        <v>0.9123711340206185</v>
      </c>
      <c r="BG38" s="11">
        <v>0.9647180906260809</v>
      </c>
      <c r="BH38" s="11">
        <v>0.9804587935429057</v>
      </c>
      <c r="BI38" s="11">
        <v>0.9457446808510638</v>
      </c>
      <c r="BJ38" s="11">
        <v>0.9977107974055703</v>
      </c>
      <c r="BK38" s="11">
        <v>0.8940151936260886</v>
      </c>
      <c r="BL38" s="11">
        <v>0.9981857764876633</v>
      </c>
      <c r="BM38" s="11">
        <v>1.0154117129018054</v>
      </c>
      <c r="BN38" s="11">
        <v>0.9928571428571429</v>
      </c>
      <c r="BO38" s="11">
        <v>0.9262536873156342</v>
      </c>
      <c r="BP38" s="11">
        <v>0.9720930232558139</v>
      </c>
      <c r="BQ38" s="11">
        <v>1.0778301886792452</v>
      </c>
      <c r="BR38" s="11">
        <v>1.0497076023391814</v>
      </c>
      <c r="BS38" s="11">
        <v>1.0149384885764499</v>
      </c>
      <c r="BT38" s="11">
        <v>0.9751861042183623</v>
      </c>
      <c r="BU38" s="11">
        <v>1.0190954773869347</v>
      </c>
      <c r="BV38" s="11">
        <v>1.0974874371859296</v>
      </c>
      <c r="BW38" s="11">
        <v>0.7572964669738863</v>
      </c>
      <c r="BX38" s="11">
        <v>1.12</v>
      </c>
      <c r="BY38" s="11">
        <v>2.3333333333333335</v>
      </c>
      <c r="BZ38" s="11">
        <v>2.259259259259259</v>
      </c>
      <c r="CA38" s="11">
        <v>1.078740157480315</v>
      </c>
      <c r="CB38" s="11">
        <v>0.9629128316188413</v>
      </c>
    </row>
    <row r="39" ht="15.75" customHeight="1">
      <c r="A39" s="9" t="s">
        <v>163</v>
      </c>
      <c r="B39" s="9" t="s">
        <v>196</v>
      </c>
      <c r="C39" s="11">
        <v>1.0490861618798955</v>
      </c>
      <c r="D39" s="11">
        <v>0.512396694214876</v>
      </c>
      <c r="E39" s="11">
        <v>1.4285714285714286</v>
      </c>
      <c r="F39" s="11">
        <v>1.1565217391304348</v>
      </c>
      <c r="G39" s="11">
        <v>1.0342465753424657</v>
      </c>
      <c r="H39" s="11">
        <v>1.0693069306930694</v>
      </c>
      <c r="I39" s="11">
        <v>1.115979381443299</v>
      </c>
      <c r="J39" s="11">
        <v>0.9344262295081968</v>
      </c>
      <c r="K39" s="11">
        <v>0.9810126582278481</v>
      </c>
      <c r="L39" s="11">
        <v>1.2318840579710144</v>
      </c>
      <c r="M39" s="11">
        <v>1.1798561151079137</v>
      </c>
      <c r="N39" s="11">
        <v>0.9627791563275434</v>
      </c>
      <c r="O39" s="11">
        <v>0.9501661129568106</v>
      </c>
      <c r="P39" s="11">
        <v>1.0</v>
      </c>
      <c r="Q39" s="11">
        <v>0.8505338078291815</v>
      </c>
      <c r="R39" s="11">
        <v>0.6428571428571429</v>
      </c>
      <c r="S39" s="11">
        <v>1.0943396226415094</v>
      </c>
      <c r="T39" s="11">
        <v>0.9518072289156626</v>
      </c>
      <c r="U39" s="11">
        <v>0.9583333333333334</v>
      </c>
      <c r="V39" s="11">
        <v>0.6280193236714976</v>
      </c>
      <c r="W39" s="11">
        <v>0.950354609929078</v>
      </c>
      <c r="X39" s="11">
        <v>0.6612903225806451</v>
      </c>
      <c r="Y39" s="11">
        <v>0.777027027027027</v>
      </c>
      <c r="Z39" s="11">
        <v>0.9401709401709402</v>
      </c>
      <c r="AA39" s="11">
        <v>1.0509622238061298</v>
      </c>
      <c r="AB39" s="11">
        <v>1.3333333333333333</v>
      </c>
      <c r="AC39" s="11">
        <v>1.0541801219949767</v>
      </c>
      <c r="AD39" s="11">
        <v>0.4375</v>
      </c>
      <c r="AE39" s="11">
        <v>1.1229508196721312</v>
      </c>
      <c r="AF39" s="11">
        <v>0.0</v>
      </c>
      <c r="AG39" s="11">
        <v>1.1272727272727272</v>
      </c>
      <c r="AH39" s="11">
        <v>1.0833333333333333</v>
      </c>
      <c r="AI39" s="11">
        <v>1.0239812829011503</v>
      </c>
      <c r="AJ39" s="11">
        <v>1.0609756097560976</v>
      </c>
      <c r="AK39" s="11">
        <v>1.033093525179856</v>
      </c>
      <c r="AL39" s="11">
        <v>1.0698689956331877</v>
      </c>
      <c r="AM39" s="11">
        <v>1.0365044247787611</v>
      </c>
      <c r="AN39" s="11">
        <v>1.0324483775811208</v>
      </c>
      <c r="AO39" s="11">
        <v>1.0881226053639848</v>
      </c>
      <c r="AP39" s="11">
        <v>0.9820554649265906</v>
      </c>
      <c r="AQ39" s="11">
        <v>0.9891067538126361</v>
      </c>
      <c r="AR39" s="11">
        <v>0.958139534883721</v>
      </c>
      <c r="AS39" s="11">
        <v>0.9931821161662515</v>
      </c>
      <c r="AT39" s="11">
        <v>0.921875</v>
      </c>
      <c r="AU39" s="11">
        <v>1.0014224751066856</v>
      </c>
      <c r="AV39" s="11">
        <v>1.0180995475113122</v>
      </c>
      <c r="AW39" s="11">
        <v>0.9633466135458167</v>
      </c>
      <c r="AX39" s="11">
        <v>1.027478448275862</v>
      </c>
      <c r="AY39" s="11">
        <v>0.928714859437751</v>
      </c>
      <c r="AZ39" s="11">
        <v>1.0731414868105515</v>
      </c>
      <c r="BA39" s="11">
        <v>0.9946380697050938</v>
      </c>
      <c r="BB39" s="11">
        <v>0.9682791435368755</v>
      </c>
      <c r="BC39" s="11">
        <v>0.9778830257807962</v>
      </c>
      <c r="BD39" s="11">
        <v>0.9632623071271125</v>
      </c>
      <c r="BE39" s="11">
        <v>0.8270645952575634</v>
      </c>
      <c r="BF39" s="11">
        <v>0.8898305084745762</v>
      </c>
      <c r="BG39" s="11">
        <v>0.9910362136966655</v>
      </c>
      <c r="BH39" s="11">
        <v>0.9838243789716926</v>
      </c>
      <c r="BI39" s="11">
        <v>1.0253093363329584</v>
      </c>
      <c r="BJ39" s="11">
        <v>1.011472275334608</v>
      </c>
      <c r="BK39" s="11">
        <v>0.8870466321243523</v>
      </c>
      <c r="BL39" s="11">
        <v>1.2064703744093057</v>
      </c>
      <c r="BM39" s="11">
        <v>1.0524718126626194</v>
      </c>
      <c r="BN39" s="11">
        <v>1.1079136690647482</v>
      </c>
      <c r="BO39" s="11">
        <v>0.9585987261146497</v>
      </c>
      <c r="BP39" s="11">
        <v>1.0574162679425838</v>
      </c>
      <c r="BQ39" s="11">
        <v>1.12363238512035</v>
      </c>
      <c r="BR39" s="11">
        <v>1.0696378830083566</v>
      </c>
      <c r="BS39" s="11">
        <v>1.0744588744588746</v>
      </c>
      <c r="BT39" s="11">
        <v>1.008905852417303</v>
      </c>
      <c r="BU39" s="11">
        <v>1.0387902695595004</v>
      </c>
      <c r="BV39" s="11">
        <v>0.9139194139194139</v>
      </c>
      <c r="BW39" s="11">
        <v>0.056795131845841784</v>
      </c>
      <c r="BX39" s="11">
        <v>0.39285714285714285</v>
      </c>
      <c r="BY39" s="11">
        <v>0.0</v>
      </c>
      <c r="BZ39" s="11">
        <v>2.028103044496487</v>
      </c>
      <c r="CA39" s="11">
        <v>0.6788321167883211</v>
      </c>
      <c r="CB39" s="11">
        <v>0.9974296156472148</v>
      </c>
    </row>
    <row r="40" ht="15.75" customHeight="1">
      <c r="A40" s="9" t="s">
        <v>164</v>
      </c>
      <c r="B40" s="9" t="s">
        <v>196</v>
      </c>
      <c r="C40" s="11">
        <v>1.0691886510701842</v>
      </c>
      <c r="D40" s="11">
        <v>0.9516129032258065</v>
      </c>
      <c r="E40" s="11">
        <v>0.975</v>
      </c>
      <c r="F40" s="11">
        <v>1.1428571428571428</v>
      </c>
      <c r="G40" s="11">
        <v>1.0662251655629138</v>
      </c>
      <c r="H40" s="11">
        <v>1.212962962962963</v>
      </c>
      <c r="I40" s="11">
        <v>1.0969976905311778</v>
      </c>
      <c r="J40" s="11">
        <v>1.280701754385965</v>
      </c>
      <c r="K40" s="11">
        <v>1.0580645161290323</v>
      </c>
      <c r="L40" s="11">
        <v>0.8235294117647058</v>
      </c>
      <c r="M40" s="11">
        <v>1.0304878048780488</v>
      </c>
      <c r="N40" s="11">
        <v>1.056701030927835</v>
      </c>
      <c r="O40" s="11">
        <v>1.0594405594405594</v>
      </c>
      <c r="P40" s="11">
        <v>1.0490196078431373</v>
      </c>
      <c r="Q40" s="11">
        <v>1.18744769874477</v>
      </c>
      <c r="R40" s="11">
        <v>0.0</v>
      </c>
      <c r="S40" s="11">
        <v>1.0</v>
      </c>
      <c r="T40" s="11">
        <v>1.1772151898734178</v>
      </c>
      <c r="U40" s="11">
        <v>1.1807780320366132</v>
      </c>
      <c r="V40" s="11">
        <v>1.176923076923077</v>
      </c>
      <c r="W40" s="11">
        <v>1.0597014925373134</v>
      </c>
      <c r="X40" s="11">
        <v>1.2520325203252032</v>
      </c>
      <c r="Y40" s="11">
        <v>1.4782608695652173</v>
      </c>
      <c r="Z40" s="11">
        <v>1.209090909090909</v>
      </c>
      <c r="AA40" s="11">
        <v>1.0993557138012886</v>
      </c>
      <c r="AB40" s="11">
        <v>1.25</v>
      </c>
      <c r="AC40" s="11">
        <v>1.0966643975493533</v>
      </c>
      <c r="AD40" s="11">
        <v>2.142857142857143</v>
      </c>
      <c r="AE40" s="11">
        <v>1.27007299270073</v>
      </c>
      <c r="AF40" s="11">
        <v>0.0</v>
      </c>
      <c r="AG40" s="11">
        <v>1.2580645161290323</v>
      </c>
      <c r="AH40" s="11">
        <v>1.3846153846153846</v>
      </c>
      <c r="AI40" s="11">
        <v>1.1843107387661842</v>
      </c>
      <c r="AJ40" s="11">
        <v>1.2298850574712643</v>
      </c>
      <c r="AK40" s="11">
        <v>0.9749303621169917</v>
      </c>
      <c r="AL40" s="11">
        <v>1.2448979591836735</v>
      </c>
      <c r="AM40" s="11">
        <v>1.360725720384205</v>
      </c>
      <c r="AN40" s="11">
        <v>1.2514285714285713</v>
      </c>
      <c r="AO40" s="11">
        <v>1.091549295774648</v>
      </c>
      <c r="AP40" s="11">
        <v>1.079734219269103</v>
      </c>
      <c r="AQ40" s="11">
        <v>1.169603524229075</v>
      </c>
      <c r="AR40" s="11">
        <v>1.1763754045307444</v>
      </c>
      <c r="AS40" s="11">
        <v>1.1132673267326734</v>
      </c>
      <c r="AT40" s="11">
        <v>1.11864406779661</v>
      </c>
      <c r="AU40" s="11">
        <v>1.109375</v>
      </c>
      <c r="AV40" s="11">
        <v>1.0888888888888888</v>
      </c>
      <c r="AW40" s="11">
        <v>1.1472291149710505</v>
      </c>
      <c r="AX40" s="11">
        <v>1.0959622443628736</v>
      </c>
      <c r="AY40" s="11">
        <v>1.107027027027027</v>
      </c>
      <c r="AZ40" s="11">
        <v>0.9564245810055866</v>
      </c>
      <c r="BA40" s="11">
        <v>1.1859838274932615</v>
      </c>
      <c r="BB40" s="11">
        <v>1.2104832104832104</v>
      </c>
      <c r="BC40" s="11">
        <v>1.08434615736087</v>
      </c>
      <c r="BD40" s="11">
        <v>1.0259344012204423</v>
      </c>
      <c r="BE40" s="11">
        <v>1.161641127039051</v>
      </c>
      <c r="BF40" s="11">
        <v>0.9968253968253968</v>
      </c>
      <c r="BG40" s="11">
        <v>1.0463096960926195</v>
      </c>
      <c r="BH40" s="11">
        <v>1.159424544920728</v>
      </c>
      <c r="BI40" s="11">
        <v>1.2002194185408668</v>
      </c>
      <c r="BJ40" s="11">
        <v>1.16937618147448</v>
      </c>
      <c r="BK40" s="11">
        <v>1.302803738317757</v>
      </c>
      <c r="BL40" s="11">
        <v>0.6101235311840916</v>
      </c>
      <c r="BM40" s="11">
        <v>1.169482213981596</v>
      </c>
      <c r="BN40" s="11">
        <v>1.077922077922078</v>
      </c>
      <c r="BO40" s="11">
        <v>1.1362126245847175</v>
      </c>
      <c r="BP40" s="11">
        <v>1.2352941176470589</v>
      </c>
      <c r="BQ40" s="11">
        <v>1.1762414800389485</v>
      </c>
      <c r="BR40" s="11">
        <v>1.2526041666666667</v>
      </c>
      <c r="BS40" s="11">
        <v>1.1635777598710717</v>
      </c>
      <c r="BT40" s="11">
        <v>1.1740226986128626</v>
      </c>
      <c r="BU40" s="11">
        <v>1.1613924050632911</v>
      </c>
      <c r="BV40" s="11">
        <v>1.2004008016032064</v>
      </c>
      <c r="BW40" s="11">
        <v>0.9642857142857143</v>
      </c>
      <c r="BX40" s="11">
        <v>0.09090909090909091</v>
      </c>
      <c r="BY40" s="11">
        <v>0.0</v>
      </c>
      <c r="BZ40" s="11">
        <v>1.2748267898383372</v>
      </c>
      <c r="CA40" s="11">
        <v>0.7096774193548387</v>
      </c>
      <c r="CB40" s="11">
        <v>1.1171934769478558</v>
      </c>
    </row>
    <row r="41" ht="15.75" customHeight="1">
      <c r="A41" s="9" t="s">
        <v>165</v>
      </c>
      <c r="B41" s="9" t="s">
        <v>196</v>
      </c>
      <c r="C41" s="11">
        <v>1.1084729981378025</v>
      </c>
      <c r="D41" s="11">
        <v>1.1016949152542372</v>
      </c>
      <c r="E41" s="11">
        <v>1.0</v>
      </c>
      <c r="F41" s="11">
        <v>1.0460526315789473</v>
      </c>
      <c r="G41" s="11">
        <v>1.113871635610766</v>
      </c>
      <c r="H41" s="11">
        <v>1.0610687022900764</v>
      </c>
      <c r="I41" s="11">
        <v>1.0547368421052632</v>
      </c>
      <c r="J41" s="11">
        <v>1.0</v>
      </c>
      <c r="K41" s="11">
        <v>1.0914634146341464</v>
      </c>
      <c r="L41" s="11">
        <v>1.2428571428571429</v>
      </c>
      <c r="M41" s="11">
        <v>1.2485207100591715</v>
      </c>
      <c r="N41" s="11">
        <v>1.1</v>
      </c>
      <c r="O41" s="11">
        <v>1.0495049504950495</v>
      </c>
      <c r="P41" s="11">
        <v>1.2429906542056075</v>
      </c>
      <c r="Q41" s="11">
        <v>1.0909090909090908</v>
      </c>
      <c r="R41" s="11">
        <v>0.0</v>
      </c>
      <c r="S41" s="11">
        <v>1.1206896551724137</v>
      </c>
      <c r="T41" s="11">
        <v>1.1935483870967742</v>
      </c>
      <c r="U41" s="11">
        <v>1.2635658914728682</v>
      </c>
      <c r="V41" s="11">
        <v>0.9215686274509803</v>
      </c>
      <c r="W41" s="11">
        <v>1.0774647887323943</v>
      </c>
      <c r="X41" s="11">
        <v>0.9025974025974026</v>
      </c>
      <c r="Y41" s="11">
        <v>0.7529411764705882</v>
      </c>
      <c r="Z41" s="11">
        <v>1.1654135338345866</v>
      </c>
      <c r="AA41" s="11">
        <v>1.1779765576804442</v>
      </c>
      <c r="AB41" s="11">
        <v>3.2</v>
      </c>
      <c r="AC41" s="11">
        <v>1.1734947237740534</v>
      </c>
      <c r="AD41" s="11">
        <v>1.4666666666666666</v>
      </c>
      <c r="AE41" s="11">
        <v>1.1264367816091954</v>
      </c>
      <c r="AF41" s="11">
        <v>0.0</v>
      </c>
      <c r="AG41" s="11">
        <v>1.1474358974358974</v>
      </c>
      <c r="AH41" s="11">
        <v>0.9444444444444444</v>
      </c>
      <c r="AI41" s="11">
        <v>1.1001607717041801</v>
      </c>
      <c r="AJ41" s="11">
        <v>1.161214953271028</v>
      </c>
      <c r="AK41" s="11">
        <v>0.8314285714285714</v>
      </c>
      <c r="AL41" s="11">
        <v>1.098360655737705</v>
      </c>
      <c r="AM41" s="11">
        <v>1.0925490196078431</v>
      </c>
      <c r="AN41" s="11">
        <v>1.1210045662100456</v>
      </c>
      <c r="AO41" s="11">
        <v>1.2129032258064516</v>
      </c>
      <c r="AP41" s="11">
        <v>1.12</v>
      </c>
      <c r="AQ41" s="11">
        <v>1.1412429378531073</v>
      </c>
      <c r="AR41" s="11">
        <v>1.156808803301238</v>
      </c>
      <c r="AS41" s="11">
        <v>1.0834815605359895</v>
      </c>
      <c r="AT41" s="11">
        <v>1.0378787878787878</v>
      </c>
      <c r="AU41" s="11">
        <v>1.1306017925736236</v>
      </c>
      <c r="AV41" s="11">
        <v>1.1183673469387756</v>
      </c>
      <c r="AW41" s="11">
        <v>1.0706560922855084</v>
      </c>
      <c r="AX41" s="11">
        <v>1.0564593301435408</v>
      </c>
      <c r="AY41" s="11">
        <v>1.013671875</v>
      </c>
      <c r="AZ41" s="11">
        <v>1.2126168224299065</v>
      </c>
      <c r="BA41" s="11">
        <v>1.0818181818181818</v>
      </c>
      <c r="BB41" s="11">
        <v>1.081190798376184</v>
      </c>
      <c r="BC41" s="11">
        <v>1.1581830439912355</v>
      </c>
      <c r="BD41" s="11">
        <v>1.237918215613383</v>
      </c>
      <c r="BE41" s="11">
        <v>1.1561702127659574</v>
      </c>
      <c r="BF41" s="11">
        <v>1.0318471337579618</v>
      </c>
      <c r="BG41" s="11">
        <v>1.184301521438451</v>
      </c>
      <c r="BH41" s="11">
        <v>1.158774373259053</v>
      </c>
      <c r="BI41" s="11">
        <v>1.1371115173674589</v>
      </c>
      <c r="BJ41" s="11">
        <v>1.2130617523440026</v>
      </c>
      <c r="BK41" s="11">
        <v>1.2006814921090387</v>
      </c>
      <c r="BL41" s="11">
        <v>0.9106172839506173</v>
      </c>
      <c r="BM41" s="11">
        <v>1.1064004697592484</v>
      </c>
      <c r="BN41" s="11">
        <v>1.0963855421686748</v>
      </c>
      <c r="BO41" s="11">
        <v>1.0789473684210527</v>
      </c>
      <c r="BP41" s="11">
        <v>0.9963369963369964</v>
      </c>
      <c r="BQ41" s="11">
        <v>1.2036423841059603</v>
      </c>
      <c r="BR41" s="11">
        <v>1.0706860706860706</v>
      </c>
      <c r="BS41" s="11">
        <v>1.1412742382271468</v>
      </c>
      <c r="BT41" s="11">
        <v>1.099892588614393</v>
      </c>
      <c r="BU41" s="11">
        <v>1.0782016348773842</v>
      </c>
      <c r="BV41" s="11">
        <v>0.9257095158597662</v>
      </c>
      <c r="BW41" s="11">
        <v>1.3703703703703705</v>
      </c>
      <c r="BX41" s="11">
        <v>1.0</v>
      </c>
      <c r="BY41" s="11">
        <v>0.0</v>
      </c>
      <c r="BZ41" s="11">
        <v>0.9085144927536232</v>
      </c>
      <c r="CA41" s="11">
        <v>1.0303030303030303</v>
      </c>
      <c r="CB41" s="11">
        <v>1.1243444882953992</v>
      </c>
    </row>
    <row r="42" ht="15.75" customHeight="1">
      <c r="A42" s="9" t="s">
        <v>166</v>
      </c>
      <c r="B42" s="9" t="s">
        <v>196</v>
      </c>
      <c r="C42" s="11">
        <v>1.0848383032339353</v>
      </c>
      <c r="D42" s="11">
        <v>1.2461538461538462</v>
      </c>
      <c r="E42" s="11">
        <v>1.0769230769230769</v>
      </c>
      <c r="F42" s="11">
        <v>1.0125786163522013</v>
      </c>
      <c r="G42" s="11">
        <v>1.0817843866171004</v>
      </c>
      <c r="H42" s="11">
        <v>1.064748201438849</v>
      </c>
      <c r="I42" s="11">
        <v>1.0059880239520957</v>
      </c>
      <c r="J42" s="11">
        <v>1.0273972602739727</v>
      </c>
      <c r="K42" s="11">
        <v>1.2206703910614525</v>
      </c>
      <c r="L42" s="11">
        <v>1.2298850574712643</v>
      </c>
      <c r="M42" s="11">
        <v>1.0568720379146919</v>
      </c>
      <c r="N42" s="11">
        <v>1.1108647450110865</v>
      </c>
      <c r="O42" s="11">
        <v>1.0628930817610063</v>
      </c>
      <c r="P42" s="11">
        <v>1.2255639097744362</v>
      </c>
      <c r="Q42" s="11">
        <v>1.065891472868217</v>
      </c>
      <c r="R42" s="11">
        <v>1.0</v>
      </c>
      <c r="S42" s="11">
        <v>1.6153846153846154</v>
      </c>
      <c r="T42" s="11">
        <v>1.1531531531531531</v>
      </c>
      <c r="U42" s="11">
        <v>0.9279141104294478</v>
      </c>
      <c r="V42" s="11">
        <v>0.9290780141843972</v>
      </c>
      <c r="W42" s="11">
        <v>1.1372549019607843</v>
      </c>
      <c r="X42" s="11">
        <v>1.1726618705035972</v>
      </c>
      <c r="Y42" s="11">
        <v>1.3203125</v>
      </c>
      <c r="Z42" s="11">
        <v>1.103225806451613</v>
      </c>
      <c r="AA42" s="11">
        <v>0.8546739984289081</v>
      </c>
      <c r="AB42" s="11">
        <v>1.625</v>
      </c>
      <c r="AC42" s="11">
        <v>0.8495107114519969</v>
      </c>
      <c r="AD42" s="11">
        <v>1.1818181818181819</v>
      </c>
      <c r="AE42" s="11">
        <v>1.066326530612245</v>
      </c>
      <c r="AF42" s="11">
        <v>0.0</v>
      </c>
      <c r="AG42" s="11">
        <v>1.0446927374301676</v>
      </c>
      <c r="AH42" s="11">
        <v>1.1764705882352942</v>
      </c>
      <c r="AI42" s="11">
        <v>1.0754055238930293</v>
      </c>
      <c r="AJ42" s="11">
        <v>1.1441985244802146</v>
      </c>
      <c r="AK42" s="11">
        <v>0.7938144329896907</v>
      </c>
      <c r="AL42" s="11">
        <v>1.0597014925373134</v>
      </c>
      <c r="AM42" s="11">
        <v>1.0796841349605169</v>
      </c>
      <c r="AN42" s="11">
        <v>1.1140529531568228</v>
      </c>
      <c r="AO42" s="11">
        <v>1.178191489361702</v>
      </c>
      <c r="AP42" s="11">
        <v>1.1043956043956045</v>
      </c>
      <c r="AQ42" s="11">
        <v>1.099009900990099</v>
      </c>
      <c r="AR42" s="11">
        <v>1.036860879904875</v>
      </c>
      <c r="AS42" s="11">
        <v>1.0965305899091606</v>
      </c>
      <c r="AT42" s="11">
        <v>1.1386861313868613</v>
      </c>
      <c r="AU42" s="11">
        <v>1.130237825594564</v>
      </c>
      <c r="AV42" s="11">
        <v>1.1131386861313868</v>
      </c>
      <c r="AW42" s="11">
        <v>1.1037037037037036</v>
      </c>
      <c r="AX42" s="11">
        <v>1.0724637681159421</v>
      </c>
      <c r="AY42" s="11">
        <v>1.1021194605009634</v>
      </c>
      <c r="AZ42" s="11">
        <v>1.060693641618497</v>
      </c>
      <c r="BA42" s="11">
        <v>1.2352941176470589</v>
      </c>
      <c r="BB42" s="11">
        <v>1.0763454317897372</v>
      </c>
      <c r="BC42" s="11">
        <v>1.1433820854253074</v>
      </c>
      <c r="BD42" s="11">
        <v>1.0564564564564565</v>
      </c>
      <c r="BE42" s="11">
        <v>1.229665071770335</v>
      </c>
      <c r="BF42" s="11">
        <v>1.345679012345679</v>
      </c>
      <c r="BG42" s="11">
        <v>1.1421897810218977</v>
      </c>
      <c r="BH42" s="11">
        <v>1.136582167832168</v>
      </c>
      <c r="BI42" s="11">
        <v>1.155144694533762</v>
      </c>
      <c r="BJ42" s="11">
        <v>1.166044776119403</v>
      </c>
      <c r="BK42" s="11">
        <v>1.189395070948469</v>
      </c>
      <c r="BL42" s="11">
        <v>0.8492407809110629</v>
      </c>
      <c r="BM42" s="11">
        <v>1.0857658422672751</v>
      </c>
      <c r="BN42" s="11">
        <v>1.1318681318681318</v>
      </c>
      <c r="BO42" s="11">
        <v>1.151761517615176</v>
      </c>
      <c r="BP42" s="11">
        <v>1.1544117647058822</v>
      </c>
      <c r="BQ42" s="11">
        <v>1.0639614855570838</v>
      </c>
      <c r="BR42" s="11">
        <v>1.0815533980582523</v>
      </c>
      <c r="BS42" s="11">
        <v>1.0691747572815533</v>
      </c>
      <c r="BT42" s="11">
        <v>1.11328125</v>
      </c>
      <c r="BU42" s="11">
        <v>1.0811220621683093</v>
      </c>
      <c r="BV42" s="11">
        <v>0.7763751127141569</v>
      </c>
      <c r="BW42" s="11">
        <v>0.6756756756756757</v>
      </c>
      <c r="BX42" s="11">
        <v>1.0</v>
      </c>
      <c r="BY42" s="11">
        <v>0.0</v>
      </c>
      <c r="BZ42" s="11">
        <v>0.7706879361914257</v>
      </c>
      <c r="CA42" s="11">
        <v>0.9117647058823529</v>
      </c>
      <c r="CB42" s="11">
        <v>1.0915356381529386</v>
      </c>
    </row>
    <row r="43" ht="15.75" customHeight="1">
      <c r="A43" s="9" t="s">
        <v>167</v>
      </c>
      <c r="B43" s="9" t="s">
        <v>196</v>
      </c>
      <c r="C43" s="11">
        <v>1.1409214092140922</v>
      </c>
      <c r="D43" s="11">
        <v>1.308641975308642</v>
      </c>
      <c r="E43" s="11">
        <v>1.2142857142857142</v>
      </c>
      <c r="F43" s="11">
        <v>1.1490683229813665</v>
      </c>
      <c r="G43" s="11">
        <v>1.0274914089347078</v>
      </c>
      <c r="H43" s="11">
        <v>1.472972972972973</v>
      </c>
      <c r="I43" s="11">
        <v>1.1408730158730158</v>
      </c>
      <c r="J43" s="11">
        <v>1.1733333333333333</v>
      </c>
      <c r="K43" s="11">
        <v>1.2013729977116705</v>
      </c>
      <c r="L43" s="11">
        <v>0.9719626168224299</v>
      </c>
      <c r="M43" s="11">
        <v>1.1143497757847534</v>
      </c>
      <c r="N43" s="11">
        <v>1.0059880239520957</v>
      </c>
      <c r="O43" s="11">
        <v>1.0088757396449703</v>
      </c>
      <c r="P43" s="11">
        <v>1.0</v>
      </c>
      <c r="Q43" s="11">
        <v>1.0581818181818181</v>
      </c>
      <c r="R43" s="11">
        <v>0.25</v>
      </c>
      <c r="S43" s="11">
        <v>1.2476190476190476</v>
      </c>
      <c r="T43" s="11">
        <v>1.296875</v>
      </c>
      <c r="U43" s="11">
        <v>0.8628099173553719</v>
      </c>
      <c r="V43" s="11">
        <v>1.5648854961832062</v>
      </c>
      <c r="W43" s="11">
        <v>1.0459770114942528</v>
      </c>
      <c r="X43" s="11">
        <v>0.9631901840490797</v>
      </c>
      <c r="Y43" s="11">
        <v>1.0769230769230769</v>
      </c>
      <c r="Z43" s="11">
        <v>1.1695906432748537</v>
      </c>
      <c r="AA43" s="11">
        <v>1.1908700980392157</v>
      </c>
      <c r="AB43" s="11">
        <v>0.5384615384615384</v>
      </c>
      <c r="AC43" s="11">
        <v>1.1902241594022416</v>
      </c>
      <c r="AD43" s="11">
        <v>1.9230769230769231</v>
      </c>
      <c r="AE43" s="11">
        <v>1.200956937799043</v>
      </c>
      <c r="AF43" s="11">
        <v>1.0</v>
      </c>
      <c r="AG43" s="11">
        <v>1.2085561497326203</v>
      </c>
      <c r="AH43" s="11">
        <v>1.15</v>
      </c>
      <c r="AI43" s="11">
        <v>1.1685011550482403</v>
      </c>
      <c r="AJ43" s="11">
        <v>1.0914419695193436</v>
      </c>
      <c r="AK43" s="11">
        <v>1.725108225108225</v>
      </c>
      <c r="AL43" s="11">
        <v>1.0422535211267605</v>
      </c>
      <c r="AM43" s="11">
        <v>1.1243351063829787</v>
      </c>
      <c r="AN43" s="11">
        <v>1.093235831809872</v>
      </c>
      <c r="AO43" s="11">
        <v>1.3182844243792324</v>
      </c>
      <c r="AP43" s="11">
        <v>1.2189054726368158</v>
      </c>
      <c r="AQ43" s="11">
        <v>1.162162162162162</v>
      </c>
      <c r="AR43" s="11">
        <v>1.0814220183486238</v>
      </c>
      <c r="AS43" s="11">
        <v>1.1331470206607446</v>
      </c>
      <c r="AT43" s="11">
        <v>1.0769230769230769</v>
      </c>
      <c r="AU43" s="11">
        <v>1.0861723446893787</v>
      </c>
      <c r="AV43" s="11">
        <v>1.0721311475409836</v>
      </c>
      <c r="AW43" s="11">
        <v>1.24954240390482</v>
      </c>
      <c r="AX43" s="11">
        <v>1.0202702702702702</v>
      </c>
      <c r="AY43" s="11">
        <v>1.0585664335664335</v>
      </c>
      <c r="AZ43" s="11">
        <v>1.3251589464123523</v>
      </c>
      <c r="BA43" s="11">
        <v>1.1717687074829932</v>
      </c>
      <c r="BB43" s="11">
        <v>1.1343023255813953</v>
      </c>
      <c r="BC43" s="11">
        <v>1.158016991758679</v>
      </c>
      <c r="BD43" s="11">
        <v>1.0488914155770324</v>
      </c>
      <c r="BE43" s="11">
        <v>1.1715055372642922</v>
      </c>
      <c r="BF43" s="11">
        <v>1.2798165137614679</v>
      </c>
      <c r="BG43" s="11">
        <v>1.1193762781186094</v>
      </c>
      <c r="BH43" s="11">
        <v>1.1476639107863873</v>
      </c>
      <c r="BI43" s="11">
        <v>1.2818371607515657</v>
      </c>
      <c r="BJ43" s="11">
        <v>1.2109714285714286</v>
      </c>
      <c r="BK43" s="11">
        <v>1.059022981288459</v>
      </c>
      <c r="BL43" s="11">
        <v>1.4770114942528736</v>
      </c>
      <c r="BM43" s="11">
        <v>1.0717567699677388</v>
      </c>
      <c r="BN43" s="11">
        <v>1.058252427184466</v>
      </c>
      <c r="BO43" s="11">
        <v>1.0752941176470587</v>
      </c>
      <c r="BP43" s="11">
        <v>1.143312101910828</v>
      </c>
      <c r="BQ43" s="11">
        <v>1.1008403361344539</v>
      </c>
      <c r="BR43" s="11">
        <v>1.0197486535008977</v>
      </c>
      <c r="BS43" s="11">
        <v>1.0709421112372304</v>
      </c>
      <c r="BT43" s="11">
        <v>1.0789473684210527</v>
      </c>
      <c r="BU43" s="11">
        <v>1.0614773258532024</v>
      </c>
      <c r="BV43" s="11">
        <v>0.9605110336817654</v>
      </c>
      <c r="BW43" s="11">
        <v>1.08</v>
      </c>
      <c r="BX43" s="11">
        <v>1.0</v>
      </c>
      <c r="BY43" s="11">
        <v>0.0</v>
      </c>
      <c r="BZ43" s="11">
        <v>0.9456662354463131</v>
      </c>
      <c r="CA43" s="11">
        <v>1.096774193548387</v>
      </c>
      <c r="CB43" s="11">
        <v>1.1375583683298582</v>
      </c>
    </row>
    <row r="44" ht="15.75" customHeight="1">
      <c r="A44" s="9" t="s">
        <v>168</v>
      </c>
      <c r="B44" s="9" t="s">
        <v>196</v>
      </c>
      <c r="C44" s="11">
        <v>0.9904988123515439</v>
      </c>
      <c r="D44" s="11">
        <v>0.8679245283018868</v>
      </c>
      <c r="E44" s="11">
        <v>1.0980392156862746</v>
      </c>
      <c r="F44" s="11">
        <v>1.0864864864864865</v>
      </c>
      <c r="G44" s="11">
        <v>1.0117056856187292</v>
      </c>
      <c r="H44" s="11">
        <v>0.7568807339449541</v>
      </c>
      <c r="I44" s="11">
        <v>1.0382608695652173</v>
      </c>
      <c r="J44" s="11">
        <v>0.9886363636363636</v>
      </c>
      <c r="K44" s="11">
        <v>0.9219047619047619</v>
      </c>
      <c r="L44" s="11">
        <v>1.0096153846153846</v>
      </c>
      <c r="M44" s="11">
        <v>1.0603621730382293</v>
      </c>
      <c r="N44" s="11">
        <v>1.0138888888888888</v>
      </c>
      <c r="O44" s="11">
        <v>1.0</v>
      </c>
      <c r="P44" s="11">
        <v>1.0429447852760736</v>
      </c>
      <c r="Q44" s="11">
        <v>0.8608247422680413</v>
      </c>
      <c r="R44" s="11">
        <v>0.0</v>
      </c>
      <c r="S44" s="11">
        <v>0.7633587786259542</v>
      </c>
      <c r="T44" s="11">
        <v>0.8674698795180723</v>
      </c>
      <c r="U44" s="11">
        <v>0.8026819923371648</v>
      </c>
      <c r="V44" s="11">
        <v>0.7560975609756098</v>
      </c>
      <c r="W44" s="11">
        <v>0.9120879120879121</v>
      </c>
      <c r="X44" s="11">
        <v>0.8343949044585988</v>
      </c>
      <c r="Y44" s="11">
        <v>0.9395604395604396</v>
      </c>
      <c r="Z44" s="11">
        <v>1.085</v>
      </c>
      <c r="AA44" s="11">
        <v>1.2600977617700027</v>
      </c>
      <c r="AB44" s="11">
        <v>1.0714285714285714</v>
      </c>
      <c r="AC44" s="11">
        <v>1.2555584619408842</v>
      </c>
      <c r="AD44" s="11">
        <v>1.66</v>
      </c>
      <c r="AE44" s="11">
        <v>1.047808764940239</v>
      </c>
      <c r="AF44" s="11">
        <v>2.0</v>
      </c>
      <c r="AG44" s="11">
        <v>1.0442477876106195</v>
      </c>
      <c r="AH44" s="11">
        <v>1.0</v>
      </c>
      <c r="AI44" s="11">
        <v>1.05570415164554</v>
      </c>
      <c r="AJ44" s="11">
        <v>1.0778732545649838</v>
      </c>
      <c r="AK44" s="11">
        <v>0.9974905897114178</v>
      </c>
      <c r="AL44" s="11">
        <v>1.0918918918918918</v>
      </c>
      <c r="AM44" s="11">
        <v>1.1454760496747487</v>
      </c>
      <c r="AN44" s="11">
        <v>1.0418060200668897</v>
      </c>
      <c r="AO44" s="11">
        <v>1.2773972602739727</v>
      </c>
      <c r="AP44" s="11">
        <v>0.886734693877551</v>
      </c>
      <c r="AQ44" s="11">
        <v>0.9289405684754521</v>
      </c>
      <c r="AR44" s="11">
        <v>1.0371155885471899</v>
      </c>
      <c r="AS44" s="11">
        <v>0.9345547432396724</v>
      </c>
      <c r="AT44" s="11">
        <v>0.9464285714285714</v>
      </c>
      <c r="AU44" s="11">
        <v>1.0322878228782288</v>
      </c>
      <c r="AV44" s="11">
        <v>0.9755351681957186</v>
      </c>
      <c r="AW44" s="11">
        <v>0.8642578125</v>
      </c>
      <c r="AX44" s="11">
        <v>0.9598509933774835</v>
      </c>
      <c r="AY44" s="11">
        <v>0.9975227085053675</v>
      </c>
      <c r="AZ44" s="11">
        <v>0.866346812885538</v>
      </c>
      <c r="BA44" s="11">
        <v>0.872278664731495</v>
      </c>
      <c r="BB44" s="11">
        <v>0.9487442337262942</v>
      </c>
      <c r="BC44" s="11">
        <v>1.011540680900173</v>
      </c>
      <c r="BD44" s="11">
        <v>1.1040650406504064</v>
      </c>
      <c r="BE44" s="11">
        <v>1.0493101686254471</v>
      </c>
      <c r="BF44" s="11">
        <v>1.086021505376344</v>
      </c>
      <c r="BG44" s="11">
        <v>1.042932176295958</v>
      </c>
      <c r="BH44" s="11">
        <v>0.9854246942536439</v>
      </c>
      <c r="BI44" s="11">
        <v>1.01085776330076</v>
      </c>
      <c r="BJ44" s="11">
        <v>0.9626274065685164</v>
      </c>
      <c r="BK44" s="11">
        <v>0.9774694651962528</v>
      </c>
      <c r="BL44" s="11">
        <v>1.1011673151750974</v>
      </c>
      <c r="BM44" s="11">
        <v>1.0083918635410016</v>
      </c>
      <c r="BN44" s="11">
        <v>1.0321100917431192</v>
      </c>
      <c r="BO44" s="11">
        <v>1.0831509846827134</v>
      </c>
      <c r="BP44" s="11">
        <v>0.9554317548746518</v>
      </c>
      <c r="BQ44" s="11">
        <v>1.058132706987669</v>
      </c>
      <c r="BR44" s="11">
        <v>1.073943661971831</v>
      </c>
      <c r="BS44" s="11">
        <v>1.0026497085320614</v>
      </c>
      <c r="BT44" s="11">
        <v>1.0089430894308944</v>
      </c>
      <c r="BU44" s="11">
        <v>0.979299713719445</v>
      </c>
      <c r="BV44" s="11">
        <v>0.9081015719467956</v>
      </c>
      <c r="BW44" s="11">
        <v>1.1481481481481481</v>
      </c>
      <c r="BX44" s="11">
        <v>9.0</v>
      </c>
      <c r="BY44" s="11">
        <v>0.0</v>
      </c>
      <c r="BZ44" s="11">
        <v>0.8796169630642955</v>
      </c>
      <c r="CA44" s="11">
        <v>1.0</v>
      </c>
      <c r="CB44" s="11">
        <v>1.0120175551826514</v>
      </c>
    </row>
    <row r="45" ht="15.75" customHeight="1">
      <c r="A45" s="9" t="s">
        <v>169</v>
      </c>
      <c r="B45" s="9" t="s">
        <v>196</v>
      </c>
      <c r="C45" s="11">
        <v>1.0935251798561152</v>
      </c>
      <c r="D45" s="11">
        <v>1.3043478260869565</v>
      </c>
      <c r="E45" s="11">
        <v>1.2321428571428572</v>
      </c>
      <c r="F45" s="11">
        <v>0.9601990049751243</v>
      </c>
      <c r="G45" s="11">
        <v>1.0429752066115703</v>
      </c>
      <c r="H45" s="11">
        <v>1.2363636363636363</v>
      </c>
      <c r="I45" s="11">
        <v>0.9882747068676717</v>
      </c>
      <c r="J45" s="11">
        <v>1.0344827586206897</v>
      </c>
      <c r="K45" s="11">
        <v>1.2024793388429753</v>
      </c>
      <c r="L45" s="11">
        <v>1.276190476190476</v>
      </c>
      <c r="M45" s="11">
        <v>1.0986717267552182</v>
      </c>
      <c r="N45" s="11">
        <v>1.0645792563600782</v>
      </c>
      <c r="O45" s="11">
        <v>1.1759530791788857</v>
      </c>
      <c r="P45" s="11">
        <v>0.8411764705882353</v>
      </c>
      <c r="Q45" s="11">
        <v>1.0392548236859613</v>
      </c>
      <c r="R45" s="11">
        <v>0.0</v>
      </c>
      <c r="S45" s="11">
        <v>0.91</v>
      </c>
      <c r="T45" s="11">
        <v>0.9027777777777778</v>
      </c>
      <c r="U45" s="11">
        <v>1.1026252983293556</v>
      </c>
      <c r="V45" s="11">
        <v>0.8</v>
      </c>
      <c r="W45" s="11">
        <v>0.8975903614457831</v>
      </c>
      <c r="X45" s="11">
        <v>1.2595419847328244</v>
      </c>
      <c r="Y45" s="11">
        <v>1.1637426900584795</v>
      </c>
      <c r="Z45" s="11">
        <v>1.1105990783410138</v>
      </c>
      <c r="AA45" s="11">
        <v>1.0255206206614944</v>
      </c>
      <c r="AB45" s="11">
        <v>0.8666666666666667</v>
      </c>
      <c r="AC45" s="11">
        <v>1.0241666666666667</v>
      </c>
      <c r="AD45" s="11">
        <v>1.1325301204819278</v>
      </c>
      <c r="AE45" s="11">
        <v>1.026615969581749</v>
      </c>
      <c r="AF45" s="11">
        <v>2.25</v>
      </c>
      <c r="AG45" s="11">
        <v>1.0169491525423728</v>
      </c>
      <c r="AH45" s="11">
        <v>0.9130434782608695</v>
      </c>
      <c r="AI45" s="11">
        <v>1.03547036792245</v>
      </c>
      <c r="AJ45" s="11">
        <v>1.031390134529148</v>
      </c>
      <c r="AK45" s="11">
        <v>0.7974842767295598</v>
      </c>
      <c r="AL45" s="11">
        <v>1.051980198019802</v>
      </c>
      <c r="AM45" s="11">
        <v>1.1435209086215798</v>
      </c>
      <c r="AN45" s="11">
        <v>1.0850722311396468</v>
      </c>
      <c r="AO45" s="11">
        <v>0.886058981233244</v>
      </c>
      <c r="AP45" s="11">
        <v>1.0655926352128884</v>
      </c>
      <c r="AQ45" s="11">
        <v>1.0486787204450625</v>
      </c>
      <c r="AR45" s="11">
        <v>1.0623721881390593</v>
      </c>
      <c r="AS45" s="11">
        <v>1.0869934024505183</v>
      </c>
      <c r="AT45" s="11">
        <v>1.0</v>
      </c>
      <c r="AU45" s="11">
        <v>1.0214477211796247</v>
      </c>
      <c r="AV45" s="11">
        <v>1.1536050156739812</v>
      </c>
      <c r="AW45" s="11">
        <v>1.035593220338983</v>
      </c>
      <c r="AX45" s="11">
        <v>1.0284605433376455</v>
      </c>
      <c r="AY45" s="11">
        <v>1.1059602649006623</v>
      </c>
      <c r="AZ45" s="11">
        <v>1.1598101265822784</v>
      </c>
      <c r="BA45" s="11">
        <v>1.151414309484193</v>
      </c>
      <c r="BB45" s="11">
        <v>1.1620745542949757</v>
      </c>
      <c r="BC45" s="11">
        <v>1.0510960801890636</v>
      </c>
      <c r="BD45" s="11">
        <v>0.958271968581247</v>
      </c>
      <c r="BE45" s="11">
        <v>0.9817384952520087</v>
      </c>
      <c r="BF45" s="11">
        <v>0.9834983498349835</v>
      </c>
      <c r="BG45" s="11">
        <v>1.103569082548719</v>
      </c>
      <c r="BH45" s="11">
        <v>1.1043862631757906</v>
      </c>
      <c r="BI45" s="11">
        <v>1.0107411385606875</v>
      </c>
      <c r="BJ45" s="11">
        <v>0.9970588235294118</v>
      </c>
      <c r="BK45" s="11">
        <v>1.1634113793521776</v>
      </c>
      <c r="BL45" s="11">
        <v>0.839811542991755</v>
      </c>
      <c r="BM45" s="11">
        <v>1.111352329262777</v>
      </c>
      <c r="BN45" s="11">
        <v>1.1466666666666667</v>
      </c>
      <c r="BO45" s="11">
        <v>1.2383838383838384</v>
      </c>
      <c r="BP45" s="11">
        <v>1.043731778425656</v>
      </c>
      <c r="BQ45" s="11">
        <v>1.137069922308546</v>
      </c>
      <c r="BR45" s="11">
        <v>1.0786885245901638</v>
      </c>
      <c r="BS45" s="11">
        <v>1.1300211416490487</v>
      </c>
      <c r="BT45" s="11">
        <v>1.0596293311845286</v>
      </c>
      <c r="BU45" s="11">
        <v>1.1011918147065438</v>
      </c>
      <c r="BV45" s="11">
        <v>1.2210386151797603</v>
      </c>
      <c r="BW45" s="11">
        <v>1.1935483870967742</v>
      </c>
      <c r="BX45" s="11">
        <v>1.0</v>
      </c>
      <c r="BY45" s="11">
        <v>0.0</v>
      </c>
      <c r="BZ45" s="11">
        <v>1.2379471228615864</v>
      </c>
      <c r="CA45" s="11">
        <v>1.1029411764705883</v>
      </c>
      <c r="CB45" s="11">
        <v>1.0640297955383222</v>
      </c>
    </row>
    <row r="46" ht="15.75" customHeight="1">
      <c r="A46" s="9" t="s">
        <v>170</v>
      </c>
      <c r="B46" s="9" t="s">
        <v>196</v>
      </c>
      <c r="C46" s="11">
        <v>1.1475563909774436</v>
      </c>
      <c r="D46" s="11">
        <v>1.0</v>
      </c>
      <c r="E46" s="11">
        <v>0.855072463768116</v>
      </c>
      <c r="F46" s="11">
        <v>1.238341968911917</v>
      </c>
      <c r="G46" s="11">
        <v>1.1553090332805072</v>
      </c>
      <c r="H46" s="11">
        <v>1.1274509803921569</v>
      </c>
      <c r="I46" s="11">
        <v>1.1288135593220339</v>
      </c>
      <c r="J46" s="11">
        <v>1.1555555555555554</v>
      </c>
      <c r="K46" s="11">
        <v>1.1649484536082475</v>
      </c>
      <c r="L46" s="11">
        <v>1.1567164179104477</v>
      </c>
      <c r="M46" s="11">
        <v>1.1796200345423142</v>
      </c>
      <c r="N46" s="11">
        <v>1.0827205882352942</v>
      </c>
      <c r="O46" s="11">
        <v>1.0822942643391522</v>
      </c>
      <c r="P46" s="11">
        <v>1.083916083916084</v>
      </c>
      <c r="Q46" s="11">
        <v>1.0396927016645328</v>
      </c>
      <c r="R46" s="11">
        <v>0.0</v>
      </c>
      <c r="S46" s="11">
        <v>0.7032967032967034</v>
      </c>
      <c r="T46" s="11">
        <v>0.9076923076923077</v>
      </c>
      <c r="U46" s="11">
        <v>1.0389610389610389</v>
      </c>
      <c r="V46" s="11">
        <v>1.3951612903225807</v>
      </c>
      <c r="W46" s="11">
        <v>0.9328859060402684</v>
      </c>
      <c r="X46" s="11">
        <v>1.1575757575757575</v>
      </c>
      <c r="Y46" s="11">
        <v>1.0050251256281406</v>
      </c>
      <c r="Z46" s="11">
        <v>1.0746887966804979</v>
      </c>
      <c r="AA46" s="11">
        <v>0.8606410511646426</v>
      </c>
      <c r="AB46" s="11">
        <v>2.1538461538461537</v>
      </c>
      <c r="AC46" s="11">
        <v>0.8590317331163547</v>
      </c>
      <c r="AD46" s="11">
        <v>0.7659574468085106</v>
      </c>
      <c r="AE46" s="11">
        <v>0.9925925925925926</v>
      </c>
      <c r="AF46" s="11">
        <v>0.6666666666666666</v>
      </c>
      <c r="AG46" s="11">
        <v>0.9916666666666667</v>
      </c>
      <c r="AH46" s="11">
        <v>1.1428571428571428</v>
      </c>
      <c r="AI46" s="11">
        <v>1.1741489361702129</v>
      </c>
      <c r="AJ46" s="11">
        <v>1.0942028985507246</v>
      </c>
      <c r="AK46" s="11">
        <v>1.2287066246056781</v>
      </c>
      <c r="AL46" s="11">
        <v>1.1105882352941177</v>
      </c>
      <c r="AM46" s="11">
        <v>1.2835214446952596</v>
      </c>
      <c r="AN46" s="11">
        <v>1.220414201183432</v>
      </c>
      <c r="AO46" s="11">
        <v>1.172465960665658</v>
      </c>
      <c r="AP46" s="11">
        <v>1.0907127429805616</v>
      </c>
      <c r="AQ46" s="11">
        <v>1.1551724137931034</v>
      </c>
      <c r="AR46" s="11">
        <v>1.1520692974013476</v>
      </c>
      <c r="AS46" s="11">
        <v>1.12884765455649</v>
      </c>
      <c r="AT46" s="11">
        <v>0.8616352201257862</v>
      </c>
      <c r="AU46" s="11">
        <v>1.1531058617672791</v>
      </c>
      <c r="AV46" s="11">
        <v>1.138586956521739</v>
      </c>
      <c r="AW46" s="11">
        <v>1.1412984178941625</v>
      </c>
      <c r="AX46" s="11">
        <v>1.090146750524109</v>
      </c>
      <c r="AY46" s="11">
        <v>1.1639221556886228</v>
      </c>
      <c r="AZ46" s="11">
        <v>1.0975443383356072</v>
      </c>
      <c r="BA46" s="11">
        <v>1.2630057803468209</v>
      </c>
      <c r="BB46" s="11">
        <v>1.1227336122733613</v>
      </c>
      <c r="BC46" s="11">
        <v>1.1457331886080528</v>
      </c>
      <c r="BD46" s="11">
        <v>1.108094262295082</v>
      </c>
      <c r="BE46" s="11">
        <v>1.1049107142857142</v>
      </c>
      <c r="BF46" s="11">
        <v>0.8909395973154363</v>
      </c>
      <c r="BG46" s="11">
        <v>1.1617063492063493</v>
      </c>
      <c r="BH46" s="11">
        <v>1.0912869458128078</v>
      </c>
      <c r="BI46" s="11">
        <v>1.099893730074389</v>
      </c>
      <c r="BJ46" s="11">
        <v>1.1240904621435595</v>
      </c>
      <c r="BK46" s="11">
        <v>1.2225234619395204</v>
      </c>
      <c r="BL46" s="11">
        <v>1.2435717625058438</v>
      </c>
      <c r="BM46" s="11">
        <v>1.1846817515871724</v>
      </c>
      <c r="BN46" s="11">
        <v>1.197674418604651</v>
      </c>
      <c r="BO46" s="11">
        <v>1.2251223491027732</v>
      </c>
      <c r="BP46" s="11">
        <v>1.005586592178771</v>
      </c>
      <c r="BQ46" s="11">
        <v>1.1805758906783796</v>
      </c>
      <c r="BR46" s="11">
        <v>1.1854103343465046</v>
      </c>
      <c r="BS46" s="11">
        <v>1.1492048643592143</v>
      </c>
      <c r="BT46" s="11">
        <v>1.0806083650190115</v>
      </c>
      <c r="BU46" s="11">
        <v>1.2370839289360833</v>
      </c>
      <c r="BV46" s="11">
        <v>3.6739367502726283</v>
      </c>
      <c r="BW46" s="11">
        <v>1.162162162162162</v>
      </c>
      <c r="BX46" s="11">
        <v>0.4444444444444444</v>
      </c>
      <c r="BY46" s="11">
        <v>0.0</v>
      </c>
      <c r="BZ46" s="11">
        <v>3.987437185929648</v>
      </c>
      <c r="CA46" s="11">
        <v>1.9733333333333334</v>
      </c>
      <c r="CB46" s="11">
        <v>1.160139533211062</v>
      </c>
    </row>
    <row r="47" ht="15.75" customHeight="1">
      <c r="A47" s="9" t="s">
        <v>171</v>
      </c>
      <c r="B47" s="9" t="s">
        <v>196</v>
      </c>
      <c r="C47" s="11">
        <v>1.0494130494130494</v>
      </c>
      <c r="D47" s="11">
        <v>1.0416666666666667</v>
      </c>
      <c r="E47" s="11">
        <v>1.6610169491525424</v>
      </c>
      <c r="F47" s="11">
        <v>1.1464435146443515</v>
      </c>
      <c r="G47" s="11">
        <v>1.0685871056241427</v>
      </c>
      <c r="H47" s="11">
        <v>1.1</v>
      </c>
      <c r="I47" s="11">
        <v>1.1141141141141142</v>
      </c>
      <c r="J47" s="11">
        <v>1.0192307692307692</v>
      </c>
      <c r="K47" s="11">
        <v>0.9292035398230089</v>
      </c>
      <c r="L47" s="11">
        <v>0.9290322580645162</v>
      </c>
      <c r="M47" s="11">
        <v>1.0146412884333822</v>
      </c>
      <c r="N47" s="11">
        <v>1.1409168081494059</v>
      </c>
      <c r="O47" s="11">
        <v>1.1428571428571428</v>
      </c>
      <c r="P47" s="11">
        <v>1.135483870967742</v>
      </c>
      <c r="Q47" s="11">
        <v>0.9981527093596059</v>
      </c>
      <c r="R47" s="11">
        <v>0.0</v>
      </c>
      <c r="S47" s="11">
        <v>1.0625</v>
      </c>
      <c r="T47" s="11">
        <v>0.8813559322033898</v>
      </c>
      <c r="U47" s="11">
        <v>1.0125</v>
      </c>
      <c r="V47" s="11">
        <v>1.1734104046242775</v>
      </c>
      <c r="W47" s="11">
        <v>1.0</v>
      </c>
      <c r="X47" s="11">
        <v>0.8219895287958116</v>
      </c>
      <c r="Y47" s="11">
        <v>0.91</v>
      </c>
      <c r="Z47" s="11">
        <v>1.0888030888030888</v>
      </c>
      <c r="AA47" s="11">
        <v>1.3668748554244738</v>
      </c>
      <c r="AB47" s="11">
        <v>0.9285714285714286</v>
      </c>
      <c r="AC47" s="11">
        <v>1.3727208145867866</v>
      </c>
      <c r="AD47" s="11">
        <v>1.1944444444444444</v>
      </c>
      <c r="AE47" s="11">
        <v>1.0597014925373134</v>
      </c>
      <c r="AF47" s="11">
        <v>1.0</v>
      </c>
      <c r="AG47" s="11">
        <v>1.0252100840336134</v>
      </c>
      <c r="AH47" s="11">
        <v>1.4166666666666667</v>
      </c>
      <c r="AI47" s="11">
        <v>1.0656881398930869</v>
      </c>
      <c r="AJ47" s="11">
        <v>1.1289183222958057</v>
      </c>
      <c r="AK47" s="11">
        <v>0.8472400513478819</v>
      </c>
      <c r="AL47" s="11">
        <v>1.0593220338983051</v>
      </c>
      <c r="AM47" s="11">
        <v>1.1297924727400632</v>
      </c>
      <c r="AN47" s="11">
        <v>1.0715151515151515</v>
      </c>
      <c r="AO47" s="11">
        <v>0.9625806451612903</v>
      </c>
      <c r="AP47" s="11">
        <v>1.0306930693069307</v>
      </c>
      <c r="AQ47" s="11">
        <v>1.034443168771527</v>
      </c>
      <c r="AR47" s="11">
        <v>1.0534670008354219</v>
      </c>
      <c r="AS47" s="11">
        <v>0.9934710807281665</v>
      </c>
      <c r="AT47" s="11">
        <v>1.1605839416058394</v>
      </c>
      <c r="AU47" s="11">
        <v>0.9339908952959028</v>
      </c>
      <c r="AV47" s="11">
        <v>1.2171837708830548</v>
      </c>
      <c r="AW47" s="11">
        <v>1.0449330783938815</v>
      </c>
      <c r="AX47" s="11">
        <v>0.9919230769230769</v>
      </c>
      <c r="AY47" s="11">
        <v>1.0790996784565916</v>
      </c>
      <c r="AZ47" s="11">
        <v>0.8781852082038534</v>
      </c>
      <c r="BA47" s="11">
        <v>0.9084668192219679</v>
      </c>
      <c r="BB47" s="11">
        <v>0.9871635610766045</v>
      </c>
      <c r="BC47" s="11">
        <v>1.0782261520763314</v>
      </c>
      <c r="BD47" s="11">
        <v>1.0924641701340732</v>
      </c>
      <c r="BE47" s="11">
        <v>0.9120089786756453</v>
      </c>
      <c r="BF47" s="11">
        <v>0.8210922787193974</v>
      </c>
      <c r="BG47" s="11">
        <v>0.9146029035012809</v>
      </c>
      <c r="BH47" s="11">
        <v>1.015516998166173</v>
      </c>
      <c r="BI47" s="11">
        <v>1.4268115942028985</v>
      </c>
      <c r="BJ47" s="11">
        <v>1.0316655003498951</v>
      </c>
      <c r="BK47" s="11">
        <v>1.0553565336062778</v>
      </c>
      <c r="BL47" s="11">
        <v>1.5819548872180451</v>
      </c>
      <c r="BM47" s="11">
        <v>0.9971143936791481</v>
      </c>
      <c r="BN47" s="11">
        <v>1.051779935275081</v>
      </c>
      <c r="BO47" s="11">
        <v>1.189081225033289</v>
      </c>
      <c r="BP47" s="11">
        <v>1.0611111111111111</v>
      </c>
      <c r="BQ47" s="11">
        <v>1.0636626705250103</v>
      </c>
      <c r="BR47" s="11">
        <v>1.0025641025641026</v>
      </c>
      <c r="BS47" s="11">
        <v>1.015059015059015</v>
      </c>
      <c r="BT47" s="11">
        <v>1.0182969739619987</v>
      </c>
      <c r="BU47" s="11">
        <v>0.9272036975899637</v>
      </c>
      <c r="BV47" s="11">
        <v>0.6429207479964381</v>
      </c>
      <c r="BW47" s="11">
        <v>0.8604651162790697</v>
      </c>
      <c r="BX47" s="11">
        <v>1.75</v>
      </c>
      <c r="BY47" s="11">
        <v>0.0</v>
      </c>
      <c r="BZ47" s="11">
        <v>0.6316950220541903</v>
      </c>
      <c r="CA47" s="11">
        <v>0.7567567567567568</v>
      </c>
      <c r="CB47" s="11">
        <v>1.04883240338913</v>
      </c>
    </row>
    <row r="48" ht="15.75" customHeight="1">
      <c r="A48" s="9" t="s">
        <v>172</v>
      </c>
      <c r="B48" s="9" t="s">
        <v>196</v>
      </c>
      <c r="C48" s="11">
        <v>1.0608740894901145</v>
      </c>
      <c r="D48" s="11">
        <v>0.776</v>
      </c>
      <c r="E48" s="11">
        <v>1.653061224489796</v>
      </c>
      <c r="F48" s="11">
        <v>1.010948905109489</v>
      </c>
      <c r="G48" s="11">
        <v>1.030808729139923</v>
      </c>
      <c r="H48" s="11">
        <v>1.1699604743083003</v>
      </c>
      <c r="I48" s="11">
        <v>1.0026954177897573</v>
      </c>
      <c r="J48" s="11">
        <v>1.1132075471698113</v>
      </c>
      <c r="K48" s="11">
        <v>0.9555555555555556</v>
      </c>
      <c r="L48" s="11">
        <v>1.0555555555555556</v>
      </c>
      <c r="M48" s="11">
        <v>1.1933621933621934</v>
      </c>
      <c r="N48" s="11">
        <v>1.1860119047619047</v>
      </c>
      <c r="O48" s="11">
        <v>1.2318548387096775</v>
      </c>
      <c r="P48" s="11">
        <v>1.0568181818181819</v>
      </c>
      <c r="Q48" s="11">
        <v>1.257248611967921</v>
      </c>
      <c r="R48" s="11">
        <v>0.0</v>
      </c>
      <c r="S48" s="11">
        <v>1.338235294117647</v>
      </c>
      <c r="T48" s="11">
        <v>1.125</v>
      </c>
      <c r="U48" s="11">
        <v>1.3703703703703705</v>
      </c>
      <c r="V48" s="11">
        <v>1.6600985221674878</v>
      </c>
      <c r="W48" s="11">
        <v>1.0503597122302157</v>
      </c>
      <c r="X48" s="11">
        <v>1.1210191082802548</v>
      </c>
      <c r="Y48" s="11">
        <v>1.2802197802197801</v>
      </c>
      <c r="Z48" s="11">
        <v>0.9645390070921985</v>
      </c>
      <c r="AA48" s="11">
        <v>1.6065324081908952</v>
      </c>
      <c r="AB48" s="11">
        <v>0.6153846153846154</v>
      </c>
      <c r="AC48" s="11">
        <v>1.6068656201483527</v>
      </c>
      <c r="AD48" s="11">
        <v>1.8837209302325582</v>
      </c>
      <c r="AE48" s="11">
        <v>0.9894366197183099</v>
      </c>
      <c r="AF48" s="11">
        <v>1.5</v>
      </c>
      <c r="AG48" s="11">
        <v>0.9713114754098361</v>
      </c>
      <c r="AH48" s="11">
        <v>1.0294117647058822</v>
      </c>
      <c r="AI48" s="11">
        <v>1.131865329025676</v>
      </c>
      <c r="AJ48" s="11">
        <v>1.1357059053578413</v>
      </c>
      <c r="AK48" s="11">
        <v>1.128787878787879</v>
      </c>
      <c r="AL48" s="11">
        <v>1.092</v>
      </c>
      <c r="AM48" s="11">
        <v>1.2459526774595269</v>
      </c>
      <c r="AN48" s="11">
        <v>1.079185520361991</v>
      </c>
      <c r="AO48" s="11">
        <v>0.9772117962466488</v>
      </c>
      <c r="AP48" s="11">
        <v>1.096061479346782</v>
      </c>
      <c r="AQ48" s="11">
        <v>1.0810210876803552</v>
      </c>
      <c r="AR48" s="11">
        <v>1.0452022204599525</v>
      </c>
      <c r="AS48" s="11">
        <v>1.095175506417195</v>
      </c>
      <c r="AT48" s="11">
        <v>1.1132075471698113</v>
      </c>
      <c r="AU48" s="11">
        <v>1.065800162469537</v>
      </c>
      <c r="AV48" s="11">
        <v>1.119607843137255</v>
      </c>
      <c r="AW48" s="11">
        <v>1.1285452881976212</v>
      </c>
      <c r="AX48" s="11">
        <v>1.0321830166731292</v>
      </c>
      <c r="AY48" s="11">
        <v>1.1561382598331347</v>
      </c>
      <c r="AZ48" s="11">
        <v>1.0658174097664543</v>
      </c>
      <c r="BA48" s="11">
        <v>1.0654911838790933</v>
      </c>
      <c r="BB48" s="11">
        <v>1.1258389261744965</v>
      </c>
      <c r="BC48" s="11">
        <v>1.139599589966737</v>
      </c>
      <c r="BD48" s="11">
        <v>1.151502327549725</v>
      </c>
      <c r="BE48" s="11">
        <v>0.977602756583805</v>
      </c>
      <c r="BF48" s="11">
        <v>0.9977064220183486</v>
      </c>
      <c r="BG48" s="11">
        <v>1.0412698412698413</v>
      </c>
      <c r="BH48" s="11">
        <v>1.1804417280177804</v>
      </c>
      <c r="BI48" s="11">
        <v>1.3934315219231421</v>
      </c>
      <c r="BJ48" s="11">
        <v>1.1471934882143462</v>
      </c>
      <c r="BK48" s="11">
        <v>1.141356178776368</v>
      </c>
      <c r="BL48" s="11">
        <v>0.9871673003802282</v>
      </c>
      <c r="BM48" s="11">
        <v>1.133535450974988</v>
      </c>
      <c r="BN48" s="11">
        <v>1.1538461538461537</v>
      </c>
      <c r="BO48" s="11">
        <v>1.2430011198208286</v>
      </c>
      <c r="BP48" s="11">
        <v>1.1884816753926701</v>
      </c>
      <c r="BQ48" s="11">
        <v>1.1884959191605131</v>
      </c>
      <c r="BR48" s="11">
        <v>1.1547314578005115</v>
      </c>
      <c r="BS48" s="11">
        <v>1.0649558941459503</v>
      </c>
      <c r="BT48" s="11">
        <v>1.1036627505183139</v>
      </c>
      <c r="BU48" s="11">
        <v>1.1212390956026348</v>
      </c>
      <c r="BV48" s="11">
        <v>0.8536472760849492</v>
      </c>
      <c r="BW48" s="11">
        <v>1.5945945945945945</v>
      </c>
      <c r="BX48" s="11">
        <v>1.2857142857142858</v>
      </c>
      <c r="BY48" s="11">
        <v>0.2</v>
      </c>
      <c r="BZ48" s="11">
        <v>0.8209476309226933</v>
      </c>
      <c r="CA48" s="11">
        <v>1.1964285714285714</v>
      </c>
      <c r="CB48" s="11">
        <v>1.1520402734813706</v>
      </c>
    </row>
    <row r="49" ht="15.75" customHeight="1">
      <c r="A49" s="9" t="s">
        <v>173</v>
      </c>
      <c r="B49" s="9" t="s">
        <v>196</v>
      </c>
      <c r="C49" s="11">
        <v>1.0934281510544384</v>
      </c>
      <c r="D49" s="11">
        <v>0.7010309278350515</v>
      </c>
      <c r="E49" s="11">
        <v>1.0802469135802468</v>
      </c>
      <c r="F49" s="11">
        <v>1.184115523465704</v>
      </c>
      <c r="G49" s="11">
        <v>1.1270236612702367</v>
      </c>
      <c r="H49" s="11">
        <v>1.010135135135135</v>
      </c>
      <c r="I49" s="11">
        <v>1.0725806451612903</v>
      </c>
      <c r="J49" s="11">
        <v>1.0847457627118644</v>
      </c>
      <c r="K49" s="11">
        <v>1.0033222591362125</v>
      </c>
      <c r="L49" s="11">
        <v>1.5526315789473684</v>
      </c>
      <c r="M49" s="11">
        <v>1.1100362756952842</v>
      </c>
      <c r="N49" s="11">
        <v>1.1744040150564616</v>
      </c>
      <c r="O49" s="11">
        <v>1.176759410801964</v>
      </c>
      <c r="P49" s="11">
        <v>1.1666666666666667</v>
      </c>
      <c r="Q49" s="11">
        <v>0.8537782139352306</v>
      </c>
      <c r="R49" s="11">
        <v>0.0</v>
      </c>
      <c r="S49" s="11">
        <v>0.45054945054945056</v>
      </c>
      <c r="T49" s="11">
        <v>1.1196581196581197</v>
      </c>
      <c r="U49" s="11">
        <v>0.6531531531531531</v>
      </c>
      <c r="V49" s="11">
        <v>0.7329376854599406</v>
      </c>
      <c r="W49" s="11">
        <v>0.9931506849315068</v>
      </c>
      <c r="X49" s="11">
        <v>1.1590909090909092</v>
      </c>
      <c r="Y49" s="11">
        <v>1.1416309012875536</v>
      </c>
      <c r="Z49" s="11">
        <v>0.9889705882352942</v>
      </c>
      <c r="AA49" s="11">
        <v>1.0475086906141367</v>
      </c>
      <c r="AB49" s="11">
        <v>0.75</v>
      </c>
      <c r="AC49" s="11">
        <v>1.0521739130434782</v>
      </c>
      <c r="AD49" s="11">
        <v>0.808641975308642</v>
      </c>
      <c r="AE49" s="11">
        <v>1.0213523131672597</v>
      </c>
      <c r="AF49" s="11">
        <v>1.7777777777777777</v>
      </c>
      <c r="AG49" s="11">
        <v>1.0042194092827004</v>
      </c>
      <c r="AH49" s="11">
        <v>0.9428571428571428</v>
      </c>
      <c r="AI49" s="11">
        <v>1.095470592653797</v>
      </c>
      <c r="AJ49" s="11">
        <v>0.9276859504132231</v>
      </c>
      <c r="AK49" s="11">
        <v>1.461744966442953</v>
      </c>
      <c r="AL49" s="11">
        <v>1.032967032967033</v>
      </c>
      <c r="AM49" s="11">
        <v>1.1539230384807597</v>
      </c>
      <c r="AN49" s="11">
        <v>1.2264150943396226</v>
      </c>
      <c r="AO49" s="11">
        <v>1.1412894375857339</v>
      </c>
      <c r="AP49" s="11">
        <v>1.049079754601227</v>
      </c>
      <c r="AQ49" s="11">
        <v>1.0071868583162218</v>
      </c>
      <c r="AR49" s="11">
        <v>1.0918057663125948</v>
      </c>
      <c r="AS49" s="11">
        <v>1.0016237204376985</v>
      </c>
      <c r="AT49" s="11">
        <v>1.11864406779661</v>
      </c>
      <c r="AU49" s="11">
        <v>1.166158536585366</v>
      </c>
      <c r="AV49" s="11">
        <v>0.9316987740805605</v>
      </c>
      <c r="AW49" s="11">
        <v>0.9404134576408594</v>
      </c>
      <c r="AX49" s="11">
        <v>0.944778362133734</v>
      </c>
      <c r="AY49" s="11">
        <v>0.9711340206185567</v>
      </c>
      <c r="AZ49" s="11">
        <v>1.051792828685259</v>
      </c>
      <c r="BA49" s="11">
        <v>1.0768321513002364</v>
      </c>
      <c r="BB49" s="11">
        <v>1.011177347242921</v>
      </c>
      <c r="BC49" s="11">
        <v>0.9586775342365165</v>
      </c>
      <c r="BD49" s="11">
        <v>1.1231165012862918</v>
      </c>
      <c r="BE49" s="11">
        <v>0.9823766364551864</v>
      </c>
      <c r="BF49" s="11">
        <v>1.1954022988505748</v>
      </c>
      <c r="BG49" s="11">
        <v>1.0964849354375896</v>
      </c>
      <c r="BH49" s="11">
        <v>0.9213932690044716</v>
      </c>
      <c r="BI49" s="11">
        <v>0.8572469930749606</v>
      </c>
      <c r="BJ49" s="11">
        <v>0.9776792313377679</v>
      </c>
      <c r="BK49" s="11">
        <v>1.0061606004815182</v>
      </c>
      <c r="BL49" s="11">
        <v>0.7034183919114106</v>
      </c>
      <c r="BM49" s="11">
        <v>1.0358640812108686</v>
      </c>
      <c r="BN49" s="11">
        <v>1.0373333333333334</v>
      </c>
      <c r="BO49" s="11">
        <v>1.0171171171171172</v>
      </c>
      <c r="BP49" s="11">
        <v>1.050660792951542</v>
      </c>
      <c r="BQ49" s="11">
        <v>1.0359712230215827</v>
      </c>
      <c r="BR49" s="11">
        <v>1.0398671096345515</v>
      </c>
      <c r="BS49" s="11">
        <v>1.1189759036144578</v>
      </c>
      <c r="BT49" s="11">
        <v>1.0100187852222917</v>
      </c>
      <c r="BU49" s="11">
        <v>1.0088917116544935</v>
      </c>
      <c r="BV49" s="11">
        <v>1.2671714440237967</v>
      </c>
      <c r="BW49" s="11">
        <v>0.7288135593220338</v>
      </c>
      <c r="BX49" s="11">
        <v>0.7777777777777778</v>
      </c>
      <c r="BY49" s="11">
        <v>0.0</v>
      </c>
      <c r="BZ49" s="11">
        <v>1.3092345078979344</v>
      </c>
      <c r="CA49" s="11">
        <v>1.0298507462686568</v>
      </c>
      <c r="CB49" s="11">
        <v>1.0068924824053567</v>
      </c>
    </row>
    <row r="50" ht="15.75" customHeight="1">
      <c r="A50" s="9" t="s">
        <v>174</v>
      </c>
      <c r="B50" s="9" t="s">
        <v>196</v>
      </c>
      <c r="C50" s="11">
        <v>1.0708679076026015</v>
      </c>
      <c r="D50" s="11">
        <v>1.25</v>
      </c>
      <c r="E50" s="11">
        <v>1.2514285714285713</v>
      </c>
      <c r="F50" s="11">
        <v>0.9024390243902439</v>
      </c>
      <c r="G50" s="11">
        <v>1.014364640883978</v>
      </c>
      <c r="H50" s="11">
        <v>1.0100334448160535</v>
      </c>
      <c r="I50" s="11">
        <v>1.0889724310776943</v>
      </c>
      <c r="J50" s="11">
        <v>1.1796875</v>
      </c>
      <c r="K50" s="11">
        <v>1.1026490066225165</v>
      </c>
      <c r="L50" s="11">
        <v>1.2796610169491525</v>
      </c>
      <c r="M50" s="11">
        <v>1.053376906318083</v>
      </c>
      <c r="N50" s="11">
        <v>1.0309829059829059</v>
      </c>
      <c r="O50" s="11">
        <v>0.9471488178025035</v>
      </c>
      <c r="P50" s="11">
        <v>1.3087557603686637</v>
      </c>
      <c r="Q50" s="11">
        <v>1.0833333333333333</v>
      </c>
      <c r="R50" s="11">
        <v>1.5</v>
      </c>
      <c r="S50" s="11">
        <v>1.0975609756097562</v>
      </c>
      <c r="T50" s="11">
        <v>0.9312977099236641</v>
      </c>
      <c r="U50" s="11">
        <v>1.289655172413793</v>
      </c>
      <c r="V50" s="11">
        <v>1.0161943319838056</v>
      </c>
      <c r="W50" s="11">
        <v>1.1241379310344828</v>
      </c>
      <c r="X50" s="11">
        <v>1.0098039215686274</v>
      </c>
      <c r="Y50" s="11">
        <v>0.943609022556391</v>
      </c>
      <c r="Z50" s="11">
        <v>1.0520446096654275</v>
      </c>
      <c r="AA50" s="11">
        <v>0.9358407079646017</v>
      </c>
      <c r="AB50" s="11">
        <v>1.8333333333333333</v>
      </c>
      <c r="AC50" s="11">
        <v>0.9349046015712682</v>
      </c>
      <c r="AD50" s="11">
        <v>0.9236641221374046</v>
      </c>
      <c r="AE50" s="11">
        <v>1.1881533101045296</v>
      </c>
      <c r="AF50" s="11">
        <v>1.125</v>
      </c>
      <c r="AG50" s="11">
        <v>1.1890756302521008</v>
      </c>
      <c r="AH50" s="11">
        <v>1.2121212121212122</v>
      </c>
      <c r="AI50" s="11">
        <v>1.0109023587493142</v>
      </c>
      <c r="AJ50" s="11">
        <v>0.9101707498144024</v>
      </c>
      <c r="AK50" s="11">
        <v>0.650137741046832</v>
      </c>
      <c r="AL50" s="11">
        <v>0.9627659574468085</v>
      </c>
      <c r="AM50" s="11">
        <v>1.1255954958856649</v>
      </c>
      <c r="AN50" s="11">
        <v>1.0384615384615385</v>
      </c>
      <c r="AO50" s="11">
        <v>0.9483173076923077</v>
      </c>
      <c r="AP50" s="11">
        <v>1.0852130325814537</v>
      </c>
      <c r="AQ50" s="11">
        <v>1.0479102956167177</v>
      </c>
      <c r="AR50" s="11">
        <v>1.050034746351633</v>
      </c>
      <c r="AS50" s="11">
        <v>1.099520721736679</v>
      </c>
      <c r="AT50" s="11">
        <v>1.0858585858585859</v>
      </c>
      <c r="AU50" s="11">
        <v>1.1176470588235294</v>
      </c>
      <c r="AV50" s="11">
        <v>1.2462406015037595</v>
      </c>
      <c r="AW50" s="11">
        <v>1.0521551724137932</v>
      </c>
      <c r="AX50" s="11">
        <v>1.076341948310139</v>
      </c>
      <c r="AY50" s="11">
        <v>1.1077494692144374</v>
      </c>
      <c r="AZ50" s="11">
        <v>1.1597222222222223</v>
      </c>
      <c r="BA50" s="11">
        <v>1.048298572996707</v>
      </c>
      <c r="BB50" s="11">
        <v>1.099852616064849</v>
      </c>
      <c r="BC50" s="11">
        <v>1.1193535415429983</v>
      </c>
      <c r="BD50" s="11">
        <v>1.0134162303664922</v>
      </c>
      <c r="BE50" s="11">
        <v>1.141978472578165</v>
      </c>
      <c r="BF50" s="11">
        <v>1.1557692307692307</v>
      </c>
      <c r="BG50" s="11">
        <v>1.097317631665031</v>
      </c>
      <c r="BH50" s="11">
        <v>1.0167305236270754</v>
      </c>
      <c r="BI50" s="11">
        <v>0.9630102040816326</v>
      </c>
      <c r="BJ50" s="11">
        <v>1.026307831871787</v>
      </c>
      <c r="BK50" s="11">
        <v>1.1142233795481737</v>
      </c>
      <c r="BL50" s="11">
        <v>2.1276522929500343</v>
      </c>
      <c r="BM50" s="11">
        <v>1.079044657003697</v>
      </c>
      <c r="BN50" s="11">
        <v>1.077120822622108</v>
      </c>
      <c r="BO50" s="11">
        <v>1.2258635961027458</v>
      </c>
      <c r="BP50" s="11">
        <v>0.9790356394129979</v>
      </c>
      <c r="BQ50" s="11">
        <v>1.0549242424242424</v>
      </c>
      <c r="BR50" s="11">
        <v>1.1001064962726304</v>
      </c>
      <c r="BS50" s="11">
        <v>1.003364737550471</v>
      </c>
      <c r="BT50" s="11">
        <v>0.9646621202727836</v>
      </c>
      <c r="BU50" s="11">
        <v>1.1339313818067358</v>
      </c>
      <c r="BV50" s="11">
        <v>1.3674775928297056</v>
      </c>
      <c r="BW50" s="11">
        <v>0.9302325581395349</v>
      </c>
      <c r="BX50" s="11">
        <v>1.1428571428571428</v>
      </c>
      <c r="BY50" s="11">
        <v>0.0</v>
      </c>
      <c r="BZ50" s="11">
        <v>1.1661252900232018</v>
      </c>
      <c r="CA50" s="11">
        <v>4.659420289855072</v>
      </c>
      <c r="CB50" s="11">
        <v>1.0842328761306212</v>
      </c>
    </row>
    <row r="51" ht="15.75" customHeight="1">
      <c r="A51" s="9" t="s">
        <v>175</v>
      </c>
      <c r="B51" s="9" t="s">
        <v>196</v>
      </c>
      <c r="C51" s="11">
        <v>1.0829319371727748</v>
      </c>
      <c r="D51" s="11">
        <v>0.9647058823529412</v>
      </c>
      <c r="E51" s="11">
        <v>1.0684931506849316</v>
      </c>
      <c r="F51" s="11">
        <v>1.0777027027027026</v>
      </c>
      <c r="G51" s="11">
        <v>1.0337690631808278</v>
      </c>
      <c r="H51" s="11">
        <v>1.3543046357615893</v>
      </c>
      <c r="I51" s="11">
        <v>1.1012658227848102</v>
      </c>
      <c r="J51" s="11">
        <v>1.271523178807947</v>
      </c>
      <c r="K51" s="11">
        <v>1.006006006006006</v>
      </c>
      <c r="L51" s="11">
        <v>1.0264900662251655</v>
      </c>
      <c r="M51" s="11">
        <v>1.0847983453981385</v>
      </c>
      <c r="N51" s="11">
        <v>0.9937823834196892</v>
      </c>
      <c r="O51" s="11">
        <v>1.0352422907488987</v>
      </c>
      <c r="P51" s="11">
        <v>0.8943661971830986</v>
      </c>
      <c r="Q51" s="11">
        <v>1.0275862068965518</v>
      </c>
      <c r="R51" s="11">
        <v>0.6666666666666666</v>
      </c>
      <c r="S51" s="11">
        <v>1.5777777777777777</v>
      </c>
      <c r="T51" s="11">
        <v>1.0901639344262295</v>
      </c>
      <c r="U51" s="11">
        <v>1.0659536541889483</v>
      </c>
      <c r="V51" s="11">
        <v>0.9282868525896414</v>
      </c>
      <c r="W51" s="11">
        <v>1.0245398773006136</v>
      </c>
      <c r="X51" s="11">
        <v>0.9174757281553398</v>
      </c>
      <c r="Y51" s="11">
        <v>1.0756972111553784</v>
      </c>
      <c r="Z51" s="11">
        <v>0.9681978798586572</v>
      </c>
      <c r="AA51" s="11">
        <v>1.0781216419514292</v>
      </c>
      <c r="AB51" s="11">
        <v>0.7727272727272727</v>
      </c>
      <c r="AC51" s="11">
        <v>1.082287460438721</v>
      </c>
      <c r="AD51" s="11">
        <v>0.8181818181818182</v>
      </c>
      <c r="AE51" s="11">
        <v>1.0469208211143695</v>
      </c>
      <c r="AF51" s="11">
        <v>1.3888888888888888</v>
      </c>
      <c r="AG51" s="11">
        <v>1.0247349823321554</v>
      </c>
      <c r="AH51" s="11">
        <v>1.05</v>
      </c>
      <c r="AI51" s="11">
        <v>1.0132266160211625</v>
      </c>
      <c r="AJ51" s="11">
        <v>0.9669657422512234</v>
      </c>
      <c r="AK51" s="11">
        <v>0.9774011299435028</v>
      </c>
      <c r="AL51" s="11">
        <v>0.988950276243094</v>
      </c>
      <c r="AM51" s="11">
        <v>1.0631011927664487</v>
      </c>
      <c r="AN51" s="11">
        <v>1.0436213991769547</v>
      </c>
      <c r="AO51" s="11">
        <v>0.9721166032953105</v>
      </c>
      <c r="AP51" s="11">
        <v>0.9846035411855273</v>
      </c>
      <c r="AQ51" s="11">
        <v>1.0116731517509727</v>
      </c>
      <c r="AR51" s="11">
        <v>0.9649238914626076</v>
      </c>
      <c r="AS51" s="11">
        <v>1.013076923076923</v>
      </c>
      <c r="AT51" s="11">
        <v>0.8093023255813954</v>
      </c>
      <c r="AU51" s="11">
        <v>1.012280701754386</v>
      </c>
      <c r="AV51" s="11">
        <v>0.9909502262443439</v>
      </c>
      <c r="AW51" s="11">
        <v>1.0139287177386318</v>
      </c>
      <c r="AX51" s="11">
        <v>0.9423716291097155</v>
      </c>
      <c r="AY51" s="11">
        <v>0.9841878294202204</v>
      </c>
      <c r="AZ51" s="11">
        <v>1.0876428960261295</v>
      </c>
      <c r="BA51" s="11">
        <v>1.0931937172774868</v>
      </c>
      <c r="BB51" s="11">
        <v>1.0452261306532664</v>
      </c>
      <c r="BC51" s="11">
        <v>1.012128780621322</v>
      </c>
      <c r="BD51" s="11">
        <v>0.9722311914756215</v>
      </c>
      <c r="BE51" s="11">
        <v>1.0231149012567324</v>
      </c>
      <c r="BF51" s="11">
        <v>1.3527454242928452</v>
      </c>
      <c r="BG51" s="11">
        <v>1.0368162170219108</v>
      </c>
      <c r="BH51" s="11">
        <v>0.9444793367667379</v>
      </c>
      <c r="BI51" s="11">
        <v>1.034289919058131</v>
      </c>
      <c r="BJ51" s="11">
        <v>1.0160577489687683</v>
      </c>
      <c r="BK51" s="11">
        <v>1.0870389085396666</v>
      </c>
      <c r="BL51" s="11">
        <v>0.8319124979893839</v>
      </c>
      <c r="BM51" s="11">
        <v>0.9977159016750055</v>
      </c>
      <c r="BN51" s="11">
        <v>1.0763723150357996</v>
      </c>
      <c r="BO51" s="11">
        <v>1.0946531791907514</v>
      </c>
      <c r="BP51" s="11">
        <v>1.0042826552462527</v>
      </c>
      <c r="BQ51" s="11">
        <v>1.0062836624775584</v>
      </c>
      <c r="BR51" s="11">
        <v>0.8877057115198451</v>
      </c>
      <c r="BS51" s="11">
        <v>1.027833668678739</v>
      </c>
      <c r="BT51" s="11">
        <v>0.8856041131105399</v>
      </c>
      <c r="BU51" s="11">
        <v>0.9976405274115198</v>
      </c>
      <c r="BV51" s="11">
        <v>1.0190387016229714</v>
      </c>
      <c r="BW51" s="11">
        <v>0.725</v>
      </c>
      <c r="BX51" s="11">
        <v>0.25</v>
      </c>
      <c r="BY51" s="11">
        <v>0.0</v>
      </c>
      <c r="BZ51" s="11">
        <v>1.1591723040191007</v>
      </c>
      <c r="CA51" s="11">
        <v>0.49922239502332816</v>
      </c>
      <c r="CB51" s="11">
        <v>1.018110180710151</v>
      </c>
    </row>
    <row r="52" ht="15.75" customHeight="1">
      <c r="A52" s="9" t="s">
        <v>176</v>
      </c>
      <c r="B52" s="9" t="s">
        <v>196</v>
      </c>
      <c r="C52" s="11">
        <v>1.0191452330303616</v>
      </c>
      <c r="D52" s="11">
        <v>0.8048780487804879</v>
      </c>
      <c r="E52" s="11">
        <v>1.2179487179487178</v>
      </c>
      <c r="F52" s="11">
        <v>1.109717868338558</v>
      </c>
      <c r="G52" s="11">
        <v>0.9694415173867229</v>
      </c>
      <c r="H52" s="11">
        <v>0.9315403422982885</v>
      </c>
      <c r="I52" s="11">
        <v>1.1086729362591432</v>
      </c>
      <c r="J52" s="11">
        <v>0.90625</v>
      </c>
      <c r="K52" s="11">
        <v>1.001492537313433</v>
      </c>
      <c r="L52" s="11">
        <v>0.8612903225806452</v>
      </c>
      <c r="M52" s="11">
        <v>1.0400381315538607</v>
      </c>
      <c r="N52" s="11">
        <v>0.9906152241918665</v>
      </c>
      <c r="O52" s="11">
        <v>1.1134751773049645</v>
      </c>
      <c r="P52" s="11">
        <v>0.6496062992125984</v>
      </c>
      <c r="Q52" s="11">
        <v>0.9752194114610222</v>
      </c>
      <c r="R52" s="11">
        <v>0.0</v>
      </c>
      <c r="S52" s="11">
        <v>0.9014084507042254</v>
      </c>
      <c r="T52" s="11">
        <v>1.0150375939849625</v>
      </c>
      <c r="U52" s="11">
        <v>1.0050167224080269</v>
      </c>
      <c r="V52" s="11">
        <v>1.0300429184549356</v>
      </c>
      <c r="W52" s="11">
        <v>0.9281437125748503</v>
      </c>
      <c r="X52" s="11">
        <v>0.9417989417989417</v>
      </c>
      <c r="Y52" s="11">
        <v>0.9407407407407408</v>
      </c>
      <c r="Z52" s="11">
        <v>0.9562043795620438</v>
      </c>
      <c r="AA52" s="11">
        <v>1.2822685139041163</v>
      </c>
      <c r="AB52" s="11">
        <v>1.0588235294117647</v>
      </c>
      <c r="AC52" s="11">
        <v>1.2806292225471412</v>
      </c>
      <c r="AD52" s="11">
        <v>1.4848484848484849</v>
      </c>
      <c r="AE52" s="11">
        <v>1.0756302521008403</v>
      </c>
      <c r="AF52" s="11">
        <v>0.72</v>
      </c>
      <c r="AG52" s="11">
        <v>1.1137931034482758</v>
      </c>
      <c r="AH52" s="11">
        <v>1.0238095238095237</v>
      </c>
      <c r="AI52" s="11">
        <v>1.0953942964252243</v>
      </c>
      <c r="AJ52" s="11">
        <v>1.084774356811472</v>
      </c>
      <c r="AK52" s="11">
        <v>1.0476878612716762</v>
      </c>
      <c r="AL52" s="11">
        <v>0.9888268156424581</v>
      </c>
      <c r="AM52" s="11">
        <v>1.1807817589576548</v>
      </c>
      <c r="AN52" s="11">
        <v>1.0212933753943219</v>
      </c>
      <c r="AO52" s="11">
        <v>1.151238591916558</v>
      </c>
      <c r="AP52" s="11">
        <v>0.9718530101641908</v>
      </c>
      <c r="AQ52" s="11">
        <v>1.0269230769230768</v>
      </c>
      <c r="AR52" s="11">
        <v>1.0432098765432098</v>
      </c>
      <c r="AS52" s="11">
        <v>1.058466211085801</v>
      </c>
      <c r="AT52" s="11">
        <v>0.9425287356321839</v>
      </c>
      <c r="AU52" s="11">
        <v>1.0207972270363952</v>
      </c>
      <c r="AV52" s="11">
        <v>1.0136986301369864</v>
      </c>
      <c r="AW52" s="11">
        <v>1.0133333333333334</v>
      </c>
      <c r="AX52" s="11">
        <v>0.973343786750294</v>
      </c>
      <c r="AY52" s="11">
        <v>1.0550146056475171</v>
      </c>
      <c r="AZ52" s="11">
        <v>1.2477477477477477</v>
      </c>
      <c r="BA52" s="11">
        <v>0.9243295019157088</v>
      </c>
      <c r="BB52" s="11">
        <v>1.126602564102564</v>
      </c>
      <c r="BC52" s="11">
        <v>1.085658750950731</v>
      </c>
      <c r="BD52" s="11">
        <v>1.0365327133842577</v>
      </c>
      <c r="BE52" s="11">
        <v>1.2101338012722087</v>
      </c>
      <c r="BF52" s="11">
        <v>0.7933579335793358</v>
      </c>
      <c r="BG52" s="11">
        <v>1.109833237492812</v>
      </c>
      <c r="BH52" s="11">
        <v>1.0913685330496077</v>
      </c>
      <c r="BI52" s="11">
        <v>1.211439954467843</v>
      </c>
      <c r="BJ52" s="11">
        <v>1.0898941568798028</v>
      </c>
      <c r="BK52" s="11">
        <v>1.0701336432306798</v>
      </c>
      <c r="BL52" s="11">
        <v>0.8847641144624904</v>
      </c>
      <c r="BM52" s="11">
        <v>1.0833424179657691</v>
      </c>
      <c r="BN52" s="11">
        <v>1.0953436807095345</v>
      </c>
      <c r="BO52" s="11">
        <v>1.1874587458745876</v>
      </c>
      <c r="BP52" s="11">
        <v>1.1257995735607675</v>
      </c>
      <c r="BQ52" s="11">
        <v>1.0779066309842402</v>
      </c>
      <c r="BR52" s="11">
        <v>1.0479825517993457</v>
      </c>
      <c r="BS52" s="11">
        <v>1.134747145187602</v>
      </c>
      <c r="BT52" s="11">
        <v>0.9702467343976778</v>
      </c>
      <c r="BU52" s="11">
        <v>1.0646911519198665</v>
      </c>
      <c r="BV52" s="11">
        <v>0.8294027565084227</v>
      </c>
      <c r="BW52" s="11">
        <v>1.0</v>
      </c>
      <c r="BX52" s="11">
        <v>3.5</v>
      </c>
      <c r="BY52" s="11">
        <v>0.0</v>
      </c>
      <c r="BZ52" s="11">
        <v>0.8420871953312736</v>
      </c>
      <c r="CA52" s="11">
        <v>0.6292834890965732</v>
      </c>
      <c r="CB52" s="11">
        <v>1.0868628582419697</v>
      </c>
    </row>
    <row r="53" ht="15.75" customHeight="1">
      <c r="A53" s="9" t="s">
        <v>177</v>
      </c>
      <c r="B53" s="9" t="s">
        <v>196</v>
      </c>
      <c r="C53" s="11">
        <v>1.094876660341556</v>
      </c>
      <c r="D53" s="11">
        <v>1.4242424242424243</v>
      </c>
      <c r="E53" s="11">
        <v>1.2771929824561403</v>
      </c>
      <c r="F53" s="11">
        <v>1.112994350282486</v>
      </c>
      <c r="G53" s="11">
        <v>1.0728260869565218</v>
      </c>
      <c r="H53" s="11">
        <v>1.1154855643044619</v>
      </c>
      <c r="I53" s="11">
        <v>1.061262959472196</v>
      </c>
      <c r="J53" s="11">
        <v>1.0459770114942528</v>
      </c>
      <c r="K53" s="11">
        <v>1.1028315946348732</v>
      </c>
      <c r="L53" s="11">
        <v>1.0711610486891385</v>
      </c>
      <c r="M53" s="11">
        <v>1.074243813015582</v>
      </c>
      <c r="N53" s="11">
        <v>1.0863157894736841</v>
      </c>
      <c r="O53" s="11">
        <v>1.0828025477707006</v>
      </c>
      <c r="P53" s="11">
        <v>1.103030303030303</v>
      </c>
      <c r="Q53" s="11">
        <v>1.0328215987294864</v>
      </c>
      <c r="R53" s="11">
        <v>0.0</v>
      </c>
      <c r="S53" s="11">
        <v>1.046875</v>
      </c>
      <c r="T53" s="11">
        <v>1.125925925925926</v>
      </c>
      <c r="U53" s="11">
        <v>0.9667221297836939</v>
      </c>
      <c r="V53" s="11">
        <v>0.9833333333333333</v>
      </c>
      <c r="W53" s="11">
        <v>0.9225806451612903</v>
      </c>
      <c r="X53" s="11">
        <v>1.0056179775280898</v>
      </c>
      <c r="Y53" s="11">
        <v>1.311023622047244</v>
      </c>
      <c r="Z53" s="11">
        <v>0.9923664122137404</v>
      </c>
      <c r="AA53" s="11">
        <v>1.3383598911776138</v>
      </c>
      <c r="AB53" s="11">
        <v>1.2777777777777777</v>
      </c>
      <c r="AC53" s="11">
        <v>1.3417322834645669</v>
      </c>
      <c r="AD53" s="11">
        <v>1.054421768707483</v>
      </c>
      <c r="AE53" s="11">
        <v>0.9583333333333334</v>
      </c>
      <c r="AF53" s="11">
        <v>1.0555555555555556</v>
      </c>
      <c r="AG53" s="11">
        <v>0.9442724458204335</v>
      </c>
      <c r="AH53" s="11">
        <v>1.0232558139534884</v>
      </c>
      <c r="AI53" s="11">
        <v>1.1058485607773636</v>
      </c>
      <c r="AJ53" s="11">
        <v>1.124416796267496</v>
      </c>
      <c r="AK53" s="11">
        <v>1.426206896551724</v>
      </c>
      <c r="AL53" s="11">
        <v>1.0112994350282485</v>
      </c>
      <c r="AM53" s="11">
        <v>1.095632183908046</v>
      </c>
      <c r="AN53" s="11">
        <v>1.1042471042471043</v>
      </c>
      <c r="AO53" s="11">
        <v>1.1585503963759909</v>
      </c>
      <c r="AP53" s="11">
        <v>1.073209975864843</v>
      </c>
      <c r="AQ53" s="11">
        <v>1.0402621722846441</v>
      </c>
      <c r="AR53" s="11">
        <v>1.042077580539119</v>
      </c>
      <c r="AS53" s="11">
        <v>1.0843495934959348</v>
      </c>
      <c r="AT53" s="11">
        <v>0.8536585365853658</v>
      </c>
      <c r="AU53" s="11">
        <v>1.0899830220713074</v>
      </c>
      <c r="AV53" s="11">
        <v>0.8843843843843844</v>
      </c>
      <c r="AW53" s="11">
        <v>1.022328548644338</v>
      </c>
      <c r="AX53" s="11">
        <v>0.9311316955296013</v>
      </c>
      <c r="AY53" s="11">
        <v>0.9838486386709737</v>
      </c>
      <c r="AZ53" s="11">
        <v>1.3850782190132371</v>
      </c>
      <c r="BA53" s="11">
        <v>1.1357512953367876</v>
      </c>
      <c r="BB53" s="11">
        <v>1.1172119487908962</v>
      </c>
      <c r="BC53" s="11">
        <v>1.071022683044541</v>
      </c>
      <c r="BD53" s="11">
        <v>1.1223966677347004</v>
      </c>
      <c r="BE53" s="11">
        <v>1.1315932572050027</v>
      </c>
      <c r="BF53" s="11">
        <v>1.3488372093023255</v>
      </c>
      <c r="BG53" s="11">
        <v>1.056476683937824</v>
      </c>
      <c r="BH53" s="11">
        <v>1.0711674384596637</v>
      </c>
      <c r="BI53" s="11">
        <v>1.0016443504815598</v>
      </c>
      <c r="BJ53" s="11">
        <v>1.0364507117201012</v>
      </c>
      <c r="BK53" s="11">
        <v>1.107672259325623</v>
      </c>
      <c r="BL53" s="11">
        <v>0.986451048951049</v>
      </c>
      <c r="BM53" s="11">
        <v>1.070188679245283</v>
      </c>
      <c r="BN53" s="11">
        <v>1.034412955465587</v>
      </c>
      <c r="BO53" s="11">
        <v>1.0906058921623123</v>
      </c>
      <c r="BP53" s="11">
        <v>1.0643939393939394</v>
      </c>
      <c r="BQ53" s="11">
        <v>1.1268965517241378</v>
      </c>
      <c r="BR53" s="11">
        <v>1.093652445369407</v>
      </c>
      <c r="BS53" s="11">
        <v>1.0598044853364001</v>
      </c>
      <c r="BT53" s="11">
        <v>0.9887808526551982</v>
      </c>
      <c r="BU53" s="11">
        <v>1.0572324578596628</v>
      </c>
      <c r="BV53" s="11">
        <v>1.0952732644017724</v>
      </c>
      <c r="BW53" s="11">
        <v>1.0344827586206897</v>
      </c>
      <c r="BX53" s="11">
        <v>0.42857142857142855</v>
      </c>
      <c r="BY53" s="11">
        <v>0.0</v>
      </c>
      <c r="BZ53" s="11">
        <v>1.1402364451691807</v>
      </c>
      <c r="CA53" s="11">
        <v>0.6732673267326733</v>
      </c>
      <c r="CB53" s="11">
        <v>1.1015042650338016</v>
      </c>
    </row>
    <row r="54" ht="15.75" customHeight="1">
      <c r="A54" s="9" t="s">
        <v>178</v>
      </c>
      <c r="B54" s="9" t="s">
        <v>196</v>
      </c>
      <c r="C54" s="11">
        <v>1.108318890814558</v>
      </c>
      <c r="D54" s="11">
        <v>1.3191489361702127</v>
      </c>
      <c r="E54" s="11">
        <v>1.0494505494505495</v>
      </c>
      <c r="F54" s="11">
        <v>1.116751269035533</v>
      </c>
      <c r="G54" s="11">
        <v>1.1469098277608916</v>
      </c>
      <c r="H54" s="11">
        <v>1.171764705882353</v>
      </c>
      <c r="I54" s="11">
        <v>1.1003552397868561</v>
      </c>
      <c r="J54" s="11">
        <v>1.0274725274725274</v>
      </c>
      <c r="K54" s="11">
        <v>1.0756756756756756</v>
      </c>
      <c r="L54" s="11">
        <v>1.2482517482517483</v>
      </c>
      <c r="M54" s="11">
        <v>1.0580204778156996</v>
      </c>
      <c r="N54" s="11">
        <v>1.2393410852713178</v>
      </c>
      <c r="O54" s="11">
        <v>1.2317647058823529</v>
      </c>
      <c r="P54" s="11">
        <v>1.2747252747252746</v>
      </c>
      <c r="Q54" s="11">
        <v>1.1358277806253203</v>
      </c>
      <c r="R54" s="11">
        <v>0.0</v>
      </c>
      <c r="S54" s="11">
        <v>0.9402985074626866</v>
      </c>
      <c r="T54" s="11">
        <v>1.2236842105263157</v>
      </c>
      <c r="U54" s="11">
        <v>0.9449225473321858</v>
      </c>
      <c r="V54" s="11">
        <v>1.0381355932203389</v>
      </c>
      <c r="W54" s="11">
        <v>1.0419580419580419</v>
      </c>
      <c r="X54" s="11">
        <v>0.9553072625698324</v>
      </c>
      <c r="Y54" s="11">
        <v>1.6846846846846846</v>
      </c>
      <c r="Z54" s="11">
        <v>1.123076923076923</v>
      </c>
      <c r="AA54" s="11">
        <v>1.3463816935764896</v>
      </c>
      <c r="AB54" s="11">
        <v>0.8260869565217391</v>
      </c>
      <c r="AC54" s="11">
        <v>1.3120892018779342</v>
      </c>
      <c r="AD54" s="11">
        <v>5.193548387096774</v>
      </c>
      <c r="AE54" s="11">
        <v>1.3016304347826086</v>
      </c>
      <c r="AF54" s="11">
        <v>1.0</v>
      </c>
      <c r="AG54" s="11">
        <v>1.340983606557377</v>
      </c>
      <c r="AH54" s="11">
        <v>1.1590909090909092</v>
      </c>
      <c r="AI54" s="11">
        <v>1.0488532743851893</v>
      </c>
      <c r="AJ54" s="11">
        <v>1.1065006915629323</v>
      </c>
      <c r="AK54" s="11">
        <v>1.056092843326886</v>
      </c>
      <c r="AL54" s="11">
        <v>1.1229050279329609</v>
      </c>
      <c r="AM54" s="11">
        <v>1.0183242411526088</v>
      </c>
      <c r="AN54" s="11">
        <v>1.0846153846153845</v>
      </c>
      <c r="AO54" s="11">
        <v>0.7605083088954057</v>
      </c>
      <c r="AP54" s="11">
        <v>1.1446776611694154</v>
      </c>
      <c r="AQ54" s="11">
        <v>1.0963096309630964</v>
      </c>
      <c r="AR54" s="11">
        <v>1.0914826498422714</v>
      </c>
      <c r="AS54" s="11">
        <v>1.0719444291306026</v>
      </c>
      <c r="AT54" s="11">
        <v>1.042857142857143</v>
      </c>
      <c r="AU54" s="11">
        <v>1.2050882658359294</v>
      </c>
      <c r="AV54" s="11">
        <v>1.069609507640068</v>
      </c>
      <c r="AW54" s="11">
        <v>1.0245709828393135</v>
      </c>
      <c r="AX54" s="11">
        <v>1.0540657439446366</v>
      </c>
      <c r="AY54" s="11">
        <v>1.0628517823639776</v>
      </c>
      <c r="AZ54" s="11">
        <v>0.9548218940052129</v>
      </c>
      <c r="BA54" s="11">
        <v>1.3512773722627738</v>
      </c>
      <c r="BB54" s="11">
        <v>1.079449961802903</v>
      </c>
      <c r="BC54" s="11">
        <v>1.0878406860963732</v>
      </c>
      <c r="BD54" s="11">
        <v>1.0451041964030832</v>
      </c>
      <c r="BE54" s="11">
        <v>1.0941854877462758</v>
      </c>
      <c r="BF54" s="11">
        <v>0.8344827586206897</v>
      </c>
      <c r="BG54" s="11">
        <v>1.141981363413438</v>
      </c>
      <c r="BH54" s="11">
        <v>1.1034129692832764</v>
      </c>
      <c r="BI54" s="11">
        <v>1.1457551594746718</v>
      </c>
      <c r="BJ54" s="11">
        <v>1.0816326530612246</v>
      </c>
      <c r="BK54" s="11">
        <v>1.0531372549019609</v>
      </c>
      <c r="BL54" s="11">
        <v>1.0910500664599025</v>
      </c>
      <c r="BM54" s="11">
        <v>1.0914903620122238</v>
      </c>
      <c r="BN54" s="11">
        <v>1.1565557729941291</v>
      </c>
      <c r="BO54" s="11">
        <v>1.1462793068297656</v>
      </c>
      <c r="BP54" s="11">
        <v>1.0658362989323844</v>
      </c>
      <c r="BQ54" s="11">
        <v>1.065361077111383</v>
      </c>
      <c r="BR54" s="11">
        <v>1.1065651760228354</v>
      </c>
      <c r="BS54" s="11">
        <v>1.1017362995116657</v>
      </c>
      <c r="BT54" s="11">
        <v>0.9962178517397882</v>
      </c>
      <c r="BU54" s="11">
        <v>1.0980101347175875</v>
      </c>
      <c r="BV54" s="11">
        <v>2.0209035738368173</v>
      </c>
      <c r="BW54" s="11">
        <v>1.3666666666666667</v>
      </c>
      <c r="BX54" s="11">
        <v>0.3333333333333333</v>
      </c>
      <c r="BY54" s="11">
        <v>0.0</v>
      </c>
      <c r="BZ54" s="11">
        <v>2.0704326063639615</v>
      </c>
      <c r="CA54" s="11">
        <v>1.1838235294117647</v>
      </c>
      <c r="CB54" s="11">
        <v>1.1312177064856945</v>
      </c>
    </row>
    <row r="55" ht="15.75" customHeight="1">
      <c r="A55" s="9" t="s">
        <v>179</v>
      </c>
      <c r="B55" s="9" t="s">
        <v>196</v>
      </c>
      <c r="C55" s="11">
        <v>1.1247849882720875</v>
      </c>
      <c r="D55" s="11">
        <v>0.8709677419354839</v>
      </c>
      <c r="E55" s="11">
        <v>1.243455497382199</v>
      </c>
      <c r="F55" s="11">
        <v>1.0977272727272727</v>
      </c>
      <c r="G55" s="11">
        <v>1.0185512367491165</v>
      </c>
      <c r="H55" s="11">
        <v>1.140562248995984</v>
      </c>
      <c r="I55" s="11">
        <v>1.1339790153349476</v>
      </c>
      <c r="J55" s="11">
        <v>1.2032085561497325</v>
      </c>
      <c r="K55" s="11">
        <v>1.1394472361809045</v>
      </c>
      <c r="L55" s="11">
        <v>1.42296918767507</v>
      </c>
      <c r="M55" s="11">
        <v>1.0975806451612904</v>
      </c>
      <c r="N55" s="11">
        <v>1.1188428459734168</v>
      </c>
      <c r="O55" s="11">
        <v>1.1556829035339065</v>
      </c>
      <c r="P55" s="11">
        <v>0.9525862068965517</v>
      </c>
      <c r="Q55" s="11">
        <v>1.1155234657039712</v>
      </c>
      <c r="R55" s="11">
        <v>0.0</v>
      </c>
      <c r="S55" s="11">
        <v>1.126984126984127</v>
      </c>
      <c r="T55" s="11">
        <v>0.8978494623655914</v>
      </c>
      <c r="U55" s="11">
        <v>1.169398907103825</v>
      </c>
      <c r="V55" s="11">
        <v>1.1673469387755102</v>
      </c>
      <c r="W55" s="11">
        <v>0.9463087248322147</v>
      </c>
      <c r="X55" s="11">
        <v>1.0467836257309941</v>
      </c>
      <c r="Y55" s="11">
        <v>1.2299465240641712</v>
      </c>
      <c r="Z55" s="11">
        <v>1.0136986301369864</v>
      </c>
      <c r="AA55" s="11">
        <v>1.0544387887153825</v>
      </c>
      <c r="AB55" s="11">
        <v>1.0</v>
      </c>
      <c r="AC55" s="11">
        <v>1.0474550496466588</v>
      </c>
      <c r="AD55" s="11">
        <v>1.2496894409937889</v>
      </c>
      <c r="AE55" s="11">
        <v>1.11482254697286</v>
      </c>
      <c r="AF55" s="11">
        <v>1.5263157894736843</v>
      </c>
      <c r="AG55" s="11">
        <v>1.1124694376528117</v>
      </c>
      <c r="AH55" s="11">
        <v>0.9803921568627451</v>
      </c>
      <c r="AI55" s="11">
        <v>1.0765583012803626</v>
      </c>
      <c r="AJ55" s="11">
        <v>1.05875</v>
      </c>
      <c r="AK55" s="11">
        <v>0.9816849816849816</v>
      </c>
      <c r="AL55" s="11">
        <v>0.9933665008291874</v>
      </c>
      <c r="AM55" s="11">
        <v>1.0979395604395605</v>
      </c>
      <c r="AN55" s="11">
        <v>1.0373952288845907</v>
      </c>
      <c r="AO55" s="11">
        <v>1.1876606683804627</v>
      </c>
      <c r="AP55" s="11">
        <v>1.1414538310412574</v>
      </c>
      <c r="AQ55" s="11">
        <v>1.0714285714285714</v>
      </c>
      <c r="AR55" s="11">
        <v>1.0398843930635837</v>
      </c>
      <c r="AS55" s="11">
        <v>1.092984982513886</v>
      </c>
      <c r="AT55" s="11">
        <v>1.178082191780822</v>
      </c>
      <c r="AU55" s="11">
        <v>1.059887979319259</v>
      </c>
      <c r="AV55" s="11">
        <v>1.0269841269841269</v>
      </c>
      <c r="AW55" s="11">
        <v>1.0468214693566806</v>
      </c>
      <c r="AX55" s="11">
        <v>1.0147722609766106</v>
      </c>
      <c r="AY55" s="11">
        <v>1.0511915269196823</v>
      </c>
      <c r="AZ55" s="11">
        <v>1.1507430997876857</v>
      </c>
      <c r="BA55" s="11">
        <v>1.2694125590817016</v>
      </c>
      <c r="BB55" s="11">
        <v>1.1073366359990564</v>
      </c>
      <c r="BC55" s="11">
        <v>1.055105694967797</v>
      </c>
      <c r="BD55" s="11">
        <v>1.0789401802786125</v>
      </c>
      <c r="BE55" s="11">
        <v>1.0374762113892548</v>
      </c>
      <c r="BF55" s="11">
        <v>1.1143250688705235</v>
      </c>
      <c r="BG55" s="11">
        <v>1.063989692935366</v>
      </c>
      <c r="BH55" s="11">
        <v>0.925765542839468</v>
      </c>
      <c r="BI55" s="11">
        <v>1.117285845870433</v>
      </c>
      <c r="BJ55" s="11">
        <v>1.0571971045449151</v>
      </c>
      <c r="BK55" s="11">
        <v>1.1314932042450196</v>
      </c>
      <c r="BL55" s="11">
        <v>0.8308629441624366</v>
      </c>
      <c r="BM55" s="11">
        <v>1.0546605789110959</v>
      </c>
      <c r="BN55" s="11">
        <v>1.120135363790186</v>
      </c>
      <c r="BO55" s="11">
        <v>1.0827034237438862</v>
      </c>
      <c r="BP55" s="11">
        <v>1.0984974958263773</v>
      </c>
      <c r="BQ55" s="11">
        <v>1.0259650735294117</v>
      </c>
      <c r="BR55" s="11">
        <v>1.0060189165950129</v>
      </c>
      <c r="BS55" s="11">
        <v>1.0396454075350898</v>
      </c>
      <c r="BT55" s="11">
        <v>1.0220197418375094</v>
      </c>
      <c r="BU55" s="11">
        <v>1.0723773075191356</v>
      </c>
      <c r="BV55" s="11">
        <v>1.097263930597264</v>
      </c>
      <c r="BW55" s="11">
        <v>0.926829268292683</v>
      </c>
      <c r="BX55" s="11">
        <v>3.0</v>
      </c>
      <c r="BY55" s="11">
        <v>0.0</v>
      </c>
      <c r="BZ55" s="11">
        <v>1.0581937489207391</v>
      </c>
      <c r="CA55" s="11">
        <v>2.5341614906832297</v>
      </c>
      <c r="CB55" s="11">
        <v>1.066809830589358</v>
      </c>
    </row>
    <row r="56" ht="15.75" customHeight="1">
      <c r="A56" s="9" t="s">
        <v>180</v>
      </c>
      <c r="B56" s="9" t="s">
        <v>196</v>
      </c>
      <c r="C56" s="11">
        <v>1.1513971917141665</v>
      </c>
      <c r="D56" s="11">
        <v>1.287037037037037</v>
      </c>
      <c r="E56" s="11">
        <v>1.0336842105263158</v>
      </c>
      <c r="F56" s="11">
        <v>1.4057971014492754</v>
      </c>
      <c r="G56" s="11">
        <v>1.0537727666955767</v>
      </c>
      <c r="H56" s="11">
        <v>1.3450704225352113</v>
      </c>
      <c r="I56" s="11">
        <v>1.1779359430604983</v>
      </c>
      <c r="J56" s="11">
        <v>1.0533333333333332</v>
      </c>
      <c r="K56" s="11">
        <v>1.1984564498346195</v>
      </c>
      <c r="L56" s="11">
        <v>1.1141732283464567</v>
      </c>
      <c r="M56" s="11">
        <v>1.064658339456282</v>
      </c>
      <c r="N56" s="11">
        <v>1.1579315164220825</v>
      </c>
      <c r="O56" s="11">
        <v>1.2148760330578512</v>
      </c>
      <c r="P56" s="11">
        <v>0.8461538461538461</v>
      </c>
      <c r="Q56" s="11">
        <v>1.1634304207119741</v>
      </c>
      <c r="R56" s="11">
        <v>0.0</v>
      </c>
      <c r="S56" s="11">
        <v>0.8169014084507042</v>
      </c>
      <c r="T56" s="11">
        <v>1.3652694610778444</v>
      </c>
      <c r="U56" s="11">
        <v>1.0311526479750779</v>
      </c>
      <c r="V56" s="11">
        <v>1.132867132867133</v>
      </c>
      <c r="W56" s="11">
        <v>0.9929078014184397</v>
      </c>
      <c r="X56" s="11">
        <v>3.0558659217877095</v>
      </c>
      <c r="Y56" s="11">
        <v>0.8405797101449275</v>
      </c>
      <c r="Z56" s="11">
        <v>1.1385135135135136</v>
      </c>
      <c r="AA56" s="11">
        <v>1.452012763868434</v>
      </c>
      <c r="AB56" s="11">
        <v>1.4210526315789473</v>
      </c>
      <c r="AC56" s="11">
        <v>1.436226995174858</v>
      </c>
      <c r="AD56" s="11">
        <v>1.820079522862823</v>
      </c>
      <c r="AE56" s="11">
        <v>1.1329588014981273</v>
      </c>
      <c r="AF56" s="11">
        <v>1.3448275862068966</v>
      </c>
      <c r="AG56" s="11">
        <v>1.0945054945054946</v>
      </c>
      <c r="AH56" s="11">
        <v>1.36</v>
      </c>
      <c r="AI56" s="11">
        <v>1.1670418950665622</v>
      </c>
      <c r="AJ56" s="11">
        <v>1.072314049586777</v>
      </c>
      <c r="AK56" s="11">
        <v>1.7042910447761195</v>
      </c>
      <c r="AL56" s="11">
        <v>1.1686143572621035</v>
      </c>
      <c r="AM56" s="11">
        <v>1.0430376579507068</v>
      </c>
      <c r="AN56" s="11">
        <v>1.0602858918582971</v>
      </c>
      <c r="AO56" s="11">
        <v>2.4372294372294374</v>
      </c>
      <c r="AP56" s="11">
        <v>1.0481927710843373</v>
      </c>
      <c r="AQ56" s="11">
        <v>1.0827586206896551</v>
      </c>
      <c r="AR56" s="11">
        <v>1.1951083935519733</v>
      </c>
      <c r="AS56" s="11">
        <v>1.181441746659138</v>
      </c>
      <c r="AT56" s="11">
        <v>1.0988372093023255</v>
      </c>
      <c r="AU56" s="11">
        <v>1.102439024390244</v>
      </c>
      <c r="AV56" s="11">
        <v>1.0989180834621328</v>
      </c>
      <c r="AW56" s="11">
        <v>1.053090909090909</v>
      </c>
      <c r="AX56" s="11">
        <v>1.0537808329963607</v>
      </c>
      <c r="AY56" s="11">
        <v>1.1553316540722083</v>
      </c>
      <c r="AZ56" s="11">
        <v>1.4243542435424354</v>
      </c>
      <c r="BA56" s="11">
        <v>1.2095744680851064</v>
      </c>
      <c r="BB56" s="11">
        <v>1.1853429910524074</v>
      </c>
      <c r="BC56" s="11">
        <v>1.1148020566854944</v>
      </c>
      <c r="BD56" s="11">
        <v>1.2896202531645569</v>
      </c>
      <c r="BE56" s="11">
        <v>1.2153238323691267</v>
      </c>
      <c r="BF56" s="11">
        <v>0.9715698393077874</v>
      </c>
      <c r="BG56" s="11">
        <v>1.1029263370332998</v>
      </c>
      <c r="BH56" s="11">
        <v>0.9963247577681257</v>
      </c>
      <c r="BI56" s="11">
        <v>1.025648071814601</v>
      </c>
      <c r="BJ56" s="11">
        <v>1.1040520821641038</v>
      </c>
      <c r="BK56" s="11">
        <v>1.0884034719651159</v>
      </c>
      <c r="BL56" s="11">
        <v>1.5070869990224829</v>
      </c>
      <c r="BM56" s="11">
        <v>1.1379620175617726</v>
      </c>
      <c r="BN56" s="11">
        <v>1.1858006042296072</v>
      </c>
      <c r="BO56" s="11">
        <v>1.151129363449692</v>
      </c>
      <c r="BP56" s="11">
        <v>1.1580547112462005</v>
      </c>
      <c r="BQ56" s="11">
        <v>1.1307950727883538</v>
      </c>
      <c r="BR56" s="11">
        <v>1.1136752136752137</v>
      </c>
      <c r="BS56" s="11">
        <v>1.1470866887730933</v>
      </c>
      <c r="BT56" s="11">
        <v>1.0594353640416048</v>
      </c>
      <c r="BU56" s="11">
        <v>1.1432770022042615</v>
      </c>
      <c r="BV56" s="11">
        <v>1.85327656986468</v>
      </c>
      <c r="BW56" s="11">
        <v>1.3421052631578947</v>
      </c>
      <c r="BX56" s="11">
        <v>2.0</v>
      </c>
      <c r="BY56" s="11">
        <v>0.0</v>
      </c>
      <c r="BZ56" s="11">
        <v>1.5882832898172323</v>
      </c>
      <c r="CA56" s="11">
        <v>5.879901960784314</v>
      </c>
      <c r="CB56" s="11">
        <v>1.2032303415662844</v>
      </c>
    </row>
    <row r="57" ht="15.75" customHeight="1">
      <c r="A57" s="9" t="s">
        <v>181</v>
      </c>
      <c r="B57" s="9" t="s">
        <v>196</v>
      </c>
      <c r="C57" s="11">
        <v>1.043226273846897</v>
      </c>
      <c r="D57" s="11">
        <v>0.7266187050359713</v>
      </c>
      <c r="E57" s="11">
        <v>1.1690427698574337</v>
      </c>
      <c r="F57" s="11">
        <v>0.7982326951399117</v>
      </c>
      <c r="G57" s="11">
        <v>1.042798353909465</v>
      </c>
      <c r="H57" s="11">
        <v>1.0903141361256545</v>
      </c>
      <c r="I57" s="11">
        <v>0.9734138972809667</v>
      </c>
      <c r="J57" s="11">
        <v>1.2025316455696202</v>
      </c>
      <c r="K57" s="11">
        <v>1.112235510579577</v>
      </c>
      <c r="L57" s="11">
        <v>1.0512367491166077</v>
      </c>
      <c r="M57" s="11">
        <v>1.1200828157349896</v>
      </c>
      <c r="N57" s="11">
        <v>1.0543150271575137</v>
      </c>
      <c r="O57" s="11">
        <v>1.0</v>
      </c>
      <c r="P57" s="11">
        <v>1.481283422459893</v>
      </c>
      <c r="Q57" s="11">
        <v>0.6957579972183588</v>
      </c>
      <c r="R57" s="11">
        <v>0.0</v>
      </c>
      <c r="S57" s="11">
        <v>0.8620689655172413</v>
      </c>
      <c r="T57" s="11">
        <v>0.5657894736842105</v>
      </c>
      <c r="U57" s="11">
        <v>0.8580060422960725</v>
      </c>
      <c r="V57" s="11">
        <v>0.558641975308642</v>
      </c>
      <c r="W57" s="11">
        <v>0.9857142857142858</v>
      </c>
      <c r="X57" s="11">
        <v>0.28153564899451555</v>
      </c>
      <c r="Y57" s="11">
        <v>0.7637931034482759</v>
      </c>
      <c r="Z57" s="11">
        <v>1.002967359050445</v>
      </c>
      <c r="AA57" s="11">
        <v>0.7159721635252021</v>
      </c>
      <c r="AB57" s="11">
        <v>0.9259259259259259</v>
      </c>
      <c r="AC57" s="11">
        <v>0.6874981418165601</v>
      </c>
      <c r="AD57" s="11">
        <v>1.2359366466411796</v>
      </c>
      <c r="AE57" s="11">
        <v>0.9272727272727272</v>
      </c>
      <c r="AF57" s="11">
        <v>0.7692307692307693</v>
      </c>
      <c r="AG57" s="11">
        <v>0.9377510040160643</v>
      </c>
      <c r="AH57" s="11">
        <v>0.9411764705882353</v>
      </c>
      <c r="AI57" s="11">
        <v>0.919647724889914</v>
      </c>
      <c r="AJ57" s="11">
        <v>0.8805394990366089</v>
      </c>
      <c r="AK57" s="11">
        <v>0.7339901477832512</v>
      </c>
      <c r="AL57" s="11">
        <v>0.8842857142857142</v>
      </c>
      <c r="AM57" s="11">
        <v>1.124025428811323</v>
      </c>
      <c r="AN57" s="11">
        <v>1.0791324736225087</v>
      </c>
      <c r="AO57" s="11">
        <v>0.4178507992895204</v>
      </c>
      <c r="AP57" s="11">
        <v>0.7131910235358512</v>
      </c>
      <c r="AQ57" s="11">
        <v>0.9547062986553433</v>
      </c>
      <c r="AR57" s="11">
        <v>0.913953488372093</v>
      </c>
      <c r="AS57" s="11">
        <v>0.86378843396527</v>
      </c>
      <c r="AT57" s="11">
        <v>0.7513227513227513</v>
      </c>
      <c r="AU57" s="11">
        <v>0.9708702064896755</v>
      </c>
      <c r="AV57" s="11">
        <v>0.8846694796061885</v>
      </c>
      <c r="AW57" s="11">
        <v>0.9074585635359116</v>
      </c>
      <c r="AX57" s="11">
        <v>0.9328472755180353</v>
      </c>
      <c r="AY57" s="11">
        <v>0.9571220930232558</v>
      </c>
      <c r="AZ57" s="11">
        <v>0.670059215396003</v>
      </c>
      <c r="BA57" s="11">
        <v>0.793315743183817</v>
      </c>
      <c r="BB57" s="11">
        <v>0.9284687275341481</v>
      </c>
      <c r="BC57" s="11">
        <v>0.8683699319526963</v>
      </c>
      <c r="BD57" s="11">
        <v>0.9458186101295641</v>
      </c>
      <c r="BE57" s="11">
        <v>0.8032044583768722</v>
      </c>
      <c r="BF57" s="11">
        <v>0.8078880407124682</v>
      </c>
      <c r="BG57" s="11">
        <v>1.1084172003659651</v>
      </c>
      <c r="BH57" s="11">
        <v>0.9523809523809523</v>
      </c>
      <c r="BI57" s="11">
        <v>1.044118960435831</v>
      </c>
      <c r="BJ57" s="11">
        <v>0.9728548190321269</v>
      </c>
      <c r="BK57" s="11">
        <v>0.7547433668455665</v>
      </c>
      <c r="BL57" s="11">
        <v>0.35754824063564133</v>
      </c>
      <c r="BM57" s="11">
        <v>0.983131751785522</v>
      </c>
      <c r="BN57" s="11">
        <v>1.002547770700637</v>
      </c>
      <c r="BO57" s="11">
        <v>0.9393506956831966</v>
      </c>
      <c r="BP57" s="11">
        <v>1.026246719160105</v>
      </c>
      <c r="BQ57" s="11">
        <v>1.0144583085759555</v>
      </c>
      <c r="BR57" s="11">
        <v>1.0092095165003838</v>
      </c>
      <c r="BS57" s="11">
        <v>0.985339665496593</v>
      </c>
      <c r="BT57" s="11">
        <v>1.0245441795231416</v>
      </c>
      <c r="BU57" s="11">
        <v>0.9659383033419023</v>
      </c>
      <c r="BV57" s="11">
        <v>1.2092870621051768</v>
      </c>
      <c r="BW57" s="11">
        <v>1.0</v>
      </c>
      <c r="BX57" s="11">
        <v>0.6666666666666666</v>
      </c>
      <c r="BY57" s="11">
        <v>0.0</v>
      </c>
      <c r="BZ57" s="11">
        <v>0.9450323641220589</v>
      </c>
      <c r="CA57" s="11">
        <v>2.287203001250521</v>
      </c>
      <c r="CB57" s="11">
        <v>0.887609816548275</v>
      </c>
    </row>
    <row r="58" ht="15.75" customHeight="1">
      <c r="A58" s="9" t="s">
        <v>182</v>
      </c>
      <c r="B58" s="9" t="s">
        <v>196</v>
      </c>
      <c r="C58" s="11">
        <v>1.0006944444444446</v>
      </c>
      <c r="D58" s="11">
        <v>1.1287128712871286</v>
      </c>
      <c r="E58" s="11">
        <v>1.0</v>
      </c>
      <c r="F58" s="11">
        <v>1.2361623616236161</v>
      </c>
      <c r="G58" s="11">
        <v>1.0031570639305445</v>
      </c>
      <c r="H58" s="11">
        <v>0.9243697478991597</v>
      </c>
      <c r="I58" s="11">
        <v>0.9664804469273743</v>
      </c>
      <c r="J58" s="11">
        <v>1.0736842105263158</v>
      </c>
      <c r="K58" s="11">
        <v>0.9801488833746899</v>
      </c>
      <c r="L58" s="11">
        <v>0.9428571428571428</v>
      </c>
      <c r="M58" s="11">
        <v>1.009242144177449</v>
      </c>
      <c r="N58" s="11">
        <v>0.976531196336577</v>
      </c>
      <c r="O58" s="11">
        <v>0.9891156462585035</v>
      </c>
      <c r="P58" s="11">
        <v>0.9097472924187726</v>
      </c>
      <c r="Q58" s="11">
        <v>1.1649175412293853</v>
      </c>
      <c r="R58" s="11">
        <v>0.0</v>
      </c>
      <c r="S58" s="11">
        <v>1.04</v>
      </c>
      <c r="T58" s="11">
        <v>0.9922480620155039</v>
      </c>
      <c r="U58" s="11">
        <v>1.1830985915492958</v>
      </c>
      <c r="V58" s="11">
        <v>1.0386740331491713</v>
      </c>
      <c r="W58" s="11">
        <v>0.782608695652174</v>
      </c>
      <c r="X58" s="11">
        <v>1.2792207792207793</v>
      </c>
      <c r="Y58" s="11">
        <v>1.528216704288939</v>
      </c>
      <c r="Z58" s="11">
        <v>0.9142011834319527</v>
      </c>
      <c r="AA58" s="11">
        <v>1.1350149535652447</v>
      </c>
      <c r="AB58" s="11">
        <v>1.72</v>
      </c>
      <c r="AC58" s="11">
        <v>1.1555959176613042</v>
      </c>
      <c r="AD58" s="11">
        <v>0.9182501104728237</v>
      </c>
      <c r="AE58" s="11">
        <v>0.9358288770053476</v>
      </c>
      <c r="AF58" s="11">
        <v>1.2333333333333334</v>
      </c>
      <c r="AG58" s="11">
        <v>0.9250535331905781</v>
      </c>
      <c r="AH58" s="11">
        <v>0.875</v>
      </c>
      <c r="AI58" s="11">
        <v>1.0413607551643942</v>
      </c>
      <c r="AJ58" s="11">
        <v>1.058143169740544</v>
      </c>
      <c r="AK58" s="11">
        <v>0.8210290827740492</v>
      </c>
      <c r="AL58" s="11">
        <v>1.0145395799676897</v>
      </c>
      <c r="AM58" s="11">
        <v>1.0271048980898516</v>
      </c>
      <c r="AN58" s="11">
        <v>0.997827267789245</v>
      </c>
      <c r="AO58" s="11">
        <v>1.40807651434644</v>
      </c>
      <c r="AP58" s="11">
        <v>1.1212586339217192</v>
      </c>
      <c r="AQ58" s="11">
        <v>1.0429948109710896</v>
      </c>
      <c r="AR58" s="11">
        <v>1.0519083969465648</v>
      </c>
      <c r="AS58" s="11">
        <v>1.0550534857985983</v>
      </c>
      <c r="AT58" s="11">
        <v>0.9929577464788732</v>
      </c>
      <c r="AU58" s="11">
        <v>1.1230535510824156</v>
      </c>
      <c r="AV58" s="11">
        <v>1.1399046104928459</v>
      </c>
      <c r="AW58" s="11">
        <v>1.0787671232876712</v>
      </c>
      <c r="AX58" s="11">
        <v>1.0</v>
      </c>
      <c r="AY58" s="11">
        <v>0.9665907365223994</v>
      </c>
      <c r="AZ58" s="11">
        <v>1.0289975144987573</v>
      </c>
      <c r="BA58" s="11">
        <v>1.375831485587583</v>
      </c>
      <c r="BB58" s="11">
        <v>0.9769647696476965</v>
      </c>
      <c r="BC58" s="11">
        <v>1.0758110936682366</v>
      </c>
      <c r="BD58" s="11">
        <v>0.8833540888335409</v>
      </c>
      <c r="BE58" s="11">
        <v>1.001879155825383</v>
      </c>
      <c r="BF58" s="11">
        <v>0.9937007874015747</v>
      </c>
      <c r="BG58" s="11">
        <v>0.8659513000412712</v>
      </c>
      <c r="BH58" s="11">
        <v>1.1205399061032864</v>
      </c>
      <c r="BI58" s="11">
        <v>0.9766487041313832</v>
      </c>
      <c r="BJ58" s="11">
        <v>1.1198662347162713</v>
      </c>
      <c r="BK58" s="11">
        <v>1.3166407932295057</v>
      </c>
      <c r="BL58" s="11">
        <v>0.8857142857142857</v>
      </c>
      <c r="BM58" s="11">
        <v>0.9958018471872376</v>
      </c>
      <c r="BN58" s="11">
        <v>1.1016518424396442</v>
      </c>
      <c r="BO58" s="11">
        <v>0.9984808203570072</v>
      </c>
      <c r="BP58" s="11">
        <v>0.9718670076726342</v>
      </c>
      <c r="BQ58" s="11">
        <v>1.0501757126122608</v>
      </c>
      <c r="BR58" s="11">
        <v>1.0212927756653993</v>
      </c>
      <c r="BS58" s="11">
        <v>0.9997904442581727</v>
      </c>
      <c r="BT58" s="11">
        <v>0.9342915811088296</v>
      </c>
      <c r="BU58" s="11">
        <v>0.9660678642714571</v>
      </c>
      <c r="BV58" s="11">
        <v>0.8955223880597015</v>
      </c>
      <c r="BW58" s="11">
        <v>0.7450980392156863</v>
      </c>
      <c r="BX58" s="11">
        <v>3.25</v>
      </c>
      <c r="BY58" s="11">
        <v>0.0</v>
      </c>
      <c r="BZ58" s="11">
        <v>0.766253533376821</v>
      </c>
      <c r="CA58" s="11">
        <v>1.1115363586659377</v>
      </c>
      <c r="CB58" s="11">
        <v>1.0495185763222323</v>
      </c>
    </row>
    <row r="59" ht="15.75" customHeight="1">
      <c r="A59" s="9" t="s">
        <v>183</v>
      </c>
      <c r="B59" s="9" t="s">
        <v>196</v>
      </c>
      <c r="C59" s="11">
        <v>1.0697432338653712</v>
      </c>
      <c r="D59" s="11">
        <v>0.9736842105263158</v>
      </c>
      <c r="E59" s="11">
        <v>0.9616724738675958</v>
      </c>
      <c r="F59" s="11">
        <v>1.0</v>
      </c>
      <c r="G59" s="11">
        <v>1.0267505900865461</v>
      </c>
      <c r="H59" s="11">
        <v>1.044155844155844</v>
      </c>
      <c r="I59" s="11">
        <v>1.1830443159922928</v>
      </c>
      <c r="J59" s="11">
        <v>1.2352941176470589</v>
      </c>
      <c r="K59" s="11">
        <v>1.1434599156118144</v>
      </c>
      <c r="L59" s="11">
        <v>0.9786096256684492</v>
      </c>
      <c r="M59" s="11">
        <v>1.0274725274725274</v>
      </c>
      <c r="N59" s="11">
        <v>1.063892145369285</v>
      </c>
      <c r="O59" s="11">
        <v>1.0570839064649244</v>
      </c>
      <c r="P59" s="11">
        <v>1.1031746031746033</v>
      </c>
      <c r="Q59" s="11">
        <v>1.1879021879021878</v>
      </c>
      <c r="R59" s="11">
        <v>0.0</v>
      </c>
      <c r="S59" s="11">
        <v>0.8846153846153846</v>
      </c>
      <c r="T59" s="11">
        <v>1.171875</v>
      </c>
      <c r="U59" s="11">
        <v>0.9806547619047619</v>
      </c>
      <c r="V59" s="11">
        <v>0.973404255319149</v>
      </c>
      <c r="W59" s="11">
        <v>1.0555555555555556</v>
      </c>
      <c r="X59" s="11">
        <v>1.4619289340101522</v>
      </c>
      <c r="Y59" s="11">
        <v>1.4608567208271788</v>
      </c>
      <c r="Z59" s="11">
        <v>1.1003236245954693</v>
      </c>
      <c r="AA59" s="11">
        <v>1.3271504351142391</v>
      </c>
      <c r="AB59" s="11">
        <v>1.5348837209302326</v>
      </c>
      <c r="AC59" s="11">
        <v>1.33953296908914</v>
      </c>
      <c r="AD59" s="11">
        <v>1.163618864292589</v>
      </c>
      <c r="AE59" s="11">
        <v>1.0342857142857143</v>
      </c>
      <c r="AF59" s="11">
        <v>1.0810810810810811</v>
      </c>
      <c r="AG59" s="11">
        <v>1.0138888888888888</v>
      </c>
      <c r="AH59" s="11">
        <v>1.1607142857142858</v>
      </c>
      <c r="AI59" s="11">
        <v>1.0661236643895604</v>
      </c>
      <c r="AJ59" s="11">
        <v>0.9045790251107829</v>
      </c>
      <c r="AK59" s="11">
        <v>1.2942779291553133</v>
      </c>
      <c r="AL59" s="11">
        <v>1.0143312101910829</v>
      </c>
      <c r="AM59" s="11">
        <v>1.098077922077922</v>
      </c>
      <c r="AN59" s="11">
        <v>1.0223189983669025</v>
      </c>
      <c r="AO59" s="11">
        <v>1.21811320754717</v>
      </c>
      <c r="AP59" s="11">
        <v>1.0650239561943875</v>
      </c>
      <c r="AQ59" s="11">
        <v>1.015636105188344</v>
      </c>
      <c r="AR59" s="11">
        <v>1.0527334300919207</v>
      </c>
      <c r="AS59" s="11">
        <v>1.0865308976488068</v>
      </c>
      <c r="AT59" s="11">
        <v>1.0567375886524824</v>
      </c>
      <c r="AU59" s="11">
        <v>1.1914102130537707</v>
      </c>
      <c r="AV59" s="11">
        <v>1.0641562064156207</v>
      </c>
      <c r="AW59" s="11">
        <v>0.9097001763668431</v>
      </c>
      <c r="AX59" s="11">
        <v>1.0168654874537228</v>
      </c>
      <c r="AY59" s="11">
        <v>0.9465828750981933</v>
      </c>
      <c r="AZ59" s="11">
        <v>0.9634997316156736</v>
      </c>
      <c r="BA59" s="11">
        <v>1.3110394842868653</v>
      </c>
      <c r="BB59" s="11">
        <v>1.2129978204874183</v>
      </c>
      <c r="BC59" s="11">
        <v>1.018556575667295</v>
      </c>
      <c r="BD59" s="11">
        <v>1.0810620300751879</v>
      </c>
      <c r="BE59" s="11">
        <v>1.2191602943298225</v>
      </c>
      <c r="BF59" s="11">
        <v>1.080824088748019</v>
      </c>
      <c r="BG59" s="11">
        <v>0.9927556953579258</v>
      </c>
      <c r="BH59" s="11">
        <v>0.9805174400335184</v>
      </c>
      <c r="BI59" s="11">
        <v>1.0076195480819758</v>
      </c>
      <c r="BJ59" s="11">
        <v>1.0530048525569242</v>
      </c>
      <c r="BK59" s="11">
        <v>0.9397535371976267</v>
      </c>
      <c r="BL59" s="11">
        <v>1.4106502816180235</v>
      </c>
      <c r="BM59" s="11">
        <v>1.0300608549013857</v>
      </c>
      <c r="BN59" s="11">
        <v>1.2975778546712802</v>
      </c>
      <c r="BO59" s="11">
        <v>1.0581970330924306</v>
      </c>
      <c r="BP59" s="11">
        <v>1.0907894736842105</v>
      </c>
      <c r="BQ59" s="11">
        <v>1.0561442647332218</v>
      </c>
      <c r="BR59" s="11">
        <v>0.9858525688756515</v>
      </c>
      <c r="BS59" s="11">
        <v>1.0106895828966673</v>
      </c>
      <c r="BT59" s="11">
        <v>1.0168498168498168</v>
      </c>
      <c r="BU59" s="11">
        <v>0.998327430145612</v>
      </c>
      <c r="BV59" s="11">
        <v>0.9995454545454545</v>
      </c>
      <c r="BW59" s="11">
        <v>1.1842105263157894</v>
      </c>
      <c r="BX59" s="11">
        <v>1.4615384615384615</v>
      </c>
      <c r="BY59" s="11">
        <v>2.0</v>
      </c>
      <c r="BZ59" s="11">
        <v>0.9077752553916004</v>
      </c>
      <c r="CA59" s="11">
        <v>1.103131660928021</v>
      </c>
      <c r="CB59" s="11">
        <v>1.0780779354054029</v>
      </c>
    </row>
    <row r="60" ht="15.75" customHeight="1">
      <c r="A60" s="9" t="s">
        <v>184</v>
      </c>
      <c r="B60" s="9" t="s">
        <v>196</v>
      </c>
      <c r="C60" s="11">
        <v>1.0370850902800304</v>
      </c>
      <c r="D60" s="11">
        <v>0.9009009009009009</v>
      </c>
      <c r="E60" s="11">
        <v>1.1213768115942029</v>
      </c>
      <c r="F60" s="11">
        <v>0.9462686567164179</v>
      </c>
      <c r="G60" s="11">
        <v>1.085057471264368</v>
      </c>
      <c r="H60" s="11">
        <v>1.0559701492537314</v>
      </c>
      <c r="I60" s="11">
        <v>0.9793702497285559</v>
      </c>
      <c r="J60" s="11">
        <v>0.9417989417989417</v>
      </c>
      <c r="K60" s="11">
        <v>0.9970479704797048</v>
      </c>
      <c r="L60" s="11">
        <v>1.156648451730419</v>
      </c>
      <c r="M60" s="11">
        <v>1.0861556743909686</v>
      </c>
      <c r="N60" s="11">
        <v>1.0991735537190082</v>
      </c>
      <c r="O60" s="11">
        <v>1.0969420949902406</v>
      </c>
      <c r="P60" s="11">
        <v>1.1115107913669064</v>
      </c>
      <c r="Q60" s="11">
        <v>0.9089924160346695</v>
      </c>
      <c r="R60" s="11">
        <v>0.0</v>
      </c>
      <c r="S60" s="11">
        <v>1.2608695652173914</v>
      </c>
      <c r="T60" s="11">
        <v>0.8933333333333333</v>
      </c>
      <c r="U60" s="11">
        <v>0.9635811836115327</v>
      </c>
      <c r="V60" s="11">
        <v>0.7923497267759563</v>
      </c>
      <c r="W60" s="11">
        <v>0.7982456140350878</v>
      </c>
      <c r="X60" s="11">
        <v>1.0868055555555556</v>
      </c>
      <c r="Y60" s="11">
        <v>0.7401415571284126</v>
      </c>
      <c r="Z60" s="11">
        <v>1.2</v>
      </c>
      <c r="AA60" s="11">
        <v>1.0672953838919512</v>
      </c>
      <c r="AB60" s="11">
        <v>0.2727272727272727</v>
      </c>
      <c r="AC60" s="11">
        <v>1.0676630814359547</v>
      </c>
      <c r="AD60" s="11">
        <v>1.0835401157981803</v>
      </c>
      <c r="AE60" s="11">
        <v>1.0055248618784531</v>
      </c>
      <c r="AF60" s="11">
        <v>1.525</v>
      </c>
      <c r="AG60" s="11">
        <v>0.9383561643835616</v>
      </c>
      <c r="AH60" s="11">
        <v>1.1384615384615384</v>
      </c>
      <c r="AI60" s="11">
        <v>1.0058325803006654</v>
      </c>
      <c r="AJ60" s="11">
        <v>0.9591770084911823</v>
      </c>
      <c r="AK60" s="11">
        <v>1.1894736842105262</v>
      </c>
      <c r="AL60" s="11">
        <v>0.9686028257456829</v>
      </c>
      <c r="AM60" s="11">
        <v>0.9850506197369666</v>
      </c>
      <c r="AN60" s="11">
        <v>1.0585729499467518</v>
      </c>
      <c r="AO60" s="11">
        <v>1.0216852540272614</v>
      </c>
      <c r="AP60" s="11">
        <v>0.9749357326478149</v>
      </c>
      <c r="AQ60" s="11">
        <v>1.0090972708187544</v>
      </c>
      <c r="AR60" s="11">
        <v>1.025735294117647</v>
      </c>
      <c r="AS60" s="11">
        <v>1.044807336497466</v>
      </c>
      <c r="AT60" s="11">
        <v>0.9530201342281879</v>
      </c>
      <c r="AU60" s="11">
        <v>1.132841328413284</v>
      </c>
      <c r="AV60" s="11">
        <v>1.053735255570118</v>
      </c>
      <c r="AW60" s="11">
        <v>1.0306320279177976</v>
      </c>
      <c r="AX60" s="11">
        <v>1.0117313915857604</v>
      </c>
      <c r="AY60" s="11">
        <v>1.0070539419087137</v>
      </c>
      <c r="AZ60" s="11">
        <v>1.2025069637883008</v>
      </c>
      <c r="BA60" s="11">
        <v>0.7799631223110018</v>
      </c>
      <c r="BB60" s="11">
        <v>1.0777523685070238</v>
      </c>
      <c r="BC60" s="11">
        <v>1.142381299172646</v>
      </c>
      <c r="BD60" s="11">
        <v>1.0897630949793524</v>
      </c>
      <c r="BE60" s="11">
        <v>1.3902958579881657</v>
      </c>
      <c r="BF60" s="11">
        <v>1.029325513196481</v>
      </c>
      <c r="BG60" s="11">
        <v>1.172635621699472</v>
      </c>
      <c r="BH60" s="11">
        <v>0.9842965495139409</v>
      </c>
      <c r="BI60" s="11">
        <v>0.996870925684485</v>
      </c>
      <c r="BJ60" s="11">
        <v>1.0016838000708967</v>
      </c>
      <c r="BK60" s="11">
        <v>1.2324753116399547</v>
      </c>
      <c r="BL60" s="11">
        <v>1.296551724137931</v>
      </c>
      <c r="BM60" s="11">
        <v>1.0358032600185068</v>
      </c>
      <c r="BN60" s="11">
        <v>1.192</v>
      </c>
      <c r="BO60" s="11">
        <v>1.0438533429187635</v>
      </c>
      <c r="BP60" s="11">
        <v>1.1170084439083232</v>
      </c>
      <c r="BQ60" s="11">
        <v>1.037317373701813</v>
      </c>
      <c r="BR60" s="11">
        <v>1.1178247734138973</v>
      </c>
      <c r="BS60" s="11">
        <v>1.0889672335130651</v>
      </c>
      <c r="BT60" s="11">
        <v>1.0180115273775217</v>
      </c>
      <c r="BU60" s="11">
        <v>0.9752636247166651</v>
      </c>
      <c r="BV60" s="11">
        <v>0.8403819918144612</v>
      </c>
      <c r="BW60" s="11">
        <v>1.0</v>
      </c>
      <c r="BX60" s="11">
        <v>2.3157894736842106</v>
      </c>
      <c r="BY60" s="11">
        <v>1.0</v>
      </c>
      <c r="BZ60" s="11">
        <v>0.9129415442325727</v>
      </c>
      <c r="CA60" s="11">
        <v>0.7660523186682521</v>
      </c>
      <c r="CB60" s="11">
        <v>1.0658040860935325</v>
      </c>
    </row>
    <row r="61" ht="15.75" customHeight="1">
      <c r="A61" s="9" t="s">
        <v>185</v>
      </c>
      <c r="B61" s="9" t="s">
        <v>196</v>
      </c>
      <c r="C61" s="11">
        <v>1.1089449541284404</v>
      </c>
      <c r="D61" s="11">
        <v>0.97</v>
      </c>
      <c r="E61" s="11">
        <v>1.012924071082391</v>
      </c>
      <c r="F61" s="11">
        <v>1.1735015772870663</v>
      </c>
      <c r="G61" s="11">
        <v>1.1327683615819208</v>
      </c>
      <c r="H61" s="11">
        <v>1.2014134275618376</v>
      </c>
      <c r="I61" s="11">
        <v>1.0753880266075388</v>
      </c>
      <c r="J61" s="11">
        <v>1.0646067415730338</v>
      </c>
      <c r="K61" s="11">
        <v>1.0584752035529237</v>
      </c>
      <c r="L61" s="11">
        <v>1.1606299212598425</v>
      </c>
      <c r="M61" s="11">
        <v>1.12636761487965</v>
      </c>
      <c r="N61" s="11">
        <v>1.2155388471177946</v>
      </c>
      <c r="O61" s="11">
        <v>1.139976275207592</v>
      </c>
      <c r="P61" s="11">
        <v>1.627831715210356</v>
      </c>
      <c r="Q61" s="11">
        <v>0.9312673818037346</v>
      </c>
      <c r="R61" s="11">
        <v>1.0</v>
      </c>
      <c r="S61" s="11">
        <v>1.1724137931034482</v>
      </c>
      <c r="T61" s="11">
        <v>0.7835820895522388</v>
      </c>
      <c r="U61" s="11">
        <v>1.022047244094488</v>
      </c>
      <c r="V61" s="11">
        <v>1.2344827586206897</v>
      </c>
      <c r="W61" s="11">
        <v>1.065934065934066</v>
      </c>
      <c r="X61" s="11">
        <v>0.8881789137380192</v>
      </c>
      <c r="Y61" s="11">
        <v>0.7349726775956285</v>
      </c>
      <c r="Z61" s="11">
        <v>1.0514705882352942</v>
      </c>
      <c r="AA61" s="11">
        <v>1.0320156651572634</v>
      </c>
      <c r="AB61" s="11">
        <v>2.0555555555555554</v>
      </c>
      <c r="AC61" s="11">
        <v>1.0287045032315463</v>
      </c>
      <c r="AD61" s="11">
        <v>1.0732824427480916</v>
      </c>
      <c r="AE61" s="11">
        <v>0.9743589743589743</v>
      </c>
      <c r="AF61" s="11">
        <v>0.9180327868852459</v>
      </c>
      <c r="AG61" s="11">
        <v>1.0291970802919708</v>
      </c>
      <c r="AH61" s="11">
        <v>0.7162162162162162</v>
      </c>
      <c r="AI61" s="11">
        <v>0.9800718719372754</v>
      </c>
      <c r="AJ61" s="11">
        <v>0.7694926796050392</v>
      </c>
      <c r="AK61" s="11">
        <v>0.807669616519174</v>
      </c>
      <c r="AL61" s="11">
        <v>1.0421393841166937</v>
      </c>
      <c r="AM61" s="11">
        <v>0.9817500720391893</v>
      </c>
      <c r="AN61" s="11">
        <v>1.1161971830985915</v>
      </c>
      <c r="AO61" s="11">
        <v>0.9254093389933293</v>
      </c>
      <c r="AP61" s="11">
        <v>1.1324983520105472</v>
      </c>
      <c r="AQ61" s="11">
        <v>1.0970873786407767</v>
      </c>
      <c r="AR61" s="11">
        <v>1.103046594982079</v>
      </c>
      <c r="AS61" s="11">
        <v>1.0247151216507546</v>
      </c>
      <c r="AT61" s="11">
        <v>1.0211267605633803</v>
      </c>
      <c r="AU61" s="11">
        <v>0.9060385868203458</v>
      </c>
      <c r="AV61" s="11">
        <v>1.0746268656716418</v>
      </c>
      <c r="AW61" s="11">
        <v>1.011662904439428</v>
      </c>
      <c r="AX61" s="11">
        <v>1.0859656137544982</v>
      </c>
      <c r="AY61" s="11">
        <v>1.1017717346518336</v>
      </c>
      <c r="AZ61" s="11">
        <v>0.8318276580959</v>
      </c>
      <c r="BA61" s="11">
        <v>1.0354609929078014</v>
      </c>
      <c r="BB61" s="11">
        <v>1.166262503789027</v>
      </c>
      <c r="BC61" s="11">
        <v>0.9579775727110266</v>
      </c>
      <c r="BD61" s="11">
        <v>0.9311926605504587</v>
      </c>
      <c r="BE61" s="11">
        <v>0.650408580183861</v>
      </c>
      <c r="BF61" s="11">
        <v>0.7905982905982906</v>
      </c>
      <c r="BG61" s="11">
        <v>1.188078277245558</v>
      </c>
      <c r="BH61" s="11">
        <v>1.0156283915780335</v>
      </c>
      <c r="BI61" s="11">
        <v>1.0079344319469876</v>
      </c>
      <c r="BJ61" s="11">
        <v>1.0035388834822614</v>
      </c>
      <c r="BK61" s="11">
        <v>0.9742874031262314</v>
      </c>
      <c r="BL61" s="11">
        <v>0.6609742441209406</v>
      </c>
      <c r="BM61" s="11">
        <v>1.0727735019241342</v>
      </c>
      <c r="BN61" s="11">
        <v>1.0447427293064877</v>
      </c>
      <c r="BO61" s="11">
        <v>1.09400826446281</v>
      </c>
      <c r="BP61" s="11">
        <v>1.1468682505399568</v>
      </c>
      <c r="BQ61" s="11">
        <v>1.1045307992533515</v>
      </c>
      <c r="BR61" s="11">
        <v>1.0885135135135136</v>
      </c>
      <c r="BS61" s="11">
        <v>0.9988573605027614</v>
      </c>
      <c r="BT61" s="11">
        <v>1.0771408351026186</v>
      </c>
      <c r="BU61" s="11">
        <v>1.0807396928051738</v>
      </c>
      <c r="BV61" s="11">
        <v>0.8488455988455988</v>
      </c>
      <c r="BW61" s="11">
        <v>0.4</v>
      </c>
      <c r="BX61" s="11">
        <v>1.0681818181818181</v>
      </c>
      <c r="BY61" s="11">
        <v>2.0</v>
      </c>
      <c r="BZ61" s="11">
        <v>0.8210922787193974</v>
      </c>
      <c r="CA61" s="11">
        <v>0.8814512999611952</v>
      </c>
      <c r="CB61" s="11">
        <v>0.9965722271840164</v>
      </c>
    </row>
    <row r="62" ht="15.75" customHeight="1">
      <c r="A62" s="9" t="s">
        <v>186</v>
      </c>
      <c r="B62" s="9" t="s">
        <v>196</v>
      </c>
      <c r="C62" s="11">
        <v>1.1409231926295007</v>
      </c>
      <c r="D62" s="11">
        <v>1.1134020618556701</v>
      </c>
      <c r="E62" s="11">
        <v>1.1594896331738438</v>
      </c>
      <c r="F62" s="11">
        <v>1.2043010752688172</v>
      </c>
      <c r="G62" s="11">
        <v>1.1253117206982544</v>
      </c>
      <c r="H62" s="11">
        <v>1.1088235294117648</v>
      </c>
      <c r="I62" s="11">
        <v>1.1649484536082475</v>
      </c>
      <c r="J62" s="11">
        <v>1.1846965699208443</v>
      </c>
      <c r="K62" s="11">
        <v>1.1818181818181819</v>
      </c>
      <c r="L62" s="11">
        <v>1.0922659430122117</v>
      </c>
      <c r="M62" s="11">
        <v>1.100048567265663</v>
      </c>
      <c r="N62" s="11">
        <v>1.1278350515463917</v>
      </c>
      <c r="O62" s="11">
        <v>1.054630593132154</v>
      </c>
      <c r="P62" s="11">
        <v>1.4075546719681908</v>
      </c>
      <c r="Q62" s="11">
        <v>1.2436006825938566</v>
      </c>
      <c r="R62" s="11">
        <v>2.0</v>
      </c>
      <c r="S62" s="11">
        <v>1.3823529411764706</v>
      </c>
      <c r="T62" s="11">
        <v>1.0666666666666667</v>
      </c>
      <c r="U62" s="11">
        <v>1.2326656394453004</v>
      </c>
      <c r="V62" s="11">
        <v>1.2011173184357542</v>
      </c>
      <c r="W62" s="11">
        <v>1.0515463917525774</v>
      </c>
      <c r="X62" s="11">
        <v>1.2050359712230216</v>
      </c>
      <c r="Y62" s="11">
        <v>1.4089219330855018</v>
      </c>
      <c r="Z62" s="11">
        <v>1.1585081585081585</v>
      </c>
      <c r="AA62" s="11">
        <v>0.9440741882693356</v>
      </c>
      <c r="AB62" s="11">
        <v>1.5135135135135136</v>
      </c>
      <c r="AC62" s="11">
        <v>1.0027725492191077</v>
      </c>
      <c r="AD62" s="11">
        <v>0.11593172119487909</v>
      </c>
      <c r="AE62" s="11">
        <v>1.144736842105263</v>
      </c>
      <c r="AF62" s="11">
        <v>1.0535714285714286</v>
      </c>
      <c r="AG62" s="11">
        <v>1.1891252955082743</v>
      </c>
      <c r="AH62" s="11">
        <v>0.8867924528301887</v>
      </c>
      <c r="AI62" s="11">
        <v>1.0483333333333333</v>
      </c>
      <c r="AJ62" s="11">
        <v>1.0495575221238937</v>
      </c>
      <c r="AK62" s="11">
        <v>1.0774287801314828</v>
      </c>
      <c r="AL62" s="11">
        <v>1.0870917573872472</v>
      </c>
      <c r="AM62" s="11">
        <v>0.9708443400841404</v>
      </c>
      <c r="AN62" s="11">
        <v>1.0968904912122577</v>
      </c>
      <c r="AO62" s="11">
        <v>1.155307994757536</v>
      </c>
      <c r="AP62" s="11">
        <v>1.1105937136204889</v>
      </c>
      <c r="AQ62" s="11">
        <v>1.092920353982301</v>
      </c>
      <c r="AR62" s="11">
        <v>1.1604386677497969</v>
      </c>
      <c r="AS62" s="11">
        <v>1.0823502892779322</v>
      </c>
      <c r="AT62" s="11">
        <v>1.2137931034482758</v>
      </c>
      <c r="AU62" s="11">
        <v>0.947179203539823</v>
      </c>
      <c r="AV62" s="11">
        <v>1.2152777777777777</v>
      </c>
      <c r="AW62" s="11">
        <v>1.0754927482335441</v>
      </c>
      <c r="AX62" s="11">
        <v>1.1104565537555229</v>
      </c>
      <c r="AY62" s="11">
        <v>1.1967090501121915</v>
      </c>
      <c r="AZ62" s="11">
        <v>1.2361459203564467</v>
      </c>
      <c r="BA62" s="11">
        <v>1.1537290715372908</v>
      </c>
      <c r="BB62" s="11">
        <v>0.9850552306692657</v>
      </c>
      <c r="BC62" s="11">
        <v>1.035956625139092</v>
      </c>
      <c r="BD62" s="11">
        <v>1.0471192974941101</v>
      </c>
      <c r="BE62" s="11">
        <v>0.9274964009946343</v>
      </c>
      <c r="BF62" s="11">
        <v>0.9837837837837838</v>
      </c>
      <c r="BG62" s="11">
        <v>1.1470020675396277</v>
      </c>
      <c r="BH62" s="11">
        <v>1.0554605684975422</v>
      </c>
      <c r="BI62" s="11">
        <v>1.0697231833910035</v>
      </c>
      <c r="BJ62" s="11">
        <v>1.0595080666490346</v>
      </c>
      <c r="BK62" s="11">
        <v>0.9617108766726212</v>
      </c>
      <c r="BL62" s="11">
        <v>1.2719186785260483</v>
      </c>
      <c r="BM62" s="11">
        <v>1.1146627378130805</v>
      </c>
      <c r="BN62" s="11">
        <v>1.0171306209850106</v>
      </c>
      <c r="BO62" s="11">
        <v>1.1410135347812402</v>
      </c>
      <c r="BP62" s="11">
        <v>1.1082862523540489</v>
      </c>
      <c r="BQ62" s="11">
        <v>1.1139960055308036</v>
      </c>
      <c r="BR62" s="11">
        <v>1.1055245189323402</v>
      </c>
      <c r="BS62" s="11">
        <v>1.1378455672068637</v>
      </c>
      <c r="BT62" s="11">
        <v>1.1274638633377136</v>
      </c>
      <c r="BU62" s="11">
        <v>1.108835904628331</v>
      </c>
      <c r="BV62" s="11">
        <v>1.1518274543136422</v>
      </c>
      <c r="BW62" s="11">
        <v>0.4444444444444444</v>
      </c>
      <c r="BX62" s="11">
        <v>0.9361702127659575</v>
      </c>
      <c r="BY62" s="11">
        <v>0.125</v>
      </c>
      <c r="BZ62" s="11">
        <v>0.8348623853211009</v>
      </c>
      <c r="CA62" s="11">
        <v>1.4932863746423068</v>
      </c>
      <c r="CB62" s="11">
        <v>1.048776237558035</v>
      </c>
    </row>
    <row r="63" ht="15.75" customHeight="1">
      <c r="A63" s="9" t="s">
        <v>187</v>
      </c>
      <c r="B63" s="9" t="s">
        <v>196</v>
      </c>
      <c r="C63" s="11">
        <v>1.1139584706657877</v>
      </c>
      <c r="D63" s="11">
        <v>0.9166666666666666</v>
      </c>
      <c r="E63" s="11">
        <v>1.1141678129298487</v>
      </c>
      <c r="F63" s="11">
        <v>1.0658482142857142</v>
      </c>
      <c r="G63" s="11">
        <v>0.9817174515235457</v>
      </c>
      <c r="H63" s="11">
        <v>1.1237842617152962</v>
      </c>
      <c r="I63" s="11">
        <v>1.1216814159292035</v>
      </c>
      <c r="J63" s="11">
        <v>1.1425389755011135</v>
      </c>
      <c r="K63" s="11">
        <v>1.2136094674556213</v>
      </c>
      <c r="L63" s="11">
        <v>1.0645962732919254</v>
      </c>
      <c r="M63" s="11">
        <v>1.172626931567329</v>
      </c>
      <c r="N63" s="11">
        <v>1.172943327239488</v>
      </c>
      <c r="O63" s="11">
        <v>1.107054760730143</v>
      </c>
      <c r="P63" s="11">
        <v>1.3615819209039548</v>
      </c>
      <c r="Q63" s="11">
        <v>1.1029159519725558</v>
      </c>
      <c r="R63" s="11">
        <v>2.5</v>
      </c>
      <c r="S63" s="11">
        <v>1.1170212765957446</v>
      </c>
      <c r="T63" s="11">
        <v>0.9464285714285714</v>
      </c>
      <c r="U63" s="11">
        <v>1.10125</v>
      </c>
      <c r="V63" s="11">
        <v>1.0790697674418606</v>
      </c>
      <c r="W63" s="11">
        <v>1.0392156862745099</v>
      </c>
      <c r="X63" s="11">
        <v>1.0776119402985074</v>
      </c>
      <c r="Y63" s="11">
        <v>1.104221635883905</v>
      </c>
      <c r="Z63" s="11">
        <v>1.1710261569416498</v>
      </c>
      <c r="AA63" s="11">
        <v>0.7247833186785579</v>
      </c>
      <c r="AB63" s="11">
        <v>1.2142857142857142</v>
      </c>
      <c r="AC63" s="11">
        <v>0.723257996600969</v>
      </c>
      <c r="AD63" s="11">
        <v>0.8251533742331288</v>
      </c>
      <c r="AE63" s="11">
        <v>1.0755336617405582</v>
      </c>
      <c r="AF63" s="11">
        <v>1.3728813559322033</v>
      </c>
      <c r="AG63" s="11">
        <v>1.0497017892644136</v>
      </c>
      <c r="AH63" s="11">
        <v>0.9787234042553191</v>
      </c>
      <c r="AI63" s="11">
        <v>1.08060413354531</v>
      </c>
      <c r="AJ63" s="11">
        <v>1.1264755480607083</v>
      </c>
      <c r="AK63" s="11">
        <v>1.1267796610169492</v>
      </c>
      <c r="AL63" s="11">
        <v>1.2804005722460658</v>
      </c>
      <c r="AM63" s="11">
        <v>1.041519701703114</v>
      </c>
      <c r="AN63" s="11">
        <v>1.1980279375513558</v>
      </c>
      <c r="AO63" s="11">
        <v>1.0578559273964834</v>
      </c>
      <c r="AP63" s="11">
        <v>1.029350104821803</v>
      </c>
      <c r="AQ63" s="11">
        <v>1.1434355118565644</v>
      </c>
      <c r="AR63" s="11">
        <v>1.015750787539377</v>
      </c>
      <c r="AS63" s="11">
        <v>1.128982992016661</v>
      </c>
      <c r="AT63" s="11">
        <v>1.2159090909090908</v>
      </c>
      <c r="AU63" s="11">
        <v>1.016934306569343</v>
      </c>
      <c r="AV63" s="11">
        <v>1.1904761904761905</v>
      </c>
      <c r="AW63" s="11">
        <v>1.0767634854771784</v>
      </c>
      <c r="AX63" s="11">
        <v>1.1942970822281167</v>
      </c>
      <c r="AY63" s="11">
        <v>1.146875</v>
      </c>
      <c r="AZ63" s="11">
        <v>1.1356161297589547</v>
      </c>
      <c r="BA63" s="11">
        <v>0.9976912928759895</v>
      </c>
      <c r="BB63" s="11">
        <v>1.204089709762533</v>
      </c>
      <c r="BC63" s="11">
        <v>1.1174048566795138</v>
      </c>
      <c r="BD63" s="11">
        <v>0.9239108202086316</v>
      </c>
      <c r="BE63" s="11">
        <v>1.3251022999858897</v>
      </c>
      <c r="BF63" s="11">
        <v>1.031135531135531</v>
      </c>
      <c r="BG63" s="11">
        <v>1.0229525926816079</v>
      </c>
      <c r="BH63" s="11">
        <v>1.1418446896831023</v>
      </c>
      <c r="BI63" s="11">
        <v>1.1734594856865599</v>
      </c>
      <c r="BJ63" s="11">
        <v>1.1214844400066566</v>
      </c>
      <c r="BK63" s="11">
        <v>1.1446395401815441</v>
      </c>
      <c r="BL63" s="11">
        <v>0.8951048951048951</v>
      </c>
      <c r="BM63" s="11">
        <v>1.1601919429917822</v>
      </c>
      <c r="BN63" s="11">
        <v>1.182456140350877</v>
      </c>
      <c r="BO63" s="11">
        <v>1.1964137931034482</v>
      </c>
      <c r="BP63" s="11">
        <v>1.193712829226848</v>
      </c>
      <c r="BQ63" s="11">
        <v>1.2147290028961522</v>
      </c>
      <c r="BR63" s="11">
        <v>1.2459292532285233</v>
      </c>
      <c r="BS63" s="11">
        <v>1.104892761394102</v>
      </c>
      <c r="BT63" s="11">
        <v>1.2127039627039626</v>
      </c>
      <c r="BU63" s="11">
        <v>1.1171262332405767</v>
      </c>
      <c r="BV63" s="11">
        <v>1.0535928419887464</v>
      </c>
      <c r="BW63" s="11">
        <v>0.625</v>
      </c>
      <c r="BX63" s="11">
        <v>1.0681818181818181</v>
      </c>
      <c r="BY63" s="11">
        <v>5.0</v>
      </c>
      <c r="BZ63" s="11">
        <v>1.112887112887113</v>
      </c>
      <c r="CA63" s="11">
        <v>1.0184257075471699</v>
      </c>
      <c r="CB63" s="11">
        <v>1.0565562258925922</v>
      </c>
    </row>
    <row r="64" ht="15.75" customHeight="1">
      <c r="A64" s="9" t="s">
        <v>188</v>
      </c>
      <c r="B64" s="9" t="s">
        <v>196</v>
      </c>
      <c r="C64" s="11">
        <v>1.0340261853687402</v>
      </c>
      <c r="D64" s="11">
        <v>1.2222222222222223</v>
      </c>
      <c r="E64" s="11">
        <v>0.9629629629629629</v>
      </c>
      <c r="F64" s="11">
        <v>1.12565445026178</v>
      </c>
      <c r="G64" s="11">
        <v>1.0451467268623025</v>
      </c>
      <c r="H64" s="11">
        <v>0.995279307631786</v>
      </c>
      <c r="I64" s="11">
        <v>1.02603550295858</v>
      </c>
      <c r="J64" s="11">
        <v>0.9415204678362573</v>
      </c>
      <c r="K64" s="11">
        <v>0.9629449049244271</v>
      </c>
      <c r="L64" s="11">
        <v>1.072345390898483</v>
      </c>
      <c r="M64" s="11">
        <v>1.0948795180722892</v>
      </c>
      <c r="N64" s="11">
        <v>1.0187032418952617</v>
      </c>
      <c r="O64" s="11">
        <v>0.9986631016042781</v>
      </c>
      <c r="P64" s="11">
        <v>1.0653526970954357</v>
      </c>
      <c r="Q64" s="11">
        <v>0.9956454121306376</v>
      </c>
      <c r="R64" s="11">
        <v>1.0</v>
      </c>
      <c r="S64" s="11">
        <v>0.8380952380952381</v>
      </c>
      <c r="T64" s="11">
        <v>0.9622641509433962</v>
      </c>
      <c r="U64" s="11">
        <v>0.9262202043132803</v>
      </c>
      <c r="V64" s="11">
        <v>0.9137931034482759</v>
      </c>
      <c r="W64" s="11">
        <v>0.9339622641509434</v>
      </c>
      <c r="X64" s="11">
        <v>0.8614958448753463</v>
      </c>
      <c r="Y64" s="11">
        <v>1.2150537634408602</v>
      </c>
      <c r="Z64" s="11">
        <v>0.9467353951890034</v>
      </c>
      <c r="AA64" s="11">
        <v>0.8181629116117851</v>
      </c>
      <c r="AB64" s="11">
        <v>0.75</v>
      </c>
      <c r="AC64" s="11">
        <v>0.8176971907550942</v>
      </c>
      <c r="AD64" s="11">
        <v>0.8847583643122676</v>
      </c>
      <c r="AE64" s="11">
        <v>1.0702290076335879</v>
      </c>
      <c r="AF64" s="11">
        <v>0.7530864197530864</v>
      </c>
      <c r="AG64" s="11">
        <v>1.128787878787879</v>
      </c>
      <c r="AH64" s="11">
        <v>0.9565217391304348</v>
      </c>
      <c r="AI64" s="11">
        <v>1.0189421803736942</v>
      </c>
      <c r="AJ64" s="11">
        <v>0.9019461077844312</v>
      </c>
      <c r="AK64" s="11">
        <v>0.9428399518652226</v>
      </c>
      <c r="AL64" s="11">
        <v>1.1139664804469274</v>
      </c>
      <c r="AM64" s="11">
        <v>1.086211901306241</v>
      </c>
      <c r="AN64" s="11">
        <v>1.0075445816186557</v>
      </c>
      <c r="AO64" s="11">
        <v>0.9018766756032172</v>
      </c>
      <c r="AP64" s="11">
        <v>0.9969450101832994</v>
      </c>
      <c r="AQ64" s="11">
        <v>0.9848254931714719</v>
      </c>
      <c r="AR64" s="11">
        <v>1.0261888352860096</v>
      </c>
      <c r="AS64" s="11">
        <v>0.8677365799667958</v>
      </c>
      <c r="AT64" s="11">
        <v>0.7663551401869159</v>
      </c>
      <c r="AU64" s="11">
        <v>0.9758828596037898</v>
      </c>
      <c r="AV64" s="11">
        <v>1.044</v>
      </c>
      <c r="AW64" s="11">
        <v>0.9630700064226075</v>
      </c>
      <c r="AX64" s="11">
        <v>0.99305941143809</v>
      </c>
      <c r="AY64" s="11">
        <v>1.0482288828337876</v>
      </c>
      <c r="AZ64" s="11">
        <v>0.5022812933941678</v>
      </c>
      <c r="BA64" s="11">
        <v>0.8895867768595042</v>
      </c>
      <c r="BB64" s="11">
        <v>0.8447463569628575</v>
      </c>
      <c r="BC64" s="11">
        <v>0.973829291967845</v>
      </c>
      <c r="BD64" s="11">
        <v>0.9805180429488599</v>
      </c>
      <c r="BE64" s="11">
        <v>0.8162070067085507</v>
      </c>
      <c r="BF64" s="11">
        <v>1.0568383658969804</v>
      </c>
      <c r="BG64" s="11">
        <v>0.8503964757709251</v>
      </c>
      <c r="BH64" s="11">
        <v>0.8665543536087958</v>
      </c>
      <c r="BI64" s="11">
        <v>1.0059954517262766</v>
      </c>
      <c r="BJ64" s="11">
        <v>0.9711381510609883</v>
      </c>
      <c r="BK64" s="11">
        <v>1.0536436007348438</v>
      </c>
      <c r="BL64" s="11">
        <v>1.5978422619047619</v>
      </c>
      <c r="BM64" s="11">
        <v>0.9997771008247269</v>
      </c>
      <c r="BN64" s="11">
        <v>0.9857566765578635</v>
      </c>
      <c r="BO64" s="11">
        <v>0.9859349780954577</v>
      </c>
      <c r="BP64" s="11">
        <v>1.0405693950177937</v>
      </c>
      <c r="BQ64" s="11">
        <v>0.9776339691189827</v>
      </c>
      <c r="BR64" s="11">
        <v>0.9923388913925192</v>
      </c>
      <c r="BS64" s="11">
        <v>1.024567788898999</v>
      </c>
      <c r="BT64" s="11">
        <v>0.8904372897645363</v>
      </c>
      <c r="BU64" s="11">
        <v>1.0225694444444444</v>
      </c>
      <c r="BV64" s="11">
        <v>0.8720014008054632</v>
      </c>
      <c r="BW64" s="11">
        <v>0.8</v>
      </c>
      <c r="BX64" s="11">
        <v>0.8723404255319149</v>
      </c>
      <c r="BY64" s="11">
        <v>1.4</v>
      </c>
      <c r="BZ64" s="11">
        <v>1.6759425493716338</v>
      </c>
      <c r="CA64" s="11">
        <v>0.35316254161238964</v>
      </c>
      <c r="CB64" s="11">
        <v>0.9523385167240173</v>
      </c>
    </row>
    <row r="65" ht="15.75" customHeight="1">
      <c r="A65" s="9" t="s">
        <v>189</v>
      </c>
      <c r="B65" s="9" t="s">
        <v>196</v>
      </c>
      <c r="C65" s="11">
        <v>1.0230345518277417</v>
      </c>
      <c r="D65" s="11">
        <v>1.28099173553719</v>
      </c>
      <c r="E65" s="11">
        <v>1.067948717948718</v>
      </c>
      <c r="F65" s="11">
        <v>1.2288372093023257</v>
      </c>
      <c r="G65" s="11">
        <v>1.0529157667386608</v>
      </c>
      <c r="H65" s="11">
        <v>1.0347826086956522</v>
      </c>
      <c r="I65" s="11">
        <v>1.0319108035371012</v>
      </c>
      <c r="J65" s="11">
        <v>0.9523809523809523</v>
      </c>
      <c r="K65" s="11">
        <v>1.041518987341772</v>
      </c>
      <c r="L65" s="11">
        <v>1.0217627856365614</v>
      </c>
      <c r="M65" s="11">
        <v>0.8916781292984869</v>
      </c>
      <c r="N65" s="11">
        <v>1.0055079559363524</v>
      </c>
      <c r="O65" s="11">
        <v>1.0174029451137885</v>
      </c>
      <c r="P65" s="11">
        <v>0.9795520934761441</v>
      </c>
      <c r="Q65" s="11">
        <v>1.1065292096219932</v>
      </c>
      <c r="R65" s="11">
        <v>0.6</v>
      </c>
      <c r="S65" s="11">
        <v>1.2613636363636365</v>
      </c>
      <c r="T65" s="11">
        <v>1.6176470588235294</v>
      </c>
      <c r="U65" s="11">
        <v>1.0245098039215685</v>
      </c>
      <c r="V65" s="11">
        <v>1.0943396226415094</v>
      </c>
      <c r="W65" s="11">
        <v>0.9191919191919192</v>
      </c>
      <c r="X65" s="11">
        <v>0.9196141479099679</v>
      </c>
      <c r="Y65" s="11">
        <v>1.2005899705014749</v>
      </c>
      <c r="Z65" s="11">
        <v>1.0834845735027223</v>
      </c>
      <c r="AA65" s="11">
        <v>1.2627944416200645</v>
      </c>
      <c r="AB65" s="11">
        <v>2.7254901960784315</v>
      </c>
      <c r="AC65" s="11">
        <v>1.2594895989706199</v>
      </c>
      <c r="AD65" s="11">
        <v>1.273109243697479</v>
      </c>
      <c r="AE65" s="11">
        <v>0.9985734664764622</v>
      </c>
      <c r="AF65" s="11">
        <v>0.9180327868852459</v>
      </c>
      <c r="AG65" s="11">
        <v>0.9916107382550335</v>
      </c>
      <c r="AH65" s="11">
        <v>1.2045454545454546</v>
      </c>
      <c r="AI65" s="11">
        <v>1.0127423022777315</v>
      </c>
      <c r="AJ65" s="11">
        <v>0.9804979253112033</v>
      </c>
      <c r="AK65" s="11">
        <v>1.0070197830248884</v>
      </c>
      <c r="AL65" s="11">
        <v>1.0220661985957873</v>
      </c>
      <c r="AM65" s="11">
        <v>0.9921610546944593</v>
      </c>
      <c r="AN65" s="11">
        <v>1.0496936691626957</v>
      </c>
      <c r="AO65" s="11">
        <v>0.9750297265160524</v>
      </c>
      <c r="AP65" s="11">
        <v>1.0771195097037793</v>
      </c>
      <c r="AQ65" s="11">
        <v>1.0241397021058039</v>
      </c>
      <c r="AR65" s="11">
        <v>1.0513767629281396</v>
      </c>
      <c r="AS65" s="11">
        <v>1.0170068027210883</v>
      </c>
      <c r="AT65" s="11">
        <v>0.975609756097561</v>
      </c>
      <c r="AU65" s="11">
        <v>1.0532509561635774</v>
      </c>
      <c r="AV65" s="11">
        <v>1.078927203065134</v>
      </c>
      <c r="AW65" s="11">
        <v>0.9786595531843948</v>
      </c>
      <c r="AX65" s="11">
        <v>1.00754822476936</v>
      </c>
      <c r="AY65" s="11">
        <v>0.9862230309331947</v>
      </c>
      <c r="AZ65" s="11">
        <v>1.2081358609794628</v>
      </c>
      <c r="BA65" s="11">
        <v>0.9212188777406168</v>
      </c>
      <c r="BB65" s="11">
        <v>0.996757457846952</v>
      </c>
      <c r="BC65" s="11">
        <v>1.1413087657498984</v>
      </c>
      <c r="BD65" s="11">
        <v>1.0754120568977197</v>
      </c>
      <c r="BE65" s="11">
        <v>1.157208088714938</v>
      </c>
      <c r="BF65" s="11">
        <v>1.0739495798319327</v>
      </c>
      <c r="BG65" s="11">
        <v>0.9241607956900124</v>
      </c>
      <c r="BH65" s="11">
        <v>1.0732630717282308</v>
      </c>
      <c r="BI65" s="11">
        <v>1.067543499109467</v>
      </c>
      <c r="BJ65" s="11">
        <v>1.1182672473068989</v>
      </c>
      <c r="BK65" s="11">
        <v>1.0841566895269092</v>
      </c>
      <c r="BL65" s="11">
        <v>2.8558789289871944</v>
      </c>
      <c r="BM65" s="11">
        <v>1.0049296472453428</v>
      </c>
      <c r="BN65" s="11">
        <v>0.9807344972907887</v>
      </c>
      <c r="BO65" s="11">
        <v>0.9953227315247896</v>
      </c>
      <c r="BP65" s="11">
        <v>1.051299589603283</v>
      </c>
      <c r="BQ65" s="11">
        <v>1.0145163163395656</v>
      </c>
      <c r="BR65" s="11">
        <v>0.9886466848319709</v>
      </c>
      <c r="BS65" s="11">
        <v>0.9686204854943754</v>
      </c>
      <c r="BT65" s="11">
        <v>0.9827307069616837</v>
      </c>
      <c r="BU65" s="11">
        <v>1.023621466007234</v>
      </c>
      <c r="BV65" s="11">
        <v>2.148192771084337</v>
      </c>
      <c r="BW65" s="11">
        <v>3.0</v>
      </c>
      <c r="BX65" s="11">
        <v>0.5121951219512195</v>
      </c>
      <c r="BY65" s="11">
        <v>0.42857142857142855</v>
      </c>
      <c r="BZ65" s="11">
        <v>0.8328869844670594</v>
      </c>
      <c r="CA65" s="11">
        <v>6.204918032786885</v>
      </c>
      <c r="CB65" s="11">
        <v>1.1334934851499163</v>
      </c>
    </row>
    <row r="66" ht="15.75" customHeight="1">
      <c r="A66" s="9" t="s">
        <v>190</v>
      </c>
      <c r="B66" s="9" t="s">
        <v>196</v>
      </c>
      <c r="C66" s="11">
        <v>1.0581777498077058</v>
      </c>
      <c r="D66" s="11">
        <v>1.0838709677419356</v>
      </c>
      <c r="E66" s="11">
        <v>0.9867947178871549</v>
      </c>
      <c r="F66" s="11">
        <v>1.0749432248296744</v>
      </c>
      <c r="G66" s="11">
        <v>1.0323076923076924</v>
      </c>
      <c r="H66" s="11">
        <v>1.12987012987013</v>
      </c>
      <c r="I66" s="11">
        <v>0.986214605067064</v>
      </c>
      <c r="J66" s="11">
        <v>1.05</v>
      </c>
      <c r="K66" s="11">
        <v>0.9873602333495382</v>
      </c>
      <c r="L66" s="11">
        <v>1.1714589989350372</v>
      </c>
      <c r="M66" s="11">
        <v>1.1453914384882375</v>
      </c>
      <c r="N66" s="11">
        <v>1.078210590383445</v>
      </c>
      <c r="O66" s="11">
        <v>1.087719298245614</v>
      </c>
      <c r="P66" s="11">
        <v>1.0566600397614314</v>
      </c>
      <c r="Q66" s="11">
        <v>1.1250705815923208</v>
      </c>
      <c r="R66" s="11">
        <v>0.6666666666666666</v>
      </c>
      <c r="S66" s="11">
        <v>1.0360360360360361</v>
      </c>
      <c r="T66" s="11">
        <v>0.9696969696969697</v>
      </c>
      <c r="U66" s="11">
        <v>1.2452153110047848</v>
      </c>
      <c r="V66" s="11">
        <v>1.2241379310344827</v>
      </c>
      <c r="W66" s="11">
        <v>1.0879120879120878</v>
      </c>
      <c r="X66" s="11">
        <v>1.1048951048951048</v>
      </c>
      <c r="Y66" s="11">
        <v>1.0696150696150697</v>
      </c>
      <c r="Z66" s="11">
        <v>1.1088777219430486</v>
      </c>
      <c r="AA66" s="11">
        <v>1.3592444727748516</v>
      </c>
      <c r="AB66" s="11">
        <v>1.2805755395683454</v>
      </c>
      <c r="AC66" s="11">
        <v>1.3603609739485782</v>
      </c>
      <c r="AD66" s="11">
        <v>1.2871287128712872</v>
      </c>
      <c r="AE66" s="11">
        <v>1.072857142857143</v>
      </c>
      <c r="AF66" s="11">
        <v>1.25</v>
      </c>
      <c r="AG66" s="11">
        <v>1.0609137055837563</v>
      </c>
      <c r="AH66" s="11">
        <v>1.0188679245283019</v>
      </c>
      <c r="AI66" s="11">
        <v>1.063373253493014</v>
      </c>
      <c r="AJ66" s="11">
        <v>1.060939483707152</v>
      </c>
      <c r="AK66" s="11">
        <v>0.7015209125475285</v>
      </c>
      <c r="AL66" s="11">
        <v>1.0902845927379785</v>
      </c>
      <c r="AM66" s="11">
        <v>1.0578200754174896</v>
      </c>
      <c r="AN66" s="11">
        <v>1.1656939040207523</v>
      </c>
      <c r="AO66" s="11">
        <v>1.1676829268292683</v>
      </c>
      <c r="AP66" s="11">
        <v>1.166429587482219</v>
      </c>
      <c r="AQ66" s="11">
        <v>1.1013039117352057</v>
      </c>
      <c r="AR66" s="11">
        <v>1.0095816033216225</v>
      </c>
      <c r="AS66" s="11">
        <v>1.1304347826086956</v>
      </c>
      <c r="AT66" s="11">
        <v>0.9625</v>
      </c>
      <c r="AU66" s="11">
        <v>1.1078212290502794</v>
      </c>
      <c r="AV66" s="11">
        <v>1.1335227272727273</v>
      </c>
      <c r="AW66" s="11">
        <v>1.0776831345826234</v>
      </c>
      <c r="AX66" s="11">
        <v>1.0588235294117647</v>
      </c>
      <c r="AY66" s="11">
        <v>1.0643120716921455</v>
      </c>
      <c r="AZ66" s="11">
        <v>1.2752533507682249</v>
      </c>
      <c r="BA66" s="11">
        <v>1.1194029850746268</v>
      </c>
      <c r="BB66" s="11">
        <v>1.1761873780091086</v>
      </c>
      <c r="BC66" s="11">
        <v>1.0294057794057794</v>
      </c>
      <c r="BD66" s="11">
        <v>1.2462733571278606</v>
      </c>
      <c r="BE66" s="11">
        <v>1.1819616685456595</v>
      </c>
      <c r="BF66" s="11">
        <v>1.1752738654147106</v>
      </c>
      <c r="BG66" s="11">
        <v>1.1174887892376681</v>
      </c>
      <c r="BH66" s="11">
        <v>1.1351892458766326</v>
      </c>
      <c r="BI66" s="11">
        <v>1.1015143737166324</v>
      </c>
      <c r="BJ66" s="11">
        <v>1.1493475438956071</v>
      </c>
      <c r="BK66" s="11">
        <v>1.0477913584217862</v>
      </c>
      <c r="BL66" s="11">
        <v>0.35007337355291046</v>
      </c>
      <c r="BM66" s="11">
        <v>1.0919713067271428</v>
      </c>
      <c r="BN66" s="11">
        <v>1.098219766728054</v>
      </c>
      <c r="BO66" s="11">
        <v>1.1452067669172932</v>
      </c>
      <c r="BP66" s="11">
        <v>1.199089134677944</v>
      </c>
      <c r="BQ66" s="11">
        <v>1.0850503663003663</v>
      </c>
      <c r="BR66" s="11">
        <v>1.067524115755627</v>
      </c>
      <c r="BS66" s="11">
        <v>1.1253056234718826</v>
      </c>
      <c r="BT66" s="11">
        <v>1.0620538165842943</v>
      </c>
      <c r="BU66" s="11">
        <v>1.0594216485180645</v>
      </c>
      <c r="BV66" s="11">
        <v>0.5673022994952328</v>
      </c>
      <c r="BW66" s="11">
        <v>0.4166666666666667</v>
      </c>
      <c r="BX66" s="11">
        <v>1.4285714285714286</v>
      </c>
      <c r="BY66" s="11">
        <v>2.3333333333333335</v>
      </c>
      <c r="BZ66" s="11">
        <v>1.0265273311897105</v>
      </c>
      <c r="CA66" s="11">
        <v>0.3772126816380449</v>
      </c>
      <c r="CB66" s="11">
        <v>1.0546454152864253</v>
      </c>
    </row>
    <row r="67" ht="15.75" customHeight="1">
      <c r="A67" s="9" t="s">
        <v>191</v>
      </c>
      <c r="B67" s="9" t="s">
        <v>196</v>
      </c>
      <c r="C67" s="11">
        <v>1.1193418357232539</v>
      </c>
      <c r="D67" s="11">
        <v>0.8630952380952381</v>
      </c>
      <c r="E67" s="11">
        <v>1.2518248175182483</v>
      </c>
      <c r="F67" s="11">
        <v>1.0401408450704226</v>
      </c>
      <c r="G67" s="11">
        <v>1.0104321907600595</v>
      </c>
      <c r="H67" s="11">
        <v>1.2954699121027722</v>
      </c>
      <c r="I67" s="11">
        <v>1.0600680015111448</v>
      </c>
      <c r="J67" s="11">
        <v>1.0041407867494825</v>
      </c>
      <c r="K67" s="11">
        <v>1.0492368291482028</v>
      </c>
      <c r="L67" s="11">
        <v>1.1254545454545455</v>
      </c>
      <c r="M67" s="11">
        <v>1.2383838383838384</v>
      </c>
      <c r="N67" s="11">
        <v>1.0728196443691786</v>
      </c>
      <c r="O67" s="11">
        <v>1.0838709677419356</v>
      </c>
      <c r="P67" s="11">
        <v>1.0470366886171214</v>
      </c>
      <c r="Q67" s="11">
        <v>0.7867001254705144</v>
      </c>
      <c r="R67" s="11">
        <v>3.5</v>
      </c>
      <c r="S67" s="11">
        <v>1.1043478260869566</v>
      </c>
      <c r="T67" s="11">
        <v>0.91875</v>
      </c>
      <c r="U67" s="11">
        <v>0.7694524495677233</v>
      </c>
      <c r="V67" s="11">
        <v>0.9154929577464789</v>
      </c>
      <c r="W67" s="11">
        <v>0.98989898989899</v>
      </c>
      <c r="X67" s="11">
        <v>0.9050632911392406</v>
      </c>
      <c r="Y67" s="11">
        <v>0.5696784073506891</v>
      </c>
      <c r="Z67" s="11">
        <v>1.0045317220543806</v>
      </c>
      <c r="AA67" s="11">
        <v>0.957571269900037</v>
      </c>
      <c r="AB67" s="11">
        <v>1.1404494382022472</v>
      </c>
      <c r="AC67" s="11">
        <v>0.960197261371317</v>
      </c>
      <c r="AD67" s="11">
        <v>0.6051282051282051</v>
      </c>
      <c r="AE67" s="11">
        <v>0.966711051930759</v>
      </c>
      <c r="AF67" s="11">
        <v>1.1857142857142857</v>
      </c>
      <c r="AG67" s="11">
        <v>0.9234449760765551</v>
      </c>
      <c r="AH67" s="11">
        <v>1.1851851851851851</v>
      </c>
      <c r="AI67" s="11">
        <v>1.0400549708386404</v>
      </c>
      <c r="AJ67" s="11">
        <v>0.9014758675708018</v>
      </c>
      <c r="AK67" s="11">
        <v>0.931345980126468</v>
      </c>
      <c r="AL67" s="11">
        <v>0.9756975697569757</v>
      </c>
      <c r="AM67" s="11">
        <v>1.1128840604311663</v>
      </c>
      <c r="AN67" s="11">
        <v>1.0751043115438108</v>
      </c>
      <c r="AO67" s="11">
        <v>1.122715404699739</v>
      </c>
      <c r="AP67" s="11">
        <v>0.8987804878048781</v>
      </c>
      <c r="AQ67" s="11">
        <v>1.0136612021857923</v>
      </c>
      <c r="AR67" s="11">
        <v>0.9775387535590003</v>
      </c>
      <c r="AS67" s="11">
        <v>0.9949457593688363</v>
      </c>
      <c r="AT67" s="11">
        <v>0.9285714285714286</v>
      </c>
      <c r="AU67" s="11">
        <v>1.0695915279878971</v>
      </c>
      <c r="AV67" s="11">
        <v>0.9505012531328321</v>
      </c>
      <c r="AW67" s="11">
        <v>1.0546949098956686</v>
      </c>
      <c r="AX67" s="11">
        <v>1.0047169811320755</v>
      </c>
      <c r="AY67" s="11">
        <v>1.0178306092124814</v>
      </c>
      <c r="AZ67" s="11">
        <v>0.838502947962061</v>
      </c>
      <c r="BA67" s="11">
        <v>1.0356756756756758</v>
      </c>
      <c r="BB67" s="11">
        <v>0.9909282000221263</v>
      </c>
      <c r="BC67" s="11">
        <v>1.0155349082402556</v>
      </c>
      <c r="BD67" s="11">
        <v>1.0630053908355794</v>
      </c>
      <c r="BE67" s="11">
        <v>1.0194582220526516</v>
      </c>
      <c r="BF67" s="11">
        <v>1.1504660452729694</v>
      </c>
      <c r="BG67" s="11">
        <v>1.0464151952915999</v>
      </c>
      <c r="BH67" s="11">
        <v>0.9857226841353826</v>
      </c>
      <c r="BI67" s="11">
        <v>1.0280787603402073</v>
      </c>
      <c r="BJ67" s="11">
        <v>1.0373298460441063</v>
      </c>
      <c r="BK67" s="11">
        <v>0.953825688777468</v>
      </c>
      <c r="BL67" s="11">
        <v>1.3181183046110851</v>
      </c>
      <c r="BM67" s="11">
        <v>1.0455776784504944</v>
      </c>
      <c r="BN67" s="11">
        <v>0.9737283398546674</v>
      </c>
      <c r="BO67" s="11">
        <v>1.0223635617562576</v>
      </c>
      <c r="BP67" s="11">
        <v>1.0233315246880086</v>
      </c>
      <c r="BQ67" s="11">
        <v>1.0765903576326616</v>
      </c>
      <c r="BR67" s="11">
        <v>1.1032702237521514</v>
      </c>
      <c r="BS67" s="11">
        <v>1.0491580662683324</v>
      </c>
      <c r="BT67" s="11">
        <v>1.0744570837642193</v>
      </c>
      <c r="BU67" s="11">
        <v>1.0300864474848548</v>
      </c>
      <c r="BV67" s="11">
        <v>0.9265117811830614</v>
      </c>
      <c r="BW67" s="11">
        <v>1.0</v>
      </c>
      <c r="BX67" s="11">
        <v>1.1</v>
      </c>
      <c r="BY67" s="11">
        <v>0.2857142857142857</v>
      </c>
      <c r="BZ67" s="11">
        <v>1.060610806577917</v>
      </c>
      <c r="CA67" s="11">
        <v>0.776396427946069</v>
      </c>
      <c r="CB67" s="11">
        <v>1.0115573476643567</v>
      </c>
    </row>
    <row r="68" ht="15.75" customHeight="1">
      <c r="A68" s="9" t="s">
        <v>192</v>
      </c>
      <c r="B68" s="9" t="s">
        <v>196</v>
      </c>
      <c r="C68" s="11">
        <v>1.0392585158509948</v>
      </c>
      <c r="D68" s="11">
        <v>1.0827586206896551</v>
      </c>
      <c r="E68" s="11">
        <v>0.8794946550048591</v>
      </c>
      <c r="F68" s="11">
        <v>1.0758293838862558</v>
      </c>
      <c r="G68" s="11">
        <v>0.9252704031465093</v>
      </c>
      <c r="H68" s="11">
        <v>1.0897703549060542</v>
      </c>
      <c r="I68" s="11">
        <v>1.1072701354240913</v>
      </c>
      <c r="J68" s="11">
        <v>1.0082474226804123</v>
      </c>
      <c r="K68" s="11">
        <v>1.0361332707648991</v>
      </c>
      <c r="L68" s="11">
        <v>1.0945072697899838</v>
      </c>
      <c r="M68" s="11">
        <v>1.039695486677542</v>
      </c>
      <c r="N68" s="11">
        <v>0.9144961852144172</v>
      </c>
      <c r="O68" s="11">
        <v>0.9616815476190477</v>
      </c>
      <c r="P68" s="11">
        <v>0.8005390835579514</v>
      </c>
      <c r="Q68" s="11">
        <v>1.0405103668261564</v>
      </c>
      <c r="R68" s="11">
        <v>1.0</v>
      </c>
      <c r="S68" s="11">
        <v>1.110236220472441</v>
      </c>
      <c r="T68" s="11">
        <v>0.8299319727891157</v>
      </c>
      <c r="U68" s="11">
        <v>1.0</v>
      </c>
      <c r="V68" s="11">
        <v>0.9230769230769231</v>
      </c>
      <c r="W68" s="11">
        <v>0.9897959183673469</v>
      </c>
      <c r="X68" s="11">
        <v>1.0419580419580419</v>
      </c>
      <c r="Y68" s="11">
        <v>1.1693548387096775</v>
      </c>
      <c r="Z68" s="11">
        <v>1.0315789473684212</v>
      </c>
      <c r="AA68" s="11">
        <v>0.595679967006908</v>
      </c>
      <c r="AB68" s="11">
        <v>0.729064039408867</v>
      </c>
      <c r="AC68" s="11">
        <v>0.5923299528117423</v>
      </c>
      <c r="AD68" s="11">
        <v>1.0254237288135593</v>
      </c>
      <c r="AE68" s="11">
        <v>1.056473829201102</v>
      </c>
      <c r="AF68" s="11">
        <v>1.0240963855421688</v>
      </c>
      <c r="AG68" s="11">
        <v>1.0829015544041452</v>
      </c>
      <c r="AH68" s="11">
        <v>0.859375</v>
      </c>
      <c r="AI68" s="11">
        <v>1.072802861838925</v>
      </c>
      <c r="AJ68" s="11">
        <v>1.1805309734513274</v>
      </c>
      <c r="AK68" s="11">
        <v>1.0116391852570321</v>
      </c>
      <c r="AL68" s="11">
        <v>1.0</v>
      </c>
      <c r="AM68" s="11">
        <v>1.0526235509456987</v>
      </c>
      <c r="AN68" s="11">
        <v>1.0271668822768434</v>
      </c>
      <c r="AO68" s="11">
        <v>0.9869767441860465</v>
      </c>
      <c r="AP68" s="11">
        <v>0.9669832654907282</v>
      </c>
      <c r="AQ68" s="11">
        <v>1.0305480682839174</v>
      </c>
      <c r="AR68" s="11">
        <v>1.3485436893203884</v>
      </c>
      <c r="AS68" s="11">
        <v>1.0655433031842398</v>
      </c>
      <c r="AT68" s="11">
        <v>0.9440559440559441</v>
      </c>
      <c r="AU68" s="11">
        <v>0.963932107496464</v>
      </c>
      <c r="AV68" s="11">
        <v>0.9353988134475939</v>
      </c>
      <c r="AW68" s="11">
        <v>0.9814148681055156</v>
      </c>
      <c r="AX68" s="11">
        <v>1.5378195096504956</v>
      </c>
      <c r="AY68" s="11">
        <v>0.9413625304136253</v>
      </c>
      <c r="AZ68" s="11">
        <v>0.9581167838581474</v>
      </c>
      <c r="BA68" s="11">
        <v>1.2512178148921365</v>
      </c>
      <c r="BB68" s="11">
        <v>1.0034609802389194</v>
      </c>
      <c r="BC68" s="11">
        <v>0.9712060994403439</v>
      </c>
      <c r="BD68" s="11">
        <v>0.9019017432646592</v>
      </c>
      <c r="BE68" s="11">
        <v>0.9917664670658682</v>
      </c>
      <c r="BF68" s="11">
        <v>0.8692129629629629</v>
      </c>
      <c r="BG68" s="11">
        <v>1.001725680685159</v>
      </c>
      <c r="BH68" s="11">
        <v>1.0611740649228933</v>
      </c>
      <c r="BI68" s="11">
        <v>0.9966001813236628</v>
      </c>
      <c r="BJ68" s="11">
        <v>1.0248696349779383</v>
      </c>
      <c r="BK68" s="11">
        <v>0.8985141876307461</v>
      </c>
      <c r="BL68" s="11">
        <v>0.9885159010600707</v>
      </c>
      <c r="BM68" s="11">
        <v>0.9940410648358055</v>
      </c>
      <c r="BN68" s="11">
        <v>0.9908151549942594</v>
      </c>
      <c r="BO68" s="11">
        <v>1.0483644390929159</v>
      </c>
      <c r="BP68" s="11">
        <v>0.8016967126193001</v>
      </c>
      <c r="BQ68" s="11">
        <v>0.9981381675649191</v>
      </c>
      <c r="BR68" s="11">
        <v>0.8217628705148206</v>
      </c>
      <c r="BS68" s="11">
        <v>1.0041418586590733</v>
      </c>
      <c r="BT68" s="11">
        <v>0.9042348411934552</v>
      </c>
      <c r="BU68" s="11">
        <v>1.034097667349501</v>
      </c>
      <c r="BV68" s="11">
        <v>1.0593988973857371</v>
      </c>
      <c r="BW68" s="11">
        <v>0.4</v>
      </c>
      <c r="BX68" s="11">
        <v>1.8181818181818181</v>
      </c>
      <c r="BY68" s="11">
        <v>6.0</v>
      </c>
      <c r="BZ68" s="11">
        <v>1.3597164796219727</v>
      </c>
      <c r="CA68" s="11">
        <v>0.593594948128101</v>
      </c>
      <c r="CB68" s="11">
        <v>0.9546076738749459</v>
      </c>
    </row>
    <row r="69" ht="15.75" customHeight="1">
      <c r="A69" s="9" t="s">
        <v>193</v>
      </c>
      <c r="B69" s="9" t="s">
        <v>196</v>
      </c>
      <c r="C69" s="11">
        <v>0.9320608952510793</v>
      </c>
      <c r="D69" s="11">
        <v>0.9936305732484076</v>
      </c>
      <c r="E69" s="11">
        <v>1.0674033149171271</v>
      </c>
      <c r="F69" s="11">
        <v>0.9049716803020768</v>
      </c>
      <c r="G69" s="11">
        <v>0.9957492029755579</v>
      </c>
      <c r="H69" s="11">
        <v>0.8271072796934866</v>
      </c>
      <c r="I69" s="11">
        <v>0.9130994528484069</v>
      </c>
      <c r="J69" s="11">
        <v>1.0040899795501022</v>
      </c>
      <c r="K69" s="11">
        <v>0.980072463768116</v>
      </c>
      <c r="L69" s="11">
        <v>0.9003690036900369</v>
      </c>
      <c r="M69" s="11">
        <v>0.9244246861924686</v>
      </c>
      <c r="N69" s="11">
        <v>0.9919447640966629</v>
      </c>
      <c r="O69" s="11">
        <v>1.0615087040618956</v>
      </c>
      <c r="P69" s="11">
        <v>0.7901234567901234</v>
      </c>
      <c r="Q69" s="11">
        <v>1.30226854690374</v>
      </c>
      <c r="R69" s="11">
        <v>0.2857142857142857</v>
      </c>
      <c r="S69" s="11">
        <v>0.723404255319149</v>
      </c>
      <c r="T69" s="11">
        <v>1.098360655737705</v>
      </c>
      <c r="U69" s="11">
        <v>1.3121098626716605</v>
      </c>
      <c r="V69" s="11">
        <v>1.1708333333333334</v>
      </c>
      <c r="W69" s="11">
        <v>1.1855670103092784</v>
      </c>
      <c r="X69" s="11">
        <v>1.429530201342282</v>
      </c>
      <c r="Y69" s="11">
        <v>1.6379310344827587</v>
      </c>
      <c r="Z69" s="11">
        <v>1.0379008746355685</v>
      </c>
      <c r="AA69" s="11">
        <v>1.4951968844655994</v>
      </c>
      <c r="AB69" s="11">
        <v>1.3513513513513513</v>
      </c>
      <c r="AC69" s="11">
        <v>1.4984154929577465</v>
      </c>
      <c r="AD69" s="11">
        <v>1.28099173553719</v>
      </c>
      <c r="AE69" s="11">
        <v>1.0834419817470664</v>
      </c>
      <c r="AF69" s="11">
        <v>1.0588235294117647</v>
      </c>
      <c r="AG69" s="11">
        <v>1.0845295055821371</v>
      </c>
      <c r="AH69" s="11">
        <v>1.1090909090909091</v>
      </c>
      <c r="AI69" s="11">
        <v>1.1122326363854842</v>
      </c>
      <c r="AJ69" s="11">
        <v>1.143553223388306</v>
      </c>
      <c r="AK69" s="11">
        <v>1.2329817833173538</v>
      </c>
      <c r="AL69" s="11">
        <v>1.062730627306273</v>
      </c>
      <c r="AM69" s="11">
        <v>1.0701347630778149</v>
      </c>
      <c r="AN69" s="11">
        <v>0.972544080604534</v>
      </c>
      <c r="AO69" s="11">
        <v>1.5499528746465598</v>
      </c>
      <c r="AP69" s="11">
        <v>1.2521047708138446</v>
      </c>
      <c r="AQ69" s="11">
        <v>1.0671316477768091</v>
      </c>
      <c r="AR69" s="11">
        <v>1.0775137988960883</v>
      </c>
      <c r="AS69" s="11">
        <v>1.0748837209302327</v>
      </c>
      <c r="AT69" s="11">
        <v>1.288888888888889</v>
      </c>
      <c r="AU69" s="11">
        <v>1.0635852286622647</v>
      </c>
      <c r="AV69" s="11">
        <v>1.182522903453136</v>
      </c>
      <c r="AW69" s="11">
        <v>0.9825901038485033</v>
      </c>
      <c r="AX69" s="11">
        <v>0.7957937584803256</v>
      </c>
      <c r="AY69" s="11">
        <v>1.1064874644611011</v>
      </c>
      <c r="AZ69" s="11">
        <v>1.2922782386726228</v>
      </c>
      <c r="BA69" s="11">
        <v>1.1279199110122358</v>
      </c>
      <c r="BB69" s="11">
        <v>1.1658878504672898</v>
      </c>
      <c r="BC69" s="11">
        <v>1.1308167696676132</v>
      </c>
      <c r="BD69" s="11">
        <v>0.9404322614654718</v>
      </c>
      <c r="BE69" s="11">
        <v>1.223679245283019</v>
      </c>
      <c r="BF69" s="11">
        <v>1.292942743009321</v>
      </c>
      <c r="BG69" s="11">
        <v>1.080520640592101</v>
      </c>
      <c r="BH69" s="11">
        <v>1.0601364913689282</v>
      </c>
      <c r="BI69" s="11">
        <v>1.0053445531043894</v>
      </c>
      <c r="BJ69" s="11">
        <v>1.098909700866648</v>
      </c>
      <c r="BK69" s="11">
        <v>1.2798041907945794</v>
      </c>
      <c r="BL69" s="11">
        <v>1.0293118856121537</v>
      </c>
      <c r="BM69" s="11">
        <v>1.0888990247822592</v>
      </c>
      <c r="BN69" s="11">
        <v>1.13441483198146</v>
      </c>
      <c r="BO69" s="11">
        <v>1.0809724349157734</v>
      </c>
      <c r="BP69" s="11">
        <v>1.0793650793650793</v>
      </c>
      <c r="BQ69" s="11">
        <v>1.0783428234832122</v>
      </c>
      <c r="BR69" s="11">
        <v>1.144280968201234</v>
      </c>
      <c r="BS69" s="11">
        <v>1.0537509667440061</v>
      </c>
      <c r="BT69" s="11">
        <v>1.1000532197977648</v>
      </c>
      <c r="BU69" s="11">
        <v>1.1029458751357915</v>
      </c>
      <c r="BV69" s="11">
        <v>0.9409937888198758</v>
      </c>
      <c r="BW69" s="11">
        <v>2.0</v>
      </c>
      <c r="BX69" s="11">
        <v>0.9333333333333333</v>
      </c>
      <c r="BY69" s="11">
        <v>0.9166666666666666</v>
      </c>
      <c r="BZ69" s="11">
        <v>0.7086229365768897</v>
      </c>
      <c r="CA69" s="11">
        <v>1.753419452887538</v>
      </c>
      <c r="CB69" s="11">
        <v>1.1247811663408287</v>
      </c>
    </row>
    <row r="70" ht="15.75" customHeight="1">
      <c r="A70" s="9" t="s">
        <v>194</v>
      </c>
      <c r="B70" s="9" t="s">
        <v>196</v>
      </c>
      <c r="C70" s="11">
        <v>1.1898464163822526</v>
      </c>
      <c r="D70" s="11">
        <v>1.0705128205128205</v>
      </c>
      <c r="E70" s="11">
        <v>1.1076604554865424</v>
      </c>
      <c r="F70" s="11">
        <v>1.2579972183588317</v>
      </c>
      <c r="G70" s="11">
        <v>1.306830309498399</v>
      </c>
      <c r="H70" s="11">
        <v>1.1644470179502027</v>
      </c>
      <c r="I70" s="11">
        <v>1.1149101163200563</v>
      </c>
      <c r="J70" s="11">
        <v>1.15071283095723</v>
      </c>
      <c r="K70" s="11">
        <v>1.1857670979667283</v>
      </c>
      <c r="L70" s="11">
        <v>1.360655737704918</v>
      </c>
      <c r="M70" s="11">
        <v>1.1493635077793494</v>
      </c>
      <c r="N70" s="11">
        <v>1.117169373549884</v>
      </c>
      <c r="O70" s="11">
        <v>1.1552478134110786</v>
      </c>
      <c r="P70" s="11">
        <v>0.96875</v>
      </c>
      <c r="Q70" s="11">
        <v>1.0948681732580037</v>
      </c>
      <c r="R70" s="11">
        <v>2.0</v>
      </c>
      <c r="S70" s="11">
        <v>1.3235294117647058</v>
      </c>
      <c r="T70" s="11">
        <v>1.1044776119402986</v>
      </c>
      <c r="U70" s="11">
        <v>1.373929590865842</v>
      </c>
      <c r="V70" s="11">
        <v>1.298932384341637</v>
      </c>
      <c r="W70" s="11">
        <v>1.0869565217391304</v>
      </c>
      <c r="X70" s="11">
        <v>1.4178403755868545</v>
      </c>
      <c r="Y70" s="11">
        <v>0.6631578947368421</v>
      </c>
      <c r="Z70" s="11">
        <v>1.2373595505617978</v>
      </c>
      <c r="AA70" s="11">
        <v>1.9045262487700412</v>
      </c>
      <c r="AB70" s="11">
        <v>1.875</v>
      </c>
      <c r="AC70" s="11">
        <v>1.9117025026436376</v>
      </c>
      <c r="AD70" s="11">
        <v>1.135483870967742</v>
      </c>
      <c r="AE70" s="11">
        <v>1.3140794223826715</v>
      </c>
      <c r="AF70" s="11">
        <v>1.4222222222222223</v>
      </c>
      <c r="AG70" s="11">
        <v>1.3058823529411765</v>
      </c>
      <c r="AH70" s="11">
        <v>1.2459016393442623</v>
      </c>
      <c r="AI70" s="11">
        <v>1.3880185825410545</v>
      </c>
      <c r="AJ70" s="11">
        <v>1.2307440183546379</v>
      </c>
      <c r="AK70" s="11">
        <v>2.644634525660964</v>
      </c>
      <c r="AL70" s="11">
        <v>1.0998263888888888</v>
      </c>
      <c r="AM70" s="11">
        <v>1.2935680433310766</v>
      </c>
      <c r="AN70" s="11">
        <v>1.2061642061642062</v>
      </c>
      <c r="AO70" s="11">
        <v>1.7348738218303437</v>
      </c>
      <c r="AP70" s="11">
        <v>1.1759432200224131</v>
      </c>
      <c r="AQ70" s="11">
        <v>1.1707516339869282</v>
      </c>
      <c r="AR70" s="11">
        <v>1.666815144766147</v>
      </c>
      <c r="AS70" s="11">
        <v>1.190420813500649</v>
      </c>
      <c r="AT70" s="11">
        <v>1.160919540229885</v>
      </c>
      <c r="AU70" s="11">
        <v>1.177971947574155</v>
      </c>
      <c r="AV70" s="11">
        <v>1.2187127532777116</v>
      </c>
      <c r="AW70" s="11">
        <v>1.1818464407833384</v>
      </c>
      <c r="AX70" s="11">
        <v>1.1344842284739982</v>
      </c>
      <c r="AY70" s="11">
        <v>1.12940901658491</v>
      </c>
      <c r="AZ70" s="11">
        <v>1.2874074074074073</v>
      </c>
      <c r="BA70" s="11">
        <v>1.2384122287968442</v>
      </c>
      <c r="BB70" s="11">
        <v>1.188090466647581</v>
      </c>
      <c r="BC70" s="11">
        <v>1.1587619272695047</v>
      </c>
      <c r="BD70" s="11">
        <v>1.1677877428998504</v>
      </c>
      <c r="BE70" s="11">
        <v>1.218872870249017</v>
      </c>
      <c r="BF70" s="11">
        <v>1.1277033985581875</v>
      </c>
      <c r="BG70" s="11">
        <v>1.1736049601417184</v>
      </c>
      <c r="BH70" s="11">
        <v>1.1153438352014542</v>
      </c>
      <c r="BI70" s="11">
        <v>1.1503789164121705</v>
      </c>
      <c r="BJ70" s="11">
        <v>1.1854584308537701</v>
      </c>
      <c r="BK70" s="11">
        <v>1.167319712659763</v>
      </c>
      <c r="BL70" s="11">
        <v>0.9470394165653759</v>
      </c>
      <c r="BM70" s="11">
        <v>1.1464275741014083</v>
      </c>
      <c r="BN70" s="11">
        <v>1.0909090909090908</v>
      </c>
      <c r="BO70" s="11">
        <v>1.1096157251638037</v>
      </c>
      <c r="BP70" s="11">
        <v>1.3498774509803921</v>
      </c>
      <c r="BQ70" s="11">
        <v>1.1679715950473415</v>
      </c>
      <c r="BR70" s="11">
        <v>1.287432600580672</v>
      </c>
      <c r="BS70" s="11">
        <v>1.1136391437308868</v>
      </c>
      <c r="BT70" s="11">
        <v>1.2002902757619738</v>
      </c>
      <c r="BU70" s="11">
        <v>1.1212050984936268</v>
      </c>
      <c r="BV70" s="11">
        <v>1.096066363393096</v>
      </c>
      <c r="BW70" s="11">
        <v>0.75</v>
      </c>
      <c r="BX70" s="11">
        <v>1.4285714285714286</v>
      </c>
      <c r="BY70" s="11">
        <v>1.5454545454545454</v>
      </c>
      <c r="BZ70" s="11">
        <v>1.0665134099616858</v>
      </c>
      <c r="CA70" s="11">
        <v>1.133044420368364</v>
      </c>
      <c r="CB70" s="11">
        <v>1.2627196143387496</v>
      </c>
    </row>
    <row r="71" ht="15.75" customHeight="1">
      <c r="A71" s="9" t="s">
        <v>195</v>
      </c>
      <c r="B71" s="9" t="s">
        <v>196</v>
      </c>
      <c r="C71" s="11">
        <v>1.0079905752189724</v>
      </c>
      <c r="D71" s="11">
        <v>1.2694610778443114</v>
      </c>
      <c r="E71" s="11">
        <v>0.9672897196261683</v>
      </c>
      <c r="F71" s="11">
        <v>1.1243781094527363</v>
      </c>
      <c r="G71" s="11">
        <v>0.9105757452021234</v>
      </c>
      <c r="H71" s="11">
        <v>1.0626553953257085</v>
      </c>
      <c r="I71" s="11">
        <v>1.063863420803035</v>
      </c>
      <c r="J71" s="11">
        <v>1.08141592920354</v>
      </c>
      <c r="K71" s="11">
        <v>1.0062353858144972</v>
      </c>
      <c r="L71" s="11">
        <v>0.8662650602409638</v>
      </c>
      <c r="M71" s="11">
        <v>0.9931085404873247</v>
      </c>
      <c r="N71" s="11">
        <v>0.9127725856697819</v>
      </c>
      <c r="O71" s="11">
        <v>0.9236593059936908</v>
      </c>
      <c r="P71" s="11">
        <v>0.8621700879765396</v>
      </c>
      <c r="Q71" s="11">
        <v>0.8449795742851</v>
      </c>
      <c r="R71" s="11">
        <v>0.5</v>
      </c>
      <c r="S71" s="11">
        <v>0.8888888888888888</v>
      </c>
      <c r="T71" s="11">
        <v>0.8783783783783784</v>
      </c>
      <c r="U71" s="11">
        <v>0.582409972299169</v>
      </c>
      <c r="V71" s="11">
        <v>0.7671232876712328</v>
      </c>
      <c r="W71" s="11">
        <v>0.952</v>
      </c>
      <c r="X71" s="11">
        <v>0.7913907284768212</v>
      </c>
      <c r="Y71" s="11">
        <v>1.0783068783068783</v>
      </c>
      <c r="Z71" s="11">
        <v>1.0681044267877413</v>
      </c>
      <c r="AA71" s="11">
        <v>0.9266209788934644</v>
      </c>
      <c r="AB71" s="11">
        <v>0.816</v>
      </c>
      <c r="AC71" s="11">
        <v>0.9277680464644602</v>
      </c>
      <c r="AD71" s="11">
        <v>0.8323863636363636</v>
      </c>
      <c r="AE71" s="11">
        <v>0.9075091575091575</v>
      </c>
      <c r="AF71" s="11">
        <v>1.265625</v>
      </c>
      <c r="AG71" s="11">
        <v>0.8457207207207207</v>
      </c>
      <c r="AH71" s="11">
        <v>1.0263157894736843</v>
      </c>
      <c r="AI71" s="11">
        <v>0.8334695466043978</v>
      </c>
      <c r="AJ71" s="11">
        <v>0.7243675099866844</v>
      </c>
      <c r="AK71" s="11">
        <v>0.8321082034695678</v>
      </c>
      <c r="AL71" s="11">
        <v>0.9060773480662984</v>
      </c>
      <c r="AM71" s="11">
        <v>0.8898251858055061</v>
      </c>
      <c r="AN71" s="11">
        <v>1.1097272922482284</v>
      </c>
      <c r="AO71" s="11">
        <v>0.6244304241149667</v>
      </c>
      <c r="AP71" s="11">
        <v>0.866581956797967</v>
      </c>
      <c r="AQ71" s="11">
        <v>0.9427773900907188</v>
      </c>
      <c r="AR71" s="11">
        <v>0.6643506146445751</v>
      </c>
      <c r="AS71" s="11">
        <v>0.9234159529272781</v>
      </c>
      <c r="AT71" s="11">
        <v>0.8712871287128713</v>
      </c>
      <c r="AU71" s="11">
        <v>1.0130782744485654</v>
      </c>
      <c r="AV71" s="11">
        <v>0.8474327628361858</v>
      </c>
      <c r="AW71" s="11">
        <v>1.0065754865860073</v>
      </c>
      <c r="AX71" s="11">
        <v>0.8034942701484126</v>
      </c>
      <c r="AY71" s="11">
        <v>0.9524301964839711</v>
      </c>
      <c r="AZ71" s="11">
        <v>0.9102416570771001</v>
      </c>
      <c r="BA71" s="11">
        <v>0.8309775034839737</v>
      </c>
      <c r="BB71" s="11">
        <v>0.9572690763052208</v>
      </c>
      <c r="BC71" s="11">
        <v>1.1059776546994602</v>
      </c>
      <c r="BD71" s="11">
        <v>1.18384</v>
      </c>
      <c r="BE71" s="11">
        <v>1.1587602783048703</v>
      </c>
      <c r="BF71" s="11">
        <v>1.069406392694064</v>
      </c>
      <c r="BG71" s="11">
        <v>1.0493081761006289</v>
      </c>
      <c r="BH71" s="11">
        <v>0.8505466150607728</v>
      </c>
      <c r="BI71" s="11">
        <v>0.9933139963620274</v>
      </c>
      <c r="BJ71" s="11">
        <v>1.029700845529851</v>
      </c>
      <c r="BK71" s="11">
        <v>1.26007992007992</v>
      </c>
      <c r="BL71" s="11">
        <v>1.0991932526585992</v>
      </c>
      <c r="BM71" s="11">
        <v>0.9692214006089604</v>
      </c>
      <c r="BN71" s="11">
        <v>0.9176029962546817</v>
      </c>
      <c r="BO71" s="11">
        <v>0.8515799553143951</v>
      </c>
      <c r="BP71" s="11">
        <v>1.020880617339991</v>
      </c>
      <c r="BQ71" s="11">
        <v>0.9482422636214826</v>
      </c>
      <c r="BR71" s="11">
        <v>0.9297680412371134</v>
      </c>
      <c r="BS71" s="11">
        <v>1.0996265377855887</v>
      </c>
      <c r="BT71" s="11">
        <v>1.0483675937122128</v>
      </c>
      <c r="BU71" s="11">
        <v>0.9558701942951633</v>
      </c>
      <c r="BV71" s="11">
        <v>1.023193359375</v>
      </c>
      <c r="BW71" s="11">
        <v>2.0</v>
      </c>
      <c r="BX71" s="11">
        <v>0.825</v>
      </c>
      <c r="BY71" s="11">
        <v>1.1176470588235294</v>
      </c>
      <c r="BZ71" s="11">
        <v>1.2307802845236384</v>
      </c>
      <c r="CA71" s="11">
        <v>0.7490916045132913</v>
      </c>
      <c r="CB71" s="11">
        <v>0.993726588616732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