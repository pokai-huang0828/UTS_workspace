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tralian Open" sheetId="1" r:id="rId5"/>
    <sheet state="visible" name="Top5+" sheetId="2" r:id="rId6"/>
    <sheet state="visible" name="For Doc" sheetId="3" r:id="rId7"/>
  </sheets>
  <definedNames>
    <definedName hidden="1" localSheetId="1" name="_xlnm._FilterDatabase">'Top5+'!$A$1:$H$47</definedName>
  </definedNames>
  <calcPr/>
</workbook>
</file>

<file path=xl/sharedStrings.xml><?xml version="1.0" encoding="utf-8"?>
<sst xmlns="http://schemas.openxmlformats.org/spreadsheetml/2006/main" count="2391" uniqueCount="600">
  <si>
    <t>Year</t>
  </si>
  <si>
    <t>Gender</t>
  </si>
  <si>
    <t>Champion</t>
  </si>
  <si>
    <t>Champion Nationality</t>
  </si>
  <si>
    <t>Champion Country</t>
  </si>
  <si>
    <t>Score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</si>
  <si>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</si>
  <si>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</si>
  <si>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</si>
  <si>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</si>
  <si>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</si>
  <si>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</si>
  <si>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</si>
  <si>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</si>
  <si>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</si>
  <si>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</si>
  <si>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Runner-up</t>
  </si>
  <si>
    <t>Runner-up Nationality</t>
  </si>
  <si>
    <t>Runner-up Country</t>
  </si>
  <si>
    <t>Champion_Count</t>
  </si>
  <si>
    <t>Runner_up_Count</t>
  </si>
  <si>
    <t>Winning_Rate</t>
  </si>
  <si>
    <t>Women's</t>
  </si>
  <si>
    <t>Aryna Sabalenka</t>
  </si>
  <si>
    <t>BLR</t>
  </si>
  <si>
    <t>Belarus</t>
  </si>
  <si>
    <t>6-3, 6-2</t>
  </si>
  <si>
    <t>Qinwen Zheng</t>
  </si>
  <si>
    <t>CHN</t>
  </si>
  <si>
    <t>China</t>
  </si>
  <si>
    <t>Men's</t>
  </si>
  <si>
    <t>JannikSinner</t>
  </si>
  <si>
    <t>ITA</t>
  </si>
  <si>
    <t>Italy</t>
  </si>
  <si>
    <t>3-6.3-6.6-4.6-4.6-3</t>
  </si>
  <si>
    <t>DaniilMedvedev</t>
  </si>
  <si>
    <t>RUS</t>
  </si>
  <si>
    <t>Russia</t>
  </si>
  <si>
    <t>4-6, 6-3, 6-4</t>
  </si>
  <si>
    <t>Elena Rybakina</t>
  </si>
  <si>
    <t>KAZ</t>
  </si>
  <si>
    <t>Kazakhstan</t>
  </si>
  <si>
    <t>Novak Djokovic</t>
  </si>
  <si>
    <t>SRB</t>
  </si>
  <si>
    <t>Serbia</t>
  </si>
  <si>
    <t>6-3, 7-6(7-4), 7-6(7-5)</t>
  </si>
  <si>
    <t>Stefanos Tsitsipas</t>
  </si>
  <si>
    <t>GRE</t>
  </si>
  <si>
    <t>Greece</t>
  </si>
  <si>
    <t>2022</t>
  </si>
  <si>
    <t>Ashleigh Barty</t>
  </si>
  <si>
    <t>AUS</t>
  </si>
  <si>
    <t>Australia</t>
  </si>
  <si>
    <t>6–3, 7–6(7–2)</t>
  </si>
  <si>
    <t>Danielle Collins</t>
  </si>
  <si>
    <t>USA</t>
  </si>
  <si>
    <t>United States</t>
  </si>
  <si>
    <t>Rafael Nadal</t>
  </si>
  <si>
    <t>ESP</t>
  </si>
  <si>
    <t>Spain</t>
  </si>
  <si>
    <t>2–6, 6–7(5–7), 6–4, 6–4, 7–5</t>
  </si>
  <si>
    <t>Daniil Medvedev</t>
  </si>
  <si>
    <t>2021</t>
  </si>
  <si>
    <t>Naomi Osaka</t>
  </si>
  <si>
    <t>JPN</t>
  </si>
  <si>
    <t>Japan</t>
  </si>
  <si>
    <t>6–4, 6–3</t>
  </si>
  <si>
    <t>Jennifer Brady</t>
  </si>
  <si>
    <t>7–5, 6–2, 6–2</t>
  </si>
  <si>
    <t>2020</t>
  </si>
  <si>
    <t>Sofia Kenin</t>
  </si>
  <si>
    <t>4–6, 6–2, 6–2</t>
  </si>
  <si>
    <t>Garbiñe Muguruza</t>
  </si>
  <si>
    <t>6–4, 4–6, 2–6, 6–3, 6–4</t>
  </si>
  <si>
    <t>Dominic Thiem</t>
  </si>
  <si>
    <t>AUT</t>
  </si>
  <si>
    <t>Austria</t>
  </si>
  <si>
    <t>2019</t>
  </si>
  <si>
    <t>7–6(7–2), 5–7, 6–4</t>
  </si>
  <si>
    <t>Petra Kvitová</t>
  </si>
  <si>
    <t>CZE</t>
  </si>
  <si>
    <t>Czechia</t>
  </si>
  <si>
    <t>6–3, 6–2, 6–3</t>
  </si>
  <si>
    <t>2018</t>
  </si>
  <si>
    <t>Caroline Wozniacki</t>
  </si>
  <si>
    <t>DEN</t>
  </si>
  <si>
    <t>Denmark</t>
  </si>
  <si>
    <t>7–6(7–2), 3–6, 6–4</t>
  </si>
  <si>
    <t>Simona Halep</t>
  </si>
  <si>
    <t>ROU</t>
  </si>
  <si>
    <t>Romania</t>
  </si>
  <si>
    <t>Roger Federer</t>
  </si>
  <si>
    <t>SUI</t>
  </si>
  <si>
    <t>Switzerland</t>
  </si>
  <si>
    <t>6–2, 6–7(5–7), 6–3, 3–6, 6–1</t>
  </si>
  <si>
    <t>Marin Čilić</t>
  </si>
  <si>
    <t>CRO</t>
  </si>
  <si>
    <t>Croatia</t>
  </si>
  <si>
    <t>2017</t>
  </si>
  <si>
    <t>Serena Williams</t>
  </si>
  <si>
    <t>6–4, 6–4</t>
  </si>
  <si>
    <t>Venus Williams</t>
  </si>
  <si>
    <t>6–4, 3–6, 6–1, 3–6, 6–3</t>
  </si>
  <si>
    <t>2016</t>
  </si>
  <si>
    <t>Angelique Kerber</t>
  </si>
  <si>
    <t>GER</t>
  </si>
  <si>
    <t>Germany</t>
  </si>
  <si>
    <t>6–4, 3–6, 6–4</t>
  </si>
  <si>
    <t>6–1, 7–5, 7–6(7–3)</t>
  </si>
  <si>
    <t>Andy Murray</t>
  </si>
  <si>
    <t>GBR</t>
  </si>
  <si>
    <t>United Kingdom</t>
  </si>
  <si>
    <t>2015</t>
  </si>
  <si>
    <t>6–3, 7–6(7–5)</t>
  </si>
  <si>
    <t>Maria Sharapova</t>
  </si>
  <si>
    <t>7–6(7–5), 6–7(4–7), 6–3, 6–0</t>
  </si>
  <si>
    <t>2014</t>
  </si>
  <si>
    <t>Li Na</t>
  </si>
  <si>
    <t>7–6(7–3), 6–0</t>
  </si>
  <si>
    <t>Dominika Cibulková</t>
  </si>
  <si>
    <t>SVK</t>
  </si>
  <si>
    <t>Slovakia</t>
  </si>
  <si>
    <t>Stan Wawrinka</t>
  </si>
  <si>
    <t>6–3, 6–2, 3–6, 6–3</t>
  </si>
  <si>
    <t>2013</t>
  </si>
  <si>
    <t>Victoria Azarenka</t>
  </si>
  <si>
    <t>4–6, 6–4, 6–3</t>
  </si>
  <si>
    <t>6–7(2–7), 7–6(7–3), 6–3, 6–2</t>
  </si>
  <si>
    <t>2012</t>
  </si>
  <si>
    <t>6–3, 6–0</t>
  </si>
  <si>
    <t>5–7, 6–4, 6–2, 6–7(5–7), 7–5</t>
  </si>
  <si>
    <t>2011</t>
  </si>
  <si>
    <t>Kim Clijsters</t>
  </si>
  <si>
    <t>BEL</t>
  </si>
  <si>
    <t>Belgium</t>
  </si>
  <si>
    <t>3–6, 6–3, 6–3</t>
  </si>
  <si>
    <t>6–4, 6–2, 6–3</t>
  </si>
  <si>
    <t>2010</t>
  </si>
  <si>
    <t>6–4, 3–6, 6–2</t>
  </si>
  <si>
    <t>Justine Henin</t>
  </si>
  <si>
    <t>6–3, 6–4, 7–6(13–11)</t>
  </si>
  <si>
    <t>2009</t>
  </si>
  <si>
    <t>6–0, 6–3</t>
  </si>
  <si>
    <t>Dinara Safina</t>
  </si>
  <si>
    <t>7–5, 3–6, 7–6(7–3), 3–6, 6–2</t>
  </si>
  <si>
    <t>2008</t>
  </si>
  <si>
    <t>7–5, 6–3</t>
  </si>
  <si>
    <t>Ana Ivanovic</t>
  </si>
  <si>
    <t>4–6, 6–4, 6–3, 7–6(7–2)</t>
  </si>
  <si>
    <t>Jo-Wilfried Tsonga</t>
  </si>
  <si>
    <t>FRA</t>
  </si>
  <si>
    <t>France</t>
  </si>
  <si>
    <t>2007</t>
  </si>
  <si>
    <t>6–1, 6–2</t>
  </si>
  <si>
    <t>7–6(7–2), 6–4, 6–4</t>
  </si>
  <si>
    <t>Fernando González</t>
  </si>
  <si>
    <t>CHI</t>
  </si>
  <si>
    <t>Chile</t>
  </si>
  <si>
    <t>2006</t>
  </si>
  <si>
    <t>Amélie Mauresmo</t>
  </si>
  <si>
    <t>6–1, 2–0 retired</t>
  </si>
  <si>
    <t>5–7, 7–5, 6–0, 6–2</t>
  </si>
  <si>
    <t>Marcos Baghdatis</t>
  </si>
  <si>
    <t>CYP</t>
  </si>
  <si>
    <t>Cyprus</t>
  </si>
  <si>
    <t>2005</t>
  </si>
  <si>
    <t>2–6, 6–3, 6–0</t>
  </si>
  <si>
    <t>Lindsay Davenport</t>
  </si>
  <si>
    <t>Marat Safin</t>
  </si>
  <si>
    <t>1–6, 6–3, 6–4, 6–4</t>
  </si>
  <si>
    <t>Lleyton Hewitt</t>
  </si>
  <si>
    <t>2004</t>
  </si>
  <si>
    <t>6–3, 4–6, 6–3</t>
  </si>
  <si>
    <t>7–6(7–3), 6–4, 6–2</t>
  </si>
  <si>
    <t>2003</t>
  </si>
  <si>
    <t>7–6(7–4), 3–6, 6–4</t>
  </si>
  <si>
    <t>Andre Agassi</t>
  </si>
  <si>
    <t>6–2, 6–2, 6–1</t>
  </si>
  <si>
    <t>Rainer Schüttler</t>
  </si>
  <si>
    <t>2002</t>
  </si>
  <si>
    <t>Jennifer Capriati</t>
  </si>
  <si>
    <t>4–6, 7–6(9–7), 6–2</t>
  </si>
  <si>
    <t>Martina Hingis</t>
  </si>
  <si>
    <t>Thomas Johansson</t>
  </si>
  <si>
    <t>SWE</t>
  </si>
  <si>
    <t>Sweden</t>
  </si>
  <si>
    <t>3–6, 6–4, 6–4, 7–6(7–4)</t>
  </si>
  <si>
    <t>2001</t>
  </si>
  <si>
    <t>6–4, 6–2, 6–2</t>
  </si>
  <si>
    <t>Arnaud Clément</t>
  </si>
  <si>
    <t>2000</t>
  </si>
  <si>
    <t>6–1, 7–5</t>
  </si>
  <si>
    <t>3–6, 6–3, 6–2, 6–4</t>
  </si>
  <si>
    <t>Yevgeny Kafelnikov</t>
  </si>
  <si>
    <t>1999</t>
  </si>
  <si>
    <t>6–2, 6–3</t>
  </si>
  <si>
    <t>4–6, 6–0, 6–3, 7–6(7–1)</t>
  </si>
  <si>
    <t>Thomas Enqvist</t>
  </si>
  <si>
    <t>1998</t>
  </si>
  <si>
    <t>6–3, 6–3</t>
  </si>
  <si>
    <t>Conchita Martínez</t>
  </si>
  <si>
    <t>Petr Korda</t>
  </si>
  <si>
    <t>6–2, 6–2, 6–2</t>
  </si>
  <si>
    <t>Marcelo Ríos</t>
  </si>
  <si>
    <t>1997</t>
  </si>
  <si>
    <t>6–2, 6–2</t>
  </si>
  <si>
    <t>Mary Pierce</t>
  </si>
  <si>
    <t>Pete Sampras</t>
  </si>
  <si>
    <t>6–2, 6–3, 6–3</t>
  </si>
  <si>
    <t>Carlos Moyá</t>
  </si>
  <si>
    <t>1996</t>
  </si>
  <si>
    <t>Monica Seles</t>
  </si>
  <si>
    <t>6–4, 6–1</t>
  </si>
  <si>
    <t>Anke Huber</t>
  </si>
  <si>
    <t>Boris Becker</t>
  </si>
  <si>
    <t>6–2, 6–4, 2–6, 6–2</t>
  </si>
  <si>
    <t>Michael Chang</t>
  </si>
  <si>
    <t>1995</t>
  </si>
  <si>
    <t>6–3, 6–2</t>
  </si>
  <si>
    <t>Arantxa Sánchez Vicario</t>
  </si>
  <si>
    <t>4–6, 6–1, 7–6(8–6), 6–4</t>
  </si>
  <si>
    <t>1994</t>
  </si>
  <si>
    <t>Steffi Graf</t>
  </si>
  <si>
    <t>6–0, 6–2</t>
  </si>
  <si>
    <t>7–6(7–4), 6–4, 6–4</t>
  </si>
  <si>
    <t>Todd Martin</t>
  </si>
  <si>
    <t>1993</t>
  </si>
  <si>
    <t>YUG</t>
  </si>
  <si>
    <t>Yugoslavia</t>
  </si>
  <si>
    <t>4–6, 6–3, 6–2</t>
  </si>
  <si>
    <t>Jim Courier</t>
  </si>
  <si>
    <t>6–2, 6–1, 2–6, 7–5</t>
  </si>
  <si>
    <t>Stefan Edberg</t>
  </si>
  <si>
    <t>1992</t>
  </si>
  <si>
    <t>Mary Joe Fernández</t>
  </si>
  <si>
    <t>6–3, 3–6, 6–4, 6–2</t>
  </si>
  <si>
    <t>1991</t>
  </si>
  <si>
    <t>5–7, 6–3, 6–1</t>
  </si>
  <si>
    <t>Jana Novotná</t>
  </si>
  <si>
    <t>TCH</t>
  </si>
  <si>
    <t>Czechoslovakia</t>
  </si>
  <si>
    <t>1–6, 6–4, 6–4, 6–4</t>
  </si>
  <si>
    <t>Ivan Lendl</t>
  </si>
  <si>
    <t>1990</t>
  </si>
  <si>
    <t>6–3, 6–4</t>
  </si>
  <si>
    <t>4–6, 7–6(7–3), 5–2 retired[k]</t>
  </si>
  <si>
    <t>1989</t>
  </si>
  <si>
    <t>Helena Suková</t>
  </si>
  <si>
    <t>Miloslav Mečíř</t>
  </si>
  <si>
    <t>1988</t>
  </si>
  <si>
    <t>6–1, 7–6(7–3)</t>
  </si>
  <si>
    <t>Chris Evert</t>
  </si>
  <si>
    <t>Mats Wilander</t>
  </si>
  <si>
    <t>6–3, 6–7(3–7), 3–6, 6–1, 8–6</t>
  </si>
  <si>
    <t>Pat Cash</t>
  </si>
  <si>
    <t>1987</t>
  </si>
  <si>
    <t>Hana Mandlíková</t>
  </si>
  <si>
    <t>7–5, 7–6(7–1)</t>
  </si>
  <si>
    <t>Martina Navratilova</t>
  </si>
  <si>
    <t>6–3, 6–4, 3–6, 5–7, 6–3</t>
  </si>
  <si>
    <t>1985</t>
  </si>
  <si>
    <t>6–2, 4–6, 6–2</t>
  </si>
  <si>
    <t>6–4, 6–3, 6–3</t>
  </si>
  <si>
    <t>1984</t>
  </si>
  <si>
    <t>6–7(4–7), 6–1, 6–3</t>
  </si>
  <si>
    <t>6–7(5–7), 6–4, 7–6(7–3), 6–2</t>
  </si>
  <si>
    <t>Kevin Curren</t>
  </si>
  <si>
    <t>RSA</t>
  </si>
  <si>
    <t>South Africa</t>
  </si>
  <si>
    <t>1983</t>
  </si>
  <si>
    <t>6–2, 7–6(7–5)</t>
  </si>
  <si>
    <t>Kathy Jordan</t>
  </si>
  <si>
    <t>6–1, 6–4, 6–4</t>
  </si>
  <si>
    <t>1982</t>
  </si>
  <si>
    <t>6–3, 2–6, 6–3</t>
  </si>
  <si>
    <t>Johan Kriek</t>
  </si>
  <si>
    <t>6–3, 6–3, 6–2</t>
  </si>
  <si>
    <t>Steve Denton</t>
  </si>
  <si>
    <t>1981</t>
  </si>
  <si>
    <t>6–7(7–4), 6–4, 7–5</t>
  </si>
  <si>
    <t>6–2, 7–6(7–1), 6–7(1–7), 6–4</t>
  </si>
  <si>
    <t>1980</t>
  </si>
  <si>
    <t>6–0, 7–5</t>
  </si>
  <si>
    <t>Wendy Turnbull</t>
  </si>
  <si>
    <t>Brian Teacher</t>
  </si>
  <si>
    <t>7–5, 7–6(7–4), 6–2</t>
  </si>
  <si>
    <t>Kim Warwick</t>
  </si>
  <si>
    <t>1979</t>
  </si>
  <si>
    <t>Barbara Jordan</t>
  </si>
  <si>
    <t>Sharon Walsh</t>
  </si>
  <si>
    <t>Guillermo Vilas</t>
  </si>
  <si>
    <t>ARG</t>
  </si>
  <si>
    <t>Argentina</t>
  </si>
  <si>
    <t>7–6(7–4), 6–3, 6–2</t>
  </si>
  <si>
    <t>John Sadri</t>
  </si>
  <si>
    <t>1978</t>
  </si>
  <si>
    <t>Chris O'Neil</t>
  </si>
  <si>
    <t>6–3, 7–6(7–3)</t>
  </si>
  <si>
    <t>Betsy Nagelsen</t>
  </si>
  <si>
    <t>6–4, 6–4, 3–6, 6–3</t>
  </si>
  <si>
    <t>John Marks</t>
  </si>
  <si>
    <t>1977-(2)</t>
  </si>
  <si>
    <t>Evonne Goolagong</t>
  </si>
  <si>
    <t>Helen Gourlay</t>
  </si>
  <si>
    <t>Vitas Gerulaitis</t>
  </si>
  <si>
    <t>6–3, 7–6(7–1), 5–7, 3–6, 6–2</t>
  </si>
  <si>
    <t>John Lloyd</t>
  </si>
  <si>
    <t>1977-(1)</t>
  </si>
  <si>
    <t>Kerry Melville Reid</t>
  </si>
  <si>
    <t>7–5, 6–2</t>
  </si>
  <si>
    <t>Dianne Fromholtz</t>
  </si>
  <si>
    <t>Roscoe Tanner</t>
  </si>
  <si>
    <t>6–3, 6–3, 6–3</t>
  </si>
  <si>
    <t>1976</t>
  </si>
  <si>
    <t>Renáta Tomanová</t>
  </si>
  <si>
    <t>Mark Edmondson</t>
  </si>
  <si>
    <t>6–7, 6–3, 7–6, 6–1</t>
  </si>
  <si>
    <t>John Newcombe</t>
  </si>
  <si>
    <t>1975</t>
  </si>
  <si>
    <t>7–5, 3–6, 6–4, 7–6(9–7)</t>
  </si>
  <si>
    <t>Jimmy Connors</t>
  </si>
  <si>
    <t>1974</t>
  </si>
  <si>
    <t>7–6(7–5), 4–6, 6–0</t>
  </si>
  <si>
    <t>7–6(9–7), 6–4, 4–6, 6–3</t>
  </si>
  <si>
    <t>Phil Dent</t>
  </si>
  <si>
    <t>1973</t>
  </si>
  <si>
    <t>Margaret Court</t>
  </si>
  <si>
    <t>6–4, 7–5</t>
  </si>
  <si>
    <t>6–3, 6–7, 7–5, 6–1</t>
  </si>
  <si>
    <t>Onny Parun</t>
  </si>
  <si>
    <t>NZL</t>
  </si>
  <si>
    <t>New Zealand</t>
  </si>
  <si>
    <t>1972</t>
  </si>
  <si>
    <t>Virginia Wade</t>
  </si>
  <si>
    <t>Ken Rosewall</t>
  </si>
  <si>
    <t>7–6(7–2), 6–3, 7–5</t>
  </si>
  <si>
    <t>Malcolm Anderson</t>
  </si>
  <si>
    <t>1971</t>
  </si>
  <si>
    <t>2–6, 7–6(7–0), 7–5</t>
  </si>
  <si>
    <t>6–1, 7–5, 6–3</t>
  </si>
  <si>
    <t>Arthur Ashe</t>
  </si>
  <si>
    <t>1970</t>
  </si>
  <si>
    <t>6–1, 6–3</t>
  </si>
  <si>
    <t>Kerry Melville</t>
  </si>
  <si>
    <t>6–4, 9–7, 6–2</t>
  </si>
  <si>
    <t>Dick Crealy</t>
  </si>
  <si>
    <t>1969</t>
  </si>
  <si>
    <t>Billie Jean King</t>
  </si>
  <si>
    <t>Rod Laver</t>
  </si>
  <si>
    <t>6–3, 6–4, 7–5</t>
  </si>
  <si>
    <t>Andrés Gimeno</t>
  </si>
  <si>
    <t>1968</t>
  </si>
  <si>
    <t>William Bowrey</t>
  </si>
  <si>
    <t>7–5, 2–6, 9–7, 6–4</t>
  </si>
  <si>
    <t>Juan Gisbert</t>
  </si>
  <si>
    <t>1967</t>
  </si>
  <si>
    <t>Nancy Richey</t>
  </si>
  <si>
    <t>6–1, 6–4</t>
  </si>
  <si>
    <t>Lesley Turner Bowrey</t>
  </si>
  <si>
    <t>Roy Emerson</t>
  </si>
  <si>
    <t>6–4, 6–1, 6–4</t>
  </si>
  <si>
    <t>1966</t>
  </si>
  <si>
    <t>Margaret Smith</t>
  </si>
  <si>
    <t>walkover</t>
  </si>
  <si>
    <t>6–4, 6–8, 6–2, 6–3</t>
  </si>
  <si>
    <t>1965</t>
  </si>
  <si>
    <t>5–7, 6–4, 5–2, retired</t>
  </si>
  <si>
    <t>Maria Bueno</t>
  </si>
  <si>
    <t>BRA</t>
  </si>
  <si>
    <t>Brazil</t>
  </si>
  <si>
    <t>7–9, 2–6, 6–4, 7–5, 6–1</t>
  </si>
  <si>
    <t>Fred Stolle</t>
  </si>
  <si>
    <t>1964</t>
  </si>
  <si>
    <t>6–3, 6–4, 6–2</t>
  </si>
  <si>
    <t>1963</t>
  </si>
  <si>
    <t>Jan Lehane</t>
  </si>
  <si>
    <t>6–3, 6–3, 6–1</t>
  </si>
  <si>
    <t>Ken Fletcher</t>
  </si>
  <si>
    <t>1962</t>
  </si>
  <si>
    <t>8–6, 0–6, 6–4, 6–4</t>
  </si>
  <si>
    <t>1961</t>
  </si>
  <si>
    <t>1–6, 6–3, 7–5, 6–4</t>
  </si>
  <si>
    <t>1960</t>
  </si>
  <si>
    <t>5–7, 3–6, 6–3, 8–6, 8–6</t>
  </si>
  <si>
    <t>Neale Fraser</t>
  </si>
  <si>
    <t>1959</t>
  </si>
  <si>
    <t>Mary Carter Reitano</t>
  </si>
  <si>
    <t>Renée Schuurman</t>
  </si>
  <si>
    <t>Alex Olmedo</t>
  </si>
  <si>
    <t>6–1, 6–2, 3–6, 6–3</t>
  </si>
  <si>
    <t>1958</t>
  </si>
  <si>
    <t>Angela Mortimer</t>
  </si>
  <si>
    <t>Lorraine Coghlan</t>
  </si>
  <si>
    <t>Ashley Cooper</t>
  </si>
  <si>
    <t>7–5, 6–3, 6–4</t>
  </si>
  <si>
    <t>1957</t>
  </si>
  <si>
    <t>Shirley Fry Irvin</t>
  </si>
  <si>
    <t>Althea Gibson</t>
  </si>
  <si>
    <t>6–3, 9–11, 6–4, 6–2</t>
  </si>
  <si>
    <t>1956</t>
  </si>
  <si>
    <t>3–6, 6–2, 9–7</t>
  </si>
  <si>
    <t>Thelma Coyne Long</t>
  </si>
  <si>
    <t>Lew Hoad</t>
  </si>
  <si>
    <t>6–4, 3–6, 6–4, 7–5</t>
  </si>
  <si>
    <t>1955</t>
  </si>
  <si>
    <t>Beryl Penrose</t>
  </si>
  <si>
    <t>9–7, 6–4, 6–4</t>
  </si>
  <si>
    <t>1954</t>
  </si>
  <si>
    <t>Jenny Staley</t>
  </si>
  <si>
    <t>Mervyn Rose</t>
  </si>
  <si>
    <t>6–2, 0–6, 6–4, 6–2</t>
  </si>
  <si>
    <t>Rex Hartwig</t>
  </si>
  <si>
    <t>1953</t>
  </si>
  <si>
    <t>Maureen Connolly</t>
  </si>
  <si>
    <t>Julia Sampson Hayward</t>
  </si>
  <si>
    <t>6–0, 6–3, 6–4</t>
  </si>
  <si>
    <t>1952</t>
  </si>
  <si>
    <t>Helen Angwin</t>
  </si>
  <si>
    <t>Ken McGregor</t>
  </si>
  <si>
    <t>7–5, 12–10, 2–6, 6–2</t>
  </si>
  <si>
    <t>Frank Sedgman</t>
  </si>
  <si>
    <t>1951</t>
  </si>
  <si>
    <t>Nancye Wynne Bolton</t>
  </si>
  <si>
    <t>Dick Savitt</t>
  </si>
  <si>
    <t>6–3, 2–6, 6–3, 6–1</t>
  </si>
  <si>
    <t>1950</t>
  </si>
  <si>
    <t>Louise Brough</t>
  </si>
  <si>
    <t>Doris Hart</t>
  </si>
  <si>
    <t>6–3, 6–4, 4–6, 6–1</t>
  </si>
  <si>
    <t>1949</t>
  </si>
  <si>
    <t>6–3, 6–2, 6–2</t>
  </si>
  <si>
    <t>John Bromwich</t>
  </si>
  <si>
    <t>1948</t>
  </si>
  <si>
    <t>6–3, 6–1</t>
  </si>
  <si>
    <t>Marie Toomey</t>
  </si>
  <si>
    <t>Adrian Quist</t>
  </si>
  <si>
    <t>6–4, 3–6, 6–3, 2–6, 6–3</t>
  </si>
  <si>
    <t>1947</t>
  </si>
  <si>
    <t>Nell Hall Hopman</t>
  </si>
  <si>
    <t>Dinny Pails</t>
  </si>
  <si>
    <t>4–6, 6–4, 3–6, 7–5, 8–6</t>
  </si>
  <si>
    <t>1946</t>
  </si>
  <si>
    <t>Joyce Fitch</t>
  </si>
  <si>
    <t>5–7, 6–3, 7–5, 3–6, 6–2</t>
  </si>
  <si>
    <t>1940</t>
  </si>
  <si>
    <t>5–7, 6–4, 6–0</t>
  </si>
  <si>
    <t>6–3, 6–1, 6–2</t>
  </si>
  <si>
    <t>Jack Crawford</t>
  </si>
  <si>
    <t>1939</t>
  </si>
  <si>
    <t>Emily Hood Westacott</t>
  </si>
  <si>
    <t>6–4, 6–1, 6–3</t>
  </si>
  <si>
    <t>1938</t>
  </si>
  <si>
    <t>Dorothy Cheney</t>
  </si>
  <si>
    <t>Dorothy Stevenson</t>
  </si>
  <si>
    <t>Don Budge</t>
  </si>
  <si>
    <t>6–4, 6–2, 6–1</t>
  </si>
  <si>
    <t>1937</t>
  </si>
  <si>
    <t>6–3, 5–7, 6–4</t>
  </si>
  <si>
    <t>Vivian McGrath</t>
  </si>
  <si>
    <t>6–3, 1–6, 6–0, 2–6, 6–1</t>
  </si>
  <si>
    <t>1936</t>
  </si>
  <si>
    <t>Joan Hartigan</t>
  </si>
  <si>
    <t>6–2, 6–3, 4–6, 3–6, 9–7</t>
  </si>
  <si>
    <t>1935</t>
  </si>
  <si>
    <t>Dorothy Round</t>
  </si>
  <si>
    <t>1–6, 6–1, 6–3</t>
  </si>
  <si>
    <t>Nancy Lyle</t>
  </si>
  <si>
    <t>2–6, 6–4, 6–4, 6–4</t>
  </si>
  <si>
    <t>Fred Perry</t>
  </si>
  <si>
    <t>1934</t>
  </si>
  <si>
    <t>Margaret Molesworth</t>
  </si>
  <si>
    <t>6–3, 7–5, 6–1</t>
  </si>
  <si>
    <t>1933</t>
  </si>
  <si>
    <t>Coral Buttsworth</t>
  </si>
  <si>
    <t>2–6, 7–5, 6–3, 6–2</t>
  </si>
  <si>
    <t>Keith Gledhill</t>
  </si>
  <si>
    <t>1932</t>
  </si>
  <si>
    <t>9–7, 6–4</t>
  </si>
  <si>
    <t>Kathleen Le Messurier</t>
  </si>
  <si>
    <t>4–6, 6–3, 3–6, 6–3, 6–1</t>
  </si>
  <si>
    <t>Harry Hopman</t>
  </si>
  <si>
    <t>1931</t>
  </si>
  <si>
    <t>1–6, 6–3, 6–4</t>
  </si>
  <si>
    <t>Marjorie Cox Crawford</t>
  </si>
  <si>
    <t>6–4, 6–2, 2–6, 6–1</t>
  </si>
  <si>
    <t>1930</t>
  </si>
  <si>
    <t>Daphne Akhurst</t>
  </si>
  <si>
    <t>10–8, 2–6, 7–5</t>
  </si>
  <si>
    <t>Sylvia Lance Harper</t>
  </si>
  <si>
    <t>Edgar Moon</t>
  </si>
  <si>
    <t>6–3, 6–1, 6–3</t>
  </si>
  <si>
    <t>1929</t>
  </si>
  <si>
    <t>6–1, 5–7, 6–2</t>
  </si>
  <si>
    <t>Louie Bickerton</t>
  </si>
  <si>
    <t>John Colin Gregory</t>
  </si>
  <si>
    <t>6–2, 6–2, 5–7, 7–5</t>
  </si>
  <si>
    <t>Richard Schlesinger</t>
  </si>
  <si>
    <t>1928</t>
  </si>
  <si>
    <t>Esna Boyd</t>
  </si>
  <si>
    <t>Jean Borotra</t>
  </si>
  <si>
    <t>6–4, 6–1, 4–6, 5–7, 6–3</t>
  </si>
  <si>
    <t>Jack Cummings</t>
  </si>
  <si>
    <t>1927</t>
  </si>
  <si>
    <t>5–7, 6–1, 6–2</t>
  </si>
  <si>
    <t>Gerald Patterson</t>
  </si>
  <si>
    <t>3–6, 6–4, 3–6, 18–16, 6–3</t>
  </si>
  <si>
    <t>John Hawkes</t>
  </si>
  <si>
    <t>1926</t>
  </si>
  <si>
    <t>6–1, 6–3, 6–1</t>
  </si>
  <si>
    <t>James Willard</t>
  </si>
  <si>
    <t>1925</t>
  </si>
  <si>
    <t>1–6, 8–6, 6–4</t>
  </si>
  <si>
    <t>James Anderson</t>
  </si>
  <si>
    <t>11–9, 2–6, 6–2, 6–3</t>
  </si>
  <si>
    <t>1924</t>
  </si>
  <si>
    <t>6–3, 3–6, 8–6</t>
  </si>
  <si>
    <t>1923</t>
  </si>
  <si>
    <t>Pat O'Hara Wood</t>
  </si>
  <si>
    <t>6–1, 6–1, 6–3</t>
  </si>
  <si>
    <t>Bert St. John</t>
  </si>
  <si>
    <t>1922</t>
  </si>
  <si>
    <t>6–3, 10–8</t>
  </si>
  <si>
    <t>6–0, 3–6, 3–6, 6–3, 6–2</t>
  </si>
  <si>
    <t>1921</t>
  </si>
  <si>
    <t>Rhys Gemmell</t>
  </si>
  <si>
    <t>7–5, 6–1, 6–4</t>
  </si>
  <si>
    <t>Alf Hedeman</t>
  </si>
  <si>
    <t>1920</t>
  </si>
  <si>
    <t>6–3, 4–6, 6–8, 6–1, 6–3</t>
  </si>
  <si>
    <t>Ronald Thomas</t>
  </si>
  <si>
    <t>1919</t>
  </si>
  <si>
    <t>Algernon Kingscote</t>
  </si>
  <si>
    <t>6–4, 6–0, 6–3</t>
  </si>
  <si>
    <t>Eric Pockley</t>
  </si>
  <si>
    <t>1915</t>
  </si>
  <si>
    <t>Gordon Lowe</t>
  </si>
  <si>
    <t>4–6, 6–1, 6–1, 6–4</t>
  </si>
  <si>
    <t>Horace Rice</t>
  </si>
  <si>
    <t>1914</t>
  </si>
  <si>
    <t>Arthur O'Hara Wood</t>
  </si>
  <si>
    <t>6–4, 6–3, 5–7, 6–1</t>
  </si>
  <si>
    <t>1913</t>
  </si>
  <si>
    <t>Ernie Parker</t>
  </si>
  <si>
    <t>2–6, 6–1, 6–3, 6–2</t>
  </si>
  <si>
    <t>Harry Parker</t>
  </si>
  <si>
    <t>1912</t>
  </si>
  <si>
    <t>James Cecil Parke</t>
  </si>
  <si>
    <t>3–6, 6–3, 1–6, 6–1, 7–5</t>
  </si>
  <si>
    <t>Alfred Beamish</t>
  </si>
  <si>
    <t>1911</t>
  </si>
  <si>
    <t>Norman Brookes</t>
  </si>
  <si>
    <t>6–1, 6–2, 6–3</t>
  </si>
  <si>
    <t>1910</t>
  </si>
  <si>
    <t>Rodney Heath</t>
  </si>
  <si>
    <t>6–4, 6–3, 6–2</t>
  </si>
  <si>
    <t>1909</t>
  </si>
  <si>
    <t>Anthony Wilding</t>
  </si>
  <si>
    <t>6–1, 7–5, 6–2</t>
  </si>
  <si>
    <t>1908</t>
  </si>
  <si>
    <t>Fred Alexander</t>
  </si>
  <si>
    <t>3–6, 3–6, 6–0, 6–2, 6–3</t>
  </si>
  <si>
    <t>Alfred Dunlop</t>
  </si>
  <si>
    <t>1907</t>
  </si>
  <si>
    <t>6–3, 6–4, 6–4</t>
  </si>
  <si>
    <t>1906</t>
  </si>
  <si>
    <t>6–0, 6–4, 6–4</t>
  </si>
  <si>
    <t>Francis Fisher</t>
  </si>
  <si>
    <t>1905</t>
  </si>
  <si>
    <t>4–6, 6–3, 6–4, 6–4</t>
  </si>
  <si>
    <t>Albert Curtis</t>
  </si>
  <si>
    <t>Champion Seed</t>
  </si>
  <si>
    <t>Mins</t>
  </si>
  <si>
    <t>Runner-up Seed</t>
  </si>
  <si>
    <t>Attribute name</t>
  </si>
  <si>
    <t>Description</t>
  </si>
  <si>
    <t>Format</t>
  </si>
  <si>
    <t>Value</t>
  </si>
  <si>
    <t>該屆賽事舉辦的西元年份</t>
  </si>
  <si>
    <t>Numeric</t>
  </si>
  <si>
    <t>1877 至 2024</t>
  </si>
  <si>
    <t>賽事組別，區分男女單打</t>
  </si>
  <si>
    <t>Categorical</t>
  </si>
  <si>
    <t>Men's, Women's</t>
  </si>
  <si>
    <t>奪冠選手的完整英文姓名</t>
  </si>
  <si>
    <t>String</t>
  </si>
  <si>
    <t>選手姓名 (如 Novak Djokovic)</t>
  </si>
  <si>
    <t>奪冠選手所屬國籍的標準三碼縮寫</t>
  </si>
  <si>
    <t>AUS, USA, SRB 等</t>
  </si>
  <si>
    <t>決賽的每盤詳細比分紀錄</t>
  </si>
  <si>
    <t>例如 "6-3, 6-2" 或 "walkover"</t>
  </si>
  <si>
    <t>亞軍選手的姓名</t>
  </si>
  <si>
    <t>選手姓名</t>
  </si>
  <si>
    <t>亞軍選手所屬國籍的三碼縮寫</t>
  </si>
  <si>
    <t>AUS, USA, ESP 等</t>
  </si>
  <si>
    <t>冠軍選手的種子排名</t>
  </si>
  <si>
    <t>1 - 32 或空值 (非種子)</t>
  </si>
  <si>
    <t>決賽進行的總分鐘數</t>
  </si>
  <si>
    <t>大於 0 的正整數</t>
  </si>
  <si>
    <t>亞軍選手的種子排名</t>
  </si>
  <si>
    <t>1 - 32 或空值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</si>
</sst>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202124"/>
      <name val="Arial"/>
    </font>
    <font>
      <b/>
      <sz val="13.0"/>
      <color theme="1"/>
      <name val="&quot;Google Sans Text&quot;"/>
    </font>
    <font>
      <b/>
      <color theme="1"/>
      <name val="&quot;Google Sans Text&quot;"/>
    </font>
    <font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A8D08D"/>
      </left>
      <right/>
      <top style="thin">
        <color rgb="FFA8D08D"/>
      </top>
      <bottom style="thin">
        <color rgb="FFA8D08D"/>
      </bottom>
    </border>
    <border>
      <top style="thin">
        <color rgb="FFA8D08D"/>
      </top>
      <bottom style="thin">
        <color rgb="FFA8D08D"/>
      </bottom>
    </border>
    <border>
      <left/>
      <right/>
      <top style="thin">
        <color rgb="FFA8D08D"/>
      </top>
      <bottom style="thin">
        <color rgb="FFA8D08D"/>
      </bottom>
    </border>
    <border>
      <left/>
      <right style="thin">
        <color rgb="FFA8D08D"/>
      </right>
      <top style="thin">
        <color rgb="FFA8D08D"/>
      </top>
      <bottom style="thin">
        <color rgb="FFA8D08D"/>
      </bottom>
    </border>
    <border>
      <left style="thin">
        <color rgb="FFA8D08D"/>
      </left>
      <top style="thin">
        <color rgb="FFA8D08D"/>
      </top>
      <bottom style="thin">
        <color rgb="FFA8D08D"/>
      </bottom>
    </border>
    <border>
      <right style="thin">
        <color rgb="FFA8D08D"/>
      </right>
      <top style="thin">
        <color rgb="FFA8D08D"/>
      </top>
      <bottom style="thin">
        <color rgb="FFA8D08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2" fontId="3" numFmtId="49" xfId="0" applyBorder="1" applyFill="1" applyFont="1" applyNumberFormat="1"/>
    <xf borderId="2" fillId="0" fontId="3" numFmtId="0" xfId="0" applyBorder="1" applyFont="1"/>
    <xf borderId="3" fillId="2" fontId="3" numFmtId="0" xfId="0" applyBorder="1" applyFont="1"/>
    <xf borderId="3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right"/>
    </xf>
    <xf borderId="3" fillId="2" fontId="3" numFmtId="0" xfId="0" applyAlignment="1" applyBorder="1" applyFont="1">
      <alignment horizontal="right"/>
    </xf>
    <xf borderId="4" fillId="2" fontId="3" numFmtId="0" xfId="0" applyAlignment="1" applyBorder="1" applyFont="1">
      <alignment horizontal="right"/>
    </xf>
    <xf borderId="0" fillId="0" fontId="4" numFmtId="0" xfId="0" applyAlignment="1" applyFont="1">
      <alignment horizontal="center"/>
    </xf>
    <xf borderId="0" fillId="0" fontId="4" numFmtId="9" xfId="0" applyAlignment="1" applyFont="1" applyNumberFormat="1">
      <alignment horizontal="center"/>
    </xf>
    <xf borderId="5" fillId="0" fontId="3" numFmtId="49" xfId="0" applyBorder="1" applyFont="1" applyNumberForma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5" fillId="0" fontId="3" numFmtId="0" xfId="0" applyAlignment="1" applyBorder="1" applyFont="1">
      <alignment horizontal="right"/>
    </xf>
    <xf borderId="2" fillId="0" fontId="3" numFmtId="0" xfId="0" applyAlignment="1" applyBorder="1" applyFont="1">
      <alignment horizontal="right"/>
    </xf>
    <xf borderId="6" fillId="0" fontId="3" numFmtId="0" xfId="0" applyAlignment="1" applyBorder="1" applyFont="1">
      <alignment horizontal="right"/>
    </xf>
    <xf borderId="3" fillId="3" fontId="3" numFmtId="0" xfId="0" applyBorder="1" applyFill="1" applyFont="1"/>
    <xf borderId="3" fillId="2" fontId="5" numFmtId="0" xfId="0" applyBorder="1" applyFont="1"/>
    <xf borderId="7" fillId="2" fontId="3" numFmtId="0" xfId="0" applyBorder="1" applyFont="1"/>
    <xf borderId="0" fillId="0" fontId="3" numFmtId="49" xfId="0" applyFont="1" applyNumberFormat="1"/>
    <xf borderId="0" fillId="0" fontId="1" numFmtId="0" xfId="0" applyAlignment="1" applyFont="1">
      <alignment horizontal="right"/>
    </xf>
    <xf borderId="5" fillId="0" fontId="3" numFmtId="0" xfId="0" applyBorder="1" applyFont="1"/>
    <xf borderId="2" fillId="0" fontId="3" numFmtId="10" xfId="0" applyBorder="1" applyFont="1" applyNumberFormat="1"/>
    <xf borderId="0" fillId="0" fontId="3" numFmtId="10" xfId="0" applyAlignment="1" applyFont="1" applyNumberFormat="1">
      <alignment horizontal="right"/>
    </xf>
    <xf borderId="1" fillId="2" fontId="3" numFmtId="0" xfId="0" applyBorder="1" applyFont="1"/>
    <xf borderId="3" fillId="2" fontId="3" numFmtId="10" xfId="0" applyBorder="1" applyFont="1" applyNumberFormat="1"/>
    <xf borderId="2" fillId="0" fontId="3" numFmtId="0" xfId="0" applyAlignment="1" applyBorder="1" applyFont="1">
      <alignment horizontal="left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9.43"/>
    <col customWidth="1" min="4" max="4" width="19.57"/>
    <col customWidth="1" min="5" max="5" width="17.0"/>
    <col customWidth="1" min="6" max="6" width="24.29"/>
    <col customWidth="1" min="7" max="7" width="7.71"/>
    <col customWidth="1" min="8" max="8" width="7.29"/>
    <col customWidth="1" min="9" max="9" width="8.57"/>
    <col customWidth="1" min="10" max="10" width="8.0"/>
    <col customWidth="1" min="11" max="11" width="8.14"/>
    <col customWidth="1" min="12" max="12" width="7.57"/>
    <col customWidth="1" min="13" max="13" width="8.14"/>
    <col customWidth="1" min="14" max="14" width="7.57"/>
    <col customWidth="1" min="15" max="15" width="8.14"/>
    <col customWidth="1" min="16" max="16" width="7.57"/>
    <col customWidth="1" min="17" max="17" width="20.71"/>
    <col customWidth="1" min="18" max="18" width="19.86"/>
    <col customWidth="1" min="19" max="19" width="17.43"/>
    <col customWidth="1" min="20" max="22" width="21.43"/>
    <col customWidth="1" min="23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3" t="s">
        <v>18</v>
      </c>
      <c r="T1" s="6" t="s">
        <v>19</v>
      </c>
      <c r="U1" s="6" t="s">
        <v>20</v>
      </c>
      <c r="V1" s="6" t="s">
        <v>21</v>
      </c>
      <c r="W1" s="4"/>
      <c r="X1" s="4"/>
      <c r="Y1" s="4"/>
      <c r="Z1" s="4"/>
      <c r="AA1" s="4"/>
    </row>
    <row r="2">
      <c r="A2" s="7">
        <v>2024.0</v>
      </c>
      <c r="B2" s="8" t="s">
        <v>22</v>
      </c>
      <c r="C2" s="9" t="s">
        <v>23</v>
      </c>
      <c r="D2" s="9" t="s">
        <v>24</v>
      </c>
      <c r="E2" s="9" t="s">
        <v>25</v>
      </c>
      <c r="F2" s="10" t="s">
        <v>26</v>
      </c>
      <c r="G2" s="11">
        <v>6.0</v>
      </c>
      <c r="H2" s="12">
        <v>3.0</v>
      </c>
      <c r="I2" s="12">
        <v>6.0</v>
      </c>
      <c r="J2" s="12">
        <v>2.0</v>
      </c>
      <c r="K2" s="12"/>
      <c r="L2" s="12"/>
      <c r="M2" s="12"/>
      <c r="N2" s="13"/>
      <c r="O2" s="9"/>
      <c r="P2" s="9"/>
      <c r="Q2" s="9" t="s">
        <v>27</v>
      </c>
      <c r="R2" s="9" t="s">
        <v>28</v>
      </c>
      <c r="S2" s="9" t="s">
        <v>29</v>
      </c>
      <c r="T2" s="14">
        <f t="shared" ref="T2:T211" si="1">COUNTIF(C:C, C2)</f>
        <v>2</v>
      </c>
      <c r="U2" s="14">
        <f t="shared" ref="U2:U211" si="2">COUNTIF(Q:Q, C2)</f>
        <v>0</v>
      </c>
      <c r="V2" s="15">
        <f t="shared" ref="V2:V211" si="3">T2/(T2+U2)</f>
        <v>1</v>
      </c>
    </row>
    <row r="3">
      <c r="A3" s="7">
        <v>2024.0</v>
      </c>
      <c r="B3" s="8" t="s">
        <v>30</v>
      </c>
      <c r="C3" s="9" t="s">
        <v>31</v>
      </c>
      <c r="D3" s="9" t="s">
        <v>32</v>
      </c>
      <c r="E3" s="9" t="s">
        <v>33</v>
      </c>
      <c r="F3" s="10" t="s">
        <v>34</v>
      </c>
      <c r="G3" s="12">
        <v>3.0</v>
      </c>
      <c r="H3" s="12">
        <v>6.0</v>
      </c>
      <c r="I3" s="12">
        <v>3.0</v>
      </c>
      <c r="J3" s="12">
        <v>6.0</v>
      </c>
      <c r="K3" s="12">
        <v>6.0</v>
      </c>
      <c r="L3" s="12">
        <v>4.0</v>
      </c>
      <c r="M3" s="12">
        <v>6.0</v>
      </c>
      <c r="N3" s="13">
        <v>4.0</v>
      </c>
      <c r="O3" s="9">
        <v>6.0</v>
      </c>
      <c r="P3" s="9">
        <v>3.0</v>
      </c>
      <c r="Q3" s="9" t="s">
        <v>35</v>
      </c>
      <c r="R3" s="9" t="s">
        <v>36</v>
      </c>
      <c r="S3" s="9" t="s">
        <v>37</v>
      </c>
      <c r="T3" s="14">
        <f t="shared" si="1"/>
        <v>1</v>
      </c>
      <c r="U3" s="14">
        <f t="shared" si="2"/>
        <v>0</v>
      </c>
      <c r="V3" s="15">
        <f t="shared" si="3"/>
        <v>1</v>
      </c>
    </row>
    <row r="4">
      <c r="A4" s="16">
        <v>2023.0</v>
      </c>
      <c r="B4" s="8" t="s">
        <v>22</v>
      </c>
      <c r="C4" s="17" t="s">
        <v>23</v>
      </c>
      <c r="D4" s="17" t="s">
        <v>24</v>
      </c>
      <c r="E4" s="17" t="s">
        <v>25</v>
      </c>
      <c r="F4" s="17" t="s">
        <v>38</v>
      </c>
      <c r="G4" s="18">
        <v>4.0</v>
      </c>
      <c r="H4" s="18">
        <v>6.0</v>
      </c>
      <c r="I4" s="18">
        <v>6.0</v>
      </c>
      <c r="J4" s="18">
        <v>3.0</v>
      </c>
      <c r="K4" s="18">
        <v>6.0</v>
      </c>
      <c r="L4" s="18">
        <v>4.0</v>
      </c>
      <c r="M4" s="18"/>
      <c r="N4" s="18"/>
      <c r="O4" s="18"/>
      <c r="P4" s="18"/>
      <c r="Q4" s="17" t="s">
        <v>39</v>
      </c>
      <c r="R4" s="17" t="s">
        <v>40</v>
      </c>
      <c r="S4" s="17" t="s">
        <v>41</v>
      </c>
      <c r="T4" s="14">
        <f t="shared" si="1"/>
        <v>2</v>
      </c>
      <c r="U4" s="14">
        <f t="shared" si="2"/>
        <v>0</v>
      </c>
      <c r="V4" s="15">
        <f t="shared" si="3"/>
        <v>1</v>
      </c>
      <c r="W4" s="19"/>
      <c r="X4" s="19"/>
      <c r="Y4" s="19"/>
      <c r="Z4" s="19"/>
      <c r="AA4" s="19"/>
    </row>
    <row r="5">
      <c r="A5" s="16">
        <v>2023.0</v>
      </c>
      <c r="B5" s="8" t="s">
        <v>30</v>
      </c>
      <c r="C5" s="8" t="s">
        <v>42</v>
      </c>
      <c r="D5" s="8" t="s">
        <v>43</v>
      </c>
      <c r="E5" s="8" t="s">
        <v>44</v>
      </c>
      <c r="F5" s="17" t="s">
        <v>45</v>
      </c>
      <c r="G5" s="18">
        <v>6.0</v>
      </c>
      <c r="H5" s="18">
        <v>3.0</v>
      </c>
      <c r="I5" s="18">
        <v>7.0</v>
      </c>
      <c r="J5" s="18">
        <v>6.0</v>
      </c>
      <c r="K5" s="18">
        <v>7.0</v>
      </c>
      <c r="L5" s="18">
        <v>6.0</v>
      </c>
      <c r="M5" s="18"/>
      <c r="N5" s="18"/>
      <c r="O5" s="18"/>
      <c r="P5" s="18"/>
      <c r="Q5" s="17" t="s">
        <v>46</v>
      </c>
      <c r="R5" s="17" t="s">
        <v>47</v>
      </c>
      <c r="S5" s="17" t="s">
        <v>48</v>
      </c>
      <c r="T5" s="14">
        <f t="shared" si="1"/>
        <v>10</v>
      </c>
      <c r="U5" s="14">
        <f t="shared" si="2"/>
        <v>0</v>
      </c>
      <c r="V5" s="15">
        <f t="shared" si="3"/>
        <v>1</v>
      </c>
      <c r="W5" s="19"/>
      <c r="X5" s="19"/>
      <c r="Y5" s="19"/>
      <c r="Z5" s="19"/>
      <c r="AA5" s="19"/>
    </row>
    <row r="6">
      <c r="A6" s="7" t="s">
        <v>49</v>
      </c>
      <c r="B6" s="8" t="s">
        <v>22</v>
      </c>
      <c r="C6" s="9" t="s">
        <v>50</v>
      </c>
      <c r="D6" s="9" t="s">
        <v>51</v>
      </c>
      <c r="E6" s="9" t="s">
        <v>52</v>
      </c>
      <c r="F6" s="10" t="s">
        <v>53</v>
      </c>
      <c r="G6" s="11">
        <v>6.0</v>
      </c>
      <c r="H6" s="12">
        <v>3.0</v>
      </c>
      <c r="I6" s="12">
        <v>7.0</v>
      </c>
      <c r="J6" s="12">
        <v>6.0</v>
      </c>
      <c r="K6" s="12"/>
      <c r="L6" s="12"/>
      <c r="M6" s="12"/>
      <c r="N6" s="12"/>
      <c r="O6" s="12"/>
      <c r="P6" s="13"/>
      <c r="Q6" s="9" t="s">
        <v>54</v>
      </c>
      <c r="R6" s="9" t="s">
        <v>55</v>
      </c>
      <c r="S6" s="9" t="s">
        <v>56</v>
      </c>
      <c r="T6" s="14">
        <f t="shared" si="1"/>
        <v>1</v>
      </c>
      <c r="U6" s="14">
        <f t="shared" si="2"/>
        <v>0</v>
      </c>
      <c r="V6" s="15">
        <f t="shared" si="3"/>
        <v>1</v>
      </c>
    </row>
    <row r="7">
      <c r="A7" s="7" t="s">
        <v>49</v>
      </c>
      <c r="B7" s="8" t="s">
        <v>30</v>
      </c>
      <c r="C7" s="9" t="s">
        <v>57</v>
      </c>
      <c r="D7" s="9" t="s">
        <v>58</v>
      </c>
      <c r="E7" s="9" t="s">
        <v>59</v>
      </c>
      <c r="F7" s="9" t="s">
        <v>60</v>
      </c>
      <c r="G7" s="11">
        <v>2.0</v>
      </c>
      <c r="H7" s="12">
        <v>6.0</v>
      </c>
      <c r="I7" s="12">
        <v>6.0</v>
      </c>
      <c r="J7" s="12">
        <v>7.0</v>
      </c>
      <c r="K7" s="12">
        <v>6.0</v>
      </c>
      <c r="L7" s="12">
        <v>4.0</v>
      </c>
      <c r="M7" s="12">
        <v>6.0</v>
      </c>
      <c r="N7" s="12">
        <v>4.0</v>
      </c>
      <c r="O7" s="12">
        <v>7.0</v>
      </c>
      <c r="P7" s="13">
        <v>5.0</v>
      </c>
      <c r="Q7" s="9" t="s">
        <v>61</v>
      </c>
      <c r="R7" s="9" t="s">
        <v>36</v>
      </c>
      <c r="S7" s="9" t="s">
        <v>37</v>
      </c>
      <c r="T7" s="14">
        <f t="shared" si="1"/>
        <v>2</v>
      </c>
      <c r="U7" s="14">
        <f t="shared" si="2"/>
        <v>4</v>
      </c>
      <c r="V7" s="15">
        <f t="shared" si="3"/>
        <v>0.3333333333</v>
      </c>
    </row>
    <row r="8">
      <c r="A8" s="16" t="s">
        <v>62</v>
      </c>
      <c r="B8" s="8" t="s">
        <v>22</v>
      </c>
      <c r="C8" s="8" t="s">
        <v>63</v>
      </c>
      <c r="D8" s="8" t="s">
        <v>64</v>
      </c>
      <c r="E8" s="8" t="s">
        <v>65</v>
      </c>
      <c r="F8" s="8" t="s">
        <v>66</v>
      </c>
      <c r="G8" s="20">
        <v>6.0</v>
      </c>
      <c r="H8" s="21">
        <v>4.0</v>
      </c>
      <c r="I8" s="21">
        <v>6.0</v>
      </c>
      <c r="J8" s="21">
        <v>3.0</v>
      </c>
      <c r="K8" s="21"/>
      <c r="L8" s="21"/>
      <c r="M8" s="21"/>
      <c r="N8" s="21"/>
      <c r="O8" s="21"/>
      <c r="P8" s="22"/>
      <c r="Q8" s="8" t="s">
        <v>67</v>
      </c>
      <c r="R8" s="8" t="s">
        <v>55</v>
      </c>
      <c r="S8" s="8" t="s">
        <v>56</v>
      </c>
      <c r="T8" s="14">
        <f t="shared" si="1"/>
        <v>2</v>
      </c>
      <c r="U8" s="14">
        <f t="shared" si="2"/>
        <v>0</v>
      </c>
      <c r="V8" s="15">
        <f t="shared" si="3"/>
        <v>1</v>
      </c>
    </row>
    <row r="9">
      <c r="A9" s="16" t="s">
        <v>62</v>
      </c>
      <c r="B9" s="8" t="s">
        <v>30</v>
      </c>
      <c r="C9" s="8" t="s">
        <v>42</v>
      </c>
      <c r="D9" s="8" t="s">
        <v>43</v>
      </c>
      <c r="E9" s="8" t="s">
        <v>44</v>
      </c>
      <c r="F9" s="8" t="s">
        <v>68</v>
      </c>
      <c r="G9" s="20">
        <v>7.0</v>
      </c>
      <c r="H9" s="21">
        <v>5.0</v>
      </c>
      <c r="I9" s="21">
        <v>6.0</v>
      </c>
      <c r="J9" s="21">
        <v>2.0</v>
      </c>
      <c r="K9" s="21">
        <v>6.0</v>
      </c>
      <c r="L9" s="21">
        <v>2.0</v>
      </c>
      <c r="M9" s="21"/>
      <c r="N9" s="21"/>
      <c r="O9" s="21"/>
      <c r="P9" s="22"/>
      <c r="Q9" s="8" t="s">
        <v>61</v>
      </c>
      <c r="R9" s="8" t="s">
        <v>36</v>
      </c>
      <c r="S9" s="8" t="s">
        <v>37</v>
      </c>
      <c r="T9" s="14">
        <f t="shared" si="1"/>
        <v>10</v>
      </c>
      <c r="U9" s="14">
        <f t="shared" si="2"/>
        <v>0</v>
      </c>
      <c r="V9" s="15">
        <f t="shared" si="3"/>
        <v>1</v>
      </c>
    </row>
    <row r="10">
      <c r="A10" s="7" t="s">
        <v>69</v>
      </c>
      <c r="B10" s="8" t="s">
        <v>22</v>
      </c>
      <c r="C10" s="9" t="s">
        <v>70</v>
      </c>
      <c r="D10" s="9" t="s">
        <v>55</v>
      </c>
      <c r="E10" s="9" t="s">
        <v>56</v>
      </c>
      <c r="F10" s="9" t="s">
        <v>71</v>
      </c>
      <c r="G10" s="11">
        <v>4.0</v>
      </c>
      <c r="H10" s="12">
        <v>6.0</v>
      </c>
      <c r="I10" s="12">
        <v>6.0</v>
      </c>
      <c r="J10" s="12">
        <v>2.0</v>
      </c>
      <c r="K10" s="12">
        <v>6.0</v>
      </c>
      <c r="L10" s="12">
        <v>2.0</v>
      </c>
      <c r="M10" s="12"/>
      <c r="N10" s="12"/>
      <c r="O10" s="12"/>
      <c r="P10" s="13"/>
      <c r="Q10" s="9" t="s">
        <v>72</v>
      </c>
      <c r="R10" s="9" t="s">
        <v>58</v>
      </c>
      <c r="S10" s="9" t="s">
        <v>59</v>
      </c>
      <c r="T10" s="14">
        <f t="shared" si="1"/>
        <v>1</v>
      </c>
      <c r="U10" s="14">
        <f t="shared" si="2"/>
        <v>0</v>
      </c>
      <c r="V10" s="15">
        <f t="shared" si="3"/>
        <v>1</v>
      </c>
    </row>
    <row r="11">
      <c r="A11" s="7" t="s">
        <v>69</v>
      </c>
      <c r="B11" s="8" t="s">
        <v>30</v>
      </c>
      <c r="C11" s="9" t="s">
        <v>42</v>
      </c>
      <c r="D11" s="9" t="s">
        <v>43</v>
      </c>
      <c r="E11" s="9" t="s">
        <v>44</v>
      </c>
      <c r="F11" s="9" t="s">
        <v>73</v>
      </c>
      <c r="G11" s="11">
        <v>6.0</v>
      </c>
      <c r="H11" s="12">
        <v>4.0</v>
      </c>
      <c r="I11" s="12">
        <v>4.0</v>
      </c>
      <c r="J11" s="12">
        <v>6.0</v>
      </c>
      <c r="K11" s="12">
        <v>2.0</v>
      </c>
      <c r="L11" s="12">
        <v>6.0</v>
      </c>
      <c r="M11" s="12">
        <v>6.0</v>
      </c>
      <c r="N11" s="12">
        <v>3.0</v>
      </c>
      <c r="O11" s="12">
        <v>6.0</v>
      </c>
      <c r="P11" s="13">
        <v>4.0</v>
      </c>
      <c r="Q11" s="9" t="s">
        <v>74</v>
      </c>
      <c r="R11" s="9" t="s">
        <v>75</v>
      </c>
      <c r="S11" s="9" t="s">
        <v>76</v>
      </c>
      <c r="T11" s="14">
        <f t="shared" si="1"/>
        <v>10</v>
      </c>
      <c r="U11" s="14">
        <f t="shared" si="2"/>
        <v>0</v>
      </c>
      <c r="V11" s="15">
        <f t="shared" si="3"/>
        <v>1</v>
      </c>
    </row>
    <row r="12">
      <c r="A12" s="16" t="s">
        <v>77</v>
      </c>
      <c r="B12" s="8" t="s">
        <v>22</v>
      </c>
      <c r="C12" s="8" t="s">
        <v>63</v>
      </c>
      <c r="D12" s="8" t="s">
        <v>64</v>
      </c>
      <c r="E12" s="8" t="s">
        <v>65</v>
      </c>
      <c r="F12" s="8" t="s">
        <v>78</v>
      </c>
      <c r="G12" s="20">
        <v>7.0</v>
      </c>
      <c r="H12" s="21">
        <v>6.0</v>
      </c>
      <c r="I12" s="21">
        <v>5.0</v>
      </c>
      <c r="J12" s="21">
        <v>7.0</v>
      </c>
      <c r="K12" s="21">
        <v>6.0</v>
      </c>
      <c r="L12" s="21">
        <v>4.0</v>
      </c>
      <c r="M12" s="21"/>
      <c r="N12" s="21"/>
      <c r="O12" s="21"/>
      <c r="P12" s="22"/>
      <c r="Q12" s="8" t="s">
        <v>79</v>
      </c>
      <c r="R12" s="8" t="s">
        <v>80</v>
      </c>
      <c r="S12" s="8" t="s">
        <v>81</v>
      </c>
      <c r="T12" s="14">
        <f t="shared" si="1"/>
        <v>2</v>
      </c>
      <c r="U12" s="14">
        <f t="shared" si="2"/>
        <v>0</v>
      </c>
      <c r="V12" s="15">
        <f t="shared" si="3"/>
        <v>1</v>
      </c>
    </row>
    <row r="13">
      <c r="A13" s="16" t="s">
        <v>77</v>
      </c>
      <c r="B13" s="8" t="s">
        <v>30</v>
      </c>
      <c r="C13" s="8" t="s">
        <v>42</v>
      </c>
      <c r="D13" s="8" t="s">
        <v>43</v>
      </c>
      <c r="E13" s="8" t="s">
        <v>44</v>
      </c>
      <c r="F13" s="8" t="s">
        <v>82</v>
      </c>
      <c r="G13" s="20">
        <v>6.0</v>
      </c>
      <c r="H13" s="21">
        <v>3.0</v>
      </c>
      <c r="I13" s="21">
        <v>6.0</v>
      </c>
      <c r="J13" s="21">
        <v>2.0</v>
      </c>
      <c r="K13" s="21">
        <v>6.0</v>
      </c>
      <c r="L13" s="21">
        <v>3.0</v>
      </c>
      <c r="M13" s="21"/>
      <c r="N13" s="21"/>
      <c r="O13" s="21"/>
      <c r="P13" s="22"/>
      <c r="Q13" s="8" t="s">
        <v>57</v>
      </c>
      <c r="R13" s="8" t="s">
        <v>58</v>
      </c>
      <c r="S13" s="8" t="s">
        <v>59</v>
      </c>
      <c r="T13" s="14">
        <f t="shared" si="1"/>
        <v>10</v>
      </c>
      <c r="U13" s="14">
        <f t="shared" si="2"/>
        <v>0</v>
      </c>
      <c r="V13" s="15">
        <f t="shared" si="3"/>
        <v>1</v>
      </c>
    </row>
    <row r="14">
      <c r="A14" s="7" t="s">
        <v>83</v>
      </c>
      <c r="B14" s="8" t="s">
        <v>22</v>
      </c>
      <c r="C14" s="9" t="s">
        <v>84</v>
      </c>
      <c r="D14" s="9" t="s">
        <v>85</v>
      </c>
      <c r="E14" s="9" t="s">
        <v>86</v>
      </c>
      <c r="F14" s="9" t="s">
        <v>87</v>
      </c>
      <c r="G14" s="11">
        <v>7.0</v>
      </c>
      <c r="H14" s="12">
        <v>6.0</v>
      </c>
      <c r="I14" s="12">
        <v>3.0</v>
      </c>
      <c r="J14" s="12">
        <v>6.0</v>
      </c>
      <c r="K14" s="12">
        <v>6.0</v>
      </c>
      <c r="L14" s="12">
        <v>4.0</v>
      </c>
      <c r="M14" s="12"/>
      <c r="N14" s="12"/>
      <c r="O14" s="12"/>
      <c r="P14" s="13"/>
      <c r="Q14" s="9" t="s">
        <v>88</v>
      </c>
      <c r="R14" s="9" t="s">
        <v>89</v>
      </c>
      <c r="S14" s="9" t="s">
        <v>90</v>
      </c>
      <c r="T14" s="14">
        <f t="shared" si="1"/>
        <v>1</v>
      </c>
      <c r="U14" s="14">
        <f t="shared" si="2"/>
        <v>0</v>
      </c>
      <c r="V14" s="15">
        <f t="shared" si="3"/>
        <v>1</v>
      </c>
    </row>
    <row r="15">
      <c r="A15" s="7" t="s">
        <v>83</v>
      </c>
      <c r="B15" s="8" t="s">
        <v>30</v>
      </c>
      <c r="C15" s="9" t="s">
        <v>91</v>
      </c>
      <c r="D15" s="9" t="s">
        <v>92</v>
      </c>
      <c r="E15" s="9" t="s">
        <v>93</v>
      </c>
      <c r="F15" s="9" t="s">
        <v>94</v>
      </c>
      <c r="G15" s="11">
        <v>6.0</v>
      </c>
      <c r="H15" s="12">
        <v>2.0</v>
      </c>
      <c r="I15" s="12">
        <v>6.0</v>
      </c>
      <c r="J15" s="12">
        <v>7.0</v>
      </c>
      <c r="K15" s="12">
        <v>6.0</v>
      </c>
      <c r="L15" s="12">
        <v>3.0</v>
      </c>
      <c r="M15" s="12">
        <v>3.0</v>
      </c>
      <c r="N15" s="12">
        <v>6.0</v>
      </c>
      <c r="O15" s="12">
        <v>6.0</v>
      </c>
      <c r="P15" s="13">
        <v>1.0</v>
      </c>
      <c r="Q15" s="9" t="s">
        <v>95</v>
      </c>
      <c r="R15" s="9" t="s">
        <v>96</v>
      </c>
      <c r="S15" s="9" t="s">
        <v>97</v>
      </c>
      <c r="T15" s="14">
        <f t="shared" si="1"/>
        <v>6</v>
      </c>
      <c r="U15" s="14">
        <f t="shared" si="2"/>
        <v>1</v>
      </c>
      <c r="V15" s="15">
        <f t="shared" si="3"/>
        <v>0.8571428571</v>
      </c>
    </row>
    <row r="16">
      <c r="A16" s="16" t="s">
        <v>98</v>
      </c>
      <c r="B16" s="8" t="s">
        <v>22</v>
      </c>
      <c r="C16" s="8" t="s">
        <v>99</v>
      </c>
      <c r="D16" s="8" t="s">
        <v>55</v>
      </c>
      <c r="E16" s="23" t="s">
        <v>56</v>
      </c>
      <c r="F16" s="8" t="s">
        <v>100</v>
      </c>
      <c r="G16" s="20">
        <v>6.0</v>
      </c>
      <c r="H16" s="21">
        <v>4.0</v>
      </c>
      <c r="I16" s="21">
        <v>6.0</v>
      </c>
      <c r="J16" s="21">
        <v>4.0</v>
      </c>
      <c r="K16" s="21"/>
      <c r="L16" s="21"/>
      <c r="M16" s="21"/>
      <c r="N16" s="21"/>
      <c r="O16" s="21"/>
      <c r="P16" s="22"/>
      <c r="Q16" s="8" t="s">
        <v>101</v>
      </c>
      <c r="R16" s="8" t="s">
        <v>55</v>
      </c>
      <c r="S16" s="8" t="s">
        <v>56</v>
      </c>
      <c r="T16" s="14">
        <f t="shared" si="1"/>
        <v>7</v>
      </c>
      <c r="U16" s="14">
        <f t="shared" si="2"/>
        <v>1</v>
      </c>
      <c r="V16" s="15">
        <f t="shared" si="3"/>
        <v>0.875</v>
      </c>
    </row>
    <row r="17">
      <c r="A17" s="16" t="s">
        <v>98</v>
      </c>
      <c r="B17" s="8" t="s">
        <v>30</v>
      </c>
      <c r="C17" s="8" t="s">
        <v>91</v>
      </c>
      <c r="D17" s="8" t="s">
        <v>92</v>
      </c>
      <c r="E17" s="8" t="s">
        <v>93</v>
      </c>
      <c r="F17" s="8" t="s">
        <v>102</v>
      </c>
      <c r="G17" s="20">
        <v>6.0</v>
      </c>
      <c r="H17" s="21">
        <v>4.0</v>
      </c>
      <c r="I17" s="21">
        <v>3.0</v>
      </c>
      <c r="J17" s="21">
        <v>6.0</v>
      </c>
      <c r="K17" s="21">
        <v>6.0</v>
      </c>
      <c r="L17" s="21">
        <v>1.0</v>
      </c>
      <c r="M17" s="21">
        <v>3.0</v>
      </c>
      <c r="N17" s="21">
        <v>6.0</v>
      </c>
      <c r="O17" s="21">
        <v>6.0</v>
      </c>
      <c r="P17" s="22">
        <v>3.0</v>
      </c>
      <c r="Q17" s="8" t="s">
        <v>57</v>
      </c>
      <c r="R17" s="8" t="s">
        <v>58</v>
      </c>
      <c r="S17" s="8" t="s">
        <v>59</v>
      </c>
      <c r="T17" s="14">
        <f t="shared" si="1"/>
        <v>6</v>
      </c>
      <c r="U17" s="14">
        <f t="shared" si="2"/>
        <v>1</v>
      </c>
      <c r="V17" s="15">
        <f t="shared" si="3"/>
        <v>0.8571428571</v>
      </c>
    </row>
    <row r="18">
      <c r="A18" s="7" t="s">
        <v>103</v>
      </c>
      <c r="B18" s="8" t="s">
        <v>22</v>
      </c>
      <c r="C18" s="9" t="s">
        <v>104</v>
      </c>
      <c r="D18" s="9" t="s">
        <v>105</v>
      </c>
      <c r="E18" s="9" t="s">
        <v>106</v>
      </c>
      <c r="F18" s="9" t="s">
        <v>107</v>
      </c>
      <c r="G18" s="11">
        <v>6.0</v>
      </c>
      <c r="H18" s="12">
        <v>4.0</v>
      </c>
      <c r="I18" s="12">
        <v>3.0</v>
      </c>
      <c r="J18" s="12">
        <v>6.0</v>
      </c>
      <c r="K18" s="12">
        <v>6.0</v>
      </c>
      <c r="L18" s="12">
        <v>4.0</v>
      </c>
      <c r="M18" s="12"/>
      <c r="N18" s="12"/>
      <c r="O18" s="12"/>
      <c r="P18" s="13"/>
      <c r="Q18" s="9" t="s">
        <v>99</v>
      </c>
      <c r="R18" s="9" t="s">
        <v>55</v>
      </c>
      <c r="S18" s="9" t="s">
        <v>56</v>
      </c>
      <c r="T18" s="14">
        <f t="shared" si="1"/>
        <v>1</v>
      </c>
      <c r="U18" s="14">
        <f t="shared" si="2"/>
        <v>0</v>
      </c>
      <c r="V18" s="15">
        <f t="shared" si="3"/>
        <v>1</v>
      </c>
    </row>
    <row r="19">
      <c r="A19" s="7" t="s">
        <v>103</v>
      </c>
      <c r="B19" s="8" t="s">
        <v>30</v>
      </c>
      <c r="C19" s="9" t="s">
        <v>42</v>
      </c>
      <c r="D19" s="9" t="s">
        <v>43</v>
      </c>
      <c r="E19" s="9" t="s">
        <v>44</v>
      </c>
      <c r="F19" s="9" t="s">
        <v>108</v>
      </c>
      <c r="G19" s="11">
        <v>6.0</v>
      </c>
      <c r="H19" s="12">
        <v>1.0</v>
      </c>
      <c r="I19" s="12">
        <v>7.0</v>
      </c>
      <c r="J19" s="12">
        <v>5.0</v>
      </c>
      <c r="K19" s="12">
        <v>7.0</v>
      </c>
      <c r="L19" s="12">
        <v>6.0</v>
      </c>
      <c r="M19" s="12"/>
      <c r="N19" s="12"/>
      <c r="O19" s="12"/>
      <c r="P19" s="13"/>
      <c r="Q19" s="9" t="s">
        <v>109</v>
      </c>
      <c r="R19" s="9" t="s">
        <v>110</v>
      </c>
      <c r="S19" s="9" t="s">
        <v>111</v>
      </c>
      <c r="T19" s="14">
        <f t="shared" si="1"/>
        <v>10</v>
      </c>
      <c r="U19" s="14">
        <f t="shared" si="2"/>
        <v>0</v>
      </c>
      <c r="V19" s="15">
        <f t="shared" si="3"/>
        <v>1</v>
      </c>
    </row>
    <row r="20">
      <c r="A20" s="16" t="s">
        <v>112</v>
      </c>
      <c r="B20" s="8" t="s">
        <v>22</v>
      </c>
      <c r="C20" s="8" t="s">
        <v>99</v>
      </c>
      <c r="D20" s="8" t="s">
        <v>55</v>
      </c>
      <c r="E20" s="23" t="s">
        <v>56</v>
      </c>
      <c r="F20" s="8" t="s">
        <v>113</v>
      </c>
      <c r="G20" s="20">
        <v>6.0</v>
      </c>
      <c r="H20" s="21">
        <v>3.0</v>
      </c>
      <c r="I20" s="21">
        <v>7.0</v>
      </c>
      <c r="J20" s="21">
        <v>6.0</v>
      </c>
      <c r="K20" s="21"/>
      <c r="L20" s="21"/>
      <c r="M20" s="21"/>
      <c r="N20" s="21"/>
      <c r="O20" s="21"/>
      <c r="P20" s="22"/>
      <c r="Q20" s="8" t="s">
        <v>114</v>
      </c>
      <c r="R20" s="8" t="s">
        <v>36</v>
      </c>
      <c r="S20" s="8" t="s">
        <v>37</v>
      </c>
      <c r="T20" s="14">
        <f t="shared" si="1"/>
        <v>7</v>
      </c>
      <c r="U20" s="14">
        <f t="shared" si="2"/>
        <v>1</v>
      </c>
      <c r="V20" s="15">
        <f t="shared" si="3"/>
        <v>0.875</v>
      </c>
    </row>
    <row r="21" ht="15.75" customHeight="1">
      <c r="A21" s="16" t="s">
        <v>112</v>
      </c>
      <c r="B21" s="8" t="s">
        <v>30</v>
      </c>
      <c r="C21" s="8" t="s">
        <v>42</v>
      </c>
      <c r="D21" s="8" t="s">
        <v>43</v>
      </c>
      <c r="E21" s="8" t="s">
        <v>44</v>
      </c>
      <c r="F21" s="8" t="s">
        <v>115</v>
      </c>
      <c r="G21" s="20">
        <v>7.0</v>
      </c>
      <c r="H21" s="21">
        <v>6.0</v>
      </c>
      <c r="I21" s="21">
        <v>6.0</v>
      </c>
      <c r="J21" s="21">
        <v>7.0</v>
      </c>
      <c r="K21" s="21">
        <v>6.0</v>
      </c>
      <c r="L21" s="21">
        <v>3.0</v>
      </c>
      <c r="M21" s="21">
        <v>6.0</v>
      </c>
      <c r="N21" s="21">
        <v>0.0</v>
      </c>
      <c r="O21" s="21"/>
      <c r="P21" s="22"/>
      <c r="Q21" s="8" t="s">
        <v>109</v>
      </c>
      <c r="R21" s="8" t="s">
        <v>110</v>
      </c>
      <c r="S21" s="8" t="s">
        <v>111</v>
      </c>
      <c r="T21" s="14">
        <f t="shared" si="1"/>
        <v>10</v>
      </c>
      <c r="U21" s="14">
        <f t="shared" si="2"/>
        <v>0</v>
      </c>
      <c r="V21" s="15">
        <f t="shared" si="3"/>
        <v>1</v>
      </c>
    </row>
    <row r="22" ht="15.75" customHeight="1">
      <c r="A22" s="7" t="s">
        <v>116</v>
      </c>
      <c r="B22" s="8" t="s">
        <v>22</v>
      </c>
      <c r="C22" s="9" t="s">
        <v>117</v>
      </c>
      <c r="D22" s="9" t="s">
        <v>28</v>
      </c>
      <c r="E22" s="9" t="s">
        <v>29</v>
      </c>
      <c r="F22" s="9" t="s">
        <v>118</v>
      </c>
      <c r="G22" s="11">
        <v>7.0</v>
      </c>
      <c r="H22" s="12">
        <v>6.0</v>
      </c>
      <c r="I22" s="12">
        <v>6.0</v>
      </c>
      <c r="J22" s="12">
        <v>0.0</v>
      </c>
      <c r="K22" s="12"/>
      <c r="L22" s="12"/>
      <c r="M22" s="12"/>
      <c r="N22" s="12"/>
      <c r="O22" s="12"/>
      <c r="P22" s="13"/>
      <c r="Q22" s="9" t="s">
        <v>119</v>
      </c>
      <c r="R22" s="9" t="s">
        <v>120</v>
      </c>
      <c r="S22" s="9" t="s">
        <v>121</v>
      </c>
      <c r="T22" s="14">
        <f t="shared" si="1"/>
        <v>1</v>
      </c>
      <c r="U22" s="14">
        <f t="shared" si="2"/>
        <v>2</v>
      </c>
      <c r="V22" s="15">
        <f t="shared" si="3"/>
        <v>0.3333333333</v>
      </c>
    </row>
    <row r="23" ht="15.75" customHeight="1">
      <c r="A23" s="7" t="s">
        <v>116</v>
      </c>
      <c r="B23" s="8" t="s">
        <v>30</v>
      </c>
      <c r="C23" s="9" t="s">
        <v>122</v>
      </c>
      <c r="D23" s="9" t="s">
        <v>92</v>
      </c>
      <c r="E23" s="9" t="s">
        <v>93</v>
      </c>
      <c r="F23" s="9" t="s">
        <v>123</v>
      </c>
      <c r="G23" s="11">
        <v>6.0</v>
      </c>
      <c r="H23" s="12">
        <v>3.0</v>
      </c>
      <c r="I23" s="12">
        <v>6.0</v>
      </c>
      <c r="J23" s="12">
        <v>2.0</v>
      </c>
      <c r="K23" s="12">
        <v>3.0</v>
      </c>
      <c r="L23" s="12">
        <v>6.0</v>
      </c>
      <c r="M23" s="12">
        <v>6.0</v>
      </c>
      <c r="N23" s="12">
        <v>3.0</v>
      </c>
      <c r="O23" s="12"/>
      <c r="P23" s="13"/>
      <c r="Q23" s="9" t="s">
        <v>57</v>
      </c>
      <c r="R23" s="9" t="s">
        <v>58</v>
      </c>
      <c r="S23" s="9" t="s">
        <v>59</v>
      </c>
      <c r="T23" s="14">
        <f t="shared" si="1"/>
        <v>1</v>
      </c>
      <c r="U23" s="14">
        <f t="shared" si="2"/>
        <v>0</v>
      </c>
      <c r="V23" s="15">
        <f t="shared" si="3"/>
        <v>1</v>
      </c>
    </row>
    <row r="24" ht="15.75" customHeight="1">
      <c r="A24" s="16" t="s">
        <v>124</v>
      </c>
      <c r="B24" s="8" t="s">
        <v>22</v>
      </c>
      <c r="C24" s="8" t="s">
        <v>125</v>
      </c>
      <c r="D24" s="8" t="s">
        <v>24</v>
      </c>
      <c r="E24" s="8" t="s">
        <v>25</v>
      </c>
      <c r="F24" s="8" t="s">
        <v>126</v>
      </c>
      <c r="G24" s="20">
        <v>4.0</v>
      </c>
      <c r="H24" s="21">
        <v>6.0</v>
      </c>
      <c r="I24" s="21">
        <v>6.0</v>
      </c>
      <c r="J24" s="21">
        <v>4.0</v>
      </c>
      <c r="K24" s="21">
        <v>6.0</v>
      </c>
      <c r="L24" s="21">
        <v>3.0</v>
      </c>
      <c r="M24" s="21"/>
      <c r="N24" s="21"/>
      <c r="O24" s="21"/>
      <c r="P24" s="22"/>
      <c r="Q24" s="8" t="s">
        <v>117</v>
      </c>
      <c r="R24" s="8" t="s">
        <v>28</v>
      </c>
      <c r="S24" s="8" t="s">
        <v>29</v>
      </c>
      <c r="T24" s="14">
        <f t="shared" si="1"/>
        <v>2</v>
      </c>
      <c r="U24" s="14">
        <f t="shared" si="2"/>
        <v>0</v>
      </c>
      <c r="V24" s="15">
        <f t="shared" si="3"/>
        <v>1</v>
      </c>
    </row>
    <row r="25" ht="15.75" customHeight="1">
      <c r="A25" s="16" t="s">
        <v>124</v>
      </c>
      <c r="B25" s="8" t="s">
        <v>30</v>
      </c>
      <c r="C25" s="8" t="s">
        <v>42</v>
      </c>
      <c r="D25" s="8" t="s">
        <v>43</v>
      </c>
      <c r="E25" s="8" t="s">
        <v>44</v>
      </c>
      <c r="F25" s="8" t="s">
        <v>127</v>
      </c>
      <c r="G25" s="20">
        <v>6.0</v>
      </c>
      <c r="H25" s="21">
        <v>7.0</v>
      </c>
      <c r="I25" s="21">
        <v>7.0</v>
      </c>
      <c r="J25" s="21">
        <v>6.0</v>
      </c>
      <c r="K25" s="21">
        <v>6.0</v>
      </c>
      <c r="L25" s="21">
        <v>3.0</v>
      </c>
      <c r="M25" s="21">
        <v>6.0</v>
      </c>
      <c r="N25" s="21">
        <v>2.0</v>
      </c>
      <c r="O25" s="21"/>
      <c r="P25" s="22"/>
      <c r="Q25" s="8" t="s">
        <v>109</v>
      </c>
      <c r="R25" s="8" t="s">
        <v>110</v>
      </c>
      <c r="S25" s="8" t="s">
        <v>111</v>
      </c>
      <c r="T25" s="14">
        <f t="shared" si="1"/>
        <v>10</v>
      </c>
      <c r="U25" s="14">
        <f t="shared" si="2"/>
        <v>0</v>
      </c>
      <c r="V25" s="15">
        <f t="shared" si="3"/>
        <v>1</v>
      </c>
    </row>
    <row r="26" ht="15.75" customHeight="1">
      <c r="A26" s="7" t="s">
        <v>128</v>
      </c>
      <c r="B26" s="8" t="s">
        <v>22</v>
      </c>
      <c r="C26" s="9" t="s">
        <v>125</v>
      </c>
      <c r="D26" s="9" t="s">
        <v>24</v>
      </c>
      <c r="E26" s="24" t="s">
        <v>25</v>
      </c>
      <c r="F26" s="9" t="s">
        <v>129</v>
      </c>
      <c r="G26" s="11">
        <v>6.0</v>
      </c>
      <c r="H26" s="12">
        <v>3.0</v>
      </c>
      <c r="I26" s="12">
        <v>6.0</v>
      </c>
      <c r="J26" s="12">
        <v>0.0</v>
      </c>
      <c r="K26" s="12"/>
      <c r="L26" s="12"/>
      <c r="M26" s="12"/>
      <c r="N26" s="12"/>
      <c r="O26" s="12"/>
      <c r="P26" s="13"/>
      <c r="Q26" s="9" t="s">
        <v>114</v>
      </c>
      <c r="R26" s="9" t="s">
        <v>36</v>
      </c>
      <c r="S26" s="9" t="s">
        <v>37</v>
      </c>
      <c r="T26" s="14">
        <f t="shared" si="1"/>
        <v>2</v>
      </c>
      <c r="U26" s="14">
        <f t="shared" si="2"/>
        <v>0</v>
      </c>
      <c r="V26" s="15">
        <f t="shared" si="3"/>
        <v>1</v>
      </c>
    </row>
    <row r="27" ht="15.75" customHeight="1">
      <c r="A27" s="7" t="s">
        <v>128</v>
      </c>
      <c r="B27" s="8" t="s">
        <v>30</v>
      </c>
      <c r="C27" s="9" t="s">
        <v>42</v>
      </c>
      <c r="D27" s="9" t="s">
        <v>43</v>
      </c>
      <c r="E27" s="9" t="s">
        <v>44</v>
      </c>
      <c r="F27" s="9" t="s">
        <v>130</v>
      </c>
      <c r="G27" s="11">
        <v>5.0</v>
      </c>
      <c r="H27" s="12">
        <v>7.0</v>
      </c>
      <c r="I27" s="12">
        <v>6.0</v>
      </c>
      <c r="J27" s="12">
        <v>4.0</v>
      </c>
      <c r="K27" s="12">
        <v>6.0</v>
      </c>
      <c r="L27" s="12">
        <v>2.0</v>
      </c>
      <c r="M27" s="12">
        <v>6.0</v>
      </c>
      <c r="N27" s="12">
        <v>7.0</v>
      </c>
      <c r="O27" s="12">
        <v>7.0</v>
      </c>
      <c r="P27" s="13">
        <v>5.0</v>
      </c>
      <c r="Q27" s="9" t="s">
        <v>57</v>
      </c>
      <c r="R27" s="9" t="s">
        <v>58</v>
      </c>
      <c r="S27" s="9" t="s">
        <v>59</v>
      </c>
      <c r="T27" s="14">
        <f t="shared" si="1"/>
        <v>10</v>
      </c>
      <c r="U27" s="14">
        <f t="shared" si="2"/>
        <v>0</v>
      </c>
      <c r="V27" s="15">
        <f t="shared" si="3"/>
        <v>1</v>
      </c>
    </row>
    <row r="28" ht="15.75" customHeight="1">
      <c r="A28" s="16" t="s">
        <v>131</v>
      </c>
      <c r="B28" s="8" t="s">
        <v>22</v>
      </c>
      <c r="C28" s="8" t="s">
        <v>132</v>
      </c>
      <c r="D28" s="8" t="s">
        <v>133</v>
      </c>
      <c r="E28" s="8" t="s">
        <v>134</v>
      </c>
      <c r="F28" s="8" t="s">
        <v>135</v>
      </c>
      <c r="G28" s="20">
        <v>3.0</v>
      </c>
      <c r="H28" s="21">
        <v>6.0</v>
      </c>
      <c r="I28" s="21">
        <v>6.0</v>
      </c>
      <c r="J28" s="21">
        <v>3.0</v>
      </c>
      <c r="K28" s="21">
        <v>6.0</v>
      </c>
      <c r="L28" s="21">
        <v>3.0</v>
      </c>
      <c r="M28" s="21"/>
      <c r="N28" s="21"/>
      <c r="O28" s="21"/>
      <c r="P28" s="22"/>
      <c r="Q28" s="8" t="s">
        <v>117</v>
      </c>
      <c r="R28" s="8" t="s">
        <v>28</v>
      </c>
      <c r="S28" s="8" t="s">
        <v>29</v>
      </c>
      <c r="T28" s="14">
        <f t="shared" si="1"/>
        <v>1</v>
      </c>
      <c r="U28" s="14">
        <f t="shared" si="2"/>
        <v>1</v>
      </c>
      <c r="V28" s="15">
        <f t="shared" si="3"/>
        <v>0.5</v>
      </c>
    </row>
    <row r="29" ht="15.75" customHeight="1">
      <c r="A29" s="16" t="s">
        <v>131</v>
      </c>
      <c r="B29" s="8" t="s">
        <v>30</v>
      </c>
      <c r="C29" s="8" t="s">
        <v>42</v>
      </c>
      <c r="D29" s="8" t="s">
        <v>43</v>
      </c>
      <c r="E29" s="8" t="s">
        <v>44</v>
      </c>
      <c r="F29" s="8" t="s">
        <v>136</v>
      </c>
      <c r="G29" s="20">
        <v>6.0</v>
      </c>
      <c r="H29" s="21">
        <v>4.0</v>
      </c>
      <c r="I29" s="21">
        <v>6.0</v>
      </c>
      <c r="J29" s="21">
        <v>2.0</v>
      </c>
      <c r="K29" s="21">
        <v>6.0</v>
      </c>
      <c r="L29" s="21">
        <v>3.0</v>
      </c>
      <c r="M29" s="21"/>
      <c r="N29" s="21"/>
      <c r="O29" s="21"/>
      <c r="P29" s="22"/>
      <c r="Q29" s="8" t="s">
        <v>109</v>
      </c>
      <c r="R29" s="8" t="s">
        <v>110</v>
      </c>
      <c r="S29" s="8" t="s">
        <v>111</v>
      </c>
      <c r="T29" s="14">
        <f t="shared" si="1"/>
        <v>10</v>
      </c>
      <c r="U29" s="14">
        <f t="shared" si="2"/>
        <v>0</v>
      </c>
      <c r="V29" s="15">
        <f t="shared" si="3"/>
        <v>1</v>
      </c>
    </row>
    <row r="30" ht="15.75" customHeight="1">
      <c r="A30" s="7" t="s">
        <v>137</v>
      </c>
      <c r="B30" s="8" t="s">
        <v>22</v>
      </c>
      <c r="C30" s="9" t="s">
        <v>99</v>
      </c>
      <c r="D30" s="9" t="s">
        <v>55</v>
      </c>
      <c r="E30" s="9" t="s">
        <v>56</v>
      </c>
      <c r="F30" s="9" t="s">
        <v>138</v>
      </c>
      <c r="G30" s="11">
        <v>6.0</v>
      </c>
      <c r="H30" s="12">
        <v>4.0</v>
      </c>
      <c r="I30" s="12">
        <v>3.0</v>
      </c>
      <c r="J30" s="12">
        <v>6.0</v>
      </c>
      <c r="K30" s="12">
        <v>6.0</v>
      </c>
      <c r="L30" s="12">
        <v>2.0</v>
      </c>
      <c r="M30" s="12"/>
      <c r="N30" s="12"/>
      <c r="O30" s="12"/>
      <c r="P30" s="13"/>
      <c r="Q30" s="9" t="s">
        <v>139</v>
      </c>
      <c r="R30" s="9" t="s">
        <v>133</v>
      </c>
      <c r="S30" s="9" t="s">
        <v>134</v>
      </c>
      <c r="T30" s="14">
        <f t="shared" si="1"/>
        <v>7</v>
      </c>
      <c r="U30" s="14">
        <f t="shared" si="2"/>
        <v>1</v>
      </c>
      <c r="V30" s="15">
        <f t="shared" si="3"/>
        <v>0.875</v>
      </c>
    </row>
    <row r="31" ht="15.75" customHeight="1">
      <c r="A31" s="7" t="s">
        <v>137</v>
      </c>
      <c r="B31" s="8" t="s">
        <v>30</v>
      </c>
      <c r="C31" s="9" t="s">
        <v>91</v>
      </c>
      <c r="D31" s="9" t="s">
        <v>92</v>
      </c>
      <c r="E31" s="9" t="s">
        <v>93</v>
      </c>
      <c r="F31" s="9" t="s">
        <v>140</v>
      </c>
      <c r="G31" s="11">
        <v>6.0</v>
      </c>
      <c r="H31" s="12">
        <v>3.0</v>
      </c>
      <c r="I31" s="12">
        <v>6.0</v>
      </c>
      <c r="J31" s="12">
        <v>4.0</v>
      </c>
      <c r="K31" s="12">
        <v>7.0</v>
      </c>
      <c r="L31" s="12">
        <v>6.0</v>
      </c>
      <c r="M31" s="12"/>
      <c r="N31" s="12"/>
      <c r="O31" s="12"/>
      <c r="P31" s="13"/>
      <c r="Q31" s="9" t="s">
        <v>109</v>
      </c>
      <c r="R31" s="9" t="s">
        <v>110</v>
      </c>
      <c r="S31" s="9" t="s">
        <v>111</v>
      </c>
      <c r="T31" s="14">
        <f t="shared" si="1"/>
        <v>6</v>
      </c>
      <c r="U31" s="14">
        <f t="shared" si="2"/>
        <v>1</v>
      </c>
      <c r="V31" s="15">
        <f t="shared" si="3"/>
        <v>0.8571428571</v>
      </c>
    </row>
    <row r="32" ht="15.75" customHeight="1">
      <c r="A32" s="16" t="s">
        <v>141</v>
      </c>
      <c r="B32" s="8" t="s">
        <v>22</v>
      </c>
      <c r="C32" s="8" t="s">
        <v>99</v>
      </c>
      <c r="D32" s="8" t="s">
        <v>55</v>
      </c>
      <c r="E32" s="23" t="s">
        <v>56</v>
      </c>
      <c r="F32" s="8" t="s">
        <v>142</v>
      </c>
      <c r="G32" s="20">
        <v>6.0</v>
      </c>
      <c r="H32" s="21">
        <v>0.0</v>
      </c>
      <c r="I32" s="21">
        <v>6.0</v>
      </c>
      <c r="J32" s="21">
        <v>3.0</v>
      </c>
      <c r="K32" s="21"/>
      <c r="L32" s="21"/>
      <c r="M32" s="21"/>
      <c r="N32" s="21"/>
      <c r="O32" s="21"/>
      <c r="P32" s="22"/>
      <c r="Q32" s="8" t="s">
        <v>143</v>
      </c>
      <c r="R32" s="8" t="s">
        <v>36</v>
      </c>
      <c r="S32" s="8" t="s">
        <v>37</v>
      </c>
      <c r="T32" s="14">
        <f t="shared" si="1"/>
        <v>7</v>
      </c>
      <c r="U32" s="14">
        <f t="shared" si="2"/>
        <v>1</v>
      </c>
      <c r="V32" s="15">
        <f t="shared" si="3"/>
        <v>0.875</v>
      </c>
    </row>
    <row r="33" ht="15.75" customHeight="1">
      <c r="A33" s="16" t="s">
        <v>141</v>
      </c>
      <c r="B33" s="8" t="s">
        <v>30</v>
      </c>
      <c r="C33" s="8" t="s">
        <v>57</v>
      </c>
      <c r="D33" s="8" t="s">
        <v>58</v>
      </c>
      <c r="E33" s="8" t="s">
        <v>59</v>
      </c>
      <c r="F33" s="8" t="s">
        <v>144</v>
      </c>
      <c r="G33" s="20">
        <v>7.0</v>
      </c>
      <c r="H33" s="21">
        <v>5.0</v>
      </c>
      <c r="I33" s="21">
        <v>3.0</v>
      </c>
      <c r="J33" s="21">
        <v>6.0</v>
      </c>
      <c r="K33" s="21">
        <v>7.0</v>
      </c>
      <c r="L33" s="21">
        <v>6.0</v>
      </c>
      <c r="M33" s="21">
        <v>3.0</v>
      </c>
      <c r="N33" s="21">
        <v>6.0</v>
      </c>
      <c r="O33" s="21">
        <v>6.0</v>
      </c>
      <c r="P33" s="22">
        <v>2.0</v>
      </c>
      <c r="Q33" s="8" t="s">
        <v>91</v>
      </c>
      <c r="R33" s="8" t="s">
        <v>92</v>
      </c>
      <c r="S33" s="8" t="s">
        <v>93</v>
      </c>
      <c r="T33" s="14">
        <f t="shared" si="1"/>
        <v>2</v>
      </c>
      <c r="U33" s="14">
        <f t="shared" si="2"/>
        <v>4</v>
      </c>
      <c r="V33" s="15">
        <f t="shared" si="3"/>
        <v>0.3333333333</v>
      </c>
    </row>
    <row r="34" ht="15.75" customHeight="1">
      <c r="A34" s="7" t="s">
        <v>145</v>
      </c>
      <c r="B34" s="8" t="s">
        <v>22</v>
      </c>
      <c r="C34" s="9" t="s">
        <v>114</v>
      </c>
      <c r="D34" s="9" t="s">
        <v>36</v>
      </c>
      <c r="E34" s="9" t="s">
        <v>37</v>
      </c>
      <c r="F34" s="9" t="s">
        <v>146</v>
      </c>
      <c r="G34" s="11">
        <v>7.0</v>
      </c>
      <c r="H34" s="12">
        <v>5.0</v>
      </c>
      <c r="I34" s="12">
        <v>6.0</v>
      </c>
      <c r="J34" s="12">
        <v>3.0</v>
      </c>
      <c r="K34" s="12"/>
      <c r="L34" s="12"/>
      <c r="M34" s="12"/>
      <c r="N34" s="12"/>
      <c r="O34" s="12"/>
      <c r="P34" s="13"/>
      <c r="Q34" s="9" t="s">
        <v>147</v>
      </c>
      <c r="R34" s="9" t="s">
        <v>43</v>
      </c>
      <c r="S34" s="9" t="s">
        <v>44</v>
      </c>
      <c r="T34" s="14">
        <f t="shared" si="1"/>
        <v>1</v>
      </c>
      <c r="U34" s="14">
        <f t="shared" si="2"/>
        <v>3</v>
      </c>
      <c r="V34" s="15">
        <f t="shared" si="3"/>
        <v>0.25</v>
      </c>
    </row>
    <row r="35" ht="15.75" customHeight="1">
      <c r="A35" s="7" t="s">
        <v>145</v>
      </c>
      <c r="B35" s="8" t="s">
        <v>30</v>
      </c>
      <c r="C35" s="9" t="s">
        <v>42</v>
      </c>
      <c r="D35" s="9" t="s">
        <v>43</v>
      </c>
      <c r="E35" s="9" t="s">
        <v>44</v>
      </c>
      <c r="F35" s="9" t="s">
        <v>148</v>
      </c>
      <c r="G35" s="11">
        <v>4.0</v>
      </c>
      <c r="H35" s="12">
        <v>6.0</v>
      </c>
      <c r="I35" s="12">
        <v>6.0</v>
      </c>
      <c r="J35" s="12">
        <v>4.0</v>
      </c>
      <c r="K35" s="12">
        <v>6.0</v>
      </c>
      <c r="L35" s="12">
        <v>3.0</v>
      </c>
      <c r="M35" s="12">
        <v>7.0</v>
      </c>
      <c r="N35" s="12">
        <v>6.0</v>
      </c>
      <c r="O35" s="12"/>
      <c r="P35" s="13"/>
      <c r="Q35" s="9" t="s">
        <v>149</v>
      </c>
      <c r="R35" s="9" t="s">
        <v>150</v>
      </c>
      <c r="S35" s="9" t="s">
        <v>151</v>
      </c>
      <c r="T35" s="14">
        <f t="shared" si="1"/>
        <v>10</v>
      </c>
      <c r="U35" s="14">
        <f t="shared" si="2"/>
        <v>0</v>
      </c>
      <c r="V35" s="15">
        <f t="shared" si="3"/>
        <v>1</v>
      </c>
    </row>
    <row r="36" ht="15.75" customHeight="1">
      <c r="A36" s="16" t="s">
        <v>152</v>
      </c>
      <c r="B36" s="8" t="s">
        <v>22</v>
      </c>
      <c r="C36" s="8" t="s">
        <v>99</v>
      </c>
      <c r="D36" s="8" t="s">
        <v>55</v>
      </c>
      <c r="E36" s="23" t="s">
        <v>56</v>
      </c>
      <c r="F36" s="8" t="s">
        <v>153</v>
      </c>
      <c r="G36" s="20">
        <v>6.0</v>
      </c>
      <c r="H36" s="21">
        <v>1.0</v>
      </c>
      <c r="I36" s="21">
        <v>6.0</v>
      </c>
      <c r="J36" s="21">
        <v>2.0</v>
      </c>
      <c r="K36" s="21"/>
      <c r="L36" s="21"/>
      <c r="M36" s="21"/>
      <c r="N36" s="21"/>
      <c r="O36" s="21"/>
      <c r="P36" s="22"/>
      <c r="Q36" s="8" t="s">
        <v>114</v>
      </c>
      <c r="R36" s="8" t="s">
        <v>36</v>
      </c>
      <c r="S36" s="8" t="s">
        <v>37</v>
      </c>
      <c r="T36" s="14">
        <f t="shared" si="1"/>
        <v>7</v>
      </c>
      <c r="U36" s="14">
        <f t="shared" si="2"/>
        <v>1</v>
      </c>
      <c r="V36" s="15">
        <f t="shared" si="3"/>
        <v>0.875</v>
      </c>
    </row>
    <row r="37" ht="15.75" customHeight="1">
      <c r="A37" s="16" t="s">
        <v>152</v>
      </c>
      <c r="B37" s="8" t="s">
        <v>30</v>
      </c>
      <c r="C37" s="8" t="s">
        <v>91</v>
      </c>
      <c r="D37" s="8" t="s">
        <v>92</v>
      </c>
      <c r="E37" s="8" t="s">
        <v>93</v>
      </c>
      <c r="F37" s="8" t="s">
        <v>154</v>
      </c>
      <c r="G37" s="20">
        <v>7.0</v>
      </c>
      <c r="H37" s="21">
        <v>6.0</v>
      </c>
      <c r="I37" s="21">
        <v>6.0</v>
      </c>
      <c r="J37" s="21">
        <v>4.0</v>
      </c>
      <c r="K37" s="21">
        <v>6.0</v>
      </c>
      <c r="L37" s="21">
        <v>4.0</v>
      </c>
      <c r="M37" s="21"/>
      <c r="N37" s="21"/>
      <c r="O37" s="21"/>
      <c r="P37" s="22"/>
      <c r="Q37" s="8" t="s">
        <v>155</v>
      </c>
      <c r="R37" s="8" t="s">
        <v>156</v>
      </c>
      <c r="S37" s="8" t="s">
        <v>157</v>
      </c>
      <c r="T37" s="14">
        <f t="shared" si="1"/>
        <v>6</v>
      </c>
      <c r="U37" s="14">
        <f t="shared" si="2"/>
        <v>1</v>
      </c>
      <c r="V37" s="15">
        <f t="shared" si="3"/>
        <v>0.8571428571</v>
      </c>
    </row>
    <row r="38" ht="15.75" customHeight="1">
      <c r="A38" s="7" t="s">
        <v>158</v>
      </c>
      <c r="B38" s="8" t="s">
        <v>22</v>
      </c>
      <c r="C38" s="9" t="s">
        <v>159</v>
      </c>
      <c r="D38" s="9" t="s">
        <v>150</v>
      </c>
      <c r="E38" s="9" t="s">
        <v>151</v>
      </c>
      <c r="F38" s="9" t="s">
        <v>160</v>
      </c>
      <c r="G38" s="11">
        <v>6.0</v>
      </c>
      <c r="H38" s="12">
        <v>1.0</v>
      </c>
      <c r="I38" s="12">
        <v>2.0</v>
      </c>
      <c r="J38" s="12">
        <v>0.0</v>
      </c>
      <c r="K38" s="12"/>
      <c r="L38" s="12"/>
      <c r="M38" s="12"/>
      <c r="N38" s="12"/>
      <c r="O38" s="12"/>
      <c r="P38" s="13"/>
      <c r="Q38" s="9" t="s">
        <v>139</v>
      </c>
      <c r="R38" s="9" t="s">
        <v>133</v>
      </c>
      <c r="S38" s="9" t="s">
        <v>134</v>
      </c>
      <c r="T38" s="14">
        <f t="shared" si="1"/>
        <v>1</v>
      </c>
      <c r="U38" s="14">
        <f t="shared" si="2"/>
        <v>1</v>
      </c>
      <c r="V38" s="15">
        <f t="shared" si="3"/>
        <v>0.5</v>
      </c>
    </row>
    <row r="39" ht="15.75" customHeight="1">
      <c r="A39" s="7" t="s">
        <v>158</v>
      </c>
      <c r="B39" s="8" t="s">
        <v>30</v>
      </c>
      <c r="C39" s="9" t="s">
        <v>91</v>
      </c>
      <c r="D39" s="9" t="s">
        <v>92</v>
      </c>
      <c r="E39" s="9" t="s">
        <v>93</v>
      </c>
      <c r="F39" s="9" t="s">
        <v>161</v>
      </c>
      <c r="G39" s="11">
        <v>5.0</v>
      </c>
      <c r="H39" s="12">
        <v>7.0</v>
      </c>
      <c r="I39" s="12">
        <v>7.0</v>
      </c>
      <c r="J39" s="12">
        <v>5.0</v>
      </c>
      <c r="K39" s="12">
        <v>6.0</v>
      </c>
      <c r="L39" s="12">
        <v>0.0</v>
      </c>
      <c r="M39" s="12">
        <v>6.0</v>
      </c>
      <c r="N39" s="12">
        <v>2.0</v>
      </c>
      <c r="O39" s="12"/>
      <c r="P39" s="13"/>
      <c r="Q39" s="9" t="s">
        <v>162</v>
      </c>
      <c r="R39" s="9" t="s">
        <v>163</v>
      </c>
      <c r="S39" s="9" t="s">
        <v>164</v>
      </c>
      <c r="T39" s="14">
        <f t="shared" si="1"/>
        <v>6</v>
      </c>
      <c r="U39" s="14">
        <f t="shared" si="2"/>
        <v>1</v>
      </c>
      <c r="V39" s="15">
        <f t="shared" si="3"/>
        <v>0.8571428571</v>
      </c>
    </row>
    <row r="40" ht="15.75" customHeight="1">
      <c r="A40" s="16" t="s">
        <v>165</v>
      </c>
      <c r="B40" s="8" t="s">
        <v>22</v>
      </c>
      <c r="C40" s="8" t="s">
        <v>99</v>
      </c>
      <c r="D40" s="8" t="s">
        <v>55</v>
      </c>
      <c r="E40" s="23" t="s">
        <v>56</v>
      </c>
      <c r="F40" s="8" t="s">
        <v>166</v>
      </c>
      <c r="G40" s="20">
        <v>2.0</v>
      </c>
      <c r="H40" s="21">
        <v>6.0</v>
      </c>
      <c r="I40" s="21">
        <v>6.0</v>
      </c>
      <c r="J40" s="21">
        <v>3.0</v>
      </c>
      <c r="K40" s="21">
        <v>6.0</v>
      </c>
      <c r="L40" s="21">
        <v>0.0</v>
      </c>
      <c r="M40" s="21"/>
      <c r="N40" s="21"/>
      <c r="O40" s="21"/>
      <c r="P40" s="22"/>
      <c r="Q40" s="8" t="s">
        <v>167</v>
      </c>
      <c r="R40" s="8" t="s">
        <v>55</v>
      </c>
      <c r="S40" s="8" t="s">
        <v>56</v>
      </c>
      <c r="T40" s="14">
        <f t="shared" si="1"/>
        <v>7</v>
      </c>
      <c r="U40" s="14">
        <f t="shared" si="2"/>
        <v>1</v>
      </c>
      <c r="V40" s="15">
        <f t="shared" si="3"/>
        <v>0.875</v>
      </c>
    </row>
    <row r="41" ht="15.75" customHeight="1">
      <c r="A41" s="16" t="s">
        <v>165</v>
      </c>
      <c r="B41" s="8" t="s">
        <v>30</v>
      </c>
      <c r="C41" s="8" t="s">
        <v>168</v>
      </c>
      <c r="D41" s="8" t="s">
        <v>36</v>
      </c>
      <c r="E41" s="8" t="s">
        <v>37</v>
      </c>
      <c r="F41" s="8" t="s">
        <v>169</v>
      </c>
      <c r="G41" s="20">
        <v>1.0</v>
      </c>
      <c r="H41" s="21">
        <v>6.0</v>
      </c>
      <c r="I41" s="21">
        <v>6.0</v>
      </c>
      <c r="J41" s="21">
        <v>3.0</v>
      </c>
      <c r="K41" s="21">
        <v>6.0</v>
      </c>
      <c r="L41" s="21">
        <v>4.0</v>
      </c>
      <c r="M41" s="21">
        <v>6.0</v>
      </c>
      <c r="N41" s="21">
        <v>4.0</v>
      </c>
      <c r="O41" s="21"/>
      <c r="P41" s="22"/>
      <c r="Q41" s="8" t="s">
        <v>170</v>
      </c>
      <c r="R41" s="8" t="s">
        <v>51</v>
      </c>
      <c r="S41" s="8" t="s">
        <v>52</v>
      </c>
      <c r="T41" s="14">
        <f t="shared" si="1"/>
        <v>1</v>
      </c>
      <c r="U41" s="14">
        <f t="shared" si="2"/>
        <v>2</v>
      </c>
      <c r="V41" s="15">
        <f t="shared" si="3"/>
        <v>0.3333333333</v>
      </c>
    </row>
    <row r="42" ht="15.75" customHeight="1">
      <c r="A42" s="7" t="s">
        <v>171</v>
      </c>
      <c r="B42" s="8" t="s">
        <v>22</v>
      </c>
      <c r="C42" s="9" t="s">
        <v>139</v>
      </c>
      <c r="D42" s="9" t="s">
        <v>133</v>
      </c>
      <c r="E42" s="9" t="s">
        <v>134</v>
      </c>
      <c r="F42" s="9" t="s">
        <v>172</v>
      </c>
      <c r="G42" s="11">
        <v>6.0</v>
      </c>
      <c r="H42" s="12">
        <v>3.0</v>
      </c>
      <c r="I42" s="12">
        <v>4.0</v>
      </c>
      <c r="J42" s="12">
        <v>6.0</v>
      </c>
      <c r="K42" s="12">
        <v>6.0</v>
      </c>
      <c r="L42" s="12">
        <v>3.0</v>
      </c>
      <c r="M42" s="12"/>
      <c r="N42" s="12"/>
      <c r="O42" s="12"/>
      <c r="P42" s="13"/>
      <c r="Q42" s="9" t="s">
        <v>132</v>
      </c>
      <c r="R42" s="9" t="s">
        <v>133</v>
      </c>
      <c r="S42" s="9" t="s">
        <v>134</v>
      </c>
      <c r="T42" s="14">
        <f t="shared" si="1"/>
        <v>1</v>
      </c>
      <c r="U42" s="14">
        <f t="shared" si="2"/>
        <v>2</v>
      </c>
      <c r="V42" s="15">
        <f t="shared" si="3"/>
        <v>0.3333333333</v>
      </c>
    </row>
    <row r="43" ht="15.75" customHeight="1">
      <c r="A43" s="7" t="s">
        <v>171</v>
      </c>
      <c r="B43" s="8" t="s">
        <v>30</v>
      </c>
      <c r="C43" s="9" t="s">
        <v>91</v>
      </c>
      <c r="D43" s="9" t="s">
        <v>92</v>
      </c>
      <c r="E43" s="9" t="s">
        <v>93</v>
      </c>
      <c r="F43" s="9" t="s">
        <v>173</v>
      </c>
      <c r="G43" s="11">
        <v>7.0</v>
      </c>
      <c r="H43" s="12">
        <v>6.0</v>
      </c>
      <c r="I43" s="12">
        <v>6.0</v>
      </c>
      <c r="J43" s="12">
        <v>4.0</v>
      </c>
      <c r="K43" s="12">
        <v>6.0</v>
      </c>
      <c r="L43" s="12">
        <v>2.0</v>
      </c>
      <c r="M43" s="12"/>
      <c r="N43" s="12"/>
      <c r="O43" s="12"/>
      <c r="P43" s="13"/>
      <c r="Q43" s="9" t="s">
        <v>168</v>
      </c>
      <c r="R43" s="9" t="s">
        <v>36</v>
      </c>
      <c r="S43" s="9" t="s">
        <v>37</v>
      </c>
      <c r="T43" s="14">
        <f t="shared" si="1"/>
        <v>6</v>
      </c>
      <c r="U43" s="14">
        <f t="shared" si="2"/>
        <v>1</v>
      </c>
      <c r="V43" s="15">
        <f t="shared" si="3"/>
        <v>0.8571428571</v>
      </c>
    </row>
    <row r="44" ht="15.75" customHeight="1">
      <c r="A44" s="16" t="s">
        <v>174</v>
      </c>
      <c r="B44" s="8" t="s">
        <v>22</v>
      </c>
      <c r="C44" s="8" t="s">
        <v>99</v>
      </c>
      <c r="D44" s="8" t="s">
        <v>55</v>
      </c>
      <c r="E44" s="23" t="s">
        <v>56</v>
      </c>
      <c r="F44" s="8" t="s">
        <v>175</v>
      </c>
      <c r="G44" s="20">
        <v>7.0</v>
      </c>
      <c r="H44" s="21">
        <v>6.0</v>
      </c>
      <c r="I44" s="21">
        <v>3.0</v>
      </c>
      <c r="J44" s="21">
        <v>6.0</v>
      </c>
      <c r="K44" s="21">
        <v>6.0</v>
      </c>
      <c r="L44" s="21">
        <v>4.0</v>
      </c>
      <c r="M44" s="21"/>
      <c r="N44" s="21"/>
      <c r="O44" s="21"/>
      <c r="P44" s="22"/>
      <c r="Q44" s="8" t="s">
        <v>101</v>
      </c>
      <c r="R44" s="8" t="s">
        <v>55</v>
      </c>
      <c r="S44" s="8" t="s">
        <v>56</v>
      </c>
      <c r="T44" s="14">
        <f t="shared" si="1"/>
        <v>7</v>
      </c>
      <c r="U44" s="14">
        <f t="shared" si="2"/>
        <v>1</v>
      </c>
      <c r="V44" s="15">
        <f t="shared" si="3"/>
        <v>0.875</v>
      </c>
    </row>
    <row r="45" ht="15.75" customHeight="1">
      <c r="A45" s="16" t="s">
        <v>174</v>
      </c>
      <c r="B45" s="8" t="s">
        <v>30</v>
      </c>
      <c r="C45" s="8" t="s">
        <v>176</v>
      </c>
      <c r="D45" s="8" t="s">
        <v>55</v>
      </c>
      <c r="E45" s="23" t="s">
        <v>56</v>
      </c>
      <c r="F45" s="8" t="s">
        <v>177</v>
      </c>
      <c r="G45" s="20">
        <v>6.0</v>
      </c>
      <c r="H45" s="21">
        <v>2.0</v>
      </c>
      <c r="I45" s="21">
        <v>6.0</v>
      </c>
      <c r="J45" s="21">
        <v>2.0</v>
      </c>
      <c r="K45" s="21">
        <v>6.0</v>
      </c>
      <c r="L45" s="21">
        <v>1.0</v>
      </c>
      <c r="M45" s="21"/>
      <c r="N45" s="21"/>
      <c r="O45" s="21"/>
      <c r="P45" s="22"/>
      <c r="Q45" s="8" t="s">
        <v>178</v>
      </c>
      <c r="R45" s="8" t="s">
        <v>105</v>
      </c>
      <c r="S45" s="8" t="s">
        <v>106</v>
      </c>
      <c r="T45" s="14">
        <f t="shared" si="1"/>
        <v>4</v>
      </c>
      <c r="U45" s="14">
        <f t="shared" si="2"/>
        <v>0</v>
      </c>
      <c r="V45" s="15">
        <f t="shared" si="3"/>
        <v>1</v>
      </c>
    </row>
    <row r="46" ht="15.75" customHeight="1">
      <c r="A46" s="7" t="s">
        <v>179</v>
      </c>
      <c r="B46" s="8" t="s">
        <v>22</v>
      </c>
      <c r="C46" s="9" t="s">
        <v>180</v>
      </c>
      <c r="D46" s="9" t="s">
        <v>55</v>
      </c>
      <c r="E46" s="9" t="s">
        <v>56</v>
      </c>
      <c r="F46" s="9" t="s">
        <v>181</v>
      </c>
      <c r="G46" s="11">
        <v>4.0</v>
      </c>
      <c r="H46" s="12">
        <v>6.0</v>
      </c>
      <c r="I46" s="12">
        <v>7.0</v>
      </c>
      <c r="J46" s="12">
        <v>6.0</v>
      </c>
      <c r="K46" s="12">
        <v>6.0</v>
      </c>
      <c r="L46" s="12">
        <v>2.0</v>
      </c>
      <c r="M46" s="12"/>
      <c r="N46" s="12"/>
      <c r="O46" s="12"/>
      <c r="P46" s="13"/>
      <c r="Q46" s="9" t="s">
        <v>182</v>
      </c>
      <c r="R46" s="9" t="s">
        <v>92</v>
      </c>
      <c r="S46" s="9" t="s">
        <v>93</v>
      </c>
      <c r="T46" s="14">
        <f t="shared" si="1"/>
        <v>2</v>
      </c>
      <c r="U46" s="14">
        <f t="shared" si="2"/>
        <v>0</v>
      </c>
      <c r="V46" s="15">
        <f t="shared" si="3"/>
        <v>1</v>
      </c>
    </row>
    <row r="47" ht="15.75" customHeight="1">
      <c r="A47" s="7" t="s">
        <v>179</v>
      </c>
      <c r="B47" s="8" t="s">
        <v>30</v>
      </c>
      <c r="C47" s="9" t="s">
        <v>183</v>
      </c>
      <c r="D47" s="9" t="s">
        <v>184</v>
      </c>
      <c r="E47" s="9" t="s">
        <v>185</v>
      </c>
      <c r="F47" s="9" t="s">
        <v>186</v>
      </c>
      <c r="G47" s="11">
        <v>3.0</v>
      </c>
      <c r="H47" s="12">
        <v>6.0</v>
      </c>
      <c r="I47" s="12">
        <v>6.0</v>
      </c>
      <c r="J47" s="12">
        <v>4.0</v>
      </c>
      <c r="K47" s="12">
        <v>6.0</v>
      </c>
      <c r="L47" s="12">
        <v>4.0</v>
      </c>
      <c r="M47" s="12">
        <v>7.0</v>
      </c>
      <c r="N47" s="12">
        <v>6.0</v>
      </c>
      <c r="O47" s="12"/>
      <c r="P47" s="13"/>
      <c r="Q47" s="9" t="s">
        <v>168</v>
      </c>
      <c r="R47" s="9" t="s">
        <v>36</v>
      </c>
      <c r="S47" s="9" t="s">
        <v>37</v>
      </c>
      <c r="T47" s="14">
        <f t="shared" si="1"/>
        <v>1</v>
      </c>
      <c r="U47" s="14">
        <f t="shared" si="2"/>
        <v>0</v>
      </c>
      <c r="V47" s="15">
        <f t="shared" si="3"/>
        <v>1</v>
      </c>
    </row>
    <row r="48" ht="15.75" customHeight="1">
      <c r="A48" s="16" t="s">
        <v>187</v>
      </c>
      <c r="B48" s="8" t="s">
        <v>22</v>
      </c>
      <c r="C48" s="8" t="s">
        <v>180</v>
      </c>
      <c r="D48" s="8" t="s">
        <v>55</v>
      </c>
      <c r="E48" s="23" t="s">
        <v>56</v>
      </c>
      <c r="F48" s="8" t="s">
        <v>66</v>
      </c>
      <c r="G48" s="20">
        <v>6.0</v>
      </c>
      <c r="H48" s="21">
        <v>4.0</v>
      </c>
      <c r="I48" s="21">
        <v>6.0</v>
      </c>
      <c r="J48" s="21">
        <v>3.0</v>
      </c>
      <c r="K48" s="21"/>
      <c r="L48" s="21"/>
      <c r="M48" s="21"/>
      <c r="N48" s="21"/>
      <c r="O48" s="21"/>
      <c r="P48" s="22"/>
      <c r="Q48" s="8" t="s">
        <v>182</v>
      </c>
      <c r="R48" s="8" t="s">
        <v>92</v>
      </c>
      <c r="S48" s="8" t="s">
        <v>93</v>
      </c>
      <c r="T48" s="14">
        <f t="shared" si="1"/>
        <v>2</v>
      </c>
      <c r="U48" s="14">
        <f t="shared" si="2"/>
        <v>0</v>
      </c>
      <c r="V48" s="15">
        <f t="shared" si="3"/>
        <v>1</v>
      </c>
    </row>
    <row r="49" ht="15.75" customHeight="1">
      <c r="A49" s="16" t="s">
        <v>187</v>
      </c>
      <c r="B49" s="8" t="s">
        <v>30</v>
      </c>
      <c r="C49" s="8" t="s">
        <v>176</v>
      </c>
      <c r="D49" s="8" t="s">
        <v>55</v>
      </c>
      <c r="E49" s="23" t="s">
        <v>56</v>
      </c>
      <c r="F49" s="8" t="s">
        <v>188</v>
      </c>
      <c r="G49" s="20">
        <v>6.0</v>
      </c>
      <c r="H49" s="21">
        <v>4.0</v>
      </c>
      <c r="I49" s="21">
        <v>6.0</v>
      </c>
      <c r="J49" s="21">
        <v>2.0</v>
      </c>
      <c r="K49" s="21">
        <v>6.0</v>
      </c>
      <c r="L49" s="21">
        <v>2.0</v>
      </c>
      <c r="M49" s="21"/>
      <c r="N49" s="21"/>
      <c r="O49" s="21"/>
      <c r="P49" s="22"/>
      <c r="Q49" s="8" t="s">
        <v>189</v>
      </c>
      <c r="R49" s="8" t="s">
        <v>150</v>
      </c>
      <c r="S49" s="8" t="s">
        <v>151</v>
      </c>
      <c r="T49" s="14">
        <f t="shared" si="1"/>
        <v>4</v>
      </c>
      <c r="U49" s="14">
        <f t="shared" si="2"/>
        <v>0</v>
      </c>
      <c r="V49" s="15">
        <f t="shared" si="3"/>
        <v>1</v>
      </c>
    </row>
    <row r="50" ht="15.75" customHeight="1">
      <c r="A50" s="7" t="s">
        <v>190</v>
      </c>
      <c r="B50" s="8" t="s">
        <v>22</v>
      </c>
      <c r="C50" s="9" t="s">
        <v>167</v>
      </c>
      <c r="D50" s="9" t="s">
        <v>55</v>
      </c>
      <c r="E50" s="9" t="s">
        <v>56</v>
      </c>
      <c r="F50" s="9" t="s">
        <v>191</v>
      </c>
      <c r="G50" s="11">
        <v>6.0</v>
      </c>
      <c r="H50" s="12">
        <v>1.0</v>
      </c>
      <c r="I50" s="12">
        <v>7.0</v>
      </c>
      <c r="J50" s="12">
        <v>5.0</v>
      </c>
      <c r="K50" s="12"/>
      <c r="L50" s="12"/>
      <c r="M50" s="12"/>
      <c r="N50" s="12"/>
      <c r="O50" s="12"/>
      <c r="P50" s="13"/>
      <c r="Q50" s="9" t="s">
        <v>182</v>
      </c>
      <c r="R50" s="9" t="s">
        <v>92</v>
      </c>
      <c r="S50" s="9" t="s">
        <v>93</v>
      </c>
      <c r="T50" s="14">
        <f t="shared" si="1"/>
        <v>1</v>
      </c>
      <c r="U50" s="14">
        <f t="shared" si="2"/>
        <v>1</v>
      </c>
      <c r="V50" s="15">
        <f t="shared" si="3"/>
        <v>0.5</v>
      </c>
    </row>
    <row r="51" ht="15.75" customHeight="1">
      <c r="A51" s="7" t="s">
        <v>190</v>
      </c>
      <c r="B51" s="8" t="s">
        <v>30</v>
      </c>
      <c r="C51" s="9" t="s">
        <v>176</v>
      </c>
      <c r="D51" s="9" t="s">
        <v>55</v>
      </c>
      <c r="E51" s="9" t="s">
        <v>56</v>
      </c>
      <c r="F51" s="9" t="s">
        <v>192</v>
      </c>
      <c r="G51" s="11">
        <v>3.0</v>
      </c>
      <c r="H51" s="12">
        <v>6.0</v>
      </c>
      <c r="I51" s="12">
        <v>6.0</v>
      </c>
      <c r="J51" s="12">
        <v>3.0</v>
      </c>
      <c r="K51" s="12">
        <v>6.0</v>
      </c>
      <c r="L51" s="12">
        <v>2.0</v>
      </c>
      <c r="M51" s="12">
        <v>6.0</v>
      </c>
      <c r="N51" s="12">
        <v>4.0</v>
      </c>
      <c r="O51" s="12"/>
      <c r="P51" s="13"/>
      <c r="Q51" s="9" t="s">
        <v>193</v>
      </c>
      <c r="R51" s="9" t="s">
        <v>36</v>
      </c>
      <c r="S51" s="9" t="s">
        <v>37</v>
      </c>
      <c r="T51" s="14">
        <f t="shared" si="1"/>
        <v>4</v>
      </c>
      <c r="U51" s="14">
        <f t="shared" si="2"/>
        <v>0</v>
      </c>
      <c r="V51" s="15">
        <f t="shared" si="3"/>
        <v>1</v>
      </c>
    </row>
    <row r="52" ht="15.75" customHeight="1">
      <c r="A52" s="16" t="s">
        <v>194</v>
      </c>
      <c r="B52" s="8" t="s">
        <v>22</v>
      </c>
      <c r="C52" s="8" t="s">
        <v>182</v>
      </c>
      <c r="D52" s="8" t="s">
        <v>92</v>
      </c>
      <c r="E52" s="8" t="s">
        <v>93</v>
      </c>
      <c r="F52" s="8" t="s">
        <v>195</v>
      </c>
      <c r="G52" s="20">
        <v>6.0</v>
      </c>
      <c r="H52" s="21">
        <v>2.0</v>
      </c>
      <c r="I52" s="21">
        <v>6.0</v>
      </c>
      <c r="J52" s="21">
        <v>3.0</v>
      </c>
      <c r="K52" s="21"/>
      <c r="L52" s="21"/>
      <c r="M52" s="21"/>
      <c r="N52" s="21"/>
      <c r="O52" s="21"/>
      <c r="P52" s="22"/>
      <c r="Q52" s="8" t="s">
        <v>159</v>
      </c>
      <c r="R52" s="8" t="s">
        <v>150</v>
      </c>
      <c r="S52" s="8" t="s">
        <v>151</v>
      </c>
      <c r="T52" s="14">
        <f t="shared" si="1"/>
        <v>3</v>
      </c>
      <c r="U52" s="14">
        <f t="shared" si="2"/>
        <v>3</v>
      </c>
      <c r="V52" s="15">
        <f t="shared" si="3"/>
        <v>0.5</v>
      </c>
    </row>
    <row r="53" ht="15.75" customHeight="1">
      <c r="A53" s="16" t="s">
        <v>194</v>
      </c>
      <c r="B53" s="8" t="s">
        <v>30</v>
      </c>
      <c r="C53" s="8" t="s">
        <v>193</v>
      </c>
      <c r="D53" s="8" t="s">
        <v>36</v>
      </c>
      <c r="E53" s="8" t="s">
        <v>37</v>
      </c>
      <c r="F53" s="8" t="s">
        <v>196</v>
      </c>
      <c r="G53" s="20">
        <v>4.0</v>
      </c>
      <c r="H53" s="21">
        <v>6.0</v>
      </c>
      <c r="I53" s="21">
        <v>6.0</v>
      </c>
      <c r="J53" s="21">
        <v>0.0</v>
      </c>
      <c r="K53" s="21">
        <v>6.0</v>
      </c>
      <c r="L53" s="21">
        <v>3.0</v>
      </c>
      <c r="M53" s="21">
        <v>7.0</v>
      </c>
      <c r="N53" s="21">
        <v>6.0</v>
      </c>
      <c r="O53" s="21"/>
      <c r="P53" s="22"/>
      <c r="Q53" s="8" t="s">
        <v>197</v>
      </c>
      <c r="R53" s="8" t="s">
        <v>184</v>
      </c>
      <c r="S53" s="8" t="s">
        <v>185</v>
      </c>
      <c r="T53" s="14">
        <f t="shared" si="1"/>
        <v>1</v>
      </c>
      <c r="U53" s="14">
        <f t="shared" si="2"/>
        <v>1</v>
      </c>
      <c r="V53" s="15">
        <f t="shared" si="3"/>
        <v>0.5</v>
      </c>
    </row>
    <row r="54" ht="15.75" customHeight="1">
      <c r="A54" s="7" t="s">
        <v>198</v>
      </c>
      <c r="B54" s="8" t="s">
        <v>22</v>
      </c>
      <c r="C54" s="9" t="s">
        <v>182</v>
      </c>
      <c r="D54" s="9" t="s">
        <v>92</v>
      </c>
      <c r="E54" s="9" t="s">
        <v>93</v>
      </c>
      <c r="F54" s="9" t="s">
        <v>199</v>
      </c>
      <c r="G54" s="11">
        <v>6.0</v>
      </c>
      <c r="H54" s="12">
        <v>3.0</v>
      </c>
      <c r="I54" s="12">
        <v>6.0</v>
      </c>
      <c r="J54" s="12">
        <v>3.0</v>
      </c>
      <c r="K54" s="12"/>
      <c r="L54" s="12"/>
      <c r="M54" s="12"/>
      <c r="N54" s="12"/>
      <c r="O54" s="12"/>
      <c r="P54" s="13"/>
      <c r="Q54" s="9" t="s">
        <v>200</v>
      </c>
      <c r="R54" s="9" t="s">
        <v>58</v>
      </c>
      <c r="S54" s="9" t="s">
        <v>59</v>
      </c>
      <c r="T54" s="14">
        <f t="shared" si="1"/>
        <v>3</v>
      </c>
      <c r="U54" s="14">
        <f t="shared" si="2"/>
        <v>3</v>
      </c>
      <c r="V54" s="15">
        <f t="shared" si="3"/>
        <v>0.5</v>
      </c>
    </row>
    <row r="55" ht="15.75" customHeight="1">
      <c r="A55" s="7" t="s">
        <v>198</v>
      </c>
      <c r="B55" s="8" t="s">
        <v>30</v>
      </c>
      <c r="C55" s="9" t="s">
        <v>201</v>
      </c>
      <c r="D55" s="9" t="s">
        <v>80</v>
      </c>
      <c r="E55" s="9" t="s">
        <v>81</v>
      </c>
      <c r="F55" s="9" t="s">
        <v>202</v>
      </c>
      <c r="G55" s="11">
        <v>6.0</v>
      </c>
      <c r="H55" s="12">
        <v>2.0</v>
      </c>
      <c r="I55" s="12">
        <v>6.0</v>
      </c>
      <c r="J55" s="12">
        <v>2.0</v>
      </c>
      <c r="K55" s="12">
        <v>6.0</v>
      </c>
      <c r="L55" s="12">
        <v>2.0</v>
      </c>
      <c r="M55" s="12"/>
      <c r="N55" s="12"/>
      <c r="O55" s="12"/>
      <c r="P55" s="13"/>
      <c r="Q55" s="9" t="s">
        <v>203</v>
      </c>
      <c r="R55" s="9" t="s">
        <v>156</v>
      </c>
      <c r="S55" s="9" t="s">
        <v>157</v>
      </c>
      <c r="T55" s="14">
        <f t="shared" si="1"/>
        <v>1</v>
      </c>
      <c r="U55" s="14">
        <f t="shared" si="2"/>
        <v>0</v>
      </c>
      <c r="V55" s="15">
        <f t="shared" si="3"/>
        <v>1</v>
      </c>
    </row>
    <row r="56" ht="15.75" customHeight="1">
      <c r="A56" s="16" t="s">
        <v>204</v>
      </c>
      <c r="B56" s="8" t="s">
        <v>22</v>
      </c>
      <c r="C56" s="8" t="s">
        <v>182</v>
      </c>
      <c r="D56" s="8" t="s">
        <v>92</v>
      </c>
      <c r="E56" s="8" t="s">
        <v>93</v>
      </c>
      <c r="F56" s="8" t="s">
        <v>205</v>
      </c>
      <c r="G56" s="20">
        <v>6.0</v>
      </c>
      <c r="H56" s="21">
        <v>2.0</v>
      </c>
      <c r="I56" s="21">
        <v>6.0</v>
      </c>
      <c r="J56" s="21">
        <v>2.0</v>
      </c>
      <c r="K56" s="21"/>
      <c r="L56" s="21"/>
      <c r="M56" s="21"/>
      <c r="N56" s="21"/>
      <c r="O56" s="21"/>
      <c r="P56" s="22"/>
      <c r="Q56" s="8" t="s">
        <v>206</v>
      </c>
      <c r="R56" s="8" t="s">
        <v>150</v>
      </c>
      <c r="S56" s="8" t="s">
        <v>151</v>
      </c>
      <c r="T56" s="14">
        <f t="shared" si="1"/>
        <v>3</v>
      </c>
      <c r="U56" s="14">
        <f t="shared" si="2"/>
        <v>3</v>
      </c>
      <c r="V56" s="15">
        <f t="shared" si="3"/>
        <v>0.5</v>
      </c>
    </row>
    <row r="57" ht="15.75" customHeight="1">
      <c r="A57" s="16" t="s">
        <v>204</v>
      </c>
      <c r="B57" s="8" t="s">
        <v>30</v>
      </c>
      <c r="C57" s="8" t="s">
        <v>207</v>
      </c>
      <c r="D57" s="8" t="s">
        <v>55</v>
      </c>
      <c r="E57" s="23" t="s">
        <v>56</v>
      </c>
      <c r="F57" s="8" t="s">
        <v>208</v>
      </c>
      <c r="G57" s="20">
        <v>6.0</v>
      </c>
      <c r="H57" s="21">
        <v>2.0</v>
      </c>
      <c r="I57" s="21">
        <v>6.0</v>
      </c>
      <c r="J57" s="21">
        <v>3.0</v>
      </c>
      <c r="K57" s="21">
        <v>6.0</v>
      </c>
      <c r="L57" s="21">
        <v>3.0</v>
      </c>
      <c r="M57" s="21"/>
      <c r="N57" s="21"/>
      <c r="O57" s="21"/>
      <c r="P57" s="22"/>
      <c r="Q57" s="8" t="s">
        <v>209</v>
      </c>
      <c r="R57" s="8" t="s">
        <v>58</v>
      </c>
      <c r="S57" s="8" t="s">
        <v>59</v>
      </c>
      <c r="T57" s="14">
        <f t="shared" si="1"/>
        <v>2</v>
      </c>
      <c r="U57" s="14">
        <f t="shared" si="2"/>
        <v>1</v>
      </c>
      <c r="V57" s="15">
        <f t="shared" si="3"/>
        <v>0.6666666667</v>
      </c>
    </row>
    <row r="58" ht="15.75" customHeight="1">
      <c r="A58" s="7" t="s">
        <v>210</v>
      </c>
      <c r="B58" s="8" t="s">
        <v>22</v>
      </c>
      <c r="C58" s="9" t="s">
        <v>211</v>
      </c>
      <c r="D58" s="9" t="s">
        <v>55</v>
      </c>
      <c r="E58" s="9" t="s">
        <v>56</v>
      </c>
      <c r="F58" s="9" t="s">
        <v>212</v>
      </c>
      <c r="G58" s="11">
        <v>6.0</v>
      </c>
      <c r="H58" s="12">
        <v>4.0</v>
      </c>
      <c r="I58" s="12">
        <v>6.0</v>
      </c>
      <c r="J58" s="12">
        <v>1.0</v>
      </c>
      <c r="K58" s="12"/>
      <c r="L58" s="12"/>
      <c r="M58" s="12"/>
      <c r="N58" s="12"/>
      <c r="O58" s="12"/>
      <c r="P58" s="13"/>
      <c r="Q58" s="9" t="s">
        <v>213</v>
      </c>
      <c r="R58" s="9" t="s">
        <v>105</v>
      </c>
      <c r="S58" s="9" t="s">
        <v>106</v>
      </c>
      <c r="T58" s="14">
        <f t="shared" si="1"/>
        <v>4</v>
      </c>
      <c r="U58" s="14">
        <f t="shared" si="2"/>
        <v>0</v>
      </c>
      <c r="V58" s="15">
        <f t="shared" si="3"/>
        <v>1</v>
      </c>
    </row>
    <row r="59" ht="15.75" customHeight="1">
      <c r="A59" s="7" t="s">
        <v>210</v>
      </c>
      <c r="B59" s="8" t="s">
        <v>30</v>
      </c>
      <c r="C59" s="9" t="s">
        <v>214</v>
      </c>
      <c r="D59" s="9" t="s">
        <v>105</v>
      </c>
      <c r="E59" s="9" t="s">
        <v>106</v>
      </c>
      <c r="F59" s="9" t="s">
        <v>215</v>
      </c>
      <c r="G59" s="11">
        <v>6.0</v>
      </c>
      <c r="H59" s="12">
        <v>2.0</v>
      </c>
      <c r="I59" s="12">
        <v>6.0</v>
      </c>
      <c r="J59" s="12">
        <v>4.0</v>
      </c>
      <c r="K59" s="12">
        <v>2.0</v>
      </c>
      <c r="L59" s="12">
        <v>6.0</v>
      </c>
      <c r="M59" s="12">
        <v>6.0</v>
      </c>
      <c r="N59" s="12">
        <v>2.0</v>
      </c>
      <c r="O59" s="12"/>
      <c r="P59" s="13"/>
      <c r="Q59" s="9" t="s">
        <v>216</v>
      </c>
      <c r="R59" s="9" t="s">
        <v>55</v>
      </c>
      <c r="S59" s="9" t="s">
        <v>56</v>
      </c>
      <c r="T59" s="14">
        <f t="shared" si="1"/>
        <v>2</v>
      </c>
      <c r="U59" s="14">
        <f t="shared" si="2"/>
        <v>0</v>
      </c>
      <c r="V59" s="15">
        <f t="shared" si="3"/>
        <v>1</v>
      </c>
    </row>
    <row r="60" ht="15.75" customHeight="1">
      <c r="A60" s="16" t="s">
        <v>217</v>
      </c>
      <c r="B60" s="8" t="s">
        <v>22</v>
      </c>
      <c r="C60" s="8" t="s">
        <v>206</v>
      </c>
      <c r="D60" s="8" t="s">
        <v>150</v>
      </c>
      <c r="E60" s="8" t="s">
        <v>151</v>
      </c>
      <c r="F60" s="8" t="s">
        <v>218</v>
      </c>
      <c r="G60" s="20">
        <v>6.0</v>
      </c>
      <c r="H60" s="21">
        <v>3.0</v>
      </c>
      <c r="I60" s="21">
        <v>6.0</v>
      </c>
      <c r="J60" s="21">
        <v>2.0</v>
      </c>
      <c r="K60" s="21"/>
      <c r="L60" s="21"/>
      <c r="M60" s="21"/>
      <c r="N60" s="21"/>
      <c r="O60" s="21"/>
      <c r="P60" s="22"/>
      <c r="Q60" s="8" t="s">
        <v>219</v>
      </c>
      <c r="R60" s="8" t="s">
        <v>58</v>
      </c>
      <c r="S60" s="8" t="s">
        <v>59</v>
      </c>
      <c r="T60" s="14">
        <f t="shared" si="1"/>
        <v>1</v>
      </c>
      <c r="U60" s="14">
        <f t="shared" si="2"/>
        <v>1</v>
      </c>
      <c r="V60" s="15">
        <f t="shared" si="3"/>
        <v>0.5</v>
      </c>
    </row>
    <row r="61" ht="15.75" customHeight="1">
      <c r="A61" s="16" t="s">
        <v>217</v>
      </c>
      <c r="B61" s="8" t="s">
        <v>30</v>
      </c>
      <c r="C61" s="8" t="s">
        <v>176</v>
      </c>
      <c r="D61" s="8" t="s">
        <v>55</v>
      </c>
      <c r="E61" s="23" t="s">
        <v>56</v>
      </c>
      <c r="F61" s="8" t="s">
        <v>220</v>
      </c>
      <c r="G61" s="20">
        <v>4.0</v>
      </c>
      <c r="H61" s="21">
        <v>6.0</v>
      </c>
      <c r="I61" s="21">
        <v>6.0</v>
      </c>
      <c r="J61" s="21">
        <v>1.0</v>
      </c>
      <c r="K61" s="21">
        <v>7.0</v>
      </c>
      <c r="L61" s="21">
        <v>6.0</v>
      </c>
      <c r="M61" s="21">
        <v>6.0</v>
      </c>
      <c r="N61" s="21">
        <v>4.0</v>
      </c>
      <c r="O61" s="21"/>
      <c r="P61" s="22"/>
      <c r="Q61" s="8" t="s">
        <v>207</v>
      </c>
      <c r="R61" s="8" t="s">
        <v>55</v>
      </c>
      <c r="S61" s="8" t="s">
        <v>56</v>
      </c>
      <c r="T61" s="14">
        <f t="shared" si="1"/>
        <v>4</v>
      </c>
      <c r="U61" s="14">
        <f t="shared" si="2"/>
        <v>0</v>
      </c>
      <c r="V61" s="15">
        <f t="shared" si="3"/>
        <v>1</v>
      </c>
    </row>
    <row r="62" ht="15.75" customHeight="1">
      <c r="A62" s="7" t="s">
        <v>221</v>
      </c>
      <c r="B62" s="8" t="s">
        <v>22</v>
      </c>
      <c r="C62" s="9" t="s">
        <v>222</v>
      </c>
      <c r="D62" s="9" t="s">
        <v>105</v>
      </c>
      <c r="E62" s="9" t="s">
        <v>106</v>
      </c>
      <c r="F62" s="9" t="s">
        <v>223</v>
      </c>
      <c r="G62" s="11">
        <v>6.0</v>
      </c>
      <c r="H62" s="12">
        <v>0.0</v>
      </c>
      <c r="I62" s="12">
        <v>6.0</v>
      </c>
      <c r="J62" s="12">
        <v>2.0</v>
      </c>
      <c r="K62" s="12"/>
      <c r="L62" s="12"/>
      <c r="M62" s="12"/>
      <c r="N62" s="12"/>
      <c r="O62" s="12"/>
      <c r="P62" s="13"/>
      <c r="Q62" s="9" t="s">
        <v>219</v>
      </c>
      <c r="R62" s="9" t="s">
        <v>58</v>
      </c>
      <c r="S62" s="9" t="s">
        <v>59</v>
      </c>
      <c r="T62" s="14">
        <f t="shared" si="1"/>
        <v>4</v>
      </c>
      <c r="U62" s="14">
        <f t="shared" si="2"/>
        <v>1</v>
      </c>
      <c r="V62" s="15">
        <f t="shared" si="3"/>
        <v>0.8</v>
      </c>
    </row>
    <row r="63" ht="15.75" customHeight="1">
      <c r="A63" s="7" t="s">
        <v>221</v>
      </c>
      <c r="B63" s="8" t="s">
        <v>30</v>
      </c>
      <c r="C63" s="9" t="s">
        <v>207</v>
      </c>
      <c r="D63" s="9" t="s">
        <v>55</v>
      </c>
      <c r="E63" s="9" t="s">
        <v>56</v>
      </c>
      <c r="F63" s="9" t="s">
        <v>224</v>
      </c>
      <c r="G63" s="11">
        <v>7.0</v>
      </c>
      <c r="H63" s="12">
        <v>6.0</v>
      </c>
      <c r="I63" s="12">
        <v>6.0</v>
      </c>
      <c r="J63" s="12">
        <v>4.0</v>
      </c>
      <c r="K63" s="12">
        <v>6.0</v>
      </c>
      <c r="L63" s="12">
        <v>4.0</v>
      </c>
      <c r="M63" s="12"/>
      <c r="N63" s="12"/>
      <c r="O63" s="12"/>
      <c r="P63" s="13"/>
      <c r="Q63" s="9" t="s">
        <v>225</v>
      </c>
      <c r="R63" s="9" t="s">
        <v>55</v>
      </c>
      <c r="S63" s="9" t="s">
        <v>56</v>
      </c>
      <c r="T63" s="14">
        <f t="shared" si="1"/>
        <v>2</v>
      </c>
      <c r="U63" s="14">
        <f t="shared" si="2"/>
        <v>1</v>
      </c>
      <c r="V63" s="15">
        <f t="shared" si="3"/>
        <v>0.6666666667</v>
      </c>
    </row>
    <row r="64" ht="15.75" customHeight="1">
      <c r="A64" s="16" t="s">
        <v>226</v>
      </c>
      <c r="B64" s="8" t="s">
        <v>22</v>
      </c>
      <c r="C64" s="8" t="s">
        <v>211</v>
      </c>
      <c r="D64" s="8" t="s">
        <v>227</v>
      </c>
      <c r="E64" s="8" t="s">
        <v>228</v>
      </c>
      <c r="F64" s="8" t="s">
        <v>229</v>
      </c>
      <c r="G64" s="20">
        <v>4.0</v>
      </c>
      <c r="H64" s="21">
        <v>6.0</v>
      </c>
      <c r="I64" s="21">
        <v>6.0</v>
      </c>
      <c r="J64" s="21">
        <v>3.0</v>
      </c>
      <c r="K64" s="21">
        <v>6.0</v>
      </c>
      <c r="L64" s="21">
        <v>2.0</v>
      </c>
      <c r="M64" s="21"/>
      <c r="N64" s="21"/>
      <c r="O64" s="21"/>
      <c r="P64" s="22"/>
      <c r="Q64" s="8" t="s">
        <v>222</v>
      </c>
      <c r="R64" s="8" t="s">
        <v>105</v>
      </c>
      <c r="S64" s="8" t="s">
        <v>106</v>
      </c>
      <c r="T64" s="14">
        <f t="shared" si="1"/>
        <v>4</v>
      </c>
      <c r="U64" s="14">
        <f t="shared" si="2"/>
        <v>0</v>
      </c>
      <c r="V64" s="15">
        <f t="shared" si="3"/>
        <v>1</v>
      </c>
    </row>
    <row r="65" ht="15.75" customHeight="1">
      <c r="A65" s="16" t="s">
        <v>226</v>
      </c>
      <c r="B65" s="8" t="s">
        <v>30</v>
      </c>
      <c r="C65" s="8" t="s">
        <v>230</v>
      </c>
      <c r="D65" s="8" t="s">
        <v>55</v>
      </c>
      <c r="E65" s="23" t="s">
        <v>56</v>
      </c>
      <c r="F65" s="8" t="s">
        <v>231</v>
      </c>
      <c r="G65" s="20">
        <v>6.0</v>
      </c>
      <c r="H65" s="21">
        <v>2.0</v>
      </c>
      <c r="I65" s="21">
        <v>6.0</v>
      </c>
      <c r="J65" s="21">
        <v>1.0</v>
      </c>
      <c r="K65" s="21">
        <v>2.0</v>
      </c>
      <c r="L65" s="21">
        <v>6.0</v>
      </c>
      <c r="M65" s="21">
        <v>7.0</v>
      </c>
      <c r="N65" s="21">
        <v>5.0</v>
      </c>
      <c r="O65" s="21"/>
      <c r="P65" s="22"/>
      <c r="Q65" s="8" t="s">
        <v>232</v>
      </c>
      <c r="R65" s="8" t="s">
        <v>184</v>
      </c>
      <c r="S65" s="8" t="s">
        <v>185</v>
      </c>
      <c r="T65" s="14">
        <f t="shared" si="1"/>
        <v>2</v>
      </c>
      <c r="U65" s="14">
        <f t="shared" si="2"/>
        <v>0</v>
      </c>
      <c r="V65" s="15">
        <f t="shared" si="3"/>
        <v>1</v>
      </c>
    </row>
    <row r="66" ht="15.75" customHeight="1">
      <c r="A66" s="7" t="s">
        <v>233</v>
      </c>
      <c r="B66" s="8" t="s">
        <v>22</v>
      </c>
      <c r="C66" s="9" t="s">
        <v>211</v>
      </c>
      <c r="D66" s="9" t="s">
        <v>227</v>
      </c>
      <c r="E66" s="9" t="s">
        <v>228</v>
      </c>
      <c r="F66" s="9" t="s">
        <v>195</v>
      </c>
      <c r="G66" s="11">
        <v>6.0</v>
      </c>
      <c r="H66" s="12">
        <v>2.0</v>
      </c>
      <c r="I66" s="12">
        <v>6.0</v>
      </c>
      <c r="J66" s="12">
        <v>3.0</v>
      </c>
      <c r="K66" s="12"/>
      <c r="L66" s="12"/>
      <c r="M66" s="12"/>
      <c r="N66" s="12"/>
      <c r="O66" s="12"/>
      <c r="P66" s="13"/>
      <c r="Q66" s="9" t="s">
        <v>234</v>
      </c>
      <c r="R66" s="9" t="s">
        <v>55</v>
      </c>
      <c r="S66" s="9" t="s">
        <v>56</v>
      </c>
      <c r="T66" s="14">
        <f t="shared" si="1"/>
        <v>4</v>
      </c>
      <c r="U66" s="14">
        <f t="shared" si="2"/>
        <v>0</v>
      </c>
      <c r="V66" s="15">
        <f t="shared" si="3"/>
        <v>1</v>
      </c>
    </row>
    <row r="67" ht="15.75" customHeight="1">
      <c r="A67" s="7" t="s">
        <v>233</v>
      </c>
      <c r="B67" s="8" t="s">
        <v>30</v>
      </c>
      <c r="C67" s="9" t="s">
        <v>230</v>
      </c>
      <c r="D67" s="9" t="s">
        <v>55</v>
      </c>
      <c r="E67" s="9" t="s">
        <v>56</v>
      </c>
      <c r="F67" s="9" t="s">
        <v>235</v>
      </c>
      <c r="G67" s="11">
        <v>6.0</v>
      </c>
      <c r="H67" s="12">
        <v>3.0</v>
      </c>
      <c r="I67" s="12">
        <v>3.0</v>
      </c>
      <c r="J67" s="12">
        <v>6.0</v>
      </c>
      <c r="K67" s="12">
        <v>6.0</v>
      </c>
      <c r="L67" s="12">
        <v>4.0</v>
      </c>
      <c r="M67" s="12">
        <v>6.0</v>
      </c>
      <c r="N67" s="12">
        <v>2.0</v>
      </c>
      <c r="O67" s="12"/>
      <c r="P67" s="13"/>
      <c r="Q67" s="9" t="s">
        <v>232</v>
      </c>
      <c r="R67" s="9" t="s">
        <v>184</v>
      </c>
      <c r="S67" s="9" t="s">
        <v>185</v>
      </c>
      <c r="T67" s="14">
        <f t="shared" si="1"/>
        <v>2</v>
      </c>
      <c r="U67" s="14">
        <f t="shared" si="2"/>
        <v>0</v>
      </c>
      <c r="V67" s="15">
        <f t="shared" si="3"/>
        <v>1</v>
      </c>
    </row>
    <row r="68" ht="15.75" customHeight="1">
      <c r="A68" s="16" t="s">
        <v>236</v>
      </c>
      <c r="B68" s="8" t="s">
        <v>22</v>
      </c>
      <c r="C68" s="8" t="s">
        <v>211</v>
      </c>
      <c r="D68" s="8" t="s">
        <v>227</v>
      </c>
      <c r="E68" s="8" t="s">
        <v>228</v>
      </c>
      <c r="F68" s="8" t="s">
        <v>237</v>
      </c>
      <c r="G68" s="20">
        <v>5.0</v>
      </c>
      <c r="H68" s="21">
        <v>7.0</v>
      </c>
      <c r="I68" s="21">
        <v>6.0</v>
      </c>
      <c r="J68" s="21">
        <v>3.0</v>
      </c>
      <c r="K68" s="21">
        <v>6.0</v>
      </c>
      <c r="L68" s="21">
        <v>1.0</v>
      </c>
      <c r="M68" s="21"/>
      <c r="N68" s="21"/>
      <c r="O68" s="21"/>
      <c r="P68" s="22"/>
      <c r="Q68" s="8" t="s">
        <v>238</v>
      </c>
      <c r="R68" s="8" t="s">
        <v>239</v>
      </c>
      <c r="S68" s="8" t="s">
        <v>240</v>
      </c>
      <c r="T68" s="14">
        <f t="shared" si="1"/>
        <v>4</v>
      </c>
      <c r="U68" s="14">
        <f t="shared" si="2"/>
        <v>0</v>
      </c>
      <c r="V68" s="15">
        <f t="shared" si="3"/>
        <v>1</v>
      </c>
    </row>
    <row r="69" ht="15.75" customHeight="1">
      <c r="A69" s="16" t="s">
        <v>236</v>
      </c>
      <c r="B69" s="8" t="s">
        <v>30</v>
      </c>
      <c r="C69" s="8" t="s">
        <v>214</v>
      </c>
      <c r="D69" s="8" t="s">
        <v>105</v>
      </c>
      <c r="E69" s="8" t="s">
        <v>106</v>
      </c>
      <c r="F69" s="8" t="s">
        <v>241</v>
      </c>
      <c r="G69" s="20">
        <v>1.0</v>
      </c>
      <c r="H69" s="21">
        <v>6.0</v>
      </c>
      <c r="I69" s="21">
        <v>6.0</v>
      </c>
      <c r="J69" s="21">
        <v>4.0</v>
      </c>
      <c r="K69" s="21">
        <v>6.0</v>
      </c>
      <c r="L69" s="21">
        <v>4.0</v>
      </c>
      <c r="M69" s="21">
        <v>6.0</v>
      </c>
      <c r="N69" s="21">
        <v>4.0</v>
      </c>
      <c r="O69" s="21"/>
      <c r="P69" s="22"/>
      <c r="Q69" s="8" t="s">
        <v>242</v>
      </c>
      <c r="R69" s="8" t="s">
        <v>239</v>
      </c>
      <c r="S69" s="8" t="s">
        <v>240</v>
      </c>
      <c r="T69" s="14">
        <f t="shared" si="1"/>
        <v>2</v>
      </c>
      <c r="U69" s="14">
        <f t="shared" si="2"/>
        <v>0</v>
      </c>
      <c r="V69" s="15">
        <f t="shared" si="3"/>
        <v>1</v>
      </c>
    </row>
    <row r="70" ht="15.75" customHeight="1">
      <c r="A70" s="7" t="s">
        <v>243</v>
      </c>
      <c r="B70" s="8" t="s">
        <v>22</v>
      </c>
      <c r="C70" s="9" t="s">
        <v>222</v>
      </c>
      <c r="D70" s="9" t="s">
        <v>105</v>
      </c>
      <c r="E70" s="9" t="s">
        <v>106</v>
      </c>
      <c r="F70" s="9" t="s">
        <v>244</v>
      </c>
      <c r="G70" s="11">
        <v>6.0</v>
      </c>
      <c r="H70" s="12">
        <v>3.0</v>
      </c>
      <c r="I70" s="12">
        <v>6.0</v>
      </c>
      <c r="J70" s="12">
        <v>4.0</v>
      </c>
      <c r="K70" s="12"/>
      <c r="L70" s="12"/>
      <c r="M70" s="12"/>
      <c r="N70" s="12"/>
      <c r="O70" s="12"/>
      <c r="P70" s="13"/>
      <c r="Q70" s="9" t="s">
        <v>234</v>
      </c>
      <c r="R70" s="9" t="s">
        <v>55</v>
      </c>
      <c r="S70" s="9" t="s">
        <v>56</v>
      </c>
      <c r="T70" s="14">
        <f t="shared" si="1"/>
        <v>4</v>
      </c>
      <c r="U70" s="14">
        <f t="shared" si="2"/>
        <v>1</v>
      </c>
      <c r="V70" s="15">
        <f t="shared" si="3"/>
        <v>0.8</v>
      </c>
    </row>
    <row r="71" ht="15.75" customHeight="1">
      <c r="A71" s="7" t="s">
        <v>243</v>
      </c>
      <c r="B71" s="8" t="s">
        <v>30</v>
      </c>
      <c r="C71" s="9" t="s">
        <v>242</v>
      </c>
      <c r="D71" s="9" t="s">
        <v>239</v>
      </c>
      <c r="E71" s="9" t="s">
        <v>240</v>
      </c>
      <c r="F71" s="9" t="s">
        <v>245</v>
      </c>
      <c r="G71" s="11">
        <v>4.0</v>
      </c>
      <c r="H71" s="12">
        <v>6.0</v>
      </c>
      <c r="I71" s="12">
        <v>7.0</v>
      </c>
      <c r="J71" s="12">
        <v>6.0</v>
      </c>
      <c r="K71" s="12">
        <v>5.0</v>
      </c>
      <c r="L71" s="12">
        <v>2.0</v>
      </c>
      <c r="M71" s="12"/>
      <c r="N71" s="12"/>
      <c r="O71" s="12"/>
      <c r="P71" s="13"/>
      <c r="Q71" s="9" t="s">
        <v>232</v>
      </c>
      <c r="R71" s="9" t="s">
        <v>184</v>
      </c>
      <c r="S71" s="9" t="s">
        <v>185</v>
      </c>
      <c r="T71" s="14">
        <f t="shared" si="1"/>
        <v>2</v>
      </c>
      <c r="U71" s="14">
        <f t="shared" si="2"/>
        <v>2</v>
      </c>
      <c r="V71" s="15">
        <f t="shared" si="3"/>
        <v>0.5</v>
      </c>
    </row>
    <row r="72" ht="15.75" customHeight="1">
      <c r="A72" s="16" t="s">
        <v>246</v>
      </c>
      <c r="B72" s="8" t="s">
        <v>22</v>
      </c>
      <c r="C72" s="8" t="s">
        <v>222</v>
      </c>
      <c r="D72" s="8" t="s">
        <v>105</v>
      </c>
      <c r="E72" s="8" t="s">
        <v>106</v>
      </c>
      <c r="F72" s="8" t="s">
        <v>100</v>
      </c>
      <c r="G72" s="20">
        <v>6.0</v>
      </c>
      <c r="H72" s="21">
        <v>4.0</v>
      </c>
      <c r="I72" s="21">
        <v>6.0</v>
      </c>
      <c r="J72" s="21">
        <v>4.0</v>
      </c>
      <c r="K72" s="21"/>
      <c r="L72" s="21"/>
      <c r="M72" s="21"/>
      <c r="N72" s="21"/>
      <c r="O72" s="21"/>
      <c r="P72" s="22"/>
      <c r="Q72" s="8" t="s">
        <v>247</v>
      </c>
      <c r="R72" s="8" t="s">
        <v>239</v>
      </c>
      <c r="S72" s="8" t="s">
        <v>240</v>
      </c>
      <c r="T72" s="14">
        <f t="shared" si="1"/>
        <v>4</v>
      </c>
      <c r="U72" s="14">
        <f t="shared" si="2"/>
        <v>1</v>
      </c>
      <c r="V72" s="15">
        <f t="shared" si="3"/>
        <v>0.8</v>
      </c>
    </row>
    <row r="73" ht="15.75" customHeight="1">
      <c r="A73" s="16" t="s">
        <v>246</v>
      </c>
      <c r="B73" s="8" t="s">
        <v>30</v>
      </c>
      <c r="C73" s="8" t="s">
        <v>242</v>
      </c>
      <c r="D73" s="8" t="s">
        <v>239</v>
      </c>
      <c r="E73" s="23" t="s">
        <v>240</v>
      </c>
      <c r="F73" s="8" t="s">
        <v>202</v>
      </c>
      <c r="G73" s="20">
        <v>6.0</v>
      </c>
      <c r="H73" s="21">
        <v>2.0</v>
      </c>
      <c r="I73" s="21">
        <v>6.0</v>
      </c>
      <c r="J73" s="21">
        <v>2.0</v>
      </c>
      <c r="K73" s="21">
        <v>6.0</v>
      </c>
      <c r="L73" s="21">
        <v>2.0</v>
      </c>
      <c r="M73" s="21"/>
      <c r="N73" s="21"/>
      <c r="O73" s="21"/>
      <c r="P73" s="22"/>
      <c r="Q73" s="8" t="s">
        <v>248</v>
      </c>
      <c r="R73" s="8" t="s">
        <v>239</v>
      </c>
      <c r="S73" s="8" t="s">
        <v>240</v>
      </c>
      <c r="T73" s="14">
        <f t="shared" si="1"/>
        <v>2</v>
      </c>
      <c r="U73" s="14">
        <f t="shared" si="2"/>
        <v>2</v>
      </c>
      <c r="V73" s="15">
        <f t="shared" si="3"/>
        <v>0.5</v>
      </c>
    </row>
    <row r="74" ht="15.75" customHeight="1">
      <c r="A74" s="7" t="s">
        <v>249</v>
      </c>
      <c r="B74" s="8" t="s">
        <v>22</v>
      </c>
      <c r="C74" s="9" t="s">
        <v>222</v>
      </c>
      <c r="D74" s="9" t="s">
        <v>105</v>
      </c>
      <c r="E74" s="9" t="s">
        <v>106</v>
      </c>
      <c r="F74" s="9" t="s">
        <v>250</v>
      </c>
      <c r="G74" s="11">
        <v>6.0</v>
      </c>
      <c r="H74" s="12">
        <v>1.0</v>
      </c>
      <c r="I74" s="12">
        <v>7.0</v>
      </c>
      <c r="J74" s="12">
        <v>6.0</v>
      </c>
      <c r="K74" s="12"/>
      <c r="L74" s="12"/>
      <c r="M74" s="12"/>
      <c r="N74" s="12"/>
      <c r="O74" s="12"/>
      <c r="P74" s="13"/>
      <c r="Q74" s="9" t="s">
        <v>251</v>
      </c>
      <c r="R74" s="9" t="s">
        <v>55</v>
      </c>
      <c r="S74" s="9" t="s">
        <v>56</v>
      </c>
      <c r="T74" s="14">
        <f t="shared" si="1"/>
        <v>4</v>
      </c>
      <c r="U74" s="14">
        <f t="shared" si="2"/>
        <v>1</v>
      </c>
      <c r="V74" s="15">
        <f t="shared" si="3"/>
        <v>0.8</v>
      </c>
    </row>
    <row r="75" ht="15.75" customHeight="1">
      <c r="A75" s="7" t="s">
        <v>249</v>
      </c>
      <c r="B75" s="8" t="s">
        <v>30</v>
      </c>
      <c r="C75" s="9" t="s">
        <v>252</v>
      </c>
      <c r="D75" s="9" t="s">
        <v>184</v>
      </c>
      <c r="E75" s="9" t="s">
        <v>185</v>
      </c>
      <c r="F75" s="9" t="s">
        <v>253</v>
      </c>
      <c r="G75" s="11">
        <v>6.0</v>
      </c>
      <c r="H75" s="12">
        <v>3.0</v>
      </c>
      <c r="I75" s="12">
        <v>6.0</v>
      </c>
      <c r="J75" s="12">
        <v>7.0</v>
      </c>
      <c r="K75" s="12">
        <v>3.0</v>
      </c>
      <c r="L75" s="12">
        <v>6.0</v>
      </c>
      <c r="M75" s="12">
        <v>6.0</v>
      </c>
      <c r="N75" s="12">
        <v>1.0</v>
      </c>
      <c r="O75" s="12">
        <v>8.0</v>
      </c>
      <c r="P75" s="13">
        <v>6.0</v>
      </c>
      <c r="Q75" s="9" t="s">
        <v>254</v>
      </c>
      <c r="R75" s="9" t="s">
        <v>51</v>
      </c>
      <c r="S75" s="9" t="s">
        <v>52</v>
      </c>
      <c r="T75" s="14">
        <f t="shared" si="1"/>
        <v>3</v>
      </c>
      <c r="U75" s="14">
        <f t="shared" si="2"/>
        <v>1</v>
      </c>
      <c r="V75" s="15">
        <f t="shared" si="3"/>
        <v>0.75</v>
      </c>
    </row>
    <row r="76" ht="15.75" customHeight="1">
      <c r="A76" s="16" t="s">
        <v>255</v>
      </c>
      <c r="B76" s="8" t="s">
        <v>22</v>
      </c>
      <c r="C76" s="8" t="s">
        <v>256</v>
      </c>
      <c r="D76" s="8" t="s">
        <v>239</v>
      </c>
      <c r="E76" s="23" t="s">
        <v>240</v>
      </c>
      <c r="F76" s="8" t="s">
        <v>257</v>
      </c>
      <c r="G76" s="20">
        <v>7.0</v>
      </c>
      <c r="H76" s="21">
        <v>5.0</v>
      </c>
      <c r="I76" s="21">
        <v>7.0</v>
      </c>
      <c r="J76" s="21">
        <v>6.0</v>
      </c>
      <c r="K76" s="21"/>
      <c r="L76" s="21"/>
      <c r="M76" s="21"/>
      <c r="N76" s="21"/>
      <c r="O76" s="21"/>
      <c r="P76" s="22"/>
      <c r="Q76" s="8" t="s">
        <v>258</v>
      </c>
      <c r="R76" s="8" t="s">
        <v>55</v>
      </c>
      <c r="S76" s="8" t="s">
        <v>56</v>
      </c>
      <c r="T76" s="14">
        <f t="shared" si="1"/>
        <v>2</v>
      </c>
      <c r="U76" s="14">
        <f t="shared" si="2"/>
        <v>0</v>
      </c>
      <c r="V76" s="15">
        <f t="shared" si="3"/>
        <v>1</v>
      </c>
    </row>
    <row r="77" ht="15.75" customHeight="1">
      <c r="A77" s="16" t="s">
        <v>255</v>
      </c>
      <c r="B77" s="8" t="s">
        <v>30</v>
      </c>
      <c r="C77" s="8" t="s">
        <v>232</v>
      </c>
      <c r="D77" s="8" t="s">
        <v>184</v>
      </c>
      <c r="E77" s="23" t="s">
        <v>185</v>
      </c>
      <c r="F77" s="8" t="s">
        <v>259</v>
      </c>
      <c r="G77" s="20">
        <v>6.0</v>
      </c>
      <c r="H77" s="21">
        <v>3.0</v>
      </c>
      <c r="I77" s="21">
        <v>6.0</v>
      </c>
      <c r="J77" s="21">
        <v>4.0</v>
      </c>
      <c r="K77" s="21">
        <v>3.0</v>
      </c>
      <c r="L77" s="21">
        <v>6.0</v>
      </c>
      <c r="M77" s="21">
        <v>5.0</v>
      </c>
      <c r="N77" s="21">
        <v>7.0</v>
      </c>
      <c r="O77" s="21">
        <v>6.0</v>
      </c>
      <c r="P77" s="22">
        <v>3.0</v>
      </c>
      <c r="Q77" s="8" t="s">
        <v>254</v>
      </c>
      <c r="R77" s="8" t="s">
        <v>51</v>
      </c>
      <c r="S77" s="8" t="s">
        <v>52</v>
      </c>
      <c r="T77" s="14">
        <f t="shared" si="1"/>
        <v>2</v>
      </c>
      <c r="U77" s="14">
        <f t="shared" si="2"/>
        <v>3</v>
      </c>
      <c r="V77" s="15">
        <f t="shared" si="3"/>
        <v>0.4</v>
      </c>
    </row>
    <row r="78" ht="15.75" customHeight="1">
      <c r="A78" s="16" t="s">
        <v>260</v>
      </c>
      <c r="B78" s="8" t="s">
        <v>22</v>
      </c>
      <c r="C78" s="8" t="s">
        <v>258</v>
      </c>
      <c r="D78" s="8" t="s">
        <v>55</v>
      </c>
      <c r="E78" s="23" t="s">
        <v>56</v>
      </c>
      <c r="F78" s="8" t="s">
        <v>261</v>
      </c>
      <c r="G78" s="11">
        <v>6.0</v>
      </c>
      <c r="H78" s="12">
        <v>2.0</v>
      </c>
      <c r="I78" s="12">
        <v>4.0</v>
      </c>
      <c r="J78" s="12">
        <v>6.0</v>
      </c>
      <c r="K78" s="12">
        <v>6.0</v>
      </c>
      <c r="L78" s="12">
        <v>2.0</v>
      </c>
      <c r="M78" s="12"/>
      <c r="N78" s="12"/>
      <c r="O78" s="12"/>
      <c r="P78" s="13"/>
      <c r="Q78" s="8" t="s">
        <v>251</v>
      </c>
      <c r="R78" s="8" t="s">
        <v>55</v>
      </c>
      <c r="S78" s="8" t="s">
        <v>56</v>
      </c>
      <c r="T78" s="14">
        <f t="shared" si="1"/>
        <v>3</v>
      </c>
      <c r="U78" s="14">
        <f t="shared" si="2"/>
        <v>3</v>
      </c>
      <c r="V78" s="15">
        <f t="shared" si="3"/>
        <v>0.5</v>
      </c>
    </row>
    <row r="79" ht="15.75" customHeight="1">
      <c r="A79" s="7" t="s">
        <v>260</v>
      </c>
      <c r="B79" s="8" t="s">
        <v>30</v>
      </c>
      <c r="C79" s="9" t="s">
        <v>232</v>
      </c>
      <c r="D79" s="9" t="s">
        <v>184</v>
      </c>
      <c r="E79" s="9" t="s">
        <v>185</v>
      </c>
      <c r="F79" s="9" t="s">
        <v>262</v>
      </c>
      <c r="G79" s="11">
        <v>6.0</v>
      </c>
      <c r="H79" s="12">
        <v>4.0</v>
      </c>
      <c r="I79" s="12">
        <v>6.0</v>
      </c>
      <c r="J79" s="12">
        <v>3.0</v>
      </c>
      <c r="K79" s="12">
        <v>6.0</v>
      </c>
      <c r="L79" s="12">
        <v>3.0</v>
      </c>
      <c r="M79" s="12"/>
      <c r="N79" s="12"/>
      <c r="O79" s="12"/>
      <c r="P79" s="13"/>
      <c r="Q79" s="9" t="s">
        <v>252</v>
      </c>
      <c r="R79" s="9" t="s">
        <v>184</v>
      </c>
      <c r="S79" s="9" t="s">
        <v>185</v>
      </c>
      <c r="T79" s="14">
        <f t="shared" si="1"/>
        <v>2</v>
      </c>
      <c r="U79" s="14">
        <f t="shared" si="2"/>
        <v>3</v>
      </c>
      <c r="V79" s="15">
        <f t="shared" si="3"/>
        <v>0.4</v>
      </c>
    </row>
    <row r="80" ht="15.75" customHeight="1">
      <c r="A80" s="7" t="s">
        <v>263</v>
      </c>
      <c r="B80" s="8" t="s">
        <v>22</v>
      </c>
      <c r="C80" s="9" t="s">
        <v>251</v>
      </c>
      <c r="D80" s="9" t="s">
        <v>55</v>
      </c>
      <c r="E80" s="9" t="s">
        <v>56</v>
      </c>
      <c r="F80" s="9" t="s">
        <v>264</v>
      </c>
      <c r="G80" s="20">
        <v>6.0</v>
      </c>
      <c r="H80" s="21">
        <v>7.0</v>
      </c>
      <c r="I80" s="21">
        <v>6.0</v>
      </c>
      <c r="J80" s="21">
        <v>1.0</v>
      </c>
      <c r="K80" s="21">
        <v>6.0</v>
      </c>
      <c r="L80" s="21">
        <v>3.0</v>
      </c>
      <c r="M80" s="21"/>
      <c r="N80" s="21"/>
      <c r="O80" s="21"/>
      <c r="P80" s="22"/>
      <c r="Q80" s="9" t="s">
        <v>247</v>
      </c>
      <c r="R80" s="9" t="s">
        <v>239</v>
      </c>
      <c r="S80" s="9" t="s">
        <v>240</v>
      </c>
      <c r="T80" s="14">
        <f t="shared" si="1"/>
        <v>2</v>
      </c>
      <c r="U80" s="14">
        <f t="shared" si="2"/>
        <v>4</v>
      </c>
      <c r="V80" s="15">
        <f t="shared" si="3"/>
        <v>0.3333333333</v>
      </c>
    </row>
    <row r="81" ht="15.75" customHeight="1">
      <c r="A81" s="16" t="s">
        <v>263</v>
      </c>
      <c r="B81" s="8" t="s">
        <v>30</v>
      </c>
      <c r="C81" s="8" t="s">
        <v>252</v>
      </c>
      <c r="D81" s="8" t="s">
        <v>184</v>
      </c>
      <c r="E81" s="23" t="s">
        <v>185</v>
      </c>
      <c r="F81" s="8" t="s">
        <v>265</v>
      </c>
      <c r="G81" s="20">
        <v>6.0</v>
      </c>
      <c r="H81" s="21">
        <v>7.0</v>
      </c>
      <c r="I81" s="21">
        <v>6.0</v>
      </c>
      <c r="J81" s="21">
        <v>4.0</v>
      </c>
      <c r="K81" s="21">
        <v>7.0</v>
      </c>
      <c r="L81" s="21">
        <v>6.0</v>
      </c>
      <c r="M81" s="21">
        <v>6.0</v>
      </c>
      <c r="N81" s="21">
        <v>2.0</v>
      </c>
      <c r="O81" s="21"/>
      <c r="P81" s="22"/>
      <c r="Q81" s="8" t="s">
        <v>266</v>
      </c>
      <c r="R81" s="8" t="s">
        <v>267</v>
      </c>
      <c r="S81" s="8" t="s">
        <v>268</v>
      </c>
      <c r="T81" s="14">
        <f t="shared" si="1"/>
        <v>3</v>
      </c>
      <c r="U81" s="14">
        <f t="shared" si="2"/>
        <v>1</v>
      </c>
      <c r="V81" s="15">
        <f t="shared" si="3"/>
        <v>0.75</v>
      </c>
    </row>
    <row r="82" ht="15.75" customHeight="1">
      <c r="A82" s="16" t="s">
        <v>269</v>
      </c>
      <c r="B82" s="8" t="s">
        <v>22</v>
      </c>
      <c r="C82" s="8" t="s">
        <v>258</v>
      </c>
      <c r="D82" s="8" t="s">
        <v>55</v>
      </c>
      <c r="E82" s="23" t="s">
        <v>56</v>
      </c>
      <c r="F82" s="8" t="s">
        <v>270</v>
      </c>
      <c r="G82" s="11">
        <v>6.0</v>
      </c>
      <c r="H82" s="12">
        <v>2.0</v>
      </c>
      <c r="I82" s="12">
        <v>7.0</v>
      </c>
      <c r="J82" s="12">
        <v>6.0</v>
      </c>
      <c r="K82" s="12"/>
      <c r="L82" s="12"/>
      <c r="M82" s="12"/>
      <c r="N82" s="12"/>
      <c r="O82" s="12"/>
      <c r="P82" s="13"/>
      <c r="Q82" s="8" t="s">
        <v>271</v>
      </c>
      <c r="R82" s="8" t="s">
        <v>55</v>
      </c>
      <c r="S82" s="8" t="s">
        <v>56</v>
      </c>
      <c r="T82" s="14">
        <f t="shared" si="1"/>
        <v>3</v>
      </c>
      <c r="U82" s="14">
        <f t="shared" si="2"/>
        <v>3</v>
      </c>
      <c r="V82" s="15">
        <f t="shared" si="3"/>
        <v>0.5</v>
      </c>
    </row>
    <row r="83" ht="15.75" customHeight="1">
      <c r="A83" s="7" t="s">
        <v>269</v>
      </c>
      <c r="B83" s="8" t="s">
        <v>30</v>
      </c>
      <c r="C83" s="9" t="s">
        <v>252</v>
      </c>
      <c r="D83" s="9" t="s">
        <v>184</v>
      </c>
      <c r="E83" s="9" t="s">
        <v>185</v>
      </c>
      <c r="F83" s="9" t="s">
        <v>272</v>
      </c>
      <c r="G83" s="11">
        <v>6.0</v>
      </c>
      <c r="H83" s="12">
        <v>1.0</v>
      </c>
      <c r="I83" s="12">
        <v>6.0</v>
      </c>
      <c r="J83" s="12">
        <v>4.0</v>
      </c>
      <c r="K83" s="12">
        <v>6.0</v>
      </c>
      <c r="L83" s="12">
        <v>4.0</v>
      </c>
      <c r="M83" s="12"/>
      <c r="N83" s="12"/>
      <c r="O83" s="12"/>
      <c r="P83" s="13"/>
      <c r="Q83" s="9" t="s">
        <v>242</v>
      </c>
      <c r="R83" s="9" t="s">
        <v>239</v>
      </c>
      <c r="S83" s="9" t="s">
        <v>240</v>
      </c>
      <c r="T83" s="14">
        <f t="shared" si="1"/>
        <v>3</v>
      </c>
      <c r="U83" s="14">
        <f t="shared" si="2"/>
        <v>1</v>
      </c>
      <c r="V83" s="15">
        <f t="shared" si="3"/>
        <v>0.75</v>
      </c>
    </row>
    <row r="84" ht="15.75" customHeight="1">
      <c r="A84" s="7" t="s">
        <v>273</v>
      </c>
      <c r="B84" s="8" t="s">
        <v>22</v>
      </c>
      <c r="C84" s="9" t="s">
        <v>251</v>
      </c>
      <c r="D84" s="9" t="s">
        <v>55</v>
      </c>
      <c r="E84" s="9" t="s">
        <v>56</v>
      </c>
      <c r="F84" s="9" t="s">
        <v>274</v>
      </c>
      <c r="G84" s="20">
        <v>6.0</v>
      </c>
      <c r="H84" s="21">
        <v>3.0</v>
      </c>
      <c r="I84" s="21">
        <v>2.0</v>
      </c>
      <c r="J84" s="21">
        <v>6.0</v>
      </c>
      <c r="K84" s="21">
        <v>6.0</v>
      </c>
      <c r="L84" s="21">
        <v>3.0</v>
      </c>
      <c r="M84" s="21"/>
      <c r="N84" s="21"/>
      <c r="O84" s="21"/>
      <c r="P84" s="22"/>
      <c r="Q84" s="9" t="s">
        <v>258</v>
      </c>
      <c r="R84" s="9" t="s">
        <v>55</v>
      </c>
      <c r="S84" s="9" t="s">
        <v>56</v>
      </c>
      <c r="T84" s="14">
        <f t="shared" si="1"/>
        <v>2</v>
      </c>
      <c r="U84" s="14">
        <f t="shared" si="2"/>
        <v>4</v>
      </c>
      <c r="V84" s="15">
        <f t="shared" si="3"/>
        <v>0.3333333333</v>
      </c>
    </row>
    <row r="85" ht="15.75" customHeight="1">
      <c r="A85" s="16" t="s">
        <v>273</v>
      </c>
      <c r="B85" s="8" t="s">
        <v>30</v>
      </c>
      <c r="C85" s="8" t="s">
        <v>275</v>
      </c>
      <c r="D85" s="8" t="s">
        <v>55</v>
      </c>
      <c r="E85" s="23" t="s">
        <v>56</v>
      </c>
      <c r="F85" s="8" t="s">
        <v>276</v>
      </c>
      <c r="G85" s="20">
        <v>6.0</v>
      </c>
      <c r="H85" s="21">
        <v>3.0</v>
      </c>
      <c r="I85" s="21">
        <v>6.0</v>
      </c>
      <c r="J85" s="21">
        <v>3.0</v>
      </c>
      <c r="K85" s="21">
        <v>6.0</v>
      </c>
      <c r="L85" s="21">
        <v>2.0</v>
      </c>
      <c r="M85" s="21"/>
      <c r="N85" s="21"/>
      <c r="O85" s="21"/>
      <c r="P85" s="22"/>
      <c r="Q85" s="8" t="s">
        <v>277</v>
      </c>
      <c r="R85" s="8" t="s">
        <v>55</v>
      </c>
      <c r="S85" s="8" t="s">
        <v>56</v>
      </c>
      <c r="T85" s="14">
        <f t="shared" si="1"/>
        <v>2</v>
      </c>
      <c r="U85" s="14">
        <f t="shared" si="2"/>
        <v>0</v>
      </c>
      <c r="V85" s="15">
        <f t="shared" si="3"/>
        <v>1</v>
      </c>
    </row>
    <row r="86" ht="15.75" customHeight="1">
      <c r="A86" s="16" t="s">
        <v>278</v>
      </c>
      <c r="B86" s="8" t="s">
        <v>22</v>
      </c>
      <c r="C86" s="8" t="s">
        <v>258</v>
      </c>
      <c r="D86" s="8" t="s">
        <v>55</v>
      </c>
      <c r="E86" s="23" t="s">
        <v>56</v>
      </c>
      <c r="F86" s="8" t="s">
        <v>279</v>
      </c>
      <c r="G86" s="11">
        <v>6.0</v>
      </c>
      <c r="H86" s="12">
        <v>7.0</v>
      </c>
      <c r="I86" s="12">
        <v>6.0</v>
      </c>
      <c r="J86" s="12">
        <v>4.0</v>
      </c>
      <c r="K86" s="12">
        <v>7.0</v>
      </c>
      <c r="L86" s="12">
        <v>5.0</v>
      </c>
      <c r="M86" s="12"/>
      <c r="N86" s="12"/>
      <c r="O86" s="12"/>
      <c r="P86" s="13"/>
      <c r="Q86" s="8" t="s">
        <v>251</v>
      </c>
      <c r="R86" s="8" t="s">
        <v>55</v>
      </c>
      <c r="S86" s="8" t="s">
        <v>56</v>
      </c>
      <c r="T86" s="14">
        <f t="shared" si="1"/>
        <v>3</v>
      </c>
      <c r="U86" s="14">
        <f t="shared" si="2"/>
        <v>3</v>
      </c>
      <c r="V86" s="15">
        <f t="shared" si="3"/>
        <v>0.5</v>
      </c>
    </row>
    <row r="87" ht="15.75" customHeight="1">
      <c r="A87" s="7" t="s">
        <v>278</v>
      </c>
      <c r="B87" s="8" t="s">
        <v>30</v>
      </c>
      <c r="C87" s="9" t="s">
        <v>275</v>
      </c>
      <c r="D87" s="9" t="s">
        <v>267</v>
      </c>
      <c r="E87" s="9" t="s">
        <v>268</v>
      </c>
      <c r="F87" s="9" t="s">
        <v>280</v>
      </c>
      <c r="G87" s="11">
        <v>6.0</v>
      </c>
      <c r="H87" s="12">
        <v>2.0</v>
      </c>
      <c r="I87" s="12">
        <v>7.0</v>
      </c>
      <c r="J87" s="12">
        <v>6.0</v>
      </c>
      <c r="K87" s="12">
        <v>6.0</v>
      </c>
      <c r="L87" s="12">
        <v>7.0</v>
      </c>
      <c r="M87" s="12">
        <v>6.0</v>
      </c>
      <c r="N87" s="12">
        <v>4.0</v>
      </c>
      <c r="O87" s="12"/>
      <c r="P87" s="13"/>
      <c r="Q87" s="9" t="s">
        <v>277</v>
      </c>
      <c r="R87" s="9" t="s">
        <v>55</v>
      </c>
      <c r="S87" s="9" t="s">
        <v>56</v>
      </c>
      <c r="T87" s="14">
        <f t="shared" si="1"/>
        <v>2</v>
      </c>
      <c r="U87" s="14">
        <f t="shared" si="2"/>
        <v>0</v>
      </c>
      <c r="V87" s="15">
        <f t="shared" si="3"/>
        <v>1</v>
      </c>
    </row>
    <row r="88" ht="15.75" customHeight="1">
      <c r="A88" s="7" t="s">
        <v>281</v>
      </c>
      <c r="B88" s="8" t="s">
        <v>22</v>
      </c>
      <c r="C88" s="9" t="s">
        <v>256</v>
      </c>
      <c r="D88" s="9" t="s">
        <v>239</v>
      </c>
      <c r="E88" s="9" t="s">
        <v>240</v>
      </c>
      <c r="F88" s="9" t="s">
        <v>282</v>
      </c>
      <c r="G88" s="20">
        <v>6.0</v>
      </c>
      <c r="H88" s="21">
        <v>0.0</v>
      </c>
      <c r="I88" s="21">
        <v>7.0</v>
      </c>
      <c r="J88" s="21">
        <v>5.0</v>
      </c>
      <c r="K88" s="21"/>
      <c r="L88" s="21"/>
      <c r="M88" s="21"/>
      <c r="N88" s="21"/>
      <c r="O88" s="21"/>
      <c r="P88" s="22"/>
      <c r="Q88" s="9" t="s">
        <v>283</v>
      </c>
      <c r="R88" s="9" t="s">
        <v>51</v>
      </c>
      <c r="S88" s="9" t="s">
        <v>52</v>
      </c>
      <c r="T88" s="14">
        <f t="shared" si="1"/>
        <v>2</v>
      </c>
      <c r="U88" s="14">
        <f t="shared" si="2"/>
        <v>0</v>
      </c>
      <c r="V88" s="15">
        <f t="shared" si="3"/>
        <v>1</v>
      </c>
    </row>
    <row r="89" ht="15.75" customHeight="1">
      <c r="A89" s="16" t="s">
        <v>281</v>
      </c>
      <c r="B89" s="8" t="s">
        <v>30</v>
      </c>
      <c r="C89" s="8" t="s">
        <v>284</v>
      </c>
      <c r="D89" s="8" t="s">
        <v>55</v>
      </c>
      <c r="E89" s="23" t="s">
        <v>56</v>
      </c>
      <c r="F89" s="8" t="s">
        <v>285</v>
      </c>
      <c r="G89" s="20">
        <v>7.0</v>
      </c>
      <c r="H89" s="21">
        <v>5.0</v>
      </c>
      <c r="I89" s="21">
        <v>7.0</v>
      </c>
      <c r="J89" s="21">
        <v>6.0</v>
      </c>
      <c r="K89" s="21">
        <v>6.0</v>
      </c>
      <c r="L89" s="21">
        <v>2.0</v>
      </c>
      <c r="M89" s="21"/>
      <c r="N89" s="21"/>
      <c r="O89" s="21"/>
      <c r="P89" s="22"/>
      <c r="Q89" s="8" t="s">
        <v>286</v>
      </c>
      <c r="R89" s="8" t="s">
        <v>51</v>
      </c>
      <c r="S89" s="8" t="s">
        <v>52</v>
      </c>
      <c r="T89" s="14">
        <f t="shared" si="1"/>
        <v>1</v>
      </c>
      <c r="U89" s="14">
        <f t="shared" si="2"/>
        <v>0</v>
      </c>
      <c r="V89" s="15">
        <f t="shared" si="3"/>
        <v>1</v>
      </c>
    </row>
    <row r="90" ht="15.75" customHeight="1">
      <c r="A90" s="16" t="s">
        <v>287</v>
      </c>
      <c r="B90" s="8" t="s">
        <v>22</v>
      </c>
      <c r="C90" s="8" t="s">
        <v>288</v>
      </c>
      <c r="D90" s="8" t="s">
        <v>55</v>
      </c>
      <c r="E90" s="23" t="s">
        <v>56</v>
      </c>
      <c r="F90" s="8" t="s">
        <v>199</v>
      </c>
      <c r="G90" s="11">
        <v>6.0</v>
      </c>
      <c r="H90" s="12">
        <v>3.0</v>
      </c>
      <c r="I90" s="12">
        <v>6.0</v>
      </c>
      <c r="J90" s="12">
        <v>3.0</v>
      </c>
      <c r="K90" s="12"/>
      <c r="L90" s="12"/>
      <c r="M90" s="12"/>
      <c r="N90" s="12"/>
      <c r="O90" s="12"/>
      <c r="P90" s="13"/>
      <c r="Q90" s="8" t="s">
        <v>289</v>
      </c>
      <c r="R90" s="8" t="s">
        <v>55</v>
      </c>
      <c r="S90" s="8" t="s">
        <v>56</v>
      </c>
      <c r="T90" s="14">
        <f t="shared" si="1"/>
        <v>1</v>
      </c>
      <c r="U90" s="14">
        <f t="shared" si="2"/>
        <v>0</v>
      </c>
      <c r="V90" s="15">
        <f t="shared" si="3"/>
        <v>1</v>
      </c>
    </row>
    <row r="91" ht="15.75" customHeight="1">
      <c r="A91" s="7" t="s">
        <v>287</v>
      </c>
      <c r="B91" s="8" t="s">
        <v>30</v>
      </c>
      <c r="C91" s="9" t="s">
        <v>290</v>
      </c>
      <c r="D91" s="9" t="s">
        <v>291</v>
      </c>
      <c r="E91" s="9" t="s">
        <v>292</v>
      </c>
      <c r="F91" s="9" t="s">
        <v>293</v>
      </c>
      <c r="G91" s="11">
        <v>7.0</v>
      </c>
      <c r="H91" s="12">
        <v>6.0</v>
      </c>
      <c r="I91" s="12">
        <v>6.0</v>
      </c>
      <c r="J91" s="12">
        <v>3.0</v>
      </c>
      <c r="K91" s="12">
        <v>6.0</v>
      </c>
      <c r="L91" s="12">
        <v>2.0</v>
      </c>
      <c r="M91" s="12"/>
      <c r="N91" s="12"/>
      <c r="O91" s="12"/>
      <c r="P91" s="13"/>
      <c r="Q91" s="9" t="s">
        <v>294</v>
      </c>
      <c r="R91" s="9" t="s">
        <v>55</v>
      </c>
      <c r="S91" s="9" t="s">
        <v>56</v>
      </c>
      <c r="T91" s="14">
        <f t="shared" si="1"/>
        <v>2</v>
      </c>
      <c r="U91" s="14">
        <f t="shared" si="2"/>
        <v>1</v>
      </c>
      <c r="V91" s="15">
        <f t="shared" si="3"/>
        <v>0.6666666667</v>
      </c>
    </row>
    <row r="92" ht="15.75" customHeight="1">
      <c r="A92" s="7" t="s">
        <v>295</v>
      </c>
      <c r="B92" s="8" t="s">
        <v>22</v>
      </c>
      <c r="C92" s="9" t="s">
        <v>296</v>
      </c>
      <c r="D92" s="9" t="s">
        <v>51</v>
      </c>
      <c r="E92" s="9" t="s">
        <v>52</v>
      </c>
      <c r="F92" s="9" t="s">
        <v>297</v>
      </c>
      <c r="G92" s="20">
        <v>6.0</v>
      </c>
      <c r="H92" s="21">
        <v>3.0</v>
      </c>
      <c r="I92" s="21">
        <v>7.0</v>
      </c>
      <c r="J92" s="21">
        <v>6.0</v>
      </c>
      <c r="K92" s="21"/>
      <c r="L92" s="21"/>
      <c r="M92" s="21"/>
      <c r="N92" s="21"/>
      <c r="O92" s="21"/>
      <c r="P92" s="22"/>
      <c r="Q92" s="9" t="s">
        <v>298</v>
      </c>
      <c r="R92" s="9" t="s">
        <v>55</v>
      </c>
      <c r="S92" s="9" t="s">
        <v>56</v>
      </c>
      <c r="T92" s="14">
        <f t="shared" si="1"/>
        <v>1</v>
      </c>
      <c r="U92" s="14">
        <f t="shared" si="2"/>
        <v>0</v>
      </c>
      <c r="V92" s="15">
        <f t="shared" si="3"/>
        <v>1</v>
      </c>
    </row>
    <row r="93" ht="15.75" customHeight="1">
      <c r="A93" s="16" t="s">
        <v>295</v>
      </c>
      <c r="B93" s="8" t="s">
        <v>30</v>
      </c>
      <c r="C93" s="8" t="s">
        <v>290</v>
      </c>
      <c r="D93" s="8" t="s">
        <v>291</v>
      </c>
      <c r="E93" s="8" t="s">
        <v>292</v>
      </c>
      <c r="F93" s="8" t="s">
        <v>299</v>
      </c>
      <c r="G93" s="20">
        <v>6.0</v>
      </c>
      <c r="H93" s="21">
        <v>4.0</v>
      </c>
      <c r="I93" s="21">
        <v>6.0</v>
      </c>
      <c r="J93" s="21">
        <v>4.0</v>
      </c>
      <c r="K93" s="21">
        <v>3.0</v>
      </c>
      <c r="L93" s="21">
        <v>6.0</v>
      </c>
      <c r="M93" s="21">
        <v>6.0</v>
      </c>
      <c r="N93" s="21">
        <v>3.0</v>
      </c>
      <c r="O93" s="21"/>
      <c r="P93" s="22"/>
      <c r="Q93" s="8" t="s">
        <v>300</v>
      </c>
      <c r="R93" s="8" t="s">
        <v>51</v>
      </c>
      <c r="S93" s="8" t="s">
        <v>52</v>
      </c>
      <c r="T93" s="14">
        <f t="shared" si="1"/>
        <v>2</v>
      </c>
      <c r="U93" s="14">
        <f t="shared" si="2"/>
        <v>1</v>
      </c>
      <c r="V93" s="15">
        <f t="shared" si="3"/>
        <v>0.6666666667</v>
      </c>
    </row>
    <row r="94" ht="15.75" customHeight="1">
      <c r="A94" s="16" t="s">
        <v>301</v>
      </c>
      <c r="B94" s="8" t="s">
        <v>22</v>
      </c>
      <c r="C94" s="8" t="s">
        <v>302</v>
      </c>
      <c r="D94" s="8" t="s">
        <v>51</v>
      </c>
      <c r="E94" s="8" t="s">
        <v>52</v>
      </c>
      <c r="F94" s="8" t="s">
        <v>129</v>
      </c>
      <c r="G94" s="11">
        <v>6.0</v>
      </c>
      <c r="H94" s="12">
        <v>3.0</v>
      </c>
      <c r="I94" s="12">
        <v>6.0</v>
      </c>
      <c r="J94" s="12">
        <v>0.0</v>
      </c>
      <c r="K94" s="12"/>
      <c r="L94" s="12"/>
      <c r="M94" s="12"/>
      <c r="N94" s="12"/>
      <c r="O94" s="12"/>
      <c r="P94" s="13"/>
      <c r="Q94" s="8" t="s">
        <v>303</v>
      </c>
      <c r="R94" s="8" t="s">
        <v>51</v>
      </c>
      <c r="S94" s="8" t="s">
        <v>52</v>
      </c>
      <c r="T94" s="14">
        <f t="shared" si="1"/>
        <v>4</v>
      </c>
      <c r="U94" s="14">
        <f t="shared" si="2"/>
        <v>3</v>
      </c>
      <c r="V94" s="15">
        <f t="shared" si="3"/>
        <v>0.5714285714</v>
      </c>
    </row>
    <row r="95" ht="15.75" customHeight="1">
      <c r="A95" s="7" t="s">
        <v>301</v>
      </c>
      <c r="B95" s="8" t="s">
        <v>30</v>
      </c>
      <c r="C95" s="9" t="s">
        <v>304</v>
      </c>
      <c r="D95" s="9" t="s">
        <v>55</v>
      </c>
      <c r="E95" s="9" t="s">
        <v>56</v>
      </c>
      <c r="F95" s="9" t="s">
        <v>305</v>
      </c>
      <c r="G95" s="11">
        <v>6.0</v>
      </c>
      <c r="H95" s="12">
        <v>3.0</v>
      </c>
      <c r="I95" s="12">
        <v>7.0</v>
      </c>
      <c r="J95" s="12">
        <v>6.0</v>
      </c>
      <c r="K95" s="12">
        <v>5.0</v>
      </c>
      <c r="L95" s="12">
        <v>7.0</v>
      </c>
      <c r="M95" s="12">
        <v>3.0</v>
      </c>
      <c r="N95" s="12">
        <v>6.0</v>
      </c>
      <c r="O95" s="12">
        <v>6.0</v>
      </c>
      <c r="P95" s="13">
        <v>2.0</v>
      </c>
      <c r="Q95" s="9" t="s">
        <v>306</v>
      </c>
      <c r="R95" s="9" t="s">
        <v>110</v>
      </c>
      <c r="S95" s="9" t="s">
        <v>111</v>
      </c>
      <c r="T95" s="14">
        <f t="shared" si="1"/>
        <v>1</v>
      </c>
      <c r="U95" s="14">
        <f t="shared" si="2"/>
        <v>0</v>
      </c>
      <c r="V95" s="15">
        <f t="shared" si="3"/>
        <v>1</v>
      </c>
    </row>
    <row r="96" ht="15.75" customHeight="1">
      <c r="A96" s="7" t="s">
        <v>307</v>
      </c>
      <c r="B96" s="8" t="s">
        <v>22</v>
      </c>
      <c r="C96" s="9" t="s">
        <v>308</v>
      </c>
      <c r="D96" s="9" t="s">
        <v>51</v>
      </c>
      <c r="E96" s="9" t="s">
        <v>52</v>
      </c>
      <c r="F96" s="9" t="s">
        <v>309</v>
      </c>
      <c r="G96" s="20">
        <v>7.0</v>
      </c>
      <c r="H96" s="21">
        <v>5.0</v>
      </c>
      <c r="I96" s="21">
        <v>6.0</v>
      </c>
      <c r="J96" s="21">
        <v>2.0</v>
      </c>
      <c r="K96" s="21"/>
      <c r="L96" s="21"/>
      <c r="M96" s="21"/>
      <c r="N96" s="21"/>
      <c r="O96" s="21"/>
      <c r="P96" s="22"/>
      <c r="Q96" s="9" t="s">
        <v>310</v>
      </c>
      <c r="R96" s="9" t="s">
        <v>51</v>
      </c>
      <c r="S96" s="9" t="s">
        <v>52</v>
      </c>
      <c r="T96" s="14">
        <f t="shared" si="1"/>
        <v>1</v>
      </c>
      <c r="U96" s="14">
        <f t="shared" si="2"/>
        <v>0</v>
      </c>
      <c r="V96" s="15">
        <f t="shared" si="3"/>
        <v>1</v>
      </c>
    </row>
    <row r="97" ht="15.75" customHeight="1">
      <c r="A97" s="16" t="s">
        <v>307</v>
      </c>
      <c r="B97" s="8" t="s">
        <v>30</v>
      </c>
      <c r="C97" s="8" t="s">
        <v>311</v>
      </c>
      <c r="D97" s="8" t="s">
        <v>55</v>
      </c>
      <c r="E97" s="23" t="s">
        <v>56</v>
      </c>
      <c r="F97" s="8" t="s">
        <v>312</v>
      </c>
      <c r="G97" s="20">
        <v>6.0</v>
      </c>
      <c r="H97" s="21">
        <v>3.0</v>
      </c>
      <c r="I97" s="21">
        <v>6.0</v>
      </c>
      <c r="J97" s="21">
        <v>3.0</v>
      </c>
      <c r="K97" s="21">
        <v>6.0</v>
      </c>
      <c r="L97" s="21">
        <v>3.0</v>
      </c>
      <c r="M97" s="21"/>
      <c r="N97" s="21"/>
      <c r="O97" s="21"/>
      <c r="P97" s="22"/>
      <c r="Q97" s="8" t="s">
        <v>290</v>
      </c>
      <c r="R97" s="8" t="s">
        <v>291</v>
      </c>
      <c r="S97" s="8" t="s">
        <v>292</v>
      </c>
      <c r="T97" s="14">
        <f t="shared" si="1"/>
        <v>1</v>
      </c>
      <c r="U97" s="14">
        <f t="shared" si="2"/>
        <v>0</v>
      </c>
      <c r="V97" s="15">
        <f t="shared" si="3"/>
        <v>1</v>
      </c>
    </row>
    <row r="98" ht="15.75" customHeight="1">
      <c r="A98" s="16" t="s">
        <v>313</v>
      </c>
      <c r="B98" s="8" t="s">
        <v>22</v>
      </c>
      <c r="C98" s="8" t="s">
        <v>302</v>
      </c>
      <c r="D98" s="8" t="s">
        <v>51</v>
      </c>
      <c r="E98" s="8" t="s">
        <v>52</v>
      </c>
      <c r="F98" s="8" t="s">
        <v>205</v>
      </c>
      <c r="G98" s="11">
        <v>6.0</v>
      </c>
      <c r="H98" s="12">
        <v>2.0</v>
      </c>
      <c r="I98" s="12">
        <v>6.0</v>
      </c>
      <c r="J98" s="12">
        <v>2.0</v>
      </c>
      <c r="K98" s="12"/>
      <c r="L98" s="12"/>
      <c r="M98" s="12"/>
      <c r="N98" s="12"/>
      <c r="O98" s="12"/>
      <c r="P98" s="13"/>
      <c r="Q98" s="8" t="s">
        <v>314</v>
      </c>
      <c r="R98" s="8" t="s">
        <v>239</v>
      </c>
      <c r="S98" s="8" t="s">
        <v>240</v>
      </c>
      <c r="T98" s="14">
        <f t="shared" si="1"/>
        <v>4</v>
      </c>
      <c r="U98" s="14">
        <f t="shared" si="2"/>
        <v>3</v>
      </c>
      <c r="V98" s="15">
        <f t="shared" si="3"/>
        <v>0.5714285714</v>
      </c>
    </row>
    <row r="99" ht="15.75" customHeight="1">
      <c r="A99" s="7" t="s">
        <v>313</v>
      </c>
      <c r="B99" s="8" t="s">
        <v>30</v>
      </c>
      <c r="C99" s="9" t="s">
        <v>315</v>
      </c>
      <c r="D99" s="9" t="s">
        <v>51</v>
      </c>
      <c r="E99" s="9" t="s">
        <v>52</v>
      </c>
      <c r="F99" s="9" t="s">
        <v>316</v>
      </c>
      <c r="G99" s="11">
        <v>6.0</v>
      </c>
      <c r="H99" s="12">
        <v>7.0</v>
      </c>
      <c r="I99" s="12">
        <v>6.0</v>
      </c>
      <c r="J99" s="12">
        <v>3.0</v>
      </c>
      <c r="K99" s="12">
        <v>7.0</v>
      </c>
      <c r="L99" s="12">
        <v>6.0</v>
      </c>
      <c r="M99" s="12">
        <v>6.0</v>
      </c>
      <c r="N99" s="12">
        <v>1.0</v>
      </c>
      <c r="O99" s="12"/>
      <c r="P99" s="13"/>
      <c r="Q99" s="9" t="s">
        <v>317</v>
      </c>
      <c r="R99" s="9" t="s">
        <v>51</v>
      </c>
      <c r="S99" s="9" t="s">
        <v>52</v>
      </c>
      <c r="T99" s="14">
        <f t="shared" si="1"/>
        <v>1</v>
      </c>
      <c r="U99" s="14">
        <f t="shared" si="2"/>
        <v>0</v>
      </c>
      <c r="V99" s="15">
        <f t="shared" si="3"/>
        <v>1</v>
      </c>
    </row>
    <row r="100" ht="15.75" customHeight="1">
      <c r="A100" s="7" t="s">
        <v>318</v>
      </c>
      <c r="B100" s="8" t="s">
        <v>22</v>
      </c>
      <c r="C100" s="9" t="s">
        <v>302</v>
      </c>
      <c r="D100" s="9" t="s">
        <v>51</v>
      </c>
      <c r="E100" s="9" t="s">
        <v>52</v>
      </c>
      <c r="F100" s="9" t="s">
        <v>218</v>
      </c>
      <c r="G100" s="20">
        <v>6.0</v>
      </c>
      <c r="H100" s="21">
        <v>3.0</v>
      </c>
      <c r="I100" s="21">
        <v>6.0</v>
      </c>
      <c r="J100" s="21">
        <v>2.0</v>
      </c>
      <c r="K100" s="21"/>
      <c r="L100" s="21"/>
      <c r="M100" s="21"/>
      <c r="N100" s="21"/>
      <c r="O100" s="21"/>
      <c r="P100" s="22"/>
      <c r="Q100" s="9" t="s">
        <v>258</v>
      </c>
      <c r="R100" s="9" t="s">
        <v>239</v>
      </c>
      <c r="S100" s="9" t="s">
        <v>240</v>
      </c>
      <c r="T100" s="14">
        <f t="shared" si="1"/>
        <v>4</v>
      </c>
      <c r="U100" s="14">
        <f t="shared" si="2"/>
        <v>3</v>
      </c>
      <c r="V100" s="15">
        <f t="shared" si="3"/>
        <v>0.5714285714</v>
      </c>
    </row>
    <row r="101" ht="15.75" customHeight="1">
      <c r="A101" s="16" t="s">
        <v>318</v>
      </c>
      <c r="B101" s="8" t="s">
        <v>30</v>
      </c>
      <c r="C101" s="8" t="s">
        <v>317</v>
      </c>
      <c r="D101" s="8" t="s">
        <v>51</v>
      </c>
      <c r="E101" s="8" t="s">
        <v>52</v>
      </c>
      <c r="F101" s="8" t="s">
        <v>319</v>
      </c>
      <c r="G101" s="20">
        <v>7.0</v>
      </c>
      <c r="H101" s="21">
        <v>5.0</v>
      </c>
      <c r="I101" s="21">
        <v>3.0</v>
      </c>
      <c r="J101" s="21">
        <v>6.0</v>
      </c>
      <c r="K101" s="21">
        <v>6.0</v>
      </c>
      <c r="L101" s="21">
        <v>4.0</v>
      </c>
      <c r="M101" s="21">
        <v>7.0</v>
      </c>
      <c r="N101" s="21">
        <v>6.0</v>
      </c>
      <c r="O101" s="21"/>
      <c r="P101" s="22"/>
      <c r="Q101" s="8" t="s">
        <v>320</v>
      </c>
      <c r="R101" s="8" t="s">
        <v>55</v>
      </c>
      <c r="S101" s="8" t="s">
        <v>56</v>
      </c>
      <c r="T101" s="14">
        <f t="shared" si="1"/>
        <v>2</v>
      </c>
      <c r="U101" s="14">
        <f t="shared" si="2"/>
        <v>1</v>
      </c>
      <c r="V101" s="15">
        <f t="shared" si="3"/>
        <v>0.6666666667</v>
      </c>
    </row>
    <row r="102" ht="15.75" customHeight="1">
      <c r="A102" s="16" t="s">
        <v>321</v>
      </c>
      <c r="B102" s="8" t="s">
        <v>22</v>
      </c>
      <c r="C102" s="8" t="s">
        <v>302</v>
      </c>
      <c r="D102" s="8" t="s">
        <v>51</v>
      </c>
      <c r="E102" s="8" t="s">
        <v>52</v>
      </c>
      <c r="F102" s="8" t="s">
        <v>322</v>
      </c>
      <c r="G102" s="11">
        <v>7.0</v>
      </c>
      <c r="H102" s="12">
        <v>6.0</v>
      </c>
      <c r="I102" s="12">
        <v>4.0</v>
      </c>
      <c r="J102" s="12">
        <v>6.0</v>
      </c>
      <c r="K102" s="12">
        <v>6.0</v>
      </c>
      <c r="L102" s="12">
        <v>0.0</v>
      </c>
      <c r="M102" s="12"/>
      <c r="N102" s="12"/>
      <c r="O102" s="12"/>
      <c r="P102" s="13"/>
      <c r="Q102" s="8" t="s">
        <v>251</v>
      </c>
      <c r="R102" s="8" t="s">
        <v>55</v>
      </c>
      <c r="S102" s="8" t="s">
        <v>56</v>
      </c>
      <c r="T102" s="14">
        <f t="shared" si="1"/>
        <v>4</v>
      </c>
      <c r="U102" s="14">
        <f t="shared" si="2"/>
        <v>3</v>
      </c>
      <c r="V102" s="15">
        <f t="shared" si="3"/>
        <v>0.5714285714</v>
      </c>
    </row>
    <row r="103" ht="15.75" customHeight="1">
      <c r="A103" s="7" t="s">
        <v>321</v>
      </c>
      <c r="B103" s="8" t="s">
        <v>30</v>
      </c>
      <c r="C103" s="9" t="s">
        <v>320</v>
      </c>
      <c r="D103" s="9" t="s">
        <v>55</v>
      </c>
      <c r="E103" s="25" t="s">
        <v>56</v>
      </c>
      <c r="F103" s="9" t="s">
        <v>323</v>
      </c>
      <c r="G103" s="11">
        <v>7.0</v>
      </c>
      <c r="H103" s="12">
        <v>6.0</v>
      </c>
      <c r="I103" s="12">
        <v>6.0</v>
      </c>
      <c r="J103" s="12">
        <v>4.0</v>
      </c>
      <c r="K103" s="12">
        <v>4.0</v>
      </c>
      <c r="L103" s="12">
        <v>6.0</v>
      </c>
      <c r="M103" s="12">
        <v>6.0</v>
      </c>
      <c r="N103" s="12">
        <v>3.0</v>
      </c>
      <c r="O103" s="12"/>
      <c r="P103" s="13"/>
      <c r="Q103" s="9" t="s">
        <v>324</v>
      </c>
      <c r="R103" s="9" t="s">
        <v>51</v>
      </c>
      <c r="S103" s="9" t="s">
        <v>52</v>
      </c>
      <c r="T103" s="14">
        <f t="shared" si="1"/>
        <v>1</v>
      </c>
      <c r="U103" s="14">
        <f t="shared" si="2"/>
        <v>1</v>
      </c>
      <c r="V103" s="15">
        <f t="shared" si="3"/>
        <v>0.5</v>
      </c>
    </row>
    <row r="104" ht="15.75" customHeight="1">
      <c r="A104" s="7" t="s">
        <v>325</v>
      </c>
      <c r="B104" s="8" t="s">
        <v>22</v>
      </c>
      <c r="C104" s="9" t="s">
        <v>326</v>
      </c>
      <c r="D104" s="9" t="s">
        <v>51</v>
      </c>
      <c r="E104" s="9" t="s">
        <v>52</v>
      </c>
      <c r="F104" s="9" t="s">
        <v>327</v>
      </c>
      <c r="G104" s="20">
        <v>6.0</v>
      </c>
      <c r="H104" s="21">
        <v>4.0</v>
      </c>
      <c r="I104" s="21">
        <v>7.0</v>
      </c>
      <c r="J104" s="21">
        <v>5.0</v>
      </c>
      <c r="K104" s="21"/>
      <c r="L104" s="21"/>
      <c r="M104" s="21"/>
      <c r="N104" s="21"/>
      <c r="O104" s="21"/>
      <c r="P104" s="22"/>
      <c r="Q104" s="9" t="s">
        <v>302</v>
      </c>
      <c r="R104" s="9" t="s">
        <v>51</v>
      </c>
      <c r="S104" s="9" t="s">
        <v>52</v>
      </c>
      <c r="T104" s="14">
        <f t="shared" si="1"/>
        <v>4</v>
      </c>
      <c r="U104" s="14">
        <f t="shared" si="2"/>
        <v>1</v>
      </c>
      <c r="V104" s="15">
        <f t="shared" si="3"/>
        <v>0.8</v>
      </c>
    </row>
    <row r="105" ht="15.75" customHeight="1">
      <c r="A105" s="16" t="s">
        <v>325</v>
      </c>
      <c r="B105" s="8" t="s">
        <v>30</v>
      </c>
      <c r="C105" s="8" t="s">
        <v>317</v>
      </c>
      <c r="D105" s="8" t="s">
        <v>51</v>
      </c>
      <c r="E105" s="8" t="s">
        <v>52</v>
      </c>
      <c r="F105" s="8" t="s">
        <v>328</v>
      </c>
      <c r="G105" s="20">
        <v>6.0</v>
      </c>
      <c r="H105" s="21">
        <v>3.0</v>
      </c>
      <c r="I105" s="21">
        <v>6.0</v>
      </c>
      <c r="J105" s="21">
        <v>7.0</v>
      </c>
      <c r="K105" s="21">
        <v>7.0</v>
      </c>
      <c r="L105" s="21">
        <v>5.0</v>
      </c>
      <c r="M105" s="21">
        <v>6.0</v>
      </c>
      <c r="N105" s="21">
        <v>1.0</v>
      </c>
      <c r="O105" s="21"/>
      <c r="P105" s="22"/>
      <c r="Q105" s="8" t="s">
        <v>329</v>
      </c>
      <c r="R105" s="8" t="s">
        <v>330</v>
      </c>
      <c r="S105" s="8" t="s">
        <v>331</v>
      </c>
      <c r="T105" s="14">
        <f t="shared" si="1"/>
        <v>2</v>
      </c>
      <c r="U105" s="14">
        <f t="shared" si="2"/>
        <v>1</v>
      </c>
      <c r="V105" s="15">
        <f t="shared" si="3"/>
        <v>0.6666666667</v>
      </c>
    </row>
    <row r="106" ht="15.75" customHeight="1">
      <c r="A106" s="16" t="s">
        <v>332</v>
      </c>
      <c r="B106" s="8" t="s">
        <v>22</v>
      </c>
      <c r="C106" s="8" t="s">
        <v>333</v>
      </c>
      <c r="D106" s="8" t="s">
        <v>110</v>
      </c>
      <c r="E106" s="8" t="s">
        <v>111</v>
      </c>
      <c r="F106" s="8" t="s">
        <v>100</v>
      </c>
      <c r="G106" s="11">
        <v>6.0</v>
      </c>
      <c r="H106" s="12">
        <v>4.0</v>
      </c>
      <c r="I106" s="12">
        <v>6.0</v>
      </c>
      <c r="J106" s="12">
        <v>4.0</v>
      </c>
      <c r="K106" s="12"/>
      <c r="L106" s="12"/>
      <c r="M106" s="12"/>
      <c r="N106" s="12"/>
      <c r="O106" s="12"/>
      <c r="P106" s="13"/>
      <c r="Q106" s="8" t="s">
        <v>302</v>
      </c>
      <c r="R106" s="8" t="s">
        <v>51</v>
      </c>
      <c r="S106" s="8" t="s">
        <v>52</v>
      </c>
      <c r="T106" s="14">
        <f t="shared" si="1"/>
        <v>1</v>
      </c>
      <c r="U106" s="14">
        <f t="shared" si="2"/>
        <v>0</v>
      </c>
      <c r="V106" s="15">
        <f t="shared" si="3"/>
        <v>1</v>
      </c>
    </row>
    <row r="107" ht="15.75" customHeight="1">
      <c r="A107" s="7" t="s">
        <v>332</v>
      </c>
      <c r="B107" s="8" t="s">
        <v>30</v>
      </c>
      <c r="C107" s="9" t="s">
        <v>334</v>
      </c>
      <c r="D107" s="9" t="s">
        <v>51</v>
      </c>
      <c r="E107" s="9" t="s">
        <v>52</v>
      </c>
      <c r="F107" s="9" t="s">
        <v>335</v>
      </c>
      <c r="G107" s="11">
        <v>7.0</v>
      </c>
      <c r="H107" s="12">
        <v>6.0</v>
      </c>
      <c r="I107" s="12">
        <v>6.0</v>
      </c>
      <c r="J107" s="12">
        <v>3.0</v>
      </c>
      <c r="K107" s="12">
        <v>7.0</v>
      </c>
      <c r="L107" s="12">
        <v>5.0</v>
      </c>
      <c r="M107" s="12"/>
      <c r="N107" s="12"/>
      <c r="O107" s="12"/>
      <c r="P107" s="13"/>
      <c r="Q107" s="9" t="s">
        <v>336</v>
      </c>
      <c r="R107" s="9" t="s">
        <v>51</v>
      </c>
      <c r="S107" s="9" t="s">
        <v>52</v>
      </c>
      <c r="T107" s="14">
        <f t="shared" si="1"/>
        <v>4</v>
      </c>
      <c r="U107" s="14">
        <f t="shared" si="2"/>
        <v>1</v>
      </c>
      <c r="V107" s="15">
        <f t="shared" si="3"/>
        <v>0.8</v>
      </c>
    </row>
    <row r="108" ht="15.75" customHeight="1">
      <c r="A108" s="7" t="s">
        <v>337</v>
      </c>
      <c r="B108" s="8" t="s">
        <v>22</v>
      </c>
      <c r="C108" s="9" t="s">
        <v>326</v>
      </c>
      <c r="D108" s="9" t="s">
        <v>51</v>
      </c>
      <c r="E108" s="9" t="s">
        <v>52</v>
      </c>
      <c r="F108" s="9" t="s">
        <v>338</v>
      </c>
      <c r="G108" s="20">
        <v>2.0</v>
      </c>
      <c r="H108" s="21">
        <v>6.0</v>
      </c>
      <c r="I108" s="21">
        <v>7.0</v>
      </c>
      <c r="J108" s="21">
        <v>6.0</v>
      </c>
      <c r="K108" s="21">
        <v>7.0</v>
      </c>
      <c r="L108" s="21">
        <v>5.0</v>
      </c>
      <c r="M108" s="21"/>
      <c r="N108" s="21"/>
      <c r="O108" s="21"/>
      <c r="P108" s="22"/>
      <c r="Q108" s="9" t="s">
        <v>302</v>
      </c>
      <c r="R108" s="9" t="s">
        <v>51</v>
      </c>
      <c r="S108" s="9" t="s">
        <v>52</v>
      </c>
      <c r="T108" s="14">
        <f t="shared" si="1"/>
        <v>4</v>
      </c>
      <c r="U108" s="14">
        <f t="shared" si="2"/>
        <v>1</v>
      </c>
      <c r="V108" s="15">
        <f t="shared" si="3"/>
        <v>0.8</v>
      </c>
    </row>
    <row r="109" ht="15.75" customHeight="1">
      <c r="A109" s="16" t="s">
        <v>337</v>
      </c>
      <c r="B109" s="8" t="s">
        <v>30</v>
      </c>
      <c r="C109" s="8" t="s">
        <v>334</v>
      </c>
      <c r="D109" s="8" t="s">
        <v>51</v>
      </c>
      <c r="E109" s="8" t="s">
        <v>52</v>
      </c>
      <c r="F109" s="8" t="s">
        <v>339</v>
      </c>
      <c r="G109" s="20">
        <v>6.0</v>
      </c>
      <c r="H109" s="21">
        <v>1.0</v>
      </c>
      <c r="I109" s="21">
        <v>7.0</v>
      </c>
      <c r="J109" s="21">
        <v>5.0</v>
      </c>
      <c r="K109" s="21">
        <v>6.0</v>
      </c>
      <c r="L109" s="21">
        <v>3.0</v>
      </c>
      <c r="M109" s="21"/>
      <c r="N109" s="21"/>
      <c r="O109" s="21"/>
      <c r="P109" s="22"/>
      <c r="Q109" s="8" t="s">
        <v>340</v>
      </c>
      <c r="R109" s="8" t="s">
        <v>55</v>
      </c>
      <c r="S109" s="8" t="s">
        <v>56</v>
      </c>
      <c r="T109" s="14">
        <f t="shared" si="1"/>
        <v>4</v>
      </c>
      <c r="U109" s="14">
        <f t="shared" si="2"/>
        <v>1</v>
      </c>
      <c r="V109" s="15">
        <f t="shared" si="3"/>
        <v>0.8</v>
      </c>
    </row>
    <row r="110" ht="15.75" customHeight="1">
      <c r="A110" s="16" t="s">
        <v>341</v>
      </c>
      <c r="B110" s="8" t="s">
        <v>22</v>
      </c>
      <c r="C110" s="8" t="s">
        <v>326</v>
      </c>
      <c r="D110" s="8" t="s">
        <v>51</v>
      </c>
      <c r="E110" s="8" t="s">
        <v>52</v>
      </c>
      <c r="F110" s="8" t="s">
        <v>342</v>
      </c>
      <c r="G110" s="11">
        <v>6.0</v>
      </c>
      <c r="H110" s="12">
        <v>1.0</v>
      </c>
      <c r="I110" s="12">
        <v>6.0</v>
      </c>
      <c r="J110" s="12">
        <v>3.0</v>
      </c>
      <c r="K110" s="12"/>
      <c r="L110" s="12"/>
      <c r="M110" s="12"/>
      <c r="N110" s="12"/>
      <c r="O110" s="12"/>
      <c r="P110" s="13"/>
      <c r="Q110" s="8" t="s">
        <v>343</v>
      </c>
      <c r="R110" s="8" t="s">
        <v>51</v>
      </c>
      <c r="S110" s="8" t="s">
        <v>52</v>
      </c>
      <c r="T110" s="14">
        <f t="shared" si="1"/>
        <v>4</v>
      </c>
      <c r="U110" s="14">
        <f t="shared" si="2"/>
        <v>1</v>
      </c>
      <c r="V110" s="15">
        <f t="shared" si="3"/>
        <v>0.8</v>
      </c>
    </row>
    <row r="111" ht="15.75" customHeight="1">
      <c r="A111" s="7" t="s">
        <v>341</v>
      </c>
      <c r="B111" s="8" t="s">
        <v>30</v>
      </c>
      <c r="C111" s="9" t="s">
        <v>340</v>
      </c>
      <c r="D111" s="9" t="s">
        <v>55</v>
      </c>
      <c r="E111" s="9" t="s">
        <v>56</v>
      </c>
      <c r="F111" s="9" t="s">
        <v>344</v>
      </c>
      <c r="G111" s="11">
        <v>6.0</v>
      </c>
      <c r="H111" s="12">
        <v>4.0</v>
      </c>
      <c r="I111" s="12">
        <v>9.0</v>
      </c>
      <c r="J111" s="12">
        <v>7.0</v>
      </c>
      <c r="K111" s="12">
        <v>6.0</v>
      </c>
      <c r="L111" s="12">
        <v>2.0</v>
      </c>
      <c r="M111" s="12"/>
      <c r="N111" s="12"/>
      <c r="O111" s="12"/>
      <c r="P111" s="13"/>
      <c r="Q111" s="9" t="s">
        <v>345</v>
      </c>
      <c r="R111" s="9" t="s">
        <v>51</v>
      </c>
      <c r="S111" s="9" t="s">
        <v>52</v>
      </c>
      <c r="T111" s="14">
        <f t="shared" si="1"/>
        <v>1</v>
      </c>
      <c r="U111" s="14">
        <f t="shared" si="2"/>
        <v>3</v>
      </c>
      <c r="V111" s="15">
        <f t="shared" si="3"/>
        <v>0.25</v>
      </c>
    </row>
    <row r="112" ht="15.75" customHeight="1">
      <c r="A112" s="7" t="s">
        <v>346</v>
      </c>
      <c r="B112" s="8" t="s">
        <v>22</v>
      </c>
      <c r="C112" s="9" t="s">
        <v>326</v>
      </c>
      <c r="D112" s="9" t="s">
        <v>51</v>
      </c>
      <c r="E112" s="9" t="s">
        <v>52</v>
      </c>
      <c r="F112" s="9" t="s">
        <v>212</v>
      </c>
      <c r="G112" s="20">
        <v>6.0</v>
      </c>
      <c r="H112" s="21">
        <v>4.0</v>
      </c>
      <c r="I112" s="21">
        <v>6.0</v>
      </c>
      <c r="J112" s="21">
        <v>1.0</v>
      </c>
      <c r="K112" s="21"/>
      <c r="L112" s="21"/>
      <c r="M112" s="21"/>
      <c r="N112" s="21"/>
      <c r="O112" s="21"/>
      <c r="P112" s="22"/>
      <c r="Q112" s="9" t="s">
        <v>347</v>
      </c>
      <c r="R112" s="9" t="s">
        <v>55</v>
      </c>
      <c r="S112" s="9" t="s">
        <v>56</v>
      </c>
      <c r="T112" s="14">
        <f t="shared" si="1"/>
        <v>4</v>
      </c>
      <c r="U112" s="14">
        <f t="shared" si="2"/>
        <v>1</v>
      </c>
      <c r="V112" s="15">
        <f t="shared" si="3"/>
        <v>0.8</v>
      </c>
    </row>
    <row r="113" ht="15.75" customHeight="1">
      <c r="A113" s="16" t="s">
        <v>346</v>
      </c>
      <c r="B113" s="8" t="s">
        <v>30</v>
      </c>
      <c r="C113" s="8" t="s">
        <v>348</v>
      </c>
      <c r="D113" s="8" t="s">
        <v>51</v>
      </c>
      <c r="E113" s="8" t="s">
        <v>52</v>
      </c>
      <c r="F113" s="8" t="s">
        <v>349</v>
      </c>
      <c r="G113" s="20">
        <v>6.0</v>
      </c>
      <c r="H113" s="21">
        <v>3.0</v>
      </c>
      <c r="I113" s="21">
        <v>6.0</v>
      </c>
      <c r="J113" s="21">
        <v>4.0</v>
      </c>
      <c r="K113" s="21">
        <v>7.0</v>
      </c>
      <c r="L113" s="21">
        <v>5.0</v>
      </c>
      <c r="M113" s="21"/>
      <c r="N113" s="21"/>
      <c r="O113" s="21"/>
      <c r="P113" s="22"/>
      <c r="Q113" s="8" t="s">
        <v>350</v>
      </c>
      <c r="R113" s="8" t="s">
        <v>58</v>
      </c>
      <c r="S113" s="8" t="s">
        <v>59</v>
      </c>
      <c r="T113" s="14">
        <f t="shared" si="1"/>
        <v>3</v>
      </c>
      <c r="U113" s="14">
        <f t="shared" si="2"/>
        <v>1</v>
      </c>
      <c r="V113" s="15">
        <f t="shared" si="3"/>
        <v>0.75</v>
      </c>
    </row>
    <row r="114" ht="15.75" customHeight="1">
      <c r="A114" s="16" t="s">
        <v>351</v>
      </c>
      <c r="B114" s="8" t="s">
        <v>22</v>
      </c>
      <c r="C114" s="8" t="s">
        <v>347</v>
      </c>
      <c r="D114" s="8" t="s">
        <v>55</v>
      </c>
      <c r="E114" s="23" t="s">
        <v>56</v>
      </c>
      <c r="F114" s="8" t="s">
        <v>153</v>
      </c>
      <c r="G114" s="11">
        <v>6.0</v>
      </c>
      <c r="H114" s="12">
        <v>1.0</v>
      </c>
      <c r="I114" s="12">
        <v>6.0</v>
      </c>
      <c r="J114" s="12">
        <v>2.0</v>
      </c>
      <c r="K114" s="12"/>
      <c r="L114" s="12"/>
      <c r="M114" s="12"/>
      <c r="N114" s="12"/>
      <c r="O114" s="12"/>
      <c r="P114" s="13"/>
      <c r="Q114" s="8" t="s">
        <v>326</v>
      </c>
      <c r="R114" s="8" t="s">
        <v>51</v>
      </c>
      <c r="S114" s="8" t="s">
        <v>52</v>
      </c>
      <c r="T114" s="14">
        <f t="shared" si="1"/>
        <v>1</v>
      </c>
      <c r="U114" s="14">
        <f t="shared" si="2"/>
        <v>1</v>
      </c>
      <c r="V114" s="15">
        <f t="shared" si="3"/>
        <v>0.5</v>
      </c>
    </row>
    <row r="115" ht="15.75" customHeight="1">
      <c r="A115" s="7" t="s">
        <v>351</v>
      </c>
      <c r="B115" s="8" t="s">
        <v>30</v>
      </c>
      <c r="C115" s="9" t="s">
        <v>352</v>
      </c>
      <c r="D115" s="9" t="s">
        <v>51</v>
      </c>
      <c r="E115" s="9" t="s">
        <v>52</v>
      </c>
      <c r="F115" s="9" t="s">
        <v>353</v>
      </c>
      <c r="G115" s="11">
        <v>7.0</v>
      </c>
      <c r="H115" s="12">
        <v>5.0</v>
      </c>
      <c r="I115" s="12">
        <v>2.0</v>
      </c>
      <c r="J115" s="12">
        <v>6.0</v>
      </c>
      <c r="K115" s="12">
        <v>9.0</v>
      </c>
      <c r="L115" s="12">
        <v>7.0</v>
      </c>
      <c r="M115" s="12">
        <v>6.0</v>
      </c>
      <c r="N115" s="12">
        <v>4.0</v>
      </c>
      <c r="O115" s="12"/>
      <c r="P115" s="13"/>
      <c r="Q115" s="9" t="s">
        <v>354</v>
      </c>
      <c r="R115" s="9" t="s">
        <v>58</v>
      </c>
      <c r="S115" s="9" t="s">
        <v>59</v>
      </c>
      <c r="T115" s="14">
        <f t="shared" si="1"/>
        <v>1</v>
      </c>
      <c r="U115" s="14">
        <f t="shared" si="2"/>
        <v>0</v>
      </c>
      <c r="V115" s="15">
        <f t="shared" si="3"/>
        <v>1</v>
      </c>
    </row>
    <row r="116" ht="15.75" customHeight="1">
      <c r="A116" s="7" t="s">
        <v>355</v>
      </c>
      <c r="B116" s="8" t="s">
        <v>22</v>
      </c>
      <c r="C116" s="9" t="s">
        <v>356</v>
      </c>
      <c r="D116" s="9" t="s">
        <v>55</v>
      </c>
      <c r="E116" s="9" t="s">
        <v>56</v>
      </c>
      <c r="F116" s="9" t="s">
        <v>357</v>
      </c>
      <c r="G116" s="20">
        <v>6.0</v>
      </c>
      <c r="H116" s="21">
        <v>1.0</v>
      </c>
      <c r="I116" s="21">
        <v>6.0</v>
      </c>
      <c r="J116" s="21">
        <v>4.0</v>
      </c>
      <c r="K116" s="21"/>
      <c r="L116" s="21"/>
      <c r="M116" s="21"/>
      <c r="N116" s="21"/>
      <c r="O116" s="21"/>
      <c r="P116" s="22"/>
      <c r="Q116" s="9" t="s">
        <v>358</v>
      </c>
      <c r="R116" s="9" t="s">
        <v>51</v>
      </c>
      <c r="S116" s="9" t="s">
        <v>52</v>
      </c>
      <c r="T116" s="14">
        <f t="shared" si="1"/>
        <v>1</v>
      </c>
      <c r="U116" s="14">
        <f t="shared" si="2"/>
        <v>1</v>
      </c>
      <c r="V116" s="15">
        <f t="shared" si="3"/>
        <v>0.5</v>
      </c>
    </row>
    <row r="117" ht="15.75" customHeight="1">
      <c r="A117" s="16" t="s">
        <v>355</v>
      </c>
      <c r="B117" s="8" t="s">
        <v>30</v>
      </c>
      <c r="C117" s="8" t="s">
        <v>359</v>
      </c>
      <c r="D117" s="8" t="s">
        <v>51</v>
      </c>
      <c r="E117" s="8" t="s">
        <v>52</v>
      </c>
      <c r="F117" s="8" t="s">
        <v>360</v>
      </c>
      <c r="G117" s="20">
        <v>6.0</v>
      </c>
      <c r="H117" s="21">
        <v>4.0</v>
      </c>
      <c r="I117" s="21">
        <v>6.0</v>
      </c>
      <c r="J117" s="21">
        <v>1.0</v>
      </c>
      <c r="K117" s="21">
        <v>6.0</v>
      </c>
      <c r="L117" s="21">
        <v>4.0</v>
      </c>
      <c r="M117" s="21"/>
      <c r="N117" s="21"/>
      <c r="O117" s="21"/>
      <c r="P117" s="22"/>
      <c r="Q117" s="8" t="s">
        <v>340</v>
      </c>
      <c r="R117" s="8" t="s">
        <v>55</v>
      </c>
      <c r="S117" s="8" t="s">
        <v>56</v>
      </c>
      <c r="T117" s="14">
        <f t="shared" si="1"/>
        <v>6</v>
      </c>
      <c r="U117" s="14">
        <f t="shared" si="2"/>
        <v>1</v>
      </c>
      <c r="V117" s="15">
        <f t="shared" si="3"/>
        <v>0.8571428571</v>
      </c>
    </row>
    <row r="118" ht="15.75" customHeight="1">
      <c r="A118" s="16" t="s">
        <v>361</v>
      </c>
      <c r="B118" s="8" t="s">
        <v>22</v>
      </c>
      <c r="C118" s="8" t="s">
        <v>362</v>
      </c>
      <c r="D118" s="8" t="s">
        <v>51</v>
      </c>
      <c r="E118" s="8" t="s">
        <v>52</v>
      </c>
      <c r="F118" s="8" t="s">
        <v>363</v>
      </c>
      <c r="G118" s="11"/>
      <c r="H118" s="12"/>
      <c r="I118" s="12"/>
      <c r="J118" s="12"/>
      <c r="K118" s="12"/>
      <c r="L118" s="12"/>
      <c r="M118" s="12"/>
      <c r="N118" s="12"/>
      <c r="O118" s="12"/>
      <c r="P118" s="13"/>
      <c r="Q118" s="8" t="s">
        <v>356</v>
      </c>
      <c r="R118" s="8" t="s">
        <v>55</v>
      </c>
      <c r="S118" s="8" t="s">
        <v>56</v>
      </c>
      <c r="T118" s="14">
        <f t="shared" si="1"/>
        <v>7</v>
      </c>
      <c r="U118" s="14">
        <f t="shared" si="2"/>
        <v>0</v>
      </c>
      <c r="V118" s="15">
        <f t="shared" si="3"/>
        <v>1</v>
      </c>
    </row>
    <row r="119" ht="15.75" customHeight="1">
      <c r="A119" s="7" t="s">
        <v>361</v>
      </c>
      <c r="B119" s="8" t="s">
        <v>30</v>
      </c>
      <c r="C119" s="9" t="s">
        <v>359</v>
      </c>
      <c r="D119" s="9" t="s">
        <v>51</v>
      </c>
      <c r="E119" s="9" t="s">
        <v>52</v>
      </c>
      <c r="F119" s="9" t="s">
        <v>364</v>
      </c>
      <c r="G119" s="11">
        <v>6.0</v>
      </c>
      <c r="H119" s="12">
        <v>4.0</v>
      </c>
      <c r="I119" s="12">
        <v>6.0</v>
      </c>
      <c r="J119" s="12">
        <v>8.0</v>
      </c>
      <c r="K119" s="12">
        <v>6.0</v>
      </c>
      <c r="L119" s="12">
        <v>2.0</v>
      </c>
      <c r="M119" s="12">
        <v>6.0</v>
      </c>
      <c r="N119" s="12">
        <v>3.0</v>
      </c>
      <c r="O119" s="12"/>
      <c r="P119" s="13"/>
      <c r="Q119" s="9" t="s">
        <v>340</v>
      </c>
      <c r="R119" s="9" t="s">
        <v>55</v>
      </c>
      <c r="S119" s="9" t="s">
        <v>56</v>
      </c>
      <c r="T119" s="14">
        <f t="shared" si="1"/>
        <v>6</v>
      </c>
      <c r="U119" s="14">
        <f t="shared" si="2"/>
        <v>1</v>
      </c>
      <c r="V119" s="15">
        <f t="shared" si="3"/>
        <v>0.8571428571</v>
      </c>
    </row>
    <row r="120" ht="15.75" customHeight="1">
      <c r="A120" s="7" t="s">
        <v>365</v>
      </c>
      <c r="B120" s="8" t="s">
        <v>22</v>
      </c>
      <c r="C120" s="9" t="s">
        <v>362</v>
      </c>
      <c r="D120" s="9" t="s">
        <v>51</v>
      </c>
      <c r="E120" s="9" t="s">
        <v>52</v>
      </c>
      <c r="F120" s="9" t="s">
        <v>366</v>
      </c>
      <c r="G120" s="20">
        <v>5.0</v>
      </c>
      <c r="H120" s="21">
        <v>7.0</v>
      </c>
      <c r="I120" s="21">
        <v>6.0</v>
      </c>
      <c r="J120" s="21">
        <v>4.0</v>
      </c>
      <c r="K120" s="21">
        <v>5.0</v>
      </c>
      <c r="L120" s="21">
        <v>2.0</v>
      </c>
      <c r="M120" s="21"/>
      <c r="N120" s="21"/>
      <c r="O120" s="21"/>
      <c r="P120" s="22"/>
      <c r="Q120" s="9" t="s">
        <v>367</v>
      </c>
      <c r="R120" s="9" t="s">
        <v>368</v>
      </c>
      <c r="S120" s="9" t="s">
        <v>369</v>
      </c>
      <c r="T120" s="14">
        <f t="shared" si="1"/>
        <v>7</v>
      </c>
      <c r="U120" s="14">
        <f t="shared" si="2"/>
        <v>0</v>
      </c>
      <c r="V120" s="15">
        <f t="shared" si="3"/>
        <v>1</v>
      </c>
    </row>
    <row r="121" ht="15.75" customHeight="1">
      <c r="A121" s="16" t="s">
        <v>365</v>
      </c>
      <c r="B121" s="8" t="s">
        <v>30</v>
      </c>
      <c r="C121" s="8" t="s">
        <v>359</v>
      </c>
      <c r="D121" s="8" t="s">
        <v>51</v>
      </c>
      <c r="E121" s="8" t="s">
        <v>52</v>
      </c>
      <c r="F121" s="8" t="s">
        <v>370</v>
      </c>
      <c r="G121" s="20">
        <v>7.0</v>
      </c>
      <c r="H121" s="21">
        <v>9.0</v>
      </c>
      <c r="I121" s="21">
        <v>2.0</v>
      </c>
      <c r="J121" s="21">
        <v>6.0</v>
      </c>
      <c r="K121" s="21">
        <v>6.0</v>
      </c>
      <c r="L121" s="21">
        <v>4.0</v>
      </c>
      <c r="M121" s="21">
        <v>7.0</v>
      </c>
      <c r="N121" s="21">
        <v>5.0</v>
      </c>
      <c r="O121" s="21">
        <v>6.0</v>
      </c>
      <c r="P121" s="22">
        <v>1.0</v>
      </c>
      <c r="Q121" s="8" t="s">
        <v>371</v>
      </c>
      <c r="R121" s="8" t="s">
        <v>51</v>
      </c>
      <c r="S121" s="8" t="s">
        <v>52</v>
      </c>
      <c r="T121" s="14">
        <f t="shared" si="1"/>
        <v>6</v>
      </c>
      <c r="U121" s="14">
        <f t="shared" si="2"/>
        <v>1</v>
      </c>
      <c r="V121" s="15">
        <f t="shared" si="3"/>
        <v>0.8571428571</v>
      </c>
    </row>
    <row r="122" ht="15.75" customHeight="1">
      <c r="A122" s="16" t="s">
        <v>372</v>
      </c>
      <c r="B122" s="8" t="s">
        <v>22</v>
      </c>
      <c r="C122" s="8" t="s">
        <v>362</v>
      </c>
      <c r="D122" s="8" t="s">
        <v>51</v>
      </c>
      <c r="E122" s="8" t="s">
        <v>52</v>
      </c>
      <c r="F122" s="8" t="s">
        <v>218</v>
      </c>
      <c r="G122" s="11">
        <v>6.0</v>
      </c>
      <c r="H122" s="12">
        <v>3.0</v>
      </c>
      <c r="I122" s="12">
        <v>6.0</v>
      </c>
      <c r="J122" s="12">
        <v>2.0</v>
      </c>
      <c r="K122" s="12"/>
      <c r="L122" s="12"/>
      <c r="M122" s="12"/>
      <c r="N122" s="12"/>
      <c r="O122" s="12"/>
      <c r="P122" s="13"/>
      <c r="Q122" s="8" t="s">
        <v>358</v>
      </c>
      <c r="R122" s="8" t="s">
        <v>51</v>
      </c>
      <c r="S122" s="8" t="s">
        <v>52</v>
      </c>
      <c r="T122" s="14">
        <f t="shared" si="1"/>
        <v>7</v>
      </c>
      <c r="U122" s="14">
        <f t="shared" si="2"/>
        <v>0</v>
      </c>
      <c r="V122" s="15">
        <f t="shared" si="3"/>
        <v>1</v>
      </c>
    </row>
    <row r="123" ht="15.75" customHeight="1">
      <c r="A123" s="7" t="s">
        <v>372</v>
      </c>
      <c r="B123" s="8" t="s">
        <v>30</v>
      </c>
      <c r="C123" s="9" t="s">
        <v>359</v>
      </c>
      <c r="D123" s="9" t="s">
        <v>51</v>
      </c>
      <c r="E123" s="9" t="s">
        <v>52</v>
      </c>
      <c r="F123" s="9" t="s">
        <v>373</v>
      </c>
      <c r="G123" s="11">
        <v>6.0</v>
      </c>
      <c r="H123" s="12">
        <v>3.0</v>
      </c>
      <c r="I123" s="12">
        <v>6.0</v>
      </c>
      <c r="J123" s="12">
        <v>4.0</v>
      </c>
      <c r="K123" s="12">
        <v>6.0</v>
      </c>
      <c r="L123" s="12">
        <v>2.0</v>
      </c>
      <c r="M123" s="12"/>
      <c r="N123" s="12"/>
      <c r="O123" s="12"/>
      <c r="P123" s="13"/>
      <c r="Q123" s="9" t="s">
        <v>371</v>
      </c>
      <c r="R123" s="9" t="s">
        <v>51</v>
      </c>
      <c r="S123" s="9" t="s">
        <v>52</v>
      </c>
      <c r="T123" s="14">
        <f t="shared" si="1"/>
        <v>6</v>
      </c>
      <c r="U123" s="14">
        <f t="shared" si="2"/>
        <v>1</v>
      </c>
      <c r="V123" s="15">
        <f t="shared" si="3"/>
        <v>0.8571428571</v>
      </c>
    </row>
    <row r="124" ht="15.75" customHeight="1">
      <c r="A124" s="7" t="s">
        <v>374</v>
      </c>
      <c r="B124" s="8" t="s">
        <v>22</v>
      </c>
      <c r="C124" s="9" t="s">
        <v>362</v>
      </c>
      <c r="D124" s="9" t="s">
        <v>51</v>
      </c>
      <c r="E124" s="9" t="s">
        <v>52</v>
      </c>
      <c r="F124" s="9" t="s">
        <v>205</v>
      </c>
      <c r="G124" s="20">
        <v>6.0</v>
      </c>
      <c r="H124" s="21">
        <v>2.0</v>
      </c>
      <c r="I124" s="21">
        <v>6.0</v>
      </c>
      <c r="J124" s="21">
        <v>2.0</v>
      </c>
      <c r="K124" s="21"/>
      <c r="L124" s="21"/>
      <c r="M124" s="21"/>
      <c r="N124" s="21"/>
      <c r="O124" s="21"/>
      <c r="P124" s="22"/>
      <c r="Q124" s="9" t="s">
        <v>375</v>
      </c>
      <c r="R124" s="9" t="s">
        <v>51</v>
      </c>
      <c r="S124" s="9" t="s">
        <v>52</v>
      </c>
      <c r="T124" s="14">
        <f t="shared" si="1"/>
        <v>7</v>
      </c>
      <c r="U124" s="14">
        <f t="shared" si="2"/>
        <v>0</v>
      </c>
      <c r="V124" s="15">
        <f t="shared" si="3"/>
        <v>1</v>
      </c>
    </row>
    <row r="125" ht="15.75" customHeight="1">
      <c r="A125" s="16" t="s">
        <v>374</v>
      </c>
      <c r="B125" s="8" t="s">
        <v>30</v>
      </c>
      <c r="C125" s="8" t="s">
        <v>359</v>
      </c>
      <c r="D125" s="8" t="s">
        <v>51</v>
      </c>
      <c r="E125" s="8" t="s">
        <v>52</v>
      </c>
      <c r="F125" s="8" t="s">
        <v>376</v>
      </c>
      <c r="G125" s="20">
        <v>6.0</v>
      </c>
      <c r="H125" s="21">
        <v>3.0</v>
      </c>
      <c r="I125" s="21">
        <v>6.0</v>
      </c>
      <c r="J125" s="21">
        <v>3.0</v>
      </c>
      <c r="K125" s="21">
        <v>6.0</v>
      </c>
      <c r="L125" s="21">
        <v>1.0</v>
      </c>
      <c r="M125" s="21"/>
      <c r="N125" s="21"/>
      <c r="O125" s="21"/>
      <c r="P125" s="22"/>
      <c r="Q125" s="8" t="s">
        <v>377</v>
      </c>
      <c r="R125" s="8" t="s">
        <v>51</v>
      </c>
      <c r="S125" s="8" t="s">
        <v>52</v>
      </c>
      <c r="T125" s="14">
        <f t="shared" si="1"/>
        <v>6</v>
      </c>
      <c r="U125" s="14">
        <f t="shared" si="2"/>
        <v>1</v>
      </c>
      <c r="V125" s="15">
        <f t="shared" si="3"/>
        <v>0.8571428571</v>
      </c>
    </row>
    <row r="126" ht="15.75" customHeight="1">
      <c r="A126" s="16" t="s">
        <v>378</v>
      </c>
      <c r="B126" s="8" t="s">
        <v>22</v>
      </c>
      <c r="C126" s="8" t="s">
        <v>362</v>
      </c>
      <c r="D126" s="8" t="s">
        <v>51</v>
      </c>
      <c r="E126" s="8" t="s">
        <v>52</v>
      </c>
      <c r="F126" s="8" t="s">
        <v>223</v>
      </c>
      <c r="G126" s="11">
        <v>6.0</v>
      </c>
      <c r="H126" s="12">
        <v>0.0</v>
      </c>
      <c r="I126" s="12">
        <v>6.0</v>
      </c>
      <c r="J126" s="12">
        <v>2.0</v>
      </c>
      <c r="K126" s="12"/>
      <c r="L126" s="12"/>
      <c r="M126" s="12"/>
      <c r="N126" s="12"/>
      <c r="O126" s="12"/>
      <c r="P126" s="13"/>
      <c r="Q126" s="8" t="s">
        <v>375</v>
      </c>
      <c r="R126" s="8" t="s">
        <v>51</v>
      </c>
      <c r="S126" s="8" t="s">
        <v>52</v>
      </c>
      <c r="T126" s="14">
        <f t="shared" si="1"/>
        <v>7</v>
      </c>
      <c r="U126" s="14">
        <f t="shared" si="2"/>
        <v>0</v>
      </c>
      <c r="V126" s="15">
        <f t="shared" si="3"/>
        <v>1</v>
      </c>
    </row>
    <row r="127" ht="15.75" customHeight="1">
      <c r="A127" s="7" t="s">
        <v>378</v>
      </c>
      <c r="B127" s="8" t="s">
        <v>30</v>
      </c>
      <c r="C127" s="9" t="s">
        <v>348</v>
      </c>
      <c r="D127" s="9" t="s">
        <v>51</v>
      </c>
      <c r="E127" s="9" t="s">
        <v>52</v>
      </c>
      <c r="F127" s="9" t="s">
        <v>379</v>
      </c>
      <c r="G127" s="11">
        <v>8.0</v>
      </c>
      <c r="H127" s="12">
        <v>6.0</v>
      </c>
      <c r="I127" s="12">
        <v>0.0</v>
      </c>
      <c r="J127" s="12">
        <v>6.0</v>
      </c>
      <c r="K127" s="12">
        <v>6.0</v>
      </c>
      <c r="L127" s="12">
        <v>4.0</v>
      </c>
      <c r="M127" s="12">
        <v>6.0</v>
      </c>
      <c r="N127" s="12">
        <v>4.0</v>
      </c>
      <c r="O127" s="12"/>
      <c r="P127" s="13"/>
      <c r="Q127" s="9" t="s">
        <v>359</v>
      </c>
      <c r="R127" s="9" t="s">
        <v>51</v>
      </c>
      <c r="S127" s="9" t="s">
        <v>52</v>
      </c>
      <c r="T127" s="14">
        <f t="shared" si="1"/>
        <v>3</v>
      </c>
      <c r="U127" s="14">
        <f t="shared" si="2"/>
        <v>1</v>
      </c>
      <c r="V127" s="15">
        <f t="shared" si="3"/>
        <v>0.75</v>
      </c>
    </row>
    <row r="128" ht="15.75" customHeight="1">
      <c r="A128" s="7" t="s">
        <v>380</v>
      </c>
      <c r="B128" s="8" t="s">
        <v>22</v>
      </c>
      <c r="C128" s="9" t="s">
        <v>362</v>
      </c>
      <c r="D128" s="9" t="s">
        <v>51</v>
      </c>
      <c r="E128" s="9" t="s">
        <v>52</v>
      </c>
      <c r="F128" s="9" t="s">
        <v>357</v>
      </c>
      <c r="G128" s="20">
        <v>6.0</v>
      </c>
      <c r="H128" s="21">
        <v>1.0</v>
      </c>
      <c r="I128" s="21">
        <v>6.0</v>
      </c>
      <c r="J128" s="21">
        <v>4.0</v>
      </c>
      <c r="K128" s="21"/>
      <c r="L128" s="21"/>
      <c r="M128" s="21"/>
      <c r="N128" s="21"/>
      <c r="O128" s="21"/>
      <c r="P128" s="22"/>
      <c r="Q128" s="9" t="s">
        <v>375</v>
      </c>
      <c r="R128" s="9" t="s">
        <v>51</v>
      </c>
      <c r="S128" s="9" t="s">
        <v>52</v>
      </c>
      <c r="T128" s="14">
        <f t="shared" si="1"/>
        <v>7</v>
      </c>
      <c r="U128" s="14">
        <f t="shared" si="2"/>
        <v>0</v>
      </c>
      <c r="V128" s="15">
        <f t="shared" si="3"/>
        <v>1</v>
      </c>
    </row>
    <row r="129" ht="15.75" customHeight="1">
      <c r="A129" s="16" t="s">
        <v>380</v>
      </c>
      <c r="B129" s="8" t="s">
        <v>30</v>
      </c>
      <c r="C129" s="8" t="s">
        <v>359</v>
      </c>
      <c r="D129" s="8" t="s">
        <v>51</v>
      </c>
      <c r="E129" s="8" t="s">
        <v>52</v>
      </c>
      <c r="F129" s="8" t="s">
        <v>381</v>
      </c>
      <c r="G129" s="20">
        <v>1.0</v>
      </c>
      <c r="H129" s="21">
        <v>6.0</v>
      </c>
      <c r="I129" s="21">
        <v>6.0</v>
      </c>
      <c r="J129" s="21">
        <v>3.0</v>
      </c>
      <c r="K129" s="21">
        <v>7.0</v>
      </c>
      <c r="L129" s="21">
        <v>5.0</v>
      </c>
      <c r="M129" s="21">
        <v>6.0</v>
      </c>
      <c r="N129" s="21">
        <v>4.0</v>
      </c>
      <c r="O129" s="21"/>
      <c r="P129" s="22"/>
      <c r="Q129" s="8" t="s">
        <v>348</v>
      </c>
      <c r="R129" s="8" t="s">
        <v>51</v>
      </c>
      <c r="S129" s="8" t="s">
        <v>52</v>
      </c>
      <c r="T129" s="14">
        <f t="shared" si="1"/>
        <v>6</v>
      </c>
      <c r="U129" s="14">
        <f t="shared" si="2"/>
        <v>1</v>
      </c>
      <c r="V129" s="15">
        <f t="shared" si="3"/>
        <v>0.8571428571</v>
      </c>
    </row>
    <row r="130" ht="15.75" customHeight="1">
      <c r="A130" s="16" t="s">
        <v>382</v>
      </c>
      <c r="B130" s="8" t="s">
        <v>22</v>
      </c>
      <c r="C130" s="8" t="s">
        <v>362</v>
      </c>
      <c r="D130" s="8" t="s">
        <v>51</v>
      </c>
      <c r="E130" s="8" t="s">
        <v>52</v>
      </c>
      <c r="F130" s="8" t="s">
        <v>309</v>
      </c>
      <c r="G130" s="11">
        <v>7.0</v>
      </c>
      <c r="H130" s="12">
        <v>5.0</v>
      </c>
      <c r="I130" s="12">
        <v>6.0</v>
      </c>
      <c r="J130" s="12">
        <v>2.0</v>
      </c>
      <c r="K130" s="12"/>
      <c r="L130" s="12"/>
      <c r="M130" s="12"/>
      <c r="N130" s="12"/>
      <c r="O130" s="12"/>
      <c r="P130" s="13"/>
      <c r="Q130" s="8" t="s">
        <v>375</v>
      </c>
      <c r="R130" s="8" t="s">
        <v>51</v>
      </c>
      <c r="S130" s="8" t="s">
        <v>52</v>
      </c>
      <c r="T130" s="14">
        <f t="shared" si="1"/>
        <v>7</v>
      </c>
      <c r="U130" s="14">
        <f t="shared" si="2"/>
        <v>0</v>
      </c>
      <c r="V130" s="15">
        <f t="shared" si="3"/>
        <v>1</v>
      </c>
    </row>
    <row r="131" ht="15.75" customHeight="1">
      <c r="A131" s="7" t="s">
        <v>382</v>
      </c>
      <c r="B131" s="8" t="s">
        <v>30</v>
      </c>
      <c r="C131" s="9" t="s">
        <v>348</v>
      </c>
      <c r="D131" s="9" t="s">
        <v>51</v>
      </c>
      <c r="E131" s="9" t="s">
        <v>52</v>
      </c>
      <c r="F131" s="9" t="s">
        <v>383</v>
      </c>
      <c r="G131" s="11">
        <v>5.0</v>
      </c>
      <c r="H131" s="12">
        <v>7.0</v>
      </c>
      <c r="I131" s="12">
        <v>3.0</v>
      </c>
      <c r="J131" s="12">
        <v>6.0</v>
      </c>
      <c r="K131" s="12">
        <v>6.0</v>
      </c>
      <c r="L131" s="12">
        <v>3.0</v>
      </c>
      <c r="M131" s="12">
        <v>8.0</v>
      </c>
      <c r="N131" s="12">
        <v>6.0</v>
      </c>
      <c r="O131" s="12">
        <v>8.0</v>
      </c>
      <c r="P131" s="13">
        <v>6.0</v>
      </c>
      <c r="Q131" s="9" t="s">
        <v>384</v>
      </c>
      <c r="R131" s="9" t="s">
        <v>51</v>
      </c>
      <c r="S131" s="9" t="s">
        <v>52</v>
      </c>
      <c r="T131" s="14">
        <f t="shared" si="1"/>
        <v>3</v>
      </c>
      <c r="U131" s="14">
        <f t="shared" si="2"/>
        <v>1</v>
      </c>
      <c r="V131" s="15">
        <f t="shared" si="3"/>
        <v>0.75</v>
      </c>
    </row>
    <row r="132" ht="15.75" customHeight="1">
      <c r="A132" s="7" t="s">
        <v>385</v>
      </c>
      <c r="B132" s="8" t="s">
        <v>22</v>
      </c>
      <c r="C132" s="9" t="s">
        <v>386</v>
      </c>
      <c r="D132" s="9" t="s">
        <v>51</v>
      </c>
      <c r="E132" s="9" t="s">
        <v>52</v>
      </c>
      <c r="F132" s="9" t="s">
        <v>195</v>
      </c>
      <c r="G132" s="20">
        <v>6.0</v>
      </c>
      <c r="H132" s="21">
        <v>2.0</v>
      </c>
      <c r="I132" s="21">
        <v>6.0</v>
      </c>
      <c r="J132" s="21">
        <v>3.0</v>
      </c>
      <c r="K132" s="21"/>
      <c r="L132" s="21"/>
      <c r="M132" s="21"/>
      <c r="N132" s="21"/>
      <c r="O132" s="21"/>
      <c r="P132" s="22"/>
      <c r="Q132" s="9" t="s">
        <v>387</v>
      </c>
      <c r="R132" s="9" t="s">
        <v>267</v>
      </c>
      <c r="S132" s="9" t="s">
        <v>268</v>
      </c>
      <c r="T132" s="14">
        <f t="shared" si="1"/>
        <v>2</v>
      </c>
      <c r="U132" s="14">
        <f t="shared" si="2"/>
        <v>0</v>
      </c>
      <c r="V132" s="15">
        <f t="shared" si="3"/>
        <v>1</v>
      </c>
    </row>
    <row r="133" ht="15.75" customHeight="1">
      <c r="A133" s="16" t="s">
        <v>385</v>
      </c>
      <c r="B133" s="8" t="s">
        <v>30</v>
      </c>
      <c r="C133" s="8" t="s">
        <v>388</v>
      </c>
      <c r="D133" s="8" t="s">
        <v>55</v>
      </c>
      <c r="E133" s="23" t="s">
        <v>56</v>
      </c>
      <c r="F133" s="8" t="s">
        <v>389</v>
      </c>
      <c r="G133" s="20">
        <v>6.0</v>
      </c>
      <c r="H133" s="21">
        <v>1.0</v>
      </c>
      <c r="I133" s="21">
        <v>6.0</v>
      </c>
      <c r="J133" s="21">
        <v>2.0</v>
      </c>
      <c r="K133" s="21">
        <v>3.0</v>
      </c>
      <c r="L133" s="21">
        <v>6.0</v>
      </c>
      <c r="M133" s="21">
        <v>6.0</v>
      </c>
      <c r="N133" s="21">
        <v>3.0</v>
      </c>
      <c r="O133" s="21"/>
      <c r="P133" s="22"/>
      <c r="Q133" s="8" t="s">
        <v>384</v>
      </c>
      <c r="R133" s="8" t="s">
        <v>51</v>
      </c>
      <c r="S133" s="8" t="s">
        <v>52</v>
      </c>
      <c r="T133" s="14">
        <f t="shared" si="1"/>
        <v>1</v>
      </c>
      <c r="U133" s="14">
        <f t="shared" si="2"/>
        <v>0</v>
      </c>
      <c r="V133" s="15">
        <f t="shared" si="3"/>
        <v>1</v>
      </c>
    </row>
    <row r="134" ht="15.75" customHeight="1">
      <c r="A134" s="16" t="s">
        <v>390</v>
      </c>
      <c r="B134" s="8" t="s">
        <v>22</v>
      </c>
      <c r="C134" s="8" t="s">
        <v>391</v>
      </c>
      <c r="D134" s="8" t="s">
        <v>110</v>
      </c>
      <c r="E134" s="8" t="s">
        <v>111</v>
      </c>
      <c r="F134" s="8" t="s">
        <v>244</v>
      </c>
      <c r="G134" s="11">
        <v>6.0</v>
      </c>
      <c r="H134" s="12">
        <v>3.0</v>
      </c>
      <c r="I134" s="12">
        <v>6.0</v>
      </c>
      <c r="J134" s="12">
        <v>4.0</v>
      </c>
      <c r="K134" s="12"/>
      <c r="L134" s="12"/>
      <c r="M134" s="12"/>
      <c r="N134" s="12"/>
      <c r="O134" s="12"/>
      <c r="P134" s="13"/>
      <c r="Q134" s="8" t="s">
        <v>392</v>
      </c>
      <c r="R134" s="8" t="s">
        <v>51</v>
      </c>
      <c r="S134" s="8" t="s">
        <v>52</v>
      </c>
      <c r="T134" s="14">
        <f t="shared" si="1"/>
        <v>1</v>
      </c>
      <c r="U134" s="14">
        <f t="shared" si="2"/>
        <v>0</v>
      </c>
      <c r="V134" s="15">
        <f t="shared" si="3"/>
        <v>1</v>
      </c>
    </row>
    <row r="135" ht="15.75" customHeight="1">
      <c r="A135" s="7" t="s">
        <v>390</v>
      </c>
      <c r="B135" s="8" t="s">
        <v>30</v>
      </c>
      <c r="C135" s="9" t="s">
        <v>393</v>
      </c>
      <c r="D135" s="9" t="s">
        <v>51</v>
      </c>
      <c r="E135" s="9" t="s">
        <v>52</v>
      </c>
      <c r="F135" s="9" t="s">
        <v>394</v>
      </c>
      <c r="G135" s="11">
        <v>7.0</v>
      </c>
      <c r="H135" s="12">
        <v>5.0</v>
      </c>
      <c r="I135" s="12">
        <v>6.0</v>
      </c>
      <c r="J135" s="12">
        <v>3.0</v>
      </c>
      <c r="K135" s="12">
        <v>6.0</v>
      </c>
      <c r="L135" s="12">
        <v>4.0</v>
      </c>
      <c r="M135" s="12"/>
      <c r="N135" s="12"/>
      <c r="O135" s="12"/>
      <c r="P135" s="13"/>
      <c r="Q135" s="9" t="s">
        <v>336</v>
      </c>
      <c r="R135" s="9" t="s">
        <v>51</v>
      </c>
      <c r="S135" s="9" t="s">
        <v>52</v>
      </c>
      <c r="T135" s="14">
        <f t="shared" si="1"/>
        <v>2</v>
      </c>
      <c r="U135" s="14">
        <f t="shared" si="2"/>
        <v>0</v>
      </c>
      <c r="V135" s="15">
        <f t="shared" si="3"/>
        <v>1</v>
      </c>
    </row>
    <row r="136" ht="15.75" customHeight="1">
      <c r="A136" s="7" t="s">
        <v>395</v>
      </c>
      <c r="B136" s="8" t="s">
        <v>22</v>
      </c>
      <c r="C136" s="9" t="s">
        <v>396</v>
      </c>
      <c r="D136" s="9" t="s">
        <v>55</v>
      </c>
      <c r="E136" s="9" t="s">
        <v>56</v>
      </c>
      <c r="F136" s="9" t="s">
        <v>244</v>
      </c>
      <c r="G136" s="20">
        <v>6.0</v>
      </c>
      <c r="H136" s="21">
        <v>3.0</v>
      </c>
      <c r="I136" s="21">
        <v>6.0</v>
      </c>
      <c r="J136" s="21">
        <v>4.0</v>
      </c>
      <c r="K136" s="21"/>
      <c r="L136" s="21"/>
      <c r="M136" s="21"/>
      <c r="N136" s="21"/>
      <c r="O136" s="21"/>
      <c r="P136" s="22"/>
      <c r="Q136" s="9" t="s">
        <v>397</v>
      </c>
      <c r="R136" s="9" t="s">
        <v>55</v>
      </c>
      <c r="S136" s="9" t="s">
        <v>56</v>
      </c>
      <c r="T136" s="14">
        <f t="shared" si="1"/>
        <v>1</v>
      </c>
      <c r="U136" s="14">
        <f t="shared" si="2"/>
        <v>0</v>
      </c>
      <c r="V136" s="15">
        <f t="shared" si="3"/>
        <v>1</v>
      </c>
    </row>
    <row r="137" ht="15.75" customHeight="1">
      <c r="A137" s="16" t="s">
        <v>395</v>
      </c>
      <c r="B137" s="8" t="s">
        <v>30</v>
      </c>
      <c r="C137" s="8" t="s">
        <v>393</v>
      </c>
      <c r="D137" s="8" t="s">
        <v>51</v>
      </c>
      <c r="E137" s="8" t="s">
        <v>52</v>
      </c>
      <c r="F137" s="8" t="s">
        <v>398</v>
      </c>
      <c r="G137" s="20">
        <v>6.0</v>
      </c>
      <c r="H137" s="21">
        <v>3.0</v>
      </c>
      <c r="I137" s="21">
        <v>9.0</v>
      </c>
      <c r="J137" s="21">
        <v>11.0</v>
      </c>
      <c r="K137" s="21">
        <v>6.0</v>
      </c>
      <c r="L137" s="21">
        <v>4.0</v>
      </c>
      <c r="M137" s="21">
        <v>6.0</v>
      </c>
      <c r="N137" s="21">
        <v>2.0</v>
      </c>
      <c r="O137" s="21"/>
      <c r="P137" s="22"/>
      <c r="Q137" s="8" t="s">
        <v>384</v>
      </c>
      <c r="R137" s="8" t="s">
        <v>51</v>
      </c>
      <c r="S137" s="8" t="s">
        <v>52</v>
      </c>
      <c r="T137" s="14">
        <f t="shared" si="1"/>
        <v>2</v>
      </c>
      <c r="U137" s="14">
        <f t="shared" si="2"/>
        <v>0</v>
      </c>
      <c r="V137" s="15">
        <f t="shared" si="3"/>
        <v>1</v>
      </c>
    </row>
    <row r="138" ht="15.75" customHeight="1">
      <c r="A138" s="16" t="s">
        <v>399</v>
      </c>
      <c r="B138" s="8" t="s">
        <v>22</v>
      </c>
      <c r="C138" s="8" t="s">
        <v>386</v>
      </c>
      <c r="D138" s="8" t="s">
        <v>51</v>
      </c>
      <c r="E138" s="8" t="s">
        <v>52</v>
      </c>
      <c r="F138" s="8" t="s">
        <v>400</v>
      </c>
      <c r="G138" s="11">
        <v>3.0</v>
      </c>
      <c r="H138" s="12">
        <v>6.0</v>
      </c>
      <c r="I138" s="12">
        <v>6.0</v>
      </c>
      <c r="J138" s="12">
        <v>2.0</v>
      </c>
      <c r="K138" s="12">
        <v>9.0</v>
      </c>
      <c r="L138" s="12">
        <v>7.0</v>
      </c>
      <c r="M138" s="12"/>
      <c r="N138" s="12"/>
      <c r="O138" s="12"/>
      <c r="P138" s="13"/>
      <c r="Q138" s="8" t="s">
        <v>401</v>
      </c>
      <c r="R138" s="8" t="s">
        <v>51</v>
      </c>
      <c r="S138" s="8" t="s">
        <v>52</v>
      </c>
      <c r="T138" s="14">
        <f t="shared" si="1"/>
        <v>2</v>
      </c>
      <c r="U138" s="14">
        <f t="shared" si="2"/>
        <v>0</v>
      </c>
      <c r="V138" s="15">
        <f t="shared" si="3"/>
        <v>1</v>
      </c>
    </row>
    <row r="139" ht="15.75" customHeight="1">
      <c r="A139" s="7" t="s">
        <v>399</v>
      </c>
      <c r="B139" s="8" t="s">
        <v>30</v>
      </c>
      <c r="C139" s="9" t="s">
        <v>402</v>
      </c>
      <c r="D139" s="9" t="s">
        <v>51</v>
      </c>
      <c r="E139" s="9" t="s">
        <v>52</v>
      </c>
      <c r="F139" s="9" t="s">
        <v>403</v>
      </c>
      <c r="G139" s="11">
        <v>6.0</v>
      </c>
      <c r="H139" s="12">
        <v>4.0</v>
      </c>
      <c r="I139" s="12">
        <v>3.0</v>
      </c>
      <c r="J139" s="12">
        <v>6.0</v>
      </c>
      <c r="K139" s="12">
        <v>6.0</v>
      </c>
      <c r="L139" s="12">
        <v>4.0</v>
      </c>
      <c r="M139" s="12">
        <v>7.0</v>
      </c>
      <c r="N139" s="12">
        <v>5.0</v>
      </c>
      <c r="O139" s="12"/>
      <c r="P139" s="13"/>
      <c r="Q139" s="9" t="s">
        <v>334</v>
      </c>
      <c r="R139" s="9" t="s">
        <v>51</v>
      </c>
      <c r="S139" s="9" t="s">
        <v>52</v>
      </c>
      <c r="T139" s="14">
        <f t="shared" si="1"/>
        <v>1</v>
      </c>
      <c r="U139" s="14">
        <f t="shared" si="2"/>
        <v>1</v>
      </c>
      <c r="V139" s="15">
        <f t="shared" si="3"/>
        <v>0.5</v>
      </c>
    </row>
    <row r="140" ht="15.75" customHeight="1">
      <c r="A140" s="7" t="s">
        <v>404</v>
      </c>
      <c r="B140" s="8" t="s">
        <v>22</v>
      </c>
      <c r="C140" s="9" t="s">
        <v>405</v>
      </c>
      <c r="D140" s="9" t="s">
        <v>51</v>
      </c>
      <c r="E140" s="9" t="s">
        <v>52</v>
      </c>
      <c r="F140" s="9" t="s">
        <v>66</v>
      </c>
      <c r="G140" s="20">
        <v>6.0</v>
      </c>
      <c r="H140" s="21">
        <v>4.0</v>
      </c>
      <c r="I140" s="21">
        <v>6.0</v>
      </c>
      <c r="J140" s="21">
        <v>3.0</v>
      </c>
      <c r="K140" s="21"/>
      <c r="L140" s="21"/>
      <c r="M140" s="21"/>
      <c r="N140" s="21"/>
      <c r="O140" s="21"/>
      <c r="P140" s="22"/>
      <c r="Q140" s="9" t="s">
        <v>401</v>
      </c>
      <c r="R140" s="9" t="s">
        <v>51</v>
      </c>
      <c r="S140" s="9" t="s">
        <v>52</v>
      </c>
      <c r="T140" s="14">
        <f t="shared" si="1"/>
        <v>1</v>
      </c>
      <c r="U140" s="14">
        <f t="shared" si="2"/>
        <v>0</v>
      </c>
      <c r="V140" s="15">
        <f t="shared" si="3"/>
        <v>1</v>
      </c>
    </row>
    <row r="141" ht="15.75" customHeight="1">
      <c r="A141" s="16" t="s">
        <v>404</v>
      </c>
      <c r="B141" s="8" t="s">
        <v>30</v>
      </c>
      <c r="C141" s="8" t="s">
        <v>334</v>
      </c>
      <c r="D141" s="8" t="s">
        <v>51</v>
      </c>
      <c r="E141" s="8" t="s">
        <v>52</v>
      </c>
      <c r="F141" s="8" t="s">
        <v>406</v>
      </c>
      <c r="G141" s="20">
        <v>9.0</v>
      </c>
      <c r="H141" s="21">
        <v>7.0</v>
      </c>
      <c r="I141" s="21">
        <v>6.0</v>
      </c>
      <c r="J141" s="21">
        <v>4.0</v>
      </c>
      <c r="K141" s="21">
        <v>6.0</v>
      </c>
      <c r="L141" s="21">
        <v>4.0</v>
      </c>
      <c r="M141" s="21"/>
      <c r="N141" s="21"/>
      <c r="O141" s="21"/>
      <c r="P141" s="22"/>
      <c r="Q141" s="8" t="s">
        <v>402</v>
      </c>
      <c r="R141" s="8" t="s">
        <v>51</v>
      </c>
      <c r="S141" s="8" t="s">
        <v>52</v>
      </c>
      <c r="T141" s="14">
        <f t="shared" si="1"/>
        <v>4</v>
      </c>
      <c r="U141" s="14">
        <f t="shared" si="2"/>
        <v>1</v>
      </c>
      <c r="V141" s="15">
        <f t="shared" si="3"/>
        <v>0.8</v>
      </c>
    </row>
    <row r="142" ht="15.75" customHeight="1">
      <c r="A142" s="16" t="s">
        <v>407</v>
      </c>
      <c r="B142" s="8" t="s">
        <v>22</v>
      </c>
      <c r="C142" s="8" t="s">
        <v>401</v>
      </c>
      <c r="D142" s="8" t="s">
        <v>51</v>
      </c>
      <c r="E142" s="8" t="s">
        <v>52</v>
      </c>
      <c r="F142" s="8" t="s">
        <v>244</v>
      </c>
      <c r="G142" s="11">
        <v>6.0</v>
      </c>
      <c r="H142" s="12">
        <v>3.0</v>
      </c>
      <c r="I142" s="12">
        <v>6.0</v>
      </c>
      <c r="J142" s="12">
        <v>4.0</v>
      </c>
      <c r="K142" s="12"/>
      <c r="L142" s="12"/>
      <c r="M142" s="12"/>
      <c r="N142" s="12"/>
      <c r="O142" s="12"/>
      <c r="P142" s="13"/>
      <c r="Q142" s="8" t="s">
        <v>408</v>
      </c>
      <c r="R142" s="8" t="s">
        <v>51</v>
      </c>
      <c r="S142" s="8" t="s">
        <v>52</v>
      </c>
      <c r="T142" s="14">
        <f t="shared" si="1"/>
        <v>2</v>
      </c>
      <c r="U142" s="14">
        <f t="shared" si="2"/>
        <v>4</v>
      </c>
      <c r="V142" s="15">
        <f t="shared" si="3"/>
        <v>0.3333333333</v>
      </c>
    </row>
    <row r="143" ht="15.75" customHeight="1">
      <c r="A143" s="7" t="s">
        <v>407</v>
      </c>
      <c r="B143" s="8" t="s">
        <v>30</v>
      </c>
      <c r="C143" s="9" t="s">
        <v>409</v>
      </c>
      <c r="D143" s="9" t="s">
        <v>51</v>
      </c>
      <c r="E143" s="9" t="s">
        <v>52</v>
      </c>
      <c r="F143" s="9" t="s">
        <v>410</v>
      </c>
      <c r="G143" s="11">
        <v>6.0</v>
      </c>
      <c r="H143" s="12">
        <v>2.0</v>
      </c>
      <c r="I143" s="12">
        <v>0.0</v>
      </c>
      <c r="J143" s="12">
        <v>6.0</v>
      </c>
      <c r="K143" s="12">
        <v>6.0</v>
      </c>
      <c r="L143" s="12">
        <v>4.0</v>
      </c>
      <c r="M143" s="12">
        <v>6.0</v>
      </c>
      <c r="N143" s="12">
        <v>2.0</v>
      </c>
      <c r="O143" s="12"/>
      <c r="P143" s="13"/>
      <c r="Q143" s="9" t="s">
        <v>411</v>
      </c>
      <c r="R143" s="9" t="s">
        <v>51</v>
      </c>
      <c r="S143" s="9" t="s">
        <v>52</v>
      </c>
      <c r="T143" s="14">
        <f t="shared" si="1"/>
        <v>1</v>
      </c>
      <c r="U143" s="14">
        <f t="shared" si="2"/>
        <v>1</v>
      </c>
      <c r="V143" s="15">
        <f t="shared" si="3"/>
        <v>0.5</v>
      </c>
    </row>
    <row r="144" ht="15.75" customHeight="1">
      <c r="A144" s="7" t="s">
        <v>412</v>
      </c>
      <c r="B144" s="8" t="s">
        <v>22</v>
      </c>
      <c r="C144" s="9" t="s">
        <v>413</v>
      </c>
      <c r="D144" s="9" t="s">
        <v>55</v>
      </c>
      <c r="E144" s="9" t="s">
        <v>56</v>
      </c>
      <c r="F144" s="9" t="s">
        <v>218</v>
      </c>
      <c r="G144" s="20">
        <v>6.0</v>
      </c>
      <c r="H144" s="21">
        <v>3.0</v>
      </c>
      <c r="I144" s="21">
        <v>6.0</v>
      </c>
      <c r="J144" s="21">
        <v>2.0</v>
      </c>
      <c r="K144" s="21"/>
      <c r="L144" s="21"/>
      <c r="M144" s="21"/>
      <c r="N144" s="21"/>
      <c r="O144" s="21"/>
      <c r="P144" s="22"/>
      <c r="Q144" s="9" t="s">
        <v>414</v>
      </c>
      <c r="R144" s="9" t="s">
        <v>55</v>
      </c>
      <c r="S144" s="9" t="s">
        <v>56</v>
      </c>
      <c r="T144" s="14">
        <f t="shared" si="1"/>
        <v>1</v>
      </c>
      <c r="U144" s="14">
        <f t="shared" si="2"/>
        <v>0</v>
      </c>
      <c r="V144" s="15">
        <f t="shared" si="3"/>
        <v>1</v>
      </c>
    </row>
    <row r="145" ht="15.75" customHeight="1">
      <c r="A145" s="16" t="s">
        <v>412</v>
      </c>
      <c r="B145" s="8" t="s">
        <v>30</v>
      </c>
      <c r="C145" s="8" t="s">
        <v>334</v>
      </c>
      <c r="D145" s="8" t="s">
        <v>51</v>
      </c>
      <c r="E145" s="8" t="s">
        <v>52</v>
      </c>
      <c r="F145" s="8" t="s">
        <v>415</v>
      </c>
      <c r="G145" s="20">
        <v>6.0</v>
      </c>
      <c r="H145" s="21">
        <v>0.0</v>
      </c>
      <c r="I145" s="21">
        <v>6.0</v>
      </c>
      <c r="J145" s="21">
        <v>3.0</v>
      </c>
      <c r="K145" s="21">
        <v>6.0</v>
      </c>
      <c r="L145" s="21">
        <v>4.0</v>
      </c>
      <c r="M145" s="21"/>
      <c r="N145" s="21"/>
      <c r="O145" s="21"/>
      <c r="P145" s="22"/>
      <c r="Q145" s="8" t="s">
        <v>409</v>
      </c>
      <c r="R145" s="8" t="s">
        <v>51</v>
      </c>
      <c r="S145" s="8" t="s">
        <v>52</v>
      </c>
      <c r="T145" s="14">
        <f t="shared" si="1"/>
        <v>4</v>
      </c>
      <c r="U145" s="14">
        <f t="shared" si="2"/>
        <v>1</v>
      </c>
      <c r="V145" s="15">
        <f t="shared" si="3"/>
        <v>0.8</v>
      </c>
    </row>
    <row r="146" ht="15.75" customHeight="1">
      <c r="A146" s="16" t="s">
        <v>416</v>
      </c>
      <c r="B146" s="8" t="s">
        <v>22</v>
      </c>
      <c r="C146" s="8" t="s">
        <v>401</v>
      </c>
      <c r="D146" s="8" t="s">
        <v>51</v>
      </c>
      <c r="E146" s="8" t="s">
        <v>52</v>
      </c>
      <c r="F146" s="8" t="s">
        <v>195</v>
      </c>
      <c r="G146" s="11">
        <v>6.0</v>
      </c>
      <c r="H146" s="12">
        <v>2.0</v>
      </c>
      <c r="I146" s="12">
        <v>6.0</v>
      </c>
      <c r="J146" s="12">
        <v>3.0</v>
      </c>
      <c r="K146" s="12"/>
      <c r="L146" s="12"/>
      <c r="M146" s="12"/>
      <c r="N146" s="12"/>
      <c r="O146" s="12"/>
      <c r="P146" s="13"/>
      <c r="Q146" s="8" t="s">
        <v>417</v>
      </c>
      <c r="R146" s="8" t="s">
        <v>51</v>
      </c>
      <c r="S146" s="8" t="s">
        <v>52</v>
      </c>
      <c r="T146" s="14">
        <f t="shared" si="1"/>
        <v>2</v>
      </c>
      <c r="U146" s="14">
        <f t="shared" si="2"/>
        <v>4</v>
      </c>
      <c r="V146" s="15">
        <f t="shared" si="3"/>
        <v>0.3333333333</v>
      </c>
    </row>
    <row r="147" ht="15.75" customHeight="1">
      <c r="A147" s="7" t="s">
        <v>416</v>
      </c>
      <c r="B147" s="8" t="s">
        <v>30</v>
      </c>
      <c r="C147" s="9" t="s">
        <v>418</v>
      </c>
      <c r="D147" s="9" t="s">
        <v>51</v>
      </c>
      <c r="E147" s="9" t="s">
        <v>52</v>
      </c>
      <c r="F147" s="9" t="s">
        <v>419</v>
      </c>
      <c r="G147" s="11">
        <v>7.0</v>
      </c>
      <c r="H147" s="12">
        <v>5.0</v>
      </c>
      <c r="I147" s="12">
        <v>12.0</v>
      </c>
      <c r="J147" s="12">
        <v>10.0</v>
      </c>
      <c r="K147" s="12">
        <v>2.0</v>
      </c>
      <c r="L147" s="12">
        <v>6.0</v>
      </c>
      <c r="M147" s="12">
        <v>6.0</v>
      </c>
      <c r="N147" s="12">
        <v>2.0</v>
      </c>
      <c r="O147" s="12"/>
      <c r="P147" s="13"/>
      <c r="Q147" s="9" t="s">
        <v>420</v>
      </c>
      <c r="R147" s="9" t="s">
        <v>51</v>
      </c>
      <c r="S147" s="9" t="s">
        <v>52</v>
      </c>
      <c r="T147" s="14">
        <f t="shared" si="1"/>
        <v>1</v>
      </c>
      <c r="U147" s="14">
        <f t="shared" si="2"/>
        <v>2</v>
      </c>
      <c r="V147" s="15">
        <f t="shared" si="3"/>
        <v>0.3333333333</v>
      </c>
    </row>
    <row r="148" ht="15.75" customHeight="1">
      <c r="A148" s="7" t="s">
        <v>421</v>
      </c>
      <c r="B148" s="8" t="s">
        <v>22</v>
      </c>
      <c r="C148" s="9" t="s">
        <v>422</v>
      </c>
      <c r="D148" s="9" t="s">
        <v>51</v>
      </c>
      <c r="E148" s="9" t="s">
        <v>52</v>
      </c>
      <c r="F148" s="9" t="s">
        <v>191</v>
      </c>
      <c r="G148" s="20">
        <v>6.0</v>
      </c>
      <c r="H148" s="21">
        <v>1.0</v>
      </c>
      <c r="I148" s="21">
        <v>7.0</v>
      </c>
      <c r="J148" s="21">
        <v>5.0</v>
      </c>
      <c r="K148" s="21"/>
      <c r="L148" s="21"/>
      <c r="M148" s="21"/>
      <c r="N148" s="21"/>
      <c r="O148" s="21"/>
      <c r="P148" s="22"/>
      <c r="Q148" s="9" t="s">
        <v>401</v>
      </c>
      <c r="R148" s="9" t="s">
        <v>51</v>
      </c>
      <c r="S148" s="9" t="s">
        <v>52</v>
      </c>
      <c r="T148" s="14">
        <f t="shared" si="1"/>
        <v>6</v>
      </c>
      <c r="U148" s="14">
        <f t="shared" si="2"/>
        <v>2</v>
      </c>
      <c r="V148" s="15">
        <f t="shared" si="3"/>
        <v>0.75</v>
      </c>
    </row>
    <row r="149" ht="15.75" customHeight="1">
      <c r="A149" s="16" t="s">
        <v>421</v>
      </c>
      <c r="B149" s="8" t="s">
        <v>30</v>
      </c>
      <c r="C149" s="8" t="s">
        <v>423</v>
      </c>
      <c r="D149" s="8" t="s">
        <v>55</v>
      </c>
      <c r="E149" s="23" t="s">
        <v>56</v>
      </c>
      <c r="F149" s="8" t="s">
        <v>424</v>
      </c>
      <c r="G149" s="20">
        <v>6.0</v>
      </c>
      <c r="H149" s="21">
        <v>3.0</v>
      </c>
      <c r="I149" s="21">
        <v>2.0</v>
      </c>
      <c r="J149" s="21">
        <v>6.0</v>
      </c>
      <c r="K149" s="21">
        <v>6.0</v>
      </c>
      <c r="L149" s="21">
        <v>3.0</v>
      </c>
      <c r="M149" s="21">
        <v>6.0</v>
      </c>
      <c r="N149" s="21">
        <v>1.0</v>
      </c>
      <c r="O149" s="21"/>
      <c r="P149" s="22"/>
      <c r="Q149" s="8" t="s">
        <v>418</v>
      </c>
      <c r="R149" s="8" t="s">
        <v>51</v>
      </c>
      <c r="S149" s="8" t="s">
        <v>52</v>
      </c>
      <c r="T149" s="14">
        <f t="shared" si="1"/>
        <v>1</v>
      </c>
      <c r="U149" s="14">
        <f t="shared" si="2"/>
        <v>0</v>
      </c>
      <c r="V149" s="15">
        <f t="shared" si="3"/>
        <v>1</v>
      </c>
    </row>
    <row r="150" ht="15.75" customHeight="1">
      <c r="A150" s="16" t="s">
        <v>425</v>
      </c>
      <c r="B150" s="8" t="s">
        <v>22</v>
      </c>
      <c r="C150" s="8" t="s">
        <v>426</v>
      </c>
      <c r="D150" s="8" t="s">
        <v>55</v>
      </c>
      <c r="E150" s="23" t="s">
        <v>56</v>
      </c>
      <c r="F150" s="8" t="s">
        <v>107</v>
      </c>
      <c r="G150" s="11">
        <v>6.0</v>
      </c>
      <c r="H150" s="12">
        <v>4.0</v>
      </c>
      <c r="I150" s="12">
        <v>3.0</v>
      </c>
      <c r="J150" s="12">
        <v>6.0</v>
      </c>
      <c r="K150" s="12">
        <v>6.0</v>
      </c>
      <c r="L150" s="12">
        <v>4.0</v>
      </c>
      <c r="M150" s="12"/>
      <c r="N150" s="12"/>
      <c r="O150" s="12"/>
      <c r="P150" s="13"/>
      <c r="Q150" s="8" t="s">
        <v>427</v>
      </c>
      <c r="R150" s="8" t="s">
        <v>55</v>
      </c>
      <c r="S150" s="8" t="s">
        <v>56</v>
      </c>
      <c r="T150" s="14">
        <f t="shared" si="1"/>
        <v>1</v>
      </c>
      <c r="U150" s="14">
        <f t="shared" si="2"/>
        <v>0</v>
      </c>
      <c r="V150" s="15">
        <f t="shared" si="3"/>
        <v>1</v>
      </c>
    </row>
    <row r="151" ht="15.75" customHeight="1">
      <c r="A151" s="7" t="s">
        <v>425</v>
      </c>
      <c r="B151" s="8" t="s">
        <v>30</v>
      </c>
      <c r="C151" s="9" t="s">
        <v>420</v>
      </c>
      <c r="D151" s="9" t="s">
        <v>51</v>
      </c>
      <c r="E151" s="9" t="s">
        <v>52</v>
      </c>
      <c r="F151" s="9" t="s">
        <v>428</v>
      </c>
      <c r="G151" s="11">
        <v>6.0</v>
      </c>
      <c r="H151" s="12">
        <v>3.0</v>
      </c>
      <c r="I151" s="12">
        <v>6.0</v>
      </c>
      <c r="J151" s="12">
        <v>4.0</v>
      </c>
      <c r="K151" s="12">
        <v>4.0</v>
      </c>
      <c r="L151" s="12">
        <v>6.0</v>
      </c>
      <c r="M151" s="12">
        <v>6.0</v>
      </c>
      <c r="N151" s="12">
        <v>1.0</v>
      </c>
      <c r="O151" s="12"/>
      <c r="P151" s="13"/>
      <c r="Q151" s="9" t="s">
        <v>418</v>
      </c>
      <c r="R151" s="9" t="s">
        <v>51</v>
      </c>
      <c r="S151" s="9" t="s">
        <v>52</v>
      </c>
      <c r="T151" s="14">
        <f t="shared" si="1"/>
        <v>2</v>
      </c>
      <c r="U151" s="14">
        <f t="shared" si="2"/>
        <v>1</v>
      </c>
      <c r="V151" s="15">
        <f t="shared" si="3"/>
        <v>0.6666666667</v>
      </c>
    </row>
    <row r="152" ht="15.75" customHeight="1">
      <c r="A152" s="7" t="s">
        <v>429</v>
      </c>
      <c r="B152" s="8" t="s">
        <v>22</v>
      </c>
      <c r="C152" s="9" t="s">
        <v>427</v>
      </c>
      <c r="D152" s="9" t="s">
        <v>55</v>
      </c>
      <c r="E152" s="9" t="s">
        <v>56</v>
      </c>
      <c r="F152" s="9" t="s">
        <v>244</v>
      </c>
      <c r="G152" s="20">
        <v>6.0</v>
      </c>
      <c r="H152" s="21">
        <v>3.0</v>
      </c>
      <c r="I152" s="21">
        <v>6.0</v>
      </c>
      <c r="J152" s="21">
        <v>4.0</v>
      </c>
      <c r="K152" s="21"/>
      <c r="L152" s="21"/>
      <c r="M152" s="21"/>
      <c r="N152" s="21"/>
      <c r="O152" s="21"/>
      <c r="P152" s="22"/>
      <c r="Q152" s="9" t="s">
        <v>422</v>
      </c>
      <c r="R152" s="9" t="s">
        <v>51</v>
      </c>
      <c r="S152" s="9" t="s">
        <v>52</v>
      </c>
      <c r="T152" s="14">
        <f t="shared" si="1"/>
        <v>1</v>
      </c>
      <c r="U152" s="14">
        <f t="shared" si="2"/>
        <v>1</v>
      </c>
      <c r="V152" s="15">
        <f t="shared" si="3"/>
        <v>0.5</v>
      </c>
    </row>
    <row r="153" ht="15.75" customHeight="1">
      <c r="A153" s="16" t="s">
        <v>429</v>
      </c>
      <c r="B153" s="8" t="s">
        <v>30</v>
      </c>
      <c r="C153" s="8" t="s">
        <v>420</v>
      </c>
      <c r="D153" s="8" t="s">
        <v>51</v>
      </c>
      <c r="E153" s="8" t="s">
        <v>52</v>
      </c>
      <c r="F153" s="8" t="s">
        <v>430</v>
      </c>
      <c r="G153" s="20">
        <v>6.0</v>
      </c>
      <c r="H153" s="21">
        <v>3.0</v>
      </c>
      <c r="I153" s="21">
        <v>6.0</v>
      </c>
      <c r="J153" s="21">
        <v>2.0</v>
      </c>
      <c r="K153" s="21">
        <v>6.0</v>
      </c>
      <c r="L153" s="21">
        <v>2.0</v>
      </c>
      <c r="M153" s="21"/>
      <c r="N153" s="21"/>
      <c r="O153" s="21"/>
      <c r="P153" s="22"/>
      <c r="Q153" s="8" t="s">
        <v>431</v>
      </c>
      <c r="R153" s="8" t="s">
        <v>51</v>
      </c>
      <c r="S153" s="8" t="s">
        <v>52</v>
      </c>
      <c r="T153" s="14">
        <f t="shared" si="1"/>
        <v>2</v>
      </c>
      <c r="U153" s="14">
        <f t="shared" si="2"/>
        <v>1</v>
      </c>
      <c r="V153" s="15">
        <f t="shared" si="3"/>
        <v>0.6666666667</v>
      </c>
    </row>
    <row r="154" ht="15.75" customHeight="1">
      <c r="A154" s="16" t="s">
        <v>432</v>
      </c>
      <c r="B154" s="8" t="s">
        <v>22</v>
      </c>
      <c r="C154" s="8" t="s">
        <v>422</v>
      </c>
      <c r="D154" s="8" t="s">
        <v>51</v>
      </c>
      <c r="E154" s="8" t="s">
        <v>52</v>
      </c>
      <c r="F154" s="8" t="s">
        <v>433</v>
      </c>
      <c r="G154" s="11">
        <v>6.0</v>
      </c>
      <c r="H154" s="12">
        <v>3.0</v>
      </c>
      <c r="I154" s="12">
        <v>6.0</v>
      </c>
      <c r="J154" s="12">
        <v>1.0</v>
      </c>
      <c r="K154" s="12"/>
      <c r="L154" s="12"/>
      <c r="M154" s="12"/>
      <c r="N154" s="12"/>
      <c r="O154" s="12"/>
      <c r="P154" s="13"/>
      <c r="Q154" s="8" t="s">
        <v>434</v>
      </c>
      <c r="R154" s="8" t="s">
        <v>51</v>
      </c>
      <c r="S154" s="8" t="s">
        <v>52</v>
      </c>
      <c r="T154" s="14">
        <f t="shared" si="1"/>
        <v>6</v>
      </c>
      <c r="U154" s="14">
        <f t="shared" si="2"/>
        <v>2</v>
      </c>
      <c r="V154" s="15">
        <f t="shared" si="3"/>
        <v>0.75</v>
      </c>
    </row>
    <row r="155" ht="15.75" customHeight="1">
      <c r="A155" s="7" t="s">
        <v>432</v>
      </c>
      <c r="B155" s="8" t="s">
        <v>30</v>
      </c>
      <c r="C155" s="9" t="s">
        <v>435</v>
      </c>
      <c r="D155" s="9" t="s">
        <v>51</v>
      </c>
      <c r="E155" s="9" t="s">
        <v>52</v>
      </c>
      <c r="F155" s="9" t="s">
        <v>436</v>
      </c>
      <c r="G155" s="11">
        <v>6.0</v>
      </c>
      <c r="H155" s="12">
        <v>4.0</v>
      </c>
      <c r="I155" s="12">
        <v>3.0</v>
      </c>
      <c r="J155" s="12">
        <v>6.0</v>
      </c>
      <c r="K155" s="12">
        <v>6.0</v>
      </c>
      <c r="L155" s="12">
        <v>3.0</v>
      </c>
      <c r="M155" s="12">
        <v>2.0</v>
      </c>
      <c r="N155" s="12">
        <v>6.0</v>
      </c>
      <c r="O155" s="12">
        <v>6.0</v>
      </c>
      <c r="P155" s="13">
        <v>3.0</v>
      </c>
      <c r="Q155" s="9" t="s">
        <v>431</v>
      </c>
      <c r="R155" s="9" t="s">
        <v>51</v>
      </c>
      <c r="S155" s="9" t="s">
        <v>52</v>
      </c>
      <c r="T155" s="14">
        <f t="shared" si="1"/>
        <v>3</v>
      </c>
      <c r="U155" s="14">
        <f t="shared" si="2"/>
        <v>1</v>
      </c>
      <c r="V155" s="15">
        <f t="shared" si="3"/>
        <v>0.75</v>
      </c>
    </row>
    <row r="156" ht="15.75" customHeight="1">
      <c r="A156" s="7" t="s">
        <v>437</v>
      </c>
      <c r="B156" s="8" t="s">
        <v>22</v>
      </c>
      <c r="C156" s="9" t="s">
        <v>422</v>
      </c>
      <c r="D156" s="9" t="s">
        <v>51</v>
      </c>
      <c r="E156" s="9" t="s">
        <v>52</v>
      </c>
      <c r="F156" s="9" t="s">
        <v>218</v>
      </c>
      <c r="G156" s="20">
        <v>6.0</v>
      </c>
      <c r="H156" s="21">
        <v>3.0</v>
      </c>
      <c r="I156" s="21">
        <v>6.0</v>
      </c>
      <c r="J156" s="21">
        <v>2.0</v>
      </c>
      <c r="K156" s="21"/>
      <c r="L156" s="21"/>
      <c r="M156" s="21"/>
      <c r="N156" s="21"/>
      <c r="O156" s="21"/>
      <c r="P156" s="22"/>
      <c r="Q156" s="9" t="s">
        <v>438</v>
      </c>
      <c r="R156" s="9" t="s">
        <v>51</v>
      </c>
      <c r="S156" s="9" t="s">
        <v>52</v>
      </c>
      <c r="T156" s="14">
        <f t="shared" si="1"/>
        <v>6</v>
      </c>
      <c r="U156" s="14">
        <f t="shared" si="2"/>
        <v>2</v>
      </c>
      <c r="V156" s="15">
        <f t="shared" si="3"/>
        <v>0.75</v>
      </c>
    </row>
    <row r="157" ht="15.75" customHeight="1">
      <c r="A157" s="16" t="s">
        <v>437</v>
      </c>
      <c r="B157" s="8" t="s">
        <v>30</v>
      </c>
      <c r="C157" s="8" t="s">
        <v>439</v>
      </c>
      <c r="D157" s="8" t="s">
        <v>51</v>
      </c>
      <c r="E157" s="8" t="s">
        <v>52</v>
      </c>
      <c r="F157" s="8" t="s">
        <v>440</v>
      </c>
      <c r="G157" s="20">
        <v>4.0</v>
      </c>
      <c r="H157" s="21">
        <v>6.0</v>
      </c>
      <c r="I157" s="21">
        <v>6.0</v>
      </c>
      <c r="J157" s="21">
        <v>4.0</v>
      </c>
      <c r="K157" s="21">
        <v>3.0</v>
      </c>
      <c r="L157" s="21">
        <v>6.0</v>
      </c>
      <c r="M157" s="21">
        <v>7.0</v>
      </c>
      <c r="N157" s="21">
        <v>5.0</v>
      </c>
      <c r="O157" s="21">
        <v>8.0</v>
      </c>
      <c r="P157" s="22">
        <v>6.0</v>
      </c>
      <c r="Q157" s="8" t="s">
        <v>431</v>
      </c>
      <c r="R157" s="8" t="s">
        <v>51</v>
      </c>
      <c r="S157" s="8" t="s">
        <v>52</v>
      </c>
      <c r="T157" s="14">
        <f t="shared" si="1"/>
        <v>1</v>
      </c>
      <c r="U157" s="14">
        <f t="shared" si="2"/>
        <v>1</v>
      </c>
      <c r="V157" s="15">
        <f t="shared" si="3"/>
        <v>0.5</v>
      </c>
    </row>
    <row r="158" ht="15.75" customHeight="1">
      <c r="A158" s="16" t="s">
        <v>441</v>
      </c>
      <c r="B158" s="8" t="s">
        <v>22</v>
      </c>
      <c r="C158" s="8" t="s">
        <v>422</v>
      </c>
      <c r="D158" s="8" t="s">
        <v>51</v>
      </c>
      <c r="E158" s="8" t="s">
        <v>52</v>
      </c>
      <c r="F158" s="8" t="s">
        <v>100</v>
      </c>
      <c r="G158" s="11">
        <v>6.0</v>
      </c>
      <c r="H158" s="12">
        <v>4.0</v>
      </c>
      <c r="I158" s="12">
        <v>6.0</v>
      </c>
      <c r="J158" s="12">
        <v>4.0</v>
      </c>
      <c r="K158" s="12"/>
      <c r="L158" s="12"/>
      <c r="M158" s="12"/>
      <c r="N158" s="12"/>
      <c r="O158" s="12"/>
      <c r="P158" s="13"/>
      <c r="Q158" s="8" t="s">
        <v>442</v>
      </c>
      <c r="R158" s="8" t="s">
        <v>51</v>
      </c>
      <c r="S158" s="8" t="s">
        <v>52</v>
      </c>
      <c r="T158" s="14">
        <f t="shared" si="1"/>
        <v>6</v>
      </c>
      <c r="U158" s="14">
        <f t="shared" si="2"/>
        <v>2</v>
      </c>
      <c r="V158" s="15">
        <f t="shared" si="3"/>
        <v>0.75</v>
      </c>
    </row>
    <row r="159" ht="15.75" customHeight="1">
      <c r="A159" s="7" t="s">
        <v>441</v>
      </c>
      <c r="B159" s="8" t="s">
        <v>30</v>
      </c>
      <c r="C159" s="9" t="s">
        <v>431</v>
      </c>
      <c r="D159" s="9" t="s">
        <v>51</v>
      </c>
      <c r="E159" s="9" t="s">
        <v>52</v>
      </c>
      <c r="F159" s="9" t="s">
        <v>443</v>
      </c>
      <c r="G159" s="11">
        <v>5.0</v>
      </c>
      <c r="H159" s="12">
        <v>7.0</v>
      </c>
      <c r="I159" s="12">
        <v>6.0</v>
      </c>
      <c r="J159" s="12">
        <v>3.0</v>
      </c>
      <c r="K159" s="12">
        <v>7.0</v>
      </c>
      <c r="L159" s="12">
        <v>5.0</v>
      </c>
      <c r="M159" s="12">
        <v>3.0</v>
      </c>
      <c r="N159" s="12">
        <v>6.0</v>
      </c>
      <c r="O159" s="12">
        <v>6.0</v>
      </c>
      <c r="P159" s="13">
        <v>2.0</v>
      </c>
      <c r="Q159" s="9" t="s">
        <v>439</v>
      </c>
      <c r="R159" s="9" t="s">
        <v>51</v>
      </c>
      <c r="S159" s="9" t="s">
        <v>52</v>
      </c>
      <c r="T159" s="14">
        <f t="shared" si="1"/>
        <v>2</v>
      </c>
      <c r="U159" s="14">
        <f t="shared" si="2"/>
        <v>5</v>
      </c>
      <c r="V159" s="15">
        <f t="shared" si="3"/>
        <v>0.2857142857</v>
      </c>
    </row>
    <row r="160" ht="15.75" customHeight="1">
      <c r="A160" s="16" t="s">
        <v>444</v>
      </c>
      <c r="B160" s="8" t="s">
        <v>22</v>
      </c>
      <c r="C160" s="8" t="s">
        <v>422</v>
      </c>
      <c r="D160" s="8" t="s">
        <v>51</v>
      </c>
      <c r="E160" s="8" t="s">
        <v>52</v>
      </c>
      <c r="F160" s="8" t="s">
        <v>445</v>
      </c>
      <c r="G160" s="20">
        <v>5.0</v>
      </c>
      <c r="H160" s="21">
        <v>7.0</v>
      </c>
      <c r="I160" s="21">
        <v>6.0</v>
      </c>
      <c r="J160" s="21">
        <v>4.0</v>
      </c>
      <c r="K160" s="21">
        <v>6.0</v>
      </c>
      <c r="L160" s="21">
        <v>0.0</v>
      </c>
      <c r="M160" s="21"/>
      <c r="N160" s="21"/>
      <c r="O160" s="21"/>
      <c r="P160" s="22"/>
      <c r="Q160" s="8" t="s">
        <v>401</v>
      </c>
      <c r="R160" s="8" t="s">
        <v>51</v>
      </c>
      <c r="S160" s="8" t="s">
        <v>52</v>
      </c>
      <c r="T160" s="14">
        <f t="shared" si="1"/>
        <v>6</v>
      </c>
      <c r="U160" s="14">
        <f t="shared" si="2"/>
        <v>2</v>
      </c>
      <c r="V160" s="15">
        <f t="shared" si="3"/>
        <v>0.75</v>
      </c>
    </row>
    <row r="161" ht="15.75" customHeight="1">
      <c r="A161" s="16" t="s">
        <v>444</v>
      </c>
      <c r="B161" s="8" t="s">
        <v>30</v>
      </c>
      <c r="C161" s="8" t="s">
        <v>435</v>
      </c>
      <c r="D161" s="8" t="s">
        <v>51</v>
      </c>
      <c r="E161" s="8" t="s">
        <v>52</v>
      </c>
      <c r="F161" s="8" t="s">
        <v>446</v>
      </c>
      <c r="G161" s="20">
        <v>6.0</v>
      </c>
      <c r="H161" s="21">
        <v>3.0</v>
      </c>
      <c r="I161" s="21">
        <v>6.0</v>
      </c>
      <c r="J161" s="21">
        <v>1.0</v>
      </c>
      <c r="K161" s="21">
        <v>6.0</v>
      </c>
      <c r="L161" s="21">
        <v>2.0</v>
      </c>
      <c r="M161" s="21"/>
      <c r="N161" s="21"/>
      <c r="O161" s="21"/>
      <c r="P161" s="22"/>
      <c r="Q161" s="8" t="s">
        <v>447</v>
      </c>
      <c r="R161" s="8" t="s">
        <v>51</v>
      </c>
      <c r="S161" s="8" t="s">
        <v>52</v>
      </c>
      <c r="T161" s="14">
        <f t="shared" si="1"/>
        <v>3</v>
      </c>
      <c r="U161" s="14">
        <f t="shared" si="2"/>
        <v>1</v>
      </c>
      <c r="V161" s="15">
        <f t="shared" si="3"/>
        <v>0.75</v>
      </c>
    </row>
    <row r="162" ht="15.75" customHeight="1">
      <c r="A162" s="7" t="s">
        <v>448</v>
      </c>
      <c r="B162" s="8" t="s">
        <v>22</v>
      </c>
      <c r="C162" s="9" t="s">
        <v>449</v>
      </c>
      <c r="D162" s="9" t="s">
        <v>51</v>
      </c>
      <c r="E162" s="9" t="s">
        <v>52</v>
      </c>
      <c r="F162" s="9" t="s">
        <v>153</v>
      </c>
      <c r="G162" s="11">
        <v>6.0</v>
      </c>
      <c r="H162" s="12">
        <v>1.0</v>
      </c>
      <c r="I162" s="12">
        <v>6.0</v>
      </c>
      <c r="J162" s="12">
        <v>2.0</v>
      </c>
      <c r="K162" s="12"/>
      <c r="L162" s="12"/>
      <c r="M162" s="12"/>
      <c r="N162" s="12"/>
      <c r="O162" s="12"/>
      <c r="P162" s="13"/>
      <c r="Q162" s="9" t="s">
        <v>438</v>
      </c>
      <c r="R162" s="9" t="s">
        <v>51</v>
      </c>
      <c r="S162" s="9" t="s">
        <v>52</v>
      </c>
      <c r="T162" s="14">
        <f t="shared" si="1"/>
        <v>1</v>
      </c>
      <c r="U162" s="14">
        <f t="shared" si="2"/>
        <v>1</v>
      </c>
      <c r="V162" s="15">
        <f t="shared" si="3"/>
        <v>0.5</v>
      </c>
    </row>
    <row r="163" ht="15.75" customHeight="1">
      <c r="A163" s="7" t="s">
        <v>448</v>
      </c>
      <c r="B163" s="8" t="s">
        <v>30</v>
      </c>
      <c r="C163" s="9" t="s">
        <v>431</v>
      </c>
      <c r="D163" s="9" t="s">
        <v>51</v>
      </c>
      <c r="E163" s="9" t="s">
        <v>52</v>
      </c>
      <c r="F163" s="9" t="s">
        <v>450</v>
      </c>
      <c r="G163" s="11">
        <v>6.0</v>
      </c>
      <c r="H163" s="12">
        <v>4.0</v>
      </c>
      <c r="I163" s="12">
        <v>6.0</v>
      </c>
      <c r="J163" s="12">
        <v>1.0</v>
      </c>
      <c r="K163" s="12">
        <v>6.0</v>
      </c>
      <c r="L163" s="12">
        <v>3.0</v>
      </c>
      <c r="M163" s="12"/>
      <c r="N163" s="12"/>
      <c r="O163" s="12"/>
      <c r="P163" s="13"/>
      <c r="Q163" s="9" t="s">
        <v>435</v>
      </c>
      <c r="R163" s="9" t="s">
        <v>51</v>
      </c>
      <c r="S163" s="9" t="s">
        <v>52</v>
      </c>
      <c r="T163" s="14">
        <f t="shared" si="1"/>
        <v>2</v>
      </c>
      <c r="U163" s="14">
        <f t="shared" si="2"/>
        <v>5</v>
      </c>
      <c r="V163" s="15">
        <f t="shared" si="3"/>
        <v>0.2857142857</v>
      </c>
    </row>
    <row r="164" ht="15.75" customHeight="1">
      <c r="A164" s="16" t="s">
        <v>451</v>
      </c>
      <c r="B164" s="8" t="s">
        <v>22</v>
      </c>
      <c r="C164" s="8" t="s">
        <v>452</v>
      </c>
      <c r="D164" s="8" t="s">
        <v>55</v>
      </c>
      <c r="E164" s="23" t="s">
        <v>56</v>
      </c>
      <c r="F164" s="8" t="s">
        <v>218</v>
      </c>
      <c r="G164" s="20">
        <v>6.0</v>
      </c>
      <c r="H164" s="21">
        <v>3.0</v>
      </c>
      <c r="I164" s="21">
        <v>6.0</v>
      </c>
      <c r="J164" s="21">
        <v>2.0</v>
      </c>
      <c r="K164" s="21"/>
      <c r="L164" s="21"/>
      <c r="M164" s="21"/>
      <c r="N164" s="21"/>
      <c r="O164" s="21"/>
      <c r="P164" s="22"/>
      <c r="Q164" s="8" t="s">
        <v>453</v>
      </c>
      <c r="R164" s="8" t="s">
        <v>51</v>
      </c>
      <c r="S164" s="8" t="s">
        <v>52</v>
      </c>
      <c r="T164" s="14">
        <f t="shared" si="1"/>
        <v>1</v>
      </c>
      <c r="U164" s="14">
        <f t="shared" si="2"/>
        <v>0</v>
      </c>
      <c r="V164" s="15">
        <f t="shared" si="3"/>
        <v>1</v>
      </c>
    </row>
    <row r="165" ht="15.75" customHeight="1">
      <c r="A165" s="16" t="s">
        <v>451</v>
      </c>
      <c r="B165" s="8" t="s">
        <v>30</v>
      </c>
      <c r="C165" s="8" t="s">
        <v>454</v>
      </c>
      <c r="D165" s="8" t="s">
        <v>55</v>
      </c>
      <c r="E165" s="23" t="s">
        <v>56</v>
      </c>
      <c r="F165" s="8" t="s">
        <v>455</v>
      </c>
      <c r="G165" s="20">
        <v>6.0</v>
      </c>
      <c r="H165" s="21">
        <v>4.0</v>
      </c>
      <c r="I165" s="21">
        <v>6.0</v>
      </c>
      <c r="J165" s="21">
        <v>2.0</v>
      </c>
      <c r="K165" s="21">
        <v>6.0</v>
      </c>
      <c r="L165" s="21">
        <v>1.0</v>
      </c>
      <c r="M165" s="21"/>
      <c r="N165" s="21"/>
      <c r="O165" s="21"/>
      <c r="P165" s="22"/>
      <c r="Q165" s="8" t="s">
        <v>431</v>
      </c>
      <c r="R165" s="8" t="s">
        <v>51</v>
      </c>
      <c r="S165" s="8" t="s">
        <v>52</v>
      </c>
      <c r="T165" s="14">
        <f t="shared" si="1"/>
        <v>1</v>
      </c>
      <c r="U165" s="14">
        <f t="shared" si="2"/>
        <v>0</v>
      </c>
      <c r="V165" s="15">
        <f t="shared" si="3"/>
        <v>1</v>
      </c>
    </row>
    <row r="166" ht="15.75" customHeight="1">
      <c r="A166" s="7" t="s">
        <v>456</v>
      </c>
      <c r="B166" s="8" t="s">
        <v>22</v>
      </c>
      <c r="C166" s="9" t="s">
        <v>422</v>
      </c>
      <c r="D166" s="9" t="s">
        <v>51</v>
      </c>
      <c r="E166" s="9" t="s">
        <v>52</v>
      </c>
      <c r="F166" s="9" t="s">
        <v>457</v>
      </c>
      <c r="G166" s="11">
        <v>6.0</v>
      </c>
      <c r="H166" s="12">
        <v>3.0</v>
      </c>
      <c r="I166" s="12">
        <v>5.0</v>
      </c>
      <c r="J166" s="12">
        <v>7.0</v>
      </c>
      <c r="K166" s="12">
        <v>6.0</v>
      </c>
      <c r="L166" s="12">
        <v>4.0</v>
      </c>
      <c r="M166" s="12"/>
      <c r="N166" s="12"/>
      <c r="O166" s="12"/>
      <c r="P166" s="13"/>
      <c r="Q166" s="9" t="s">
        <v>449</v>
      </c>
      <c r="R166" s="9" t="s">
        <v>51</v>
      </c>
      <c r="S166" s="9" t="s">
        <v>52</v>
      </c>
      <c r="T166" s="14">
        <f t="shared" si="1"/>
        <v>6</v>
      </c>
      <c r="U166" s="14">
        <f t="shared" si="2"/>
        <v>2</v>
      </c>
      <c r="V166" s="15">
        <f t="shared" si="3"/>
        <v>0.75</v>
      </c>
    </row>
    <row r="167" ht="15.75" customHeight="1">
      <c r="A167" s="7" t="s">
        <v>456</v>
      </c>
      <c r="B167" s="8" t="s">
        <v>30</v>
      </c>
      <c r="C167" s="9" t="s">
        <v>458</v>
      </c>
      <c r="D167" s="9" t="s">
        <v>51</v>
      </c>
      <c r="E167" s="9" t="s">
        <v>52</v>
      </c>
      <c r="F167" s="9" t="s">
        <v>459</v>
      </c>
      <c r="G167" s="11">
        <v>6.0</v>
      </c>
      <c r="H167" s="12">
        <v>3.0</v>
      </c>
      <c r="I167" s="12">
        <v>1.0</v>
      </c>
      <c r="J167" s="12">
        <v>6.0</v>
      </c>
      <c r="K167" s="12">
        <v>6.0</v>
      </c>
      <c r="L167" s="12">
        <v>0.0</v>
      </c>
      <c r="M167" s="12">
        <v>2.0</v>
      </c>
      <c r="N167" s="12">
        <v>6.0</v>
      </c>
      <c r="O167" s="12">
        <v>6.0</v>
      </c>
      <c r="P167" s="13">
        <v>1.0</v>
      </c>
      <c r="Q167" s="9" t="s">
        <v>431</v>
      </c>
      <c r="R167" s="9" t="s">
        <v>51</v>
      </c>
      <c r="S167" s="9" t="s">
        <v>52</v>
      </c>
      <c r="T167" s="14">
        <f t="shared" si="1"/>
        <v>1</v>
      </c>
      <c r="U167" s="14">
        <f t="shared" si="2"/>
        <v>0</v>
      </c>
      <c r="V167" s="15">
        <f t="shared" si="3"/>
        <v>1</v>
      </c>
    </row>
    <row r="168" ht="15.75" customHeight="1">
      <c r="A168" s="16" t="s">
        <v>460</v>
      </c>
      <c r="B168" s="8" t="s">
        <v>22</v>
      </c>
      <c r="C168" s="8" t="s">
        <v>461</v>
      </c>
      <c r="D168" s="8" t="s">
        <v>51</v>
      </c>
      <c r="E168" s="8" t="s">
        <v>52</v>
      </c>
      <c r="F168" s="8" t="s">
        <v>100</v>
      </c>
      <c r="G168" s="20">
        <v>6.0</v>
      </c>
      <c r="H168" s="21">
        <v>4.0</v>
      </c>
      <c r="I168" s="21">
        <v>6.0</v>
      </c>
      <c r="J168" s="21">
        <v>4.0</v>
      </c>
      <c r="K168" s="21"/>
      <c r="L168" s="21"/>
      <c r="M168" s="21"/>
      <c r="N168" s="21"/>
      <c r="O168" s="21"/>
      <c r="P168" s="22"/>
      <c r="Q168" s="8" t="s">
        <v>422</v>
      </c>
      <c r="R168" s="8" t="s">
        <v>51</v>
      </c>
      <c r="S168" s="8" t="s">
        <v>52</v>
      </c>
      <c r="T168" s="14">
        <f t="shared" si="1"/>
        <v>3</v>
      </c>
      <c r="U168" s="14">
        <f t="shared" si="2"/>
        <v>0</v>
      </c>
      <c r="V168" s="15">
        <f t="shared" si="3"/>
        <v>1</v>
      </c>
    </row>
    <row r="169" ht="15.75" customHeight="1">
      <c r="A169" s="16" t="s">
        <v>460</v>
      </c>
      <c r="B169" s="8" t="s">
        <v>30</v>
      </c>
      <c r="C169" s="8" t="s">
        <v>435</v>
      </c>
      <c r="D169" s="8" t="s">
        <v>51</v>
      </c>
      <c r="E169" s="8" t="s">
        <v>52</v>
      </c>
      <c r="F169" s="8" t="s">
        <v>462</v>
      </c>
      <c r="G169" s="20">
        <v>6.0</v>
      </c>
      <c r="H169" s="21">
        <v>2.0</v>
      </c>
      <c r="I169" s="21">
        <v>6.0</v>
      </c>
      <c r="J169" s="21">
        <v>3.0</v>
      </c>
      <c r="K169" s="21">
        <v>4.0</v>
      </c>
      <c r="L169" s="21">
        <v>6.0</v>
      </c>
      <c r="M169" s="21">
        <v>3.0</v>
      </c>
      <c r="N169" s="21">
        <v>6.0</v>
      </c>
      <c r="O169" s="21">
        <v>9.0</v>
      </c>
      <c r="P169" s="22">
        <v>7.0</v>
      </c>
      <c r="Q169" s="8" t="s">
        <v>447</v>
      </c>
      <c r="R169" s="8" t="s">
        <v>51</v>
      </c>
      <c r="S169" s="8" t="s">
        <v>52</v>
      </c>
      <c r="T169" s="14">
        <f t="shared" si="1"/>
        <v>3</v>
      </c>
      <c r="U169" s="14">
        <f t="shared" si="2"/>
        <v>1</v>
      </c>
      <c r="V169" s="15">
        <f t="shared" si="3"/>
        <v>0.75</v>
      </c>
    </row>
    <row r="170" ht="15.75" customHeight="1">
      <c r="A170" s="7" t="s">
        <v>463</v>
      </c>
      <c r="B170" s="8" t="s">
        <v>22</v>
      </c>
      <c r="C170" s="9" t="s">
        <v>464</v>
      </c>
      <c r="D170" s="9" t="s">
        <v>110</v>
      </c>
      <c r="E170" s="9" t="s">
        <v>111</v>
      </c>
      <c r="F170" s="9" t="s">
        <v>465</v>
      </c>
      <c r="G170" s="11">
        <v>1.0</v>
      </c>
      <c r="H170" s="12">
        <v>6.0</v>
      </c>
      <c r="I170" s="12">
        <v>6.0</v>
      </c>
      <c r="J170" s="12">
        <v>1.0</v>
      </c>
      <c r="K170" s="12">
        <v>6.0</v>
      </c>
      <c r="L170" s="12">
        <v>3.0</v>
      </c>
      <c r="M170" s="12"/>
      <c r="N170" s="12"/>
      <c r="O170" s="12"/>
      <c r="P170" s="13"/>
      <c r="Q170" s="9" t="s">
        <v>466</v>
      </c>
      <c r="R170" s="9" t="s">
        <v>110</v>
      </c>
      <c r="S170" s="9" t="s">
        <v>111</v>
      </c>
      <c r="T170" s="14">
        <f t="shared" si="1"/>
        <v>1</v>
      </c>
      <c r="U170" s="14">
        <f t="shared" si="2"/>
        <v>0</v>
      </c>
      <c r="V170" s="15">
        <f t="shared" si="3"/>
        <v>1</v>
      </c>
    </row>
    <row r="171" ht="15.75" customHeight="1">
      <c r="A171" s="7" t="s">
        <v>463</v>
      </c>
      <c r="B171" s="8" t="s">
        <v>30</v>
      </c>
      <c r="C171" s="9" t="s">
        <v>447</v>
      </c>
      <c r="D171" s="9" t="s">
        <v>51</v>
      </c>
      <c r="E171" s="9" t="s">
        <v>52</v>
      </c>
      <c r="F171" s="9" t="s">
        <v>467</v>
      </c>
      <c r="G171" s="11">
        <v>2.0</v>
      </c>
      <c r="H171" s="12">
        <v>6.0</v>
      </c>
      <c r="I171" s="12">
        <v>6.0</v>
      </c>
      <c r="J171" s="12">
        <v>4.0</v>
      </c>
      <c r="K171" s="12">
        <v>6.0</v>
      </c>
      <c r="L171" s="12">
        <v>4.0</v>
      </c>
      <c r="M171" s="12">
        <v>6.0</v>
      </c>
      <c r="N171" s="12">
        <v>4.0</v>
      </c>
      <c r="O171" s="12"/>
      <c r="P171" s="13"/>
      <c r="Q171" s="9" t="s">
        <v>468</v>
      </c>
      <c r="R171" s="9" t="s">
        <v>110</v>
      </c>
      <c r="S171" s="9" t="s">
        <v>111</v>
      </c>
      <c r="T171" s="14">
        <f t="shared" si="1"/>
        <v>4</v>
      </c>
      <c r="U171" s="14">
        <f t="shared" si="2"/>
        <v>3</v>
      </c>
      <c r="V171" s="15">
        <f t="shared" si="3"/>
        <v>0.5714285714</v>
      </c>
    </row>
    <row r="172" ht="15.75" customHeight="1">
      <c r="A172" s="16" t="s">
        <v>469</v>
      </c>
      <c r="B172" s="8" t="s">
        <v>22</v>
      </c>
      <c r="C172" s="8" t="s">
        <v>461</v>
      </c>
      <c r="D172" s="8" t="s">
        <v>51</v>
      </c>
      <c r="E172" s="8" t="s">
        <v>52</v>
      </c>
      <c r="F172" s="8" t="s">
        <v>357</v>
      </c>
      <c r="G172" s="20">
        <v>6.0</v>
      </c>
      <c r="H172" s="21">
        <v>1.0</v>
      </c>
      <c r="I172" s="21">
        <v>6.0</v>
      </c>
      <c r="J172" s="21">
        <v>4.0</v>
      </c>
      <c r="K172" s="21"/>
      <c r="L172" s="21"/>
      <c r="M172" s="21"/>
      <c r="N172" s="21"/>
      <c r="O172" s="21"/>
      <c r="P172" s="22"/>
      <c r="Q172" s="8" t="s">
        <v>470</v>
      </c>
      <c r="R172" s="8" t="s">
        <v>51</v>
      </c>
      <c r="S172" s="8" t="s">
        <v>52</v>
      </c>
      <c r="T172" s="14">
        <f t="shared" si="1"/>
        <v>3</v>
      </c>
      <c r="U172" s="14">
        <f t="shared" si="2"/>
        <v>0</v>
      </c>
      <c r="V172" s="15">
        <f t="shared" si="3"/>
        <v>1</v>
      </c>
    </row>
    <row r="173" ht="15.75" customHeight="1">
      <c r="A173" s="16" t="s">
        <v>469</v>
      </c>
      <c r="B173" s="8" t="s">
        <v>30</v>
      </c>
      <c r="C173" s="8" t="s">
        <v>468</v>
      </c>
      <c r="D173" s="8" t="s">
        <v>110</v>
      </c>
      <c r="E173" s="8" t="s">
        <v>111</v>
      </c>
      <c r="F173" s="8" t="s">
        <v>471</v>
      </c>
      <c r="G173" s="20">
        <v>6.0</v>
      </c>
      <c r="H173" s="21">
        <v>3.0</v>
      </c>
      <c r="I173" s="21">
        <v>7.0</v>
      </c>
      <c r="J173" s="21">
        <v>5.0</v>
      </c>
      <c r="K173" s="21">
        <v>6.0</v>
      </c>
      <c r="L173" s="21">
        <v>1.0</v>
      </c>
      <c r="M173" s="21"/>
      <c r="N173" s="21"/>
      <c r="O173" s="21"/>
      <c r="P173" s="22"/>
      <c r="Q173" s="8" t="s">
        <v>447</v>
      </c>
      <c r="R173" s="8" t="s">
        <v>51</v>
      </c>
      <c r="S173" s="8" t="s">
        <v>52</v>
      </c>
      <c r="T173" s="14">
        <f t="shared" si="1"/>
        <v>1</v>
      </c>
      <c r="U173" s="14">
        <f t="shared" si="2"/>
        <v>1</v>
      </c>
      <c r="V173" s="15">
        <f t="shared" si="3"/>
        <v>0.5</v>
      </c>
    </row>
    <row r="174" ht="15.75" customHeight="1">
      <c r="A174" s="7" t="s">
        <v>472</v>
      </c>
      <c r="B174" s="8" t="s">
        <v>22</v>
      </c>
      <c r="C174" s="9" t="s">
        <v>461</v>
      </c>
      <c r="D174" s="9" t="s">
        <v>51</v>
      </c>
      <c r="E174" s="9" t="s">
        <v>52</v>
      </c>
      <c r="F174" s="9" t="s">
        <v>66</v>
      </c>
      <c r="G174" s="11">
        <v>6.0</v>
      </c>
      <c r="H174" s="12">
        <v>4.0</v>
      </c>
      <c r="I174" s="12">
        <v>6.0</v>
      </c>
      <c r="J174" s="12">
        <v>3.0</v>
      </c>
      <c r="K174" s="12"/>
      <c r="L174" s="12"/>
      <c r="M174" s="12"/>
      <c r="N174" s="12"/>
      <c r="O174" s="12"/>
      <c r="P174" s="13"/>
      <c r="Q174" s="9" t="s">
        <v>473</v>
      </c>
      <c r="R174" s="9" t="s">
        <v>51</v>
      </c>
      <c r="S174" s="9" t="s">
        <v>52</v>
      </c>
      <c r="T174" s="14">
        <f t="shared" si="1"/>
        <v>3</v>
      </c>
      <c r="U174" s="14">
        <f t="shared" si="2"/>
        <v>0</v>
      </c>
      <c r="V174" s="15">
        <f t="shared" si="3"/>
        <v>1</v>
      </c>
    </row>
    <row r="175" ht="15.75" customHeight="1">
      <c r="A175" s="7" t="s">
        <v>472</v>
      </c>
      <c r="B175" s="8" t="s">
        <v>30</v>
      </c>
      <c r="C175" s="9" t="s">
        <v>447</v>
      </c>
      <c r="D175" s="9" t="s">
        <v>51</v>
      </c>
      <c r="E175" s="9" t="s">
        <v>52</v>
      </c>
      <c r="F175" s="9" t="s">
        <v>474</v>
      </c>
      <c r="G175" s="11">
        <v>2.0</v>
      </c>
      <c r="H175" s="12">
        <v>6.0</v>
      </c>
      <c r="I175" s="12">
        <v>7.0</v>
      </c>
      <c r="J175" s="12">
        <v>5.0</v>
      </c>
      <c r="K175" s="12">
        <v>6.0</v>
      </c>
      <c r="L175" s="12">
        <v>3.0</v>
      </c>
      <c r="M175" s="12">
        <v>6.0</v>
      </c>
      <c r="N175" s="12">
        <v>2.0</v>
      </c>
      <c r="O175" s="12"/>
      <c r="P175" s="13"/>
      <c r="Q175" s="9" t="s">
        <v>475</v>
      </c>
      <c r="R175" s="9" t="s">
        <v>55</v>
      </c>
      <c r="S175" s="9" t="s">
        <v>56</v>
      </c>
      <c r="T175" s="14">
        <f t="shared" si="1"/>
        <v>4</v>
      </c>
      <c r="U175" s="14">
        <f t="shared" si="2"/>
        <v>3</v>
      </c>
      <c r="V175" s="15">
        <f t="shared" si="3"/>
        <v>0.5714285714</v>
      </c>
    </row>
    <row r="176" ht="15.75" customHeight="1">
      <c r="A176" s="16" t="s">
        <v>476</v>
      </c>
      <c r="B176" s="8" t="s">
        <v>22</v>
      </c>
      <c r="C176" s="8" t="s">
        <v>473</v>
      </c>
      <c r="D176" s="8" t="s">
        <v>51</v>
      </c>
      <c r="E176" s="8" t="s">
        <v>52</v>
      </c>
      <c r="F176" s="8" t="s">
        <v>477</v>
      </c>
      <c r="G176" s="20">
        <v>9.0</v>
      </c>
      <c r="H176" s="21">
        <v>7.0</v>
      </c>
      <c r="I176" s="21">
        <v>6.0</v>
      </c>
      <c r="J176" s="21">
        <v>4.0</v>
      </c>
      <c r="K176" s="21"/>
      <c r="L176" s="21"/>
      <c r="M176" s="21"/>
      <c r="N176" s="21"/>
      <c r="O176" s="21"/>
      <c r="P176" s="22"/>
      <c r="Q176" s="8" t="s">
        <v>478</v>
      </c>
      <c r="R176" s="8" t="s">
        <v>51</v>
      </c>
      <c r="S176" s="8" t="s">
        <v>52</v>
      </c>
      <c r="T176" s="14">
        <f t="shared" si="1"/>
        <v>2</v>
      </c>
      <c r="U176" s="14">
        <f t="shared" si="2"/>
        <v>1</v>
      </c>
      <c r="V176" s="15">
        <f t="shared" si="3"/>
        <v>0.6666666667</v>
      </c>
    </row>
    <row r="177" ht="15.75" customHeight="1">
      <c r="A177" s="16" t="s">
        <v>476</v>
      </c>
      <c r="B177" s="8" t="s">
        <v>30</v>
      </c>
      <c r="C177" s="8" t="s">
        <v>447</v>
      </c>
      <c r="D177" s="8" t="s">
        <v>51</v>
      </c>
      <c r="E177" s="8" t="s">
        <v>52</v>
      </c>
      <c r="F177" s="8" t="s">
        <v>479</v>
      </c>
      <c r="G177" s="20">
        <v>4.0</v>
      </c>
      <c r="H177" s="21">
        <v>6.0</v>
      </c>
      <c r="I177" s="21">
        <v>6.0</v>
      </c>
      <c r="J177" s="21">
        <v>3.0</v>
      </c>
      <c r="K177" s="21">
        <v>3.0</v>
      </c>
      <c r="L177" s="21">
        <v>6.0</v>
      </c>
      <c r="M177" s="21">
        <v>6.0</v>
      </c>
      <c r="N177" s="21">
        <v>3.0</v>
      </c>
      <c r="O177" s="21">
        <v>6.0</v>
      </c>
      <c r="P177" s="22">
        <v>1.0</v>
      </c>
      <c r="Q177" s="8" t="s">
        <v>480</v>
      </c>
      <c r="R177" s="8" t="s">
        <v>51</v>
      </c>
      <c r="S177" s="8" t="s">
        <v>52</v>
      </c>
      <c r="T177" s="14">
        <f t="shared" si="1"/>
        <v>4</v>
      </c>
      <c r="U177" s="14">
        <f t="shared" si="2"/>
        <v>3</v>
      </c>
      <c r="V177" s="15">
        <f t="shared" si="3"/>
        <v>0.5714285714</v>
      </c>
    </row>
    <row r="178" ht="15.75" customHeight="1">
      <c r="A178" s="7" t="s">
        <v>481</v>
      </c>
      <c r="B178" s="8" t="s">
        <v>22</v>
      </c>
      <c r="C178" s="9" t="s">
        <v>473</v>
      </c>
      <c r="D178" s="9" t="s">
        <v>51</v>
      </c>
      <c r="E178" s="9" t="s">
        <v>52</v>
      </c>
      <c r="F178" s="9" t="s">
        <v>482</v>
      </c>
      <c r="G178" s="11">
        <v>1.0</v>
      </c>
      <c r="H178" s="12">
        <v>6.0</v>
      </c>
      <c r="I178" s="12">
        <v>6.0</v>
      </c>
      <c r="J178" s="12">
        <v>3.0</v>
      </c>
      <c r="K178" s="12">
        <v>6.0</v>
      </c>
      <c r="L178" s="12">
        <v>4.0</v>
      </c>
      <c r="M178" s="12"/>
      <c r="N178" s="12"/>
      <c r="O178" s="12"/>
      <c r="P178" s="13"/>
      <c r="Q178" s="9" t="s">
        <v>483</v>
      </c>
      <c r="R178" s="9" t="s">
        <v>51</v>
      </c>
      <c r="S178" s="9" t="s">
        <v>52</v>
      </c>
      <c r="T178" s="14">
        <f t="shared" si="1"/>
        <v>2</v>
      </c>
      <c r="U178" s="14">
        <f t="shared" si="2"/>
        <v>1</v>
      </c>
      <c r="V178" s="15">
        <f t="shared" si="3"/>
        <v>0.6666666667</v>
      </c>
    </row>
    <row r="179" ht="15.75" customHeight="1">
      <c r="A179" s="7" t="s">
        <v>481</v>
      </c>
      <c r="B179" s="8" t="s">
        <v>30</v>
      </c>
      <c r="C179" s="9" t="s">
        <v>447</v>
      </c>
      <c r="D179" s="9" t="s">
        <v>51</v>
      </c>
      <c r="E179" s="9" t="s">
        <v>52</v>
      </c>
      <c r="F179" s="9" t="s">
        <v>484</v>
      </c>
      <c r="G179" s="11">
        <v>6.0</v>
      </c>
      <c r="H179" s="12">
        <v>4.0</v>
      </c>
      <c r="I179" s="12">
        <v>6.0</v>
      </c>
      <c r="J179" s="12">
        <v>2.0</v>
      </c>
      <c r="K179" s="12">
        <v>2.0</v>
      </c>
      <c r="L179" s="12">
        <v>6.0</v>
      </c>
      <c r="M179" s="12">
        <v>6.0</v>
      </c>
      <c r="N179" s="12">
        <v>1.0</v>
      </c>
      <c r="O179" s="12"/>
      <c r="P179" s="13"/>
      <c r="Q179" s="9" t="s">
        <v>480</v>
      </c>
      <c r="R179" s="9" t="s">
        <v>51</v>
      </c>
      <c r="S179" s="9" t="s">
        <v>52</v>
      </c>
      <c r="T179" s="14">
        <f t="shared" si="1"/>
        <v>4</v>
      </c>
      <c r="U179" s="14">
        <f t="shared" si="2"/>
        <v>3</v>
      </c>
      <c r="V179" s="15">
        <f t="shared" si="3"/>
        <v>0.5714285714</v>
      </c>
    </row>
    <row r="180" ht="15.75" customHeight="1">
      <c r="A180" s="16" t="s">
        <v>485</v>
      </c>
      <c r="B180" s="8" t="s">
        <v>22</v>
      </c>
      <c r="C180" s="8" t="s">
        <v>486</v>
      </c>
      <c r="D180" s="8" t="s">
        <v>51</v>
      </c>
      <c r="E180" s="8" t="s">
        <v>52</v>
      </c>
      <c r="F180" s="8" t="s">
        <v>487</v>
      </c>
      <c r="G180" s="20">
        <v>10.0</v>
      </c>
      <c r="H180" s="21">
        <v>8.0</v>
      </c>
      <c r="I180" s="21">
        <v>2.0</v>
      </c>
      <c r="J180" s="21">
        <v>6.0</v>
      </c>
      <c r="K180" s="21">
        <v>7.0</v>
      </c>
      <c r="L180" s="21">
        <v>5.0</v>
      </c>
      <c r="M180" s="21"/>
      <c r="N180" s="21"/>
      <c r="O180" s="21"/>
      <c r="P180" s="22"/>
      <c r="Q180" s="8" t="s">
        <v>488</v>
      </c>
      <c r="R180" s="8" t="s">
        <v>51</v>
      </c>
      <c r="S180" s="8" t="s">
        <v>52</v>
      </c>
      <c r="T180" s="14">
        <f t="shared" si="1"/>
        <v>5</v>
      </c>
      <c r="U180" s="14">
        <f t="shared" si="2"/>
        <v>0</v>
      </c>
      <c r="V180" s="15">
        <f t="shared" si="3"/>
        <v>1</v>
      </c>
    </row>
    <row r="181" ht="15.75" customHeight="1">
      <c r="A181" s="16" t="s">
        <v>485</v>
      </c>
      <c r="B181" s="8" t="s">
        <v>30</v>
      </c>
      <c r="C181" s="8" t="s">
        <v>489</v>
      </c>
      <c r="D181" s="8" t="s">
        <v>51</v>
      </c>
      <c r="E181" s="8" t="s">
        <v>52</v>
      </c>
      <c r="F181" s="8" t="s">
        <v>490</v>
      </c>
      <c r="G181" s="20">
        <v>6.0</v>
      </c>
      <c r="H181" s="21">
        <v>3.0</v>
      </c>
      <c r="I181" s="21">
        <v>6.0</v>
      </c>
      <c r="J181" s="21">
        <v>1.0</v>
      </c>
      <c r="K181" s="21">
        <v>6.0</v>
      </c>
      <c r="L181" s="21">
        <v>3.0</v>
      </c>
      <c r="M181" s="21"/>
      <c r="N181" s="21"/>
      <c r="O181" s="21"/>
      <c r="P181" s="22"/>
      <c r="Q181" s="8" t="s">
        <v>480</v>
      </c>
      <c r="R181" s="8" t="s">
        <v>51</v>
      </c>
      <c r="S181" s="8" t="s">
        <v>52</v>
      </c>
      <c r="T181" s="14">
        <f t="shared" si="1"/>
        <v>1</v>
      </c>
      <c r="U181" s="14">
        <f t="shared" si="2"/>
        <v>0</v>
      </c>
      <c r="V181" s="15">
        <f t="shared" si="3"/>
        <v>1</v>
      </c>
    </row>
    <row r="182" ht="15.75" customHeight="1">
      <c r="A182" s="7" t="s">
        <v>491</v>
      </c>
      <c r="B182" s="8" t="s">
        <v>22</v>
      </c>
      <c r="C182" s="9" t="s">
        <v>486</v>
      </c>
      <c r="D182" s="9" t="s">
        <v>51</v>
      </c>
      <c r="E182" s="9" t="s">
        <v>52</v>
      </c>
      <c r="F182" s="9" t="s">
        <v>492</v>
      </c>
      <c r="G182" s="11">
        <v>6.0</v>
      </c>
      <c r="H182" s="12">
        <v>1.0</v>
      </c>
      <c r="I182" s="12">
        <v>5.0</v>
      </c>
      <c r="J182" s="12">
        <v>7.0</v>
      </c>
      <c r="K182" s="12">
        <v>6.0</v>
      </c>
      <c r="L182" s="12">
        <v>2.0</v>
      </c>
      <c r="M182" s="12"/>
      <c r="N182" s="12"/>
      <c r="O182" s="12"/>
      <c r="P182" s="13"/>
      <c r="Q182" s="9" t="s">
        <v>493</v>
      </c>
      <c r="R182" s="9" t="s">
        <v>51</v>
      </c>
      <c r="S182" s="9" t="s">
        <v>52</v>
      </c>
      <c r="T182" s="14">
        <f t="shared" si="1"/>
        <v>5</v>
      </c>
      <c r="U182" s="14">
        <f t="shared" si="2"/>
        <v>0</v>
      </c>
      <c r="V182" s="15">
        <f t="shared" si="3"/>
        <v>1</v>
      </c>
    </row>
    <row r="183" ht="15.75" customHeight="1">
      <c r="A183" s="7" t="s">
        <v>491</v>
      </c>
      <c r="B183" s="8" t="s">
        <v>30</v>
      </c>
      <c r="C183" s="9" t="s">
        <v>494</v>
      </c>
      <c r="D183" s="9" t="s">
        <v>110</v>
      </c>
      <c r="E183" s="9" t="s">
        <v>111</v>
      </c>
      <c r="F183" s="9" t="s">
        <v>495</v>
      </c>
      <c r="G183" s="11">
        <v>6.0</v>
      </c>
      <c r="H183" s="12">
        <v>2.0</v>
      </c>
      <c r="I183" s="12">
        <v>6.0</v>
      </c>
      <c r="J183" s="12">
        <v>2.0</v>
      </c>
      <c r="K183" s="12">
        <v>5.0</v>
      </c>
      <c r="L183" s="12">
        <v>7.0</v>
      </c>
      <c r="M183" s="12">
        <v>7.0</v>
      </c>
      <c r="N183" s="12">
        <v>5.0</v>
      </c>
      <c r="O183" s="12"/>
      <c r="P183" s="13"/>
      <c r="Q183" s="9" t="s">
        <v>496</v>
      </c>
      <c r="R183" s="9" t="s">
        <v>51</v>
      </c>
      <c r="S183" s="9" t="s">
        <v>52</v>
      </c>
      <c r="T183" s="14">
        <f t="shared" si="1"/>
        <v>1</v>
      </c>
      <c r="U183" s="14">
        <f t="shared" si="2"/>
        <v>0</v>
      </c>
      <c r="V183" s="15">
        <f t="shared" si="3"/>
        <v>1</v>
      </c>
    </row>
    <row r="184" ht="15.75" customHeight="1">
      <c r="A184" s="16" t="s">
        <v>497</v>
      </c>
      <c r="B184" s="8" t="s">
        <v>22</v>
      </c>
      <c r="C184" s="8" t="s">
        <v>486</v>
      </c>
      <c r="D184" s="8" t="s">
        <v>51</v>
      </c>
      <c r="E184" s="8" t="s">
        <v>52</v>
      </c>
      <c r="F184" s="8" t="s">
        <v>309</v>
      </c>
      <c r="G184" s="20">
        <v>7.0</v>
      </c>
      <c r="H184" s="21">
        <v>5.0</v>
      </c>
      <c r="I184" s="21">
        <v>6.0</v>
      </c>
      <c r="J184" s="21">
        <v>2.0</v>
      </c>
      <c r="K184" s="21"/>
      <c r="L184" s="21"/>
      <c r="M184" s="21"/>
      <c r="N184" s="21"/>
      <c r="O184" s="21"/>
      <c r="P184" s="22"/>
      <c r="Q184" s="8" t="s">
        <v>498</v>
      </c>
      <c r="R184" s="8" t="s">
        <v>51</v>
      </c>
      <c r="S184" s="8" t="s">
        <v>52</v>
      </c>
      <c r="T184" s="14">
        <f t="shared" si="1"/>
        <v>5</v>
      </c>
      <c r="U184" s="14">
        <f t="shared" si="2"/>
        <v>0</v>
      </c>
      <c r="V184" s="15">
        <f t="shared" si="3"/>
        <v>1</v>
      </c>
    </row>
    <row r="185" ht="15.75" customHeight="1">
      <c r="A185" s="16" t="s">
        <v>497</v>
      </c>
      <c r="B185" s="8" t="s">
        <v>30</v>
      </c>
      <c r="C185" s="8" t="s">
        <v>499</v>
      </c>
      <c r="D185" s="8" t="s">
        <v>150</v>
      </c>
      <c r="E185" s="8" t="s">
        <v>151</v>
      </c>
      <c r="F185" s="8" t="s">
        <v>500</v>
      </c>
      <c r="G185" s="20">
        <v>6.0</v>
      </c>
      <c r="H185" s="21">
        <v>4.0</v>
      </c>
      <c r="I185" s="21">
        <v>6.0</v>
      </c>
      <c r="J185" s="21">
        <v>1.0</v>
      </c>
      <c r="K185" s="21">
        <v>4.0</v>
      </c>
      <c r="L185" s="21">
        <v>6.0</v>
      </c>
      <c r="M185" s="21">
        <v>5.0</v>
      </c>
      <c r="N185" s="21">
        <v>7.0</v>
      </c>
      <c r="O185" s="21">
        <v>6.0</v>
      </c>
      <c r="P185" s="22">
        <v>3.0</v>
      </c>
      <c r="Q185" s="8" t="s">
        <v>501</v>
      </c>
      <c r="R185" s="8" t="s">
        <v>51</v>
      </c>
      <c r="S185" s="8" t="s">
        <v>52</v>
      </c>
      <c r="T185" s="14">
        <f t="shared" si="1"/>
        <v>1</v>
      </c>
      <c r="U185" s="14">
        <f t="shared" si="2"/>
        <v>0</v>
      </c>
      <c r="V185" s="15">
        <f t="shared" si="3"/>
        <v>1</v>
      </c>
    </row>
    <row r="186" ht="15.75" customHeight="1">
      <c r="A186" s="7" t="s">
        <v>502</v>
      </c>
      <c r="B186" s="8" t="s">
        <v>22</v>
      </c>
      <c r="C186" s="9" t="s">
        <v>498</v>
      </c>
      <c r="D186" s="9" t="s">
        <v>51</v>
      </c>
      <c r="E186" s="9" t="s">
        <v>52</v>
      </c>
      <c r="F186" s="9" t="s">
        <v>503</v>
      </c>
      <c r="G186" s="11">
        <v>5.0</v>
      </c>
      <c r="H186" s="12">
        <v>7.0</v>
      </c>
      <c r="I186" s="12">
        <v>6.0</v>
      </c>
      <c r="J186" s="12">
        <v>1.0</v>
      </c>
      <c r="K186" s="12">
        <v>6.0</v>
      </c>
      <c r="L186" s="12">
        <v>2.0</v>
      </c>
      <c r="M186" s="12"/>
      <c r="N186" s="12"/>
      <c r="O186" s="12"/>
      <c r="P186" s="13"/>
      <c r="Q186" s="9" t="s">
        <v>488</v>
      </c>
      <c r="R186" s="9" t="s">
        <v>51</v>
      </c>
      <c r="S186" s="9" t="s">
        <v>52</v>
      </c>
      <c r="T186" s="14">
        <f t="shared" si="1"/>
        <v>1</v>
      </c>
      <c r="U186" s="14">
        <f t="shared" si="2"/>
        <v>6</v>
      </c>
      <c r="V186" s="15">
        <f t="shared" si="3"/>
        <v>0.1428571429</v>
      </c>
    </row>
    <row r="187" ht="15.75" customHeight="1">
      <c r="A187" s="7" t="s">
        <v>502</v>
      </c>
      <c r="B187" s="8" t="s">
        <v>30</v>
      </c>
      <c r="C187" s="9" t="s">
        <v>504</v>
      </c>
      <c r="D187" s="9" t="s">
        <v>51</v>
      </c>
      <c r="E187" s="9" t="s">
        <v>52</v>
      </c>
      <c r="F187" s="9" t="s">
        <v>505</v>
      </c>
      <c r="G187" s="11">
        <v>3.0</v>
      </c>
      <c r="H187" s="12">
        <v>6.0</v>
      </c>
      <c r="I187" s="12">
        <v>6.0</v>
      </c>
      <c r="J187" s="12">
        <v>4.0</v>
      </c>
      <c r="K187" s="12">
        <v>3.0</v>
      </c>
      <c r="L187" s="12">
        <v>6.0</v>
      </c>
      <c r="M187" s="12">
        <v>18.0</v>
      </c>
      <c r="N187" s="12">
        <v>16.0</v>
      </c>
      <c r="O187" s="12">
        <v>6.0</v>
      </c>
      <c r="P187" s="13">
        <v>3.0</v>
      </c>
      <c r="Q187" s="9" t="s">
        <v>506</v>
      </c>
      <c r="R187" s="9" t="s">
        <v>51</v>
      </c>
      <c r="S187" s="9" t="s">
        <v>52</v>
      </c>
      <c r="T187" s="14">
        <f t="shared" si="1"/>
        <v>1</v>
      </c>
      <c r="U187" s="14">
        <f t="shared" si="2"/>
        <v>3</v>
      </c>
      <c r="V187" s="15">
        <f t="shared" si="3"/>
        <v>0.25</v>
      </c>
    </row>
    <row r="188" ht="15.75" customHeight="1">
      <c r="A188" s="16" t="s">
        <v>507</v>
      </c>
      <c r="B188" s="8" t="s">
        <v>22</v>
      </c>
      <c r="C188" s="8" t="s">
        <v>486</v>
      </c>
      <c r="D188" s="8" t="s">
        <v>51</v>
      </c>
      <c r="E188" s="8" t="s">
        <v>52</v>
      </c>
      <c r="F188" s="8" t="s">
        <v>342</v>
      </c>
      <c r="G188" s="20">
        <v>6.0</v>
      </c>
      <c r="H188" s="21">
        <v>1.0</v>
      </c>
      <c r="I188" s="21">
        <v>6.0</v>
      </c>
      <c r="J188" s="21">
        <v>3.0</v>
      </c>
      <c r="K188" s="21"/>
      <c r="L188" s="21"/>
      <c r="M188" s="21"/>
      <c r="N188" s="21"/>
      <c r="O188" s="21"/>
      <c r="P188" s="22"/>
      <c r="Q188" s="8" t="s">
        <v>498</v>
      </c>
      <c r="R188" s="8" t="s">
        <v>51</v>
      </c>
      <c r="S188" s="8" t="s">
        <v>52</v>
      </c>
      <c r="T188" s="14">
        <f t="shared" si="1"/>
        <v>5</v>
      </c>
      <c r="U188" s="14">
        <f t="shared" si="2"/>
        <v>0</v>
      </c>
      <c r="V188" s="15">
        <f t="shared" si="3"/>
        <v>1</v>
      </c>
    </row>
    <row r="189" ht="15.75" customHeight="1">
      <c r="A189" s="16" t="s">
        <v>507</v>
      </c>
      <c r="B189" s="8" t="s">
        <v>30</v>
      </c>
      <c r="C189" s="8" t="s">
        <v>506</v>
      </c>
      <c r="D189" s="8" t="s">
        <v>51</v>
      </c>
      <c r="E189" s="8" t="s">
        <v>52</v>
      </c>
      <c r="F189" s="8" t="s">
        <v>508</v>
      </c>
      <c r="G189" s="20">
        <v>6.0</v>
      </c>
      <c r="H189" s="21">
        <v>1.0</v>
      </c>
      <c r="I189" s="21">
        <v>6.0</v>
      </c>
      <c r="J189" s="21">
        <v>3.0</v>
      </c>
      <c r="K189" s="21">
        <v>6.0</v>
      </c>
      <c r="L189" s="21">
        <v>1.0</v>
      </c>
      <c r="M189" s="21"/>
      <c r="N189" s="21"/>
      <c r="O189" s="21"/>
      <c r="P189" s="22"/>
      <c r="Q189" s="8" t="s">
        <v>509</v>
      </c>
      <c r="R189" s="8" t="s">
        <v>51</v>
      </c>
      <c r="S189" s="8" t="s">
        <v>52</v>
      </c>
      <c r="T189" s="14">
        <f t="shared" si="1"/>
        <v>1</v>
      </c>
      <c r="U189" s="14">
        <f t="shared" si="2"/>
        <v>1</v>
      </c>
      <c r="V189" s="15">
        <f t="shared" si="3"/>
        <v>0.5</v>
      </c>
    </row>
    <row r="190" ht="15.75" customHeight="1">
      <c r="A190" s="7" t="s">
        <v>510</v>
      </c>
      <c r="B190" s="8" t="s">
        <v>22</v>
      </c>
      <c r="C190" s="9" t="s">
        <v>486</v>
      </c>
      <c r="D190" s="9" t="s">
        <v>51</v>
      </c>
      <c r="E190" s="9" t="s">
        <v>52</v>
      </c>
      <c r="F190" s="9" t="s">
        <v>511</v>
      </c>
      <c r="G190" s="11">
        <v>1.0</v>
      </c>
      <c r="H190" s="12">
        <v>6.0</v>
      </c>
      <c r="I190" s="12">
        <v>8.0</v>
      </c>
      <c r="J190" s="12">
        <v>6.0</v>
      </c>
      <c r="K190" s="12">
        <v>6.0</v>
      </c>
      <c r="L190" s="12">
        <v>4.0</v>
      </c>
      <c r="M190" s="12"/>
      <c r="N190" s="12"/>
      <c r="O190" s="12"/>
      <c r="P190" s="13"/>
      <c r="Q190" s="9" t="s">
        <v>498</v>
      </c>
      <c r="R190" s="9" t="s">
        <v>51</v>
      </c>
      <c r="S190" s="9" t="s">
        <v>52</v>
      </c>
      <c r="T190" s="14">
        <f t="shared" si="1"/>
        <v>5</v>
      </c>
      <c r="U190" s="14">
        <f t="shared" si="2"/>
        <v>0</v>
      </c>
      <c r="V190" s="15">
        <f t="shared" si="3"/>
        <v>1</v>
      </c>
    </row>
    <row r="191" ht="15.75" customHeight="1">
      <c r="A191" s="7" t="s">
        <v>510</v>
      </c>
      <c r="B191" s="8" t="s">
        <v>30</v>
      </c>
      <c r="C191" s="9" t="s">
        <v>512</v>
      </c>
      <c r="D191" s="9" t="s">
        <v>51</v>
      </c>
      <c r="E191" s="9" t="s">
        <v>52</v>
      </c>
      <c r="F191" s="9" t="s">
        <v>513</v>
      </c>
      <c r="G191" s="11">
        <v>11.0</v>
      </c>
      <c r="H191" s="12">
        <v>9.0</v>
      </c>
      <c r="I191" s="12">
        <v>2.0</v>
      </c>
      <c r="J191" s="12">
        <v>6.0</v>
      </c>
      <c r="K191" s="12">
        <v>6.0</v>
      </c>
      <c r="L191" s="12">
        <v>2.0</v>
      </c>
      <c r="M191" s="12">
        <v>6.0</v>
      </c>
      <c r="N191" s="12">
        <v>3.0</v>
      </c>
      <c r="O191" s="12"/>
      <c r="P191" s="13"/>
      <c r="Q191" s="9" t="s">
        <v>504</v>
      </c>
      <c r="R191" s="9" t="s">
        <v>51</v>
      </c>
      <c r="S191" s="9" t="s">
        <v>52</v>
      </c>
      <c r="T191" s="14">
        <f t="shared" si="1"/>
        <v>3</v>
      </c>
      <c r="U191" s="14">
        <f t="shared" si="2"/>
        <v>0</v>
      </c>
      <c r="V191" s="15">
        <f t="shared" si="3"/>
        <v>1</v>
      </c>
    </row>
    <row r="192" ht="15.75" customHeight="1">
      <c r="A192" s="16" t="s">
        <v>514</v>
      </c>
      <c r="B192" s="8" t="s">
        <v>22</v>
      </c>
      <c r="C192" s="8" t="s">
        <v>488</v>
      </c>
      <c r="D192" s="8" t="s">
        <v>51</v>
      </c>
      <c r="E192" s="8" t="s">
        <v>52</v>
      </c>
      <c r="F192" s="8" t="s">
        <v>515</v>
      </c>
      <c r="G192" s="20">
        <v>6.0</v>
      </c>
      <c r="H192" s="21">
        <v>3.0</v>
      </c>
      <c r="I192" s="21">
        <v>3.0</v>
      </c>
      <c r="J192" s="21">
        <v>6.0</v>
      </c>
      <c r="K192" s="21">
        <v>8.0</v>
      </c>
      <c r="L192" s="21">
        <v>6.0</v>
      </c>
      <c r="M192" s="21"/>
      <c r="N192" s="21"/>
      <c r="O192" s="21"/>
      <c r="P192" s="22"/>
      <c r="Q192" s="8" t="s">
        <v>498</v>
      </c>
      <c r="R192" s="8" t="s">
        <v>51</v>
      </c>
      <c r="S192" s="8" t="s">
        <v>52</v>
      </c>
      <c r="T192" s="14">
        <f t="shared" si="1"/>
        <v>1</v>
      </c>
      <c r="U192" s="14">
        <f t="shared" si="2"/>
        <v>2</v>
      </c>
      <c r="V192" s="15">
        <f t="shared" si="3"/>
        <v>0.3333333333</v>
      </c>
    </row>
    <row r="193" ht="15.75" customHeight="1">
      <c r="A193" s="16" t="s">
        <v>514</v>
      </c>
      <c r="B193" s="8" t="s">
        <v>30</v>
      </c>
      <c r="C193" s="8" t="s">
        <v>512</v>
      </c>
      <c r="D193" s="8" t="s">
        <v>51</v>
      </c>
      <c r="E193" s="8" t="s">
        <v>52</v>
      </c>
      <c r="F193" s="8" t="s">
        <v>259</v>
      </c>
      <c r="G193" s="20">
        <v>6.0</v>
      </c>
      <c r="H193" s="21">
        <v>3.0</v>
      </c>
      <c r="I193" s="21">
        <v>6.0</v>
      </c>
      <c r="J193" s="21">
        <v>4.0</v>
      </c>
      <c r="K193" s="21">
        <v>3.0</v>
      </c>
      <c r="L193" s="21">
        <v>6.0</v>
      </c>
      <c r="M193" s="21">
        <v>5.0</v>
      </c>
      <c r="N193" s="21">
        <v>7.0</v>
      </c>
      <c r="O193" s="21">
        <v>6.0</v>
      </c>
      <c r="P193" s="22">
        <v>3.0</v>
      </c>
      <c r="Q193" s="8" t="s">
        <v>496</v>
      </c>
      <c r="R193" s="8" t="s">
        <v>51</v>
      </c>
      <c r="S193" s="8" t="s">
        <v>52</v>
      </c>
      <c r="T193" s="14">
        <f t="shared" si="1"/>
        <v>3</v>
      </c>
      <c r="U193" s="14">
        <f t="shared" si="2"/>
        <v>0</v>
      </c>
      <c r="V193" s="15">
        <f t="shared" si="3"/>
        <v>1</v>
      </c>
    </row>
    <row r="194" ht="15.75" customHeight="1">
      <c r="A194" s="7" t="s">
        <v>516</v>
      </c>
      <c r="B194" s="8" t="s">
        <v>22</v>
      </c>
      <c r="C194" s="9" t="s">
        <v>470</v>
      </c>
      <c r="D194" s="9" t="s">
        <v>51</v>
      </c>
      <c r="E194" s="9" t="s">
        <v>52</v>
      </c>
      <c r="F194" s="9" t="s">
        <v>191</v>
      </c>
      <c r="G194" s="11">
        <v>6.0</v>
      </c>
      <c r="H194" s="12">
        <v>1.0</v>
      </c>
      <c r="I194" s="12">
        <v>7.0</v>
      </c>
      <c r="J194" s="12">
        <v>5.0</v>
      </c>
      <c r="K194" s="12"/>
      <c r="L194" s="12"/>
      <c r="M194" s="12"/>
      <c r="N194" s="12"/>
      <c r="O194" s="12"/>
      <c r="P194" s="13"/>
      <c r="Q194" s="9" t="s">
        <v>498</v>
      </c>
      <c r="R194" s="9" t="s">
        <v>51</v>
      </c>
      <c r="S194" s="9" t="s">
        <v>52</v>
      </c>
      <c r="T194" s="14">
        <f t="shared" si="1"/>
        <v>2</v>
      </c>
      <c r="U194" s="14">
        <f t="shared" si="2"/>
        <v>1</v>
      </c>
      <c r="V194" s="15">
        <f t="shared" si="3"/>
        <v>0.6666666667</v>
      </c>
    </row>
    <row r="195" ht="15.75" customHeight="1">
      <c r="A195" s="7" t="s">
        <v>516</v>
      </c>
      <c r="B195" s="8" t="s">
        <v>30</v>
      </c>
      <c r="C195" s="9" t="s">
        <v>517</v>
      </c>
      <c r="D195" s="9" t="s">
        <v>51</v>
      </c>
      <c r="E195" s="9" t="s">
        <v>52</v>
      </c>
      <c r="F195" s="9" t="s">
        <v>518</v>
      </c>
      <c r="G195" s="11">
        <v>6.0</v>
      </c>
      <c r="H195" s="12">
        <v>1.0</v>
      </c>
      <c r="I195" s="12">
        <v>6.0</v>
      </c>
      <c r="J195" s="12">
        <v>1.0</v>
      </c>
      <c r="K195" s="12">
        <v>6.0</v>
      </c>
      <c r="L195" s="12">
        <v>3.0</v>
      </c>
      <c r="M195" s="12"/>
      <c r="N195" s="12"/>
      <c r="O195" s="12"/>
      <c r="P195" s="13"/>
      <c r="Q195" s="9" t="s">
        <v>519</v>
      </c>
      <c r="R195" s="9" t="s">
        <v>51</v>
      </c>
      <c r="S195" s="9" t="s">
        <v>52</v>
      </c>
      <c r="T195" s="14">
        <f t="shared" si="1"/>
        <v>2</v>
      </c>
      <c r="U195" s="14">
        <f t="shared" si="2"/>
        <v>0</v>
      </c>
      <c r="V195" s="15">
        <f t="shared" si="3"/>
        <v>1</v>
      </c>
    </row>
    <row r="196" ht="15.75" customHeight="1">
      <c r="A196" s="16" t="s">
        <v>520</v>
      </c>
      <c r="B196" s="8" t="s">
        <v>22</v>
      </c>
      <c r="C196" s="8" t="s">
        <v>470</v>
      </c>
      <c r="D196" s="8" t="s">
        <v>51</v>
      </c>
      <c r="E196" s="8" t="s">
        <v>52</v>
      </c>
      <c r="F196" s="8" t="s">
        <v>521</v>
      </c>
      <c r="G196" s="20">
        <v>6.0</v>
      </c>
      <c r="H196" s="21">
        <v>3.0</v>
      </c>
      <c r="I196" s="21">
        <v>10.0</v>
      </c>
      <c r="J196" s="21">
        <v>8.0</v>
      </c>
      <c r="K196" s="21"/>
      <c r="L196" s="21"/>
      <c r="M196" s="21"/>
      <c r="N196" s="21"/>
      <c r="O196" s="21"/>
      <c r="P196" s="22"/>
      <c r="Q196" s="8" t="s">
        <v>498</v>
      </c>
      <c r="R196" s="8" t="s">
        <v>51</v>
      </c>
      <c r="S196" s="8" t="s">
        <v>52</v>
      </c>
      <c r="T196" s="14">
        <f t="shared" si="1"/>
        <v>2</v>
      </c>
      <c r="U196" s="14">
        <f t="shared" si="2"/>
        <v>1</v>
      </c>
      <c r="V196" s="15">
        <f t="shared" si="3"/>
        <v>0.6666666667</v>
      </c>
    </row>
    <row r="197" ht="15.75" customHeight="1">
      <c r="A197" s="16" t="s">
        <v>520</v>
      </c>
      <c r="B197" s="8" t="s">
        <v>30</v>
      </c>
      <c r="C197" s="8" t="s">
        <v>512</v>
      </c>
      <c r="D197" s="8" t="s">
        <v>51</v>
      </c>
      <c r="E197" s="8" t="s">
        <v>52</v>
      </c>
      <c r="F197" s="8" t="s">
        <v>522</v>
      </c>
      <c r="G197" s="20">
        <v>6.0</v>
      </c>
      <c r="H197" s="21">
        <v>0.0</v>
      </c>
      <c r="I197" s="21">
        <v>3.0</v>
      </c>
      <c r="J197" s="21">
        <v>6.0</v>
      </c>
      <c r="K197" s="21">
        <v>3.0</v>
      </c>
      <c r="L197" s="21">
        <v>6.0</v>
      </c>
      <c r="M197" s="21">
        <v>6.0</v>
      </c>
      <c r="N197" s="21">
        <v>3.0</v>
      </c>
      <c r="O197" s="21">
        <v>6.0</v>
      </c>
      <c r="P197" s="22">
        <v>2.0</v>
      </c>
      <c r="Q197" s="8" t="s">
        <v>504</v>
      </c>
      <c r="R197" s="8" t="s">
        <v>51</v>
      </c>
      <c r="S197" s="8" t="s">
        <v>52</v>
      </c>
      <c r="T197" s="14">
        <f t="shared" si="1"/>
        <v>3</v>
      </c>
      <c r="U197" s="14">
        <f t="shared" si="2"/>
        <v>0</v>
      </c>
      <c r="V197" s="15">
        <f t="shared" si="3"/>
        <v>1</v>
      </c>
    </row>
    <row r="198" ht="15.75" customHeight="1">
      <c r="A198" s="7" t="s">
        <v>523</v>
      </c>
      <c r="B198" s="8" t="s">
        <v>30</v>
      </c>
      <c r="C198" s="9" t="s">
        <v>524</v>
      </c>
      <c r="D198" s="9" t="s">
        <v>51</v>
      </c>
      <c r="E198" s="9" t="s">
        <v>52</v>
      </c>
      <c r="F198" s="9" t="s">
        <v>525</v>
      </c>
      <c r="G198" s="11">
        <v>7.0</v>
      </c>
      <c r="H198" s="12">
        <v>5.0</v>
      </c>
      <c r="I198" s="12">
        <v>6.0</v>
      </c>
      <c r="J198" s="12">
        <v>1.0</v>
      </c>
      <c r="K198" s="12">
        <v>6.0</v>
      </c>
      <c r="L198" s="12">
        <v>4.0</v>
      </c>
      <c r="M198" s="12"/>
      <c r="N198" s="12"/>
      <c r="O198" s="12"/>
      <c r="P198" s="13"/>
      <c r="Q198" s="9" t="s">
        <v>526</v>
      </c>
      <c r="R198" s="9" t="s">
        <v>51</v>
      </c>
      <c r="S198" s="9" t="s">
        <v>52</v>
      </c>
      <c r="T198" s="14">
        <f t="shared" si="1"/>
        <v>1</v>
      </c>
      <c r="U198" s="14">
        <f t="shared" si="2"/>
        <v>0</v>
      </c>
      <c r="V198" s="15">
        <f t="shared" si="3"/>
        <v>1</v>
      </c>
    </row>
    <row r="199" ht="15.75" customHeight="1">
      <c r="A199" s="16" t="s">
        <v>527</v>
      </c>
      <c r="B199" s="8" t="s">
        <v>30</v>
      </c>
      <c r="C199" s="8" t="s">
        <v>517</v>
      </c>
      <c r="D199" s="8" t="s">
        <v>51</v>
      </c>
      <c r="E199" s="8" t="s">
        <v>52</v>
      </c>
      <c r="F199" s="8" t="s">
        <v>528</v>
      </c>
      <c r="G199" s="20">
        <v>6.0</v>
      </c>
      <c r="H199" s="21">
        <v>3.0</v>
      </c>
      <c r="I199" s="21">
        <v>4.0</v>
      </c>
      <c r="J199" s="21">
        <v>6.0</v>
      </c>
      <c r="K199" s="21">
        <v>6.0</v>
      </c>
      <c r="L199" s="21">
        <v>8.0</v>
      </c>
      <c r="M199" s="21">
        <v>6.0</v>
      </c>
      <c r="N199" s="21">
        <v>1.0</v>
      </c>
      <c r="O199" s="21">
        <v>6.0</v>
      </c>
      <c r="P199" s="22">
        <v>3.0</v>
      </c>
      <c r="Q199" s="8" t="s">
        <v>529</v>
      </c>
      <c r="R199" s="8" t="s">
        <v>51</v>
      </c>
      <c r="S199" s="8" t="s">
        <v>52</v>
      </c>
      <c r="T199" s="14">
        <f t="shared" si="1"/>
        <v>2</v>
      </c>
      <c r="U199" s="14">
        <f t="shared" si="2"/>
        <v>0</v>
      </c>
      <c r="V199" s="15">
        <f t="shared" si="3"/>
        <v>1</v>
      </c>
    </row>
    <row r="200" ht="15.75" customHeight="1">
      <c r="A200" s="7" t="s">
        <v>530</v>
      </c>
      <c r="B200" s="8" t="s">
        <v>30</v>
      </c>
      <c r="C200" s="9" t="s">
        <v>531</v>
      </c>
      <c r="D200" s="9" t="s">
        <v>110</v>
      </c>
      <c r="E200" s="9" t="s">
        <v>111</v>
      </c>
      <c r="F200" s="9" t="s">
        <v>532</v>
      </c>
      <c r="G200" s="11">
        <v>6.0</v>
      </c>
      <c r="H200" s="12">
        <v>4.0</v>
      </c>
      <c r="I200" s="12">
        <v>6.0</v>
      </c>
      <c r="J200" s="12">
        <v>0.0</v>
      </c>
      <c r="K200" s="12">
        <v>6.0</v>
      </c>
      <c r="L200" s="12">
        <v>3.0</v>
      </c>
      <c r="M200" s="12"/>
      <c r="N200" s="12"/>
      <c r="O200" s="12"/>
      <c r="P200" s="13"/>
      <c r="Q200" s="9" t="s">
        <v>533</v>
      </c>
      <c r="R200" s="9" t="s">
        <v>51</v>
      </c>
      <c r="S200" s="9" t="s">
        <v>52</v>
      </c>
      <c r="T200" s="14">
        <f t="shared" si="1"/>
        <v>1</v>
      </c>
      <c r="U200" s="14">
        <f t="shared" si="2"/>
        <v>0</v>
      </c>
      <c r="V200" s="15">
        <f t="shared" si="3"/>
        <v>1</v>
      </c>
    </row>
    <row r="201" ht="15.75" customHeight="1">
      <c r="A201" s="16" t="s">
        <v>534</v>
      </c>
      <c r="B201" s="8" t="s">
        <v>30</v>
      </c>
      <c r="C201" s="8" t="s">
        <v>535</v>
      </c>
      <c r="D201" s="8" t="s">
        <v>110</v>
      </c>
      <c r="E201" s="8" t="s">
        <v>111</v>
      </c>
      <c r="F201" s="8" t="s">
        <v>536</v>
      </c>
      <c r="G201" s="20">
        <v>4.0</v>
      </c>
      <c r="H201" s="21">
        <v>6.0</v>
      </c>
      <c r="I201" s="21">
        <v>6.0</v>
      </c>
      <c r="J201" s="21">
        <v>1.0</v>
      </c>
      <c r="K201" s="21">
        <v>6.0</v>
      </c>
      <c r="L201" s="21">
        <v>1.0</v>
      </c>
      <c r="M201" s="21">
        <v>6.0</v>
      </c>
      <c r="N201" s="21">
        <v>4.0</v>
      </c>
      <c r="O201" s="21"/>
      <c r="P201" s="22"/>
      <c r="Q201" s="8" t="s">
        <v>537</v>
      </c>
      <c r="R201" s="8" t="s">
        <v>51</v>
      </c>
      <c r="S201" s="8" t="s">
        <v>52</v>
      </c>
      <c r="T201" s="14">
        <f t="shared" si="1"/>
        <v>1</v>
      </c>
      <c r="U201" s="14">
        <f t="shared" si="2"/>
        <v>0</v>
      </c>
      <c r="V201" s="15">
        <f t="shared" si="3"/>
        <v>1</v>
      </c>
    </row>
    <row r="202" ht="15.75" customHeight="1">
      <c r="A202" s="7" t="s">
        <v>538</v>
      </c>
      <c r="B202" s="8" t="s">
        <v>30</v>
      </c>
      <c r="C202" s="9" t="s">
        <v>539</v>
      </c>
      <c r="D202" s="9" t="s">
        <v>51</v>
      </c>
      <c r="E202" s="9" t="s">
        <v>52</v>
      </c>
      <c r="F202" s="9" t="s">
        <v>540</v>
      </c>
      <c r="G202" s="11">
        <v>6.0</v>
      </c>
      <c r="H202" s="12">
        <v>4.0</v>
      </c>
      <c r="I202" s="12">
        <v>6.0</v>
      </c>
      <c r="J202" s="12">
        <v>3.0</v>
      </c>
      <c r="K202" s="12">
        <v>5.0</v>
      </c>
      <c r="L202" s="12">
        <v>7.0</v>
      </c>
      <c r="M202" s="12">
        <v>6.0</v>
      </c>
      <c r="N202" s="12">
        <v>1.0</v>
      </c>
      <c r="O202" s="12"/>
      <c r="P202" s="13"/>
      <c r="Q202" s="9" t="s">
        <v>504</v>
      </c>
      <c r="R202" s="9" t="s">
        <v>51</v>
      </c>
      <c r="S202" s="9" t="s">
        <v>52</v>
      </c>
      <c r="T202" s="14">
        <f t="shared" si="1"/>
        <v>1</v>
      </c>
      <c r="U202" s="14">
        <f t="shared" si="2"/>
        <v>0</v>
      </c>
      <c r="V202" s="15">
        <f t="shared" si="3"/>
        <v>1</v>
      </c>
    </row>
    <row r="203" ht="15.75" customHeight="1">
      <c r="A203" s="16" t="s">
        <v>541</v>
      </c>
      <c r="B203" s="8" t="s">
        <v>30</v>
      </c>
      <c r="C203" s="8" t="s">
        <v>542</v>
      </c>
      <c r="D203" s="8" t="s">
        <v>51</v>
      </c>
      <c r="E203" s="8" t="s">
        <v>52</v>
      </c>
      <c r="F203" s="8" t="s">
        <v>543</v>
      </c>
      <c r="G203" s="20">
        <v>2.0</v>
      </c>
      <c r="H203" s="21">
        <v>6.0</v>
      </c>
      <c r="I203" s="21">
        <v>6.0</v>
      </c>
      <c r="J203" s="21">
        <v>1.0</v>
      </c>
      <c r="K203" s="21">
        <v>6.0</v>
      </c>
      <c r="L203" s="21">
        <v>3.0</v>
      </c>
      <c r="M203" s="21">
        <v>6.0</v>
      </c>
      <c r="N203" s="21">
        <v>2.0</v>
      </c>
      <c r="O203" s="21"/>
      <c r="P203" s="22"/>
      <c r="Q203" s="8" t="s">
        <v>544</v>
      </c>
      <c r="R203" s="8" t="s">
        <v>330</v>
      </c>
      <c r="S203" s="8" t="s">
        <v>331</v>
      </c>
      <c r="T203" s="14">
        <f t="shared" si="1"/>
        <v>1</v>
      </c>
      <c r="U203" s="14">
        <f t="shared" si="2"/>
        <v>1</v>
      </c>
      <c r="V203" s="15">
        <f t="shared" si="3"/>
        <v>0.5</v>
      </c>
    </row>
    <row r="204" ht="15.75" customHeight="1">
      <c r="A204" s="7" t="s">
        <v>545</v>
      </c>
      <c r="B204" s="8" t="s">
        <v>30</v>
      </c>
      <c r="C204" s="9" t="s">
        <v>546</v>
      </c>
      <c r="D204" s="9" t="s">
        <v>110</v>
      </c>
      <c r="E204" s="9" t="s">
        <v>111</v>
      </c>
      <c r="F204" s="9" t="s">
        <v>547</v>
      </c>
      <c r="G204" s="11">
        <v>3.0</v>
      </c>
      <c r="H204" s="12">
        <v>6.0</v>
      </c>
      <c r="I204" s="12">
        <v>6.0</v>
      </c>
      <c r="J204" s="12">
        <v>3.0</v>
      </c>
      <c r="K204" s="12">
        <v>1.0</v>
      </c>
      <c r="L204" s="12">
        <v>6.0</v>
      </c>
      <c r="M204" s="12">
        <v>6.0</v>
      </c>
      <c r="N204" s="12">
        <v>1.0</v>
      </c>
      <c r="O204" s="12">
        <v>7.0</v>
      </c>
      <c r="P204" s="13">
        <v>5.0</v>
      </c>
      <c r="Q204" s="9" t="s">
        <v>548</v>
      </c>
      <c r="R204" s="9" t="s">
        <v>110</v>
      </c>
      <c r="S204" s="9" t="s">
        <v>111</v>
      </c>
      <c r="T204" s="14">
        <f t="shared" si="1"/>
        <v>1</v>
      </c>
      <c r="U204" s="14">
        <f t="shared" si="2"/>
        <v>0</v>
      </c>
      <c r="V204" s="15">
        <f t="shared" si="3"/>
        <v>1</v>
      </c>
    </row>
    <row r="205" ht="15.75" customHeight="1">
      <c r="A205" s="16" t="s">
        <v>549</v>
      </c>
      <c r="B205" s="8" t="s">
        <v>30</v>
      </c>
      <c r="C205" s="8" t="s">
        <v>550</v>
      </c>
      <c r="D205" s="8" t="s">
        <v>51</v>
      </c>
      <c r="E205" s="8" t="s">
        <v>52</v>
      </c>
      <c r="F205" s="8" t="s">
        <v>551</v>
      </c>
      <c r="G205" s="20">
        <v>6.0</v>
      </c>
      <c r="H205" s="21">
        <v>1.0</v>
      </c>
      <c r="I205" s="21">
        <v>6.0</v>
      </c>
      <c r="J205" s="21">
        <v>2.0</v>
      </c>
      <c r="K205" s="21">
        <v>6.0</v>
      </c>
      <c r="L205" s="21">
        <v>3.0</v>
      </c>
      <c r="M205" s="21"/>
      <c r="N205" s="21"/>
      <c r="O205" s="21"/>
      <c r="P205" s="22"/>
      <c r="Q205" s="8" t="s">
        <v>537</v>
      </c>
      <c r="R205" s="8" t="s">
        <v>51</v>
      </c>
      <c r="S205" s="8" t="s">
        <v>52</v>
      </c>
      <c r="T205" s="14">
        <f t="shared" si="1"/>
        <v>1</v>
      </c>
      <c r="U205" s="14">
        <f t="shared" si="2"/>
        <v>0</v>
      </c>
      <c r="V205" s="15">
        <f t="shared" si="3"/>
        <v>1</v>
      </c>
    </row>
    <row r="206" ht="15.75" customHeight="1">
      <c r="A206" s="7" t="s">
        <v>552</v>
      </c>
      <c r="B206" s="8" t="s">
        <v>30</v>
      </c>
      <c r="C206" s="9" t="s">
        <v>553</v>
      </c>
      <c r="D206" s="9" t="s">
        <v>51</v>
      </c>
      <c r="E206" s="9" t="s">
        <v>52</v>
      </c>
      <c r="F206" s="9" t="s">
        <v>554</v>
      </c>
      <c r="G206" s="11">
        <v>6.0</v>
      </c>
      <c r="H206" s="12">
        <v>4.0</v>
      </c>
      <c r="I206" s="12">
        <v>6.0</v>
      </c>
      <c r="J206" s="12">
        <v>3.0</v>
      </c>
      <c r="K206" s="12">
        <v>6.0</v>
      </c>
      <c r="L206" s="12">
        <v>2.0</v>
      </c>
      <c r="M206" s="12"/>
      <c r="N206" s="12"/>
      <c r="O206" s="12"/>
      <c r="P206" s="13"/>
      <c r="Q206" s="9" t="s">
        <v>537</v>
      </c>
      <c r="R206" s="9" t="s">
        <v>51</v>
      </c>
      <c r="S206" s="9" t="s">
        <v>52</v>
      </c>
      <c r="T206" s="14">
        <f t="shared" si="1"/>
        <v>2</v>
      </c>
      <c r="U206" s="14">
        <f t="shared" si="2"/>
        <v>0</v>
      </c>
      <c r="V206" s="15">
        <f t="shared" si="3"/>
        <v>1</v>
      </c>
    </row>
    <row r="207" ht="15.75" customHeight="1">
      <c r="A207" s="16" t="s">
        <v>555</v>
      </c>
      <c r="B207" s="8" t="s">
        <v>30</v>
      </c>
      <c r="C207" s="8" t="s">
        <v>556</v>
      </c>
      <c r="D207" s="8" t="s">
        <v>330</v>
      </c>
      <c r="E207" s="8" t="s">
        <v>331</v>
      </c>
      <c r="F207" s="8" t="s">
        <v>557</v>
      </c>
      <c r="G207" s="20">
        <v>6.0</v>
      </c>
      <c r="H207" s="21">
        <v>1.0</v>
      </c>
      <c r="I207" s="21">
        <v>7.0</v>
      </c>
      <c r="J207" s="21">
        <v>5.0</v>
      </c>
      <c r="K207" s="21">
        <v>6.0</v>
      </c>
      <c r="L207" s="21">
        <v>2.0</v>
      </c>
      <c r="M207" s="21"/>
      <c r="N207" s="21"/>
      <c r="O207" s="21"/>
      <c r="P207" s="22"/>
      <c r="Q207" s="8" t="s">
        <v>542</v>
      </c>
      <c r="R207" s="8" t="s">
        <v>51</v>
      </c>
      <c r="S207" s="8" t="s">
        <v>52</v>
      </c>
      <c r="T207" s="14">
        <f t="shared" si="1"/>
        <v>2</v>
      </c>
      <c r="U207" s="14">
        <f t="shared" si="2"/>
        <v>0</v>
      </c>
      <c r="V207" s="15">
        <f t="shared" si="3"/>
        <v>1</v>
      </c>
    </row>
    <row r="208" ht="15.75" customHeight="1">
      <c r="A208" s="7" t="s">
        <v>558</v>
      </c>
      <c r="B208" s="8" t="s">
        <v>30</v>
      </c>
      <c r="C208" s="9" t="s">
        <v>559</v>
      </c>
      <c r="D208" s="9" t="s">
        <v>55</v>
      </c>
      <c r="E208" s="9" t="s">
        <v>56</v>
      </c>
      <c r="F208" s="9" t="s">
        <v>560</v>
      </c>
      <c r="G208" s="11">
        <v>3.0</v>
      </c>
      <c r="H208" s="12">
        <v>6.0</v>
      </c>
      <c r="I208" s="12">
        <v>3.0</v>
      </c>
      <c r="J208" s="12">
        <v>6.0</v>
      </c>
      <c r="K208" s="12">
        <v>6.0</v>
      </c>
      <c r="L208" s="12">
        <v>0.0</v>
      </c>
      <c r="M208" s="12">
        <v>6.0</v>
      </c>
      <c r="N208" s="12">
        <v>2.0</v>
      </c>
      <c r="O208" s="12">
        <v>6.0</v>
      </c>
      <c r="P208" s="13">
        <v>3.0</v>
      </c>
      <c r="Q208" s="9" t="s">
        <v>561</v>
      </c>
      <c r="R208" s="9" t="s">
        <v>51</v>
      </c>
      <c r="S208" s="9" t="s">
        <v>52</v>
      </c>
      <c r="T208" s="14">
        <f t="shared" si="1"/>
        <v>1</v>
      </c>
      <c r="U208" s="14">
        <f t="shared" si="2"/>
        <v>0</v>
      </c>
      <c r="V208" s="15">
        <f t="shared" si="3"/>
        <v>1</v>
      </c>
    </row>
    <row r="209" ht="15.75" customHeight="1">
      <c r="A209" s="16" t="s">
        <v>562</v>
      </c>
      <c r="B209" s="8" t="s">
        <v>30</v>
      </c>
      <c r="C209" s="8" t="s">
        <v>537</v>
      </c>
      <c r="D209" s="8" t="s">
        <v>51</v>
      </c>
      <c r="E209" s="8" t="s">
        <v>52</v>
      </c>
      <c r="F209" s="8" t="s">
        <v>563</v>
      </c>
      <c r="G209" s="20">
        <v>6.0</v>
      </c>
      <c r="H209" s="21">
        <v>3.0</v>
      </c>
      <c r="I209" s="21">
        <v>6.0</v>
      </c>
      <c r="J209" s="21">
        <v>4.0</v>
      </c>
      <c r="K209" s="21">
        <v>6.0</v>
      </c>
      <c r="L209" s="21">
        <v>4.0</v>
      </c>
      <c r="M209" s="21"/>
      <c r="N209" s="21"/>
      <c r="O209" s="21"/>
      <c r="P209" s="22"/>
      <c r="Q209" s="8" t="s">
        <v>544</v>
      </c>
      <c r="R209" s="8" t="s">
        <v>330</v>
      </c>
      <c r="S209" s="8" t="s">
        <v>331</v>
      </c>
      <c r="T209" s="14">
        <f t="shared" si="1"/>
        <v>1</v>
      </c>
      <c r="U209" s="14">
        <f t="shared" si="2"/>
        <v>3</v>
      </c>
      <c r="V209" s="15">
        <f t="shared" si="3"/>
        <v>0.25</v>
      </c>
    </row>
    <row r="210" ht="15.75" customHeight="1">
      <c r="A210" s="7" t="s">
        <v>564</v>
      </c>
      <c r="B210" s="8" t="s">
        <v>30</v>
      </c>
      <c r="C210" s="9" t="s">
        <v>556</v>
      </c>
      <c r="D210" s="9" t="s">
        <v>330</v>
      </c>
      <c r="E210" s="9" t="s">
        <v>331</v>
      </c>
      <c r="F210" s="9" t="s">
        <v>565</v>
      </c>
      <c r="G210" s="11">
        <v>6.0</v>
      </c>
      <c r="H210" s="12">
        <v>0.0</v>
      </c>
      <c r="I210" s="12">
        <v>6.0</v>
      </c>
      <c r="J210" s="12">
        <v>4.0</v>
      </c>
      <c r="K210" s="12">
        <v>6.0</v>
      </c>
      <c r="L210" s="12">
        <v>4.0</v>
      </c>
      <c r="M210" s="12"/>
      <c r="N210" s="12"/>
      <c r="O210" s="12"/>
      <c r="P210" s="13"/>
      <c r="Q210" s="9" t="s">
        <v>566</v>
      </c>
      <c r="R210" s="9" t="s">
        <v>330</v>
      </c>
      <c r="S210" s="9" t="s">
        <v>331</v>
      </c>
      <c r="T210" s="14">
        <f t="shared" si="1"/>
        <v>2</v>
      </c>
      <c r="U210" s="14">
        <f t="shared" si="2"/>
        <v>0</v>
      </c>
      <c r="V210" s="15">
        <f t="shared" si="3"/>
        <v>1</v>
      </c>
    </row>
    <row r="211" ht="15.75" customHeight="1">
      <c r="A211" s="16" t="s">
        <v>567</v>
      </c>
      <c r="B211" s="8" t="s">
        <v>30</v>
      </c>
      <c r="C211" s="8" t="s">
        <v>553</v>
      </c>
      <c r="D211" s="8" t="s">
        <v>51</v>
      </c>
      <c r="E211" s="8" t="s">
        <v>52</v>
      </c>
      <c r="F211" s="8" t="s">
        <v>568</v>
      </c>
      <c r="G211" s="20">
        <v>4.0</v>
      </c>
      <c r="H211" s="21">
        <v>6.0</v>
      </c>
      <c r="I211" s="21">
        <v>6.0</v>
      </c>
      <c r="J211" s="21">
        <v>3.0</v>
      </c>
      <c r="K211" s="21">
        <v>6.0</v>
      </c>
      <c r="L211" s="21">
        <v>4.0</v>
      </c>
      <c r="M211" s="21">
        <v>6.0</v>
      </c>
      <c r="N211" s="21">
        <v>4.0</v>
      </c>
      <c r="O211" s="21"/>
      <c r="P211" s="22"/>
      <c r="Q211" s="8" t="s">
        <v>569</v>
      </c>
      <c r="R211" s="8" t="s">
        <v>51</v>
      </c>
      <c r="S211" s="8" t="s">
        <v>52</v>
      </c>
      <c r="T211" s="14">
        <f t="shared" si="1"/>
        <v>2</v>
      </c>
      <c r="U211" s="14">
        <f t="shared" si="2"/>
        <v>0</v>
      </c>
      <c r="V211" s="15">
        <f t="shared" si="3"/>
        <v>1</v>
      </c>
    </row>
    <row r="212" ht="15.75" customHeight="1">
      <c r="A212" s="26"/>
      <c r="T212" s="14"/>
      <c r="U212" s="14"/>
      <c r="V212" s="14"/>
    </row>
    <row r="213" ht="15.75" customHeight="1">
      <c r="A213" s="26"/>
      <c r="T213" s="14"/>
      <c r="U213" s="14"/>
      <c r="V213" s="14"/>
    </row>
    <row r="214" ht="15.75" customHeight="1">
      <c r="A214" s="26"/>
      <c r="T214" s="14"/>
      <c r="U214" s="14"/>
      <c r="V214" s="14"/>
    </row>
    <row r="215" ht="15.75" customHeight="1">
      <c r="A215" s="26"/>
      <c r="T215" s="14"/>
      <c r="U215" s="14"/>
      <c r="V215" s="14"/>
    </row>
    <row r="216" ht="15.75" customHeight="1">
      <c r="A216" s="26"/>
      <c r="T216" s="14"/>
      <c r="U216" s="14"/>
      <c r="V216" s="14"/>
    </row>
    <row r="217" ht="15.75" customHeight="1">
      <c r="A217" s="26"/>
      <c r="T217" s="14"/>
      <c r="U217" s="14"/>
      <c r="V217" s="14"/>
    </row>
    <row r="218" ht="15.75" customHeight="1">
      <c r="A218" s="26"/>
      <c r="T218" s="14"/>
      <c r="U218" s="14"/>
      <c r="V218" s="14"/>
    </row>
    <row r="219" ht="15.75" customHeight="1">
      <c r="A219" s="26"/>
      <c r="T219" s="14"/>
      <c r="U219" s="14"/>
      <c r="V219" s="14"/>
    </row>
    <row r="220" ht="15.75" customHeight="1">
      <c r="A220" s="26"/>
      <c r="T220" s="14"/>
      <c r="U220" s="14"/>
      <c r="V220" s="14"/>
    </row>
    <row r="221" ht="15.75" customHeight="1">
      <c r="A221" s="26"/>
      <c r="T221" s="14"/>
      <c r="U221" s="14"/>
      <c r="V221" s="14"/>
    </row>
    <row r="222" ht="15.75" customHeight="1">
      <c r="A222" s="26"/>
      <c r="T222" s="14"/>
      <c r="U222" s="14"/>
      <c r="V222" s="14"/>
    </row>
    <row r="223" ht="15.75" customHeight="1">
      <c r="A223" s="26"/>
      <c r="T223" s="14"/>
      <c r="U223" s="14"/>
      <c r="V223" s="14"/>
    </row>
    <row r="224" ht="15.75" customHeight="1">
      <c r="A224" s="26"/>
      <c r="T224" s="14"/>
      <c r="U224" s="14"/>
      <c r="V224" s="14"/>
    </row>
    <row r="225" ht="15.75" customHeight="1">
      <c r="A225" s="26"/>
      <c r="T225" s="14"/>
      <c r="U225" s="14"/>
      <c r="V225" s="14"/>
    </row>
    <row r="226" ht="15.75" customHeight="1">
      <c r="A226" s="26"/>
      <c r="T226" s="14"/>
      <c r="U226" s="14"/>
      <c r="V226" s="14"/>
    </row>
    <row r="227" ht="15.75" customHeight="1">
      <c r="A227" s="26"/>
      <c r="T227" s="14"/>
      <c r="U227" s="14"/>
      <c r="V227" s="14"/>
    </row>
    <row r="228" ht="15.75" customHeight="1">
      <c r="A228" s="26"/>
      <c r="T228" s="14"/>
      <c r="U228" s="14"/>
      <c r="V228" s="14"/>
    </row>
    <row r="229" ht="15.75" customHeight="1">
      <c r="A229" s="26"/>
      <c r="T229" s="14"/>
      <c r="U229" s="14"/>
      <c r="V229" s="14"/>
    </row>
    <row r="230" ht="15.75" customHeight="1">
      <c r="A230" s="26"/>
      <c r="T230" s="14"/>
      <c r="U230" s="14"/>
      <c r="V230" s="14"/>
    </row>
    <row r="231" ht="15.75" customHeight="1">
      <c r="A231" s="26"/>
      <c r="T231" s="14"/>
      <c r="U231" s="14"/>
      <c r="V231" s="14"/>
    </row>
    <row r="232" ht="15.75" customHeight="1">
      <c r="A232" s="26"/>
      <c r="T232" s="14"/>
      <c r="U232" s="14"/>
      <c r="V232" s="14"/>
    </row>
    <row r="233" ht="15.75" customHeight="1">
      <c r="A233" s="26"/>
      <c r="T233" s="14"/>
      <c r="U233" s="14"/>
      <c r="V233" s="14"/>
    </row>
    <row r="234" ht="15.75" customHeight="1">
      <c r="A234" s="26"/>
      <c r="T234" s="14"/>
      <c r="U234" s="14"/>
      <c r="V234" s="14"/>
    </row>
    <row r="235" ht="15.75" customHeight="1">
      <c r="A235" s="26"/>
      <c r="T235" s="14"/>
      <c r="U235" s="14"/>
      <c r="V235" s="14"/>
    </row>
    <row r="236" ht="15.75" customHeight="1">
      <c r="A236" s="26"/>
      <c r="T236" s="14"/>
      <c r="U236" s="14"/>
      <c r="V236" s="14"/>
    </row>
    <row r="237" ht="15.75" customHeight="1">
      <c r="A237" s="26"/>
      <c r="T237" s="14"/>
      <c r="U237" s="14"/>
      <c r="V237" s="14"/>
    </row>
    <row r="238" ht="15.75" customHeight="1">
      <c r="A238" s="26"/>
      <c r="T238" s="14"/>
      <c r="U238" s="14"/>
      <c r="V238" s="14"/>
    </row>
    <row r="239" ht="15.75" customHeight="1">
      <c r="A239" s="26"/>
      <c r="T239" s="14"/>
      <c r="U239" s="14"/>
      <c r="V239" s="14"/>
    </row>
    <row r="240" ht="15.75" customHeight="1">
      <c r="A240" s="26"/>
      <c r="T240" s="14"/>
      <c r="U240" s="14"/>
      <c r="V240" s="14"/>
    </row>
    <row r="241" ht="15.75" customHeight="1">
      <c r="A241" s="26"/>
      <c r="T241" s="14"/>
      <c r="U241" s="14"/>
      <c r="V241" s="14"/>
    </row>
    <row r="242" ht="15.75" customHeight="1">
      <c r="A242" s="26"/>
      <c r="T242" s="14"/>
      <c r="U242" s="14"/>
      <c r="V242" s="14"/>
    </row>
    <row r="243" ht="15.75" customHeight="1">
      <c r="A243" s="26"/>
      <c r="T243" s="14"/>
      <c r="U243" s="14"/>
      <c r="V243" s="14"/>
    </row>
    <row r="244" ht="15.75" customHeight="1">
      <c r="A244" s="26"/>
      <c r="T244" s="14"/>
      <c r="U244" s="14"/>
      <c r="V244" s="14"/>
    </row>
    <row r="245" ht="15.75" customHeight="1">
      <c r="A245" s="26"/>
      <c r="T245" s="14"/>
      <c r="U245" s="14"/>
      <c r="V245" s="14"/>
    </row>
    <row r="246" ht="15.75" customHeight="1">
      <c r="A246" s="26"/>
      <c r="T246" s="14"/>
      <c r="U246" s="14"/>
      <c r="V246" s="14"/>
    </row>
    <row r="247" ht="15.75" customHeight="1">
      <c r="A247" s="26"/>
      <c r="T247" s="14"/>
      <c r="U247" s="14"/>
      <c r="V247" s="14"/>
    </row>
    <row r="248" ht="15.75" customHeight="1">
      <c r="A248" s="26"/>
      <c r="T248" s="14"/>
      <c r="U248" s="14"/>
      <c r="V248" s="14"/>
    </row>
    <row r="249" ht="15.75" customHeight="1">
      <c r="A249" s="26"/>
      <c r="T249" s="14"/>
      <c r="U249" s="14"/>
      <c r="V249" s="14"/>
    </row>
    <row r="250" ht="15.75" customHeight="1">
      <c r="A250" s="26"/>
      <c r="T250" s="14"/>
      <c r="U250" s="14"/>
      <c r="V250" s="14"/>
    </row>
    <row r="251" ht="15.75" customHeight="1">
      <c r="A251" s="26"/>
      <c r="T251" s="14"/>
      <c r="U251" s="14"/>
      <c r="V251" s="14"/>
    </row>
    <row r="252" ht="15.75" customHeight="1">
      <c r="A252" s="26"/>
      <c r="T252" s="14"/>
      <c r="U252" s="14"/>
      <c r="V252" s="14"/>
    </row>
    <row r="253" ht="15.75" customHeight="1">
      <c r="A253" s="26"/>
      <c r="T253" s="14"/>
      <c r="U253" s="14"/>
      <c r="V253" s="14"/>
    </row>
    <row r="254" ht="15.75" customHeight="1">
      <c r="A254" s="26"/>
      <c r="T254" s="14"/>
      <c r="U254" s="14"/>
      <c r="V254" s="14"/>
    </row>
    <row r="255" ht="15.75" customHeight="1">
      <c r="A255" s="26"/>
      <c r="T255" s="14"/>
      <c r="U255" s="14"/>
      <c r="V255" s="14"/>
    </row>
    <row r="256" ht="15.75" customHeight="1">
      <c r="A256" s="26"/>
      <c r="T256" s="14"/>
      <c r="U256" s="14"/>
      <c r="V256" s="14"/>
    </row>
    <row r="257" ht="15.75" customHeight="1">
      <c r="A257" s="26"/>
      <c r="T257" s="14"/>
      <c r="U257" s="14"/>
      <c r="V257" s="14"/>
    </row>
    <row r="258" ht="15.75" customHeight="1">
      <c r="A258" s="26"/>
      <c r="T258" s="14"/>
      <c r="U258" s="14"/>
      <c r="V258" s="14"/>
    </row>
    <row r="259" ht="15.75" customHeight="1">
      <c r="A259" s="26"/>
      <c r="T259" s="14"/>
      <c r="U259" s="14"/>
      <c r="V259" s="14"/>
    </row>
    <row r="260" ht="15.75" customHeight="1">
      <c r="A260" s="26"/>
      <c r="T260" s="14"/>
      <c r="U260" s="14"/>
      <c r="V260" s="14"/>
    </row>
    <row r="261" ht="15.75" customHeight="1">
      <c r="A261" s="26"/>
      <c r="T261" s="14"/>
      <c r="U261" s="14"/>
      <c r="V261" s="14"/>
    </row>
    <row r="262" ht="15.75" customHeight="1">
      <c r="A262" s="26"/>
      <c r="T262" s="14"/>
      <c r="U262" s="14"/>
      <c r="V262" s="14"/>
    </row>
    <row r="263" ht="15.75" customHeight="1">
      <c r="A263" s="26"/>
      <c r="T263" s="14"/>
      <c r="U263" s="14"/>
      <c r="V263" s="14"/>
    </row>
    <row r="264" ht="15.75" customHeight="1">
      <c r="A264" s="26"/>
      <c r="T264" s="14"/>
      <c r="U264" s="14"/>
      <c r="V264" s="14"/>
    </row>
    <row r="265" ht="15.75" customHeight="1">
      <c r="A265" s="26"/>
      <c r="T265" s="14"/>
      <c r="U265" s="14"/>
      <c r="V265" s="14"/>
    </row>
    <row r="266" ht="15.75" customHeight="1">
      <c r="A266" s="26"/>
      <c r="T266" s="14"/>
      <c r="U266" s="14"/>
      <c r="V266" s="14"/>
    </row>
    <row r="267" ht="15.75" customHeight="1">
      <c r="A267" s="26"/>
      <c r="T267" s="14"/>
      <c r="U267" s="14"/>
      <c r="V267" s="14"/>
    </row>
    <row r="268" ht="15.75" customHeight="1">
      <c r="A268" s="26"/>
      <c r="T268" s="14"/>
      <c r="U268" s="14"/>
      <c r="V268" s="14"/>
    </row>
    <row r="269" ht="15.75" customHeight="1">
      <c r="A269" s="26"/>
      <c r="T269" s="14"/>
      <c r="U269" s="14"/>
      <c r="V269" s="14"/>
    </row>
    <row r="270" ht="15.75" customHeight="1">
      <c r="A270" s="26"/>
      <c r="T270" s="14"/>
      <c r="U270" s="14"/>
      <c r="V270" s="14"/>
    </row>
    <row r="271" ht="15.75" customHeight="1">
      <c r="A271" s="26"/>
      <c r="T271" s="14"/>
      <c r="U271" s="14"/>
      <c r="V271" s="14"/>
    </row>
    <row r="272" ht="15.75" customHeight="1">
      <c r="A272" s="26"/>
      <c r="T272" s="14"/>
      <c r="U272" s="14"/>
      <c r="V272" s="14"/>
    </row>
    <row r="273" ht="15.75" customHeight="1">
      <c r="A273" s="26"/>
      <c r="T273" s="14"/>
      <c r="U273" s="14"/>
      <c r="V273" s="14"/>
    </row>
    <row r="274" ht="15.75" customHeight="1">
      <c r="A274" s="26"/>
      <c r="T274" s="14"/>
      <c r="U274" s="14"/>
      <c r="V274" s="14"/>
    </row>
    <row r="275" ht="15.75" customHeight="1">
      <c r="A275" s="26"/>
      <c r="T275" s="14"/>
      <c r="U275" s="14"/>
      <c r="V275" s="14"/>
    </row>
    <row r="276" ht="15.75" customHeight="1">
      <c r="A276" s="26"/>
      <c r="T276" s="14"/>
      <c r="U276" s="14"/>
      <c r="V276" s="14"/>
    </row>
    <row r="277" ht="15.75" customHeight="1">
      <c r="A277" s="26"/>
      <c r="T277" s="14"/>
      <c r="U277" s="14"/>
      <c r="V277" s="14"/>
    </row>
    <row r="278" ht="15.75" customHeight="1">
      <c r="A278" s="26"/>
      <c r="T278" s="14"/>
      <c r="U278" s="14"/>
      <c r="V278" s="14"/>
    </row>
    <row r="279" ht="15.75" customHeight="1">
      <c r="A279" s="26"/>
      <c r="T279" s="14"/>
      <c r="U279" s="14"/>
      <c r="V279" s="14"/>
    </row>
    <row r="280" ht="15.75" customHeight="1">
      <c r="A280" s="26"/>
      <c r="T280" s="14"/>
      <c r="U280" s="14"/>
      <c r="V280" s="14"/>
    </row>
    <row r="281" ht="15.75" customHeight="1">
      <c r="A281" s="26"/>
      <c r="T281" s="14"/>
      <c r="U281" s="14"/>
      <c r="V281" s="14"/>
    </row>
    <row r="282" ht="15.75" customHeight="1">
      <c r="A282" s="26"/>
      <c r="T282" s="14"/>
      <c r="U282" s="14"/>
      <c r="V282" s="14"/>
    </row>
    <row r="283" ht="15.75" customHeight="1">
      <c r="A283" s="26"/>
      <c r="T283" s="14"/>
      <c r="U283" s="14"/>
      <c r="V283" s="14"/>
    </row>
    <row r="284" ht="15.75" customHeight="1">
      <c r="A284" s="26"/>
      <c r="T284" s="14"/>
      <c r="U284" s="14"/>
      <c r="V284" s="14"/>
    </row>
    <row r="285" ht="15.75" customHeight="1">
      <c r="A285" s="26"/>
      <c r="T285" s="14"/>
      <c r="U285" s="14"/>
      <c r="V285" s="14"/>
    </row>
    <row r="286" ht="15.75" customHeight="1">
      <c r="A286" s="26"/>
      <c r="T286" s="14"/>
      <c r="U286" s="14"/>
      <c r="V286" s="14"/>
    </row>
    <row r="287" ht="15.75" customHeight="1">
      <c r="A287" s="26"/>
      <c r="T287" s="14"/>
      <c r="U287" s="14"/>
      <c r="V287" s="14"/>
    </row>
    <row r="288" ht="15.75" customHeight="1">
      <c r="A288" s="26"/>
      <c r="T288" s="14"/>
      <c r="U288" s="14"/>
      <c r="V288" s="14"/>
    </row>
    <row r="289" ht="15.75" customHeight="1">
      <c r="A289" s="26"/>
      <c r="T289" s="14"/>
      <c r="U289" s="14"/>
      <c r="V289" s="14"/>
    </row>
    <row r="290" ht="15.75" customHeight="1">
      <c r="A290" s="26"/>
      <c r="T290" s="14"/>
      <c r="U290" s="14"/>
      <c r="V290" s="14"/>
    </row>
    <row r="291" ht="15.75" customHeight="1">
      <c r="A291" s="26"/>
      <c r="T291" s="14"/>
      <c r="U291" s="14"/>
      <c r="V291" s="14"/>
    </row>
    <row r="292" ht="15.75" customHeight="1">
      <c r="A292" s="26"/>
      <c r="T292" s="14"/>
      <c r="U292" s="14"/>
      <c r="V292" s="14"/>
    </row>
    <row r="293" ht="15.75" customHeight="1">
      <c r="A293" s="26"/>
      <c r="T293" s="14"/>
      <c r="U293" s="14"/>
      <c r="V293" s="14"/>
    </row>
    <row r="294" ht="15.75" customHeight="1">
      <c r="A294" s="26"/>
      <c r="T294" s="14"/>
      <c r="U294" s="14"/>
      <c r="V294" s="14"/>
    </row>
    <row r="295" ht="15.75" customHeight="1">
      <c r="A295" s="26"/>
      <c r="T295" s="14"/>
      <c r="U295" s="14"/>
      <c r="V295" s="14"/>
    </row>
    <row r="296" ht="15.75" customHeight="1">
      <c r="A296" s="26"/>
      <c r="T296" s="14"/>
      <c r="U296" s="14"/>
      <c r="V296" s="14"/>
    </row>
    <row r="297" ht="15.75" customHeight="1">
      <c r="A297" s="26"/>
      <c r="T297" s="14"/>
      <c r="U297" s="14"/>
      <c r="V297" s="14"/>
    </row>
    <row r="298" ht="15.75" customHeight="1">
      <c r="A298" s="26"/>
      <c r="T298" s="14"/>
      <c r="U298" s="14"/>
      <c r="V298" s="14"/>
    </row>
    <row r="299" ht="15.75" customHeight="1">
      <c r="A299" s="26"/>
      <c r="T299" s="14"/>
      <c r="U299" s="14"/>
      <c r="V299" s="14"/>
    </row>
    <row r="300" ht="15.75" customHeight="1">
      <c r="A300" s="26"/>
      <c r="T300" s="14"/>
      <c r="U300" s="14"/>
      <c r="V300" s="14"/>
    </row>
    <row r="301" ht="15.75" customHeight="1">
      <c r="A301" s="26"/>
      <c r="T301" s="14"/>
      <c r="U301" s="14"/>
      <c r="V301" s="14"/>
    </row>
    <row r="302" ht="15.75" customHeight="1">
      <c r="A302" s="26"/>
      <c r="T302" s="14"/>
      <c r="U302" s="14"/>
      <c r="V302" s="14"/>
    </row>
    <row r="303" ht="15.75" customHeight="1">
      <c r="A303" s="26"/>
      <c r="T303" s="14"/>
      <c r="U303" s="14"/>
      <c r="V303" s="14"/>
    </row>
    <row r="304" ht="15.75" customHeight="1">
      <c r="A304" s="26"/>
      <c r="T304" s="14"/>
      <c r="U304" s="14"/>
      <c r="V304" s="14"/>
    </row>
    <row r="305" ht="15.75" customHeight="1">
      <c r="A305" s="26"/>
      <c r="T305" s="14"/>
      <c r="U305" s="14"/>
      <c r="V305" s="14"/>
    </row>
    <row r="306" ht="15.75" customHeight="1">
      <c r="A306" s="26"/>
      <c r="T306" s="14"/>
      <c r="U306" s="14"/>
      <c r="V306" s="14"/>
    </row>
    <row r="307" ht="15.75" customHeight="1">
      <c r="A307" s="26"/>
      <c r="T307" s="14"/>
      <c r="U307" s="14"/>
      <c r="V307" s="14"/>
    </row>
    <row r="308" ht="15.75" customHeight="1">
      <c r="A308" s="26"/>
      <c r="T308" s="14"/>
      <c r="U308" s="14"/>
      <c r="V308" s="14"/>
    </row>
    <row r="309" ht="15.75" customHeight="1">
      <c r="A309" s="26"/>
      <c r="T309" s="14"/>
      <c r="U309" s="14"/>
      <c r="V309" s="14"/>
    </row>
    <row r="310" ht="15.75" customHeight="1">
      <c r="A310" s="26"/>
      <c r="T310" s="14"/>
      <c r="U310" s="14"/>
      <c r="V310" s="14"/>
    </row>
    <row r="311" ht="15.75" customHeight="1">
      <c r="A311" s="26"/>
      <c r="T311" s="14"/>
      <c r="U311" s="14"/>
      <c r="V311" s="14"/>
    </row>
    <row r="312" ht="15.75" customHeight="1">
      <c r="A312" s="26"/>
      <c r="T312" s="14"/>
      <c r="U312" s="14"/>
      <c r="V312" s="14"/>
    </row>
    <row r="313" ht="15.75" customHeight="1">
      <c r="A313" s="26"/>
      <c r="T313" s="14"/>
      <c r="U313" s="14"/>
      <c r="V313" s="14"/>
    </row>
    <row r="314" ht="15.75" customHeight="1">
      <c r="A314" s="26"/>
      <c r="T314" s="14"/>
      <c r="U314" s="14"/>
      <c r="V314" s="14"/>
    </row>
    <row r="315" ht="15.75" customHeight="1">
      <c r="A315" s="26"/>
      <c r="T315" s="14"/>
      <c r="U315" s="14"/>
      <c r="V315" s="14"/>
    </row>
    <row r="316" ht="15.75" customHeight="1">
      <c r="A316" s="26"/>
      <c r="T316" s="14"/>
      <c r="U316" s="14"/>
      <c r="V316" s="14"/>
    </row>
    <row r="317" ht="15.75" customHeight="1">
      <c r="A317" s="26"/>
      <c r="T317" s="14"/>
      <c r="U317" s="14"/>
      <c r="V317" s="14"/>
    </row>
    <row r="318" ht="15.75" customHeight="1">
      <c r="A318" s="26"/>
      <c r="T318" s="14"/>
      <c r="U318" s="14"/>
      <c r="V318" s="14"/>
    </row>
    <row r="319" ht="15.75" customHeight="1">
      <c r="A319" s="26"/>
      <c r="T319" s="14"/>
      <c r="U319" s="14"/>
      <c r="V319" s="14"/>
    </row>
    <row r="320" ht="15.75" customHeight="1">
      <c r="A320" s="26"/>
      <c r="T320" s="14"/>
      <c r="U320" s="14"/>
      <c r="V320" s="14"/>
    </row>
    <row r="321" ht="15.75" customHeight="1">
      <c r="A321" s="26"/>
      <c r="T321" s="14"/>
      <c r="U321" s="14"/>
      <c r="V321" s="14"/>
    </row>
    <row r="322" ht="15.75" customHeight="1">
      <c r="A322" s="26"/>
      <c r="T322" s="14"/>
      <c r="U322" s="14"/>
      <c r="V322" s="14"/>
    </row>
    <row r="323" ht="15.75" customHeight="1">
      <c r="A323" s="26"/>
      <c r="T323" s="14"/>
      <c r="U323" s="14"/>
      <c r="V323" s="14"/>
    </row>
    <row r="324" ht="15.75" customHeight="1">
      <c r="A324" s="26"/>
      <c r="T324" s="14"/>
      <c r="U324" s="14"/>
      <c r="V324" s="14"/>
    </row>
    <row r="325" ht="15.75" customHeight="1">
      <c r="A325" s="26"/>
      <c r="T325" s="14"/>
      <c r="U325" s="14"/>
      <c r="V325" s="14"/>
    </row>
    <row r="326" ht="15.75" customHeight="1">
      <c r="A326" s="26"/>
      <c r="T326" s="14"/>
      <c r="U326" s="14"/>
      <c r="V326" s="14"/>
    </row>
    <row r="327" ht="15.75" customHeight="1">
      <c r="A327" s="26"/>
      <c r="T327" s="14"/>
      <c r="U327" s="14"/>
      <c r="V327" s="14"/>
    </row>
    <row r="328" ht="15.75" customHeight="1">
      <c r="A328" s="26"/>
      <c r="T328" s="14"/>
      <c r="U328" s="14"/>
      <c r="V328" s="14"/>
    </row>
    <row r="329" ht="15.75" customHeight="1">
      <c r="A329" s="26"/>
      <c r="T329" s="14"/>
      <c r="U329" s="14"/>
      <c r="V329" s="14"/>
    </row>
    <row r="330" ht="15.75" customHeight="1">
      <c r="A330" s="26"/>
      <c r="T330" s="14"/>
      <c r="U330" s="14"/>
      <c r="V330" s="14"/>
    </row>
    <row r="331" ht="15.75" customHeight="1">
      <c r="A331" s="26"/>
      <c r="T331" s="14"/>
      <c r="U331" s="14"/>
      <c r="V331" s="14"/>
    </row>
    <row r="332" ht="15.75" customHeight="1">
      <c r="A332" s="26"/>
      <c r="T332" s="14"/>
      <c r="U332" s="14"/>
      <c r="V332" s="14"/>
    </row>
    <row r="333" ht="15.75" customHeight="1">
      <c r="A333" s="26"/>
      <c r="T333" s="14"/>
      <c r="U333" s="14"/>
      <c r="V333" s="14"/>
    </row>
    <row r="334" ht="15.75" customHeight="1">
      <c r="A334" s="26"/>
      <c r="T334" s="14"/>
      <c r="U334" s="14"/>
      <c r="V334" s="14"/>
    </row>
    <row r="335" ht="15.75" customHeight="1">
      <c r="A335" s="26"/>
      <c r="T335" s="14"/>
      <c r="U335" s="14"/>
      <c r="V335" s="14"/>
    </row>
    <row r="336" ht="15.75" customHeight="1">
      <c r="A336" s="26"/>
      <c r="T336" s="14"/>
      <c r="U336" s="14"/>
      <c r="V336" s="14"/>
    </row>
    <row r="337" ht="15.75" customHeight="1">
      <c r="A337" s="26"/>
      <c r="T337" s="14"/>
      <c r="U337" s="14"/>
      <c r="V337" s="14"/>
    </row>
    <row r="338" ht="15.75" customHeight="1">
      <c r="A338" s="26"/>
      <c r="T338" s="14"/>
      <c r="U338" s="14"/>
      <c r="V338" s="14"/>
    </row>
    <row r="339" ht="15.75" customHeight="1">
      <c r="A339" s="26"/>
      <c r="T339" s="14"/>
      <c r="U339" s="14"/>
      <c r="V339" s="14"/>
    </row>
    <row r="340" ht="15.75" customHeight="1">
      <c r="A340" s="26"/>
      <c r="T340" s="14"/>
      <c r="U340" s="14"/>
      <c r="V340" s="14"/>
    </row>
    <row r="341" ht="15.75" customHeight="1">
      <c r="A341" s="26"/>
      <c r="T341" s="14"/>
      <c r="U341" s="14"/>
      <c r="V341" s="14"/>
    </row>
    <row r="342" ht="15.75" customHeight="1">
      <c r="A342" s="26"/>
      <c r="T342" s="14"/>
      <c r="U342" s="14"/>
      <c r="V342" s="14"/>
    </row>
    <row r="343" ht="15.75" customHeight="1">
      <c r="A343" s="26"/>
      <c r="T343" s="14"/>
      <c r="U343" s="14"/>
      <c r="V343" s="14"/>
    </row>
    <row r="344" ht="15.75" customHeight="1">
      <c r="A344" s="26"/>
      <c r="T344" s="14"/>
      <c r="U344" s="14"/>
      <c r="V344" s="14"/>
    </row>
    <row r="345" ht="15.75" customHeight="1">
      <c r="A345" s="26"/>
      <c r="T345" s="14"/>
      <c r="U345" s="14"/>
      <c r="V345" s="14"/>
    </row>
    <row r="346" ht="15.75" customHeight="1">
      <c r="A346" s="26"/>
      <c r="T346" s="14"/>
      <c r="U346" s="14"/>
      <c r="V346" s="14"/>
    </row>
    <row r="347" ht="15.75" customHeight="1">
      <c r="A347" s="26"/>
      <c r="T347" s="14"/>
      <c r="U347" s="14"/>
      <c r="V347" s="14"/>
    </row>
    <row r="348" ht="15.75" customHeight="1">
      <c r="A348" s="26"/>
      <c r="T348" s="14"/>
      <c r="U348" s="14"/>
      <c r="V348" s="14"/>
    </row>
    <row r="349" ht="15.75" customHeight="1">
      <c r="A349" s="26"/>
      <c r="T349" s="14"/>
      <c r="U349" s="14"/>
      <c r="V349" s="14"/>
    </row>
    <row r="350" ht="15.75" customHeight="1">
      <c r="A350" s="26"/>
      <c r="T350" s="14"/>
      <c r="U350" s="14"/>
      <c r="V350" s="14"/>
    </row>
    <row r="351" ht="15.75" customHeight="1">
      <c r="A351" s="26"/>
      <c r="T351" s="14"/>
      <c r="U351" s="14"/>
      <c r="V351" s="14"/>
    </row>
    <row r="352" ht="15.75" customHeight="1">
      <c r="A352" s="26"/>
      <c r="T352" s="14"/>
      <c r="U352" s="14"/>
      <c r="V352" s="14"/>
    </row>
    <row r="353" ht="15.75" customHeight="1">
      <c r="A353" s="26"/>
      <c r="T353" s="14"/>
      <c r="U353" s="14"/>
      <c r="V353" s="14"/>
    </row>
    <row r="354" ht="15.75" customHeight="1">
      <c r="A354" s="26"/>
      <c r="T354" s="14"/>
      <c r="U354" s="14"/>
      <c r="V354" s="14"/>
    </row>
    <row r="355" ht="15.75" customHeight="1">
      <c r="A355" s="26"/>
      <c r="T355" s="14"/>
      <c r="U355" s="14"/>
      <c r="V355" s="14"/>
    </row>
    <row r="356" ht="15.75" customHeight="1">
      <c r="A356" s="26"/>
      <c r="T356" s="14"/>
      <c r="U356" s="14"/>
      <c r="V356" s="14"/>
    </row>
    <row r="357" ht="15.75" customHeight="1">
      <c r="A357" s="26"/>
      <c r="T357" s="14"/>
      <c r="U357" s="14"/>
      <c r="V357" s="14"/>
    </row>
    <row r="358" ht="15.75" customHeight="1">
      <c r="A358" s="26"/>
      <c r="T358" s="14"/>
      <c r="U358" s="14"/>
      <c r="V358" s="14"/>
    </row>
    <row r="359" ht="15.75" customHeight="1">
      <c r="A359" s="26"/>
      <c r="T359" s="14"/>
      <c r="U359" s="14"/>
      <c r="V359" s="14"/>
    </row>
    <row r="360" ht="15.75" customHeight="1">
      <c r="A360" s="26"/>
      <c r="T360" s="14"/>
      <c r="U360" s="14"/>
      <c r="V360" s="14"/>
    </row>
    <row r="361" ht="15.75" customHeight="1">
      <c r="A361" s="26"/>
      <c r="T361" s="14"/>
      <c r="U361" s="14"/>
      <c r="V361" s="14"/>
    </row>
    <row r="362" ht="15.75" customHeight="1">
      <c r="A362" s="26"/>
      <c r="T362" s="14"/>
      <c r="U362" s="14"/>
      <c r="V362" s="14"/>
    </row>
    <row r="363" ht="15.75" customHeight="1">
      <c r="A363" s="26"/>
      <c r="T363" s="14"/>
      <c r="U363" s="14"/>
      <c r="V363" s="14"/>
    </row>
    <row r="364" ht="15.75" customHeight="1">
      <c r="A364" s="26"/>
      <c r="T364" s="14"/>
      <c r="U364" s="14"/>
      <c r="V364" s="14"/>
    </row>
    <row r="365" ht="15.75" customHeight="1">
      <c r="A365" s="26"/>
      <c r="T365" s="14"/>
      <c r="U365" s="14"/>
      <c r="V365" s="14"/>
    </row>
    <row r="366" ht="15.75" customHeight="1">
      <c r="A366" s="26"/>
      <c r="T366" s="14"/>
      <c r="U366" s="14"/>
      <c r="V366" s="14"/>
    </row>
    <row r="367" ht="15.75" customHeight="1">
      <c r="A367" s="26"/>
      <c r="T367" s="14"/>
      <c r="U367" s="14"/>
      <c r="V367" s="14"/>
    </row>
    <row r="368" ht="15.75" customHeight="1">
      <c r="A368" s="26"/>
      <c r="T368" s="14"/>
      <c r="U368" s="14"/>
      <c r="V368" s="14"/>
    </row>
    <row r="369" ht="15.75" customHeight="1">
      <c r="A369" s="26"/>
      <c r="T369" s="14"/>
      <c r="U369" s="14"/>
      <c r="V369" s="14"/>
    </row>
    <row r="370" ht="15.75" customHeight="1">
      <c r="A370" s="26"/>
      <c r="T370" s="14"/>
      <c r="U370" s="14"/>
      <c r="V370" s="14"/>
    </row>
    <row r="371" ht="15.75" customHeight="1">
      <c r="A371" s="26"/>
      <c r="T371" s="14"/>
      <c r="U371" s="14"/>
      <c r="V371" s="14"/>
    </row>
    <row r="372" ht="15.75" customHeight="1">
      <c r="A372" s="26"/>
      <c r="T372" s="14"/>
      <c r="U372" s="14"/>
      <c r="V372" s="14"/>
    </row>
    <row r="373" ht="15.75" customHeight="1">
      <c r="A373" s="26"/>
      <c r="T373" s="14"/>
      <c r="U373" s="14"/>
      <c r="V373" s="14"/>
    </row>
    <row r="374" ht="15.75" customHeight="1">
      <c r="A374" s="26"/>
      <c r="T374" s="14"/>
      <c r="U374" s="14"/>
      <c r="V374" s="14"/>
    </row>
    <row r="375" ht="15.75" customHeight="1">
      <c r="A375" s="26"/>
      <c r="T375" s="14"/>
      <c r="U375" s="14"/>
      <c r="V375" s="14"/>
    </row>
    <row r="376" ht="15.75" customHeight="1">
      <c r="A376" s="26"/>
      <c r="T376" s="14"/>
      <c r="U376" s="14"/>
      <c r="V376" s="14"/>
    </row>
    <row r="377" ht="15.75" customHeight="1">
      <c r="A377" s="26"/>
      <c r="T377" s="14"/>
      <c r="U377" s="14"/>
      <c r="V377" s="14"/>
    </row>
    <row r="378" ht="15.75" customHeight="1">
      <c r="A378" s="26"/>
      <c r="T378" s="14"/>
      <c r="U378" s="14"/>
      <c r="V378" s="14"/>
    </row>
    <row r="379" ht="15.75" customHeight="1">
      <c r="A379" s="26"/>
      <c r="T379" s="14"/>
      <c r="U379" s="14"/>
      <c r="V379" s="14"/>
    </row>
    <row r="380" ht="15.75" customHeight="1">
      <c r="A380" s="26"/>
      <c r="T380" s="14"/>
      <c r="U380" s="14"/>
      <c r="V380" s="14"/>
    </row>
    <row r="381" ht="15.75" customHeight="1">
      <c r="A381" s="26"/>
      <c r="T381" s="14"/>
      <c r="U381" s="14"/>
      <c r="V381" s="14"/>
    </row>
    <row r="382" ht="15.75" customHeight="1">
      <c r="A382" s="26"/>
      <c r="T382" s="14"/>
      <c r="U382" s="14"/>
      <c r="V382" s="14"/>
    </row>
    <row r="383" ht="15.75" customHeight="1">
      <c r="A383" s="26"/>
      <c r="T383" s="14"/>
      <c r="U383" s="14"/>
      <c r="V383" s="14"/>
    </row>
    <row r="384" ht="15.75" customHeight="1">
      <c r="A384" s="26"/>
      <c r="T384" s="14"/>
      <c r="U384" s="14"/>
      <c r="V384" s="14"/>
    </row>
    <row r="385" ht="15.75" customHeight="1">
      <c r="A385" s="26"/>
      <c r="T385" s="14"/>
      <c r="U385" s="14"/>
      <c r="V385" s="14"/>
    </row>
    <row r="386" ht="15.75" customHeight="1">
      <c r="A386" s="26"/>
      <c r="T386" s="14"/>
      <c r="U386" s="14"/>
      <c r="V386" s="14"/>
    </row>
    <row r="387" ht="15.75" customHeight="1">
      <c r="A387" s="26"/>
      <c r="T387" s="14"/>
      <c r="U387" s="14"/>
      <c r="V387" s="14"/>
    </row>
    <row r="388" ht="15.75" customHeight="1">
      <c r="A388" s="26"/>
      <c r="T388" s="14"/>
      <c r="U388" s="14"/>
      <c r="V388" s="14"/>
    </row>
    <row r="389" ht="15.75" customHeight="1">
      <c r="A389" s="26"/>
      <c r="T389" s="14"/>
      <c r="U389" s="14"/>
      <c r="V389" s="14"/>
    </row>
    <row r="390" ht="15.75" customHeight="1">
      <c r="A390" s="26"/>
      <c r="T390" s="14"/>
      <c r="U390" s="14"/>
      <c r="V390" s="14"/>
    </row>
    <row r="391" ht="15.75" customHeight="1">
      <c r="A391" s="26"/>
      <c r="T391" s="14"/>
      <c r="U391" s="14"/>
      <c r="V391" s="14"/>
    </row>
    <row r="392" ht="15.75" customHeight="1">
      <c r="A392" s="26"/>
      <c r="T392" s="14"/>
      <c r="U392" s="14"/>
      <c r="V392" s="14"/>
    </row>
    <row r="393" ht="15.75" customHeight="1">
      <c r="A393" s="26"/>
      <c r="T393" s="14"/>
      <c r="U393" s="14"/>
      <c r="V393" s="14"/>
    </row>
    <row r="394" ht="15.75" customHeight="1">
      <c r="A394" s="26"/>
      <c r="T394" s="14"/>
      <c r="U394" s="14"/>
      <c r="V394" s="14"/>
    </row>
    <row r="395" ht="15.75" customHeight="1">
      <c r="A395" s="26"/>
      <c r="T395" s="14"/>
      <c r="U395" s="14"/>
      <c r="V395" s="14"/>
    </row>
    <row r="396" ht="15.75" customHeight="1">
      <c r="A396" s="26"/>
      <c r="T396" s="14"/>
      <c r="U396" s="14"/>
      <c r="V396" s="14"/>
    </row>
    <row r="397" ht="15.75" customHeight="1">
      <c r="A397" s="26"/>
      <c r="T397" s="14"/>
      <c r="U397" s="14"/>
      <c r="V397" s="14"/>
    </row>
    <row r="398" ht="15.75" customHeight="1">
      <c r="A398" s="26"/>
      <c r="T398" s="14"/>
      <c r="U398" s="14"/>
      <c r="V398" s="14"/>
    </row>
    <row r="399" ht="15.75" customHeight="1">
      <c r="A399" s="26"/>
      <c r="T399" s="14"/>
      <c r="U399" s="14"/>
      <c r="V399" s="14"/>
    </row>
    <row r="400" ht="15.75" customHeight="1">
      <c r="A400" s="26"/>
      <c r="T400" s="14"/>
      <c r="U400" s="14"/>
      <c r="V400" s="14"/>
    </row>
    <row r="401" ht="15.75" customHeight="1">
      <c r="A401" s="26"/>
      <c r="T401" s="14"/>
      <c r="U401" s="14"/>
      <c r="V401" s="14"/>
    </row>
    <row r="402" ht="15.75" customHeight="1">
      <c r="A402" s="26"/>
      <c r="T402" s="14"/>
      <c r="U402" s="14"/>
      <c r="V402" s="14"/>
    </row>
    <row r="403" ht="15.75" customHeight="1">
      <c r="A403" s="26"/>
      <c r="T403" s="14"/>
      <c r="U403" s="14"/>
      <c r="V403" s="14"/>
    </row>
    <row r="404" ht="15.75" customHeight="1">
      <c r="A404" s="26"/>
      <c r="T404" s="14"/>
      <c r="U404" s="14"/>
      <c r="V404" s="14"/>
    </row>
    <row r="405" ht="15.75" customHeight="1">
      <c r="A405" s="26"/>
      <c r="T405" s="14"/>
      <c r="U405" s="14"/>
      <c r="V405" s="14"/>
    </row>
    <row r="406" ht="15.75" customHeight="1">
      <c r="A406" s="26"/>
      <c r="T406" s="14"/>
      <c r="U406" s="14"/>
      <c r="V406" s="14"/>
    </row>
    <row r="407" ht="15.75" customHeight="1">
      <c r="A407" s="26"/>
      <c r="T407" s="14"/>
      <c r="U407" s="14"/>
      <c r="V407" s="14"/>
    </row>
    <row r="408" ht="15.75" customHeight="1">
      <c r="A408" s="26"/>
      <c r="T408" s="14"/>
      <c r="U408" s="14"/>
      <c r="V408" s="14"/>
    </row>
    <row r="409" ht="15.75" customHeight="1">
      <c r="A409" s="26"/>
      <c r="T409" s="14"/>
      <c r="U409" s="14"/>
      <c r="V409" s="14"/>
    </row>
    <row r="410" ht="15.75" customHeight="1">
      <c r="A410" s="26"/>
      <c r="T410" s="14"/>
      <c r="U410" s="14"/>
      <c r="V410" s="14"/>
    </row>
    <row r="411" ht="15.75" customHeight="1">
      <c r="A411" s="26"/>
      <c r="T411" s="14"/>
      <c r="U411" s="14"/>
      <c r="V411" s="14"/>
    </row>
    <row r="412" ht="15.75" customHeight="1">
      <c r="A412" s="26"/>
      <c r="T412" s="14"/>
      <c r="U412" s="14"/>
      <c r="V412" s="14"/>
    </row>
    <row r="413" ht="15.75" customHeight="1">
      <c r="A413" s="26"/>
      <c r="T413" s="14"/>
      <c r="U413" s="14"/>
      <c r="V413" s="14"/>
    </row>
    <row r="414" ht="15.75" customHeight="1">
      <c r="A414" s="26"/>
      <c r="T414" s="14"/>
      <c r="U414" s="14"/>
      <c r="V414" s="14"/>
    </row>
    <row r="415" ht="15.75" customHeight="1">
      <c r="A415" s="26"/>
      <c r="T415" s="14"/>
      <c r="U415" s="14"/>
      <c r="V415" s="14"/>
    </row>
    <row r="416" ht="15.75" customHeight="1">
      <c r="A416" s="26"/>
      <c r="T416" s="14"/>
      <c r="U416" s="14"/>
      <c r="V416" s="14"/>
    </row>
    <row r="417" ht="15.75" customHeight="1">
      <c r="A417" s="26"/>
      <c r="T417" s="14"/>
      <c r="U417" s="14"/>
      <c r="V417" s="14"/>
    </row>
    <row r="418" ht="15.75" customHeight="1">
      <c r="A418" s="26"/>
      <c r="T418" s="14"/>
      <c r="U418" s="14"/>
      <c r="V418" s="14"/>
    </row>
    <row r="419" ht="15.75" customHeight="1">
      <c r="A419" s="26"/>
      <c r="T419" s="14"/>
      <c r="U419" s="14"/>
      <c r="V419" s="14"/>
    </row>
    <row r="420" ht="15.75" customHeight="1">
      <c r="A420" s="26"/>
      <c r="T420" s="14"/>
      <c r="U420" s="14"/>
      <c r="V420" s="14"/>
    </row>
    <row r="421" ht="15.75" customHeight="1">
      <c r="A421" s="26"/>
      <c r="T421" s="14"/>
      <c r="U421" s="14"/>
      <c r="V421" s="14"/>
    </row>
    <row r="422" ht="15.75" customHeight="1">
      <c r="A422" s="26"/>
      <c r="T422" s="14"/>
      <c r="U422" s="14"/>
      <c r="V422" s="14"/>
    </row>
    <row r="423" ht="15.75" customHeight="1">
      <c r="A423" s="26"/>
      <c r="T423" s="14"/>
      <c r="U423" s="14"/>
      <c r="V423" s="14"/>
    </row>
    <row r="424" ht="15.75" customHeight="1">
      <c r="A424" s="26"/>
      <c r="T424" s="14"/>
      <c r="U424" s="14"/>
      <c r="V424" s="14"/>
    </row>
    <row r="425" ht="15.75" customHeight="1">
      <c r="A425" s="26"/>
      <c r="T425" s="14"/>
      <c r="U425" s="14"/>
      <c r="V425" s="14"/>
    </row>
    <row r="426" ht="15.75" customHeight="1">
      <c r="A426" s="26"/>
      <c r="T426" s="14"/>
      <c r="U426" s="14"/>
      <c r="V426" s="14"/>
    </row>
    <row r="427" ht="15.75" customHeight="1">
      <c r="A427" s="26"/>
      <c r="T427" s="14"/>
      <c r="U427" s="14"/>
      <c r="V427" s="14"/>
    </row>
    <row r="428" ht="15.75" customHeight="1">
      <c r="A428" s="26"/>
      <c r="T428" s="14"/>
      <c r="U428" s="14"/>
      <c r="V428" s="14"/>
    </row>
    <row r="429" ht="15.75" customHeight="1">
      <c r="A429" s="26"/>
      <c r="T429" s="14"/>
      <c r="U429" s="14"/>
      <c r="V429" s="14"/>
    </row>
    <row r="430" ht="15.75" customHeight="1">
      <c r="A430" s="26"/>
      <c r="T430" s="14"/>
      <c r="U430" s="14"/>
      <c r="V430" s="14"/>
    </row>
    <row r="431" ht="15.75" customHeight="1">
      <c r="A431" s="26"/>
      <c r="T431" s="14"/>
      <c r="U431" s="14"/>
      <c r="V431" s="14"/>
    </row>
    <row r="432" ht="15.75" customHeight="1">
      <c r="A432" s="26"/>
      <c r="T432" s="14"/>
      <c r="U432" s="14"/>
      <c r="V432" s="14"/>
    </row>
    <row r="433" ht="15.75" customHeight="1">
      <c r="A433" s="26"/>
      <c r="T433" s="14"/>
      <c r="U433" s="14"/>
      <c r="V433" s="14"/>
    </row>
    <row r="434" ht="15.75" customHeight="1">
      <c r="A434" s="26"/>
      <c r="T434" s="14"/>
      <c r="U434" s="14"/>
      <c r="V434" s="14"/>
    </row>
    <row r="435" ht="15.75" customHeight="1">
      <c r="A435" s="26"/>
      <c r="T435" s="14"/>
      <c r="U435" s="14"/>
      <c r="V435" s="14"/>
    </row>
    <row r="436" ht="15.75" customHeight="1">
      <c r="A436" s="26"/>
      <c r="T436" s="14"/>
      <c r="U436" s="14"/>
      <c r="V436" s="14"/>
    </row>
    <row r="437" ht="15.75" customHeight="1">
      <c r="A437" s="26"/>
      <c r="T437" s="14"/>
      <c r="U437" s="14"/>
      <c r="V437" s="14"/>
    </row>
    <row r="438" ht="15.75" customHeight="1">
      <c r="A438" s="26"/>
      <c r="T438" s="14"/>
      <c r="U438" s="14"/>
      <c r="V438" s="14"/>
    </row>
    <row r="439" ht="15.75" customHeight="1">
      <c r="A439" s="26"/>
      <c r="T439" s="14"/>
      <c r="U439" s="14"/>
      <c r="V439" s="14"/>
    </row>
    <row r="440" ht="15.75" customHeight="1">
      <c r="A440" s="26"/>
      <c r="T440" s="14"/>
      <c r="U440" s="14"/>
      <c r="V440" s="14"/>
    </row>
    <row r="441" ht="15.75" customHeight="1">
      <c r="A441" s="26"/>
      <c r="T441" s="14"/>
      <c r="U441" s="14"/>
      <c r="V441" s="14"/>
    </row>
    <row r="442" ht="15.75" customHeight="1">
      <c r="A442" s="26"/>
      <c r="T442" s="14"/>
      <c r="U442" s="14"/>
      <c r="V442" s="14"/>
    </row>
    <row r="443" ht="15.75" customHeight="1">
      <c r="A443" s="26"/>
      <c r="T443" s="14"/>
      <c r="U443" s="14"/>
      <c r="V443" s="14"/>
    </row>
    <row r="444" ht="15.75" customHeight="1">
      <c r="A444" s="26"/>
      <c r="T444" s="14"/>
      <c r="U444" s="14"/>
      <c r="V444" s="14"/>
    </row>
    <row r="445" ht="15.75" customHeight="1">
      <c r="A445" s="26"/>
      <c r="T445" s="14"/>
      <c r="U445" s="14"/>
      <c r="V445" s="14"/>
    </row>
    <row r="446" ht="15.75" customHeight="1">
      <c r="A446" s="26"/>
      <c r="T446" s="14"/>
      <c r="U446" s="14"/>
      <c r="V446" s="14"/>
    </row>
    <row r="447" ht="15.75" customHeight="1">
      <c r="A447" s="26"/>
      <c r="T447" s="14"/>
      <c r="U447" s="14"/>
      <c r="V447" s="14"/>
    </row>
    <row r="448" ht="15.75" customHeight="1">
      <c r="A448" s="26"/>
      <c r="T448" s="14"/>
      <c r="U448" s="14"/>
      <c r="V448" s="14"/>
    </row>
    <row r="449" ht="15.75" customHeight="1">
      <c r="A449" s="26"/>
      <c r="T449" s="14"/>
      <c r="U449" s="14"/>
      <c r="V449" s="14"/>
    </row>
    <row r="450" ht="15.75" customHeight="1">
      <c r="A450" s="26"/>
      <c r="T450" s="14"/>
      <c r="U450" s="14"/>
      <c r="V450" s="14"/>
    </row>
    <row r="451" ht="15.75" customHeight="1">
      <c r="A451" s="26"/>
      <c r="T451" s="14"/>
      <c r="U451" s="14"/>
      <c r="V451" s="14"/>
    </row>
    <row r="452" ht="15.75" customHeight="1">
      <c r="A452" s="26"/>
      <c r="T452" s="14"/>
      <c r="U452" s="14"/>
      <c r="V452" s="14"/>
    </row>
    <row r="453" ht="15.75" customHeight="1">
      <c r="A453" s="26"/>
      <c r="T453" s="14"/>
      <c r="U453" s="14"/>
      <c r="V453" s="14"/>
    </row>
    <row r="454" ht="15.75" customHeight="1">
      <c r="A454" s="26"/>
      <c r="T454" s="14"/>
      <c r="U454" s="14"/>
      <c r="V454" s="14"/>
    </row>
    <row r="455" ht="15.75" customHeight="1">
      <c r="A455" s="26"/>
      <c r="T455" s="14"/>
      <c r="U455" s="14"/>
      <c r="V455" s="14"/>
    </row>
    <row r="456" ht="15.75" customHeight="1">
      <c r="A456" s="26"/>
      <c r="T456" s="14"/>
      <c r="U456" s="14"/>
      <c r="V456" s="14"/>
    </row>
    <row r="457" ht="15.75" customHeight="1">
      <c r="A457" s="26"/>
      <c r="T457" s="14"/>
      <c r="U457" s="14"/>
      <c r="V457" s="14"/>
    </row>
    <row r="458" ht="15.75" customHeight="1">
      <c r="A458" s="26"/>
      <c r="T458" s="14"/>
      <c r="U458" s="14"/>
      <c r="V458" s="14"/>
    </row>
    <row r="459" ht="15.75" customHeight="1">
      <c r="A459" s="26"/>
      <c r="T459" s="14"/>
      <c r="U459" s="14"/>
      <c r="V459" s="14"/>
    </row>
    <row r="460" ht="15.75" customHeight="1">
      <c r="A460" s="26"/>
      <c r="T460" s="14"/>
      <c r="U460" s="14"/>
      <c r="V460" s="14"/>
    </row>
    <row r="461" ht="15.75" customHeight="1">
      <c r="A461" s="26"/>
      <c r="T461" s="14"/>
      <c r="U461" s="14"/>
      <c r="V461" s="14"/>
    </row>
    <row r="462" ht="15.75" customHeight="1">
      <c r="A462" s="26"/>
      <c r="T462" s="14"/>
      <c r="U462" s="14"/>
      <c r="V462" s="14"/>
    </row>
    <row r="463" ht="15.75" customHeight="1">
      <c r="A463" s="26"/>
      <c r="T463" s="14"/>
      <c r="U463" s="14"/>
      <c r="V463" s="14"/>
    </row>
    <row r="464" ht="15.75" customHeight="1">
      <c r="A464" s="26"/>
      <c r="T464" s="14"/>
      <c r="U464" s="14"/>
      <c r="V464" s="14"/>
    </row>
    <row r="465" ht="15.75" customHeight="1">
      <c r="A465" s="26"/>
      <c r="T465" s="14"/>
      <c r="U465" s="14"/>
      <c r="V465" s="14"/>
    </row>
    <row r="466" ht="15.75" customHeight="1">
      <c r="A466" s="26"/>
      <c r="T466" s="14"/>
      <c r="U466" s="14"/>
      <c r="V466" s="14"/>
    </row>
    <row r="467" ht="15.75" customHeight="1">
      <c r="A467" s="26"/>
      <c r="T467" s="14"/>
      <c r="U467" s="14"/>
      <c r="V467" s="14"/>
    </row>
    <row r="468" ht="15.75" customHeight="1">
      <c r="A468" s="26"/>
      <c r="T468" s="14"/>
      <c r="U468" s="14"/>
      <c r="V468" s="14"/>
    </row>
    <row r="469" ht="15.75" customHeight="1">
      <c r="A469" s="26"/>
      <c r="T469" s="14"/>
      <c r="U469" s="14"/>
      <c r="V469" s="14"/>
    </row>
    <row r="470" ht="15.75" customHeight="1">
      <c r="A470" s="26"/>
      <c r="T470" s="14"/>
      <c r="U470" s="14"/>
      <c r="V470" s="14"/>
    </row>
    <row r="471" ht="15.75" customHeight="1">
      <c r="A471" s="26"/>
      <c r="T471" s="14"/>
      <c r="U471" s="14"/>
      <c r="V471" s="14"/>
    </row>
    <row r="472" ht="15.75" customHeight="1">
      <c r="A472" s="26"/>
      <c r="T472" s="14"/>
      <c r="U472" s="14"/>
      <c r="V472" s="14"/>
    </row>
    <row r="473" ht="15.75" customHeight="1">
      <c r="A473" s="26"/>
      <c r="T473" s="14"/>
      <c r="U473" s="14"/>
      <c r="V473" s="14"/>
    </row>
    <row r="474" ht="15.75" customHeight="1">
      <c r="A474" s="26"/>
      <c r="T474" s="14"/>
      <c r="U474" s="14"/>
      <c r="V474" s="14"/>
    </row>
    <row r="475" ht="15.75" customHeight="1">
      <c r="A475" s="26"/>
      <c r="T475" s="14"/>
      <c r="U475" s="14"/>
      <c r="V475" s="14"/>
    </row>
    <row r="476" ht="15.75" customHeight="1">
      <c r="A476" s="26"/>
      <c r="T476" s="14"/>
      <c r="U476" s="14"/>
      <c r="V476" s="14"/>
    </row>
    <row r="477" ht="15.75" customHeight="1">
      <c r="A477" s="26"/>
      <c r="T477" s="14"/>
      <c r="U477" s="14"/>
      <c r="V477" s="14"/>
    </row>
    <row r="478" ht="15.75" customHeight="1">
      <c r="A478" s="26"/>
      <c r="T478" s="14"/>
      <c r="U478" s="14"/>
      <c r="V478" s="14"/>
    </row>
    <row r="479" ht="15.75" customHeight="1">
      <c r="A479" s="26"/>
      <c r="T479" s="14"/>
      <c r="U479" s="14"/>
      <c r="V479" s="14"/>
    </row>
    <row r="480" ht="15.75" customHeight="1">
      <c r="A480" s="26"/>
      <c r="T480" s="14"/>
      <c r="U480" s="14"/>
      <c r="V480" s="14"/>
    </row>
    <row r="481" ht="15.75" customHeight="1">
      <c r="A481" s="26"/>
      <c r="T481" s="14"/>
      <c r="U481" s="14"/>
      <c r="V481" s="14"/>
    </row>
    <row r="482" ht="15.75" customHeight="1">
      <c r="A482" s="26"/>
      <c r="T482" s="14"/>
      <c r="U482" s="14"/>
      <c r="V482" s="14"/>
    </row>
    <row r="483" ht="15.75" customHeight="1">
      <c r="A483" s="26"/>
      <c r="T483" s="14"/>
      <c r="U483" s="14"/>
      <c r="V483" s="14"/>
    </row>
    <row r="484" ht="15.75" customHeight="1">
      <c r="A484" s="26"/>
      <c r="T484" s="14"/>
      <c r="U484" s="14"/>
      <c r="V484" s="14"/>
    </row>
    <row r="485" ht="15.75" customHeight="1">
      <c r="A485" s="26"/>
      <c r="T485" s="14"/>
      <c r="U485" s="14"/>
      <c r="V485" s="14"/>
    </row>
    <row r="486" ht="15.75" customHeight="1">
      <c r="A486" s="26"/>
      <c r="T486" s="14"/>
      <c r="U486" s="14"/>
      <c r="V486" s="14"/>
    </row>
    <row r="487" ht="15.75" customHeight="1">
      <c r="A487" s="26"/>
      <c r="T487" s="14"/>
      <c r="U487" s="14"/>
      <c r="V487" s="14"/>
    </row>
    <row r="488" ht="15.75" customHeight="1">
      <c r="A488" s="26"/>
      <c r="T488" s="14"/>
      <c r="U488" s="14"/>
      <c r="V488" s="14"/>
    </row>
    <row r="489" ht="15.75" customHeight="1">
      <c r="A489" s="26"/>
      <c r="T489" s="14"/>
      <c r="U489" s="14"/>
      <c r="V489" s="14"/>
    </row>
    <row r="490" ht="15.75" customHeight="1">
      <c r="A490" s="26"/>
      <c r="T490" s="14"/>
      <c r="U490" s="14"/>
      <c r="V490" s="14"/>
    </row>
    <row r="491" ht="15.75" customHeight="1">
      <c r="A491" s="26"/>
      <c r="T491" s="14"/>
      <c r="U491" s="14"/>
      <c r="V491" s="14"/>
    </row>
    <row r="492" ht="15.75" customHeight="1">
      <c r="A492" s="26"/>
      <c r="T492" s="14"/>
      <c r="U492" s="14"/>
      <c r="V492" s="14"/>
    </row>
    <row r="493" ht="15.75" customHeight="1">
      <c r="A493" s="26"/>
      <c r="T493" s="14"/>
      <c r="U493" s="14"/>
      <c r="V493" s="14"/>
    </row>
    <row r="494" ht="15.75" customHeight="1">
      <c r="A494" s="26"/>
      <c r="T494" s="14"/>
      <c r="U494" s="14"/>
      <c r="V494" s="14"/>
    </row>
    <row r="495" ht="15.75" customHeight="1">
      <c r="A495" s="26"/>
      <c r="T495" s="14"/>
      <c r="U495" s="14"/>
      <c r="V495" s="14"/>
    </row>
    <row r="496" ht="15.75" customHeight="1">
      <c r="A496" s="26"/>
      <c r="T496" s="14"/>
      <c r="U496" s="14"/>
      <c r="V496" s="14"/>
    </row>
    <row r="497" ht="15.75" customHeight="1">
      <c r="A497" s="26"/>
      <c r="T497" s="14"/>
      <c r="U497" s="14"/>
      <c r="V497" s="14"/>
    </row>
    <row r="498" ht="15.75" customHeight="1">
      <c r="A498" s="26"/>
      <c r="T498" s="14"/>
      <c r="U498" s="14"/>
      <c r="V498" s="14"/>
    </row>
    <row r="499" ht="15.75" customHeight="1">
      <c r="A499" s="26"/>
      <c r="T499" s="14"/>
      <c r="U499" s="14"/>
      <c r="V499" s="14"/>
    </row>
    <row r="500" ht="15.75" customHeight="1">
      <c r="A500" s="26"/>
      <c r="T500" s="14"/>
      <c r="U500" s="14"/>
      <c r="V500" s="14"/>
    </row>
    <row r="501" ht="15.75" customHeight="1">
      <c r="A501" s="26"/>
      <c r="T501" s="14"/>
      <c r="U501" s="14"/>
      <c r="V501" s="14"/>
    </row>
    <row r="502" ht="15.75" customHeight="1">
      <c r="A502" s="26"/>
      <c r="T502" s="14"/>
      <c r="U502" s="14"/>
      <c r="V502" s="14"/>
    </row>
    <row r="503" ht="15.75" customHeight="1">
      <c r="A503" s="26"/>
      <c r="T503" s="14"/>
      <c r="U503" s="14"/>
      <c r="V503" s="14"/>
    </row>
    <row r="504" ht="15.75" customHeight="1">
      <c r="A504" s="26"/>
      <c r="T504" s="14"/>
      <c r="U504" s="14"/>
      <c r="V504" s="14"/>
    </row>
    <row r="505" ht="15.75" customHeight="1">
      <c r="A505" s="26"/>
      <c r="T505" s="14"/>
      <c r="U505" s="14"/>
      <c r="V505" s="14"/>
    </row>
    <row r="506" ht="15.75" customHeight="1">
      <c r="A506" s="26"/>
      <c r="T506" s="14"/>
      <c r="U506" s="14"/>
      <c r="V506" s="14"/>
    </row>
    <row r="507" ht="15.75" customHeight="1">
      <c r="A507" s="26"/>
      <c r="T507" s="14"/>
      <c r="U507" s="14"/>
      <c r="V507" s="14"/>
    </row>
    <row r="508" ht="15.75" customHeight="1">
      <c r="A508" s="26"/>
      <c r="T508" s="14"/>
      <c r="U508" s="14"/>
      <c r="V508" s="14"/>
    </row>
    <row r="509" ht="15.75" customHeight="1">
      <c r="A509" s="26"/>
      <c r="T509" s="14"/>
      <c r="U509" s="14"/>
      <c r="V509" s="14"/>
    </row>
    <row r="510" ht="15.75" customHeight="1">
      <c r="A510" s="26"/>
      <c r="T510" s="14"/>
      <c r="U510" s="14"/>
      <c r="V510" s="14"/>
    </row>
    <row r="511" ht="15.75" customHeight="1">
      <c r="A511" s="26"/>
      <c r="T511" s="14"/>
      <c r="U511" s="14"/>
      <c r="V511" s="14"/>
    </row>
    <row r="512" ht="15.75" customHeight="1">
      <c r="A512" s="26"/>
      <c r="T512" s="14"/>
      <c r="U512" s="14"/>
      <c r="V512" s="14"/>
    </row>
    <row r="513" ht="15.75" customHeight="1">
      <c r="A513" s="26"/>
      <c r="T513" s="14"/>
      <c r="U513" s="14"/>
      <c r="V513" s="14"/>
    </row>
    <row r="514" ht="15.75" customHeight="1">
      <c r="A514" s="26"/>
      <c r="T514" s="14"/>
      <c r="U514" s="14"/>
      <c r="V514" s="14"/>
    </row>
    <row r="515" ht="15.75" customHeight="1">
      <c r="A515" s="26"/>
      <c r="T515" s="14"/>
      <c r="U515" s="14"/>
      <c r="V515" s="14"/>
    </row>
    <row r="516" ht="15.75" customHeight="1">
      <c r="A516" s="26"/>
      <c r="T516" s="14"/>
      <c r="U516" s="14"/>
      <c r="V516" s="14"/>
    </row>
    <row r="517" ht="15.75" customHeight="1">
      <c r="A517" s="26"/>
      <c r="T517" s="14"/>
      <c r="U517" s="14"/>
      <c r="V517" s="14"/>
    </row>
    <row r="518" ht="15.75" customHeight="1">
      <c r="A518" s="26"/>
      <c r="T518" s="14"/>
      <c r="U518" s="14"/>
      <c r="V518" s="14"/>
    </row>
    <row r="519" ht="15.75" customHeight="1">
      <c r="A519" s="26"/>
      <c r="T519" s="14"/>
      <c r="U519" s="14"/>
      <c r="V519" s="14"/>
    </row>
    <row r="520" ht="15.75" customHeight="1">
      <c r="A520" s="26"/>
      <c r="T520" s="14"/>
      <c r="U520" s="14"/>
      <c r="V520" s="14"/>
    </row>
    <row r="521" ht="15.75" customHeight="1">
      <c r="A521" s="26"/>
      <c r="T521" s="14"/>
      <c r="U521" s="14"/>
      <c r="V521" s="14"/>
    </row>
    <row r="522" ht="15.75" customHeight="1">
      <c r="A522" s="26"/>
      <c r="T522" s="14"/>
      <c r="U522" s="14"/>
      <c r="V522" s="14"/>
    </row>
    <row r="523" ht="15.75" customHeight="1">
      <c r="A523" s="26"/>
      <c r="T523" s="14"/>
      <c r="U523" s="14"/>
      <c r="V523" s="14"/>
    </row>
    <row r="524" ht="15.75" customHeight="1">
      <c r="A524" s="26"/>
      <c r="T524" s="14"/>
      <c r="U524" s="14"/>
      <c r="V524" s="14"/>
    </row>
    <row r="525" ht="15.75" customHeight="1">
      <c r="A525" s="26"/>
      <c r="T525" s="14"/>
      <c r="U525" s="14"/>
      <c r="V525" s="14"/>
    </row>
    <row r="526" ht="15.75" customHeight="1">
      <c r="A526" s="26"/>
      <c r="T526" s="14"/>
      <c r="U526" s="14"/>
      <c r="V526" s="14"/>
    </row>
    <row r="527" ht="15.75" customHeight="1">
      <c r="A527" s="26"/>
      <c r="T527" s="14"/>
      <c r="U527" s="14"/>
      <c r="V527" s="14"/>
    </row>
    <row r="528" ht="15.75" customHeight="1">
      <c r="A528" s="26"/>
      <c r="T528" s="14"/>
      <c r="U528" s="14"/>
      <c r="V528" s="14"/>
    </row>
    <row r="529" ht="15.75" customHeight="1">
      <c r="A529" s="26"/>
      <c r="T529" s="14"/>
      <c r="U529" s="14"/>
      <c r="V529" s="14"/>
    </row>
    <row r="530" ht="15.75" customHeight="1">
      <c r="A530" s="26"/>
      <c r="T530" s="14"/>
      <c r="U530" s="14"/>
      <c r="V530" s="14"/>
    </row>
    <row r="531" ht="15.75" customHeight="1">
      <c r="A531" s="26"/>
      <c r="T531" s="14"/>
      <c r="U531" s="14"/>
      <c r="V531" s="14"/>
    </row>
    <row r="532" ht="15.75" customHeight="1">
      <c r="A532" s="26"/>
      <c r="T532" s="14"/>
      <c r="U532" s="14"/>
      <c r="V532" s="14"/>
    </row>
    <row r="533" ht="15.75" customHeight="1">
      <c r="A533" s="26"/>
      <c r="T533" s="14"/>
      <c r="U533" s="14"/>
      <c r="V533" s="14"/>
    </row>
    <row r="534" ht="15.75" customHeight="1">
      <c r="A534" s="26"/>
      <c r="T534" s="14"/>
      <c r="U534" s="14"/>
      <c r="V534" s="14"/>
    </row>
    <row r="535" ht="15.75" customHeight="1">
      <c r="A535" s="26"/>
      <c r="T535" s="14"/>
      <c r="U535" s="14"/>
      <c r="V535" s="14"/>
    </row>
    <row r="536" ht="15.75" customHeight="1">
      <c r="A536" s="26"/>
      <c r="T536" s="14"/>
      <c r="U536" s="14"/>
      <c r="V536" s="14"/>
    </row>
    <row r="537" ht="15.75" customHeight="1">
      <c r="A537" s="26"/>
      <c r="T537" s="14"/>
      <c r="U537" s="14"/>
      <c r="V537" s="14"/>
    </row>
    <row r="538" ht="15.75" customHeight="1">
      <c r="A538" s="26"/>
      <c r="T538" s="14"/>
      <c r="U538" s="14"/>
      <c r="V538" s="14"/>
    </row>
    <row r="539" ht="15.75" customHeight="1">
      <c r="A539" s="26"/>
      <c r="T539" s="14"/>
      <c r="U539" s="14"/>
      <c r="V539" s="14"/>
    </row>
    <row r="540" ht="15.75" customHeight="1">
      <c r="A540" s="26"/>
      <c r="T540" s="14"/>
      <c r="U540" s="14"/>
      <c r="V540" s="14"/>
    </row>
    <row r="541" ht="15.75" customHeight="1">
      <c r="A541" s="26"/>
      <c r="T541" s="14"/>
      <c r="U541" s="14"/>
      <c r="V541" s="14"/>
    </row>
    <row r="542" ht="15.75" customHeight="1">
      <c r="A542" s="26"/>
      <c r="T542" s="14"/>
      <c r="U542" s="14"/>
      <c r="V542" s="14"/>
    </row>
    <row r="543" ht="15.75" customHeight="1">
      <c r="A543" s="26"/>
      <c r="T543" s="14"/>
      <c r="U543" s="14"/>
      <c r="V543" s="14"/>
    </row>
    <row r="544" ht="15.75" customHeight="1">
      <c r="A544" s="26"/>
      <c r="T544" s="14"/>
      <c r="U544" s="14"/>
      <c r="V544" s="14"/>
    </row>
    <row r="545" ht="15.75" customHeight="1">
      <c r="A545" s="26"/>
      <c r="T545" s="14"/>
      <c r="U545" s="14"/>
      <c r="V545" s="14"/>
    </row>
    <row r="546" ht="15.75" customHeight="1">
      <c r="A546" s="26"/>
      <c r="T546" s="14"/>
      <c r="U546" s="14"/>
      <c r="V546" s="14"/>
    </row>
    <row r="547" ht="15.75" customHeight="1">
      <c r="A547" s="26"/>
      <c r="T547" s="14"/>
      <c r="U547" s="14"/>
      <c r="V547" s="14"/>
    </row>
    <row r="548" ht="15.75" customHeight="1">
      <c r="A548" s="26"/>
      <c r="T548" s="14"/>
      <c r="U548" s="14"/>
      <c r="V548" s="14"/>
    </row>
    <row r="549" ht="15.75" customHeight="1">
      <c r="A549" s="26"/>
      <c r="T549" s="14"/>
      <c r="U549" s="14"/>
      <c r="V549" s="14"/>
    </row>
    <row r="550" ht="15.75" customHeight="1">
      <c r="A550" s="26"/>
      <c r="T550" s="14"/>
      <c r="U550" s="14"/>
      <c r="V550" s="14"/>
    </row>
    <row r="551" ht="15.75" customHeight="1">
      <c r="A551" s="26"/>
      <c r="T551" s="14"/>
      <c r="U551" s="14"/>
      <c r="V551" s="14"/>
    </row>
    <row r="552" ht="15.75" customHeight="1">
      <c r="A552" s="26"/>
      <c r="T552" s="14"/>
      <c r="U552" s="14"/>
      <c r="V552" s="14"/>
    </row>
    <row r="553" ht="15.75" customHeight="1">
      <c r="A553" s="26"/>
      <c r="T553" s="14"/>
      <c r="U553" s="14"/>
      <c r="V553" s="14"/>
    </row>
    <row r="554" ht="15.75" customHeight="1">
      <c r="A554" s="26"/>
      <c r="T554" s="14"/>
      <c r="U554" s="14"/>
      <c r="V554" s="14"/>
    </row>
    <row r="555" ht="15.75" customHeight="1">
      <c r="A555" s="26"/>
      <c r="T555" s="14"/>
      <c r="U555" s="14"/>
      <c r="V555" s="14"/>
    </row>
    <row r="556" ht="15.75" customHeight="1">
      <c r="A556" s="26"/>
      <c r="T556" s="14"/>
      <c r="U556" s="14"/>
      <c r="V556" s="14"/>
    </row>
    <row r="557" ht="15.75" customHeight="1">
      <c r="A557" s="26"/>
      <c r="T557" s="14"/>
      <c r="U557" s="14"/>
      <c r="V557" s="14"/>
    </row>
    <row r="558" ht="15.75" customHeight="1">
      <c r="A558" s="26"/>
      <c r="T558" s="14"/>
      <c r="U558" s="14"/>
      <c r="V558" s="14"/>
    </row>
    <row r="559" ht="15.75" customHeight="1">
      <c r="A559" s="26"/>
      <c r="T559" s="14"/>
      <c r="U559" s="14"/>
      <c r="V559" s="14"/>
    </row>
    <row r="560" ht="15.75" customHeight="1">
      <c r="A560" s="26"/>
      <c r="T560" s="14"/>
      <c r="U560" s="14"/>
      <c r="V560" s="14"/>
    </row>
    <row r="561" ht="15.75" customHeight="1">
      <c r="A561" s="26"/>
      <c r="T561" s="14"/>
      <c r="U561" s="14"/>
      <c r="V561" s="14"/>
    </row>
    <row r="562" ht="15.75" customHeight="1">
      <c r="A562" s="26"/>
      <c r="T562" s="14"/>
      <c r="U562" s="14"/>
      <c r="V562" s="14"/>
    </row>
    <row r="563" ht="15.75" customHeight="1">
      <c r="A563" s="26"/>
      <c r="T563" s="14"/>
      <c r="U563" s="14"/>
      <c r="V563" s="14"/>
    </row>
    <row r="564" ht="15.75" customHeight="1">
      <c r="A564" s="26"/>
      <c r="T564" s="14"/>
      <c r="U564" s="14"/>
      <c r="V564" s="14"/>
    </row>
    <row r="565" ht="15.75" customHeight="1">
      <c r="A565" s="26"/>
      <c r="T565" s="14"/>
      <c r="U565" s="14"/>
      <c r="V565" s="14"/>
    </row>
    <row r="566" ht="15.75" customHeight="1">
      <c r="A566" s="26"/>
      <c r="T566" s="14"/>
      <c r="U566" s="14"/>
      <c r="V566" s="14"/>
    </row>
    <row r="567" ht="15.75" customHeight="1">
      <c r="A567" s="26"/>
      <c r="T567" s="14"/>
      <c r="U567" s="14"/>
      <c r="V567" s="14"/>
    </row>
    <row r="568" ht="15.75" customHeight="1">
      <c r="A568" s="26"/>
      <c r="T568" s="14"/>
      <c r="U568" s="14"/>
      <c r="V568" s="14"/>
    </row>
    <row r="569" ht="15.75" customHeight="1">
      <c r="A569" s="26"/>
      <c r="T569" s="14"/>
      <c r="U569" s="14"/>
      <c r="V569" s="14"/>
    </row>
    <row r="570" ht="15.75" customHeight="1">
      <c r="A570" s="26"/>
      <c r="T570" s="14"/>
      <c r="U570" s="14"/>
      <c r="V570" s="14"/>
    </row>
    <row r="571" ht="15.75" customHeight="1">
      <c r="A571" s="26"/>
      <c r="T571" s="14"/>
      <c r="U571" s="14"/>
      <c r="V571" s="14"/>
    </row>
    <row r="572" ht="15.75" customHeight="1">
      <c r="A572" s="26"/>
      <c r="T572" s="14"/>
      <c r="U572" s="14"/>
      <c r="V572" s="14"/>
    </row>
    <row r="573" ht="15.75" customHeight="1">
      <c r="A573" s="26"/>
      <c r="T573" s="14"/>
      <c r="U573" s="14"/>
      <c r="V573" s="14"/>
    </row>
    <row r="574" ht="15.75" customHeight="1">
      <c r="A574" s="26"/>
      <c r="T574" s="14"/>
      <c r="U574" s="14"/>
      <c r="V574" s="14"/>
    </row>
    <row r="575" ht="15.75" customHeight="1">
      <c r="A575" s="26"/>
      <c r="T575" s="14"/>
      <c r="U575" s="14"/>
      <c r="V575" s="14"/>
    </row>
    <row r="576" ht="15.75" customHeight="1">
      <c r="A576" s="26"/>
      <c r="T576" s="14"/>
      <c r="U576" s="14"/>
      <c r="V576" s="14"/>
    </row>
    <row r="577" ht="15.75" customHeight="1">
      <c r="A577" s="26"/>
      <c r="T577" s="14"/>
      <c r="U577" s="14"/>
      <c r="V577" s="14"/>
    </row>
    <row r="578" ht="15.75" customHeight="1">
      <c r="A578" s="26"/>
      <c r="T578" s="14"/>
      <c r="U578" s="14"/>
      <c r="V578" s="14"/>
    </row>
    <row r="579" ht="15.75" customHeight="1">
      <c r="A579" s="26"/>
      <c r="T579" s="14"/>
      <c r="U579" s="14"/>
      <c r="V579" s="14"/>
    </row>
    <row r="580" ht="15.75" customHeight="1">
      <c r="A580" s="26"/>
      <c r="T580" s="14"/>
      <c r="U580" s="14"/>
      <c r="V580" s="14"/>
    </row>
    <row r="581" ht="15.75" customHeight="1">
      <c r="A581" s="26"/>
      <c r="T581" s="14"/>
      <c r="U581" s="14"/>
      <c r="V581" s="14"/>
    </row>
    <row r="582" ht="15.75" customHeight="1">
      <c r="A582" s="26"/>
      <c r="T582" s="14"/>
      <c r="U582" s="14"/>
      <c r="V582" s="14"/>
    </row>
    <row r="583" ht="15.75" customHeight="1">
      <c r="A583" s="26"/>
      <c r="T583" s="14"/>
      <c r="U583" s="14"/>
      <c r="V583" s="14"/>
    </row>
    <row r="584" ht="15.75" customHeight="1">
      <c r="A584" s="26"/>
      <c r="T584" s="14"/>
      <c r="U584" s="14"/>
      <c r="V584" s="14"/>
    </row>
    <row r="585" ht="15.75" customHeight="1">
      <c r="A585" s="26"/>
      <c r="T585" s="14"/>
      <c r="U585" s="14"/>
      <c r="V585" s="14"/>
    </row>
    <row r="586" ht="15.75" customHeight="1">
      <c r="A586" s="26"/>
      <c r="T586" s="14"/>
      <c r="U586" s="14"/>
      <c r="V586" s="14"/>
    </row>
    <row r="587" ht="15.75" customHeight="1">
      <c r="A587" s="26"/>
      <c r="T587" s="14"/>
      <c r="U587" s="14"/>
      <c r="V587" s="14"/>
    </row>
    <row r="588" ht="15.75" customHeight="1">
      <c r="A588" s="26"/>
      <c r="T588" s="14"/>
      <c r="U588" s="14"/>
      <c r="V588" s="14"/>
    </row>
    <row r="589" ht="15.75" customHeight="1">
      <c r="A589" s="26"/>
      <c r="T589" s="14"/>
      <c r="U589" s="14"/>
      <c r="V589" s="14"/>
    </row>
    <row r="590" ht="15.75" customHeight="1">
      <c r="A590" s="26"/>
      <c r="T590" s="14"/>
      <c r="U590" s="14"/>
      <c r="V590" s="14"/>
    </row>
    <row r="591" ht="15.75" customHeight="1">
      <c r="A591" s="26"/>
      <c r="T591" s="14"/>
      <c r="U591" s="14"/>
      <c r="V591" s="14"/>
    </row>
    <row r="592" ht="15.75" customHeight="1">
      <c r="A592" s="26"/>
      <c r="T592" s="14"/>
      <c r="U592" s="14"/>
      <c r="V592" s="14"/>
    </row>
    <row r="593" ht="15.75" customHeight="1">
      <c r="A593" s="26"/>
      <c r="T593" s="14"/>
      <c r="U593" s="14"/>
      <c r="V593" s="14"/>
    </row>
    <row r="594" ht="15.75" customHeight="1">
      <c r="A594" s="26"/>
      <c r="T594" s="14"/>
      <c r="U594" s="14"/>
      <c r="V594" s="14"/>
    </row>
    <row r="595" ht="15.75" customHeight="1">
      <c r="A595" s="26"/>
      <c r="T595" s="14"/>
      <c r="U595" s="14"/>
      <c r="V595" s="14"/>
    </row>
    <row r="596" ht="15.75" customHeight="1">
      <c r="A596" s="26"/>
      <c r="T596" s="14"/>
      <c r="U596" s="14"/>
      <c r="V596" s="14"/>
    </row>
    <row r="597" ht="15.75" customHeight="1">
      <c r="A597" s="26"/>
      <c r="T597" s="14"/>
      <c r="U597" s="14"/>
      <c r="V597" s="14"/>
    </row>
    <row r="598" ht="15.75" customHeight="1">
      <c r="A598" s="26"/>
      <c r="T598" s="14"/>
      <c r="U598" s="14"/>
      <c r="V598" s="14"/>
    </row>
    <row r="599" ht="15.75" customHeight="1">
      <c r="A599" s="26"/>
      <c r="T599" s="14"/>
      <c r="U599" s="14"/>
      <c r="V599" s="14"/>
    </row>
    <row r="600" ht="15.75" customHeight="1">
      <c r="A600" s="26"/>
      <c r="T600" s="14"/>
      <c r="U600" s="14"/>
      <c r="V600" s="14"/>
    </row>
    <row r="601" ht="15.75" customHeight="1">
      <c r="A601" s="26"/>
      <c r="T601" s="14"/>
      <c r="U601" s="14"/>
      <c r="V601" s="14"/>
    </row>
    <row r="602" ht="15.75" customHeight="1">
      <c r="A602" s="26"/>
      <c r="T602" s="14"/>
      <c r="U602" s="14"/>
      <c r="V602" s="14"/>
    </row>
    <row r="603" ht="15.75" customHeight="1">
      <c r="A603" s="26"/>
      <c r="T603" s="14"/>
      <c r="U603" s="14"/>
      <c r="V603" s="14"/>
    </row>
    <row r="604" ht="15.75" customHeight="1">
      <c r="A604" s="26"/>
      <c r="T604" s="14"/>
      <c r="U604" s="14"/>
      <c r="V604" s="14"/>
    </row>
    <row r="605" ht="15.75" customHeight="1">
      <c r="A605" s="26"/>
      <c r="T605" s="14"/>
      <c r="U605" s="14"/>
      <c r="V605" s="14"/>
    </row>
    <row r="606" ht="15.75" customHeight="1">
      <c r="A606" s="26"/>
      <c r="T606" s="14"/>
      <c r="U606" s="14"/>
      <c r="V606" s="14"/>
    </row>
    <row r="607" ht="15.75" customHeight="1">
      <c r="A607" s="26"/>
      <c r="T607" s="14"/>
      <c r="U607" s="14"/>
      <c r="V607" s="14"/>
    </row>
    <row r="608" ht="15.75" customHeight="1">
      <c r="A608" s="26"/>
      <c r="T608" s="14"/>
      <c r="U608" s="14"/>
      <c r="V608" s="14"/>
    </row>
    <row r="609" ht="15.75" customHeight="1">
      <c r="A609" s="26"/>
      <c r="T609" s="14"/>
      <c r="U609" s="14"/>
      <c r="V609" s="14"/>
    </row>
    <row r="610" ht="15.75" customHeight="1">
      <c r="A610" s="26"/>
      <c r="T610" s="14"/>
      <c r="U610" s="14"/>
      <c r="V610" s="14"/>
    </row>
    <row r="611" ht="15.75" customHeight="1">
      <c r="A611" s="26"/>
      <c r="T611" s="14"/>
      <c r="U611" s="14"/>
      <c r="V611" s="14"/>
    </row>
    <row r="612" ht="15.75" customHeight="1">
      <c r="A612" s="26"/>
      <c r="T612" s="14"/>
      <c r="U612" s="14"/>
      <c r="V612" s="14"/>
    </row>
    <row r="613" ht="15.75" customHeight="1">
      <c r="A613" s="26"/>
      <c r="T613" s="14"/>
      <c r="U613" s="14"/>
      <c r="V613" s="14"/>
    </row>
    <row r="614" ht="15.75" customHeight="1">
      <c r="A614" s="26"/>
      <c r="T614" s="14"/>
      <c r="U614" s="14"/>
      <c r="V614" s="14"/>
    </row>
    <row r="615" ht="15.75" customHeight="1">
      <c r="A615" s="26"/>
      <c r="T615" s="14"/>
      <c r="U615" s="14"/>
      <c r="V615" s="14"/>
    </row>
    <row r="616" ht="15.75" customHeight="1">
      <c r="A616" s="26"/>
      <c r="T616" s="14"/>
      <c r="U616" s="14"/>
      <c r="V616" s="14"/>
    </row>
    <row r="617" ht="15.75" customHeight="1">
      <c r="A617" s="26"/>
      <c r="T617" s="14"/>
      <c r="U617" s="14"/>
      <c r="V617" s="14"/>
    </row>
    <row r="618" ht="15.75" customHeight="1">
      <c r="A618" s="26"/>
      <c r="T618" s="14"/>
      <c r="U618" s="14"/>
      <c r="V618" s="14"/>
    </row>
    <row r="619" ht="15.75" customHeight="1">
      <c r="A619" s="26"/>
      <c r="T619" s="14"/>
      <c r="U619" s="14"/>
      <c r="V619" s="14"/>
    </row>
    <row r="620" ht="15.75" customHeight="1">
      <c r="A620" s="26"/>
      <c r="T620" s="14"/>
      <c r="U620" s="14"/>
      <c r="V620" s="14"/>
    </row>
    <row r="621" ht="15.75" customHeight="1">
      <c r="A621" s="26"/>
      <c r="T621" s="14"/>
      <c r="U621" s="14"/>
      <c r="V621" s="14"/>
    </row>
    <row r="622" ht="15.75" customHeight="1">
      <c r="A622" s="26"/>
      <c r="T622" s="14"/>
      <c r="U622" s="14"/>
      <c r="V622" s="14"/>
    </row>
    <row r="623" ht="15.75" customHeight="1">
      <c r="A623" s="26"/>
      <c r="T623" s="14"/>
      <c r="U623" s="14"/>
      <c r="V623" s="14"/>
    </row>
    <row r="624" ht="15.75" customHeight="1">
      <c r="A624" s="26"/>
      <c r="T624" s="14"/>
      <c r="U624" s="14"/>
      <c r="V624" s="14"/>
    </row>
    <row r="625" ht="15.75" customHeight="1">
      <c r="A625" s="26"/>
      <c r="T625" s="14"/>
      <c r="U625" s="14"/>
      <c r="V625" s="14"/>
    </row>
    <row r="626" ht="15.75" customHeight="1">
      <c r="A626" s="26"/>
      <c r="T626" s="14"/>
      <c r="U626" s="14"/>
      <c r="V626" s="14"/>
    </row>
    <row r="627" ht="15.75" customHeight="1">
      <c r="A627" s="26"/>
      <c r="T627" s="14"/>
      <c r="U627" s="14"/>
      <c r="V627" s="14"/>
    </row>
    <row r="628" ht="15.75" customHeight="1">
      <c r="A628" s="26"/>
      <c r="T628" s="14"/>
      <c r="U628" s="14"/>
      <c r="V628" s="14"/>
    </row>
    <row r="629" ht="15.75" customHeight="1">
      <c r="A629" s="26"/>
      <c r="T629" s="14"/>
      <c r="U629" s="14"/>
      <c r="V629" s="14"/>
    </row>
    <row r="630" ht="15.75" customHeight="1">
      <c r="A630" s="26"/>
      <c r="T630" s="14"/>
      <c r="U630" s="14"/>
      <c r="V630" s="14"/>
    </row>
    <row r="631" ht="15.75" customHeight="1">
      <c r="A631" s="26"/>
      <c r="T631" s="14"/>
      <c r="U631" s="14"/>
      <c r="V631" s="14"/>
    </row>
    <row r="632" ht="15.75" customHeight="1">
      <c r="A632" s="26"/>
      <c r="T632" s="14"/>
      <c r="U632" s="14"/>
      <c r="V632" s="14"/>
    </row>
    <row r="633" ht="15.75" customHeight="1">
      <c r="A633" s="26"/>
      <c r="T633" s="14"/>
      <c r="U633" s="14"/>
      <c r="V633" s="14"/>
    </row>
    <row r="634" ht="15.75" customHeight="1">
      <c r="A634" s="26"/>
      <c r="T634" s="14"/>
      <c r="U634" s="14"/>
      <c r="V634" s="14"/>
    </row>
    <row r="635" ht="15.75" customHeight="1">
      <c r="A635" s="26"/>
      <c r="T635" s="14"/>
      <c r="U635" s="14"/>
      <c r="V635" s="14"/>
    </row>
    <row r="636" ht="15.75" customHeight="1">
      <c r="A636" s="26"/>
      <c r="T636" s="14"/>
      <c r="U636" s="14"/>
      <c r="V636" s="14"/>
    </row>
    <row r="637" ht="15.75" customHeight="1">
      <c r="A637" s="26"/>
      <c r="T637" s="14"/>
      <c r="U637" s="14"/>
      <c r="V637" s="14"/>
    </row>
    <row r="638" ht="15.75" customHeight="1">
      <c r="A638" s="26"/>
      <c r="T638" s="14"/>
      <c r="U638" s="14"/>
      <c r="V638" s="14"/>
    </row>
    <row r="639" ht="15.75" customHeight="1">
      <c r="A639" s="26"/>
      <c r="T639" s="14"/>
      <c r="U639" s="14"/>
      <c r="V639" s="14"/>
    </row>
    <row r="640" ht="15.75" customHeight="1">
      <c r="A640" s="26"/>
      <c r="T640" s="14"/>
      <c r="U640" s="14"/>
      <c r="V640" s="14"/>
    </row>
    <row r="641" ht="15.75" customHeight="1">
      <c r="A641" s="26"/>
      <c r="T641" s="14"/>
      <c r="U641" s="14"/>
      <c r="V641" s="14"/>
    </row>
    <row r="642" ht="15.75" customHeight="1">
      <c r="A642" s="26"/>
      <c r="T642" s="14"/>
      <c r="U642" s="14"/>
      <c r="V642" s="14"/>
    </row>
    <row r="643" ht="15.75" customHeight="1">
      <c r="A643" s="26"/>
      <c r="T643" s="14"/>
      <c r="U643" s="14"/>
      <c r="V643" s="14"/>
    </row>
    <row r="644" ht="15.75" customHeight="1">
      <c r="A644" s="26"/>
      <c r="T644" s="14"/>
      <c r="U644" s="14"/>
      <c r="V644" s="14"/>
    </row>
    <row r="645" ht="15.75" customHeight="1">
      <c r="A645" s="26"/>
      <c r="T645" s="14"/>
      <c r="U645" s="14"/>
      <c r="V645" s="14"/>
    </row>
    <row r="646" ht="15.75" customHeight="1">
      <c r="A646" s="26"/>
      <c r="T646" s="14"/>
      <c r="U646" s="14"/>
      <c r="V646" s="14"/>
    </row>
    <row r="647" ht="15.75" customHeight="1">
      <c r="A647" s="26"/>
      <c r="T647" s="14"/>
      <c r="U647" s="14"/>
      <c r="V647" s="14"/>
    </row>
    <row r="648" ht="15.75" customHeight="1">
      <c r="A648" s="26"/>
      <c r="T648" s="14"/>
      <c r="U648" s="14"/>
      <c r="V648" s="14"/>
    </row>
    <row r="649" ht="15.75" customHeight="1">
      <c r="A649" s="26"/>
      <c r="T649" s="14"/>
      <c r="U649" s="14"/>
      <c r="V649" s="14"/>
    </row>
    <row r="650" ht="15.75" customHeight="1">
      <c r="A650" s="26"/>
      <c r="T650" s="14"/>
      <c r="U650" s="14"/>
      <c r="V650" s="14"/>
    </row>
    <row r="651" ht="15.75" customHeight="1">
      <c r="A651" s="26"/>
      <c r="T651" s="14"/>
      <c r="U651" s="14"/>
      <c r="V651" s="14"/>
    </row>
    <row r="652" ht="15.75" customHeight="1">
      <c r="A652" s="26"/>
      <c r="T652" s="14"/>
      <c r="U652" s="14"/>
      <c r="V652" s="14"/>
    </row>
    <row r="653" ht="15.75" customHeight="1">
      <c r="A653" s="26"/>
      <c r="T653" s="14"/>
      <c r="U653" s="14"/>
      <c r="V653" s="14"/>
    </row>
    <row r="654" ht="15.75" customHeight="1">
      <c r="A654" s="26"/>
      <c r="T654" s="14"/>
      <c r="U654" s="14"/>
      <c r="V654" s="14"/>
    </row>
    <row r="655" ht="15.75" customHeight="1">
      <c r="A655" s="26"/>
      <c r="T655" s="14"/>
      <c r="U655" s="14"/>
      <c r="V655" s="14"/>
    </row>
    <row r="656" ht="15.75" customHeight="1">
      <c r="A656" s="26"/>
      <c r="T656" s="14"/>
      <c r="U656" s="14"/>
      <c r="V656" s="14"/>
    </row>
    <row r="657" ht="15.75" customHeight="1">
      <c r="A657" s="26"/>
      <c r="T657" s="14"/>
      <c r="U657" s="14"/>
      <c r="V657" s="14"/>
    </row>
    <row r="658" ht="15.75" customHeight="1">
      <c r="A658" s="26"/>
      <c r="T658" s="14"/>
      <c r="U658" s="14"/>
      <c r="V658" s="14"/>
    </row>
    <row r="659" ht="15.75" customHeight="1">
      <c r="A659" s="26"/>
      <c r="T659" s="14"/>
      <c r="U659" s="14"/>
      <c r="V659" s="14"/>
    </row>
    <row r="660" ht="15.75" customHeight="1">
      <c r="A660" s="26"/>
      <c r="T660" s="14"/>
      <c r="U660" s="14"/>
      <c r="V660" s="14"/>
    </row>
    <row r="661" ht="15.75" customHeight="1">
      <c r="A661" s="26"/>
      <c r="T661" s="14"/>
      <c r="U661" s="14"/>
      <c r="V661" s="14"/>
    </row>
    <row r="662" ht="15.75" customHeight="1">
      <c r="A662" s="26"/>
      <c r="T662" s="14"/>
      <c r="U662" s="14"/>
      <c r="V662" s="14"/>
    </row>
    <row r="663" ht="15.75" customHeight="1">
      <c r="A663" s="26"/>
      <c r="T663" s="14"/>
      <c r="U663" s="14"/>
      <c r="V663" s="14"/>
    </row>
    <row r="664" ht="15.75" customHeight="1">
      <c r="A664" s="26"/>
      <c r="T664" s="14"/>
      <c r="U664" s="14"/>
      <c r="V664" s="14"/>
    </row>
    <row r="665" ht="15.75" customHeight="1">
      <c r="A665" s="26"/>
      <c r="T665" s="14"/>
      <c r="U665" s="14"/>
      <c r="V665" s="14"/>
    </row>
    <row r="666" ht="15.75" customHeight="1">
      <c r="A666" s="26"/>
      <c r="T666" s="14"/>
      <c r="U666" s="14"/>
      <c r="V666" s="14"/>
    </row>
    <row r="667" ht="15.75" customHeight="1">
      <c r="A667" s="26"/>
      <c r="T667" s="14"/>
      <c r="U667" s="14"/>
      <c r="V667" s="14"/>
    </row>
    <row r="668" ht="15.75" customHeight="1">
      <c r="A668" s="26"/>
      <c r="T668" s="14"/>
      <c r="U668" s="14"/>
      <c r="V668" s="14"/>
    </row>
    <row r="669" ht="15.75" customHeight="1">
      <c r="A669" s="26"/>
      <c r="T669" s="14"/>
      <c r="U669" s="14"/>
      <c r="V669" s="14"/>
    </row>
    <row r="670" ht="15.75" customHeight="1">
      <c r="A670" s="26"/>
      <c r="T670" s="14"/>
      <c r="U670" s="14"/>
      <c r="V670" s="14"/>
    </row>
    <row r="671" ht="15.75" customHeight="1">
      <c r="A671" s="26"/>
      <c r="T671" s="14"/>
      <c r="U671" s="14"/>
      <c r="V671" s="14"/>
    </row>
    <row r="672" ht="15.75" customHeight="1">
      <c r="A672" s="26"/>
      <c r="T672" s="14"/>
      <c r="U672" s="14"/>
      <c r="V672" s="14"/>
    </row>
    <row r="673" ht="15.75" customHeight="1">
      <c r="A673" s="26"/>
      <c r="T673" s="14"/>
      <c r="U673" s="14"/>
      <c r="V673" s="14"/>
    </row>
    <row r="674" ht="15.75" customHeight="1">
      <c r="A674" s="26"/>
      <c r="T674" s="14"/>
      <c r="U674" s="14"/>
      <c r="V674" s="14"/>
    </row>
    <row r="675" ht="15.75" customHeight="1">
      <c r="A675" s="26"/>
      <c r="T675" s="14"/>
      <c r="U675" s="14"/>
      <c r="V675" s="14"/>
    </row>
    <row r="676" ht="15.75" customHeight="1">
      <c r="A676" s="26"/>
      <c r="T676" s="14"/>
      <c r="U676" s="14"/>
      <c r="V676" s="14"/>
    </row>
    <row r="677" ht="15.75" customHeight="1">
      <c r="A677" s="26"/>
      <c r="T677" s="14"/>
      <c r="U677" s="14"/>
      <c r="V677" s="14"/>
    </row>
    <row r="678" ht="15.75" customHeight="1">
      <c r="A678" s="26"/>
      <c r="T678" s="14"/>
      <c r="U678" s="14"/>
      <c r="V678" s="14"/>
    </row>
    <row r="679" ht="15.75" customHeight="1">
      <c r="A679" s="26"/>
      <c r="T679" s="14"/>
      <c r="U679" s="14"/>
      <c r="V679" s="14"/>
    </row>
    <row r="680" ht="15.75" customHeight="1">
      <c r="A680" s="26"/>
      <c r="T680" s="14"/>
      <c r="U680" s="14"/>
      <c r="V680" s="14"/>
    </row>
    <row r="681" ht="15.75" customHeight="1">
      <c r="A681" s="26"/>
      <c r="T681" s="14"/>
      <c r="U681" s="14"/>
      <c r="V681" s="14"/>
    </row>
    <row r="682" ht="15.75" customHeight="1">
      <c r="A682" s="26"/>
      <c r="T682" s="14"/>
      <c r="U682" s="14"/>
      <c r="V682" s="14"/>
    </row>
    <row r="683" ht="15.75" customHeight="1">
      <c r="A683" s="26"/>
      <c r="T683" s="14"/>
      <c r="U683" s="14"/>
      <c r="V683" s="14"/>
    </row>
    <row r="684" ht="15.75" customHeight="1">
      <c r="A684" s="26"/>
      <c r="T684" s="14"/>
      <c r="U684" s="14"/>
      <c r="V684" s="14"/>
    </row>
    <row r="685" ht="15.75" customHeight="1">
      <c r="A685" s="26"/>
      <c r="T685" s="14"/>
      <c r="U685" s="14"/>
      <c r="V685" s="14"/>
    </row>
    <row r="686" ht="15.75" customHeight="1">
      <c r="A686" s="26"/>
      <c r="T686" s="14"/>
      <c r="U686" s="14"/>
      <c r="V686" s="14"/>
    </row>
    <row r="687" ht="15.75" customHeight="1">
      <c r="A687" s="26"/>
      <c r="T687" s="14"/>
      <c r="U687" s="14"/>
      <c r="V687" s="14"/>
    </row>
    <row r="688" ht="15.75" customHeight="1">
      <c r="A688" s="26"/>
      <c r="T688" s="14"/>
      <c r="U688" s="14"/>
      <c r="V688" s="14"/>
    </row>
    <row r="689" ht="15.75" customHeight="1">
      <c r="A689" s="26"/>
      <c r="T689" s="14"/>
      <c r="U689" s="14"/>
      <c r="V689" s="14"/>
    </row>
    <row r="690" ht="15.75" customHeight="1">
      <c r="A690" s="26"/>
      <c r="T690" s="14"/>
      <c r="U690" s="14"/>
      <c r="V690" s="14"/>
    </row>
    <row r="691" ht="15.75" customHeight="1">
      <c r="A691" s="26"/>
      <c r="T691" s="14"/>
      <c r="U691" s="14"/>
      <c r="V691" s="14"/>
    </row>
    <row r="692" ht="15.75" customHeight="1">
      <c r="A692" s="26"/>
      <c r="T692" s="14"/>
      <c r="U692" s="14"/>
      <c r="V692" s="14"/>
    </row>
    <row r="693" ht="15.75" customHeight="1">
      <c r="A693" s="26"/>
      <c r="T693" s="14"/>
      <c r="U693" s="14"/>
      <c r="V693" s="14"/>
    </row>
    <row r="694" ht="15.75" customHeight="1">
      <c r="A694" s="26"/>
      <c r="T694" s="14"/>
      <c r="U694" s="14"/>
      <c r="V694" s="14"/>
    </row>
    <row r="695" ht="15.75" customHeight="1">
      <c r="A695" s="26"/>
      <c r="T695" s="14"/>
      <c r="U695" s="14"/>
      <c r="V695" s="14"/>
    </row>
    <row r="696" ht="15.75" customHeight="1">
      <c r="A696" s="26"/>
      <c r="T696" s="14"/>
      <c r="U696" s="14"/>
      <c r="V696" s="14"/>
    </row>
    <row r="697" ht="15.75" customHeight="1">
      <c r="A697" s="26"/>
      <c r="T697" s="14"/>
      <c r="U697" s="14"/>
      <c r="V697" s="14"/>
    </row>
    <row r="698" ht="15.75" customHeight="1">
      <c r="A698" s="26"/>
      <c r="T698" s="14"/>
      <c r="U698" s="14"/>
      <c r="V698" s="14"/>
    </row>
    <row r="699" ht="15.75" customHeight="1">
      <c r="A699" s="26"/>
      <c r="T699" s="14"/>
      <c r="U699" s="14"/>
      <c r="V699" s="14"/>
    </row>
    <row r="700" ht="15.75" customHeight="1">
      <c r="A700" s="26"/>
      <c r="T700" s="14"/>
      <c r="U700" s="14"/>
      <c r="V700" s="14"/>
    </row>
    <row r="701" ht="15.75" customHeight="1">
      <c r="A701" s="26"/>
      <c r="T701" s="14"/>
      <c r="U701" s="14"/>
      <c r="V701" s="14"/>
    </row>
    <row r="702" ht="15.75" customHeight="1">
      <c r="A702" s="26"/>
      <c r="T702" s="14"/>
      <c r="U702" s="14"/>
      <c r="V702" s="14"/>
    </row>
    <row r="703" ht="15.75" customHeight="1">
      <c r="A703" s="26"/>
      <c r="T703" s="14"/>
      <c r="U703" s="14"/>
      <c r="V703" s="14"/>
    </row>
    <row r="704" ht="15.75" customHeight="1">
      <c r="A704" s="26"/>
      <c r="T704" s="14"/>
      <c r="U704" s="14"/>
      <c r="V704" s="14"/>
    </row>
    <row r="705" ht="15.75" customHeight="1">
      <c r="A705" s="26"/>
      <c r="T705" s="14"/>
      <c r="U705" s="14"/>
      <c r="V705" s="14"/>
    </row>
    <row r="706" ht="15.75" customHeight="1">
      <c r="A706" s="26"/>
      <c r="T706" s="14"/>
      <c r="U706" s="14"/>
      <c r="V706" s="14"/>
    </row>
    <row r="707" ht="15.75" customHeight="1">
      <c r="A707" s="26"/>
      <c r="T707" s="14"/>
      <c r="U707" s="14"/>
      <c r="V707" s="14"/>
    </row>
    <row r="708" ht="15.75" customHeight="1">
      <c r="A708" s="26"/>
      <c r="T708" s="14"/>
      <c r="U708" s="14"/>
      <c r="V708" s="14"/>
    </row>
    <row r="709" ht="15.75" customHeight="1">
      <c r="A709" s="26"/>
      <c r="T709" s="14"/>
      <c r="U709" s="14"/>
      <c r="V709" s="14"/>
    </row>
    <row r="710" ht="15.75" customHeight="1">
      <c r="A710" s="26"/>
      <c r="T710" s="14"/>
      <c r="U710" s="14"/>
      <c r="V710" s="14"/>
    </row>
    <row r="711" ht="15.75" customHeight="1">
      <c r="A711" s="26"/>
      <c r="T711" s="14"/>
      <c r="U711" s="14"/>
      <c r="V711" s="14"/>
    </row>
    <row r="712" ht="15.75" customHeight="1">
      <c r="A712" s="26"/>
      <c r="T712" s="14"/>
      <c r="U712" s="14"/>
      <c r="V712" s="14"/>
    </row>
    <row r="713" ht="15.75" customHeight="1">
      <c r="A713" s="26"/>
      <c r="T713" s="14"/>
      <c r="U713" s="14"/>
      <c r="V713" s="14"/>
    </row>
    <row r="714" ht="15.75" customHeight="1">
      <c r="A714" s="26"/>
      <c r="T714" s="14"/>
      <c r="U714" s="14"/>
      <c r="V714" s="14"/>
    </row>
    <row r="715" ht="15.75" customHeight="1">
      <c r="A715" s="26"/>
      <c r="T715" s="14"/>
      <c r="U715" s="14"/>
      <c r="V715" s="14"/>
    </row>
    <row r="716" ht="15.75" customHeight="1">
      <c r="A716" s="26"/>
      <c r="T716" s="14"/>
      <c r="U716" s="14"/>
      <c r="V716" s="14"/>
    </row>
    <row r="717" ht="15.75" customHeight="1">
      <c r="A717" s="26"/>
      <c r="T717" s="14"/>
      <c r="U717" s="14"/>
      <c r="V717" s="14"/>
    </row>
    <row r="718" ht="15.75" customHeight="1">
      <c r="A718" s="26"/>
      <c r="T718" s="14"/>
      <c r="U718" s="14"/>
      <c r="V718" s="14"/>
    </row>
    <row r="719" ht="15.75" customHeight="1">
      <c r="A719" s="26"/>
      <c r="T719" s="14"/>
      <c r="U719" s="14"/>
      <c r="V719" s="14"/>
    </row>
    <row r="720" ht="15.75" customHeight="1">
      <c r="A720" s="26"/>
      <c r="T720" s="14"/>
      <c r="U720" s="14"/>
      <c r="V720" s="14"/>
    </row>
    <row r="721" ht="15.75" customHeight="1">
      <c r="A721" s="26"/>
      <c r="T721" s="14"/>
      <c r="U721" s="14"/>
      <c r="V721" s="14"/>
    </row>
    <row r="722" ht="15.75" customHeight="1">
      <c r="A722" s="26"/>
      <c r="T722" s="14"/>
      <c r="U722" s="14"/>
      <c r="V722" s="14"/>
    </row>
    <row r="723" ht="15.75" customHeight="1">
      <c r="A723" s="26"/>
      <c r="T723" s="14"/>
      <c r="U723" s="14"/>
      <c r="V723" s="14"/>
    </row>
    <row r="724" ht="15.75" customHeight="1">
      <c r="A724" s="26"/>
      <c r="T724" s="14"/>
      <c r="U724" s="14"/>
      <c r="V724" s="14"/>
    </row>
    <row r="725" ht="15.75" customHeight="1">
      <c r="A725" s="26"/>
      <c r="T725" s="14"/>
      <c r="U725" s="14"/>
      <c r="V725" s="14"/>
    </row>
    <row r="726" ht="15.75" customHeight="1">
      <c r="A726" s="26"/>
      <c r="T726" s="14"/>
      <c r="U726" s="14"/>
      <c r="V726" s="14"/>
    </row>
    <row r="727" ht="15.75" customHeight="1">
      <c r="A727" s="26"/>
      <c r="T727" s="14"/>
      <c r="U727" s="14"/>
      <c r="V727" s="14"/>
    </row>
    <row r="728" ht="15.75" customHeight="1">
      <c r="A728" s="26"/>
      <c r="T728" s="14"/>
      <c r="U728" s="14"/>
      <c r="V728" s="14"/>
    </row>
    <row r="729" ht="15.75" customHeight="1">
      <c r="A729" s="26"/>
      <c r="T729" s="14"/>
      <c r="U729" s="14"/>
      <c r="V729" s="14"/>
    </row>
    <row r="730" ht="15.75" customHeight="1">
      <c r="A730" s="26"/>
      <c r="T730" s="14"/>
      <c r="U730" s="14"/>
      <c r="V730" s="14"/>
    </row>
    <row r="731" ht="15.75" customHeight="1">
      <c r="A731" s="26"/>
      <c r="T731" s="14"/>
      <c r="U731" s="14"/>
      <c r="V731" s="14"/>
    </row>
    <row r="732" ht="15.75" customHeight="1">
      <c r="A732" s="26"/>
      <c r="T732" s="14"/>
      <c r="U732" s="14"/>
      <c r="V732" s="14"/>
    </row>
    <row r="733" ht="15.75" customHeight="1">
      <c r="A733" s="26"/>
      <c r="T733" s="14"/>
      <c r="U733" s="14"/>
      <c r="V733" s="14"/>
    </row>
    <row r="734" ht="15.75" customHeight="1">
      <c r="A734" s="26"/>
      <c r="T734" s="14"/>
      <c r="U734" s="14"/>
      <c r="V734" s="14"/>
    </row>
    <row r="735" ht="15.75" customHeight="1">
      <c r="A735" s="26"/>
      <c r="T735" s="14"/>
      <c r="U735" s="14"/>
      <c r="V735" s="14"/>
    </row>
    <row r="736" ht="15.75" customHeight="1">
      <c r="A736" s="26"/>
      <c r="T736" s="14"/>
      <c r="U736" s="14"/>
      <c r="V736" s="14"/>
    </row>
    <row r="737" ht="15.75" customHeight="1">
      <c r="A737" s="26"/>
      <c r="T737" s="14"/>
      <c r="U737" s="14"/>
      <c r="V737" s="14"/>
    </row>
    <row r="738" ht="15.75" customHeight="1">
      <c r="A738" s="26"/>
      <c r="T738" s="14"/>
      <c r="U738" s="14"/>
      <c r="V738" s="14"/>
    </row>
    <row r="739" ht="15.75" customHeight="1">
      <c r="A739" s="26"/>
      <c r="T739" s="14"/>
      <c r="U739" s="14"/>
      <c r="V739" s="14"/>
    </row>
    <row r="740" ht="15.75" customHeight="1">
      <c r="A740" s="26"/>
      <c r="T740" s="14"/>
      <c r="U740" s="14"/>
      <c r="V740" s="14"/>
    </row>
    <row r="741" ht="15.75" customHeight="1">
      <c r="A741" s="26"/>
      <c r="T741" s="14"/>
      <c r="U741" s="14"/>
      <c r="V741" s="14"/>
    </row>
    <row r="742" ht="15.75" customHeight="1">
      <c r="A742" s="26"/>
      <c r="T742" s="14"/>
      <c r="U742" s="14"/>
      <c r="V742" s="14"/>
    </row>
    <row r="743" ht="15.75" customHeight="1">
      <c r="A743" s="26"/>
      <c r="T743" s="14"/>
      <c r="U743" s="14"/>
      <c r="V743" s="14"/>
    </row>
    <row r="744" ht="15.75" customHeight="1">
      <c r="A744" s="26"/>
      <c r="T744" s="14"/>
      <c r="U744" s="14"/>
      <c r="V744" s="14"/>
    </row>
    <row r="745" ht="15.75" customHeight="1">
      <c r="A745" s="26"/>
      <c r="T745" s="14"/>
      <c r="U745" s="14"/>
      <c r="V745" s="14"/>
    </row>
    <row r="746" ht="15.75" customHeight="1">
      <c r="A746" s="26"/>
      <c r="T746" s="14"/>
      <c r="U746" s="14"/>
      <c r="V746" s="14"/>
    </row>
    <row r="747" ht="15.75" customHeight="1">
      <c r="A747" s="26"/>
      <c r="T747" s="14"/>
      <c r="U747" s="14"/>
      <c r="V747" s="14"/>
    </row>
    <row r="748" ht="15.75" customHeight="1">
      <c r="A748" s="26"/>
      <c r="T748" s="14"/>
      <c r="U748" s="14"/>
      <c r="V748" s="14"/>
    </row>
    <row r="749" ht="15.75" customHeight="1">
      <c r="A749" s="26"/>
      <c r="T749" s="14"/>
      <c r="U749" s="14"/>
      <c r="V749" s="14"/>
    </row>
    <row r="750" ht="15.75" customHeight="1">
      <c r="A750" s="26"/>
      <c r="T750" s="14"/>
      <c r="U750" s="14"/>
      <c r="V750" s="14"/>
    </row>
    <row r="751" ht="15.75" customHeight="1">
      <c r="A751" s="26"/>
      <c r="T751" s="14"/>
      <c r="U751" s="14"/>
      <c r="V751" s="14"/>
    </row>
    <row r="752" ht="15.75" customHeight="1">
      <c r="A752" s="26"/>
      <c r="T752" s="14"/>
      <c r="U752" s="14"/>
      <c r="V752" s="14"/>
    </row>
    <row r="753" ht="15.75" customHeight="1">
      <c r="A753" s="26"/>
      <c r="T753" s="14"/>
      <c r="U753" s="14"/>
      <c r="V753" s="14"/>
    </row>
    <row r="754" ht="15.75" customHeight="1">
      <c r="A754" s="26"/>
      <c r="T754" s="14"/>
      <c r="U754" s="14"/>
      <c r="V754" s="14"/>
    </row>
    <row r="755" ht="15.75" customHeight="1">
      <c r="A755" s="26"/>
      <c r="T755" s="14"/>
      <c r="U755" s="14"/>
      <c r="V755" s="14"/>
    </row>
    <row r="756" ht="15.75" customHeight="1">
      <c r="A756" s="26"/>
      <c r="T756" s="14"/>
      <c r="U756" s="14"/>
      <c r="V756" s="14"/>
    </row>
    <row r="757" ht="15.75" customHeight="1">
      <c r="A757" s="26"/>
      <c r="T757" s="14"/>
      <c r="U757" s="14"/>
      <c r="V757" s="14"/>
    </row>
    <row r="758" ht="15.75" customHeight="1">
      <c r="A758" s="26"/>
      <c r="T758" s="14"/>
      <c r="U758" s="14"/>
      <c r="V758" s="14"/>
    </row>
    <row r="759" ht="15.75" customHeight="1">
      <c r="A759" s="26"/>
      <c r="T759" s="14"/>
      <c r="U759" s="14"/>
      <c r="V759" s="14"/>
    </row>
    <row r="760" ht="15.75" customHeight="1">
      <c r="A760" s="26"/>
      <c r="T760" s="14"/>
      <c r="U760" s="14"/>
      <c r="V760" s="14"/>
    </row>
    <row r="761" ht="15.75" customHeight="1">
      <c r="A761" s="26"/>
      <c r="T761" s="14"/>
      <c r="U761" s="14"/>
      <c r="V761" s="14"/>
    </row>
    <row r="762" ht="15.75" customHeight="1">
      <c r="A762" s="26"/>
      <c r="T762" s="14"/>
      <c r="U762" s="14"/>
      <c r="V762" s="14"/>
    </row>
    <row r="763" ht="15.75" customHeight="1">
      <c r="A763" s="26"/>
      <c r="T763" s="14"/>
      <c r="U763" s="14"/>
      <c r="V763" s="14"/>
    </row>
    <row r="764" ht="15.75" customHeight="1">
      <c r="A764" s="26"/>
      <c r="T764" s="14"/>
      <c r="U764" s="14"/>
      <c r="V764" s="14"/>
    </row>
    <row r="765" ht="15.75" customHeight="1">
      <c r="A765" s="26"/>
      <c r="T765" s="14"/>
      <c r="U765" s="14"/>
      <c r="V765" s="14"/>
    </row>
    <row r="766" ht="15.75" customHeight="1">
      <c r="A766" s="26"/>
      <c r="T766" s="14"/>
      <c r="U766" s="14"/>
      <c r="V766" s="14"/>
    </row>
    <row r="767" ht="15.75" customHeight="1">
      <c r="A767" s="26"/>
      <c r="T767" s="14"/>
      <c r="U767" s="14"/>
      <c r="V767" s="14"/>
    </row>
    <row r="768" ht="15.75" customHeight="1">
      <c r="A768" s="26"/>
      <c r="T768" s="14"/>
      <c r="U768" s="14"/>
      <c r="V768" s="14"/>
    </row>
    <row r="769" ht="15.75" customHeight="1">
      <c r="A769" s="26"/>
      <c r="T769" s="14"/>
      <c r="U769" s="14"/>
      <c r="V769" s="14"/>
    </row>
    <row r="770" ht="15.75" customHeight="1">
      <c r="A770" s="26"/>
      <c r="T770" s="14"/>
      <c r="U770" s="14"/>
      <c r="V770" s="14"/>
    </row>
    <row r="771" ht="15.75" customHeight="1">
      <c r="A771" s="26"/>
      <c r="T771" s="14"/>
      <c r="U771" s="14"/>
      <c r="V771" s="14"/>
    </row>
    <row r="772" ht="15.75" customHeight="1">
      <c r="A772" s="26"/>
      <c r="T772" s="14"/>
      <c r="U772" s="14"/>
      <c r="V772" s="14"/>
    </row>
    <row r="773" ht="15.75" customHeight="1">
      <c r="A773" s="26"/>
      <c r="T773" s="14"/>
      <c r="U773" s="14"/>
      <c r="V773" s="14"/>
    </row>
    <row r="774" ht="15.75" customHeight="1">
      <c r="A774" s="26"/>
      <c r="T774" s="14"/>
      <c r="U774" s="14"/>
      <c r="V774" s="14"/>
    </row>
    <row r="775" ht="15.75" customHeight="1">
      <c r="A775" s="26"/>
      <c r="T775" s="14"/>
      <c r="U775" s="14"/>
      <c r="V775" s="14"/>
    </row>
    <row r="776" ht="15.75" customHeight="1">
      <c r="A776" s="26"/>
      <c r="T776" s="14"/>
      <c r="U776" s="14"/>
      <c r="V776" s="14"/>
    </row>
    <row r="777" ht="15.75" customHeight="1">
      <c r="A777" s="26"/>
      <c r="T777" s="14"/>
      <c r="U777" s="14"/>
      <c r="V777" s="14"/>
    </row>
    <row r="778" ht="15.75" customHeight="1">
      <c r="A778" s="26"/>
      <c r="T778" s="14"/>
      <c r="U778" s="14"/>
      <c r="V778" s="14"/>
    </row>
    <row r="779" ht="15.75" customHeight="1">
      <c r="A779" s="26"/>
      <c r="T779" s="14"/>
      <c r="U779" s="14"/>
      <c r="V779" s="14"/>
    </row>
    <row r="780" ht="15.75" customHeight="1">
      <c r="A780" s="26"/>
      <c r="T780" s="14"/>
      <c r="U780" s="14"/>
      <c r="V780" s="14"/>
    </row>
    <row r="781" ht="15.75" customHeight="1">
      <c r="A781" s="26"/>
      <c r="T781" s="14"/>
      <c r="U781" s="14"/>
      <c r="V781" s="14"/>
    </row>
    <row r="782" ht="15.75" customHeight="1">
      <c r="A782" s="26"/>
      <c r="T782" s="14"/>
      <c r="U782" s="14"/>
      <c r="V782" s="14"/>
    </row>
    <row r="783" ht="15.75" customHeight="1">
      <c r="A783" s="26"/>
      <c r="T783" s="14"/>
      <c r="U783" s="14"/>
      <c r="V783" s="14"/>
    </row>
    <row r="784" ht="15.75" customHeight="1">
      <c r="A784" s="26"/>
      <c r="T784" s="14"/>
      <c r="U784" s="14"/>
      <c r="V784" s="14"/>
    </row>
    <row r="785" ht="15.75" customHeight="1">
      <c r="A785" s="26"/>
      <c r="T785" s="14"/>
      <c r="U785" s="14"/>
      <c r="V785" s="14"/>
    </row>
    <row r="786" ht="15.75" customHeight="1">
      <c r="A786" s="26"/>
      <c r="T786" s="14"/>
      <c r="U786" s="14"/>
      <c r="V786" s="14"/>
    </row>
    <row r="787" ht="15.75" customHeight="1">
      <c r="A787" s="26"/>
      <c r="T787" s="14"/>
      <c r="U787" s="14"/>
      <c r="V787" s="14"/>
    </row>
    <row r="788" ht="15.75" customHeight="1">
      <c r="A788" s="26"/>
      <c r="T788" s="14"/>
      <c r="U788" s="14"/>
      <c r="V788" s="14"/>
    </row>
    <row r="789" ht="15.75" customHeight="1">
      <c r="A789" s="26"/>
      <c r="T789" s="14"/>
      <c r="U789" s="14"/>
      <c r="V789" s="14"/>
    </row>
    <row r="790" ht="15.75" customHeight="1">
      <c r="A790" s="26"/>
      <c r="T790" s="14"/>
      <c r="U790" s="14"/>
      <c r="V790" s="14"/>
    </row>
    <row r="791" ht="15.75" customHeight="1">
      <c r="A791" s="26"/>
      <c r="T791" s="14"/>
      <c r="U791" s="14"/>
      <c r="V791" s="14"/>
    </row>
    <row r="792" ht="15.75" customHeight="1">
      <c r="A792" s="26"/>
      <c r="T792" s="14"/>
      <c r="U792" s="14"/>
      <c r="V792" s="14"/>
    </row>
    <row r="793" ht="15.75" customHeight="1">
      <c r="A793" s="26"/>
      <c r="T793" s="14"/>
      <c r="U793" s="14"/>
      <c r="V793" s="14"/>
    </row>
    <row r="794" ht="15.75" customHeight="1">
      <c r="A794" s="26"/>
      <c r="T794" s="14"/>
      <c r="U794" s="14"/>
      <c r="V794" s="14"/>
    </row>
    <row r="795" ht="15.75" customHeight="1">
      <c r="A795" s="26"/>
      <c r="T795" s="14"/>
      <c r="U795" s="14"/>
      <c r="V795" s="14"/>
    </row>
    <row r="796" ht="15.75" customHeight="1">
      <c r="A796" s="26"/>
      <c r="T796" s="14"/>
      <c r="U796" s="14"/>
      <c r="V796" s="14"/>
    </row>
    <row r="797" ht="15.75" customHeight="1">
      <c r="A797" s="26"/>
      <c r="T797" s="14"/>
      <c r="U797" s="14"/>
      <c r="V797" s="14"/>
    </row>
    <row r="798" ht="15.75" customHeight="1">
      <c r="A798" s="26"/>
      <c r="T798" s="14"/>
      <c r="U798" s="14"/>
      <c r="V798" s="14"/>
    </row>
    <row r="799" ht="15.75" customHeight="1">
      <c r="A799" s="26"/>
      <c r="T799" s="14"/>
      <c r="U799" s="14"/>
      <c r="V799" s="14"/>
    </row>
    <row r="800" ht="15.75" customHeight="1">
      <c r="A800" s="26"/>
      <c r="T800" s="14"/>
      <c r="U800" s="14"/>
      <c r="V800" s="14"/>
    </row>
    <row r="801" ht="15.75" customHeight="1">
      <c r="A801" s="26"/>
      <c r="T801" s="14"/>
      <c r="U801" s="14"/>
      <c r="V801" s="14"/>
    </row>
    <row r="802" ht="15.75" customHeight="1">
      <c r="A802" s="26"/>
      <c r="T802" s="14"/>
      <c r="U802" s="14"/>
      <c r="V802" s="14"/>
    </row>
    <row r="803" ht="15.75" customHeight="1">
      <c r="A803" s="26"/>
      <c r="T803" s="14"/>
      <c r="U803" s="14"/>
      <c r="V803" s="14"/>
    </row>
    <row r="804" ht="15.75" customHeight="1">
      <c r="A804" s="26"/>
      <c r="T804" s="14"/>
      <c r="U804" s="14"/>
      <c r="V804" s="14"/>
    </row>
    <row r="805" ht="15.75" customHeight="1">
      <c r="A805" s="26"/>
      <c r="T805" s="14"/>
      <c r="U805" s="14"/>
      <c r="V805" s="14"/>
    </row>
    <row r="806" ht="15.75" customHeight="1">
      <c r="A806" s="26"/>
      <c r="T806" s="14"/>
      <c r="U806" s="14"/>
      <c r="V806" s="14"/>
    </row>
    <row r="807" ht="15.75" customHeight="1">
      <c r="A807" s="26"/>
      <c r="T807" s="14"/>
      <c r="U807" s="14"/>
      <c r="V807" s="14"/>
    </row>
    <row r="808" ht="15.75" customHeight="1">
      <c r="A808" s="26"/>
      <c r="T808" s="14"/>
      <c r="U808" s="14"/>
      <c r="V808" s="14"/>
    </row>
    <row r="809" ht="15.75" customHeight="1">
      <c r="A809" s="26"/>
      <c r="T809" s="14"/>
      <c r="U809" s="14"/>
      <c r="V809" s="14"/>
    </row>
    <row r="810" ht="15.75" customHeight="1">
      <c r="A810" s="26"/>
      <c r="T810" s="14"/>
      <c r="U810" s="14"/>
      <c r="V810" s="14"/>
    </row>
    <row r="811" ht="15.75" customHeight="1">
      <c r="A811" s="26"/>
      <c r="T811" s="14"/>
      <c r="U811" s="14"/>
      <c r="V811" s="14"/>
    </row>
    <row r="812" ht="15.75" customHeight="1">
      <c r="A812" s="26"/>
      <c r="T812" s="14"/>
      <c r="U812" s="14"/>
      <c r="V812" s="14"/>
    </row>
    <row r="813" ht="15.75" customHeight="1">
      <c r="A813" s="26"/>
      <c r="T813" s="14"/>
      <c r="U813" s="14"/>
      <c r="V813" s="14"/>
    </row>
    <row r="814" ht="15.75" customHeight="1">
      <c r="A814" s="26"/>
      <c r="T814" s="14"/>
      <c r="U814" s="14"/>
      <c r="V814" s="14"/>
    </row>
    <row r="815" ht="15.75" customHeight="1">
      <c r="A815" s="26"/>
      <c r="T815" s="14"/>
      <c r="U815" s="14"/>
      <c r="V815" s="14"/>
    </row>
    <row r="816" ht="15.75" customHeight="1">
      <c r="A816" s="26"/>
      <c r="T816" s="14"/>
      <c r="U816" s="14"/>
      <c r="V816" s="14"/>
    </row>
    <row r="817" ht="15.75" customHeight="1">
      <c r="A817" s="26"/>
      <c r="T817" s="14"/>
      <c r="U817" s="14"/>
      <c r="V817" s="14"/>
    </row>
    <row r="818" ht="15.75" customHeight="1">
      <c r="A818" s="26"/>
      <c r="T818" s="14"/>
      <c r="U818" s="14"/>
      <c r="V818" s="14"/>
    </row>
    <row r="819" ht="15.75" customHeight="1">
      <c r="A819" s="26"/>
      <c r="T819" s="14"/>
      <c r="U819" s="14"/>
      <c r="V819" s="14"/>
    </row>
    <row r="820" ht="15.75" customHeight="1">
      <c r="A820" s="26"/>
      <c r="T820" s="14"/>
      <c r="U820" s="14"/>
      <c r="V820" s="14"/>
    </row>
    <row r="821" ht="15.75" customHeight="1">
      <c r="A821" s="26"/>
      <c r="T821" s="14"/>
      <c r="U821" s="14"/>
      <c r="V821" s="14"/>
    </row>
    <row r="822" ht="15.75" customHeight="1">
      <c r="A822" s="26"/>
      <c r="T822" s="14"/>
      <c r="U822" s="14"/>
      <c r="V822" s="14"/>
    </row>
    <row r="823" ht="15.75" customHeight="1">
      <c r="A823" s="26"/>
      <c r="T823" s="14"/>
      <c r="U823" s="14"/>
      <c r="V823" s="14"/>
    </row>
    <row r="824" ht="15.75" customHeight="1">
      <c r="A824" s="26"/>
      <c r="T824" s="14"/>
      <c r="U824" s="14"/>
      <c r="V824" s="14"/>
    </row>
    <row r="825" ht="15.75" customHeight="1">
      <c r="A825" s="26"/>
      <c r="T825" s="14"/>
      <c r="U825" s="14"/>
      <c r="V825" s="14"/>
    </row>
    <row r="826" ht="15.75" customHeight="1">
      <c r="A826" s="26"/>
      <c r="T826" s="14"/>
      <c r="U826" s="14"/>
      <c r="V826" s="14"/>
    </row>
    <row r="827" ht="15.75" customHeight="1">
      <c r="A827" s="26"/>
      <c r="T827" s="14"/>
      <c r="U827" s="14"/>
      <c r="V827" s="14"/>
    </row>
    <row r="828" ht="15.75" customHeight="1">
      <c r="A828" s="26"/>
      <c r="T828" s="14"/>
      <c r="U828" s="14"/>
      <c r="V828" s="14"/>
    </row>
    <row r="829" ht="15.75" customHeight="1">
      <c r="A829" s="26"/>
      <c r="T829" s="14"/>
      <c r="U829" s="14"/>
      <c r="V829" s="14"/>
    </row>
    <row r="830" ht="15.75" customHeight="1">
      <c r="A830" s="26"/>
      <c r="T830" s="14"/>
      <c r="U830" s="14"/>
      <c r="V830" s="14"/>
    </row>
    <row r="831" ht="15.75" customHeight="1">
      <c r="A831" s="26"/>
      <c r="T831" s="14"/>
      <c r="U831" s="14"/>
      <c r="V831" s="14"/>
    </row>
    <row r="832" ht="15.75" customHeight="1">
      <c r="A832" s="26"/>
      <c r="T832" s="14"/>
      <c r="U832" s="14"/>
      <c r="V832" s="14"/>
    </row>
    <row r="833" ht="15.75" customHeight="1">
      <c r="A833" s="26"/>
      <c r="T833" s="14"/>
      <c r="U833" s="14"/>
      <c r="V833" s="14"/>
    </row>
    <row r="834" ht="15.75" customHeight="1">
      <c r="A834" s="26"/>
      <c r="T834" s="14"/>
      <c r="U834" s="14"/>
      <c r="V834" s="14"/>
    </row>
    <row r="835" ht="15.75" customHeight="1">
      <c r="A835" s="26"/>
      <c r="T835" s="14"/>
      <c r="U835" s="14"/>
      <c r="V835" s="14"/>
    </row>
    <row r="836" ht="15.75" customHeight="1">
      <c r="A836" s="26"/>
      <c r="T836" s="14"/>
      <c r="U836" s="14"/>
      <c r="V836" s="14"/>
    </row>
    <row r="837" ht="15.75" customHeight="1">
      <c r="A837" s="26"/>
      <c r="T837" s="14"/>
      <c r="U837" s="14"/>
      <c r="V837" s="14"/>
    </row>
    <row r="838" ht="15.75" customHeight="1">
      <c r="A838" s="26"/>
      <c r="T838" s="14"/>
      <c r="U838" s="14"/>
      <c r="V838" s="14"/>
    </row>
    <row r="839" ht="15.75" customHeight="1">
      <c r="A839" s="26"/>
      <c r="T839" s="14"/>
      <c r="U839" s="14"/>
      <c r="V839" s="14"/>
    </row>
    <row r="840" ht="15.75" customHeight="1">
      <c r="A840" s="26"/>
      <c r="T840" s="14"/>
      <c r="U840" s="14"/>
      <c r="V840" s="14"/>
    </row>
    <row r="841" ht="15.75" customHeight="1">
      <c r="A841" s="26"/>
      <c r="T841" s="14"/>
      <c r="U841" s="14"/>
      <c r="V841" s="14"/>
    </row>
    <row r="842" ht="15.75" customHeight="1">
      <c r="A842" s="26"/>
      <c r="T842" s="14"/>
      <c r="U842" s="14"/>
      <c r="V842" s="14"/>
    </row>
    <row r="843" ht="15.75" customHeight="1">
      <c r="A843" s="26"/>
      <c r="T843" s="14"/>
      <c r="U843" s="14"/>
      <c r="V843" s="14"/>
    </row>
    <row r="844" ht="15.75" customHeight="1">
      <c r="A844" s="26"/>
      <c r="T844" s="14"/>
      <c r="U844" s="14"/>
      <c r="V844" s="14"/>
    </row>
    <row r="845" ht="15.75" customHeight="1">
      <c r="A845" s="26"/>
      <c r="T845" s="14"/>
      <c r="U845" s="14"/>
      <c r="V845" s="14"/>
    </row>
    <row r="846" ht="15.75" customHeight="1">
      <c r="A846" s="26"/>
      <c r="T846" s="14"/>
      <c r="U846" s="14"/>
      <c r="V846" s="14"/>
    </row>
    <row r="847" ht="15.75" customHeight="1">
      <c r="A847" s="26"/>
      <c r="T847" s="14"/>
      <c r="U847" s="14"/>
      <c r="V847" s="14"/>
    </row>
    <row r="848" ht="15.75" customHeight="1">
      <c r="A848" s="26"/>
      <c r="T848" s="14"/>
      <c r="U848" s="14"/>
      <c r="V848" s="14"/>
    </row>
    <row r="849" ht="15.75" customHeight="1">
      <c r="A849" s="26"/>
      <c r="T849" s="14"/>
      <c r="U849" s="14"/>
      <c r="V849" s="14"/>
    </row>
    <row r="850" ht="15.75" customHeight="1">
      <c r="A850" s="26"/>
      <c r="T850" s="14"/>
      <c r="U850" s="14"/>
      <c r="V850" s="14"/>
    </row>
    <row r="851" ht="15.75" customHeight="1">
      <c r="A851" s="26"/>
      <c r="T851" s="14"/>
      <c r="U851" s="14"/>
      <c r="V851" s="14"/>
    </row>
    <row r="852" ht="15.75" customHeight="1">
      <c r="A852" s="26"/>
      <c r="T852" s="14"/>
      <c r="U852" s="14"/>
      <c r="V852" s="14"/>
    </row>
    <row r="853" ht="15.75" customHeight="1">
      <c r="A853" s="26"/>
      <c r="T853" s="14"/>
      <c r="U853" s="14"/>
      <c r="V853" s="14"/>
    </row>
    <row r="854" ht="15.75" customHeight="1">
      <c r="A854" s="26"/>
      <c r="T854" s="14"/>
      <c r="U854" s="14"/>
      <c r="V854" s="14"/>
    </row>
    <row r="855" ht="15.75" customHeight="1">
      <c r="A855" s="26"/>
      <c r="T855" s="14"/>
      <c r="U855" s="14"/>
      <c r="V855" s="14"/>
    </row>
    <row r="856" ht="15.75" customHeight="1">
      <c r="A856" s="26"/>
      <c r="T856" s="14"/>
      <c r="U856" s="14"/>
      <c r="V856" s="14"/>
    </row>
    <row r="857" ht="15.75" customHeight="1">
      <c r="A857" s="26"/>
      <c r="T857" s="14"/>
      <c r="U857" s="14"/>
      <c r="V857" s="14"/>
    </row>
    <row r="858" ht="15.75" customHeight="1">
      <c r="A858" s="26"/>
      <c r="T858" s="14"/>
      <c r="U858" s="14"/>
      <c r="V858" s="14"/>
    </row>
    <row r="859" ht="15.75" customHeight="1">
      <c r="A859" s="26"/>
      <c r="T859" s="14"/>
      <c r="U859" s="14"/>
      <c r="V859" s="14"/>
    </row>
    <row r="860" ht="15.75" customHeight="1">
      <c r="A860" s="26"/>
      <c r="T860" s="14"/>
      <c r="U860" s="14"/>
      <c r="V860" s="14"/>
    </row>
    <row r="861" ht="15.75" customHeight="1">
      <c r="A861" s="26"/>
      <c r="T861" s="14"/>
      <c r="U861" s="14"/>
      <c r="V861" s="14"/>
    </row>
    <row r="862" ht="15.75" customHeight="1">
      <c r="A862" s="26"/>
      <c r="T862" s="14"/>
      <c r="U862" s="14"/>
      <c r="V862" s="14"/>
    </row>
    <row r="863" ht="15.75" customHeight="1">
      <c r="A863" s="26"/>
      <c r="T863" s="14"/>
      <c r="U863" s="14"/>
      <c r="V863" s="14"/>
    </row>
    <row r="864" ht="15.75" customHeight="1">
      <c r="A864" s="26"/>
      <c r="T864" s="14"/>
      <c r="U864" s="14"/>
      <c r="V864" s="14"/>
    </row>
    <row r="865" ht="15.75" customHeight="1">
      <c r="A865" s="26"/>
      <c r="T865" s="14"/>
      <c r="U865" s="14"/>
      <c r="V865" s="14"/>
    </row>
    <row r="866" ht="15.75" customHeight="1">
      <c r="A866" s="26"/>
      <c r="T866" s="14"/>
      <c r="U866" s="14"/>
      <c r="V866" s="14"/>
    </row>
    <row r="867" ht="15.75" customHeight="1">
      <c r="A867" s="26"/>
      <c r="T867" s="14"/>
      <c r="U867" s="14"/>
      <c r="V867" s="14"/>
    </row>
    <row r="868" ht="15.75" customHeight="1">
      <c r="A868" s="26"/>
      <c r="T868" s="14"/>
      <c r="U868" s="14"/>
      <c r="V868" s="14"/>
    </row>
    <row r="869" ht="15.75" customHeight="1">
      <c r="A869" s="26"/>
      <c r="T869" s="14"/>
      <c r="U869" s="14"/>
      <c r="V869" s="14"/>
    </row>
    <row r="870" ht="15.75" customHeight="1">
      <c r="A870" s="26"/>
      <c r="T870" s="14"/>
      <c r="U870" s="14"/>
      <c r="V870" s="14"/>
    </row>
    <row r="871" ht="15.75" customHeight="1">
      <c r="A871" s="26"/>
      <c r="T871" s="14"/>
      <c r="U871" s="14"/>
      <c r="V871" s="14"/>
    </row>
    <row r="872" ht="15.75" customHeight="1">
      <c r="A872" s="26"/>
      <c r="T872" s="14"/>
      <c r="U872" s="14"/>
      <c r="V872" s="14"/>
    </row>
    <row r="873" ht="15.75" customHeight="1">
      <c r="A873" s="26"/>
      <c r="T873" s="14"/>
      <c r="U873" s="14"/>
      <c r="V873" s="14"/>
    </row>
    <row r="874" ht="15.75" customHeight="1">
      <c r="A874" s="26"/>
      <c r="T874" s="14"/>
      <c r="U874" s="14"/>
      <c r="V874" s="14"/>
    </row>
    <row r="875" ht="15.75" customHeight="1">
      <c r="A875" s="26"/>
      <c r="T875" s="14"/>
      <c r="U875" s="14"/>
      <c r="V875" s="14"/>
    </row>
    <row r="876" ht="15.75" customHeight="1">
      <c r="A876" s="26"/>
      <c r="T876" s="14"/>
      <c r="U876" s="14"/>
      <c r="V876" s="14"/>
    </row>
    <row r="877" ht="15.75" customHeight="1">
      <c r="A877" s="26"/>
      <c r="T877" s="14"/>
      <c r="U877" s="14"/>
      <c r="V877" s="14"/>
    </row>
    <row r="878" ht="15.75" customHeight="1">
      <c r="A878" s="26"/>
      <c r="T878" s="14"/>
      <c r="U878" s="14"/>
      <c r="V878" s="14"/>
    </row>
    <row r="879" ht="15.75" customHeight="1">
      <c r="A879" s="26"/>
      <c r="T879" s="14"/>
      <c r="U879" s="14"/>
      <c r="V879" s="14"/>
    </row>
    <row r="880" ht="15.75" customHeight="1">
      <c r="A880" s="26"/>
      <c r="T880" s="14"/>
      <c r="U880" s="14"/>
      <c r="V880" s="14"/>
    </row>
    <row r="881" ht="15.75" customHeight="1">
      <c r="A881" s="26"/>
      <c r="T881" s="14"/>
      <c r="U881" s="14"/>
      <c r="V881" s="14"/>
    </row>
    <row r="882" ht="15.75" customHeight="1">
      <c r="A882" s="26"/>
      <c r="T882" s="14"/>
      <c r="U882" s="14"/>
      <c r="V882" s="14"/>
    </row>
    <row r="883" ht="15.75" customHeight="1">
      <c r="A883" s="26"/>
      <c r="T883" s="14"/>
      <c r="U883" s="14"/>
      <c r="V883" s="14"/>
    </row>
    <row r="884" ht="15.75" customHeight="1">
      <c r="A884" s="26"/>
      <c r="T884" s="14"/>
      <c r="U884" s="14"/>
      <c r="V884" s="14"/>
    </row>
    <row r="885" ht="15.75" customHeight="1">
      <c r="A885" s="26"/>
      <c r="T885" s="14"/>
      <c r="U885" s="14"/>
      <c r="V885" s="14"/>
    </row>
    <row r="886" ht="15.75" customHeight="1">
      <c r="A886" s="26"/>
      <c r="T886" s="14"/>
      <c r="U886" s="14"/>
      <c r="V886" s="14"/>
    </row>
    <row r="887" ht="15.75" customHeight="1">
      <c r="A887" s="26"/>
      <c r="T887" s="14"/>
      <c r="U887" s="14"/>
      <c r="V887" s="14"/>
    </row>
    <row r="888" ht="15.75" customHeight="1">
      <c r="A888" s="26"/>
      <c r="T888" s="14"/>
      <c r="U888" s="14"/>
      <c r="V888" s="14"/>
    </row>
    <row r="889" ht="15.75" customHeight="1">
      <c r="A889" s="26"/>
      <c r="T889" s="14"/>
      <c r="U889" s="14"/>
      <c r="V889" s="14"/>
    </row>
    <row r="890" ht="15.75" customHeight="1">
      <c r="A890" s="26"/>
      <c r="T890" s="14"/>
      <c r="U890" s="14"/>
      <c r="V890" s="14"/>
    </row>
    <row r="891" ht="15.75" customHeight="1">
      <c r="A891" s="26"/>
      <c r="T891" s="14"/>
      <c r="U891" s="14"/>
      <c r="V891" s="14"/>
    </row>
    <row r="892" ht="15.75" customHeight="1">
      <c r="A892" s="26"/>
      <c r="T892" s="14"/>
      <c r="U892" s="14"/>
      <c r="V892" s="14"/>
    </row>
    <row r="893" ht="15.75" customHeight="1">
      <c r="A893" s="26"/>
      <c r="T893" s="14"/>
      <c r="U893" s="14"/>
      <c r="V893" s="14"/>
    </row>
    <row r="894" ht="15.75" customHeight="1">
      <c r="A894" s="26"/>
      <c r="T894" s="14"/>
      <c r="U894" s="14"/>
      <c r="V894" s="14"/>
    </row>
    <row r="895" ht="15.75" customHeight="1">
      <c r="A895" s="26"/>
      <c r="T895" s="14"/>
      <c r="U895" s="14"/>
      <c r="V895" s="14"/>
    </row>
    <row r="896" ht="15.75" customHeight="1">
      <c r="A896" s="26"/>
      <c r="T896" s="14"/>
      <c r="U896" s="14"/>
      <c r="V896" s="14"/>
    </row>
    <row r="897" ht="15.75" customHeight="1">
      <c r="A897" s="26"/>
      <c r="T897" s="14"/>
      <c r="U897" s="14"/>
      <c r="V897" s="14"/>
    </row>
    <row r="898" ht="15.75" customHeight="1">
      <c r="A898" s="26"/>
      <c r="T898" s="14"/>
      <c r="U898" s="14"/>
      <c r="V898" s="14"/>
    </row>
    <row r="899" ht="15.75" customHeight="1">
      <c r="A899" s="26"/>
      <c r="T899" s="14"/>
      <c r="U899" s="14"/>
      <c r="V899" s="14"/>
    </row>
    <row r="900" ht="15.75" customHeight="1">
      <c r="A900" s="26"/>
      <c r="T900" s="14"/>
      <c r="U900" s="14"/>
      <c r="V900" s="14"/>
    </row>
    <row r="901" ht="15.75" customHeight="1">
      <c r="A901" s="26"/>
      <c r="T901" s="14"/>
      <c r="U901" s="14"/>
      <c r="V901" s="14"/>
    </row>
    <row r="902" ht="15.75" customHeight="1">
      <c r="A902" s="26"/>
      <c r="T902" s="14"/>
      <c r="U902" s="14"/>
      <c r="V902" s="14"/>
    </row>
    <row r="903" ht="15.75" customHeight="1">
      <c r="A903" s="26"/>
      <c r="T903" s="14"/>
      <c r="U903" s="14"/>
      <c r="V903" s="14"/>
    </row>
    <row r="904" ht="15.75" customHeight="1">
      <c r="A904" s="26"/>
      <c r="T904" s="14"/>
      <c r="U904" s="14"/>
      <c r="V904" s="14"/>
    </row>
    <row r="905" ht="15.75" customHeight="1">
      <c r="A905" s="26"/>
      <c r="T905" s="14"/>
      <c r="U905" s="14"/>
      <c r="V905" s="14"/>
    </row>
    <row r="906" ht="15.75" customHeight="1">
      <c r="A906" s="26"/>
      <c r="T906" s="14"/>
      <c r="U906" s="14"/>
      <c r="V906" s="14"/>
    </row>
    <row r="907" ht="15.75" customHeight="1">
      <c r="A907" s="26"/>
      <c r="T907" s="14"/>
      <c r="U907" s="14"/>
      <c r="V907" s="14"/>
    </row>
    <row r="908" ht="15.75" customHeight="1">
      <c r="A908" s="26"/>
      <c r="T908" s="14"/>
      <c r="U908" s="14"/>
      <c r="V908" s="14"/>
    </row>
    <row r="909" ht="15.75" customHeight="1">
      <c r="A909" s="26"/>
      <c r="T909" s="14"/>
      <c r="U909" s="14"/>
      <c r="V909" s="14"/>
    </row>
    <row r="910" ht="15.75" customHeight="1">
      <c r="A910" s="26"/>
      <c r="T910" s="14"/>
      <c r="U910" s="14"/>
      <c r="V910" s="14"/>
    </row>
    <row r="911" ht="15.75" customHeight="1">
      <c r="A911" s="26"/>
      <c r="T911" s="14"/>
      <c r="U911" s="14"/>
      <c r="V911" s="14"/>
    </row>
    <row r="912" ht="15.75" customHeight="1">
      <c r="A912" s="26"/>
      <c r="T912" s="14"/>
      <c r="U912" s="14"/>
      <c r="V912" s="14"/>
    </row>
    <row r="913" ht="15.75" customHeight="1">
      <c r="A913" s="26"/>
      <c r="T913" s="14"/>
      <c r="U913" s="14"/>
      <c r="V913" s="14"/>
    </row>
    <row r="914" ht="15.75" customHeight="1">
      <c r="A914" s="26"/>
      <c r="T914" s="14"/>
      <c r="U914" s="14"/>
      <c r="V914" s="14"/>
    </row>
    <row r="915" ht="15.75" customHeight="1">
      <c r="A915" s="26"/>
      <c r="T915" s="14"/>
      <c r="U915" s="14"/>
      <c r="V915" s="14"/>
    </row>
    <row r="916" ht="15.75" customHeight="1">
      <c r="A916" s="26"/>
      <c r="T916" s="14"/>
      <c r="U916" s="14"/>
      <c r="V916" s="14"/>
    </row>
    <row r="917" ht="15.75" customHeight="1">
      <c r="A917" s="26"/>
      <c r="T917" s="14"/>
      <c r="U917" s="14"/>
      <c r="V917" s="14"/>
    </row>
    <row r="918" ht="15.75" customHeight="1">
      <c r="A918" s="26"/>
      <c r="T918" s="14"/>
      <c r="U918" s="14"/>
      <c r="V918" s="14"/>
    </row>
    <row r="919" ht="15.75" customHeight="1">
      <c r="A919" s="26"/>
      <c r="T919" s="14"/>
      <c r="U919" s="14"/>
      <c r="V919" s="14"/>
    </row>
    <row r="920" ht="15.75" customHeight="1">
      <c r="A920" s="26"/>
      <c r="T920" s="14"/>
      <c r="U920" s="14"/>
      <c r="V920" s="14"/>
    </row>
    <row r="921" ht="15.75" customHeight="1">
      <c r="A921" s="26"/>
      <c r="T921" s="14"/>
      <c r="U921" s="14"/>
      <c r="V921" s="14"/>
    </row>
    <row r="922" ht="15.75" customHeight="1">
      <c r="A922" s="26"/>
      <c r="T922" s="14"/>
      <c r="U922" s="14"/>
      <c r="V922" s="14"/>
    </row>
    <row r="923" ht="15.75" customHeight="1">
      <c r="A923" s="26"/>
      <c r="T923" s="14"/>
      <c r="U923" s="14"/>
      <c r="V923" s="14"/>
    </row>
    <row r="924" ht="15.75" customHeight="1">
      <c r="A924" s="26"/>
      <c r="T924" s="14"/>
      <c r="U924" s="14"/>
      <c r="V924" s="14"/>
    </row>
    <row r="925" ht="15.75" customHeight="1">
      <c r="A925" s="26"/>
      <c r="T925" s="14"/>
      <c r="U925" s="14"/>
      <c r="V925" s="14"/>
    </row>
    <row r="926" ht="15.75" customHeight="1">
      <c r="A926" s="26"/>
      <c r="T926" s="14"/>
      <c r="U926" s="14"/>
      <c r="V926" s="14"/>
    </row>
    <row r="927" ht="15.75" customHeight="1">
      <c r="A927" s="26"/>
      <c r="T927" s="14"/>
      <c r="U927" s="14"/>
      <c r="V927" s="14"/>
    </row>
    <row r="928" ht="15.75" customHeight="1">
      <c r="A928" s="26"/>
      <c r="T928" s="14"/>
      <c r="U928" s="14"/>
      <c r="V928" s="14"/>
    </row>
    <row r="929" ht="15.75" customHeight="1">
      <c r="A929" s="26"/>
      <c r="T929" s="14"/>
      <c r="U929" s="14"/>
      <c r="V929" s="14"/>
    </row>
    <row r="930" ht="15.75" customHeight="1">
      <c r="A930" s="26"/>
      <c r="T930" s="14"/>
      <c r="U930" s="14"/>
      <c r="V930" s="14"/>
    </row>
    <row r="931" ht="15.75" customHeight="1">
      <c r="A931" s="26"/>
      <c r="T931" s="14"/>
      <c r="U931" s="14"/>
      <c r="V931" s="14"/>
    </row>
    <row r="932" ht="15.75" customHeight="1">
      <c r="A932" s="26"/>
      <c r="T932" s="14"/>
      <c r="U932" s="14"/>
      <c r="V932" s="14"/>
    </row>
    <row r="933" ht="15.75" customHeight="1">
      <c r="A933" s="26"/>
      <c r="T933" s="14"/>
      <c r="U933" s="14"/>
      <c r="V933" s="14"/>
    </row>
    <row r="934" ht="15.75" customHeight="1">
      <c r="A934" s="26"/>
      <c r="T934" s="14"/>
      <c r="U934" s="14"/>
      <c r="V934" s="14"/>
    </row>
    <row r="935" ht="15.75" customHeight="1">
      <c r="A935" s="26"/>
      <c r="T935" s="14"/>
      <c r="U935" s="14"/>
      <c r="V935" s="14"/>
    </row>
    <row r="936" ht="15.75" customHeight="1">
      <c r="A936" s="26"/>
      <c r="T936" s="14"/>
      <c r="U936" s="14"/>
      <c r="V936" s="14"/>
    </row>
    <row r="937" ht="15.75" customHeight="1">
      <c r="A937" s="26"/>
      <c r="T937" s="14"/>
      <c r="U937" s="14"/>
      <c r="V937" s="14"/>
    </row>
    <row r="938" ht="15.75" customHeight="1">
      <c r="A938" s="26"/>
      <c r="T938" s="14"/>
      <c r="U938" s="14"/>
      <c r="V938" s="14"/>
    </row>
    <row r="939" ht="15.75" customHeight="1">
      <c r="A939" s="26"/>
      <c r="T939" s="14"/>
      <c r="U939" s="14"/>
      <c r="V939" s="14"/>
    </row>
    <row r="940" ht="15.75" customHeight="1">
      <c r="A940" s="26"/>
      <c r="T940" s="14"/>
      <c r="U940" s="14"/>
      <c r="V940" s="14"/>
    </row>
    <row r="941" ht="15.75" customHeight="1">
      <c r="A941" s="26"/>
      <c r="T941" s="14"/>
      <c r="U941" s="14"/>
      <c r="V941" s="14"/>
    </row>
    <row r="942" ht="15.75" customHeight="1">
      <c r="A942" s="26"/>
      <c r="T942" s="14"/>
      <c r="U942" s="14"/>
      <c r="V942" s="14"/>
    </row>
    <row r="943" ht="15.75" customHeight="1">
      <c r="A943" s="26"/>
      <c r="T943" s="14"/>
      <c r="U943" s="14"/>
      <c r="V943" s="14"/>
    </row>
    <row r="944" ht="15.75" customHeight="1">
      <c r="A944" s="26"/>
      <c r="T944" s="14"/>
      <c r="U944" s="14"/>
      <c r="V944" s="14"/>
    </row>
    <row r="945" ht="15.75" customHeight="1">
      <c r="A945" s="26"/>
      <c r="T945" s="14"/>
      <c r="U945" s="14"/>
      <c r="V945" s="14"/>
    </row>
    <row r="946" ht="15.75" customHeight="1">
      <c r="A946" s="26"/>
      <c r="T946" s="14"/>
      <c r="U946" s="14"/>
      <c r="V946" s="14"/>
    </row>
    <row r="947" ht="15.75" customHeight="1">
      <c r="A947" s="26"/>
      <c r="T947" s="14"/>
      <c r="U947" s="14"/>
      <c r="V947" s="14"/>
    </row>
    <row r="948" ht="15.75" customHeight="1">
      <c r="A948" s="26"/>
      <c r="T948" s="14"/>
      <c r="U948" s="14"/>
      <c r="V948" s="14"/>
    </row>
    <row r="949" ht="15.75" customHeight="1">
      <c r="A949" s="26"/>
      <c r="T949" s="14"/>
      <c r="U949" s="14"/>
      <c r="V949" s="14"/>
    </row>
    <row r="950" ht="15.75" customHeight="1">
      <c r="A950" s="26"/>
      <c r="T950" s="14"/>
      <c r="U950" s="14"/>
      <c r="V950" s="14"/>
    </row>
    <row r="951" ht="15.75" customHeight="1">
      <c r="A951" s="26"/>
      <c r="T951" s="14"/>
      <c r="U951" s="14"/>
      <c r="V951" s="14"/>
    </row>
    <row r="952" ht="15.75" customHeight="1">
      <c r="A952" s="26"/>
      <c r="T952" s="14"/>
      <c r="U952" s="14"/>
      <c r="V952" s="14"/>
    </row>
    <row r="953" ht="15.75" customHeight="1">
      <c r="A953" s="26"/>
      <c r="T953" s="14"/>
      <c r="U953" s="14"/>
      <c r="V953" s="14"/>
    </row>
    <row r="954" ht="15.75" customHeight="1">
      <c r="A954" s="26"/>
      <c r="T954" s="14"/>
      <c r="U954" s="14"/>
      <c r="V954" s="14"/>
    </row>
    <row r="955" ht="15.75" customHeight="1">
      <c r="A955" s="26"/>
      <c r="T955" s="14"/>
      <c r="U955" s="14"/>
      <c r="V955" s="14"/>
    </row>
    <row r="956" ht="15.75" customHeight="1">
      <c r="A956" s="26"/>
      <c r="T956" s="14"/>
      <c r="U956" s="14"/>
      <c r="V956" s="14"/>
    </row>
    <row r="957" ht="15.75" customHeight="1">
      <c r="A957" s="26"/>
      <c r="T957" s="14"/>
      <c r="U957" s="14"/>
      <c r="V957" s="14"/>
    </row>
    <row r="958" ht="15.75" customHeight="1">
      <c r="A958" s="26"/>
      <c r="T958" s="14"/>
      <c r="U958" s="14"/>
      <c r="V958" s="14"/>
    </row>
    <row r="959" ht="15.75" customHeight="1">
      <c r="A959" s="26"/>
      <c r="T959" s="14"/>
      <c r="U959" s="14"/>
      <c r="V959" s="14"/>
    </row>
    <row r="960" ht="15.75" customHeight="1">
      <c r="A960" s="26"/>
      <c r="T960" s="14"/>
      <c r="U960" s="14"/>
      <c r="V960" s="14"/>
    </row>
    <row r="961" ht="15.75" customHeight="1">
      <c r="A961" s="26"/>
      <c r="T961" s="14"/>
      <c r="U961" s="14"/>
      <c r="V961" s="14"/>
    </row>
    <row r="962" ht="15.75" customHeight="1">
      <c r="A962" s="26"/>
      <c r="T962" s="14"/>
      <c r="U962" s="14"/>
      <c r="V962" s="14"/>
    </row>
    <row r="963" ht="15.75" customHeight="1">
      <c r="A963" s="26"/>
      <c r="T963" s="14"/>
      <c r="U963" s="14"/>
      <c r="V963" s="14"/>
    </row>
    <row r="964" ht="15.75" customHeight="1">
      <c r="A964" s="26"/>
      <c r="T964" s="14"/>
      <c r="U964" s="14"/>
      <c r="V964" s="14"/>
    </row>
    <row r="965" ht="15.75" customHeight="1">
      <c r="A965" s="26"/>
      <c r="T965" s="14"/>
      <c r="U965" s="14"/>
      <c r="V965" s="14"/>
    </row>
    <row r="966" ht="15.75" customHeight="1">
      <c r="A966" s="26"/>
      <c r="T966" s="14"/>
      <c r="U966" s="14"/>
      <c r="V966" s="14"/>
    </row>
    <row r="967" ht="15.75" customHeight="1">
      <c r="A967" s="26"/>
      <c r="T967" s="14"/>
      <c r="U967" s="14"/>
      <c r="V967" s="14"/>
    </row>
    <row r="968" ht="15.75" customHeight="1">
      <c r="A968" s="26"/>
      <c r="T968" s="14"/>
      <c r="U968" s="14"/>
      <c r="V968" s="14"/>
    </row>
    <row r="969" ht="15.75" customHeight="1">
      <c r="A969" s="26"/>
      <c r="T969" s="14"/>
      <c r="U969" s="14"/>
      <c r="V969" s="14"/>
    </row>
    <row r="970" ht="15.75" customHeight="1">
      <c r="A970" s="26"/>
      <c r="T970" s="14"/>
      <c r="U970" s="14"/>
      <c r="V970" s="14"/>
    </row>
    <row r="971" ht="15.75" customHeight="1">
      <c r="A971" s="26"/>
      <c r="T971" s="14"/>
      <c r="U971" s="14"/>
      <c r="V971" s="14"/>
    </row>
    <row r="972" ht="15.75" customHeight="1">
      <c r="A972" s="26"/>
      <c r="T972" s="14"/>
      <c r="U972" s="14"/>
      <c r="V972" s="14"/>
    </row>
    <row r="973" ht="15.75" customHeight="1">
      <c r="A973" s="26"/>
      <c r="T973" s="14"/>
      <c r="U973" s="14"/>
      <c r="V973" s="14"/>
    </row>
    <row r="974" ht="15.75" customHeight="1">
      <c r="A974" s="26"/>
      <c r="T974" s="14"/>
      <c r="U974" s="14"/>
      <c r="V974" s="14"/>
    </row>
    <row r="975" ht="15.75" customHeight="1">
      <c r="A975" s="26"/>
      <c r="T975" s="14"/>
      <c r="U975" s="14"/>
      <c r="V975" s="14"/>
    </row>
    <row r="976" ht="15.75" customHeight="1">
      <c r="A976" s="26"/>
      <c r="T976" s="14"/>
      <c r="U976" s="14"/>
      <c r="V976" s="14"/>
    </row>
    <row r="977" ht="15.75" customHeight="1">
      <c r="A977" s="26"/>
      <c r="T977" s="14"/>
      <c r="U977" s="14"/>
      <c r="V977" s="14"/>
    </row>
    <row r="978" ht="15.75" customHeight="1">
      <c r="A978" s="26"/>
      <c r="T978" s="14"/>
      <c r="U978" s="14"/>
      <c r="V978" s="14"/>
    </row>
    <row r="979" ht="15.75" customHeight="1">
      <c r="A979" s="26"/>
      <c r="T979" s="14"/>
      <c r="U979" s="14"/>
      <c r="V979" s="14"/>
    </row>
    <row r="980" ht="15.75" customHeight="1">
      <c r="A980" s="26"/>
      <c r="T980" s="14"/>
      <c r="U980" s="14"/>
      <c r="V980" s="14"/>
    </row>
    <row r="981" ht="15.75" customHeight="1">
      <c r="A981" s="26"/>
      <c r="T981" s="14"/>
      <c r="U981" s="14"/>
      <c r="V981" s="14"/>
    </row>
    <row r="982" ht="15.75" customHeight="1">
      <c r="A982" s="26"/>
      <c r="T982" s="14"/>
      <c r="U982" s="14"/>
      <c r="V982" s="14"/>
    </row>
    <row r="983" ht="15.75" customHeight="1">
      <c r="A983" s="26"/>
      <c r="T983" s="14"/>
      <c r="U983" s="14"/>
      <c r="V983" s="14"/>
    </row>
    <row r="984" ht="15.75" customHeight="1">
      <c r="A984" s="26"/>
      <c r="T984" s="14"/>
      <c r="U984" s="14"/>
      <c r="V984" s="14"/>
    </row>
    <row r="985" ht="15.75" customHeight="1">
      <c r="A985" s="26"/>
      <c r="T985" s="14"/>
      <c r="U985" s="14"/>
      <c r="V985" s="14"/>
    </row>
    <row r="986" ht="15.75" customHeight="1">
      <c r="A986" s="26"/>
      <c r="T986" s="14"/>
      <c r="U986" s="14"/>
      <c r="V986" s="14"/>
    </row>
    <row r="987" ht="15.75" customHeight="1">
      <c r="A987" s="26"/>
      <c r="T987" s="14"/>
      <c r="U987" s="14"/>
      <c r="V987" s="14"/>
    </row>
    <row r="988" ht="15.75" customHeight="1">
      <c r="A988" s="26"/>
      <c r="T988" s="14"/>
      <c r="U988" s="14"/>
      <c r="V988" s="14"/>
    </row>
    <row r="989" ht="15.75" customHeight="1">
      <c r="A989" s="26"/>
      <c r="T989" s="14"/>
      <c r="U989" s="14"/>
      <c r="V989" s="14"/>
    </row>
    <row r="990" ht="15.75" customHeight="1">
      <c r="A990" s="26"/>
      <c r="T990" s="14"/>
      <c r="U990" s="14"/>
      <c r="V990" s="14"/>
    </row>
    <row r="991" ht="15.75" customHeight="1">
      <c r="A991" s="26"/>
      <c r="T991" s="14"/>
      <c r="U991" s="14"/>
      <c r="V991" s="14"/>
    </row>
    <row r="992" ht="15.75" customHeight="1">
      <c r="A992" s="26"/>
      <c r="T992" s="14"/>
      <c r="U992" s="14"/>
      <c r="V992" s="14"/>
    </row>
    <row r="993" ht="15.75" customHeight="1">
      <c r="A993" s="26"/>
      <c r="T993" s="14"/>
      <c r="U993" s="14"/>
      <c r="V993" s="14"/>
    </row>
    <row r="994" ht="15.75" customHeight="1">
      <c r="A994" s="26"/>
      <c r="T994" s="14"/>
      <c r="U994" s="14"/>
      <c r="V994" s="14"/>
    </row>
    <row r="995" ht="15.75" customHeight="1">
      <c r="A995" s="26"/>
      <c r="T995" s="14"/>
      <c r="U995" s="14"/>
      <c r="V995" s="14"/>
    </row>
    <row r="996" ht="15.75" customHeight="1">
      <c r="A996" s="26"/>
      <c r="T996" s="14"/>
      <c r="U996" s="14"/>
      <c r="V996" s="14"/>
    </row>
    <row r="997" ht="15.75" customHeight="1">
      <c r="A997" s="26"/>
      <c r="T997" s="14"/>
      <c r="U997" s="14"/>
      <c r="V997" s="14"/>
    </row>
    <row r="998" ht="15.75" customHeight="1">
      <c r="A998" s="26"/>
      <c r="T998" s="14"/>
      <c r="U998" s="14"/>
      <c r="V998" s="14"/>
    </row>
    <row r="999" ht="15.75" customHeight="1">
      <c r="A999" s="26"/>
      <c r="T999" s="14"/>
      <c r="U999" s="14"/>
      <c r="V999" s="14"/>
    </row>
    <row r="1000" ht="15.75" customHeight="1">
      <c r="A1000" s="26"/>
      <c r="T1000" s="14"/>
      <c r="U1000" s="14"/>
      <c r="V1000" s="1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0.43"/>
    <col customWidth="1" min="3" max="3" width="20.0"/>
    <col customWidth="1" min="4" max="4" width="23.0"/>
    <col customWidth="1" min="5" max="5" width="20.29"/>
    <col customWidth="1" min="6" max="6" width="17.57"/>
    <col customWidth="1" min="7" max="7" width="8.29"/>
    <col customWidth="1" min="8" max="8" width="25.71"/>
    <col customWidth="1" min="9" max="9" width="14.43"/>
    <col customWidth="1" min="10" max="10" width="8.29"/>
    <col customWidth="1" min="11" max="11" width="7.71"/>
    <col customWidth="1" min="12" max="12" width="8.71"/>
    <col customWidth="1" min="13" max="14" width="8.43"/>
    <col customWidth="1" min="15" max="15" width="8.0"/>
    <col customWidth="1" min="16" max="16" width="8.43"/>
    <col customWidth="1" min="17" max="17" width="8.0"/>
    <col customWidth="1" min="18" max="18" width="8.43"/>
    <col customWidth="1" min="19" max="21" width="8.0"/>
    <col customWidth="1" min="22" max="22" width="11.57"/>
    <col customWidth="1" min="23" max="23" width="22.43"/>
    <col customWidth="1" min="24" max="24" width="21.0"/>
    <col customWidth="1" min="25" max="25" width="18.29"/>
    <col customWidth="1" min="26" max="26" width="15.43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7" t="s">
        <v>570</v>
      </c>
      <c r="G1" s="27" t="s">
        <v>571</v>
      </c>
      <c r="H1" s="4" t="s">
        <v>5</v>
      </c>
      <c r="I1" s="4"/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/>
      <c r="U1" s="5"/>
      <c r="V1" s="5"/>
      <c r="W1" s="2" t="s">
        <v>16</v>
      </c>
      <c r="X1" s="2" t="s">
        <v>17</v>
      </c>
      <c r="Y1" s="3" t="s">
        <v>18</v>
      </c>
      <c r="Z1" s="27" t="s">
        <v>572</v>
      </c>
    </row>
    <row r="2">
      <c r="A2" s="28" t="s">
        <v>485</v>
      </c>
      <c r="B2" s="8" t="s">
        <v>22</v>
      </c>
      <c r="C2" s="8" t="s">
        <v>486</v>
      </c>
      <c r="D2" s="8" t="s">
        <v>51</v>
      </c>
      <c r="E2" s="8" t="s">
        <v>52</v>
      </c>
      <c r="F2" s="8"/>
      <c r="G2" s="8"/>
      <c r="H2" s="8" t="s">
        <v>487</v>
      </c>
      <c r="I2" s="29"/>
      <c r="J2" s="20">
        <v>10.0</v>
      </c>
      <c r="K2" s="21">
        <v>8.0</v>
      </c>
      <c r="L2" s="21">
        <v>2.0</v>
      </c>
      <c r="M2" s="21">
        <v>6.0</v>
      </c>
      <c r="N2" s="21">
        <v>7.0</v>
      </c>
      <c r="O2" s="21">
        <v>5.0</v>
      </c>
      <c r="P2" s="21"/>
      <c r="Q2" s="21"/>
      <c r="R2" s="21"/>
      <c r="S2" s="22"/>
      <c r="T2" s="18"/>
      <c r="U2" s="18"/>
      <c r="V2" s="30"/>
      <c r="W2" s="8" t="s">
        <v>488</v>
      </c>
      <c r="X2" s="8" t="s">
        <v>51</v>
      </c>
      <c r="Y2" s="8" t="s">
        <v>52</v>
      </c>
      <c r="Z2" s="8"/>
    </row>
    <row r="3">
      <c r="A3" s="31" t="s">
        <v>491</v>
      </c>
      <c r="B3" s="8" t="s">
        <v>22</v>
      </c>
      <c r="C3" s="9" t="s">
        <v>486</v>
      </c>
      <c r="D3" s="9" t="s">
        <v>51</v>
      </c>
      <c r="E3" s="9" t="s">
        <v>52</v>
      </c>
      <c r="F3" s="9"/>
      <c r="G3" s="9"/>
      <c r="H3" s="9" t="s">
        <v>492</v>
      </c>
      <c r="I3" s="32"/>
      <c r="J3" s="11">
        <v>6.0</v>
      </c>
      <c r="K3" s="12">
        <v>1.0</v>
      </c>
      <c r="L3" s="12">
        <v>5.0</v>
      </c>
      <c r="M3" s="12">
        <v>7.0</v>
      </c>
      <c r="N3" s="12">
        <v>6.0</v>
      </c>
      <c r="O3" s="12">
        <v>2.0</v>
      </c>
      <c r="P3" s="12"/>
      <c r="Q3" s="12"/>
      <c r="R3" s="12"/>
      <c r="S3" s="13"/>
      <c r="T3" s="18"/>
      <c r="U3" s="18"/>
      <c r="V3" s="30"/>
      <c r="W3" s="9" t="s">
        <v>493</v>
      </c>
      <c r="X3" s="9" t="s">
        <v>51</v>
      </c>
      <c r="Y3" s="9" t="s">
        <v>52</v>
      </c>
      <c r="Z3" s="9"/>
    </row>
    <row r="4">
      <c r="A4" s="28" t="s">
        <v>497</v>
      </c>
      <c r="B4" s="8" t="s">
        <v>22</v>
      </c>
      <c r="C4" s="8" t="s">
        <v>486</v>
      </c>
      <c r="D4" s="8" t="s">
        <v>51</v>
      </c>
      <c r="E4" s="8" t="s">
        <v>52</v>
      </c>
      <c r="F4" s="8"/>
      <c r="G4" s="8"/>
      <c r="H4" s="8" t="s">
        <v>309</v>
      </c>
      <c r="I4" s="29"/>
      <c r="J4" s="20">
        <v>7.0</v>
      </c>
      <c r="K4" s="21">
        <v>5.0</v>
      </c>
      <c r="L4" s="21">
        <v>6.0</v>
      </c>
      <c r="M4" s="21">
        <v>2.0</v>
      </c>
      <c r="N4" s="21"/>
      <c r="O4" s="21"/>
      <c r="P4" s="21"/>
      <c r="Q4" s="21"/>
      <c r="R4" s="21"/>
      <c r="S4" s="22"/>
      <c r="T4" s="18"/>
      <c r="U4" s="18"/>
      <c r="V4" s="30"/>
      <c r="W4" s="8" t="s">
        <v>498</v>
      </c>
      <c r="X4" s="8" t="s">
        <v>51</v>
      </c>
      <c r="Y4" s="8" t="s">
        <v>52</v>
      </c>
      <c r="Z4" s="8"/>
    </row>
    <row r="5">
      <c r="A5" s="28" t="s">
        <v>507</v>
      </c>
      <c r="B5" s="8" t="s">
        <v>22</v>
      </c>
      <c r="C5" s="8" t="s">
        <v>486</v>
      </c>
      <c r="D5" s="8" t="s">
        <v>51</v>
      </c>
      <c r="E5" s="8" t="s">
        <v>52</v>
      </c>
      <c r="F5" s="8"/>
      <c r="G5" s="8"/>
      <c r="H5" s="8" t="s">
        <v>342</v>
      </c>
      <c r="I5" s="29"/>
      <c r="J5" s="20">
        <v>6.0</v>
      </c>
      <c r="K5" s="21">
        <v>1.0</v>
      </c>
      <c r="L5" s="21">
        <v>6.0</v>
      </c>
      <c r="M5" s="21">
        <v>3.0</v>
      </c>
      <c r="N5" s="21"/>
      <c r="O5" s="21"/>
      <c r="P5" s="21"/>
      <c r="Q5" s="21"/>
      <c r="R5" s="21"/>
      <c r="S5" s="22"/>
      <c r="T5" s="18"/>
      <c r="U5" s="18"/>
      <c r="V5" s="30"/>
      <c r="W5" s="8" t="s">
        <v>498</v>
      </c>
      <c r="X5" s="8" t="s">
        <v>51</v>
      </c>
      <c r="Y5" s="8" t="s">
        <v>52</v>
      </c>
      <c r="Z5" s="8"/>
    </row>
    <row r="6">
      <c r="A6" s="31" t="s">
        <v>510</v>
      </c>
      <c r="B6" s="8" t="s">
        <v>22</v>
      </c>
      <c r="C6" s="9" t="s">
        <v>486</v>
      </c>
      <c r="D6" s="9" t="s">
        <v>51</v>
      </c>
      <c r="E6" s="9" t="s">
        <v>52</v>
      </c>
      <c r="F6" s="9"/>
      <c r="G6" s="9"/>
      <c r="H6" s="9" t="s">
        <v>511</v>
      </c>
      <c r="I6" s="32"/>
      <c r="J6" s="11">
        <v>1.0</v>
      </c>
      <c r="K6" s="12">
        <v>6.0</v>
      </c>
      <c r="L6" s="12">
        <v>8.0</v>
      </c>
      <c r="M6" s="12">
        <v>6.0</v>
      </c>
      <c r="N6" s="12">
        <v>6.0</v>
      </c>
      <c r="O6" s="12">
        <v>4.0</v>
      </c>
      <c r="P6" s="12"/>
      <c r="Q6" s="12"/>
      <c r="R6" s="12"/>
      <c r="S6" s="13"/>
      <c r="T6" s="18"/>
      <c r="U6" s="18"/>
      <c r="V6" s="30"/>
      <c r="W6" s="9" t="s">
        <v>498</v>
      </c>
      <c r="X6" s="9" t="s">
        <v>51</v>
      </c>
      <c r="Y6" s="9" t="s">
        <v>52</v>
      </c>
      <c r="Z6" s="9"/>
    </row>
    <row r="7">
      <c r="A7" s="28" t="s">
        <v>361</v>
      </c>
      <c r="B7" s="8" t="s">
        <v>22</v>
      </c>
      <c r="C7" s="8" t="s">
        <v>362</v>
      </c>
      <c r="D7" s="8" t="s">
        <v>51</v>
      </c>
      <c r="E7" s="8" t="s">
        <v>52</v>
      </c>
      <c r="F7" s="8"/>
      <c r="G7" s="8"/>
      <c r="H7" s="8" t="s">
        <v>363</v>
      </c>
      <c r="I7" s="29"/>
      <c r="J7" s="11"/>
      <c r="K7" s="12"/>
      <c r="L7" s="12"/>
      <c r="M7" s="12"/>
      <c r="N7" s="12"/>
      <c r="O7" s="12"/>
      <c r="P7" s="12"/>
      <c r="Q7" s="12"/>
      <c r="R7" s="12"/>
      <c r="S7" s="13"/>
      <c r="T7" s="18"/>
      <c r="U7" s="18"/>
      <c r="V7" s="30"/>
      <c r="W7" s="8" t="s">
        <v>356</v>
      </c>
      <c r="X7" s="8" t="s">
        <v>55</v>
      </c>
      <c r="Y7" s="8" t="s">
        <v>56</v>
      </c>
      <c r="Z7" s="8"/>
    </row>
    <row r="8">
      <c r="A8" s="31" t="s">
        <v>365</v>
      </c>
      <c r="B8" s="8" t="s">
        <v>22</v>
      </c>
      <c r="C8" s="9" t="s">
        <v>362</v>
      </c>
      <c r="D8" s="9" t="s">
        <v>51</v>
      </c>
      <c r="E8" s="9" t="s">
        <v>52</v>
      </c>
      <c r="F8" s="9"/>
      <c r="G8" s="9"/>
      <c r="H8" s="9" t="s">
        <v>366</v>
      </c>
      <c r="I8" s="32"/>
      <c r="J8" s="20">
        <v>5.0</v>
      </c>
      <c r="K8" s="21">
        <v>7.0</v>
      </c>
      <c r="L8" s="21">
        <v>6.0</v>
      </c>
      <c r="M8" s="21">
        <v>4.0</v>
      </c>
      <c r="N8" s="21">
        <v>5.0</v>
      </c>
      <c r="O8" s="21">
        <v>2.0</v>
      </c>
      <c r="P8" s="21"/>
      <c r="Q8" s="21"/>
      <c r="R8" s="21"/>
      <c r="S8" s="22"/>
      <c r="T8" s="18"/>
      <c r="U8" s="18"/>
      <c r="V8" s="30"/>
      <c r="W8" s="9" t="s">
        <v>367</v>
      </c>
      <c r="X8" s="9" t="s">
        <v>368</v>
      </c>
      <c r="Y8" s="9" t="s">
        <v>369</v>
      </c>
      <c r="Z8" s="9"/>
    </row>
    <row r="9">
      <c r="A9" s="28" t="s">
        <v>372</v>
      </c>
      <c r="B9" s="8" t="s">
        <v>22</v>
      </c>
      <c r="C9" s="8" t="s">
        <v>362</v>
      </c>
      <c r="D9" s="8" t="s">
        <v>51</v>
      </c>
      <c r="E9" s="8" t="s">
        <v>52</v>
      </c>
      <c r="F9" s="8"/>
      <c r="G9" s="8"/>
      <c r="H9" s="8" t="s">
        <v>218</v>
      </c>
      <c r="I9" s="29"/>
      <c r="J9" s="11">
        <v>6.0</v>
      </c>
      <c r="K9" s="12">
        <v>3.0</v>
      </c>
      <c r="L9" s="12">
        <v>6.0</v>
      </c>
      <c r="M9" s="12">
        <v>2.0</v>
      </c>
      <c r="N9" s="12"/>
      <c r="O9" s="12"/>
      <c r="P9" s="12"/>
      <c r="Q9" s="12"/>
      <c r="R9" s="12"/>
      <c r="S9" s="13"/>
      <c r="T9" s="18"/>
      <c r="U9" s="18"/>
      <c r="V9" s="30"/>
      <c r="W9" s="8" t="s">
        <v>358</v>
      </c>
      <c r="X9" s="8" t="s">
        <v>51</v>
      </c>
      <c r="Y9" s="8" t="s">
        <v>52</v>
      </c>
      <c r="Z9" s="8"/>
    </row>
    <row r="10">
      <c r="A10" s="31" t="s">
        <v>374</v>
      </c>
      <c r="B10" s="8" t="s">
        <v>22</v>
      </c>
      <c r="C10" s="9" t="s">
        <v>362</v>
      </c>
      <c r="D10" s="9" t="s">
        <v>51</v>
      </c>
      <c r="E10" s="9" t="s">
        <v>52</v>
      </c>
      <c r="F10" s="9"/>
      <c r="G10" s="9"/>
      <c r="H10" s="9" t="s">
        <v>205</v>
      </c>
      <c r="I10" s="32"/>
      <c r="J10" s="20">
        <v>6.0</v>
      </c>
      <c r="K10" s="21">
        <v>2.0</v>
      </c>
      <c r="L10" s="21">
        <v>6.0</v>
      </c>
      <c r="M10" s="21">
        <v>2.0</v>
      </c>
      <c r="N10" s="21"/>
      <c r="O10" s="21"/>
      <c r="P10" s="21"/>
      <c r="Q10" s="21"/>
      <c r="R10" s="21"/>
      <c r="S10" s="22"/>
      <c r="T10" s="18"/>
      <c r="U10" s="18"/>
      <c r="V10" s="30"/>
      <c r="W10" s="9" t="s">
        <v>375</v>
      </c>
      <c r="X10" s="9" t="s">
        <v>51</v>
      </c>
      <c r="Y10" s="9" t="s">
        <v>52</v>
      </c>
      <c r="Z10" s="9"/>
    </row>
    <row r="11">
      <c r="A11" s="28" t="s">
        <v>378</v>
      </c>
      <c r="B11" s="8" t="s">
        <v>22</v>
      </c>
      <c r="C11" s="8" t="s">
        <v>362</v>
      </c>
      <c r="D11" s="8" t="s">
        <v>51</v>
      </c>
      <c r="E11" s="8" t="s">
        <v>52</v>
      </c>
      <c r="F11" s="8"/>
      <c r="G11" s="8"/>
      <c r="H11" s="8" t="s">
        <v>223</v>
      </c>
      <c r="I11" s="29"/>
      <c r="J11" s="11">
        <v>6.0</v>
      </c>
      <c r="K11" s="12">
        <v>0.0</v>
      </c>
      <c r="L11" s="12">
        <v>6.0</v>
      </c>
      <c r="M11" s="12">
        <v>2.0</v>
      </c>
      <c r="N11" s="12"/>
      <c r="O11" s="12"/>
      <c r="P11" s="12"/>
      <c r="Q11" s="12"/>
      <c r="R11" s="12"/>
      <c r="S11" s="13"/>
      <c r="T11" s="18"/>
      <c r="U11" s="18"/>
      <c r="V11" s="30"/>
      <c r="W11" s="8" t="s">
        <v>375</v>
      </c>
      <c r="X11" s="8" t="s">
        <v>51</v>
      </c>
      <c r="Y11" s="8" t="s">
        <v>52</v>
      </c>
      <c r="Z11" s="8"/>
    </row>
    <row r="12">
      <c r="A12" s="31" t="s">
        <v>380</v>
      </c>
      <c r="B12" s="8" t="s">
        <v>22</v>
      </c>
      <c r="C12" s="9" t="s">
        <v>362</v>
      </c>
      <c r="D12" s="9" t="s">
        <v>51</v>
      </c>
      <c r="E12" s="9" t="s">
        <v>52</v>
      </c>
      <c r="F12" s="9"/>
      <c r="G12" s="9"/>
      <c r="H12" s="9" t="s">
        <v>357</v>
      </c>
      <c r="I12" s="32"/>
      <c r="J12" s="20">
        <v>6.0</v>
      </c>
      <c r="K12" s="21">
        <v>1.0</v>
      </c>
      <c r="L12" s="21">
        <v>6.0</v>
      </c>
      <c r="M12" s="21">
        <v>4.0</v>
      </c>
      <c r="N12" s="21"/>
      <c r="O12" s="21"/>
      <c r="P12" s="21"/>
      <c r="Q12" s="21"/>
      <c r="R12" s="21"/>
      <c r="S12" s="22"/>
      <c r="T12" s="18"/>
      <c r="U12" s="18"/>
      <c r="V12" s="30"/>
      <c r="W12" s="9" t="s">
        <v>375</v>
      </c>
      <c r="X12" s="9" t="s">
        <v>51</v>
      </c>
      <c r="Y12" s="9" t="s">
        <v>52</v>
      </c>
      <c r="Z12" s="9"/>
    </row>
    <row r="13">
      <c r="A13" s="31" t="s">
        <v>421</v>
      </c>
      <c r="B13" s="8" t="s">
        <v>22</v>
      </c>
      <c r="C13" s="9" t="s">
        <v>422</v>
      </c>
      <c r="D13" s="9" t="s">
        <v>51</v>
      </c>
      <c r="E13" s="9" t="s">
        <v>52</v>
      </c>
      <c r="F13" s="9"/>
      <c r="G13" s="9"/>
      <c r="H13" s="9" t="s">
        <v>191</v>
      </c>
      <c r="I13" s="32"/>
      <c r="J13" s="20">
        <v>6.0</v>
      </c>
      <c r="K13" s="21">
        <v>1.0</v>
      </c>
      <c r="L13" s="21">
        <v>7.0</v>
      </c>
      <c r="M13" s="21">
        <v>5.0</v>
      </c>
      <c r="N13" s="21"/>
      <c r="O13" s="21"/>
      <c r="P13" s="21"/>
      <c r="Q13" s="21"/>
      <c r="R13" s="21"/>
      <c r="S13" s="22"/>
      <c r="T13" s="18"/>
      <c r="U13" s="18"/>
      <c r="V13" s="30"/>
      <c r="W13" s="9" t="s">
        <v>401</v>
      </c>
      <c r="X13" s="9" t="s">
        <v>51</v>
      </c>
      <c r="Y13" s="9" t="s">
        <v>52</v>
      </c>
      <c r="Z13" s="9"/>
    </row>
    <row r="14">
      <c r="A14" s="28" t="s">
        <v>432</v>
      </c>
      <c r="B14" s="8" t="s">
        <v>22</v>
      </c>
      <c r="C14" s="8" t="s">
        <v>422</v>
      </c>
      <c r="D14" s="8" t="s">
        <v>51</v>
      </c>
      <c r="E14" s="8" t="s">
        <v>52</v>
      </c>
      <c r="F14" s="8"/>
      <c r="G14" s="8"/>
      <c r="H14" s="8" t="s">
        <v>433</v>
      </c>
      <c r="I14" s="29"/>
      <c r="J14" s="11">
        <v>6.0</v>
      </c>
      <c r="K14" s="12">
        <v>3.0</v>
      </c>
      <c r="L14" s="12">
        <v>6.0</v>
      </c>
      <c r="M14" s="12">
        <v>1.0</v>
      </c>
      <c r="N14" s="12"/>
      <c r="O14" s="12"/>
      <c r="P14" s="12"/>
      <c r="Q14" s="12"/>
      <c r="R14" s="12"/>
      <c r="S14" s="13"/>
      <c r="T14" s="18"/>
      <c r="U14" s="18"/>
      <c r="V14" s="30"/>
      <c r="W14" s="8" t="s">
        <v>434</v>
      </c>
      <c r="X14" s="8" t="s">
        <v>51</v>
      </c>
      <c r="Y14" s="8" t="s">
        <v>52</v>
      </c>
      <c r="Z14" s="8"/>
    </row>
    <row r="15">
      <c r="A15" s="31" t="s">
        <v>437</v>
      </c>
      <c r="B15" s="8" t="s">
        <v>22</v>
      </c>
      <c r="C15" s="9" t="s">
        <v>422</v>
      </c>
      <c r="D15" s="9" t="s">
        <v>51</v>
      </c>
      <c r="E15" s="9" t="s">
        <v>52</v>
      </c>
      <c r="F15" s="9"/>
      <c r="G15" s="9"/>
      <c r="H15" s="9" t="s">
        <v>218</v>
      </c>
      <c r="I15" s="32"/>
      <c r="J15" s="20">
        <v>6.0</v>
      </c>
      <c r="K15" s="21">
        <v>3.0</v>
      </c>
      <c r="L15" s="21">
        <v>6.0</v>
      </c>
      <c r="M15" s="21">
        <v>2.0</v>
      </c>
      <c r="N15" s="21"/>
      <c r="O15" s="21"/>
      <c r="P15" s="21"/>
      <c r="Q15" s="21"/>
      <c r="R15" s="21"/>
      <c r="S15" s="22"/>
      <c r="T15" s="18"/>
      <c r="U15" s="18"/>
      <c r="V15" s="30"/>
      <c r="W15" s="9" t="s">
        <v>438</v>
      </c>
      <c r="X15" s="9" t="s">
        <v>51</v>
      </c>
      <c r="Y15" s="9" t="s">
        <v>52</v>
      </c>
      <c r="Z15" s="9"/>
    </row>
    <row r="16">
      <c r="A16" s="28" t="s">
        <v>441</v>
      </c>
      <c r="B16" s="8" t="s">
        <v>22</v>
      </c>
      <c r="C16" s="8" t="s">
        <v>422</v>
      </c>
      <c r="D16" s="8" t="s">
        <v>51</v>
      </c>
      <c r="E16" s="8" t="s">
        <v>52</v>
      </c>
      <c r="F16" s="8"/>
      <c r="G16" s="8"/>
      <c r="H16" s="8" t="s">
        <v>100</v>
      </c>
      <c r="I16" s="29"/>
      <c r="J16" s="11">
        <v>6.0</v>
      </c>
      <c r="K16" s="12">
        <v>4.0</v>
      </c>
      <c r="L16" s="12">
        <v>6.0</v>
      </c>
      <c r="M16" s="12">
        <v>4.0</v>
      </c>
      <c r="N16" s="12"/>
      <c r="O16" s="12"/>
      <c r="P16" s="12"/>
      <c r="Q16" s="12"/>
      <c r="R16" s="12"/>
      <c r="S16" s="13"/>
      <c r="T16" s="18"/>
      <c r="U16" s="18"/>
      <c r="V16" s="30"/>
      <c r="W16" s="8" t="s">
        <v>442</v>
      </c>
      <c r="X16" s="8" t="s">
        <v>51</v>
      </c>
      <c r="Y16" s="8" t="s">
        <v>52</v>
      </c>
      <c r="Z16" s="8"/>
    </row>
    <row r="17">
      <c r="A17" s="28" t="s">
        <v>444</v>
      </c>
      <c r="B17" s="8" t="s">
        <v>22</v>
      </c>
      <c r="C17" s="8" t="s">
        <v>422</v>
      </c>
      <c r="D17" s="8" t="s">
        <v>51</v>
      </c>
      <c r="E17" s="8" t="s">
        <v>52</v>
      </c>
      <c r="F17" s="8"/>
      <c r="G17" s="8"/>
      <c r="H17" s="8" t="s">
        <v>445</v>
      </c>
      <c r="I17" s="29"/>
      <c r="J17" s="20">
        <v>5.0</v>
      </c>
      <c r="K17" s="21">
        <v>7.0</v>
      </c>
      <c r="L17" s="21">
        <v>6.0</v>
      </c>
      <c r="M17" s="21">
        <v>4.0</v>
      </c>
      <c r="N17" s="21">
        <v>6.0</v>
      </c>
      <c r="O17" s="21">
        <v>0.0</v>
      </c>
      <c r="P17" s="21"/>
      <c r="Q17" s="21"/>
      <c r="R17" s="21"/>
      <c r="S17" s="22"/>
      <c r="T17" s="18"/>
      <c r="U17" s="18"/>
      <c r="V17" s="30"/>
      <c r="W17" s="8" t="s">
        <v>401</v>
      </c>
      <c r="X17" s="8" t="s">
        <v>51</v>
      </c>
      <c r="Y17" s="8" t="s">
        <v>52</v>
      </c>
      <c r="Z17" s="8"/>
    </row>
    <row r="18">
      <c r="A18" s="31" t="s">
        <v>456</v>
      </c>
      <c r="B18" s="8" t="s">
        <v>22</v>
      </c>
      <c r="C18" s="9" t="s">
        <v>422</v>
      </c>
      <c r="D18" s="9" t="s">
        <v>51</v>
      </c>
      <c r="E18" s="9" t="s">
        <v>52</v>
      </c>
      <c r="F18" s="9"/>
      <c r="G18" s="9"/>
      <c r="H18" s="9" t="s">
        <v>457</v>
      </c>
      <c r="I18" s="32"/>
      <c r="J18" s="11">
        <v>6.0</v>
      </c>
      <c r="K18" s="12">
        <v>3.0</v>
      </c>
      <c r="L18" s="12">
        <v>5.0</v>
      </c>
      <c r="M18" s="12">
        <v>7.0</v>
      </c>
      <c r="N18" s="12">
        <v>6.0</v>
      </c>
      <c r="O18" s="12">
        <v>4.0</v>
      </c>
      <c r="P18" s="12"/>
      <c r="Q18" s="12"/>
      <c r="R18" s="12"/>
      <c r="S18" s="13"/>
      <c r="T18" s="18"/>
      <c r="U18" s="18"/>
      <c r="V18" s="30"/>
      <c r="W18" s="9" t="s">
        <v>449</v>
      </c>
      <c r="X18" s="9" t="s">
        <v>51</v>
      </c>
      <c r="Y18" s="9" t="s">
        <v>52</v>
      </c>
      <c r="Z18" s="9"/>
    </row>
    <row r="19">
      <c r="A19" s="16">
        <v>2023.0</v>
      </c>
      <c r="B19" s="8" t="s">
        <v>30</v>
      </c>
      <c r="C19" s="8" t="s">
        <v>42</v>
      </c>
      <c r="D19" s="8" t="s">
        <v>43</v>
      </c>
      <c r="E19" s="8" t="s">
        <v>44</v>
      </c>
      <c r="F19" s="21"/>
      <c r="G19" s="21"/>
      <c r="H19" s="33" t="s">
        <v>45</v>
      </c>
      <c r="I19" s="29"/>
      <c r="J19" s="20">
        <v>6.0</v>
      </c>
      <c r="K19" s="21">
        <v>3.0</v>
      </c>
      <c r="L19" s="21">
        <v>7.0</v>
      </c>
      <c r="M19" s="21">
        <v>6.0</v>
      </c>
      <c r="N19" s="21">
        <v>7.0</v>
      </c>
      <c r="O19" s="21">
        <v>6.0</v>
      </c>
      <c r="P19" s="21"/>
      <c r="Q19" s="21"/>
      <c r="R19" s="21"/>
      <c r="S19" s="22"/>
      <c r="T19" s="18"/>
      <c r="U19" s="18"/>
      <c r="V19" s="30"/>
      <c r="W19" s="33" t="s">
        <v>46</v>
      </c>
      <c r="X19" s="33" t="s">
        <v>47</v>
      </c>
      <c r="Y19" s="33" t="s">
        <v>48</v>
      </c>
      <c r="Z19" s="21"/>
    </row>
    <row r="20">
      <c r="A20" s="28" t="s">
        <v>62</v>
      </c>
      <c r="B20" s="8" t="s">
        <v>30</v>
      </c>
      <c r="C20" s="8" t="s">
        <v>42</v>
      </c>
      <c r="D20" s="8" t="s">
        <v>43</v>
      </c>
      <c r="E20" s="8" t="s">
        <v>44</v>
      </c>
      <c r="F20" s="8"/>
      <c r="G20" s="8"/>
      <c r="H20" s="8" t="s">
        <v>68</v>
      </c>
      <c r="I20" s="29"/>
      <c r="J20" s="20">
        <v>7.0</v>
      </c>
      <c r="K20" s="21">
        <v>5.0</v>
      </c>
      <c r="L20" s="21">
        <v>6.0</v>
      </c>
      <c r="M20" s="21">
        <v>2.0</v>
      </c>
      <c r="N20" s="21">
        <v>6.0</v>
      </c>
      <c r="O20" s="21">
        <v>2.0</v>
      </c>
      <c r="P20" s="21"/>
      <c r="Q20" s="21"/>
      <c r="R20" s="21"/>
      <c r="S20" s="22"/>
      <c r="T20" s="18"/>
      <c r="U20" s="18"/>
      <c r="V20" s="30"/>
      <c r="W20" s="8" t="s">
        <v>61</v>
      </c>
      <c r="X20" s="8" t="s">
        <v>36</v>
      </c>
      <c r="Y20" s="8" t="s">
        <v>37</v>
      </c>
      <c r="Z20" s="8"/>
    </row>
    <row r="21" ht="15.75" customHeight="1">
      <c r="A21" s="31" t="s">
        <v>69</v>
      </c>
      <c r="B21" s="8" t="s">
        <v>30</v>
      </c>
      <c r="C21" s="9" t="s">
        <v>42</v>
      </c>
      <c r="D21" s="9" t="s">
        <v>43</v>
      </c>
      <c r="E21" s="9" t="s">
        <v>44</v>
      </c>
      <c r="F21" s="9"/>
      <c r="G21" s="9"/>
      <c r="H21" s="9" t="s">
        <v>73</v>
      </c>
      <c r="I21" s="32"/>
      <c r="J21" s="11">
        <v>6.0</v>
      </c>
      <c r="K21" s="12">
        <v>4.0</v>
      </c>
      <c r="L21" s="12">
        <v>4.0</v>
      </c>
      <c r="M21" s="12">
        <v>6.0</v>
      </c>
      <c r="N21" s="12">
        <v>2.0</v>
      </c>
      <c r="O21" s="12">
        <v>6.0</v>
      </c>
      <c r="P21" s="12">
        <v>6.0</v>
      </c>
      <c r="Q21" s="12">
        <v>3.0</v>
      </c>
      <c r="R21" s="12">
        <v>6.0</v>
      </c>
      <c r="S21" s="13">
        <v>4.0</v>
      </c>
      <c r="T21" s="18"/>
      <c r="U21" s="18"/>
      <c r="V21" s="30"/>
      <c r="W21" s="9" t="s">
        <v>74</v>
      </c>
      <c r="X21" s="9" t="s">
        <v>75</v>
      </c>
      <c r="Y21" s="9" t="s">
        <v>76</v>
      </c>
      <c r="Z21" s="9"/>
    </row>
    <row r="22" ht="15.75" customHeight="1">
      <c r="A22" s="28" t="s">
        <v>77</v>
      </c>
      <c r="B22" s="8" t="s">
        <v>30</v>
      </c>
      <c r="C22" s="8" t="s">
        <v>42</v>
      </c>
      <c r="D22" s="8" t="s">
        <v>43</v>
      </c>
      <c r="E22" s="8" t="s">
        <v>44</v>
      </c>
      <c r="F22" s="8"/>
      <c r="G22" s="8"/>
      <c r="H22" s="8" t="s">
        <v>82</v>
      </c>
      <c r="I22" s="29"/>
      <c r="J22" s="20">
        <v>6.0</v>
      </c>
      <c r="K22" s="21">
        <v>3.0</v>
      </c>
      <c r="L22" s="21">
        <v>6.0</v>
      </c>
      <c r="M22" s="21">
        <v>2.0</v>
      </c>
      <c r="N22" s="21">
        <v>6.0</v>
      </c>
      <c r="O22" s="21">
        <v>3.0</v>
      </c>
      <c r="P22" s="21"/>
      <c r="Q22" s="21"/>
      <c r="R22" s="21"/>
      <c r="S22" s="22"/>
      <c r="T22" s="18"/>
      <c r="U22" s="18"/>
      <c r="V22" s="30"/>
      <c r="W22" s="8" t="s">
        <v>57</v>
      </c>
      <c r="X22" s="8" t="s">
        <v>58</v>
      </c>
      <c r="Y22" s="8" t="s">
        <v>59</v>
      </c>
      <c r="Z22" s="8"/>
    </row>
    <row r="23" ht="15.75" customHeight="1">
      <c r="A23" s="31" t="s">
        <v>103</v>
      </c>
      <c r="B23" s="8" t="s">
        <v>30</v>
      </c>
      <c r="C23" s="9" t="s">
        <v>42</v>
      </c>
      <c r="D23" s="9" t="s">
        <v>43</v>
      </c>
      <c r="E23" s="9" t="s">
        <v>44</v>
      </c>
      <c r="F23" s="9"/>
      <c r="G23" s="9"/>
      <c r="H23" s="9" t="s">
        <v>108</v>
      </c>
      <c r="I23" s="32"/>
      <c r="J23" s="11">
        <v>6.0</v>
      </c>
      <c r="K23" s="12">
        <v>1.0</v>
      </c>
      <c r="L23" s="12">
        <v>7.0</v>
      </c>
      <c r="M23" s="12">
        <v>5.0</v>
      </c>
      <c r="N23" s="12">
        <v>7.0</v>
      </c>
      <c r="O23" s="12">
        <v>6.0</v>
      </c>
      <c r="P23" s="12"/>
      <c r="Q23" s="12"/>
      <c r="R23" s="12"/>
      <c r="S23" s="13"/>
      <c r="T23" s="18"/>
      <c r="U23" s="18"/>
      <c r="V23" s="30"/>
      <c r="W23" s="9" t="s">
        <v>109</v>
      </c>
      <c r="X23" s="9" t="s">
        <v>110</v>
      </c>
      <c r="Y23" s="9" t="s">
        <v>111</v>
      </c>
      <c r="Z23" s="9"/>
    </row>
    <row r="24" ht="15.75" customHeight="1">
      <c r="A24" s="28" t="s">
        <v>112</v>
      </c>
      <c r="B24" s="8" t="s">
        <v>30</v>
      </c>
      <c r="C24" s="8" t="s">
        <v>42</v>
      </c>
      <c r="D24" s="8" t="s">
        <v>43</v>
      </c>
      <c r="E24" s="8" t="s">
        <v>44</v>
      </c>
      <c r="F24" s="8"/>
      <c r="G24" s="8"/>
      <c r="H24" s="8" t="s">
        <v>115</v>
      </c>
      <c r="I24" s="29"/>
      <c r="J24" s="20">
        <v>7.0</v>
      </c>
      <c r="K24" s="21">
        <v>6.0</v>
      </c>
      <c r="L24" s="21">
        <v>6.0</v>
      </c>
      <c r="M24" s="21">
        <v>7.0</v>
      </c>
      <c r="N24" s="21">
        <v>6.0</v>
      </c>
      <c r="O24" s="21">
        <v>3.0</v>
      </c>
      <c r="P24" s="21">
        <v>6.0</v>
      </c>
      <c r="Q24" s="21">
        <v>0.0</v>
      </c>
      <c r="R24" s="21"/>
      <c r="S24" s="22"/>
      <c r="T24" s="18"/>
      <c r="U24" s="18"/>
      <c r="V24" s="30"/>
      <c r="W24" s="8" t="s">
        <v>109</v>
      </c>
      <c r="X24" s="8" t="s">
        <v>110</v>
      </c>
      <c r="Y24" s="8" t="s">
        <v>111</v>
      </c>
      <c r="Z24" s="8"/>
    </row>
    <row r="25" ht="15.75" customHeight="1">
      <c r="A25" s="28" t="s">
        <v>124</v>
      </c>
      <c r="B25" s="8" t="s">
        <v>30</v>
      </c>
      <c r="C25" s="8" t="s">
        <v>42</v>
      </c>
      <c r="D25" s="8" t="s">
        <v>43</v>
      </c>
      <c r="E25" s="8" t="s">
        <v>44</v>
      </c>
      <c r="F25" s="8"/>
      <c r="G25" s="8"/>
      <c r="H25" s="8" t="s">
        <v>127</v>
      </c>
      <c r="I25" s="29"/>
      <c r="J25" s="20">
        <v>6.0</v>
      </c>
      <c r="K25" s="21">
        <v>7.0</v>
      </c>
      <c r="L25" s="21">
        <v>7.0</v>
      </c>
      <c r="M25" s="21">
        <v>6.0</v>
      </c>
      <c r="N25" s="21">
        <v>6.0</v>
      </c>
      <c r="O25" s="21">
        <v>3.0</v>
      </c>
      <c r="P25" s="21">
        <v>6.0</v>
      </c>
      <c r="Q25" s="21">
        <v>2.0</v>
      </c>
      <c r="R25" s="21"/>
      <c r="S25" s="22"/>
      <c r="T25" s="18"/>
      <c r="U25" s="18"/>
      <c r="V25" s="30"/>
      <c r="W25" s="8" t="s">
        <v>109</v>
      </c>
      <c r="X25" s="8" t="s">
        <v>110</v>
      </c>
      <c r="Y25" s="8" t="s">
        <v>111</v>
      </c>
      <c r="Z25" s="8"/>
    </row>
    <row r="26" ht="15.75" customHeight="1">
      <c r="A26" s="31" t="s">
        <v>128</v>
      </c>
      <c r="B26" s="8" t="s">
        <v>30</v>
      </c>
      <c r="C26" s="9" t="s">
        <v>42</v>
      </c>
      <c r="D26" s="9" t="s">
        <v>43</v>
      </c>
      <c r="E26" s="9" t="s">
        <v>44</v>
      </c>
      <c r="F26" s="9"/>
      <c r="G26" s="9"/>
      <c r="H26" s="9" t="s">
        <v>130</v>
      </c>
      <c r="I26" s="32"/>
      <c r="J26" s="11">
        <v>5.0</v>
      </c>
      <c r="K26" s="12">
        <v>7.0</v>
      </c>
      <c r="L26" s="12">
        <v>6.0</v>
      </c>
      <c r="M26" s="12">
        <v>4.0</v>
      </c>
      <c r="N26" s="12">
        <v>6.0</v>
      </c>
      <c r="O26" s="12">
        <v>2.0</v>
      </c>
      <c r="P26" s="12">
        <v>6.0</v>
      </c>
      <c r="Q26" s="12">
        <v>7.0</v>
      </c>
      <c r="R26" s="12">
        <v>7.0</v>
      </c>
      <c r="S26" s="13">
        <v>5.0</v>
      </c>
      <c r="T26" s="18"/>
      <c r="U26" s="18"/>
      <c r="V26" s="30"/>
      <c r="W26" s="9" t="s">
        <v>57</v>
      </c>
      <c r="X26" s="9" t="s">
        <v>58</v>
      </c>
      <c r="Y26" s="9" t="s">
        <v>59</v>
      </c>
      <c r="Z26" s="9"/>
    </row>
    <row r="27" ht="15.75" customHeight="1">
      <c r="A27" s="28" t="s">
        <v>131</v>
      </c>
      <c r="B27" s="8" t="s">
        <v>30</v>
      </c>
      <c r="C27" s="8" t="s">
        <v>42</v>
      </c>
      <c r="D27" s="8" t="s">
        <v>43</v>
      </c>
      <c r="E27" s="8" t="s">
        <v>44</v>
      </c>
      <c r="F27" s="8"/>
      <c r="G27" s="8"/>
      <c r="H27" s="8" t="s">
        <v>136</v>
      </c>
      <c r="I27" s="29"/>
      <c r="J27" s="20">
        <v>6.0</v>
      </c>
      <c r="K27" s="21">
        <v>4.0</v>
      </c>
      <c r="L27" s="21">
        <v>6.0</v>
      </c>
      <c r="M27" s="21">
        <v>2.0</v>
      </c>
      <c r="N27" s="21">
        <v>6.0</v>
      </c>
      <c r="O27" s="21">
        <v>3.0</v>
      </c>
      <c r="P27" s="21"/>
      <c r="Q27" s="21"/>
      <c r="R27" s="21"/>
      <c r="S27" s="22"/>
      <c r="T27" s="18"/>
      <c r="U27" s="18"/>
      <c r="V27" s="30"/>
      <c r="W27" s="8" t="s">
        <v>109</v>
      </c>
      <c r="X27" s="8" t="s">
        <v>110</v>
      </c>
      <c r="Y27" s="8" t="s">
        <v>111</v>
      </c>
      <c r="Z27" s="8"/>
    </row>
    <row r="28" ht="15.75" customHeight="1">
      <c r="A28" s="31" t="s">
        <v>145</v>
      </c>
      <c r="B28" s="8" t="s">
        <v>30</v>
      </c>
      <c r="C28" s="9" t="s">
        <v>42</v>
      </c>
      <c r="D28" s="9" t="s">
        <v>43</v>
      </c>
      <c r="E28" s="9" t="s">
        <v>44</v>
      </c>
      <c r="F28" s="9"/>
      <c r="G28" s="9"/>
      <c r="H28" s="9" t="s">
        <v>148</v>
      </c>
      <c r="I28" s="32"/>
      <c r="J28" s="11">
        <v>4.0</v>
      </c>
      <c r="K28" s="12">
        <v>6.0</v>
      </c>
      <c r="L28" s="12">
        <v>6.0</v>
      </c>
      <c r="M28" s="12">
        <v>4.0</v>
      </c>
      <c r="N28" s="12">
        <v>6.0</v>
      </c>
      <c r="O28" s="12">
        <v>3.0</v>
      </c>
      <c r="P28" s="12">
        <v>7.0</v>
      </c>
      <c r="Q28" s="12">
        <v>6.0</v>
      </c>
      <c r="R28" s="12"/>
      <c r="S28" s="13"/>
      <c r="T28" s="18"/>
      <c r="U28" s="18"/>
      <c r="V28" s="30"/>
      <c r="W28" s="9" t="s">
        <v>149</v>
      </c>
      <c r="X28" s="9" t="s">
        <v>150</v>
      </c>
      <c r="Y28" s="9" t="s">
        <v>151</v>
      </c>
      <c r="Z28" s="9"/>
    </row>
    <row r="29" ht="15.75" customHeight="1">
      <c r="A29" s="31" t="s">
        <v>83</v>
      </c>
      <c r="B29" s="8" t="s">
        <v>30</v>
      </c>
      <c r="C29" s="9" t="s">
        <v>91</v>
      </c>
      <c r="D29" s="9" t="s">
        <v>92</v>
      </c>
      <c r="E29" s="9" t="s">
        <v>93</v>
      </c>
      <c r="F29" s="9"/>
      <c r="G29" s="9"/>
      <c r="H29" s="9" t="s">
        <v>94</v>
      </c>
      <c r="I29" s="32"/>
      <c r="J29" s="11">
        <v>6.0</v>
      </c>
      <c r="K29" s="12">
        <v>2.0</v>
      </c>
      <c r="L29" s="12">
        <v>6.0</v>
      </c>
      <c r="M29" s="12">
        <v>7.0</v>
      </c>
      <c r="N29" s="12">
        <v>6.0</v>
      </c>
      <c r="O29" s="12">
        <v>3.0</v>
      </c>
      <c r="P29" s="12">
        <v>3.0</v>
      </c>
      <c r="Q29" s="12">
        <v>6.0</v>
      </c>
      <c r="R29" s="12">
        <v>6.0</v>
      </c>
      <c r="S29" s="13">
        <v>1.0</v>
      </c>
      <c r="T29" s="18"/>
      <c r="U29" s="18"/>
      <c r="V29" s="30"/>
      <c r="W29" s="9" t="s">
        <v>95</v>
      </c>
      <c r="X29" s="9" t="s">
        <v>96</v>
      </c>
      <c r="Y29" s="9" t="s">
        <v>97</v>
      </c>
      <c r="Z29" s="9"/>
    </row>
    <row r="30" ht="15.75" customHeight="1">
      <c r="A30" s="28" t="s">
        <v>98</v>
      </c>
      <c r="B30" s="8" t="s">
        <v>30</v>
      </c>
      <c r="C30" s="8" t="s">
        <v>91</v>
      </c>
      <c r="D30" s="8" t="s">
        <v>92</v>
      </c>
      <c r="E30" s="8" t="s">
        <v>93</v>
      </c>
      <c r="F30" s="8"/>
      <c r="G30" s="8"/>
      <c r="H30" s="8" t="s">
        <v>102</v>
      </c>
      <c r="I30" s="29"/>
      <c r="J30" s="20">
        <v>6.0</v>
      </c>
      <c r="K30" s="21">
        <v>4.0</v>
      </c>
      <c r="L30" s="21">
        <v>3.0</v>
      </c>
      <c r="M30" s="21">
        <v>6.0</v>
      </c>
      <c r="N30" s="21">
        <v>6.0</v>
      </c>
      <c r="O30" s="21">
        <v>1.0</v>
      </c>
      <c r="P30" s="21">
        <v>3.0</v>
      </c>
      <c r="Q30" s="21">
        <v>6.0</v>
      </c>
      <c r="R30" s="21">
        <v>6.0</v>
      </c>
      <c r="S30" s="22">
        <v>3.0</v>
      </c>
      <c r="T30" s="18"/>
      <c r="U30" s="18"/>
      <c r="V30" s="30"/>
      <c r="W30" s="8" t="s">
        <v>57</v>
      </c>
      <c r="X30" s="8" t="s">
        <v>58</v>
      </c>
      <c r="Y30" s="8" t="s">
        <v>59</v>
      </c>
      <c r="Z30" s="8"/>
    </row>
    <row r="31" ht="15.75" customHeight="1">
      <c r="A31" s="31" t="s">
        <v>137</v>
      </c>
      <c r="B31" s="8" t="s">
        <v>30</v>
      </c>
      <c r="C31" s="9" t="s">
        <v>91</v>
      </c>
      <c r="D31" s="9" t="s">
        <v>92</v>
      </c>
      <c r="E31" s="9" t="s">
        <v>93</v>
      </c>
      <c r="F31" s="9"/>
      <c r="G31" s="9"/>
      <c r="H31" s="9" t="s">
        <v>140</v>
      </c>
      <c r="I31" s="32"/>
      <c r="J31" s="11">
        <v>6.0</v>
      </c>
      <c r="K31" s="12">
        <v>3.0</v>
      </c>
      <c r="L31" s="12">
        <v>6.0</v>
      </c>
      <c r="M31" s="12">
        <v>4.0</v>
      </c>
      <c r="N31" s="12">
        <v>7.0</v>
      </c>
      <c r="O31" s="12">
        <v>6.0</v>
      </c>
      <c r="P31" s="12"/>
      <c r="Q31" s="12"/>
      <c r="R31" s="12"/>
      <c r="S31" s="13"/>
      <c r="T31" s="18"/>
      <c r="U31" s="18"/>
      <c r="V31" s="30"/>
      <c r="W31" s="9" t="s">
        <v>109</v>
      </c>
      <c r="X31" s="9" t="s">
        <v>110</v>
      </c>
      <c r="Y31" s="9" t="s">
        <v>111</v>
      </c>
      <c r="Z31" s="9"/>
    </row>
    <row r="32" ht="15.75" customHeight="1">
      <c r="A32" s="28" t="s">
        <v>152</v>
      </c>
      <c r="B32" s="8" t="s">
        <v>30</v>
      </c>
      <c r="C32" s="8" t="s">
        <v>91</v>
      </c>
      <c r="D32" s="8" t="s">
        <v>92</v>
      </c>
      <c r="E32" s="8" t="s">
        <v>93</v>
      </c>
      <c r="F32" s="8"/>
      <c r="G32" s="8"/>
      <c r="H32" s="8" t="s">
        <v>154</v>
      </c>
      <c r="I32" s="29"/>
      <c r="J32" s="20">
        <v>7.0</v>
      </c>
      <c r="K32" s="21">
        <v>6.0</v>
      </c>
      <c r="L32" s="21">
        <v>6.0</v>
      </c>
      <c r="M32" s="21">
        <v>4.0</v>
      </c>
      <c r="N32" s="21">
        <v>6.0</v>
      </c>
      <c r="O32" s="21">
        <v>4.0</v>
      </c>
      <c r="P32" s="21"/>
      <c r="Q32" s="21"/>
      <c r="R32" s="21"/>
      <c r="S32" s="22"/>
      <c r="T32" s="18"/>
      <c r="U32" s="18"/>
      <c r="V32" s="30"/>
      <c r="W32" s="8" t="s">
        <v>155</v>
      </c>
      <c r="X32" s="8" t="s">
        <v>156</v>
      </c>
      <c r="Y32" s="8" t="s">
        <v>157</v>
      </c>
      <c r="Z32" s="8"/>
    </row>
    <row r="33" ht="15.75" customHeight="1">
      <c r="A33" s="31" t="s">
        <v>158</v>
      </c>
      <c r="B33" s="8" t="s">
        <v>30</v>
      </c>
      <c r="C33" s="9" t="s">
        <v>91</v>
      </c>
      <c r="D33" s="9" t="s">
        <v>92</v>
      </c>
      <c r="E33" s="9" t="s">
        <v>93</v>
      </c>
      <c r="F33" s="9"/>
      <c r="G33" s="9"/>
      <c r="H33" s="9" t="s">
        <v>161</v>
      </c>
      <c r="I33" s="32"/>
      <c r="J33" s="11">
        <v>5.0</v>
      </c>
      <c r="K33" s="12">
        <v>7.0</v>
      </c>
      <c r="L33" s="12">
        <v>7.0</v>
      </c>
      <c r="M33" s="12">
        <v>5.0</v>
      </c>
      <c r="N33" s="12">
        <v>6.0</v>
      </c>
      <c r="O33" s="12">
        <v>0.0</v>
      </c>
      <c r="P33" s="12">
        <v>6.0</v>
      </c>
      <c r="Q33" s="12">
        <v>2.0</v>
      </c>
      <c r="R33" s="12"/>
      <c r="S33" s="13"/>
      <c r="T33" s="18"/>
      <c r="U33" s="18"/>
      <c r="V33" s="30"/>
      <c r="W33" s="9" t="s">
        <v>162</v>
      </c>
      <c r="X33" s="9" t="s">
        <v>163</v>
      </c>
      <c r="Y33" s="9" t="s">
        <v>164</v>
      </c>
      <c r="Z33" s="9"/>
    </row>
    <row r="34" ht="15.75" customHeight="1">
      <c r="A34" s="31" t="s">
        <v>171</v>
      </c>
      <c r="B34" s="8" t="s">
        <v>30</v>
      </c>
      <c r="C34" s="9" t="s">
        <v>91</v>
      </c>
      <c r="D34" s="9" t="s">
        <v>92</v>
      </c>
      <c r="E34" s="9" t="s">
        <v>93</v>
      </c>
      <c r="F34" s="9"/>
      <c r="G34" s="9"/>
      <c r="H34" s="9" t="s">
        <v>173</v>
      </c>
      <c r="I34" s="32"/>
      <c r="J34" s="11">
        <v>7.0</v>
      </c>
      <c r="K34" s="12">
        <v>6.0</v>
      </c>
      <c r="L34" s="12">
        <v>6.0</v>
      </c>
      <c r="M34" s="12">
        <v>4.0</v>
      </c>
      <c r="N34" s="12">
        <v>6.0</v>
      </c>
      <c r="O34" s="12">
        <v>2.0</v>
      </c>
      <c r="P34" s="12"/>
      <c r="Q34" s="12"/>
      <c r="R34" s="12"/>
      <c r="S34" s="13"/>
      <c r="T34" s="18"/>
      <c r="U34" s="18"/>
      <c r="V34" s="30"/>
      <c r="W34" s="9" t="s">
        <v>168</v>
      </c>
      <c r="X34" s="9" t="s">
        <v>36</v>
      </c>
      <c r="Y34" s="9" t="s">
        <v>37</v>
      </c>
      <c r="Z34" s="9"/>
    </row>
    <row r="35" ht="15.75" customHeight="1">
      <c r="A35" s="28" t="s">
        <v>355</v>
      </c>
      <c r="B35" s="8" t="s">
        <v>30</v>
      </c>
      <c r="C35" s="8" t="s">
        <v>359</v>
      </c>
      <c r="D35" s="8" t="s">
        <v>51</v>
      </c>
      <c r="E35" s="8" t="s">
        <v>52</v>
      </c>
      <c r="F35" s="8"/>
      <c r="G35" s="8"/>
      <c r="H35" s="8" t="s">
        <v>360</v>
      </c>
      <c r="I35" s="29"/>
      <c r="J35" s="20">
        <v>6.0</v>
      </c>
      <c r="K35" s="21">
        <v>4.0</v>
      </c>
      <c r="L35" s="21">
        <v>6.0</v>
      </c>
      <c r="M35" s="21">
        <v>1.0</v>
      </c>
      <c r="N35" s="21">
        <v>6.0</v>
      </c>
      <c r="O35" s="21">
        <v>4.0</v>
      </c>
      <c r="P35" s="21"/>
      <c r="Q35" s="21"/>
      <c r="R35" s="21"/>
      <c r="S35" s="22"/>
      <c r="T35" s="18"/>
      <c r="U35" s="18"/>
      <c r="V35" s="30"/>
      <c r="W35" s="8" t="s">
        <v>340</v>
      </c>
      <c r="X35" s="8" t="s">
        <v>55</v>
      </c>
      <c r="Y35" s="8" t="s">
        <v>56</v>
      </c>
      <c r="Z35" s="8"/>
    </row>
    <row r="36" ht="15.75" customHeight="1">
      <c r="A36" s="31" t="s">
        <v>361</v>
      </c>
      <c r="B36" s="8" t="s">
        <v>30</v>
      </c>
      <c r="C36" s="9" t="s">
        <v>359</v>
      </c>
      <c r="D36" s="9" t="s">
        <v>51</v>
      </c>
      <c r="E36" s="9" t="s">
        <v>52</v>
      </c>
      <c r="F36" s="9"/>
      <c r="G36" s="9"/>
      <c r="H36" s="9" t="s">
        <v>364</v>
      </c>
      <c r="I36" s="32"/>
      <c r="J36" s="11">
        <v>6.0</v>
      </c>
      <c r="K36" s="12">
        <v>4.0</v>
      </c>
      <c r="L36" s="12">
        <v>6.0</v>
      </c>
      <c r="M36" s="12">
        <v>8.0</v>
      </c>
      <c r="N36" s="12">
        <v>6.0</v>
      </c>
      <c r="O36" s="12">
        <v>2.0</v>
      </c>
      <c r="P36" s="12">
        <v>6.0</v>
      </c>
      <c r="Q36" s="12">
        <v>3.0</v>
      </c>
      <c r="R36" s="12"/>
      <c r="S36" s="13"/>
      <c r="T36" s="18"/>
      <c r="U36" s="18"/>
      <c r="V36" s="30"/>
      <c r="W36" s="9" t="s">
        <v>340</v>
      </c>
      <c r="X36" s="9" t="s">
        <v>55</v>
      </c>
      <c r="Y36" s="9" t="s">
        <v>56</v>
      </c>
      <c r="Z36" s="9"/>
    </row>
    <row r="37" ht="15.75" customHeight="1">
      <c r="A37" s="28" t="s">
        <v>365</v>
      </c>
      <c r="B37" s="8" t="s">
        <v>30</v>
      </c>
      <c r="C37" s="8" t="s">
        <v>359</v>
      </c>
      <c r="D37" s="8" t="s">
        <v>51</v>
      </c>
      <c r="E37" s="8" t="s">
        <v>52</v>
      </c>
      <c r="F37" s="8"/>
      <c r="G37" s="8"/>
      <c r="H37" s="8" t="s">
        <v>370</v>
      </c>
      <c r="I37" s="29"/>
      <c r="J37" s="20">
        <v>7.0</v>
      </c>
      <c r="K37" s="21">
        <v>9.0</v>
      </c>
      <c r="L37" s="21">
        <v>2.0</v>
      </c>
      <c r="M37" s="21">
        <v>6.0</v>
      </c>
      <c r="N37" s="21">
        <v>6.0</v>
      </c>
      <c r="O37" s="21">
        <v>4.0</v>
      </c>
      <c r="P37" s="21">
        <v>7.0</v>
      </c>
      <c r="Q37" s="21">
        <v>5.0</v>
      </c>
      <c r="R37" s="21">
        <v>6.0</v>
      </c>
      <c r="S37" s="22">
        <v>1.0</v>
      </c>
      <c r="T37" s="18"/>
      <c r="U37" s="18"/>
      <c r="V37" s="30"/>
      <c r="W37" s="8" t="s">
        <v>371</v>
      </c>
      <c r="X37" s="8" t="s">
        <v>51</v>
      </c>
      <c r="Y37" s="8" t="s">
        <v>52</v>
      </c>
      <c r="Z37" s="8"/>
    </row>
    <row r="38" ht="15.75" customHeight="1">
      <c r="A38" s="31" t="s">
        <v>372</v>
      </c>
      <c r="B38" s="8" t="s">
        <v>30</v>
      </c>
      <c r="C38" s="9" t="s">
        <v>359</v>
      </c>
      <c r="D38" s="9" t="s">
        <v>51</v>
      </c>
      <c r="E38" s="9" t="s">
        <v>52</v>
      </c>
      <c r="F38" s="9"/>
      <c r="G38" s="9"/>
      <c r="H38" s="9" t="s">
        <v>373</v>
      </c>
      <c r="I38" s="32"/>
      <c r="J38" s="11">
        <v>6.0</v>
      </c>
      <c r="K38" s="12">
        <v>3.0</v>
      </c>
      <c r="L38" s="12">
        <v>6.0</v>
      </c>
      <c r="M38" s="12">
        <v>4.0</v>
      </c>
      <c r="N38" s="12">
        <v>6.0</v>
      </c>
      <c r="O38" s="12">
        <v>2.0</v>
      </c>
      <c r="P38" s="12"/>
      <c r="Q38" s="12"/>
      <c r="R38" s="12"/>
      <c r="S38" s="13"/>
      <c r="T38" s="18"/>
      <c r="U38" s="18"/>
      <c r="V38" s="30"/>
      <c r="W38" s="9" t="s">
        <v>371</v>
      </c>
      <c r="X38" s="9" t="s">
        <v>51</v>
      </c>
      <c r="Y38" s="9" t="s">
        <v>52</v>
      </c>
      <c r="Z38" s="9"/>
    </row>
    <row r="39" ht="15.75" customHeight="1">
      <c r="A39" s="28" t="s">
        <v>374</v>
      </c>
      <c r="B39" s="8" t="s">
        <v>30</v>
      </c>
      <c r="C39" s="8" t="s">
        <v>359</v>
      </c>
      <c r="D39" s="8" t="s">
        <v>51</v>
      </c>
      <c r="E39" s="8" t="s">
        <v>52</v>
      </c>
      <c r="F39" s="8"/>
      <c r="G39" s="8"/>
      <c r="H39" s="8" t="s">
        <v>376</v>
      </c>
      <c r="I39" s="29"/>
      <c r="J39" s="20">
        <v>6.0</v>
      </c>
      <c r="K39" s="21">
        <v>3.0</v>
      </c>
      <c r="L39" s="21">
        <v>6.0</v>
      </c>
      <c r="M39" s="21">
        <v>3.0</v>
      </c>
      <c r="N39" s="21">
        <v>6.0</v>
      </c>
      <c r="O39" s="21">
        <v>1.0</v>
      </c>
      <c r="P39" s="21"/>
      <c r="Q39" s="21"/>
      <c r="R39" s="21"/>
      <c r="S39" s="22"/>
      <c r="T39" s="18"/>
      <c r="U39" s="18"/>
      <c r="V39" s="30"/>
      <c r="W39" s="8" t="s">
        <v>377</v>
      </c>
      <c r="X39" s="8" t="s">
        <v>51</v>
      </c>
      <c r="Y39" s="8" t="s">
        <v>52</v>
      </c>
      <c r="Z39" s="8"/>
    </row>
    <row r="40" ht="15.75" customHeight="1">
      <c r="A40" s="28" t="s">
        <v>380</v>
      </c>
      <c r="B40" s="8" t="s">
        <v>30</v>
      </c>
      <c r="C40" s="8" t="s">
        <v>359</v>
      </c>
      <c r="D40" s="8" t="s">
        <v>51</v>
      </c>
      <c r="E40" s="8" t="s">
        <v>52</v>
      </c>
      <c r="F40" s="8"/>
      <c r="G40" s="8"/>
      <c r="H40" s="8" t="s">
        <v>381</v>
      </c>
      <c r="I40" s="29"/>
      <c r="J40" s="20">
        <v>1.0</v>
      </c>
      <c r="K40" s="21">
        <v>6.0</v>
      </c>
      <c r="L40" s="21">
        <v>6.0</v>
      </c>
      <c r="M40" s="21">
        <v>3.0</v>
      </c>
      <c r="N40" s="21">
        <v>7.0</v>
      </c>
      <c r="O40" s="21">
        <v>5.0</v>
      </c>
      <c r="P40" s="21">
        <v>6.0</v>
      </c>
      <c r="Q40" s="21">
        <v>4.0</v>
      </c>
      <c r="R40" s="21"/>
      <c r="S40" s="22"/>
      <c r="T40" s="18"/>
      <c r="U40" s="18"/>
      <c r="V40" s="30"/>
      <c r="W40" s="8" t="s">
        <v>348</v>
      </c>
      <c r="X40" s="8" t="s">
        <v>51</v>
      </c>
      <c r="Y40" s="8" t="s">
        <v>52</v>
      </c>
      <c r="Z40" s="8"/>
    </row>
    <row r="41" ht="15.75" customHeight="1">
      <c r="A41" s="28" t="s">
        <v>98</v>
      </c>
      <c r="B41" s="8" t="s">
        <v>22</v>
      </c>
      <c r="C41" s="8" t="s">
        <v>99</v>
      </c>
      <c r="D41" s="8" t="s">
        <v>55</v>
      </c>
      <c r="E41" s="23" t="s">
        <v>56</v>
      </c>
      <c r="F41" s="8"/>
      <c r="G41" s="8"/>
      <c r="H41" s="8" t="s">
        <v>100</v>
      </c>
      <c r="I41" s="29"/>
      <c r="J41" s="20">
        <v>6.0</v>
      </c>
      <c r="K41" s="21">
        <v>4.0</v>
      </c>
      <c r="L41" s="21">
        <v>6.0</v>
      </c>
      <c r="M41" s="21">
        <v>4.0</v>
      </c>
      <c r="N41" s="21"/>
      <c r="O41" s="21"/>
      <c r="P41" s="21"/>
      <c r="Q41" s="21"/>
      <c r="R41" s="21"/>
      <c r="S41" s="22"/>
      <c r="T41" s="18"/>
      <c r="U41" s="18"/>
      <c r="V41" s="30"/>
      <c r="W41" s="8" t="s">
        <v>101</v>
      </c>
      <c r="X41" s="8" t="s">
        <v>55</v>
      </c>
      <c r="Y41" s="8" t="s">
        <v>56</v>
      </c>
      <c r="Z41" s="8"/>
    </row>
    <row r="42" ht="15.75" customHeight="1">
      <c r="A42" s="28" t="s">
        <v>112</v>
      </c>
      <c r="B42" s="8" t="s">
        <v>22</v>
      </c>
      <c r="C42" s="8" t="s">
        <v>99</v>
      </c>
      <c r="D42" s="8" t="s">
        <v>55</v>
      </c>
      <c r="E42" s="23" t="s">
        <v>56</v>
      </c>
      <c r="F42" s="8"/>
      <c r="G42" s="8"/>
      <c r="H42" s="8" t="s">
        <v>113</v>
      </c>
      <c r="I42" s="29"/>
      <c r="J42" s="20">
        <v>6.0</v>
      </c>
      <c r="K42" s="21">
        <v>3.0</v>
      </c>
      <c r="L42" s="21">
        <v>7.0</v>
      </c>
      <c r="M42" s="21">
        <v>6.0</v>
      </c>
      <c r="N42" s="21"/>
      <c r="O42" s="21"/>
      <c r="P42" s="21"/>
      <c r="Q42" s="21"/>
      <c r="R42" s="21"/>
      <c r="S42" s="22"/>
      <c r="T42" s="18"/>
      <c r="U42" s="18"/>
      <c r="V42" s="30"/>
      <c r="W42" s="8" t="s">
        <v>114</v>
      </c>
      <c r="X42" s="8" t="s">
        <v>36</v>
      </c>
      <c r="Y42" s="8" t="s">
        <v>37</v>
      </c>
      <c r="Z42" s="8"/>
    </row>
    <row r="43" ht="15.75" customHeight="1">
      <c r="A43" s="31" t="s">
        <v>137</v>
      </c>
      <c r="B43" s="8" t="s">
        <v>22</v>
      </c>
      <c r="C43" s="9" t="s">
        <v>99</v>
      </c>
      <c r="D43" s="9" t="s">
        <v>55</v>
      </c>
      <c r="E43" s="9" t="s">
        <v>56</v>
      </c>
      <c r="F43" s="9"/>
      <c r="G43" s="9"/>
      <c r="H43" s="9" t="s">
        <v>138</v>
      </c>
      <c r="I43" s="32"/>
      <c r="J43" s="11">
        <v>6.0</v>
      </c>
      <c r="K43" s="12">
        <v>4.0</v>
      </c>
      <c r="L43" s="12">
        <v>3.0</v>
      </c>
      <c r="M43" s="12">
        <v>6.0</v>
      </c>
      <c r="N43" s="12">
        <v>6.0</v>
      </c>
      <c r="O43" s="12">
        <v>2.0</v>
      </c>
      <c r="P43" s="12"/>
      <c r="Q43" s="12"/>
      <c r="R43" s="12"/>
      <c r="S43" s="13"/>
      <c r="T43" s="18"/>
      <c r="U43" s="18"/>
      <c r="V43" s="30"/>
      <c r="W43" s="9" t="s">
        <v>139</v>
      </c>
      <c r="X43" s="9" t="s">
        <v>133</v>
      </c>
      <c r="Y43" s="9" t="s">
        <v>134</v>
      </c>
      <c r="Z43" s="9"/>
    </row>
    <row r="44" ht="15.75" customHeight="1">
      <c r="A44" s="28" t="s">
        <v>141</v>
      </c>
      <c r="B44" s="8" t="s">
        <v>22</v>
      </c>
      <c r="C44" s="8" t="s">
        <v>99</v>
      </c>
      <c r="D44" s="8" t="s">
        <v>55</v>
      </c>
      <c r="E44" s="23" t="s">
        <v>56</v>
      </c>
      <c r="F44" s="8"/>
      <c r="G44" s="8"/>
      <c r="H44" s="8" t="s">
        <v>142</v>
      </c>
      <c r="I44" s="29"/>
      <c r="J44" s="20">
        <v>6.0</v>
      </c>
      <c r="K44" s="21">
        <v>0.0</v>
      </c>
      <c r="L44" s="21">
        <v>6.0</v>
      </c>
      <c r="M44" s="21">
        <v>3.0</v>
      </c>
      <c r="N44" s="21"/>
      <c r="O44" s="21"/>
      <c r="P44" s="21"/>
      <c r="Q44" s="21"/>
      <c r="R44" s="21"/>
      <c r="S44" s="22"/>
      <c r="T44" s="18"/>
      <c r="U44" s="18"/>
      <c r="V44" s="30"/>
      <c r="W44" s="8" t="s">
        <v>143</v>
      </c>
      <c r="X44" s="8" t="s">
        <v>36</v>
      </c>
      <c r="Y44" s="8" t="s">
        <v>37</v>
      </c>
      <c r="Z44" s="8"/>
    </row>
    <row r="45" ht="15.75" customHeight="1">
      <c r="A45" s="28" t="s">
        <v>152</v>
      </c>
      <c r="B45" s="8" t="s">
        <v>22</v>
      </c>
      <c r="C45" s="8" t="s">
        <v>99</v>
      </c>
      <c r="D45" s="8" t="s">
        <v>55</v>
      </c>
      <c r="E45" s="23" t="s">
        <v>56</v>
      </c>
      <c r="F45" s="8"/>
      <c r="G45" s="8"/>
      <c r="H45" s="8" t="s">
        <v>153</v>
      </c>
      <c r="I45" s="29"/>
      <c r="J45" s="20">
        <v>6.0</v>
      </c>
      <c r="K45" s="21">
        <v>1.0</v>
      </c>
      <c r="L45" s="21">
        <v>6.0</v>
      </c>
      <c r="M45" s="21">
        <v>2.0</v>
      </c>
      <c r="N45" s="21"/>
      <c r="O45" s="21"/>
      <c r="P45" s="21"/>
      <c r="Q45" s="21"/>
      <c r="R45" s="21"/>
      <c r="S45" s="22"/>
      <c r="T45" s="18"/>
      <c r="U45" s="18"/>
      <c r="V45" s="30"/>
      <c r="W45" s="8" t="s">
        <v>114</v>
      </c>
      <c r="X45" s="8" t="s">
        <v>36</v>
      </c>
      <c r="Y45" s="8" t="s">
        <v>37</v>
      </c>
      <c r="Z45" s="8"/>
    </row>
    <row r="46" ht="15.75" customHeight="1">
      <c r="A46" s="28" t="s">
        <v>165</v>
      </c>
      <c r="B46" s="8" t="s">
        <v>22</v>
      </c>
      <c r="C46" s="8" t="s">
        <v>99</v>
      </c>
      <c r="D46" s="8" t="s">
        <v>55</v>
      </c>
      <c r="E46" s="23" t="s">
        <v>56</v>
      </c>
      <c r="F46" s="8"/>
      <c r="G46" s="8"/>
      <c r="H46" s="8" t="s">
        <v>166</v>
      </c>
      <c r="I46" s="29"/>
      <c r="J46" s="20">
        <v>2.0</v>
      </c>
      <c r="K46" s="21">
        <v>6.0</v>
      </c>
      <c r="L46" s="21">
        <v>6.0</v>
      </c>
      <c r="M46" s="21">
        <v>3.0</v>
      </c>
      <c r="N46" s="21">
        <v>6.0</v>
      </c>
      <c r="O46" s="21">
        <v>0.0</v>
      </c>
      <c r="P46" s="21"/>
      <c r="Q46" s="21"/>
      <c r="R46" s="21"/>
      <c r="S46" s="22"/>
      <c r="T46" s="18"/>
      <c r="U46" s="18"/>
      <c r="V46" s="30"/>
      <c r="W46" s="8" t="s">
        <v>167</v>
      </c>
      <c r="X46" s="8" t="s">
        <v>55</v>
      </c>
      <c r="Y46" s="8" t="s">
        <v>56</v>
      </c>
      <c r="Z46" s="8"/>
    </row>
    <row r="47" ht="15.75" customHeight="1">
      <c r="A47" s="28" t="s">
        <v>174</v>
      </c>
      <c r="B47" s="8" t="s">
        <v>22</v>
      </c>
      <c r="C47" s="8" t="s">
        <v>99</v>
      </c>
      <c r="D47" s="8" t="s">
        <v>55</v>
      </c>
      <c r="E47" s="23" t="s">
        <v>56</v>
      </c>
      <c r="F47" s="8"/>
      <c r="G47" s="8"/>
      <c r="H47" s="8" t="s">
        <v>175</v>
      </c>
      <c r="I47" s="29"/>
      <c r="J47" s="20">
        <v>7.0</v>
      </c>
      <c r="K47" s="21">
        <v>6.0</v>
      </c>
      <c r="L47" s="21">
        <v>3.0</v>
      </c>
      <c r="M47" s="21">
        <v>6.0</v>
      </c>
      <c r="N47" s="21">
        <v>6.0</v>
      </c>
      <c r="O47" s="21">
        <v>4.0</v>
      </c>
      <c r="P47" s="21"/>
      <c r="Q47" s="21"/>
      <c r="R47" s="21"/>
      <c r="S47" s="22"/>
      <c r="T47" s="18"/>
      <c r="U47" s="18"/>
      <c r="V47" s="30"/>
      <c r="W47" s="8" t="s">
        <v>101</v>
      </c>
      <c r="X47" s="8" t="s">
        <v>55</v>
      </c>
      <c r="Y47" s="8" t="s">
        <v>56</v>
      </c>
      <c r="Z47" s="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47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38.86"/>
    <col customWidth="1" min="3" max="4" width="31.43"/>
  </cols>
  <sheetData>
    <row r="1">
      <c r="A1" s="34" t="s">
        <v>573</v>
      </c>
      <c r="B1" s="34" t="s">
        <v>574</v>
      </c>
      <c r="C1" s="34" t="s">
        <v>575</v>
      </c>
      <c r="D1" s="34" t="s">
        <v>576</v>
      </c>
    </row>
    <row r="2">
      <c r="A2" s="35" t="s">
        <v>0</v>
      </c>
      <c r="B2" s="36" t="s">
        <v>577</v>
      </c>
      <c r="C2" s="36" t="s">
        <v>578</v>
      </c>
      <c r="D2" s="36" t="s">
        <v>579</v>
      </c>
    </row>
    <row r="3">
      <c r="A3" s="35" t="s">
        <v>1</v>
      </c>
      <c r="B3" s="36" t="s">
        <v>580</v>
      </c>
      <c r="C3" s="36" t="s">
        <v>581</v>
      </c>
      <c r="D3" s="36" t="s">
        <v>582</v>
      </c>
    </row>
    <row r="4">
      <c r="A4" s="35" t="s">
        <v>2</v>
      </c>
      <c r="B4" s="36" t="s">
        <v>583</v>
      </c>
      <c r="C4" s="36" t="s">
        <v>584</v>
      </c>
      <c r="D4" s="36" t="s">
        <v>585</v>
      </c>
    </row>
    <row r="5">
      <c r="A5" s="35" t="s">
        <v>3</v>
      </c>
      <c r="B5" s="36" t="s">
        <v>586</v>
      </c>
      <c r="C5" s="36" t="s">
        <v>581</v>
      </c>
      <c r="D5" s="36" t="s">
        <v>587</v>
      </c>
    </row>
    <row r="6">
      <c r="A6" s="35" t="s">
        <v>5</v>
      </c>
      <c r="B6" s="36" t="s">
        <v>588</v>
      </c>
      <c r="C6" s="36" t="s">
        <v>584</v>
      </c>
      <c r="D6" s="36" t="s">
        <v>589</v>
      </c>
    </row>
    <row r="7">
      <c r="A7" s="35" t="s">
        <v>16</v>
      </c>
      <c r="B7" s="36" t="s">
        <v>590</v>
      </c>
      <c r="C7" s="36" t="s">
        <v>584</v>
      </c>
      <c r="D7" s="36" t="s">
        <v>591</v>
      </c>
    </row>
    <row r="8">
      <c r="A8" s="35" t="s">
        <v>17</v>
      </c>
      <c r="B8" s="36" t="s">
        <v>592</v>
      </c>
      <c r="C8" s="36" t="s">
        <v>581</v>
      </c>
      <c r="D8" s="36" t="s">
        <v>593</v>
      </c>
    </row>
    <row r="9">
      <c r="A9" s="37"/>
      <c r="B9" s="37"/>
      <c r="C9" s="37"/>
      <c r="D9" s="37"/>
    </row>
    <row r="10">
      <c r="A10" s="37"/>
      <c r="B10" s="37"/>
      <c r="C10" s="37"/>
      <c r="D10" s="37"/>
    </row>
    <row r="11">
      <c r="A11" s="37"/>
      <c r="B11" s="37"/>
      <c r="C11" s="37"/>
      <c r="D11" s="37"/>
    </row>
    <row r="12">
      <c r="A12" s="37"/>
      <c r="B12" s="37"/>
      <c r="C12" s="37"/>
      <c r="D12" s="37"/>
    </row>
    <row r="13">
      <c r="A13" s="37"/>
      <c r="B13" s="37"/>
      <c r="C13" s="37"/>
      <c r="D13" s="37"/>
    </row>
    <row r="14">
      <c r="A14" s="34" t="s">
        <v>573</v>
      </c>
      <c r="B14" s="34" t="s">
        <v>574</v>
      </c>
      <c r="C14" s="34" t="s">
        <v>575</v>
      </c>
      <c r="D14" s="34" t="s">
        <v>576</v>
      </c>
    </row>
    <row r="15">
      <c r="A15" s="38" t="s">
        <v>570</v>
      </c>
      <c r="B15" s="39" t="s">
        <v>594</v>
      </c>
      <c r="C15" s="39" t="s">
        <v>578</v>
      </c>
      <c r="D15" s="39" t="s">
        <v>595</v>
      </c>
    </row>
    <row r="16">
      <c r="A16" s="38" t="s">
        <v>571</v>
      </c>
      <c r="B16" s="39" t="s">
        <v>596</v>
      </c>
      <c r="C16" s="39" t="s">
        <v>578</v>
      </c>
      <c r="D16" s="39" t="s">
        <v>597</v>
      </c>
    </row>
    <row r="17">
      <c r="A17" s="38" t="s">
        <v>572</v>
      </c>
      <c r="B17" s="39" t="s">
        <v>598</v>
      </c>
      <c r="C17" s="39" t="s">
        <v>578</v>
      </c>
      <c r="D17" s="39" t="s">
        <v>599</v>
      </c>
    </row>
    <row r="18">
      <c r="A18" s="37"/>
      <c r="B18" s="37"/>
      <c r="C18" s="37"/>
      <c r="D18" s="37"/>
    </row>
    <row r="19">
      <c r="A19" s="37"/>
      <c r="B19" s="37"/>
      <c r="C19" s="37"/>
      <c r="D19" s="37"/>
    </row>
    <row r="20">
      <c r="A20" s="37"/>
      <c r="B20" s="37"/>
      <c r="C20" s="37"/>
      <c r="D20" s="37"/>
    </row>
    <row r="21">
      <c r="A21" s="37"/>
      <c r="B21" s="37"/>
      <c r="C21" s="37"/>
      <c r="D21" s="37"/>
    </row>
    <row r="22">
      <c r="A22" s="37"/>
      <c r="B22" s="37"/>
      <c r="C22" s="37"/>
      <c r="D22" s="37"/>
    </row>
    <row r="23">
      <c r="A23" s="37"/>
      <c r="B23" s="37"/>
      <c r="C23" s="37"/>
      <c r="D23" s="37"/>
    </row>
    <row r="24">
      <c r="A24" s="37"/>
      <c r="B24" s="37"/>
      <c r="C24" s="37"/>
      <c r="D24" s="37"/>
    </row>
    <row r="25">
      <c r="A25" s="37"/>
      <c r="B25" s="37"/>
      <c r="C25" s="37"/>
      <c r="D25" s="37"/>
    </row>
    <row r="26">
      <c r="A26" s="37"/>
      <c r="B26" s="37"/>
      <c r="C26" s="37"/>
      <c r="D26" s="37"/>
    </row>
    <row r="27">
      <c r="A27" s="37"/>
      <c r="B27" s="37"/>
      <c r="C27" s="37"/>
      <c r="D27" s="37"/>
    </row>
    <row r="28">
      <c r="A28" s="37"/>
      <c r="B28" s="37"/>
      <c r="C28" s="37"/>
      <c r="D28" s="37"/>
    </row>
    <row r="29">
      <c r="A29" s="37"/>
      <c r="B29" s="37"/>
      <c r="C29" s="37"/>
      <c r="D29" s="37"/>
    </row>
    <row r="30">
      <c r="A30" s="37"/>
      <c r="B30" s="37"/>
      <c r="C30" s="37"/>
      <c r="D30" s="37"/>
    </row>
    <row r="31">
      <c r="A31" s="37"/>
      <c r="B31" s="37"/>
      <c r="C31" s="37"/>
      <c r="D31" s="37"/>
    </row>
    <row r="32">
      <c r="A32" s="37"/>
      <c r="B32" s="37"/>
      <c r="C32" s="37"/>
      <c r="D32" s="37"/>
    </row>
    <row r="33">
      <c r="A33" s="37"/>
      <c r="B33" s="37"/>
      <c r="C33" s="37"/>
      <c r="D33" s="37"/>
    </row>
    <row r="34">
      <c r="A34" s="37"/>
      <c r="B34" s="37"/>
      <c r="C34" s="37"/>
      <c r="D34" s="37"/>
    </row>
    <row r="35">
      <c r="A35" s="37"/>
      <c r="B35" s="37"/>
      <c r="C35" s="37"/>
      <c r="D35" s="37"/>
    </row>
    <row r="36">
      <c r="A36" s="37"/>
      <c r="B36" s="37"/>
      <c r="C36" s="37"/>
      <c r="D36" s="37"/>
    </row>
    <row r="37">
      <c r="A37" s="37"/>
      <c r="B37" s="37"/>
      <c r="C37" s="37"/>
      <c r="D37" s="37"/>
    </row>
    <row r="38">
      <c r="A38" s="37"/>
      <c r="B38" s="37"/>
      <c r="C38" s="37"/>
      <c r="D38" s="37"/>
    </row>
    <row r="39">
      <c r="A39" s="37"/>
      <c r="B39" s="37"/>
      <c r="C39" s="37"/>
      <c r="D39" s="37"/>
    </row>
    <row r="40">
      <c r="A40" s="37"/>
      <c r="B40" s="37"/>
      <c r="C40" s="37"/>
      <c r="D40" s="37"/>
    </row>
    <row r="41">
      <c r="A41" s="37"/>
      <c r="B41" s="37"/>
      <c r="C41" s="37"/>
      <c r="D41" s="37"/>
    </row>
    <row r="42">
      <c r="A42" s="37"/>
      <c r="B42" s="37"/>
      <c r="C42" s="37"/>
      <c r="D42" s="37"/>
    </row>
    <row r="43">
      <c r="A43" s="37"/>
      <c r="B43" s="37"/>
      <c r="C43" s="37"/>
      <c r="D43" s="37"/>
    </row>
    <row r="44">
      <c r="A44" s="37"/>
      <c r="B44" s="37"/>
      <c r="C44" s="37"/>
      <c r="D44" s="37"/>
    </row>
    <row r="45">
      <c r="A45" s="37"/>
      <c r="B45" s="37"/>
      <c r="C45" s="37"/>
      <c r="D45" s="37"/>
    </row>
    <row r="46">
      <c r="A46" s="37"/>
      <c r="B46" s="37"/>
      <c r="C46" s="37"/>
      <c r="D46" s="37"/>
    </row>
    <row r="47">
      <c r="A47" s="37"/>
      <c r="B47" s="37"/>
      <c r="C47" s="37"/>
      <c r="D47" s="37"/>
    </row>
    <row r="48">
      <c r="A48" s="37"/>
      <c r="B48" s="37"/>
      <c r="C48" s="37"/>
      <c r="D48" s="37"/>
    </row>
    <row r="49">
      <c r="A49" s="37"/>
      <c r="B49" s="37"/>
      <c r="C49" s="37"/>
      <c r="D49" s="37"/>
    </row>
    <row r="50">
      <c r="A50" s="37"/>
      <c r="B50" s="37"/>
      <c r="C50" s="37"/>
      <c r="D50" s="37"/>
    </row>
    <row r="51">
      <c r="A51" s="37"/>
      <c r="B51" s="37"/>
      <c r="C51" s="37"/>
      <c r="D51" s="37"/>
    </row>
    <row r="52">
      <c r="A52" s="37"/>
      <c r="B52" s="37"/>
      <c r="C52" s="37"/>
      <c r="D52" s="37"/>
    </row>
    <row r="53">
      <c r="A53" s="37"/>
      <c r="B53" s="37"/>
      <c r="C53" s="37"/>
      <c r="D53" s="37"/>
    </row>
    <row r="54">
      <c r="A54" s="37"/>
      <c r="B54" s="37"/>
      <c r="C54" s="37"/>
      <c r="D54" s="37"/>
    </row>
    <row r="55">
      <c r="A55" s="37"/>
      <c r="B55" s="37"/>
      <c r="C55" s="37"/>
      <c r="D55" s="37"/>
    </row>
    <row r="56">
      <c r="A56" s="37"/>
      <c r="B56" s="37"/>
      <c r="C56" s="37"/>
      <c r="D56" s="37"/>
    </row>
    <row r="57">
      <c r="A57" s="37"/>
      <c r="B57" s="37"/>
      <c r="C57" s="37"/>
      <c r="D57" s="37"/>
    </row>
    <row r="58">
      <c r="A58" s="37"/>
      <c r="B58" s="37"/>
      <c r="C58" s="37"/>
      <c r="D58" s="37"/>
    </row>
    <row r="59">
      <c r="A59" s="37"/>
      <c r="B59" s="37"/>
      <c r="C59" s="37"/>
      <c r="D59" s="37"/>
    </row>
    <row r="60">
      <c r="A60" s="37"/>
      <c r="B60" s="37"/>
      <c r="C60" s="37"/>
      <c r="D60" s="37"/>
    </row>
    <row r="61">
      <c r="A61" s="37"/>
      <c r="B61" s="37"/>
      <c r="C61" s="37"/>
      <c r="D61" s="37"/>
    </row>
    <row r="62">
      <c r="A62" s="37"/>
      <c r="B62" s="37"/>
      <c r="C62" s="37"/>
      <c r="D62" s="37"/>
    </row>
    <row r="63">
      <c r="A63" s="37"/>
      <c r="B63" s="37"/>
      <c r="C63" s="37"/>
      <c r="D63" s="37"/>
    </row>
    <row r="64">
      <c r="A64" s="37"/>
      <c r="B64" s="37"/>
      <c r="C64" s="37"/>
      <c r="D64" s="37"/>
    </row>
    <row r="65">
      <c r="A65" s="37"/>
      <c r="B65" s="37"/>
      <c r="C65" s="37"/>
      <c r="D65" s="37"/>
    </row>
    <row r="66">
      <c r="A66" s="37"/>
      <c r="B66" s="37"/>
      <c r="C66" s="37"/>
      <c r="D66" s="37"/>
    </row>
    <row r="67">
      <c r="A67" s="37"/>
      <c r="B67" s="37"/>
      <c r="C67" s="37"/>
      <c r="D67" s="37"/>
    </row>
    <row r="68">
      <c r="A68" s="37"/>
      <c r="B68" s="37"/>
      <c r="C68" s="37"/>
      <c r="D68" s="37"/>
    </row>
    <row r="69">
      <c r="A69" s="37"/>
      <c r="B69" s="37"/>
      <c r="C69" s="37"/>
      <c r="D69" s="37"/>
    </row>
    <row r="70">
      <c r="A70" s="37"/>
      <c r="B70" s="37"/>
      <c r="C70" s="37"/>
      <c r="D70" s="37"/>
    </row>
    <row r="71">
      <c r="A71" s="37"/>
      <c r="B71" s="37"/>
      <c r="C71" s="37"/>
      <c r="D71" s="37"/>
    </row>
    <row r="72">
      <c r="A72" s="37"/>
      <c r="B72" s="37"/>
      <c r="C72" s="37"/>
      <c r="D72" s="37"/>
    </row>
    <row r="73">
      <c r="A73" s="37"/>
      <c r="B73" s="37"/>
      <c r="C73" s="37"/>
      <c r="D73" s="37"/>
    </row>
    <row r="74">
      <c r="A74" s="37"/>
      <c r="B74" s="37"/>
      <c r="C74" s="37"/>
      <c r="D74" s="37"/>
    </row>
    <row r="75">
      <c r="A75" s="37"/>
      <c r="B75" s="37"/>
      <c r="C75" s="37"/>
      <c r="D75" s="37"/>
    </row>
    <row r="76">
      <c r="A76" s="37"/>
      <c r="B76" s="37"/>
      <c r="C76" s="37"/>
      <c r="D76" s="37"/>
    </row>
    <row r="77">
      <c r="A77" s="37"/>
      <c r="B77" s="37"/>
      <c r="C77" s="37"/>
      <c r="D77" s="37"/>
    </row>
    <row r="78">
      <c r="A78" s="37"/>
      <c r="B78" s="37"/>
      <c r="C78" s="37"/>
      <c r="D78" s="37"/>
    </row>
    <row r="79">
      <c r="A79" s="37"/>
      <c r="B79" s="37"/>
      <c r="C79" s="37"/>
      <c r="D79" s="37"/>
    </row>
    <row r="80">
      <c r="A80" s="37"/>
      <c r="B80" s="37"/>
      <c r="C80" s="37"/>
      <c r="D80" s="37"/>
    </row>
    <row r="81">
      <c r="A81" s="37"/>
      <c r="B81" s="37"/>
      <c r="C81" s="37"/>
      <c r="D81" s="37"/>
    </row>
    <row r="82">
      <c r="A82" s="37"/>
      <c r="B82" s="37"/>
      <c r="C82" s="37"/>
      <c r="D82" s="37"/>
    </row>
    <row r="83">
      <c r="A83" s="37"/>
      <c r="B83" s="37"/>
      <c r="C83" s="37"/>
      <c r="D83" s="37"/>
    </row>
    <row r="84">
      <c r="A84" s="37"/>
      <c r="B84" s="37"/>
      <c r="C84" s="37"/>
      <c r="D84" s="37"/>
    </row>
    <row r="85">
      <c r="A85" s="37"/>
      <c r="B85" s="37"/>
      <c r="C85" s="37"/>
      <c r="D85" s="37"/>
    </row>
    <row r="86">
      <c r="A86" s="37"/>
      <c r="B86" s="37"/>
      <c r="C86" s="37"/>
      <c r="D86" s="37"/>
    </row>
    <row r="87">
      <c r="A87" s="37"/>
      <c r="B87" s="37"/>
      <c r="C87" s="37"/>
      <c r="D87" s="37"/>
    </row>
    <row r="88">
      <c r="A88" s="37"/>
      <c r="B88" s="37"/>
      <c r="C88" s="37"/>
      <c r="D88" s="37"/>
    </row>
    <row r="89">
      <c r="A89" s="37"/>
      <c r="B89" s="37"/>
      <c r="C89" s="37"/>
      <c r="D89" s="37"/>
    </row>
    <row r="90">
      <c r="A90" s="37"/>
      <c r="B90" s="37"/>
      <c r="C90" s="37"/>
      <c r="D90" s="37"/>
    </row>
    <row r="91">
      <c r="A91" s="37"/>
      <c r="B91" s="37"/>
      <c r="C91" s="37"/>
      <c r="D91" s="37"/>
    </row>
    <row r="92">
      <c r="A92" s="37"/>
      <c r="B92" s="37"/>
      <c r="C92" s="37"/>
      <c r="D92" s="37"/>
    </row>
    <row r="93">
      <c r="A93" s="37"/>
      <c r="B93" s="37"/>
      <c r="C93" s="37"/>
      <c r="D93" s="37"/>
    </row>
    <row r="94">
      <c r="A94" s="37"/>
      <c r="B94" s="37"/>
      <c r="C94" s="37"/>
      <c r="D94" s="37"/>
    </row>
    <row r="95">
      <c r="A95" s="37"/>
      <c r="B95" s="37"/>
      <c r="C95" s="37"/>
      <c r="D95" s="37"/>
    </row>
    <row r="96">
      <c r="A96" s="37"/>
      <c r="B96" s="37"/>
      <c r="C96" s="37"/>
      <c r="D96" s="37"/>
    </row>
    <row r="97">
      <c r="A97" s="37"/>
      <c r="B97" s="37"/>
      <c r="C97" s="37"/>
      <c r="D97" s="37"/>
    </row>
    <row r="98">
      <c r="A98" s="37"/>
      <c r="B98" s="37"/>
      <c r="C98" s="37"/>
      <c r="D98" s="37"/>
    </row>
    <row r="99">
      <c r="A99" s="37"/>
      <c r="B99" s="37"/>
      <c r="C99" s="37"/>
      <c r="D99" s="37"/>
    </row>
    <row r="100">
      <c r="A100" s="37"/>
      <c r="B100" s="37"/>
      <c r="C100" s="37"/>
      <c r="D100" s="37"/>
    </row>
    <row r="101">
      <c r="A101" s="37"/>
      <c r="B101" s="37"/>
      <c r="C101" s="37"/>
      <c r="D101" s="37"/>
    </row>
    <row r="102">
      <c r="A102" s="37"/>
      <c r="B102" s="37"/>
      <c r="C102" s="37"/>
      <c r="D102" s="37"/>
    </row>
    <row r="103">
      <c r="A103" s="37"/>
      <c r="B103" s="37"/>
      <c r="C103" s="37"/>
      <c r="D103" s="37"/>
    </row>
    <row r="104">
      <c r="A104" s="37"/>
      <c r="B104" s="37"/>
      <c r="C104" s="37"/>
      <c r="D104" s="37"/>
    </row>
    <row r="105">
      <c r="A105" s="37"/>
      <c r="B105" s="37"/>
      <c r="C105" s="37"/>
      <c r="D105" s="37"/>
    </row>
    <row r="106">
      <c r="A106" s="37"/>
      <c r="B106" s="37"/>
      <c r="C106" s="37"/>
      <c r="D106" s="37"/>
    </row>
    <row r="107">
      <c r="A107" s="37"/>
      <c r="B107" s="37"/>
      <c r="C107" s="37"/>
      <c r="D107" s="37"/>
    </row>
    <row r="108">
      <c r="A108" s="37"/>
      <c r="B108" s="37"/>
      <c r="C108" s="37"/>
      <c r="D108" s="37"/>
    </row>
    <row r="109">
      <c r="A109" s="37"/>
      <c r="B109" s="37"/>
      <c r="C109" s="37"/>
      <c r="D109" s="37"/>
    </row>
    <row r="110">
      <c r="A110" s="37"/>
      <c r="B110" s="37"/>
      <c r="C110" s="37"/>
      <c r="D110" s="37"/>
    </row>
    <row r="111">
      <c r="A111" s="37"/>
      <c r="B111" s="37"/>
      <c r="C111" s="37"/>
      <c r="D111" s="37"/>
    </row>
    <row r="112">
      <c r="A112" s="37"/>
      <c r="B112" s="37"/>
      <c r="C112" s="37"/>
      <c r="D112" s="37"/>
    </row>
    <row r="113">
      <c r="A113" s="37"/>
      <c r="B113" s="37"/>
      <c r="C113" s="37"/>
      <c r="D113" s="37"/>
    </row>
    <row r="114">
      <c r="A114" s="37"/>
      <c r="B114" s="37"/>
      <c r="C114" s="37"/>
      <c r="D114" s="37"/>
    </row>
    <row r="115">
      <c r="A115" s="37"/>
      <c r="B115" s="37"/>
      <c r="C115" s="37"/>
      <c r="D115" s="37"/>
    </row>
    <row r="116">
      <c r="A116" s="37"/>
      <c r="B116" s="37"/>
      <c r="C116" s="37"/>
      <c r="D116" s="37"/>
    </row>
    <row r="117">
      <c r="A117" s="37"/>
      <c r="B117" s="37"/>
      <c r="C117" s="37"/>
      <c r="D117" s="37"/>
    </row>
    <row r="118">
      <c r="A118" s="37"/>
      <c r="B118" s="37"/>
      <c r="C118" s="37"/>
      <c r="D118" s="37"/>
    </row>
    <row r="119">
      <c r="A119" s="37"/>
      <c r="B119" s="37"/>
      <c r="C119" s="37"/>
      <c r="D119" s="37"/>
    </row>
    <row r="120">
      <c r="A120" s="37"/>
      <c r="B120" s="37"/>
      <c r="C120" s="37"/>
      <c r="D120" s="37"/>
    </row>
    <row r="121">
      <c r="A121" s="37"/>
      <c r="B121" s="37"/>
      <c r="C121" s="37"/>
      <c r="D121" s="37"/>
    </row>
    <row r="122">
      <c r="A122" s="37"/>
      <c r="B122" s="37"/>
      <c r="C122" s="37"/>
      <c r="D122" s="37"/>
    </row>
    <row r="123">
      <c r="A123" s="37"/>
      <c r="B123" s="37"/>
      <c r="C123" s="37"/>
      <c r="D123" s="37"/>
    </row>
    <row r="124">
      <c r="A124" s="37"/>
      <c r="B124" s="37"/>
      <c r="C124" s="37"/>
      <c r="D124" s="37"/>
    </row>
    <row r="125">
      <c r="A125" s="37"/>
      <c r="B125" s="37"/>
      <c r="C125" s="37"/>
      <c r="D125" s="37"/>
    </row>
    <row r="126">
      <c r="A126" s="37"/>
      <c r="B126" s="37"/>
      <c r="C126" s="37"/>
      <c r="D126" s="37"/>
    </row>
    <row r="127">
      <c r="A127" s="37"/>
      <c r="B127" s="37"/>
      <c r="C127" s="37"/>
      <c r="D127" s="37"/>
    </row>
    <row r="128">
      <c r="A128" s="37"/>
      <c r="B128" s="37"/>
      <c r="C128" s="37"/>
      <c r="D128" s="37"/>
    </row>
    <row r="129">
      <c r="A129" s="37"/>
      <c r="B129" s="37"/>
      <c r="C129" s="37"/>
      <c r="D129" s="37"/>
    </row>
    <row r="130">
      <c r="A130" s="37"/>
      <c r="B130" s="37"/>
      <c r="C130" s="37"/>
      <c r="D130" s="37"/>
    </row>
    <row r="131">
      <c r="A131" s="37"/>
      <c r="B131" s="37"/>
      <c r="C131" s="37"/>
      <c r="D131" s="37"/>
    </row>
    <row r="132">
      <c r="A132" s="37"/>
      <c r="B132" s="37"/>
      <c r="C132" s="37"/>
      <c r="D132" s="37"/>
    </row>
    <row r="133">
      <c r="A133" s="37"/>
      <c r="B133" s="37"/>
      <c r="C133" s="37"/>
      <c r="D133" s="37"/>
    </row>
    <row r="134">
      <c r="A134" s="37"/>
      <c r="B134" s="37"/>
      <c r="C134" s="37"/>
      <c r="D134" s="37"/>
    </row>
    <row r="135">
      <c r="A135" s="37"/>
      <c r="B135" s="37"/>
      <c r="C135" s="37"/>
      <c r="D135" s="37"/>
    </row>
    <row r="136">
      <c r="A136" s="37"/>
      <c r="B136" s="37"/>
      <c r="C136" s="37"/>
      <c r="D136" s="37"/>
    </row>
    <row r="137">
      <c r="A137" s="37"/>
      <c r="B137" s="37"/>
      <c r="C137" s="37"/>
      <c r="D137" s="37"/>
    </row>
    <row r="138">
      <c r="A138" s="37"/>
      <c r="B138" s="37"/>
      <c r="C138" s="37"/>
      <c r="D138" s="37"/>
    </row>
    <row r="139">
      <c r="A139" s="37"/>
      <c r="B139" s="37"/>
      <c r="C139" s="37"/>
      <c r="D139" s="37"/>
    </row>
    <row r="140">
      <c r="A140" s="37"/>
      <c r="B140" s="37"/>
      <c r="C140" s="37"/>
      <c r="D140" s="37"/>
    </row>
    <row r="141">
      <c r="A141" s="37"/>
      <c r="B141" s="37"/>
      <c r="C141" s="37"/>
      <c r="D141" s="37"/>
    </row>
    <row r="142">
      <c r="A142" s="37"/>
      <c r="B142" s="37"/>
      <c r="C142" s="37"/>
      <c r="D142" s="37"/>
    </row>
    <row r="143">
      <c r="A143" s="37"/>
      <c r="B143" s="37"/>
      <c r="C143" s="37"/>
      <c r="D143" s="37"/>
    </row>
    <row r="144">
      <c r="A144" s="37"/>
      <c r="B144" s="37"/>
      <c r="C144" s="37"/>
      <c r="D144" s="37"/>
    </row>
    <row r="145">
      <c r="A145" s="37"/>
      <c r="B145" s="37"/>
      <c r="C145" s="37"/>
      <c r="D145" s="37"/>
    </row>
    <row r="146">
      <c r="A146" s="37"/>
      <c r="B146" s="37"/>
      <c r="C146" s="37"/>
      <c r="D146" s="37"/>
    </row>
    <row r="147">
      <c r="A147" s="37"/>
      <c r="B147" s="37"/>
      <c r="C147" s="37"/>
      <c r="D147" s="37"/>
    </row>
    <row r="148">
      <c r="A148" s="37"/>
      <c r="B148" s="37"/>
      <c r="C148" s="37"/>
      <c r="D148" s="37"/>
    </row>
    <row r="149">
      <c r="A149" s="37"/>
      <c r="B149" s="37"/>
      <c r="C149" s="37"/>
      <c r="D149" s="37"/>
    </row>
    <row r="150">
      <c r="A150" s="37"/>
      <c r="B150" s="37"/>
      <c r="C150" s="37"/>
      <c r="D150" s="37"/>
    </row>
    <row r="151">
      <c r="A151" s="37"/>
      <c r="B151" s="37"/>
      <c r="C151" s="37"/>
      <c r="D151" s="37"/>
    </row>
    <row r="152">
      <c r="A152" s="37"/>
      <c r="B152" s="37"/>
      <c r="C152" s="37"/>
      <c r="D152" s="37"/>
    </row>
    <row r="153">
      <c r="A153" s="37"/>
      <c r="B153" s="37"/>
      <c r="C153" s="37"/>
      <c r="D153" s="37"/>
    </row>
    <row r="154">
      <c r="A154" s="37"/>
      <c r="B154" s="37"/>
      <c r="C154" s="37"/>
      <c r="D154" s="37"/>
    </row>
    <row r="155">
      <c r="A155" s="37"/>
      <c r="B155" s="37"/>
      <c r="C155" s="37"/>
      <c r="D155" s="37"/>
    </row>
    <row r="156">
      <c r="A156" s="37"/>
      <c r="B156" s="37"/>
      <c r="C156" s="37"/>
      <c r="D156" s="37"/>
    </row>
    <row r="157">
      <c r="A157" s="37"/>
      <c r="B157" s="37"/>
      <c r="C157" s="37"/>
      <c r="D157" s="37"/>
    </row>
    <row r="158">
      <c r="A158" s="37"/>
      <c r="B158" s="37"/>
      <c r="C158" s="37"/>
      <c r="D158" s="37"/>
    </row>
    <row r="159">
      <c r="A159" s="37"/>
      <c r="B159" s="37"/>
      <c r="C159" s="37"/>
      <c r="D159" s="37"/>
    </row>
    <row r="160">
      <c r="A160" s="37"/>
      <c r="B160" s="37"/>
      <c r="C160" s="37"/>
      <c r="D160" s="37"/>
    </row>
    <row r="161">
      <c r="A161" s="37"/>
      <c r="B161" s="37"/>
      <c r="C161" s="37"/>
      <c r="D161" s="37"/>
    </row>
    <row r="162">
      <c r="A162" s="37"/>
      <c r="B162" s="37"/>
      <c r="C162" s="37"/>
      <c r="D162" s="37"/>
    </row>
    <row r="163">
      <c r="A163" s="37"/>
      <c r="B163" s="37"/>
      <c r="C163" s="37"/>
      <c r="D163" s="37"/>
    </row>
    <row r="164">
      <c r="A164" s="37"/>
      <c r="B164" s="37"/>
      <c r="C164" s="37"/>
      <c r="D164" s="37"/>
    </row>
    <row r="165">
      <c r="A165" s="37"/>
      <c r="B165" s="37"/>
      <c r="C165" s="37"/>
      <c r="D165" s="37"/>
    </row>
    <row r="166">
      <c r="A166" s="37"/>
      <c r="B166" s="37"/>
      <c r="C166" s="37"/>
      <c r="D166" s="37"/>
    </row>
    <row r="167">
      <c r="A167" s="37"/>
      <c r="B167" s="37"/>
      <c r="C167" s="37"/>
      <c r="D167" s="37"/>
    </row>
    <row r="168">
      <c r="A168" s="37"/>
      <c r="B168" s="37"/>
      <c r="C168" s="37"/>
      <c r="D168" s="37"/>
    </row>
    <row r="169">
      <c r="A169" s="37"/>
      <c r="B169" s="37"/>
      <c r="C169" s="37"/>
      <c r="D169" s="37"/>
    </row>
    <row r="170">
      <c r="A170" s="37"/>
      <c r="B170" s="37"/>
      <c r="C170" s="37"/>
      <c r="D170" s="37"/>
    </row>
    <row r="171">
      <c r="A171" s="37"/>
      <c r="B171" s="37"/>
      <c r="C171" s="37"/>
      <c r="D171" s="37"/>
    </row>
    <row r="172">
      <c r="A172" s="37"/>
      <c r="B172" s="37"/>
      <c r="C172" s="37"/>
      <c r="D172" s="37"/>
    </row>
    <row r="173">
      <c r="A173" s="37"/>
      <c r="B173" s="37"/>
      <c r="C173" s="37"/>
      <c r="D173" s="37"/>
    </row>
    <row r="174">
      <c r="A174" s="37"/>
      <c r="B174" s="37"/>
      <c r="C174" s="37"/>
      <c r="D174" s="37"/>
    </row>
    <row r="175">
      <c r="A175" s="37"/>
      <c r="B175" s="37"/>
      <c r="C175" s="37"/>
      <c r="D175" s="37"/>
    </row>
    <row r="176">
      <c r="A176" s="37"/>
      <c r="B176" s="37"/>
      <c r="C176" s="37"/>
      <c r="D176" s="37"/>
    </row>
    <row r="177">
      <c r="A177" s="37"/>
      <c r="B177" s="37"/>
      <c r="C177" s="37"/>
      <c r="D177" s="37"/>
    </row>
    <row r="178">
      <c r="A178" s="37"/>
      <c r="B178" s="37"/>
      <c r="C178" s="37"/>
      <c r="D178" s="37"/>
    </row>
    <row r="179">
      <c r="A179" s="37"/>
      <c r="B179" s="37"/>
      <c r="C179" s="37"/>
      <c r="D179" s="37"/>
    </row>
    <row r="180">
      <c r="A180" s="37"/>
      <c r="B180" s="37"/>
      <c r="C180" s="37"/>
      <c r="D180" s="37"/>
    </row>
    <row r="181">
      <c r="A181" s="37"/>
      <c r="B181" s="37"/>
      <c r="C181" s="37"/>
      <c r="D181" s="37"/>
    </row>
    <row r="182">
      <c r="A182" s="37"/>
      <c r="B182" s="37"/>
      <c r="C182" s="37"/>
      <c r="D182" s="37"/>
    </row>
    <row r="183">
      <c r="A183" s="37"/>
      <c r="B183" s="37"/>
      <c r="C183" s="37"/>
      <c r="D183" s="37"/>
    </row>
    <row r="184">
      <c r="A184" s="37"/>
      <c r="B184" s="37"/>
      <c r="C184" s="37"/>
      <c r="D184" s="37"/>
    </row>
    <row r="185">
      <c r="A185" s="37"/>
      <c r="B185" s="37"/>
      <c r="C185" s="37"/>
      <c r="D185" s="37"/>
    </row>
    <row r="186">
      <c r="A186" s="37"/>
      <c r="B186" s="37"/>
      <c r="C186" s="37"/>
      <c r="D186" s="37"/>
    </row>
    <row r="187">
      <c r="A187" s="37"/>
      <c r="B187" s="37"/>
      <c r="C187" s="37"/>
      <c r="D187" s="37"/>
    </row>
    <row r="188">
      <c r="A188" s="37"/>
      <c r="B188" s="37"/>
      <c r="C188" s="37"/>
      <c r="D188" s="37"/>
    </row>
    <row r="189">
      <c r="A189" s="37"/>
      <c r="B189" s="37"/>
      <c r="C189" s="37"/>
      <c r="D189" s="37"/>
    </row>
    <row r="190">
      <c r="A190" s="37"/>
      <c r="B190" s="37"/>
      <c r="C190" s="37"/>
      <c r="D190" s="37"/>
    </row>
    <row r="191">
      <c r="A191" s="37"/>
      <c r="B191" s="37"/>
      <c r="C191" s="37"/>
      <c r="D191" s="37"/>
    </row>
    <row r="192">
      <c r="A192" s="37"/>
      <c r="B192" s="37"/>
      <c r="C192" s="37"/>
      <c r="D192" s="37"/>
    </row>
    <row r="193">
      <c r="A193" s="37"/>
      <c r="B193" s="37"/>
      <c r="C193" s="37"/>
      <c r="D193" s="37"/>
    </row>
    <row r="194">
      <c r="A194" s="37"/>
      <c r="B194" s="37"/>
      <c r="C194" s="37"/>
      <c r="D194" s="37"/>
    </row>
    <row r="195">
      <c r="A195" s="37"/>
      <c r="B195" s="37"/>
      <c r="C195" s="37"/>
      <c r="D195" s="37"/>
    </row>
    <row r="196">
      <c r="A196" s="37"/>
      <c r="B196" s="37"/>
      <c r="C196" s="37"/>
      <c r="D196" s="37"/>
    </row>
    <row r="197">
      <c r="A197" s="37"/>
      <c r="B197" s="37"/>
      <c r="C197" s="37"/>
      <c r="D197" s="37"/>
    </row>
    <row r="198">
      <c r="A198" s="37"/>
      <c r="B198" s="37"/>
      <c r="C198" s="37"/>
      <c r="D198" s="37"/>
    </row>
    <row r="199">
      <c r="A199" s="37"/>
      <c r="B199" s="37"/>
      <c r="C199" s="37"/>
      <c r="D199" s="37"/>
    </row>
    <row r="200">
      <c r="A200" s="37"/>
      <c r="B200" s="37"/>
      <c r="C200" s="37"/>
      <c r="D200" s="37"/>
    </row>
    <row r="201">
      <c r="A201" s="37"/>
      <c r="B201" s="37"/>
      <c r="C201" s="37"/>
      <c r="D201" s="37"/>
    </row>
    <row r="202">
      <c r="A202" s="37"/>
      <c r="B202" s="37"/>
      <c r="C202" s="37"/>
      <c r="D202" s="37"/>
    </row>
    <row r="203">
      <c r="A203" s="37"/>
      <c r="B203" s="37"/>
      <c r="C203" s="37"/>
      <c r="D203" s="37"/>
    </row>
    <row r="204">
      <c r="A204" s="37"/>
      <c r="B204" s="37"/>
      <c r="C204" s="37"/>
      <c r="D204" s="37"/>
    </row>
    <row r="205">
      <c r="A205" s="37"/>
      <c r="B205" s="37"/>
      <c r="C205" s="37"/>
      <c r="D205" s="37"/>
    </row>
    <row r="206">
      <c r="A206" s="37"/>
      <c r="B206" s="37"/>
      <c r="C206" s="37"/>
      <c r="D206" s="37"/>
    </row>
    <row r="207">
      <c r="A207" s="37"/>
      <c r="B207" s="37"/>
      <c r="C207" s="37"/>
      <c r="D207" s="37"/>
    </row>
    <row r="208">
      <c r="A208" s="37"/>
      <c r="B208" s="37"/>
      <c r="C208" s="37"/>
      <c r="D208" s="37"/>
    </row>
    <row r="209">
      <c r="A209" s="37"/>
      <c r="B209" s="37"/>
      <c r="C209" s="37"/>
      <c r="D209" s="37"/>
    </row>
    <row r="210">
      <c r="A210" s="37"/>
      <c r="B210" s="37"/>
      <c r="C210" s="37"/>
      <c r="D210" s="37"/>
    </row>
    <row r="211">
      <c r="A211" s="37"/>
      <c r="B211" s="37"/>
      <c r="C211" s="37"/>
      <c r="D211" s="37"/>
    </row>
    <row r="212">
      <c r="A212" s="37"/>
      <c r="B212" s="37"/>
      <c r="C212" s="37"/>
      <c r="D212" s="37"/>
    </row>
    <row r="213">
      <c r="A213" s="37"/>
      <c r="B213" s="37"/>
      <c r="C213" s="37"/>
      <c r="D213" s="37"/>
    </row>
    <row r="214">
      <c r="A214" s="37"/>
      <c r="B214" s="37"/>
      <c r="C214" s="37"/>
      <c r="D214" s="37"/>
    </row>
    <row r="215">
      <c r="A215" s="37"/>
      <c r="B215" s="37"/>
      <c r="C215" s="37"/>
      <c r="D215" s="37"/>
    </row>
    <row r="216">
      <c r="A216" s="37"/>
      <c r="B216" s="37"/>
      <c r="C216" s="37"/>
      <c r="D216" s="37"/>
    </row>
    <row r="217">
      <c r="A217" s="37"/>
      <c r="B217" s="37"/>
      <c r="C217" s="37"/>
      <c r="D217" s="37"/>
    </row>
    <row r="218">
      <c r="A218" s="37"/>
      <c r="B218" s="37"/>
      <c r="C218" s="37"/>
      <c r="D218" s="37"/>
    </row>
    <row r="219">
      <c r="A219" s="37"/>
      <c r="B219" s="37"/>
      <c r="C219" s="37"/>
      <c r="D219" s="37"/>
    </row>
    <row r="220">
      <c r="A220" s="37"/>
      <c r="B220" s="37"/>
      <c r="C220" s="37"/>
      <c r="D220" s="37"/>
    </row>
    <row r="221">
      <c r="A221" s="37"/>
      <c r="B221" s="37"/>
      <c r="C221" s="37"/>
      <c r="D221" s="37"/>
    </row>
    <row r="222">
      <c r="A222" s="37"/>
      <c r="B222" s="37"/>
      <c r="C222" s="37"/>
      <c r="D222" s="37"/>
    </row>
    <row r="223">
      <c r="A223" s="37"/>
      <c r="B223" s="37"/>
      <c r="C223" s="37"/>
      <c r="D223" s="37"/>
    </row>
    <row r="224">
      <c r="A224" s="37"/>
      <c r="B224" s="37"/>
      <c r="C224" s="37"/>
      <c r="D224" s="37"/>
    </row>
    <row r="225">
      <c r="A225" s="37"/>
      <c r="B225" s="37"/>
      <c r="C225" s="37"/>
      <c r="D225" s="37"/>
    </row>
    <row r="226">
      <c r="A226" s="37"/>
      <c r="B226" s="37"/>
      <c r="C226" s="37"/>
      <c r="D226" s="37"/>
    </row>
    <row r="227">
      <c r="A227" s="37"/>
      <c r="B227" s="37"/>
      <c r="C227" s="37"/>
      <c r="D227" s="37"/>
    </row>
    <row r="228">
      <c r="A228" s="37"/>
      <c r="B228" s="37"/>
      <c r="C228" s="37"/>
      <c r="D228" s="37"/>
    </row>
    <row r="229">
      <c r="A229" s="37"/>
      <c r="B229" s="37"/>
      <c r="C229" s="37"/>
      <c r="D229" s="37"/>
    </row>
    <row r="230">
      <c r="A230" s="37"/>
      <c r="B230" s="37"/>
      <c r="C230" s="37"/>
      <c r="D230" s="37"/>
    </row>
    <row r="231">
      <c r="A231" s="37"/>
      <c r="B231" s="37"/>
      <c r="C231" s="37"/>
      <c r="D231" s="37"/>
    </row>
    <row r="232">
      <c r="A232" s="37"/>
      <c r="B232" s="37"/>
      <c r="C232" s="37"/>
      <c r="D232" s="37"/>
    </row>
    <row r="233">
      <c r="A233" s="37"/>
      <c r="B233" s="37"/>
      <c r="C233" s="37"/>
      <c r="D233" s="37"/>
    </row>
    <row r="234">
      <c r="A234" s="37"/>
      <c r="B234" s="37"/>
      <c r="C234" s="37"/>
      <c r="D234" s="37"/>
    </row>
    <row r="235">
      <c r="A235" s="37"/>
      <c r="B235" s="37"/>
      <c r="C235" s="37"/>
      <c r="D235" s="37"/>
    </row>
    <row r="236">
      <c r="A236" s="37"/>
      <c r="B236" s="37"/>
      <c r="C236" s="37"/>
      <c r="D236" s="37"/>
    </row>
    <row r="237">
      <c r="A237" s="37"/>
      <c r="B237" s="37"/>
      <c r="C237" s="37"/>
      <c r="D237" s="37"/>
    </row>
    <row r="238">
      <c r="A238" s="37"/>
      <c r="B238" s="37"/>
      <c r="C238" s="37"/>
      <c r="D238" s="37"/>
    </row>
    <row r="239">
      <c r="A239" s="37"/>
      <c r="B239" s="37"/>
      <c r="C239" s="37"/>
      <c r="D239" s="37"/>
    </row>
    <row r="240">
      <c r="A240" s="37"/>
      <c r="B240" s="37"/>
      <c r="C240" s="37"/>
      <c r="D240" s="37"/>
    </row>
    <row r="241">
      <c r="A241" s="37"/>
      <c r="B241" s="37"/>
      <c r="C241" s="37"/>
      <c r="D241" s="37"/>
    </row>
    <row r="242">
      <c r="A242" s="37"/>
      <c r="B242" s="37"/>
      <c r="C242" s="37"/>
      <c r="D242" s="37"/>
    </row>
    <row r="243">
      <c r="A243" s="37"/>
      <c r="B243" s="37"/>
      <c r="C243" s="37"/>
      <c r="D243" s="37"/>
    </row>
    <row r="244">
      <c r="A244" s="37"/>
      <c r="B244" s="37"/>
      <c r="C244" s="37"/>
      <c r="D244" s="37"/>
    </row>
    <row r="245">
      <c r="A245" s="37"/>
      <c r="B245" s="37"/>
      <c r="C245" s="37"/>
      <c r="D245" s="37"/>
    </row>
    <row r="246">
      <c r="A246" s="37"/>
      <c r="B246" s="37"/>
      <c r="C246" s="37"/>
      <c r="D246" s="37"/>
    </row>
    <row r="247">
      <c r="A247" s="37"/>
      <c r="B247" s="37"/>
      <c r="C247" s="37"/>
      <c r="D247" s="37"/>
    </row>
    <row r="248">
      <c r="A248" s="37"/>
      <c r="B248" s="37"/>
      <c r="C248" s="37"/>
      <c r="D248" s="37"/>
    </row>
    <row r="249">
      <c r="A249" s="37"/>
      <c r="B249" s="37"/>
      <c r="C249" s="37"/>
      <c r="D249" s="37"/>
    </row>
    <row r="250">
      <c r="A250" s="37"/>
      <c r="B250" s="37"/>
      <c r="C250" s="37"/>
      <c r="D250" s="37"/>
    </row>
    <row r="251">
      <c r="A251" s="37"/>
      <c r="B251" s="37"/>
      <c r="C251" s="37"/>
      <c r="D251" s="37"/>
    </row>
    <row r="252">
      <c r="A252" s="37"/>
      <c r="B252" s="37"/>
      <c r="C252" s="37"/>
      <c r="D252" s="37"/>
    </row>
    <row r="253">
      <c r="A253" s="37"/>
      <c r="B253" s="37"/>
      <c r="C253" s="37"/>
      <c r="D253" s="37"/>
    </row>
    <row r="254">
      <c r="A254" s="37"/>
      <c r="B254" s="37"/>
      <c r="C254" s="37"/>
      <c r="D254" s="37"/>
    </row>
    <row r="255">
      <c r="A255" s="37"/>
      <c r="B255" s="37"/>
      <c r="C255" s="37"/>
      <c r="D255" s="37"/>
    </row>
    <row r="256">
      <c r="A256" s="37"/>
      <c r="B256" s="37"/>
      <c r="C256" s="37"/>
      <c r="D256" s="37"/>
    </row>
    <row r="257">
      <c r="A257" s="37"/>
      <c r="B257" s="37"/>
      <c r="C257" s="37"/>
      <c r="D257" s="37"/>
    </row>
    <row r="258">
      <c r="A258" s="37"/>
      <c r="B258" s="37"/>
      <c r="C258" s="37"/>
      <c r="D258" s="37"/>
    </row>
    <row r="259">
      <c r="A259" s="37"/>
      <c r="B259" s="37"/>
      <c r="C259" s="37"/>
      <c r="D259" s="37"/>
    </row>
    <row r="260">
      <c r="A260" s="37"/>
      <c r="B260" s="37"/>
      <c r="C260" s="37"/>
      <c r="D260" s="37"/>
    </row>
    <row r="261">
      <c r="A261" s="37"/>
      <c r="B261" s="37"/>
      <c r="C261" s="37"/>
      <c r="D261" s="37"/>
    </row>
    <row r="262">
      <c r="A262" s="37"/>
      <c r="B262" s="37"/>
      <c r="C262" s="37"/>
      <c r="D262" s="37"/>
    </row>
    <row r="263">
      <c r="A263" s="37"/>
      <c r="B263" s="37"/>
      <c r="C263" s="37"/>
      <c r="D263" s="37"/>
    </row>
    <row r="264">
      <c r="A264" s="37"/>
      <c r="B264" s="37"/>
      <c r="C264" s="37"/>
      <c r="D264" s="37"/>
    </row>
    <row r="265">
      <c r="A265" s="37"/>
      <c r="B265" s="37"/>
      <c r="C265" s="37"/>
      <c r="D265" s="37"/>
    </row>
    <row r="266">
      <c r="A266" s="37"/>
      <c r="B266" s="37"/>
      <c r="C266" s="37"/>
      <c r="D266" s="37"/>
    </row>
    <row r="267">
      <c r="A267" s="37"/>
      <c r="B267" s="37"/>
      <c r="C267" s="37"/>
      <c r="D267" s="37"/>
    </row>
    <row r="268">
      <c r="A268" s="37"/>
      <c r="B268" s="37"/>
      <c r="C268" s="37"/>
      <c r="D268" s="37"/>
    </row>
    <row r="269">
      <c r="A269" s="37"/>
      <c r="B269" s="37"/>
      <c r="C269" s="37"/>
      <c r="D269" s="37"/>
    </row>
    <row r="270">
      <c r="A270" s="37"/>
      <c r="B270" s="37"/>
      <c r="C270" s="37"/>
      <c r="D270" s="37"/>
    </row>
    <row r="271">
      <c r="A271" s="37"/>
      <c r="B271" s="37"/>
      <c r="C271" s="37"/>
      <c r="D271" s="37"/>
    </row>
    <row r="272">
      <c r="A272" s="37"/>
      <c r="B272" s="37"/>
      <c r="C272" s="37"/>
      <c r="D272" s="37"/>
    </row>
    <row r="273">
      <c r="A273" s="37"/>
      <c r="B273" s="37"/>
      <c r="C273" s="37"/>
      <c r="D273" s="37"/>
    </row>
    <row r="274">
      <c r="A274" s="37"/>
      <c r="B274" s="37"/>
      <c r="C274" s="37"/>
      <c r="D274" s="37"/>
    </row>
    <row r="275">
      <c r="A275" s="37"/>
      <c r="B275" s="37"/>
      <c r="C275" s="37"/>
      <c r="D275" s="37"/>
    </row>
    <row r="276">
      <c r="A276" s="37"/>
      <c r="B276" s="37"/>
      <c r="C276" s="37"/>
      <c r="D276" s="37"/>
    </row>
    <row r="277">
      <c r="A277" s="37"/>
      <c r="B277" s="37"/>
      <c r="C277" s="37"/>
      <c r="D277" s="37"/>
    </row>
    <row r="278">
      <c r="A278" s="37"/>
      <c r="B278" s="37"/>
      <c r="C278" s="37"/>
      <c r="D278" s="37"/>
    </row>
    <row r="279">
      <c r="A279" s="37"/>
      <c r="B279" s="37"/>
      <c r="C279" s="37"/>
      <c r="D279" s="37"/>
    </row>
    <row r="280">
      <c r="A280" s="37"/>
      <c r="B280" s="37"/>
      <c r="C280" s="37"/>
      <c r="D280" s="37"/>
    </row>
    <row r="281">
      <c r="A281" s="37"/>
      <c r="B281" s="37"/>
      <c r="C281" s="37"/>
      <c r="D281" s="37"/>
    </row>
    <row r="282">
      <c r="A282" s="37"/>
      <c r="B282" s="37"/>
      <c r="C282" s="37"/>
      <c r="D282" s="37"/>
    </row>
    <row r="283">
      <c r="A283" s="37"/>
      <c r="B283" s="37"/>
      <c r="C283" s="37"/>
      <c r="D283" s="37"/>
    </row>
    <row r="284">
      <c r="A284" s="37"/>
      <c r="B284" s="37"/>
      <c r="C284" s="37"/>
      <c r="D284" s="37"/>
    </row>
    <row r="285">
      <c r="A285" s="37"/>
      <c r="B285" s="37"/>
      <c r="C285" s="37"/>
      <c r="D285" s="37"/>
    </row>
    <row r="286">
      <c r="A286" s="37"/>
      <c r="B286" s="37"/>
      <c r="C286" s="37"/>
      <c r="D286" s="37"/>
    </row>
    <row r="287">
      <c r="A287" s="37"/>
      <c r="B287" s="37"/>
      <c r="C287" s="37"/>
      <c r="D287" s="37"/>
    </row>
    <row r="288">
      <c r="A288" s="37"/>
      <c r="B288" s="37"/>
      <c r="C288" s="37"/>
      <c r="D288" s="37"/>
    </row>
    <row r="289">
      <c r="A289" s="37"/>
      <c r="B289" s="37"/>
      <c r="C289" s="37"/>
      <c r="D289" s="37"/>
    </row>
    <row r="290">
      <c r="A290" s="37"/>
      <c r="B290" s="37"/>
      <c r="C290" s="37"/>
      <c r="D290" s="37"/>
    </row>
    <row r="291">
      <c r="A291" s="37"/>
      <c r="B291" s="37"/>
      <c r="C291" s="37"/>
      <c r="D291" s="37"/>
    </row>
    <row r="292">
      <c r="A292" s="37"/>
      <c r="B292" s="37"/>
      <c r="C292" s="37"/>
      <c r="D292" s="37"/>
    </row>
    <row r="293">
      <c r="A293" s="37"/>
      <c r="B293" s="37"/>
      <c r="C293" s="37"/>
      <c r="D293" s="37"/>
    </row>
    <row r="294">
      <c r="A294" s="37"/>
      <c r="B294" s="37"/>
      <c r="C294" s="37"/>
      <c r="D294" s="37"/>
    </row>
    <row r="295">
      <c r="A295" s="37"/>
      <c r="B295" s="37"/>
      <c r="C295" s="37"/>
      <c r="D295" s="37"/>
    </row>
    <row r="296">
      <c r="A296" s="37"/>
      <c r="B296" s="37"/>
      <c r="C296" s="37"/>
      <c r="D296" s="37"/>
    </row>
    <row r="297">
      <c r="A297" s="37"/>
      <c r="B297" s="37"/>
      <c r="C297" s="37"/>
      <c r="D297" s="37"/>
    </row>
    <row r="298">
      <c r="A298" s="37"/>
      <c r="B298" s="37"/>
      <c r="C298" s="37"/>
      <c r="D298" s="37"/>
    </row>
    <row r="299">
      <c r="A299" s="37"/>
      <c r="B299" s="37"/>
      <c r="C299" s="37"/>
      <c r="D299" s="37"/>
    </row>
    <row r="300">
      <c r="A300" s="37"/>
      <c r="B300" s="37"/>
      <c r="C300" s="37"/>
      <c r="D300" s="37"/>
    </row>
    <row r="301">
      <c r="A301" s="37"/>
      <c r="B301" s="37"/>
      <c r="C301" s="37"/>
      <c r="D301" s="37"/>
    </row>
    <row r="302">
      <c r="A302" s="37"/>
      <c r="B302" s="37"/>
      <c r="C302" s="37"/>
      <c r="D302" s="37"/>
    </row>
    <row r="303">
      <c r="A303" s="37"/>
      <c r="B303" s="37"/>
      <c r="C303" s="37"/>
      <c r="D303" s="37"/>
    </row>
    <row r="304">
      <c r="A304" s="37"/>
      <c r="B304" s="37"/>
      <c r="C304" s="37"/>
      <c r="D304" s="37"/>
    </row>
    <row r="305">
      <c r="A305" s="37"/>
      <c r="B305" s="37"/>
      <c r="C305" s="37"/>
      <c r="D305" s="37"/>
    </row>
    <row r="306">
      <c r="A306" s="37"/>
      <c r="B306" s="37"/>
      <c r="C306" s="37"/>
      <c r="D306" s="37"/>
    </row>
    <row r="307">
      <c r="A307" s="37"/>
      <c r="B307" s="37"/>
      <c r="C307" s="37"/>
      <c r="D307" s="37"/>
    </row>
    <row r="308">
      <c r="A308" s="37"/>
      <c r="B308" s="37"/>
      <c r="C308" s="37"/>
      <c r="D308" s="37"/>
    </row>
    <row r="309">
      <c r="A309" s="37"/>
      <c r="B309" s="37"/>
      <c r="C309" s="37"/>
      <c r="D309" s="37"/>
    </row>
    <row r="310">
      <c r="A310" s="37"/>
      <c r="B310" s="37"/>
      <c r="C310" s="37"/>
      <c r="D310" s="37"/>
    </row>
    <row r="311">
      <c r="A311" s="37"/>
      <c r="B311" s="37"/>
      <c r="C311" s="37"/>
      <c r="D311" s="37"/>
    </row>
    <row r="312">
      <c r="A312" s="37"/>
      <c r="B312" s="37"/>
      <c r="C312" s="37"/>
      <c r="D312" s="37"/>
    </row>
    <row r="313">
      <c r="A313" s="37"/>
      <c r="B313" s="37"/>
      <c r="C313" s="37"/>
      <c r="D313" s="37"/>
    </row>
    <row r="314">
      <c r="A314" s="37"/>
      <c r="B314" s="37"/>
      <c r="C314" s="37"/>
      <c r="D314" s="37"/>
    </row>
    <row r="315">
      <c r="A315" s="37"/>
      <c r="B315" s="37"/>
      <c r="C315" s="37"/>
      <c r="D315" s="37"/>
    </row>
    <row r="316">
      <c r="A316" s="37"/>
      <c r="B316" s="37"/>
      <c r="C316" s="37"/>
      <c r="D316" s="37"/>
    </row>
    <row r="317">
      <c r="A317" s="37"/>
      <c r="B317" s="37"/>
      <c r="C317" s="37"/>
      <c r="D317" s="37"/>
    </row>
    <row r="318">
      <c r="A318" s="37"/>
      <c r="B318" s="37"/>
      <c r="C318" s="37"/>
      <c r="D318" s="37"/>
    </row>
    <row r="319">
      <c r="A319" s="37"/>
      <c r="B319" s="37"/>
      <c r="C319" s="37"/>
      <c r="D319" s="37"/>
    </row>
    <row r="320">
      <c r="A320" s="37"/>
      <c r="B320" s="37"/>
      <c r="C320" s="37"/>
      <c r="D320" s="37"/>
    </row>
    <row r="321">
      <c r="A321" s="37"/>
      <c r="B321" s="37"/>
      <c r="C321" s="37"/>
      <c r="D321" s="37"/>
    </row>
    <row r="322">
      <c r="A322" s="37"/>
      <c r="B322" s="37"/>
      <c r="C322" s="37"/>
      <c r="D322" s="37"/>
    </row>
    <row r="323">
      <c r="A323" s="37"/>
      <c r="B323" s="37"/>
      <c r="C323" s="37"/>
      <c r="D323" s="37"/>
    </row>
    <row r="324">
      <c r="A324" s="37"/>
      <c r="B324" s="37"/>
      <c r="C324" s="37"/>
      <c r="D324" s="37"/>
    </row>
    <row r="325">
      <c r="A325" s="37"/>
      <c r="B325" s="37"/>
      <c r="C325" s="37"/>
      <c r="D325" s="37"/>
    </row>
    <row r="326">
      <c r="A326" s="37"/>
      <c r="B326" s="37"/>
      <c r="C326" s="37"/>
      <c r="D326" s="37"/>
    </row>
    <row r="327">
      <c r="A327" s="37"/>
      <c r="B327" s="37"/>
      <c r="C327" s="37"/>
      <c r="D327" s="37"/>
    </row>
    <row r="328">
      <c r="A328" s="37"/>
      <c r="B328" s="37"/>
      <c r="C328" s="37"/>
      <c r="D328" s="37"/>
    </row>
    <row r="329">
      <c r="A329" s="37"/>
      <c r="B329" s="37"/>
      <c r="C329" s="37"/>
      <c r="D329" s="37"/>
    </row>
    <row r="330">
      <c r="A330" s="37"/>
      <c r="B330" s="37"/>
      <c r="C330" s="37"/>
      <c r="D330" s="37"/>
    </row>
    <row r="331">
      <c r="A331" s="37"/>
      <c r="B331" s="37"/>
      <c r="C331" s="37"/>
      <c r="D331" s="37"/>
    </row>
    <row r="332">
      <c r="A332" s="37"/>
      <c r="B332" s="37"/>
      <c r="C332" s="37"/>
      <c r="D332" s="37"/>
    </row>
    <row r="333">
      <c r="A333" s="37"/>
      <c r="B333" s="37"/>
      <c r="C333" s="37"/>
      <c r="D333" s="37"/>
    </row>
    <row r="334">
      <c r="A334" s="37"/>
      <c r="B334" s="37"/>
      <c r="C334" s="37"/>
      <c r="D334" s="37"/>
    </row>
    <row r="335">
      <c r="A335" s="37"/>
      <c r="B335" s="37"/>
      <c r="C335" s="37"/>
      <c r="D335" s="37"/>
    </row>
    <row r="336">
      <c r="A336" s="37"/>
      <c r="B336" s="37"/>
      <c r="C336" s="37"/>
      <c r="D336" s="37"/>
    </row>
    <row r="337">
      <c r="A337" s="37"/>
      <c r="B337" s="37"/>
      <c r="C337" s="37"/>
      <c r="D337" s="37"/>
    </row>
    <row r="338">
      <c r="A338" s="37"/>
      <c r="B338" s="37"/>
      <c r="C338" s="37"/>
      <c r="D338" s="37"/>
    </row>
    <row r="339">
      <c r="A339" s="37"/>
      <c r="B339" s="37"/>
      <c r="C339" s="37"/>
      <c r="D339" s="37"/>
    </row>
    <row r="340">
      <c r="A340" s="37"/>
      <c r="B340" s="37"/>
      <c r="C340" s="37"/>
      <c r="D340" s="37"/>
    </row>
    <row r="341">
      <c r="A341" s="37"/>
      <c r="B341" s="37"/>
      <c r="C341" s="37"/>
      <c r="D341" s="37"/>
    </row>
    <row r="342">
      <c r="A342" s="37"/>
      <c r="B342" s="37"/>
      <c r="C342" s="37"/>
      <c r="D342" s="37"/>
    </row>
    <row r="343">
      <c r="A343" s="37"/>
      <c r="B343" s="37"/>
      <c r="C343" s="37"/>
      <c r="D343" s="37"/>
    </row>
    <row r="344">
      <c r="A344" s="37"/>
      <c r="B344" s="37"/>
      <c r="C344" s="37"/>
      <c r="D344" s="37"/>
    </row>
    <row r="345">
      <c r="A345" s="37"/>
      <c r="B345" s="37"/>
      <c r="C345" s="37"/>
      <c r="D345" s="37"/>
    </row>
    <row r="346">
      <c r="A346" s="37"/>
      <c r="B346" s="37"/>
      <c r="C346" s="37"/>
      <c r="D346" s="37"/>
    </row>
    <row r="347">
      <c r="A347" s="37"/>
      <c r="B347" s="37"/>
      <c r="C347" s="37"/>
      <c r="D347" s="37"/>
    </row>
    <row r="348">
      <c r="A348" s="37"/>
      <c r="B348" s="37"/>
      <c r="C348" s="37"/>
      <c r="D348" s="37"/>
    </row>
    <row r="349">
      <c r="A349" s="37"/>
      <c r="B349" s="37"/>
      <c r="C349" s="37"/>
      <c r="D349" s="37"/>
    </row>
    <row r="350">
      <c r="A350" s="37"/>
      <c r="B350" s="37"/>
      <c r="C350" s="37"/>
      <c r="D350" s="37"/>
    </row>
    <row r="351">
      <c r="A351" s="37"/>
      <c r="B351" s="37"/>
      <c r="C351" s="37"/>
      <c r="D351" s="37"/>
    </row>
    <row r="352">
      <c r="A352" s="37"/>
      <c r="B352" s="37"/>
      <c r="C352" s="37"/>
      <c r="D352" s="37"/>
    </row>
    <row r="353">
      <c r="A353" s="37"/>
      <c r="B353" s="37"/>
      <c r="C353" s="37"/>
      <c r="D353" s="37"/>
    </row>
    <row r="354">
      <c r="A354" s="37"/>
      <c r="B354" s="37"/>
      <c r="C354" s="37"/>
      <c r="D354" s="37"/>
    </row>
    <row r="355">
      <c r="A355" s="37"/>
      <c r="B355" s="37"/>
      <c r="C355" s="37"/>
      <c r="D355" s="37"/>
    </row>
    <row r="356">
      <c r="A356" s="37"/>
      <c r="B356" s="37"/>
      <c r="C356" s="37"/>
      <c r="D356" s="37"/>
    </row>
    <row r="357">
      <c r="A357" s="37"/>
      <c r="B357" s="37"/>
      <c r="C357" s="37"/>
      <c r="D357" s="37"/>
    </row>
    <row r="358">
      <c r="A358" s="37"/>
      <c r="B358" s="37"/>
      <c r="C358" s="37"/>
      <c r="D358" s="37"/>
    </row>
    <row r="359">
      <c r="A359" s="37"/>
      <c r="B359" s="37"/>
      <c r="C359" s="37"/>
      <c r="D359" s="37"/>
    </row>
    <row r="360">
      <c r="A360" s="37"/>
      <c r="B360" s="37"/>
      <c r="C360" s="37"/>
      <c r="D360" s="37"/>
    </row>
    <row r="361">
      <c r="A361" s="37"/>
      <c r="B361" s="37"/>
      <c r="C361" s="37"/>
      <c r="D361" s="37"/>
    </row>
    <row r="362">
      <c r="A362" s="37"/>
      <c r="B362" s="37"/>
      <c r="C362" s="37"/>
      <c r="D362" s="37"/>
    </row>
    <row r="363">
      <c r="A363" s="37"/>
      <c r="B363" s="37"/>
      <c r="C363" s="37"/>
      <c r="D363" s="37"/>
    </row>
    <row r="364">
      <c r="A364" s="37"/>
      <c r="B364" s="37"/>
      <c r="C364" s="37"/>
      <c r="D364" s="37"/>
    </row>
    <row r="365">
      <c r="A365" s="37"/>
      <c r="B365" s="37"/>
      <c r="C365" s="37"/>
      <c r="D365" s="37"/>
    </row>
    <row r="366">
      <c r="A366" s="37"/>
      <c r="B366" s="37"/>
      <c r="C366" s="37"/>
      <c r="D366" s="37"/>
    </row>
    <row r="367">
      <c r="A367" s="37"/>
      <c r="B367" s="37"/>
      <c r="C367" s="37"/>
      <c r="D367" s="37"/>
    </row>
    <row r="368">
      <c r="A368" s="37"/>
      <c r="B368" s="37"/>
      <c r="C368" s="37"/>
      <c r="D368" s="37"/>
    </row>
    <row r="369">
      <c r="A369" s="37"/>
      <c r="B369" s="37"/>
      <c r="C369" s="37"/>
      <c r="D369" s="37"/>
    </row>
    <row r="370">
      <c r="A370" s="37"/>
      <c r="B370" s="37"/>
      <c r="C370" s="37"/>
      <c r="D370" s="37"/>
    </row>
    <row r="371">
      <c r="A371" s="37"/>
      <c r="B371" s="37"/>
      <c r="C371" s="37"/>
      <c r="D371" s="37"/>
    </row>
    <row r="372">
      <c r="A372" s="37"/>
      <c r="B372" s="37"/>
      <c r="C372" s="37"/>
      <c r="D372" s="37"/>
    </row>
    <row r="373">
      <c r="A373" s="37"/>
      <c r="B373" s="37"/>
      <c r="C373" s="37"/>
      <c r="D373" s="37"/>
    </row>
    <row r="374">
      <c r="A374" s="37"/>
      <c r="B374" s="37"/>
      <c r="C374" s="37"/>
      <c r="D374" s="37"/>
    </row>
    <row r="375">
      <c r="A375" s="37"/>
      <c r="B375" s="37"/>
      <c r="C375" s="37"/>
      <c r="D375" s="37"/>
    </row>
    <row r="376">
      <c r="A376" s="37"/>
      <c r="B376" s="37"/>
      <c r="C376" s="37"/>
      <c r="D376" s="37"/>
    </row>
    <row r="377">
      <c r="A377" s="37"/>
      <c r="B377" s="37"/>
      <c r="C377" s="37"/>
      <c r="D377" s="37"/>
    </row>
    <row r="378">
      <c r="A378" s="37"/>
      <c r="B378" s="37"/>
      <c r="C378" s="37"/>
      <c r="D378" s="37"/>
    </row>
    <row r="379">
      <c r="A379" s="37"/>
      <c r="B379" s="37"/>
      <c r="C379" s="37"/>
      <c r="D379" s="37"/>
    </row>
    <row r="380">
      <c r="A380" s="37"/>
      <c r="B380" s="37"/>
      <c r="C380" s="37"/>
      <c r="D380" s="37"/>
    </row>
    <row r="381">
      <c r="A381" s="37"/>
      <c r="B381" s="37"/>
      <c r="C381" s="37"/>
      <c r="D381" s="37"/>
    </row>
    <row r="382">
      <c r="A382" s="37"/>
      <c r="B382" s="37"/>
      <c r="C382" s="37"/>
      <c r="D382" s="37"/>
    </row>
    <row r="383">
      <c r="A383" s="37"/>
      <c r="B383" s="37"/>
      <c r="C383" s="37"/>
      <c r="D383" s="37"/>
    </row>
    <row r="384">
      <c r="A384" s="37"/>
      <c r="B384" s="37"/>
      <c r="C384" s="37"/>
      <c r="D384" s="37"/>
    </row>
    <row r="385">
      <c r="A385" s="37"/>
      <c r="B385" s="37"/>
      <c r="C385" s="37"/>
      <c r="D385" s="37"/>
    </row>
    <row r="386">
      <c r="A386" s="37"/>
      <c r="B386" s="37"/>
      <c r="C386" s="37"/>
      <c r="D386" s="37"/>
    </row>
    <row r="387">
      <c r="A387" s="37"/>
      <c r="B387" s="37"/>
      <c r="C387" s="37"/>
      <c r="D387" s="37"/>
    </row>
    <row r="388">
      <c r="A388" s="37"/>
      <c r="B388" s="37"/>
      <c r="C388" s="37"/>
      <c r="D388" s="37"/>
    </row>
    <row r="389">
      <c r="A389" s="37"/>
      <c r="B389" s="37"/>
      <c r="C389" s="37"/>
      <c r="D389" s="37"/>
    </row>
    <row r="390">
      <c r="A390" s="37"/>
      <c r="B390" s="37"/>
      <c r="C390" s="37"/>
      <c r="D390" s="37"/>
    </row>
    <row r="391">
      <c r="A391" s="37"/>
      <c r="B391" s="37"/>
      <c r="C391" s="37"/>
      <c r="D391" s="37"/>
    </row>
    <row r="392">
      <c r="A392" s="37"/>
      <c r="B392" s="37"/>
      <c r="C392" s="37"/>
      <c r="D392" s="37"/>
    </row>
    <row r="393">
      <c r="A393" s="37"/>
      <c r="B393" s="37"/>
      <c r="C393" s="37"/>
      <c r="D393" s="37"/>
    </row>
    <row r="394">
      <c r="A394" s="37"/>
      <c r="B394" s="37"/>
      <c r="C394" s="37"/>
      <c r="D394" s="37"/>
    </row>
    <row r="395">
      <c r="A395" s="37"/>
      <c r="B395" s="37"/>
      <c r="C395" s="37"/>
      <c r="D395" s="37"/>
    </row>
    <row r="396">
      <c r="A396" s="37"/>
      <c r="B396" s="37"/>
      <c r="C396" s="37"/>
      <c r="D396" s="37"/>
    </row>
    <row r="397">
      <c r="A397" s="37"/>
      <c r="B397" s="37"/>
      <c r="C397" s="37"/>
      <c r="D397" s="37"/>
    </row>
    <row r="398">
      <c r="A398" s="37"/>
      <c r="B398" s="37"/>
      <c r="C398" s="37"/>
      <c r="D398" s="37"/>
    </row>
    <row r="399">
      <c r="A399" s="37"/>
      <c r="B399" s="37"/>
      <c r="C399" s="37"/>
      <c r="D399" s="37"/>
    </row>
    <row r="400">
      <c r="A400" s="37"/>
      <c r="B400" s="37"/>
      <c r="C400" s="37"/>
      <c r="D400" s="37"/>
    </row>
    <row r="401">
      <c r="A401" s="37"/>
      <c r="B401" s="37"/>
      <c r="C401" s="37"/>
      <c r="D401" s="37"/>
    </row>
    <row r="402">
      <c r="A402" s="37"/>
      <c r="B402" s="37"/>
      <c r="C402" s="37"/>
      <c r="D402" s="37"/>
    </row>
    <row r="403">
      <c r="A403" s="37"/>
      <c r="B403" s="37"/>
      <c r="C403" s="37"/>
      <c r="D403" s="37"/>
    </row>
    <row r="404">
      <c r="A404" s="37"/>
      <c r="B404" s="37"/>
      <c r="C404" s="37"/>
      <c r="D404" s="37"/>
    </row>
    <row r="405">
      <c r="A405" s="37"/>
      <c r="B405" s="37"/>
      <c r="C405" s="37"/>
      <c r="D405" s="37"/>
    </row>
    <row r="406">
      <c r="A406" s="37"/>
      <c r="B406" s="37"/>
      <c r="C406" s="37"/>
      <c r="D406" s="37"/>
    </row>
    <row r="407">
      <c r="A407" s="37"/>
      <c r="B407" s="37"/>
      <c r="C407" s="37"/>
      <c r="D407" s="37"/>
    </row>
    <row r="408">
      <c r="A408" s="37"/>
      <c r="B408" s="37"/>
      <c r="C408" s="37"/>
      <c r="D408" s="37"/>
    </row>
    <row r="409">
      <c r="A409" s="37"/>
      <c r="B409" s="37"/>
      <c r="C409" s="37"/>
      <c r="D409" s="37"/>
    </row>
    <row r="410">
      <c r="A410" s="37"/>
      <c r="B410" s="37"/>
      <c r="C410" s="37"/>
      <c r="D410" s="37"/>
    </row>
    <row r="411">
      <c r="A411" s="37"/>
      <c r="B411" s="37"/>
      <c r="C411" s="37"/>
      <c r="D411" s="37"/>
    </row>
    <row r="412">
      <c r="A412" s="37"/>
      <c r="B412" s="37"/>
      <c r="C412" s="37"/>
      <c r="D412" s="37"/>
    </row>
    <row r="413">
      <c r="A413" s="37"/>
      <c r="B413" s="37"/>
      <c r="C413" s="37"/>
      <c r="D413" s="37"/>
    </row>
    <row r="414">
      <c r="A414" s="37"/>
      <c r="B414" s="37"/>
      <c r="C414" s="37"/>
      <c r="D414" s="37"/>
    </row>
    <row r="415">
      <c r="A415" s="37"/>
      <c r="B415" s="37"/>
      <c r="C415" s="37"/>
      <c r="D415" s="37"/>
    </row>
    <row r="416">
      <c r="A416" s="37"/>
      <c r="B416" s="37"/>
      <c r="C416" s="37"/>
      <c r="D416" s="37"/>
    </row>
    <row r="417">
      <c r="A417" s="37"/>
      <c r="B417" s="37"/>
      <c r="C417" s="37"/>
      <c r="D417" s="37"/>
    </row>
    <row r="418">
      <c r="A418" s="37"/>
      <c r="B418" s="37"/>
      <c r="C418" s="37"/>
      <c r="D418" s="37"/>
    </row>
    <row r="419">
      <c r="A419" s="37"/>
      <c r="B419" s="37"/>
      <c r="C419" s="37"/>
      <c r="D419" s="37"/>
    </row>
    <row r="420">
      <c r="A420" s="37"/>
      <c r="B420" s="37"/>
      <c r="C420" s="37"/>
      <c r="D420" s="37"/>
    </row>
    <row r="421">
      <c r="A421" s="37"/>
      <c r="B421" s="37"/>
      <c r="C421" s="37"/>
      <c r="D421" s="37"/>
    </row>
    <row r="422">
      <c r="A422" s="37"/>
      <c r="B422" s="37"/>
      <c r="C422" s="37"/>
      <c r="D422" s="37"/>
    </row>
    <row r="423">
      <c r="A423" s="37"/>
      <c r="B423" s="37"/>
      <c r="C423" s="37"/>
      <c r="D423" s="37"/>
    </row>
    <row r="424">
      <c r="A424" s="37"/>
      <c r="B424" s="37"/>
      <c r="C424" s="37"/>
      <c r="D424" s="37"/>
    </row>
    <row r="425">
      <c r="A425" s="37"/>
      <c r="B425" s="37"/>
      <c r="C425" s="37"/>
      <c r="D425" s="37"/>
    </row>
    <row r="426">
      <c r="A426" s="37"/>
      <c r="B426" s="37"/>
      <c r="C426" s="37"/>
      <c r="D426" s="37"/>
    </row>
    <row r="427">
      <c r="A427" s="37"/>
      <c r="B427" s="37"/>
      <c r="C427" s="37"/>
      <c r="D427" s="37"/>
    </row>
    <row r="428">
      <c r="A428" s="37"/>
      <c r="B428" s="37"/>
      <c r="C428" s="37"/>
      <c r="D428" s="37"/>
    </row>
    <row r="429">
      <c r="A429" s="37"/>
      <c r="B429" s="37"/>
      <c r="C429" s="37"/>
      <c r="D429" s="37"/>
    </row>
    <row r="430">
      <c r="A430" s="37"/>
      <c r="B430" s="37"/>
      <c r="C430" s="37"/>
      <c r="D430" s="37"/>
    </row>
    <row r="431">
      <c r="A431" s="37"/>
      <c r="B431" s="37"/>
      <c r="C431" s="37"/>
      <c r="D431" s="37"/>
    </row>
    <row r="432">
      <c r="A432" s="37"/>
      <c r="B432" s="37"/>
      <c r="C432" s="37"/>
      <c r="D432" s="37"/>
    </row>
    <row r="433">
      <c r="A433" s="37"/>
      <c r="B433" s="37"/>
      <c r="C433" s="37"/>
      <c r="D433" s="37"/>
    </row>
    <row r="434">
      <c r="A434" s="37"/>
      <c r="B434" s="37"/>
      <c r="C434" s="37"/>
      <c r="D434" s="37"/>
    </row>
    <row r="435">
      <c r="A435" s="37"/>
      <c r="B435" s="37"/>
      <c r="C435" s="37"/>
      <c r="D435" s="37"/>
    </row>
    <row r="436">
      <c r="A436" s="37"/>
      <c r="B436" s="37"/>
      <c r="C436" s="37"/>
      <c r="D436" s="37"/>
    </row>
    <row r="437">
      <c r="A437" s="37"/>
      <c r="B437" s="37"/>
      <c r="C437" s="37"/>
      <c r="D437" s="37"/>
    </row>
    <row r="438">
      <c r="A438" s="37"/>
      <c r="B438" s="37"/>
      <c r="C438" s="37"/>
      <c r="D438" s="37"/>
    </row>
    <row r="439">
      <c r="A439" s="37"/>
      <c r="B439" s="37"/>
      <c r="C439" s="37"/>
      <c r="D439" s="37"/>
    </row>
    <row r="440">
      <c r="A440" s="37"/>
      <c r="B440" s="37"/>
      <c r="C440" s="37"/>
      <c r="D440" s="37"/>
    </row>
    <row r="441">
      <c r="A441" s="37"/>
      <c r="B441" s="37"/>
      <c r="C441" s="37"/>
      <c r="D441" s="37"/>
    </row>
    <row r="442">
      <c r="A442" s="37"/>
      <c r="B442" s="37"/>
      <c r="C442" s="37"/>
      <c r="D442" s="37"/>
    </row>
    <row r="443">
      <c r="A443" s="37"/>
      <c r="B443" s="37"/>
      <c r="C443" s="37"/>
      <c r="D443" s="37"/>
    </row>
    <row r="444">
      <c r="A444" s="37"/>
      <c r="B444" s="37"/>
      <c r="C444" s="37"/>
      <c r="D444" s="37"/>
    </row>
    <row r="445">
      <c r="A445" s="37"/>
      <c r="B445" s="37"/>
      <c r="C445" s="37"/>
      <c r="D445" s="37"/>
    </row>
    <row r="446">
      <c r="A446" s="37"/>
      <c r="B446" s="37"/>
      <c r="C446" s="37"/>
      <c r="D446" s="37"/>
    </row>
    <row r="447">
      <c r="A447" s="37"/>
      <c r="B447" s="37"/>
      <c r="C447" s="37"/>
      <c r="D447" s="37"/>
    </row>
    <row r="448">
      <c r="A448" s="37"/>
      <c r="B448" s="37"/>
      <c r="C448" s="37"/>
      <c r="D448" s="37"/>
    </row>
    <row r="449">
      <c r="A449" s="37"/>
      <c r="B449" s="37"/>
      <c r="C449" s="37"/>
      <c r="D449" s="37"/>
    </row>
    <row r="450">
      <c r="A450" s="37"/>
      <c r="B450" s="37"/>
      <c r="C450" s="37"/>
      <c r="D450" s="37"/>
    </row>
    <row r="451">
      <c r="A451" s="37"/>
      <c r="B451" s="37"/>
      <c r="C451" s="37"/>
      <c r="D451" s="37"/>
    </row>
    <row r="452">
      <c r="A452" s="37"/>
      <c r="B452" s="37"/>
      <c r="C452" s="37"/>
      <c r="D452" s="37"/>
    </row>
    <row r="453">
      <c r="A453" s="37"/>
      <c r="B453" s="37"/>
      <c r="C453" s="37"/>
      <c r="D453" s="37"/>
    </row>
    <row r="454">
      <c r="A454" s="37"/>
      <c r="B454" s="37"/>
      <c r="C454" s="37"/>
      <c r="D454" s="37"/>
    </row>
    <row r="455">
      <c r="A455" s="37"/>
      <c r="B455" s="37"/>
      <c r="C455" s="37"/>
      <c r="D455" s="37"/>
    </row>
    <row r="456">
      <c r="A456" s="37"/>
      <c r="B456" s="37"/>
      <c r="C456" s="37"/>
      <c r="D456" s="37"/>
    </row>
    <row r="457">
      <c r="A457" s="37"/>
      <c r="B457" s="37"/>
      <c r="C457" s="37"/>
      <c r="D457" s="37"/>
    </row>
    <row r="458">
      <c r="A458" s="37"/>
      <c r="B458" s="37"/>
      <c r="C458" s="37"/>
      <c r="D458" s="37"/>
    </row>
    <row r="459">
      <c r="A459" s="37"/>
      <c r="B459" s="37"/>
      <c r="C459" s="37"/>
      <c r="D459" s="37"/>
    </row>
    <row r="460">
      <c r="A460" s="37"/>
      <c r="B460" s="37"/>
      <c r="C460" s="37"/>
      <c r="D460" s="37"/>
    </row>
    <row r="461">
      <c r="A461" s="37"/>
      <c r="B461" s="37"/>
      <c r="C461" s="37"/>
      <c r="D461" s="37"/>
    </row>
    <row r="462">
      <c r="A462" s="37"/>
      <c r="B462" s="37"/>
      <c r="C462" s="37"/>
      <c r="D462" s="37"/>
    </row>
    <row r="463">
      <c r="A463" s="37"/>
      <c r="B463" s="37"/>
      <c r="C463" s="37"/>
      <c r="D463" s="37"/>
    </row>
    <row r="464">
      <c r="A464" s="37"/>
      <c r="B464" s="37"/>
      <c r="C464" s="37"/>
      <c r="D464" s="37"/>
    </row>
    <row r="465">
      <c r="A465" s="37"/>
      <c r="B465" s="37"/>
      <c r="C465" s="37"/>
      <c r="D465" s="37"/>
    </row>
    <row r="466">
      <c r="A466" s="37"/>
      <c r="B466" s="37"/>
      <c r="C466" s="37"/>
      <c r="D466" s="37"/>
    </row>
    <row r="467">
      <c r="A467" s="37"/>
      <c r="B467" s="37"/>
      <c r="C467" s="37"/>
      <c r="D467" s="37"/>
    </row>
    <row r="468">
      <c r="A468" s="37"/>
      <c r="B468" s="37"/>
      <c r="C468" s="37"/>
      <c r="D468" s="37"/>
    </row>
    <row r="469">
      <c r="A469" s="37"/>
      <c r="B469" s="37"/>
      <c r="C469" s="37"/>
      <c r="D469" s="37"/>
    </row>
    <row r="470">
      <c r="A470" s="37"/>
      <c r="B470" s="37"/>
      <c r="C470" s="37"/>
      <c r="D470" s="37"/>
    </row>
    <row r="471">
      <c r="A471" s="37"/>
      <c r="B471" s="37"/>
      <c r="C471" s="37"/>
      <c r="D471" s="37"/>
    </row>
    <row r="472">
      <c r="A472" s="37"/>
      <c r="B472" s="37"/>
      <c r="C472" s="37"/>
      <c r="D472" s="37"/>
    </row>
    <row r="473">
      <c r="A473" s="37"/>
      <c r="B473" s="37"/>
      <c r="C473" s="37"/>
      <c r="D473" s="37"/>
    </row>
    <row r="474">
      <c r="A474" s="37"/>
      <c r="B474" s="37"/>
      <c r="C474" s="37"/>
      <c r="D474" s="37"/>
    </row>
    <row r="475">
      <c r="A475" s="37"/>
      <c r="B475" s="37"/>
      <c r="C475" s="37"/>
      <c r="D475" s="37"/>
    </row>
    <row r="476">
      <c r="A476" s="37"/>
      <c r="B476" s="37"/>
      <c r="C476" s="37"/>
      <c r="D476" s="37"/>
    </row>
    <row r="477">
      <c r="A477" s="37"/>
      <c r="B477" s="37"/>
      <c r="C477" s="37"/>
      <c r="D477" s="37"/>
    </row>
    <row r="478">
      <c r="A478" s="37"/>
      <c r="B478" s="37"/>
      <c r="C478" s="37"/>
      <c r="D478" s="37"/>
    </row>
    <row r="479">
      <c r="A479" s="37"/>
      <c r="B479" s="37"/>
      <c r="C479" s="37"/>
      <c r="D479" s="37"/>
    </row>
    <row r="480">
      <c r="A480" s="37"/>
      <c r="B480" s="37"/>
      <c r="C480" s="37"/>
      <c r="D480" s="37"/>
    </row>
    <row r="481">
      <c r="A481" s="37"/>
      <c r="B481" s="37"/>
      <c r="C481" s="37"/>
      <c r="D481" s="37"/>
    </row>
    <row r="482">
      <c r="A482" s="37"/>
      <c r="B482" s="37"/>
      <c r="C482" s="37"/>
      <c r="D482" s="37"/>
    </row>
    <row r="483">
      <c r="A483" s="37"/>
      <c r="B483" s="37"/>
      <c r="C483" s="37"/>
      <c r="D483" s="37"/>
    </row>
    <row r="484">
      <c r="A484" s="37"/>
      <c r="B484" s="37"/>
      <c r="C484" s="37"/>
      <c r="D484" s="37"/>
    </row>
    <row r="485">
      <c r="A485" s="37"/>
      <c r="B485" s="37"/>
      <c r="C485" s="37"/>
      <c r="D485" s="37"/>
    </row>
    <row r="486">
      <c r="A486" s="37"/>
      <c r="B486" s="37"/>
      <c r="C486" s="37"/>
      <c r="D486" s="37"/>
    </row>
    <row r="487">
      <c r="A487" s="37"/>
      <c r="B487" s="37"/>
      <c r="C487" s="37"/>
      <c r="D487" s="37"/>
    </row>
    <row r="488">
      <c r="A488" s="37"/>
      <c r="B488" s="37"/>
      <c r="C488" s="37"/>
      <c r="D488" s="37"/>
    </row>
    <row r="489">
      <c r="A489" s="37"/>
      <c r="B489" s="37"/>
      <c r="C489" s="37"/>
      <c r="D489" s="37"/>
    </row>
    <row r="490">
      <c r="A490" s="37"/>
      <c r="B490" s="37"/>
      <c r="C490" s="37"/>
      <c r="D490" s="37"/>
    </row>
    <row r="491">
      <c r="A491" s="37"/>
      <c r="B491" s="37"/>
      <c r="C491" s="37"/>
      <c r="D491" s="37"/>
    </row>
    <row r="492">
      <c r="A492" s="37"/>
      <c r="B492" s="37"/>
      <c r="C492" s="37"/>
      <c r="D492" s="37"/>
    </row>
    <row r="493">
      <c r="A493" s="37"/>
      <c r="B493" s="37"/>
      <c r="C493" s="37"/>
      <c r="D493" s="37"/>
    </row>
    <row r="494">
      <c r="A494" s="37"/>
      <c r="B494" s="37"/>
      <c r="C494" s="37"/>
      <c r="D494" s="37"/>
    </row>
    <row r="495">
      <c r="A495" s="37"/>
      <c r="B495" s="37"/>
      <c r="C495" s="37"/>
      <c r="D495" s="37"/>
    </row>
    <row r="496">
      <c r="A496" s="37"/>
      <c r="B496" s="37"/>
      <c r="C496" s="37"/>
      <c r="D496" s="37"/>
    </row>
    <row r="497">
      <c r="A497" s="37"/>
      <c r="B497" s="37"/>
      <c r="C497" s="37"/>
      <c r="D497" s="37"/>
    </row>
    <row r="498">
      <c r="A498" s="37"/>
      <c r="B498" s="37"/>
      <c r="C498" s="37"/>
      <c r="D498" s="37"/>
    </row>
    <row r="499">
      <c r="A499" s="37"/>
      <c r="B499" s="37"/>
      <c r="C499" s="37"/>
      <c r="D499" s="37"/>
    </row>
    <row r="500">
      <c r="A500" s="37"/>
      <c r="B500" s="37"/>
      <c r="C500" s="37"/>
      <c r="D500" s="37"/>
    </row>
    <row r="501">
      <c r="A501" s="37"/>
      <c r="B501" s="37"/>
      <c r="C501" s="37"/>
      <c r="D501" s="37"/>
    </row>
    <row r="502">
      <c r="A502" s="37"/>
      <c r="B502" s="37"/>
      <c r="C502" s="37"/>
      <c r="D502" s="37"/>
    </row>
    <row r="503">
      <c r="A503" s="37"/>
      <c r="B503" s="37"/>
      <c r="C503" s="37"/>
      <c r="D503" s="37"/>
    </row>
    <row r="504">
      <c r="A504" s="37"/>
      <c r="B504" s="37"/>
      <c r="C504" s="37"/>
      <c r="D504" s="37"/>
    </row>
    <row r="505">
      <c r="A505" s="37"/>
      <c r="B505" s="37"/>
      <c r="C505" s="37"/>
      <c r="D505" s="37"/>
    </row>
    <row r="506">
      <c r="A506" s="37"/>
      <c r="B506" s="37"/>
      <c r="C506" s="37"/>
      <c r="D506" s="37"/>
    </row>
    <row r="507">
      <c r="A507" s="37"/>
      <c r="B507" s="37"/>
      <c r="C507" s="37"/>
      <c r="D507" s="37"/>
    </row>
    <row r="508">
      <c r="A508" s="37"/>
      <c r="B508" s="37"/>
      <c r="C508" s="37"/>
      <c r="D508" s="37"/>
    </row>
    <row r="509">
      <c r="A509" s="37"/>
      <c r="B509" s="37"/>
      <c r="C509" s="37"/>
      <c r="D509" s="37"/>
    </row>
    <row r="510">
      <c r="A510" s="37"/>
      <c r="B510" s="37"/>
      <c r="C510" s="37"/>
      <c r="D510" s="37"/>
    </row>
    <row r="511">
      <c r="A511" s="37"/>
      <c r="B511" s="37"/>
      <c r="C511" s="37"/>
      <c r="D511" s="37"/>
    </row>
    <row r="512">
      <c r="A512" s="37"/>
      <c r="B512" s="37"/>
      <c r="C512" s="37"/>
      <c r="D512" s="37"/>
    </row>
    <row r="513">
      <c r="A513" s="37"/>
      <c r="B513" s="37"/>
      <c r="C513" s="37"/>
      <c r="D513" s="37"/>
    </row>
    <row r="514">
      <c r="A514" s="37"/>
      <c r="B514" s="37"/>
      <c r="C514" s="37"/>
      <c r="D514" s="37"/>
    </row>
    <row r="515">
      <c r="A515" s="37"/>
      <c r="B515" s="37"/>
      <c r="C515" s="37"/>
      <c r="D515" s="37"/>
    </row>
    <row r="516">
      <c r="A516" s="37"/>
      <c r="B516" s="37"/>
      <c r="C516" s="37"/>
      <c r="D516" s="37"/>
    </row>
    <row r="517">
      <c r="A517" s="37"/>
      <c r="B517" s="37"/>
      <c r="C517" s="37"/>
      <c r="D517" s="37"/>
    </row>
    <row r="518">
      <c r="A518" s="37"/>
      <c r="B518" s="37"/>
      <c r="C518" s="37"/>
      <c r="D518" s="37"/>
    </row>
    <row r="519">
      <c r="A519" s="37"/>
      <c r="B519" s="37"/>
      <c r="C519" s="37"/>
      <c r="D519" s="37"/>
    </row>
    <row r="520">
      <c r="A520" s="37"/>
      <c r="B520" s="37"/>
      <c r="C520" s="37"/>
      <c r="D520" s="37"/>
    </row>
    <row r="521">
      <c r="A521" s="37"/>
      <c r="B521" s="37"/>
      <c r="C521" s="37"/>
      <c r="D521" s="37"/>
    </row>
    <row r="522">
      <c r="A522" s="37"/>
      <c r="B522" s="37"/>
      <c r="C522" s="37"/>
      <c r="D522" s="37"/>
    </row>
    <row r="523">
      <c r="A523" s="37"/>
      <c r="B523" s="37"/>
      <c r="C523" s="37"/>
      <c r="D523" s="37"/>
    </row>
    <row r="524">
      <c r="A524" s="37"/>
      <c r="B524" s="37"/>
      <c r="C524" s="37"/>
      <c r="D524" s="37"/>
    </row>
    <row r="525">
      <c r="A525" s="37"/>
      <c r="B525" s="37"/>
      <c r="C525" s="37"/>
      <c r="D525" s="37"/>
    </row>
    <row r="526">
      <c r="A526" s="37"/>
      <c r="B526" s="37"/>
      <c r="C526" s="37"/>
      <c r="D526" s="37"/>
    </row>
    <row r="527">
      <c r="A527" s="37"/>
      <c r="B527" s="37"/>
      <c r="C527" s="37"/>
      <c r="D527" s="37"/>
    </row>
    <row r="528">
      <c r="A528" s="37"/>
      <c r="B528" s="37"/>
      <c r="C528" s="37"/>
      <c r="D528" s="37"/>
    </row>
    <row r="529">
      <c r="A529" s="37"/>
      <c r="B529" s="37"/>
      <c r="C529" s="37"/>
      <c r="D529" s="37"/>
    </row>
    <row r="530">
      <c r="A530" s="37"/>
      <c r="B530" s="37"/>
      <c r="C530" s="37"/>
      <c r="D530" s="37"/>
    </row>
    <row r="531">
      <c r="A531" s="37"/>
      <c r="B531" s="37"/>
      <c r="C531" s="37"/>
      <c r="D531" s="37"/>
    </row>
    <row r="532">
      <c r="A532" s="37"/>
      <c r="B532" s="37"/>
      <c r="C532" s="37"/>
      <c r="D532" s="37"/>
    </row>
    <row r="533">
      <c r="A533" s="37"/>
      <c r="B533" s="37"/>
      <c r="C533" s="37"/>
      <c r="D533" s="37"/>
    </row>
    <row r="534">
      <c r="A534" s="37"/>
      <c r="B534" s="37"/>
      <c r="C534" s="37"/>
      <c r="D534" s="37"/>
    </row>
    <row r="535">
      <c r="A535" s="37"/>
      <c r="B535" s="37"/>
      <c r="C535" s="37"/>
      <c r="D535" s="37"/>
    </row>
    <row r="536">
      <c r="A536" s="37"/>
      <c r="B536" s="37"/>
      <c r="C536" s="37"/>
      <c r="D536" s="37"/>
    </row>
    <row r="537">
      <c r="A537" s="37"/>
      <c r="B537" s="37"/>
      <c r="C537" s="37"/>
      <c r="D537" s="37"/>
    </row>
    <row r="538">
      <c r="A538" s="37"/>
      <c r="B538" s="37"/>
      <c r="C538" s="37"/>
      <c r="D538" s="37"/>
    </row>
    <row r="539">
      <c r="A539" s="37"/>
      <c r="B539" s="37"/>
      <c r="C539" s="37"/>
      <c r="D539" s="37"/>
    </row>
    <row r="540">
      <c r="A540" s="37"/>
      <c r="B540" s="37"/>
      <c r="C540" s="37"/>
      <c r="D540" s="37"/>
    </row>
    <row r="541">
      <c r="A541" s="37"/>
      <c r="B541" s="37"/>
      <c r="C541" s="37"/>
      <c r="D541" s="37"/>
    </row>
    <row r="542">
      <c r="A542" s="37"/>
      <c r="B542" s="37"/>
      <c r="C542" s="37"/>
      <c r="D542" s="37"/>
    </row>
    <row r="543">
      <c r="A543" s="37"/>
      <c r="B543" s="37"/>
      <c r="C543" s="37"/>
      <c r="D543" s="37"/>
    </row>
    <row r="544">
      <c r="A544" s="37"/>
      <c r="B544" s="37"/>
      <c r="C544" s="37"/>
      <c r="D544" s="37"/>
    </row>
    <row r="545">
      <c r="A545" s="37"/>
      <c r="B545" s="37"/>
      <c r="C545" s="37"/>
      <c r="D545" s="37"/>
    </row>
    <row r="546">
      <c r="A546" s="37"/>
      <c r="B546" s="37"/>
      <c r="C546" s="37"/>
      <c r="D546" s="37"/>
    </row>
    <row r="547">
      <c r="A547" s="37"/>
      <c r="B547" s="37"/>
      <c r="C547" s="37"/>
      <c r="D547" s="37"/>
    </row>
    <row r="548">
      <c r="A548" s="37"/>
      <c r="B548" s="37"/>
      <c r="C548" s="37"/>
      <c r="D548" s="37"/>
    </row>
    <row r="549">
      <c r="A549" s="37"/>
      <c r="B549" s="37"/>
      <c r="C549" s="37"/>
      <c r="D549" s="37"/>
    </row>
    <row r="550">
      <c r="A550" s="37"/>
      <c r="B550" s="37"/>
      <c r="C550" s="37"/>
      <c r="D550" s="37"/>
    </row>
    <row r="551">
      <c r="A551" s="37"/>
      <c r="B551" s="37"/>
      <c r="C551" s="37"/>
      <c r="D551" s="37"/>
    </row>
    <row r="552">
      <c r="A552" s="37"/>
      <c r="B552" s="37"/>
      <c r="C552" s="37"/>
      <c r="D552" s="37"/>
    </row>
    <row r="553">
      <c r="A553" s="37"/>
      <c r="B553" s="37"/>
      <c r="C553" s="37"/>
      <c r="D553" s="37"/>
    </row>
    <row r="554">
      <c r="A554" s="37"/>
      <c r="B554" s="37"/>
      <c r="C554" s="37"/>
      <c r="D554" s="37"/>
    </row>
    <row r="555">
      <c r="A555" s="37"/>
      <c r="B555" s="37"/>
      <c r="C555" s="37"/>
      <c r="D555" s="37"/>
    </row>
    <row r="556">
      <c r="A556" s="37"/>
      <c r="B556" s="37"/>
      <c r="C556" s="37"/>
      <c r="D556" s="37"/>
    </row>
    <row r="557">
      <c r="A557" s="37"/>
      <c r="B557" s="37"/>
      <c r="C557" s="37"/>
      <c r="D557" s="37"/>
    </row>
    <row r="558">
      <c r="A558" s="37"/>
      <c r="B558" s="37"/>
      <c r="C558" s="37"/>
      <c r="D558" s="37"/>
    </row>
    <row r="559">
      <c r="A559" s="37"/>
      <c r="B559" s="37"/>
      <c r="C559" s="37"/>
      <c r="D559" s="37"/>
    </row>
    <row r="560">
      <c r="A560" s="37"/>
      <c r="B560" s="37"/>
      <c r="C560" s="37"/>
      <c r="D560" s="37"/>
    </row>
    <row r="561">
      <c r="A561" s="37"/>
      <c r="B561" s="37"/>
      <c r="C561" s="37"/>
      <c r="D561" s="37"/>
    </row>
    <row r="562">
      <c r="A562" s="37"/>
      <c r="B562" s="37"/>
      <c r="C562" s="37"/>
      <c r="D562" s="37"/>
    </row>
    <row r="563">
      <c r="A563" s="37"/>
      <c r="B563" s="37"/>
      <c r="C563" s="37"/>
      <c r="D563" s="37"/>
    </row>
    <row r="564">
      <c r="A564" s="37"/>
      <c r="B564" s="37"/>
      <c r="C564" s="37"/>
      <c r="D564" s="37"/>
    </row>
    <row r="565">
      <c r="A565" s="37"/>
      <c r="B565" s="37"/>
      <c r="C565" s="37"/>
      <c r="D565" s="37"/>
    </row>
    <row r="566">
      <c r="A566" s="37"/>
      <c r="B566" s="37"/>
      <c r="C566" s="37"/>
      <c r="D566" s="37"/>
    </row>
    <row r="567">
      <c r="A567" s="37"/>
      <c r="B567" s="37"/>
      <c r="C567" s="37"/>
      <c r="D567" s="37"/>
    </row>
    <row r="568">
      <c r="A568" s="37"/>
      <c r="B568" s="37"/>
      <c r="C568" s="37"/>
      <c r="D568" s="37"/>
    </row>
    <row r="569">
      <c r="A569" s="37"/>
      <c r="B569" s="37"/>
      <c r="C569" s="37"/>
      <c r="D569" s="37"/>
    </row>
    <row r="570">
      <c r="A570" s="37"/>
      <c r="B570" s="37"/>
      <c r="C570" s="37"/>
      <c r="D570" s="37"/>
    </row>
    <row r="571">
      <c r="A571" s="37"/>
      <c r="B571" s="37"/>
      <c r="C571" s="37"/>
      <c r="D571" s="37"/>
    </row>
    <row r="572">
      <c r="A572" s="37"/>
      <c r="B572" s="37"/>
      <c r="C572" s="37"/>
      <c r="D572" s="37"/>
    </row>
    <row r="573">
      <c r="A573" s="37"/>
      <c r="B573" s="37"/>
      <c r="C573" s="37"/>
      <c r="D573" s="37"/>
    </row>
    <row r="574">
      <c r="A574" s="37"/>
      <c r="B574" s="37"/>
      <c r="C574" s="37"/>
      <c r="D574" s="37"/>
    </row>
    <row r="575">
      <c r="A575" s="37"/>
      <c r="B575" s="37"/>
      <c r="C575" s="37"/>
      <c r="D575" s="37"/>
    </row>
    <row r="576">
      <c r="A576" s="37"/>
      <c r="B576" s="37"/>
      <c r="C576" s="37"/>
      <c r="D576" s="37"/>
    </row>
    <row r="577">
      <c r="A577" s="37"/>
      <c r="B577" s="37"/>
      <c r="C577" s="37"/>
      <c r="D577" s="37"/>
    </row>
    <row r="578">
      <c r="A578" s="37"/>
      <c r="B578" s="37"/>
      <c r="C578" s="37"/>
      <c r="D578" s="37"/>
    </row>
    <row r="579">
      <c r="A579" s="37"/>
      <c r="B579" s="37"/>
      <c r="C579" s="37"/>
      <c r="D579" s="37"/>
    </row>
    <row r="580">
      <c r="A580" s="37"/>
      <c r="B580" s="37"/>
      <c r="C580" s="37"/>
      <c r="D580" s="37"/>
    </row>
    <row r="581">
      <c r="A581" s="37"/>
      <c r="B581" s="37"/>
      <c r="C581" s="37"/>
      <c r="D581" s="37"/>
    </row>
    <row r="582">
      <c r="A582" s="37"/>
      <c r="B582" s="37"/>
      <c r="C582" s="37"/>
      <c r="D582" s="37"/>
    </row>
    <row r="583">
      <c r="A583" s="37"/>
      <c r="B583" s="37"/>
      <c r="C583" s="37"/>
      <c r="D583" s="37"/>
    </row>
    <row r="584">
      <c r="A584" s="37"/>
      <c r="B584" s="37"/>
      <c r="C584" s="37"/>
      <c r="D584" s="37"/>
    </row>
    <row r="585">
      <c r="A585" s="37"/>
      <c r="B585" s="37"/>
      <c r="C585" s="37"/>
      <c r="D585" s="37"/>
    </row>
    <row r="586">
      <c r="A586" s="37"/>
      <c r="B586" s="37"/>
      <c r="C586" s="37"/>
      <c r="D586" s="37"/>
    </row>
    <row r="587">
      <c r="A587" s="37"/>
      <c r="B587" s="37"/>
      <c r="C587" s="37"/>
      <c r="D587" s="37"/>
    </row>
    <row r="588">
      <c r="A588" s="37"/>
      <c r="B588" s="37"/>
      <c r="C588" s="37"/>
      <c r="D588" s="37"/>
    </row>
    <row r="589">
      <c r="A589" s="37"/>
      <c r="B589" s="37"/>
      <c r="C589" s="37"/>
      <c r="D589" s="37"/>
    </row>
    <row r="590">
      <c r="A590" s="37"/>
      <c r="B590" s="37"/>
      <c r="C590" s="37"/>
      <c r="D590" s="37"/>
    </row>
    <row r="591">
      <c r="A591" s="37"/>
      <c r="B591" s="37"/>
      <c r="C591" s="37"/>
      <c r="D591" s="37"/>
    </row>
    <row r="592">
      <c r="A592" s="37"/>
      <c r="B592" s="37"/>
      <c r="C592" s="37"/>
      <c r="D592" s="37"/>
    </row>
    <row r="593">
      <c r="A593" s="37"/>
      <c r="B593" s="37"/>
      <c r="C593" s="37"/>
      <c r="D593" s="37"/>
    </row>
    <row r="594">
      <c r="A594" s="37"/>
      <c r="B594" s="37"/>
      <c r="C594" s="37"/>
      <c r="D594" s="37"/>
    </row>
    <row r="595">
      <c r="A595" s="37"/>
      <c r="B595" s="37"/>
      <c r="C595" s="37"/>
      <c r="D595" s="37"/>
    </row>
    <row r="596">
      <c r="A596" s="37"/>
      <c r="B596" s="37"/>
      <c r="C596" s="37"/>
      <c r="D596" s="37"/>
    </row>
    <row r="597">
      <c r="A597" s="37"/>
      <c r="B597" s="37"/>
      <c r="C597" s="37"/>
      <c r="D597" s="37"/>
    </row>
    <row r="598">
      <c r="A598" s="37"/>
      <c r="B598" s="37"/>
      <c r="C598" s="37"/>
      <c r="D598" s="37"/>
    </row>
    <row r="599">
      <c r="A599" s="37"/>
      <c r="B599" s="37"/>
      <c r="C599" s="37"/>
      <c r="D599" s="37"/>
    </row>
    <row r="600">
      <c r="A600" s="37"/>
      <c r="B600" s="37"/>
      <c r="C600" s="37"/>
      <c r="D600" s="37"/>
    </row>
    <row r="601">
      <c r="A601" s="37"/>
      <c r="B601" s="37"/>
      <c r="C601" s="37"/>
      <c r="D601" s="37"/>
    </row>
    <row r="602">
      <c r="A602" s="37"/>
      <c r="B602" s="37"/>
      <c r="C602" s="37"/>
      <c r="D602" s="37"/>
    </row>
    <row r="603">
      <c r="A603" s="37"/>
      <c r="B603" s="37"/>
      <c r="C603" s="37"/>
      <c r="D603" s="37"/>
    </row>
    <row r="604">
      <c r="A604" s="37"/>
      <c r="B604" s="37"/>
      <c r="C604" s="37"/>
      <c r="D604" s="37"/>
    </row>
    <row r="605">
      <c r="A605" s="37"/>
      <c r="B605" s="37"/>
      <c r="C605" s="37"/>
      <c r="D605" s="37"/>
    </row>
    <row r="606">
      <c r="A606" s="37"/>
      <c r="B606" s="37"/>
      <c r="C606" s="37"/>
      <c r="D606" s="37"/>
    </row>
    <row r="607">
      <c r="A607" s="37"/>
      <c r="B607" s="37"/>
      <c r="C607" s="37"/>
      <c r="D607" s="37"/>
    </row>
    <row r="608">
      <c r="A608" s="37"/>
      <c r="B608" s="37"/>
      <c r="C608" s="37"/>
      <c r="D608" s="37"/>
    </row>
    <row r="609">
      <c r="A609" s="37"/>
      <c r="B609" s="37"/>
      <c r="C609" s="37"/>
      <c r="D609" s="37"/>
    </row>
    <row r="610">
      <c r="A610" s="37"/>
      <c r="B610" s="37"/>
      <c r="C610" s="37"/>
      <c r="D610" s="37"/>
    </row>
    <row r="611">
      <c r="A611" s="37"/>
      <c r="B611" s="37"/>
      <c r="C611" s="37"/>
      <c r="D611" s="37"/>
    </row>
    <row r="612">
      <c r="A612" s="37"/>
      <c r="B612" s="37"/>
      <c r="C612" s="37"/>
      <c r="D612" s="37"/>
    </row>
    <row r="613">
      <c r="A613" s="37"/>
      <c r="B613" s="37"/>
      <c r="C613" s="37"/>
      <c r="D613" s="37"/>
    </row>
    <row r="614">
      <c r="A614" s="37"/>
      <c r="B614" s="37"/>
      <c r="C614" s="37"/>
      <c r="D614" s="37"/>
    </row>
    <row r="615">
      <c r="A615" s="37"/>
      <c r="B615" s="37"/>
      <c r="C615" s="37"/>
      <c r="D615" s="37"/>
    </row>
    <row r="616">
      <c r="A616" s="37"/>
      <c r="B616" s="37"/>
      <c r="C616" s="37"/>
      <c r="D616" s="37"/>
    </row>
    <row r="617">
      <c r="A617" s="37"/>
      <c r="B617" s="37"/>
      <c r="C617" s="37"/>
      <c r="D617" s="37"/>
    </row>
    <row r="618">
      <c r="A618" s="37"/>
      <c r="B618" s="37"/>
      <c r="C618" s="37"/>
      <c r="D618" s="37"/>
    </row>
    <row r="619">
      <c r="A619" s="37"/>
      <c r="B619" s="37"/>
      <c r="C619" s="37"/>
      <c r="D619" s="37"/>
    </row>
    <row r="620">
      <c r="A620" s="37"/>
      <c r="B620" s="37"/>
      <c r="C620" s="37"/>
      <c r="D620" s="37"/>
    </row>
    <row r="621">
      <c r="A621" s="37"/>
      <c r="B621" s="37"/>
      <c r="C621" s="37"/>
      <c r="D621" s="37"/>
    </row>
    <row r="622">
      <c r="A622" s="37"/>
      <c r="B622" s="37"/>
      <c r="C622" s="37"/>
      <c r="D622" s="37"/>
    </row>
    <row r="623">
      <c r="A623" s="37"/>
      <c r="B623" s="37"/>
      <c r="C623" s="37"/>
      <c r="D623" s="37"/>
    </row>
    <row r="624">
      <c r="A624" s="37"/>
      <c r="B624" s="37"/>
      <c r="C624" s="37"/>
      <c r="D624" s="37"/>
    </row>
    <row r="625">
      <c r="A625" s="37"/>
      <c r="B625" s="37"/>
      <c r="C625" s="37"/>
      <c r="D625" s="37"/>
    </row>
    <row r="626">
      <c r="A626" s="37"/>
      <c r="B626" s="37"/>
      <c r="C626" s="37"/>
      <c r="D626" s="37"/>
    </row>
    <row r="627">
      <c r="A627" s="37"/>
      <c r="B627" s="37"/>
      <c r="C627" s="37"/>
      <c r="D627" s="37"/>
    </row>
    <row r="628">
      <c r="A628" s="37"/>
      <c r="B628" s="37"/>
      <c r="C628" s="37"/>
      <c r="D628" s="37"/>
    </row>
    <row r="629">
      <c r="A629" s="37"/>
      <c r="B629" s="37"/>
      <c r="C629" s="37"/>
      <c r="D629" s="37"/>
    </row>
    <row r="630">
      <c r="A630" s="37"/>
      <c r="B630" s="37"/>
      <c r="C630" s="37"/>
      <c r="D630" s="37"/>
    </row>
    <row r="631">
      <c r="A631" s="37"/>
      <c r="B631" s="37"/>
      <c r="C631" s="37"/>
      <c r="D631" s="37"/>
    </row>
    <row r="632">
      <c r="A632" s="37"/>
      <c r="B632" s="37"/>
      <c r="C632" s="37"/>
      <c r="D632" s="37"/>
    </row>
    <row r="633">
      <c r="A633" s="37"/>
      <c r="B633" s="37"/>
      <c r="C633" s="37"/>
      <c r="D633" s="37"/>
    </row>
    <row r="634">
      <c r="A634" s="37"/>
      <c r="B634" s="37"/>
      <c r="C634" s="37"/>
      <c r="D634" s="37"/>
    </row>
    <row r="635">
      <c r="A635" s="37"/>
      <c r="B635" s="37"/>
      <c r="C635" s="37"/>
      <c r="D635" s="37"/>
    </row>
    <row r="636">
      <c r="A636" s="37"/>
      <c r="B636" s="37"/>
      <c r="C636" s="37"/>
      <c r="D636" s="37"/>
    </row>
    <row r="637">
      <c r="A637" s="37"/>
      <c r="B637" s="37"/>
      <c r="C637" s="37"/>
      <c r="D637" s="37"/>
    </row>
    <row r="638">
      <c r="A638" s="37"/>
      <c r="B638" s="37"/>
      <c r="C638" s="37"/>
      <c r="D638" s="37"/>
    </row>
    <row r="639">
      <c r="A639" s="37"/>
      <c r="B639" s="37"/>
      <c r="C639" s="37"/>
      <c r="D639" s="37"/>
    </row>
    <row r="640">
      <c r="A640" s="37"/>
      <c r="B640" s="37"/>
      <c r="C640" s="37"/>
      <c r="D640" s="37"/>
    </row>
    <row r="641">
      <c r="A641" s="37"/>
      <c r="B641" s="37"/>
      <c r="C641" s="37"/>
      <c r="D641" s="37"/>
    </row>
    <row r="642">
      <c r="A642" s="37"/>
      <c r="B642" s="37"/>
      <c r="C642" s="37"/>
      <c r="D642" s="37"/>
    </row>
    <row r="643">
      <c r="A643" s="37"/>
      <c r="B643" s="37"/>
      <c r="C643" s="37"/>
      <c r="D643" s="37"/>
    </row>
    <row r="644">
      <c r="A644" s="37"/>
      <c r="B644" s="37"/>
      <c r="C644" s="37"/>
      <c r="D644" s="37"/>
    </row>
    <row r="645">
      <c r="A645" s="37"/>
      <c r="B645" s="37"/>
      <c r="C645" s="37"/>
      <c r="D645" s="37"/>
    </row>
    <row r="646">
      <c r="A646" s="37"/>
      <c r="B646" s="37"/>
      <c r="C646" s="37"/>
      <c r="D646" s="37"/>
    </row>
    <row r="647">
      <c r="A647" s="37"/>
      <c r="B647" s="37"/>
      <c r="C647" s="37"/>
      <c r="D647" s="37"/>
    </row>
    <row r="648">
      <c r="A648" s="37"/>
      <c r="B648" s="37"/>
      <c r="C648" s="37"/>
      <c r="D648" s="37"/>
    </row>
    <row r="649">
      <c r="A649" s="37"/>
      <c r="B649" s="37"/>
      <c r="C649" s="37"/>
      <c r="D649" s="37"/>
    </row>
    <row r="650">
      <c r="A650" s="37"/>
      <c r="B650" s="37"/>
      <c r="C650" s="37"/>
      <c r="D650" s="37"/>
    </row>
    <row r="651">
      <c r="A651" s="37"/>
      <c r="B651" s="37"/>
      <c r="C651" s="37"/>
      <c r="D651" s="37"/>
    </row>
    <row r="652">
      <c r="A652" s="37"/>
      <c r="B652" s="37"/>
      <c r="C652" s="37"/>
      <c r="D652" s="37"/>
    </row>
    <row r="653">
      <c r="A653" s="37"/>
      <c r="B653" s="37"/>
      <c r="C653" s="37"/>
      <c r="D653" s="37"/>
    </row>
    <row r="654">
      <c r="A654" s="37"/>
      <c r="B654" s="37"/>
      <c r="C654" s="37"/>
      <c r="D654" s="37"/>
    </row>
    <row r="655">
      <c r="A655" s="37"/>
      <c r="B655" s="37"/>
      <c r="C655" s="37"/>
      <c r="D655" s="37"/>
    </row>
    <row r="656">
      <c r="A656" s="37"/>
      <c r="B656" s="37"/>
      <c r="C656" s="37"/>
      <c r="D656" s="37"/>
    </row>
    <row r="657">
      <c r="A657" s="37"/>
      <c r="B657" s="37"/>
      <c r="C657" s="37"/>
      <c r="D657" s="37"/>
    </row>
    <row r="658">
      <c r="A658" s="37"/>
      <c r="B658" s="37"/>
      <c r="C658" s="37"/>
      <c r="D658" s="37"/>
    </row>
    <row r="659">
      <c r="A659" s="37"/>
      <c r="B659" s="37"/>
      <c r="C659" s="37"/>
      <c r="D659" s="37"/>
    </row>
    <row r="660">
      <c r="A660" s="37"/>
      <c r="B660" s="37"/>
      <c r="C660" s="37"/>
      <c r="D660" s="37"/>
    </row>
    <row r="661">
      <c r="A661" s="37"/>
      <c r="B661" s="37"/>
      <c r="C661" s="37"/>
      <c r="D661" s="37"/>
    </row>
    <row r="662">
      <c r="A662" s="37"/>
      <c r="B662" s="37"/>
      <c r="C662" s="37"/>
      <c r="D662" s="37"/>
    </row>
    <row r="663">
      <c r="A663" s="37"/>
      <c r="B663" s="37"/>
      <c r="C663" s="37"/>
      <c r="D663" s="37"/>
    </row>
    <row r="664">
      <c r="A664" s="37"/>
      <c r="B664" s="37"/>
      <c r="C664" s="37"/>
      <c r="D664" s="37"/>
    </row>
    <row r="665">
      <c r="A665" s="37"/>
      <c r="B665" s="37"/>
      <c r="C665" s="37"/>
      <c r="D665" s="37"/>
    </row>
    <row r="666">
      <c r="A666" s="37"/>
      <c r="B666" s="37"/>
      <c r="C666" s="37"/>
      <c r="D666" s="37"/>
    </row>
    <row r="667">
      <c r="A667" s="37"/>
      <c r="B667" s="37"/>
      <c r="C667" s="37"/>
      <c r="D667" s="37"/>
    </row>
    <row r="668">
      <c r="A668" s="37"/>
      <c r="B668" s="37"/>
      <c r="C668" s="37"/>
      <c r="D668" s="37"/>
    </row>
    <row r="669">
      <c r="A669" s="37"/>
      <c r="B669" s="37"/>
      <c r="C669" s="37"/>
      <c r="D669" s="37"/>
    </row>
    <row r="670">
      <c r="A670" s="37"/>
      <c r="B670" s="37"/>
      <c r="C670" s="37"/>
      <c r="D670" s="37"/>
    </row>
    <row r="671">
      <c r="A671" s="37"/>
      <c r="B671" s="37"/>
      <c r="C671" s="37"/>
      <c r="D671" s="37"/>
    </row>
    <row r="672">
      <c r="A672" s="37"/>
      <c r="B672" s="37"/>
      <c r="C672" s="37"/>
      <c r="D672" s="37"/>
    </row>
    <row r="673">
      <c r="A673" s="37"/>
      <c r="B673" s="37"/>
      <c r="C673" s="37"/>
      <c r="D673" s="37"/>
    </row>
    <row r="674">
      <c r="A674" s="37"/>
      <c r="B674" s="37"/>
      <c r="C674" s="37"/>
      <c r="D674" s="37"/>
    </row>
    <row r="675">
      <c r="A675" s="37"/>
      <c r="B675" s="37"/>
      <c r="C675" s="37"/>
      <c r="D675" s="37"/>
    </row>
    <row r="676">
      <c r="A676" s="37"/>
      <c r="B676" s="37"/>
      <c r="C676" s="37"/>
      <c r="D676" s="37"/>
    </row>
    <row r="677">
      <c r="A677" s="37"/>
      <c r="B677" s="37"/>
      <c r="C677" s="37"/>
      <c r="D677" s="37"/>
    </row>
    <row r="678">
      <c r="A678" s="37"/>
      <c r="B678" s="37"/>
      <c r="C678" s="37"/>
      <c r="D678" s="37"/>
    </row>
    <row r="679">
      <c r="A679" s="37"/>
      <c r="B679" s="37"/>
      <c r="C679" s="37"/>
      <c r="D679" s="37"/>
    </row>
    <row r="680">
      <c r="A680" s="37"/>
      <c r="B680" s="37"/>
      <c r="C680" s="37"/>
      <c r="D680" s="37"/>
    </row>
    <row r="681">
      <c r="A681" s="37"/>
      <c r="B681" s="37"/>
      <c r="C681" s="37"/>
      <c r="D681" s="37"/>
    </row>
    <row r="682">
      <c r="A682" s="37"/>
      <c r="B682" s="37"/>
      <c r="C682" s="37"/>
      <c r="D682" s="37"/>
    </row>
    <row r="683">
      <c r="A683" s="37"/>
      <c r="B683" s="37"/>
      <c r="C683" s="37"/>
      <c r="D683" s="37"/>
    </row>
    <row r="684">
      <c r="A684" s="37"/>
      <c r="B684" s="37"/>
      <c r="C684" s="37"/>
      <c r="D684" s="37"/>
    </row>
    <row r="685">
      <c r="A685" s="37"/>
      <c r="B685" s="37"/>
      <c r="C685" s="37"/>
      <c r="D685" s="37"/>
    </row>
    <row r="686">
      <c r="A686" s="37"/>
      <c r="B686" s="37"/>
      <c r="C686" s="37"/>
      <c r="D686" s="37"/>
    </row>
    <row r="687">
      <c r="A687" s="37"/>
      <c r="B687" s="37"/>
      <c r="C687" s="37"/>
      <c r="D687" s="37"/>
    </row>
    <row r="688">
      <c r="A688" s="37"/>
      <c r="B688" s="37"/>
      <c r="C688" s="37"/>
      <c r="D688" s="37"/>
    </row>
    <row r="689">
      <c r="A689" s="37"/>
      <c r="B689" s="37"/>
      <c r="C689" s="37"/>
      <c r="D689" s="37"/>
    </row>
    <row r="690">
      <c r="A690" s="37"/>
      <c r="B690" s="37"/>
      <c r="C690" s="37"/>
      <c r="D690" s="37"/>
    </row>
    <row r="691">
      <c r="A691" s="37"/>
      <c r="B691" s="37"/>
      <c r="C691" s="37"/>
      <c r="D691" s="37"/>
    </row>
    <row r="692">
      <c r="A692" s="37"/>
      <c r="B692" s="37"/>
      <c r="C692" s="37"/>
      <c r="D692" s="37"/>
    </row>
    <row r="693">
      <c r="A693" s="37"/>
      <c r="B693" s="37"/>
      <c r="C693" s="37"/>
      <c r="D693" s="37"/>
    </row>
    <row r="694">
      <c r="A694" s="37"/>
      <c r="B694" s="37"/>
      <c r="C694" s="37"/>
      <c r="D694" s="37"/>
    </row>
    <row r="695">
      <c r="A695" s="37"/>
      <c r="B695" s="37"/>
      <c r="C695" s="37"/>
      <c r="D695" s="37"/>
    </row>
    <row r="696">
      <c r="A696" s="37"/>
      <c r="B696" s="37"/>
      <c r="C696" s="37"/>
      <c r="D696" s="37"/>
    </row>
    <row r="697">
      <c r="A697" s="37"/>
      <c r="B697" s="37"/>
      <c r="C697" s="37"/>
      <c r="D697" s="37"/>
    </row>
    <row r="698">
      <c r="A698" s="37"/>
      <c r="B698" s="37"/>
      <c r="C698" s="37"/>
      <c r="D698" s="37"/>
    </row>
    <row r="699">
      <c r="A699" s="37"/>
      <c r="B699" s="37"/>
      <c r="C699" s="37"/>
      <c r="D699" s="37"/>
    </row>
    <row r="700">
      <c r="A700" s="37"/>
      <c r="B700" s="37"/>
      <c r="C700" s="37"/>
      <c r="D700" s="37"/>
    </row>
    <row r="701">
      <c r="A701" s="37"/>
      <c r="B701" s="37"/>
      <c r="C701" s="37"/>
      <c r="D701" s="37"/>
    </row>
    <row r="702">
      <c r="A702" s="37"/>
      <c r="B702" s="37"/>
      <c r="C702" s="37"/>
      <c r="D702" s="37"/>
    </row>
    <row r="703">
      <c r="A703" s="37"/>
      <c r="B703" s="37"/>
      <c r="C703" s="37"/>
      <c r="D703" s="37"/>
    </row>
    <row r="704">
      <c r="A704" s="37"/>
      <c r="B704" s="37"/>
      <c r="C704" s="37"/>
      <c r="D704" s="37"/>
    </row>
    <row r="705">
      <c r="A705" s="37"/>
      <c r="B705" s="37"/>
      <c r="C705" s="37"/>
      <c r="D705" s="37"/>
    </row>
    <row r="706">
      <c r="A706" s="37"/>
      <c r="B706" s="37"/>
      <c r="C706" s="37"/>
      <c r="D706" s="37"/>
    </row>
    <row r="707">
      <c r="A707" s="37"/>
      <c r="B707" s="37"/>
      <c r="C707" s="37"/>
      <c r="D707" s="37"/>
    </row>
    <row r="708">
      <c r="A708" s="37"/>
      <c r="B708" s="37"/>
      <c r="C708" s="37"/>
      <c r="D708" s="37"/>
    </row>
    <row r="709">
      <c r="A709" s="37"/>
      <c r="B709" s="37"/>
      <c r="C709" s="37"/>
      <c r="D709" s="37"/>
    </row>
    <row r="710">
      <c r="A710" s="37"/>
      <c r="B710" s="37"/>
      <c r="C710" s="37"/>
      <c r="D710" s="37"/>
    </row>
    <row r="711">
      <c r="A711" s="37"/>
      <c r="B711" s="37"/>
      <c r="C711" s="37"/>
      <c r="D711" s="37"/>
    </row>
    <row r="712">
      <c r="A712" s="37"/>
      <c r="B712" s="37"/>
      <c r="C712" s="37"/>
      <c r="D712" s="37"/>
    </row>
    <row r="713">
      <c r="A713" s="37"/>
      <c r="B713" s="37"/>
      <c r="C713" s="37"/>
      <c r="D713" s="37"/>
    </row>
    <row r="714">
      <c r="A714" s="37"/>
      <c r="B714" s="37"/>
      <c r="C714" s="37"/>
      <c r="D714" s="37"/>
    </row>
    <row r="715">
      <c r="A715" s="37"/>
      <c r="B715" s="37"/>
      <c r="C715" s="37"/>
      <c r="D715" s="37"/>
    </row>
    <row r="716">
      <c r="A716" s="37"/>
      <c r="B716" s="37"/>
      <c r="C716" s="37"/>
      <c r="D716" s="37"/>
    </row>
    <row r="717">
      <c r="A717" s="37"/>
      <c r="B717" s="37"/>
      <c r="C717" s="37"/>
      <c r="D717" s="37"/>
    </row>
    <row r="718">
      <c r="A718" s="37"/>
      <c r="B718" s="37"/>
      <c r="C718" s="37"/>
      <c r="D718" s="37"/>
    </row>
    <row r="719">
      <c r="A719" s="37"/>
      <c r="B719" s="37"/>
      <c r="C719" s="37"/>
      <c r="D719" s="37"/>
    </row>
    <row r="720">
      <c r="A720" s="37"/>
      <c r="B720" s="37"/>
      <c r="C720" s="37"/>
      <c r="D720" s="37"/>
    </row>
    <row r="721">
      <c r="A721" s="37"/>
      <c r="B721" s="37"/>
      <c r="C721" s="37"/>
      <c r="D721" s="37"/>
    </row>
    <row r="722">
      <c r="A722" s="37"/>
      <c r="B722" s="37"/>
      <c r="C722" s="37"/>
      <c r="D722" s="37"/>
    </row>
    <row r="723">
      <c r="A723" s="37"/>
      <c r="B723" s="37"/>
      <c r="C723" s="37"/>
      <c r="D723" s="37"/>
    </row>
    <row r="724">
      <c r="A724" s="37"/>
      <c r="B724" s="37"/>
      <c r="C724" s="37"/>
      <c r="D724" s="37"/>
    </row>
    <row r="725">
      <c r="A725" s="37"/>
      <c r="B725" s="37"/>
      <c r="C725" s="37"/>
      <c r="D725" s="37"/>
    </row>
    <row r="726">
      <c r="A726" s="37"/>
      <c r="B726" s="37"/>
      <c r="C726" s="37"/>
      <c r="D726" s="37"/>
    </row>
    <row r="727">
      <c r="A727" s="37"/>
      <c r="B727" s="37"/>
      <c r="C727" s="37"/>
      <c r="D727" s="37"/>
    </row>
    <row r="728">
      <c r="A728" s="37"/>
      <c r="B728" s="37"/>
      <c r="C728" s="37"/>
      <c r="D728" s="37"/>
    </row>
    <row r="729">
      <c r="A729" s="37"/>
      <c r="B729" s="37"/>
      <c r="C729" s="37"/>
      <c r="D729" s="37"/>
    </row>
    <row r="730">
      <c r="A730" s="37"/>
      <c r="B730" s="37"/>
      <c r="C730" s="37"/>
      <c r="D730" s="37"/>
    </row>
    <row r="731">
      <c r="A731" s="37"/>
      <c r="B731" s="37"/>
      <c r="C731" s="37"/>
      <c r="D731" s="37"/>
    </row>
    <row r="732">
      <c r="A732" s="37"/>
      <c r="B732" s="37"/>
      <c r="C732" s="37"/>
      <c r="D732" s="37"/>
    </row>
    <row r="733">
      <c r="A733" s="37"/>
      <c r="B733" s="37"/>
      <c r="C733" s="37"/>
      <c r="D733" s="37"/>
    </row>
    <row r="734">
      <c r="A734" s="37"/>
      <c r="B734" s="37"/>
      <c r="C734" s="37"/>
      <c r="D734" s="37"/>
    </row>
    <row r="735">
      <c r="A735" s="37"/>
      <c r="B735" s="37"/>
      <c r="C735" s="37"/>
      <c r="D735" s="37"/>
    </row>
    <row r="736">
      <c r="A736" s="37"/>
      <c r="B736" s="37"/>
      <c r="C736" s="37"/>
      <c r="D736" s="37"/>
    </row>
    <row r="737">
      <c r="A737" s="37"/>
      <c r="B737" s="37"/>
      <c r="C737" s="37"/>
      <c r="D737" s="37"/>
    </row>
    <row r="738">
      <c r="A738" s="37"/>
      <c r="B738" s="37"/>
      <c r="C738" s="37"/>
      <c r="D738" s="37"/>
    </row>
    <row r="739">
      <c r="A739" s="37"/>
      <c r="B739" s="37"/>
      <c r="C739" s="37"/>
      <c r="D739" s="37"/>
    </row>
    <row r="740">
      <c r="A740" s="37"/>
      <c r="B740" s="37"/>
      <c r="C740" s="37"/>
      <c r="D740" s="37"/>
    </row>
    <row r="741">
      <c r="A741" s="37"/>
      <c r="B741" s="37"/>
      <c r="C741" s="37"/>
      <c r="D741" s="37"/>
    </row>
    <row r="742">
      <c r="A742" s="37"/>
      <c r="B742" s="37"/>
      <c r="C742" s="37"/>
      <c r="D742" s="37"/>
    </row>
    <row r="743">
      <c r="A743" s="37"/>
      <c r="B743" s="37"/>
      <c r="C743" s="37"/>
      <c r="D743" s="37"/>
    </row>
    <row r="744">
      <c r="A744" s="37"/>
      <c r="B744" s="37"/>
      <c r="C744" s="37"/>
      <c r="D744" s="37"/>
    </row>
    <row r="745">
      <c r="A745" s="37"/>
      <c r="B745" s="37"/>
      <c r="C745" s="37"/>
      <c r="D745" s="37"/>
    </row>
    <row r="746">
      <c r="A746" s="37"/>
      <c r="B746" s="37"/>
      <c r="C746" s="37"/>
      <c r="D746" s="37"/>
    </row>
    <row r="747">
      <c r="A747" s="37"/>
      <c r="B747" s="37"/>
      <c r="C747" s="37"/>
      <c r="D747" s="37"/>
    </row>
    <row r="748">
      <c r="A748" s="37"/>
      <c r="B748" s="37"/>
      <c r="C748" s="37"/>
      <c r="D748" s="37"/>
    </row>
    <row r="749">
      <c r="A749" s="37"/>
      <c r="B749" s="37"/>
      <c r="C749" s="37"/>
      <c r="D749" s="37"/>
    </row>
    <row r="750">
      <c r="A750" s="37"/>
      <c r="B750" s="37"/>
      <c r="C750" s="37"/>
      <c r="D750" s="37"/>
    </row>
    <row r="751">
      <c r="A751" s="37"/>
      <c r="B751" s="37"/>
      <c r="C751" s="37"/>
      <c r="D751" s="37"/>
    </row>
    <row r="752">
      <c r="A752" s="37"/>
      <c r="B752" s="37"/>
      <c r="C752" s="37"/>
      <c r="D752" s="37"/>
    </row>
    <row r="753">
      <c r="A753" s="37"/>
      <c r="B753" s="37"/>
      <c r="C753" s="37"/>
      <c r="D753" s="37"/>
    </row>
    <row r="754">
      <c r="A754" s="37"/>
      <c r="B754" s="37"/>
      <c r="C754" s="37"/>
      <c r="D754" s="37"/>
    </row>
    <row r="755">
      <c r="A755" s="37"/>
      <c r="B755" s="37"/>
      <c r="C755" s="37"/>
      <c r="D755" s="37"/>
    </row>
    <row r="756">
      <c r="A756" s="37"/>
      <c r="B756" s="37"/>
      <c r="C756" s="37"/>
      <c r="D756" s="37"/>
    </row>
    <row r="757">
      <c r="A757" s="37"/>
      <c r="B757" s="37"/>
      <c r="C757" s="37"/>
      <c r="D757" s="37"/>
    </row>
    <row r="758">
      <c r="A758" s="37"/>
      <c r="B758" s="37"/>
      <c r="C758" s="37"/>
      <c r="D758" s="37"/>
    </row>
    <row r="759">
      <c r="A759" s="37"/>
      <c r="B759" s="37"/>
      <c r="C759" s="37"/>
      <c r="D759" s="37"/>
    </row>
    <row r="760">
      <c r="A760" s="37"/>
      <c r="B760" s="37"/>
      <c r="C760" s="37"/>
      <c r="D760" s="37"/>
    </row>
    <row r="761">
      <c r="A761" s="37"/>
      <c r="B761" s="37"/>
      <c r="C761" s="37"/>
      <c r="D761" s="37"/>
    </row>
    <row r="762">
      <c r="A762" s="37"/>
      <c r="B762" s="37"/>
      <c r="C762" s="37"/>
      <c r="D762" s="37"/>
    </row>
    <row r="763">
      <c r="A763" s="37"/>
      <c r="B763" s="37"/>
      <c r="C763" s="37"/>
      <c r="D763" s="37"/>
    </row>
    <row r="764">
      <c r="A764" s="37"/>
      <c r="B764" s="37"/>
      <c r="C764" s="37"/>
      <c r="D764" s="37"/>
    </row>
    <row r="765">
      <c r="A765" s="37"/>
      <c r="B765" s="37"/>
      <c r="C765" s="37"/>
      <c r="D765" s="37"/>
    </row>
    <row r="766">
      <c r="A766" s="37"/>
      <c r="B766" s="37"/>
      <c r="C766" s="37"/>
      <c r="D766" s="37"/>
    </row>
    <row r="767">
      <c r="A767" s="37"/>
      <c r="B767" s="37"/>
      <c r="C767" s="37"/>
      <c r="D767" s="37"/>
    </row>
    <row r="768">
      <c r="A768" s="37"/>
      <c r="B768" s="37"/>
      <c r="C768" s="37"/>
      <c r="D768" s="37"/>
    </row>
    <row r="769">
      <c r="A769" s="37"/>
      <c r="B769" s="37"/>
      <c r="C769" s="37"/>
      <c r="D769" s="37"/>
    </row>
    <row r="770">
      <c r="A770" s="37"/>
      <c r="B770" s="37"/>
      <c r="C770" s="37"/>
      <c r="D770" s="37"/>
    </row>
    <row r="771">
      <c r="A771" s="37"/>
      <c r="B771" s="37"/>
      <c r="C771" s="37"/>
      <c r="D771" s="37"/>
    </row>
    <row r="772">
      <c r="A772" s="37"/>
      <c r="B772" s="37"/>
      <c r="C772" s="37"/>
      <c r="D772" s="37"/>
    </row>
    <row r="773">
      <c r="A773" s="37"/>
      <c r="B773" s="37"/>
      <c r="C773" s="37"/>
      <c r="D773" s="37"/>
    </row>
    <row r="774">
      <c r="A774" s="37"/>
      <c r="B774" s="37"/>
      <c r="C774" s="37"/>
      <c r="D774" s="37"/>
    </row>
    <row r="775">
      <c r="A775" s="37"/>
      <c r="B775" s="37"/>
      <c r="C775" s="37"/>
      <c r="D775" s="37"/>
    </row>
    <row r="776">
      <c r="A776" s="37"/>
      <c r="B776" s="37"/>
      <c r="C776" s="37"/>
      <c r="D776" s="37"/>
    </row>
    <row r="777">
      <c r="A777" s="37"/>
      <c r="B777" s="37"/>
      <c r="C777" s="37"/>
      <c r="D777" s="37"/>
    </row>
    <row r="778">
      <c r="A778" s="37"/>
      <c r="B778" s="37"/>
      <c r="C778" s="37"/>
      <c r="D778" s="37"/>
    </row>
    <row r="779">
      <c r="A779" s="37"/>
      <c r="B779" s="37"/>
      <c r="C779" s="37"/>
      <c r="D779" s="37"/>
    </row>
    <row r="780">
      <c r="A780" s="37"/>
      <c r="B780" s="37"/>
      <c r="C780" s="37"/>
      <c r="D780" s="37"/>
    </row>
    <row r="781">
      <c r="A781" s="37"/>
      <c r="B781" s="37"/>
      <c r="C781" s="37"/>
      <c r="D781" s="37"/>
    </row>
    <row r="782">
      <c r="A782" s="37"/>
      <c r="B782" s="37"/>
      <c r="C782" s="37"/>
      <c r="D782" s="37"/>
    </row>
    <row r="783">
      <c r="A783" s="37"/>
      <c r="B783" s="37"/>
      <c r="C783" s="37"/>
      <c r="D783" s="37"/>
    </row>
    <row r="784">
      <c r="A784" s="37"/>
      <c r="B784" s="37"/>
      <c r="C784" s="37"/>
      <c r="D784" s="37"/>
    </row>
    <row r="785">
      <c r="A785" s="37"/>
      <c r="B785" s="37"/>
      <c r="C785" s="37"/>
      <c r="D785" s="37"/>
    </row>
    <row r="786">
      <c r="A786" s="37"/>
      <c r="B786" s="37"/>
      <c r="C786" s="37"/>
      <c r="D786" s="37"/>
    </row>
    <row r="787">
      <c r="A787" s="37"/>
      <c r="B787" s="37"/>
      <c r="C787" s="37"/>
      <c r="D787" s="37"/>
    </row>
    <row r="788">
      <c r="A788" s="37"/>
      <c r="B788" s="37"/>
      <c r="C788" s="37"/>
      <c r="D788" s="37"/>
    </row>
    <row r="789">
      <c r="A789" s="37"/>
      <c r="B789" s="37"/>
      <c r="C789" s="37"/>
      <c r="D789" s="37"/>
    </row>
    <row r="790">
      <c r="A790" s="37"/>
      <c r="B790" s="37"/>
      <c r="C790" s="37"/>
      <c r="D790" s="37"/>
    </row>
    <row r="791">
      <c r="A791" s="37"/>
      <c r="B791" s="37"/>
      <c r="C791" s="37"/>
      <c r="D791" s="37"/>
    </row>
    <row r="792">
      <c r="A792" s="37"/>
      <c r="B792" s="37"/>
      <c r="C792" s="37"/>
      <c r="D792" s="37"/>
    </row>
    <row r="793">
      <c r="A793" s="37"/>
      <c r="B793" s="37"/>
      <c r="C793" s="37"/>
      <c r="D793" s="37"/>
    </row>
    <row r="794">
      <c r="A794" s="37"/>
      <c r="B794" s="37"/>
      <c r="C794" s="37"/>
      <c r="D794" s="37"/>
    </row>
    <row r="795">
      <c r="A795" s="37"/>
      <c r="B795" s="37"/>
      <c r="C795" s="37"/>
      <c r="D795" s="37"/>
    </row>
    <row r="796">
      <c r="A796" s="37"/>
      <c r="B796" s="37"/>
      <c r="C796" s="37"/>
      <c r="D796" s="37"/>
    </row>
    <row r="797">
      <c r="A797" s="37"/>
      <c r="B797" s="37"/>
      <c r="C797" s="37"/>
      <c r="D797" s="37"/>
    </row>
    <row r="798">
      <c r="A798" s="37"/>
      <c r="B798" s="37"/>
      <c r="C798" s="37"/>
      <c r="D798" s="37"/>
    </row>
    <row r="799">
      <c r="A799" s="37"/>
      <c r="B799" s="37"/>
      <c r="C799" s="37"/>
      <c r="D799" s="37"/>
    </row>
    <row r="800">
      <c r="A800" s="37"/>
      <c r="B800" s="37"/>
      <c r="C800" s="37"/>
      <c r="D800" s="37"/>
    </row>
    <row r="801">
      <c r="A801" s="37"/>
      <c r="B801" s="37"/>
      <c r="C801" s="37"/>
      <c r="D801" s="37"/>
    </row>
    <row r="802">
      <c r="A802" s="37"/>
      <c r="B802" s="37"/>
      <c r="C802" s="37"/>
      <c r="D802" s="37"/>
    </row>
    <row r="803">
      <c r="A803" s="37"/>
      <c r="B803" s="37"/>
      <c r="C803" s="37"/>
      <c r="D803" s="37"/>
    </row>
    <row r="804">
      <c r="A804" s="37"/>
      <c r="B804" s="37"/>
      <c r="C804" s="37"/>
      <c r="D804" s="37"/>
    </row>
    <row r="805">
      <c r="A805" s="37"/>
      <c r="B805" s="37"/>
      <c r="C805" s="37"/>
      <c r="D805" s="37"/>
    </row>
    <row r="806">
      <c r="A806" s="37"/>
      <c r="B806" s="37"/>
      <c r="C806" s="37"/>
      <c r="D806" s="37"/>
    </row>
    <row r="807">
      <c r="A807" s="37"/>
      <c r="B807" s="37"/>
      <c r="C807" s="37"/>
      <c r="D807" s="37"/>
    </row>
    <row r="808">
      <c r="A808" s="37"/>
      <c r="B808" s="37"/>
      <c r="C808" s="37"/>
      <c r="D808" s="37"/>
    </row>
    <row r="809">
      <c r="A809" s="37"/>
      <c r="B809" s="37"/>
      <c r="C809" s="37"/>
      <c r="D809" s="37"/>
    </row>
    <row r="810">
      <c r="A810" s="37"/>
      <c r="B810" s="37"/>
      <c r="C810" s="37"/>
      <c r="D810" s="37"/>
    </row>
    <row r="811">
      <c r="A811" s="37"/>
      <c r="B811" s="37"/>
      <c r="C811" s="37"/>
      <c r="D811" s="37"/>
    </row>
    <row r="812">
      <c r="A812" s="37"/>
      <c r="B812" s="37"/>
      <c r="C812" s="37"/>
      <c r="D812" s="37"/>
    </row>
    <row r="813">
      <c r="A813" s="37"/>
      <c r="B813" s="37"/>
      <c r="C813" s="37"/>
      <c r="D813" s="37"/>
    </row>
    <row r="814">
      <c r="A814" s="37"/>
      <c r="B814" s="37"/>
      <c r="C814" s="37"/>
      <c r="D814" s="37"/>
    </row>
    <row r="815">
      <c r="A815" s="37"/>
      <c r="B815" s="37"/>
      <c r="C815" s="37"/>
      <c r="D815" s="37"/>
    </row>
    <row r="816">
      <c r="A816" s="37"/>
      <c r="B816" s="37"/>
      <c r="C816" s="37"/>
      <c r="D816" s="37"/>
    </row>
    <row r="817">
      <c r="A817" s="37"/>
      <c r="B817" s="37"/>
      <c r="C817" s="37"/>
      <c r="D817" s="37"/>
    </row>
    <row r="818">
      <c r="A818" s="37"/>
      <c r="B818" s="37"/>
      <c r="C818" s="37"/>
      <c r="D818" s="37"/>
    </row>
    <row r="819">
      <c r="A819" s="37"/>
      <c r="B819" s="37"/>
      <c r="C819" s="37"/>
      <c r="D819" s="37"/>
    </row>
    <row r="820">
      <c r="A820" s="37"/>
      <c r="B820" s="37"/>
      <c r="C820" s="37"/>
      <c r="D820" s="37"/>
    </row>
    <row r="821">
      <c r="A821" s="37"/>
      <c r="B821" s="37"/>
      <c r="C821" s="37"/>
      <c r="D821" s="37"/>
    </row>
    <row r="822">
      <c r="A822" s="37"/>
      <c r="B822" s="37"/>
      <c r="C822" s="37"/>
      <c r="D822" s="37"/>
    </row>
    <row r="823">
      <c r="A823" s="37"/>
      <c r="B823" s="37"/>
      <c r="C823" s="37"/>
      <c r="D823" s="37"/>
    </row>
    <row r="824">
      <c r="A824" s="37"/>
      <c r="B824" s="37"/>
      <c r="C824" s="37"/>
      <c r="D824" s="37"/>
    </row>
    <row r="825">
      <c r="A825" s="37"/>
      <c r="B825" s="37"/>
      <c r="C825" s="37"/>
      <c r="D825" s="37"/>
    </row>
    <row r="826">
      <c r="A826" s="37"/>
      <c r="B826" s="37"/>
      <c r="C826" s="37"/>
      <c r="D826" s="37"/>
    </row>
    <row r="827">
      <c r="A827" s="37"/>
      <c r="B827" s="37"/>
      <c r="C827" s="37"/>
      <c r="D827" s="37"/>
    </row>
    <row r="828">
      <c r="A828" s="37"/>
      <c r="B828" s="37"/>
      <c r="C828" s="37"/>
      <c r="D828" s="37"/>
    </row>
    <row r="829">
      <c r="A829" s="37"/>
      <c r="B829" s="37"/>
      <c r="C829" s="37"/>
      <c r="D829" s="37"/>
    </row>
    <row r="830">
      <c r="A830" s="37"/>
      <c r="B830" s="37"/>
      <c r="C830" s="37"/>
      <c r="D830" s="37"/>
    </row>
    <row r="831">
      <c r="A831" s="37"/>
      <c r="B831" s="37"/>
      <c r="C831" s="37"/>
      <c r="D831" s="37"/>
    </row>
    <row r="832">
      <c r="A832" s="37"/>
      <c r="B832" s="37"/>
      <c r="C832" s="37"/>
      <c r="D832" s="37"/>
    </row>
    <row r="833">
      <c r="A833" s="37"/>
      <c r="B833" s="37"/>
      <c r="C833" s="37"/>
      <c r="D833" s="37"/>
    </row>
    <row r="834">
      <c r="A834" s="37"/>
      <c r="B834" s="37"/>
      <c r="C834" s="37"/>
      <c r="D834" s="37"/>
    </row>
    <row r="835">
      <c r="A835" s="37"/>
      <c r="B835" s="37"/>
      <c r="C835" s="37"/>
      <c r="D835" s="37"/>
    </row>
    <row r="836">
      <c r="A836" s="37"/>
      <c r="B836" s="37"/>
      <c r="C836" s="37"/>
      <c r="D836" s="37"/>
    </row>
    <row r="837">
      <c r="A837" s="37"/>
      <c r="B837" s="37"/>
      <c r="C837" s="37"/>
      <c r="D837" s="37"/>
    </row>
    <row r="838">
      <c r="A838" s="37"/>
      <c r="B838" s="37"/>
      <c r="C838" s="37"/>
      <c r="D838" s="37"/>
    </row>
    <row r="839">
      <c r="A839" s="37"/>
      <c r="B839" s="37"/>
      <c r="C839" s="37"/>
      <c r="D839" s="37"/>
    </row>
    <row r="840">
      <c r="A840" s="37"/>
      <c r="B840" s="37"/>
      <c r="C840" s="37"/>
      <c r="D840" s="37"/>
    </row>
    <row r="841">
      <c r="A841" s="37"/>
      <c r="B841" s="37"/>
      <c r="C841" s="37"/>
      <c r="D841" s="37"/>
    </row>
    <row r="842">
      <c r="A842" s="37"/>
      <c r="B842" s="37"/>
      <c r="C842" s="37"/>
      <c r="D842" s="37"/>
    </row>
    <row r="843">
      <c r="A843" s="37"/>
      <c r="B843" s="37"/>
      <c r="C843" s="37"/>
      <c r="D843" s="37"/>
    </row>
    <row r="844">
      <c r="A844" s="37"/>
      <c r="B844" s="37"/>
      <c r="C844" s="37"/>
      <c r="D844" s="37"/>
    </row>
    <row r="845">
      <c r="A845" s="37"/>
      <c r="B845" s="37"/>
      <c r="C845" s="37"/>
      <c r="D845" s="37"/>
    </row>
    <row r="846">
      <c r="A846" s="37"/>
      <c r="B846" s="37"/>
      <c r="C846" s="37"/>
      <c r="D846" s="37"/>
    </row>
    <row r="847">
      <c r="A847" s="37"/>
      <c r="B847" s="37"/>
      <c r="C847" s="37"/>
      <c r="D847" s="37"/>
    </row>
    <row r="848">
      <c r="A848" s="37"/>
      <c r="B848" s="37"/>
      <c r="C848" s="37"/>
      <c r="D848" s="37"/>
    </row>
    <row r="849">
      <c r="A849" s="37"/>
      <c r="B849" s="37"/>
      <c r="C849" s="37"/>
      <c r="D849" s="37"/>
    </row>
    <row r="850">
      <c r="A850" s="37"/>
      <c r="B850" s="37"/>
      <c r="C850" s="37"/>
      <c r="D850" s="37"/>
    </row>
    <row r="851">
      <c r="A851" s="37"/>
      <c r="B851" s="37"/>
      <c r="C851" s="37"/>
      <c r="D851" s="37"/>
    </row>
    <row r="852">
      <c r="A852" s="37"/>
      <c r="B852" s="37"/>
      <c r="C852" s="37"/>
      <c r="D852" s="37"/>
    </row>
    <row r="853">
      <c r="A853" s="37"/>
      <c r="B853" s="37"/>
      <c r="C853" s="37"/>
      <c r="D853" s="37"/>
    </row>
    <row r="854">
      <c r="A854" s="37"/>
      <c r="B854" s="37"/>
      <c r="C854" s="37"/>
      <c r="D854" s="37"/>
    </row>
    <row r="855">
      <c r="A855" s="37"/>
      <c r="B855" s="37"/>
      <c r="C855" s="37"/>
      <c r="D855" s="37"/>
    </row>
    <row r="856">
      <c r="A856" s="37"/>
      <c r="B856" s="37"/>
      <c r="C856" s="37"/>
      <c r="D856" s="37"/>
    </row>
    <row r="857">
      <c r="A857" s="37"/>
      <c r="B857" s="37"/>
      <c r="C857" s="37"/>
      <c r="D857" s="37"/>
    </row>
    <row r="858">
      <c r="A858" s="37"/>
      <c r="B858" s="37"/>
      <c r="C858" s="37"/>
      <c r="D858" s="37"/>
    </row>
    <row r="859">
      <c r="A859" s="37"/>
      <c r="B859" s="37"/>
      <c r="C859" s="37"/>
      <c r="D859" s="37"/>
    </row>
    <row r="860">
      <c r="A860" s="37"/>
      <c r="B860" s="37"/>
      <c r="C860" s="37"/>
      <c r="D860" s="37"/>
    </row>
    <row r="861">
      <c r="A861" s="37"/>
      <c r="B861" s="37"/>
      <c r="C861" s="37"/>
      <c r="D861" s="37"/>
    </row>
    <row r="862">
      <c r="A862" s="37"/>
      <c r="B862" s="37"/>
      <c r="C862" s="37"/>
      <c r="D862" s="37"/>
    </row>
    <row r="863">
      <c r="A863" s="37"/>
      <c r="B863" s="37"/>
      <c r="C863" s="37"/>
      <c r="D863" s="37"/>
    </row>
    <row r="864">
      <c r="A864" s="37"/>
      <c r="B864" s="37"/>
      <c r="C864" s="37"/>
      <c r="D864" s="37"/>
    </row>
    <row r="865">
      <c r="A865" s="37"/>
      <c r="B865" s="37"/>
      <c r="C865" s="37"/>
      <c r="D865" s="37"/>
    </row>
    <row r="866">
      <c r="A866" s="37"/>
      <c r="B866" s="37"/>
      <c r="C866" s="37"/>
      <c r="D866" s="37"/>
    </row>
    <row r="867">
      <c r="A867" s="37"/>
      <c r="B867" s="37"/>
      <c r="C867" s="37"/>
      <c r="D867" s="37"/>
    </row>
    <row r="868">
      <c r="A868" s="37"/>
      <c r="B868" s="37"/>
      <c r="C868" s="37"/>
      <c r="D868" s="37"/>
    </row>
    <row r="869">
      <c r="A869" s="37"/>
      <c r="B869" s="37"/>
      <c r="C869" s="37"/>
      <c r="D869" s="37"/>
    </row>
    <row r="870">
      <c r="A870" s="37"/>
      <c r="B870" s="37"/>
      <c r="C870" s="37"/>
      <c r="D870" s="37"/>
    </row>
    <row r="871">
      <c r="A871" s="37"/>
      <c r="B871" s="37"/>
      <c r="C871" s="37"/>
      <c r="D871" s="37"/>
    </row>
    <row r="872">
      <c r="A872" s="37"/>
      <c r="B872" s="37"/>
      <c r="C872" s="37"/>
      <c r="D872" s="37"/>
    </row>
    <row r="873">
      <c r="A873" s="37"/>
      <c r="B873" s="37"/>
      <c r="C873" s="37"/>
      <c r="D873" s="37"/>
    </row>
    <row r="874">
      <c r="A874" s="37"/>
      <c r="B874" s="37"/>
      <c r="C874" s="37"/>
      <c r="D874" s="37"/>
    </row>
    <row r="875">
      <c r="A875" s="37"/>
      <c r="B875" s="37"/>
      <c r="C875" s="37"/>
      <c r="D875" s="37"/>
    </row>
    <row r="876">
      <c r="A876" s="37"/>
      <c r="B876" s="37"/>
      <c r="C876" s="37"/>
      <c r="D876" s="37"/>
    </row>
    <row r="877">
      <c r="A877" s="37"/>
      <c r="B877" s="37"/>
      <c r="C877" s="37"/>
      <c r="D877" s="37"/>
    </row>
    <row r="878">
      <c r="A878" s="37"/>
      <c r="B878" s="37"/>
      <c r="C878" s="37"/>
      <c r="D878" s="37"/>
    </row>
    <row r="879">
      <c r="A879" s="37"/>
      <c r="B879" s="37"/>
      <c r="C879" s="37"/>
      <c r="D879" s="37"/>
    </row>
    <row r="880">
      <c r="A880" s="37"/>
      <c r="B880" s="37"/>
      <c r="C880" s="37"/>
      <c r="D880" s="37"/>
    </row>
    <row r="881">
      <c r="A881" s="37"/>
      <c r="B881" s="37"/>
      <c r="C881" s="37"/>
      <c r="D881" s="37"/>
    </row>
    <row r="882">
      <c r="A882" s="37"/>
      <c r="B882" s="37"/>
      <c r="C882" s="37"/>
      <c r="D882" s="37"/>
    </row>
    <row r="883">
      <c r="A883" s="37"/>
      <c r="B883" s="37"/>
      <c r="C883" s="37"/>
      <c r="D883" s="37"/>
    </row>
    <row r="884">
      <c r="A884" s="37"/>
      <c r="B884" s="37"/>
      <c r="C884" s="37"/>
      <c r="D884" s="37"/>
    </row>
    <row r="885">
      <c r="A885" s="37"/>
      <c r="B885" s="37"/>
      <c r="C885" s="37"/>
      <c r="D885" s="37"/>
    </row>
    <row r="886">
      <c r="A886" s="37"/>
      <c r="B886" s="37"/>
      <c r="C886" s="37"/>
      <c r="D886" s="37"/>
    </row>
    <row r="887">
      <c r="A887" s="37"/>
      <c r="B887" s="37"/>
      <c r="C887" s="37"/>
      <c r="D887" s="37"/>
    </row>
    <row r="888">
      <c r="A888" s="37"/>
      <c r="B888" s="37"/>
      <c r="C888" s="37"/>
      <c r="D888" s="37"/>
    </row>
    <row r="889">
      <c r="A889" s="37"/>
      <c r="B889" s="37"/>
      <c r="C889" s="37"/>
      <c r="D889" s="37"/>
    </row>
    <row r="890">
      <c r="A890" s="37"/>
      <c r="B890" s="37"/>
      <c r="C890" s="37"/>
      <c r="D890" s="37"/>
    </row>
    <row r="891">
      <c r="A891" s="37"/>
      <c r="B891" s="37"/>
      <c r="C891" s="37"/>
      <c r="D891" s="37"/>
    </row>
    <row r="892">
      <c r="A892" s="37"/>
      <c r="B892" s="37"/>
      <c r="C892" s="37"/>
      <c r="D892" s="37"/>
    </row>
    <row r="893">
      <c r="A893" s="37"/>
      <c r="B893" s="37"/>
      <c r="C893" s="37"/>
      <c r="D893" s="37"/>
    </row>
    <row r="894">
      <c r="A894" s="37"/>
      <c r="B894" s="37"/>
      <c r="C894" s="37"/>
      <c r="D894" s="37"/>
    </row>
    <row r="895">
      <c r="A895" s="37"/>
      <c r="B895" s="37"/>
      <c r="C895" s="37"/>
      <c r="D895" s="37"/>
    </row>
    <row r="896">
      <c r="A896" s="37"/>
      <c r="B896" s="37"/>
      <c r="C896" s="37"/>
      <c r="D896" s="37"/>
    </row>
    <row r="897">
      <c r="A897" s="37"/>
      <c r="B897" s="37"/>
      <c r="C897" s="37"/>
      <c r="D897" s="37"/>
    </row>
    <row r="898">
      <c r="A898" s="37"/>
      <c r="B898" s="37"/>
      <c r="C898" s="37"/>
      <c r="D898" s="37"/>
    </row>
    <row r="899">
      <c r="A899" s="37"/>
      <c r="B899" s="37"/>
      <c r="C899" s="37"/>
      <c r="D899" s="37"/>
    </row>
    <row r="900">
      <c r="A900" s="37"/>
      <c r="B900" s="37"/>
      <c r="C900" s="37"/>
      <c r="D900" s="37"/>
    </row>
    <row r="901">
      <c r="A901" s="37"/>
      <c r="B901" s="37"/>
      <c r="C901" s="37"/>
      <c r="D901" s="37"/>
    </row>
    <row r="902">
      <c r="A902" s="37"/>
      <c r="B902" s="37"/>
      <c r="C902" s="37"/>
      <c r="D902" s="37"/>
    </row>
    <row r="903">
      <c r="A903" s="37"/>
      <c r="B903" s="37"/>
      <c r="C903" s="37"/>
      <c r="D903" s="37"/>
    </row>
    <row r="904">
      <c r="A904" s="37"/>
      <c r="B904" s="37"/>
      <c r="C904" s="37"/>
      <c r="D904" s="37"/>
    </row>
    <row r="905">
      <c r="A905" s="37"/>
      <c r="B905" s="37"/>
      <c r="C905" s="37"/>
      <c r="D905" s="37"/>
    </row>
    <row r="906">
      <c r="A906" s="37"/>
      <c r="B906" s="37"/>
      <c r="C906" s="37"/>
      <c r="D906" s="37"/>
    </row>
    <row r="907">
      <c r="A907" s="37"/>
      <c r="B907" s="37"/>
      <c r="C907" s="37"/>
      <c r="D907" s="37"/>
    </row>
    <row r="908">
      <c r="A908" s="37"/>
      <c r="B908" s="37"/>
      <c r="C908" s="37"/>
      <c r="D908" s="37"/>
    </row>
    <row r="909">
      <c r="A909" s="37"/>
      <c r="B909" s="37"/>
      <c r="C909" s="37"/>
      <c r="D909" s="37"/>
    </row>
    <row r="910">
      <c r="A910" s="37"/>
      <c r="B910" s="37"/>
      <c r="C910" s="37"/>
      <c r="D910" s="37"/>
    </row>
    <row r="911">
      <c r="A911" s="37"/>
      <c r="B911" s="37"/>
      <c r="C911" s="37"/>
      <c r="D911" s="37"/>
    </row>
    <row r="912">
      <c r="A912" s="37"/>
      <c r="B912" s="37"/>
      <c r="C912" s="37"/>
      <c r="D912" s="37"/>
    </row>
    <row r="913">
      <c r="A913" s="37"/>
      <c r="B913" s="37"/>
      <c r="C913" s="37"/>
      <c r="D913" s="37"/>
    </row>
    <row r="914">
      <c r="A914" s="37"/>
      <c r="B914" s="37"/>
      <c r="C914" s="37"/>
      <c r="D914" s="37"/>
    </row>
    <row r="915">
      <c r="A915" s="37"/>
      <c r="B915" s="37"/>
      <c r="C915" s="37"/>
      <c r="D915" s="37"/>
    </row>
    <row r="916">
      <c r="A916" s="37"/>
      <c r="B916" s="37"/>
      <c r="C916" s="37"/>
      <c r="D916" s="37"/>
    </row>
    <row r="917">
      <c r="A917" s="37"/>
      <c r="B917" s="37"/>
      <c r="C917" s="37"/>
      <c r="D917" s="37"/>
    </row>
    <row r="918">
      <c r="A918" s="37"/>
      <c r="B918" s="37"/>
      <c r="C918" s="37"/>
      <c r="D918" s="37"/>
    </row>
    <row r="919">
      <c r="A919" s="37"/>
      <c r="B919" s="37"/>
      <c r="C919" s="37"/>
      <c r="D919" s="37"/>
    </row>
    <row r="920">
      <c r="A920" s="37"/>
      <c r="B920" s="37"/>
      <c r="C920" s="37"/>
      <c r="D920" s="37"/>
    </row>
    <row r="921">
      <c r="A921" s="37"/>
      <c r="B921" s="37"/>
      <c r="C921" s="37"/>
      <c r="D921" s="37"/>
    </row>
    <row r="922">
      <c r="A922" s="37"/>
      <c r="B922" s="37"/>
      <c r="C922" s="37"/>
      <c r="D922" s="37"/>
    </row>
    <row r="923">
      <c r="A923" s="37"/>
      <c r="B923" s="37"/>
      <c r="C923" s="37"/>
      <c r="D923" s="37"/>
    </row>
    <row r="924">
      <c r="A924" s="37"/>
      <c r="B924" s="37"/>
      <c r="C924" s="37"/>
      <c r="D924" s="37"/>
    </row>
    <row r="925">
      <c r="A925" s="37"/>
      <c r="B925" s="37"/>
      <c r="C925" s="37"/>
      <c r="D925" s="37"/>
    </row>
    <row r="926">
      <c r="A926" s="37"/>
      <c r="B926" s="37"/>
      <c r="C926" s="37"/>
      <c r="D926" s="37"/>
    </row>
    <row r="927">
      <c r="A927" s="37"/>
      <c r="B927" s="37"/>
      <c r="C927" s="37"/>
      <c r="D927" s="37"/>
    </row>
    <row r="928">
      <c r="A928" s="37"/>
      <c r="B928" s="37"/>
      <c r="C928" s="37"/>
      <c r="D928" s="37"/>
    </row>
    <row r="929">
      <c r="A929" s="37"/>
      <c r="B929" s="37"/>
      <c r="C929" s="37"/>
      <c r="D929" s="37"/>
    </row>
    <row r="930">
      <c r="A930" s="37"/>
      <c r="B930" s="37"/>
      <c r="C930" s="37"/>
      <c r="D930" s="37"/>
    </row>
    <row r="931">
      <c r="A931" s="37"/>
      <c r="B931" s="37"/>
      <c r="C931" s="37"/>
      <c r="D931" s="37"/>
    </row>
    <row r="932">
      <c r="A932" s="37"/>
      <c r="B932" s="37"/>
      <c r="C932" s="37"/>
      <c r="D932" s="37"/>
    </row>
    <row r="933">
      <c r="A933" s="37"/>
      <c r="B933" s="37"/>
      <c r="C933" s="37"/>
      <c r="D933" s="37"/>
    </row>
    <row r="934">
      <c r="A934" s="37"/>
      <c r="B934" s="37"/>
      <c r="C934" s="37"/>
      <c r="D934" s="37"/>
    </row>
    <row r="935">
      <c r="A935" s="37"/>
      <c r="B935" s="37"/>
      <c r="C935" s="37"/>
      <c r="D935" s="37"/>
    </row>
    <row r="936">
      <c r="A936" s="37"/>
      <c r="B936" s="37"/>
      <c r="C936" s="37"/>
      <c r="D936" s="37"/>
    </row>
    <row r="937">
      <c r="A937" s="37"/>
      <c r="B937" s="37"/>
      <c r="C937" s="37"/>
      <c r="D937" s="37"/>
    </row>
    <row r="938">
      <c r="A938" s="37"/>
      <c r="B938" s="37"/>
      <c r="C938" s="37"/>
      <c r="D938" s="37"/>
    </row>
    <row r="939">
      <c r="A939" s="37"/>
      <c r="B939" s="37"/>
      <c r="C939" s="37"/>
      <c r="D939" s="37"/>
    </row>
    <row r="940">
      <c r="A940" s="37"/>
      <c r="B940" s="37"/>
      <c r="C940" s="37"/>
      <c r="D940" s="37"/>
    </row>
    <row r="941">
      <c r="A941" s="37"/>
      <c r="B941" s="37"/>
      <c r="C941" s="37"/>
      <c r="D941" s="37"/>
    </row>
    <row r="942">
      <c r="A942" s="37"/>
      <c r="B942" s="37"/>
      <c r="C942" s="37"/>
      <c r="D942" s="37"/>
    </row>
    <row r="943">
      <c r="A943" s="37"/>
      <c r="B943" s="37"/>
      <c r="C943" s="37"/>
      <c r="D943" s="37"/>
    </row>
    <row r="944">
      <c r="A944" s="37"/>
      <c r="B944" s="37"/>
      <c r="C944" s="37"/>
      <c r="D944" s="37"/>
    </row>
    <row r="945">
      <c r="A945" s="37"/>
      <c r="B945" s="37"/>
      <c r="C945" s="37"/>
      <c r="D945" s="37"/>
    </row>
    <row r="946">
      <c r="A946" s="37"/>
      <c r="B946" s="37"/>
      <c r="C946" s="37"/>
      <c r="D946" s="37"/>
    </row>
    <row r="947">
      <c r="A947" s="37"/>
      <c r="B947" s="37"/>
      <c r="C947" s="37"/>
      <c r="D947" s="37"/>
    </row>
    <row r="948">
      <c r="A948" s="37"/>
      <c r="B948" s="37"/>
      <c r="C948" s="37"/>
      <c r="D948" s="37"/>
    </row>
    <row r="949">
      <c r="A949" s="37"/>
      <c r="B949" s="37"/>
      <c r="C949" s="37"/>
      <c r="D949" s="37"/>
    </row>
    <row r="950">
      <c r="A950" s="37"/>
      <c r="B950" s="37"/>
      <c r="C950" s="37"/>
      <c r="D950" s="37"/>
    </row>
    <row r="951">
      <c r="A951" s="37"/>
      <c r="B951" s="37"/>
      <c r="C951" s="37"/>
      <c r="D951" s="37"/>
    </row>
    <row r="952">
      <c r="A952" s="37"/>
      <c r="B952" s="37"/>
      <c r="C952" s="37"/>
      <c r="D952" s="37"/>
    </row>
    <row r="953">
      <c r="A953" s="37"/>
      <c r="B953" s="37"/>
      <c r="C953" s="37"/>
      <c r="D953" s="37"/>
    </row>
    <row r="954">
      <c r="A954" s="37"/>
      <c r="B954" s="37"/>
      <c r="C954" s="37"/>
      <c r="D954" s="37"/>
    </row>
    <row r="955">
      <c r="A955" s="37"/>
      <c r="B955" s="37"/>
      <c r="C955" s="37"/>
      <c r="D955" s="37"/>
    </row>
    <row r="956">
      <c r="A956" s="37"/>
      <c r="B956" s="37"/>
      <c r="C956" s="37"/>
      <c r="D956" s="37"/>
    </row>
    <row r="957">
      <c r="A957" s="37"/>
      <c r="B957" s="37"/>
      <c r="C957" s="37"/>
      <c r="D957" s="37"/>
    </row>
    <row r="958">
      <c r="A958" s="37"/>
      <c r="B958" s="37"/>
      <c r="C958" s="37"/>
      <c r="D958" s="37"/>
    </row>
    <row r="959">
      <c r="A959" s="37"/>
      <c r="B959" s="37"/>
      <c r="C959" s="37"/>
      <c r="D959" s="37"/>
    </row>
    <row r="960">
      <c r="A960" s="37"/>
      <c r="B960" s="37"/>
      <c r="C960" s="37"/>
      <c r="D960" s="37"/>
    </row>
    <row r="961">
      <c r="A961" s="37"/>
      <c r="B961" s="37"/>
      <c r="C961" s="37"/>
      <c r="D961" s="37"/>
    </row>
    <row r="962">
      <c r="A962" s="37"/>
      <c r="B962" s="37"/>
      <c r="C962" s="37"/>
      <c r="D962" s="37"/>
    </row>
    <row r="963">
      <c r="A963" s="37"/>
      <c r="B963" s="37"/>
      <c r="C963" s="37"/>
      <c r="D963" s="37"/>
    </row>
    <row r="964">
      <c r="A964" s="37"/>
      <c r="B964" s="37"/>
      <c r="C964" s="37"/>
      <c r="D964" s="37"/>
    </row>
    <row r="965">
      <c r="A965" s="37"/>
      <c r="B965" s="37"/>
      <c r="C965" s="37"/>
      <c r="D965" s="37"/>
    </row>
    <row r="966">
      <c r="A966" s="37"/>
      <c r="B966" s="37"/>
      <c r="C966" s="37"/>
      <c r="D966" s="37"/>
    </row>
    <row r="967">
      <c r="A967" s="37"/>
      <c r="B967" s="37"/>
      <c r="C967" s="37"/>
      <c r="D967" s="37"/>
    </row>
    <row r="968">
      <c r="A968" s="37"/>
      <c r="B968" s="37"/>
      <c r="C968" s="37"/>
      <c r="D968" s="37"/>
    </row>
    <row r="969">
      <c r="A969" s="37"/>
      <c r="B969" s="37"/>
      <c r="C969" s="37"/>
      <c r="D969" s="37"/>
    </row>
    <row r="970">
      <c r="A970" s="37"/>
      <c r="B970" s="37"/>
      <c r="C970" s="37"/>
      <c r="D970" s="37"/>
    </row>
    <row r="971">
      <c r="A971" s="37"/>
      <c r="B971" s="37"/>
      <c r="C971" s="37"/>
      <c r="D971" s="37"/>
    </row>
    <row r="972">
      <c r="A972" s="37"/>
      <c r="B972" s="37"/>
      <c r="C972" s="37"/>
      <c r="D972" s="37"/>
    </row>
    <row r="973">
      <c r="A973" s="37"/>
      <c r="B973" s="37"/>
      <c r="C973" s="37"/>
      <c r="D973" s="37"/>
    </row>
    <row r="974">
      <c r="A974" s="37"/>
      <c r="B974" s="37"/>
      <c r="C974" s="37"/>
      <c r="D974" s="37"/>
    </row>
    <row r="975">
      <c r="A975" s="37"/>
      <c r="B975" s="37"/>
      <c r="C975" s="37"/>
      <c r="D975" s="37"/>
    </row>
    <row r="976">
      <c r="A976" s="37"/>
      <c r="B976" s="37"/>
      <c r="C976" s="37"/>
      <c r="D976" s="37"/>
    </row>
    <row r="977">
      <c r="A977" s="37"/>
      <c r="B977" s="37"/>
      <c r="C977" s="37"/>
      <c r="D977" s="37"/>
    </row>
    <row r="978">
      <c r="A978" s="37"/>
      <c r="B978" s="37"/>
      <c r="C978" s="37"/>
      <c r="D978" s="37"/>
    </row>
    <row r="979">
      <c r="A979" s="37"/>
      <c r="B979" s="37"/>
      <c r="C979" s="37"/>
      <c r="D979" s="37"/>
    </row>
    <row r="980">
      <c r="A980" s="37"/>
      <c r="B980" s="37"/>
      <c r="C980" s="37"/>
      <c r="D980" s="37"/>
    </row>
    <row r="981">
      <c r="A981" s="37"/>
      <c r="B981" s="37"/>
      <c r="C981" s="37"/>
      <c r="D981" s="37"/>
    </row>
    <row r="982">
      <c r="A982" s="37"/>
      <c r="B982" s="37"/>
      <c r="C982" s="37"/>
      <c r="D982" s="37"/>
    </row>
    <row r="983">
      <c r="A983" s="37"/>
      <c r="B983" s="37"/>
      <c r="C983" s="37"/>
      <c r="D983" s="37"/>
    </row>
    <row r="984">
      <c r="A984" s="37"/>
      <c r="B984" s="37"/>
      <c r="C984" s="37"/>
      <c r="D984" s="37"/>
    </row>
    <row r="985">
      <c r="A985" s="37"/>
      <c r="B985" s="37"/>
      <c r="C985" s="37"/>
      <c r="D985" s="37"/>
    </row>
    <row r="986">
      <c r="A986" s="37"/>
      <c r="B986" s="37"/>
      <c r="C986" s="37"/>
      <c r="D986" s="37"/>
    </row>
    <row r="987">
      <c r="A987" s="37"/>
      <c r="B987" s="37"/>
      <c r="C987" s="37"/>
      <c r="D987" s="37"/>
    </row>
    <row r="988">
      <c r="A988" s="37"/>
      <c r="B988" s="37"/>
      <c r="C988" s="37"/>
      <c r="D988" s="37"/>
    </row>
    <row r="989">
      <c r="A989" s="37"/>
      <c r="B989" s="37"/>
      <c r="C989" s="37"/>
      <c r="D989" s="37"/>
    </row>
    <row r="990">
      <c r="A990" s="37"/>
      <c r="B990" s="37"/>
      <c r="C990" s="37"/>
      <c r="D990" s="37"/>
    </row>
    <row r="991">
      <c r="A991" s="37"/>
      <c r="B991" s="37"/>
      <c r="C991" s="37"/>
      <c r="D991" s="37"/>
    </row>
    <row r="992">
      <c r="A992" s="37"/>
      <c r="B992" s="37"/>
      <c r="C992" s="37"/>
      <c r="D992" s="37"/>
    </row>
    <row r="993">
      <c r="A993" s="37"/>
      <c r="B993" s="37"/>
      <c r="C993" s="37"/>
      <c r="D993" s="37"/>
    </row>
    <row r="994">
      <c r="A994" s="37"/>
      <c r="B994" s="37"/>
      <c r="C994" s="37"/>
      <c r="D994" s="37"/>
    </row>
    <row r="995">
      <c r="A995" s="37"/>
      <c r="B995" s="37"/>
      <c r="C995" s="37"/>
      <c r="D995" s="37"/>
    </row>
    <row r="996">
      <c r="A996" s="37"/>
      <c r="B996" s="37"/>
      <c r="C996" s="37"/>
      <c r="D996" s="37"/>
    </row>
    <row r="997">
      <c r="A997" s="37"/>
      <c r="B997" s="37"/>
      <c r="C997" s="37"/>
      <c r="D997" s="37"/>
    </row>
    <row r="998">
      <c r="A998" s="37"/>
      <c r="B998" s="37"/>
      <c r="C998" s="37"/>
      <c r="D998" s="37"/>
    </row>
  </sheetData>
  <drawing r:id="rId1"/>
</worksheet>
</file>