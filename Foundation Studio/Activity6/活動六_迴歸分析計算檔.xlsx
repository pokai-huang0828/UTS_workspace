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資料" sheetId="2" state="visible" r:id="rId4"/>
    <sheet name="步驟2_t檢定" sheetId="3" state="visible" r:id="rId5"/>
    <sheet name="步驟3_簡單迴歸" sheetId="4" state="visible" r:id="rId6"/>
    <sheet name="步驟4_p值比較" sheetId="5" state="visible" r:id="rId7"/>
    <sheet name="步驟5_多元迴歸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<sst xmlns="http://schemas.openxmlformats.org/spreadsheetml/2006/main" count="138" uniqueCount="109">
  <si>
    <r>
      <rPr>
        <b val="true"/>
        <sz val="13"/>
        <color rgb="FFFFFFFF"/>
        <rFont val="DejaVu Sans"/>
        <family val="2"/>
      </rPr>
      <t xml:space="preserve">活動六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估計線性迴歸模型 — 計算工作檔</t>
    </r>
  </si>
  <si>
    <t xml:space="preserve">課程</t>
  </si>
  <si>
    <r>
      <rPr>
        <sz val="10"/>
        <rFont val="Arial"/>
        <family val="0"/>
        <charset val="1"/>
      </rPr>
      <t xml:space="preserve">231708 Foundation Studio</t>
    </r>
    <r>
      <rPr>
        <sz val="10"/>
        <rFont val="DejaVu Sans"/>
        <family val="2"/>
      </rPr>
      <t xml:space="preserve">｜單元二</t>
    </r>
    <r>
      <rPr>
        <sz val="10"/>
        <rFont val="Arial"/>
        <family val="0"/>
        <charset val="1"/>
      </rPr>
      <t xml:space="preserve">:</t>
    </r>
    <r>
      <rPr>
        <sz val="10"/>
        <rFont val="DejaVu Sans"/>
        <family val="2"/>
      </rPr>
      <t xml:space="preserve">商業統計與線性回歸</t>
    </r>
  </si>
  <si>
    <t xml:space="preserve">資料來源</t>
  </si>
  <si>
    <r>
      <rPr>
        <sz val="10"/>
        <rFont val="Arial"/>
        <family val="0"/>
        <charset val="1"/>
      </rPr>
      <t xml:space="preserve">Regression example data.xlsx(Canvas </t>
    </r>
    <r>
      <rPr>
        <sz val="10"/>
        <rFont val="DejaVu Sans"/>
        <family val="2"/>
      </rPr>
      <t xml:space="preserve">活動六提供</t>
    </r>
    <r>
      <rPr>
        <sz val="10"/>
        <rFont val="Arial"/>
        <family val="0"/>
        <charset val="1"/>
      </rPr>
      <t xml:space="preserve">,N = 1528)</t>
    </r>
  </si>
  <si>
    <t xml:space="preserve">分析目的</t>
  </si>
  <si>
    <t xml:space="preserve">檢驗男性與女性在生活滿意度上是否存在統計顯著差異</t>
  </si>
  <si>
    <t xml:space="preserve">說明</t>
  </si>
  <si>
    <r>
      <rPr>
        <i val="true"/>
        <sz val="9"/>
        <color rgb="FF555555"/>
        <rFont val="DejaVu Sans"/>
        <family val="2"/>
      </rPr>
      <t xml:space="preserve">所有統計量皆以 </t>
    </r>
    <r>
      <rPr>
        <i val="true"/>
        <sz val="9"/>
        <color rgb="FF555555"/>
        <rFont val="Arial"/>
        <family val="0"/>
        <charset val="1"/>
      </rPr>
      <t xml:space="preserve">Excel </t>
    </r>
    <r>
      <rPr>
        <i val="true"/>
        <sz val="9"/>
        <color rgb="FF555555"/>
        <rFont val="DejaVu Sans"/>
        <family val="2"/>
      </rPr>
      <t xml:space="preserve">公式即時計算</t>
    </r>
    <r>
      <rPr>
        <i val="true"/>
        <sz val="9"/>
        <color rgb="FF555555"/>
        <rFont val="Arial"/>
        <family val="0"/>
        <charset val="1"/>
      </rPr>
      <t xml:space="preserve">,</t>
    </r>
    <r>
      <rPr>
        <i val="true"/>
        <sz val="9"/>
        <color rgb="FF555555"/>
        <rFont val="DejaVu Sans"/>
        <family val="2"/>
      </rPr>
      <t xml:space="preserve">數值會隨資料變動自動更新。</t>
    </r>
  </si>
  <si>
    <t xml:space="preserve">資料字典</t>
  </si>
  <si>
    <t xml:space="preserve">工作表導覽</t>
  </si>
  <si>
    <t xml:space="preserve">life_sat</t>
  </si>
  <si>
    <r>
      <rPr>
        <sz val="10"/>
        <rFont val="DejaVu Sans"/>
        <family val="2"/>
      </rPr>
      <t xml:space="preserve">生活滿意度</t>
    </r>
    <r>
      <rPr>
        <sz val="10"/>
        <rFont val="Arial"/>
        <family val="0"/>
        <charset val="1"/>
      </rPr>
      <t xml:space="preserve">(1–5,</t>
    </r>
    <r>
      <rPr>
        <sz val="10"/>
        <rFont val="DejaVu Sans"/>
        <family val="2"/>
      </rPr>
      <t xml:space="preserve">數值越高越滿意</t>
    </r>
    <r>
      <rPr>
        <sz val="10"/>
        <rFont val="Arial"/>
        <family val="0"/>
        <charset val="1"/>
      </rPr>
      <t xml:space="preserve">)</t>
    </r>
  </si>
  <si>
    <t xml:space="preserve">資料</t>
  </si>
  <si>
    <r>
      <rPr>
        <sz val="10"/>
        <rFont val="DejaVu Sans"/>
        <family val="2"/>
      </rPr>
      <t xml:space="preserve">原始 </t>
    </r>
    <r>
      <rPr>
        <sz val="10"/>
        <rFont val="Arial"/>
        <family val="0"/>
        <charset val="1"/>
      </rPr>
      <t xml:space="preserve">1528 </t>
    </r>
    <r>
      <rPr>
        <sz val="10"/>
        <rFont val="DejaVu Sans"/>
        <family val="2"/>
      </rPr>
      <t xml:space="preserve">筆觀測值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男女分組輔助欄</t>
    </r>
  </si>
  <si>
    <t xml:space="preserve">age</t>
  </si>
  <si>
    <r>
      <rPr>
        <sz val="10"/>
        <rFont val="DejaVu Sans"/>
        <family val="2"/>
      </rPr>
      <t xml:space="preserve">年齡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歲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</si>
  <si>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步驟</t>
    </r>
    <r>
      <rPr>
        <b val="true"/>
        <sz val="10"/>
        <rFont val="Arial"/>
        <family val="0"/>
        <charset val="1"/>
      </rPr>
      <t xml:space="preserve">2_t</t>
    </r>
    <r>
      <rPr>
        <b val="true"/>
        <sz val="10"/>
        <rFont val="DejaVu Sans"/>
        <family val="2"/>
      </rPr>
      <t xml:space="preserve">檢定</t>
    </r>
  </si>
  <si>
    <r>
      <rPr>
        <sz val="10"/>
        <rFont val="DejaVu Sans"/>
        <family val="2"/>
      </rPr>
      <t xml:space="preserve">男女平均數與雙樣本 </t>
    </r>
    <r>
      <rPr>
        <sz val="10"/>
        <rFont val="Arial"/>
        <family val="0"/>
        <charset val="1"/>
      </rPr>
      <t xml:space="preserve">t </t>
    </r>
    <r>
      <rPr>
        <sz val="10"/>
        <rFont val="DejaVu Sans"/>
        <family val="2"/>
      </rPr>
      <t xml:space="preserve">檢定</t>
    </r>
  </si>
  <si>
    <t xml:space="preserve">male</t>
  </si>
  <si>
    <r>
      <rPr>
        <sz val="10"/>
        <rFont val="DejaVu Sans"/>
        <family val="2"/>
      </rPr>
      <t xml:space="preserve">男性虛擬變數</t>
    </r>
    <r>
      <rPr>
        <sz val="10"/>
        <rFont val="Arial"/>
        <family val="0"/>
        <charset val="1"/>
      </rPr>
      <t xml:space="preserve">(1 = </t>
    </r>
    <r>
      <rPr>
        <sz val="10"/>
        <rFont val="DejaVu Sans"/>
        <family val="2"/>
      </rPr>
      <t xml:space="preserve">男性</t>
    </r>
    <r>
      <rPr>
        <sz val="10"/>
        <rFont val="Arial"/>
        <family val="0"/>
        <charset val="1"/>
      </rPr>
      <t xml:space="preserve">,0 = </t>
    </r>
    <r>
      <rPr>
        <sz val="10"/>
        <rFont val="DejaVu Sans"/>
        <family val="2"/>
      </rPr>
      <t xml:space="preserve">女性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</si>
  <si>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步驟</t>
    </r>
    <r>
      <rPr>
        <b val="true"/>
        <sz val="10"/>
        <rFont val="Arial"/>
        <family val="0"/>
        <charset val="1"/>
      </rPr>
      <t xml:space="preserve">3_</t>
    </r>
    <r>
      <rPr>
        <b val="true"/>
        <sz val="10"/>
        <rFont val="DejaVu Sans"/>
        <family val="2"/>
      </rPr>
      <t xml:space="preserve">簡單迴歸</t>
    </r>
  </si>
  <si>
    <r>
      <rPr>
        <sz val="10"/>
        <rFont val="Arial"/>
        <family val="0"/>
        <charset val="1"/>
      </rPr>
      <t xml:space="preserve">life_sat ~ male </t>
    </r>
    <r>
      <rPr>
        <sz val="10"/>
        <rFont val="DejaVu Sans"/>
        <family val="2"/>
      </rPr>
      <t xml:space="preserve">簡單線性迴歸</t>
    </r>
  </si>
  <si>
    <t xml:space="preserve">dep_children</t>
  </si>
  <si>
    <t xml:space="preserve">受撫養子女數</t>
  </si>
  <si>
    <r>
      <rPr>
        <b val="true"/>
        <sz val="10"/>
        <rFont val="DejaVu Sans"/>
        <family val="2"/>
      </rPr>
      <t xml:space="preserve">步驟</t>
    </r>
    <r>
      <rPr>
        <b val="true"/>
        <sz val="10"/>
        <rFont val="Arial"/>
        <family val="0"/>
        <charset val="1"/>
      </rPr>
      <t xml:space="preserve">4_p</t>
    </r>
    <r>
      <rPr>
        <b val="true"/>
        <sz val="10"/>
        <rFont val="DejaVu Sans"/>
        <family val="2"/>
      </rPr>
      <t xml:space="preserve">值比較</t>
    </r>
  </si>
  <si>
    <r>
      <rPr>
        <sz val="10"/>
        <rFont val="DejaVu Sans"/>
        <family val="2"/>
      </rPr>
      <t xml:space="preserve">比較步驟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與步驟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p </t>
    </r>
    <r>
      <rPr>
        <sz val="10"/>
        <rFont val="DejaVu Sans"/>
        <family val="2"/>
      </rPr>
      <t xml:space="preserve">值</t>
    </r>
  </si>
  <si>
    <t xml:space="preserve">employed</t>
  </si>
  <si>
    <r>
      <rPr>
        <sz val="10"/>
        <rFont val="DejaVu Sans"/>
        <family val="2"/>
      </rPr>
      <t xml:space="preserve">是否就業</t>
    </r>
    <r>
      <rPr>
        <sz val="10"/>
        <rFont val="Arial"/>
        <family val="0"/>
        <charset val="1"/>
      </rPr>
      <t xml:space="preserve">(1 = </t>
    </r>
    <r>
      <rPr>
        <sz val="10"/>
        <rFont val="DejaVu Sans"/>
        <family val="2"/>
      </rPr>
      <t xml:space="preserve">是</t>
    </r>
    <r>
      <rPr>
        <sz val="10"/>
        <rFont val="Arial"/>
        <family val="0"/>
        <charset val="1"/>
      </rPr>
      <t xml:space="preserve">,0 = </t>
    </r>
    <r>
      <rPr>
        <sz val="10"/>
        <rFont val="DejaVu Sans"/>
        <family val="2"/>
      </rPr>
      <t xml:space="preserve">否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</si>
  <si>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步驟</t>
    </r>
    <r>
      <rPr>
        <b val="true"/>
        <sz val="10"/>
        <rFont val="Arial"/>
        <family val="0"/>
        <charset val="1"/>
      </rPr>
      <t xml:space="preserve">5_</t>
    </r>
    <r>
      <rPr>
        <b val="true"/>
        <sz val="10"/>
        <rFont val="DejaVu Sans"/>
        <family val="2"/>
      </rPr>
      <t xml:space="preserve">多元迴歸</t>
    </r>
  </si>
  <si>
    <t xml:space="preserve">加入控制變數的多元迴歸</t>
  </si>
  <si>
    <t xml:space="preserve">city</t>
  </si>
  <si>
    <r>
      <rPr>
        <sz val="10"/>
        <rFont val="DejaVu Sans"/>
        <family val="2"/>
      </rPr>
      <t xml:space="preserve">是否居住於城市</t>
    </r>
    <r>
      <rPr>
        <sz val="10"/>
        <rFont val="Arial"/>
        <family val="0"/>
        <charset val="1"/>
      </rPr>
      <t xml:space="preserve">(1 = </t>
    </r>
    <r>
      <rPr>
        <sz val="10"/>
        <rFont val="DejaVu Sans"/>
        <family val="2"/>
      </rPr>
      <t xml:space="preserve">是</t>
    </r>
    <r>
      <rPr>
        <sz val="10"/>
        <rFont val="Arial"/>
        <family val="0"/>
        <charset val="1"/>
      </rPr>
      <t xml:space="preserve">,0 = </t>
    </r>
    <r>
      <rPr>
        <sz val="10"/>
        <rFont val="DejaVu Sans"/>
        <family val="2"/>
      </rPr>
      <t xml:space="preserve">否</t>
    </r>
    <r>
      <rPr>
        <sz val="10"/>
        <rFont val="Arial"/>
        <family val="0"/>
        <charset val="1"/>
      </rPr>
      <t xml:space="preserve">)</t>
    </r>
  </si>
  <si>
    <t xml:space="preserve">couple</t>
  </si>
  <si>
    <r>
      <rPr>
        <sz val="10"/>
        <rFont val="DejaVu Sans"/>
        <family val="2"/>
      </rPr>
      <t xml:space="preserve">是否有伴侶</t>
    </r>
    <r>
      <rPr>
        <sz val="10"/>
        <rFont val="Arial"/>
        <family val="0"/>
        <charset val="1"/>
      </rPr>
      <t xml:space="preserve">(1 = </t>
    </r>
    <r>
      <rPr>
        <sz val="10"/>
        <rFont val="DejaVu Sans"/>
        <family val="2"/>
      </rPr>
      <t xml:space="preserve">是</t>
    </r>
    <r>
      <rPr>
        <sz val="10"/>
        <rFont val="Arial"/>
        <family val="0"/>
        <charset val="1"/>
      </rPr>
      <t xml:space="preserve">,0 = </t>
    </r>
    <r>
      <rPr>
        <sz val="10"/>
        <rFont val="DejaVu Sans"/>
        <family val="2"/>
      </rPr>
      <t xml:space="preserve">否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</si>
  <si>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life_sat(</t>
    </r>
    <r>
      <rPr>
        <b val="true"/>
        <sz val="11"/>
        <color rgb="FFFFFFFF"/>
        <rFont val="DejaVu Sans"/>
        <family val="2"/>
      </rPr>
      <t xml:space="preserve">男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</si>
  <si>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life_sat(</t>
    </r>
    <r>
      <rPr>
        <b val="true"/>
        <sz val="11"/>
        <color rgb="FFFFFFFF"/>
        <rFont val="DejaVu Sans"/>
        <family val="2"/>
      </rPr>
      <t xml:space="preserve">女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</si>
  <si>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3"/>
        <color rgb="FFFFFFFF"/>
        <rFont val="DejaVu Sans"/>
        <family val="2"/>
      </rPr>
      <t xml:space="preserve">步驟二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男女平均生活滿意度 </t>
    </r>
    <r>
      <rPr>
        <b val="true"/>
        <sz val="13"/>
        <color rgb="FFFFFFFF"/>
        <rFont val="Arial"/>
        <family val="0"/>
        <charset val="1"/>
      </rPr>
      <t xml:space="preserve">+ </t>
    </r>
    <r>
      <rPr>
        <b val="true"/>
        <sz val="13"/>
        <color rgb="FFFFFFFF"/>
        <rFont val="DejaVu Sans"/>
        <family val="2"/>
      </rPr>
      <t xml:space="preserve">雙樣本 </t>
    </r>
    <r>
      <rPr>
        <b val="true"/>
        <sz val="13"/>
        <color rgb="FFFFFFFF"/>
        <rFont val="Arial"/>
        <family val="0"/>
        <charset val="1"/>
      </rPr>
      <t xml:space="preserve">t </t>
    </r>
    <r>
      <rPr>
        <b val="true"/>
        <sz val="13"/>
        <color rgb="FFFFFFFF"/>
        <rFont val="DejaVu Sans"/>
        <family val="2"/>
      </rPr>
      <t xml:space="preserve">檢定</t>
    </r>
  </si>
  <si>
    <r>
      <rPr>
        <i val="true"/>
        <sz val="9"/>
        <color rgb="FF555555"/>
        <rFont val="DejaVu Sans"/>
        <family val="2"/>
      </rPr>
      <t xml:space="preserve">雙尾檢定、假定兩組變異數相等、顯著水準 </t>
    </r>
    <r>
      <rPr>
        <i val="true"/>
        <sz val="9"/>
        <color rgb="FF555555"/>
        <rFont val="Arial"/>
        <family val="0"/>
        <charset val="1"/>
      </rPr>
      <t xml:space="preserve">5%</t>
    </r>
  </si>
  <si>
    <t xml:space="preserve">統計量</t>
  </si>
  <si>
    <r>
      <rPr>
        <b val="true"/>
        <sz val="11"/>
        <color rgb="FFFFFFFF"/>
        <rFont val="DejaVu Sans"/>
        <family val="2"/>
      </rPr>
      <t xml:space="preserve">男性 </t>
    </r>
    <r>
      <rPr>
        <b val="true"/>
        <sz val="11"/>
        <color rgb="FFFFFFFF"/>
        <rFont val="Arial"/>
        <family val="0"/>
        <charset val="1"/>
      </rPr>
      <t xml:space="preserve">(male=1)</t>
    </r>
  </si>
  <si>
    <r>
      <rPr>
        <b val="true"/>
        <sz val="11"/>
        <color rgb="FFFFFFFF"/>
        <rFont val="DejaVu Sans"/>
        <family val="2"/>
      </rPr>
      <t xml:space="preserve">女性 </t>
    </r>
    <r>
      <rPr>
        <b val="true"/>
        <sz val="11"/>
        <color rgb="FFFFFFFF"/>
        <rFont val="Arial"/>
        <family val="0"/>
        <charset val="1"/>
      </rPr>
      <t xml:space="preserve">(male=0)</t>
    </r>
  </si>
  <si>
    <r>
      <rPr>
        <b val="true"/>
        <sz val="11"/>
        <color rgb="FFFFFFFF"/>
        <rFont val="Arial"/>
        <family val="0"/>
        <charset val="1"/>
      </rPr>
      <t xml:space="preserve">Excel </t>
    </r>
    <r>
      <rPr>
        <b val="true"/>
        <sz val="11"/>
        <color rgb="FFFFFFFF"/>
        <rFont val="DejaVu Sans"/>
        <family val="2"/>
      </rPr>
      <t xml:space="preserve">公式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男性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</si>
  <si>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樣本數 </t>
    </r>
    <r>
      <rPr>
        <b val="true"/>
        <sz val="10"/>
        <rFont val="Arial"/>
        <family val="0"/>
        <charset val="1"/>
      </rPr>
      <t xml:space="preserve">n</t>
    </r>
  </si>
  <si>
    <t xml:space="preserve">COUNTIF</t>
  </si>
  <si>
    <t xml:space="preserve">平均生活滿意度</t>
  </si>
  <si>
    <t xml:space="preserve">AVERAGEIF</t>
  </si>
  <si>
    <r>
      <rPr>
        <b val="true"/>
        <sz val="10"/>
        <rFont val="DejaVu Sans"/>
        <family val="2"/>
      </rPr>
      <t xml:space="preserve">標準差 </t>
    </r>
    <r>
      <rPr>
        <b val="true"/>
        <sz val="10"/>
        <rFont val="Arial"/>
        <family val="0"/>
        <charset val="1"/>
      </rPr>
      <t xml:space="preserve">s</t>
    </r>
  </si>
  <si>
    <r>
      <rPr>
        <i val="true"/>
        <sz val="9"/>
        <color rgb="FF555555"/>
        <rFont val="Arial"/>
        <family val="0"/>
        <charset val="1"/>
      </rPr>
      <t xml:space="preserve">STDEV(</t>
    </r>
    <r>
      <rPr>
        <i val="true"/>
        <sz val="9"/>
        <color rgb="FF555555"/>
        <rFont val="DejaVu Sans"/>
        <family val="2"/>
      </rPr>
      <t xml:space="preserve">分組輔助欄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</si>
  <si>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變異數 </t>
    </r>
    <r>
      <rPr>
        <b val="true"/>
        <sz val="10"/>
        <rFont val="Arial"/>
        <family val="0"/>
        <charset val="1"/>
      </rPr>
      <t xml:space="preserve">s²</t>
    </r>
  </si>
  <si>
    <t xml:space="preserve">s²</t>
  </si>
  <si>
    <r>
      <rPr>
        <b val="true"/>
        <sz val="11"/>
        <color rgb="FFFFFFFF"/>
        <rFont val="Arial"/>
        <family val="0"/>
        <charset val="1"/>
      </rPr>
      <t xml:space="preserve">t </t>
    </r>
    <r>
      <rPr>
        <b val="true"/>
        <sz val="11"/>
        <color rgb="FFFFFFFF"/>
        <rFont val="DejaVu Sans"/>
        <family val="2"/>
      </rPr>
      <t xml:space="preserve">檢定計算</t>
    </r>
  </si>
  <si>
    <t xml:space="preserve">值</t>
  </si>
  <si>
    <r>
      <rPr>
        <b val="true"/>
        <sz val="11"/>
        <color rgb="FFFFFFFF"/>
        <rFont val="DejaVu Sans"/>
        <family val="2"/>
      </rPr>
      <t xml:space="preserve">公式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說明</t>
    </r>
  </si>
  <si>
    <r>
      <rPr>
        <b val="true"/>
        <sz val="10"/>
        <rFont val="DejaVu Sans"/>
        <family val="2"/>
      </rPr>
      <t xml:space="preserve">均值差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男 − 女</t>
    </r>
    <r>
      <rPr>
        <b val="true"/>
        <sz val="10"/>
        <rFont val="Arial"/>
        <family val="0"/>
        <charset val="1"/>
      </rPr>
      <t xml:space="preserve">)</t>
    </r>
  </si>
  <si>
    <t xml:space="preserve">男性平均 − 女性平均</t>
  </si>
  <si>
    <r>
      <rPr>
        <b val="true"/>
        <sz val="10"/>
        <rFont val="DejaVu Sans"/>
        <family val="2"/>
      </rPr>
      <t xml:space="preserve">合併變異數 </t>
    </r>
    <r>
      <rPr>
        <b val="true"/>
        <sz val="10"/>
        <rFont val="Arial"/>
        <family val="0"/>
        <charset val="1"/>
      </rPr>
      <t xml:space="preserve">s²p</t>
    </r>
  </si>
  <si>
    <t xml:space="preserve">((n₁-1)s₁²+(n₂-1)s₂²)/(n₁+n₂-2)</t>
  </si>
  <si>
    <r>
      <rPr>
        <b val="true"/>
        <sz val="10"/>
        <rFont val="DejaVu Sans"/>
        <family val="2"/>
      </rPr>
      <t xml:space="preserve">標準誤 </t>
    </r>
    <r>
      <rPr>
        <b val="true"/>
        <sz val="10"/>
        <rFont val="Arial"/>
        <family val="0"/>
        <charset val="1"/>
      </rPr>
      <t xml:space="preserve">SE</t>
    </r>
  </si>
  <si>
    <t xml:space="preserve">√(s²p·(1/n₁+1/n₂))</t>
  </si>
  <si>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DejaVu Sans"/>
        <family val="2"/>
      </rPr>
      <t xml:space="preserve">統計量</t>
    </r>
  </si>
  <si>
    <r>
      <rPr>
        <i val="true"/>
        <sz val="9"/>
        <color rgb="FF555555"/>
        <rFont val="DejaVu Sans"/>
        <family val="2"/>
      </rPr>
      <t xml:space="preserve">均值差 </t>
    </r>
    <r>
      <rPr>
        <i val="true"/>
        <sz val="9"/>
        <color rgb="FF555555"/>
        <rFont val="Arial"/>
        <family val="0"/>
        <charset val="1"/>
      </rPr>
      <t xml:space="preserve">÷ </t>
    </r>
    <r>
      <rPr>
        <i val="true"/>
        <sz val="9"/>
        <color rgb="FF555555"/>
        <rFont val="DejaVu Sans"/>
        <family val="2"/>
      </rPr>
      <t xml:space="preserve">標準誤</t>
    </r>
  </si>
  <si>
    <r>
      <rPr>
        <b val="true"/>
        <sz val="10"/>
        <rFont val="DejaVu Sans"/>
        <family val="2"/>
      </rPr>
      <t xml:space="preserve">自由度 </t>
    </r>
    <r>
      <rPr>
        <b val="true"/>
        <sz val="10"/>
        <rFont val="Arial"/>
        <family val="0"/>
        <charset val="1"/>
      </rPr>
      <t xml:space="preserve">df</t>
    </r>
  </si>
  <si>
    <t xml:space="preserve">n₁ + n₂ − 2</t>
  </si>
  <si>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DejaVu Sans"/>
        <family val="2"/>
      </rPr>
      <t xml:space="preserve">值 </t>
    </r>
    <r>
      <rPr>
        <b val="true"/>
        <sz val="10"/>
        <rFont val="Arial"/>
        <family val="0"/>
        <charset val="1"/>
      </rPr>
      <t xml:space="preserve">(T.TEST)</t>
    </r>
  </si>
  <si>
    <r>
      <rPr>
        <i val="true"/>
        <sz val="9"/>
        <color rgb="FF555555"/>
        <rFont val="DejaVu Sans"/>
        <family val="2"/>
      </rPr>
      <t xml:space="preserve">雙尾、</t>
    </r>
    <r>
      <rPr>
        <i val="true"/>
        <sz val="9"/>
        <color rgb="FF555555"/>
        <rFont val="Arial"/>
        <family val="0"/>
        <charset val="1"/>
      </rPr>
      <t xml:space="preserve">type 2(</t>
    </r>
    <r>
      <rPr>
        <i val="true"/>
        <sz val="9"/>
        <color rgb="FF555555"/>
        <rFont val="DejaVu Sans"/>
        <family val="2"/>
      </rPr>
      <t xml:space="preserve">等變異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</si>
  <si>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DejaVu Sans"/>
        <family val="2"/>
      </rPr>
      <t xml:space="preserve">值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由 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DejaVu Sans"/>
        <family val="2"/>
      </rPr>
      <t xml:space="preserve">反推</t>
    </r>
    <r>
      <rPr>
        <b val="true"/>
        <sz val="10"/>
        <rFont val="Arial"/>
        <family val="0"/>
        <charset val="1"/>
      </rPr>
      <t xml:space="preserve">,</t>
    </r>
    <r>
      <rPr>
        <b val="true"/>
        <sz val="10"/>
        <rFont val="DejaVu Sans"/>
        <family val="2"/>
      </rPr>
      <t xml:space="preserve">核對</t>
    </r>
    <r>
      <rPr>
        <b val="true"/>
        <sz val="10"/>
        <rFont val="Arial"/>
        <family val="0"/>
        <charset val="1"/>
      </rPr>
      <t xml:space="preserve">)</t>
    </r>
  </si>
  <si>
    <t xml:space="preserve">與上式應一致</t>
  </si>
  <si>
    <t xml:space="preserve">結論</t>
  </si>
  <si>
    <r>
      <rPr>
        <b val="true"/>
        <sz val="13"/>
        <color rgb="FFFFFFFF"/>
        <rFont val="DejaVu Sans"/>
        <family val="2"/>
      </rPr>
      <t xml:space="preserve">步驟三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簡單線性迴歸  </t>
    </r>
    <r>
      <rPr>
        <b val="true"/>
        <sz val="13"/>
        <color rgb="FFFFFFFF"/>
        <rFont val="Arial"/>
        <family val="0"/>
        <charset val="1"/>
      </rPr>
      <t xml:space="preserve">life_sat = b₀ + b₁·male</t>
    </r>
  </si>
  <si>
    <r>
      <rPr>
        <i val="true"/>
        <sz val="9"/>
        <color rgb="FF555555"/>
        <rFont val="DejaVu Sans"/>
        <family val="2"/>
      </rPr>
      <t xml:space="preserve">以 </t>
    </r>
    <r>
      <rPr>
        <i val="true"/>
        <sz val="9"/>
        <color rgb="FF555555"/>
        <rFont val="Arial"/>
        <family val="0"/>
        <charset val="1"/>
      </rPr>
      <t xml:space="preserve">LINEST </t>
    </r>
    <r>
      <rPr>
        <i val="true"/>
        <sz val="9"/>
        <color rgb="FF555555"/>
        <rFont val="DejaVu Sans"/>
        <family val="2"/>
      </rPr>
      <t xml:space="preserve">即時估計</t>
    </r>
    <r>
      <rPr>
        <i val="true"/>
        <sz val="9"/>
        <color rgb="FF555555"/>
        <rFont val="Arial"/>
        <family val="0"/>
        <charset val="1"/>
      </rPr>
      <t xml:space="preserve">;</t>
    </r>
    <r>
      <rPr>
        <i val="true"/>
        <sz val="9"/>
        <color rgb="FF555555"/>
        <rFont val="DejaVu Sans"/>
        <family val="2"/>
      </rPr>
      <t xml:space="preserve">被解釋變數 </t>
    </r>
    <r>
      <rPr>
        <i val="true"/>
        <sz val="9"/>
        <color rgb="FF555555"/>
        <rFont val="Arial"/>
        <family val="0"/>
        <charset val="1"/>
      </rPr>
      <t xml:space="preserve">life_sat,</t>
    </r>
    <r>
      <rPr>
        <i val="true"/>
        <sz val="9"/>
        <color rgb="FF555555"/>
        <rFont val="DejaVu Sans"/>
        <family val="2"/>
      </rPr>
      <t xml:space="preserve">自變數 </t>
    </r>
    <r>
      <rPr>
        <i val="true"/>
        <sz val="9"/>
        <color rgb="FF555555"/>
        <rFont val="Arial"/>
        <family val="0"/>
        <charset val="1"/>
      </rPr>
      <t xml:space="preserve">male</t>
    </r>
  </si>
  <si>
    <t xml:space="preserve">參數</t>
  </si>
  <si>
    <t xml:space="preserve">係數</t>
  </si>
  <si>
    <t xml:space="preserve">標準誤</t>
  </si>
  <si>
    <r>
      <rPr>
        <b val="true"/>
        <sz val="11"/>
        <color rgb="FFFFFFFF"/>
        <rFont val="Arial"/>
        <family val="0"/>
        <charset val="1"/>
      </rPr>
      <t xml:space="preserve">t </t>
    </r>
    <r>
      <rPr>
        <b val="true"/>
        <sz val="11"/>
        <color rgb="FFFFFFFF"/>
        <rFont val="DejaVu Sans"/>
        <family val="2"/>
      </rPr>
      <t xml:space="preserve">統計量</t>
    </r>
  </si>
  <si>
    <r>
      <rPr>
        <b val="true"/>
        <sz val="11"/>
        <color rgb="FFFFFFFF"/>
        <rFont val="Arial"/>
        <family val="0"/>
        <charset val="1"/>
      </rPr>
      <t xml:space="preserve">p </t>
    </r>
    <r>
      <rPr>
        <b val="true"/>
        <sz val="11"/>
        <color rgb="FFFFFFFF"/>
        <rFont val="DejaVu Sans"/>
        <family val="2"/>
      </rPr>
      <t xml:space="preserve">值</t>
    </r>
  </si>
  <si>
    <r>
      <rPr>
        <b val="true"/>
        <sz val="10"/>
        <rFont val="DejaVu Sans"/>
        <family val="2"/>
      </rPr>
      <t xml:space="preserve">截距 </t>
    </r>
    <r>
      <rPr>
        <b val="true"/>
        <sz val="10"/>
        <rFont val="Arial"/>
        <family val="0"/>
        <charset val="1"/>
      </rPr>
      <t xml:space="preserve">b₀</t>
    </r>
  </si>
  <si>
    <r>
      <rPr>
        <i val="true"/>
        <sz val="9"/>
        <color rgb="FF555555"/>
        <rFont val="DejaVu Sans"/>
        <family val="2"/>
      </rPr>
      <t xml:space="preserve">女性</t>
    </r>
    <r>
      <rPr>
        <i val="true"/>
        <sz val="9"/>
        <color rgb="FF555555"/>
        <rFont val="Arial"/>
        <family val="0"/>
        <charset val="1"/>
      </rPr>
      <t xml:space="preserve">(male=0)</t>
    </r>
    <r>
      <rPr>
        <i val="true"/>
        <sz val="9"/>
        <color rgb="FF555555"/>
        <rFont val="DejaVu Sans"/>
        <family val="2"/>
      </rPr>
      <t xml:space="preserve">的預測生活滿意度</t>
    </r>
  </si>
  <si>
    <r>
      <rPr>
        <b val="true"/>
        <sz val="10"/>
        <rFont val="Arial"/>
        <family val="0"/>
        <charset val="1"/>
      </rPr>
      <t xml:space="preserve">male </t>
    </r>
    <r>
      <rPr>
        <b val="true"/>
        <sz val="10"/>
        <rFont val="DejaVu Sans"/>
        <family val="2"/>
      </rPr>
      <t xml:space="preserve">係數 </t>
    </r>
    <r>
      <rPr>
        <b val="true"/>
        <sz val="10"/>
        <rFont val="Arial"/>
        <family val="0"/>
        <charset val="1"/>
      </rPr>
      <t xml:space="preserve">b₁</t>
    </r>
  </si>
  <si>
    <t xml:space="preserve">男性相對女性的生活滿意度差異</t>
  </si>
  <si>
    <t xml:space="preserve">R²</t>
  </si>
  <si>
    <r>
      <rPr>
        <b val="true"/>
        <sz val="11"/>
        <color rgb="FFFFFFFF"/>
        <rFont val="DejaVu Sans"/>
        <family val="2"/>
      </rPr>
      <t xml:space="preserve">驗證</t>
    </r>
    <r>
      <rPr>
        <b val="true"/>
        <sz val="11"/>
        <color rgb="FFFFFFFF"/>
        <rFont val="Arial"/>
        <family val="0"/>
        <charset val="1"/>
      </rPr>
      <t xml:space="preserve">:</t>
    </r>
    <r>
      <rPr>
        <b val="true"/>
        <sz val="11"/>
        <color rgb="FFFFFFFF"/>
        <rFont val="DejaVu Sans"/>
        <family val="2"/>
      </rPr>
      <t xml:space="preserve">迴歸係數 </t>
    </r>
    <r>
      <rPr>
        <b val="true"/>
        <sz val="11"/>
        <color rgb="FFFFFFFF"/>
        <rFont val="Arial"/>
        <family val="0"/>
        <charset val="1"/>
      </rPr>
      <t xml:space="preserve">= </t>
    </r>
    <r>
      <rPr>
        <b val="true"/>
        <sz val="11"/>
        <color rgb="FFFFFFFF"/>
        <rFont val="DejaVu Sans"/>
        <family val="2"/>
      </rPr>
      <t xml:space="preserve">兩組平均數</t>
    </r>
  </si>
  <si>
    <t xml:space="preserve">應等於女性平均</t>
  </si>
  <si>
    <t xml:space="preserve">b₀ + b₁</t>
  </si>
  <si>
    <t xml:space="preserve">應等於男性平均</t>
  </si>
  <si>
    <r>
      <rPr>
        <i val="true"/>
        <sz val="9"/>
        <color rgb="FF555555"/>
        <rFont val="DejaVu Sans"/>
        <family val="2"/>
      </rPr>
      <t xml:space="preserve">應等於均值差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DejaVu Sans"/>
        <family val="2"/>
      </rPr>
      <t xml:space="preserve">男−女</t>
    </r>
    <r>
      <rPr>
        <i val="true"/>
        <sz val="9"/>
        <color rgb="FF555555"/>
        <rFont val="Arial"/>
        <family val="0"/>
        <charset val="1"/>
      </rPr>
      <t xml:space="preserve">)</t>
    </r>
  </si>
  <si>
    <t xml:space="preserve">解讀</t>
  </si>
  <si>
    <r>
      <rPr>
        <b val="true"/>
        <sz val="13"/>
        <color rgb="FFFFFFFF"/>
        <rFont val="DejaVu Sans"/>
        <family val="2"/>
      </rPr>
      <t xml:space="preserve">步驟四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比較兩個 </t>
    </r>
    <r>
      <rPr>
        <b val="true"/>
        <sz val="13"/>
        <color rgb="FFFFFFFF"/>
        <rFont val="Arial"/>
        <family val="0"/>
        <charset val="1"/>
      </rPr>
      <t xml:space="preserve">p </t>
    </r>
    <r>
      <rPr>
        <b val="true"/>
        <sz val="13"/>
        <color rgb="FFFFFFFF"/>
        <rFont val="DejaVu Sans"/>
        <family val="2"/>
      </rPr>
      <t xml:space="preserve">值</t>
    </r>
  </si>
  <si>
    <t xml:space="preserve">來源</t>
  </si>
  <si>
    <r>
      <rPr>
        <b val="true"/>
        <sz val="10"/>
        <rFont val="DejaVu Sans"/>
        <family val="2"/>
      </rPr>
      <t xml:space="preserve">步驟二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雙樣本 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DejaVu Sans"/>
        <family val="2"/>
      </rPr>
      <t xml:space="preserve">檢定</t>
    </r>
  </si>
  <si>
    <r>
      <rPr>
        <i val="true"/>
        <sz val="9"/>
        <color rgb="FF555555"/>
        <rFont val="Arial"/>
        <family val="0"/>
        <charset val="1"/>
      </rPr>
      <t xml:space="preserve">equal-variance</t>
    </r>
    <r>
      <rPr>
        <i val="true"/>
        <sz val="9"/>
        <color rgb="FF555555"/>
        <rFont val="DejaVu Sans"/>
        <family val="2"/>
      </rPr>
      <t xml:space="preserve">、雙尾</t>
    </r>
  </si>
  <si>
    <r>
      <rPr>
        <b val="true"/>
        <sz val="10"/>
        <rFont val="DejaVu Sans"/>
        <family val="2"/>
      </rPr>
      <t xml:space="preserve">步驟三</t>
    </r>
    <r>
      <rPr>
        <b val="true"/>
        <sz val="10"/>
        <rFont val="Arial"/>
        <family val="0"/>
        <charset val="1"/>
      </rPr>
      <t xml:space="preserve">:</t>
    </r>
    <r>
      <rPr>
        <b val="true"/>
        <sz val="10"/>
        <rFont val="DejaVu Sans"/>
        <family val="2"/>
      </rPr>
      <t xml:space="preserve">迴歸 </t>
    </r>
    <r>
      <rPr>
        <b val="true"/>
        <sz val="10"/>
        <rFont val="Arial"/>
        <family val="0"/>
        <charset val="1"/>
      </rPr>
      <t xml:space="preserve">male </t>
    </r>
    <r>
      <rPr>
        <b val="true"/>
        <sz val="10"/>
        <rFont val="DejaVu Sans"/>
        <family val="2"/>
      </rPr>
      <t xml:space="preserve">係數</t>
    </r>
  </si>
  <si>
    <r>
      <rPr>
        <i val="true"/>
        <sz val="9"/>
        <color rgb="FF555555"/>
        <rFont val="DejaVu Sans"/>
        <family val="2"/>
      </rPr>
      <t xml:space="preserve">迴歸係數 </t>
    </r>
    <r>
      <rPr>
        <i val="true"/>
        <sz val="9"/>
        <color rgb="FF555555"/>
        <rFont val="Arial"/>
        <family val="0"/>
        <charset val="1"/>
      </rPr>
      <t xml:space="preserve">t </t>
    </r>
    <r>
      <rPr>
        <i val="true"/>
        <sz val="9"/>
        <color rgb="FF555555"/>
        <rFont val="DejaVu Sans"/>
        <family val="2"/>
      </rPr>
      <t xml:space="preserve">檢定</t>
    </r>
  </si>
  <si>
    <t xml:space="preserve">差異</t>
  </si>
  <si>
    <r>
      <rPr>
        <i val="true"/>
        <sz val="9"/>
        <color rgb="FF555555"/>
        <rFont val="DejaVu Sans"/>
        <family val="2"/>
      </rPr>
      <t xml:space="preserve">兩者幾乎為 </t>
    </r>
    <r>
      <rPr>
        <i val="true"/>
        <sz val="9"/>
        <color rgb="FF555555"/>
        <rFont val="Arial"/>
        <family val="0"/>
        <charset val="1"/>
      </rPr>
      <t xml:space="preserve">0</t>
    </r>
  </si>
  <si>
    <r>
      <rPr>
        <sz val="10"/>
        <rFont val="DejaVu Sans"/>
        <family val="2"/>
      </rPr>
      <t xml:space="preserve">兩個 </t>
    </r>
    <r>
      <rPr>
        <sz val="10"/>
        <rFont val="Arial"/>
        <family val="0"/>
        <charset val="1"/>
      </rPr>
      <t xml:space="preserve">p </t>
    </r>
    <r>
      <rPr>
        <sz val="10"/>
        <rFont val="DejaVu Sans"/>
        <family val="2"/>
      </rPr>
      <t xml:space="preserve">值完全相同。對「連續變數」做「以單一二元虛擬變數為自變數」的簡單線性迴歸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在數學上等價於「假定等變異的雙樣本 </t>
    </r>
    <r>
      <rPr>
        <sz val="10"/>
        <rFont val="Arial"/>
        <family val="0"/>
        <charset val="1"/>
      </rPr>
      <t xml:space="preserve">t </t>
    </r>
    <r>
      <rPr>
        <sz val="10"/>
        <rFont val="DejaVu Sans"/>
        <family val="2"/>
      </rPr>
      <t xml:space="preserve">檢定」——迴歸係數的 </t>
    </r>
    <r>
      <rPr>
        <sz val="10"/>
        <rFont val="Arial"/>
        <family val="0"/>
        <charset val="1"/>
      </rPr>
      <t xml:space="preserve">t </t>
    </r>
    <r>
      <rPr>
        <sz val="10"/>
        <rFont val="DejaVu Sans"/>
        <family val="2"/>
      </rPr>
      <t xml:space="preserve">統計量就等於雙樣本 </t>
    </r>
    <r>
      <rPr>
        <sz val="10"/>
        <rFont val="Arial"/>
        <family val="0"/>
        <charset val="1"/>
      </rPr>
      <t xml:space="preserve">t </t>
    </r>
    <r>
      <rPr>
        <sz val="10"/>
        <rFont val="DejaVu Sans"/>
        <family val="2"/>
      </rPr>
      <t xml:space="preserve">統計量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因此 </t>
    </r>
    <r>
      <rPr>
        <sz val="10"/>
        <rFont val="Arial"/>
        <family val="0"/>
        <charset val="1"/>
      </rPr>
      <t xml:space="preserve">p </t>
    </r>
    <r>
      <rPr>
        <sz val="10"/>
        <rFont val="DejaVu Sans"/>
        <family val="2"/>
      </rPr>
      <t xml:space="preserve">值一致。迴歸是 </t>
    </r>
    <r>
      <rPr>
        <sz val="10"/>
        <rFont val="Arial"/>
        <family val="0"/>
        <charset val="1"/>
      </rPr>
      <t xml:space="preserve">t </t>
    </r>
    <r>
      <rPr>
        <sz val="10"/>
        <rFont val="DejaVu Sans"/>
        <family val="2"/>
      </rPr>
      <t xml:space="preserve">檢定的推廣形式。</t>
    </r>
  </si>
  <si>
    <r>
      <rPr>
        <b val="true"/>
        <sz val="13"/>
        <color rgb="FFFFFFFF"/>
        <rFont val="DejaVu Sans"/>
        <family val="2"/>
      </rPr>
      <t xml:space="preserve">步驟五</t>
    </r>
    <r>
      <rPr>
        <b val="true"/>
        <sz val="13"/>
        <color rgb="FFFFFFFF"/>
        <rFont val="Arial"/>
        <family val="0"/>
        <charset val="1"/>
      </rPr>
      <t xml:space="preserve">:</t>
    </r>
    <r>
      <rPr>
        <b val="true"/>
        <sz val="13"/>
        <color rgb="FFFFFFFF"/>
        <rFont val="DejaVu Sans"/>
        <family val="2"/>
      </rPr>
      <t xml:space="preserve">多元迴歸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加入控制變數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</si>
  <si>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life_sat = b₀ + b₁·male + b₂·age + b₃·dep_children + b₄·employed + b₅·city + b₆·couple</t>
  </si>
  <si>
    <t xml:space="preserve">變數</t>
  </si>
  <si>
    <r>
      <rPr>
        <b val="true"/>
        <sz val="11"/>
        <color rgb="FFFFFFFF"/>
        <rFont val="Arial"/>
        <family val="0"/>
        <charset val="1"/>
      </rPr>
      <t xml:space="preserve">5% </t>
    </r>
    <r>
      <rPr>
        <b val="true"/>
        <sz val="11"/>
        <color rgb="FFFFFFFF"/>
        <rFont val="DejaVu Sans"/>
        <family val="2"/>
      </rPr>
      <t xml:space="preserve">顯著</t>
    </r>
    <r>
      <rPr>
        <b val="true"/>
        <sz val="11"/>
        <color rgb="FFFFFFFF"/>
        <rFont val="Arial"/>
        <family val="0"/>
        <charset val="1"/>
      </rPr>
      <t xml:space="preserve">?</t>
    </r>
  </si>
  <si>
    <t xml:space="preserve">基準組的預測生活滿意度</t>
  </si>
  <si>
    <t xml:space="preserve">控制其他變數後的男女差距</t>
  </si>
  <si>
    <r>
      <rPr>
        <i val="true"/>
        <sz val="9"/>
        <color rgb="FF555555"/>
        <rFont val="DejaVu Sans"/>
        <family val="2"/>
      </rPr>
      <t xml:space="preserve">年齡每增加 </t>
    </r>
    <r>
      <rPr>
        <i val="true"/>
        <sz val="9"/>
        <color rgb="FF555555"/>
        <rFont val="Arial"/>
        <family val="0"/>
        <charset val="1"/>
      </rPr>
      <t xml:space="preserve">1 </t>
    </r>
    <r>
      <rPr>
        <i val="true"/>
        <sz val="9"/>
        <color rgb="FF555555"/>
        <rFont val="DejaVu Sans"/>
        <family val="2"/>
      </rPr>
      <t xml:space="preserve">歲的影響</t>
    </r>
  </si>
  <si>
    <r>
      <rPr>
        <i val="true"/>
        <sz val="9"/>
        <color rgb="FF555555"/>
        <rFont val="DejaVu Sans"/>
        <family val="2"/>
      </rPr>
      <t xml:space="preserve">每多 </t>
    </r>
    <r>
      <rPr>
        <i val="true"/>
        <sz val="9"/>
        <color rgb="FF555555"/>
        <rFont val="Arial"/>
        <family val="0"/>
        <charset val="1"/>
      </rPr>
      <t xml:space="preserve">1 </t>
    </r>
    <r>
      <rPr>
        <i val="true"/>
        <sz val="9"/>
        <color rgb="FF555555"/>
        <rFont val="DejaVu Sans"/>
        <family val="2"/>
      </rPr>
      <t xml:space="preserve">名受撫養子女的影響</t>
    </r>
  </si>
  <si>
    <r>
      <rPr>
        <i val="true"/>
        <sz val="9"/>
        <color rgb="FF555555"/>
        <rFont val="DejaVu Sans"/>
        <family val="2"/>
      </rPr>
      <t xml:space="preserve">就業 </t>
    </r>
    <r>
      <rPr>
        <i val="true"/>
        <sz val="9"/>
        <color rgb="FF555555"/>
        <rFont val="Arial"/>
        <family val="0"/>
        <charset val="1"/>
      </rPr>
      <t xml:space="preserve">vs </t>
    </r>
    <r>
      <rPr>
        <i val="true"/>
        <sz val="9"/>
        <color rgb="FF555555"/>
        <rFont val="DejaVu Sans"/>
        <family val="2"/>
      </rPr>
      <t xml:space="preserve">未就業</t>
    </r>
  </si>
  <si>
    <r>
      <rPr>
        <i val="true"/>
        <sz val="9"/>
        <color rgb="FF555555"/>
        <rFont val="DejaVu Sans"/>
        <family val="2"/>
      </rPr>
      <t xml:space="preserve">居住城市 </t>
    </r>
    <r>
      <rPr>
        <i val="true"/>
        <sz val="9"/>
        <color rgb="FF555555"/>
        <rFont val="Arial"/>
        <family val="0"/>
        <charset val="1"/>
      </rPr>
      <t xml:space="preserve">vs </t>
    </r>
    <r>
      <rPr>
        <i val="true"/>
        <sz val="9"/>
        <color rgb="FF555555"/>
        <rFont val="DejaVu Sans"/>
        <family val="2"/>
      </rPr>
      <t xml:space="preserve">非城市</t>
    </r>
  </si>
  <si>
    <r>
      <rPr>
        <i val="true"/>
        <sz val="9"/>
        <color rgb="FF555555"/>
        <rFont val="DejaVu Sans"/>
        <family val="2"/>
      </rPr>
      <t xml:space="preserve">有伴侶 </t>
    </r>
    <r>
      <rPr>
        <i val="true"/>
        <sz val="9"/>
        <color rgb="FF555555"/>
        <rFont val="Arial"/>
        <family val="0"/>
        <charset val="1"/>
      </rPr>
      <t xml:space="preserve">vs </t>
    </r>
    <r>
      <rPr>
        <i val="true"/>
        <sz val="9"/>
        <color rgb="FF555555"/>
        <rFont val="DejaVu Sans"/>
        <family val="2"/>
      </rPr>
      <t xml:space="preserve">無伴侶</t>
    </r>
  </si>
  <si>
    <r>
      <rPr>
        <b val="true"/>
        <sz val="10"/>
        <rFont val="DejaVu Sans"/>
        <family val="2"/>
      </rPr>
      <t xml:space="preserve">調整後 </t>
    </r>
    <r>
      <rPr>
        <b val="true"/>
        <sz val="10"/>
        <rFont val="Arial"/>
        <family val="0"/>
        <charset val="1"/>
      </rPr>
      <t xml:space="preserve">R²</t>
    </r>
  </si>
  <si>
    <t xml:space="preserve">n − k − 1 = 1528 − 6 − 1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</si>
</sst>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"/>
    <numFmt numFmtId="167" formatCode="0.000000"/>
    <numFmt numFmtId="168" formatCode="0.0000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i val="true"/>
      <sz val="9"/>
      <color rgb="FF555555"/>
      <name val="DejaVu Sans"/>
      <family val="2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2F3"/>
        <bgColor rgb="FFE2EFDA"/>
      </patternFill>
    </fill>
    <fill>
      <patternFill patternType="solid">
        <fgColor rgb="FFC55A11"/>
        <bgColor rgb="FF9933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6" min="3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</row>
    <row r="8" customFormat="false" ht="15" hidden="false" customHeight="true" outlineLevel="0" collapsed="false">
      <c r="A8" s="6" t="s">
        <v>9</v>
      </c>
      <c r="B8" s="6"/>
      <c r="C8" s="6" t="s">
        <v>10</v>
      </c>
      <c r="D8" s="6"/>
      <c r="E8" s="6"/>
      <c r="F8" s="6"/>
    </row>
    <row r="9" customFormat="false" ht="15" hidden="false" customHeight="true" outlineLevel="0" collapsed="false">
      <c r="A9" s="7" t="s">
        <v>11</v>
      </c>
      <c r="B9" s="8" t="s">
        <v>12</v>
      </c>
      <c r="C9" s="9" t="s">
        <v>13</v>
      </c>
      <c r="D9" s="8" t="s">
        <v>14</v>
      </c>
      <c r="E9" s="8"/>
      <c r="F9" s="8"/>
    </row>
    <row r="10" customFormat="false" ht="15" hidden="false" customHeight="true" outlineLevel="0" collapsed="false">
      <c r="A10" s="7" t="s">
        <v>15</v>
      </c>
      <c r="B10" s="8" t="s">
        <v>16</v>
      </c>
      <c r="C10" s="9" t="s">
        <v>17</v>
      </c>
      <c r="D10" s="8" t="s">
        <v>18</v>
      </c>
      <c r="E10" s="8"/>
      <c r="F10" s="8"/>
    </row>
    <row r="11" customFormat="false" ht="15" hidden="false" customHeight="true" outlineLevel="0" collapsed="false">
      <c r="A11" s="7" t="s">
        <v>19</v>
      </c>
      <c r="B11" s="8" t="s">
        <v>20</v>
      </c>
      <c r="C11" s="9" t="s">
        <v>21</v>
      </c>
      <c r="D11" s="10" t="s">
        <v>22</v>
      </c>
      <c r="E11" s="10"/>
      <c r="F11" s="10"/>
    </row>
    <row r="12" customFormat="false" ht="15" hidden="false" customHeight="true" outlineLevel="0" collapsed="false">
      <c r="A12" s="7" t="s">
        <v>23</v>
      </c>
      <c r="B12" s="8" t="s">
        <v>24</v>
      </c>
      <c r="C12" s="9" t="s">
        <v>25</v>
      </c>
      <c r="D12" s="8" t="s">
        <v>26</v>
      </c>
      <c r="E12" s="8"/>
      <c r="F12" s="8"/>
    </row>
    <row r="13" customFormat="false" ht="15" hidden="false" customHeight="true" outlineLevel="0" collapsed="false">
      <c r="A13" s="7" t="s">
        <v>27</v>
      </c>
      <c r="B13" s="8" t="s">
        <v>28</v>
      </c>
      <c r="C13" s="9" t="s">
        <v>29</v>
      </c>
      <c r="D13" s="8" t="s">
        <v>30</v>
      </c>
      <c r="E13" s="8"/>
      <c r="F13" s="8"/>
    </row>
    <row r="14" customFormat="false" ht="15" hidden="false" customHeight="false" outlineLevel="0" collapsed="false">
      <c r="A14" s="7" t="s">
        <v>31</v>
      </c>
      <c r="B14" s="8" t="s">
        <v>32</v>
      </c>
    </row>
    <row r="15" customFormat="false" ht="15" hidden="false" customHeight="false" outlineLevel="0" collapsed="false">
      <c r="A15" s="7" t="s">
        <v>33</v>
      </c>
      <c r="B15" s="8" t="s">
        <v>34</v>
      </c>
    </row>
  </sheetData>
  <mergeCells count="8">
    <mergeCell ref="A1:F1"/>
    <mergeCell ref="A8:B8"/>
    <mergeCell ref="C8:F8"/>
    <mergeCell ref="D9:F9"/>
    <mergeCell ref="D10:F10"/>
    <mergeCell ref="D11:F11"/>
    <mergeCell ref="D12:F12"/>
    <mergeCell ref="D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3"/>
  </cols>
  <sheetData>
    <row r="1" customFormat="false" ht="26.85" hidden="false" customHeight="false" outlineLevel="0" collapsed="false">
      <c r="A1" s="11" t="s">
        <v>11</v>
      </c>
      <c r="B1" s="11" t="s">
        <v>15</v>
      </c>
      <c r="C1" s="11" t="s">
        <v>19</v>
      </c>
      <c r="D1" s="11" t="s">
        <v>23</v>
      </c>
      <c r="E1" s="11" t="s">
        <v>27</v>
      </c>
      <c r="F1" s="11" t="s">
        <v>31</v>
      </c>
      <c r="G1" s="11" t="s">
        <v>33</v>
      </c>
      <c r="H1" s="12" t="s">
        <v>35</v>
      </c>
      <c r="I1" s="12" t="s">
        <v>36</v>
      </c>
    </row>
    <row r="2" customFormat="false" ht="15" hidden="false" customHeight="false" outlineLevel="0" collapsed="false">
      <c r="A2" s="13" t="n">
        <v>5</v>
      </c>
      <c r="B2" s="13" t="n">
        <v>49</v>
      </c>
      <c r="C2" s="13" t="n">
        <v>0</v>
      </c>
      <c r="D2" s="13" t="n">
        <v>2</v>
      </c>
      <c r="E2" s="13" t="n">
        <v>1</v>
      </c>
      <c r="F2" s="13" t="n">
        <v>1</v>
      </c>
      <c r="G2" s="13" t="n">
        <v>0</v>
      </c>
      <c r="H2" s="13" t="str">
        <f aca="false">IF(C2=1,A2,"")</f>
        <v/>
      </c>
      <c r="I2" s="13" t="n">
        <f aca="false">IF(C2=0,A2,"")</f>
        <v>5</v>
      </c>
    </row>
    <row r="3" customFormat="false" ht="15" hidden="false" customHeight="false" outlineLevel="0" collapsed="false">
      <c r="A3" s="13" t="n">
        <v>3</v>
      </c>
      <c r="B3" s="13" t="n">
        <v>35</v>
      </c>
      <c r="C3" s="13" t="n">
        <v>0</v>
      </c>
      <c r="D3" s="13" t="n">
        <v>0</v>
      </c>
      <c r="E3" s="13" t="n">
        <v>1</v>
      </c>
      <c r="F3" s="13" t="n">
        <v>1</v>
      </c>
      <c r="G3" s="13" t="n">
        <v>0</v>
      </c>
      <c r="H3" s="13" t="str">
        <f aca="false">IF(C3=1,A3,"")</f>
        <v/>
      </c>
      <c r="I3" s="13" t="n">
        <f aca="false">IF(C3=0,A3,"")</f>
        <v>3</v>
      </c>
    </row>
    <row r="4" customFormat="false" ht="15" hidden="false" customHeight="false" outlineLevel="0" collapsed="false">
      <c r="A4" s="13" t="n">
        <v>3</v>
      </c>
      <c r="B4" s="13" t="n">
        <v>45</v>
      </c>
      <c r="C4" s="13" t="n">
        <v>1</v>
      </c>
      <c r="D4" s="13" t="n">
        <v>0</v>
      </c>
      <c r="E4" s="13" t="n">
        <v>0</v>
      </c>
      <c r="F4" s="13" t="n">
        <v>1</v>
      </c>
      <c r="G4" s="13" t="n">
        <v>0</v>
      </c>
      <c r="H4" s="13" t="n">
        <f aca="false">IF(C4=1,A4,"")</f>
        <v>3</v>
      </c>
      <c r="I4" s="13" t="str">
        <f aca="false">IF(C4=0,A4,"")</f>
        <v/>
      </c>
    </row>
    <row r="5" customFormat="false" ht="15" hidden="false" customHeight="false" outlineLevel="0" collapsed="false">
      <c r="A5" s="13" t="n">
        <v>4</v>
      </c>
      <c r="B5" s="13" t="n">
        <v>44</v>
      </c>
      <c r="C5" s="13" t="n">
        <v>0</v>
      </c>
      <c r="D5" s="13" t="n">
        <v>1</v>
      </c>
      <c r="E5" s="13" t="n">
        <v>0</v>
      </c>
      <c r="F5" s="13" t="n">
        <v>1</v>
      </c>
      <c r="G5" s="13" t="n">
        <v>0</v>
      </c>
      <c r="H5" s="13" t="str">
        <f aca="false">IF(C5=1,A5,"")</f>
        <v/>
      </c>
      <c r="I5" s="13" t="n">
        <f aca="false">IF(C5=0,A5,"")</f>
        <v>4</v>
      </c>
    </row>
    <row r="6" customFormat="false" ht="15" hidden="false" customHeight="false" outlineLevel="0" collapsed="false">
      <c r="A6" s="13" t="n">
        <v>4</v>
      </c>
      <c r="B6" s="13" t="n">
        <v>40</v>
      </c>
      <c r="C6" s="13" t="n">
        <v>0</v>
      </c>
      <c r="D6" s="13" t="n">
        <v>2</v>
      </c>
      <c r="E6" s="13" t="n">
        <v>1</v>
      </c>
      <c r="F6" s="13" t="n">
        <v>1</v>
      </c>
      <c r="G6" s="13" t="n">
        <v>1</v>
      </c>
      <c r="H6" s="13" t="str">
        <f aca="false">IF(C6=1,A6,"")</f>
        <v/>
      </c>
      <c r="I6" s="13" t="n">
        <f aca="false">IF(C6=0,A6,"")</f>
        <v>4</v>
      </c>
    </row>
    <row r="7" customFormat="false" ht="15" hidden="false" customHeight="false" outlineLevel="0" collapsed="false">
      <c r="A7" s="13" t="n">
        <v>4</v>
      </c>
      <c r="B7" s="13" t="n">
        <v>60</v>
      </c>
      <c r="C7" s="13" t="n">
        <v>0</v>
      </c>
      <c r="D7" s="13" t="n">
        <v>0</v>
      </c>
      <c r="E7" s="13" t="n">
        <v>0</v>
      </c>
      <c r="F7" s="13" t="n">
        <v>1</v>
      </c>
      <c r="G7" s="13" t="n">
        <v>0</v>
      </c>
      <c r="H7" s="13" t="str">
        <f aca="false">IF(C7=1,A7,"")</f>
        <v/>
      </c>
      <c r="I7" s="13" t="n">
        <f aca="false">IF(C7=0,A7,"")</f>
        <v>4</v>
      </c>
    </row>
    <row r="8" customFormat="false" ht="15" hidden="false" customHeight="false" outlineLevel="0" collapsed="false">
      <c r="A8" s="13" t="n">
        <v>5</v>
      </c>
      <c r="B8" s="13" t="n">
        <v>62</v>
      </c>
      <c r="C8" s="13" t="n">
        <v>1</v>
      </c>
      <c r="D8" s="13" t="n">
        <v>1</v>
      </c>
      <c r="E8" s="13" t="n">
        <v>0</v>
      </c>
      <c r="F8" s="13" t="n">
        <v>1</v>
      </c>
      <c r="G8" s="13" t="n">
        <v>1</v>
      </c>
      <c r="H8" s="13" t="n">
        <f aca="false">IF(C8=1,A8,"")</f>
        <v>5</v>
      </c>
      <c r="I8" s="13" t="str">
        <f aca="false">IF(C8=0,A8,"")</f>
        <v/>
      </c>
    </row>
    <row r="9" customFormat="false" ht="15" hidden="false" customHeight="false" outlineLevel="0" collapsed="false">
      <c r="A9" s="13" t="n">
        <v>4</v>
      </c>
      <c r="B9" s="13" t="n">
        <v>31</v>
      </c>
      <c r="C9" s="13" t="n">
        <v>0</v>
      </c>
      <c r="D9" s="13" t="n">
        <v>0</v>
      </c>
      <c r="E9" s="13" t="n">
        <v>1</v>
      </c>
      <c r="F9" s="13" t="n">
        <v>1</v>
      </c>
      <c r="G9" s="13" t="n">
        <v>1</v>
      </c>
      <c r="H9" s="13" t="str">
        <f aca="false">IF(C9=1,A9,"")</f>
        <v/>
      </c>
      <c r="I9" s="13" t="n">
        <f aca="false">IF(C9=0,A9,"")</f>
        <v>4</v>
      </c>
    </row>
    <row r="10" customFormat="false" ht="15" hidden="false" customHeight="false" outlineLevel="0" collapsed="false">
      <c r="A10" s="13" t="n">
        <v>2</v>
      </c>
      <c r="B10" s="13" t="n">
        <v>43</v>
      </c>
      <c r="C10" s="13" t="n">
        <v>0</v>
      </c>
      <c r="D10" s="13" t="n">
        <v>0</v>
      </c>
      <c r="E10" s="13" t="n">
        <v>1</v>
      </c>
      <c r="F10" s="13" t="n">
        <v>1</v>
      </c>
      <c r="G10" s="13" t="n">
        <v>1</v>
      </c>
      <c r="H10" s="13" t="str">
        <f aca="false">IF(C10=1,A10,"")</f>
        <v/>
      </c>
      <c r="I10" s="13" t="n">
        <f aca="false">IF(C10=0,A10,"")</f>
        <v>2</v>
      </c>
    </row>
    <row r="11" customFormat="false" ht="15" hidden="false" customHeight="false" outlineLevel="0" collapsed="false">
      <c r="A11" s="13" t="n">
        <v>2</v>
      </c>
      <c r="B11" s="13" t="n">
        <v>32</v>
      </c>
      <c r="C11" s="13" t="n">
        <v>1</v>
      </c>
      <c r="D11" s="13" t="n">
        <v>0</v>
      </c>
      <c r="E11" s="13" t="n">
        <v>1</v>
      </c>
      <c r="F11" s="13" t="n">
        <v>1</v>
      </c>
      <c r="G11" s="13" t="n">
        <v>0</v>
      </c>
      <c r="H11" s="13" t="n">
        <f aca="false">IF(C11=1,A11,"")</f>
        <v>2</v>
      </c>
      <c r="I11" s="13" t="str">
        <f aca="false">IF(C11=0,A11,"")</f>
        <v/>
      </c>
    </row>
    <row r="12" customFormat="false" ht="15" hidden="false" customHeight="false" outlineLevel="0" collapsed="false">
      <c r="A12" s="13" t="n">
        <v>4</v>
      </c>
      <c r="B12" s="13" t="n">
        <v>55</v>
      </c>
      <c r="C12" s="13" t="n">
        <v>0</v>
      </c>
      <c r="D12" s="13" t="n">
        <v>2</v>
      </c>
      <c r="E12" s="13" t="n">
        <v>0</v>
      </c>
      <c r="F12" s="13" t="n">
        <v>1</v>
      </c>
      <c r="G12" s="13" t="n">
        <v>1</v>
      </c>
      <c r="H12" s="13" t="str">
        <f aca="false">IF(C12=1,A12,"")</f>
        <v/>
      </c>
      <c r="I12" s="13" t="n">
        <f aca="false">IF(C12=0,A12,"")</f>
        <v>4</v>
      </c>
    </row>
    <row r="13" customFormat="false" ht="15" hidden="false" customHeight="false" outlineLevel="0" collapsed="false">
      <c r="A13" s="13" t="n">
        <v>4</v>
      </c>
      <c r="B13" s="13" t="n">
        <v>46</v>
      </c>
      <c r="C13" s="13" t="n">
        <v>0</v>
      </c>
      <c r="D13" s="13" t="n">
        <v>1</v>
      </c>
      <c r="E13" s="13" t="n">
        <v>0</v>
      </c>
      <c r="F13" s="13" t="n">
        <v>1</v>
      </c>
      <c r="G13" s="13" t="n">
        <v>1</v>
      </c>
      <c r="H13" s="13" t="str">
        <f aca="false">IF(C13=1,A13,"")</f>
        <v/>
      </c>
      <c r="I13" s="13" t="n">
        <f aca="false">IF(C13=0,A13,"")</f>
        <v>4</v>
      </c>
    </row>
    <row r="14" customFormat="false" ht="15" hidden="false" customHeight="false" outlineLevel="0" collapsed="false">
      <c r="A14" s="13" t="n">
        <v>3</v>
      </c>
      <c r="B14" s="13" t="n">
        <v>44</v>
      </c>
      <c r="C14" s="13" t="n">
        <v>1</v>
      </c>
      <c r="D14" s="13" t="n">
        <v>0</v>
      </c>
      <c r="E14" s="13" t="n">
        <v>0</v>
      </c>
      <c r="F14" s="13" t="n">
        <v>1</v>
      </c>
      <c r="G14" s="13" t="n">
        <v>0</v>
      </c>
      <c r="H14" s="13" t="n">
        <f aca="false">IF(C14=1,A14,"")</f>
        <v>3</v>
      </c>
      <c r="I14" s="13" t="str">
        <f aca="false">IF(C14=0,A14,"")</f>
        <v/>
      </c>
    </row>
    <row r="15" customFormat="false" ht="15" hidden="false" customHeight="false" outlineLevel="0" collapsed="false">
      <c r="A15" s="13" t="n">
        <v>4</v>
      </c>
      <c r="B15" s="13" t="n">
        <v>53</v>
      </c>
      <c r="C15" s="13" t="n">
        <v>1</v>
      </c>
      <c r="D15" s="13" t="n">
        <v>0</v>
      </c>
      <c r="E15" s="13" t="n">
        <v>1</v>
      </c>
      <c r="F15" s="13" t="n">
        <v>1</v>
      </c>
      <c r="G15" s="13" t="n">
        <v>0</v>
      </c>
      <c r="H15" s="13" t="n">
        <f aca="false">IF(C15=1,A15,"")</f>
        <v>4</v>
      </c>
      <c r="I15" s="13" t="str">
        <f aca="false">IF(C15=0,A15,"")</f>
        <v/>
      </c>
    </row>
    <row r="16" customFormat="false" ht="15" hidden="false" customHeight="false" outlineLevel="0" collapsed="false">
      <c r="A16" s="13" t="n">
        <v>4</v>
      </c>
      <c r="B16" s="13" t="n">
        <v>55</v>
      </c>
      <c r="C16" s="13" t="n">
        <v>0</v>
      </c>
      <c r="D16" s="13" t="n">
        <v>2</v>
      </c>
      <c r="E16" s="13" t="n">
        <v>1</v>
      </c>
      <c r="F16" s="13" t="n">
        <v>1</v>
      </c>
      <c r="G16" s="13" t="n">
        <v>1</v>
      </c>
      <c r="H16" s="13" t="str">
        <f aca="false">IF(C16=1,A16,"")</f>
        <v/>
      </c>
      <c r="I16" s="13" t="n">
        <f aca="false">IF(C16=0,A16,"")</f>
        <v>4</v>
      </c>
    </row>
    <row r="17" customFormat="false" ht="15" hidden="false" customHeight="false" outlineLevel="0" collapsed="false">
      <c r="A17" s="13" t="n">
        <v>4</v>
      </c>
      <c r="B17" s="13" t="n">
        <v>36</v>
      </c>
      <c r="C17" s="13" t="n">
        <v>0</v>
      </c>
      <c r="D17" s="13" t="n">
        <v>4</v>
      </c>
      <c r="E17" s="13" t="n">
        <v>0</v>
      </c>
      <c r="F17" s="13" t="n">
        <v>1</v>
      </c>
      <c r="G17" s="13" t="n">
        <v>1</v>
      </c>
      <c r="H17" s="13" t="str">
        <f aca="false">IF(C17=1,A17,"")</f>
        <v/>
      </c>
      <c r="I17" s="13" t="n">
        <f aca="false">IF(C17=0,A17,"")</f>
        <v>4</v>
      </c>
    </row>
    <row r="18" customFormat="false" ht="15" hidden="false" customHeight="false" outlineLevel="0" collapsed="false">
      <c r="A18" s="13" t="n">
        <v>4</v>
      </c>
      <c r="B18" s="13" t="n">
        <v>56</v>
      </c>
      <c r="C18" s="13" t="n">
        <v>1</v>
      </c>
      <c r="D18" s="13" t="n">
        <v>0</v>
      </c>
      <c r="E18" s="13" t="n">
        <v>1</v>
      </c>
      <c r="F18" s="13" t="n">
        <v>0</v>
      </c>
      <c r="G18" s="13" t="n">
        <v>0</v>
      </c>
      <c r="H18" s="13" t="n">
        <f aca="false">IF(C18=1,A18,"")</f>
        <v>4</v>
      </c>
      <c r="I18" s="13" t="str">
        <f aca="false">IF(C18=0,A18,"")</f>
        <v/>
      </c>
    </row>
    <row r="19" customFormat="false" ht="15" hidden="false" customHeight="false" outlineLevel="0" collapsed="false">
      <c r="A19" s="13" t="n">
        <v>2</v>
      </c>
      <c r="B19" s="13" t="n">
        <v>37</v>
      </c>
      <c r="C19" s="13" t="n">
        <v>0</v>
      </c>
      <c r="D19" s="13" t="n">
        <v>0</v>
      </c>
      <c r="E19" s="13" t="n">
        <v>1</v>
      </c>
      <c r="F19" s="13" t="n">
        <v>1</v>
      </c>
      <c r="G19" s="13" t="n">
        <v>1</v>
      </c>
      <c r="H19" s="13" t="str">
        <f aca="false">IF(C19=1,A19,"")</f>
        <v/>
      </c>
      <c r="I19" s="13" t="n">
        <f aca="false">IF(C19=0,A19,"")</f>
        <v>2</v>
      </c>
    </row>
    <row r="20" customFormat="false" ht="15" hidden="false" customHeight="false" outlineLevel="0" collapsed="false">
      <c r="A20" s="13" t="n">
        <v>4</v>
      </c>
      <c r="B20" s="13" t="n">
        <v>26</v>
      </c>
      <c r="C20" s="13" t="n">
        <v>0</v>
      </c>
      <c r="D20" s="13" t="n">
        <v>1</v>
      </c>
      <c r="E20" s="13" t="n">
        <v>1</v>
      </c>
      <c r="F20" s="13" t="n">
        <v>1</v>
      </c>
      <c r="G20" s="13" t="n">
        <v>1</v>
      </c>
      <c r="H20" s="13" t="str">
        <f aca="false">IF(C20=1,A20,"")</f>
        <v/>
      </c>
      <c r="I20" s="13" t="n">
        <f aca="false">IF(C20=0,A20,"")</f>
        <v>4</v>
      </c>
    </row>
    <row r="21" customFormat="false" ht="15" hidden="false" customHeight="false" outlineLevel="0" collapsed="false">
      <c r="A21" s="13" t="n">
        <v>2</v>
      </c>
      <c r="B21" s="13" t="n">
        <v>62</v>
      </c>
      <c r="C21" s="13" t="n">
        <v>1</v>
      </c>
      <c r="D21" s="13" t="n">
        <v>0</v>
      </c>
      <c r="E21" s="13" t="n">
        <v>0</v>
      </c>
      <c r="F21" s="13" t="n">
        <v>1</v>
      </c>
      <c r="G21" s="13" t="n">
        <v>1</v>
      </c>
      <c r="H21" s="13" t="n">
        <f aca="false">IF(C21=1,A21,"")</f>
        <v>2</v>
      </c>
      <c r="I21" s="13" t="str">
        <f aca="false">IF(C21=0,A21,"")</f>
        <v/>
      </c>
    </row>
    <row r="22" customFormat="false" ht="15" hidden="false" customHeight="false" outlineLevel="0" collapsed="false">
      <c r="A22" s="13" t="n">
        <v>4</v>
      </c>
      <c r="B22" s="13" t="n">
        <v>33</v>
      </c>
      <c r="C22" s="13" t="n">
        <v>0</v>
      </c>
      <c r="D22" s="13" t="n">
        <v>0</v>
      </c>
      <c r="E22" s="13" t="n">
        <v>1</v>
      </c>
      <c r="F22" s="13" t="n">
        <v>1</v>
      </c>
      <c r="G22" s="13" t="n">
        <v>0</v>
      </c>
      <c r="H22" s="13" t="str">
        <f aca="false">IF(C22=1,A22,"")</f>
        <v/>
      </c>
      <c r="I22" s="13" t="n">
        <f aca="false">IF(C22=0,A22,"")</f>
        <v>4</v>
      </c>
    </row>
    <row r="23" customFormat="false" ht="15" hidden="false" customHeight="false" outlineLevel="0" collapsed="false">
      <c r="A23" s="13" t="n">
        <v>4</v>
      </c>
      <c r="B23" s="13" t="n">
        <v>44</v>
      </c>
      <c r="C23" s="13" t="n">
        <v>0</v>
      </c>
      <c r="D23" s="13" t="n">
        <v>1</v>
      </c>
      <c r="E23" s="13" t="n">
        <v>1</v>
      </c>
      <c r="F23" s="13" t="n">
        <v>1</v>
      </c>
      <c r="G23" s="13" t="n">
        <v>1</v>
      </c>
      <c r="H23" s="13" t="str">
        <f aca="false">IF(C23=1,A23,"")</f>
        <v/>
      </c>
      <c r="I23" s="13" t="n">
        <f aca="false">IF(C23=0,A23,"")</f>
        <v>4</v>
      </c>
    </row>
    <row r="24" customFormat="false" ht="15" hidden="false" customHeight="false" outlineLevel="0" collapsed="false">
      <c r="A24" s="13" t="n">
        <v>1</v>
      </c>
      <c r="B24" s="13" t="n">
        <v>33</v>
      </c>
      <c r="C24" s="13" t="n">
        <v>0</v>
      </c>
      <c r="D24" s="13" t="n">
        <v>2</v>
      </c>
      <c r="E24" s="13" t="n">
        <v>0</v>
      </c>
      <c r="F24" s="13" t="n">
        <v>0</v>
      </c>
      <c r="G24" s="13" t="n">
        <v>1</v>
      </c>
      <c r="H24" s="13" t="str">
        <f aca="false">IF(C24=1,A24,"")</f>
        <v/>
      </c>
      <c r="I24" s="13" t="n">
        <f aca="false">IF(C24=0,A24,"")</f>
        <v>1</v>
      </c>
    </row>
    <row r="25" customFormat="false" ht="15" hidden="false" customHeight="false" outlineLevel="0" collapsed="false">
      <c r="A25" s="13" t="n">
        <v>4</v>
      </c>
      <c r="B25" s="13" t="n">
        <v>34</v>
      </c>
      <c r="C25" s="13" t="n">
        <v>0</v>
      </c>
      <c r="D25" s="13" t="n">
        <v>1</v>
      </c>
      <c r="E25" s="13" t="n">
        <v>1</v>
      </c>
      <c r="F25" s="13" t="n">
        <v>1</v>
      </c>
      <c r="G25" s="13" t="n">
        <v>1</v>
      </c>
      <c r="H25" s="13" t="str">
        <f aca="false">IF(C25=1,A25,"")</f>
        <v/>
      </c>
      <c r="I25" s="13" t="n">
        <f aca="false">IF(C25=0,A25,"")</f>
        <v>4</v>
      </c>
    </row>
    <row r="26" customFormat="false" ht="15" hidden="false" customHeight="false" outlineLevel="0" collapsed="false">
      <c r="A26" s="13" t="n">
        <v>2</v>
      </c>
      <c r="B26" s="13" t="n">
        <v>58</v>
      </c>
      <c r="C26" s="13" t="n">
        <v>1</v>
      </c>
      <c r="D26" s="13" t="n">
        <v>0</v>
      </c>
      <c r="E26" s="13" t="n">
        <v>0</v>
      </c>
      <c r="F26" s="13" t="n">
        <v>1</v>
      </c>
      <c r="G26" s="13" t="n">
        <v>0</v>
      </c>
      <c r="H26" s="13" t="n">
        <f aca="false">IF(C26=1,A26,"")</f>
        <v>2</v>
      </c>
      <c r="I26" s="13" t="str">
        <f aca="false">IF(C26=0,A26,"")</f>
        <v/>
      </c>
    </row>
    <row r="27" customFormat="false" ht="15" hidden="false" customHeight="false" outlineLevel="0" collapsed="false">
      <c r="A27" s="13" t="n">
        <v>3</v>
      </c>
      <c r="B27" s="13" t="n">
        <v>54</v>
      </c>
      <c r="C27" s="13" t="n">
        <v>1</v>
      </c>
      <c r="D27" s="13" t="n">
        <v>2</v>
      </c>
      <c r="E27" s="13" t="n">
        <v>0</v>
      </c>
      <c r="F27" s="13" t="n">
        <v>1</v>
      </c>
      <c r="G27" s="13" t="n">
        <v>0</v>
      </c>
      <c r="H27" s="13" t="n">
        <f aca="false">IF(C27=1,A27,"")</f>
        <v>3</v>
      </c>
      <c r="I27" s="13" t="str">
        <f aca="false">IF(C27=0,A27,"")</f>
        <v/>
      </c>
    </row>
    <row r="28" customFormat="false" ht="15" hidden="false" customHeight="false" outlineLevel="0" collapsed="false">
      <c r="A28" s="13" t="n">
        <v>5</v>
      </c>
      <c r="B28" s="13" t="n">
        <v>25</v>
      </c>
      <c r="C28" s="13" t="n">
        <v>1</v>
      </c>
      <c r="D28" s="13" t="n">
        <v>0</v>
      </c>
      <c r="E28" s="13" t="n">
        <v>1</v>
      </c>
      <c r="F28" s="13" t="n">
        <v>1</v>
      </c>
      <c r="G28" s="13" t="n">
        <v>1</v>
      </c>
      <c r="H28" s="13" t="n">
        <f aca="false">IF(C28=1,A28,"")</f>
        <v>5</v>
      </c>
      <c r="I28" s="13" t="str">
        <f aca="false">IF(C28=0,A28,"")</f>
        <v/>
      </c>
    </row>
    <row r="29" customFormat="false" ht="15" hidden="false" customHeight="false" outlineLevel="0" collapsed="false">
      <c r="A29" s="13" t="n">
        <v>5</v>
      </c>
      <c r="B29" s="13" t="n">
        <v>61</v>
      </c>
      <c r="C29" s="13" t="n">
        <v>0</v>
      </c>
      <c r="D29" s="13" t="n">
        <v>0</v>
      </c>
      <c r="E29" s="13" t="n">
        <v>0</v>
      </c>
      <c r="F29" s="13" t="n">
        <v>1</v>
      </c>
      <c r="G29" s="13" t="n">
        <v>1</v>
      </c>
      <c r="H29" s="13" t="str">
        <f aca="false">IF(C29=1,A29,"")</f>
        <v/>
      </c>
      <c r="I29" s="13" t="n">
        <f aca="false">IF(C29=0,A29,"")</f>
        <v>5</v>
      </c>
    </row>
    <row r="30" customFormat="false" ht="15" hidden="false" customHeight="false" outlineLevel="0" collapsed="false">
      <c r="A30" s="13" t="n">
        <v>4</v>
      </c>
      <c r="B30" s="13" t="n">
        <v>35</v>
      </c>
      <c r="C30" s="13" t="n">
        <v>1</v>
      </c>
      <c r="D30" s="13" t="n">
        <v>0</v>
      </c>
      <c r="E30" s="13" t="n">
        <v>1</v>
      </c>
      <c r="F30" s="13" t="n">
        <v>0</v>
      </c>
      <c r="G30" s="13" t="n">
        <v>1</v>
      </c>
      <c r="H30" s="13" t="n">
        <f aca="false">IF(C30=1,A30,"")</f>
        <v>4</v>
      </c>
      <c r="I30" s="13" t="str">
        <f aca="false">IF(C30=0,A30,"")</f>
        <v/>
      </c>
    </row>
    <row r="31" customFormat="false" ht="15" hidden="false" customHeight="false" outlineLevel="0" collapsed="false">
      <c r="A31" s="13" t="n">
        <v>4</v>
      </c>
      <c r="B31" s="13" t="n">
        <v>26</v>
      </c>
      <c r="C31" s="13" t="n">
        <v>1</v>
      </c>
      <c r="D31" s="13" t="n">
        <v>0</v>
      </c>
      <c r="E31" s="13" t="n">
        <v>0</v>
      </c>
      <c r="F31" s="13" t="n">
        <v>1</v>
      </c>
      <c r="G31" s="13" t="n">
        <v>0</v>
      </c>
      <c r="H31" s="13" t="n">
        <f aca="false">IF(C31=1,A31,"")</f>
        <v>4</v>
      </c>
      <c r="I31" s="13" t="str">
        <f aca="false">IF(C31=0,A31,"")</f>
        <v/>
      </c>
    </row>
    <row r="32" customFormat="false" ht="15" hidden="false" customHeight="false" outlineLevel="0" collapsed="false">
      <c r="A32" s="13" t="n">
        <v>3</v>
      </c>
      <c r="B32" s="13" t="n">
        <v>31</v>
      </c>
      <c r="C32" s="13" t="n">
        <v>0</v>
      </c>
      <c r="D32" s="13" t="n">
        <v>1</v>
      </c>
      <c r="E32" s="13" t="n">
        <v>1</v>
      </c>
      <c r="F32" s="13" t="n">
        <v>1</v>
      </c>
      <c r="G32" s="13" t="n">
        <v>1</v>
      </c>
      <c r="H32" s="13" t="str">
        <f aca="false">IF(C32=1,A32,"")</f>
        <v/>
      </c>
      <c r="I32" s="13" t="n">
        <f aca="false">IF(C32=0,A32,"")</f>
        <v>3</v>
      </c>
    </row>
    <row r="33" customFormat="false" ht="15" hidden="false" customHeight="false" outlineLevel="0" collapsed="false">
      <c r="A33" s="13" t="n">
        <v>1</v>
      </c>
      <c r="B33" s="13" t="n">
        <v>39</v>
      </c>
      <c r="C33" s="13" t="n">
        <v>0</v>
      </c>
      <c r="D33" s="13" t="n">
        <v>0</v>
      </c>
      <c r="E33" s="13" t="n">
        <v>1</v>
      </c>
      <c r="F33" s="13" t="n">
        <v>1</v>
      </c>
      <c r="G33" s="13" t="n">
        <v>0</v>
      </c>
      <c r="H33" s="13" t="str">
        <f aca="false">IF(C33=1,A33,"")</f>
        <v/>
      </c>
      <c r="I33" s="13" t="n">
        <f aca="false">IF(C33=0,A33,"")</f>
        <v>1</v>
      </c>
    </row>
    <row r="34" customFormat="false" ht="15" hidden="false" customHeight="false" outlineLevel="0" collapsed="false">
      <c r="A34" s="13" t="n">
        <v>1</v>
      </c>
      <c r="B34" s="13" t="n">
        <v>34</v>
      </c>
      <c r="C34" s="13" t="n">
        <v>0</v>
      </c>
      <c r="D34" s="13" t="n">
        <v>0</v>
      </c>
      <c r="E34" s="13" t="n">
        <v>1</v>
      </c>
      <c r="F34" s="13" t="n">
        <v>1</v>
      </c>
      <c r="G34" s="13" t="n">
        <v>0</v>
      </c>
      <c r="H34" s="13" t="str">
        <f aca="false">IF(C34=1,A34,"")</f>
        <v/>
      </c>
      <c r="I34" s="13" t="n">
        <f aca="false">IF(C34=0,A34,"")</f>
        <v>1</v>
      </c>
    </row>
    <row r="35" customFormat="false" ht="15" hidden="false" customHeight="false" outlineLevel="0" collapsed="false">
      <c r="A35" s="13" t="n">
        <v>2</v>
      </c>
      <c r="B35" s="13" t="n">
        <v>31</v>
      </c>
      <c r="C35" s="13" t="n">
        <v>0</v>
      </c>
      <c r="D35" s="13" t="n">
        <v>1</v>
      </c>
      <c r="E35" s="13" t="n">
        <v>1</v>
      </c>
      <c r="F35" s="13" t="n">
        <v>1</v>
      </c>
      <c r="G35" s="13" t="n">
        <v>0</v>
      </c>
      <c r="H35" s="13" t="str">
        <f aca="false">IF(C35=1,A35,"")</f>
        <v/>
      </c>
      <c r="I35" s="13" t="n">
        <f aca="false">IF(C35=0,A35,"")</f>
        <v>2</v>
      </c>
    </row>
    <row r="36" customFormat="false" ht="15" hidden="false" customHeight="false" outlineLevel="0" collapsed="false">
      <c r="A36" s="13" t="n">
        <v>4</v>
      </c>
      <c r="B36" s="13" t="n">
        <v>34</v>
      </c>
      <c r="C36" s="13" t="n">
        <v>1</v>
      </c>
      <c r="D36" s="13" t="n">
        <v>1</v>
      </c>
      <c r="E36" s="13" t="n">
        <v>1</v>
      </c>
      <c r="F36" s="13" t="n">
        <v>1</v>
      </c>
      <c r="G36" s="13" t="n">
        <v>1</v>
      </c>
      <c r="H36" s="13" t="n">
        <f aca="false">IF(C36=1,A36,"")</f>
        <v>4</v>
      </c>
      <c r="I36" s="13" t="str">
        <f aca="false">IF(C36=0,A36,"")</f>
        <v/>
      </c>
    </row>
    <row r="37" customFormat="false" ht="15" hidden="false" customHeight="false" outlineLevel="0" collapsed="false">
      <c r="A37" s="13" t="n">
        <v>2</v>
      </c>
      <c r="B37" s="13" t="n">
        <v>63</v>
      </c>
      <c r="C37" s="13" t="n">
        <v>0</v>
      </c>
      <c r="D37" s="13" t="n">
        <v>0</v>
      </c>
      <c r="E37" s="13" t="n">
        <v>0</v>
      </c>
      <c r="F37" s="13" t="n">
        <v>1</v>
      </c>
      <c r="G37" s="13" t="n">
        <v>0</v>
      </c>
      <c r="H37" s="13" t="str">
        <f aca="false">IF(C37=1,A37,"")</f>
        <v/>
      </c>
      <c r="I37" s="13" t="n">
        <f aca="false">IF(C37=0,A37,"")</f>
        <v>2</v>
      </c>
    </row>
    <row r="38" customFormat="false" ht="15" hidden="false" customHeight="false" outlineLevel="0" collapsed="false">
      <c r="A38" s="13" t="n">
        <v>4</v>
      </c>
      <c r="B38" s="13" t="n">
        <v>48</v>
      </c>
      <c r="C38" s="13" t="n">
        <v>1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f aca="false">IF(C38=1,A38,"")</f>
        <v>4</v>
      </c>
      <c r="I38" s="13" t="str">
        <f aca="false">IF(C38=0,A38,"")</f>
        <v/>
      </c>
    </row>
    <row r="39" customFormat="false" ht="15" hidden="false" customHeight="false" outlineLevel="0" collapsed="false">
      <c r="A39" s="13" t="n">
        <v>2</v>
      </c>
      <c r="B39" s="13" t="n">
        <v>46</v>
      </c>
      <c r="C39" s="13" t="n">
        <v>1</v>
      </c>
      <c r="D39" s="13" t="n">
        <v>0</v>
      </c>
      <c r="E39" s="13" t="n">
        <v>1</v>
      </c>
      <c r="F39" s="13" t="n">
        <v>1</v>
      </c>
      <c r="G39" s="13" t="n">
        <v>0</v>
      </c>
      <c r="H39" s="13" t="n">
        <f aca="false">IF(C39=1,A39,"")</f>
        <v>2</v>
      </c>
      <c r="I39" s="13" t="str">
        <f aca="false">IF(C39=0,A39,"")</f>
        <v/>
      </c>
    </row>
    <row r="40" customFormat="false" ht="15" hidden="false" customHeight="false" outlineLevel="0" collapsed="false">
      <c r="A40" s="13" t="n">
        <v>4</v>
      </c>
      <c r="B40" s="13" t="n">
        <v>38</v>
      </c>
      <c r="C40" s="13" t="n">
        <v>0</v>
      </c>
      <c r="D40" s="13" t="n">
        <v>2</v>
      </c>
      <c r="E40" s="13" t="n">
        <v>1</v>
      </c>
      <c r="F40" s="13" t="n">
        <v>1</v>
      </c>
      <c r="G40" s="13" t="n">
        <v>1</v>
      </c>
      <c r="H40" s="13" t="str">
        <f aca="false">IF(C40=1,A40,"")</f>
        <v/>
      </c>
      <c r="I40" s="13" t="n">
        <f aca="false">IF(C40=0,A40,"")</f>
        <v>4</v>
      </c>
    </row>
    <row r="41" customFormat="false" ht="15" hidden="false" customHeight="false" outlineLevel="0" collapsed="false">
      <c r="A41" s="13" t="n">
        <v>2</v>
      </c>
      <c r="B41" s="13" t="n">
        <v>58</v>
      </c>
      <c r="C41" s="13" t="n">
        <v>1</v>
      </c>
      <c r="D41" s="13" t="n">
        <v>0</v>
      </c>
      <c r="E41" s="13" t="n">
        <v>0</v>
      </c>
      <c r="F41" s="13" t="n">
        <v>0</v>
      </c>
      <c r="G41" s="13" t="n">
        <v>1</v>
      </c>
      <c r="H41" s="13" t="n">
        <f aca="false">IF(C41=1,A41,"")</f>
        <v>2</v>
      </c>
      <c r="I41" s="13" t="str">
        <f aca="false">IF(C41=0,A41,"")</f>
        <v/>
      </c>
    </row>
    <row r="42" customFormat="false" ht="15" hidden="false" customHeight="false" outlineLevel="0" collapsed="false">
      <c r="A42" s="13" t="n">
        <v>3</v>
      </c>
      <c r="B42" s="13" t="n">
        <v>45</v>
      </c>
      <c r="C42" s="13" t="n">
        <v>0</v>
      </c>
      <c r="D42" s="13" t="n">
        <v>0</v>
      </c>
      <c r="E42" s="13" t="n">
        <v>0</v>
      </c>
      <c r="F42" s="13" t="n">
        <v>1</v>
      </c>
      <c r="G42" s="13" t="n">
        <v>1</v>
      </c>
      <c r="H42" s="13" t="str">
        <f aca="false">IF(C42=1,A42,"")</f>
        <v/>
      </c>
      <c r="I42" s="13" t="n">
        <f aca="false">IF(C42=0,A42,"")</f>
        <v>3</v>
      </c>
    </row>
    <row r="43" customFormat="false" ht="15" hidden="false" customHeight="false" outlineLevel="0" collapsed="false">
      <c r="A43" s="13" t="n">
        <v>4</v>
      </c>
      <c r="B43" s="13" t="n">
        <v>63</v>
      </c>
      <c r="C43" s="13" t="n">
        <v>1</v>
      </c>
      <c r="D43" s="13" t="n">
        <v>0</v>
      </c>
      <c r="E43" s="13" t="n">
        <v>1</v>
      </c>
      <c r="F43" s="13" t="n">
        <v>1</v>
      </c>
      <c r="G43" s="13" t="n">
        <v>0</v>
      </c>
      <c r="H43" s="13" t="n">
        <f aca="false">IF(C43=1,A43,"")</f>
        <v>4</v>
      </c>
      <c r="I43" s="13" t="str">
        <f aca="false">IF(C43=0,A43,"")</f>
        <v/>
      </c>
    </row>
    <row r="44" customFormat="false" ht="15" hidden="false" customHeight="false" outlineLevel="0" collapsed="false">
      <c r="A44" s="13" t="n">
        <v>4</v>
      </c>
      <c r="B44" s="13" t="n">
        <v>57</v>
      </c>
      <c r="C44" s="13" t="n">
        <v>1</v>
      </c>
      <c r="D44" s="13" t="n">
        <v>0</v>
      </c>
      <c r="E44" s="13" t="n">
        <v>1</v>
      </c>
      <c r="F44" s="13" t="n">
        <v>1</v>
      </c>
      <c r="G44" s="13" t="n">
        <v>0</v>
      </c>
      <c r="H44" s="13" t="n">
        <f aca="false">IF(C44=1,A44,"")</f>
        <v>4</v>
      </c>
      <c r="I44" s="13" t="str">
        <f aca="false">IF(C44=0,A44,"")</f>
        <v/>
      </c>
    </row>
    <row r="45" customFormat="false" ht="15" hidden="false" customHeight="false" outlineLevel="0" collapsed="false">
      <c r="A45" s="13" t="n">
        <v>5</v>
      </c>
      <c r="B45" s="13" t="n">
        <v>52</v>
      </c>
      <c r="C45" s="13" t="n">
        <v>1</v>
      </c>
      <c r="D45" s="13" t="n">
        <v>0</v>
      </c>
      <c r="E45" s="13" t="n">
        <v>0</v>
      </c>
      <c r="F45" s="13" t="n">
        <v>0</v>
      </c>
      <c r="G45" s="13" t="n">
        <v>1</v>
      </c>
      <c r="H45" s="13" t="n">
        <f aca="false">IF(C45=1,A45,"")</f>
        <v>5</v>
      </c>
      <c r="I45" s="13" t="str">
        <f aca="false">IF(C45=0,A45,"")</f>
        <v/>
      </c>
    </row>
    <row r="46" customFormat="false" ht="15" hidden="false" customHeight="false" outlineLevel="0" collapsed="false">
      <c r="A46" s="13" t="n">
        <v>3</v>
      </c>
      <c r="B46" s="13" t="n">
        <v>59</v>
      </c>
      <c r="C46" s="13" t="n">
        <v>0</v>
      </c>
      <c r="D46" s="13" t="n">
        <v>0</v>
      </c>
      <c r="E46" s="13" t="n">
        <v>1</v>
      </c>
      <c r="F46" s="13" t="n">
        <v>0</v>
      </c>
      <c r="G46" s="13" t="n">
        <v>1</v>
      </c>
      <c r="H46" s="13" t="str">
        <f aca="false">IF(C46=1,A46,"")</f>
        <v/>
      </c>
      <c r="I46" s="13" t="n">
        <f aca="false">IF(C46=0,A46,"")</f>
        <v>3</v>
      </c>
    </row>
    <row r="47" customFormat="false" ht="15" hidden="false" customHeight="false" outlineLevel="0" collapsed="false">
      <c r="A47" s="13" t="n">
        <v>4</v>
      </c>
      <c r="B47" s="13" t="n">
        <v>40</v>
      </c>
      <c r="C47" s="13" t="n">
        <v>1</v>
      </c>
      <c r="D47" s="13" t="n">
        <v>3</v>
      </c>
      <c r="E47" s="13" t="n">
        <v>1</v>
      </c>
      <c r="F47" s="13" t="n">
        <v>0</v>
      </c>
      <c r="G47" s="13" t="n">
        <v>1</v>
      </c>
      <c r="H47" s="13" t="n">
        <f aca="false">IF(C47=1,A47,"")</f>
        <v>4</v>
      </c>
      <c r="I47" s="13" t="str">
        <f aca="false">IF(C47=0,A47,"")</f>
        <v/>
      </c>
    </row>
    <row r="48" customFormat="false" ht="15" hidden="false" customHeight="false" outlineLevel="0" collapsed="false">
      <c r="A48" s="13" t="n">
        <v>2</v>
      </c>
      <c r="B48" s="13" t="n">
        <v>31</v>
      </c>
      <c r="C48" s="13" t="n">
        <v>1</v>
      </c>
      <c r="D48" s="13" t="n">
        <v>0</v>
      </c>
      <c r="E48" s="13" t="n">
        <v>1</v>
      </c>
      <c r="F48" s="13" t="n">
        <v>1</v>
      </c>
      <c r="G48" s="13" t="n">
        <v>0</v>
      </c>
      <c r="H48" s="13" t="n">
        <f aca="false">IF(C48=1,A48,"")</f>
        <v>2</v>
      </c>
      <c r="I48" s="13" t="str">
        <f aca="false">IF(C48=0,A48,"")</f>
        <v/>
      </c>
    </row>
    <row r="49" customFormat="false" ht="15" hidden="false" customHeight="false" outlineLevel="0" collapsed="false">
      <c r="A49" s="13" t="n">
        <v>4</v>
      </c>
      <c r="B49" s="13" t="n">
        <v>45</v>
      </c>
      <c r="C49" s="13" t="n">
        <v>0</v>
      </c>
      <c r="D49" s="13" t="n">
        <v>2</v>
      </c>
      <c r="E49" s="13" t="n">
        <v>0</v>
      </c>
      <c r="F49" s="13" t="n">
        <v>0</v>
      </c>
      <c r="G49" s="13" t="n">
        <v>0</v>
      </c>
      <c r="H49" s="13" t="str">
        <f aca="false">IF(C49=1,A49,"")</f>
        <v/>
      </c>
      <c r="I49" s="13" t="n">
        <f aca="false">IF(C49=0,A49,"")</f>
        <v>4</v>
      </c>
    </row>
    <row r="50" customFormat="false" ht="15" hidden="false" customHeight="false" outlineLevel="0" collapsed="false">
      <c r="A50" s="13" t="n">
        <v>2</v>
      </c>
      <c r="B50" s="13" t="n">
        <v>46</v>
      </c>
      <c r="C50" s="13" t="n">
        <v>1</v>
      </c>
      <c r="D50" s="13" t="n">
        <v>0</v>
      </c>
      <c r="E50" s="13" t="n">
        <v>0</v>
      </c>
      <c r="F50" s="13" t="n">
        <v>1</v>
      </c>
      <c r="G50" s="13" t="n">
        <v>0</v>
      </c>
      <c r="H50" s="13" t="n">
        <f aca="false">IF(C50=1,A50,"")</f>
        <v>2</v>
      </c>
      <c r="I50" s="13" t="str">
        <f aca="false">IF(C50=0,A50,"")</f>
        <v/>
      </c>
    </row>
    <row r="51" customFormat="false" ht="15" hidden="false" customHeight="false" outlineLevel="0" collapsed="false">
      <c r="A51" s="13" t="n">
        <v>4</v>
      </c>
      <c r="B51" s="13" t="n">
        <v>55</v>
      </c>
      <c r="C51" s="13" t="n">
        <v>1</v>
      </c>
      <c r="D51" s="13" t="n">
        <v>0</v>
      </c>
      <c r="E51" s="13" t="n">
        <v>1</v>
      </c>
      <c r="F51" s="13" t="n">
        <v>1</v>
      </c>
      <c r="G51" s="13" t="n">
        <v>0</v>
      </c>
      <c r="H51" s="13" t="n">
        <f aca="false">IF(C51=1,A51,"")</f>
        <v>4</v>
      </c>
      <c r="I51" s="13" t="str">
        <f aca="false">IF(C51=0,A51,"")</f>
        <v/>
      </c>
    </row>
    <row r="52" customFormat="false" ht="15" hidden="false" customHeight="false" outlineLevel="0" collapsed="false">
      <c r="A52" s="13" t="n">
        <v>3</v>
      </c>
      <c r="B52" s="13" t="n">
        <v>29</v>
      </c>
      <c r="C52" s="13" t="n">
        <v>1</v>
      </c>
      <c r="D52" s="13" t="n">
        <v>0</v>
      </c>
      <c r="E52" s="13" t="n">
        <v>1</v>
      </c>
      <c r="F52" s="13" t="n">
        <v>1</v>
      </c>
      <c r="G52" s="13" t="n">
        <v>0</v>
      </c>
      <c r="H52" s="13" t="n">
        <f aca="false">IF(C52=1,A52,"")</f>
        <v>3</v>
      </c>
      <c r="I52" s="13" t="str">
        <f aca="false">IF(C52=0,A52,"")</f>
        <v/>
      </c>
    </row>
    <row r="53" customFormat="false" ht="15" hidden="false" customHeight="false" outlineLevel="0" collapsed="false">
      <c r="A53" s="13" t="n">
        <v>4</v>
      </c>
      <c r="B53" s="13" t="n">
        <v>38</v>
      </c>
      <c r="C53" s="13" t="n">
        <v>0</v>
      </c>
      <c r="D53" s="13" t="n">
        <v>2</v>
      </c>
      <c r="E53" s="13" t="n">
        <v>1</v>
      </c>
      <c r="F53" s="13" t="n">
        <v>1</v>
      </c>
      <c r="G53" s="13" t="n">
        <v>0</v>
      </c>
      <c r="H53" s="13" t="str">
        <f aca="false">IF(C53=1,A53,"")</f>
        <v/>
      </c>
      <c r="I53" s="13" t="n">
        <f aca="false">IF(C53=0,A53,"")</f>
        <v>4</v>
      </c>
    </row>
    <row r="54" customFormat="false" ht="15" hidden="false" customHeight="false" outlineLevel="0" collapsed="false">
      <c r="A54" s="13" t="n">
        <v>3</v>
      </c>
      <c r="B54" s="13" t="n">
        <v>52</v>
      </c>
      <c r="C54" s="13" t="n">
        <v>1</v>
      </c>
      <c r="D54" s="13" t="n">
        <v>1</v>
      </c>
      <c r="E54" s="13" t="n">
        <v>0</v>
      </c>
      <c r="F54" s="13" t="n">
        <v>1</v>
      </c>
      <c r="G54" s="13" t="n">
        <v>1</v>
      </c>
      <c r="H54" s="13" t="n">
        <f aca="false">IF(C54=1,A54,"")</f>
        <v>3</v>
      </c>
      <c r="I54" s="13" t="str">
        <f aca="false">IF(C54=0,A54,"")</f>
        <v/>
      </c>
    </row>
    <row r="55" customFormat="false" ht="15" hidden="false" customHeight="false" outlineLevel="0" collapsed="false">
      <c r="A55" s="13" t="n">
        <v>4</v>
      </c>
      <c r="B55" s="13" t="n">
        <v>35</v>
      </c>
      <c r="C55" s="13" t="n">
        <v>1</v>
      </c>
      <c r="D55" s="13" t="n">
        <v>1</v>
      </c>
      <c r="E55" s="13" t="n">
        <v>1</v>
      </c>
      <c r="F55" s="13" t="n">
        <v>1</v>
      </c>
      <c r="G55" s="13" t="n">
        <v>1</v>
      </c>
      <c r="H55" s="13" t="n">
        <f aca="false">IF(C55=1,A55,"")</f>
        <v>4</v>
      </c>
      <c r="I55" s="13" t="str">
        <f aca="false">IF(C55=0,A55,"")</f>
        <v/>
      </c>
    </row>
    <row r="56" customFormat="false" ht="15" hidden="false" customHeight="false" outlineLevel="0" collapsed="false">
      <c r="A56" s="13" t="n">
        <v>4</v>
      </c>
      <c r="B56" s="13" t="n">
        <v>57</v>
      </c>
      <c r="C56" s="13" t="n">
        <v>1</v>
      </c>
      <c r="D56" s="13" t="n">
        <v>0</v>
      </c>
      <c r="E56" s="13" t="n">
        <v>0</v>
      </c>
      <c r="F56" s="13" t="n">
        <v>1</v>
      </c>
      <c r="G56" s="13" t="n">
        <v>1</v>
      </c>
      <c r="H56" s="13" t="n">
        <f aca="false">IF(C56=1,A56,"")</f>
        <v>4</v>
      </c>
      <c r="I56" s="13" t="str">
        <f aca="false">IF(C56=0,A56,"")</f>
        <v/>
      </c>
    </row>
    <row r="57" customFormat="false" ht="15" hidden="false" customHeight="false" outlineLevel="0" collapsed="false">
      <c r="A57" s="13" t="n">
        <v>5</v>
      </c>
      <c r="B57" s="13" t="n">
        <v>38</v>
      </c>
      <c r="C57" s="13" t="n">
        <v>0</v>
      </c>
      <c r="D57" s="13" t="n">
        <v>2</v>
      </c>
      <c r="E57" s="13" t="n">
        <v>1</v>
      </c>
      <c r="F57" s="13" t="n">
        <v>1</v>
      </c>
      <c r="G57" s="13" t="n">
        <v>1</v>
      </c>
      <c r="H57" s="13" t="str">
        <f aca="false">IF(C57=1,A57,"")</f>
        <v/>
      </c>
      <c r="I57" s="13" t="n">
        <f aca="false">IF(C57=0,A57,"")</f>
        <v>5</v>
      </c>
    </row>
    <row r="58" customFormat="false" ht="15" hidden="false" customHeight="false" outlineLevel="0" collapsed="false">
      <c r="A58" s="13" t="n">
        <v>3</v>
      </c>
      <c r="B58" s="13" t="n">
        <v>63</v>
      </c>
      <c r="C58" s="13" t="n">
        <v>1</v>
      </c>
      <c r="D58" s="13" t="n">
        <v>0</v>
      </c>
      <c r="E58" s="13" t="n">
        <v>0</v>
      </c>
      <c r="F58" s="13" t="n">
        <v>1</v>
      </c>
      <c r="G58" s="13" t="n">
        <v>0</v>
      </c>
      <c r="H58" s="13" t="n">
        <f aca="false">IF(C58=1,A58,"")</f>
        <v>3</v>
      </c>
      <c r="I58" s="13" t="str">
        <f aca="false">IF(C58=0,A58,"")</f>
        <v/>
      </c>
    </row>
    <row r="59" customFormat="false" ht="15" hidden="false" customHeight="false" outlineLevel="0" collapsed="false">
      <c r="A59" s="13" t="n">
        <v>4</v>
      </c>
      <c r="B59" s="13" t="n">
        <v>63</v>
      </c>
      <c r="C59" s="13" t="n">
        <v>0</v>
      </c>
      <c r="D59" s="13" t="n">
        <v>0</v>
      </c>
      <c r="E59" s="13" t="n">
        <v>0</v>
      </c>
      <c r="F59" s="13" t="n">
        <v>0</v>
      </c>
      <c r="G59" s="13" t="n">
        <v>1</v>
      </c>
      <c r="H59" s="13" t="str">
        <f aca="false">IF(C59=1,A59,"")</f>
        <v/>
      </c>
      <c r="I59" s="13" t="n">
        <f aca="false">IF(C59=0,A59,"")</f>
        <v>4</v>
      </c>
    </row>
    <row r="60" customFormat="false" ht="15" hidden="false" customHeight="false" outlineLevel="0" collapsed="false">
      <c r="A60" s="13" t="n">
        <v>4</v>
      </c>
      <c r="B60" s="13" t="n">
        <v>47</v>
      </c>
      <c r="C60" s="13" t="n">
        <v>0</v>
      </c>
      <c r="D60" s="13" t="n">
        <v>2</v>
      </c>
      <c r="E60" s="13" t="n">
        <v>1</v>
      </c>
      <c r="F60" s="13" t="n">
        <v>1</v>
      </c>
      <c r="G60" s="13" t="n">
        <v>1</v>
      </c>
      <c r="H60" s="13" t="str">
        <f aca="false">IF(C60=1,A60,"")</f>
        <v/>
      </c>
      <c r="I60" s="13" t="n">
        <f aca="false">IF(C60=0,A60,"")</f>
        <v>4</v>
      </c>
    </row>
    <row r="61" customFormat="false" ht="15" hidden="false" customHeight="false" outlineLevel="0" collapsed="false">
      <c r="A61" s="13" t="n">
        <v>5</v>
      </c>
      <c r="B61" s="13" t="n">
        <v>50</v>
      </c>
      <c r="C61" s="13" t="n">
        <v>1</v>
      </c>
      <c r="D61" s="13" t="n">
        <v>0</v>
      </c>
      <c r="E61" s="13" t="n">
        <v>1</v>
      </c>
      <c r="F61" s="13" t="n">
        <v>1</v>
      </c>
      <c r="G61" s="13" t="n">
        <v>1</v>
      </c>
      <c r="H61" s="13" t="n">
        <f aca="false">IF(C61=1,A61,"")</f>
        <v>5</v>
      </c>
      <c r="I61" s="13" t="str">
        <f aca="false">IF(C61=0,A61,"")</f>
        <v/>
      </c>
    </row>
    <row r="62" customFormat="false" ht="15" hidden="false" customHeight="false" outlineLevel="0" collapsed="false">
      <c r="A62" s="13" t="n">
        <v>3</v>
      </c>
      <c r="B62" s="13" t="n">
        <v>58</v>
      </c>
      <c r="C62" s="13" t="n">
        <v>1</v>
      </c>
      <c r="D62" s="13" t="n">
        <v>0</v>
      </c>
      <c r="E62" s="13" t="n">
        <v>0</v>
      </c>
      <c r="F62" s="13" t="n">
        <v>1</v>
      </c>
      <c r="G62" s="13" t="n">
        <v>1</v>
      </c>
      <c r="H62" s="13" t="n">
        <f aca="false">IF(C62=1,A62,"")</f>
        <v>3</v>
      </c>
      <c r="I62" s="13" t="str">
        <f aca="false">IF(C62=0,A62,"")</f>
        <v/>
      </c>
    </row>
    <row r="63" customFormat="false" ht="15" hidden="false" customHeight="false" outlineLevel="0" collapsed="false">
      <c r="A63" s="13" t="n">
        <v>4</v>
      </c>
      <c r="B63" s="13" t="n">
        <v>39</v>
      </c>
      <c r="C63" s="13" t="n">
        <v>1</v>
      </c>
      <c r="D63" s="13" t="n">
        <v>2</v>
      </c>
      <c r="E63" s="13" t="n">
        <v>0</v>
      </c>
      <c r="F63" s="13" t="n">
        <v>1</v>
      </c>
      <c r="G63" s="13" t="n">
        <v>1</v>
      </c>
      <c r="H63" s="13" t="n">
        <f aca="false">IF(C63=1,A63,"")</f>
        <v>4</v>
      </c>
      <c r="I63" s="13" t="str">
        <f aca="false">IF(C63=0,A63,"")</f>
        <v/>
      </c>
    </row>
    <row r="64" customFormat="false" ht="15" hidden="false" customHeight="false" outlineLevel="0" collapsed="false">
      <c r="A64" s="13" t="n">
        <v>2</v>
      </c>
      <c r="B64" s="13" t="n">
        <v>59</v>
      </c>
      <c r="C64" s="13" t="n">
        <v>1</v>
      </c>
      <c r="D64" s="13" t="n">
        <v>0</v>
      </c>
      <c r="E64" s="13" t="n">
        <v>1</v>
      </c>
      <c r="F64" s="13" t="n">
        <v>0</v>
      </c>
      <c r="G64" s="13" t="n">
        <v>0</v>
      </c>
      <c r="H64" s="13" t="n">
        <f aca="false">IF(C64=1,A64,"")</f>
        <v>2</v>
      </c>
      <c r="I64" s="13" t="str">
        <f aca="false">IF(C64=0,A64,"")</f>
        <v/>
      </c>
    </row>
    <row r="65" customFormat="false" ht="15" hidden="false" customHeight="false" outlineLevel="0" collapsed="false">
      <c r="A65" s="13" t="n">
        <v>4</v>
      </c>
      <c r="B65" s="13" t="n">
        <v>27</v>
      </c>
      <c r="C65" s="13" t="n">
        <v>0</v>
      </c>
      <c r="D65" s="13" t="n">
        <v>1</v>
      </c>
      <c r="E65" s="13" t="n">
        <v>1</v>
      </c>
      <c r="F65" s="13" t="n">
        <v>0</v>
      </c>
      <c r="G65" s="13" t="n">
        <v>1</v>
      </c>
      <c r="H65" s="13" t="str">
        <f aca="false">IF(C65=1,A65,"")</f>
        <v/>
      </c>
      <c r="I65" s="13" t="n">
        <f aca="false">IF(C65=0,A65,"")</f>
        <v>4</v>
      </c>
    </row>
    <row r="66" customFormat="false" ht="15" hidden="false" customHeight="false" outlineLevel="0" collapsed="false">
      <c r="A66" s="13" t="n">
        <v>4</v>
      </c>
      <c r="B66" s="13" t="n">
        <v>61</v>
      </c>
      <c r="C66" s="13" t="n">
        <v>1</v>
      </c>
      <c r="D66" s="13" t="n">
        <v>0</v>
      </c>
      <c r="E66" s="13" t="n">
        <v>0</v>
      </c>
      <c r="F66" s="13" t="n">
        <v>1</v>
      </c>
      <c r="G66" s="13" t="n">
        <v>0</v>
      </c>
      <c r="H66" s="13" t="n">
        <f aca="false">IF(C66=1,A66,"")</f>
        <v>4</v>
      </c>
      <c r="I66" s="13" t="str">
        <f aca="false">IF(C66=0,A66,"")</f>
        <v/>
      </c>
    </row>
    <row r="67" customFormat="false" ht="15" hidden="false" customHeight="false" outlineLevel="0" collapsed="false">
      <c r="A67" s="13" t="n">
        <v>4</v>
      </c>
      <c r="B67" s="13" t="n">
        <v>64</v>
      </c>
      <c r="C67" s="13" t="n">
        <v>0</v>
      </c>
      <c r="D67" s="13" t="n">
        <v>0</v>
      </c>
      <c r="E67" s="13" t="n">
        <v>0</v>
      </c>
      <c r="F67" s="13" t="n">
        <v>0</v>
      </c>
      <c r="G67" s="13" t="n">
        <v>1</v>
      </c>
      <c r="H67" s="13" t="str">
        <f aca="false">IF(C67=1,A67,"")</f>
        <v/>
      </c>
      <c r="I67" s="13" t="n">
        <f aca="false">IF(C67=0,A67,"")</f>
        <v>4</v>
      </c>
    </row>
    <row r="68" customFormat="false" ht="15" hidden="false" customHeight="false" outlineLevel="0" collapsed="false">
      <c r="A68" s="13" t="n">
        <v>4</v>
      </c>
      <c r="B68" s="13" t="n">
        <v>57</v>
      </c>
      <c r="C68" s="13" t="n">
        <v>1</v>
      </c>
      <c r="D68" s="13" t="n">
        <v>0</v>
      </c>
      <c r="E68" s="13" t="n">
        <v>1</v>
      </c>
      <c r="F68" s="13" t="n">
        <v>1</v>
      </c>
      <c r="G68" s="13" t="n">
        <v>1</v>
      </c>
      <c r="H68" s="13" t="n">
        <f aca="false">IF(C68=1,A68,"")</f>
        <v>4</v>
      </c>
      <c r="I68" s="13" t="str">
        <f aca="false">IF(C68=0,A68,"")</f>
        <v/>
      </c>
    </row>
    <row r="69" customFormat="false" ht="15" hidden="false" customHeight="false" outlineLevel="0" collapsed="false">
      <c r="A69" s="13" t="n">
        <v>4</v>
      </c>
      <c r="B69" s="13" t="n">
        <v>55</v>
      </c>
      <c r="C69" s="13" t="n">
        <v>0</v>
      </c>
      <c r="D69" s="13" t="n">
        <v>2</v>
      </c>
      <c r="E69" s="13" t="n">
        <v>1</v>
      </c>
      <c r="F69" s="13" t="n">
        <v>1</v>
      </c>
      <c r="G69" s="13" t="n">
        <v>1</v>
      </c>
      <c r="H69" s="13" t="str">
        <f aca="false">IF(C69=1,A69,"")</f>
        <v/>
      </c>
      <c r="I69" s="13" t="n">
        <f aca="false">IF(C69=0,A69,"")</f>
        <v>4</v>
      </c>
    </row>
    <row r="70" customFormat="false" ht="15" hidden="false" customHeight="false" outlineLevel="0" collapsed="false">
      <c r="A70" s="13" t="n">
        <v>2</v>
      </c>
      <c r="B70" s="13" t="n">
        <v>48</v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str">
        <f aca="false">IF(C70=1,A70,"")</f>
        <v/>
      </c>
      <c r="I70" s="13" t="n">
        <f aca="false">IF(C70=0,A70,"")</f>
        <v>2</v>
      </c>
    </row>
    <row r="71" customFormat="false" ht="15" hidden="false" customHeight="false" outlineLevel="0" collapsed="false">
      <c r="A71" s="13" t="n">
        <v>3</v>
      </c>
      <c r="B71" s="13" t="n">
        <v>59</v>
      </c>
      <c r="C71" s="13" t="n">
        <v>1</v>
      </c>
      <c r="D71" s="13" t="n">
        <v>0</v>
      </c>
      <c r="E71" s="13" t="n">
        <v>0</v>
      </c>
      <c r="F71" s="13" t="n">
        <v>1</v>
      </c>
      <c r="G71" s="13" t="n">
        <v>1</v>
      </c>
      <c r="H71" s="13" t="n">
        <f aca="false">IF(C71=1,A71,"")</f>
        <v>3</v>
      </c>
      <c r="I71" s="13" t="str">
        <f aca="false">IF(C71=0,A71,"")</f>
        <v/>
      </c>
    </row>
    <row r="72" customFormat="false" ht="15" hidden="false" customHeight="false" outlineLevel="0" collapsed="false">
      <c r="A72" s="13" t="n">
        <v>1</v>
      </c>
      <c r="B72" s="13" t="n">
        <v>51</v>
      </c>
      <c r="C72" s="13" t="n">
        <v>1</v>
      </c>
      <c r="D72" s="13" t="n">
        <v>0</v>
      </c>
      <c r="E72" s="13" t="n">
        <v>1</v>
      </c>
      <c r="F72" s="13" t="n">
        <v>0</v>
      </c>
      <c r="G72" s="13" t="n">
        <v>0</v>
      </c>
      <c r="H72" s="13" t="n">
        <f aca="false">IF(C72=1,A72,"")</f>
        <v>1</v>
      </c>
      <c r="I72" s="13" t="str">
        <f aca="false">IF(C72=0,A72,"")</f>
        <v/>
      </c>
    </row>
    <row r="73" customFormat="false" ht="15" hidden="false" customHeight="false" outlineLevel="0" collapsed="false">
      <c r="A73" s="13" t="n">
        <v>3</v>
      </c>
      <c r="B73" s="13" t="n">
        <v>53</v>
      </c>
      <c r="C73" s="13" t="n">
        <v>0</v>
      </c>
      <c r="D73" s="13" t="n">
        <v>0</v>
      </c>
      <c r="E73" s="13" t="n">
        <v>0</v>
      </c>
      <c r="F73" s="13" t="n">
        <v>1</v>
      </c>
      <c r="G73" s="13" t="n">
        <v>0</v>
      </c>
      <c r="H73" s="13" t="str">
        <f aca="false">IF(C73=1,A73,"")</f>
        <v/>
      </c>
      <c r="I73" s="13" t="n">
        <f aca="false">IF(C73=0,A73,"")</f>
        <v>3</v>
      </c>
    </row>
    <row r="74" customFormat="false" ht="15" hidden="false" customHeight="false" outlineLevel="0" collapsed="false">
      <c r="A74" s="13" t="n">
        <v>4</v>
      </c>
      <c r="B74" s="13" t="n">
        <v>52</v>
      </c>
      <c r="C74" s="13" t="n">
        <v>0</v>
      </c>
      <c r="D74" s="13" t="n">
        <v>0</v>
      </c>
      <c r="E74" s="13" t="n">
        <v>1</v>
      </c>
      <c r="F74" s="13" t="n">
        <v>0</v>
      </c>
      <c r="G74" s="13" t="n">
        <v>1</v>
      </c>
      <c r="H74" s="13" t="str">
        <f aca="false">IF(C74=1,A74,"")</f>
        <v/>
      </c>
      <c r="I74" s="13" t="n">
        <f aca="false">IF(C74=0,A74,"")</f>
        <v>4</v>
      </c>
    </row>
    <row r="75" customFormat="false" ht="15" hidden="false" customHeight="false" outlineLevel="0" collapsed="false">
      <c r="A75" s="13" t="n">
        <v>4</v>
      </c>
      <c r="B75" s="13" t="n">
        <v>63</v>
      </c>
      <c r="C75" s="13" t="n">
        <v>0</v>
      </c>
      <c r="D75" s="13" t="n">
        <v>0</v>
      </c>
      <c r="E75" s="13" t="n">
        <v>0</v>
      </c>
      <c r="F75" s="13" t="n">
        <v>1</v>
      </c>
      <c r="G75" s="13" t="n">
        <v>0</v>
      </c>
      <c r="H75" s="13" t="str">
        <f aca="false">IF(C75=1,A75,"")</f>
        <v/>
      </c>
      <c r="I75" s="13" t="n">
        <f aca="false">IF(C75=0,A75,"")</f>
        <v>4</v>
      </c>
    </row>
    <row r="76" customFormat="false" ht="15" hidden="false" customHeight="false" outlineLevel="0" collapsed="false">
      <c r="A76" s="13" t="n">
        <v>4</v>
      </c>
      <c r="B76" s="13" t="n">
        <v>48</v>
      </c>
      <c r="C76" s="13" t="n">
        <v>1</v>
      </c>
      <c r="D76" s="13" t="n">
        <v>1</v>
      </c>
      <c r="E76" s="13" t="n">
        <v>1</v>
      </c>
      <c r="F76" s="13" t="n">
        <v>1</v>
      </c>
      <c r="G76" s="13" t="n">
        <v>1</v>
      </c>
      <c r="H76" s="13" t="n">
        <f aca="false">IF(C76=1,A76,"")</f>
        <v>4</v>
      </c>
      <c r="I76" s="13" t="str">
        <f aca="false">IF(C76=0,A76,"")</f>
        <v/>
      </c>
    </row>
    <row r="77" customFormat="false" ht="15" hidden="false" customHeight="false" outlineLevel="0" collapsed="false">
      <c r="A77" s="13" t="n">
        <v>4</v>
      </c>
      <c r="B77" s="13" t="n">
        <v>37</v>
      </c>
      <c r="C77" s="13" t="n">
        <v>1</v>
      </c>
      <c r="D77" s="13" t="n">
        <v>0</v>
      </c>
      <c r="E77" s="13" t="n">
        <v>1</v>
      </c>
      <c r="F77" s="13" t="n">
        <v>0</v>
      </c>
      <c r="G77" s="13" t="n">
        <v>0</v>
      </c>
      <c r="H77" s="13" t="n">
        <f aca="false">IF(C77=1,A77,"")</f>
        <v>4</v>
      </c>
      <c r="I77" s="13" t="str">
        <f aca="false">IF(C77=0,A77,"")</f>
        <v/>
      </c>
    </row>
    <row r="78" customFormat="false" ht="15" hidden="false" customHeight="false" outlineLevel="0" collapsed="false">
      <c r="A78" s="13" t="n">
        <v>4</v>
      </c>
      <c r="B78" s="13" t="n">
        <v>61</v>
      </c>
      <c r="C78" s="13" t="n">
        <v>0</v>
      </c>
      <c r="D78" s="13" t="n">
        <v>0</v>
      </c>
      <c r="E78" s="13" t="n">
        <v>0</v>
      </c>
      <c r="F78" s="13" t="n">
        <v>1</v>
      </c>
      <c r="G78" s="13" t="n">
        <v>1</v>
      </c>
      <c r="H78" s="13" t="str">
        <f aca="false">IF(C78=1,A78,"")</f>
        <v/>
      </c>
      <c r="I78" s="13" t="n">
        <f aca="false">IF(C78=0,A78,"")</f>
        <v>4</v>
      </c>
    </row>
    <row r="79" customFormat="false" ht="15" hidden="false" customHeight="false" outlineLevel="0" collapsed="false">
      <c r="A79" s="13" t="n">
        <v>2</v>
      </c>
      <c r="B79" s="13" t="n">
        <v>61</v>
      </c>
      <c r="C79" s="13" t="n">
        <v>0</v>
      </c>
      <c r="D79" s="13" t="n">
        <v>0</v>
      </c>
      <c r="E79" s="13" t="n">
        <v>0</v>
      </c>
      <c r="F79" s="13" t="n">
        <v>1</v>
      </c>
      <c r="G79" s="13" t="n">
        <v>1</v>
      </c>
      <c r="H79" s="13" t="str">
        <f aca="false">IF(C79=1,A79,"")</f>
        <v/>
      </c>
      <c r="I79" s="13" t="n">
        <f aca="false">IF(C79=0,A79,"")</f>
        <v>2</v>
      </c>
    </row>
    <row r="80" customFormat="false" ht="15" hidden="false" customHeight="false" outlineLevel="0" collapsed="false">
      <c r="A80" s="13" t="n">
        <v>4</v>
      </c>
      <c r="B80" s="13" t="n">
        <v>36</v>
      </c>
      <c r="C80" s="13" t="n">
        <v>0</v>
      </c>
      <c r="D80" s="13" t="n">
        <v>2</v>
      </c>
      <c r="E80" s="13" t="n">
        <v>0</v>
      </c>
      <c r="F80" s="13" t="n">
        <v>1</v>
      </c>
      <c r="G80" s="13" t="n">
        <v>1</v>
      </c>
      <c r="H80" s="13" t="str">
        <f aca="false">IF(C80=1,A80,"")</f>
        <v/>
      </c>
      <c r="I80" s="13" t="n">
        <f aca="false">IF(C80=0,A80,"")</f>
        <v>4</v>
      </c>
    </row>
    <row r="81" customFormat="false" ht="15" hidden="false" customHeight="false" outlineLevel="0" collapsed="false">
      <c r="A81" s="13" t="n">
        <v>5</v>
      </c>
      <c r="B81" s="13" t="n">
        <v>37</v>
      </c>
      <c r="C81" s="13" t="n">
        <v>1</v>
      </c>
      <c r="D81" s="13" t="n">
        <v>2</v>
      </c>
      <c r="E81" s="13" t="n">
        <v>1</v>
      </c>
      <c r="F81" s="13" t="n">
        <v>1</v>
      </c>
      <c r="G81" s="13" t="n">
        <v>1</v>
      </c>
      <c r="H81" s="13" t="n">
        <f aca="false">IF(C81=1,A81,"")</f>
        <v>5</v>
      </c>
      <c r="I81" s="13" t="str">
        <f aca="false">IF(C81=0,A81,"")</f>
        <v/>
      </c>
    </row>
    <row r="82" customFormat="false" ht="15" hidden="false" customHeight="false" outlineLevel="0" collapsed="false">
      <c r="A82" s="13" t="n">
        <v>5</v>
      </c>
      <c r="B82" s="13" t="n">
        <v>54</v>
      </c>
      <c r="C82" s="13" t="n">
        <v>0</v>
      </c>
      <c r="D82" s="13" t="n">
        <v>0</v>
      </c>
      <c r="E82" s="13" t="n">
        <v>1</v>
      </c>
      <c r="F82" s="13" t="n">
        <v>1</v>
      </c>
      <c r="G82" s="13" t="n">
        <v>1</v>
      </c>
      <c r="H82" s="13" t="str">
        <f aca="false">IF(C82=1,A82,"")</f>
        <v/>
      </c>
      <c r="I82" s="13" t="n">
        <f aca="false">IF(C82=0,A82,"")</f>
        <v>5</v>
      </c>
    </row>
    <row r="83" customFormat="false" ht="15" hidden="false" customHeight="false" outlineLevel="0" collapsed="false">
      <c r="A83" s="13" t="n">
        <v>5</v>
      </c>
      <c r="B83" s="13" t="n">
        <v>32</v>
      </c>
      <c r="C83" s="13" t="n">
        <v>0</v>
      </c>
      <c r="D83" s="13" t="n">
        <v>3</v>
      </c>
      <c r="E83" s="13" t="n">
        <v>0</v>
      </c>
      <c r="F83" s="13" t="n">
        <v>0</v>
      </c>
      <c r="G83" s="13" t="n">
        <v>1</v>
      </c>
      <c r="H83" s="13" t="str">
        <f aca="false">IF(C83=1,A83,"")</f>
        <v/>
      </c>
      <c r="I83" s="13" t="n">
        <f aca="false">IF(C83=0,A83,"")</f>
        <v>5</v>
      </c>
    </row>
    <row r="84" customFormat="false" ht="15" hidden="false" customHeight="false" outlineLevel="0" collapsed="false">
      <c r="A84" s="13" t="n">
        <v>4</v>
      </c>
      <c r="B84" s="13" t="n">
        <v>60</v>
      </c>
      <c r="C84" s="13" t="n">
        <v>0</v>
      </c>
      <c r="D84" s="13" t="n">
        <v>0</v>
      </c>
      <c r="E84" s="13" t="n">
        <v>1</v>
      </c>
      <c r="F84" s="13" t="n">
        <v>0</v>
      </c>
      <c r="G84" s="13" t="n">
        <v>1</v>
      </c>
      <c r="H84" s="13" t="str">
        <f aca="false">IF(C84=1,A84,"")</f>
        <v/>
      </c>
      <c r="I84" s="13" t="n">
        <f aca="false">IF(C84=0,A84,"")</f>
        <v>4</v>
      </c>
    </row>
    <row r="85" customFormat="false" ht="15" hidden="false" customHeight="false" outlineLevel="0" collapsed="false">
      <c r="A85" s="13" t="n">
        <v>4</v>
      </c>
      <c r="B85" s="13" t="n">
        <v>37</v>
      </c>
      <c r="C85" s="13" t="n">
        <v>0</v>
      </c>
      <c r="D85" s="13" t="n">
        <v>2</v>
      </c>
      <c r="E85" s="13" t="n">
        <v>0</v>
      </c>
      <c r="F85" s="13" t="n">
        <v>1</v>
      </c>
      <c r="G85" s="13" t="n">
        <v>1</v>
      </c>
      <c r="H85" s="13" t="str">
        <f aca="false">IF(C85=1,A85,"")</f>
        <v/>
      </c>
      <c r="I85" s="13" t="n">
        <f aca="false">IF(C85=0,A85,"")</f>
        <v>4</v>
      </c>
    </row>
    <row r="86" customFormat="false" ht="15" hidden="false" customHeight="false" outlineLevel="0" collapsed="false">
      <c r="A86" s="13" t="n">
        <v>4</v>
      </c>
      <c r="B86" s="13" t="n">
        <v>55</v>
      </c>
      <c r="C86" s="13" t="n">
        <v>0</v>
      </c>
      <c r="D86" s="13" t="n">
        <v>0</v>
      </c>
      <c r="E86" s="13" t="n">
        <v>0</v>
      </c>
      <c r="F86" s="13" t="n">
        <v>1</v>
      </c>
      <c r="G86" s="13" t="n">
        <v>1</v>
      </c>
      <c r="H86" s="13" t="str">
        <f aca="false">IF(C86=1,A86,"")</f>
        <v/>
      </c>
      <c r="I86" s="13" t="n">
        <f aca="false">IF(C86=0,A86,"")</f>
        <v>4</v>
      </c>
    </row>
    <row r="87" customFormat="false" ht="15" hidden="false" customHeight="false" outlineLevel="0" collapsed="false">
      <c r="A87" s="13" t="n">
        <v>2</v>
      </c>
      <c r="B87" s="13" t="n">
        <v>54</v>
      </c>
      <c r="C87" s="13" t="n">
        <v>1</v>
      </c>
      <c r="D87" s="13" t="n">
        <v>3</v>
      </c>
      <c r="E87" s="13" t="n">
        <v>0</v>
      </c>
      <c r="F87" s="13" t="n">
        <v>1</v>
      </c>
      <c r="G87" s="13" t="n">
        <v>1</v>
      </c>
      <c r="H87" s="13" t="n">
        <f aca="false">IF(C87=1,A87,"")</f>
        <v>2</v>
      </c>
      <c r="I87" s="13" t="str">
        <f aca="false">IF(C87=0,A87,"")</f>
        <v/>
      </c>
    </row>
    <row r="88" customFormat="false" ht="15" hidden="false" customHeight="false" outlineLevel="0" collapsed="false">
      <c r="A88" s="13" t="n">
        <v>1</v>
      </c>
      <c r="B88" s="13" t="n">
        <v>37</v>
      </c>
      <c r="C88" s="13" t="n">
        <v>0</v>
      </c>
      <c r="D88" s="13" t="n">
        <v>0</v>
      </c>
      <c r="E88" s="13" t="n">
        <v>1</v>
      </c>
      <c r="F88" s="13" t="n">
        <v>1</v>
      </c>
      <c r="G88" s="13" t="n">
        <v>1</v>
      </c>
      <c r="H88" s="13" t="str">
        <f aca="false">IF(C88=1,A88,"")</f>
        <v/>
      </c>
      <c r="I88" s="13" t="n">
        <f aca="false">IF(C88=0,A88,"")</f>
        <v>1</v>
      </c>
    </row>
    <row r="89" customFormat="false" ht="15" hidden="false" customHeight="false" outlineLevel="0" collapsed="false">
      <c r="A89" s="13" t="n">
        <v>2</v>
      </c>
      <c r="B89" s="13" t="n">
        <v>34</v>
      </c>
      <c r="C89" s="13" t="n">
        <v>0</v>
      </c>
      <c r="D89" s="13" t="n">
        <v>4</v>
      </c>
      <c r="E89" s="13" t="n">
        <v>0</v>
      </c>
      <c r="F89" s="13" t="n">
        <v>1</v>
      </c>
      <c r="G89" s="13" t="n">
        <v>0</v>
      </c>
      <c r="H89" s="13" t="str">
        <f aca="false">IF(C89=1,A89,"")</f>
        <v/>
      </c>
      <c r="I89" s="13" t="n">
        <f aca="false">IF(C89=0,A89,"")</f>
        <v>2</v>
      </c>
    </row>
    <row r="90" customFormat="false" ht="15" hidden="false" customHeight="false" outlineLevel="0" collapsed="false">
      <c r="A90" s="13" t="n">
        <v>5</v>
      </c>
      <c r="B90" s="13" t="n">
        <v>37</v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str">
        <f aca="false">IF(C90=1,A90,"")</f>
        <v/>
      </c>
      <c r="I90" s="13" t="n">
        <f aca="false">IF(C90=0,A90,"")</f>
        <v>5</v>
      </c>
    </row>
    <row r="91" customFormat="false" ht="15" hidden="false" customHeight="false" outlineLevel="0" collapsed="false">
      <c r="A91" s="13" t="n">
        <v>1</v>
      </c>
      <c r="B91" s="13" t="n">
        <v>29</v>
      </c>
      <c r="C91" s="13" t="n">
        <v>0</v>
      </c>
      <c r="D91" s="13" t="n">
        <v>0</v>
      </c>
      <c r="E91" s="13" t="n">
        <v>0</v>
      </c>
      <c r="F91" s="13" t="n">
        <v>1</v>
      </c>
      <c r="G91" s="13" t="n">
        <v>0</v>
      </c>
      <c r="H91" s="13" t="str">
        <f aca="false">IF(C91=1,A91,"")</f>
        <v/>
      </c>
      <c r="I91" s="13" t="n">
        <f aca="false">IF(C91=0,A91,"")</f>
        <v>1</v>
      </c>
    </row>
    <row r="92" customFormat="false" ht="15" hidden="false" customHeight="false" outlineLevel="0" collapsed="false">
      <c r="A92" s="13" t="n">
        <v>3</v>
      </c>
      <c r="B92" s="13" t="n">
        <v>34</v>
      </c>
      <c r="C92" s="13" t="n">
        <v>1</v>
      </c>
      <c r="D92" s="13" t="n">
        <v>0</v>
      </c>
      <c r="E92" s="13" t="n">
        <v>1</v>
      </c>
      <c r="F92" s="13" t="n">
        <v>1</v>
      </c>
      <c r="G92" s="13" t="n">
        <v>1</v>
      </c>
      <c r="H92" s="13" t="n">
        <f aca="false">IF(C92=1,A92,"")</f>
        <v>3</v>
      </c>
      <c r="I92" s="13" t="str">
        <f aca="false">IF(C92=0,A92,"")</f>
        <v/>
      </c>
    </row>
    <row r="93" customFormat="false" ht="15" hidden="false" customHeight="false" outlineLevel="0" collapsed="false">
      <c r="A93" s="13" t="n">
        <v>4</v>
      </c>
      <c r="B93" s="13" t="n">
        <v>51</v>
      </c>
      <c r="C93" s="13" t="n">
        <v>0</v>
      </c>
      <c r="D93" s="13" t="n">
        <v>0</v>
      </c>
      <c r="E93" s="13" t="n">
        <v>0</v>
      </c>
      <c r="F93" s="13" t="n">
        <v>1</v>
      </c>
      <c r="G93" s="13" t="n">
        <v>1</v>
      </c>
      <c r="H93" s="13" t="str">
        <f aca="false">IF(C93=1,A93,"")</f>
        <v/>
      </c>
      <c r="I93" s="13" t="n">
        <f aca="false">IF(C93=0,A93,"")</f>
        <v>4</v>
      </c>
    </row>
    <row r="94" customFormat="false" ht="15" hidden="false" customHeight="false" outlineLevel="0" collapsed="false">
      <c r="A94" s="13" t="n">
        <v>4</v>
      </c>
      <c r="B94" s="13" t="n">
        <v>29</v>
      </c>
      <c r="C94" s="13" t="n">
        <v>1</v>
      </c>
      <c r="D94" s="13" t="n">
        <v>2</v>
      </c>
      <c r="E94" s="13" t="n">
        <v>1</v>
      </c>
      <c r="F94" s="13" t="n">
        <v>1</v>
      </c>
      <c r="G94" s="13" t="n">
        <v>1</v>
      </c>
      <c r="H94" s="13" t="n">
        <f aca="false">IF(C94=1,A94,"")</f>
        <v>4</v>
      </c>
      <c r="I94" s="13" t="str">
        <f aca="false">IF(C94=0,A94,"")</f>
        <v/>
      </c>
    </row>
    <row r="95" customFormat="false" ht="15" hidden="false" customHeight="false" outlineLevel="0" collapsed="false">
      <c r="A95" s="13" t="n">
        <v>3</v>
      </c>
      <c r="B95" s="13" t="n">
        <v>49</v>
      </c>
      <c r="C95" s="13" t="n">
        <v>1</v>
      </c>
      <c r="D95" s="13" t="n">
        <v>0</v>
      </c>
      <c r="E95" s="13" t="n">
        <v>1</v>
      </c>
      <c r="F95" s="13" t="n">
        <v>1</v>
      </c>
      <c r="G95" s="13" t="n">
        <v>0</v>
      </c>
      <c r="H95" s="13" t="n">
        <f aca="false">IF(C95=1,A95,"")</f>
        <v>3</v>
      </c>
      <c r="I95" s="13" t="str">
        <f aca="false">IF(C95=0,A95,"")</f>
        <v/>
      </c>
    </row>
    <row r="96" customFormat="false" ht="15" hidden="false" customHeight="false" outlineLevel="0" collapsed="false">
      <c r="A96" s="13" t="n">
        <v>3</v>
      </c>
      <c r="B96" s="13" t="n">
        <v>34</v>
      </c>
      <c r="C96" s="13" t="n">
        <v>1</v>
      </c>
      <c r="D96" s="13" t="n">
        <v>2</v>
      </c>
      <c r="E96" s="13" t="n">
        <v>1</v>
      </c>
      <c r="F96" s="13" t="n">
        <v>1</v>
      </c>
      <c r="G96" s="13" t="n">
        <v>1</v>
      </c>
      <c r="H96" s="13" t="n">
        <f aca="false">IF(C96=1,A96,"")</f>
        <v>3</v>
      </c>
      <c r="I96" s="13" t="str">
        <f aca="false">IF(C96=0,A96,"")</f>
        <v/>
      </c>
    </row>
    <row r="97" customFormat="false" ht="15" hidden="false" customHeight="false" outlineLevel="0" collapsed="false">
      <c r="A97" s="13" t="n">
        <v>3</v>
      </c>
      <c r="B97" s="13" t="n">
        <v>48</v>
      </c>
      <c r="C97" s="13" t="n">
        <v>1</v>
      </c>
      <c r="D97" s="13" t="n">
        <v>1</v>
      </c>
      <c r="E97" s="13" t="n">
        <v>0</v>
      </c>
      <c r="F97" s="13" t="n">
        <v>1</v>
      </c>
      <c r="G97" s="13" t="n">
        <v>1</v>
      </c>
      <c r="H97" s="13" t="n">
        <f aca="false">IF(C97=1,A97,"")</f>
        <v>3</v>
      </c>
      <c r="I97" s="13" t="str">
        <f aca="false">IF(C97=0,A97,"")</f>
        <v/>
      </c>
    </row>
    <row r="98" customFormat="false" ht="15" hidden="false" customHeight="false" outlineLevel="0" collapsed="false">
      <c r="A98" s="13" t="n">
        <v>3</v>
      </c>
      <c r="B98" s="13" t="n">
        <v>43</v>
      </c>
      <c r="C98" s="13" t="n">
        <v>1</v>
      </c>
      <c r="D98" s="13" t="n">
        <v>0</v>
      </c>
      <c r="E98" s="13" t="n">
        <v>0</v>
      </c>
      <c r="F98" s="13" t="n">
        <v>1</v>
      </c>
      <c r="G98" s="13" t="n">
        <v>0</v>
      </c>
      <c r="H98" s="13" t="n">
        <f aca="false">IF(C98=1,A98,"")</f>
        <v>3</v>
      </c>
      <c r="I98" s="13" t="str">
        <f aca="false">IF(C98=0,A98,"")</f>
        <v/>
      </c>
    </row>
    <row r="99" customFormat="false" ht="15" hidden="false" customHeight="false" outlineLevel="0" collapsed="false">
      <c r="A99" s="13" t="n">
        <v>2</v>
      </c>
      <c r="B99" s="13" t="n">
        <v>34</v>
      </c>
      <c r="C99" s="13" t="n">
        <v>1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f aca="false">IF(C99=1,A99,"")</f>
        <v>2</v>
      </c>
      <c r="I99" s="13" t="str">
        <f aca="false">IF(C99=0,A99,"")</f>
        <v/>
      </c>
    </row>
    <row r="100" customFormat="false" ht="15" hidden="false" customHeight="false" outlineLevel="0" collapsed="false">
      <c r="A100" s="13" t="n">
        <v>3</v>
      </c>
      <c r="B100" s="13" t="n">
        <v>48</v>
      </c>
      <c r="C100" s="13" t="n">
        <v>0</v>
      </c>
      <c r="D100" s="13" t="n">
        <v>2</v>
      </c>
      <c r="E100" s="13" t="n">
        <v>1</v>
      </c>
      <c r="F100" s="13" t="n">
        <v>1</v>
      </c>
      <c r="G100" s="13" t="n">
        <v>1</v>
      </c>
      <c r="H100" s="13" t="str">
        <f aca="false">IF(C100=1,A100,"")</f>
        <v/>
      </c>
      <c r="I100" s="13" t="n">
        <f aca="false">IF(C100=0,A100,"")</f>
        <v>3</v>
      </c>
    </row>
    <row r="101" customFormat="false" ht="15" hidden="false" customHeight="false" outlineLevel="0" collapsed="false">
      <c r="A101" s="13" t="n">
        <v>5</v>
      </c>
      <c r="B101" s="13" t="n">
        <v>28</v>
      </c>
      <c r="C101" s="13" t="n">
        <v>1</v>
      </c>
      <c r="D101" s="13" t="n">
        <v>2</v>
      </c>
      <c r="E101" s="13" t="n">
        <v>1</v>
      </c>
      <c r="F101" s="13" t="n">
        <v>1</v>
      </c>
      <c r="G101" s="13" t="n">
        <v>1</v>
      </c>
      <c r="H101" s="13" t="n">
        <f aca="false">IF(C101=1,A101,"")</f>
        <v>5</v>
      </c>
      <c r="I101" s="13" t="str">
        <f aca="false">IF(C101=0,A101,"")</f>
        <v/>
      </c>
    </row>
    <row r="102" customFormat="false" ht="15" hidden="false" customHeight="false" outlineLevel="0" collapsed="false">
      <c r="A102" s="13" t="n">
        <v>4</v>
      </c>
      <c r="B102" s="13" t="n">
        <v>34</v>
      </c>
      <c r="C102" s="13" t="n">
        <v>1</v>
      </c>
      <c r="D102" s="13" t="n">
        <v>0</v>
      </c>
      <c r="E102" s="13" t="n">
        <v>1</v>
      </c>
      <c r="F102" s="13" t="n">
        <v>1</v>
      </c>
      <c r="G102" s="13" t="n">
        <v>1</v>
      </c>
      <c r="H102" s="13" t="n">
        <f aca="false">IF(C102=1,A102,"")</f>
        <v>4</v>
      </c>
      <c r="I102" s="13" t="str">
        <f aca="false">IF(C102=0,A102,"")</f>
        <v/>
      </c>
    </row>
    <row r="103" customFormat="false" ht="15" hidden="false" customHeight="false" outlineLevel="0" collapsed="false">
      <c r="A103" s="13" t="n">
        <v>4</v>
      </c>
      <c r="B103" s="13" t="n">
        <v>27</v>
      </c>
      <c r="C103" s="13" t="n">
        <v>1</v>
      </c>
      <c r="D103" s="13" t="n">
        <v>0</v>
      </c>
      <c r="E103" s="13" t="n">
        <v>1</v>
      </c>
      <c r="F103" s="13" t="n">
        <v>1</v>
      </c>
      <c r="G103" s="13" t="n">
        <v>1</v>
      </c>
      <c r="H103" s="13" t="n">
        <f aca="false">IF(C103=1,A103,"")</f>
        <v>4</v>
      </c>
      <c r="I103" s="13" t="str">
        <f aca="false">IF(C103=0,A103,"")</f>
        <v/>
      </c>
    </row>
    <row r="104" customFormat="false" ht="15" hidden="false" customHeight="false" outlineLevel="0" collapsed="false">
      <c r="A104" s="13" t="n">
        <v>4</v>
      </c>
      <c r="B104" s="13" t="n">
        <v>49</v>
      </c>
      <c r="C104" s="13" t="n">
        <v>0</v>
      </c>
      <c r="D104" s="13" t="n">
        <v>2</v>
      </c>
      <c r="E104" s="13" t="n">
        <v>0</v>
      </c>
      <c r="F104" s="13" t="n">
        <v>1</v>
      </c>
      <c r="G104" s="13" t="n">
        <v>1</v>
      </c>
      <c r="H104" s="13" t="str">
        <f aca="false">IF(C104=1,A104,"")</f>
        <v/>
      </c>
      <c r="I104" s="13" t="n">
        <f aca="false">IF(C104=0,A104,"")</f>
        <v>4</v>
      </c>
    </row>
    <row r="105" customFormat="false" ht="15" hidden="false" customHeight="false" outlineLevel="0" collapsed="false">
      <c r="A105" s="13" t="n">
        <v>3</v>
      </c>
      <c r="B105" s="13" t="n">
        <v>63</v>
      </c>
      <c r="C105" s="13" t="n">
        <v>1</v>
      </c>
      <c r="D105" s="13" t="n">
        <v>0</v>
      </c>
      <c r="E105" s="13" t="n">
        <v>0</v>
      </c>
      <c r="F105" s="13" t="n">
        <v>1</v>
      </c>
      <c r="G105" s="13" t="n">
        <v>1</v>
      </c>
      <c r="H105" s="13" t="n">
        <f aca="false">IF(C105=1,A105,"")</f>
        <v>3</v>
      </c>
      <c r="I105" s="13" t="str">
        <f aca="false">IF(C105=0,A105,"")</f>
        <v/>
      </c>
    </row>
    <row r="106" customFormat="false" ht="15" hidden="false" customHeight="false" outlineLevel="0" collapsed="false">
      <c r="A106" s="13" t="n">
        <v>4</v>
      </c>
      <c r="B106" s="13" t="n">
        <v>39</v>
      </c>
      <c r="C106" s="13" t="n">
        <v>1</v>
      </c>
      <c r="D106" s="13" t="n">
        <v>2</v>
      </c>
      <c r="E106" s="13" t="n">
        <v>0</v>
      </c>
      <c r="F106" s="13" t="n">
        <v>0</v>
      </c>
      <c r="G106" s="13" t="n">
        <v>1</v>
      </c>
      <c r="H106" s="13" t="n">
        <f aca="false">IF(C106=1,A106,"")</f>
        <v>4</v>
      </c>
      <c r="I106" s="13" t="str">
        <f aca="false">IF(C106=0,A106,"")</f>
        <v/>
      </c>
    </row>
    <row r="107" customFormat="false" ht="15" hidden="false" customHeight="false" outlineLevel="0" collapsed="false">
      <c r="A107" s="13" t="n">
        <v>4</v>
      </c>
      <c r="B107" s="13" t="n">
        <v>55</v>
      </c>
      <c r="C107" s="13" t="n">
        <v>0</v>
      </c>
      <c r="D107" s="13" t="n">
        <v>0</v>
      </c>
      <c r="E107" s="13" t="n">
        <v>1</v>
      </c>
      <c r="F107" s="13" t="n">
        <v>0</v>
      </c>
      <c r="G107" s="13" t="n">
        <v>1</v>
      </c>
      <c r="H107" s="13" t="str">
        <f aca="false">IF(C107=1,A107,"")</f>
        <v/>
      </c>
      <c r="I107" s="13" t="n">
        <f aca="false">IF(C107=0,A107,"")</f>
        <v>4</v>
      </c>
    </row>
    <row r="108" customFormat="false" ht="15" hidden="false" customHeight="false" outlineLevel="0" collapsed="false">
      <c r="A108" s="13" t="n">
        <v>3</v>
      </c>
      <c r="B108" s="13" t="n">
        <v>39</v>
      </c>
      <c r="C108" s="13" t="n">
        <v>0</v>
      </c>
      <c r="D108" s="13" t="n">
        <v>0</v>
      </c>
      <c r="E108" s="13" t="n">
        <v>1</v>
      </c>
      <c r="F108" s="13" t="n">
        <v>0</v>
      </c>
      <c r="G108" s="13" t="n">
        <v>0</v>
      </c>
      <c r="H108" s="13" t="str">
        <f aca="false">IF(C108=1,A108,"")</f>
        <v/>
      </c>
      <c r="I108" s="13" t="n">
        <f aca="false">IF(C108=0,A108,"")</f>
        <v>3</v>
      </c>
    </row>
    <row r="109" customFormat="false" ht="15" hidden="false" customHeight="false" outlineLevel="0" collapsed="false">
      <c r="A109" s="13" t="n">
        <v>5</v>
      </c>
      <c r="B109" s="13" t="n">
        <v>52</v>
      </c>
      <c r="C109" s="13" t="n">
        <v>0</v>
      </c>
      <c r="D109" s="13" t="n">
        <v>0</v>
      </c>
      <c r="E109" s="13" t="n">
        <v>0</v>
      </c>
      <c r="F109" s="13" t="n">
        <v>1</v>
      </c>
      <c r="G109" s="13" t="n">
        <v>0</v>
      </c>
      <c r="H109" s="13" t="str">
        <f aca="false">IF(C109=1,A109,"")</f>
        <v/>
      </c>
      <c r="I109" s="13" t="n">
        <f aca="false">IF(C109=0,A109,"")</f>
        <v>5</v>
      </c>
    </row>
    <row r="110" customFormat="false" ht="15" hidden="false" customHeight="false" outlineLevel="0" collapsed="false">
      <c r="A110" s="13" t="n">
        <v>4</v>
      </c>
      <c r="B110" s="13" t="n">
        <v>58</v>
      </c>
      <c r="C110" s="13" t="n">
        <v>0</v>
      </c>
      <c r="D110" s="13" t="n">
        <v>0</v>
      </c>
      <c r="E110" s="13" t="n">
        <v>1</v>
      </c>
      <c r="F110" s="13" t="n">
        <v>0</v>
      </c>
      <c r="G110" s="13" t="n">
        <v>1</v>
      </c>
      <c r="H110" s="13" t="str">
        <f aca="false">IF(C110=1,A110,"")</f>
        <v/>
      </c>
      <c r="I110" s="13" t="n">
        <f aca="false">IF(C110=0,A110,"")</f>
        <v>4</v>
      </c>
    </row>
    <row r="111" customFormat="false" ht="15" hidden="false" customHeight="false" outlineLevel="0" collapsed="false">
      <c r="A111" s="13" t="n">
        <v>3</v>
      </c>
      <c r="B111" s="13" t="n">
        <v>48</v>
      </c>
      <c r="C111" s="13" t="n">
        <v>1</v>
      </c>
      <c r="D111" s="13" t="n">
        <v>0</v>
      </c>
      <c r="E111" s="13" t="n">
        <v>0</v>
      </c>
      <c r="F111" s="13" t="n">
        <v>1</v>
      </c>
      <c r="G111" s="13" t="n">
        <v>1</v>
      </c>
      <c r="H111" s="13" t="n">
        <f aca="false">IF(C111=1,A111,"")</f>
        <v>3</v>
      </c>
      <c r="I111" s="13" t="str">
        <f aca="false">IF(C111=0,A111,"")</f>
        <v/>
      </c>
    </row>
    <row r="112" customFormat="false" ht="15" hidden="false" customHeight="false" outlineLevel="0" collapsed="false">
      <c r="A112" s="13" t="n">
        <v>2</v>
      </c>
      <c r="B112" s="13" t="n">
        <v>38</v>
      </c>
      <c r="C112" s="13" t="n">
        <v>1</v>
      </c>
      <c r="D112" s="13" t="n">
        <v>0</v>
      </c>
      <c r="E112" s="13" t="n">
        <v>1</v>
      </c>
      <c r="F112" s="13" t="n">
        <v>1</v>
      </c>
      <c r="G112" s="13" t="n">
        <v>0</v>
      </c>
      <c r="H112" s="13" t="n">
        <f aca="false">IF(C112=1,A112,"")</f>
        <v>2</v>
      </c>
      <c r="I112" s="13" t="str">
        <f aca="false">IF(C112=0,A112,"")</f>
        <v/>
      </c>
    </row>
    <row r="113" customFormat="false" ht="15" hidden="false" customHeight="false" outlineLevel="0" collapsed="false">
      <c r="A113" s="13" t="n">
        <v>5</v>
      </c>
      <c r="B113" s="13" t="n">
        <v>54</v>
      </c>
      <c r="C113" s="13" t="n">
        <v>1</v>
      </c>
      <c r="D113" s="13" t="n">
        <v>0</v>
      </c>
      <c r="E113" s="13" t="n">
        <v>0</v>
      </c>
      <c r="F113" s="13" t="n">
        <v>1</v>
      </c>
      <c r="G113" s="13" t="n">
        <v>0</v>
      </c>
      <c r="H113" s="13" t="n">
        <f aca="false">IF(C113=1,A113,"")</f>
        <v>5</v>
      </c>
      <c r="I113" s="13" t="str">
        <f aca="false">IF(C113=0,A113,"")</f>
        <v/>
      </c>
    </row>
    <row r="114" customFormat="false" ht="15" hidden="false" customHeight="false" outlineLevel="0" collapsed="false">
      <c r="A114" s="13" t="n">
        <v>5</v>
      </c>
      <c r="B114" s="13" t="n">
        <v>49</v>
      </c>
      <c r="C114" s="13" t="n">
        <v>0</v>
      </c>
      <c r="D114" s="13" t="n">
        <v>1</v>
      </c>
      <c r="E114" s="13" t="n">
        <v>1</v>
      </c>
      <c r="F114" s="13" t="n">
        <v>1</v>
      </c>
      <c r="G114" s="13" t="n">
        <v>1</v>
      </c>
      <c r="H114" s="13" t="str">
        <f aca="false">IF(C114=1,A114,"")</f>
        <v/>
      </c>
      <c r="I114" s="13" t="n">
        <f aca="false">IF(C114=0,A114,"")</f>
        <v>5</v>
      </c>
    </row>
    <row r="115" customFormat="false" ht="15" hidden="false" customHeight="false" outlineLevel="0" collapsed="false">
      <c r="A115" s="13" t="n">
        <v>3</v>
      </c>
      <c r="B115" s="13" t="n">
        <v>62</v>
      </c>
      <c r="C115" s="13" t="n">
        <v>1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f aca="false">IF(C115=1,A115,"")</f>
        <v>3</v>
      </c>
      <c r="I115" s="13" t="str">
        <f aca="false">IF(C115=0,A115,"")</f>
        <v/>
      </c>
    </row>
    <row r="116" customFormat="false" ht="15" hidden="false" customHeight="false" outlineLevel="0" collapsed="false">
      <c r="A116" s="13" t="n">
        <v>4</v>
      </c>
      <c r="B116" s="13" t="n">
        <v>60</v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1</v>
      </c>
      <c r="H116" s="13" t="str">
        <f aca="false">IF(C116=1,A116,"")</f>
        <v/>
      </c>
      <c r="I116" s="13" t="n">
        <f aca="false">IF(C116=0,A116,"")</f>
        <v>4</v>
      </c>
    </row>
    <row r="117" customFormat="false" ht="15" hidden="false" customHeight="false" outlineLevel="0" collapsed="false">
      <c r="A117" s="13" t="n">
        <v>3</v>
      </c>
      <c r="B117" s="13" t="n">
        <v>34</v>
      </c>
      <c r="C117" s="13" t="n">
        <v>1</v>
      </c>
      <c r="D117" s="13" t="n">
        <v>2</v>
      </c>
      <c r="E117" s="13" t="n">
        <v>1</v>
      </c>
      <c r="F117" s="13" t="n">
        <v>1</v>
      </c>
      <c r="G117" s="13" t="n">
        <v>1</v>
      </c>
      <c r="H117" s="13" t="n">
        <f aca="false">IF(C117=1,A117,"")</f>
        <v>3</v>
      </c>
      <c r="I117" s="13" t="str">
        <f aca="false">IF(C117=0,A117,"")</f>
        <v/>
      </c>
    </row>
    <row r="118" customFormat="false" ht="15" hidden="false" customHeight="false" outlineLevel="0" collapsed="false">
      <c r="A118" s="13" t="n">
        <v>4</v>
      </c>
      <c r="B118" s="13" t="n">
        <v>25</v>
      </c>
      <c r="C118" s="13" t="n">
        <v>0</v>
      </c>
      <c r="D118" s="13" t="n">
        <v>0</v>
      </c>
      <c r="E118" s="13" t="n">
        <v>0</v>
      </c>
      <c r="F118" s="13" t="n">
        <v>1</v>
      </c>
      <c r="G118" s="13" t="n">
        <v>0</v>
      </c>
      <c r="H118" s="13" t="str">
        <f aca="false">IF(C118=1,A118,"")</f>
        <v/>
      </c>
      <c r="I118" s="13" t="n">
        <f aca="false">IF(C118=0,A118,"")</f>
        <v>4</v>
      </c>
    </row>
    <row r="119" customFormat="false" ht="15" hidden="false" customHeight="false" outlineLevel="0" collapsed="false">
      <c r="A119" s="13" t="n">
        <v>4</v>
      </c>
      <c r="B119" s="13" t="n">
        <v>35</v>
      </c>
      <c r="C119" s="13" t="n">
        <v>0</v>
      </c>
      <c r="D119" s="13" t="n">
        <v>4</v>
      </c>
      <c r="E119" s="13" t="n">
        <v>0</v>
      </c>
      <c r="F119" s="13" t="n">
        <v>1</v>
      </c>
      <c r="G119" s="13" t="n">
        <v>1</v>
      </c>
      <c r="H119" s="13" t="str">
        <f aca="false">IF(C119=1,A119,"")</f>
        <v/>
      </c>
      <c r="I119" s="13" t="n">
        <f aca="false">IF(C119=0,A119,"")</f>
        <v>4</v>
      </c>
    </row>
    <row r="120" customFormat="false" ht="15" hidden="false" customHeight="false" outlineLevel="0" collapsed="false">
      <c r="A120" s="13" t="n">
        <v>4</v>
      </c>
      <c r="B120" s="13" t="n">
        <v>34</v>
      </c>
      <c r="C120" s="13" t="n">
        <v>1</v>
      </c>
      <c r="D120" s="13" t="n">
        <v>1</v>
      </c>
      <c r="E120" s="13" t="n">
        <v>1</v>
      </c>
      <c r="F120" s="13" t="n">
        <v>1</v>
      </c>
      <c r="G120" s="13" t="n">
        <v>1</v>
      </c>
      <c r="H120" s="13" t="n">
        <f aca="false">IF(C120=1,A120,"")</f>
        <v>4</v>
      </c>
      <c r="I120" s="13" t="str">
        <f aca="false">IF(C120=0,A120,"")</f>
        <v/>
      </c>
    </row>
    <row r="121" customFormat="false" ht="15" hidden="false" customHeight="false" outlineLevel="0" collapsed="false">
      <c r="A121" s="13" t="n">
        <v>5</v>
      </c>
      <c r="B121" s="13" t="n">
        <v>58</v>
      </c>
      <c r="C121" s="13" t="n">
        <v>0</v>
      </c>
      <c r="D121" s="13" t="n">
        <v>0</v>
      </c>
      <c r="E121" s="13" t="n">
        <v>1</v>
      </c>
      <c r="F121" s="13" t="n">
        <v>1</v>
      </c>
      <c r="G121" s="13" t="n">
        <v>1</v>
      </c>
      <c r="H121" s="13" t="str">
        <f aca="false">IF(C121=1,A121,"")</f>
        <v/>
      </c>
      <c r="I121" s="13" t="n">
        <f aca="false">IF(C121=0,A121,"")</f>
        <v>5</v>
      </c>
    </row>
    <row r="122" customFormat="false" ht="15" hidden="false" customHeight="false" outlineLevel="0" collapsed="false">
      <c r="A122" s="13" t="n">
        <v>1</v>
      </c>
      <c r="B122" s="13" t="n">
        <v>39</v>
      </c>
      <c r="C122" s="13" t="n">
        <v>1</v>
      </c>
      <c r="D122" s="13" t="n">
        <v>0</v>
      </c>
      <c r="E122" s="13" t="n">
        <v>1</v>
      </c>
      <c r="F122" s="13" t="n">
        <v>0</v>
      </c>
      <c r="G122" s="13" t="n">
        <v>1</v>
      </c>
      <c r="H122" s="13" t="n">
        <f aca="false">IF(C122=1,A122,"")</f>
        <v>1</v>
      </c>
      <c r="I122" s="13" t="str">
        <f aca="false">IF(C122=0,A122,"")</f>
        <v/>
      </c>
    </row>
    <row r="123" customFormat="false" ht="15" hidden="false" customHeight="false" outlineLevel="0" collapsed="false">
      <c r="A123" s="13" t="n">
        <v>4</v>
      </c>
      <c r="B123" s="13" t="n">
        <v>62</v>
      </c>
      <c r="C123" s="13" t="n">
        <v>0</v>
      </c>
      <c r="D123" s="13" t="n">
        <v>0</v>
      </c>
      <c r="E123" s="13" t="n">
        <v>0</v>
      </c>
      <c r="F123" s="13" t="n">
        <v>1</v>
      </c>
      <c r="G123" s="13" t="n">
        <v>1</v>
      </c>
      <c r="H123" s="13" t="str">
        <f aca="false">IF(C123=1,A123,"")</f>
        <v/>
      </c>
      <c r="I123" s="13" t="n">
        <f aca="false">IF(C123=0,A123,"")</f>
        <v>4</v>
      </c>
    </row>
    <row r="124" customFormat="false" ht="15" hidden="false" customHeight="false" outlineLevel="0" collapsed="false">
      <c r="A124" s="13" t="n">
        <v>2</v>
      </c>
      <c r="B124" s="13" t="n">
        <v>60</v>
      </c>
      <c r="C124" s="13" t="n">
        <v>0</v>
      </c>
      <c r="D124" s="13" t="n">
        <v>0</v>
      </c>
      <c r="E124" s="13" t="n">
        <v>1</v>
      </c>
      <c r="F124" s="13" t="n">
        <v>1</v>
      </c>
      <c r="G124" s="13" t="n">
        <v>0</v>
      </c>
      <c r="H124" s="13" t="str">
        <f aca="false">IF(C124=1,A124,"")</f>
        <v/>
      </c>
      <c r="I124" s="13" t="n">
        <f aca="false">IF(C124=0,A124,"")</f>
        <v>2</v>
      </c>
    </row>
    <row r="125" customFormat="false" ht="15" hidden="false" customHeight="false" outlineLevel="0" collapsed="false">
      <c r="A125" s="13" t="n">
        <v>4</v>
      </c>
      <c r="B125" s="13" t="n">
        <v>56</v>
      </c>
      <c r="C125" s="13" t="n">
        <v>0</v>
      </c>
      <c r="D125" s="13" t="n">
        <v>1</v>
      </c>
      <c r="E125" s="13" t="n">
        <v>1</v>
      </c>
      <c r="F125" s="13" t="n">
        <v>1</v>
      </c>
      <c r="G125" s="13" t="n">
        <v>0</v>
      </c>
      <c r="H125" s="13" t="str">
        <f aca="false">IF(C125=1,A125,"")</f>
        <v/>
      </c>
      <c r="I125" s="13" t="n">
        <f aca="false">IF(C125=0,A125,"")</f>
        <v>4</v>
      </c>
    </row>
    <row r="126" customFormat="false" ht="15" hidden="false" customHeight="false" outlineLevel="0" collapsed="false">
      <c r="A126" s="13" t="n">
        <v>1</v>
      </c>
      <c r="B126" s="13" t="n">
        <v>54</v>
      </c>
      <c r="C126" s="13" t="n">
        <v>1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f aca="false">IF(C126=1,A126,"")</f>
        <v>1</v>
      </c>
      <c r="I126" s="13" t="str">
        <f aca="false">IF(C126=0,A126,"")</f>
        <v/>
      </c>
    </row>
    <row r="127" customFormat="false" ht="15" hidden="false" customHeight="false" outlineLevel="0" collapsed="false">
      <c r="A127" s="13" t="n">
        <v>4</v>
      </c>
      <c r="B127" s="13" t="n">
        <v>47</v>
      </c>
      <c r="C127" s="13" t="n">
        <v>0</v>
      </c>
      <c r="D127" s="13" t="n">
        <v>0</v>
      </c>
      <c r="E127" s="13" t="n">
        <v>1</v>
      </c>
      <c r="F127" s="13" t="n">
        <v>0</v>
      </c>
      <c r="G127" s="13" t="n">
        <v>0</v>
      </c>
      <c r="H127" s="13" t="str">
        <f aca="false">IF(C127=1,A127,"")</f>
        <v/>
      </c>
      <c r="I127" s="13" t="n">
        <f aca="false">IF(C127=0,A127,"")</f>
        <v>4</v>
      </c>
    </row>
    <row r="128" customFormat="false" ht="15" hidden="false" customHeight="false" outlineLevel="0" collapsed="false">
      <c r="A128" s="13" t="n">
        <v>3</v>
      </c>
      <c r="B128" s="13" t="n">
        <v>64</v>
      </c>
      <c r="C128" s="13" t="n">
        <v>1</v>
      </c>
      <c r="D128" s="13" t="n">
        <v>0</v>
      </c>
      <c r="E128" s="13" t="n">
        <v>0</v>
      </c>
      <c r="F128" s="13" t="n">
        <v>1</v>
      </c>
      <c r="G128" s="13" t="n">
        <v>1</v>
      </c>
      <c r="H128" s="13" t="n">
        <f aca="false">IF(C128=1,A128,"")</f>
        <v>3</v>
      </c>
      <c r="I128" s="13" t="str">
        <f aca="false">IF(C128=0,A128,"")</f>
        <v/>
      </c>
    </row>
    <row r="129" customFormat="false" ht="15" hidden="false" customHeight="false" outlineLevel="0" collapsed="false">
      <c r="A129" s="13" t="n">
        <v>3</v>
      </c>
      <c r="B129" s="13" t="n">
        <v>33</v>
      </c>
      <c r="C129" s="13" t="n">
        <v>1</v>
      </c>
      <c r="D129" s="13" t="n">
        <v>0</v>
      </c>
      <c r="E129" s="13" t="n">
        <v>0</v>
      </c>
      <c r="F129" s="13" t="n">
        <v>1</v>
      </c>
      <c r="G129" s="13" t="n">
        <v>0</v>
      </c>
      <c r="H129" s="13" t="n">
        <f aca="false">IF(C129=1,A129,"")</f>
        <v>3</v>
      </c>
      <c r="I129" s="13" t="str">
        <f aca="false">IF(C129=0,A129,"")</f>
        <v/>
      </c>
    </row>
    <row r="130" customFormat="false" ht="15" hidden="false" customHeight="false" outlineLevel="0" collapsed="false">
      <c r="A130" s="13" t="n">
        <v>5</v>
      </c>
      <c r="B130" s="13" t="n">
        <v>52</v>
      </c>
      <c r="C130" s="13" t="n">
        <v>1</v>
      </c>
      <c r="D130" s="13" t="n">
        <v>0</v>
      </c>
      <c r="E130" s="13" t="n">
        <v>1</v>
      </c>
      <c r="F130" s="13" t="n">
        <v>0</v>
      </c>
      <c r="G130" s="13" t="n">
        <v>1</v>
      </c>
      <c r="H130" s="13" t="n">
        <f aca="false">IF(C130=1,A130,"")</f>
        <v>5</v>
      </c>
      <c r="I130" s="13" t="str">
        <f aca="false">IF(C130=0,A130,"")</f>
        <v/>
      </c>
    </row>
    <row r="131" customFormat="false" ht="15" hidden="false" customHeight="false" outlineLevel="0" collapsed="false">
      <c r="A131" s="13" t="n">
        <v>5</v>
      </c>
      <c r="B131" s="13" t="n">
        <v>43</v>
      </c>
      <c r="C131" s="13" t="n">
        <v>1</v>
      </c>
      <c r="D131" s="13" t="n">
        <v>0</v>
      </c>
      <c r="E131" s="13" t="n">
        <v>1</v>
      </c>
      <c r="F131" s="13" t="n">
        <v>1</v>
      </c>
      <c r="G131" s="13" t="n">
        <v>0</v>
      </c>
      <c r="H131" s="13" t="n">
        <f aca="false">IF(C131=1,A131,"")</f>
        <v>5</v>
      </c>
      <c r="I131" s="13" t="str">
        <f aca="false">IF(C131=0,A131,"")</f>
        <v/>
      </c>
    </row>
    <row r="132" customFormat="false" ht="15" hidden="false" customHeight="false" outlineLevel="0" collapsed="false">
      <c r="A132" s="13" t="n">
        <v>3</v>
      </c>
      <c r="B132" s="13" t="n">
        <v>44</v>
      </c>
      <c r="C132" s="13" t="n">
        <v>0</v>
      </c>
      <c r="D132" s="13" t="n">
        <v>1</v>
      </c>
      <c r="E132" s="13" t="n">
        <v>0</v>
      </c>
      <c r="F132" s="13" t="n">
        <v>1</v>
      </c>
      <c r="G132" s="13" t="n">
        <v>1</v>
      </c>
      <c r="H132" s="13" t="str">
        <f aca="false">IF(C132=1,A132,"")</f>
        <v/>
      </c>
      <c r="I132" s="13" t="n">
        <f aca="false">IF(C132=0,A132,"")</f>
        <v>3</v>
      </c>
    </row>
    <row r="133" customFormat="false" ht="15" hidden="false" customHeight="false" outlineLevel="0" collapsed="false">
      <c r="A133" s="13" t="n">
        <v>3</v>
      </c>
      <c r="B133" s="13" t="n">
        <v>39</v>
      </c>
      <c r="C133" s="13" t="n">
        <v>1</v>
      </c>
      <c r="D133" s="13" t="n">
        <v>2</v>
      </c>
      <c r="E133" s="13" t="n">
        <v>1</v>
      </c>
      <c r="F133" s="13" t="n">
        <v>0</v>
      </c>
      <c r="G133" s="13" t="n">
        <v>1</v>
      </c>
      <c r="H133" s="13" t="n">
        <f aca="false">IF(C133=1,A133,"")</f>
        <v>3</v>
      </c>
      <c r="I133" s="13" t="str">
        <f aca="false">IF(C133=0,A133,"")</f>
        <v/>
      </c>
    </row>
    <row r="134" customFormat="false" ht="15" hidden="false" customHeight="false" outlineLevel="0" collapsed="false">
      <c r="A134" s="13" t="n">
        <v>4</v>
      </c>
      <c r="B134" s="13" t="n">
        <v>48</v>
      </c>
      <c r="C134" s="13" t="n">
        <v>0</v>
      </c>
      <c r="D134" s="13" t="n">
        <v>1</v>
      </c>
      <c r="E134" s="13" t="n">
        <v>1</v>
      </c>
      <c r="F134" s="13" t="n">
        <v>0</v>
      </c>
      <c r="G134" s="13" t="n">
        <v>1</v>
      </c>
      <c r="H134" s="13" t="str">
        <f aca="false">IF(C134=1,A134,"")</f>
        <v/>
      </c>
      <c r="I134" s="13" t="n">
        <f aca="false">IF(C134=0,A134,"")</f>
        <v>4</v>
      </c>
    </row>
    <row r="135" customFormat="false" ht="15" hidden="false" customHeight="false" outlineLevel="0" collapsed="false">
      <c r="A135" s="13" t="n">
        <v>4</v>
      </c>
      <c r="B135" s="13" t="n">
        <v>45</v>
      </c>
      <c r="C135" s="13" t="n">
        <v>0</v>
      </c>
      <c r="D135" s="13" t="n">
        <v>0</v>
      </c>
      <c r="E135" s="13" t="n">
        <v>1</v>
      </c>
      <c r="F135" s="13" t="n">
        <v>0</v>
      </c>
      <c r="G135" s="13" t="n">
        <v>0</v>
      </c>
      <c r="H135" s="13" t="str">
        <f aca="false">IF(C135=1,A135,"")</f>
        <v/>
      </c>
      <c r="I135" s="13" t="n">
        <f aca="false">IF(C135=0,A135,"")</f>
        <v>4</v>
      </c>
    </row>
    <row r="136" customFormat="false" ht="15" hidden="false" customHeight="false" outlineLevel="0" collapsed="false">
      <c r="A136" s="13" t="n">
        <v>4</v>
      </c>
      <c r="B136" s="13" t="n">
        <v>48</v>
      </c>
      <c r="C136" s="13" t="n">
        <v>0</v>
      </c>
      <c r="D136" s="13" t="n">
        <v>0</v>
      </c>
      <c r="E136" s="13" t="n">
        <v>0</v>
      </c>
      <c r="F136" s="13" t="n">
        <v>1</v>
      </c>
      <c r="G136" s="13" t="n">
        <v>1</v>
      </c>
      <c r="H136" s="13" t="str">
        <f aca="false">IF(C136=1,A136,"")</f>
        <v/>
      </c>
      <c r="I136" s="13" t="n">
        <f aca="false">IF(C136=0,A136,"")</f>
        <v>4</v>
      </c>
    </row>
    <row r="137" customFormat="false" ht="15" hidden="false" customHeight="false" outlineLevel="0" collapsed="false">
      <c r="A137" s="13" t="n">
        <v>3</v>
      </c>
      <c r="B137" s="13" t="n">
        <v>35</v>
      </c>
      <c r="C137" s="13" t="n">
        <v>0</v>
      </c>
      <c r="D137" s="13" t="n">
        <v>3</v>
      </c>
      <c r="E137" s="13" t="n">
        <v>1</v>
      </c>
      <c r="F137" s="13" t="n">
        <v>0</v>
      </c>
      <c r="G137" s="13" t="n">
        <v>1</v>
      </c>
      <c r="H137" s="13" t="str">
        <f aca="false">IF(C137=1,A137,"")</f>
        <v/>
      </c>
      <c r="I137" s="13" t="n">
        <f aca="false">IF(C137=0,A137,"")</f>
        <v>3</v>
      </c>
    </row>
    <row r="138" customFormat="false" ht="15" hidden="false" customHeight="false" outlineLevel="0" collapsed="false">
      <c r="A138" s="13" t="n">
        <v>5</v>
      </c>
      <c r="B138" s="13" t="n">
        <v>49</v>
      </c>
      <c r="C138" s="13" t="n">
        <v>0</v>
      </c>
      <c r="D138" s="13" t="n">
        <v>2</v>
      </c>
      <c r="E138" s="13" t="n">
        <v>1</v>
      </c>
      <c r="F138" s="13" t="n">
        <v>0</v>
      </c>
      <c r="G138" s="13" t="n">
        <v>1</v>
      </c>
      <c r="H138" s="13" t="str">
        <f aca="false">IF(C138=1,A138,"")</f>
        <v/>
      </c>
      <c r="I138" s="13" t="n">
        <f aca="false">IF(C138=0,A138,"")</f>
        <v>5</v>
      </c>
    </row>
    <row r="139" customFormat="false" ht="15" hidden="false" customHeight="false" outlineLevel="0" collapsed="false">
      <c r="A139" s="13" t="n">
        <v>4</v>
      </c>
      <c r="B139" s="13" t="n">
        <v>33</v>
      </c>
      <c r="C139" s="13" t="n">
        <v>1</v>
      </c>
      <c r="D139" s="13" t="n">
        <v>0</v>
      </c>
      <c r="E139" s="13" t="n">
        <v>1</v>
      </c>
      <c r="F139" s="13" t="n">
        <v>1</v>
      </c>
      <c r="G139" s="13" t="n">
        <v>1</v>
      </c>
      <c r="H139" s="13" t="n">
        <f aca="false">IF(C139=1,A139,"")</f>
        <v>4</v>
      </c>
      <c r="I139" s="13" t="str">
        <f aca="false">IF(C139=0,A139,"")</f>
        <v/>
      </c>
    </row>
    <row r="140" customFormat="false" ht="15" hidden="false" customHeight="false" outlineLevel="0" collapsed="false">
      <c r="A140" s="13" t="n">
        <v>5</v>
      </c>
      <c r="B140" s="13" t="n">
        <v>61</v>
      </c>
      <c r="C140" s="13" t="n">
        <v>1</v>
      </c>
      <c r="D140" s="13" t="n">
        <v>0</v>
      </c>
      <c r="E140" s="13" t="n">
        <v>1</v>
      </c>
      <c r="F140" s="13" t="n">
        <v>0</v>
      </c>
      <c r="G140" s="13" t="n">
        <v>1</v>
      </c>
      <c r="H140" s="13" t="n">
        <f aca="false">IF(C140=1,A140,"")</f>
        <v>5</v>
      </c>
      <c r="I140" s="13" t="str">
        <f aca="false">IF(C140=0,A140,"")</f>
        <v/>
      </c>
    </row>
    <row r="141" customFormat="false" ht="15" hidden="false" customHeight="false" outlineLevel="0" collapsed="false">
      <c r="A141" s="13" t="n">
        <v>4</v>
      </c>
      <c r="B141" s="13" t="n">
        <v>27</v>
      </c>
      <c r="C141" s="13" t="n">
        <v>1</v>
      </c>
      <c r="D141" s="13" t="n">
        <v>1</v>
      </c>
      <c r="E141" s="13" t="n">
        <v>1</v>
      </c>
      <c r="F141" s="13" t="n">
        <v>1</v>
      </c>
      <c r="G141" s="13" t="n">
        <v>1</v>
      </c>
      <c r="H141" s="13" t="n">
        <f aca="false">IF(C141=1,A141,"")</f>
        <v>4</v>
      </c>
      <c r="I141" s="13" t="str">
        <f aca="false">IF(C141=0,A141,"")</f>
        <v/>
      </c>
    </row>
    <row r="142" customFormat="false" ht="15" hidden="false" customHeight="false" outlineLevel="0" collapsed="false">
      <c r="A142" s="13" t="n">
        <v>4</v>
      </c>
      <c r="B142" s="13" t="n">
        <v>63</v>
      </c>
      <c r="C142" s="13" t="n">
        <v>0</v>
      </c>
      <c r="D142" s="13" t="n">
        <v>0</v>
      </c>
      <c r="E142" s="13" t="n">
        <v>1</v>
      </c>
      <c r="F142" s="13" t="n">
        <v>0</v>
      </c>
      <c r="G142" s="13" t="n">
        <v>1</v>
      </c>
      <c r="H142" s="13" t="str">
        <f aca="false">IF(C142=1,A142,"")</f>
        <v/>
      </c>
      <c r="I142" s="13" t="n">
        <f aca="false">IF(C142=0,A142,"")</f>
        <v>4</v>
      </c>
    </row>
    <row r="143" customFormat="false" ht="15" hidden="false" customHeight="false" outlineLevel="0" collapsed="false">
      <c r="A143" s="13" t="n">
        <v>4</v>
      </c>
      <c r="B143" s="13" t="n">
        <v>52</v>
      </c>
      <c r="C143" s="13" t="n">
        <v>0</v>
      </c>
      <c r="D143" s="13" t="n">
        <v>0</v>
      </c>
      <c r="E143" s="13" t="n">
        <v>0</v>
      </c>
      <c r="F143" s="13" t="n">
        <v>1</v>
      </c>
      <c r="G143" s="13" t="n">
        <v>0</v>
      </c>
      <c r="H143" s="13" t="str">
        <f aca="false">IF(C143=1,A143,"")</f>
        <v/>
      </c>
      <c r="I143" s="13" t="n">
        <f aca="false">IF(C143=0,A143,"")</f>
        <v>4</v>
      </c>
    </row>
    <row r="144" customFormat="false" ht="15" hidden="false" customHeight="false" outlineLevel="0" collapsed="false">
      <c r="A144" s="13" t="n">
        <v>3</v>
      </c>
      <c r="B144" s="13" t="n">
        <v>54</v>
      </c>
      <c r="C144" s="13" t="n">
        <v>0</v>
      </c>
      <c r="D144" s="13" t="n">
        <v>0</v>
      </c>
      <c r="E144" s="13" t="n">
        <v>1</v>
      </c>
      <c r="F144" s="13" t="n">
        <v>0</v>
      </c>
      <c r="G144" s="13" t="n">
        <v>1</v>
      </c>
      <c r="H144" s="13" t="str">
        <f aca="false">IF(C144=1,A144,"")</f>
        <v/>
      </c>
      <c r="I144" s="13" t="n">
        <f aca="false">IF(C144=0,A144,"")</f>
        <v>3</v>
      </c>
    </row>
    <row r="145" customFormat="false" ht="15" hidden="false" customHeight="false" outlineLevel="0" collapsed="false">
      <c r="A145" s="13" t="n">
        <v>3</v>
      </c>
      <c r="B145" s="13" t="n">
        <v>60</v>
      </c>
      <c r="C145" s="13" t="n">
        <v>1</v>
      </c>
      <c r="D145" s="13" t="n">
        <v>0</v>
      </c>
      <c r="E145" s="13" t="n">
        <v>0</v>
      </c>
      <c r="F145" s="13" t="n">
        <v>1</v>
      </c>
      <c r="G145" s="13" t="n">
        <v>0</v>
      </c>
      <c r="H145" s="13" t="n">
        <f aca="false">IF(C145=1,A145,"")</f>
        <v>3</v>
      </c>
      <c r="I145" s="13" t="str">
        <f aca="false">IF(C145=0,A145,"")</f>
        <v/>
      </c>
    </row>
    <row r="146" customFormat="false" ht="15" hidden="false" customHeight="false" outlineLevel="0" collapsed="false">
      <c r="A146" s="13" t="n">
        <v>4</v>
      </c>
      <c r="B146" s="13" t="n">
        <v>33</v>
      </c>
      <c r="C146" s="13" t="n">
        <v>0</v>
      </c>
      <c r="D146" s="13" t="n">
        <v>3</v>
      </c>
      <c r="E146" s="13" t="n">
        <v>0</v>
      </c>
      <c r="F146" s="13" t="n">
        <v>0</v>
      </c>
      <c r="G146" s="13" t="n">
        <v>1</v>
      </c>
      <c r="H146" s="13" t="str">
        <f aca="false">IF(C146=1,A146,"")</f>
        <v/>
      </c>
      <c r="I146" s="13" t="n">
        <f aca="false">IF(C146=0,A146,"")</f>
        <v>4</v>
      </c>
    </row>
    <row r="147" customFormat="false" ht="15" hidden="false" customHeight="false" outlineLevel="0" collapsed="false">
      <c r="A147" s="13" t="n">
        <v>2</v>
      </c>
      <c r="B147" s="13" t="n">
        <v>29</v>
      </c>
      <c r="C147" s="13" t="n">
        <v>0</v>
      </c>
      <c r="D147" s="13" t="n">
        <v>0</v>
      </c>
      <c r="E147" s="13" t="n">
        <v>1</v>
      </c>
      <c r="F147" s="13" t="n">
        <v>0</v>
      </c>
      <c r="G147" s="13" t="n">
        <v>0</v>
      </c>
      <c r="H147" s="13" t="str">
        <f aca="false">IF(C147=1,A147,"")</f>
        <v/>
      </c>
      <c r="I147" s="13" t="n">
        <f aca="false">IF(C147=0,A147,"")</f>
        <v>2</v>
      </c>
    </row>
    <row r="148" customFormat="false" ht="15" hidden="false" customHeight="false" outlineLevel="0" collapsed="false">
      <c r="A148" s="13" t="n">
        <v>5</v>
      </c>
      <c r="B148" s="13" t="n">
        <v>55</v>
      </c>
      <c r="C148" s="13" t="n">
        <v>1</v>
      </c>
      <c r="D148" s="13" t="n">
        <v>2</v>
      </c>
      <c r="E148" s="13" t="n">
        <v>0</v>
      </c>
      <c r="F148" s="13" t="n">
        <v>1</v>
      </c>
      <c r="G148" s="13" t="n">
        <v>1</v>
      </c>
      <c r="H148" s="13" t="n">
        <f aca="false">IF(C148=1,A148,"")</f>
        <v>5</v>
      </c>
      <c r="I148" s="13" t="str">
        <f aca="false">IF(C148=0,A148,"")</f>
        <v/>
      </c>
    </row>
    <row r="149" customFormat="false" ht="15" hidden="false" customHeight="false" outlineLevel="0" collapsed="false">
      <c r="A149" s="13" t="n">
        <v>1</v>
      </c>
      <c r="B149" s="13" t="n">
        <v>47</v>
      </c>
      <c r="C149" s="13" t="n">
        <v>0</v>
      </c>
      <c r="D149" s="13" t="n">
        <v>0</v>
      </c>
      <c r="E149" s="13" t="n">
        <v>0</v>
      </c>
      <c r="F149" s="13" t="n">
        <v>1</v>
      </c>
      <c r="G149" s="13" t="n">
        <v>0</v>
      </c>
      <c r="H149" s="13" t="str">
        <f aca="false">IF(C149=1,A149,"")</f>
        <v/>
      </c>
      <c r="I149" s="13" t="n">
        <f aca="false">IF(C149=0,A149,"")</f>
        <v>1</v>
      </c>
    </row>
    <row r="150" customFormat="false" ht="15" hidden="false" customHeight="false" outlineLevel="0" collapsed="false">
      <c r="A150" s="13" t="n">
        <v>4</v>
      </c>
      <c r="B150" s="13" t="n">
        <v>63</v>
      </c>
      <c r="C150" s="13" t="n">
        <v>1</v>
      </c>
      <c r="D150" s="13" t="n">
        <v>0</v>
      </c>
      <c r="E150" s="13" t="n">
        <v>0</v>
      </c>
      <c r="F150" s="13" t="n">
        <v>1</v>
      </c>
      <c r="G150" s="13" t="n">
        <v>1</v>
      </c>
      <c r="H150" s="13" t="n">
        <f aca="false">IF(C150=1,A150,"")</f>
        <v>4</v>
      </c>
      <c r="I150" s="13" t="str">
        <f aca="false">IF(C150=0,A150,"")</f>
        <v/>
      </c>
    </row>
    <row r="151" customFormat="false" ht="15" hidden="false" customHeight="false" outlineLevel="0" collapsed="false">
      <c r="A151" s="13" t="n">
        <v>4</v>
      </c>
      <c r="B151" s="13" t="n">
        <v>35</v>
      </c>
      <c r="C151" s="13" t="n">
        <v>0</v>
      </c>
      <c r="D151" s="13" t="n">
        <v>3</v>
      </c>
      <c r="E151" s="13" t="n">
        <v>1</v>
      </c>
      <c r="F151" s="13" t="n">
        <v>1</v>
      </c>
      <c r="G151" s="13" t="n">
        <v>1</v>
      </c>
      <c r="H151" s="13" t="str">
        <f aca="false">IF(C151=1,A151,"")</f>
        <v/>
      </c>
      <c r="I151" s="13" t="n">
        <f aca="false">IF(C151=0,A151,"")</f>
        <v>4</v>
      </c>
    </row>
    <row r="152" customFormat="false" ht="15" hidden="false" customHeight="false" outlineLevel="0" collapsed="false">
      <c r="A152" s="13" t="n">
        <v>1</v>
      </c>
      <c r="B152" s="13" t="n">
        <v>36</v>
      </c>
      <c r="C152" s="13" t="n">
        <v>1</v>
      </c>
      <c r="D152" s="13" t="n">
        <v>0</v>
      </c>
      <c r="E152" s="13" t="n">
        <v>1</v>
      </c>
      <c r="F152" s="13" t="n">
        <v>1</v>
      </c>
      <c r="G152" s="13" t="n">
        <v>0</v>
      </c>
      <c r="H152" s="13" t="n">
        <f aca="false">IF(C152=1,A152,"")</f>
        <v>1</v>
      </c>
      <c r="I152" s="13" t="str">
        <f aca="false">IF(C152=0,A152,"")</f>
        <v/>
      </c>
    </row>
    <row r="153" customFormat="false" ht="15" hidden="false" customHeight="false" outlineLevel="0" collapsed="false">
      <c r="A153" s="13" t="n">
        <v>4</v>
      </c>
      <c r="B153" s="13" t="n">
        <v>51</v>
      </c>
      <c r="C153" s="13" t="n">
        <v>1</v>
      </c>
      <c r="D153" s="13" t="n">
        <v>2</v>
      </c>
      <c r="E153" s="13" t="n">
        <v>0</v>
      </c>
      <c r="F153" s="13" t="n">
        <v>0</v>
      </c>
      <c r="G153" s="13" t="n">
        <v>0</v>
      </c>
      <c r="H153" s="13" t="n">
        <f aca="false">IF(C153=1,A153,"")</f>
        <v>4</v>
      </c>
      <c r="I153" s="13" t="str">
        <f aca="false">IF(C153=0,A153,"")</f>
        <v/>
      </c>
    </row>
    <row r="154" customFormat="false" ht="15" hidden="false" customHeight="false" outlineLevel="0" collapsed="false">
      <c r="A154" s="13" t="n">
        <v>3</v>
      </c>
      <c r="B154" s="13" t="n">
        <v>33</v>
      </c>
      <c r="C154" s="13" t="n">
        <v>0</v>
      </c>
      <c r="D154" s="13" t="n">
        <v>1</v>
      </c>
      <c r="E154" s="13" t="n">
        <v>0</v>
      </c>
      <c r="F154" s="13" t="n">
        <v>0</v>
      </c>
      <c r="G154" s="13" t="n">
        <v>0</v>
      </c>
      <c r="H154" s="13" t="str">
        <f aca="false">IF(C154=1,A154,"")</f>
        <v/>
      </c>
      <c r="I154" s="13" t="n">
        <f aca="false">IF(C154=0,A154,"")</f>
        <v>3</v>
      </c>
    </row>
    <row r="155" customFormat="false" ht="15" hidden="false" customHeight="false" outlineLevel="0" collapsed="false">
      <c r="A155" s="13" t="n">
        <v>3</v>
      </c>
      <c r="B155" s="13" t="n">
        <v>63</v>
      </c>
      <c r="C155" s="13" t="n">
        <v>0</v>
      </c>
      <c r="D155" s="13" t="n">
        <v>0</v>
      </c>
      <c r="E155" s="13" t="n">
        <v>0</v>
      </c>
      <c r="F155" s="13" t="n">
        <v>1</v>
      </c>
      <c r="G155" s="13" t="n">
        <v>0</v>
      </c>
      <c r="H155" s="13" t="str">
        <f aca="false">IF(C155=1,A155,"")</f>
        <v/>
      </c>
      <c r="I155" s="13" t="n">
        <f aca="false">IF(C155=0,A155,"")</f>
        <v>3</v>
      </c>
    </row>
    <row r="156" customFormat="false" ht="15" hidden="false" customHeight="false" outlineLevel="0" collapsed="false">
      <c r="A156" s="13" t="n">
        <v>3</v>
      </c>
      <c r="B156" s="13" t="n">
        <v>63</v>
      </c>
      <c r="C156" s="13" t="n">
        <v>1</v>
      </c>
      <c r="D156" s="13" t="n">
        <v>0</v>
      </c>
      <c r="E156" s="13" t="n">
        <v>0</v>
      </c>
      <c r="F156" s="13" t="n">
        <v>1</v>
      </c>
      <c r="G156" s="13" t="n">
        <v>1</v>
      </c>
      <c r="H156" s="13" t="n">
        <f aca="false">IF(C156=1,A156,"")</f>
        <v>3</v>
      </c>
      <c r="I156" s="13" t="str">
        <f aca="false">IF(C156=0,A156,"")</f>
        <v/>
      </c>
    </row>
    <row r="157" customFormat="false" ht="15" hidden="false" customHeight="false" outlineLevel="0" collapsed="false">
      <c r="A157" s="13" t="n">
        <v>3</v>
      </c>
      <c r="B157" s="13" t="n">
        <v>31</v>
      </c>
      <c r="C157" s="13" t="n">
        <v>0</v>
      </c>
      <c r="D157" s="13" t="n">
        <v>3</v>
      </c>
      <c r="E157" s="13" t="n">
        <v>0</v>
      </c>
      <c r="F157" s="13" t="n">
        <v>1</v>
      </c>
      <c r="G157" s="13" t="n">
        <v>1</v>
      </c>
      <c r="H157" s="13" t="str">
        <f aca="false">IF(C157=1,A157,"")</f>
        <v/>
      </c>
      <c r="I157" s="13" t="n">
        <f aca="false">IF(C157=0,A157,"")</f>
        <v>3</v>
      </c>
    </row>
    <row r="158" customFormat="false" ht="15" hidden="false" customHeight="false" outlineLevel="0" collapsed="false">
      <c r="A158" s="13" t="n">
        <v>4</v>
      </c>
      <c r="B158" s="13" t="n">
        <v>41</v>
      </c>
      <c r="C158" s="13" t="n">
        <v>1</v>
      </c>
      <c r="D158" s="13" t="n">
        <v>2</v>
      </c>
      <c r="E158" s="13" t="n">
        <v>1</v>
      </c>
      <c r="F158" s="13" t="n">
        <v>1</v>
      </c>
      <c r="G158" s="13" t="n">
        <v>1</v>
      </c>
      <c r="H158" s="13" t="n">
        <f aca="false">IF(C158=1,A158,"")</f>
        <v>4</v>
      </c>
      <c r="I158" s="13" t="str">
        <f aca="false">IF(C158=0,A158,"")</f>
        <v/>
      </c>
    </row>
    <row r="159" customFormat="false" ht="15" hidden="false" customHeight="false" outlineLevel="0" collapsed="false">
      <c r="A159" s="13" t="n">
        <v>4</v>
      </c>
      <c r="B159" s="13" t="n">
        <v>63</v>
      </c>
      <c r="C159" s="13" t="n">
        <v>0</v>
      </c>
      <c r="D159" s="13" t="n">
        <v>0</v>
      </c>
      <c r="E159" s="13" t="n">
        <v>0</v>
      </c>
      <c r="F159" s="13" t="n">
        <v>0</v>
      </c>
      <c r="G159" s="13" t="n">
        <v>1</v>
      </c>
      <c r="H159" s="13" t="str">
        <f aca="false">IF(C159=1,A159,"")</f>
        <v/>
      </c>
      <c r="I159" s="13" t="n">
        <f aca="false">IF(C159=0,A159,"")</f>
        <v>4</v>
      </c>
    </row>
    <row r="160" customFormat="false" ht="15" hidden="false" customHeight="false" outlineLevel="0" collapsed="false">
      <c r="A160" s="13" t="n">
        <v>4</v>
      </c>
      <c r="B160" s="13" t="n">
        <v>42</v>
      </c>
      <c r="C160" s="13" t="n">
        <v>1</v>
      </c>
      <c r="D160" s="13" t="n">
        <v>2</v>
      </c>
      <c r="E160" s="13" t="n">
        <v>1</v>
      </c>
      <c r="F160" s="13" t="n">
        <v>1</v>
      </c>
      <c r="G160" s="13" t="n">
        <v>0</v>
      </c>
      <c r="H160" s="13" t="n">
        <f aca="false">IF(C160=1,A160,"")</f>
        <v>4</v>
      </c>
      <c r="I160" s="13" t="str">
        <f aca="false">IF(C160=0,A160,"")</f>
        <v/>
      </c>
    </row>
    <row r="161" customFormat="false" ht="15" hidden="false" customHeight="false" outlineLevel="0" collapsed="false">
      <c r="A161" s="13" t="n">
        <v>5</v>
      </c>
      <c r="B161" s="13" t="n">
        <v>56</v>
      </c>
      <c r="C161" s="13" t="n">
        <v>0</v>
      </c>
      <c r="D161" s="13" t="n">
        <v>0</v>
      </c>
      <c r="E161" s="13" t="n">
        <v>0</v>
      </c>
      <c r="F161" s="13" t="n">
        <v>1</v>
      </c>
      <c r="G161" s="13" t="n">
        <v>1</v>
      </c>
      <c r="H161" s="13" t="str">
        <f aca="false">IF(C161=1,A161,"")</f>
        <v/>
      </c>
      <c r="I161" s="13" t="n">
        <f aca="false">IF(C161=0,A161,"")</f>
        <v>5</v>
      </c>
    </row>
    <row r="162" customFormat="false" ht="15" hidden="false" customHeight="false" outlineLevel="0" collapsed="false">
      <c r="A162" s="13" t="n">
        <v>3</v>
      </c>
      <c r="B162" s="13" t="n">
        <v>38</v>
      </c>
      <c r="C162" s="13" t="n">
        <v>0</v>
      </c>
      <c r="D162" s="13" t="n">
        <v>0</v>
      </c>
      <c r="E162" s="13" t="n">
        <v>1</v>
      </c>
      <c r="F162" s="13" t="n">
        <v>1</v>
      </c>
      <c r="G162" s="13" t="n">
        <v>0</v>
      </c>
      <c r="H162" s="13" t="str">
        <f aca="false">IF(C162=1,A162,"")</f>
        <v/>
      </c>
      <c r="I162" s="13" t="n">
        <f aca="false">IF(C162=0,A162,"")</f>
        <v>3</v>
      </c>
    </row>
    <row r="163" customFormat="false" ht="15" hidden="false" customHeight="false" outlineLevel="0" collapsed="false">
      <c r="A163" s="13" t="n">
        <v>3</v>
      </c>
      <c r="B163" s="13" t="n">
        <v>45</v>
      </c>
      <c r="C163" s="13" t="n">
        <v>1</v>
      </c>
      <c r="D163" s="13" t="n">
        <v>0</v>
      </c>
      <c r="E163" s="13" t="n">
        <v>1</v>
      </c>
      <c r="F163" s="13" t="n">
        <v>1</v>
      </c>
      <c r="G163" s="13" t="n">
        <v>0</v>
      </c>
      <c r="H163" s="13" t="n">
        <f aca="false">IF(C163=1,A163,"")</f>
        <v>3</v>
      </c>
      <c r="I163" s="13" t="str">
        <f aca="false">IF(C163=0,A163,"")</f>
        <v/>
      </c>
    </row>
    <row r="164" customFormat="false" ht="15" hidden="false" customHeight="false" outlineLevel="0" collapsed="false">
      <c r="A164" s="13" t="n">
        <v>4</v>
      </c>
      <c r="B164" s="13" t="n">
        <v>64</v>
      </c>
      <c r="C164" s="13" t="n">
        <v>0</v>
      </c>
      <c r="D164" s="13" t="n">
        <v>0</v>
      </c>
      <c r="E164" s="13" t="n">
        <v>1</v>
      </c>
      <c r="F164" s="13" t="n">
        <v>1</v>
      </c>
      <c r="G164" s="13" t="n">
        <v>1</v>
      </c>
      <c r="H164" s="13" t="str">
        <f aca="false">IF(C164=1,A164,"")</f>
        <v/>
      </c>
      <c r="I164" s="13" t="n">
        <f aca="false">IF(C164=0,A164,"")</f>
        <v>4</v>
      </c>
    </row>
    <row r="165" customFormat="false" ht="15" hidden="false" customHeight="false" outlineLevel="0" collapsed="false">
      <c r="A165" s="13" t="n">
        <v>4</v>
      </c>
      <c r="B165" s="13" t="n">
        <v>56</v>
      </c>
      <c r="C165" s="13" t="n">
        <v>0</v>
      </c>
      <c r="D165" s="13" t="n">
        <v>1</v>
      </c>
      <c r="E165" s="13" t="n">
        <v>0</v>
      </c>
      <c r="F165" s="13" t="n">
        <v>0</v>
      </c>
      <c r="G165" s="13" t="n">
        <v>1</v>
      </c>
      <c r="H165" s="13" t="str">
        <f aca="false">IF(C165=1,A165,"")</f>
        <v/>
      </c>
      <c r="I165" s="13" t="n">
        <f aca="false">IF(C165=0,A165,"")</f>
        <v>4</v>
      </c>
    </row>
    <row r="166" customFormat="false" ht="15" hidden="false" customHeight="false" outlineLevel="0" collapsed="false">
      <c r="A166" s="13" t="n">
        <v>5</v>
      </c>
      <c r="B166" s="13" t="n">
        <v>33</v>
      </c>
      <c r="C166" s="13" t="n">
        <v>0</v>
      </c>
      <c r="D166" s="13" t="n">
        <v>3</v>
      </c>
      <c r="E166" s="13" t="n">
        <v>1</v>
      </c>
      <c r="F166" s="13" t="n">
        <v>1</v>
      </c>
      <c r="G166" s="13" t="n">
        <v>1</v>
      </c>
      <c r="H166" s="13" t="str">
        <f aca="false">IF(C166=1,A166,"")</f>
        <v/>
      </c>
      <c r="I166" s="13" t="n">
        <f aca="false">IF(C166=0,A166,"")</f>
        <v>5</v>
      </c>
    </row>
    <row r="167" customFormat="false" ht="15" hidden="false" customHeight="false" outlineLevel="0" collapsed="false">
      <c r="A167" s="13" t="n">
        <v>5</v>
      </c>
      <c r="B167" s="13" t="n">
        <v>61</v>
      </c>
      <c r="C167" s="13" t="n">
        <v>1</v>
      </c>
      <c r="D167" s="13" t="n">
        <v>0</v>
      </c>
      <c r="E167" s="13" t="n">
        <v>1</v>
      </c>
      <c r="F167" s="13" t="n">
        <v>0</v>
      </c>
      <c r="G167" s="13" t="n">
        <v>1</v>
      </c>
      <c r="H167" s="13" t="n">
        <f aca="false">IF(C167=1,A167,"")</f>
        <v>5</v>
      </c>
      <c r="I167" s="13" t="str">
        <f aca="false">IF(C167=0,A167,"")</f>
        <v/>
      </c>
    </row>
    <row r="168" customFormat="false" ht="15" hidden="false" customHeight="false" outlineLevel="0" collapsed="false">
      <c r="A168" s="13" t="n">
        <v>1</v>
      </c>
      <c r="B168" s="13" t="n">
        <v>48</v>
      </c>
      <c r="C168" s="13" t="n">
        <v>0</v>
      </c>
      <c r="D168" s="13" t="n">
        <v>0</v>
      </c>
      <c r="E168" s="13" t="n">
        <v>1</v>
      </c>
      <c r="F168" s="13" t="n">
        <v>1</v>
      </c>
      <c r="G168" s="13" t="n">
        <v>1</v>
      </c>
      <c r="H168" s="13" t="str">
        <f aca="false">IF(C168=1,A168,"")</f>
        <v/>
      </c>
      <c r="I168" s="13" t="n">
        <f aca="false">IF(C168=0,A168,"")</f>
        <v>1</v>
      </c>
    </row>
    <row r="169" customFormat="false" ht="15" hidden="false" customHeight="false" outlineLevel="0" collapsed="false">
      <c r="A169" s="13" t="n">
        <v>2</v>
      </c>
      <c r="B169" s="13" t="n">
        <v>32</v>
      </c>
      <c r="C169" s="13" t="n">
        <v>0</v>
      </c>
      <c r="D169" s="13" t="n">
        <v>0</v>
      </c>
      <c r="E169" s="13" t="n">
        <v>1</v>
      </c>
      <c r="F169" s="13" t="n">
        <v>1</v>
      </c>
      <c r="G169" s="13" t="n">
        <v>0</v>
      </c>
      <c r="H169" s="13" t="str">
        <f aca="false">IF(C169=1,A169,"")</f>
        <v/>
      </c>
      <c r="I169" s="13" t="n">
        <f aca="false">IF(C169=0,A169,"")</f>
        <v>2</v>
      </c>
    </row>
    <row r="170" customFormat="false" ht="15" hidden="false" customHeight="false" outlineLevel="0" collapsed="false">
      <c r="A170" s="13" t="n">
        <v>4</v>
      </c>
      <c r="B170" s="13" t="n">
        <v>30</v>
      </c>
      <c r="C170" s="13" t="n">
        <v>1</v>
      </c>
      <c r="D170" s="13" t="n">
        <v>0</v>
      </c>
      <c r="E170" s="13" t="n">
        <v>1</v>
      </c>
      <c r="F170" s="13" t="n">
        <v>1</v>
      </c>
      <c r="G170" s="13" t="n">
        <v>0</v>
      </c>
      <c r="H170" s="13" t="n">
        <f aca="false">IF(C170=1,A170,"")</f>
        <v>4</v>
      </c>
      <c r="I170" s="13" t="str">
        <f aca="false">IF(C170=0,A170,"")</f>
        <v/>
      </c>
    </row>
    <row r="171" customFormat="false" ht="15" hidden="false" customHeight="false" outlineLevel="0" collapsed="false">
      <c r="A171" s="13" t="n">
        <v>4</v>
      </c>
      <c r="B171" s="13" t="n">
        <v>37</v>
      </c>
      <c r="C171" s="13" t="n">
        <v>0</v>
      </c>
      <c r="D171" s="13" t="n">
        <v>2</v>
      </c>
      <c r="E171" s="13" t="n">
        <v>1</v>
      </c>
      <c r="F171" s="13" t="n">
        <v>1</v>
      </c>
      <c r="G171" s="13" t="n">
        <v>1</v>
      </c>
      <c r="H171" s="13" t="str">
        <f aca="false">IF(C171=1,A171,"")</f>
        <v/>
      </c>
      <c r="I171" s="13" t="n">
        <f aca="false">IF(C171=0,A171,"")</f>
        <v>4</v>
      </c>
    </row>
    <row r="172" customFormat="false" ht="15" hidden="false" customHeight="false" outlineLevel="0" collapsed="false">
      <c r="A172" s="13" t="n">
        <v>4</v>
      </c>
      <c r="B172" s="13" t="n">
        <v>49</v>
      </c>
      <c r="C172" s="13" t="n">
        <v>1</v>
      </c>
      <c r="D172" s="13" t="n">
        <v>2</v>
      </c>
      <c r="E172" s="13" t="n">
        <v>1</v>
      </c>
      <c r="F172" s="13" t="n">
        <v>1</v>
      </c>
      <c r="G172" s="13" t="n">
        <v>1</v>
      </c>
      <c r="H172" s="13" t="n">
        <f aca="false">IF(C172=1,A172,"")</f>
        <v>4</v>
      </c>
      <c r="I172" s="13" t="str">
        <f aca="false">IF(C172=0,A172,"")</f>
        <v/>
      </c>
    </row>
    <row r="173" customFormat="false" ht="15" hidden="false" customHeight="false" outlineLevel="0" collapsed="false">
      <c r="A173" s="13" t="n">
        <v>2</v>
      </c>
      <c r="B173" s="13" t="n">
        <v>34</v>
      </c>
      <c r="C173" s="13" t="n">
        <v>0</v>
      </c>
      <c r="D173" s="13" t="n">
        <v>0</v>
      </c>
      <c r="E173" s="13" t="n">
        <v>0</v>
      </c>
      <c r="F173" s="13" t="n">
        <v>1</v>
      </c>
      <c r="G173" s="13" t="n">
        <v>1</v>
      </c>
      <c r="H173" s="13" t="str">
        <f aca="false">IF(C173=1,A173,"")</f>
        <v/>
      </c>
      <c r="I173" s="13" t="n">
        <f aca="false">IF(C173=0,A173,"")</f>
        <v>2</v>
      </c>
    </row>
    <row r="174" customFormat="false" ht="15" hidden="false" customHeight="false" outlineLevel="0" collapsed="false">
      <c r="A174" s="13" t="n">
        <v>3</v>
      </c>
      <c r="B174" s="13" t="n">
        <v>44</v>
      </c>
      <c r="C174" s="13" t="n">
        <v>1</v>
      </c>
      <c r="D174" s="13" t="n">
        <v>1</v>
      </c>
      <c r="E174" s="13" t="n">
        <v>1</v>
      </c>
      <c r="F174" s="13" t="n">
        <v>1</v>
      </c>
      <c r="G174" s="13" t="n">
        <v>1</v>
      </c>
      <c r="H174" s="13" t="n">
        <f aca="false">IF(C174=1,A174,"")</f>
        <v>3</v>
      </c>
      <c r="I174" s="13" t="str">
        <f aca="false">IF(C174=0,A174,"")</f>
        <v/>
      </c>
    </row>
    <row r="175" customFormat="false" ht="15" hidden="false" customHeight="false" outlineLevel="0" collapsed="false">
      <c r="A175" s="13" t="n">
        <v>4</v>
      </c>
      <c r="B175" s="13" t="n">
        <v>49</v>
      </c>
      <c r="C175" s="13" t="n">
        <v>0</v>
      </c>
      <c r="D175" s="13" t="n">
        <v>1</v>
      </c>
      <c r="E175" s="13" t="n">
        <v>1</v>
      </c>
      <c r="F175" s="13" t="n">
        <v>0</v>
      </c>
      <c r="G175" s="13" t="n">
        <v>0</v>
      </c>
      <c r="H175" s="13" t="str">
        <f aca="false">IF(C175=1,A175,"")</f>
        <v/>
      </c>
      <c r="I175" s="13" t="n">
        <f aca="false">IF(C175=0,A175,"")</f>
        <v>4</v>
      </c>
    </row>
    <row r="176" customFormat="false" ht="15" hidden="false" customHeight="false" outlineLevel="0" collapsed="false">
      <c r="A176" s="13" t="n">
        <v>5</v>
      </c>
      <c r="B176" s="13" t="n">
        <v>33</v>
      </c>
      <c r="C176" s="13" t="n">
        <v>0</v>
      </c>
      <c r="D176" s="13" t="n">
        <v>2</v>
      </c>
      <c r="E176" s="13" t="n">
        <v>1</v>
      </c>
      <c r="F176" s="13" t="n">
        <v>1</v>
      </c>
      <c r="G176" s="13" t="n">
        <v>1</v>
      </c>
      <c r="H176" s="13" t="str">
        <f aca="false">IF(C176=1,A176,"")</f>
        <v/>
      </c>
      <c r="I176" s="13" t="n">
        <f aca="false">IF(C176=0,A176,"")</f>
        <v>5</v>
      </c>
    </row>
    <row r="177" customFormat="false" ht="15" hidden="false" customHeight="false" outlineLevel="0" collapsed="false">
      <c r="A177" s="13" t="n">
        <v>4</v>
      </c>
      <c r="B177" s="13" t="n">
        <v>43</v>
      </c>
      <c r="C177" s="13" t="n">
        <v>1</v>
      </c>
      <c r="D177" s="13" t="n">
        <v>0</v>
      </c>
      <c r="E177" s="13" t="n">
        <v>1</v>
      </c>
      <c r="F177" s="13" t="n">
        <v>1</v>
      </c>
      <c r="G177" s="13" t="n">
        <v>1</v>
      </c>
      <c r="H177" s="13" t="n">
        <f aca="false">IF(C177=1,A177,"")</f>
        <v>4</v>
      </c>
      <c r="I177" s="13" t="str">
        <f aca="false">IF(C177=0,A177,"")</f>
        <v/>
      </c>
    </row>
    <row r="178" customFormat="false" ht="15" hidden="false" customHeight="false" outlineLevel="0" collapsed="false">
      <c r="A178" s="13" t="n">
        <v>4</v>
      </c>
      <c r="B178" s="13" t="n">
        <v>34</v>
      </c>
      <c r="C178" s="13" t="n">
        <v>0</v>
      </c>
      <c r="D178" s="13" t="n">
        <v>0</v>
      </c>
      <c r="E178" s="13" t="n">
        <v>1</v>
      </c>
      <c r="F178" s="13" t="n">
        <v>1</v>
      </c>
      <c r="G178" s="13" t="n">
        <v>0</v>
      </c>
      <c r="H178" s="13" t="str">
        <f aca="false">IF(C178=1,A178,"")</f>
        <v/>
      </c>
      <c r="I178" s="13" t="n">
        <f aca="false">IF(C178=0,A178,"")</f>
        <v>4</v>
      </c>
    </row>
    <row r="179" customFormat="false" ht="15" hidden="false" customHeight="false" outlineLevel="0" collapsed="false">
      <c r="A179" s="13" t="n">
        <v>4</v>
      </c>
      <c r="B179" s="13" t="n">
        <v>45</v>
      </c>
      <c r="C179" s="13" t="n">
        <v>0</v>
      </c>
      <c r="D179" s="13" t="n">
        <v>2</v>
      </c>
      <c r="E179" s="13" t="n">
        <v>0</v>
      </c>
      <c r="F179" s="13" t="n">
        <v>0</v>
      </c>
      <c r="G179" s="13" t="n">
        <v>1</v>
      </c>
      <c r="H179" s="13" t="str">
        <f aca="false">IF(C179=1,A179,"")</f>
        <v/>
      </c>
      <c r="I179" s="13" t="n">
        <f aca="false">IF(C179=0,A179,"")</f>
        <v>4</v>
      </c>
    </row>
    <row r="180" customFormat="false" ht="15" hidden="false" customHeight="false" outlineLevel="0" collapsed="false">
      <c r="A180" s="13" t="n">
        <v>3</v>
      </c>
      <c r="B180" s="13" t="n">
        <v>28</v>
      </c>
      <c r="C180" s="13" t="n">
        <v>0</v>
      </c>
      <c r="D180" s="13" t="n">
        <v>0</v>
      </c>
      <c r="E180" s="13" t="n">
        <v>1</v>
      </c>
      <c r="F180" s="13" t="n">
        <v>0</v>
      </c>
      <c r="G180" s="13" t="n">
        <v>0</v>
      </c>
      <c r="H180" s="13" t="str">
        <f aca="false">IF(C180=1,A180,"")</f>
        <v/>
      </c>
      <c r="I180" s="13" t="n">
        <f aca="false">IF(C180=0,A180,"")</f>
        <v>3</v>
      </c>
    </row>
    <row r="181" customFormat="false" ht="15" hidden="false" customHeight="false" outlineLevel="0" collapsed="false">
      <c r="A181" s="13" t="n">
        <v>3</v>
      </c>
      <c r="B181" s="13" t="n">
        <v>34</v>
      </c>
      <c r="C181" s="13" t="n">
        <v>1</v>
      </c>
      <c r="D181" s="13" t="n">
        <v>1</v>
      </c>
      <c r="E181" s="13" t="n">
        <v>1</v>
      </c>
      <c r="F181" s="13" t="n">
        <v>1</v>
      </c>
      <c r="G181" s="13" t="n">
        <v>1</v>
      </c>
      <c r="H181" s="13" t="n">
        <f aca="false">IF(C181=1,A181,"")</f>
        <v>3</v>
      </c>
      <c r="I181" s="13" t="str">
        <f aca="false">IF(C181=0,A181,"")</f>
        <v/>
      </c>
    </row>
    <row r="182" customFormat="false" ht="15" hidden="false" customHeight="false" outlineLevel="0" collapsed="false">
      <c r="A182" s="13" t="n">
        <v>4</v>
      </c>
      <c r="B182" s="13" t="n">
        <v>30</v>
      </c>
      <c r="C182" s="13" t="n">
        <v>0</v>
      </c>
      <c r="D182" s="13" t="n">
        <v>1</v>
      </c>
      <c r="E182" s="13" t="n">
        <v>1</v>
      </c>
      <c r="F182" s="13" t="n">
        <v>0</v>
      </c>
      <c r="G182" s="13" t="n">
        <v>1</v>
      </c>
      <c r="H182" s="13" t="str">
        <f aca="false">IF(C182=1,A182,"")</f>
        <v/>
      </c>
      <c r="I182" s="13" t="n">
        <f aca="false">IF(C182=0,A182,"")</f>
        <v>4</v>
      </c>
    </row>
    <row r="183" customFormat="false" ht="15" hidden="false" customHeight="false" outlineLevel="0" collapsed="false">
      <c r="A183" s="13" t="n">
        <v>3</v>
      </c>
      <c r="B183" s="13" t="n">
        <v>26</v>
      </c>
      <c r="C183" s="13" t="n">
        <v>0</v>
      </c>
      <c r="D183" s="13" t="n">
        <v>0</v>
      </c>
      <c r="E183" s="13" t="n">
        <v>0</v>
      </c>
      <c r="F183" s="13" t="n">
        <v>1</v>
      </c>
      <c r="G183" s="13" t="n">
        <v>0</v>
      </c>
      <c r="H183" s="13" t="str">
        <f aca="false">IF(C183=1,A183,"")</f>
        <v/>
      </c>
      <c r="I183" s="13" t="n">
        <f aca="false">IF(C183=0,A183,"")</f>
        <v>3</v>
      </c>
    </row>
    <row r="184" customFormat="false" ht="15" hidden="false" customHeight="false" outlineLevel="0" collapsed="false">
      <c r="A184" s="13" t="n">
        <v>4</v>
      </c>
      <c r="B184" s="13" t="n">
        <v>48</v>
      </c>
      <c r="C184" s="13" t="n">
        <v>1</v>
      </c>
      <c r="D184" s="13" t="n">
        <v>1</v>
      </c>
      <c r="E184" s="13" t="n">
        <v>1</v>
      </c>
      <c r="F184" s="13" t="n">
        <v>0</v>
      </c>
      <c r="G184" s="13" t="n">
        <v>1</v>
      </c>
      <c r="H184" s="13" t="n">
        <f aca="false">IF(C184=1,A184,"")</f>
        <v>4</v>
      </c>
      <c r="I184" s="13" t="str">
        <f aca="false">IF(C184=0,A184,"")</f>
        <v/>
      </c>
    </row>
    <row r="185" customFormat="false" ht="15" hidden="false" customHeight="false" outlineLevel="0" collapsed="false">
      <c r="A185" s="13" t="n">
        <v>2</v>
      </c>
      <c r="B185" s="13" t="n">
        <v>52</v>
      </c>
      <c r="C185" s="13" t="n">
        <v>0</v>
      </c>
      <c r="D185" s="13" t="n">
        <v>0</v>
      </c>
      <c r="E185" s="13" t="n">
        <v>0</v>
      </c>
      <c r="F185" s="13" t="n">
        <v>1</v>
      </c>
      <c r="G185" s="13" t="n">
        <v>1</v>
      </c>
      <c r="H185" s="13" t="str">
        <f aca="false">IF(C185=1,A185,"")</f>
        <v/>
      </c>
      <c r="I185" s="13" t="n">
        <f aca="false">IF(C185=0,A185,"")</f>
        <v>2</v>
      </c>
    </row>
    <row r="186" customFormat="false" ht="15" hidden="false" customHeight="false" outlineLevel="0" collapsed="false">
      <c r="A186" s="13" t="n">
        <v>4</v>
      </c>
      <c r="B186" s="13" t="n">
        <v>32</v>
      </c>
      <c r="C186" s="13" t="n">
        <v>0</v>
      </c>
      <c r="D186" s="13" t="n">
        <v>3</v>
      </c>
      <c r="E186" s="13" t="n">
        <v>1</v>
      </c>
      <c r="F186" s="13" t="n">
        <v>0</v>
      </c>
      <c r="G186" s="13" t="n">
        <v>1</v>
      </c>
      <c r="H186" s="13" t="str">
        <f aca="false">IF(C186=1,A186,"")</f>
        <v/>
      </c>
      <c r="I186" s="13" t="n">
        <f aca="false">IF(C186=0,A186,"")</f>
        <v>4</v>
      </c>
    </row>
    <row r="187" customFormat="false" ht="15" hidden="false" customHeight="false" outlineLevel="0" collapsed="false">
      <c r="A187" s="13" t="n">
        <v>4</v>
      </c>
      <c r="B187" s="13" t="n">
        <v>31</v>
      </c>
      <c r="C187" s="13" t="n">
        <v>1</v>
      </c>
      <c r="D187" s="13" t="n">
        <v>0</v>
      </c>
      <c r="E187" s="13" t="n">
        <v>1</v>
      </c>
      <c r="F187" s="13" t="n">
        <v>1</v>
      </c>
      <c r="G187" s="13" t="n">
        <v>1</v>
      </c>
      <c r="H187" s="13" t="n">
        <f aca="false">IF(C187=1,A187,"")</f>
        <v>4</v>
      </c>
      <c r="I187" s="13" t="str">
        <f aca="false">IF(C187=0,A187,"")</f>
        <v/>
      </c>
    </row>
    <row r="188" customFormat="false" ht="15" hidden="false" customHeight="false" outlineLevel="0" collapsed="false">
      <c r="A188" s="13" t="n">
        <v>3</v>
      </c>
      <c r="B188" s="13" t="n">
        <v>28</v>
      </c>
      <c r="C188" s="13" t="n">
        <v>0</v>
      </c>
      <c r="D188" s="13" t="n">
        <v>0</v>
      </c>
      <c r="E188" s="13" t="n">
        <v>1</v>
      </c>
      <c r="F188" s="13" t="n">
        <v>1</v>
      </c>
      <c r="G188" s="13" t="n">
        <v>0</v>
      </c>
      <c r="H188" s="13" t="str">
        <f aca="false">IF(C188=1,A188,"")</f>
        <v/>
      </c>
      <c r="I188" s="13" t="n">
        <f aca="false">IF(C188=0,A188,"")</f>
        <v>3</v>
      </c>
    </row>
    <row r="189" customFormat="false" ht="15" hidden="false" customHeight="false" outlineLevel="0" collapsed="false">
      <c r="A189" s="13" t="n">
        <v>4</v>
      </c>
      <c r="B189" s="13" t="n">
        <v>48</v>
      </c>
      <c r="C189" s="13" t="n">
        <v>0</v>
      </c>
      <c r="D189" s="13" t="n">
        <v>0</v>
      </c>
      <c r="E189" s="13" t="n">
        <v>0</v>
      </c>
      <c r="F189" s="13" t="n">
        <v>1</v>
      </c>
      <c r="G189" s="13" t="n">
        <v>1</v>
      </c>
      <c r="H189" s="13" t="str">
        <f aca="false">IF(C189=1,A189,"")</f>
        <v/>
      </c>
      <c r="I189" s="13" t="n">
        <f aca="false">IF(C189=0,A189,"")</f>
        <v>4</v>
      </c>
    </row>
    <row r="190" customFormat="false" ht="15" hidden="false" customHeight="false" outlineLevel="0" collapsed="false">
      <c r="A190" s="13" t="n">
        <v>3</v>
      </c>
      <c r="B190" s="13" t="n">
        <v>27</v>
      </c>
      <c r="C190" s="13" t="n">
        <v>1</v>
      </c>
      <c r="D190" s="13" t="n">
        <v>0</v>
      </c>
      <c r="E190" s="13" t="n">
        <v>1</v>
      </c>
      <c r="F190" s="13" t="n">
        <v>1</v>
      </c>
      <c r="G190" s="13" t="n">
        <v>0</v>
      </c>
      <c r="H190" s="13" t="n">
        <f aca="false">IF(C190=1,A190,"")</f>
        <v>3</v>
      </c>
      <c r="I190" s="13" t="str">
        <f aca="false">IF(C190=0,A190,"")</f>
        <v/>
      </c>
    </row>
    <row r="191" customFormat="false" ht="15" hidden="false" customHeight="false" outlineLevel="0" collapsed="false">
      <c r="A191" s="13" t="n">
        <v>4</v>
      </c>
      <c r="B191" s="13" t="n">
        <v>30</v>
      </c>
      <c r="C191" s="13" t="n">
        <v>1</v>
      </c>
      <c r="D191" s="13" t="n">
        <v>1</v>
      </c>
      <c r="E191" s="13" t="n">
        <v>1</v>
      </c>
      <c r="F191" s="13" t="n">
        <v>1</v>
      </c>
      <c r="G191" s="13" t="n">
        <v>0</v>
      </c>
      <c r="H191" s="13" t="n">
        <f aca="false">IF(C191=1,A191,"")</f>
        <v>4</v>
      </c>
      <c r="I191" s="13" t="str">
        <f aca="false">IF(C191=0,A191,"")</f>
        <v/>
      </c>
    </row>
    <row r="192" customFormat="false" ht="15" hidden="false" customHeight="false" outlineLevel="0" collapsed="false">
      <c r="A192" s="13" t="n">
        <v>3</v>
      </c>
      <c r="B192" s="13" t="n">
        <v>49</v>
      </c>
      <c r="C192" s="13" t="n">
        <v>0</v>
      </c>
      <c r="D192" s="13" t="n">
        <v>4</v>
      </c>
      <c r="E192" s="13" t="n">
        <v>1</v>
      </c>
      <c r="F192" s="13" t="n">
        <v>1</v>
      </c>
      <c r="G192" s="13" t="n">
        <v>1</v>
      </c>
      <c r="H192" s="13" t="str">
        <f aca="false">IF(C192=1,A192,"")</f>
        <v/>
      </c>
      <c r="I192" s="13" t="n">
        <f aca="false">IF(C192=0,A192,"")</f>
        <v>3</v>
      </c>
    </row>
    <row r="193" customFormat="false" ht="15" hidden="false" customHeight="false" outlineLevel="0" collapsed="false">
      <c r="A193" s="13" t="n">
        <v>4</v>
      </c>
      <c r="B193" s="13" t="n">
        <v>55</v>
      </c>
      <c r="C193" s="13" t="n">
        <v>0</v>
      </c>
      <c r="D193" s="13" t="n">
        <v>2</v>
      </c>
      <c r="E193" s="13" t="n">
        <v>0</v>
      </c>
      <c r="F193" s="13" t="n">
        <v>1</v>
      </c>
      <c r="G193" s="13" t="n">
        <v>0</v>
      </c>
      <c r="H193" s="13" t="str">
        <f aca="false">IF(C193=1,A193,"")</f>
        <v/>
      </c>
      <c r="I193" s="13" t="n">
        <f aca="false">IF(C193=0,A193,"")</f>
        <v>4</v>
      </c>
    </row>
    <row r="194" customFormat="false" ht="15" hidden="false" customHeight="false" outlineLevel="0" collapsed="false">
      <c r="A194" s="13" t="n">
        <v>4</v>
      </c>
      <c r="B194" s="13" t="n">
        <v>64</v>
      </c>
      <c r="C194" s="13" t="n">
        <v>1</v>
      </c>
      <c r="D194" s="13" t="n">
        <v>0</v>
      </c>
      <c r="E194" s="13" t="n">
        <v>1</v>
      </c>
      <c r="F194" s="13" t="n">
        <v>0</v>
      </c>
      <c r="G194" s="13" t="n">
        <v>0</v>
      </c>
      <c r="H194" s="13" t="n">
        <f aca="false">IF(C194=1,A194,"")</f>
        <v>4</v>
      </c>
      <c r="I194" s="13" t="str">
        <f aca="false">IF(C194=0,A194,"")</f>
        <v/>
      </c>
    </row>
    <row r="195" customFormat="false" ht="15" hidden="false" customHeight="false" outlineLevel="0" collapsed="false">
      <c r="A195" s="13" t="n">
        <v>4</v>
      </c>
      <c r="B195" s="13" t="n">
        <v>58</v>
      </c>
      <c r="C195" s="13" t="n">
        <v>1</v>
      </c>
      <c r="D195" s="13" t="n">
        <v>1</v>
      </c>
      <c r="E195" s="13" t="n">
        <v>0</v>
      </c>
      <c r="F195" s="13" t="n">
        <v>1</v>
      </c>
      <c r="G195" s="13" t="n">
        <v>0</v>
      </c>
      <c r="H195" s="13" t="n">
        <f aca="false">IF(C195=1,A195,"")</f>
        <v>4</v>
      </c>
      <c r="I195" s="13" t="str">
        <f aca="false">IF(C195=0,A195,"")</f>
        <v/>
      </c>
    </row>
    <row r="196" customFormat="false" ht="15" hidden="false" customHeight="false" outlineLevel="0" collapsed="false">
      <c r="A196" s="13" t="n">
        <v>2</v>
      </c>
      <c r="B196" s="13" t="n">
        <v>59</v>
      </c>
      <c r="C196" s="13" t="n">
        <v>1</v>
      </c>
      <c r="D196" s="13" t="n">
        <v>0</v>
      </c>
      <c r="E196" s="13" t="n">
        <v>0</v>
      </c>
      <c r="F196" s="13" t="n">
        <v>0</v>
      </c>
      <c r="G196" s="13" t="n">
        <v>0</v>
      </c>
      <c r="H196" s="13" t="n">
        <f aca="false">IF(C196=1,A196,"")</f>
        <v>2</v>
      </c>
      <c r="I196" s="13" t="str">
        <f aca="false">IF(C196=0,A196,"")</f>
        <v/>
      </c>
    </row>
    <row r="197" customFormat="false" ht="15" hidden="false" customHeight="false" outlineLevel="0" collapsed="false">
      <c r="A197" s="13" t="n">
        <v>2</v>
      </c>
      <c r="B197" s="13" t="n">
        <v>58</v>
      </c>
      <c r="C197" s="13" t="n">
        <v>0</v>
      </c>
      <c r="D197" s="13" t="n">
        <v>0</v>
      </c>
      <c r="E197" s="13" t="n">
        <v>1</v>
      </c>
      <c r="F197" s="13" t="n">
        <v>0</v>
      </c>
      <c r="G197" s="13" t="n">
        <v>0</v>
      </c>
      <c r="H197" s="13" t="str">
        <f aca="false">IF(C197=1,A197,"")</f>
        <v/>
      </c>
      <c r="I197" s="13" t="n">
        <f aca="false">IF(C197=0,A197,"")</f>
        <v>2</v>
      </c>
    </row>
    <row r="198" customFormat="false" ht="15" hidden="false" customHeight="false" outlineLevel="0" collapsed="false">
      <c r="A198" s="13" t="n">
        <v>2</v>
      </c>
      <c r="B198" s="13" t="n">
        <v>31</v>
      </c>
      <c r="C198" s="13" t="n">
        <v>0</v>
      </c>
      <c r="D198" s="13" t="n">
        <v>2</v>
      </c>
      <c r="E198" s="13" t="n">
        <v>1</v>
      </c>
      <c r="F198" s="13" t="n">
        <v>1</v>
      </c>
      <c r="G198" s="13" t="n">
        <v>1</v>
      </c>
      <c r="H198" s="13" t="str">
        <f aca="false">IF(C198=1,A198,"")</f>
        <v/>
      </c>
      <c r="I198" s="13" t="n">
        <f aca="false">IF(C198=0,A198,"")</f>
        <v>2</v>
      </c>
    </row>
    <row r="199" customFormat="false" ht="15" hidden="false" customHeight="false" outlineLevel="0" collapsed="false">
      <c r="A199" s="13" t="n">
        <v>5</v>
      </c>
      <c r="B199" s="13" t="n">
        <v>56</v>
      </c>
      <c r="C199" s="13" t="n">
        <v>1</v>
      </c>
      <c r="D199" s="13" t="n">
        <v>0</v>
      </c>
      <c r="E199" s="13" t="n">
        <v>0</v>
      </c>
      <c r="F199" s="13" t="n">
        <v>0</v>
      </c>
      <c r="G199" s="13" t="n">
        <v>1</v>
      </c>
      <c r="H199" s="13" t="n">
        <f aca="false">IF(C199=1,A199,"")</f>
        <v>5</v>
      </c>
      <c r="I199" s="13" t="str">
        <f aca="false">IF(C199=0,A199,"")</f>
        <v/>
      </c>
    </row>
    <row r="200" customFormat="false" ht="15" hidden="false" customHeight="false" outlineLevel="0" collapsed="false">
      <c r="A200" s="13" t="n">
        <v>4</v>
      </c>
      <c r="B200" s="13" t="n">
        <v>58</v>
      </c>
      <c r="C200" s="13" t="n">
        <v>0</v>
      </c>
      <c r="D200" s="13" t="n">
        <v>0</v>
      </c>
      <c r="E200" s="13" t="n">
        <v>1</v>
      </c>
      <c r="F200" s="13" t="n">
        <v>1</v>
      </c>
      <c r="G200" s="13" t="n">
        <v>0</v>
      </c>
      <c r="H200" s="13" t="str">
        <f aca="false">IF(C200=1,A200,"")</f>
        <v/>
      </c>
      <c r="I200" s="13" t="n">
        <f aca="false">IF(C200=0,A200,"")</f>
        <v>4</v>
      </c>
    </row>
    <row r="201" customFormat="false" ht="15" hidden="false" customHeight="false" outlineLevel="0" collapsed="false">
      <c r="A201" s="13" t="n">
        <v>4</v>
      </c>
      <c r="B201" s="13" t="n">
        <v>56</v>
      </c>
      <c r="C201" s="13" t="n">
        <v>0</v>
      </c>
      <c r="D201" s="13" t="n">
        <v>0</v>
      </c>
      <c r="E201" s="13" t="n">
        <v>0</v>
      </c>
      <c r="F201" s="13" t="n">
        <v>1</v>
      </c>
      <c r="G201" s="13" t="n">
        <v>0</v>
      </c>
      <c r="H201" s="13" t="str">
        <f aca="false">IF(C201=1,A201,"")</f>
        <v/>
      </c>
      <c r="I201" s="13" t="n">
        <f aca="false">IF(C201=0,A201,"")</f>
        <v>4</v>
      </c>
    </row>
    <row r="202" customFormat="false" ht="15" hidden="false" customHeight="false" outlineLevel="0" collapsed="false">
      <c r="A202" s="13" t="n">
        <v>1</v>
      </c>
      <c r="B202" s="13" t="n">
        <v>54</v>
      </c>
      <c r="C202" s="13" t="n">
        <v>0</v>
      </c>
      <c r="D202" s="13" t="n">
        <v>0</v>
      </c>
      <c r="E202" s="13" t="n">
        <v>1</v>
      </c>
      <c r="F202" s="13" t="n">
        <v>1</v>
      </c>
      <c r="G202" s="13" t="n">
        <v>0</v>
      </c>
      <c r="H202" s="13" t="str">
        <f aca="false">IF(C202=1,A202,"")</f>
        <v/>
      </c>
      <c r="I202" s="13" t="n">
        <f aca="false">IF(C202=0,A202,"")</f>
        <v>1</v>
      </c>
    </row>
    <row r="203" customFormat="false" ht="15" hidden="false" customHeight="false" outlineLevel="0" collapsed="false">
      <c r="A203" s="13" t="n">
        <v>4</v>
      </c>
      <c r="B203" s="13" t="n">
        <v>62</v>
      </c>
      <c r="C203" s="13" t="n">
        <v>1</v>
      </c>
      <c r="D203" s="13" t="n">
        <v>0</v>
      </c>
      <c r="E203" s="13" t="n">
        <v>1</v>
      </c>
      <c r="F203" s="13" t="n">
        <v>1</v>
      </c>
      <c r="G203" s="13" t="n">
        <v>1</v>
      </c>
      <c r="H203" s="13" t="n">
        <f aca="false">IF(C203=1,A203,"")</f>
        <v>4</v>
      </c>
      <c r="I203" s="13" t="str">
        <f aca="false">IF(C203=0,A203,"")</f>
        <v/>
      </c>
    </row>
    <row r="204" customFormat="false" ht="15" hidden="false" customHeight="false" outlineLevel="0" collapsed="false">
      <c r="A204" s="13" t="n">
        <v>1</v>
      </c>
      <c r="B204" s="13" t="n">
        <v>46</v>
      </c>
      <c r="C204" s="13" t="n">
        <v>0</v>
      </c>
      <c r="D204" s="13" t="n">
        <v>2</v>
      </c>
      <c r="E204" s="13" t="n">
        <v>1</v>
      </c>
      <c r="F204" s="13" t="n">
        <v>1</v>
      </c>
      <c r="G204" s="13" t="n">
        <v>0</v>
      </c>
      <c r="H204" s="13" t="str">
        <f aca="false">IF(C204=1,A204,"")</f>
        <v/>
      </c>
      <c r="I204" s="13" t="n">
        <f aca="false">IF(C204=0,A204,"")</f>
        <v>1</v>
      </c>
    </row>
    <row r="205" customFormat="false" ht="15" hidden="false" customHeight="false" outlineLevel="0" collapsed="false">
      <c r="A205" s="13" t="n">
        <v>3</v>
      </c>
      <c r="B205" s="13" t="n">
        <v>54</v>
      </c>
      <c r="C205" s="13" t="n">
        <v>1</v>
      </c>
      <c r="D205" s="13" t="n">
        <v>0</v>
      </c>
      <c r="E205" s="13" t="n">
        <v>1</v>
      </c>
      <c r="F205" s="13" t="n">
        <v>0</v>
      </c>
      <c r="G205" s="13" t="n">
        <v>0</v>
      </c>
      <c r="H205" s="13" t="n">
        <f aca="false">IF(C205=1,A205,"")</f>
        <v>3</v>
      </c>
      <c r="I205" s="13" t="str">
        <f aca="false">IF(C205=0,A205,"")</f>
        <v/>
      </c>
    </row>
    <row r="206" customFormat="false" ht="15" hidden="false" customHeight="false" outlineLevel="0" collapsed="false">
      <c r="A206" s="13" t="n">
        <v>5</v>
      </c>
      <c r="B206" s="13" t="n">
        <v>60</v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str">
        <f aca="false">IF(C206=1,A206,"")</f>
        <v/>
      </c>
      <c r="I206" s="13" t="n">
        <f aca="false">IF(C206=0,A206,"")</f>
        <v>5</v>
      </c>
    </row>
    <row r="207" customFormat="false" ht="15" hidden="false" customHeight="false" outlineLevel="0" collapsed="false">
      <c r="A207" s="13" t="n">
        <v>4</v>
      </c>
      <c r="B207" s="13" t="n">
        <v>60</v>
      </c>
      <c r="C207" s="13" t="n">
        <v>0</v>
      </c>
      <c r="D207" s="13" t="n">
        <v>1</v>
      </c>
      <c r="E207" s="13" t="n">
        <v>1</v>
      </c>
      <c r="F207" s="13" t="n">
        <v>0</v>
      </c>
      <c r="G207" s="13" t="n">
        <v>1</v>
      </c>
      <c r="H207" s="13" t="str">
        <f aca="false">IF(C207=1,A207,"")</f>
        <v/>
      </c>
      <c r="I207" s="13" t="n">
        <f aca="false">IF(C207=0,A207,"")</f>
        <v>4</v>
      </c>
    </row>
    <row r="208" customFormat="false" ht="15" hidden="false" customHeight="false" outlineLevel="0" collapsed="false">
      <c r="A208" s="13" t="n">
        <v>2</v>
      </c>
      <c r="B208" s="13" t="n">
        <v>64</v>
      </c>
      <c r="C208" s="13" t="n">
        <v>1</v>
      </c>
      <c r="D208" s="13" t="n">
        <v>0</v>
      </c>
      <c r="E208" s="13" t="n">
        <v>0</v>
      </c>
      <c r="F208" s="13" t="n">
        <v>1</v>
      </c>
      <c r="G208" s="13" t="n">
        <v>1</v>
      </c>
      <c r="H208" s="13" t="n">
        <f aca="false">IF(C208=1,A208,"")</f>
        <v>2</v>
      </c>
      <c r="I208" s="13" t="str">
        <f aca="false">IF(C208=0,A208,"")</f>
        <v/>
      </c>
    </row>
    <row r="209" customFormat="false" ht="15" hidden="false" customHeight="false" outlineLevel="0" collapsed="false">
      <c r="A209" s="13" t="n">
        <v>4</v>
      </c>
      <c r="B209" s="13" t="n">
        <v>60</v>
      </c>
      <c r="C209" s="13" t="n">
        <v>0</v>
      </c>
      <c r="D209" s="13" t="n">
        <v>0</v>
      </c>
      <c r="E209" s="13" t="n">
        <v>0</v>
      </c>
      <c r="F209" s="13" t="n">
        <v>1</v>
      </c>
      <c r="G209" s="13" t="n">
        <v>1</v>
      </c>
      <c r="H209" s="13" t="str">
        <f aca="false">IF(C209=1,A209,"")</f>
        <v/>
      </c>
      <c r="I209" s="13" t="n">
        <f aca="false">IF(C209=0,A209,"")</f>
        <v>4</v>
      </c>
    </row>
    <row r="210" customFormat="false" ht="15" hidden="false" customHeight="false" outlineLevel="0" collapsed="false">
      <c r="A210" s="13" t="n">
        <v>1</v>
      </c>
      <c r="B210" s="13" t="n">
        <v>39</v>
      </c>
      <c r="C210" s="13" t="n">
        <v>0</v>
      </c>
      <c r="D210" s="13" t="n">
        <v>0</v>
      </c>
      <c r="E210" s="13" t="n">
        <v>0</v>
      </c>
      <c r="F210" s="13" t="n">
        <v>1</v>
      </c>
      <c r="G210" s="13" t="n">
        <v>0</v>
      </c>
      <c r="H210" s="13" t="str">
        <f aca="false">IF(C210=1,A210,"")</f>
        <v/>
      </c>
      <c r="I210" s="13" t="n">
        <f aca="false">IF(C210=0,A210,"")</f>
        <v>1</v>
      </c>
    </row>
    <row r="211" customFormat="false" ht="15" hidden="false" customHeight="false" outlineLevel="0" collapsed="false">
      <c r="A211" s="13" t="n">
        <v>5</v>
      </c>
      <c r="B211" s="13" t="n">
        <v>55</v>
      </c>
      <c r="C211" s="13" t="n">
        <v>1</v>
      </c>
      <c r="D211" s="13" t="n">
        <v>0</v>
      </c>
      <c r="E211" s="13" t="n">
        <v>1</v>
      </c>
      <c r="F211" s="13" t="n">
        <v>1</v>
      </c>
      <c r="G211" s="13" t="n">
        <v>1</v>
      </c>
      <c r="H211" s="13" t="n">
        <f aca="false">IF(C211=1,A211,"")</f>
        <v>5</v>
      </c>
      <c r="I211" s="13" t="str">
        <f aca="false">IF(C211=0,A211,"")</f>
        <v/>
      </c>
    </row>
    <row r="212" customFormat="false" ht="15" hidden="false" customHeight="false" outlineLevel="0" collapsed="false">
      <c r="A212" s="13" t="n">
        <v>4</v>
      </c>
      <c r="B212" s="13" t="n">
        <v>33</v>
      </c>
      <c r="C212" s="13" t="n">
        <v>0</v>
      </c>
      <c r="D212" s="13" t="n">
        <v>3</v>
      </c>
      <c r="E212" s="13" t="n">
        <v>1</v>
      </c>
      <c r="F212" s="13" t="n">
        <v>1</v>
      </c>
      <c r="G212" s="13" t="n">
        <v>1</v>
      </c>
      <c r="H212" s="13" t="str">
        <f aca="false">IF(C212=1,A212,"")</f>
        <v/>
      </c>
      <c r="I212" s="13" t="n">
        <f aca="false">IF(C212=0,A212,"")</f>
        <v>4</v>
      </c>
    </row>
    <row r="213" customFormat="false" ht="15" hidden="false" customHeight="false" outlineLevel="0" collapsed="false">
      <c r="A213" s="13" t="n">
        <v>5</v>
      </c>
      <c r="B213" s="13" t="n">
        <v>27</v>
      </c>
      <c r="C213" s="13" t="n">
        <v>0</v>
      </c>
      <c r="D213" s="13" t="n">
        <v>1</v>
      </c>
      <c r="E213" s="13" t="n">
        <v>1</v>
      </c>
      <c r="F213" s="13" t="n">
        <v>1</v>
      </c>
      <c r="G213" s="13" t="n">
        <v>1</v>
      </c>
      <c r="H213" s="13" t="str">
        <f aca="false">IF(C213=1,A213,"")</f>
        <v/>
      </c>
      <c r="I213" s="13" t="n">
        <f aca="false">IF(C213=0,A213,"")</f>
        <v>5</v>
      </c>
    </row>
    <row r="214" customFormat="false" ht="15" hidden="false" customHeight="false" outlineLevel="0" collapsed="false">
      <c r="A214" s="13" t="n">
        <v>2</v>
      </c>
      <c r="B214" s="13" t="n">
        <v>46</v>
      </c>
      <c r="C214" s="13" t="n">
        <v>0</v>
      </c>
      <c r="D214" s="13" t="n">
        <v>1</v>
      </c>
      <c r="E214" s="13" t="n">
        <v>1</v>
      </c>
      <c r="F214" s="13" t="n">
        <v>0</v>
      </c>
      <c r="G214" s="13" t="n">
        <v>0</v>
      </c>
      <c r="H214" s="13" t="str">
        <f aca="false">IF(C214=1,A214,"")</f>
        <v/>
      </c>
      <c r="I214" s="13" t="n">
        <f aca="false">IF(C214=0,A214,"")</f>
        <v>2</v>
      </c>
    </row>
    <row r="215" customFormat="false" ht="15" hidden="false" customHeight="false" outlineLevel="0" collapsed="false">
      <c r="A215" s="13" t="n">
        <v>4</v>
      </c>
      <c r="B215" s="13" t="n">
        <v>61</v>
      </c>
      <c r="C215" s="13" t="n">
        <v>1</v>
      </c>
      <c r="D215" s="13" t="n">
        <v>0</v>
      </c>
      <c r="E215" s="13" t="n">
        <v>1</v>
      </c>
      <c r="F215" s="13" t="n">
        <v>1</v>
      </c>
      <c r="G215" s="13" t="n">
        <v>1</v>
      </c>
      <c r="H215" s="13" t="n">
        <f aca="false">IF(C215=1,A215,"")</f>
        <v>4</v>
      </c>
      <c r="I215" s="13" t="str">
        <f aca="false">IF(C215=0,A215,"")</f>
        <v/>
      </c>
    </row>
    <row r="216" customFormat="false" ht="15" hidden="false" customHeight="false" outlineLevel="0" collapsed="false">
      <c r="A216" s="13" t="n">
        <v>4</v>
      </c>
      <c r="B216" s="13" t="n">
        <v>39</v>
      </c>
      <c r="C216" s="13" t="n">
        <v>0</v>
      </c>
      <c r="D216" s="13" t="n">
        <v>1</v>
      </c>
      <c r="E216" s="13" t="n">
        <v>1</v>
      </c>
      <c r="F216" s="13" t="n">
        <v>1</v>
      </c>
      <c r="G216" s="13" t="n">
        <v>1</v>
      </c>
      <c r="H216" s="13" t="str">
        <f aca="false">IF(C216=1,A216,"")</f>
        <v/>
      </c>
      <c r="I216" s="13" t="n">
        <f aca="false">IF(C216=0,A216,"")</f>
        <v>4</v>
      </c>
    </row>
    <row r="217" customFormat="false" ht="15" hidden="false" customHeight="false" outlineLevel="0" collapsed="false">
      <c r="A217" s="13" t="n">
        <v>4</v>
      </c>
      <c r="B217" s="13" t="n">
        <v>55</v>
      </c>
      <c r="C217" s="13" t="n">
        <v>0</v>
      </c>
      <c r="D217" s="13" t="n">
        <v>0</v>
      </c>
      <c r="E217" s="13" t="n">
        <v>1</v>
      </c>
      <c r="F217" s="13" t="n">
        <v>1</v>
      </c>
      <c r="G217" s="13" t="n">
        <v>0</v>
      </c>
      <c r="H217" s="13" t="str">
        <f aca="false">IF(C217=1,A217,"")</f>
        <v/>
      </c>
      <c r="I217" s="13" t="n">
        <f aca="false">IF(C217=0,A217,"")</f>
        <v>4</v>
      </c>
    </row>
    <row r="218" customFormat="false" ht="15" hidden="false" customHeight="false" outlineLevel="0" collapsed="false">
      <c r="A218" s="13" t="n">
        <v>4</v>
      </c>
      <c r="B218" s="13" t="n">
        <v>37</v>
      </c>
      <c r="C218" s="13" t="n">
        <v>0</v>
      </c>
      <c r="D218" s="13" t="n">
        <v>5</v>
      </c>
      <c r="E218" s="13" t="n">
        <v>0</v>
      </c>
      <c r="F218" s="13" t="n">
        <v>0</v>
      </c>
      <c r="G218" s="13" t="n">
        <v>1</v>
      </c>
      <c r="H218" s="13" t="str">
        <f aca="false">IF(C218=1,A218,"")</f>
        <v/>
      </c>
      <c r="I218" s="13" t="n">
        <f aca="false">IF(C218=0,A218,"")</f>
        <v>4</v>
      </c>
    </row>
    <row r="219" customFormat="false" ht="15" hidden="false" customHeight="false" outlineLevel="0" collapsed="false">
      <c r="A219" s="13" t="n">
        <v>2</v>
      </c>
      <c r="B219" s="13" t="n">
        <v>40</v>
      </c>
      <c r="C219" s="13" t="n">
        <v>1</v>
      </c>
      <c r="D219" s="13" t="n">
        <v>0</v>
      </c>
      <c r="E219" s="13" t="n">
        <v>1</v>
      </c>
      <c r="F219" s="13" t="n">
        <v>0</v>
      </c>
      <c r="G219" s="13" t="n">
        <v>0</v>
      </c>
      <c r="H219" s="13" t="n">
        <f aca="false">IF(C219=1,A219,"")</f>
        <v>2</v>
      </c>
      <c r="I219" s="13" t="str">
        <f aca="false">IF(C219=0,A219,"")</f>
        <v/>
      </c>
    </row>
    <row r="220" customFormat="false" ht="15" hidden="false" customHeight="false" outlineLevel="0" collapsed="false">
      <c r="A220" s="13" t="n">
        <v>5</v>
      </c>
      <c r="B220" s="13" t="n">
        <v>56</v>
      </c>
      <c r="C220" s="13" t="n">
        <v>0</v>
      </c>
      <c r="D220" s="13" t="n">
        <v>1</v>
      </c>
      <c r="E220" s="13" t="n">
        <v>1</v>
      </c>
      <c r="F220" s="13" t="n">
        <v>1</v>
      </c>
      <c r="G220" s="13" t="n">
        <v>1</v>
      </c>
      <c r="H220" s="13" t="str">
        <f aca="false">IF(C220=1,A220,"")</f>
        <v/>
      </c>
      <c r="I220" s="13" t="n">
        <f aca="false">IF(C220=0,A220,"")</f>
        <v>5</v>
      </c>
    </row>
    <row r="221" customFormat="false" ht="15" hidden="false" customHeight="false" outlineLevel="0" collapsed="false">
      <c r="A221" s="13" t="n">
        <v>4</v>
      </c>
      <c r="B221" s="13" t="n">
        <v>42</v>
      </c>
      <c r="C221" s="13" t="n">
        <v>1</v>
      </c>
      <c r="D221" s="13" t="n">
        <v>2</v>
      </c>
      <c r="E221" s="13" t="n">
        <v>1</v>
      </c>
      <c r="F221" s="13" t="n">
        <v>1</v>
      </c>
      <c r="G221" s="13" t="n">
        <v>1</v>
      </c>
      <c r="H221" s="13" t="n">
        <f aca="false">IF(C221=1,A221,"")</f>
        <v>4</v>
      </c>
      <c r="I221" s="13" t="str">
        <f aca="false">IF(C221=0,A221,"")</f>
        <v/>
      </c>
    </row>
    <row r="222" customFormat="false" ht="15" hidden="false" customHeight="false" outlineLevel="0" collapsed="false">
      <c r="A222" s="13" t="n">
        <v>4</v>
      </c>
      <c r="B222" s="13" t="n">
        <v>45</v>
      </c>
      <c r="C222" s="13" t="n">
        <v>1</v>
      </c>
      <c r="D222" s="13" t="n">
        <v>0</v>
      </c>
      <c r="E222" s="13" t="n">
        <v>0</v>
      </c>
      <c r="F222" s="13" t="n">
        <v>1</v>
      </c>
      <c r="G222" s="13" t="n">
        <v>0</v>
      </c>
      <c r="H222" s="13" t="n">
        <f aca="false">IF(C222=1,A222,"")</f>
        <v>4</v>
      </c>
      <c r="I222" s="13" t="str">
        <f aca="false">IF(C222=0,A222,"")</f>
        <v/>
      </c>
    </row>
    <row r="223" customFormat="false" ht="15" hidden="false" customHeight="false" outlineLevel="0" collapsed="false">
      <c r="A223" s="13" t="n">
        <v>4</v>
      </c>
      <c r="B223" s="13" t="n">
        <v>52</v>
      </c>
      <c r="C223" s="13" t="n">
        <v>1</v>
      </c>
      <c r="D223" s="13" t="n">
        <v>0</v>
      </c>
      <c r="E223" s="13" t="n">
        <v>1</v>
      </c>
      <c r="F223" s="13" t="n">
        <v>1</v>
      </c>
      <c r="G223" s="13" t="n">
        <v>0</v>
      </c>
      <c r="H223" s="13" t="n">
        <f aca="false">IF(C223=1,A223,"")</f>
        <v>4</v>
      </c>
      <c r="I223" s="13" t="str">
        <f aca="false">IF(C223=0,A223,"")</f>
        <v/>
      </c>
    </row>
    <row r="224" customFormat="false" ht="15" hidden="false" customHeight="false" outlineLevel="0" collapsed="false">
      <c r="A224" s="13" t="n">
        <v>4</v>
      </c>
      <c r="B224" s="13" t="n">
        <v>47</v>
      </c>
      <c r="C224" s="13" t="n">
        <v>0</v>
      </c>
      <c r="D224" s="13" t="n">
        <v>2</v>
      </c>
      <c r="E224" s="13" t="n">
        <v>0</v>
      </c>
      <c r="F224" s="13" t="n">
        <v>1</v>
      </c>
      <c r="G224" s="13" t="n">
        <v>1</v>
      </c>
      <c r="H224" s="13" t="str">
        <f aca="false">IF(C224=1,A224,"")</f>
        <v/>
      </c>
      <c r="I224" s="13" t="n">
        <f aca="false">IF(C224=0,A224,"")</f>
        <v>4</v>
      </c>
    </row>
    <row r="225" customFormat="false" ht="15" hidden="false" customHeight="false" outlineLevel="0" collapsed="false">
      <c r="A225" s="13" t="n">
        <v>4</v>
      </c>
      <c r="B225" s="13" t="n">
        <v>35</v>
      </c>
      <c r="C225" s="13" t="n">
        <v>0</v>
      </c>
      <c r="D225" s="13" t="n">
        <v>1</v>
      </c>
      <c r="E225" s="13" t="n">
        <v>1</v>
      </c>
      <c r="F225" s="13" t="n">
        <v>1</v>
      </c>
      <c r="G225" s="13" t="n">
        <v>1</v>
      </c>
      <c r="H225" s="13" t="str">
        <f aca="false">IF(C225=1,A225,"")</f>
        <v/>
      </c>
      <c r="I225" s="13" t="n">
        <f aca="false">IF(C225=0,A225,"")</f>
        <v>4</v>
      </c>
    </row>
    <row r="226" customFormat="false" ht="15" hidden="false" customHeight="false" outlineLevel="0" collapsed="false">
      <c r="A226" s="13" t="n">
        <v>4</v>
      </c>
      <c r="B226" s="13" t="n">
        <v>35</v>
      </c>
      <c r="C226" s="13" t="n">
        <v>0</v>
      </c>
      <c r="D226" s="13" t="n">
        <v>2</v>
      </c>
      <c r="E226" s="13" t="n">
        <v>0</v>
      </c>
      <c r="F226" s="13" t="n">
        <v>0</v>
      </c>
      <c r="G226" s="13" t="n">
        <v>1</v>
      </c>
      <c r="H226" s="13" t="str">
        <f aca="false">IF(C226=1,A226,"")</f>
        <v/>
      </c>
      <c r="I226" s="13" t="n">
        <f aca="false">IF(C226=0,A226,"")</f>
        <v>4</v>
      </c>
    </row>
    <row r="227" customFormat="false" ht="15" hidden="false" customHeight="false" outlineLevel="0" collapsed="false">
      <c r="A227" s="13" t="n">
        <v>1</v>
      </c>
      <c r="B227" s="13" t="n">
        <v>53</v>
      </c>
      <c r="C227" s="13" t="n">
        <v>1</v>
      </c>
      <c r="D227" s="13" t="n">
        <v>0</v>
      </c>
      <c r="E227" s="13" t="n">
        <v>0</v>
      </c>
      <c r="F227" s="13" t="n">
        <v>0</v>
      </c>
      <c r="G227" s="13" t="n">
        <v>0</v>
      </c>
      <c r="H227" s="13" t="n">
        <f aca="false">IF(C227=1,A227,"")</f>
        <v>1</v>
      </c>
      <c r="I227" s="13" t="str">
        <f aca="false">IF(C227=0,A227,"")</f>
        <v/>
      </c>
    </row>
    <row r="228" customFormat="false" ht="15" hidden="false" customHeight="false" outlineLevel="0" collapsed="false">
      <c r="A228" s="13" t="n">
        <v>4</v>
      </c>
      <c r="B228" s="13" t="n">
        <v>63</v>
      </c>
      <c r="C228" s="13" t="n">
        <v>0</v>
      </c>
      <c r="D228" s="13" t="n">
        <v>0</v>
      </c>
      <c r="E228" s="13" t="n">
        <v>1</v>
      </c>
      <c r="F228" s="13" t="n">
        <v>1</v>
      </c>
      <c r="G228" s="13" t="n">
        <v>0</v>
      </c>
      <c r="H228" s="13" t="str">
        <f aca="false">IF(C228=1,A228,"")</f>
        <v/>
      </c>
      <c r="I228" s="13" t="n">
        <f aca="false">IF(C228=0,A228,"")</f>
        <v>4</v>
      </c>
    </row>
    <row r="229" customFormat="false" ht="15" hidden="false" customHeight="false" outlineLevel="0" collapsed="false">
      <c r="A229" s="13" t="n">
        <v>5</v>
      </c>
      <c r="B229" s="13" t="n">
        <v>46</v>
      </c>
      <c r="C229" s="13" t="n">
        <v>0</v>
      </c>
      <c r="D229" s="13" t="n">
        <v>2</v>
      </c>
      <c r="E229" s="13" t="n">
        <v>0</v>
      </c>
      <c r="F229" s="13" t="n">
        <v>1</v>
      </c>
      <c r="G229" s="13" t="n">
        <v>1</v>
      </c>
      <c r="H229" s="13" t="str">
        <f aca="false">IF(C229=1,A229,"")</f>
        <v/>
      </c>
      <c r="I229" s="13" t="n">
        <f aca="false">IF(C229=0,A229,"")</f>
        <v>5</v>
      </c>
    </row>
    <row r="230" customFormat="false" ht="15" hidden="false" customHeight="false" outlineLevel="0" collapsed="false">
      <c r="A230" s="13" t="n">
        <v>1</v>
      </c>
      <c r="B230" s="13" t="n">
        <v>39</v>
      </c>
      <c r="C230" s="13" t="n">
        <v>1</v>
      </c>
      <c r="D230" s="13" t="n">
        <v>0</v>
      </c>
      <c r="E230" s="13" t="n">
        <v>0</v>
      </c>
      <c r="F230" s="13" t="n">
        <v>1</v>
      </c>
      <c r="G230" s="13" t="n">
        <v>0</v>
      </c>
      <c r="H230" s="13" t="n">
        <f aca="false">IF(C230=1,A230,"")</f>
        <v>1</v>
      </c>
      <c r="I230" s="13" t="str">
        <f aca="false">IF(C230=0,A230,"")</f>
        <v/>
      </c>
    </row>
    <row r="231" customFormat="false" ht="15" hidden="false" customHeight="false" outlineLevel="0" collapsed="false">
      <c r="A231" s="13" t="n">
        <v>4</v>
      </c>
      <c r="B231" s="13" t="n">
        <v>59</v>
      </c>
      <c r="C231" s="13" t="n">
        <v>1</v>
      </c>
      <c r="D231" s="13" t="n">
        <v>0</v>
      </c>
      <c r="E231" s="13" t="n">
        <v>0</v>
      </c>
      <c r="F231" s="13" t="n">
        <v>1</v>
      </c>
      <c r="G231" s="13" t="n">
        <v>0</v>
      </c>
      <c r="H231" s="13" t="n">
        <f aca="false">IF(C231=1,A231,"")</f>
        <v>4</v>
      </c>
      <c r="I231" s="13" t="str">
        <f aca="false">IF(C231=0,A231,"")</f>
        <v/>
      </c>
    </row>
    <row r="232" customFormat="false" ht="15" hidden="false" customHeight="false" outlineLevel="0" collapsed="false">
      <c r="A232" s="13" t="n">
        <v>4</v>
      </c>
      <c r="B232" s="13" t="n">
        <v>50</v>
      </c>
      <c r="C232" s="13" t="n">
        <v>0</v>
      </c>
      <c r="D232" s="13" t="n">
        <v>3</v>
      </c>
      <c r="E232" s="13" t="n">
        <v>0</v>
      </c>
      <c r="F232" s="13" t="n">
        <v>1</v>
      </c>
      <c r="G232" s="13" t="n">
        <v>1</v>
      </c>
      <c r="H232" s="13" t="str">
        <f aca="false">IF(C232=1,A232,"")</f>
        <v/>
      </c>
      <c r="I232" s="13" t="n">
        <f aca="false">IF(C232=0,A232,"")</f>
        <v>4</v>
      </c>
    </row>
    <row r="233" customFormat="false" ht="15" hidden="false" customHeight="false" outlineLevel="0" collapsed="false">
      <c r="A233" s="13" t="n">
        <v>4</v>
      </c>
      <c r="B233" s="13" t="n">
        <v>37</v>
      </c>
      <c r="C233" s="13" t="n">
        <v>0</v>
      </c>
      <c r="D233" s="13" t="n">
        <v>0</v>
      </c>
      <c r="E233" s="13" t="n">
        <v>1</v>
      </c>
      <c r="F233" s="13" t="n">
        <v>1</v>
      </c>
      <c r="G233" s="13" t="n">
        <v>0</v>
      </c>
      <c r="H233" s="13" t="str">
        <f aca="false">IF(C233=1,A233,"")</f>
        <v/>
      </c>
      <c r="I233" s="13" t="n">
        <f aca="false">IF(C233=0,A233,"")</f>
        <v>4</v>
      </c>
    </row>
    <row r="234" customFormat="false" ht="15" hidden="false" customHeight="false" outlineLevel="0" collapsed="false">
      <c r="A234" s="13" t="n">
        <v>4</v>
      </c>
      <c r="B234" s="13" t="n">
        <v>56</v>
      </c>
      <c r="C234" s="13" t="n">
        <v>1</v>
      </c>
      <c r="D234" s="13" t="n">
        <v>0</v>
      </c>
      <c r="E234" s="13" t="n">
        <v>1</v>
      </c>
      <c r="F234" s="13" t="n">
        <v>0</v>
      </c>
      <c r="G234" s="13" t="n">
        <v>0</v>
      </c>
      <c r="H234" s="13" t="n">
        <f aca="false">IF(C234=1,A234,"")</f>
        <v>4</v>
      </c>
      <c r="I234" s="13" t="str">
        <f aca="false">IF(C234=0,A234,"")</f>
        <v/>
      </c>
    </row>
    <row r="235" customFormat="false" ht="15" hidden="false" customHeight="false" outlineLevel="0" collapsed="false">
      <c r="A235" s="13" t="n">
        <v>4</v>
      </c>
      <c r="B235" s="13" t="n">
        <v>63</v>
      </c>
      <c r="C235" s="13" t="n">
        <v>0</v>
      </c>
      <c r="D235" s="13" t="n">
        <v>0</v>
      </c>
      <c r="E235" s="13" t="n">
        <v>1</v>
      </c>
      <c r="F235" s="13" t="n">
        <v>1</v>
      </c>
      <c r="G235" s="13" t="n">
        <v>1</v>
      </c>
      <c r="H235" s="13" t="str">
        <f aca="false">IF(C235=1,A235,"")</f>
        <v/>
      </c>
      <c r="I235" s="13" t="n">
        <f aca="false">IF(C235=0,A235,"")</f>
        <v>4</v>
      </c>
    </row>
    <row r="236" customFormat="false" ht="15" hidden="false" customHeight="false" outlineLevel="0" collapsed="false">
      <c r="A236" s="13" t="n">
        <v>2</v>
      </c>
      <c r="B236" s="13" t="n">
        <v>52</v>
      </c>
      <c r="C236" s="13" t="n">
        <v>1</v>
      </c>
      <c r="D236" s="13" t="n">
        <v>0</v>
      </c>
      <c r="E236" s="13" t="n">
        <v>0</v>
      </c>
      <c r="F236" s="13" t="n">
        <v>1</v>
      </c>
      <c r="G236" s="13" t="n">
        <v>0</v>
      </c>
      <c r="H236" s="13" t="n">
        <f aca="false">IF(C236=1,A236,"")</f>
        <v>2</v>
      </c>
      <c r="I236" s="13" t="str">
        <f aca="false">IF(C236=0,A236,"")</f>
        <v/>
      </c>
    </row>
    <row r="237" customFormat="false" ht="15" hidden="false" customHeight="false" outlineLevel="0" collapsed="false">
      <c r="A237" s="13" t="n">
        <v>4</v>
      </c>
      <c r="B237" s="13" t="n">
        <v>54</v>
      </c>
      <c r="C237" s="13" t="n">
        <v>0</v>
      </c>
      <c r="D237" s="13" t="n">
        <v>0</v>
      </c>
      <c r="E237" s="13" t="n">
        <v>1</v>
      </c>
      <c r="F237" s="13" t="n">
        <v>1</v>
      </c>
      <c r="G237" s="13" t="n">
        <v>0</v>
      </c>
      <c r="H237" s="13" t="str">
        <f aca="false">IF(C237=1,A237,"")</f>
        <v/>
      </c>
      <c r="I237" s="13" t="n">
        <f aca="false">IF(C237=0,A237,"")</f>
        <v>4</v>
      </c>
    </row>
    <row r="238" customFormat="false" ht="15" hidden="false" customHeight="false" outlineLevel="0" collapsed="false">
      <c r="A238" s="13" t="n">
        <v>2</v>
      </c>
      <c r="B238" s="13" t="n">
        <v>46</v>
      </c>
      <c r="C238" s="13" t="n">
        <v>0</v>
      </c>
      <c r="D238" s="13" t="n">
        <v>1</v>
      </c>
      <c r="E238" s="13" t="n">
        <v>1</v>
      </c>
      <c r="F238" s="13" t="n">
        <v>1</v>
      </c>
      <c r="G238" s="13" t="n">
        <v>1</v>
      </c>
      <c r="H238" s="13" t="str">
        <f aca="false">IF(C238=1,A238,"")</f>
        <v/>
      </c>
      <c r="I238" s="13" t="n">
        <f aca="false">IF(C238=0,A238,"")</f>
        <v>2</v>
      </c>
    </row>
    <row r="239" customFormat="false" ht="15" hidden="false" customHeight="false" outlineLevel="0" collapsed="false">
      <c r="A239" s="13" t="n">
        <v>2</v>
      </c>
      <c r="B239" s="13" t="n">
        <v>56</v>
      </c>
      <c r="C239" s="13" t="n">
        <v>1</v>
      </c>
      <c r="D239" s="13" t="n">
        <v>0</v>
      </c>
      <c r="E239" s="13" t="n">
        <v>0</v>
      </c>
      <c r="F239" s="13" t="n">
        <v>1</v>
      </c>
      <c r="G239" s="13" t="n">
        <v>0</v>
      </c>
      <c r="H239" s="13" t="n">
        <f aca="false">IF(C239=1,A239,"")</f>
        <v>2</v>
      </c>
      <c r="I239" s="13" t="str">
        <f aca="false">IF(C239=0,A239,"")</f>
        <v/>
      </c>
    </row>
    <row r="240" customFormat="false" ht="15" hidden="false" customHeight="false" outlineLevel="0" collapsed="false">
      <c r="A240" s="13" t="n">
        <v>4</v>
      </c>
      <c r="B240" s="13" t="n">
        <v>40</v>
      </c>
      <c r="C240" s="13" t="n">
        <v>1</v>
      </c>
      <c r="D240" s="13" t="n">
        <v>3</v>
      </c>
      <c r="E240" s="13" t="n">
        <v>1</v>
      </c>
      <c r="F240" s="13" t="n">
        <v>1</v>
      </c>
      <c r="G240" s="13" t="n">
        <v>1</v>
      </c>
      <c r="H240" s="13" t="n">
        <f aca="false">IF(C240=1,A240,"")</f>
        <v>4</v>
      </c>
      <c r="I240" s="13" t="str">
        <f aca="false">IF(C240=0,A240,"")</f>
        <v/>
      </c>
    </row>
    <row r="241" customFormat="false" ht="15" hidden="false" customHeight="false" outlineLevel="0" collapsed="false">
      <c r="A241" s="13" t="n">
        <v>5</v>
      </c>
      <c r="B241" s="13" t="n">
        <v>57</v>
      </c>
      <c r="C241" s="13" t="n">
        <v>1</v>
      </c>
      <c r="D241" s="13" t="n">
        <v>1</v>
      </c>
      <c r="E241" s="13" t="n">
        <v>1</v>
      </c>
      <c r="F241" s="13" t="n">
        <v>1</v>
      </c>
      <c r="G241" s="13" t="n">
        <v>1</v>
      </c>
      <c r="H241" s="13" t="n">
        <f aca="false">IF(C241=1,A241,"")</f>
        <v>5</v>
      </c>
      <c r="I241" s="13" t="str">
        <f aca="false">IF(C241=0,A241,"")</f>
        <v/>
      </c>
    </row>
    <row r="242" customFormat="false" ht="15" hidden="false" customHeight="false" outlineLevel="0" collapsed="false">
      <c r="A242" s="13" t="n">
        <v>4</v>
      </c>
      <c r="B242" s="13" t="n">
        <v>56</v>
      </c>
      <c r="C242" s="13" t="n">
        <v>1</v>
      </c>
      <c r="D242" s="13" t="n">
        <v>1</v>
      </c>
      <c r="E242" s="13" t="n">
        <v>0</v>
      </c>
      <c r="F242" s="13" t="n">
        <v>1</v>
      </c>
      <c r="G242" s="13" t="n">
        <v>1</v>
      </c>
      <c r="H242" s="13" t="n">
        <f aca="false">IF(C242=1,A242,"")</f>
        <v>4</v>
      </c>
      <c r="I242" s="13" t="str">
        <f aca="false">IF(C242=0,A242,"")</f>
        <v/>
      </c>
    </row>
    <row r="243" customFormat="false" ht="15" hidden="false" customHeight="false" outlineLevel="0" collapsed="false">
      <c r="A243" s="13" t="n">
        <v>3</v>
      </c>
      <c r="B243" s="13" t="n">
        <v>51</v>
      </c>
      <c r="C243" s="13" t="n">
        <v>0</v>
      </c>
      <c r="D243" s="13" t="n">
        <v>0</v>
      </c>
      <c r="E243" s="13" t="n">
        <v>0</v>
      </c>
      <c r="F243" s="13" t="n">
        <v>0</v>
      </c>
      <c r="G243" s="13" t="n">
        <v>0</v>
      </c>
      <c r="H243" s="13" t="str">
        <f aca="false">IF(C243=1,A243,"")</f>
        <v/>
      </c>
      <c r="I243" s="13" t="n">
        <f aca="false">IF(C243=0,A243,"")</f>
        <v>3</v>
      </c>
    </row>
    <row r="244" customFormat="false" ht="15" hidden="false" customHeight="false" outlineLevel="0" collapsed="false">
      <c r="A244" s="13" t="n">
        <v>4</v>
      </c>
      <c r="B244" s="13" t="n">
        <v>64</v>
      </c>
      <c r="C244" s="13" t="n">
        <v>1</v>
      </c>
      <c r="D244" s="13" t="n">
        <v>0</v>
      </c>
      <c r="E244" s="13" t="n">
        <v>1</v>
      </c>
      <c r="F244" s="13" t="n">
        <v>0</v>
      </c>
      <c r="G244" s="13" t="n">
        <v>0</v>
      </c>
      <c r="H244" s="13" t="n">
        <f aca="false">IF(C244=1,A244,"")</f>
        <v>4</v>
      </c>
      <c r="I244" s="13" t="str">
        <f aca="false">IF(C244=0,A244,"")</f>
        <v/>
      </c>
    </row>
    <row r="245" customFormat="false" ht="15" hidden="false" customHeight="false" outlineLevel="0" collapsed="false">
      <c r="A245" s="13" t="n">
        <v>5</v>
      </c>
      <c r="B245" s="13" t="n">
        <v>49</v>
      </c>
      <c r="C245" s="13" t="n">
        <v>1</v>
      </c>
      <c r="D245" s="13" t="n">
        <v>1</v>
      </c>
      <c r="E245" s="13" t="n">
        <v>0</v>
      </c>
      <c r="F245" s="13" t="n">
        <v>1</v>
      </c>
      <c r="G245" s="13" t="n">
        <v>1</v>
      </c>
      <c r="H245" s="13" t="n">
        <f aca="false">IF(C245=1,A245,"")</f>
        <v>5</v>
      </c>
      <c r="I245" s="13" t="str">
        <f aca="false">IF(C245=0,A245,"")</f>
        <v/>
      </c>
    </row>
    <row r="246" customFormat="false" ht="15" hidden="false" customHeight="false" outlineLevel="0" collapsed="false">
      <c r="A246" s="13" t="n">
        <v>2</v>
      </c>
      <c r="B246" s="13" t="n">
        <v>56</v>
      </c>
      <c r="C246" s="13" t="n">
        <v>1</v>
      </c>
      <c r="D246" s="13" t="n">
        <v>0</v>
      </c>
      <c r="E246" s="13" t="n">
        <v>0</v>
      </c>
      <c r="F246" s="13" t="n">
        <v>0</v>
      </c>
      <c r="G246" s="13" t="n">
        <v>0</v>
      </c>
      <c r="H246" s="13" t="n">
        <f aca="false">IF(C246=1,A246,"")</f>
        <v>2</v>
      </c>
      <c r="I246" s="13" t="str">
        <f aca="false">IF(C246=0,A246,"")</f>
        <v/>
      </c>
    </row>
    <row r="247" customFormat="false" ht="15" hidden="false" customHeight="false" outlineLevel="0" collapsed="false">
      <c r="A247" s="13" t="n">
        <v>4</v>
      </c>
      <c r="B247" s="13" t="n">
        <v>55</v>
      </c>
      <c r="C247" s="13" t="n">
        <v>0</v>
      </c>
      <c r="D247" s="13" t="n">
        <v>0</v>
      </c>
      <c r="E247" s="13" t="n">
        <v>0</v>
      </c>
      <c r="F247" s="13" t="n">
        <v>0</v>
      </c>
      <c r="G247" s="13" t="n">
        <v>1</v>
      </c>
      <c r="H247" s="13" t="str">
        <f aca="false">IF(C247=1,A247,"")</f>
        <v/>
      </c>
      <c r="I247" s="13" t="n">
        <f aca="false">IF(C247=0,A247,"")</f>
        <v>4</v>
      </c>
    </row>
    <row r="248" customFormat="false" ht="15" hidden="false" customHeight="false" outlineLevel="0" collapsed="false">
      <c r="A248" s="13" t="n">
        <v>3</v>
      </c>
      <c r="B248" s="13" t="n">
        <v>57</v>
      </c>
      <c r="C248" s="13" t="n">
        <v>0</v>
      </c>
      <c r="D248" s="13" t="n">
        <v>0</v>
      </c>
      <c r="E248" s="13" t="n">
        <v>0</v>
      </c>
      <c r="F248" s="13" t="n">
        <v>0</v>
      </c>
      <c r="G248" s="13" t="n">
        <v>0</v>
      </c>
      <c r="H248" s="13" t="str">
        <f aca="false">IF(C248=1,A248,"")</f>
        <v/>
      </c>
      <c r="I248" s="13" t="n">
        <f aca="false">IF(C248=0,A248,"")</f>
        <v>3</v>
      </c>
    </row>
    <row r="249" customFormat="false" ht="15" hidden="false" customHeight="false" outlineLevel="0" collapsed="false">
      <c r="A249" s="13" t="n">
        <v>4</v>
      </c>
      <c r="B249" s="13" t="n">
        <v>41</v>
      </c>
      <c r="C249" s="13" t="n">
        <v>0</v>
      </c>
      <c r="D249" s="13" t="n">
        <v>0</v>
      </c>
      <c r="E249" s="13" t="n">
        <v>0</v>
      </c>
      <c r="F249" s="13" t="n">
        <v>1</v>
      </c>
      <c r="G249" s="13" t="n">
        <v>1</v>
      </c>
      <c r="H249" s="13" t="str">
        <f aca="false">IF(C249=1,A249,"")</f>
        <v/>
      </c>
      <c r="I249" s="13" t="n">
        <f aca="false">IF(C249=0,A249,"")</f>
        <v>4</v>
      </c>
    </row>
    <row r="250" customFormat="false" ht="15" hidden="false" customHeight="false" outlineLevel="0" collapsed="false">
      <c r="A250" s="13" t="n">
        <v>3</v>
      </c>
      <c r="B250" s="13" t="n">
        <v>35</v>
      </c>
      <c r="C250" s="13" t="n">
        <v>0</v>
      </c>
      <c r="D250" s="13" t="n">
        <v>0</v>
      </c>
      <c r="E250" s="13" t="n">
        <v>1</v>
      </c>
      <c r="F250" s="13" t="n">
        <v>1</v>
      </c>
      <c r="G250" s="13" t="n">
        <v>0</v>
      </c>
      <c r="H250" s="13" t="str">
        <f aca="false">IF(C250=1,A250,"")</f>
        <v/>
      </c>
      <c r="I250" s="13" t="n">
        <f aca="false">IF(C250=0,A250,"")</f>
        <v>3</v>
      </c>
    </row>
    <row r="251" customFormat="false" ht="15" hidden="false" customHeight="false" outlineLevel="0" collapsed="false">
      <c r="A251" s="13" t="n">
        <v>4</v>
      </c>
      <c r="B251" s="13" t="n">
        <v>32</v>
      </c>
      <c r="C251" s="13" t="n">
        <v>0</v>
      </c>
      <c r="D251" s="13" t="n">
        <v>2</v>
      </c>
      <c r="E251" s="13" t="n">
        <v>1</v>
      </c>
      <c r="F251" s="13" t="n">
        <v>1</v>
      </c>
      <c r="G251" s="13" t="n">
        <v>1</v>
      </c>
      <c r="H251" s="13" t="str">
        <f aca="false">IF(C251=1,A251,"")</f>
        <v/>
      </c>
      <c r="I251" s="13" t="n">
        <f aca="false">IF(C251=0,A251,"")</f>
        <v>4</v>
      </c>
    </row>
    <row r="252" customFormat="false" ht="15" hidden="false" customHeight="false" outlineLevel="0" collapsed="false">
      <c r="A252" s="13" t="n">
        <v>3</v>
      </c>
      <c r="B252" s="13" t="n">
        <v>30</v>
      </c>
      <c r="C252" s="13" t="n">
        <v>0</v>
      </c>
      <c r="D252" s="13" t="n">
        <v>1</v>
      </c>
      <c r="E252" s="13" t="n">
        <v>1</v>
      </c>
      <c r="F252" s="13" t="n">
        <v>1</v>
      </c>
      <c r="G252" s="13" t="n">
        <v>1</v>
      </c>
      <c r="H252" s="13" t="str">
        <f aca="false">IF(C252=1,A252,"")</f>
        <v/>
      </c>
      <c r="I252" s="13" t="n">
        <f aca="false">IF(C252=0,A252,"")</f>
        <v>3</v>
      </c>
    </row>
    <row r="253" customFormat="false" ht="15" hidden="false" customHeight="false" outlineLevel="0" collapsed="false">
      <c r="A253" s="13" t="n">
        <v>3</v>
      </c>
      <c r="B253" s="13" t="n">
        <v>59</v>
      </c>
      <c r="C253" s="13" t="n">
        <v>0</v>
      </c>
      <c r="D253" s="13" t="n">
        <v>0</v>
      </c>
      <c r="E253" s="13" t="n">
        <v>1</v>
      </c>
      <c r="F253" s="13" t="n">
        <v>1</v>
      </c>
      <c r="G253" s="13" t="n">
        <v>1</v>
      </c>
      <c r="H253" s="13" t="str">
        <f aca="false">IF(C253=1,A253,"")</f>
        <v/>
      </c>
      <c r="I253" s="13" t="n">
        <f aca="false">IF(C253=0,A253,"")</f>
        <v>3</v>
      </c>
    </row>
    <row r="254" customFormat="false" ht="15" hidden="false" customHeight="false" outlineLevel="0" collapsed="false">
      <c r="A254" s="13" t="n">
        <v>3</v>
      </c>
      <c r="B254" s="13" t="n">
        <v>51</v>
      </c>
      <c r="C254" s="13" t="n">
        <v>1</v>
      </c>
      <c r="D254" s="13" t="n">
        <v>2</v>
      </c>
      <c r="E254" s="13" t="n">
        <v>0</v>
      </c>
      <c r="F254" s="13" t="n">
        <v>1</v>
      </c>
      <c r="G254" s="13" t="n">
        <v>1</v>
      </c>
      <c r="H254" s="13" t="n">
        <f aca="false">IF(C254=1,A254,"")</f>
        <v>3</v>
      </c>
      <c r="I254" s="13" t="str">
        <f aca="false">IF(C254=0,A254,"")</f>
        <v/>
      </c>
    </row>
    <row r="255" customFormat="false" ht="15" hidden="false" customHeight="false" outlineLevel="0" collapsed="false">
      <c r="A255" s="13" t="n">
        <v>5</v>
      </c>
      <c r="B255" s="13" t="n">
        <v>33</v>
      </c>
      <c r="C255" s="13" t="n">
        <v>0</v>
      </c>
      <c r="D255" s="13" t="n">
        <v>1</v>
      </c>
      <c r="E255" s="13" t="n">
        <v>1</v>
      </c>
      <c r="F255" s="13" t="n">
        <v>1</v>
      </c>
      <c r="G255" s="13" t="n">
        <v>1</v>
      </c>
      <c r="H255" s="13" t="str">
        <f aca="false">IF(C255=1,A255,"")</f>
        <v/>
      </c>
      <c r="I255" s="13" t="n">
        <f aca="false">IF(C255=0,A255,"")</f>
        <v>5</v>
      </c>
    </row>
    <row r="256" customFormat="false" ht="15" hidden="false" customHeight="false" outlineLevel="0" collapsed="false">
      <c r="A256" s="13" t="n">
        <v>4</v>
      </c>
      <c r="B256" s="13" t="n">
        <v>56</v>
      </c>
      <c r="C256" s="13" t="n">
        <v>1</v>
      </c>
      <c r="D256" s="13" t="n">
        <v>0</v>
      </c>
      <c r="E256" s="13" t="n">
        <v>1</v>
      </c>
      <c r="F256" s="13" t="n">
        <v>1</v>
      </c>
      <c r="G256" s="13" t="n">
        <v>1</v>
      </c>
      <c r="H256" s="13" t="n">
        <f aca="false">IF(C256=1,A256,"")</f>
        <v>4</v>
      </c>
      <c r="I256" s="13" t="str">
        <f aca="false">IF(C256=0,A256,"")</f>
        <v/>
      </c>
    </row>
    <row r="257" customFormat="false" ht="15" hidden="false" customHeight="false" outlineLevel="0" collapsed="false">
      <c r="A257" s="13" t="n">
        <v>4</v>
      </c>
      <c r="B257" s="13" t="n">
        <v>56</v>
      </c>
      <c r="C257" s="13" t="n">
        <v>0</v>
      </c>
      <c r="D257" s="13" t="n">
        <v>2</v>
      </c>
      <c r="E257" s="13" t="n">
        <v>0</v>
      </c>
      <c r="F257" s="13" t="n">
        <v>1</v>
      </c>
      <c r="G257" s="13" t="n">
        <v>1</v>
      </c>
      <c r="H257" s="13" t="str">
        <f aca="false">IF(C257=1,A257,"")</f>
        <v/>
      </c>
      <c r="I257" s="13" t="n">
        <f aca="false">IF(C257=0,A257,"")</f>
        <v>4</v>
      </c>
    </row>
    <row r="258" customFormat="false" ht="15" hidden="false" customHeight="false" outlineLevel="0" collapsed="false">
      <c r="A258" s="13" t="n">
        <v>5</v>
      </c>
      <c r="B258" s="13" t="n">
        <v>55</v>
      </c>
      <c r="C258" s="13" t="n">
        <v>1</v>
      </c>
      <c r="D258" s="13" t="n">
        <v>1</v>
      </c>
      <c r="E258" s="13" t="n">
        <v>0</v>
      </c>
      <c r="F258" s="13" t="n">
        <v>1</v>
      </c>
      <c r="G258" s="13" t="n">
        <v>0</v>
      </c>
      <c r="H258" s="13" t="n">
        <f aca="false">IF(C258=1,A258,"")</f>
        <v>5</v>
      </c>
      <c r="I258" s="13" t="str">
        <f aca="false">IF(C258=0,A258,"")</f>
        <v/>
      </c>
    </row>
    <row r="259" customFormat="false" ht="15" hidden="false" customHeight="false" outlineLevel="0" collapsed="false">
      <c r="A259" s="13" t="n">
        <v>5</v>
      </c>
      <c r="B259" s="13" t="n">
        <v>61</v>
      </c>
      <c r="C259" s="13" t="n">
        <v>0</v>
      </c>
      <c r="D259" s="13" t="n">
        <v>0</v>
      </c>
      <c r="E259" s="13" t="n">
        <v>1</v>
      </c>
      <c r="F259" s="13" t="n">
        <v>1</v>
      </c>
      <c r="G259" s="13" t="n">
        <v>1</v>
      </c>
      <c r="H259" s="13" t="str">
        <f aca="false">IF(C259=1,A259,"")</f>
        <v/>
      </c>
      <c r="I259" s="13" t="n">
        <f aca="false">IF(C259=0,A259,"")</f>
        <v>5</v>
      </c>
    </row>
    <row r="260" customFormat="false" ht="15" hidden="false" customHeight="false" outlineLevel="0" collapsed="false">
      <c r="A260" s="13" t="n">
        <v>3</v>
      </c>
      <c r="B260" s="13" t="n">
        <v>47</v>
      </c>
      <c r="C260" s="13" t="n">
        <v>0</v>
      </c>
      <c r="D260" s="13" t="n">
        <v>0</v>
      </c>
      <c r="E260" s="13" t="n">
        <v>0</v>
      </c>
      <c r="F260" s="13" t="n">
        <v>0</v>
      </c>
      <c r="G260" s="13" t="n">
        <v>1</v>
      </c>
      <c r="H260" s="13" t="str">
        <f aca="false">IF(C260=1,A260,"")</f>
        <v/>
      </c>
      <c r="I260" s="13" t="n">
        <f aca="false">IF(C260=0,A260,"")</f>
        <v>3</v>
      </c>
    </row>
    <row r="261" customFormat="false" ht="15" hidden="false" customHeight="false" outlineLevel="0" collapsed="false">
      <c r="A261" s="13" t="n">
        <v>4</v>
      </c>
      <c r="B261" s="13" t="n">
        <v>62</v>
      </c>
      <c r="C261" s="13" t="n">
        <v>0</v>
      </c>
      <c r="D261" s="13" t="n">
        <v>0</v>
      </c>
      <c r="E261" s="13" t="n">
        <v>1</v>
      </c>
      <c r="F261" s="13" t="n">
        <v>1</v>
      </c>
      <c r="G261" s="13" t="n">
        <v>0</v>
      </c>
      <c r="H261" s="13" t="str">
        <f aca="false">IF(C261=1,A261,"")</f>
        <v/>
      </c>
      <c r="I261" s="13" t="n">
        <f aca="false">IF(C261=0,A261,"")</f>
        <v>4</v>
      </c>
    </row>
    <row r="262" customFormat="false" ht="15" hidden="false" customHeight="false" outlineLevel="0" collapsed="false">
      <c r="A262" s="13" t="n">
        <v>4</v>
      </c>
      <c r="B262" s="13" t="n">
        <v>58</v>
      </c>
      <c r="C262" s="13" t="n">
        <v>0</v>
      </c>
      <c r="D262" s="13" t="n">
        <v>0</v>
      </c>
      <c r="E262" s="13" t="n">
        <v>1</v>
      </c>
      <c r="F262" s="13" t="n">
        <v>0</v>
      </c>
      <c r="G262" s="13" t="n">
        <v>1</v>
      </c>
      <c r="H262" s="13" t="str">
        <f aca="false">IF(C262=1,A262,"")</f>
        <v/>
      </c>
      <c r="I262" s="13" t="n">
        <f aca="false">IF(C262=0,A262,"")</f>
        <v>4</v>
      </c>
    </row>
    <row r="263" customFormat="false" ht="15" hidden="false" customHeight="false" outlineLevel="0" collapsed="false">
      <c r="A263" s="13" t="n">
        <v>4</v>
      </c>
      <c r="B263" s="13" t="n">
        <v>60</v>
      </c>
      <c r="C263" s="13" t="n">
        <v>1</v>
      </c>
      <c r="D263" s="13" t="n">
        <v>0</v>
      </c>
      <c r="E263" s="13" t="n">
        <v>1</v>
      </c>
      <c r="F263" s="13" t="n">
        <v>1</v>
      </c>
      <c r="G263" s="13" t="n">
        <v>0</v>
      </c>
      <c r="H263" s="13" t="n">
        <f aca="false">IF(C263=1,A263,"")</f>
        <v>4</v>
      </c>
      <c r="I263" s="13" t="str">
        <f aca="false">IF(C263=0,A263,"")</f>
        <v/>
      </c>
    </row>
    <row r="264" customFormat="false" ht="15" hidden="false" customHeight="false" outlineLevel="0" collapsed="false">
      <c r="A264" s="13" t="n">
        <v>4</v>
      </c>
      <c r="B264" s="13" t="n">
        <v>56</v>
      </c>
      <c r="C264" s="13" t="n">
        <v>0</v>
      </c>
      <c r="D264" s="13" t="n">
        <v>2</v>
      </c>
      <c r="E264" s="13" t="n">
        <v>1</v>
      </c>
      <c r="F264" s="13" t="n">
        <v>1</v>
      </c>
      <c r="G264" s="13" t="n">
        <v>1</v>
      </c>
      <c r="H264" s="13" t="str">
        <f aca="false">IF(C264=1,A264,"")</f>
        <v/>
      </c>
      <c r="I264" s="13" t="n">
        <f aca="false">IF(C264=0,A264,"")</f>
        <v>4</v>
      </c>
    </row>
    <row r="265" customFormat="false" ht="15" hidden="false" customHeight="false" outlineLevel="0" collapsed="false">
      <c r="A265" s="13" t="n">
        <v>5</v>
      </c>
      <c r="B265" s="13" t="n">
        <v>62</v>
      </c>
      <c r="C265" s="13" t="n">
        <v>1</v>
      </c>
      <c r="D265" s="13" t="n">
        <v>0</v>
      </c>
      <c r="E265" s="13" t="n">
        <v>0</v>
      </c>
      <c r="F265" s="13" t="n">
        <v>1</v>
      </c>
      <c r="G265" s="13" t="n">
        <v>1</v>
      </c>
      <c r="H265" s="13" t="n">
        <f aca="false">IF(C265=1,A265,"")</f>
        <v>5</v>
      </c>
      <c r="I265" s="13" t="str">
        <f aca="false">IF(C265=0,A265,"")</f>
        <v/>
      </c>
    </row>
    <row r="266" customFormat="false" ht="15" hidden="false" customHeight="false" outlineLevel="0" collapsed="false">
      <c r="A266" s="13" t="n">
        <v>4</v>
      </c>
      <c r="B266" s="13" t="n">
        <v>26</v>
      </c>
      <c r="C266" s="13" t="n">
        <v>0</v>
      </c>
      <c r="D266" s="13" t="n">
        <v>1</v>
      </c>
      <c r="E266" s="13" t="n">
        <v>0</v>
      </c>
      <c r="F266" s="13" t="n">
        <v>0</v>
      </c>
      <c r="G266" s="13" t="n">
        <v>1</v>
      </c>
      <c r="H266" s="13" t="str">
        <f aca="false">IF(C266=1,A266,"")</f>
        <v/>
      </c>
      <c r="I266" s="13" t="n">
        <f aca="false">IF(C266=0,A266,"")</f>
        <v>4</v>
      </c>
    </row>
    <row r="267" customFormat="false" ht="15" hidden="false" customHeight="false" outlineLevel="0" collapsed="false">
      <c r="A267" s="13" t="n">
        <v>2</v>
      </c>
      <c r="B267" s="13" t="n">
        <v>44</v>
      </c>
      <c r="C267" s="13" t="n">
        <v>0</v>
      </c>
      <c r="D267" s="13" t="n">
        <v>0</v>
      </c>
      <c r="E267" s="13" t="n">
        <v>1</v>
      </c>
      <c r="F267" s="13" t="n">
        <v>0</v>
      </c>
      <c r="G267" s="13" t="n">
        <v>1</v>
      </c>
      <c r="H267" s="13" t="str">
        <f aca="false">IF(C267=1,A267,"")</f>
        <v/>
      </c>
      <c r="I267" s="13" t="n">
        <f aca="false">IF(C267=0,A267,"")</f>
        <v>2</v>
      </c>
    </row>
    <row r="268" customFormat="false" ht="15" hidden="false" customHeight="false" outlineLevel="0" collapsed="false">
      <c r="A268" s="13" t="n">
        <v>3</v>
      </c>
      <c r="B268" s="13" t="n">
        <v>33</v>
      </c>
      <c r="C268" s="13" t="n">
        <v>0</v>
      </c>
      <c r="D268" s="13" t="n">
        <v>0</v>
      </c>
      <c r="E268" s="13" t="n">
        <v>1</v>
      </c>
      <c r="F268" s="13" t="n">
        <v>1</v>
      </c>
      <c r="G268" s="13" t="n">
        <v>1</v>
      </c>
      <c r="H268" s="13" t="str">
        <f aca="false">IF(C268=1,A268,"")</f>
        <v/>
      </c>
      <c r="I268" s="13" t="n">
        <f aca="false">IF(C268=0,A268,"")</f>
        <v>3</v>
      </c>
    </row>
    <row r="269" customFormat="false" ht="15" hidden="false" customHeight="false" outlineLevel="0" collapsed="false">
      <c r="A269" s="13" t="n">
        <v>3</v>
      </c>
      <c r="B269" s="13" t="n">
        <v>54</v>
      </c>
      <c r="C269" s="13" t="n">
        <v>0</v>
      </c>
      <c r="D269" s="13" t="n">
        <v>1</v>
      </c>
      <c r="E269" s="13" t="n">
        <v>0</v>
      </c>
      <c r="F269" s="13" t="n">
        <v>1</v>
      </c>
      <c r="G269" s="13" t="n">
        <v>1</v>
      </c>
      <c r="H269" s="13" t="str">
        <f aca="false">IF(C269=1,A269,"")</f>
        <v/>
      </c>
      <c r="I269" s="13" t="n">
        <f aca="false">IF(C269=0,A269,"")</f>
        <v>3</v>
      </c>
    </row>
    <row r="270" customFormat="false" ht="15" hidden="false" customHeight="false" outlineLevel="0" collapsed="false">
      <c r="A270" s="13" t="n">
        <v>1</v>
      </c>
      <c r="B270" s="13" t="n">
        <v>38</v>
      </c>
      <c r="C270" s="13" t="n">
        <v>1</v>
      </c>
      <c r="D270" s="13" t="n">
        <v>0</v>
      </c>
      <c r="E270" s="13" t="n">
        <v>1</v>
      </c>
      <c r="F270" s="13" t="n">
        <v>1</v>
      </c>
      <c r="G270" s="13" t="n">
        <v>0</v>
      </c>
      <c r="H270" s="13" t="n">
        <f aca="false">IF(C270=1,A270,"")</f>
        <v>1</v>
      </c>
      <c r="I270" s="13" t="str">
        <f aca="false">IF(C270=0,A270,"")</f>
        <v/>
      </c>
    </row>
    <row r="271" customFormat="false" ht="15" hidden="false" customHeight="false" outlineLevel="0" collapsed="false">
      <c r="A271" s="13" t="n">
        <v>3</v>
      </c>
      <c r="B271" s="13" t="n">
        <v>60</v>
      </c>
      <c r="C271" s="13" t="n">
        <v>1</v>
      </c>
      <c r="D271" s="13" t="n">
        <v>0</v>
      </c>
      <c r="E271" s="13" t="n">
        <v>1</v>
      </c>
      <c r="F271" s="13" t="n">
        <v>0</v>
      </c>
      <c r="G271" s="13" t="n">
        <v>1</v>
      </c>
      <c r="H271" s="13" t="n">
        <f aca="false">IF(C271=1,A271,"")</f>
        <v>3</v>
      </c>
      <c r="I271" s="13" t="str">
        <f aca="false">IF(C271=0,A271,"")</f>
        <v/>
      </c>
    </row>
    <row r="272" customFormat="false" ht="15" hidden="false" customHeight="false" outlineLevel="0" collapsed="false">
      <c r="A272" s="13" t="n">
        <v>2</v>
      </c>
      <c r="B272" s="13" t="n">
        <v>33</v>
      </c>
      <c r="C272" s="13" t="n">
        <v>1</v>
      </c>
      <c r="D272" s="13" t="n">
        <v>2</v>
      </c>
      <c r="E272" s="13" t="n">
        <v>1</v>
      </c>
      <c r="F272" s="13" t="n">
        <v>1</v>
      </c>
      <c r="G272" s="13" t="n">
        <v>1</v>
      </c>
      <c r="H272" s="13" t="n">
        <f aca="false">IF(C272=1,A272,"")</f>
        <v>2</v>
      </c>
      <c r="I272" s="13" t="str">
        <f aca="false">IF(C272=0,A272,"")</f>
        <v/>
      </c>
    </row>
    <row r="273" customFormat="false" ht="15" hidden="false" customHeight="false" outlineLevel="0" collapsed="false">
      <c r="A273" s="13" t="n">
        <v>4</v>
      </c>
      <c r="B273" s="13" t="n">
        <v>62</v>
      </c>
      <c r="C273" s="13" t="n">
        <v>0</v>
      </c>
      <c r="D273" s="13" t="n">
        <v>0</v>
      </c>
      <c r="E273" s="13" t="n">
        <v>0</v>
      </c>
      <c r="F273" s="13" t="n">
        <v>0</v>
      </c>
      <c r="G273" s="13" t="n">
        <v>0</v>
      </c>
      <c r="H273" s="13" t="str">
        <f aca="false">IF(C273=1,A273,"")</f>
        <v/>
      </c>
      <c r="I273" s="13" t="n">
        <f aca="false">IF(C273=0,A273,"")</f>
        <v>4</v>
      </c>
    </row>
    <row r="274" customFormat="false" ht="15" hidden="false" customHeight="false" outlineLevel="0" collapsed="false">
      <c r="A274" s="13" t="n">
        <v>1</v>
      </c>
      <c r="B274" s="13" t="n">
        <v>53</v>
      </c>
      <c r="C274" s="13" t="n">
        <v>0</v>
      </c>
      <c r="D274" s="13" t="n">
        <v>5</v>
      </c>
      <c r="E274" s="13" t="n">
        <v>0</v>
      </c>
      <c r="F274" s="13" t="n">
        <v>1</v>
      </c>
      <c r="G274" s="13" t="n">
        <v>1</v>
      </c>
      <c r="H274" s="13" t="str">
        <f aca="false">IF(C274=1,A274,"")</f>
        <v/>
      </c>
      <c r="I274" s="13" t="n">
        <f aca="false">IF(C274=0,A274,"")</f>
        <v>1</v>
      </c>
    </row>
    <row r="275" customFormat="false" ht="15" hidden="false" customHeight="false" outlineLevel="0" collapsed="false">
      <c r="A275" s="13" t="n">
        <v>4</v>
      </c>
      <c r="B275" s="13" t="n">
        <v>31</v>
      </c>
      <c r="C275" s="13" t="n">
        <v>0</v>
      </c>
      <c r="D275" s="13" t="n">
        <v>0</v>
      </c>
      <c r="E275" s="13" t="n">
        <v>0</v>
      </c>
      <c r="F275" s="13" t="n">
        <v>0</v>
      </c>
      <c r="G275" s="13" t="n">
        <v>1</v>
      </c>
      <c r="H275" s="13" t="str">
        <f aca="false">IF(C275=1,A275,"")</f>
        <v/>
      </c>
      <c r="I275" s="13" t="n">
        <f aca="false">IF(C275=0,A275,"")</f>
        <v>4</v>
      </c>
    </row>
    <row r="276" customFormat="false" ht="15" hidden="false" customHeight="false" outlineLevel="0" collapsed="false">
      <c r="A276" s="13" t="n">
        <v>3</v>
      </c>
      <c r="B276" s="13" t="n">
        <v>62</v>
      </c>
      <c r="C276" s="13" t="n">
        <v>1</v>
      </c>
      <c r="D276" s="13" t="n">
        <v>0</v>
      </c>
      <c r="E276" s="13" t="n">
        <v>0</v>
      </c>
      <c r="F276" s="13" t="n">
        <v>0</v>
      </c>
      <c r="G276" s="13" t="n">
        <v>1</v>
      </c>
      <c r="H276" s="13" t="n">
        <f aca="false">IF(C276=1,A276,"")</f>
        <v>3</v>
      </c>
      <c r="I276" s="13" t="str">
        <f aca="false">IF(C276=0,A276,"")</f>
        <v/>
      </c>
    </row>
    <row r="277" customFormat="false" ht="15" hidden="false" customHeight="false" outlineLevel="0" collapsed="false">
      <c r="A277" s="13" t="n">
        <v>4</v>
      </c>
      <c r="B277" s="13" t="n">
        <v>30</v>
      </c>
      <c r="C277" s="13" t="n">
        <v>0</v>
      </c>
      <c r="D277" s="13" t="n">
        <v>0</v>
      </c>
      <c r="E277" s="13" t="n">
        <v>1</v>
      </c>
      <c r="F277" s="13" t="n">
        <v>1</v>
      </c>
      <c r="G277" s="13" t="n">
        <v>0</v>
      </c>
      <c r="H277" s="13" t="str">
        <f aca="false">IF(C277=1,A277,"")</f>
        <v/>
      </c>
      <c r="I277" s="13" t="n">
        <f aca="false">IF(C277=0,A277,"")</f>
        <v>4</v>
      </c>
    </row>
    <row r="278" customFormat="false" ht="15" hidden="false" customHeight="false" outlineLevel="0" collapsed="false">
      <c r="A278" s="13" t="n">
        <v>4</v>
      </c>
      <c r="B278" s="13" t="n">
        <v>40</v>
      </c>
      <c r="C278" s="13" t="n">
        <v>0</v>
      </c>
      <c r="D278" s="13" t="n">
        <v>1</v>
      </c>
      <c r="E278" s="13" t="n">
        <v>0</v>
      </c>
      <c r="F278" s="13" t="n">
        <v>0</v>
      </c>
      <c r="G278" s="13" t="n">
        <v>1</v>
      </c>
      <c r="H278" s="13" t="str">
        <f aca="false">IF(C278=1,A278,"")</f>
        <v/>
      </c>
      <c r="I278" s="13" t="n">
        <f aca="false">IF(C278=0,A278,"")</f>
        <v>4</v>
      </c>
    </row>
    <row r="279" customFormat="false" ht="15" hidden="false" customHeight="false" outlineLevel="0" collapsed="false">
      <c r="A279" s="13" t="n">
        <v>3</v>
      </c>
      <c r="B279" s="13" t="n">
        <v>59</v>
      </c>
      <c r="C279" s="13" t="n">
        <v>0</v>
      </c>
      <c r="D279" s="13" t="n">
        <v>1</v>
      </c>
      <c r="E279" s="13" t="n">
        <v>1</v>
      </c>
      <c r="F279" s="13" t="n">
        <v>1</v>
      </c>
      <c r="G279" s="13" t="n">
        <v>1</v>
      </c>
      <c r="H279" s="13" t="str">
        <f aca="false">IF(C279=1,A279,"")</f>
        <v/>
      </c>
      <c r="I279" s="13" t="n">
        <f aca="false">IF(C279=0,A279,"")</f>
        <v>3</v>
      </c>
    </row>
    <row r="280" customFormat="false" ht="15" hidden="false" customHeight="false" outlineLevel="0" collapsed="false">
      <c r="A280" s="13" t="n">
        <v>4</v>
      </c>
      <c r="B280" s="13" t="n">
        <v>64</v>
      </c>
      <c r="C280" s="13" t="n">
        <v>1</v>
      </c>
      <c r="D280" s="13" t="n">
        <v>0</v>
      </c>
      <c r="E280" s="13" t="n">
        <v>1</v>
      </c>
      <c r="F280" s="13" t="n">
        <v>1</v>
      </c>
      <c r="G280" s="13" t="n">
        <v>1</v>
      </c>
      <c r="H280" s="13" t="n">
        <f aca="false">IF(C280=1,A280,"")</f>
        <v>4</v>
      </c>
      <c r="I280" s="13" t="str">
        <f aca="false">IF(C280=0,A280,"")</f>
        <v/>
      </c>
    </row>
    <row r="281" customFormat="false" ht="15" hidden="false" customHeight="false" outlineLevel="0" collapsed="false">
      <c r="A281" s="13" t="n">
        <v>4</v>
      </c>
      <c r="B281" s="13" t="n">
        <v>34</v>
      </c>
      <c r="C281" s="13" t="n">
        <v>0</v>
      </c>
      <c r="D281" s="13" t="n">
        <v>0</v>
      </c>
      <c r="E281" s="13" t="n">
        <v>0</v>
      </c>
      <c r="F281" s="13" t="n">
        <v>1</v>
      </c>
      <c r="G281" s="13" t="n">
        <v>1</v>
      </c>
      <c r="H281" s="13" t="str">
        <f aca="false">IF(C281=1,A281,"")</f>
        <v/>
      </c>
      <c r="I281" s="13" t="n">
        <f aca="false">IF(C281=0,A281,"")</f>
        <v>4</v>
      </c>
    </row>
    <row r="282" customFormat="false" ht="15" hidden="false" customHeight="false" outlineLevel="0" collapsed="false">
      <c r="A282" s="13" t="n">
        <v>4</v>
      </c>
      <c r="B282" s="13" t="n">
        <v>47</v>
      </c>
      <c r="C282" s="13" t="n">
        <v>0</v>
      </c>
      <c r="D282" s="13" t="n">
        <v>0</v>
      </c>
      <c r="E282" s="13" t="n">
        <v>0</v>
      </c>
      <c r="F282" s="13" t="n">
        <v>0</v>
      </c>
      <c r="G282" s="13" t="n">
        <v>1</v>
      </c>
      <c r="H282" s="13" t="str">
        <f aca="false">IF(C282=1,A282,"")</f>
        <v/>
      </c>
      <c r="I282" s="13" t="n">
        <f aca="false">IF(C282=0,A282,"")</f>
        <v>4</v>
      </c>
    </row>
    <row r="283" customFormat="false" ht="15" hidden="false" customHeight="false" outlineLevel="0" collapsed="false">
      <c r="A283" s="13" t="n">
        <v>3</v>
      </c>
      <c r="B283" s="13" t="n">
        <v>61</v>
      </c>
      <c r="C283" s="13" t="n">
        <v>1</v>
      </c>
      <c r="D283" s="13" t="n">
        <v>0</v>
      </c>
      <c r="E283" s="13" t="n">
        <v>0</v>
      </c>
      <c r="F283" s="13" t="n">
        <v>1</v>
      </c>
      <c r="G283" s="13" t="n">
        <v>1</v>
      </c>
      <c r="H283" s="13" t="n">
        <f aca="false">IF(C283=1,A283,"")</f>
        <v>3</v>
      </c>
      <c r="I283" s="13" t="str">
        <f aca="false">IF(C283=0,A283,"")</f>
        <v/>
      </c>
    </row>
    <row r="284" customFormat="false" ht="15" hidden="false" customHeight="false" outlineLevel="0" collapsed="false">
      <c r="A284" s="13" t="n">
        <v>3</v>
      </c>
      <c r="B284" s="13" t="n">
        <v>58</v>
      </c>
      <c r="C284" s="13" t="n">
        <v>0</v>
      </c>
      <c r="D284" s="13" t="n">
        <v>0</v>
      </c>
      <c r="E284" s="13" t="n">
        <v>0</v>
      </c>
      <c r="F284" s="13" t="n">
        <v>1</v>
      </c>
      <c r="G284" s="13" t="n">
        <v>0</v>
      </c>
      <c r="H284" s="13" t="str">
        <f aca="false">IF(C284=1,A284,"")</f>
        <v/>
      </c>
      <c r="I284" s="13" t="n">
        <f aca="false">IF(C284=0,A284,"")</f>
        <v>3</v>
      </c>
    </row>
    <row r="285" customFormat="false" ht="15" hidden="false" customHeight="false" outlineLevel="0" collapsed="false">
      <c r="A285" s="13" t="n">
        <v>4</v>
      </c>
      <c r="B285" s="13" t="n">
        <v>45</v>
      </c>
      <c r="C285" s="13" t="n">
        <v>0</v>
      </c>
      <c r="D285" s="13" t="n">
        <v>2</v>
      </c>
      <c r="E285" s="13" t="n">
        <v>1</v>
      </c>
      <c r="F285" s="13" t="n">
        <v>0</v>
      </c>
      <c r="G285" s="13" t="n">
        <v>1</v>
      </c>
      <c r="H285" s="13" t="str">
        <f aca="false">IF(C285=1,A285,"")</f>
        <v/>
      </c>
      <c r="I285" s="13" t="n">
        <f aca="false">IF(C285=0,A285,"")</f>
        <v>4</v>
      </c>
    </row>
    <row r="286" customFormat="false" ht="15" hidden="false" customHeight="false" outlineLevel="0" collapsed="false">
      <c r="A286" s="13" t="n">
        <v>4</v>
      </c>
      <c r="B286" s="13" t="n">
        <v>41</v>
      </c>
      <c r="C286" s="13" t="n">
        <v>0</v>
      </c>
      <c r="D286" s="13" t="n">
        <v>3</v>
      </c>
      <c r="E286" s="13" t="n">
        <v>0</v>
      </c>
      <c r="F286" s="13" t="n">
        <v>1</v>
      </c>
      <c r="G286" s="13" t="n">
        <v>1</v>
      </c>
      <c r="H286" s="13" t="str">
        <f aca="false">IF(C286=1,A286,"")</f>
        <v/>
      </c>
      <c r="I286" s="13" t="n">
        <f aca="false">IF(C286=0,A286,"")</f>
        <v>4</v>
      </c>
    </row>
    <row r="287" customFormat="false" ht="15" hidden="false" customHeight="false" outlineLevel="0" collapsed="false">
      <c r="A287" s="13" t="n">
        <v>3</v>
      </c>
      <c r="B287" s="13" t="n">
        <v>37</v>
      </c>
      <c r="C287" s="13" t="n">
        <v>0</v>
      </c>
      <c r="D287" s="13" t="n">
        <v>0</v>
      </c>
      <c r="E287" s="13" t="n">
        <v>1</v>
      </c>
      <c r="F287" s="13" t="n">
        <v>1</v>
      </c>
      <c r="G287" s="13" t="n">
        <v>0</v>
      </c>
      <c r="H287" s="13" t="str">
        <f aca="false">IF(C287=1,A287,"")</f>
        <v/>
      </c>
      <c r="I287" s="13" t="n">
        <f aca="false">IF(C287=0,A287,"")</f>
        <v>3</v>
      </c>
    </row>
    <row r="288" customFormat="false" ht="15" hidden="false" customHeight="false" outlineLevel="0" collapsed="false">
      <c r="A288" s="13" t="n">
        <v>4</v>
      </c>
      <c r="B288" s="13" t="n">
        <v>28</v>
      </c>
      <c r="C288" s="13" t="n">
        <v>0</v>
      </c>
      <c r="D288" s="13" t="n">
        <v>1</v>
      </c>
      <c r="E288" s="13" t="n">
        <v>1</v>
      </c>
      <c r="F288" s="13" t="n">
        <v>1</v>
      </c>
      <c r="G288" s="13" t="n">
        <v>1</v>
      </c>
      <c r="H288" s="13" t="str">
        <f aca="false">IF(C288=1,A288,"")</f>
        <v/>
      </c>
      <c r="I288" s="13" t="n">
        <f aca="false">IF(C288=0,A288,"")</f>
        <v>4</v>
      </c>
    </row>
    <row r="289" customFormat="false" ht="15" hidden="false" customHeight="false" outlineLevel="0" collapsed="false">
      <c r="A289" s="13" t="n">
        <v>4</v>
      </c>
      <c r="B289" s="13" t="n">
        <v>25</v>
      </c>
      <c r="C289" s="13" t="n">
        <v>0</v>
      </c>
      <c r="D289" s="13" t="n">
        <v>0</v>
      </c>
      <c r="E289" s="13" t="n">
        <v>1</v>
      </c>
      <c r="F289" s="13" t="n">
        <v>0</v>
      </c>
      <c r="G289" s="13" t="n">
        <v>1</v>
      </c>
      <c r="H289" s="13" t="str">
        <f aca="false">IF(C289=1,A289,"")</f>
        <v/>
      </c>
      <c r="I289" s="13" t="n">
        <f aca="false">IF(C289=0,A289,"")</f>
        <v>4</v>
      </c>
    </row>
    <row r="290" customFormat="false" ht="15" hidden="false" customHeight="false" outlineLevel="0" collapsed="false">
      <c r="A290" s="13" t="n">
        <v>5</v>
      </c>
      <c r="B290" s="13" t="n">
        <v>54</v>
      </c>
      <c r="C290" s="13" t="n">
        <v>0</v>
      </c>
      <c r="D290" s="13" t="n">
        <v>0</v>
      </c>
      <c r="E290" s="13" t="n">
        <v>1</v>
      </c>
      <c r="F290" s="13" t="n">
        <v>1</v>
      </c>
      <c r="G290" s="13" t="n">
        <v>1</v>
      </c>
      <c r="H290" s="13" t="str">
        <f aca="false">IF(C290=1,A290,"")</f>
        <v/>
      </c>
      <c r="I290" s="13" t="n">
        <f aca="false">IF(C290=0,A290,"")</f>
        <v>5</v>
      </c>
    </row>
    <row r="291" customFormat="false" ht="15" hidden="false" customHeight="false" outlineLevel="0" collapsed="false">
      <c r="A291" s="13" t="n">
        <v>4</v>
      </c>
      <c r="B291" s="13" t="n">
        <v>27</v>
      </c>
      <c r="C291" s="13" t="n">
        <v>0</v>
      </c>
      <c r="D291" s="13" t="n">
        <v>0</v>
      </c>
      <c r="E291" s="13" t="n">
        <v>1</v>
      </c>
      <c r="F291" s="13" t="n">
        <v>1</v>
      </c>
      <c r="G291" s="13" t="n">
        <v>1</v>
      </c>
      <c r="H291" s="13" t="str">
        <f aca="false">IF(C291=1,A291,"")</f>
        <v/>
      </c>
      <c r="I291" s="13" t="n">
        <f aca="false">IF(C291=0,A291,"")</f>
        <v>4</v>
      </c>
    </row>
    <row r="292" customFormat="false" ht="15" hidden="false" customHeight="false" outlineLevel="0" collapsed="false">
      <c r="A292" s="13" t="n">
        <v>4</v>
      </c>
      <c r="B292" s="13" t="n">
        <v>60</v>
      </c>
      <c r="C292" s="13" t="n">
        <v>1</v>
      </c>
      <c r="D292" s="13" t="n">
        <v>0</v>
      </c>
      <c r="E292" s="13" t="n">
        <v>0</v>
      </c>
      <c r="F292" s="13" t="n">
        <v>1</v>
      </c>
      <c r="G292" s="13" t="n">
        <v>0</v>
      </c>
      <c r="H292" s="13" t="n">
        <f aca="false">IF(C292=1,A292,"")</f>
        <v>4</v>
      </c>
      <c r="I292" s="13" t="str">
        <f aca="false">IF(C292=0,A292,"")</f>
        <v/>
      </c>
    </row>
    <row r="293" customFormat="false" ht="15" hidden="false" customHeight="false" outlineLevel="0" collapsed="false">
      <c r="A293" s="13" t="n">
        <v>3</v>
      </c>
      <c r="B293" s="13" t="n">
        <v>60</v>
      </c>
      <c r="C293" s="13" t="n">
        <v>0</v>
      </c>
      <c r="D293" s="13" t="n">
        <v>0</v>
      </c>
      <c r="E293" s="13" t="n">
        <v>0</v>
      </c>
      <c r="F293" s="13" t="n">
        <v>0</v>
      </c>
      <c r="G293" s="13" t="n">
        <v>0</v>
      </c>
      <c r="H293" s="13" t="str">
        <f aca="false">IF(C293=1,A293,"")</f>
        <v/>
      </c>
      <c r="I293" s="13" t="n">
        <f aca="false">IF(C293=0,A293,"")</f>
        <v>3</v>
      </c>
    </row>
    <row r="294" customFormat="false" ht="15" hidden="false" customHeight="false" outlineLevel="0" collapsed="false">
      <c r="A294" s="13" t="n">
        <v>2</v>
      </c>
      <c r="B294" s="13" t="n">
        <v>58</v>
      </c>
      <c r="C294" s="13" t="n">
        <v>0</v>
      </c>
      <c r="D294" s="13" t="n">
        <v>0</v>
      </c>
      <c r="E294" s="13" t="n">
        <v>0</v>
      </c>
      <c r="F294" s="13" t="n">
        <v>1</v>
      </c>
      <c r="G294" s="13" t="n">
        <v>0</v>
      </c>
      <c r="H294" s="13" t="str">
        <f aca="false">IF(C294=1,A294,"")</f>
        <v/>
      </c>
      <c r="I294" s="13" t="n">
        <f aca="false">IF(C294=0,A294,"")</f>
        <v>2</v>
      </c>
    </row>
    <row r="295" customFormat="false" ht="15" hidden="false" customHeight="false" outlineLevel="0" collapsed="false">
      <c r="A295" s="13" t="n">
        <v>4</v>
      </c>
      <c r="B295" s="13" t="n">
        <v>61</v>
      </c>
      <c r="C295" s="13" t="n">
        <v>0</v>
      </c>
      <c r="D295" s="13" t="n">
        <v>0</v>
      </c>
      <c r="E295" s="13" t="n">
        <v>1</v>
      </c>
      <c r="F295" s="13" t="n">
        <v>0</v>
      </c>
      <c r="G295" s="13" t="n">
        <v>1</v>
      </c>
      <c r="H295" s="13" t="str">
        <f aca="false">IF(C295=1,A295,"")</f>
        <v/>
      </c>
      <c r="I295" s="13" t="n">
        <f aca="false">IF(C295=0,A295,"")</f>
        <v>4</v>
      </c>
    </row>
    <row r="296" customFormat="false" ht="15" hidden="false" customHeight="false" outlineLevel="0" collapsed="false">
      <c r="A296" s="13" t="n">
        <v>5</v>
      </c>
      <c r="B296" s="13" t="n">
        <v>62</v>
      </c>
      <c r="C296" s="13" t="n">
        <v>1</v>
      </c>
      <c r="D296" s="13" t="n">
        <v>1</v>
      </c>
      <c r="E296" s="13" t="n">
        <v>1</v>
      </c>
      <c r="F296" s="13" t="n">
        <v>1</v>
      </c>
      <c r="G296" s="13" t="n">
        <v>1</v>
      </c>
      <c r="H296" s="13" t="n">
        <f aca="false">IF(C296=1,A296,"")</f>
        <v>5</v>
      </c>
      <c r="I296" s="13" t="str">
        <f aca="false">IF(C296=0,A296,"")</f>
        <v/>
      </c>
    </row>
    <row r="297" customFormat="false" ht="15" hidden="false" customHeight="false" outlineLevel="0" collapsed="false">
      <c r="A297" s="13" t="n">
        <v>4</v>
      </c>
      <c r="B297" s="13" t="n">
        <v>57</v>
      </c>
      <c r="C297" s="13" t="n">
        <v>0</v>
      </c>
      <c r="D297" s="13" t="n">
        <v>0</v>
      </c>
      <c r="E297" s="13" t="n">
        <v>0</v>
      </c>
      <c r="F297" s="13" t="n">
        <v>0</v>
      </c>
      <c r="G297" s="13" t="n">
        <v>0</v>
      </c>
      <c r="H297" s="13" t="str">
        <f aca="false">IF(C297=1,A297,"")</f>
        <v/>
      </c>
      <c r="I297" s="13" t="n">
        <f aca="false">IF(C297=0,A297,"")</f>
        <v>4</v>
      </c>
    </row>
    <row r="298" customFormat="false" ht="15" hidden="false" customHeight="false" outlineLevel="0" collapsed="false">
      <c r="A298" s="13" t="n">
        <v>5</v>
      </c>
      <c r="B298" s="13" t="n">
        <v>36</v>
      </c>
      <c r="C298" s="13" t="n">
        <v>0</v>
      </c>
      <c r="D298" s="13" t="n">
        <v>2</v>
      </c>
      <c r="E298" s="13" t="n">
        <v>1</v>
      </c>
      <c r="F298" s="13" t="n">
        <v>0</v>
      </c>
      <c r="G298" s="13" t="n">
        <v>1</v>
      </c>
      <c r="H298" s="13" t="str">
        <f aca="false">IF(C298=1,A298,"")</f>
        <v/>
      </c>
      <c r="I298" s="13" t="n">
        <f aca="false">IF(C298=0,A298,"")</f>
        <v>5</v>
      </c>
    </row>
    <row r="299" customFormat="false" ht="15" hidden="false" customHeight="false" outlineLevel="0" collapsed="false">
      <c r="A299" s="13" t="n">
        <v>5</v>
      </c>
      <c r="B299" s="13" t="n">
        <v>35</v>
      </c>
      <c r="C299" s="13" t="n">
        <v>1</v>
      </c>
      <c r="D299" s="13" t="n">
        <v>4</v>
      </c>
      <c r="E299" s="13" t="n">
        <v>1</v>
      </c>
      <c r="F299" s="13" t="n">
        <v>1</v>
      </c>
      <c r="G299" s="13" t="n">
        <v>1</v>
      </c>
      <c r="H299" s="13" t="n">
        <f aca="false">IF(C299=1,A299,"")</f>
        <v>5</v>
      </c>
      <c r="I299" s="13" t="str">
        <f aca="false">IF(C299=0,A299,"")</f>
        <v/>
      </c>
    </row>
    <row r="300" customFormat="false" ht="15" hidden="false" customHeight="false" outlineLevel="0" collapsed="false">
      <c r="A300" s="13" t="n">
        <v>4</v>
      </c>
      <c r="B300" s="13" t="n">
        <v>38</v>
      </c>
      <c r="C300" s="13" t="n">
        <v>0</v>
      </c>
      <c r="D300" s="13" t="n">
        <v>1</v>
      </c>
      <c r="E300" s="13" t="n">
        <v>1</v>
      </c>
      <c r="F300" s="13" t="n">
        <v>1</v>
      </c>
      <c r="G300" s="13" t="n">
        <v>1</v>
      </c>
      <c r="H300" s="13" t="str">
        <f aca="false">IF(C300=1,A300,"")</f>
        <v/>
      </c>
      <c r="I300" s="13" t="n">
        <f aca="false">IF(C300=0,A300,"")</f>
        <v>4</v>
      </c>
    </row>
    <row r="301" customFormat="false" ht="15" hidden="false" customHeight="false" outlineLevel="0" collapsed="false">
      <c r="A301" s="13" t="n">
        <v>4</v>
      </c>
      <c r="B301" s="13" t="n">
        <v>50</v>
      </c>
      <c r="C301" s="13" t="n">
        <v>0</v>
      </c>
      <c r="D301" s="13" t="n">
        <v>1</v>
      </c>
      <c r="E301" s="13" t="n">
        <v>1</v>
      </c>
      <c r="F301" s="13" t="n">
        <v>1</v>
      </c>
      <c r="G301" s="13" t="n">
        <v>1</v>
      </c>
      <c r="H301" s="13" t="str">
        <f aca="false">IF(C301=1,A301,"")</f>
        <v/>
      </c>
      <c r="I301" s="13" t="n">
        <f aca="false">IF(C301=0,A301,"")</f>
        <v>4</v>
      </c>
    </row>
    <row r="302" customFormat="false" ht="15" hidden="false" customHeight="false" outlineLevel="0" collapsed="false">
      <c r="A302" s="13" t="n">
        <v>3</v>
      </c>
      <c r="B302" s="13" t="n">
        <v>60</v>
      </c>
      <c r="C302" s="13" t="n">
        <v>0</v>
      </c>
      <c r="D302" s="13" t="n">
        <v>0</v>
      </c>
      <c r="E302" s="13" t="n">
        <v>0</v>
      </c>
      <c r="F302" s="13" t="n">
        <v>0</v>
      </c>
      <c r="G302" s="13" t="n">
        <v>0</v>
      </c>
      <c r="H302" s="13" t="str">
        <f aca="false">IF(C302=1,A302,"")</f>
        <v/>
      </c>
      <c r="I302" s="13" t="n">
        <f aca="false">IF(C302=0,A302,"")</f>
        <v>3</v>
      </c>
    </row>
    <row r="303" customFormat="false" ht="15" hidden="false" customHeight="false" outlineLevel="0" collapsed="false">
      <c r="A303" s="13" t="n">
        <v>2</v>
      </c>
      <c r="B303" s="13" t="n">
        <v>62</v>
      </c>
      <c r="C303" s="13" t="n">
        <v>1</v>
      </c>
      <c r="D303" s="13" t="n">
        <v>1</v>
      </c>
      <c r="E303" s="13" t="n">
        <v>0</v>
      </c>
      <c r="F303" s="13" t="n">
        <v>1</v>
      </c>
      <c r="G303" s="13" t="n">
        <v>0</v>
      </c>
      <c r="H303" s="13" t="n">
        <f aca="false">IF(C303=1,A303,"")</f>
        <v>2</v>
      </c>
      <c r="I303" s="13" t="str">
        <f aca="false">IF(C303=0,A303,"")</f>
        <v/>
      </c>
    </row>
    <row r="304" customFormat="false" ht="15" hidden="false" customHeight="false" outlineLevel="0" collapsed="false">
      <c r="A304" s="13" t="n">
        <v>4</v>
      </c>
      <c r="B304" s="13" t="n">
        <v>31</v>
      </c>
      <c r="C304" s="13" t="n">
        <v>0</v>
      </c>
      <c r="D304" s="13" t="n">
        <v>0</v>
      </c>
      <c r="E304" s="13" t="n">
        <v>0</v>
      </c>
      <c r="F304" s="13" t="n">
        <v>1</v>
      </c>
      <c r="G304" s="13" t="n">
        <v>1</v>
      </c>
      <c r="H304" s="13" t="str">
        <f aca="false">IF(C304=1,A304,"")</f>
        <v/>
      </c>
      <c r="I304" s="13" t="n">
        <f aca="false">IF(C304=0,A304,"")</f>
        <v>4</v>
      </c>
    </row>
    <row r="305" customFormat="false" ht="15" hidden="false" customHeight="false" outlineLevel="0" collapsed="false">
      <c r="A305" s="13" t="n">
        <v>3</v>
      </c>
      <c r="B305" s="13" t="n">
        <v>62</v>
      </c>
      <c r="C305" s="13" t="n">
        <v>1</v>
      </c>
      <c r="D305" s="13" t="n">
        <v>0</v>
      </c>
      <c r="E305" s="13" t="n">
        <v>0</v>
      </c>
      <c r="F305" s="13" t="n">
        <v>0</v>
      </c>
      <c r="G305" s="13" t="n">
        <v>0</v>
      </c>
      <c r="H305" s="13" t="n">
        <f aca="false">IF(C305=1,A305,"")</f>
        <v>3</v>
      </c>
      <c r="I305" s="13" t="str">
        <f aca="false">IF(C305=0,A305,"")</f>
        <v/>
      </c>
    </row>
    <row r="306" customFormat="false" ht="15" hidden="false" customHeight="false" outlineLevel="0" collapsed="false">
      <c r="A306" s="13" t="n">
        <v>2</v>
      </c>
      <c r="B306" s="13" t="n">
        <v>40</v>
      </c>
      <c r="C306" s="13" t="n">
        <v>0</v>
      </c>
      <c r="D306" s="13" t="n">
        <v>1</v>
      </c>
      <c r="E306" s="13" t="n">
        <v>0</v>
      </c>
      <c r="F306" s="13" t="n">
        <v>1</v>
      </c>
      <c r="G306" s="13" t="n">
        <v>0</v>
      </c>
      <c r="H306" s="13" t="str">
        <f aca="false">IF(C306=1,A306,"")</f>
        <v/>
      </c>
      <c r="I306" s="13" t="n">
        <f aca="false">IF(C306=0,A306,"")</f>
        <v>2</v>
      </c>
    </row>
    <row r="307" customFormat="false" ht="15" hidden="false" customHeight="false" outlineLevel="0" collapsed="false">
      <c r="A307" s="13" t="n">
        <v>4</v>
      </c>
      <c r="B307" s="13" t="n">
        <v>50</v>
      </c>
      <c r="C307" s="13" t="n">
        <v>1</v>
      </c>
      <c r="D307" s="13" t="n">
        <v>0</v>
      </c>
      <c r="E307" s="13" t="n">
        <v>0</v>
      </c>
      <c r="F307" s="13" t="n">
        <v>1</v>
      </c>
      <c r="G307" s="13" t="n">
        <v>0</v>
      </c>
      <c r="H307" s="13" t="n">
        <f aca="false">IF(C307=1,A307,"")</f>
        <v>4</v>
      </c>
      <c r="I307" s="13" t="str">
        <f aca="false">IF(C307=0,A307,"")</f>
        <v/>
      </c>
    </row>
    <row r="308" customFormat="false" ht="15" hidden="false" customHeight="false" outlineLevel="0" collapsed="false">
      <c r="A308" s="13" t="n">
        <v>4</v>
      </c>
      <c r="B308" s="13" t="n">
        <v>47</v>
      </c>
      <c r="C308" s="13" t="n">
        <v>1</v>
      </c>
      <c r="D308" s="13" t="n">
        <v>2</v>
      </c>
      <c r="E308" s="13" t="n">
        <v>1</v>
      </c>
      <c r="F308" s="13" t="n">
        <v>1</v>
      </c>
      <c r="G308" s="13" t="n">
        <v>0</v>
      </c>
      <c r="H308" s="13" t="n">
        <f aca="false">IF(C308=1,A308,"")</f>
        <v>4</v>
      </c>
      <c r="I308" s="13" t="str">
        <f aca="false">IF(C308=0,A308,"")</f>
        <v/>
      </c>
    </row>
    <row r="309" customFormat="false" ht="15" hidden="false" customHeight="false" outlineLevel="0" collapsed="false">
      <c r="A309" s="13" t="n">
        <v>4</v>
      </c>
      <c r="B309" s="13" t="n">
        <v>54</v>
      </c>
      <c r="C309" s="13" t="n">
        <v>0</v>
      </c>
      <c r="D309" s="13" t="n">
        <v>0</v>
      </c>
      <c r="E309" s="13" t="n">
        <v>1</v>
      </c>
      <c r="F309" s="13" t="n">
        <v>0</v>
      </c>
      <c r="G309" s="13" t="n">
        <v>1</v>
      </c>
      <c r="H309" s="13" t="str">
        <f aca="false">IF(C309=1,A309,"")</f>
        <v/>
      </c>
      <c r="I309" s="13" t="n">
        <f aca="false">IF(C309=0,A309,"")</f>
        <v>4</v>
      </c>
    </row>
    <row r="310" customFormat="false" ht="15" hidden="false" customHeight="false" outlineLevel="0" collapsed="false">
      <c r="A310" s="13" t="n">
        <v>4</v>
      </c>
      <c r="B310" s="13" t="n">
        <v>28</v>
      </c>
      <c r="C310" s="13" t="n">
        <v>0</v>
      </c>
      <c r="D310" s="13" t="n">
        <v>0</v>
      </c>
      <c r="E310" s="13" t="n">
        <v>0</v>
      </c>
      <c r="F310" s="13" t="n">
        <v>1</v>
      </c>
      <c r="G310" s="13" t="n">
        <v>1</v>
      </c>
      <c r="H310" s="13" t="str">
        <f aca="false">IF(C310=1,A310,"")</f>
        <v/>
      </c>
      <c r="I310" s="13" t="n">
        <f aca="false">IF(C310=0,A310,"")</f>
        <v>4</v>
      </c>
    </row>
    <row r="311" customFormat="false" ht="15" hidden="false" customHeight="false" outlineLevel="0" collapsed="false">
      <c r="A311" s="13" t="n">
        <v>4</v>
      </c>
      <c r="B311" s="13" t="n">
        <v>63</v>
      </c>
      <c r="C311" s="13" t="n">
        <v>1</v>
      </c>
      <c r="D311" s="13" t="n">
        <v>0</v>
      </c>
      <c r="E311" s="13" t="n">
        <v>1</v>
      </c>
      <c r="F311" s="13" t="n">
        <v>0</v>
      </c>
      <c r="G311" s="13" t="n">
        <v>1</v>
      </c>
      <c r="H311" s="13" t="n">
        <f aca="false">IF(C311=1,A311,"")</f>
        <v>4</v>
      </c>
      <c r="I311" s="13" t="str">
        <f aca="false">IF(C311=0,A311,"")</f>
        <v/>
      </c>
    </row>
    <row r="312" customFormat="false" ht="15" hidden="false" customHeight="false" outlineLevel="0" collapsed="false">
      <c r="A312" s="13" t="n">
        <v>4</v>
      </c>
      <c r="B312" s="13" t="n">
        <v>39</v>
      </c>
      <c r="C312" s="13" t="n">
        <v>0</v>
      </c>
      <c r="D312" s="13" t="n">
        <v>2</v>
      </c>
      <c r="E312" s="13" t="n">
        <v>1</v>
      </c>
      <c r="F312" s="13" t="n">
        <v>1</v>
      </c>
      <c r="G312" s="13" t="n">
        <v>1</v>
      </c>
      <c r="H312" s="13" t="str">
        <f aca="false">IF(C312=1,A312,"")</f>
        <v/>
      </c>
      <c r="I312" s="13" t="n">
        <f aca="false">IF(C312=0,A312,"")</f>
        <v>4</v>
      </c>
    </row>
    <row r="313" customFormat="false" ht="15" hidden="false" customHeight="false" outlineLevel="0" collapsed="false">
      <c r="A313" s="13" t="n">
        <v>2</v>
      </c>
      <c r="B313" s="13" t="n">
        <v>51</v>
      </c>
      <c r="C313" s="13" t="n">
        <v>0</v>
      </c>
      <c r="D313" s="13" t="n">
        <v>0</v>
      </c>
      <c r="E313" s="13" t="n">
        <v>0</v>
      </c>
      <c r="F313" s="13" t="n">
        <v>0</v>
      </c>
      <c r="G313" s="13" t="n">
        <v>0</v>
      </c>
      <c r="H313" s="13" t="str">
        <f aca="false">IF(C313=1,A313,"")</f>
        <v/>
      </c>
      <c r="I313" s="13" t="n">
        <f aca="false">IF(C313=0,A313,"")</f>
        <v>2</v>
      </c>
    </row>
    <row r="314" customFormat="false" ht="15" hidden="false" customHeight="false" outlineLevel="0" collapsed="false">
      <c r="A314" s="13" t="n">
        <v>4</v>
      </c>
      <c r="B314" s="13" t="n">
        <v>45</v>
      </c>
      <c r="C314" s="13" t="n">
        <v>1</v>
      </c>
      <c r="D314" s="13" t="n">
        <v>2</v>
      </c>
      <c r="E314" s="13" t="n">
        <v>0</v>
      </c>
      <c r="F314" s="13" t="n">
        <v>1</v>
      </c>
      <c r="G314" s="13" t="n">
        <v>1</v>
      </c>
      <c r="H314" s="13" t="n">
        <f aca="false">IF(C314=1,A314,"")</f>
        <v>4</v>
      </c>
      <c r="I314" s="13" t="str">
        <f aca="false">IF(C314=0,A314,"")</f>
        <v/>
      </c>
    </row>
    <row r="315" customFormat="false" ht="15" hidden="false" customHeight="false" outlineLevel="0" collapsed="false">
      <c r="A315" s="13" t="n">
        <v>2</v>
      </c>
      <c r="B315" s="13" t="n">
        <v>42</v>
      </c>
      <c r="C315" s="13" t="n">
        <v>0</v>
      </c>
      <c r="D315" s="13" t="n">
        <v>3</v>
      </c>
      <c r="E315" s="13" t="n">
        <v>1</v>
      </c>
      <c r="F315" s="13" t="n">
        <v>1</v>
      </c>
      <c r="G315" s="13" t="n">
        <v>1</v>
      </c>
      <c r="H315" s="13" t="str">
        <f aca="false">IF(C315=1,A315,"")</f>
        <v/>
      </c>
      <c r="I315" s="13" t="n">
        <f aca="false">IF(C315=0,A315,"")</f>
        <v>2</v>
      </c>
    </row>
    <row r="316" customFormat="false" ht="15" hidden="false" customHeight="false" outlineLevel="0" collapsed="false">
      <c r="A316" s="13" t="n">
        <v>5</v>
      </c>
      <c r="B316" s="13" t="n">
        <v>31</v>
      </c>
      <c r="C316" s="13" t="n">
        <v>0</v>
      </c>
      <c r="D316" s="13" t="n">
        <v>0</v>
      </c>
      <c r="E316" s="13" t="n">
        <v>1</v>
      </c>
      <c r="F316" s="13" t="n">
        <v>1</v>
      </c>
      <c r="G316" s="13" t="n">
        <v>1</v>
      </c>
      <c r="H316" s="13" t="str">
        <f aca="false">IF(C316=1,A316,"")</f>
        <v/>
      </c>
      <c r="I316" s="13" t="n">
        <f aca="false">IF(C316=0,A316,"")</f>
        <v>5</v>
      </c>
    </row>
    <row r="317" customFormat="false" ht="15" hidden="false" customHeight="false" outlineLevel="0" collapsed="false">
      <c r="A317" s="13" t="n">
        <v>2</v>
      </c>
      <c r="B317" s="13" t="n">
        <v>62</v>
      </c>
      <c r="C317" s="13" t="n">
        <v>1</v>
      </c>
      <c r="D317" s="13" t="n">
        <v>0</v>
      </c>
      <c r="E317" s="13" t="n">
        <v>0</v>
      </c>
      <c r="F317" s="13" t="n">
        <v>0</v>
      </c>
      <c r="G317" s="13" t="n">
        <v>0</v>
      </c>
      <c r="H317" s="13" t="n">
        <f aca="false">IF(C317=1,A317,"")</f>
        <v>2</v>
      </c>
      <c r="I317" s="13" t="str">
        <f aca="false">IF(C317=0,A317,"")</f>
        <v/>
      </c>
    </row>
    <row r="318" customFormat="false" ht="15" hidden="false" customHeight="false" outlineLevel="0" collapsed="false">
      <c r="A318" s="13" t="n">
        <v>1</v>
      </c>
      <c r="B318" s="13" t="n">
        <v>54</v>
      </c>
      <c r="C318" s="13" t="n">
        <v>0</v>
      </c>
      <c r="D318" s="13" t="n">
        <v>0</v>
      </c>
      <c r="E318" s="13" t="n">
        <v>0</v>
      </c>
      <c r="F318" s="13" t="n">
        <v>0</v>
      </c>
      <c r="G318" s="13" t="n">
        <v>0</v>
      </c>
      <c r="H318" s="13" t="str">
        <f aca="false">IF(C318=1,A318,"")</f>
        <v/>
      </c>
      <c r="I318" s="13" t="n">
        <f aca="false">IF(C318=0,A318,"")</f>
        <v>1</v>
      </c>
    </row>
    <row r="319" customFormat="false" ht="15" hidden="false" customHeight="false" outlineLevel="0" collapsed="false">
      <c r="A319" s="13" t="n">
        <v>4</v>
      </c>
      <c r="B319" s="13" t="n">
        <v>40</v>
      </c>
      <c r="C319" s="13" t="n">
        <v>0</v>
      </c>
      <c r="D319" s="13" t="n">
        <v>0</v>
      </c>
      <c r="E319" s="13" t="n">
        <v>1</v>
      </c>
      <c r="F319" s="13" t="n">
        <v>0</v>
      </c>
      <c r="G319" s="13" t="n">
        <v>1</v>
      </c>
      <c r="H319" s="13" t="str">
        <f aca="false">IF(C319=1,A319,"")</f>
        <v/>
      </c>
      <c r="I319" s="13" t="n">
        <f aca="false">IF(C319=0,A319,"")</f>
        <v>4</v>
      </c>
    </row>
    <row r="320" customFormat="false" ht="15" hidden="false" customHeight="false" outlineLevel="0" collapsed="false">
      <c r="A320" s="13" t="n">
        <v>5</v>
      </c>
      <c r="B320" s="13" t="n">
        <v>44</v>
      </c>
      <c r="C320" s="13" t="n">
        <v>0</v>
      </c>
      <c r="D320" s="13" t="n">
        <v>3</v>
      </c>
      <c r="E320" s="13" t="n">
        <v>1</v>
      </c>
      <c r="F320" s="13" t="n">
        <v>1</v>
      </c>
      <c r="G320" s="13" t="n">
        <v>1</v>
      </c>
      <c r="H320" s="13" t="str">
        <f aca="false">IF(C320=1,A320,"")</f>
        <v/>
      </c>
      <c r="I320" s="13" t="n">
        <f aca="false">IF(C320=0,A320,"")</f>
        <v>5</v>
      </c>
    </row>
    <row r="321" customFormat="false" ht="15" hidden="false" customHeight="false" outlineLevel="0" collapsed="false">
      <c r="A321" s="13" t="n">
        <v>3</v>
      </c>
      <c r="B321" s="13" t="n">
        <v>60</v>
      </c>
      <c r="C321" s="13" t="n">
        <v>0</v>
      </c>
      <c r="D321" s="13" t="n">
        <v>0</v>
      </c>
      <c r="E321" s="13" t="n">
        <v>0</v>
      </c>
      <c r="F321" s="13" t="n">
        <v>1</v>
      </c>
      <c r="G321" s="13" t="n">
        <v>1</v>
      </c>
      <c r="H321" s="13" t="str">
        <f aca="false">IF(C321=1,A321,"")</f>
        <v/>
      </c>
      <c r="I321" s="13" t="n">
        <f aca="false">IF(C321=0,A321,"")</f>
        <v>3</v>
      </c>
    </row>
    <row r="322" customFormat="false" ht="15" hidden="false" customHeight="false" outlineLevel="0" collapsed="false">
      <c r="A322" s="13" t="n">
        <v>4</v>
      </c>
      <c r="B322" s="13" t="n">
        <v>34</v>
      </c>
      <c r="C322" s="13" t="n">
        <v>0</v>
      </c>
      <c r="D322" s="13" t="n">
        <v>1</v>
      </c>
      <c r="E322" s="13" t="n">
        <v>1</v>
      </c>
      <c r="F322" s="13" t="n">
        <v>1</v>
      </c>
      <c r="G322" s="13" t="n">
        <v>0</v>
      </c>
      <c r="H322" s="13" t="str">
        <f aca="false">IF(C322=1,A322,"")</f>
        <v/>
      </c>
      <c r="I322" s="13" t="n">
        <f aca="false">IF(C322=0,A322,"")</f>
        <v>4</v>
      </c>
    </row>
    <row r="323" customFormat="false" ht="15" hidden="false" customHeight="false" outlineLevel="0" collapsed="false">
      <c r="A323" s="13" t="n">
        <v>5</v>
      </c>
      <c r="B323" s="13" t="n">
        <v>39</v>
      </c>
      <c r="C323" s="13" t="n">
        <v>0</v>
      </c>
      <c r="D323" s="13" t="n">
        <v>0</v>
      </c>
      <c r="E323" s="13" t="n">
        <v>1</v>
      </c>
      <c r="F323" s="13" t="n">
        <v>1</v>
      </c>
      <c r="G323" s="13" t="n">
        <v>1</v>
      </c>
      <c r="H323" s="13" t="str">
        <f aca="false">IF(C323=1,A323,"")</f>
        <v/>
      </c>
      <c r="I323" s="13" t="n">
        <f aca="false">IF(C323=0,A323,"")</f>
        <v>5</v>
      </c>
    </row>
    <row r="324" customFormat="false" ht="15" hidden="false" customHeight="false" outlineLevel="0" collapsed="false">
      <c r="A324" s="13" t="n">
        <v>4</v>
      </c>
      <c r="B324" s="13" t="n">
        <v>57</v>
      </c>
      <c r="C324" s="13" t="n">
        <v>1</v>
      </c>
      <c r="D324" s="13" t="n">
        <v>0</v>
      </c>
      <c r="E324" s="13" t="n">
        <v>0</v>
      </c>
      <c r="F324" s="13" t="n">
        <v>1</v>
      </c>
      <c r="G324" s="13" t="n">
        <v>1</v>
      </c>
      <c r="H324" s="13" t="n">
        <f aca="false">IF(C324=1,A324,"")</f>
        <v>4</v>
      </c>
      <c r="I324" s="13" t="str">
        <f aca="false">IF(C324=0,A324,"")</f>
        <v/>
      </c>
    </row>
    <row r="325" customFormat="false" ht="15" hidden="false" customHeight="false" outlineLevel="0" collapsed="false">
      <c r="A325" s="13" t="n">
        <v>4</v>
      </c>
      <c r="B325" s="13" t="n">
        <v>50</v>
      </c>
      <c r="C325" s="13" t="n">
        <v>0</v>
      </c>
      <c r="D325" s="13" t="n">
        <v>1</v>
      </c>
      <c r="E325" s="13" t="n">
        <v>0</v>
      </c>
      <c r="F325" s="13" t="n">
        <v>1</v>
      </c>
      <c r="G325" s="13" t="n">
        <v>0</v>
      </c>
      <c r="H325" s="13" t="str">
        <f aca="false">IF(C325=1,A325,"")</f>
        <v/>
      </c>
      <c r="I325" s="13" t="n">
        <f aca="false">IF(C325=0,A325,"")</f>
        <v>4</v>
      </c>
    </row>
    <row r="326" customFormat="false" ht="15" hidden="false" customHeight="false" outlineLevel="0" collapsed="false">
      <c r="A326" s="13" t="n">
        <v>3</v>
      </c>
      <c r="B326" s="13" t="n">
        <v>52</v>
      </c>
      <c r="C326" s="13" t="n">
        <v>0</v>
      </c>
      <c r="D326" s="13" t="n">
        <v>0</v>
      </c>
      <c r="E326" s="13" t="n">
        <v>0</v>
      </c>
      <c r="F326" s="13" t="n">
        <v>1</v>
      </c>
      <c r="G326" s="13" t="n">
        <v>0</v>
      </c>
      <c r="H326" s="13" t="str">
        <f aca="false">IF(C326=1,A326,"")</f>
        <v/>
      </c>
      <c r="I326" s="13" t="n">
        <f aca="false">IF(C326=0,A326,"")</f>
        <v>3</v>
      </c>
    </row>
    <row r="327" customFormat="false" ht="15" hidden="false" customHeight="false" outlineLevel="0" collapsed="false">
      <c r="A327" s="13" t="n">
        <v>4</v>
      </c>
      <c r="B327" s="13" t="n">
        <v>46</v>
      </c>
      <c r="C327" s="13" t="n">
        <v>0</v>
      </c>
      <c r="D327" s="13" t="n">
        <v>2</v>
      </c>
      <c r="E327" s="13" t="n">
        <v>1</v>
      </c>
      <c r="F327" s="13" t="n">
        <v>1</v>
      </c>
      <c r="G327" s="13" t="n">
        <v>1</v>
      </c>
      <c r="H327" s="13" t="str">
        <f aca="false">IF(C327=1,A327,"")</f>
        <v/>
      </c>
      <c r="I327" s="13" t="n">
        <f aca="false">IF(C327=0,A327,"")</f>
        <v>4</v>
      </c>
    </row>
    <row r="328" customFormat="false" ht="15" hidden="false" customHeight="false" outlineLevel="0" collapsed="false">
      <c r="A328" s="13" t="n">
        <v>3</v>
      </c>
      <c r="B328" s="13" t="n">
        <v>41</v>
      </c>
      <c r="C328" s="13" t="n">
        <v>0</v>
      </c>
      <c r="D328" s="13" t="n">
        <v>2</v>
      </c>
      <c r="E328" s="13" t="n">
        <v>0</v>
      </c>
      <c r="F328" s="13" t="n">
        <v>1</v>
      </c>
      <c r="G328" s="13" t="n">
        <v>0</v>
      </c>
      <c r="H328" s="13" t="str">
        <f aca="false">IF(C328=1,A328,"")</f>
        <v/>
      </c>
      <c r="I328" s="13" t="n">
        <f aca="false">IF(C328=0,A328,"")</f>
        <v>3</v>
      </c>
    </row>
    <row r="329" customFormat="false" ht="15" hidden="false" customHeight="false" outlineLevel="0" collapsed="false">
      <c r="A329" s="13" t="n">
        <v>4</v>
      </c>
      <c r="B329" s="13" t="n">
        <v>54</v>
      </c>
      <c r="C329" s="13" t="n">
        <v>0</v>
      </c>
      <c r="D329" s="13" t="n">
        <v>0</v>
      </c>
      <c r="E329" s="13" t="n">
        <v>1</v>
      </c>
      <c r="F329" s="13" t="n">
        <v>1</v>
      </c>
      <c r="G329" s="13" t="n">
        <v>0</v>
      </c>
      <c r="H329" s="13" t="str">
        <f aca="false">IF(C329=1,A329,"")</f>
        <v/>
      </c>
      <c r="I329" s="13" t="n">
        <f aca="false">IF(C329=0,A329,"")</f>
        <v>4</v>
      </c>
    </row>
    <row r="330" customFormat="false" ht="15" hidden="false" customHeight="false" outlineLevel="0" collapsed="false">
      <c r="A330" s="13" t="n">
        <v>4</v>
      </c>
      <c r="B330" s="13" t="n">
        <v>64</v>
      </c>
      <c r="C330" s="13" t="n">
        <v>0</v>
      </c>
      <c r="D330" s="13" t="n">
        <v>0</v>
      </c>
      <c r="E330" s="13" t="n">
        <v>0</v>
      </c>
      <c r="F330" s="13" t="n">
        <v>0</v>
      </c>
      <c r="G330" s="13" t="n">
        <v>1</v>
      </c>
      <c r="H330" s="13" t="str">
        <f aca="false">IF(C330=1,A330,"")</f>
        <v/>
      </c>
      <c r="I330" s="13" t="n">
        <f aca="false">IF(C330=0,A330,"")</f>
        <v>4</v>
      </c>
    </row>
    <row r="331" customFormat="false" ht="15" hidden="false" customHeight="false" outlineLevel="0" collapsed="false">
      <c r="A331" s="13" t="n">
        <v>4</v>
      </c>
      <c r="B331" s="13" t="n">
        <v>53</v>
      </c>
      <c r="C331" s="13" t="n">
        <v>1</v>
      </c>
      <c r="D331" s="13" t="n">
        <v>1</v>
      </c>
      <c r="E331" s="13" t="n">
        <v>1</v>
      </c>
      <c r="F331" s="13" t="n">
        <v>1</v>
      </c>
      <c r="G331" s="13" t="n">
        <v>0</v>
      </c>
      <c r="H331" s="13" t="n">
        <f aca="false">IF(C331=1,A331,"")</f>
        <v>4</v>
      </c>
      <c r="I331" s="13" t="str">
        <f aca="false">IF(C331=0,A331,"")</f>
        <v/>
      </c>
    </row>
    <row r="332" customFormat="false" ht="15" hidden="false" customHeight="false" outlineLevel="0" collapsed="false">
      <c r="A332" s="13" t="n">
        <v>2</v>
      </c>
      <c r="B332" s="13" t="n">
        <v>60</v>
      </c>
      <c r="C332" s="13" t="n">
        <v>1</v>
      </c>
      <c r="D332" s="13" t="n">
        <v>0</v>
      </c>
      <c r="E332" s="13" t="n">
        <v>0</v>
      </c>
      <c r="F332" s="13" t="n">
        <v>0</v>
      </c>
      <c r="G332" s="13" t="n">
        <v>0</v>
      </c>
      <c r="H332" s="13" t="n">
        <f aca="false">IF(C332=1,A332,"")</f>
        <v>2</v>
      </c>
      <c r="I332" s="13" t="str">
        <f aca="false">IF(C332=0,A332,"")</f>
        <v/>
      </c>
    </row>
    <row r="333" customFormat="false" ht="15" hidden="false" customHeight="false" outlineLevel="0" collapsed="false">
      <c r="A333" s="13" t="n">
        <v>1</v>
      </c>
      <c r="B333" s="13" t="n">
        <v>58</v>
      </c>
      <c r="C333" s="13" t="n">
        <v>1</v>
      </c>
      <c r="D333" s="13" t="n">
        <v>0</v>
      </c>
      <c r="E333" s="13" t="n">
        <v>1</v>
      </c>
      <c r="F333" s="13" t="n">
        <v>0</v>
      </c>
      <c r="G333" s="13" t="n">
        <v>0</v>
      </c>
      <c r="H333" s="13" t="n">
        <f aca="false">IF(C333=1,A333,"")</f>
        <v>1</v>
      </c>
      <c r="I333" s="13" t="str">
        <f aca="false">IF(C333=0,A333,"")</f>
        <v/>
      </c>
    </row>
    <row r="334" customFormat="false" ht="15" hidden="false" customHeight="false" outlineLevel="0" collapsed="false">
      <c r="A334" s="13" t="n">
        <v>4</v>
      </c>
      <c r="B334" s="13" t="n">
        <v>63</v>
      </c>
      <c r="C334" s="13" t="n">
        <v>0</v>
      </c>
      <c r="D334" s="13" t="n">
        <v>0</v>
      </c>
      <c r="E334" s="13" t="n">
        <v>1</v>
      </c>
      <c r="F334" s="13" t="n">
        <v>0</v>
      </c>
      <c r="G334" s="13" t="n">
        <v>1</v>
      </c>
      <c r="H334" s="13" t="str">
        <f aca="false">IF(C334=1,A334,"")</f>
        <v/>
      </c>
      <c r="I334" s="13" t="n">
        <f aca="false">IF(C334=0,A334,"")</f>
        <v>4</v>
      </c>
    </row>
    <row r="335" customFormat="false" ht="15" hidden="false" customHeight="false" outlineLevel="0" collapsed="false">
      <c r="A335" s="13" t="n">
        <v>3</v>
      </c>
      <c r="B335" s="13" t="n">
        <v>32</v>
      </c>
      <c r="C335" s="13" t="n">
        <v>1</v>
      </c>
      <c r="D335" s="13" t="n">
        <v>0</v>
      </c>
      <c r="E335" s="13" t="n">
        <v>1</v>
      </c>
      <c r="F335" s="13" t="n">
        <v>1</v>
      </c>
      <c r="G335" s="13" t="n">
        <v>0</v>
      </c>
      <c r="H335" s="13" t="n">
        <f aca="false">IF(C335=1,A335,"")</f>
        <v>3</v>
      </c>
      <c r="I335" s="13" t="str">
        <f aca="false">IF(C335=0,A335,"")</f>
        <v/>
      </c>
    </row>
    <row r="336" customFormat="false" ht="15" hidden="false" customHeight="false" outlineLevel="0" collapsed="false">
      <c r="A336" s="13" t="n">
        <v>5</v>
      </c>
      <c r="B336" s="13" t="n">
        <v>40</v>
      </c>
      <c r="C336" s="13" t="n">
        <v>0</v>
      </c>
      <c r="D336" s="13" t="n">
        <v>0</v>
      </c>
      <c r="E336" s="13" t="n">
        <v>0</v>
      </c>
      <c r="F336" s="13" t="n">
        <v>0</v>
      </c>
      <c r="G336" s="13" t="n">
        <v>0</v>
      </c>
      <c r="H336" s="13" t="str">
        <f aca="false">IF(C336=1,A336,"")</f>
        <v/>
      </c>
      <c r="I336" s="13" t="n">
        <f aca="false">IF(C336=0,A336,"")</f>
        <v>5</v>
      </c>
    </row>
    <row r="337" customFormat="false" ht="15" hidden="false" customHeight="false" outlineLevel="0" collapsed="false">
      <c r="A337" s="13" t="n">
        <v>4</v>
      </c>
      <c r="B337" s="13" t="n">
        <v>56</v>
      </c>
      <c r="C337" s="13" t="n">
        <v>1</v>
      </c>
      <c r="D337" s="13" t="n">
        <v>0</v>
      </c>
      <c r="E337" s="13" t="n">
        <v>1</v>
      </c>
      <c r="F337" s="13" t="n">
        <v>1</v>
      </c>
      <c r="G337" s="13" t="n">
        <v>1</v>
      </c>
      <c r="H337" s="13" t="n">
        <f aca="false">IF(C337=1,A337,"")</f>
        <v>4</v>
      </c>
      <c r="I337" s="13" t="str">
        <f aca="false">IF(C337=0,A337,"")</f>
        <v/>
      </c>
    </row>
    <row r="338" customFormat="false" ht="15" hidden="false" customHeight="false" outlineLevel="0" collapsed="false">
      <c r="A338" s="13" t="n">
        <v>4</v>
      </c>
      <c r="B338" s="13" t="n">
        <v>31</v>
      </c>
      <c r="C338" s="13" t="n">
        <v>0</v>
      </c>
      <c r="D338" s="13" t="n">
        <v>3</v>
      </c>
      <c r="E338" s="13" t="n">
        <v>0</v>
      </c>
      <c r="F338" s="13" t="n">
        <v>0</v>
      </c>
      <c r="G338" s="13" t="n">
        <v>1</v>
      </c>
      <c r="H338" s="13" t="str">
        <f aca="false">IF(C338=1,A338,"")</f>
        <v/>
      </c>
      <c r="I338" s="13" t="n">
        <f aca="false">IF(C338=0,A338,"")</f>
        <v>4</v>
      </c>
    </row>
    <row r="339" customFormat="false" ht="15" hidden="false" customHeight="false" outlineLevel="0" collapsed="false">
      <c r="A339" s="13" t="n">
        <v>4</v>
      </c>
      <c r="B339" s="13" t="n">
        <v>64</v>
      </c>
      <c r="C339" s="13" t="n">
        <v>1</v>
      </c>
      <c r="D339" s="13" t="n">
        <v>0</v>
      </c>
      <c r="E339" s="13" t="n">
        <v>0</v>
      </c>
      <c r="F339" s="13" t="n">
        <v>1</v>
      </c>
      <c r="G339" s="13" t="n">
        <v>0</v>
      </c>
      <c r="H339" s="13" t="n">
        <f aca="false">IF(C339=1,A339,"")</f>
        <v>4</v>
      </c>
      <c r="I339" s="13" t="str">
        <f aca="false">IF(C339=0,A339,"")</f>
        <v/>
      </c>
    </row>
    <row r="340" customFormat="false" ht="15" hidden="false" customHeight="false" outlineLevel="0" collapsed="false">
      <c r="A340" s="13" t="n">
        <v>3</v>
      </c>
      <c r="B340" s="13" t="n">
        <v>51</v>
      </c>
      <c r="C340" s="13" t="n">
        <v>0</v>
      </c>
      <c r="D340" s="13" t="n">
        <v>2</v>
      </c>
      <c r="E340" s="13" t="n">
        <v>0</v>
      </c>
      <c r="F340" s="13" t="n">
        <v>1</v>
      </c>
      <c r="G340" s="13" t="n">
        <v>1</v>
      </c>
      <c r="H340" s="13" t="str">
        <f aca="false">IF(C340=1,A340,"")</f>
        <v/>
      </c>
      <c r="I340" s="13" t="n">
        <f aca="false">IF(C340=0,A340,"")</f>
        <v>3</v>
      </c>
    </row>
    <row r="341" customFormat="false" ht="15" hidden="false" customHeight="false" outlineLevel="0" collapsed="false">
      <c r="A341" s="13" t="n">
        <v>3</v>
      </c>
      <c r="B341" s="13" t="n">
        <v>52</v>
      </c>
      <c r="C341" s="13" t="n">
        <v>1</v>
      </c>
      <c r="D341" s="13" t="n">
        <v>0</v>
      </c>
      <c r="E341" s="13" t="n">
        <v>1</v>
      </c>
      <c r="F341" s="13" t="n">
        <v>0</v>
      </c>
      <c r="G341" s="13" t="n">
        <v>0</v>
      </c>
      <c r="H341" s="13" t="n">
        <f aca="false">IF(C341=1,A341,"")</f>
        <v>3</v>
      </c>
      <c r="I341" s="13" t="str">
        <f aca="false">IF(C341=0,A341,"")</f>
        <v/>
      </c>
    </row>
    <row r="342" customFormat="false" ht="15" hidden="false" customHeight="false" outlineLevel="0" collapsed="false">
      <c r="A342" s="13" t="n">
        <v>4</v>
      </c>
      <c r="B342" s="13" t="n">
        <v>42</v>
      </c>
      <c r="C342" s="13" t="n">
        <v>1</v>
      </c>
      <c r="D342" s="13" t="n">
        <v>2</v>
      </c>
      <c r="E342" s="13" t="n">
        <v>1</v>
      </c>
      <c r="F342" s="13" t="n">
        <v>1</v>
      </c>
      <c r="G342" s="13" t="n">
        <v>1</v>
      </c>
      <c r="H342" s="13" t="n">
        <f aca="false">IF(C342=1,A342,"")</f>
        <v>4</v>
      </c>
      <c r="I342" s="13" t="str">
        <f aca="false">IF(C342=0,A342,"")</f>
        <v/>
      </c>
    </row>
    <row r="343" customFormat="false" ht="15" hidden="false" customHeight="false" outlineLevel="0" collapsed="false">
      <c r="A343" s="13" t="n">
        <v>3</v>
      </c>
      <c r="B343" s="13" t="n">
        <v>54</v>
      </c>
      <c r="C343" s="13" t="n">
        <v>0</v>
      </c>
      <c r="D343" s="13" t="n">
        <v>0</v>
      </c>
      <c r="E343" s="13" t="n">
        <v>1</v>
      </c>
      <c r="F343" s="13" t="n">
        <v>0</v>
      </c>
      <c r="G343" s="13" t="n">
        <v>1</v>
      </c>
      <c r="H343" s="13" t="str">
        <f aca="false">IF(C343=1,A343,"")</f>
        <v/>
      </c>
      <c r="I343" s="13" t="n">
        <f aca="false">IF(C343=0,A343,"")</f>
        <v>3</v>
      </c>
    </row>
    <row r="344" customFormat="false" ht="15" hidden="false" customHeight="false" outlineLevel="0" collapsed="false">
      <c r="A344" s="13" t="n">
        <v>3</v>
      </c>
      <c r="B344" s="13" t="n">
        <v>49</v>
      </c>
      <c r="C344" s="13" t="n">
        <v>0</v>
      </c>
      <c r="D344" s="13" t="n">
        <v>0</v>
      </c>
      <c r="E344" s="13" t="n">
        <v>1</v>
      </c>
      <c r="F344" s="13" t="n">
        <v>1</v>
      </c>
      <c r="G344" s="13" t="n">
        <v>0</v>
      </c>
      <c r="H344" s="13" t="str">
        <f aca="false">IF(C344=1,A344,"")</f>
        <v/>
      </c>
      <c r="I344" s="13" t="n">
        <f aca="false">IF(C344=0,A344,"")</f>
        <v>3</v>
      </c>
    </row>
    <row r="345" customFormat="false" ht="15" hidden="false" customHeight="false" outlineLevel="0" collapsed="false">
      <c r="A345" s="13" t="n">
        <v>2</v>
      </c>
      <c r="B345" s="13" t="n">
        <v>45</v>
      </c>
      <c r="C345" s="13" t="n">
        <v>1</v>
      </c>
      <c r="D345" s="13" t="n">
        <v>0</v>
      </c>
      <c r="E345" s="13" t="n">
        <v>1</v>
      </c>
      <c r="F345" s="13" t="n">
        <v>0</v>
      </c>
      <c r="G345" s="13" t="n">
        <v>0</v>
      </c>
      <c r="H345" s="13" t="n">
        <f aca="false">IF(C345=1,A345,"")</f>
        <v>2</v>
      </c>
      <c r="I345" s="13" t="str">
        <f aca="false">IF(C345=0,A345,"")</f>
        <v/>
      </c>
    </row>
    <row r="346" customFormat="false" ht="15" hidden="false" customHeight="false" outlineLevel="0" collapsed="false">
      <c r="A346" s="13" t="n">
        <v>2</v>
      </c>
      <c r="B346" s="13" t="n">
        <v>34</v>
      </c>
      <c r="C346" s="13" t="n">
        <v>1</v>
      </c>
      <c r="D346" s="13" t="n">
        <v>1</v>
      </c>
      <c r="E346" s="13" t="n">
        <v>1</v>
      </c>
      <c r="F346" s="13" t="n">
        <v>1</v>
      </c>
      <c r="G346" s="13" t="n">
        <v>0</v>
      </c>
      <c r="H346" s="13" t="n">
        <f aca="false">IF(C346=1,A346,"")</f>
        <v>2</v>
      </c>
      <c r="I346" s="13" t="str">
        <f aca="false">IF(C346=0,A346,"")</f>
        <v/>
      </c>
    </row>
    <row r="347" customFormat="false" ht="15" hidden="false" customHeight="false" outlineLevel="0" collapsed="false">
      <c r="A347" s="13" t="n">
        <v>4</v>
      </c>
      <c r="B347" s="13" t="n">
        <v>32</v>
      </c>
      <c r="C347" s="13" t="n">
        <v>0</v>
      </c>
      <c r="D347" s="13" t="n">
        <v>0</v>
      </c>
      <c r="E347" s="13" t="n">
        <v>1</v>
      </c>
      <c r="F347" s="13" t="n">
        <v>1</v>
      </c>
      <c r="G347" s="13" t="n">
        <v>1</v>
      </c>
      <c r="H347" s="13" t="str">
        <f aca="false">IF(C347=1,A347,"")</f>
        <v/>
      </c>
      <c r="I347" s="13" t="n">
        <f aca="false">IF(C347=0,A347,"")</f>
        <v>4</v>
      </c>
    </row>
    <row r="348" customFormat="false" ht="15" hidden="false" customHeight="false" outlineLevel="0" collapsed="false">
      <c r="A348" s="13" t="n">
        <v>4</v>
      </c>
      <c r="B348" s="13" t="n">
        <v>36</v>
      </c>
      <c r="C348" s="13" t="n">
        <v>0</v>
      </c>
      <c r="D348" s="13" t="n">
        <v>2</v>
      </c>
      <c r="E348" s="13" t="n">
        <v>1</v>
      </c>
      <c r="F348" s="13" t="n">
        <v>1</v>
      </c>
      <c r="G348" s="13" t="n">
        <v>1</v>
      </c>
      <c r="H348" s="13" t="str">
        <f aca="false">IF(C348=1,A348,"")</f>
        <v/>
      </c>
      <c r="I348" s="13" t="n">
        <f aca="false">IF(C348=0,A348,"")</f>
        <v>4</v>
      </c>
    </row>
    <row r="349" customFormat="false" ht="15" hidden="false" customHeight="false" outlineLevel="0" collapsed="false">
      <c r="A349" s="13" t="n">
        <v>4</v>
      </c>
      <c r="B349" s="13" t="n">
        <v>63</v>
      </c>
      <c r="C349" s="13" t="n">
        <v>1</v>
      </c>
      <c r="D349" s="13" t="n">
        <v>0</v>
      </c>
      <c r="E349" s="13" t="n">
        <v>1</v>
      </c>
      <c r="F349" s="13" t="n">
        <v>0</v>
      </c>
      <c r="G349" s="13" t="n">
        <v>0</v>
      </c>
      <c r="H349" s="13" t="n">
        <f aca="false">IF(C349=1,A349,"")</f>
        <v>4</v>
      </c>
      <c r="I349" s="13" t="str">
        <f aca="false">IF(C349=0,A349,"")</f>
        <v/>
      </c>
    </row>
    <row r="350" customFormat="false" ht="15" hidden="false" customHeight="false" outlineLevel="0" collapsed="false">
      <c r="A350" s="13" t="n">
        <v>4</v>
      </c>
      <c r="B350" s="13" t="n">
        <v>54</v>
      </c>
      <c r="C350" s="13" t="n">
        <v>0</v>
      </c>
      <c r="D350" s="13" t="n">
        <v>1</v>
      </c>
      <c r="E350" s="13" t="n">
        <v>0</v>
      </c>
      <c r="F350" s="13" t="n">
        <v>1</v>
      </c>
      <c r="G350" s="13" t="n">
        <v>1</v>
      </c>
      <c r="H350" s="13" t="str">
        <f aca="false">IF(C350=1,A350,"")</f>
        <v/>
      </c>
      <c r="I350" s="13" t="n">
        <f aca="false">IF(C350=0,A350,"")</f>
        <v>4</v>
      </c>
    </row>
    <row r="351" customFormat="false" ht="15" hidden="false" customHeight="false" outlineLevel="0" collapsed="false">
      <c r="A351" s="13" t="n">
        <v>4</v>
      </c>
      <c r="B351" s="13" t="n">
        <v>54</v>
      </c>
      <c r="C351" s="13" t="n">
        <v>0</v>
      </c>
      <c r="D351" s="13" t="n">
        <v>1</v>
      </c>
      <c r="E351" s="13" t="n">
        <v>1</v>
      </c>
      <c r="F351" s="13" t="n">
        <v>1</v>
      </c>
      <c r="G351" s="13" t="n">
        <v>1</v>
      </c>
      <c r="H351" s="13" t="str">
        <f aca="false">IF(C351=1,A351,"")</f>
        <v/>
      </c>
      <c r="I351" s="13" t="n">
        <f aca="false">IF(C351=0,A351,"")</f>
        <v>4</v>
      </c>
    </row>
    <row r="352" customFormat="false" ht="15" hidden="false" customHeight="false" outlineLevel="0" collapsed="false">
      <c r="A352" s="13" t="n">
        <v>5</v>
      </c>
      <c r="B352" s="13" t="n">
        <v>41</v>
      </c>
      <c r="C352" s="13" t="n">
        <v>1</v>
      </c>
      <c r="D352" s="13" t="n">
        <v>0</v>
      </c>
      <c r="E352" s="13" t="n">
        <v>1</v>
      </c>
      <c r="F352" s="13" t="n">
        <v>0</v>
      </c>
      <c r="G352" s="13" t="n">
        <v>1</v>
      </c>
      <c r="H352" s="13" t="n">
        <f aca="false">IF(C352=1,A352,"")</f>
        <v>5</v>
      </c>
      <c r="I352" s="13" t="str">
        <f aca="false">IF(C352=0,A352,"")</f>
        <v/>
      </c>
    </row>
    <row r="353" customFormat="false" ht="15" hidden="false" customHeight="false" outlineLevel="0" collapsed="false">
      <c r="A353" s="13" t="n">
        <v>4</v>
      </c>
      <c r="B353" s="13" t="n">
        <v>61</v>
      </c>
      <c r="C353" s="13" t="n">
        <v>1</v>
      </c>
      <c r="D353" s="13" t="n">
        <v>0</v>
      </c>
      <c r="E353" s="13" t="n">
        <v>0</v>
      </c>
      <c r="F353" s="13" t="n">
        <v>0</v>
      </c>
      <c r="G353" s="13" t="n">
        <v>1</v>
      </c>
      <c r="H353" s="13" t="n">
        <f aca="false">IF(C353=1,A353,"")</f>
        <v>4</v>
      </c>
      <c r="I353" s="13" t="str">
        <f aca="false">IF(C353=0,A353,"")</f>
        <v/>
      </c>
    </row>
    <row r="354" customFormat="false" ht="15" hidden="false" customHeight="false" outlineLevel="0" collapsed="false">
      <c r="A354" s="13" t="n">
        <v>4</v>
      </c>
      <c r="B354" s="13" t="n">
        <v>56</v>
      </c>
      <c r="C354" s="13" t="n">
        <v>0</v>
      </c>
      <c r="D354" s="13" t="n">
        <v>0</v>
      </c>
      <c r="E354" s="13" t="n">
        <v>0</v>
      </c>
      <c r="F354" s="13" t="n">
        <v>0</v>
      </c>
      <c r="G354" s="13" t="n">
        <v>0</v>
      </c>
      <c r="H354" s="13" t="str">
        <f aca="false">IF(C354=1,A354,"")</f>
        <v/>
      </c>
      <c r="I354" s="13" t="n">
        <f aca="false">IF(C354=0,A354,"")</f>
        <v>4</v>
      </c>
    </row>
    <row r="355" customFormat="false" ht="15" hidden="false" customHeight="false" outlineLevel="0" collapsed="false">
      <c r="A355" s="13" t="n">
        <v>4</v>
      </c>
      <c r="B355" s="13" t="n">
        <v>62</v>
      </c>
      <c r="C355" s="13" t="n">
        <v>0</v>
      </c>
      <c r="D355" s="13" t="n">
        <v>0</v>
      </c>
      <c r="E355" s="13" t="n">
        <v>0</v>
      </c>
      <c r="F355" s="13" t="n">
        <v>0</v>
      </c>
      <c r="G355" s="13" t="n">
        <v>1</v>
      </c>
      <c r="H355" s="13" t="str">
        <f aca="false">IF(C355=1,A355,"")</f>
        <v/>
      </c>
      <c r="I355" s="13" t="n">
        <f aca="false">IF(C355=0,A355,"")</f>
        <v>4</v>
      </c>
    </row>
    <row r="356" customFormat="false" ht="15" hidden="false" customHeight="false" outlineLevel="0" collapsed="false">
      <c r="A356" s="13" t="n">
        <v>5</v>
      </c>
      <c r="B356" s="13" t="n">
        <v>60</v>
      </c>
      <c r="C356" s="13" t="n">
        <v>1</v>
      </c>
      <c r="D356" s="13" t="n">
        <v>0</v>
      </c>
      <c r="E356" s="13" t="n">
        <v>1</v>
      </c>
      <c r="F356" s="13" t="n">
        <v>1</v>
      </c>
      <c r="G356" s="13" t="n">
        <v>0</v>
      </c>
      <c r="H356" s="13" t="n">
        <f aca="false">IF(C356=1,A356,"")</f>
        <v>5</v>
      </c>
      <c r="I356" s="13" t="str">
        <f aca="false">IF(C356=0,A356,"")</f>
        <v/>
      </c>
    </row>
    <row r="357" customFormat="false" ht="15" hidden="false" customHeight="false" outlineLevel="0" collapsed="false">
      <c r="A357" s="13" t="n">
        <v>2</v>
      </c>
      <c r="B357" s="13" t="n">
        <v>46</v>
      </c>
      <c r="C357" s="13" t="n">
        <v>1</v>
      </c>
      <c r="D357" s="13" t="n">
        <v>0</v>
      </c>
      <c r="E357" s="13" t="n">
        <v>1</v>
      </c>
      <c r="F357" s="13" t="n">
        <v>0</v>
      </c>
      <c r="G357" s="13" t="n">
        <v>0</v>
      </c>
      <c r="H357" s="13" t="n">
        <f aca="false">IF(C357=1,A357,"")</f>
        <v>2</v>
      </c>
      <c r="I357" s="13" t="str">
        <f aca="false">IF(C357=0,A357,"")</f>
        <v/>
      </c>
    </row>
    <row r="358" customFormat="false" ht="15" hidden="false" customHeight="false" outlineLevel="0" collapsed="false">
      <c r="A358" s="13" t="n">
        <v>5</v>
      </c>
      <c r="B358" s="13" t="n">
        <v>33</v>
      </c>
      <c r="C358" s="13" t="n">
        <v>0</v>
      </c>
      <c r="D358" s="13" t="n">
        <v>2</v>
      </c>
      <c r="E358" s="13" t="n">
        <v>0</v>
      </c>
      <c r="F358" s="13" t="n">
        <v>0</v>
      </c>
      <c r="G358" s="13" t="n">
        <v>1</v>
      </c>
      <c r="H358" s="13" t="str">
        <f aca="false">IF(C358=1,A358,"")</f>
        <v/>
      </c>
      <c r="I358" s="13" t="n">
        <f aca="false">IF(C358=0,A358,"")</f>
        <v>5</v>
      </c>
    </row>
    <row r="359" customFormat="false" ht="15" hidden="false" customHeight="false" outlineLevel="0" collapsed="false">
      <c r="A359" s="13" t="n">
        <v>4</v>
      </c>
      <c r="B359" s="13" t="n">
        <v>28</v>
      </c>
      <c r="C359" s="13" t="n">
        <v>0</v>
      </c>
      <c r="D359" s="13" t="n">
        <v>1</v>
      </c>
      <c r="E359" s="13" t="n">
        <v>1</v>
      </c>
      <c r="F359" s="13" t="n">
        <v>1</v>
      </c>
      <c r="G359" s="13" t="n">
        <v>1</v>
      </c>
      <c r="H359" s="13" t="str">
        <f aca="false">IF(C359=1,A359,"")</f>
        <v/>
      </c>
      <c r="I359" s="13" t="n">
        <f aca="false">IF(C359=0,A359,"")</f>
        <v>4</v>
      </c>
    </row>
    <row r="360" customFormat="false" ht="15" hidden="false" customHeight="false" outlineLevel="0" collapsed="false">
      <c r="A360" s="13" t="n">
        <v>3</v>
      </c>
      <c r="B360" s="13" t="n">
        <v>54</v>
      </c>
      <c r="C360" s="13" t="n">
        <v>0</v>
      </c>
      <c r="D360" s="13" t="n">
        <v>0</v>
      </c>
      <c r="E360" s="13" t="n">
        <v>0</v>
      </c>
      <c r="F360" s="13" t="n">
        <v>0</v>
      </c>
      <c r="G360" s="13" t="n">
        <v>1</v>
      </c>
      <c r="H360" s="13" t="str">
        <f aca="false">IF(C360=1,A360,"")</f>
        <v/>
      </c>
      <c r="I360" s="13" t="n">
        <f aca="false">IF(C360=0,A360,"")</f>
        <v>3</v>
      </c>
    </row>
    <row r="361" customFormat="false" ht="15" hidden="false" customHeight="false" outlineLevel="0" collapsed="false">
      <c r="A361" s="13" t="n">
        <v>4</v>
      </c>
      <c r="B361" s="13" t="n">
        <v>58</v>
      </c>
      <c r="C361" s="13" t="n">
        <v>0</v>
      </c>
      <c r="D361" s="13" t="n">
        <v>0</v>
      </c>
      <c r="E361" s="13" t="n">
        <v>0</v>
      </c>
      <c r="F361" s="13" t="n">
        <v>0</v>
      </c>
      <c r="G361" s="13" t="n">
        <v>0</v>
      </c>
      <c r="H361" s="13" t="str">
        <f aca="false">IF(C361=1,A361,"")</f>
        <v/>
      </c>
      <c r="I361" s="13" t="n">
        <f aca="false">IF(C361=0,A361,"")</f>
        <v>4</v>
      </c>
    </row>
    <row r="362" customFormat="false" ht="15" hidden="false" customHeight="false" outlineLevel="0" collapsed="false">
      <c r="A362" s="13" t="n">
        <v>5</v>
      </c>
      <c r="B362" s="13" t="n">
        <v>44</v>
      </c>
      <c r="C362" s="13" t="n">
        <v>1</v>
      </c>
      <c r="D362" s="13" t="n">
        <v>1</v>
      </c>
      <c r="E362" s="13" t="n">
        <v>1</v>
      </c>
      <c r="F362" s="13" t="n">
        <v>1</v>
      </c>
      <c r="G362" s="13" t="n">
        <v>1</v>
      </c>
      <c r="H362" s="13" t="n">
        <f aca="false">IF(C362=1,A362,"")</f>
        <v>5</v>
      </c>
      <c r="I362" s="13" t="str">
        <f aca="false">IF(C362=0,A362,"")</f>
        <v/>
      </c>
    </row>
    <row r="363" customFormat="false" ht="15" hidden="false" customHeight="false" outlineLevel="0" collapsed="false">
      <c r="A363" s="13" t="n">
        <v>2</v>
      </c>
      <c r="B363" s="13" t="n">
        <v>59</v>
      </c>
      <c r="C363" s="13" t="n">
        <v>1</v>
      </c>
      <c r="D363" s="13" t="n">
        <v>0</v>
      </c>
      <c r="E363" s="13" t="n">
        <v>0</v>
      </c>
      <c r="F363" s="13" t="n">
        <v>0</v>
      </c>
      <c r="G363" s="13" t="n">
        <v>0</v>
      </c>
      <c r="H363" s="13" t="n">
        <f aca="false">IF(C363=1,A363,"")</f>
        <v>2</v>
      </c>
      <c r="I363" s="13" t="str">
        <f aca="false">IF(C363=0,A363,"")</f>
        <v/>
      </c>
    </row>
    <row r="364" customFormat="false" ht="15" hidden="false" customHeight="false" outlineLevel="0" collapsed="false">
      <c r="A364" s="13" t="n">
        <v>3</v>
      </c>
      <c r="B364" s="13" t="n">
        <v>45</v>
      </c>
      <c r="C364" s="13" t="n">
        <v>0</v>
      </c>
      <c r="D364" s="13" t="n">
        <v>0</v>
      </c>
      <c r="E364" s="13" t="n">
        <v>0</v>
      </c>
      <c r="F364" s="13" t="n">
        <v>0</v>
      </c>
      <c r="G364" s="13" t="n">
        <v>1</v>
      </c>
      <c r="H364" s="13" t="str">
        <f aca="false">IF(C364=1,A364,"")</f>
        <v/>
      </c>
      <c r="I364" s="13" t="n">
        <f aca="false">IF(C364=0,A364,"")</f>
        <v>3</v>
      </c>
    </row>
    <row r="365" customFormat="false" ht="15" hidden="false" customHeight="false" outlineLevel="0" collapsed="false">
      <c r="A365" s="13" t="n">
        <v>4</v>
      </c>
      <c r="B365" s="13" t="n">
        <v>32</v>
      </c>
      <c r="C365" s="13" t="n">
        <v>0</v>
      </c>
      <c r="D365" s="13" t="n">
        <v>1</v>
      </c>
      <c r="E365" s="13" t="n">
        <v>1</v>
      </c>
      <c r="F365" s="13" t="n">
        <v>1</v>
      </c>
      <c r="G365" s="13" t="n">
        <v>0</v>
      </c>
      <c r="H365" s="13" t="str">
        <f aca="false">IF(C365=1,A365,"")</f>
        <v/>
      </c>
      <c r="I365" s="13" t="n">
        <f aca="false">IF(C365=0,A365,"")</f>
        <v>4</v>
      </c>
    </row>
    <row r="366" customFormat="false" ht="15" hidden="false" customHeight="false" outlineLevel="0" collapsed="false">
      <c r="A366" s="13" t="n">
        <v>3</v>
      </c>
      <c r="B366" s="13" t="n">
        <v>45</v>
      </c>
      <c r="C366" s="13" t="n">
        <v>1</v>
      </c>
      <c r="D366" s="13" t="n">
        <v>2</v>
      </c>
      <c r="E366" s="13" t="n">
        <v>1</v>
      </c>
      <c r="F366" s="13" t="n">
        <v>1</v>
      </c>
      <c r="G366" s="13" t="n">
        <v>1</v>
      </c>
      <c r="H366" s="13" t="n">
        <f aca="false">IF(C366=1,A366,"")</f>
        <v>3</v>
      </c>
      <c r="I366" s="13" t="str">
        <f aca="false">IF(C366=0,A366,"")</f>
        <v/>
      </c>
    </row>
    <row r="367" customFormat="false" ht="15" hidden="false" customHeight="false" outlineLevel="0" collapsed="false">
      <c r="A367" s="13" t="n">
        <v>4</v>
      </c>
      <c r="B367" s="13" t="n">
        <v>56</v>
      </c>
      <c r="C367" s="13" t="n">
        <v>0</v>
      </c>
      <c r="D367" s="13" t="n">
        <v>1</v>
      </c>
      <c r="E367" s="13" t="n">
        <v>1</v>
      </c>
      <c r="F367" s="13" t="n">
        <v>1</v>
      </c>
      <c r="G367" s="13" t="n">
        <v>1</v>
      </c>
      <c r="H367" s="13" t="str">
        <f aca="false">IF(C367=1,A367,"")</f>
        <v/>
      </c>
      <c r="I367" s="13" t="n">
        <f aca="false">IF(C367=0,A367,"")</f>
        <v>4</v>
      </c>
    </row>
    <row r="368" customFormat="false" ht="15" hidden="false" customHeight="false" outlineLevel="0" collapsed="false">
      <c r="A368" s="13" t="n">
        <v>5</v>
      </c>
      <c r="B368" s="13" t="n">
        <v>55</v>
      </c>
      <c r="C368" s="13" t="n">
        <v>1</v>
      </c>
      <c r="D368" s="13" t="n">
        <v>0</v>
      </c>
      <c r="E368" s="13" t="n">
        <v>1</v>
      </c>
      <c r="F368" s="13" t="n">
        <v>1</v>
      </c>
      <c r="G368" s="13" t="n">
        <v>1</v>
      </c>
      <c r="H368" s="13" t="n">
        <f aca="false">IF(C368=1,A368,"")</f>
        <v>5</v>
      </c>
      <c r="I368" s="13" t="str">
        <f aca="false">IF(C368=0,A368,"")</f>
        <v/>
      </c>
    </row>
    <row r="369" customFormat="false" ht="15" hidden="false" customHeight="false" outlineLevel="0" collapsed="false">
      <c r="A369" s="13" t="n">
        <v>3</v>
      </c>
      <c r="B369" s="13" t="n">
        <v>61</v>
      </c>
      <c r="C369" s="13" t="n">
        <v>0</v>
      </c>
      <c r="D369" s="13" t="n">
        <v>0</v>
      </c>
      <c r="E369" s="13" t="n">
        <v>0</v>
      </c>
      <c r="F369" s="13" t="n">
        <v>1</v>
      </c>
      <c r="G369" s="13" t="n">
        <v>1</v>
      </c>
      <c r="H369" s="13" t="str">
        <f aca="false">IF(C369=1,A369,"")</f>
        <v/>
      </c>
      <c r="I369" s="13" t="n">
        <f aca="false">IF(C369=0,A369,"")</f>
        <v>3</v>
      </c>
    </row>
    <row r="370" customFormat="false" ht="15" hidden="false" customHeight="false" outlineLevel="0" collapsed="false">
      <c r="A370" s="13" t="n">
        <v>5</v>
      </c>
      <c r="B370" s="13" t="n">
        <v>57</v>
      </c>
      <c r="C370" s="13" t="n">
        <v>0</v>
      </c>
      <c r="D370" s="13" t="n">
        <v>0</v>
      </c>
      <c r="E370" s="13" t="n">
        <v>0</v>
      </c>
      <c r="F370" s="13" t="n">
        <v>1</v>
      </c>
      <c r="G370" s="13" t="n">
        <v>1</v>
      </c>
      <c r="H370" s="13" t="str">
        <f aca="false">IF(C370=1,A370,"")</f>
        <v/>
      </c>
      <c r="I370" s="13" t="n">
        <f aca="false">IF(C370=0,A370,"")</f>
        <v>5</v>
      </c>
    </row>
    <row r="371" customFormat="false" ht="15" hidden="false" customHeight="false" outlineLevel="0" collapsed="false">
      <c r="A371" s="13" t="n">
        <v>5</v>
      </c>
      <c r="B371" s="13" t="n">
        <v>55</v>
      </c>
      <c r="C371" s="13" t="n">
        <v>1</v>
      </c>
      <c r="D371" s="13" t="n">
        <v>0</v>
      </c>
      <c r="E371" s="13" t="n">
        <v>1</v>
      </c>
      <c r="F371" s="13" t="n">
        <v>1</v>
      </c>
      <c r="G371" s="13" t="n">
        <v>0</v>
      </c>
      <c r="H371" s="13" t="n">
        <f aca="false">IF(C371=1,A371,"")</f>
        <v>5</v>
      </c>
      <c r="I371" s="13" t="str">
        <f aca="false">IF(C371=0,A371,"")</f>
        <v/>
      </c>
    </row>
    <row r="372" customFormat="false" ht="15" hidden="false" customHeight="false" outlineLevel="0" collapsed="false">
      <c r="A372" s="13" t="n">
        <v>2</v>
      </c>
      <c r="B372" s="13" t="n">
        <v>29</v>
      </c>
      <c r="C372" s="13" t="n">
        <v>0</v>
      </c>
      <c r="D372" s="13" t="n">
        <v>1</v>
      </c>
      <c r="E372" s="13" t="n">
        <v>1</v>
      </c>
      <c r="F372" s="13" t="n">
        <v>1</v>
      </c>
      <c r="G372" s="13" t="n">
        <v>0</v>
      </c>
      <c r="H372" s="13" t="str">
        <f aca="false">IF(C372=1,A372,"")</f>
        <v/>
      </c>
      <c r="I372" s="13" t="n">
        <f aca="false">IF(C372=0,A372,"")</f>
        <v>2</v>
      </c>
    </row>
    <row r="373" customFormat="false" ht="15" hidden="false" customHeight="false" outlineLevel="0" collapsed="false">
      <c r="A373" s="13" t="n">
        <v>2</v>
      </c>
      <c r="B373" s="13" t="n">
        <v>60</v>
      </c>
      <c r="C373" s="13" t="n">
        <v>0</v>
      </c>
      <c r="D373" s="13" t="n">
        <v>0</v>
      </c>
      <c r="E373" s="13" t="n">
        <v>1</v>
      </c>
      <c r="F373" s="13" t="n">
        <v>0</v>
      </c>
      <c r="G373" s="13" t="n">
        <v>1</v>
      </c>
      <c r="H373" s="13" t="str">
        <f aca="false">IF(C373=1,A373,"")</f>
        <v/>
      </c>
      <c r="I373" s="13" t="n">
        <f aca="false">IF(C373=0,A373,"")</f>
        <v>2</v>
      </c>
    </row>
    <row r="374" customFormat="false" ht="15" hidden="false" customHeight="false" outlineLevel="0" collapsed="false">
      <c r="A374" s="13" t="n">
        <v>1</v>
      </c>
      <c r="B374" s="13" t="n">
        <v>58</v>
      </c>
      <c r="C374" s="13" t="n">
        <v>0</v>
      </c>
      <c r="D374" s="13" t="n">
        <v>0</v>
      </c>
      <c r="E374" s="13" t="n">
        <v>0</v>
      </c>
      <c r="F374" s="13" t="n">
        <v>0</v>
      </c>
      <c r="G374" s="13" t="n">
        <v>0</v>
      </c>
      <c r="H374" s="13" t="str">
        <f aca="false">IF(C374=1,A374,"")</f>
        <v/>
      </c>
      <c r="I374" s="13" t="n">
        <f aca="false">IF(C374=0,A374,"")</f>
        <v>1</v>
      </c>
    </row>
    <row r="375" customFormat="false" ht="15" hidden="false" customHeight="false" outlineLevel="0" collapsed="false">
      <c r="A375" s="13" t="n">
        <v>5</v>
      </c>
      <c r="B375" s="13" t="n">
        <v>60</v>
      </c>
      <c r="C375" s="13" t="n">
        <v>0</v>
      </c>
      <c r="D375" s="13" t="n">
        <v>0</v>
      </c>
      <c r="E375" s="13" t="n">
        <v>0</v>
      </c>
      <c r="F375" s="13" t="n">
        <v>0</v>
      </c>
      <c r="G375" s="13" t="n">
        <v>1</v>
      </c>
      <c r="H375" s="13" t="str">
        <f aca="false">IF(C375=1,A375,"")</f>
        <v/>
      </c>
      <c r="I375" s="13" t="n">
        <f aca="false">IF(C375=0,A375,"")</f>
        <v>5</v>
      </c>
    </row>
    <row r="376" customFormat="false" ht="15" hidden="false" customHeight="false" outlineLevel="0" collapsed="false">
      <c r="A376" s="13" t="n">
        <v>4</v>
      </c>
      <c r="B376" s="13" t="n">
        <v>31</v>
      </c>
      <c r="C376" s="13" t="n">
        <v>0</v>
      </c>
      <c r="D376" s="13" t="n">
        <v>0</v>
      </c>
      <c r="E376" s="13" t="n">
        <v>0</v>
      </c>
      <c r="F376" s="13" t="n">
        <v>1</v>
      </c>
      <c r="G376" s="13" t="n">
        <v>0</v>
      </c>
      <c r="H376" s="13" t="str">
        <f aca="false">IF(C376=1,A376,"")</f>
        <v/>
      </c>
      <c r="I376" s="13" t="n">
        <f aca="false">IF(C376=0,A376,"")</f>
        <v>4</v>
      </c>
    </row>
    <row r="377" customFormat="false" ht="15" hidden="false" customHeight="false" outlineLevel="0" collapsed="false">
      <c r="A377" s="13" t="n">
        <v>4</v>
      </c>
      <c r="B377" s="13" t="n">
        <v>62</v>
      </c>
      <c r="C377" s="13" t="n">
        <v>0</v>
      </c>
      <c r="D377" s="13" t="n">
        <v>0</v>
      </c>
      <c r="E377" s="13" t="n">
        <v>1</v>
      </c>
      <c r="F377" s="13" t="n">
        <v>1</v>
      </c>
      <c r="G377" s="13" t="n">
        <v>1</v>
      </c>
      <c r="H377" s="13" t="str">
        <f aca="false">IF(C377=1,A377,"")</f>
        <v/>
      </c>
      <c r="I377" s="13" t="n">
        <f aca="false">IF(C377=0,A377,"")</f>
        <v>4</v>
      </c>
    </row>
    <row r="378" customFormat="false" ht="15" hidden="false" customHeight="false" outlineLevel="0" collapsed="false">
      <c r="A378" s="13" t="n">
        <v>4</v>
      </c>
      <c r="B378" s="13" t="n">
        <v>57</v>
      </c>
      <c r="C378" s="13" t="n">
        <v>1</v>
      </c>
      <c r="D378" s="13" t="n">
        <v>0</v>
      </c>
      <c r="E378" s="13" t="n">
        <v>1</v>
      </c>
      <c r="F378" s="13" t="n">
        <v>1</v>
      </c>
      <c r="G378" s="13" t="n">
        <v>0</v>
      </c>
      <c r="H378" s="13" t="n">
        <f aca="false">IF(C378=1,A378,"")</f>
        <v>4</v>
      </c>
      <c r="I378" s="13" t="str">
        <f aca="false">IF(C378=0,A378,"")</f>
        <v/>
      </c>
    </row>
    <row r="379" customFormat="false" ht="15" hidden="false" customHeight="false" outlineLevel="0" collapsed="false">
      <c r="A379" s="13" t="n">
        <v>5</v>
      </c>
      <c r="B379" s="13" t="n">
        <v>59</v>
      </c>
      <c r="C379" s="13" t="n">
        <v>1</v>
      </c>
      <c r="D379" s="13" t="n">
        <v>0</v>
      </c>
      <c r="E379" s="13" t="n">
        <v>1</v>
      </c>
      <c r="F379" s="13" t="n">
        <v>1</v>
      </c>
      <c r="G379" s="13" t="n">
        <v>1</v>
      </c>
      <c r="H379" s="13" t="n">
        <f aca="false">IF(C379=1,A379,"")</f>
        <v>5</v>
      </c>
      <c r="I379" s="13" t="str">
        <f aca="false">IF(C379=0,A379,"")</f>
        <v/>
      </c>
    </row>
    <row r="380" customFormat="false" ht="15" hidden="false" customHeight="false" outlineLevel="0" collapsed="false">
      <c r="A380" s="13" t="n">
        <v>4</v>
      </c>
      <c r="B380" s="13" t="n">
        <v>34</v>
      </c>
      <c r="C380" s="13" t="n">
        <v>0</v>
      </c>
      <c r="D380" s="13" t="n">
        <v>0</v>
      </c>
      <c r="E380" s="13" t="n">
        <v>0</v>
      </c>
      <c r="F380" s="13" t="n">
        <v>1</v>
      </c>
      <c r="G380" s="13" t="n">
        <v>1</v>
      </c>
      <c r="H380" s="13" t="str">
        <f aca="false">IF(C380=1,A380,"")</f>
        <v/>
      </c>
      <c r="I380" s="13" t="n">
        <f aca="false">IF(C380=0,A380,"")</f>
        <v>4</v>
      </c>
    </row>
    <row r="381" customFormat="false" ht="15" hidden="false" customHeight="false" outlineLevel="0" collapsed="false">
      <c r="A381" s="13" t="n">
        <v>4</v>
      </c>
      <c r="B381" s="13" t="n">
        <v>58</v>
      </c>
      <c r="C381" s="13" t="n">
        <v>0</v>
      </c>
      <c r="D381" s="13" t="n">
        <v>0</v>
      </c>
      <c r="E381" s="13" t="n">
        <v>0</v>
      </c>
      <c r="F381" s="13" t="n">
        <v>0</v>
      </c>
      <c r="G381" s="13" t="n">
        <v>1</v>
      </c>
      <c r="H381" s="13" t="str">
        <f aca="false">IF(C381=1,A381,"")</f>
        <v/>
      </c>
      <c r="I381" s="13" t="n">
        <f aca="false">IF(C381=0,A381,"")</f>
        <v>4</v>
      </c>
    </row>
    <row r="382" customFormat="false" ht="15" hidden="false" customHeight="false" outlineLevel="0" collapsed="false">
      <c r="A382" s="13" t="n">
        <v>4</v>
      </c>
      <c r="B382" s="13" t="n">
        <v>25</v>
      </c>
      <c r="C382" s="13" t="n">
        <v>0</v>
      </c>
      <c r="D382" s="13" t="n">
        <v>1</v>
      </c>
      <c r="E382" s="13" t="n">
        <v>0</v>
      </c>
      <c r="F382" s="13" t="n">
        <v>1</v>
      </c>
      <c r="G382" s="13" t="n">
        <v>1</v>
      </c>
      <c r="H382" s="13" t="str">
        <f aca="false">IF(C382=1,A382,"")</f>
        <v/>
      </c>
      <c r="I382" s="13" t="n">
        <f aca="false">IF(C382=0,A382,"")</f>
        <v>4</v>
      </c>
    </row>
    <row r="383" customFormat="false" ht="15" hidden="false" customHeight="false" outlineLevel="0" collapsed="false">
      <c r="A383" s="13" t="n">
        <v>4</v>
      </c>
      <c r="B383" s="13" t="n">
        <v>60</v>
      </c>
      <c r="C383" s="13" t="n">
        <v>1</v>
      </c>
      <c r="D383" s="13" t="n">
        <v>0</v>
      </c>
      <c r="E383" s="13" t="n">
        <v>1</v>
      </c>
      <c r="F383" s="13" t="n">
        <v>1</v>
      </c>
      <c r="G383" s="13" t="n">
        <v>1</v>
      </c>
      <c r="H383" s="13" t="n">
        <f aca="false">IF(C383=1,A383,"")</f>
        <v>4</v>
      </c>
      <c r="I383" s="13" t="str">
        <f aca="false">IF(C383=0,A383,"")</f>
        <v/>
      </c>
    </row>
    <row r="384" customFormat="false" ht="15" hidden="false" customHeight="false" outlineLevel="0" collapsed="false">
      <c r="A384" s="13" t="n">
        <v>4</v>
      </c>
      <c r="B384" s="13" t="n">
        <v>64</v>
      </c>
      <c r="C384" s="13" t="n">
        <v>0</v>
      </c>
      <c r="D384" s="13" t="n">
        <v>0</v>
      </c>
      <c r="E384" s="13" t="n">
        <v>1</v>
      </c>
      <c r="F384" s="13" t="n">
        <v>1</v>
      </c>
      <c r="G384" s="13" t="n">
        <v>1</v>
      </c>
      <c r="H384" s="13" t="str">
        <f aca="false">IF(C384=1,A384,"")</f>
        <v/>
      </c>
      <c r="I384" s="13" t="n">
        <f aca="false">IF(C384=0,A384,"")</f>
        <v>4</v>
      </c>
    </row>
    <row r="385" customFormat="false" ht="15" hidden="false" customHeight="false" outlineLevel="0" collapsed="false">
      <c r="A385" s="13" t="n">
        <v>3</v>
      </c>
      <c r="B385" s="13" t="n">
        <v>64</v>
      </c>
      <c r="C385" s="13" t="n">
        <v>1</v>
      </c>
      <c r="D385" s="13" t="n">
        <v>0</v>
      </c>
      <c r="E385" s="13" t="n">
        <v>0</v>
      </c>
      <c r="F385" s="13" t="n">
        <v>0</v>
      </c>
      <c r="G385" s="13" t="n">
        <v>1</v>
      </c>
      <c r="H385" s="13" t="n">
        <f aca="false">IF(C385=1,A385,"")</f>
        <v>3</v>
      </c>
      <c r="I385" s="13" t="str">
        <f aca="false">IF(C385=0,A385,"")</f>
        <v/>
      </c>
    </row>
    <row r="386" customFormat="false" ht="15" hidden="false" customHeight="false" outlineLevel="0" collapsed="false">
      <c r="A386" s="13" t="n">
        <v>4</v>
      </c>
      <c r="B386" s="13" t="n">
        <v>64</v>
      </c>
      <c r="C386" s="13" t="n">
        <v>0</v>
      </c>
      <c r="D386" s="13" t="n">
        <v>0</v>
      </c>
      <c r="E386" s="13" t="n">
        <v>1</v>
      </c>
      <c r="F386" s="13" t="n">
        <v>0</v>
      </c>
      <c r="G386" s="13" t="n">
        <v>1</v>
      </c>
      <c r="H386" s="13" t="str">
        <f aca="false">IF(C386=1,A386,"")</f>
        <v/>
      </c>
      <c r="I386" s="13" t="n">
        <f aca="false">IF(C386=0,A386,"")</f>
        <v>4</v>
      </c>
    </row>
    <row r="387" customFormat="false" ht="15" hidden="false" customHeight="false" outlineLevel="0" collapsed="false">
      <c r="A387" s="13" t="n">
        <v>4</v>
      </c>
      <c r="B387" s="13" t="n">
        <v>45</v>
      </c>
      <c r="C387" s="13" t="n">
        <v>1</v>
      </c>
      <c r="D387" s="13" t="n">
        <v>1</v>
      </c>
      <c r="E387" s="13" t="n">
        <v>1</v>
      </c>
      <c r="F387" s="13" t="n">
        <v>1</v>
      </c>
      <c r="G387" s="13" t="n">
        <v>1</v>
      </c>
      <c r="H387" s="13" t="n">
        <f aca="false">IF(C387=1,A387,"")</f>
        <v>4</v>
      </c>
      <c r="I387" s="13" t="str">
        <f aca="false">IF(C387=0,A387,"")</f>
        <v/>
      </c>
    </row>
    <row r="388" customFormat="false" ht="15" hidden="false" customHeight="false" outlineLevel="0" collapsed="false">
      <c r="A388" s="13" t="n">
        <v>3</v>
      </c>
      <c r="B388" s="13" t="n">
        <v>32</v>
      </c>
      <c r="C388" s="13" t="n">
        <v>1</v>
      </c>
      <c r="D388" s="13" t="n">
        <v>2</v>
      </c>
      <c r="E388" s="13" t="n">
        <v>1</v>
      </c>
      <c r="F388" s="13" t="n">
        <v>1</v>
      </c>
      <c r="G388" s="13" t="n">
        <v>1</v>
      </c>
      <c r="H388" s="13" t="n">
        <f aca="false">IF(C388=1,A388,"")</f>
        <v>3</v>
      </c>
      <c r="I388" s="13" t="str">
        <f aca="false">IF(C388=0,A388,"")</f>
        <v/>
      </c>
    </row>
    <row r="389" customFormat="false" ht="15" hidden="false" customHeight="false" outlineLevel="0" collapsed="false">
      <c r="A389" s="13" t="n">
        <v>2</v>
      </c>
      <c r="B389" s="13" t="n">
        <v>55</v>
      </c>
      <c r="C389" s="13" t="n">
        <v>1</v>
      </c>
      <c r="D389" s="13" t="n">
        <v>0</v>
      </c>
      <c r="E389" s="13" t="n">
        <v>1</v>
      </c>
      <c r="F389" s="13" t="n">
        <v>1</v>
      </c>
      <c r="G389" s="13" t="n">
        <v>0</v>
      </c>
      <c r="H389" s="13" t="n">
        <f aca="false">IF(C389=1,A389,"")</f>
        <v>2</v>
      </c>
      <c r="I389" s="13" t="str">
        <f aca="false">IF(C389=0,A389,"")</f>
        <v/>
      </c>
    </row>
    <row r="390" customFormat="false" ht="15" hidden="false" customHeight="false" outlineLevel="0" collapsed="false">
      <c r="A390" s="13" t="n">
        <v>4</v>
      </c>
      <c r="B390" s="13" t="n">
        <v>25</v>
      </c>
      <c r="C390" s="13" t="n">
        <v>0</v>
      </c>
      <c r="D390" s="13" t="n">
        <v>0</v>
      </c>
      <c r="E390" s="13" t="n">
        <v>1</v>
      </c>
      <c r="F390" s="13" t="n">
        <v>1</v>
      </c>
      <c r="G390" s="13" t="n">
        <v>1</v>
      </c>
      <c r="H390" s="13" t="str">
        <f aca="false">IF(C390=1,A390,"")</f>
        <v/>
      </c>
      <c r="I390" s="13" t="n">
        <f aca="false">IF(C390=0,A390,"")</f>
        <v>4</v>
      </c>
    </row>
    <row r="391" customFormat="false" ht="15" hidden="false" customHeight="false" outlineLevel="0" collapsed="false">
      <c r="A391" s="13" t="n">
        <v>5</v>
      </c>
      <c r="B391" s="13" t="n">
        <v>31</v>
      </c>
      <c r="C391" s="13" t="n">
        <v>1</v>
      </c>
      <c r="D391" s="13" t="n">
        <v>0</v>
      </c>
      <c r="E391" s="13" t="n">
        <v>1</v>
      </c>
      <c r="F391" s="13" t="n">
        <v>1</v>
      </c>
      <c r="G391" s="13" t="n">
        <v>1</v>
      </c>
      <c r="H391" s="13" t="n">
        <f aca="false">IF(C391=1,A391,"")</f>
        <v>5</v>
      </c>
      <c r="I391" s="13" t="str">
        <f aca="false">IF(C391=0,A391,"")</f>
        <v/>
      </c>
    </row>
    <row r="392" customFormat="false" ht="15" hidden="false" customHeight="false" outlineLevel="0" collapsed="false">
      <c r="A392" s="13" t="n">
        <v>5</v>
      </c>
      <c r="B392" s="13" t="n">
        <v>40</v>
      </c>
      <c r="C392" s="13" t="n">
        <v>0</v>
      </c>
      <c r="D392" s="13" t="n">
        <v>0</v>
      </c>
      <c r="E392" s="13" t="n">
        <v>1</v>
      </c>
      <c r="F392" s="13" t="n">
        <v>0</v>
      </c>
      <c r="G392" s="13" t="n">
        <v>1</v>
      </c>
      <c r="H392" s="13" t="str">
        <f aca="false">IF(C392=1,A392,"")</f>
        <v/>
      </c>
      <c r="I392" s="13" t="n">
        <f aca="false">IF(C392=0,A392,"")</f>
        <v>5</v>
      </c>
    </row>
    <row r="393" customFormat="false" ht="15" hidden="false" customHeight="false" outlineLevel="0" collapsed="false">
      <c r="A393" s="13" t="n">
        <v>5</v>
      </c>
      <c r="B393" s="13" t="n">
        <v>48</v>
      </c>
      <c r="C393" s="13" t="n">
        <v>1</v>
      </c>
      <c r="D393" s="13" t="n">
        <v>3</v>
      </c>
      <c r="E393" s="13" t="n">
        <v>1</v>
      </c>
      <c r="F393" s="13" t="n">
        <v>1</v>
      </c>
      <c r="G393" s="13" t="n">
        <v>1</v>
      </c>
      <c r="H393" s="13" t="n">
        <f aca="false">IF(C393=1,A393,"")</f>
        <v>5</v>
      </c>
      <c r="I393" s="13" t="str">
        <f aca="false">IF(C393=0,A393,"")</f>
        <v/>
      </c>
    </row>
    <row r="394" customFormat="false" ht="15" hidden="false" customHeight="false" outlineLevel="0" collapsed="false">
      <c r="A394" s="13" t="n">
        <v>4</v>
      </c>
      <c r="B394" s="13" t="n">
        <v>48</v>
      </c>
      <c r="C394" s="13" t="n">
        <v>0</v>
      </c>
      <c r="D394" s="13" t="n">
        <v>0</v>
      </c>
      <c r="E394" s="13" t="n">
        <v>1</v>
      </c>
      <c r="F394" s="13" t="n">
        <v>1</v>
      </c>
      <c r="G394" s="13" t="n">
        <v>1</v>
      </c>
      <c r="H394" s="13" t="str">
        <f aca="false">IF(C394=1,A394,"")</f>
        <v/>
      </c>
      <c r="I394" s="13" t="n">
        <f aca="false">IF(C394=0,A394,"")</f>
        <v>4</v>
      </c>
    </row>
    <row r="395" customFormat="false" ht="15" hidden="false" customHeight="false" outlineLevel="0" collapsed="false">
      <c r="A395" s="13" t="n">
        <v>4</v>
      </c>
      <c r="B395" s="13" t="n">
        <v>42</v>
      </c>
      <c r="C395" s="13" t="n">
        <v>0</v>
      </c>
      <c r="D395" s="13" t="n">
        <v>1</v>
      </c>
      <c r="E395" s="13" t="n">
        <v>1</v>
      </c>
      <c r="F395" s="13" t="n">
        <v>1</v>
      </c>
      <c r="G395" s="13" t="n">
        <v>0</v>
      </c>
      <c r="H395" s="13" t="str">
        <f aca="false">IF(C395=1,A395,"")</f>
        <v/>
      </c>
      <c r="I395" s="13" t="n">
        <f aca="false">IF(C395=0,A395,"")</f>
        <v>4</v>
      </c>
    </row>
    <row r="396" customFormat="false" ht="15" hidden="false" customHeight="false" outlineLevel="0" collapsed="false">
      <c r="A396" s="13" t="n">
        <v>5</v>
      </c>
      <c r="B396" s="13" t="n">
        <v>39</v>
      </c>
      <c r="C396" s="13" t="n">
        <v>0</v>
      </c>
      <c r="D396" s="13" t="n">
        <v>0</v>
      </c>
      <c r="E396" s="13" t="n">
        <v>1</v>
      </c>
      <c r="F396" s="13" t="n">
        <v>1</v>
      </c>
      <c r="G396" s="13" t="n">
        <v>1</v>
      </c>
      <c r="H396" s="13" t="str">
        <f aca="false">IF(C396=1,A396,"")</f>
        <v/>
      </c>
      <c r="I396" s="13" t="n">
        <f aca="false">IF(C396=0,A396,"")</f>
        <v>5</v>
      </c>
    </row>
    <row r="397" customFormat="false" ht="15" hidden="false" customHeight="false" outlineLevel="0" collapsed="false">
      <c r="A397" s="13" t="n">
        <v>4</v>
      </c>
      <c r="B397" s="13" t="n">
        <v>42</v>
      </c>
      <c r="C397" s="13" t="n">
        <v>0</v>
      </c>
      <c r="D397" s="13" t="n">
        <v>1</v>
      </c>
      <c r="E397" s="13" t="n">
        <v>1</v>
      </c>
      <c r="F397" s="13" t="n">
        <v>0</v>
      </c>
      <c r="G397" s="13" t="n">
        <v>1</v>
      </c>
      <c r="H397" s="13" t="str">
        <f aca="false">IF(C397=1,A397,"")</f>
        <v/>
      </c>
      <c r="I397" s="13" t="n">
        <f aca="false">IF(C397=0,A397,"")</f>
        <v>4</v>
      </c>
    </row>
    <row r="398" customFormat="false" ht="15" hidden="false" customHeight="false" outlineLevel="0" collapsed="false">
      <c r="A398" s="13" t="n">
        <v>2</v>
      </c>
      <c r="B398" s="13" t="n">
        <v>50</v>
      </c>
      <c r="C398" s="13" t="n">
        <v>1</v>
      </c>
      <c r="D398" s="13" t="n">
        <v>2</v>
      </c>
      <c r="E398" s="13" t="n">
        <v>1</v>
      </c>
      <c r="F398" s="13" t="n">
        <v>1</v>
      </c>
      <c r="G398" s="13" t="n">
        <v>1</v>
      </c>
      <c r="H398" s="13" t="n">
        <f aca="false">IF(C398=1,A398,"")</f>
        <v>2</v>
      </c>
      <c r="I398" s="13" t="str">
        <f aca="false">IF(C398=0,A398,"")</f>
        <v/>
      </c>
    </row>
    <row r="399" customFormat="false" ht="15" hidden="false" customHeight="false" outlineLevel="0" collapsed="false">
      <c r="A399" s="13" t="n">
        <v>4</v>
      </c>
      <c r="B399" s="13" t="n">
        <v>59</v>
      </c>
      <c r="C399" s="13" t="n">
        <v>1</v>
      </c>
      <c r="D399" s="13" t="n">
        <v>0</v>
      </c>
      <c r="E399" s="13" t="n">
        <v>1</v>
      </c>
      <c r="F399" s="13" t="n">
        <v>1</v>
      </c>
      <c r="G399" s="13" t="n">
        <v>1</v>
      </c>
      <c r="H399" s="13" t="n">
        <f aca="false">IF(C399=1,A399,"")</f>
        <v>4</v>
      </c>
      <c r="I399" s="13" t="str">
        <f aca="false">IF(C399=0,A399,"")</f>
        <v/>
      </c>
    </row>
    <row r="400" customFormat="false" ht="15" hidden="false" customHeight="false" outlineLevel="0" collapsed="false">
      <c r="A400" s="13" t="n">
        <v>4</v>
      </c>
      <c r="B400" s="13" t="n">
        <v>62</v>
      </c>
      <c r="C400" s="13" t="n">
        <v>0</v>
      </c>
      <c r="D400" s="13" t="n">
        <v>0</v>
      </c>
      <c r="E400" s="13" t="n">
        <v>0</v>
      </c>
      <c r="F400" s="13" t="n">
        <v>1</v>
      </c>
      <c r="G400" s="13" t="n">
        <v>1</v>
      </c>
      <c r="H400" s="13" t="str">
        <f aca="false">IF(C400=1,A400,"")</f>
        <v/>
      </c>
      <c r="I400" s="13" t="n">
        <f aca="false">IF(C400=0,A400,"")</f>
        <v>4</v>
      </c>
    </row>
    <row r="401" customFormat="false" ht="15" hidden="false" customHeight="false" outlineLevel="0" collapsed="false">
      <c r="A401" s="13" t="n">
        <v>5</v>
      </c>
      <c r="B401" s="13" t="n">
        <v>31</v>
      </c>
      <c r="C401" s="13" t="n">
        <v>0</v>
      </c>
      <c r="D401" s="13" t="n">
        <v>4</v>
      </c>
      <c r="E401" s="13" t="n">
        <v>1</v>
      </c>
      <c r="F401" s="13" t="n">
        <v>1</v>
      </c>
      <c r="G401" s="13" t="n">
        <v>1</v>
      </c>
      <c r="H401" s="13" t="str">
        <f aca="false">IF(C401=1,A401,"")</f>
        <v/>
      </c>
      <c r="I401" s="13" t="n">
        <f aca="false">IF(C401=0,A401,"")</f>
        <v>5</v>
      </c>
    </row>
    <row r="402" customFormat="false" ht="15" hidden="false" customHeight="false" outlineLevel="0" collapsed="false">
      <c r="A402" s="13" t="n">
        <v>4</v>
      </c>
      <c r="B402" s="13" t="n">
        <v>51</v>
      </c>
      <c r="C402" s="13" t="n">
        <v>0</v>
      </c>
      <c r="D402" s="13" t="n">
        <v>0</v>
      </c>
      <c r="E402" s="13" t="n">
        <v>0</v>
      </c>
      <c r="F402" s="13" t="n">
        <v>1</v>
      </c>
      <c r="G402" s="13" t="n">
        <v>0</v>
      </c>
      <c r="H402" s="13" t="str">
        <f aca="false">IF(C402=1,A402,"")</f>
        <v/>
      </c>
      <c r="I402" s="13" t="n">
        <f aca="false">IF(C402=0,A402,"")</f>
        <v>4</v>
      </c>
    </row>
    <row r="403" customFormat="false" ht="15" hidden="false" customHeight="false" outlineLevel="0" collapsed="false">
      <c r="A403" s="13" t="n">
        <v>4</v>
      </c>
      <c r="B403" s="13" t="n">
        <v>56</v>
      </c>
      <c r="C403" s="13" t="n">
        <v>1</v>
      </c>
      <c r="D403" s="13" t="n">
        <v>0</v>
      </c>
      <c r="E403" s="13" t="n">
        <v>0</v>
      </c>
      <c r="F403" s="13" t="n">
        <v>1</v>
      </c>
      <c r="G403" s="13" t="n">
        <v>1</v>
      </c>
      <c r="H403" s="13" t="n">
        <f aca="false">IF(C403=1,A403,"")</f>
        <v>4</v>
      </c>
      <c r="I403" s="13" t="str">
        <f aca="false">IF(C403=0,A403,"")</f>
        <v/>
      </c>
    </row>
    <row r="404" customFormat="false" ht="15" hidden="false" customHeight="false" outlineLevel="0" collapsed="false">
      <c r="A404" s="13" t="n">
        <v>3</v>
      </c>
      <c r="B404" s="13" t="n">
        <v>33</v>
      </c>
      <c r="C404" s="13" t="n">
        <v>0</v>
      </c>
      <c r="D404" s="13" t="n">
        <v>0</v>
      </c>
      <c r="E404" s="13" t="n">
        <v>1</v>
      </c>
      <c r="F404" s="13" t="n">
        <v>1</v>
      </c>
      <c r="G404" s="13" t="n">
        <v>0</v>
      </c>
      <c r="H404" s="13" t="str">
        <f aca="false">IF(C404=1,A404,"")</f>
        <v/>
      </c>
      <c r="I404" s="13" t="n">
        <f aca="false">IF(C404=0,A404,"")</f>
        <v>3</v>
      </c>
    </row>
    <row r="405" customFormat="false" ht="15" hidden="false" customHeight="false" outlineLevel="0" collapsed="false">
      <c r="A405" s="13" t="n">
        <v>5</v>
      </c>
      <c r="B405" s="13" t="n">
        <v>38</v>
      </c>
      <c r="C405" s="13" t="n">
        <v>0</v>
      </c>
      <c r="D405" s="13" t="n">
        <v>2</v>
      </c>
      <c r="E405" s="13" t="n">
        <v>1</v>
      </c>
      <c r="F405" s="13" t="n">
        <v>1</v>
      </c>
      <c r="G405" s="13" t="n">
        <v>1</v>
      </c>
      <c r="H405" s="13" t="str">
        <f aca="false">IF(C405=1,A405,"")</f>
        <v/>
      </c>
      <c r="I405" s="13" t="n">
        <f aca="false">IF(C405=0,A405,"")</f>
        <v>5</v>
      </c>
    </row>
    <row r="406" customFormat="false" ht="15" hidden="false" customHeight="false" outlineLevel="0" collapsed="false">
      <c r="A406" s="13" t="n">
        <v>5</v>
      </c>
      <c r="B406" s="13" t="n">
        <v>62</v>
      </c>
      <c r="C406" s="13" t="n">
        <v>0</v>
      </c>
      <c r="D406" s="13" t="n">
        <v>0</v>
      </c>
      <c r="E406" s="13" t="n">
        <v>0</v>
      </c>
      <c r="F406" s="13" t="n">
        <v>1</v>
      </c>
      <c r="G406" s="13" t="n">
        <v>1</v>
      </c>
      <c r="H406" s="13" t="str">
        <f aca="false">IF(C406=1,A406,"")</f>
        <v/>
      </c>
      <c r="I406" s="13" t="n">
        <f aca="false">IF(C406=0,A406,"")</f>
        <v>5</v>
      </c>
    </row>
    <row r="407" customFormat="false" ht="15" hidden="false" customHeight="false" outlineLevel="0" collapsed="false">
      <c r="A407" s="13" t="n">
        <v>4</v>
      </c>
      <c r="B407" s="13" t="n">
        <v>53</v>
      </c>
      <c r="C407" s="13" t="n">
        <v>0</v>
      </c>
      <c r="D407" s="13" t="n">
        <v>4</v>
      </c>
      <c r="E407" s="13" t="n">
        <v>0</v>
      </c>
      <c r="F407" s="13" t="n">
        <v>1</v>
      </c>
      <c r="G407" s="13" t="n">
        <v>1</v>
      </c>
      <c r="H407" s="13" t="str">
        <f aca="false">IF(C407=1,A407,"")</f>
        <v/>
      </c>
      <c r="I407" s="13" t="n">
        <f aca="false">IF(C407=0,A407,"")</f>
        <v>4</v>
      </c>
    </row>
    <row r="408" customFormat="false" ht="15" hidden="false" customHeight="false" outlineLevel="0" collapsed="false">
      <c r="A408" s="13" t="n">
        <v>4</v>
      </c>
      <c r="B408" s="13" t="n">
        <v>37</v>
      </c>
      <c r="C408" s="13" t="n">
        <v>0</v>
      </c>
      <c r="D408" s="13" t="n">
        <v>0</v>
      </c>
      <c r="E408" s="13" t="n">
        <v>1</v>
      </c>
      <c r="F408" s="13" t="n">
        <v>1</v>
      </c>
      <c r="G408" s="13" t="n">
        <v>1</v>
      </c>
      <c r="H408" s="13" t="str">
        <f aca="false">IF(C408=1,A408,"")</f>
        <v/>
      </c>
      <c r="I408" s="13" t="n">
        <f aca="false">IF(C408=0,A408,"")</f>
        <v>4</v>
      </c>
    </row>
    <row r="409" customFormat="false" ht="15" hidden="false" customHeight="false" outlineLevel="0" collapsed="false">
      <c r="A409" s="13" t="n">
        <v>5</v>
      </c>
      <c r="B409" s="13" t="n">
        <v>64</v>
      </c>
      <c r="C409" s="13" t="n">
        <v>0</v>
      </c>
      <c r="D409" s="13" t="n">
        <v>0</v>
      </c>
      <c r="E409" s="13" t="n">
        <v>1</v>
      </c>
      <c r="F409" s="13" t="n">
        <v>1</v>
      </c>
      <c r="G409" s="13" t="n">
        <v>0</v>
      </c>
      <c r="H409" s="13" t="str">
        <f aca="false">IF(C409=1,A409,"")</f>
        <v/>
      </c>
      <c r="I409" s="13" t="n">
        <f aca="false">IF(C409=0,A409,"")</f>
        <v>5</v>
      </c>
    </row>
    <row r="410" customFormat="false" ht="15" hidden="false" customHeight="false" outlineLevel="0" collapsed="false">
      <c r="A410" s="13" t="n">
        <v>4</v>
      </c>
      <c r="B410" s="13" t="n">
        <v>49</v>
      </c>
      <c r="C410" s="13" t="n">
        <v>0</v>
      </c>
      <c r="D410" s="13" t="n">
        <v>0</v>
      </c>
      <c r="E410" s="13" t="n">
        <v>1</v>
      </c>
      <c r="F410" s="13" t="n">
        <v>1</v>
      </c>
      <c r="G410" s="13" t="n">
        <v>1</v>
      </c>
      <c r="H410" s="13" t="str">
        <f aca="false">IF(C410=1,A410,"")</f>
        <v/>
      </c>
      <c r="I410" s="13" t="n">
        <f aca="false">IF(C410=0,A410,"")</f>
        <v>4</v>
      </c>
    </row>
    <row r="411" customFormat="false" ht="15" hidden="false" customHeight="false" outlineLevel="0" collapsed="false">
      <c r="A411" s="13" t="n">
        <v>4</v>
      </c>
      <c r="B411" s="13" t="n">
        <v>62</v>
      </c>
      <c r="C411" s="13" t="n">
        <v>0</v>
      </c>
      <c r="D411" s="13" t="n">
        <v>0</v>
      </c>
      <c r="E411" s="13" t="n">
        <v>0</v>
      </c>
      <c r="F411" s="13" t="n">
        <v>0</v>
      </c>
      <c r="G411" s="13" t="n">
        <v>1</v>
      </c>
      <c r="H411" s="13" t="str">
        <f aca="false">IF(C411=1,A411,"")</f>
        <v/>
      </c>
      <c r="I411" s="13" t="n">
        <f aca="false">IF(C411=0,A411,"")</f>
        <v>4</v>
      </c>
    </row>
    <row r="412" customFormat="false" ht="15" hidden="false" customHeight="false" outlineLevel="0" collapsed="false">
      <c r="A412" s="13" t="n">
        <v>4</v>
      </c>
      <c r="B412" s="13" t="n">
        <v>62</v>
      </c>
      <c r="C412" s="13" t="n">
        <v>1</v>
      </c>
      <c r="D412" s="13" t="n">
        <v>0</v>
      </c>
      <c r="E412" s="13" t="n">
        <v>0</v>
      </c>
      <c r="F412" s="13" t="n">
        <v>0</v>
      </c>
      <c r="G412" s="13" t="n">
        <v>0</v>
      </c>
      <c r="H412" s="13" t="n">
        <f aca="false">IF(C412=1,A412,"")</f>
        <v>4</v>
      </c>
      <c r="I412" s="13" t="str">
        <f aca="false">IF(C412=0,A412,"")</f>
        <v/>
      </c>
    </row>
    <row r="413" customFormat="false" ht="15" hidden="false" customHeight="false" outlineLevel="0" collapsed="false">
      <c r="A413" s="13" t="n">
        <v>3</v>
      </c>
      <c r="B413" s="13" t="n">
        <v>37</v>
      </c>
      <c r="C413" s="13" t="n">
        <v>0</v>
      </c>
      <c r="D413" s="13" t="n">
        <v>2</v>
      </c>
      <c r="E413" s="13" t="n">
        <v>1</v>
      </c>
      <c r="F413" s="13" t="n">
        <v>1</v>
      </c>
      <c r="G413" s="13" t="n">
        <v>1</v>
      </c>
      <c r="H413" s="13" t="str">
        <f aca="false">IF(C413=1,A413,"")</f>
        <v/>
      </c>
      <c r="I413" s="13" t="n">
        <f aca="false">IF(C413=0,A413,"")</f>
        <v>3</v>
      </c>
    </row>
    <row r="414" customFormat="false" ht="15" hidden="false" customHeight="false" outlineLevel="0" collapsed="false">
      <c r="A414" s="13" t="n">
        <v>2</v>
      </c>
      <c r="B414" s="13" t="n">
        <v>41</v>
      </c>
      <c r="C414" s="13" t="n">
        <v>0</v>
      </c>
      <c r="D414" s="13" t="n">
        <v>0</v>
      </c>
      <c r="E414" s="13" t="n">
        <v>0</v>
      </c>
      <c r="F414" s="13" t="n">
        <v>0</v>
      </c>
      <c r="G414" s="13" t="n">
        <v>0</v>
      </c>
      <c r="H414" s="13" t="str">
        <f aca="false">IF(C414=1,A414,"")</f>
        <v/>
      </c>
      <c r="I414" s="13" t="n">
        <f aca="false">IF(C414=0,A414,"")</f>
        <v>2</v>
      </c>
    </row>
    <row r="415" customFormat="false" ht="15" hidden="false" customHeight="false" outlineLevel="0" collapsed="false">
      <c r="A415" s="13" t="n">
        <v>3</v>
      </c>
      <c r="B415" s="13" t="n">
        <v>62</v>
      </c>
      <c r="C415" s="13" t="n">
        <v>0</v>
      </c>
      <c r="D415" s="13" t="n">
        <v>0</v>
      </c>
      <c r="E415" s="13" t="n">
        <v>0</v>
      </c>
      <c r="F415" s="13" t="n">
        <v>0</v>
      </c>
      <c r="G415" s="13" t="n">
        <v>1</v>
      </c>
      <c r="H415" s="13" t="str">
        <f aca="false">IF(C415=1,A415,"")</f>
        <v/>
      </c>
      <c r="I415" s="13" t="n">
        <f aca="false">IF(C415=0,A415,"")</f>
        <v>3</v>
      </c>
    </row>
    <row r="416" customFormat="false" ht="15" hidden="false" customHeight="false" outlineLevel="0" collapsed="false">
      <c r="A416" s="13" t="n">
        <v>4</v>
      </c>
      <c r="B416" s="13" t="n">
        <v>31</v>
      </c>
      <c r="C416" s="13" t="n">
        <v>1</v>
      </c>
      <c r="D416" s="13" t="n">
        <v>0</v>
      </c>
      <c r="E416" s="13" t="n">
        <v>1</v>
      </c>
      <c r="F416" s="13" t="n">
        <v>1</v>
      </c>
      <c r="G416" s="13" t="n">
        <v>0</v>
      </c>
      <c r="H416" s="13" t="n">
        <f aca="false">IF(C416=1,A416,"")</f>
        <v>4</v>
      </c>
      <c r="I416" s="13" t="str">
        <f aca="false">IF(C416=0,A416,"")</f>
        <v/>
      </c>
    </row>
    <row r="417" customFormat="false" ht="15" hidden="false" customHeight="false" outlineLevel="0" collapsed="false">
      <c r="A417" s="13" t="n">
        <v>2</v>
      </c>
      <c r="B417" s="13" t="n">
        <v>62</v>
      </c>
      <c r="C417" s="13" t="n">
        <v>1</v>
      </c>
      <c r="D417" s="13" t="n">
        <v>0</v>
      </c>
      <c r="E417" s="13" t="n">
        <v>0</v>
      </c>
      <c r="F417" s="13" t="n">
        <v>1</v>
      </c>
      <c r="G417" s="13" t="n">
        <v>1</v>
      </c>
      <c r="H417" s="13" t="n">
        <f aca="false">IF(C417=1,A417,"")</f>
        <v>2</v>
      </c>
      <c r="I417" s="13" t="str">
        <f aca="false">IF(C417=0,A417,"")</f>
        <v/>
      </c>
    </row>
    <row r="418" customFormat="false" ht="15" hidden="false" customHeight="false" outlineLevel="0" collapsed="false">
      <c r="A418" s="13" t="n">
        <v>4</v>
      </c>
      <c r="B418" s="13" t="n">
        <v>46</v>
      </c>
      <c r="C418" s="13" t="n">
        <v>0</v>
      </c>
      <c r="D418" s="13" t="n">
        <v>1</v>
      </c>
      <c r="E418" s="13" t="n">
        <v>1</v>
      </c>
      <c r="F418" s="13" t="n">
        <v>1</v>
      </c>
      <c r="G418" s="13" t="n">
        <v>1</v>
      </c>
      <c r="H418" s="13" t="str">
        <f aca="false">IF(C418=1,A418,"")</f>
        <v/>
      </c>
      <c r="I418" s="13" t="n">
        <f aca="false">IF(C418=0,A418,"")</f>
        <v>4</v>
      </c>
    </row>
    <row r="419" customFormat="false" ht="15" hidden="false" customHeight="false" outlineLevel="0" collapsed="false">
      <c r="A419" s="13" t="n">
        <v>3</v>
      </c>
      <c r="B419" s="13" t="n">
        <v>61</v>
      </c>
      <c r="C419" s="13" t="n">
        <v>1</v>
      </c>
      <c r="D419" s="13" t="n">
        <v>0</v>
      </c>
      <c r="E419" s="13" t="n">
        <v>0</v>
      </c>
      <c r="F419" s="13" t="n">
        <v>1</v>
      </c>
      <c r="G419" s="13" t="n">
        <v>1</v>
      </c>
      <c r="H419" s="13" t="n">
        <f aca="false">IF(C419=1,A419,"")</f>
        <v>3</v>
      </c>
      <c r="I419" s="13" t="str">
        <f aca="false">IF(C419=0,A419,"")</f>
        <v/>
      </c>
    </row>
    <row r="420" customFormat="false" ht="15" hidden="false" customHeight="false" outlineLevel="0" collapsed="false">
      <c r="A420" s="13" t="n">
        <v>2</v>
      </c>
      <c r="B420" s="13" t="n">
        <v>30</v>
      </c>
      <c r="C420" s="13" t="n">
        <v>0</v>
      </c>
      <c r="D420" s="13" t="n">
        <v>0</v>
      </c>
      <c r="E420" s="13" t="n">
        <v>0</v>
      </c>
      <c r="F420" s="13" t="n">
        <v>1</v>
      </c>
      <c r="G420" s="13" t="n">
        <v>0</v>
      </c>
      <c r="H420" s="13" t="str">
        <f aca="false">IF(C420=1,A420,"")</f>
        <v/>
      </c>
      <c r="I420" s="13" t="n">
        <f aca="false">IF(C420=0,A420,"")</f>
        <v>2</v>
      </c>
    </row>
    <row r="421" customFormat="false" ht="15" hidden="false" customHeight="false" outlineLevel="0" collapsed="false">
      <c r="A421" s="13" t="n">
        <v>4</v>
      </c>
      <c r="B421" s="13" t="n">
        <v>37</v>
      </c>
      <c r="C421" s="13" t="n">
        <v>0</v>
      </c>
      <c r="D421" s="13" t="n">
        <v>1</v>
      </c>
      <c r="E421" s="13" t="n">
        <v>1</v>
      </c>
      <c r="F421" s="13" t="n">
        <v>1</v>
      </c>
      <c r="G421" s="13" t="n">
        <v>1</v>
      </c>
      <c r="H421" s="13" t="str">
        <f aca="false">IF(C421=1,A421,"")</f>
        <v/>
      </c>
      <c r="I421" s="13" t="n">
        <f aca="false">IF(C421=0,A421,"")</f>
        <v>4</v>
      </c>
    </row>
    <row r="422" customFormat="false" ht="15" hidden="false" customHeight="false" outlineLevel="0" collapsed="false">
      <c r="A422" s="13" t="n">
        <v>4</v>
      </c>
      <c r="B422" s="13" t="n">
        <v>45</v>
      </c>
      <c r="C422" s="13" t="n">
        <v>0</v>
      </c>
      <c r="D422" s="13" t="n">
        <v>1</v>
      </c>
      <c r="E422" s="13" t="n">
        <v>1</v>
      </c>
      <c r="F422" s="13" t="n">
        <v>1</v>
      </c>
      <c r="G422" s="13" t="n">
        <v>1</v>
      </c>
      <c r="H422" s="13" t="str">
        <f aca="false">IF(C422=1,A422,"")</f>
        <v/>
      </c>
      <c r="I422" s="13" t="n">
        <f aca="false">IF(C422=0,A422,"")</f>
        <v>4</v>
      </c>
    </row>
    <row r="423" customFormat="false" ht="15" hidden="false" customHeight="false" outlineLevel="0" collapsed="false">
      <c r="A423" s="13" t="n">
        <v>2</v>
      </c>
      <c r="B423" s="13" t="n">
        <v>56</v>
      </c>
      <c r="C423" s="13" t="n">
        <v>0</v>
      </c>
      <c r="D423" s="13" t="n">
        <v>0</v>
      </c>
      <c r="E423" s="13" t="n">
        <v>0</v>
      </c>
      <c r="F423" s="13" t="n">
        <v>1</v>
      </c>
      <c r="G423" s="13" t="n">
        <v>0</v>
      </c>
      <c r="H423" s="13" t="str">
        <f aca="false">IF(C423=1,A423,"")</f>
        <v/>
      </c>
      <c r="I423" s="13" t="n">
        <f aca="false">IF(C423=0,A423,"")</f>
        <v>2</v>
      </c>
    </row>
    <row r="424" customFormat="false" ht="15" hidden="false" customHeight="false" outlineLevel="0" collapsed="false">
      <c r="A424" s="13" t="n">
        <v>5</v>
      </c>
      <c r="B424" s="13" t="n">
        <v>58</v>
      </c>
      <c r="C424" s="13" t="n">
        <v>1</v>
      </c>
      <c r="D424" s="13" t="n">
        <v>0</v>
      </c>
      <c r="E424" s="13" t="n">
        <v>1</v>
      </c>
      <c r="F424" s="13" t="n">
        <v>1</v>
      </c>
      <c r="G424" s="13" t="n">
        <v>0</v>
      </c>
      <c r="H424" s="13" t="n">
        <f aca="false">IF(C424=1,A424,"")</f>
        <v>5</v>
      </c>
      <c r="I424" s="13" t="str">
        <f aca="false">IF(C424=0,A424,"")</f>
        <v/>
      </c>
    </row>
    <row r="425" customFormat="false" ht="15" hidden="false" customHeight="false" outlineLevel="0" collapsed="false">
      <c r="A425" s="13" t="n">
        <v>4</v>
      </c>
      <c r="B425" s="13" t="n">
        <v>41</v>
      </c>
      <c r="C425" s="13" t="n">
        <v>0</v>
      </c>
      <c r="D425" s="13" t="n">
        <v>1</v>
      </c>
      <c r="E425" s="13" t="n">
        <v>1</v>
      </c>
      <c r="F425" s="13" t="n">
        <v>1</v>
      </c>
      <c r="G425" s="13" t="n">
        <v>0</v>
      </c>
      <c r="H425" s="13" t="str">
        <f aca="false">IF(C425=1,A425,"")</f>
        <v/>
      </c>
      <c r="I425" s="13" t="n">
        <f aca="false">IF(C425=0,A425,"")</f>
        <v>4</v>
      </c>
    </row>
    <row r="426" customFormat="false" ht="15" hidden="false" customHeight="false" outlineLevel="0" collapsed="false">
      <c r="A426" s="13" t="n">
        <v>4</v>
      </c>
      <c r="B426" s="13" t="n">
        <v>41</v>
      </c>
      <c r="C426" s="13" t="n">
        <v>0</v>
      </c>
      <c r="D426" s="13" t="n">
        <v>0</v>
      </c>
      <c r="E426" s="13" t="n">
        <v>0</v>
      </c>
      <c r="F426" s="13" t="n">
        <v>0</v>
      </c>
      <c r="G426" s="13" t="n">
        <v>1</v>
      </c>
      <c r="H426" s="13" t="str">
        <f aca="false">IF(C426=1,A426,"")</f>
        <v/>
      </c>
      <c r="I426" s="13" t="n">
        <f aca="false">IF(C426=0,A426,"")</f>
        <v>4</v>
      </c>
    </row>
    <row r="427" customFormat="false" ht="15" hidden="false" customHeight="false" outlineLevel="0" collapsed="false">
      <c r="A427" s="13" t="n">
        <v>4</v>
      </c>
      <c r="B427" s="13" t="n">
        <v>38</v>
      </c>
      <c r="C427" s="13" t="n">
        <v>1</v>
      </c>
      <c r="D427" s="13" t="n">
        <v>0</v>
      </c>
      <c r="E427" s="13" t="n">
        <v>1</v>
      </c>
      <c r="F427" s="13" t="n">
        <v>1</v>
      </c>
      <c r="G427" s="13" t="n">
        <v>0</v>
      </c>
      <c r="H427" s="13" t="n">
        <f aca="false">IF(C427=1,A427,"")</f>
        <v>4</v>
      </c>
      <c r="I427" s="13" t="str">
        <f aca="false">IF(C427=0,A427,"")</f>
        <v/>
      </c>
    </row>
    <row r="428" customFormat="false" ht="15" hidden="false" customHeight="false" outlineLevel="0" collapsed="false">
      <c r="A428" s="13" t="n">
        <v>4</v>
      </c>
      <c r="B428" s="13" t="n">
        <v>30</v>
      </c>
      <c r="C428" s="13" t="n">
        <v>0</v>
      </c>
      <c r="D428" s="13" t="n">
        <v>2</v>
      </c>
      <c r="E428" s="13" t="n">
        <v>1</v>
      </c>
      <c r="F428" s="13" t="n">
        <v>1</v>
      </c>
      <c r="G428" s="13" t="n">
        <v>1</v>
      </c>
      <c r="H428" s="13" t="str">
        <f aca="false">IF(C428=1,A428,"")</f>
        <v/>
      </c>
      <c r="I428" s="13" t="n">
        <f aca="false">IF(C428=0,A428,"")</f>
        <v>4</v>
      </c>
    </row>
    <row r="429" customFormat="false" ht="15" hidden="false" customHeight="false" outlineLevel="0" collapsed="false">
      <c r="A429" s="13" t="n">
        <v>4</v>
      </c>
      <c r="B429" s="13" t="n">
        <v>31</v>
      </c>
      <c r="C429" s="13" t="n">
        <v>1</v>
      </c>
      <c r="D429" s="13" t="n">
        <v>0</v>
      </c>
      <c r="E429" s="13" t="n">
        <v>1</v>
      </c>
      <c r="F429" s="13" t="n">
        <v>1</v>
      </c>
      <c r="G429" s="13" t="n">
        <v>1</v>
      </c>
      <c r="H429" s="13" t="n">
        <f aca="false">IF(C429=1,A429,"")</f>
        <v>4</v>
      </c>
      <c r="I429" s="13" t="str">
        <f aca="false">IF(C429=0,A429,"")</f>
        <v/>
      </c>
    </row>
    <row r="430" customFormat="false" ht="15" hidden="false" customHeight="false" outlineLevel="0" collapsed="false">
      <c r="A430" s="13" t="n">
        <v>4</v>
      </c>
      <c r="B430" s="13" t="n">
        <v>61</v>
      </c>
      <c r="C430" s="13" t="n">
        <v>0</v>
      </c>
      <c r="D430" s="13" t="n">
        <v>1</v>
      </c>
      <c r="E430" s="13" t="n">
        <v>1</v>
      </c>
      <c r="F430" s="13" t="n">
        <v>0</v>
      </c>
      <c r="G430" s="13" t="n">
        <v>1</v>
      </c>
      <c r="H430" s="13" t="str">
        <f aca="false">IF(C430=1,A430,"")</f>
        <v/>
      </c>
      <c r="I430" s="13" t="n">
        <f aca="false">IF(C430=0,A430,"")</f>
        <v>4</v>
      </c>
    </row>
    <row r="431" customFormat="false" ht="15" hidden="false" customHeight="false" outlineLevel="0" collapsed="false">
      <c r="A431" s="13" t="n">
        <v>4</v>
      </c>
      <c r="B431" s="13" t="n">
        <v>58</v>
      </c>
      <c r="C431" s="13" t="n">
        <v>1</v>
      </c>
      <c r="D431" s="13" t="n">
        <v>0</v>
      </c>
      <c r="E431" s="13" t="n">
        <v>0</v>
      </c>
      <c r="F431" s="13" t="n">
        <v>0</v>
      </c>
      <c r="G431" s="13" t="n">
        <v>0</v>
      </c>
      <c r="H431" s="13" t="n">
        <f aca="false">IF(C431=1,A431,"")</f>
        <v>4</v>
      </c>
      <c r="I431" s="13" t="str">
        <f aca="false">IF(C431=0,A431,"")</f>
        <v/>
      </c>
    </row>
    <row r="432" customFormat="false" ht="15" hidden="false" customHeight="false" outlineLevel="0" collapsed="false">
      <c r="A432" s="13" t="n">
        <v>3</v>
      </c>
      <c r="B432" s="13" t="n">
        <v>39</v>
      </c>
      <c r="C432" s="13" t="n">
        <v>0</v>
      </c>
      <c r="D432" s="13" t="n">
        <v>1</v>
      </c>
      <c r="E432" s="13" t="n">
        <v>1</v>
      </c>
      <c r="F432" s="13" t="n">
        <v>1</v>
      </c>
      <c r="G432" s="13" t="n">
        <v>1</v>
      </c>
      <c r="H432" s="13" t="str">
        <f aca="false">IF(C432=1,A432,"")</f>
        <v/>
      </c>
      <c r="I432" s="13" t="n">
        <f aca="false">IF(C432=0,A432,"")</f>
        <v>3</v>
      </c>
    </row>
    <row r="433" customFormat="false" ht="15" hidden="false" customHeight="false" outlineLevel="0" collapsed="false">
      <c r="A433" s="13" t="n">
        <v>4</v>
      </c>
      <c r="B433" s="13" t="n">
        <v>46</v>
      </c>
      <c r="C433" s="13" t="n">
        <v>0</v>
      </c>
      <c r="D433" s="13" t="n">
        <v>0</v>
      </c>
      <c r="E433" s="13" t="n">
        <v>1</v>
      </c>
      <c r="F433" s="13" t="n">
        <v>1</v>
      </c>
      <c r="G433" s="13" t="n">
        <v>0</v>
      </c>
      <c r="H433" s="13" t="str">
        <f aca="false">IF(C433=1,A433,"")</f>
        <v/>
      </c>
      <c r="I433" s="13" t="n">
        <f aca="false">IF(C433=0,A433,"")</f>
        <v>4</v>
      </c>
    </row>
    <row r="434" customFormat="false" ht="15" hidden="false" customHeight="false" outlineLevel="0" collapsed="false">
      <c r="A434" s="13" t="n">
        <v>3</v>
      </c>
      <c r="B434" s="13" t="n">
        <v>39</v>
      </c>
      <c r="C434" s="13" t="n">
        <v>0</v>
      </c>
      <c r="D434" s="13" t="n">
        <v>1</v>
      </c>
      <c r="E434" s="13" t="n">
        <v>1</v>
      </c>
      <c r="F434" s="13" t="n">
        <v>1</v>
      </c>
      <c r="G434" s="13" t="n">
        <v>0</v>
      </c>
      <c r="H434" s="13" t="str">
        <f aca="false">IF(C434=1,A434,"")</f>
        <v/>
      </c>
      <c r="I434" s="13" t="n">
        <f aca="false">IF(C434=0,A434,"")</f>
        <v>3</v>
      </c>
    </row>
    <row r="435" customFormat="false" ht="15" hidden="false" customHeight="false" outlineLevel="0" collapsed="false">
      <c r="A435" s="13" t="n">
        <v>2</v>
      </c>
      <c r="B435" s="13" t="n">
        <v>62</v>
      </c>
      <c r="C435" s="13" t="n">
        <v>0</v>
      </c>
      <c r="D435" s="13" t="n">
        <v>0</v>
      </c>
      <c r="E435" s="13" t="n">
        <v>0</v>
      </c>
      <c r="F435" s="13" t="n">
        <v>0</v>
      </c>
      <c r="G435" s="13" t="n">
        <v>0</v>
      </c>
      <c r="H435" s="13" t="str">
        <f aca="false">IF(C435=1,A435,"")</f>
        <v/>
      </c>
      <c r="I435" s="13" t="n">
        <f aca="false">IF(C435=0,A435,"")</f>
        <v>2</v>
      </c>
    </row>
    <row r="436" customFormat="false" ht="15" hidden="false" customHeight="false" outlineLevel="0" collapsed="false">
      <c r="A436" s="13" t="n">
        <v>4</v>
      </c>
      <c r="B436" s="13" t="n">
        <v>59</v>
      </c>
      <c r="C436" s="13" t="n">
        <v>0</v>
      </c>
      <c r="D436" s="13" t="n">
        <v>0</v>
      </c>
      <c r="E436" s="13" t="n">
        <v>0</v>
      </c>
      <c r="F436" s="13" t="n">
        <v>0</v>
      </c>
      <c r="G436" s="13" t="n">
        <v>1</v>
      </c>
      <c r="H436" s="13" t="str">
        <f aca="false">IF(C436=1,A436,"")</f>
        <v/>
      </c>
      <c r="I436" s="13" t="n">
        <f aca="false">IF(C436=0,A436,"")</f>
        <v>4</v>
      </c>
    </row>
    <row r="437" customFormat="false" ht="15" hidden="false" customHeight="false" outlineLevel="0" collapsed="false">
      <c r="A437" s="13" t="n">
        <v>5</v>
      </c>
      <c r="B437" s="13" t="n">
        <v>32</v>
      </c>
      <c r="C437" s="13" t="n">
        <v>0</v>
      </c>
      <c r="D437" s="13" t="n">
        <v>0</v>
      </c>
      <c r="E437" s="13" t="n">
        <v>0</v>
      </c>
      <c r="F437" s="13" t="n">
        <v>1</v>
      </c>
      <c r="G437" s="13" t="n">
        <v>1</v>
      </c>
      <c r="H437" s="13" t="str">
        <f aca="false">IF(C437=1,A437,"")</f>
        <v/>
      </c>
      <c r="I437" s="13" t="n">
        <f aca="false">IF(C437=0,A437,"")</f>
        <v>5</v>
      </c>
    </row>
    <row r="438" customFormat="false" ht="15" hidden="false" customHeight="false" outlineLevel="0" collapsed="false">
      <c r="A438" s="13" t="n">
        <v>2</v>
      </c>
      <c r="B438" s="13" t="n">
        <v>35</v>
      </c>
      <c r="C438" s="13" t="n">
        <v>0</v>
      </c>
      <c r="D438" s="13" t="n">
        <v>3</v>
      </c>
      <c r="E438" s="13" t="n">
        <v>0</v>
      </c>
      <c r="F438" s="13" t="n">
        <v>1</v>
      </c>
      <c r="G438" s="13" t="n">
        <v>1</v>
      </c>
      <c r="H438" s="13" t="str">
        <f aca="false">IF(C438=1,A438,"")</f>
        <v/>
      </c>
      <c r="I438" s="13" t="n">
        <f aca="false">IF(C438=0,A438,"")</f>
        <v>2</v>
      </c>
    </row>
    <row r="439" customFormat="false" ht="15" hidden="false" customHeight="false" outlineLevel="0" collapsed="false">
      <c r="A439" s="13" t="n">
        <v>4</v>
      </c>
      <c r="B439" s="13" t="n">
        <v>51</v>
      </c>
      <c r="C439" s="13" t="n">
        <v>1</v>
      </c>
      <c r="D439" s="13" t="n">
        <v>0</v>
      </c>
      <c r="E439" s="13" t="n">
        <v>1</v>
      </c>
      <c r="F439" s="13" t="n">
        <v>1</v>
      </c>
      <c r="G439" s="13" t="n">
        <v>0</v>
      </c>
      <c r="H439" s="13" t="n">
        <f aca="false">IF(C439=1,A439,"")</f>
        <v>4</v>
      </c>
      <c r="I439" s="13" t="str">
        <f aca="false">IF(C439=0,A439,"")</f>
        <v/>
      </c>
    </row>
    <row r="440" customFormat="false" ht="15" hidden="false" customHeight="false" outlineLevel="0" collapsed="false">
      <c r="A440" s="13" t="n">
        <v>4</v>
      </c>
      <c r="B440" s="13" t="n">
        <v>62</v>
      </c>
      <c r="C440" s="13" t="n">
        <v>1</v>
      </c>
      <c r="D440" s="13" t="n">
        <v>1</v>
      </c>
      <c r="E440" s="13" t="n">
        <v>0</v>
      </c>
      <c r="F440" s="13" t="n">
        <v>1</v>
      </c>
      <c r="G440" s="13" t="n">
        <v>1</v>
      </c>
      <c r="H440" s="13" t="n">
        <f aca="false">IF(C440=1,A440,"")</f>
        <v>4</v>
      </c>
      <c r="I440" s="13" t="str">
        <f aca="false">IF(C440=0,A440,"")</f>
        <v/>
      </c>
    </row>
    <row r="441" customFormat="false" ht="15" hidden="false" customHeight="false" outlineLevel="0" collapsed="false">
      <c r="A441" s="13" t="n">
        <v>3</v>
      </c>
      <c r="B441" s="13" t="n">
        <v>57</v>
      </c>
      <c r="C441" s="13" t="n">
        <v>0</v>
      </c>
      <c r="D441" s="13" t="n">
        <v>0</v>
      </c>
      <c r="E441" s="13" t="n">
        <v>0</v>
      </c>
      <c r="F441" s="13" t="n">
        <v>0</v>
      </c>
      <c r="G441" s="13" t="n">
        <v>1</v>
      </c>
      <c r="H441" s="13" t="str">
        <f aca="false">IF(C441=1,A441,"")</f>
        <v/>
      </c>
      <c r="I441" s="13" t="n">
        <f aca="false">IF(C441=0,A441,"")</f>
        <v>3</v>
      </c>
    </row>
    <row r="442" customFormat="false" ht="15" hidden="false" customHeight="false" outlineLevel="0" collapsed="false">
      <c r="A442" s="13" t="n">
        <v>4</v>
      </c>
      <c r="B442" s="13" t="n">
        <v>29</v>
      </c>
      <c r="C442" s="13" t="n">
        <v>0</v>
      </c>
      <c r="D442" s="13" t="n">
        <v>1</v>
      </c>
      <c r="E442" s="13" t="n">
        <v>1</v>
      </c>
      <c r="F442" s="13" t="n">
        <v>0</v>
      </c>
      <c r="G442" s="13" t="n">
        <v>0</v>
      </c>
      <c r="H442" s="13" t="str">
        <f aca="false">IF(C442=1,A442,"")</f>
        <v/>
      </c>
      <c r="I442" s="13" t="n">
        <f aca="false">IF(C442=0,A442,"")</f>
        <v>4</v>
      </c>
    </row>
    <row r="443" customFormat="false" ht="15" hidden="false" customHeight="false" outlineLevel="0" collapsed="false">
      <c r="A443" s="13" t="n">
        <v>4</v>
      </c>
      <c r="B443" s="13" t="n">
        <v>63</v>
      </c>
      <c r="C443" s="13" t="n">
        <v>0</v>
      </c>
      <c r="D443" s="13" t="n">
        <v>0</v>
      </c>
      <c r="E443" s="13" t="n">
        <v>0</v>
      </c>
      <c r="F443" s="13" t="n">
        <v>1</v>
      </c>
      <c r="G443" s="13" t="n">
        <v>1</v>
      </c>
      <c r="H443" s="13" t="str">
        <f aca="false">IF(C443=1,A443,"")</f>
        <v/>
      </c>
      <c r="I443" s="13" t="n">
        <f aca="false">IF(C443=0,A443,"")</f>
        <v>4</v>
      </c>
    </row>
    <row r="444" customFormat="false" ht="15" hidden="false" customHeight="false" outlineLevel="0" collapsed="false">
      <c r="A444" s="13" t="n">
        <v>2</v>
      </c>
      <c r="B444" s="13" t="n">
        <v>42</v>
      </c>
      <c r="C444" s="13" t="n">
        <v>1</v>
      </c>
      <c r="D444" s="13" t="n">
        <v>0</v>
      </c>
      <c r="E444" s="13" t="n">
        <v>0</v>
      </c>
      <c r="F444" s="13" t="n">
        <v>0</v>
      </c>
      <c r="G444" s="13" t="n">
        <v>0</v>
      </c>
      <c r="H444" s="13" t="n">
        <f aca="false">IF(C444=1,A444,"")</f>
        <v>2</v>
      </c>
      <c r="I444" s="13" t="str">
        <f aca="false">IF(C444=0,A444,"")</f>
        <v/>
      </c>
    </row>
    <row r="445" customFormat="false" ht="15" hidden="false" customHeight="false" outlineLevel="0" collapsed="false">
      <c r="A445" s="13" t="n">
        <v>4</v>
      </c>
      <c r="B445" s="13" t="n">
        <v>61</v>
      </c>
      <c r="C445" s="13" t="n">
        <v>1</v>
      </c>
      <c r="D445" s="13" t="n">
        <v>0</v>
      </c>
      <c r="E445" s="13" t="n">
        <v>0</v>
      </c>
      <c r="F445" s="13" t="n">
        <v>1</v>
      </c>
      <c r="G445" s="13" t="n">
        <v>1</v>
      </c>
      <c r="H445" s="13" t="n">
        <f aca="false">IF(C445=1,A445,"")</f>
        <v>4</v>
      </c>
      <c r="I445" s="13" t="str">
        <f aca="false">IF(C445=0,A445,"")</f>
        <v/>
      </c>
    </row>
    <row r="446" customFormat="false" ht="15" hidden="false" customHeight="false" outlineLevel="0" collapsed="false">
      <c r="A446" s="13" t="n">
        <v>2</v>
      </c>
      <c r="B446" s="13" t="n">
        <v>36</v>
      </c>
      <c r="C446" s="13" t="n">
        <v>0</v>
      </c>
      <c r="D446" s="13" t="n">
        <v>3</v>
      </c>
      <c r="E446" s="13" t="n">
        <v>1</v>
      </c>
      <c r="F446" s="13" t="n">
        <v>1</v>
      </c>
      <c r="G446" s="13" t="n">
        <v>1</v>
      </c>
      <c r="H446" s="13" t="str">
        <f aca="false">IF(C446=1,A446,"")</f>
        <v/>
      </c>
      <c r="I446" s="13" t="n">
        <f aca="false">IF(C446=0,A446,"")</f>
        <v>2</v>
      </c>
    </row>
    <row r="447" customFormat="false" ht="15" hidden="false" customHeight="false" outlineLevel="0" collapsed="false">
      <c r="A447" s="13" t="n">
        <v>4</v>
      </c>
      <c r="B447" s="13" t="n">
        <v>61</v>
      </c>
      <c r="C447" s="13" t="n">
        <v>0</v>
      </c>
      <c r="D447" s="13" t="n">
        <v>0</v>
      </c>
      <c r="E447" s="13" t="n">
        <v>1</v>
      </c>
      <c r="F447" s="13" t="n">
        <v>1</v>
      </c>
      <c r="G447" s="13" t="n">
        <v>0</v>
      </c>
      <c r="H447" s="13" t="str">
        <f aca="false">IF(C447=1,A447,"")</f>
        <v/>
      </c>
      <c r="I447" s="13" t="n">
        <f aca="false">IF(C447=0,A447,"")</f>
        <v>4</v>
      </c>
    </row>
    <row r="448" customFormat="false" ht="15" hidden="false" customHeight="false" outlineLevel="0" collapsed="false">
      <c r="A448" s="13" t="n">
        <v>4</v>
      </c>
      <c r="B448" s="13" t="n">
        <v>54</v>
      </c>
      <c r="C448" s="13" t="n">
        <v>0</v>
      </c>
      <c r="D448" s="13" t="n">
        <v>0</v>
      </c>
      <c r="E448" s="13" t="n">
        <v>1</v>
      </c>
      <c r="F448" s="13" t="n">
        <v>1</v>
      </c>
      <c r="G448" s="13" t="n">
        <v>0</v>
      </c>
      <c r="H448" s="13" t="str">
        <f aca="false">IF(C448=1,A448,"")</f>
        <v/>
      </c>
      <c r="I448" s="13" t="n">
        <f aca="false">IF(C448=0,A448,"")</f>
        <v>4</v>
      </c>
    </row>
    <row r="449" customFormat="false" ht="15" hidden="false" customHeight="false" outlineLevel="0" collapsed="false">
      <c r="A449" s="13" t="n">
        <v>2</v>
      </c>
      <c r="B449" s="13" t="n">
        <v>44</v>
      </c>
      <c r="C449" s="13" t="n">
        <v>0</v>
      </c>
      <c r="D449" s="13" t="n">
        <v>2</v>
      </c>
      <c r="E449" s="13" t="n">
        <v>0</v>
      </c>
      <c r="F449" s="13" t="n">
        <v>1</v>
      </c>
      <c r="G449" s="13" t="n">
        <v>1</v>
      </c>
      <c r="H449" s="13" t="str">
        <f aca="false">IF(C449=1,A449,"")</f>
        <v/>
      </c>
      <c r="I449" s="13" t="n">
        <f aca="false">IF(C449=0,A449,"")</f>
        <v>2</v>
      </c>
    </row>
    <row r="450" customFormat="false" ht="15" hidden="false" customHeight="false" outlineLevel="0" collapsed="false">
      <c r="A450" s="13" t="n">
        <v>2</v>
      </c>
      <c r="B450" s="13" t="n">
        <v>54</v>
      </c>
      <c r="C450" s="13" t="n">
        <v>0</v>
      </c>
      <c r="D450" s="13" t="n">
        <v>2</v>
      </c>
      <c r="E450" s="13" t="n">
        <v>0</v>
      </c>
      <c r="F450" s="13" t="n">
        <v>0</v>
      </c>
      <c r="G450" s="13" t="n">
        <v>1</v>
      </c>
      <c r="H450" s="13" t="str">
        <f aca="false">IF(C450=1,A450,"")</f>
        <v/>
      </c>
      <c r="I450" s="13" t="n">
        <f aca="false">IF(C450=0,A450,"")</f>
        <v>2</v>
      </c>
    </row>
    <row r="451" customFormat="false" ht="15" hidden="false" customHeight="false" outlineLevel="0" collapsed="false">
      <c r="A451" s="13" t="n">
        <v>4</v>
      </c>
      <c r="B451" s="13" t="n">
        <v>50</v>
      </c>
      <c r="C451" s="13" t="n">
        <v>0</v>
      </c>
      <c r="D451" s="13" t="n">
        <v>2</v>
      </c>
      <c r="E451" s="13" t="n">
        <v>0</v>
      </c>
      <c r="F451" s="13" t="n">
        <v>1</v>
      </c>
      <c r="G451" s="13" t="n">
        <v>1</v>
      </c>
      <c r="H451" s="13" t="str">
        <f aca="false">IF(C451=1,A451,"")</f>
        <v/>
      </c>
      <c r="I451" s="13" t="n">
        <f aca="false">IF(C451=0,A451,"")</f>
        <v>4</v>
      </c>
    </row>
    <row r="452" customFormat="false" ht="15" hidden="false" customHeight="false" outlineLevel="0" collapsed="false">
      <c r="A452" s="13" t="n">
        <v>4</v>
      </c>
      <c r="B452" s="13" t="n">
        <v>58</v>
      </c>
      <c r="C452" s="13" t="n">
        <v>1</v>
      </c>
      <c r="D452" s="13" t="n">
        <v>1</v>
      </c>
      <c r="E452" s="13" t="n">
        <v>0</v>
      </c>
      <c r="F452" s="13" t="n">
        <v>0</v>
      </c>
      <c r="G452" s="13" t="n">
        <v>1</v>
      </c>
      <c r="H452" s="13" t="n">
        <f aca="false">IF(C452=1,A452,"")</f>
        <v>4</v>
      </c>
      <c r="I452" s="13" t="str">
        <f aca="false">IF(C452=0,A452,"")</f>
        <v/>
      </c>
    </row>
    <row r="453" customFormat="false" ht="15" hidden="false" customHeight="false" outlineLevel="0" collapsed="false">
      <c r="A453" s="13" t="n">
        <v>5</v>
      </c>
      <c r="B453" s="13" t="n">
        <v>62</v>
      </c>
      <c r="C453" s="13" t="n">
        <v>1</v>
      </c>
      <c r="D453" s="13" t="n">
        <v>1</v>
      </c>
      <c r="E453" s="13" t="n">
        <v>0</v>
      </c>
      <c r="F453" s="13" t="n">
        <v>0</v>
      </c>
      <c r="G453" s="13" t="n">
        <v>1</v>
      </c>
      <c r="H453" s="13" t="n">
        <f aca="false">IF(C453=1,A453,"")</f>
        <v>5</v>
      </c>
      <c r="I453" s="13" t="str">
        <f aca="false">IF(C453=0,A453,"")</f>
        <v/>
      </c>
    </row>
    <row r="454" customFormat="false" ht="15" hidden="false" customHeight="false" outlineLevel="0" collapsed="false">
      <c r="A454" s="13" t="n">
        <v>4</v>
      </c>
      <c r="B454" s="13" t="n">
        <v>37</v>
      </c>
      <c r="C454" s="13" t="n">
        <v>0</v>
      </c>
      <c r="D454" s="13" t="n">
        <v>3</v>
      </c>
      <c r="E454" s="13" t="n">
        <v>1</v>
      </c>
      <c r="F454" s="13" t="n">
        <v>1</v>
      </c>
      <c r="G454" s="13" t="n">
        <v>1</v>
      </c>
      <c r="H454" s="13" t="str">
        <f aca="false">IF(C454=1,A454,"")</f>
        <v/>
      </c>
      <c r="I454" s="13" t="n">
        <f aca="false">IF(C454=0,A454,"")</f>
        <v>4</v>
      </c>
    </row>
    <row r="455" customFormat="false" ht="15" hidden="false" customHeight="false" outlineLevel="0" collapsed="false">
      <c r="A455" s="13" t="n">
        <v>2</v>
      </c>
      <c r="B455" s="13" t="n">
        <v>58</v>
      </c>
      <c r="C455" s="13" t="n">
        <v>1</v>
      </c>
      <c r="D455" s="13" t="n">
        <v>0</v>
      </c>
      <c r="E455" s="13" t="n">
        <v>1</v>
      </c>
      <c r="F455" s="13" t="n">
        <v>0</v>
      </c>
      <c r="G455" s="13" t="n">
        <v>1</v>
      </c>
      <c r="H455" s="13" t="n">
        <f aca="false">IF(C455=1,A455,"")</f>
        <v>2</v>
      </c>
      <c r="I455" s="13" t="str">
        <f aca="false">IF(C455=0,A455,"")</f>
        <v/>
      </c>
    </row>
    <row r="456" customFormat="false" ht="15" hidden="false" customHeight="false" outlineLevel="0" collapsed="false">
      <c r="A456" s="13" t="n">
        <v>3</v>
      </c>
      <c r="B456" s="13" t="n">
        <v>33</v>
      </c>
      <c r="C456" s="13" t="n">
        <v>1</v>
      </c>
      <c r="D456" s="13" t="n">
        <v>0</v>
      </c>
      <c r="E456" s="13" t="n">
        <v>1</v>
      </c>
      <c r="F456" s="13" t="n">
        <v>1</v>
      </c>
      <c r="G456" s="13" t="n">
        <v>0</v>
      </c>
      <c r="H456" s="13" t="n">
        <f aca="false">IF(C456=1,A456,"")</f>
        <v>3</v>
      </c>
      <c r="I456" s="13" t="str">
        <f aca="false">IF(C456=0,A456,"")</f>
        <v/>
      </c>
    </row>
    <row r="457" customFormat="false" ht="15" hidden="false" customHeight="false" outlineLevel="0" collapsed="false">
      <c r="A457" s="13" t="n">
        <v>4</v>
      </c>
      <c r="B457" s="13" t="n">
        <v>33</v>
      </c>
      <c r="C457" s="13" t="n">
        <v>0</v>
      </c>
      <c r="D457" s="13" t="n">
        <v>0</v>
      </c>
      <c r="E457" s="13" t="n">
        <v>1</v>
      </c>
      <c r="F457" s="13" t="n">
        <v>1</v>
      </c>
      <c r="G457" s="13" t="n">
        <v>0</v>
      </c>
      <c r="H457" s="13" t="str">
        <f aca="false">IF(C457=1,A457,"")</f>
        <v/>
      </c>
      <c r="I457" s="13" t="n">
        <f aca="false">IF(C457=0,A457,"")</f>
        <v>4</v>
      </c>
    </row>
    <row r="458" customFormat="false" ht="15" hidden="false" customHeight="false" outlineLevel="0" collapsed="false">
      <c r="A458" s="13" t="n">
        <v>4</v>
      </c>
      <c r="B458" s="13" t="n">
        <v>62</v>
      </c>
      <c r="C458" s="13" t="n">
        <v>1</v>
      </c>
      <c r="D458" s="13" t="n">
        <v>0</v>
      </c>
      <c r="E458" s="13" t="n">
        <v>0</v>
      </c>
      <c r="F458" s="13" t="n">
        <v>0</v>
      </c>
      <c r="G458" s="13" t="n">
        <v>1</v>
      </c>
      <c r="H458" s="13" t="n">
        <f aca="false">IF(C458=1,A458,"")</f>
        <v>4</v>
      </c>
      <c r="I458" s="13" t="str">
        <f aca="false">IF(C458=0,A458,"")</f>
        <v/>
      </c>
    </row>
    <row r="459" customFormat="false" ht="15" hidden="false" customHeight="false" outlineLevel="0" collapsed="false">
      <c r="A459" s="13" t="n">
        <v>4</v>
      </c>
      <c r="B459" s="13" t="n">
        <v>41</v>
      </c>
      <c r="C459" s="13" t="n">
        <v>0</v>
      </c>
      <c r="D459" s="13" t="n">
        <v>2</v>
      </c>
      <c r="E459" s="13" t="n">
        <v>0</v>
      </c>
      <c r="F459" s="13" t="n">
        <v>1</v>
      </c>
      <c r="G459" s="13" t="n">
        <v>1</v>
      </c>
      <c r="H459" s="13" t="str">
        <f aca="false">IF(C459=1,A459,"")</f>
        <v/>
      </c>
      <c r="I459" s="13" t="n">
        <f aca="false">IF(C459=0,A459,"")</f>
        <v>4</v>
      </c>
    </row>
    <row r="460" customFormat="false" ht="15" hidden="false" customHeight="false" outlineLevel="0" collapsed="false">
      <c r="A460" s="13" t="n">
        <v>4</v>
      </c>
      <c r="B460" s="13" t="n">
        <v>60</v>
      </c>
      <c r="C460" s="13" t="n">
        <v>1</v>
      </c>
      <c r="D460" s="13" t="n">
        <v>1</v>
      </c>
      <c r="E460" s="13" t="n">
        <v>0</v>
      </c>
      <c r="F460" s="13" t="n">
        <v>0</v>
      </c>
      <c r="G460" s="13" t="n">
        <v>1</v>
      </c>
      <c r="H460" s="13" t="n">
        <f aca="false">IF(C460=1,A460,"")</f>
        <v>4</v>
      </c>
      <c r="I460" s="13" t="str">
        <f aca="false">IF(C460=0,A460,"")</f>
        <v/>
      </c>
    </row>
    <row r="461" customFormat="false" ht="15" hidden="false" customHeight="false" outlineLevel="0" collapsed="false">
      <c r="A461" s="13" t="n">
        <v>3</v>
      </c>
      <c r="B461" s="13" t="n">
        <v>45</v>
      </c>
      <c r="C461" s="13" t="n">
        <v>1</v>
      </c>
      <c r="D461" s="13" t="n">
        <v>0</v>
      </c>
      <c r="E461" s="13" t="n">
        <v>1</v>
      </c>
      <c r="F461" s="13" t="n">
        <v>1</v>
      </c>
      <c r="G461" s="13" t="n">
        <v>0</v>
      </c>
      <c r="H461" s="13" t="n">
        <f aca="false">IF(C461=1,A461,"")</f>
        <v>3</v>
      </c>
      <c r="I461" s="13" t="str">
        <f aca="false">IF(C461=0,A461,"")</f>
        <v/>
      </c>
    </row>
    <row r="462" customFormat="false" ht="15" hidden="false" customHeight="false" outlineLevel="0" collapsed="false">
      <c r="A462" s="13" t="n">
        <v>4</v>
      </c>
      <c r="B462" s="13" t="n">
        <v>32</v>
      </c>
      <c r="C462" s="13" t="n">
        <v>0</v>
      </c>
      <c r="D462" s="13" t="n">
        <v>1</v>
      </c>
      <c r="E462" s="13" t="n">
        <v>1</v>
      </c>
      <c r="F462" s="13" t="n">
        <v>1</v>
      </c>
      <c r="G462" s="13" t="n">
        <v>1</v>
      </c>
      <c r="H462" s="13" t="str">
        <f aca="false">IF(C462=1,A462,"")</f>
        <v/>
      </c>
      <c r="I462" s="13" t="n">
        <f aca="false">IF(C462=0,A462,"")</f>
        <v>4</v>
      </c>
    </row>
    <row r="463" customFormat="false" ht="15" hidden="false" customHeight="false" outlineLevel="0" collapsed="false">
      <c r="A463" s="13" t="n">
        <v>5</v>
      </c>
      <c r="B463" s="13" t="n">
        <v>38</v>
      </c>
      <c r="C463" s="13" t="n">
        <v>0</v>
      </c>
      <c r="D463" s="13" t="n">
        <v>0</v>
      </c>
      <c r="E463" s="13" t="n">
        <v>1</v>
      </c>
      <c r="F463" s="13" t="n">
        <v>0</v>
      </c>
      <c r="G463" s="13" t="n">
        <v>0</v>
      </c>
      <c r="H463" s="13" t="str">
        <f aca="false">IF(C463=1,A463,"")</f>
        <v/>
      </c>
      <c r="I463" s="13" t="n">
        <f aca="false">IF(C463=0,A463,"")</f>
        <v>5</v>
      </c>
    </row>
    <row r="464" customFormat="false" ht="15" hidden="false" customHeight="false" outlineLevel="0" collapsed="false">
      <c r="A464" s="13" t="n">
        <v>4</v>
      </c>
      <c r="B464" s="13" t="n">
        <v>47</v>
      </c>
      <c r="C464" s="13" t="n">
        <v>0</v>
      </c>
      <c r="D464" s="13" t="n">
        <v>3</v>
      </c>
      <c r="E464" s="13" t="n">
        <v>1</v>
      </c>
      <c r="F464" s="13" t="n">
        <v>1</v>
      </c>
      <c r="G464" s="13" t="n">
        <v>1</v>
      </c>
      <c r="H464" s="13" t="str">
        <f aca="false">IF(C464=1,A464,"")</f>
        <v/>
      </c>
      <c r="I464" s="13" t="n">
        <f aca="false">IF(C464=0,A464,"")</f>
        <v>4</v>
      </c>
    </row>
    <row r="465" customFormat="false" ht="15" hidden="false" customHeight="false" outlineLevel="0" collapsed="false">
      <c r="A465" s="13" t="n">
        <v>4</v>
      </c>
      <c r="B465" s="13" t="n">
        <v>61</v>
      </c>
      <c r="C465" s="13" t="n">
        <v>0</v>
      </c>
      <c r="D465" s="13" t="n">
        <v>0</v>
      </c>
      <c r="E465" s="13" t="n">
        <v>0</v>
      </c>
      <c r="F465" s="13" t="n">
        <v>1</v>
      </c>
      <c r="G465" s="13" t="n">
        <v>1</v>
      </c>
      <c r="H465" s="13" t="str">
        <f aca="false">IF(C465=1,A465,"")</f>
        <v/>
      </c>
      <c r="I465" s="13" t="n">
        <f aca="false">IF(C465=0,A465,"")</f>
        <v>4</v>
      </c>
    </row>
    <row r="466" customFormat="false" ht="15" hidden="false" customHeight="false" outlineLevel="0" collapsed="false">
      <c r="A466" s="13" t="n">
        <v>4</v>
      </c>
      <c r="B466" s="13" t="n">
        <v>42</v>
      </c>
      <c r="C466" s="13" t="n">
        <v>0</v>
      </c>
      <c r="D466" s="13" t="n">
        <v>2</v>
      </c>
      <c r="E466" s="13" t="n">
        <v>1</v>
      </c>
      <c r="F466" s="13" t="n">
        <v>1</v>
      </c>
      <c r="G466" s="13" t="n">
        <v>1</v>
      </c>
      <c r="H466" s="13" t="str">
        <f aca="false">IF(C466=1,A466,"")</f>
        <v/>
      </c>
      <c r="I466" s="13" t="n">
        <f aca="false">IF(C466=0,A466,"")</f>
        <v>4</v>
      </c>
    </row>
    <row r="467" customFormat="false" ht="15" hidden="false" customHeight="false" outlineLevel="0" collapsed="false">
      <c r="A467" s="13" t="n">
        <v>5</v>
      </c>
      <c r="B467" s="13" t="n">
        <v>39</v>
      </c>
      <c r="C467" s="13" t="n">
        <v>0</v>
      </c>
      <c r="D467" s="13" t="n">
        <v>2</v>
      </c>
      <c r="E467" s="13" t="n">
        <v>0</v>
      </c>
      <c r="F467" s="13" t="n">
        <v>1</v>
      </c>
      <c r="G467" s="13" t="n">
        <v>1</v>
      </c>
      <c r="H467" s="13" t="str">
        <f aca="false">IF(C467=1,A467,"")</f>
        <v/>
      </c>
      <c r="I467" s="13" t="n">
        <f aca="false">IF(C467=0,A467,"")</f>
        <v>5</v>
      </c>
    </row>
    <row r="468" customFormat="false" ht="15" hidden="false" customHeight="false" outlineLevel="0" collapsed="false">
      <c r="A468" s="13" t="n">
        <v>2</v>
      </c>
      <c r="B468" s="13" t="n">
        <v>41</v>
      </c>
      <c r="C468" s="13" t="n">
        <v>0</v>
      </c>
      <c r="D468" s="13" t="n">
        <v>3</v>
      </c>
      <c r="E468" s="13" t="n">
        <v>0</v>
      </c>
      <c r="F468" s="13" t="n">
        <v>0</v>
      </c>
      <c r="G468" s="13" t="n">
        <v>1</v>
      </c>
      <c r="H468" s="13" t="str">
        <f aca="false">IF(C468=1,A468,"")</f>
        <v/>
      </c>
      <c r="I468" s="13" t="n">
        <f aca="false">IF(C468=0,A468,"")</f>
        <v>2</v>
      </c>
    </row>
    <row r="469" customFormat="false" ht="15" hidden="false" customHeight="false" outlineLevel="0" collapsed="false">
      <c r="A469" s="13" t="n">
        <v>4</v>
      </c>
      <c r="B469" s="13" t="n">
        <v>53</v>
      </c>
      <c r="C469" s="13" t="n">
        <v>0</v>
      </c>
      <c r="D469" s="13" t="n">
        <v>1</v>
      </c>
      <c r="E469" s="13" t="n">
        <v>1</v>
      </c>
      <c r="F469" s="13" t="n">
        <v>0</v>
      </c>
      <c r="G469" s="13" t="n">
        <v>1</v>
      </c>
      <c r="H469" s="13" t="str">
        <f aca="false">IF(C469=1,A469,"")</f>
        <v/>
      </c>
      <c r="I469" s="13" t="n">
        <f aca="false">IF(C469=0,A469,"")</f>
        <v>4</v>
      </c>
    </row>
    <row r="470" customFormat="false" ht="15" hidden="false" customHeight="false" outlineLevel="0" collapsed="false">
      <c r="A470" s="13" t="n">
        <v>4</v>
      </c>
      <c r="B470" s="13" t="n">
        <v>34</v>
      </c>
      <c r="C470" s="13" t="n">
        <v>1</v>
      </c>
      <c r="D470" s="13" t="n">
        <v>2</v>
      </c>
      <c r="E470" s="13" t="n">
        <v>1</v>
      </c>
      <c r="F470" s="13" t="n">
        <v>1</v>
      </c>
      <c r="G470" s="13" t="n">
        <v>1</v>
      </c>
      <c r="H470" s="13" t="n">
        <f aca="false">IF(C470=1,A470,"")</f>
        <v>4</v>
      </c>
      <c r="I470" s="13" t="str">
        <f aca="false">IF(C470=0,A470,"")</f>
        <v/>
      </c>
    </row>
    <row r="471" customFormat="false" ht="15" hidden="false" customHeight="false" outlineLevel="0" collapsed="false">
      <c r="A471" s="13" t="n">
        <v>4</v>
      </c>
      <c r="B471" s="13" t="n">
        <v>41</v>
      </c>
      <c r="C471" s="13" t="n">
        <v>0</v>
      </c>
      <c r="D471" s="13" t="n">
        <v>1</v>
      </c>
      <c r="E471" s="13" t="n">
        <v>1</v>
      </c>
      <c r="F471" s="13" t="n">
        <v>0</v>
      </c>
      <c r="G471" s="13" t="n">
        <v>1</v>
      </c>
      <c r="H471" s="13" t="str">
        <f aca="false">IF(C471=1,A471,"")</f>
        <v/>
      </c>
      <c r="I471" s="13" t="n">
        <f aca="false">IF(C471=0,A471,"")</f>
        <v>4</v>
      </c>
    </row>
    <row r="472" customFormat="false" ht="15" hidden="false" customHeight="false" outlineLevel="0" collapsed="false">
      <c r="A472" s="13" t="n">
        <v>4</v>
      </c>
      <c r="B472" s="13" t="n">
        <v>34</v>
      </c>
      <c r="C472" s="13" t="n">
        <v>0</v>
      </c>
      <c r="D472" s="13" t="n">
        <v>2</v>
      </c>
      <c r="E472" s="13" t="n">
        <v>1</v>
      </c>
      <c r="F472" s="13" t="n">
        <v>0</v>
      </c>
      <c r="G472" s="13" t="n">
        <v>1</v>
      </c>
      <c r="H472" s="13" t="str">
        <f aca="false">IF(C472=1,A472,"")</f>
        <v/>
      </c>
      <c r="I472" s="13" t="n">
        <f aca="false">IF(C472=0,A472,"")</f>
        <v>4</v>
      </c>
    </row>
    <row r="473" customFormat="false" ht="15" hidden="false" customHeight="false" outlineLevel="0" collapsed="false">
      <c r="A473" s="13" t="n">
        <v>4</v>
      </c>
      <c r="B473" s="13" t="n">
        <v>44</v>
      </c>
      <c r="C473" s="13" t="n">
        <v>0</v>
      </c>
      <c r="D473" s="13" t="n">
        <v>1</v>
      </c>
      <c r="E473" s="13" t="n">
        <v>0</v>
      </c>
      <c r="F473" s="13" t="n">
        <v>1</v>
      </c>
      <c r="G473" s="13" t="n">
        <v>1</v>
      </c>
      <c r="H473" s="13" t="str">
        <f aca="false">IF(C473=1,A473,"")</f>
        <v/>
      </c>
      <c r="I473" s="13" t="n">
        <f aca="false">IF(C473=0,A473,"")</f>
        <v>4</v>
      </c>
    </row>
    <row r="474" customFormat="false" ht="15" hidden="false" customHeight="false" outlineLevel="0" collapsed="false">
      <c r="A474" s="13" t="n">
        <v>4</v>
      </c>
      <c r="B474" s="13" t="n">
        <v>43</v>
      </c>
      <c r="C474" s="13" t="n">
        <v>0</v>
      </c>
      <c r="D474" s="13" t="n">
        <v>2</v>
      </c>
      <c r="E474" s="13" t="n">
        <v>1</v>
      </c>
      <c r="F474" s="13" t="n">
        <v>1</v>
      </c>
      <c r="G474" s="13" t="n">
        <v>1</v>
      </c>
      <c r="H474" s="13" t="str">
        <f aca="false">IF(C474=1,A474,"")</f>
        <v/>
      </c>
      <c r="I474" s="13" t="n">
        <f aca="false">IF(C474=0,A474,"")</f>
        <v>4</v>
      </c>
    </row>
    <row r="475" customFormat="false" ht="15" hidden="false" customHeight="false" outlineLevel="0" collapsed="false">
      <c r="A475" s="13" t="n">
        <v>4</v>
      </c>
      <c r="B475" s="13" t="n">
        <v>38</v>
      </c>
      <c r="C475" s="13" t="n">
        <v>0</v>
      </c>
      <c r="D475" s="13" t="n">
        <v>2</v>
      </c>
      <c r="E475" s="13" t="n">
        <v>1</v>
      </c>
      <c r="F475" s="13" t="n">
        <v>0</v>
      </c>
      <c r="G475" s="13" t="n">
        <v>1</v>
      </c>
      <c r="H475" s="13" t="str">
        <f aca="false">IF(C475=1,A475,"")</f>
        <v/>
      </c>
      <c r="I475" s="13" t="n">
        <f aca="false">IF(C475=0,A475,"")</f>
        <v>4</v>
      </c>
    </row>
    <row r="476" customFormat="false" ht="15" hidden="false" customHeight="false" outlineLevel="0" collapsed="false">
      <c r="A476" s="13" t="n">
        <v>4</v>
      </c>
      <c r="B476" s="13" t="n">
        <v>57</v>
      </c>
      <c r="C476" s="13" t="n">
        <v>1</v>
      </c>
      <c r="D476" s="13" t="n">
        <v>0</v>
      </c>
      <c r="E476" s="13" t="n">
        <v>0</v>
      </c>
      <c r="F476" s="13" t="n">
        <v>0</v>
      </c>
      <c r="G476" s="13" t="n">
        <v>0</v>
      </c>
      <c r="H476" s="13" t="n">
        <f aca="false">IF(C476=1,A476,"")</f>
        <v>4</v>
      </c>
      <c r="I476" s="13" t="str">
        <f aca="false">IF(C476=0,A476,"")</f>
        <v/>
      </c>
    </row>
    <row r="477" customFormat="false" ht="15" hidden="false" customHeight="false" outlineLevel="0" collapsed="false">
      <c r="A477" s="13" t="n">
        <v>3</v>
      </c>
      <c r="B477" s="13" t="n">
        <v>55</v>
      </c>
      <c r="C477" s="13" t="n">
        <v>0</v>
      </c>
      <c r="D477" s="13" t="n">
        <v>0</v>
      </c>
      <c r="E477" s="13" t="n">
        <v>1</v>
      </c>
      <c r="F477" s="13" t="n">
        <v>0</v>
      </c>
      <c r="G477" s="13" t="n">
        <v>1</v>
      </c>
      <c r="H477" s="13" t="str">
        <f aca="false">IF(C477=1,A477,"")</f>
        <v/>
      </c>
      <c r="I477" s="13" t="n">
        <f aca="false">IF(C477=0,A477,"")</f>
        <v>3</v>
      </c>
    </row>
    <row r="478" customFormat="false" ht="15" hidden="false" customHeight="false" outlineLevel="0" collapsed="false">
      <c r="A478" s="13" t="n">
        <v>4</v>
      </c>
      <c r="B478" s="13" t="n">
        <v>62</v>
      </c>
      <c r="C478" s="13" t="n">
        <v>0</v>
      </c>
      <c r="D478" s="13" t="n">
        <v>0</v>
      </c>
      <c r="E478" s="13" t="n">
        <v>0</v>
      </c>
      <c r="F478" s="13" t="n">
        <v>0</v>
      </c>
      <c r="G478" s="13" t="n">
        <v>0</v>
      </c>
      <c r="H478" s="13" t="str">
        <f aca="false">IF(C478=1,A478,"")</f>
        <v/>
      </c>
      <c r="I478" s="13" t="n">
        <f aca="false">IF(C478=0,A478,"")</f>
        <v>4</v>
      </c>
    </row>
    <row r="479" customFormat="false" ht="15" hidden="false" customHeight="false" outlineLevel="0" collapsed="false">
      <c r="A479" s="13" t="n">
        <v>2</v>
      </c>
      <c r="B479" s="13" t="n">
        <v>61</v>
      </c>
      <c r="C479" s="13" t="n">
        <v>0</v>
      </c>
      <c r="D479" s="13" t="n">
        <v>0</v>
      </c>
      <c r="E479" s="13" t="n">
        <v>0</v>
      </c>
      <c r="F479" s="13" t="n">
        <v>1</v>
      </c>
      <c r="G479" s="13" t="n">
        <v>1</v>
      </c>
      <c r="H479" s="13" t="str">
        <f aca="false">IF(C479=1,A479,"")</f>
        <v/>
      </c>
      <c r="I479" s="13" t="n">
        <f aca="false">IF(C479=0,A479,"")</f>
        <v>2</v>
      </c>
    </row>
    <row r="480" customFormat="false" ht="15" hidden="false" customHeight="false" outlineLevel="0" collapsed="false">
      <c r="A480" s="13" t="n">
        <v>4</v>
      </c>
      <c r="B480" s="13" t="n">
        <v>62</v>
      </c>
      <c r="C480" s="13" t="n">
        <v>1</v>
      </c>
      <c r="D480" s="13" t="n">
        <v>0</v>
      </c>
      <c r="E480" s="13" t="n">
        <v>0</v>
      </c>
      <c r="F480" s="13" t="n">
        <v>1</v>
      </c>
      <c r="G480" s="13" t="n">
        <v>0</v>
      </c>
      <c r="H480" s="13" t="n">
        <f aca="false">IF(C480=1,A480,"")</f>
        <v>4</v>
      </c>
      <c r="I480" s="13" t="str">
        <f aca="false">IF(C480=0,A480,"")</f>
        <v/>
      </c>
    </row>
    <row r="481" customFormat="false" ht="15" hidden="false" customHeight="false" outlineLevel="0" collapsed="false">
      <c r="A481" s="13" t="n">
        <v>4</v>
      </c>
      <c r="B481" s="13" t="n">
        <v>56</v>
      </c>
      <c r="C481" s="13" t="n">
        <v>1</v>
      </c>
      <c r="D481" s="13" t="n">
        <v>0</v>
      </c>
      <c r="E481" s="13" t="n">
        <v>0</v>
      </c>
      <c r="F481" s="13" t="n">
        <v>0</v>
      </c>
      <c r="G481" s="13" t="n">
        <v>1</v>
      </c>
      <c r="H481" s="13" t="n">
        <f aca="false">IF(C481=1,A481,"")</f>
        <v>4</v>
      </c>
      <c r="I481" s="13" t="str">
        <f aca="false">IF(C481=0,A481,"")</f>
        <v/>
      </c>
    </row>
    <row r="482" customFormat="false" ht="15" hidden="false" customHeight="false" outlineLevel="0" collapsed="false">
      <c r="A482" s="13" t="n">
        <v>4</v>
      </c>
      <c r="B482" s="13" t="n">
        <v>62</v>
      </c>
      <c r="C482" s="13" t="n">
        <v>0</v>
      </c>
      <c r="D482" s="13" t="n">
        <v>0</v>
      </c>
      <c r="E482" s="13" t="n">
        <v>1</v>
      </c>
      <c r="F482" s="13" t="n">
        <v>1</v>
      </c>
      <c r="G482" s="13" t="n">
        <v>1</v>
      </c>
      <c r="H482" s="13" t="str">
        <f aca="false">IF(C482=1,A482,"")</f>
        <v/>
      </c>
      <c r="I482" s="13" t="n">
        <f aca="false">IF(C482=0,A482,"")</f>
        <v>4</v>
      </c>
    </row>
    <row r="483" customFormat="false" ht="15" hidden="false" customHeight="false" outlineLevel="0" collapsed="false">
      <c r="A483" s="13" t="n">
        <v>5</v>
      </c>
      <c r="B483" s="13" t="n">
        <v>63</v>
      </c>
      <c r="C483" s="13" t="n">
        <v>0</v>
      </c>
      <c r="D483" s="13" t="n">
        <v>0</v>
      </c>
      <c r="E483" s="13" t="n">
        <v>0</v>
      </c>
      <c r="F483" s="13" t="n">
        <v>1</v>
      </c>
      <c r="G483" s="13" t="n">
        <v>1</v>
      </c>
      <c r="H483" s="13" t="str">
        <f aca="false">IF(C483=1,A483,"")</f>
        <v/>
      </c>
      <c r="I483" s="13" t="n">
        <f aca="false">IF(C483=0,A483,"")</f>
        <v>5</v>
      </c>
    </row>
    <row r="484" customFormat="false" ht="15" hidden="false" customHeight="false" outlineLevel="0" collapsed="false">
      <c r="A484" s="13" t="n">
        <v>2</v>
      </c>
      <c r="B484" s="13" t="n">
        <v>31</v>
      </c>
      <c r="C484" s="13" t="n">
        <v>0</v>
      </c>
      <c r="D484" s="13" t="n">
        <v>1</v>
      </c>
      <c r="E484" s="13" t="n">
        <v>1</v>
      </c>
      <c r="F484" s="13" t="n">
        <v>1</v>
      </c>
      <c r="G484" s="13" t="n">
        <v>0</v>
      </c>
      <c r="H484" s="13" t="str">
        <f aca="false">IF(C484=1,A484,"")</f>
        <v/>
      </c>
      <c r="I484" s="13" t="n">
        <f aca="false">IF(C484=0,A484,"")</f>
        <v>2</v>
      </c>
    </row>
    <row r="485" customFormat="false" ht="15" hidden="false" customHeight="false" outlineLevel="0" collapsed="false">
      <c r="A485" s="13" t="n">
        <v>3</v>
      </c>
      <c r="B485" s="13" t="n">
        <v>33</v>
      </c>
      <c r="C485" s="13" t="n">
        <v>0</v>
      </c>
      <c r="D485" s="13" t="n">
        <v>2</v>
      </c>
      <c r="E485" s="13" t="n">
        <v>1</v>
      </c>
      <c r="F485" s="13" t="n">
        <v>1</v>
      </c>
      <c r="G485" s="13" t="n">
        <v>0</v>
      </c>
      <c r="H485" s="13" t="str">
        <f aca="false">IF(C485=1,A485,"")</f>
        <v/>
      </c>
      <c r="I485" s="13" t="n">
        <f aca="false">IF(C485=0,A485,"")</f>
        <v>3</v>
      </c>
    </row>
    <row r="486" customFormat="false" ht="15" hidden="false" customHeight="false" outlineLevel="0" collapsed="false">
      <c r="A486" s="13" t="n">
        <v>3</v>
      </c>
      <c r="B486" s="13" t="n">
        <v>51</v>
      </c>
      <c r="C486" s="13" t="n">
        <v>1</v>
      </c>
      <c r="D486" s="13" t="n">
        <v>1</v>
      </c>
      <c r="E486" s="13" t="n">
        <v>1</v>
      </c>
      <c r="F486" s="13" t="n">
        <v>1</v>
      </c>
      <c r="G486" s="13" t="n">
        <v>1</v>
      </c>
      <c r="H486" s="13" t="n">
        <f aca="false">IF(C486=1,A486,"")</f>
        <v>3</v>
      </c>
      <c r="I486" s="13" t="str">
        <f aca="false">IF(C486=0,A486,"")</f>
        <v/>
      </c>
    </row>
    <row r="487" customFormat="false" ht="15" hidden="false" customHeight="false" outlineLevel="0" collapsed="false">
      <c r="A487" s="13" t="n">
        <v>4</v>
      </c>
      <c r="B487" s="13" t="n">
        <v>29</v>
      </c>
      <c r="C487" s="13" t="n">
        <v>0</v>
      </c>
      <c r="D487" s="13" t="n">
        <v>0</v>
      </c>
      <c r="E487" s="13" t="n">
        <v>1</v>
      </c>
      <c r="F487" s="13" t="n">
        <v>1</v>
      </c>
      <c r="G487" s="13" t="n">
        <v>1</v>
      </c>
      <c r="H487" s="13" t="str">
        <f aca="false">IF(C487=1,A487,"")</f>
        <v/>
      </c>
      <c r="I487" s="13" t="n">
        <f aca="false">IF(C487=0,A487,"")</f>
        <v>4</v>
      </c>
    </row>
    <row r="488" customFormat="false" ht="15" hidden="false" customHeight="false" outlineLevel="0" collapsed="false">
      <c r="A488" s="13" t="n">
        <v>3</v>
      </c>
      <c r="B488" s="13" t="n">
        <v>44</v>
      </c>
      <c r="C488" s="13" t="n">
        <v>1</v>
      </c>
      <c r="D488" s="13" t="n">
        <v>0</v>
      </c>
      <c r="E488" s="13" t="n">
        <v>1</v>
      </c>
      <c r="F488" s="13" t="n">
        <v>0</v>
      </c>
      <c r="G488" s="13" t="n">
        <v>0</v>
      </c>
      <c r="H488" s="13" t="n">
        <f aca="false">IF(C488=1,A488,"")</f>
        <v>3</v>
      </c>
      <c r="I488" s="13" t="str">
        <f aca="false">IF(C488=0,A488,"")</f>
        <v/>
      </c>
    </row>
    <row r="489" customFormat="false" ht="15" hidden="false" customHeight="false" outlineLevel="0" collapsed="false">
      <c r="A489" s="13" t="n">
        <v>2</v>
      </c>
      <c r="B489" s="13" t="n">
        <v>35</v>
      </c>
      <c r="C489" s="13" t="n">
        <v>0</v>
      </c>
      <c r="D489" s="13" t="n">
        <v>0</v>
      </c>
      <c r="E489" s="13" t="n">
        <v>1</v>
      </c>
      <c r="F489" s="13" t="n">
        <v>1</v>
      </c>
      <c r="G489" s="13" t="n">
        <v>1</v>
      </c>
      <c r="H489" s="13" t="str">
        <f aca="false">IF(C489=1,A489,"")</f>
        <v/>
      </c>
      <c r="I489" s="13" t="n">
        <f aca="false">IF(C489=0,A489,"")</f>
        <v>2</v>
      </c>
    </row>
    <row r="490" customFormat="false" ht="15" hidden="false" customHeight="false" outlineLevel="0" collapsed="false">
      <c r="A490" s="13" t="n">
        <v>3</v>
      </c>
      <c r="B490" s="13" t="n">
        <v>40</v>
      </c>
      <c r="C490" s="13" t="n">
        <v>0</v>
      </c>
      <c r="D490" s="13" t="n">
        <v>2</v>
      </c>
      <c r="E490" s="13" t="n">
        <v>0</v>
      </c>
      <c r="F490" s="13" t="n">
        <v>1</v>
      </c>
      <c r="G490" s="13" t="n">
        <v>1</v>
      </c>
      <c r="H490" s="13" t="str">
        <f aca="false">IF(C490=1,A490,"")</f>
        <v/>
      </c>
      <c r="I490" s="13" t="n">
        <f aca="false">IF(C490=0,A490,"")</f>
        <v>3</v>
      </c>
    </row>
    <row r="491" customFormat="false" ht="15" hidden="false" customHeight="false" outlineLevel="0" collapsed="false">
      <c r="A491" s="13" t="n">
        <v>2</v>
      </c>
      <c r="B491" s="13" t="n">
        <v>53</v>
      </c>
      <c r="C491" s="13" t="n">
        <v>0</v>
      </c>
      <c r="D491" s="13" t="n">
        <v>1</v>
      </c>
      <c r="E491" s="13" t="n">
        <v>0</v>
      </c>
      <c r="F491" s="13" t="n">
        <v>0</v>
      </c>
      <c r="G491" s="13" t="n">
        <v>1</v>
      </c>
      <c r="H491" s="13" t="str">
        <f aca="false">IF(C491=1,A491,"")</f>
        <v/>
      </c>
      <c r="I491" s="13" t="n">
        <f aca="false">IF(C491=0,A491,"")</f>
        <v>2</v>
      </c>
    </row>
    <row r="492" customFormat="false" ht="15" hidden="false" customHeight="false" outlineLevel="0" collapsed="false">
      <c r="A492" s="13" t="n">
        <v>2</v>
      </c>
      <c r="B492" s="13" t="n">
        <v>58</v>
      </c>
      <c r="C492" s="13" t="n">
        <v>1</v>
      </c>
      <c r="D492" s="13" t="n">
        <v>0</v>
      </c>
      <c r="E492" s="13" t="n">
        <v>1</v>
      </c>
      <c r="F492" s="13" t="n">
        <v>0</v>
      </c>
      <c r="G492" s="13" t="n">
        <v>1</v>
      </c>
      <c r="H492" s="13" t="n">
        <f aca="false">IF(C492=1,A492,"")</f>
        <v>2</v>
      </c>
      <c r="I492" s="13" t="str">
        <f aca="false">IF(C492=0,A492,"")</f>
        <v/>
      </c>
    </row>
    <row r="493" customFormat="false" ht="15" hidden="false" customHeight="false" outlineLevel="0" collapsed="false">
      <c r="A493" s="13" t="n">
        <v>3</v>
      </c>
      <c r="B493" s="13" t="n">
        <v>50</v>
      </c>
      <c r="C493" s="13" t="n">
        <v>1</v>
      </c>
      <c r="D493" s="13" t="n">
        <v>2</v>
      </c>
      <c r="E493" s="13" t="n">
        <v>1</v>
      </c>
      <c r="F493" s="13" t="n">
        <v>1</v>
      </c>
      <c r="G493" s="13" t="n">
        <v>1</v>
      </c>
      <c r="H493" s="13" t="n">
        <f aca="false">IF(C493=1,A493,"")</f>
        <v>3</v>
      </c>
      <c r="I493" s="13" t="str">
        <f aca="false">IF(C493=0,A493,"")</f>
        <v/>
      </c>
    </row>
    <row r="494" customFormat="false" ht="15" hidden="false" customHeight="false" outlineLevel="0" collapsed="false">
      <c r="A494" s="13" t="n">
        <v>4</v>
      </c>
      <c r="B494" s="13" t="n">
        <v>38</v>
      </c>
      <c r="C494" s="13" t="n">
        <v>0</v>
      </c>
      <c r="D494" s="13" t="n">
        <v>2</v>
      </c>
      <c r="E494" s="13" t="n">
        <v>1</v>
      </c>
      <c r="F494" s="13" t="n">
        <v>1</v>
      </c>
      <c r="G494" s="13" t="n">
        <v>1</v>
      </c>
      <c r="H494" s="13" t="str">
        <f aca="false">IF(C494=1,A494,"")</f>
        <v/>
      </c>
      <c r="I494" s="13" t="n">
        <f aca="false">IF(C494=0,A494,"")</f>
        <v>4</v>
      </c>
    </row>
    <row r="495" customFormat="false" ht="15" hidden="false" customHeight="false" outlineLevel="0" collapsed="false">
      <c r="A495" s="13" t="n">
        <v>4</v>
      </c>
      <c r="B495" s="13" t="n">
        <v>50</v>
      </c>
      <c r="C495" s="13" t="n">
        <v>1</v>
      </c>
      <c r="D495" s="13" t="n">
        <v>0</v>
      </c>
      <c r="E495" s="13" t="n">
        <v>0</v>
      </c>
      <c r="F495" s="13" t="n">
        <v>1</v>
      </c>
      <c r="G495" s="13" t="n">
        <v>0</v>
      </c>
      <c r="H495" s="13" t="n">
        <f aca="false">IF(C495=1,A495,"")</f>
        <v>4</v>
      </c>
      <c r="I495" s="13" t="str">
        <f aca="false">IF(C495=0,A495,"")</f>
        <v/>
      </c>
    </row>
    <row r="496" customFormat="false" ht="15" hidden="false" customHeight="false" outlineLevel="0" collapsed="false">
      <c r="A496" s="13" t="n">
        <v>3</v>
      </c>
      <c r="B496" s="13" t="n">
        <v>28</v>
      </c>
      <c r="C496" s="13" t="n">
        <v>0</v>
      </c>
      <c r="D496" s="13" t="n">
        <v>0</v>
      </c>
      <c r="E496" s="13" t="n">
        <v>1</v>
      </c>
      <c r="F496" s="13" t="n">
        <v>1</v>
      </c>
      <c r="G496" s="13" t="n">
        <v>1</v>
      </c>
      <c r="H496" s="13" t="str">
        <f aca="false">IF(C496=1,A496,"")</f>
        <v/>
      </c>
      <c r="I496" s="13" t="n">
        <f aca="false">IF(C496=0,A496,"")</f>
        <v>3</v>
      </c>
    </row>
    <row r="497" customFormat="false" ht="15" hidden="false" customHeight="false" outlineLevel="0" collapsed="false">
      <c r="A497" s="13" t="n">
        <v>2</v>
      </c>
      <c r="B497" s="13" t="n">
        <v>64</v>
      </c>
      <c r="C497" s="13" t="n">
        <v>0</v>
      </c>
      <c r="D497" s="13" t="n">
        <v>0</v>
      </c>
      <c r="E497" s="13" t="n">
        <v>0</v>
      </c>
      <c r="F497" s="13" t="n">
        <v>1</v>
      </c>
      <c r="G497" s="13" t="n">
        <v>0</v>
      </c>
      <c r="H497" s="13" t="str">
        <f aca="false">IF(C497=1,A497,"")</f>
        <v/>
      </c>
      <c r="I497" s="13" t="n">
        <f aca="false">IF(C497=0,A497,"")</f>
        <v>2</v>
      </c>
    </row>
    <row r="498" customFormat="false" ht="15" hidden="false" customHeight="false" outlineLevel="0" collapsed="false">
      <c r="A498" s="13" t="n">
        <v>3</v>
      </c>
      <c r="B498" s="13" t="n">
        <v>62</v>
      </c>
      <c r="C498" s="13" t="n">
        <v>0</v>
      </c>
      <c r="D498" s="13" t="n">
        <v>0</v>
      </c>
      <c r="E498" s="13" t="n">
        <v>0</v>
      </c>
      <c r="F498" s="13" t="n">
        <v>0</v>
      </c>
      <c r="G498" s="13" t="n">
        <v>0</v>
      </c>
      <c r="H498" s="13" t="str">
        <f aca="false">IF(C498=1,A498,"")</f>
        <v/>
      </c>
      <c r="I498" s="13" t="n">
        <f aca="false">IF(C498=0,A498,"")</f>
        <v>3</v>
      </c>
    </row>
    <row r="499" customFormat="false" ht="15" hidden="false" customHeight="false" outlineLevel="0" collapsed="false">
      <c r="A499" s="13" t="n">
        <v>2</v>
      </c>
      <c r="B499" s="13" t="n">
        <v>45</v>
      </c>
      <c r="C499" s="13" t="n">
        <v>0</v>
      </c>
      <c r="D499" s="13" t="n">
        <v>2</v>
      </c>
      <c r="E499" s="13" t="n">
        <v>1</v>
      </c>
      <c r="F499" s="13" t="n">
        <v>1</v>
      </c>
      <c r="G499" s="13" t="n">
        <v>0</v>
      </c>
      <c r="H499" s="13" t="str">
        <f aca="false">IF(C499=1,A499,"")</f>
        <v/>
      </c>
      <c r="I499" s="13" t="n">
        <f aca="false">IF(C499=0,A499,"")</f>
        <v>2</v>
      </c>
    </row>
    <row r="500" customFormat="false" ht="15" hidden="false" customHeight="false" outlineLevel="0" collapsed="false">
      <c r="A500" s="13" t="n">
        <v>4</v>
      </c>
      <c r="B500" s="13" t="n">
        <v>59</v>
      </c>
      <c r="C500" s="13" t="n">
        <v>0</v>
      </c>
      <c r="D500" s="13" t="n">
        <v>0</v>
      </c>
      <c r="E500" s="13" t="n">
        <v>0</v>
      </c>
      <c r="F500" s="13" t="n">
        <v>0</v>
      </c>
      <c r="G500" s="13" t="n">
        <v>0</v>
      </c>
      <c r="H500" s="13" t="str">
        <f aca="false">IF(C500=1,A500,"")</f>
        <v/>
      </c>
      <c r="I500" s="13" t="n">
        <f aca="false">IF(C500=0,A500,"")</f>
        <v>4</v>
      </c>
    </row>
    <row r="501" customFormat="false" ht="15" hidden="false" customHeight="false" outlineLevel="0" collapsed="false">
      <c r="A501" s="13" t="n">
        <v>3</v>
      </c>
      <c r="B501" s="13" t="n">
        <v>42</v>
      </c>
      <c r="C501" s="13" t="n">
        <v>1</v>
      </c>
      <c r="D501" s="13" t="n">
        <v>1</v>
      </c>
      <c r="E501" s="13" t="n">
        <v>1</v>
      </c>
      <c r="F501" s="13" t="n">
        <v>0</v>
      </c>
      <c r="G501" s="13" t="n">
        <v>1</v>
      </c>
      <c r="H501" s="13" t="n">
        <f aca="false">IF(C501=1,A501,"")</f>
        <v>3</v>
      </c>
      <c r="I501" s="13" t="str">
        <f aca="false">IF(C501=0,A501,"")</f>
        <v/>
      </c>
    </row>
    <row r="502" customFormat="false" ht="15" hidden="false" customHeight="false" outlineLevel="0" collapsed="false">
      <c r="A502" s="13" t="n">
        <v>1</v>
      </c>
      <c r="B502" s="13" t="n">
        <v>30</v>
      </c>
      <c r="C502" s="13" t="n">
        <v>0</v>
      </c>
      <c r="D502" s="13" t="n">
        <v>0</v>
      </c>
      <c r="E502" s="13" t="n">
        <v>0</v>
      </c>
      <c r="F502" s="13" t="n">
        <v>1</v>
      </c>
      <c r="G502" s="13" t="n">
        <v>0</v>
      </c>
      <c r="H502" s="13" t="str">
        <f aca="false">IF(C502=1,A502,"")</f>
        <v/>
      </c>
      <c r="I502" s="13" t="n">
        <f aca="false">IF(C502=0,A502,"")</f>
        <v>1</v>
      </c>
    </row>
    <row r="503" customFormat="false" ht="15" hidden="false" customHeight="false" outlineLevel="0" collapsed="false">
      <c r="A503" s="13" t="n">
        <v>4</v>
      </c>
      <c r="B503" s="13" t="n">
        <v>40</v>
      </c>
      <c r="C503" s="13" t="n">
        <v>0</v>
      </c>
      <c r="D503" s="13" t="n">
        <v>0</v>
      </c>
      <c r="E503" s="13" t="n">
        <v>1</v>
      </c>
      <c r="F503" s="13" t="n">
        <v>1</v>
      </c>
      <c r="G503" s="13" t="n">
        <v>0</v>
      </c>
      <c r="H503" s="13" t="str">
        <f aca="false">IF(C503=1,A503,"")</f>
        <v/>
      </c>
      <c r="I503" s="13" t="n">
        <f aca="false">IF(C503=0,A503,"")</f>
        <v>4</v>
      </c>
    </row>
    <row r="504" customFormat="false" ht="15" hidden="false" customHeight="false" outlineLevel="0" collapsed="false">
      <c r="A504" s="13" t="n">
        <v>2</v>
      </c>
      <c r="B504" s="13" t="n">
        <v>59</v>
      </c>
      <c r="C504" s="13" t="n">
        <v>1</v>
      </c>
      <c r="D504" s="13" t="n">
        <v>0</v>
      </c>
      <c r="E504" s="13" t="n">
        <v>0</v>
      </c>
      <c r="F504" s="13" t="n">
        <v>0</v>
      </c>
      <c r="G504" s="13" t="n">
        <v>1</v>
      </c>
      <c r="H504" s="13" t="n">
        <f aca="false">IF(C504=1,A504,"")</f>
        <v>2</v>
      </c>
      <c r="I504" s="13" t="str">
        <f aca="false">IF(C504=0,A504,"")</f>
        <v/>
      </c>
    </row>
    <row r="505" customFormat="false" ht="15" hidden="false" customHeight="false" outlineLevel="0" collapsed="false">
      <c r="A505" s="13" t="n">
        <v>3</v>
      </c>
      <c r="B505" s="13" t="n">
        <v>45</v>
      </c>
      <c r="C505" s="13" t="n">
        <v>0</v>
      </c>
      <c r="D505" s="13" t="n">
        <v>0</v>
      </c>
      <c r="E505" s="13" t="n">
        <v>1</v>
      </c>
      <c r="F505" s="13" t="n">
        <v>1</v>
      </c>
      <c r="G505" s="13" t="n">
        <v>1</v>
      </c>
      <c r="H505" s="13" t="str">
        <f aca="false">IF(C505=1,A505,"")</f>
        <v/>
      </c>
      <c r="I505" s="13" t="n">
        <f aca="false">IF(C505=0,A505,"")</f>
        <v>3</v>
      </c>
    </row>
    <row r="506" customFormat="false" ht="15" hidden="false" customHeight="false" outlineLevel="0" collapsed="false">
      <c r="A506" s="13" t="n">
        <v>2</v>
      </c>
      <c r="B506" s="13" t="n">
        <v>55</v>
      </c>
      <c r="C506" s="13" t="n">
        <v>1</v>
      </c>
      <c r="D506" s="13" t="n">
        <v>0</v>
      </c>
      <c r="E506" s="13" t="n">
        <v>0</v>
      </c>
      <c r="F506" s="13" t="n">
        <v>1</v>
      </c>
      <c r="G506" s="13" t="n">
        <v>0</v>
      </c>
      <c r="H506" s="13" t="n">
        <f aca="false">IF(C506=1,A506,"")</f>
        <v>2</v>
      </c>
      <c r="I506" s="13" t="str">
        <f aca="false">IF(C506=0,A506,"")</f>
        <v/>
      </c>
    </row>
    <row r="507" customFormat="false" ht="15" hidden="false" customHeight="false" outlineLevel="0" collapsed="false">
      <c r="A507" s="13" t="n">
        <v>4</v>
      </c>
      <c r="B507" s="13" t="n">
        <v>30</v>
      </c>
      <c r="C507" s="13" t="n">
        <v>0</v>
      </c>
      <c r="D507" s="13" t="n">
        <v>1</v>
      </c>
      <c r="E507" s="13" t="n">
        <v>1</v>
      </c>
      <c r="F507" s="13" t="n">
        <v>1</v>
      </c>
      <c r="G507" s="13" t="n">
        <v>1</v>
      </c>
      <c r="H507" s="13" t="str">
        <f aca="false">IF(C507=1,A507,"")</f>
        <v/>
      </c>
      <c r="I507" s="13" t="n">
        <f aca="false">IF(C507=0,A507,"")</f>
        <v>4</v>
      </c>
    </row>
    <row r="508" customFormat="false" ht="15" hidden="false" customHeight="false" outlineLevel="0" collapsed="false">
      <c r="A508" s="13" t="n">
        <v>4</v>
      </c>
      <c r="B508" s="13" t="n">
        <v>54</v>
      </c>
      <c r="C508" s="13" t="n">
        <v>0</v>
      </c>
      <c r="D508" s="13" t="n">
        <v>1</v>
      </c>
      <c r="E508" s="13" t="n">
        <v>1</v>
      </c>
      <c r="F508" s="13" t="n">
        <v>1</v>
      </c>
      <c r="G508" s="13" t="n">
        <v>1</v>
      </c>
      <c r="H508" s="13" t="str">
        <f aca="false">IF(C508=1,A508,"")</f>
        <v/>
      </c>
      <c r="I508" s="13" t="n">
        <f aca="false">IF(C508=0,A508,"")</f>
        <v>4</v>
      </c>
    </row>
    <row r="509" customFormat="false" ht="15" hidden="false" customHeight="false" outlineLevel="0" collapsed="false">
      <c r="A509" s="13" t="n">
        <v>4</v>
      </c>
      <c r="B509" s="13" t="n">
        <v>46</v>
      </c>
      <c r="C509" s="13" t="n">
        <v>0</v>
      </c>
      <c r="D509" s="13" t="n">
        <v>3</v>
      </c>
      <c r="E509" s="13" t="n">
        <v>0</v>
      </c>
      <c r="F509" s="13" t="n">
        <v>1</v>
      </c>
      <c r="G509" s="13" t="n">
        <v>1</v>
      </c>
      <c r="H509" s="13" t="str">
        <f aca="false">IF(C509=1,A509,"")</f>
        <v/>
      </c>
      <c r="I509" s="13" t="n">
        <f aca="false">IF(C509=0,A509,"")</f>
        <v>4</v>
      </c>
    </row>
    <row r="510" customFormat="false" ht="15" hidden="false" customHeight="false" outlineLevel="0" collapsed="false">
      <c r="A510" s="13" t="n">
        <v>4</v>
      </c>
      <c r="B510" s="13" t="n">
        <v>49</v>
      </c>
      <c r="C510" s="13" t="n">
        <v>1</v>
      </c>
      <c r="D510" s="13" t="n">
        <v>0</v>
      </c>
      <c r="E510" s="13" t="n">
        <v>1</v>
      </c>
      <c r="F510" s="13" t="n">
        <v>0</v>
      </c>
      <c r="G510" s="13" t="n">
        <v>1</v>
      </c>
      <c r="H510" s="13" t="n">
        <f aca="false">IF(C510=1,A510,"")</f>
        <v>4</v>
      </c>
      <c r="I510" s="13" t="str">
        <f aca="false">IF(C510=0,A510,"")</f>
        <v/>
      </c>
    </row>
    <row r="511" customFormat="false" ht="15" hidden="false" customHeight="false" outlineLevel="0" collapsed="false">
      <c r="A511" s="13" t="n">
        <v>4</v>
      </c>
      <c r="B511" s="13" t="n">
        <v>55</v>
      </c>
      <c r="C511" s="13" t="n">
        <v>0</v>
      </c>
      <c r="D511" s="13" t="n">
        <v>0</v>
      </c>
      <c r="E511" s="13" t="n">
        <v>1</v>
      </c>
      <c r="F511" s="13" t="n">
        <v>1</v>
      </c>
      <c r="G511" s="13" t="n">
        <v>1</v>
      </c>
      <c r="H511" s="13" t="str">
        <f aca="false">IF(C511=1,A511,"")</f>
        <v/>
      </c>
      <c r="I511" s="13" t="n">
        <f aca="false">IF(C511=0,A511,"")</f>
        <v>4</v>
      </c>
    </row>
    <row r="512" customFormat="false" ht="15" hidden="false" customHeight="false" outlineLevel="0" collapsed="false">
      <c r="A512" s="13" t="n">
        <v>4</v>
      </c>
      <c r="B512" s="13" t="n">
        <v>48</v>
      </c>
      <c r="C512" s="13" t="n">
        <v>1</v>
      </c>
      <c r="D512" s="13" t="n">
        <v>1</v>
      </c>
      <c r="E512" s="13" t="n">
        <v>1</v>
      </c>
      <c r="F512" s="13" t="n">
        <v>1</v>
      </c>
      <c r="G512" s="13" t="n">
        <v>1</v>
      </c>
      <c r="H512" s="13" t="n">
        <f aca="false">IF(C512=1,A512,"")</f>
        <v>4</v>
      </c>
      <c r="I512" s="13" t="str">
        <f aca="false">IF(C512=0,A512,"")</f>
        <v/>
      </c>
    </row>
    <row r="513" customFormat="false" ht="15" hidden="false" customHeight="false" outlineLevel="0" collapsed="false">
      <c r="A513" s="13" t="n">
        <v>2</v>
      </c>
      <c r="B513" s="13" t="n">
        <v>58</v>
      </c>
      <c r="C513" s="13" t="n">
        <v>1</v>
      </c>
      <c r="D513" s="13" t="n">
        <v>0</v>
      </c>
      <c r="E513" s="13" t="n">
        <v>0</v>
      </c>
      <c r="F513" s="13" t="n">
        <v>0</v>
      </c>
      <c r="G513" s="13" t="n">
        <v>0</v>
      </c>
      <c r="H513" s="13" t="n">
        <f aca="false">IF(C513=1,A513,"")</f>
        <v>2</v>
      </c>
      <c r="I513" s="13" t="str">
        <f aca="false">IF(C513=0,A513,"")</f>
        <v/>
      </c>
    </row>
    <row r="514" customFormat="false" ht="15" hidden="false" customHeight="false" outlineLevel="0" collapsed="false">
      <c r="A514" s="13" t="n">
        <v>4</v>
      </c>
      <c r="B514" s="13" t="n">
        <v>33</v>
      </c>
      <c r="C514" s="13" t="n">
        <v>0</v>
      </c>
      <c r="D514" s="13" t="n">
        <v>0</v>
      </c>
      <c r="E514" s="13" t="n">
        <v>1</v>
      </c>
      <c r="F514" s="13" t="n">
        <v>0</v>
      </c>
      <c r="G514" s="13" t="n">
        <v>1</v>
      </c>
      <c r="H514" s="13" t="str">
        <f aca="false">IF(C514=1,A514,"")</f>
        <v/>
      </c>
      <c r="I514" s="13" t="n">
        <f aca="false">IF(C514=0,A514,"")</f>
        <v>4</v>
      </c>
    </row>
    <row r="515" customFormat="false" ht="15" hidden="false" customHeight="false" outlineLevel="0" collapsed="false">
      <c r="A515" s="13" t="n">
        <v>2</v>
      </c>
      <c r="B515" s="13" t="n">
        <v>62</v>
      </c>
      <c r="C515" s="13" t="n">
        <v>0</v>
      </c>
      <c r="D515" s="13" t="n">
        <v>0</v>
      </c>
      <c r="E515" s="13" t="n">
        <v>0</v>
      </c>
      <c r="F515" s="13" t="n">
        <v>0</v>
      </c>
      <c r="G515" s="13" t="n">
        <v>0</v>
      </c>
      <c r="H515" s="13" t="str">
        <f aca="false">IF(C515=1,A515,"")</f>
        <v/>
      </c>
      <c r="I515" s="13" t="n">
        <f aca="false">IF(C515=0,A515,"")</f>
        <v>2</v>
      </c>
    </row>
    <row r="516" customFormat="false" ht="15" hidden="false" customHeight="false" outlineLevel="0" collapsed="false">
      <c r="A516" s="13" t="n">
        <v>4</v>
      </c>
      <c r="B516" s="13" t="n">
        <v>57</v>
      </c>
      <c r="C516" s="13" t="n">
        <v>0</v>
      </c>
      <c r="D516" s="13" t="n">
        <v>0</v>
      </c>
      <c r="E516" s="13" t="n">
        <v>1</v>
      </c>
      <c r="F516" s="13" t="n">
        <v>1</v>
      </c>
      <c r="G516" s="13" t="n">
        <v>0</v>
      </c>
      <c r="H516" s="13" t="str">
        <f aca="false">IF(C516=1,A516,"")</f>
        <v/>
      </c>
      <c r="I516" s="13" t="n">
        <f aca="false">IF(C516=0,A516,"")</f>
        <v>4</v>
      </c>
    </row>
    <row r="517" customFormat="false" ht="15" hidden="false" customHeight="false" outlineLevel="0" collapsed="false">
      <c r="A517" s="13" t="n">
        <v>4</v>
      </c>
      <c r="B517" s="13" t="n">
        <v>52</v>
      </c>
      <c r="C517" s="13" t="n">
        <v>1</v>
      </c>
      <c r="D517" s="13" t="n">
        <v>2</v>
      </c>
      <c r="E517" s="13" t="n">
        <v>1</v>
      </c>
      <c r="F517" s="13" t="n">
        <v>1</v>
      </c>
      <c r="G517" s="13" t="n">
        <v>1</v>
      </c>
      <c r="H517" s="13" t="n">
        <f aca="false">IF(C517=1,A517,"")</f>
        <v>4</v>
      </c>
      <c r="I517" s="13" t="str">
        <f aca="false">IF(C517=0,A517,"")</f>
        <v/>
      </c>
    </row>
    <row r="518" customFormat="false" ht="15" hidden="false" customHeight="false" outlineLevel="0" collapsed="false">
      <c r="A518" s="13" t="n">
        <v>2</v>
      </c>
      <c r="B518" s="13" t="n">
        <v>33</v>
      </c>
      <c r="C518" s="13" t="n">
        <v>0</v>
      </c>
      <c r="D518" s="13" t="n">
        <v>1</v>
      </c>
      <c r="E518" s="13" t="n">
        <v>0</v>
      </c>
      <c r="F518" s="13" t="n">
        <v>1</v>
      </c>
      <c r="G518" s="13" t="n">
        <v>0</v>
      </c>
      <c r="H518" s="13" t="str">
        <f aca="false">IF(C518=1,A518,"")</f>
        <v/>
      </c>
      <c r="I518" s="13" t="n">
        <f aca="false">IF(C518=0,A518,"")</f>
        <v>2</v>
      </c>
    </row>
    <row r="519" customFormat="false" ht="15" hidden="false" customHeight="false" outlineLevel="0" collapsed="false">
      <c r="A519" s="13" t="n">
        <v>3</v>
      </c>
      <c r="B519" s="13" t="n">
        <v>38</v>
      </c>
      <c r="C519" s="13" t="n">
        <v>0</v>
      </c>
      <c r="D519" s="13" t="n">
        <v>3</v>
      </c>
      <c r="E519" s="13" t="n">
        <v>1</v>
      </c>
      <c r="F519" s="13" t="n">
        <v>1</v>
      </c>
      <c r="G519" s="13" t="n">
        <v>1</v>
      </c>
      <c r="H519" s="13" t="str">
        <f aca="false">IF(C519=1,A519,"")</f>
        <v/>
      </c>
      <c r="I519" s="13" t="n">
        <f aca="false">IF(C519=0,A519,"")</f>
        <v>3</v>
      </c>
    </row>
    <row r="520" customFormat="false" ht="15" hidden="false" customHeight="false" outlineLevel="0" collapsed="false">
      <c r="A520" s="13" t="n">
        <v>3</v>
      </c>
      <c r="B520" s="13" t="n">
        <v>57</v>
      </c>
      <c r="C520" s="13" t="n">
        <v>0</v>
      </c>
      <c r="D520" s="13" t="n">
        <v>0</v>
      </c>
      <c r="E520" s="13" t="n">
        <v>0</v>
      </c>
      <c r="F520" s="13" t="n">
        <v>0</v>
      </c>
      <c r="G520" s="13" t="n">
        <v>0</v>
      </c>
      <c r="H520" s="13" t="str">
        <f aca="false">IF(C520=1,A520,"")</f>
        <v/>
      </c>
      <c r="I520" s="13" t="n">
        <f aca="false">IF(C520=0,A520,"")</f>
        <v>3</v>
      </c>
    </row>
    <row r="521" customFormat="false" ht="15" hidden="false" customHeight="false" outlineLevel="0" collapsed="false">
      <c r="A521" s="13" t="n">
        <v>2</v>
      </c>
      <c r="B521" s="13" t="n">
        <v>41</v>
      </c>
      <c r="C521" s="13" t="n">
        <v>0</v>
      </c>
      <c r="D521" s="13" t="n">
        <v>3</v>
      </c>
      <c r="E521" s="13" t="n">
        <v>0</v>
      </c>
      <c r="F521" s="13" t="n">
        <v>0</v>
      </c>
      <c r="G521" s="13" t="n">
        <v>0</v>
      </c>
      <c r="H521" s="13" t="str">
        <f aca="false">IF(C521=1,A521,"")</f>
        <v/>
      </c>
      <c r="I521" s="13" t="n">
        <f aca="false">IF(C521=0,A521,"")</f>
        <v>2</v>
      </c>
    </row>
    <row r="522" customFormat="false" ht="15" hidden="false" customHeight="false" outlineLevel="0" collapsed="false">
      <c r="A522" s="13" t="n">
        <v>4</v>
      </c>
      <c r="B522" s="13" t="n">
        <v>63</v>
      </c>
      <c r="C522" s="13" t="n">
        <v>1</v>
      </c>
      <c r="D522" s="13" t="n">
        <v>1</v>
      </c>
      <c r="E522" s="13" t="n">
        <v>0</v>
      </c>
      <c r="F522" s="13" t="n">
        <v>1</v>
      </c>
      <c r="G522" s="13" t="n">
        <v>1</v>
      </c>
      <c r="H522" s="13" t="n">
        <f aca="false">IF(C522=1,A522,"")</f>
        <v>4</v>
      </c>
      <c r="I522" s="13" t="str">
        <f aca="false">IF(C522=0,A522,"")</f>
        <v/>
      </c>
    </row>
    <row r="523" customFormat="false" ht="15" hidden="false" customHeight="false" outlineLevel="0" collapsed="false">
      <c r="A523" s="13" t="n">
        <v>4</v>
      </c>
      <c r="B523" s="13" t="n">
        <v>34</v>
      </c>
      <c r="C523" s="13" t="n">
        <v>1</v>
      </c>
      <c r="D523" s="13" t="n">
        <v>2</v>
      </c>
      <c r="E523" s="13" t="n">
        <v>1</v>
      </c>
      <c r="F523" s="13" t="n">
        <v>1</v>
      </c>
      <c r="G523" s="13" t="n">
        <v>1</v>
      </c>
      <c r="H523" s="13" t="n">
        <f aca="false">IF(C523=1,A523,"")</f>
        <v>4</v>
      </c>
      <c r="I523" s="13" t="str">
        <f aca="false">IF(C523=0,A523,"")</f>
        <v/>
      </c>
    </row>
    <row r="524" customFormat="false" ht="15" hidden="false" customHeight="false" outlineLevel="0" collapsed="false">
      <c r="A524" s="13" t="n">
        <v>4</v>
      </c>
      <c r="B524" s="13" t="n">
        <v>55</v>
      </c>
      <c r="C524" s="13" t="n">
        <v>0</v>
      </c>
      <c r="D524" s="13" t="n">
        <v>0</v>
      </c>
      <c r="E524" s="13" t="n">
        <v>1</v>
      </c>
      <c r="F524" s="13" t="n">
        <v>1</v>
      </c>
      <c r="G524" s="13" t="n">
        <v>1</v>
      </c>
      <c r="H524" s="13" t="str">
        <f aca="false">IF(C524=1,A524,"")</f>
        <v/>
      </c>
      <c r="I524" s="13" t="n">
        <f aca="false">IF(C524=0,A524,"")</f>
        <v>4</v>
      </c>
    </row>
    <row r="525" customFormat="false" ht="15" hidden="false" customHeight="false" outlineLevel="0" collapsed="false">
      <c r="A525" s="13" t="n">
        <v>3</v>
      </c>
      <c r="B525" s="13" t="n">
        <v>48</v>
      </c>
      <c r="C525" s="13" t="n">
        <v>0</v>
      </c>
      <c r="D525" s="13" t="n">
        <v>2</v>
      </c>
      <c r="E525" s="13" t="n">
        <v>0</v>
      </c>
      <c r="F525" s="13" t="n">
        <v>1</v>
      </c>
      <c r="G525" s="13" t="n">
        <v>1</v>
      </c>
      <c r="H525" s="13" t="str">
        <f aca="false">IF(C525=1,A525,"")</f>
        <v/>
      </c>
      <c r="I525" s="13" t="n">
        <f aca="false">IF(C525=0,A525,"")</f>
        <v>3</v>
      </c>
    </row>
    <row r="526" customFormat="false" ht="15" hidden="false" customHeight="false" outlineLevel="0" collapsed="false">
      <c r="A526" s="13" t="n">
        <v>4</v>
      </c>
      <c r="B526" s="13" t="n">
        <v>63</v>
      </c>
      <c r="C526" s="13" t="n">
        <v>1</v>
      </c>
      <c r="D526" s="13" t="n">
        <v>0</v>
      </c>
      <c r="E526" s="13" t="n">
        <v>0</v>
      </c>
      <c r="F526" s="13" t="n">
        <v>1</v>
      </c>
      <c r="G526" s="13" t="n">
        <v>0</v>
      </c>
      <c r="H526" s="13" t="n">
        <f aca="false">IF(C526=1,A526,"")</f>
        <v>4</v>
      </c>
      <c r="I526" s="13" t="str">
        <f aca="false">IF(C526=0,A526,"")</f>
        <v/>
      </c>
    </row>
    <row r="527" customFormat="false" ht="15" hidden="false" customHeight="false" outlineLevel="0" collapsed="false">
      <c r="A527" s="13" t="n">
        <v>3</v>
      </c>
      <c r="B527" s="13" t="n">
        <v>25</v>
      </c>
      <c r="C527" s="13" t="n">
        <v>1</v>
      </c>
      <c r="D527" s="13" t="n">
        <v>0</v>
      </c>
      <c r="E527" s="13" t="n">
        <v>1</v>
      </c>
      <c r="F527" s="13" t="n">
        <v>1</v>
      </c>
      <c r="G527" s="13" t="n">
        <v>0</v>
      </c>
      <c r="H527" s="13" t="n">
        <f aca="false">IF(C527=1,A527,"")</f>
        <v>3</v>
      </c>
      <c r="I527" s="13" t="str">
        <f aca="false">IF(C527=0,A527,"")</f>
        <v/>
      </c>
    </row>
    <row r="528" customFormat="false" ht="15" hidden="false" customHeight="false" outlineLevel="0" collapsed="false">
      <c r="A528" s="13" t="n">
        <v>2</v>
      </c>
      <c r="B528" s="13" t="n">
        <v>27</v>
      </c>
      <c r="C528" s="13" t="n">
        <v>0</v>
      </c>
      <c r="D528" s="13" t="n">
        <v>0</v>
      </c>
      <c r="E528" s="13" t="n">
        <v>0</v>
      </c>
      <c r="F528" s="13" t="n">
        <v>0</v>
      </c>
      <c r="G528" s="13" t="n">
        <v>0</v>
      </c>
      <c r="H528" s="13" t="str">
        <f aca="false">IF(C528=1,A528,"")</f>
        <v/>
      </c>
      <c r="I528" s="13" t="n">
        <f aca="false">IF(C528=0,A528,"")</f>
        <v>2</v>
      </c>
    </row>
    <row r="529" customFormat="false" ht="15" hidden="false" customHeight="false" outlineLevel="0" collapsed="false">
      <c r="A529" s="13" t="n">
        <v>5</v>
      </c>
      <c r="B529" s="13" t="n">
        <v>31</v>
      </c>
      <c r="C529" s="13" t="n">
        <v>0</v>
      </c>
      <c r="D529" s="13" t="n">
        <v>0</v>
      </c>
      <c r="E529" s="13" t="n">
        <v>1</v>
      </c>
      <c r="F529" s="13" t="n">
        <v>0</v>
      </c>
      <c r="G529" s="13" t="n">
        <v>1</v>
      </c>
      <c r="H529" s="13" t="str">
        <f aca="false">IF(C529=1,A529,"")</f>
        <v/>
      </c>
      <c r="I529" s="13" t="n">
        <f aca="false">IF(C529=0,A529,"")</f>
        <v>5</v>
      </c>
    </row>
    <row r="530" customFormat="false" ht="15" hidden="false" customHeight="false" outlineLevel="0" collapsed="false">
      <c r="A530" s="13" t="n">
        <v>3</v>
      </c>
      <c r="B530" s="13" t="n">
        <v>42</v>
      </c>
      <c r="C530" s="13" t="n">
        <v>0</v>
      </c>
      <c r="D530" s="13" t="n">
        <v>0</v>
      </c>
      <c r="E530" s="13" t="n">
        <v>1</v>
      </c>
      <c r="F530" s="13" t="n">
        <v>1</v>
      </c>
      <c r="G530" s="13" t="n">
        <v>1</v>
      </c>
      <c r="H530" s="13" t="str">
        <f aca="false">IF(C530=1,A530,"")</f>
        <v/>
      </c>
      <c r="I530" s="13" t="n">
        <f aca="false">IF(C530=0,A530,"")</f>
        <v>3</v>
      </c>
    </row>
    <row r="531" customFormat="false" ht="15" hidden="false" customHeight="false" outlineLevel="0" collapsed="false">
      <c r="A531" s="13" t="n">
        <v>3</v>
      </c>
      <c r="B531" s="13" t="n">
        <v>54</v>
      </c>
      <c r="C531" s="13" t="n">
        <v>1</v>
      </c>
      <c r="D531" s="13" t="n">
        <v>0</v>
      </c>
      <c r="E531" s="13" t="n">
        <v>0</v>
      </c>
      <c r="F531" s="13" t="n">
        <v>1</v>
      </c>
      <c r="G531" s="13" t="n">
        <v>0</v>
      </c>
      <c r="H531" s="13" t="n">
        <f aca="false">IF(C531=1,A531,"")</f>
        <v>3</v>
      </c>
      <c r="I531" s="13" t="str">
        <f aca="false">IF(C531=0,A531,"")</f>
        <v/>
      </c>
    </row>
    <row r="532" customFormat="false" ht="15" hidden="false" customHeight="false" outlineLevel="0" collapsed="false">
      <c r="A532" s="13" t="n">
        <v>4</v>
      </c>
      <c r="B532" s="13" t="n">
        <v>60</v>
      </c>
      <c r="C532" s="13" t="n">
        <v>0</v>
      </c>
      <c r="D532" s="13" t="n">
        <v>0</v>
      </c>
      <c r="E532" s="13" t="n">
        <v>0</v>
      </c>
      <c r="F532" s="13" t="n">
        <v>1</v>
      </c>
      <c r="G532" s="13" t="n">
        <v>1</v>
      </c>
      <c r="H532" s="13" t="str">
        <f aca="false">IF(C532=1,A532,"")</f>
        <v/>
      </c>
      <c r="I532" s="13" t="n">
        <f aca="false">IF(C532=0,A532,"")</f>
        <v>4</v>
      </c>
    </row>
    <row r="533" customFormat="false" ht="15" hidden="false" customHeight="false" outlineLevel="0" collapsed="false">
      <c r="A533" s="13" t="n">
        <v>3</v>
      </c>
      <c r="B533" s="13" t="n">
        <v>50</v>
      </c>
      <c r="C533" s="13" t="n">
        <v>0</v>
      </c>
      <c r="D533" s="13" t="n">
        <v>0</v>
      </c>
      <c r="E533" s="13" t="n">
        <v>0</v>
      </c>
      <c r="F533" s="13" t="n">
        <v>0</v>
      </c>
      <c r="G533" s="13" t="n">
        <v>1</v>
      </c>
      <c r="H533" s="13" t="str">
        <f aca="false">IF(C533=1,A533,"")</f>
        <v/>
      </c>
      <c r="I533" s="13" t="n">
        <f aca="false">IF(C533=0,A533,"")</f>
        <v>3</v>
      </c>
    </row>
    <row r="534" customFormat="false" ht="15" hidden="false" customHeight="false" outlineLevel="0" collapsed="false">
      <c r="A534" s="13" t="n">
        <v>4</v>
      </c>
      <c r="B534" s="13" t="n">
        <v>64</v>
      </c>
      <c r="C534" s="13" t="n">
        <v>0</v>
      </c>
      <c r="D534" s="13" t="n">
        <v>0</v>
      </c>
      <c r="E534" s="13" t="n">
        <v>1</v>
      </c>
      <c r="F534" s="13" t="n">
        <v>1</v>
      </c>
      <c r="G534" s="13" t="n">
        <v>1</v>
      </c>
      <c r="H534" s="13" t="str">
        <f aca="false">IF(C534=1,A534,"")</f>
        <v/>
      </c>
      <c r="I534" s="13" t="n">
        <f aca="false">IF(C534=0,A534,"")</f>
        <v>4</v>
      </c>
    </row>
    <row r="535" customFormat="false" ht="15" hidden="false" customHeight="false" outlineLevel="0" collapsed="false">
      <c r="A535" s="13" t="n">
        <v>4</v>
      </c>
      <c r="B535" s="13" t="n">
        <v>59</v>
      </c>
      <c r="C535" s="13" t="n">
        <v>0</v>
      </c>
      <c r="D535" s="13" t="n">
        <v>0</v>
      </c>
      <c r="E535" s="13" t="n">
        <v>1</v>
      </c>
      <c r="F535" s="13" t="n">
        <v>0</v>
      </c>
      <c r="G535" s="13" t="n">
        <v>0</v>
      </c>
      <c r="H535" s="13" t="str">
        <f aca="false">IF(C535=1,A535,"")</f>
        <v/>
      </c>
      <c r="I535" s="13" t="n">
        <f aca="false">IF(C535=0,A535,"")</f>
        <v>4</v>
      </c>
    </row>
    <row r="536" customFormat="false" ht="15" hidden="false" customHeight="false" outlineLevel="0" collapsed="false">
      <c r="A536" s="13" t="n">
        <v>3</v>
      </c>
      <c r="B536" s="13" t="n">
        <v>32</v>
      </c>
      <c r="C536" s="13" t="n">
        <v>1</v>
      </c>
      <c r="D536" s="13" t="n">
        <v>0</v>
      </c>
      <c r="E536" s="13" t="n">
        <v>1</v>
      </c>
      <c r="F536" s="13" t="n">
        <v>1</v>
      </c>
      <c r="G536" s="13" t="n">
        <v>0</v>
      </c>
      <c r="H536" s="13" t="n">
        <f aca="false">IF(C536=1,A536,"")</f>
        <v>3</v>
      </c>
      <c r="I536" s="13" t="str">
        <f aca="false">IF(C536=0,A536,"")</f>
        <v/>
      </c>
    </row>
    <row r="537" customFormat="false" ht="15" hidden="false" customHeight="false" outlineLevel="0" collapsed="false">
      <c r="A537" s="13" t="n">
        <v>4</v>
      </c>
      <c r="B537" s="13" t="n">
        <v>64</v>
      </c>
      <c r="C537" s="13" t="n">
        <v>0</v>
      </c>
      <c r="D537" s="13" t="n">
        <v>0</v>
      </c>
      <c r="E537" s="13" t="n">
        <v>1</v>
      </c>
      <c r="F537" s="13" t="n">
        <v>0</v>
      </c>
      <c r="G537" s="13" t="n">
        <v>1</v>
      </c>
      <c r="H537" s="13" t="str">
        <f aca="false">IF(C537=1,A537,"")</f>
        <v/>
      </c>
      <c r="I537" s="13" t="n">
        <f aca="false">IF(C537=0,A537,"")</f>
        <v>4</v>
      </c>
    </row>
    <row r="538" customFormat="false" ht="15" hidden="false" customHeight="false" outlineLevel="0" collapsed="false">
      <c r="A538" s="13" t="n">
        <v>4</v>
      </c>
      <c r="B538" s="13" t="n">
        <v>64</v>
      </c>
      <c r="C538" s="13" t="n">
        <v>1</v>
      </c>
      <c r="D538" s="13" t="n">
        <v>0</v>
      </c>
      <c r="E538" s="13" t="n">
        <v>1</v>
      </c>
      <c r="F538" s="13" t="n">
        <v>0</v>
      </c>
      <c r="G538" s="13" t="n">
        <v>1</v>
      </c>
      <c r="H538" s="13" t="n">
        <f aca="false">IF(C538=1,A538,"")</f>
        <v>4</v>
      </c>
      <c r="I538" s="13" t="str">
        <f aca="false">IF(C538=0,A538,"")</f>
        <v/>
      </c>
    </row>
    <row r="539" customFormat="false" ht="15" hidden="false" customHeight="false" outlineLevel="0" collapsed="false">
      <c r="A539" s="13" t="n">
        <v>4</v>
      </c>
      <c r="B539" s="13" t="n">
        <v>25</v>
      </c>
      <c r="C539" s="13" t="n">
        <v>0</v>
      </c>
      <c r="D539" s="13" t="n">
        <v>0</v>
      </c>
      <c r="E539" s="13" t="n">
        <v>1</v>
      </c>
      <c r="F539" s="13" t="n">
        <v>1</v>
      </c>
      <c r="G539" s="13" t="n">
        <v>1</v>
      </c>
      <c r="H539" s="13" t="str">
        <f aca="false">IF(C539=1,A539,"")</f>
        <v/>
      </c>
      <c r="I539" s="13" t="n">
        <f aca="false">IF(C539=0,A539,"")</f>
        <v>4</v>
      </c>
    </row>
    <row r="540" customFormat="false" ht="15" hidden="false" customHeight="false" outlineLevel="0" collapsed="false">
      <c r="A540" s="13" t="n">
        <v>4</v>
      </c>
      <c r="B540" s="13" t="n">
        <v>30</v>
      </c>
      <c r="C540" s="13" t="n">
        <v>1</v>
      </c>
      <c r="D540" s="13" t="n">
        <v>0</v>
      </c>
      <c r="E540" s="13" t="n">
        <v>1</v>
      </c>
      <c r="F540" s="13" t="n">
        <v>1</v>
      </c>
      <c r="G540" s="13" t="n">
        <v>1</v>
      </c>
      <c r="H540" s="13" t="n">
        <f aca="false">IF(C540=1,A540,"")</f>
        <v>4</v>
      </c>
      <c r="I540" s="13" t="str">
        <f aca="false">IF(C540=0,A540,"")</f>
        <v/>
      </c>
    </row>
    <row r="541" customFormat="false" ht="15" hidden="false" customHeight="false" outlineLevel="0" collapsed="false">
      <c r="A541" s="13" t="n">
        <v>5</v>
      </c>
      <c r="B541" s="13" t="n">
        <v>55</v>
      </c>
      <c r="C541" s="13" t="n">
        <v>0</v>
      </c>
      <c r="D541" s="13" t="n">
        <v>0</v>
      </c>
      <c r="E541" s="13" t="n">
        <v>0</v>
      </c>
      <c r="F541" s="13" t="n">
        <v>0</v>
      </c>
      <c r="G541" s="13" t="n">
        <v>1</v>
      </c>
      <c r="H541" s="13" t="str">
        <f aca="false">IF(C541=1,A541,"")</f>
        <v/>
      </c>
      <c r="I541" s="13" t="n">
        <f aca="false">IF(C541=0,A541,"")</f>
        <v>5</v>
      </c>
    </row>
    <row r="542" customFormat="false" ht="15" hidden="false" customHeight="false" outlineLevel="0" collapsed="false">
      <c r="A542" s="13" t="n">
        <v>4</v>
      </c>
      <c r="B542" s="13" t="n">
        <v>60</v>
      </c>
      <c r="C542" s="13" t="n">
        <v>0</v>
      </c>
      <c r="D542" s="13" t="n">
        <v>0</v>
      </c>
      <c r="E542" s="13" t="n">
        <v>1</v>
      </c>
      <c r="F542" s="13" t="n">
        <v>0</v>
      </c>
      <c r="G542" s="13" t="n">
        <v>1</v>
      </c>
      <c r="H542" s="13" t="str">
        <f aca="false">IF(C542=1,A542,"")</f>
        <v/>
      </c>
      <c r="I542" s="13" t="n">
        <f aca="false">IF(C542=0,A542,"")</f>
        <v>4</v>
      </c>
    </row>
    <row r="543" customFormat="false" ht="15" hidden="false" customHeight="false" outlineLevel="0" collapsed="false">
      <c r="A543" s="13" t="n">
        <v>4</v>
      </c>
      <c r="B543" s="13" t="n">
        <v>39</v>
      </c>
      <c r="C543" s="13" t="n">
        <v>0</v>
      </c>
      <c r="D543" s="13" t="n">
        <v>1</v>
      </c>
      <c r="E543" s="13" t="n">
        <v>1</v>
      </c>
      <c r="F543" s="13" t="n">
        <v>1</v>
      </c>
      <c r="G543" s="13" t="n">
        <v>1</v>
      </c>
      <c r="H543" s="13" t="str">
        <f aca="false">IF(C543=1,A543,"")</f>
        <v/>
      </c>
      <c r="I543" s="13" t="n">
        <f aca="false">IF(C543=0,A543,"")</f>
        <v>4</v>
      </c>
    </row>
    <row r="544" customFormat="false" ht="15" hidden="false" customHeight="false" outlineLevel="0" collapsed="false">
      <c r="A544" s="13" t="n">
        <v>3</v>
      </c>
      <c r="B544" s="13" t="n">
        <v>27</v>
      </c>
      <c r="C544" s="13" t="n">
        <v>0</v>
      </c>
      <c r="D544" s="13" t="n">
        <v>1</v>
      </c>
      <c r="E544" s="13" t="n">
        <v>0</v>
      </c>
      <c r="F544" s="13" t="n">
        <v>1</v>
      </c>
      <c r="G544" s="13" t="n">
        <v>1</v>
      </c>
      <c r="H544" s="13" t="str">
        <f aca="false">IF(C544=1,A544,"")</f>
        <v/>
      </c>
      <c r="I544" s="13" t="n">
        <f aca="false">IF(C544=0,A544,"")</f>
        <v>3</v>
      </c>
    </row>
    <row r="545" customFormat="false" ht="15" hidden="false" customHeight="false" outlineLevel="0" collapsed="false">
      <c r="A545" s="13" t="n">
        <v>4</v>
      </c>
      <c r="B545" s="13" t="n">
        <v>42</v>
      </c>
      <c r="C545" s="13" t="n">
        <v>0</v>
      </c>
      <c r="D545" s="13" t="n">
        <v>0</v>
      </c>
      <c r="E545" s="13" t="n">
        <v>1</v>
      </c>
      <c r="F545" s="13" t="n">
        <v>0</v>
      </c>
      <c r="G545" s="13" t="n">
        <v>1</v>
      </c>
      <c r="H545" s="13" t="str">
        <f aca="false">IF(C545=1,A545,"")</f>
        <v/>
      </c>
      <c r="I545" s="13" t="n">
        <f aca="false">IF(C545=0,A545,"")</f>
        <v>4</v>
      </c>
    </row>
    <row r="546" customFormat="false" ht="15" hidden="false" customHeight="false" outlineLevel="0" collapsed="false">
      <c r="A546" s="13" t="n">
        <v>4</v>
      </c>
      <c r="B546" s="13" t="n">
        <v>41</v>
      </c>
      <c r="C546" s="13" t="n">
        <v>0</v>
      </c>
      <c r="D546" s="13" t="n">
        <v>1</v>
      </c>
      <c r="E546" s="13" t="n">
        <v>1</v>
      </c>
      <c r="F546" s="13" t="n">
        <v>1</v>
      </c>
      <c r="G546" s="13" t="n">
        <v>1</v>
      </c>
      <c r="H546" s="13" t="str">
        <f aca="false">IF(C546=1,A546,"")</f>
        <v/>
      </c>
      <c r="I546" s="13" t="n">
        <f aca="false">IF(C546=0,A546,"")</f>
        <v>4</v>
      </c>
    </row>
    <row r="547" customFormat="false" ht="15" hidden="false" customHeight="false" outlineLevel="0" collapsed="false">
      <c r="A547" s="13" t="n">
        <v>3</v>
      </c>
      <c r="B547" s="13" t="n">
        <v>61</v>
      </c>
      <c r="C547" s="13" t="n">
        <v>0</v>
      </c>
      <c r="D547" s="13" t="n">
        <v>0</v>
      </c>
      <c r="E547" s="13" t="n">
        <v>0</v>
      </c>
      <c r="F547" s="13" t="n">
        <v>1</v>
      </c>
      <c r="G547" s="13" t="n">
        <v>0</v>
      </c>
      <c r="H547" s="13" t="str">
        <f aca="false">IF(C547=1,A547,"")</f>
        <v/>
      </c>
      <c r="I547" s="13" t="n">
        <f aca="false">IF(C547=0,A547,"")</f>
        <v>3</v>
      </c>
    </row>
    <row r="548" customFormat="false" ht="15" hidden="false" customHeight="false" outlineLevel="0" collapsed="false">
      <c r="A548" s="13" t="n">
        <v>3</v>
      </c>
      <c r="B548" s="13" t="n">
        <v>56</v>
      </c>
      <c r="C548" s="13" t="n">
        <v>1</v>
      </c>
      <c r="D548" s="13" t="n">
        <v>0</v>
      </c>
      <c r="E548" s="13" t="n">
        <v>1</v>
      </c>
      <c r="F548" s="13" t="n">
        <v>0</v>
      </c>
      <c r="G548" s="13" t="n">
        <v>0</v>
      </c>
      <c r="H548" s="13" t="n">
        <f aca="false">IF(C548=1,A548,"")</f>
        <v>3</v>
      </c>
      <c r="I548" s="13" t="str">
        <f aca="false">IF(C548=0,A548,"")</f>
        <v/>
      </c>
    </row>
    <row r="549" customFormat="false" ht="15" hidden="false" customHeight="false" outlineLevel="0" collapsed="false">
      <c r="A549" s="13" t="n">
        <v>2</v>
      </c>
      <c r="B549" s="13" t="n">
        <v>36</v>
      </c>
      <c r="C549" s="13" t="n">
        <v>1</v>
      </c>
      <c r="D549" s="13" t="n">
        <v>0</v>
      </c>
      <c r="E549" s="13" t="n">
        <v>0</v>
      </c>
      <c r="F549" s="13" t="n">
        <v>1</v>
      </c>
      <c r="G549" s="13" t="n">
        <v>0</v>
      </c>
      <c r="H549" s="13" t="n">
        <f aca="false">IF(C549=1,A549,"")</f>
        <v>2</v>
      </c>
      <c r="I549" s="13" t="str">
        <f aca="false">IF(C549=0,A549,"")</f>
        <v/>
      </c>
    </row>
    <row r="550" customFormat="false" ht="15" hidden="false" customHeight="false" outlineLevel="0" collapsed="false">
      <c r="A550" s="13" t="n">
        <v>5</v>
      </c>
      <c r="B550" s="13" t="n">
        <v>43</v>
      </c>
      <c r="C550" s="13" t="n">
        <v>0</v>
      </c>
      <c r="D550" s="13" t="n">
        <v>0</v>
      </c>
      <c r="E550" s="13" t="n">
        <v>0</v>
      </c>
      <c r="F550" s="13" t="n">
        <v>1</v>
      </c>
      <c r="G550" s="13" t="n">
        <v>0</v>
      </c>
      <c r="H550" s="13" t="str">
        <f aca="false">IF(C550=1,A550,"")</f>
        <v/>
      </c>
      <c r="I550" s="13" t="n">
        <f aca="false">IF(C550=0,A550,"")</f>
        <v>5</v>
      </c>
    </row>
    <row r="551" customFormat="false" ht="15" hidden="false" customHeight="false" outlineLevel="0" collapsed="false">
      <c r="A551" s="13" t="n">
        <v>4</v>
      </c>
      <c r="B551" s="13" t="n">
        <v>58</v>
      </c>
      <c r="C551" s="13" t="n">
        <v>1</v>
      </c>
      <c r="D551" s="13" t="n">
        <v>0</v>
      </c>
      <c r="E551" s="13" t="n">
        <v>1</v>
      </c>
      <c r="F551" s="13" t="n">
        <v>1</v>
      </c>
      <c r="G551" s="13" t="n">
        <v>1</v>
      </c>
      <c r="H551" s="13" t="n">
        <f aca="false">IF(C551=1,A551,"")</f>
        <v>4</v>
      </c>
      <c r="I551" s="13" t="str">
        <f aca="false">IF(C551=0,A551,"")</f>
        <v/>
      </c>
    </row>
    <row r="552" customFormat="false" ht="15" hidden="false" customHeight="false" outlineLevel="0" collapsed="false">
      <c r="A552" s="13" t="n">
        <v>4</v>
      </c>
      <c r="B552" s="13" t="n">
        <v>30</v>
      </c>
      <c r="C552" s="13" t="n">
        <v>0</v>
      </c>
      <c r="D552" s="13" t="n">
        <v>2</v>
      </c>
      <c r="E552" s="13" t="n">
        <v>0</v>
      </c>
      <c r="F552" s="13" t="n">
        <v>0</v>
      </c>
      <c r="G552" s="13" t="n">
        <v>1</v>
      </c>
      <c r="H552" s="13" t="str">
        <f aca="false">IF(C552=1,A552,"")</f>
        <v/>
      </c>
      <c r="I552" s="13" t="n">
        <f aca="false">IF(C552=0,A552,"")</f>
        <v>4</v>
      </c>
    </row>
    <row r="553" customFormat="false" ht="15" hidden="false" customHeight="false" outlineLevel="0" collapsed="false">
      <c r="A553" s="13" t="n">
        <v>4</v>
      </c>
      <c r="B553" s="13" t="n">
        <v>39</v>
      </c>
      <c r="C553" s="13" t="n">
        <v>0</v>
      </c>
      <c r="D553" s="13" t="n">
        <v>2</v>
      </c>
      <c r="E553" s="13" t="n">
        <v>0</v>
      </c>
      <c r="F553" s="13" t="n">
        <v>0</v>
      </c>
      <c r="G553" s="13" t="n">
        <v>1</v>
      </c>
      <c r="H553" s="13" t="str">
        <f aca="false">IF(C553=1,A553,"")</f>
        <v/>
      </c>
      <c r="I553" s="13" t="n">
        <f aca="false">IF(C553=0,A553,"")</f>
        <v>4</v>
      </c>
    </row>
    <row r="554" customFormat="false" ht="15" hidden="false" customHeight="false" outlineLevel="0" collapsed="false">
      <c r="A554" s="13" t="n">
        <v>4</v>
      </c>
      <c r="B554" s="13" t="n">
        <v>37</v>
      </c>
      <c r="C554" s="13" t="n">
        <v>0</v>
      </c>
      <c r="D554" s="13" t="n">
        <v>2</v>
      </c>
      <c r="E554" s="13" t="n">
        <v>1</v>
      </c>
      <c r="F554" s="13" t="n">
        <v>1</v>
      </c>
      <c r="G554" s="13" t="n">
        <v>1</v>
      </c>
      <c r="H554" s="13" t="str">
        <f aca="false">IF(C554=1,A554,"")</f>
        <v/>
      </c>
      <c r="I554" s="13" t="n">
        <f aca="false">IF(C554=0,A554,"")</f>
        <v>4</v>
      </c>
    </row>
    <row r="555" customFormat="false" ht="15" hidden="false" customHeight="false" outlineLevel="0" collapsed="false">
      <c r="A555" s="13" t="n">
        <v>4</v>
      </c>
      <c r="B555" s="13" t="n">
        <v>60</v>
      </c>
      <c r="C555" s="13" t="n">
        <v>0</v>
      </c>
      <c r="D555" s="13" t="n">
        <v>1</v>
      </c>
      <c r="E555" s="13" t="n">
        <v>1</v>
      </c>
      <c r="F555" s="13" t="n">
        <v>1</v>
      </c>
      <c r="G555" s="13" t="n">
        <v>1</v>
      </c>
      <c r="H555" s="13" t="str">
        <f aca="false">IF(C555=1,A555,"")</f>
        <v/>
      </c>
      <c r="I555" s="13" t="n">
        <f aca="false">IF(C555=0,A555,"")</f>
        <v>4</v>
      </c>
    </row>
    <row r="556" customFormat="false" ht="15" hidden="false" customHeight="false" outlineLevel="0" collapsed="false">
      <c r="A556" s="13" t="n">
        <v>2</v>
      </c>
      <c r="B556" s="13" t="n">
        <v>51</v>
      </c>
      <c r="C556" s="13" t="n">
        <v>1</v>
      </c>
      <c r="D556" s="13" t="n">
        <v>0</v>
      </c>
      <c r="E556" s="13" t="n">
        <v>1</v>
      </c>
      <c r="F556" s="13" t="n">
        <v>1</v>
      </c>
      <c r="G556" s="13" t="n">
        <v>0</v>
      </c>
      <c r="H556" s="13" t="n">
        <f aca="false">IF(C556=1,A556,"")</f>
        <v>2</v>
      </c>
      <c r="I556" s="13" t="str">
        <f aca="false">IF(C556=0,A556,"")</f>
        <v/>
      </c>
    </row>
    <row r="557" customFormat="false" ht="15" hidden="false" customHeight="false" outlineLevel="0" collapsed="false">
      <c r="A557" s="13" t="n">
        <v>4</v>
      </c>
      <c r="B557" s="13" t="n">
        <v>45</v>
      </c>
      <c r="C557" s="13" t="n">
        <v>0</v>
      </c>
      <c r="D557" s="13" t="n">
        <v>2</v>
      </c>
      <c r="E557" s="13" t="n">
        <v>0</v>
      </c>
      <c r="F557" s="13" t="n">
        <v>1</v>
      </c>
      <c r="G557" s="13" t="n">
        <v>1</v>
      </c>
      <c r="H557" s="13" t="str">
        <f aca="false">IF(C557=1,A557,"")</f>
        <v/>
      </c>
      <c r="I557" s="13" t="n">
        <f aca="false">IF(C557=0,A557,"")</f>
        <v>4</v>
      </c>
    </row>
    <row r="558" customFormat="false" ht="15" hidden="false" customHeight="false" outlineLevel="0" collapsed="false">
      <c r="A558" s="13" t="n">
        <v>3</v>
      </c>
      <c r="B558" s="13" t="n">
        <v>61</v>
      </c>
      <c r="C558" s="13" t="n">
        <v>0</v>
      </c>
      <c r="D558" s="13" t="n">
        <v>0</v>
      </c>
      <c r="E558" s="13" t="n">
        <v>0</v>
      </c>
      <c r="F558" s="13" t="n">
        <v>0</v>
      </c>
      <c r="G558" s="13" t="n">
        <v>1</v>
      </c>
      <c r="H558" s="13" t="str">
        <f aca="false">IF(C558=1,A558,"")</f>
        <v/>
      </c>
      <c r="I558" s="13" t="n">
        <f aca="false">IF(C558=0,A558,"")</f>
        <v>3</v>
      </c>
    </row>
    <row r="559" customFormat="false" ht="15" hidden="false" customHeight="false" outlineLevel="0" collapsed="false">
      <c r="A559" s="13" t="n">
        <v>3</v>
      </c>
      <c r="B559" s="13" t="n">
        <v>39</v>
      </c>
      <c r="C559" s="13" t="n">
        <v>1</v>
      </c>
      <c r="D559" s="13" t="n">
        <v>0</v>
      </c>
      <c r="E559" s="13" t="n">
        <v>1</v>
      </c>
      <c r="F559" s="13" t="n">
        <v>1</v>
      </c>
      <c r="G559" s="13" t="n">
        <v>0</v>
      </c>
      <c r="H559" s="13" t="n">
        <f aca="false">IF(C559=1,A559,"")</f>
        <v>3</v>
      </c>
      <c r="I559" s="13" t="str">
        <f aca="false">IF(C559=0,A559,"")</f>
        <v/>
      </c>
    </row>
    <row r="560" customFormat="false" ht="15" hidden="false" customHeight="false" outlineLevel="0" collapsed="false">
      <c r="A560" s="13" t="n">
        <v>2</v>
      </c>
      <c r="B560" s="13" t="n">
        <v>55</v>
      </c>
      <c r="C560" s="13" t="n">
        <v>0</v>
      </c>
      <c r="D560" s="13" t="n">
        <v>0</v>
      </c>
      <c r="E560" s="13" t="n">
        <v>0</v>
      </c>
      <c r="F560" s="13" t="n">
        <v>0</v>
      </c>
      <c r="G560" s="13" t="n">
        <v>0</v>
      </c>
      <c r="H560" s="13" t="str">
        <f aca="false">IF(C560=1,A560,"")</f>
        <v/>
      </c>
      <c r="I560" s="13" t="n">
        <f aca="false">IF(C560=0,A560,"")</f>
        <v>2</v>
      </c>
    </row>
    <row r="561" customFormat="false" ht="15" hidden="false" customHeight="false" outlineLevel="0" collapsed="false">
      <c r="A561" s="13" t="n">
        <v>5</v>
      </c>
      <c r="B561" s="13" t="n">
        <v>60</v>
      </c>
      <c r="C561" s="13" t="n">
        <v>0</v>
      </c>
      <c r="D561" s="13" t="n">
        <v>0</v>
      </c>
      <c r="E561" s="13" t="n">
        <v>1</v>
      </c>
      <c r="F561" s="13" t="n">
        <v>0</v>
      </c>
      <c r="G561" s="13" t="n">
        <v>1</v>
      </c>
      <c r="H561" s="13" t="str">
        <f aca="false">IF(C561=1,A561,"")</f>
        <v/>
      </c>
      <c r="I561" s="13" t="n">
        <f aca="false">IF(C561=0,A561,"")</f>
        <v>5</v>
      </c>
    </row>
    <row r="562" customFormat="false" ht="15" hidden="false" customHeight="false" outlineLevel="0" collapsed="false">
      <c r="A562" s="13" t="n">
        <v>3</v>
      </c>
      <c r="B562" s="13" t="n">
        <v>48</v>
      </c>
      <c r="C562" s="13" t="n">
        <v>1</v>
      </c>
      <c r="D562" s="13" t="n">
        <v>0</v>
      </c>
      <c r="E562" s="13" t="n">
        <v>1</v>
      </c>
      <c r="F562" s="13" t="n">
        <v>0</v>
      </c>
      <c r="G562" s="13" t="n">
        <v>0</v>
      </c>
      <c r="H562" s="13" t="n">
        <f aca="false">IF(C562=1,A562,"")</f>
        <v>3</v>
      </c>
      <c r="I562" s="13" t="str">
        <f aca="false">IF(C562=0,A562,"")</f>
        <v/>
      </c>
    </row>
    <row r="563" customFormat="false" ht="15" hidden="false" customHeight="false" outlineLevel="0" collapsed="false">
      <c r="A563" s="13" t="n">
        <v>3</v>
      </c>
      <c r="B563" s="13" t="n">
        <v>50</v>
      </c>
      <c r="C563" s="13" t="n">
        <v>1</v>
      </c>
      <c r="D563" s="13" t="n">
        <v>0</v>
      </c>
      <c r="E563" s="13" t="n">
        <v>1</v>
      </c>
      <c r="F563" s="13" t="n">
        <v>0</v>
      </c>
      <c r="G563" s="13" t="n">
        <v>0</v>
      </c>
      <c r="H563" s="13" t="n">
        <f aca="false">IF(C563=1,A563,"")</f>
        <v>3</v>
      </c>
      <c r="I563" s="13" t="str">
        <f aca="false">IF(C563=0,A563,"")</f>
        <v/>
      </c>
    </row>
    <row r="564" customFormat="false" ht="15" hidden="false" customHeight="false" outlineLevel="0" collapsed="false">
      <c r="A564" s="13" t="n">
        <v>4</v>
      </c>
      <c r="B564" s="13" t="n">
        <v>30</v>
      </c>
      <c r="C564" s="13" t="n">
        <v>1</v>
      </c>
      <c r="D564" s="13" t="n">
        <v>0</v>
      </c>
      <c r="E564" s="13" t="n">
        <v>1</v>
      </c>
      <c r="F564" s="13" t="n">
        <v>0</v>
      </c>
      <c r="G564" s="13" t="n">
        <v>0</v>
      </c>
      <c r="H564" s="13" t="n">
        <f aca="false">IF(C564=1,A564,"")</f>
        <v>4</v>
      </c>
      <c r="I564" s="13" t="str">
        <f aca="false">IF(C564=0,A564,"")</f>
        <v/>
      </c>
    </row>
    <row r="565" customFormat="false" ht="15" hidden="false" customHeight="false" outlineLevel="0" collapsed="false">
      <c r="A565" s="13" t="n">
        <v>4</v>
      </c>
      <c r="B565" s="13" t="n">
        <v>57</v>
      </c>
      <c r="C565" s="13" t="n">
        <v>1</v>
      </c>
      <c r="D565" s="13" t="n">
        <v>0</v>
      </c>
      <c r="E565" s="13" t="n">
        <v>0</v>
      </c>
      <c r="F565" s="13" t="n">
        <v>1</v>
      </c>
      <c r="G565" s="13" t="n">
        <v>0</v>
      </c>
      <c r="H565" s="13" t="n">
        <f aca="false">IF(C565=1,A565,"")</f>
        <v>4</v>
      </c>
      <c r="I565" s="13" t="str">
        <f aca="false">IF(C565=0,A565,"")</f>
        <v/>
      </c>
    </row>
    <row r="566" customFormat="false" ht="15" hidden="false" customHeight="false" outlineLevel="0" collapsed="false">
      <c r="A566" s="13" t="n">
        <v>4</v>
      </c>
      <c r="B566" s="13" t="n">
        <v>58</v>
      </c>
      <c r="C566" s="13" t="n">
        <v>0</v>
      </c>
      <c r="D566" s="13" t="n">
        <v>0</v>
      </c>
      <c r="E566" s="13" t="n">
        <v>0</v>
      </c>
      <c r="F566" s="13" t="n">
        <v>0</v>
      </c>
      <c r="G566" s="13" t="n">
        <v>1</v>
      </c>
      <c r="H566" s="13" t="str">
        <f aca="false">IF(C566=1,A566,"")</f>
        <v/>
      </c>
      <c r="I566" s="13" t="n">
        <f aca="false">IF(C566=0,A566,"")</f>
        <v>4</v>
      </c>
    </row>
    <row r="567" customFormat="false" ht="15" hidden="false" customHeight="false" outlineLevel="0" collapsed="false">
      <c r="A567" s="13" t="n">
        <v>5</v>
      </c>
      <c r="B567" s="13" t="n">
        <v>45</v>
      </c>
      <c r="C567" s="13" t="n">
        <v>1</v>
      </c>
      <c r="D567" s="13" t="n">
        <v>1</v>
      </c>
      <c r="E567" s="13" t="n">
        <v>1</v>
      </c>
      <c r="F567" s="13" t="n">
        <v>1</v>
      </c>
      <c r="G567" s="13" t="n">
        <v>1</v>
      </c>
      <c r="H567" s="13" t="n">
        <f aca="false">IF(C567=1,A567,"")</f>
        <v>5</v>
      </c>
      <c r="I567" s="13" t="str">
        <f aca="false">IF(C567=0,A567,"")</f>
        <v/>
      </c>
    </row>
    <row r="568" customFormat="false" ht="15" hidden="false" customHeight="false" outlineLevel="0" collapsed="false">
      <c r="A568" s="13" t="n">
        <v>4</v>
      </c>
      <c r="B568" s="13" t="n">
        <v>59</v>
      </c>
      <c r="C568" s="13" t="n">
        <v>0</v>
      </c>
      <c r="D568" s="13" t="n">
        <v>0</v>
      </c>
      <c r="E568" s="13" t="n">
        <v>1</v>
      </c>
      <c r="F568" s="13" t="n">
        <v>0</v>
      </c>
      <c r="G568" s="13" t="n">
        <v>1</v>
      </c>
      <c r="H568" s="13" t="str">
        <f aca="false">IF(C568=1,A568,"")</f>
        <v/>
      </c>
      <c r="I568" s="13" t="n">
        <f aca="false">IF(C568=0,A568,"")</f>
        <v>4</v>
      </c>
    </row>
    <row r="569" customFormat="false" ht="15" hidden="false" customHeight="false" outlineLevel="0" collapsed="false">
      <c r="A569" s="13" t="n">
        <v>5</v>
      </c>
      <c r="B569" s="13" t="n">
        <v>61</v>
      </c>
      <c r="C569" s="13" t="n">
        <v>1</v>
      </c>
      <c r="D569" s="13" t="n">
        <v>0</v>
      </c>
      <c r="E569" s="13" t="n">
        <v>1</v>
      </c>
      <c r="F569" s="13" t="n">
        <v>1</v>
      </c>
      <c r="G569" s="13" t="n">
        <v>1</v>
      </c>
      <c r="H569" s="13" t="n">
        <f aca="false">IF(C569=1,A569,"")</f>
        <v>5</v>
      </c>
      <c r="I569" s="13" t="str">
        <f aca="false">IF(C569=0,A569,"")</f>
        <v/>
      </c>
    </row>
    <row r="570" customFormat="false" ht="15" hidden="false" customHeight="false" outlineLevel="0" collapsed="false">
      <c r="A570" s="13" t="n">
        <v>4</v>
      </c>
      <c r="B570" s="13" t="n">
        <v>35</v>
      </c>
      <c r="C570" s="13" t="n">
        <v>0</v>
      </c>
      <c r="D570" s="13" t="n">
        <v>0</v>
      </c>
      <c r="E570" s="13" t="n">
        <v>0</v>
      </c>
      <c r="F570" s="13" t="n">
        <v>1</v>
      </c>
      <c r="G570" s="13" t="n">
        <v>1</v>
      </c>
      <c r="H570" s="13" t="str">
        <f aca="false">IF(C570=1,A570,"")</f>
        <v/>
      </c>
      <c r="I570" s="13" t="n">
        <f aca="false">IF(C570=0,A570,"")</f>
        <v>4</v>
      </c>
    </row>
    <row r="571" customFormat="false" ht="15" hidden="false" customHeight="false" outlineLevel="0" collapsed="false">
      <c r="A571" s="13" t="n">
        <v>3</v>
      </c>
      <c r="B571" s="13" t="n">
        <v>49</v>
      </c>
      <c r="C571" s="13" t="n">
        <v>0</v>
      </c>
      <c r="D571" s="13" t="n">
        <v>0</v>
      </c>
      <c r="E571" s="13" t="n">
        <v>1</v>
      </c>
      <c r="F571" s="13" t="n">
        <v>0</v>
      </c>
      <c r="G571" s="13" t="n">
        <v>0</v>
      </c>
      <c r="H571" s="13" t="str">
        <f aca="false">IF(C571=1,A571,"")</f>
        <v/>
      </c>
      <c r="I571" s="13" t="n">
        <f aca="false">IF(C571=0,A571,"")</f>
        <v>3</v>
      </c>
    </row>
    <row r="572" customFormat="false" ht="15" hidden="false" customHeight="false" outlineLevel="0" collapsed="false">
      <c r="A572" s="13" t="n">
        <v>4</v>
      </c>
      <c r="B572" s="13" t="n">
        <v>35</v>
      </c>
      <c r="C572" s="13" t="n">
        <v>1</v>
      </c>
      <c r="D572" s="13" t="n">
        <v>0</v>
      </c>
      <c r="E572" s="13" t="n">
        <v>0</v>
      </c>
      <c r="F572" s="13" t="n">
        <v>1</v>
      </c>
      <c r="G572" s="13" t="n">
        <v>0</v>
      </c>
      <c r="H572" s="13" t="n">
        <f aca="false">IF(C572=1,A572,"")</f>
        <v>4</v>
      </c>
      <c r="I572" s="13" t="str">
        <f aca="false">IF(C572=0,A572,"")</f>
        <v/>
      </c>
    </row>
    <row r="573" customFormat="false" ht="15" hidden="false" customHeight="false" outlineLevel="0" collapsed="false">
      <c r="A573" s="13" t="n">
        <v>4</v>
      </c>
      <c r="B573" s="13" t="n">
        <v>64</v>
      </c>
      <c r="C573" s="13" t="n">
        <v>0</v>
      </c>
      <c r="D573" s="13" t="n">
        <v>0</v>
      </c>
      <c r="E573" s="13" t="n">
        <v>1</v>
      </c>
      <c r="F573" s="13" t="n">
        <v>0</v>
      </c>
      <c r="G573" s="13" t="n">
        <v>1</v>
      </c>
      <c r="H573" s="13" t="str">
        <f aca="false">IF(C573=1,A573,"")</f>
        <v/>
      </c>
      <c r="I573" s="13" t="n">
        <f aca="false">IF(C573=0,A573,"")</f>
        <v>4</v>
      </c>
    </row>
    <row r="574" customFormat="false" ht="15" hidden="false" customHeight="false" outlineLevel="0" collapsed="false">
      <c r="A574" s="13" t="n">
        <v>3</v>
      </c>
      <c r="B574" s="13" t="n">
        <v>26</v>
      </c>
      <c r="C574" s="13" t="n">
        <v>0</v>
      </c>
      <c r="D574" s="13" t="n">
        <v>0</v>
      </c>
      <c r="E574" s="13" t="n">
        <v>1</v>
      </c>
      <c r="F574" s="13" t="n">
        <v>1</v>
      </c>
      <c r="G574" s="13" t="n">
        <v>0</v>
      </c>
      <c r="H574" s="13" t="str">
        <f aca="false">IF(C574=1,A574,"")</f>
        <v/>
      </c>
      <c r="I574" s="13" t="n">
        <f aca="false">IF(C574=0,A574,"")</f>
        <v>3</v>
      </c>
    </row>
    <row r="575" customFormat="false" ht="15" hidden="false" customHeight="false" outlineLevel="0" collapsed="false">
      <c r="A575" s="13" t="n">
        <v>3</v>
      </c>
      <c r="B575" s="13" t="n">
        <v>58</v>
      </c>
      <c r="C575" s="13" t="n">
        <v>0</v>
      </c>
      <c r="D575" s="13" t="n">
        <v>1</v>
      </c>
      <c r="E575" s="13" t="n">
        <v>1</v>
      </c>
      <c r="F575" s="13" t="n">
        <v>1</v>
      </c>
      <c r="G575" s="13" t="n">
        <v>0</v>
      </c>
      <c r="H575" s="13" t="str">
        <f aca="false">IF(C575=1,A575,"")</f>
        <v/>
      </c>
      <c r="I575" s="13" t="n">
        <f aca="false">IF(C575=0,A575,"")</f>
        <v>3</v>
      </c>
    </row>
    <row r="576" customFormat="false" ht="15" hidden="false" customHeight="false" outlineLevel="0" collapsed="false">
      <c r="A576" s="13" t="n">
        <v>5</v>
      </c>
      <c r="B576" s="13" t="n">
        <v>61</v>
      </c>
      <c r="C576" s="13" t="n">
        <v>1</v>
      </c>
      <c r="D576" s="13" t="n">
        <v>0</v>
      </c>
      <c r="E576" s="13" t="n">
        <v>1</v>
      </c>
      <c r="F576" s="13" t="n">
        <v>0</v>
      </c>
      <c r="G576" s="13" t="n">
        <v>1</v>
      </c>
      <c r="H576" s="13" t="n">
        <f aca="false">IF(C576=1,A576,"")</f>
        <v>5</v>
      </c>
      <c r="I576" s="13" t="str">
        <f aca="false">IF(C576=0,A576,"")</f>
        <v/>
      </c>
    </row>
    <row r="577" customFormat="false" ht="15" hidden="false" customHeight="false" outlineLevel="0" collapsed="false">
      <c r="A577" s="13" t="n">
        <v>4</v>
      </c>
      <c r="B577" s="13" t="n">
        <v>43</v>
      </c>
      <c r="C577" s="13" t="n">
        <v>1</v>
      </c>
      <c r="D577" s="13" t="n">
        <v>5</v>
      </c>
      <c r="E577" s="13" t="n">
        <v>1</v>
      </c>
      <c r="F577" s="13" t="n">
        <v>1</v>
      </c>
      <c r="G577" s="13" t="n">
        <v>1</v>
      </c>
      <c r="H577" s="13" t="n">
        <f aca="false">IF(C577=1,A577,"")</f>
        <v>4</v>
      </c>
      <c r="I577" s="13" t="str">
        <f aca="false">IF(C577=0,A577,"")</f>
        <v/>
      </c>
    </row>
    <row r="578" customFormat="false" ht="15" hidden="false" customHeight="false" outlineLevel="0" collapsed="false">
      <c r="A578" s="13" t="n">
        <v>5</v>
      </c>
      <c r="B578" s="13" t="n">
        <v>48</v>
      </c>
      <c r="C578" s="13" t="n">
        <v>0</v>
      </c>
      <c r="D578" s="13" t="n">
        <v>1</v>
      </c>
      <c r="E578" s="13" t="n">
        <v>1</v>
      </c>
      <c r="F578" s="13" t="n">
        <v>0</v>
      </c>
      <c r="G578" s="13" t="n">
        <v>1</v>
      </c>
      <c r="H578" s="13" t="str">
        <f aca="false">IF(C578=1,A578,"")</f>
        <v/>
      </c>
      <c r="I578" s="13" t="n">
        <f aca="false">IF(C578=0,A578,"")</f>
        <v>5</v>
      </c>
    </row>
    <row r="579" customFormat="false" ht="15" hidden="false" customHeight="false" outlineLevel="0" collapsed="false">
      <c r="A579" s="13" t="n">
        <v>4</v>
      </c>
      <c r="B579" s="13" t="n">
        <v>57</v>
      </c>
      <c r="C579" s="13" t="n">
        <v>0</v>
      </c>
      <c r="D579" s="13" t="n">
        <v>0</v>
      </c>
      <c r="E579" s="13" t="n">
        <v>0</v>
      </c>
      <c r="F579" s="13" t="n">
        <v>0</v>
      </c>
      <c r="G579" s="13" t="n">
        <v>1</v>
      </c>
      <c r="H579" s="13" t="str">
        <f aca="false">IF(C579=1,A579,"")</f>
        <v/>
      </c>
      <c r="I579" s="13" t="n">
        <f aca="false">IF(C579=0,A579,"")</f>
        <v>4</v>
      </c>
    </row>
    <row r="580" customFormat="false" ht="15" hidden="false" customHeight="false" outlineLevel="0" collapsed="false">
      <c r="A580" s="13" t="n">
        <v>4</v>
      </c>
      <c r="B580" s="13" t="n">
        <v>52</v>
      </c>
      <c r="C580" s="13" t="n">
        <v>1</v>
      </c>
      <c r="D580" s="13" t="n">
        <v>1</v>
      </c>
      <c r="E580" s="13" t="n">
        <v>1</v>
      </c>
      <c r="F580" s="13" t="n">
        <v>1</v>
      </c>
      <c r="G580" s="13" t="n">
        <v>1</v>
      </c>
      <c r="H580" s="13" t="n">
        <f aca="false">IF(C580=1,A580,"")</f>
        <v>4</v>
      </c>
      <c r="I580" s="13" t="str">
        <f aca="false">IF(C580=0,A580,"")</f>
        <v/>
      </c>
    </row>
    <row r="581" customFormat="false" ht="15" hidden="false" customHeight="false" outlineLevel="0" collapsed="false">
      <c r="A581" s="13" t="n">
        <v>4</v>
      </c>
      <c r="B581" s="13" t="n">
        <v>61</v>
      </c>
      <c r="C581" s="13" t="n">
        <v>0</v>
      </c>
      <c r="D581" s="13" t="n">
        <v>0</v>
      </c>
      <c r="E581" s="13" t="n">
        <v>0</v>
      </c>
      <c r="F581" s="13" t="n">
        <v>1</v>
      </c>
      <c r="G581" s="13" t="n">
        <v>1</v>
      </c>
      <c r="H581" s="13" t="str">
        <f aca="false">IF(C581=1,A581,"")</f>
        <v/>
      </c>
      <c r="I581" s="13" t="n">
        <f aca="false">IF(C581=0,A581,"")</f>
        <v>4</v>
      </c>
    </row>
    <row r="582" customFormat="false" ht="15" hidden="false" customHeight="false" outlineLevel="0" collapsed="false">
      <c r="A582" s="13" t="n">
        <v>4</v>
      </c>
      <c r="B582" s="13" t="n">
        <v>34</v>
      </c>
      <c r="C582" s="13" t="n">
        <v>0</v>
      </c>
      <c r="D582" s="13" t="n">
        <v>3</v>
      </c>
      <c r="E582" s="13" t="n">
        <v>1</v>
      </c>
      <c r="F582" s="13" t="n">
        <v>1</v>
      </c>
      <c r="G582" s="13" t="n">
        <v>1</v>
      </c>
      <c r="H582" s="13" t="str">
        <f aca="false">IF(C582=1,A582,"")</f>
        <v/>
      </c>
      <c r="I582" s="13" t="n">
        <f aca="false">IF(C582=0,A582,"")</f>
        <v>4</v>
      </c>
    </row>
    <row r="583" customFormat="false" ht="15" hidden="false" customHeight="false" outlineLevel="0" collapsed="false">
      <c r="A583" s="13" t="n">
        <v>4</v>
      </c>
      <c r="B583" s="13" t="n">
        <v>52</v>
      </c>
      <c r="C583" s="13" t="n">
        <v>0</v>
      </c>
      <c r="D583" s="13" t="n">
        <v>0</v>
      </c>
      <c r="E583" s="13" t="n">
        <v>1</v>
      </c>
      <c r="F583" s="13" t="n">
        <v>0</v>
      </c>
      <c r="G583" s="13" t="n">
        <v>0</v>
      </c>
      <c r="H583" s="13" t="str">
        <f aca="false">IF(C583=1,A583,"")</f>
        <v/>
      </c>
      <c r="I583" s="13" t="n">
        <f aca="false">IF(C583=0,A583,"")</f>
        <v>4</v>
      </c>
    </row>
    <row r="584" customFormat="false" ht="15" hidden="false" customHeight="false" outlineLevel="0" collapsed="false">
      <c r="A584" s="13" t="n">
        <v>5</v>
      </c>
      <c r="B584" s="13" t="n">
        <v>62</v>
      </c>
      <c r="C584" s="13" t="n">
        <v>1</v>
      </c>
      <c r="D584" s="13" t="n">
        <v>0</v>
      </c>
      <c r="E584" s="13" t="n">
        <v>1</v>
      </c>
      <c r="F584" s="13" t="n">
        <v>1</v>
      </c>
      <c r="G584" s="13" t="n">
        <v>1</v>
      </c>
      <c r="H584" s="13" t="n">
        <f aca="false">IF(C584=1,A584,"")</f>
        <v>5</v>
      </c>
      <c r="I584" s="13" t="str">
        <f aca="false">IF(C584=0,A584,"")</f>
        <v/>
      </c>
    </row>
    <row r="585" customFormat="false" ht="15" hidden="false" customHeight="false" outlineLevel="0" collapsed="false">
      <c r="A585" s="13" t="n">
        <v>4</v>
      </c>
      <c r="B585" s="13" t="n">
        <v>40</v>
      </c>
      <c r="C585" s="13" t="n">
        <v>0</v>
      </c>
      <c r="D585" s="13" t="n">
        <v>1</v>
      </c>
      <c r="E585" s="13" t="n">
        <v>0</v>
      </c>
      <c r="F585" s="13" t="n">
        <v>0</v>
      </c>
      <c r="G585" s="13" t="n">
        <v>1</v>
      </c>
      <c r="H585" s="13" t="str">
        <f aca="false">IF(C585=1,A585,"")</f>
        <v/>
      </c>
      <c r="I585" s="13" t="n">
        <f aca="false">IF(C585=0,A585,"")</f>
        <v>4</v>
      </c>
    </row>
    <row r="586" customFormat="false" ht="15" hidden="false" customHeight="false" outlineLevel="0" collapsed="false">
      <c r="A586" s="13" t="n">
        <v>2</v>
      </c>
      <c r="B586" s="13" t="n">
        <v>52</v>
      </c>
      <c r="C586" s="13" t="n">
        <v>1</v>
      </c>
      <c r="D586" s="13" t="n">
        <v>0</v>
      </c>
      <c r="E586" s="13" t="n">
        <v>1</v>
      </c>
      <c r="F586" s="13" t="n">
        <v>1</v>
      </c>
      <c r="G586" s="13" t="n">
        <v>0</v>
      </c>
      <c r="H586" s="13" t="n">
        <f aca="false">IF(C586=1,A586,"")</f>
        <v>2</v>
      </c>
      <c r="I586" s="13" t="str">
        <f aca="false">IF(C586=0,A586,"")</f>
        <v/>
      </c>
    </row>
    <row r="587" customFormat="false" ht="15" hidden="false" customHeight="false" outlineLevel="0" collapsed="false">
      <c r="A587" s="13" t="n">
        <v>4</v>
      </c>
      <c r="B587" s="13" t="n">
        <v>34</v>
      </c>
      <c r="C587" s="13" t="n">
        <v>1</v>
      </c>
      <c r="D587" s="13" t="n">
        <v>1</v>
      </c>
      <c r="E587" s="13" t="n">
        <v>1</v>
      </c>
      <c r="F587" s="13" t="n">
        <v>0</v>
      </c>
      <c r="G587" s="13" t="n">
        <v>1</v>
      </c>
      <c r="H587" s="13" t="n">
        <f aca="false">IF(C587=1,A587,"")</f>
        <v>4</v>
      </c>
      <c r="I587" s="13" t="str">
        <f aca="false">IF(C587=0,A587,"")</f>
        <v/>
      </c>
    </row>
    <row r="588" customFormat="false" ht="15" hidden="false" customHeight="false" outlineLevel="0" collapsed="false">
      <c r="A588" s="13" t="n">
        <v>3</v>
      </c>
      <c r="B588" s="13" t="n">
        <v>53</v>
      </c>
      <c r="C588" s="13" t="n">
        <v>1</v>
      </c>
      <c r="D588" s="13" t="n">
        <v>1</v>
      </c>
      <c r="E588" s="13" t="n">
        <v>1</v>
      </c>
      <c r="F588" s="13" t="n">
        <v>0</v>
      </c>
      <c r="G588" s="13" t="n">
        <v>0</v>
      </c>
      <c r="H588" s="13" t="n">
        <f aca="false">IF(C588=1,A588,"")</f>
        <v>3</v>
      </c>
      <c r="I588" s="13" t="str">
        <f aca="false">IF(C588=0,A588,"")</f>
        <v/>
      </c>
    </row>
    <row r="589" customFormat="false" ht="15" hidden="false" customHeight="false" outlineLevel="0" collapsed="false">
      <c r="A589" s="13" t="n">
        <v>2</v>
      </c>
      <c r="B589" s="13" t="n">
        <v>32</v>
      </c>
      <c r="C589" s="13" t="n">
        <v>1</v>
      </c>
      <c r="D589" s="13" t="n">
        <v>0</v>
      </c>
      <c r="E589" s="13" t="n">
        <v>0</v>
      </c>
      <c r="F589" s="13" t="n">
        <v>0</v>
      </c>
      <c r="G589" s="13" t="n">
        <v>0</v>
      </c>
      <c r="H589" s="13" t="n">
        <f aca="false">IF(C589=1,A589,"")</f>
        <v>2</v>
      </c>
      <c r="I589" s="13" t="str">
        <f aca="false">IF(C589=0,A589,"")</f>
        <v/>
      </c>
    </row>
    <row r="590" customFormat="false" ht="15" hidden="false" customHeight="false" outlineLevel="0" collapsed="false">
      <c r="A590" s="13" t="n">
        <v>5</v>
      </c>
      <c r="B590" s="13" t="n">
        <v>35</v>
      </c>
      <c r="C590" s="13" t="n">
        <v>0</v>
      </c>
      <c r="D590" s="13" t="n">
        <v>1</v>
      </c>
      <c r="E590" s="13" t="n">
        <v>1</v>
      </c>
      <c r="F590" s="13" t="n">
        <v>1</v>
      </c>
      <c r="G590" s="13" t="n">
        <v>1</v>
      </c>
      <c r="H590" s="13" t="str">
        <f aca="false">IF(C590=1,A590,"")</f>
        <v/>
      </c>
      <c r="I590" s="13" t="n">
        <f aca="false">IF(C590=0,A590,"")</f>
        <v>5</v>
      </c>
    </row>
    <row r="591" customFormat="false" ht="15" hidden="false" customHeight="false" outlineLevel="0" collapsed="false">
      <c r="A591" s="13" t="n">
        <v>2</v>
      </c>
      <c r="B591" s="13" t="n">
        <v>45</v>
      </c>
      <c r="C591" s="13" t="n">
        <v>1</v>
      </c>
      <c r="D591" s="13" t="n">
        <v>1</v>
      </c>
      <c r="E591" s="13" t="n">
        <v>1</v>
      </c>
      <c r="F591" s="13" t="n">
        <v>1</v>
      </c>
      <c r="G591" s="13" t="n">
        <v>0</v>
      </c>
      <c r="H591" s="13" t="n">
        <f aca="false">IF(C591=1,A591,"")</f>
        <v>2</v>
      </c>
      <c r="I591" s="13" t="str">
        <f aca="false">IF(C591=0,A591,"")</f>
        <v/>
      </c>
    </row>
    <row r="592" customFormat="false" ht="15" hidden="false" customHeight="false" outlineLevel="0" collapsed="false">
      <c r="A592" s="13" t="n">
        <v>5</v>
      </c>
      <c r="B592" s="13" t="n">
        <v>30</v>
      </c>
      <c r="C592" s="13" t="n">
        <v>0</v>
      </c>
      <c r="D592" s="13" t="n">
        <v>1</v>
      </c>
      <c r="E592" s="13" t="n">
        <v>1</v>
      </c>
      <c r="F592" s="13" t="n">
        <v>1</v>
      </c>
      <c r="G592" s="13" t="n">
        <v>1</v>
      </c>
      <c r="H592" s="13" t="str">
        <f aca="false">IF(C592=1,A592,"")</f>
        <v/>
      </c>
      <c r="I592" s="13" t="n">
        <f aca="false">IF(C592=0,A592,"")</f>
        <v>5</v>
      </c>
    </row>
    <row r="593" customFormat="false" ht="15" hidden="false" customHeight="false" outlineLevel="0" collapsed="false">
      <c r="A593" s="13" t="n">
        <v>2</v>
      </c>
      <c r="B593" s="13" t="n">
        <v>62</v>
      </c>
      <c r="C593" s="13" t="n">
        <v>0</v>
      </c>
      <c r="D593" s="13" t="n">
        <v>0</v>
      </c>
      <c r="E593" s="13" t="n">
        <v>0</v>
      </c>
      <c r="F593" s="13" t="n">
        <v>1</v>
      </c>
      <c r="G593" s="13" t="n">
        <v>0</v>
      </c>
      <c r="H593" s="13" t="str">
        <f aca="false">IF(C593=1,A593,"")</f>
        <v/>
      </c>
      <c r="I593" s="13" t="n">
        <f aca="false">IF(C593=0,A593,"")</f>
        <v>2</v>
      </c>
    </row>
    <row r="594" customFormat="false" ht="15" hidden="false" customHeight="false" outlineLevel="0" collapsed="false">
      <c r="A594" s="13" t="n">
        <v>4</v>
      </c>
      <c r="B594" s="13" t="n">
        <v>40</v>
      </c>
      <c r="C594" s="13" t="n">
        <v>0</v>
      </c>
      <c r="D594" s="13" t="n">
        <v>3</v>
      </c>
      <c r="E594" s="13" t="n">
        <v>1</v>
      </c>
      <c r="F594" s="13" t="n">
        <v>1</v>
      </c>
      <c r="G594" s="13" t="n">
        <v>1</v>
      </c>
      <c r="H594" s="13" t="str">
        <f aca="false">IF(C594=1,A594,"")</f>
        <v/>
      </c>
      <c r="I594" s="13" t="n">
        <f aca="false">IF(C594=0,A594,"")</f>
        <v>4</v>
      </c>
    </row>
    <row r="595" customFormat="false" ht="15" hidden="false" customHeight="false" outlineLevel="0" collapsed="false">
      <c r="A595" s="13" t="n">
        <v>4</v>
      </c>
      <c r="B595" s="13" t="n">
        <v>26</v>
      </c>
      <c r="C595" s="13" t="n">
        <v>0</v>
      </c>
      <c r="D595" s="13" t="n">
        <v>0</v>
      </c>
      <c r="E595" s="13" t="n">
        <v>1</v>
      </c>
      <c r="F595" s="13" t="n">
        <v>0</v>
      </c>
      <c r="G595" s="13" t="n">
        <v>0</v>
      </c>
      <c r="H595" s="13" t="str">
        <f aca="false">IF(C595=1,A595,"")</f>
        <v/>
      </c>
      <c r="I595" s="13" t="n">
        <f aca="false">IF(C595=0,A595,"")</f>
        <v>4</v>
      </c>
    </row>
    <row r="596" customFormat="false" ht="15" hidden="false" customHeight="false" outlineLevel="0" collapsed="false">
      <c r="A596" s="13" t="n">
        <v>5</v>
      </c>
      <c r="B596" s="13" t="n">
        <v>27</v>
      </c>
      <c r="C596" s="13" t="n">
        <v>0</v>
      </c>
      <c r="D596" s="13" t="n">
        <v>1</v>
      </c>
      <c r="E596" s="13" t="n">
        <v>1</v>
      </c>
      <c r="F596" s="13" t="n">
        <v>1</v>
      </c>
      <c r="G596" s="13" t="n">
        <v>1</v>
      </c>
      <c r="H596" s="13" t="str">
        <f aca="false">IF(C596=1,A596,"")</f>
        <v/>
      </c>
      <c r="I596" s="13" t="n">
        <f aca="false">IF(C596=0,A596,"")</f>
        <v>5</v>
      </c>
    </row>
    <row r="597" customFormat="false" ht="15" hidden="false" customHeight="false" outlineLevel="0" collapsed="false">
      <c r="A597" s="13" t="n">
        <v>4</v>
      </c>
      <c r="B597" s="13" t="n">
        <v>59</v>
      </c>
      <c r="C597" s="13" t="n">
        <v>0</v>
      </c>
      <c r="D597" s="13" t="n">
        <v>0</v>
      </c>
      <c r="E597" s="13" t="n">
        <v>0</v>
      </c>
      <c r="F597" s="13" t="n">
        <v>0</v>
      </c>
      <c r="G597" s="13" t="n">
        <v>0</v>
      </c>
      <c r="H597" s="13" t="str">
        <f aca="false">IF(C597=1,A597,"")</f>
        <v/>
      </c>
      <c r="I597" s="13" t="n">
        <f aca="false">IF(C597=0,A597,"")</f>
        <v>4</v>
      </c>
    </row>
    <row r="598" customFormat="false" ht="15" hidden="false" customHeight="false" outlineLevel="0" collapsed="false">
      <c r="A598" s="13" t="n">
        <v>3</v>
      </c>
      <c r="B598" s="13" t="n">
        <v>54</v>
      </c>
      <c r="C598" s="13" t="n">
        <v>0</v>
      </c>
      <c r="D598" s="13" t="n">
        <v>0</v>
      </c>
      <c r="E598" s="13" t="n">
        <v>1</v>
      </c>
      <c r="F598" s="13" t="n">
        <v>1</v>
      </c>
      <c r="G598" s="13" t="n">
        <v>0</v>
      </c>
      <c r="H598" s="13" t="str">
        <f aca="false">IF(C598=1,A598,"")</f>
        <v/>
      </c>
      <c r="I598" s="13" t="n">
        <f aca="false">IF(C598=0,A598,"")</f>
        <v>3</v>
      </c>
    </row>
    <row r="599" customFormat="false" ht="15" hidden="false" customHeight="false" outlineLevel="0" collapsed="false">
      <c r="A599" s="13" t="n">
        <v>5</v>
      </c>
      <c r="B599" s="13" t="n">
        <v>55</v>
      </c>
      <c r="C599" s="13" t="n">
        <v>0</v>
      </c>
      <c r="D599" s="13" t="n">
        <v>0</v>
      </c>
      <c r="E599" s="13" t="n">
        <v>1</v>
      </c>
      <c r="F599" s="13" t="n">
        <v>1</v>
      </c>
      <c r="G599" s="13" t="n">
        <v>1</v>
      </c>
      <c r="H599" s="13" t="str">
        <f aca="false">IF(C599=1,A599,"")</f>
        <v/>
      </c>
      <c r="I599" s="13" t="n">
        <f aca="false">IF(C599=0,A599,"")</f>
        <v>5</v>
      </c>
    </row>
    <row r="600" customFormat="false" ht="15" hidden="false" customHeight="false" outlineLevel="0" collapsed="false">
      <c r="A600" s="13" t="n">
        <v>3</v>
      </c>
      <c r="B600" s="13" t="n">
        <v>43</v>
      </c>
      <c r="C600" s="13" t="n">
        <v>1</v>
      </c>
      <c r="D600" s="13" t="n">
        <v>0</v>
      </c>
      <c r="E600" s="13" t="n">
        <v>0</v>
      </c>
      <c r="F600" s="13" t="n">
        <v>0</v>
      </c>
      <c r="G600" s="13" t="n">
        <v>0</v>
      </c>
      <c r="H600" s="13" t="n">
        <f aca="false">IF(C600=1,A600,"")</f>
        <v>3</v>
      </c>
      <c r="I600" s="13" t="str">
        <f aca="false">IF(C600=0,A600,"")</f>
        <v/>
      </c>
    </row>
    <row r="601" customFormat="false" ht="15" hidden="false" customHeight="false" outlineLevel="0" collapsed="false">
      <c r="A601" s="13" t="n">
        <v>3</v>
      </c>
      <c r="B601" s="13" t="n">
        <v>30</v>
      </c>
      <c r="C601" s="13" t="n">
        <v>0</v>
      </c>
      <c r="D601" s="13" t="n">
        <v>0</v>
      </c>
      <c r="E601" s="13" t="n">
        <v>1</v>
      </c>
      <c r="F601" s="13" t="n">
        <v>1</v>
      </c>
      <c r="G601" s="13" t="n">
        <v>1</v>
      </c>
      <c r="H601" s="13" t="str">
        <f aca="false">IF(C601=1,A601,"")</f>
        <v/>
      </c>
      <c r="I601" s="13" t="n">
        <f aca="false">IF(C601=0,A601,"")</f>
        <v>3</v>
      </c>
    </row>
    <row r="602" customFormat="false" ht="15" hidden="false" customHeight="false" outlineLevel="0" collapsed="false">
      <c r="A602" s="13" t="n">
        <v>3</v>
      </c>
      <c r="B602" s="13" t="n">
        <v>43</v>
      </c>
      <c r="C602" s="13" t="n">
        <v>1</v>
      </c>
      <c r="D602" s="13" t="n">
        <v>0</v>
      </c>
      <c r="E602" s="13" t="n">
        <v>0</v>
      </c>
      <c r="F602" s="13" t="n">
        <v>0</v>
      </c>
      <c r="G602" s="13" t="n">
        <v>0</v>
      </c>
      <c r="H602" s="13" t="n">
        <f aca="false">IF(C602=1,A602,"")</f>
        <v>3</v>
      </c>
      <c r="I602" s="13" t="str">
        <f aca="false">IF(C602=0,A602,"")</f>
        <v/>
      </c>
    </row>
    <row r="603" customFormat="false" ht="15" hidden="false" customHeight="false" outlineLevel="0" collapsed="false">
      <c r="A603" s="13" t="n">
        <v>1</v>
      </c>
      <c r="B603" s="13" t="n">
        <v>33</v>
      </c>
      <c r="C603" s="13" t="n">
        <v>1</v>
      </c>
      <c r="D603" s="13" t="n">
        <v>0</v>
      </c>
      <c r="E603" s="13" t="n">
        <v>1</v>
      </c>
      <c r="F603" s="13" t="n">
        <v>0</v>
      </c>
      <c r="G603" s="13" t="n">
        <v>0</v>
      </c>
      <c r="H603" s="13" t="n">
        <f aca="false">IF(C603=1,A603,"")</f>
        <v>1</v>
      </c>
      <c r="I603" s="13" t="str">
        <f aca="false">IF(C603=0,A603,"")</f>
        <v/>
      </c>
    </row>
    <row r="604" customFormat="false" ht="15" hidden="false" customHeight="false" outlineLevel="0" collapsed="false">
      <c r="A604" s="13" t="n">
        <v>4</v>
      </c>
      <c r="B604" s="13" t="n">
        <v>63</v>
      </c>
      <c r="C604" s="13" t="n">
        <v>0</v>
      </c>
      <c r="D604" s="13" t="n">
        <v>0</v>
      </c>
      <c r="E604" s="13" t="n">
        <v>1</v>
      </c>
      <c r="F604" s="13" t="n">
        <v>1</v>
      </c>
      <c r="G604" s="13" t="n">
        <v>0</v>
      </c>
      <c r="H604" s="13" t="str">
        <f aca="false">IF(C604=1,A604,"")</f>
        <v/>
      </c>
      <c r="I604" s="13" t="n">
        <f aca="false">IF(C604=0,A604,"")</f>
        <v>4</v>
      </c>
    </row>
    <row r="605" customFormat="false" ht="15" hidden="false" customHeight="false" outlineLevel="0" collapsed="false">
      <c r="A605" s="13" t="n">
        <v>3</v>
      </c>
      <c r="B605" s="13" t="n">
        <v>40</v>
      </c>
      <c r="C605" s="13" t="n">
        <v>0</v>
      </c>
      <c r="D605" s="13" t="n">
        <v>2</v>
      </c>
      <c r="E605" s="13" t="n">
        <v>0</v>
      </c>
      <c r="F605" s="13" t="n">
        <v>1</v>
      </c>
      <c r="G605" s="13" t="n">
        <v>1</v>
      </c>
      <c r="H605" s="13" t="str">
        <f aca="false">IF(C605=1,A605,"")</f>
        <v/>
      </c>
      <c r="I605" s="13" t="n">
        <f aca="false">IF(C605=0,A605,"")</f>
        <v>3</v>
      </c>
    </row>
    <row r="606" customFormat="false" ht="15" hidden="false" customHeight="false" outlineLevel="0" collapsed="false">
      <c r="A606" s="13" t="n">
        <v>3</v>
      </c>
      <c r="B606" s="13" t="n">
        <v>40</v>
      </c>
      <c r="C606" s="13" t="n">
        <v>0</v>
      </c>
      <c r="D606" s="13" t="n">
        <v>0</v>
      </c>
      <c r="E606" s="13" t="n">
        <v>1</v>
      </c>
      <c r="F606" s="13" t="n">
        <v>1</v>
      </c>
      <c r="G606" s="13" t="n">
        <v>0</v>
      </c>
      <c r="H606" s="13" t="str">
        <f aca="false">IF(C606=1,A606,"")</f>
        <v/>
      </c>
      <c r="I606" s="13" t="n">
        <f aca="false">IF(C606=0,A606,"")</f>
        <v>3</v>
      </c>
    </row>
    <row r="607" customFormat="false" ht="15" hidden="false" customHeight="false" outlineLevel="0" collapsed="false">
      <c r="A607" s="13" t="n">
        <v>3</v>
      </c>
      <c r="B607" s="13" t="n">
        <v>57</v>
      </c>
      <c r="C607" s="13" t="n">
        <v>1</v>
      </c>
      <c r="D607" s="13" t="n">
        <v>0</v>
      </c>
      <c r="E607" s="13" t="n">
        <v>0</v>
      </c>
      <c r="F607" s="13" t="n">
        <v>1</v>
      </c>
      <c r="G607" s="13" t="n">
        <v>1</v>
      </c>
      <c r="H607" s="13" t="n">
        <f aca="false">IF(C607=1,A607,"")</f>
        <v>3</v>
      </c>
      <c r="I607" s="13" t="str">
        <f aca="false">IF(C607=0,A607,"")</f>
        <v/>
      </c>
    </row>
    <row r="608" customFormat="false" ht="15" hidden="false" customHeight="false" outlineLevel="0" collapsed="false">
      <c r="A608" s="13" t="n">
        <v>5</v>
      </c>
      <c r="B608" s="13" t="n">
        <v>26</v>
      </c>
      <c r="C608" s="13" t="n">
        <v>1</v>
      </c>
      <c r="D608" s="13" t="n">
        <v>0</v>
      </c>
      <c r="E608" s="13" t="n">
        <v>1</v>
      </c>
      <c r="F608" s="13" t="n">
        <v>0</v>
      </c>
      <c r="G608" s="13" t="n">
        <v>0</v>
      </c>
      <c r="H608" s="13" t="n">
        <f aca="false">IF(C608=1,A608,"")</f>
        <v>5</v>
      </c>
      <c r="I608" s="13" t="str">
        <f aca="false">IF(C608=0,A608,"")</f>
        <v/>
      </c>
    </row>
    <row r="609" customFormat="false" ht="15" hidden="false" customHeight="false" outlineLevel="0" collapsed="false">
      <c r="A609" s="13" t="n">
        <v>2</v>
      </c>
      <c r="B609" s="13" t="n">
        <v>25</v>
      </c>
      <c r="C609" s="13" t="n">
        <v>1</v>
      </c>
      <c r="D609" s="13" t="n">
        <v>5</v>
      </c>
      <c r="E609" s="13" t="n">
        <v>1</v>
      </c>
      <c r="F609" s="13" t="n">
        <v>0</v>
      </c>
      <c r="G609" s="13" t="n">
        <v>1</v>
      </c>
      <c r="H609" s="13" t="n">
        <f aca="false">IF(C609=1,A609,"")</f>
        <v>2</v>
      </c>
      <c r="I609" s="13" t="str">
        <f aca="false">IF(C609=0,A609,"")</f>
        <v/>
      </c>
    </row>
    <row r="610" customFormat="false" ht="15" hidden="false" customHeight="false" outlineLevel="0" collapsed="false">
      <c r="A610" s="13" t="n">
        <v>2</v>
      </c>
      <c r="B610" s="13" t="n">
        <v>64</v>
      </c>
      <c r="C610" s="13" t="n">
        <v>0</v>
      </c>
      <c r="D610" s="13" t="n">
        <v>0</v>
      </c>
      <c r="E610" s="13" t="n">
        <v>0</v>
      </c>
      <c r="F610" s="13" t="n">
        <v>0</v>
      </c>
      <c r="G610" s="13" t="n">
        <v>0</v>
      </c>
      <c r="H610" s="13" t="str">
        <f aca="false">IF(C610=1,A610,"")</f>
        <v/>
      </c>
      <c r="I610" s="13" t="n">
        <f aca="false">IF(C610=0,A610,"")</f>
        <v>2</v>
      </c>
    </row>
    <row r="611" customFormat="false" ht="15" hidden="false" customHeight="false" outlineLevel="0" collapsed="false">
      <c r="A611" s="13" t="n">
        <v>4</v>
      </c>
      <c r="B611" s="13" t="n">
        <v>42</v>
      </c>
      <c r="C611" s="13" t="n">
        <v>0</v>
      </c>
      <c r="D611" s="13" t="n">
        <v>0</v>
      </c>
      <c r="E611" s="13" t="n">
        <v>1</v>
      </c>
      <c r="F611" s="13" t="n">
        <v>1</v>
      </c>
      <c r="G611" s="13" t="n">
        <v>0</v>
      </c>
      <c r="H611" s="13" t="str">
        <f aca="false">IF(C611=1,A611,"")</f>
        <v/>
      </c>
      <c r="I611" s="13" t="n">
        <f aca="false">IF(C611=0,A611,"")</f>
        <v>4</v>
      </c>
    </row>
    <row r="612" customFormat="false" ht="15" hidden="false" customHeight="false" outlineLevel="0" collapsed="false">
      <c r="A612" s="13" t="n">
        <v>4</v>
      </c>
      <c r="B612" s="13" t="n">
        <v>56</v>
      </c>
      <c r="C612" s="13" t="n">
        <v>0</v>
      </c>
      <c r="D612" s="13" t="n">
        <v>0</v>
      </c>
      <c r="E612" s="13" t="n">
        <v>0</v>
      </c>
      <c r="F612" s="13" t="n">
        <v>0</v>
      </c>
      <c r="G612" s="13" t="n">
        <v>1</v>
      </c>
      <c r="H612" s="13" t="str">
        <f aca="false">IF(C612=1,A612,"")</f>
        <v/>
      </c>
      <c r="I612" s="13" t="n">
        <f aca="false">IF(C612=0,A612,"")</f>
        <v>4</v>
      </c>
    </row>
    <row r="613" customFormat="false" ht="15" hidden="false" customHeight="false" outlineLevel="0" collapsed="false">
      <c r="A613" s="13" t="n">
        <v>4</v>
      </c>
      <c r="B613" s="13" t="n">
        <v>57</v>
      </c>
      <c r="C613" s="13" t="n">
        <v>1</v>
      </c>
      <c r="D613" s="13" t="n">
        <v>0</v>
      </c>
      <c r="E613" s="13" t="n">
        <v>1</v>
      </c>
      <c r="F613" s="13" t="n">
        <v>1</v>
      </c>
      <c r="G613" s="13" t="n">
        <v>1</v>
      </c>
      <c r="H613" s="13" t="n">
        <f aca="false">IF(C613=1,A613,"")</f>
        <v>4</v>
      </c>
      <c r="I613" s="13" t="str">
        <f aca="false">IF(C613=0,A613,"")</f>
        <v/>
      </c>
    </row>
    <row r="614" customFormat="false" ht="15" hidden="false" customHeight="false" outlineLevel="0" collapsed="false">
      <c r="A614" s="13" t="n">
        <v>4</v>
      </c>
      <c r="B614" s="13" t="n">
        <v>32</v>
      </c>
      <c r="C614" s="13" t="n">
        <v>0</v>
      </c>
      <c r="D614" s="13" t="n">
        <v>0</v>
      </c>
      <c r="E614" s="13" t="n">
        <v>1</v>
      </c>
      <c r="F614" s="13" t="n">
        <v>1</v>
      </c>
      <c r="G614" s="13" t="n">
        <v>0</v>
      </c>
      <c r="H614" s="13" t="str">
        <f aca="false">IF(C614=1,A614,"")</f>
        <v/>
      </c>
      <c r="I614" s="13" t="n">
        <f aca="false">IF(C614=0,A614,"")</f>
        <v>4</v>
      </c>
    </row>
    <row r="615" customFormat="false" ht="15" hidden="false" customHeight="false" outlineLevel="0" collapsed="false">
      <c r="A615" s="13" t="n">
        <v>4</v>
      </c>
      <c r="B615" s="13" t="n">
        <v>38</v>
      </c>
      <c r="C615" s="13" t="n">
        <v>1</v>
      </c>
      <c r="D615" s="13" t="n">
        <v>1</v>
      </c>
      <c r="E615" s="13" t="n">
        <v>1</v>
      </c>
      <c r="F615" s="13" t="n">
        <v>1</v>
      </c>
      <c r="G615" s="13" t="n">
        <v>1</v>
      </c>
      <c r="H615" s="13" t="n">
        <f aca="false">IF(C615=1,A615,"")</f>
        <v>4</v>
      </c>
      <c r="I615" s="13" t="str">
        <f aca="false">IF(C615=0,A615,"")</f>
        <v/>
      </c>
    </row>
    <row r="616" customFormat="false" ht="15" hidden="false" customHeight="false" outlineLevel="0" collapsed="false">
      <c r="A616" s="13" t="n">
        <v>3</v>
      </c>
      <c r="B616" s="13" t="n">
        <v>45</v>
      </c>
      <c r="C616" s="13" t="n">
        <v>0</v>
      </c>
      <c r="D616" s="13" t="n">
        <v>0</v>
      </c>
      <c r="E616" s="13" t="n">
        <v>0</v>
      </c>
      <c r="F616" s="13" t="n">
        <v>1</v>
      </c>
      <c r="G616" s="13" t="n">
        <v>1</v>
      </c>
      <c r="H616" s="13" t="str">
        <f aca="false">IF(C616=1,A616,"")</f>
        <v/>
      </c>
      <c r="I616" s="13" t="n">
        <f aca="false">IF(C616=0,A616,"")</f>
        <v>3</v>
      </c>
    </row>
    <row r="617" customFormat="false" ht="15" hidden="false" customHeight="false" outlineLevel="0" collapsed="false">
      <c r="A617" s="13" t="n">
        <v>4</v>
      </c>
      <c r="B617" s="13" t="n">
        <v>45</v>
      </c>
      <c r="C617" s="13" t="n">
        <v>0</v>
      </c>
      <c r="D617" s="13" t="n">
        <v>1</v>
      </c>
      <c r="E617" s="13" t="n">
        <v>1</v>
      </c>
      <c r="F617" s="13" t="n">
        <v>0</v>
      </c>
      <c r="G617" s="13" t="n">
        <v>1</v>
      </c>
      <c r="H617" s="13" t="str">
        <f aca="false">IF(C617=1,A617,"")</f>
        <v/>
      </c>
      <c r="I617" s="13" t="n">
        <f aca="false">IF(C617=0,A617,"")</f>
        <v>4</v>
      </c>
    </row>
    <row r="618" customFormat="false" ht="15" hidden="false" customHeight="false" outlineLevel="0" collapsed="false">
      <c r="A618" s="13" t="n">
        <v>4</v>
      </c>
      <c r="B618" s="13" t="n">
        <v>57</v>
      </c>
      <c r="C618" s="13" t="n">
        <v>1</v>
      </c>
      <c r="D618" s="13" t="n">
        <v>1</v>
      </c>
      <c r="E618" s="13" t="n">
        <v>1</v>
      </c>
      <c r="F618" s="13" t="n">
        <v>0</v>
      </c>
      <c r="G618" s="13" t="n">
        <v>1</v>
      </c>
      <c r="H618" s="13" t="n">
        <f aca="false">IF(C618=1,A618,"")</f>
        <v>4</v>
      </c>
      <c r="I618" s="13" t="str">
        <f aca="false">IF(C618=0,A618,"")</f>
        <v/>
      </c>
    </row>
    <row r="619" customFormat="false" ht="15" hidden="false" customHeight="false" outlineLevel="0" collapsed="false">
      <c r="A619" s="13" t="n">
        <v>2</v>
      </c>
      <c r="B619" s="13" t="n">
        <v>34</v>
      </c>
      <c r="C619" s="13" t="n">
        <v>1</v>
      </c>
      <c r="D619" s="13" t="n">
        <v>3</v>
      </c>
      <c r="E619" s="13" t="n">
        <v>1</v>
      </c>
      <c r="F619" s="13" t="n">
        <v>1</v>
      </c>
      <c r="G619" s="13" t="n">
        <v>1</v>
      </c>
      <c r="H619" s="13" t="n">
        <f aca="false">IF(C619=1,A619,"")</f>
        <v>2</v>
      </c>
      <c r="I619" s="13" t="str">
        <f aca="false">IF(C619=0,A619,"")</f>
        <v/>
      </c>
    </row>
    <row r="620" customFormat="false" ht="15" hidden="false" customHeight="false" outlineLevel="0" collapsed="false">
      <c r="A620" s="13" t="n">
        <v>4</v>
      </c>
      <c r="B620" s="13" t="n">
        <v>31</v>
      </c>
      <c r="C620" s="13" t="n">
        <v>0</v>
      </c>
      <c r="D620" s="13" t="n">
        <v>3</v>
      </c>
      <c r="E620" s="13" t="n">
        <v>1</v>
      </c>
      <c r="F620" s="13" t="n">
        <v>1</v>
      </c>
      <c r="G620" s="13" t="n">
        <v>1</v>
      </c>
      <c r="H620" s="13" t="str">
        <f aca="false">IF(C620=1,A620,"")</f>
        <v/>
      </c>
      <c r="I620" s="13" t="n">
        <f aca="false">IF(C620=0,A620,"")</f>
        <v>4</v>
      </c>
    </row>
    <row r="621" customFormat="false" ht="15" hidden="false" customHeight="false" outlineLevel="0" collapsed="false">
      <c r="A621" s="13" t="n">
        <v>4</v>
      </c>
      <c r="B621" s="13" t="n">
        <v>54</v>
      </c>
      <c r="C621" s="13" t="n">
        <v>0</v>
      </c>
      <c r="D621" s="13" t="n">
        <v>0</v>
      </c>
      <c r="E621" s="13" t="n">
        <v>1</v>
      </c>
      <c r="F621" s="13" t="n">
        <v>1</v>
      </c>
      <c r="G621" s="13" t="n">
        <v>1</v>
      </c>
      <c r="H621" s="13" t="str">
        <f aca="false">IF(C621=1,A621,"")</f>
        <v/>
      </c>
      <c r="I621" s="13" t="n">
        <f aca="false">IF(C621=0,A621,"")</f>
        <v>4</v>
      </c>
    </row>
    <row r="622" customFormat="false" ht="15" hidden="false" customHeight="false" outlineLevel="0" collapsed="false">
      <c r="A622" s="13" t="n">
        <v>4</v>
      </c>
      <c r="B622" s="13" t="n">
        <v>50</v>
      </c>
      <c r="C622" s="13" t="n">
        <v>1</v>
      </c>
      <c r="D622" s="13" t="n">
        <v>0</v>
      </c>
      <c r="E622" s="13" t="n">
        <v>1</v>
      </c>
      <c r="F622" s="13" t="n">
        <v>1</v>
      </c>
      <c r="G622" s="13" t="n">
        <v>1</v>
      </c>
      <c r="H622" s="13" t="n">
        <f aca="false">IF(C622=1,A622,"")</f>
        <v>4</v>
      </c>
      <c r="I622" s="13" t="str">
        <f aca="false">IF(C622=0,A622,"")</f>
        <v/>
      </c>
    </row>
    <row r="623" customFormat="false" ht="15" hidden="false" customHeight="false" outlineLevel="0" collapsed="false">
      <c r="A623" s="13" t="n">
        <v>4</v>
      </c>
      <c r="B623" s="13" t="n">
        <v>25</v>
      </c>
      <c r="C623" s="13" t="n">
        <v>0</v>
      </c>
      <c r="D623" s="13" t="n">
        <v>0</v>
      </c>
      <c r="E623" s="13" t="n">
        <v>1</v>
      </c>
      <c r="F623" s="13" t="n">
        <v>1</v>
      </c>
      <c r="G623" s="13" t="n">
        <v>0</v>
      </c>
      <c r="H623" s="13" t="str">
        <f aca="false">IF(C623=1,A623,"")</f>
        <v/>
      </c>
      <c r="I623" s="13" t="n">
        <f aca="false">IF(C623=0,A623,"")</f>
        <v>4</v>
      </c>
    </row>
    <row r="624" customFormat="false" ht="15" hidden="false" customHeight="false" outlineLevel="0" collapsed="false">
      <c r="A624" s="13" t="n">
        <v>4</v>
      </c>
      <c r="B624" s="13" t="n">
        <v>57</v>
      </c>
      <c r="C624" s="13" t="n">
        <v>1</v>
      </c>
      <c r="D624" s="13" t="n">
        <v>0</v>
      </c>
      <c r="E624" s="13" t="n">
        <v>0</v>
      </c>
      <c r="F624" s="13" t="n">
        <v>0</v>
      </c>
      <c r="G624" s="13" t="n">
        <v>1</v>
      </c>
      <c r="H624" s="13" t="n">
        <f aca="false">IF(C624=1,A624,"")</f>
        <v>4</v>
      </c>
      <c r="I624" s="13" t="str">
        <f aca="false">IF(C624=0,A624,"")</f>
        <v/>
      </c>
    </row>
    <row r="625" customFormat="false" ht="15" hidden="false" customHeight="false" outlineLevel="0" collapsed="false">
      <c r="A625" s="13" t="n">
        <v>4</v>
      </c>
      <c r="B625" s="13" t="n">
        <v>57</v>
      </c>
      <c r="C625" s="13" t="n">
        <v>1</v>
      </c>
      <c r="D625" s="13" t="n">
        <v>0</v>
      </c>
      <c r="E625" s="13" t="n">
        <v>1</v>
      </c>
      <c r="F625" s="13" t="n">
        <v>1</v>
      </c>
      <c r="G625" s="13" t="n">
        <v>0</v>
      </c>
      <c r="H625" s="13" t="n">
        <f aca="false">IF(C625=1,A625,"")</f>
        <v>4</v>
      </c>
      <c r="I625" s="13" t="str">
        <f aca="false">IF(C625=0,A625,"")</f>
        <v/>
      </c>
    </row>
    <row r="626" customFormat="false" ht="15" hidden="false" customHeight="false" outlineLevel="0" collapsed="false">
      <c r="A626" s="13" t="n">
        <v>3</v>
      </c>
      <c r="B626" s="13" t="n">
        <v>58</v>
      </c>
      <c r="C626" s="13" t="n">
        <v>1</v>
      </c>
      <c r="D626" s="13" t="n">
        <v>0</v>
      </c>
      <c r="E626" s="13" t="n">
        <v>0</v>
      </c>
      <c r="F626" s="13" t="n">
        <v>0</v>
      </c>
      <c r="G626" s="13" t="n">
        <v>0</v>
      </c>
      <c r="H626" s="13" t="n">
        <f aca="false">IF(C626=1,A626,"")</f>
        <v>3</v>
      </c>
      <c r="I626" s="13" t="str">
        <f aca="false">IF(C626=0,A626,"")</f>
        <v/>
      </c>
    </row>
    <row r="627" customFormat="false" ht="15" hidden="false" customHeight="false" outlineLevel="0" collapsed="false">
      <c r="A627" s="13" t="n">
        <v>4</v>
      </c>
      <c r="B627" s="13" t="n">
        <v>29</v>
      </c>
      <c r="C627" s="13" t="n">
        <v>0</v>
      </c>
      <c r="D627" s="13" t="n">
        <v>0</v>
      </c>
      <c r="E627" s="13" t="n">
        <v>1</v>
      </c>
      <c r="F627" s="13" t="n">
        <v>1</v>
      </c>
      <c r="G627" s="13" t="n">
        <v>0</v>
      </c>
      <c r="H627" s="13" t="str">
        <f aca="false">IF(C627=1,A627,"")</f>
        <v/>
      </c>
      <c r="I627" s="13" t="n">
        <f aca="false">IF(C627=0,A627,"")</f>
        <v>4</v>
      </c>
    </row>
    <row r="628" customFormat="false" ht="15" hidden="false" customHeight="false" outlineLevel="0" collapsed="false">
      <c r="A628" s="13" t="n">
        <v>4</v>
      </c>
      <c r="B628" s="13" t="n">
        <v>56</v>
      </c>
      <c r="C628" s="13" t="n">
        <v>0</v>
      </c>
      <c r="D628" s="13" t="n">
        <v>0</v>
      </c>
      <c r="E628" s="13" t="n">
        <v>0</v>
      </c>
      <c r="F628" s="13" t="n">
        <v>1</v>
      </c>
      <c r="G628" s="13" t="n">
        <v>1</v>
      </c>
      <c r="H628" s="13" t="str">
        <f aca="false">IF(C628=1,A628,"")</f>
        <v/>
      </c>
      <c r="I628" s="13" t="n">
        <f aca="false">IF(C628=0,A628,"")</f>
        <v>4</v>
      </c>
    </row>
    <row r="629" customFormat="false" ht="15" hidden="false" customHeight="false" outlineLevel="0" collapsed="false">
      <c r="A629" s="13" t="n">
        <v>4</v>
      </c>
      <c r="B629" s="13" t="n">
        <v>59</v>
      </c>
      <c r="C629" s="13" t="n">
        <v>0</v>
      </c>
      <c r="D629" s="13" t="n">
        <v>0</v>
      </c>
      <c r="E629" s="13" t="n">
        <v>0</v>
      </c>
      <c r="F629" s="13" t="n">
        <v>0</v>
      </c>
      <c r="G629" s="13" t="n">
        <v>1</v>
      </c>
      <c r="H629" s="13" t="str">
        <f aca="false">IF(C629=1,A629,"")</f>
        <v/>
      </c>
      <c r="I629" s="13" t="n">
        <f aca="false">IF(C629=0,A629,"")</f>
        <v>4</v>
      </c>
    </row>
    <row r="630" customFormat="false" ht="15" hidden="false" customHeight="false" outlineLevel="0" collapsed="false">
      <c r="A630" s="13" t="n">
        <v>3</v>
      </c>
      <c r="B630" s="13" t="n">
        <v>33</v>
      </c>
      <c r="C630" s="13" t="n">
        <v>0</v>
      </c>
      <c r="D630" s="13" t="n">
        <v>0</v>
      </c>
      <c r="E630" s="13" t="n">
        <v>0</v>
      </c>
      <c r="F630" s="13" t="n">
        <v>0</v>
      </c>
      <c r="G630" s="13" t="n">
        <v>0</v>
      </c>
      <c r="H630" s="13" t="str">
        <f aca="false">IF(C630=1,A630,"")</f>
        <v/>
      </c>
      <c r="I630" s="13" t="n">
        <f aca="false">IF(C630=0,A630,"")</f>
        <v>3</v>
      </c>
    </row>
    <row r="631" customFormat="false" ht="15" hidden="false" customHeight="false" outlineLevel="0" collapsed="false">
      <c r="A631" s="13" t="n">
        <v>4</v>
      </c>
      <c r="B631" s="13" t="n">
        <v>57</v>
      </c>
      <c r="C631" s="13" t="n">
        <v>1</v>
      </c>
      <c r="D631" s="13" t="n">
        <v>0</v>
      </c>
      <c r="E631" s="13" t="n">
        <v>0</v>
      </c>
      <c r="F631" s="13" t="n">
        <v>0</v>
      </c>
      <c r="G631" s="13" t="n">
        <v>1</v>
      </c>
      <c r="H631" s="13" t="n">
        <f aca="false">IF(C631=1,A631,"")</f>
        <v>4</v>
      </c>
      <c r="I631" s="13" t="str">
        <f aca="false">IF(C631=0,A631,"")</f>
        <v/>
      </c>
    </row>
    <row r="632" customFormat="false" ht="15" hidden="false" customHeight="false" outlineLevel="0" collapsed="false">
      <c r="A632" s="13" t="n">
        <v>4</v>
      </c>
      <c r="B632" s="13" t="n">
        <v>52</v>
      </c>
      <c r="C632" s="13" t="n">
        <v>0</v>
      </c>
      <c r="D632" s="13" t="n">
        <v>0</v>
      </c>
      <c r="E632" s="13" t="n">
        <v>1</v>
      </c>
      <c r="F632" s="13" t="n">
        <v>0</v>
      </c>
      <c r="G632" s="13" t="n">
        <v>1</v>
      </c>
      <c r="H632" s="13" t="str">
        <f aca="false">IF(C632=1,A632,"")</f>
        <v/>
      </c>
      <c r="I632" s="13" t="n">
        <f aca="false">IF(C632=0,A632,"")</f>
        <v>4</v>
      </c>
    </row>
    <row r="633" customFormat="false" ht="15" hidden="false" customHeight="false" outlineLevel="0" collapsed="false">
      <c r="A633" s="13" t="n">
        <v>1</v>
      </c>
      <c r="B633" s="13" t="n">
        <v>51</v>
      </c>
      <c r="C633" s="13" t="n">
        <v>1</v>
      </c>
      <c r="D633" s="13" t="n">
        <v>1</v>
      </c>
      <c r="E633" s="13" t="n">
        <v>1</v>
      </c>
      <c r="F633" s="13" t="n">
        <v>0</v>
      </c>
      <c r="G633" s="13" t="n">
        <v>0</v>
      </c>
      <c r="H633" s="13" t="n">
        <f aca="false">IF(C633=1,A633,"")</f>
        <v>1</v>
      </c>
      <c r="I633" s="13" t="str">
        <f aca="false">IF(C633=0,A633,"")</f>
        <v/>
      </c>
    </row>
    <row r="634" customFormat="false" ht="15" hidden="false" customHeight="false" outlineLevel="0" collapsed="false">
      <c r="A634" s="13" t="n">
        <v>4</v>
      </c>
      <c r="B634" s="13" t="n">
        <v>39</v>
      </c>
      <c r="C634" s="13" t="n">
        <v>1</v>
      </c>
      <c r="D634" s="13" t="n">
        <v>0</v>
      </c>
      <c r="E634" s="13" t="n">
        <v>1</v>
      </c>
      <c r="F634" s="13" t="n">
        <v>1</v>
      </c>
      <c r="G634" s="13" t="n">
        <v>0</v>
      </c>
      <c r="H634" s="13" t="n">
        <f aca="false">IF(C634=1,A634,"")</f>
        <v>4</v>
      </c>
      <c r="I634" s="13" t="str">
        <f aca="false">IF(C634=0,A634,"")</f>
        <v/>
      </c>
    </row>
    <row r="635" customFormat="false" ht="15" hidden="false" customHeight="false" outlineLevel="0" collapsed="false">
      <c r="A635" s="13" t="n">
        <v>4</v>
      </c>
      <c r="B635" s="13" t="n">
        <v>55</v>
      </c>
      <c r="C635" s="13" t="n">
        <v>0</v>
      </c>
      <c r="D635" s="13" t="n">
        <v>0</v>
      </c>
      <c r="E635" s="13" t="n">
        <v>1</v>
      </c>
      <c r="F635" s="13" t="n">
        <v>0</v>
      </c>
      <c r="G635" s="13" t="n">
        <v>1</v>
      </c>
      <c r="H635" s="13" t="str">
        <f aca="false">IF(C635=1,A635,"")</f>
        <v/>
      </c>
      <c r="I635" s="13" t="n">
        <f aca="false">IF(C635=0,A635,"")</f>
        <v>4</v>
      </c>
    </row>
    <row r="636" customFormat="false" ht="15" hidden="false" customHeight="false" outlineLevel="0" collapsed="false">
      <c r="A636" s="13" t="n">
        <v>2</v>
      </c>
      <c r="B636" s="13" t="n">
        <v>42</v>
      </c>
      <c r="C636" s="13" t="n">
        <v>1</v>
      </c>
      <c r="D636" s="13" t="n">
        <v>0</v>
      </c>
      <c r="E636" s="13" t="n">
        <v>1</v>
      </c>
      <c r="F636" s="13" t="n">
        <v>0</v>
      </c>
      <c r="G636" s="13" t="n">
        <v>1</v>
      </c>
      <c r="H636" s="13" t="n">
        <f aca="false">IF(C636=1,A636,"")</f>
        <v>2</v>
      </c>
      <c r="I636" s="13" t="str">
        <f aca="false">IF(C636=0,A636,"")</f>
        <v/>
      </c>
    </row>
    <row r="637" customFormat="false" ht="15" hidden="false" customHeight="false" outlineLevel="0" collapsed="false">
      <c r="A637" s="13" t="n">
        <v>2</v>
      </c>
      <c r="B637" s="13" t="n">
        <v>56</v>
      </c>
      <c r="C637" s="13" t="n">
        <v>1</v>
      </c>
      <c r="D637" s="13" t="n">
        <v>0</v>
      </c>
      <c r="E637" s="13" t="n">
        <v>1</v>
      </c>
      <c r="F637" s="13" t="n">
        <v>1</v>
      </c>
      <c r="G637" s="13" t="n">
        <v>0</v>
      </c>
      <c r="H637" s="13" t="n">
        <f aca="false">IF(C637=1,A637,"")</f>
        <v>2</v>
      </c>
      <c r="I637" s="13" t="str">
        <f aca="false">IF(C637=0,A637,"")</f>
        <v/>
      </c>
    </row>
    <row r="638" customFormat="false" ht="15" hidden="false" customHeight="false" outlineLevel="0" collapsed="false">
      <c r="A638" s="13" t="n">
        <v>5</v>
      </c>
      <c r="B638" s="13" t="n">
        <v>56</v>
      </c>
      <c r="C638" s="13" t="n">
        <v>0</v>
      </c>
      <c r="D638" s="13" t="n">
        <v>0</v>
      </c>
      <c r="E638" s="13" t="n">
        <v>0</v>
      </c>
      <c r="F638" s="13" t="n">
        <v>1</v>
      </c>
      <c r="G638" s="13" t="n">
        <v>1</v>
      </c>
      <c r="H638" s="13" t="str">
        <f aca="false">IF(C638=1,A638,"")</f>
        <v/>
      </c>
      <c r="I638" s="13" t="n">
        <f aca="false">IF(C638=0,A638,"")</f>
        <v>5</v>
      </c>
    </row>
    <row r="639" customFormat="false" ht="15" hidden="false" customHeight="false" outlineLevel="0" collapsed="false">
      <c r="A639" s="13" t="n">
        <v>4</v>
      </c>
      <c r="B639" s="13" t="n">
        <v>39</v>
      </c>
      <c r="C639" s="13" t="n">
        <v>1</v>
      </c>
      <c r="D639" s="13" t="n">
        <v>0</v>
      </c>
      <c r="E639" s="13" t="n">
        <v>0</v>
      </c>
      <c r="F639" s="13" t="n">
        <v>1</v>
      </c>
      <c r="G639" s="13" t="n">
        <v>0</v>
      </c>
      <c r="H639" s="13" t="n">
        <f aca="false">IF(C639=1,A639,"")</f>
        <v>4</v>
      </c>
      <c r="I639" s="13" t="str">
        <f aca="false">IF(C639=0,A639,"")</f>
        <v/>
      </c>
    </row>
    <row r="640" customFormat="false" ht="15" hidden="false" customHeight="false" outlineLevel="0" collapsed="false">
      <c r="A640" s="13" t="n">
        <v>4</v>
      </c>
      <c r="B640" s="13" t="n">
        <v>38</v>
      </c>
      <c r="C640" s="13" t="n">
        <v>0</v>
      </c>
      <c r="D640" s="13" t="n">
        <v>4</v>
      </c>
      <c r="E640" s="13" t="n">
        <v>0</v>
      </c>
      <c r="F640" s="13" t="n">
        <v>1</v>
      </c>
      <c r="G640" s="13" t="n">
        <v>1</v>
      </c>
      <c r="H640" s="13" t="str">
        <f aca="false">IF(C640=1,A640,"")</f>
        <v/>
      </c>
      <c r="I640" s="13" t="n">
        <f aca="false">IF(C640=0,A640,"")</f>
        <v>4</v>
      </c>
    </row>
    <row r="641" customFormat="false" ht="15" hidden="false" customHeight="false" outlineLevel="0" collapsed="false">
      <c r="A641" s="13" t="n">
        <v>4</v>
      </c>
      <c r="B641" s="13" t="n">
        <v>48</v>
      </c>
      <c r="C641" s="13" t="n">
        <v>0</v>
      </c>
      <c r="D641" s="13" t="n">
        <v>1</v>
      </c>
      <c r="E641" s="13" t="n">
        <v>0</v>
      </c>
      <c r="F641" s="13" t="n">
        <v>1</v>
      </c>
      <c r="G641" s="13" t="n">
        <v>0</v>
      </c>
      <c r="H641" s="13" t="str">
        <f aca="false">IF(C641=1,A641,"")</f>
        <v/>
      </c>
      <c r="I641" s="13" t="n">
        <f aca="false">IF(C641=0,A641,"")</f>
        <v>4</v>
      </c>
    </row>
    <row r="642" customFormat="false" ht="15" hidden="false" customHeight="false" outlineLevel="0" collapsed="false">
      <c r="A642" s="13" t="n">
        <v>4</v>
      </c>
      <c r="B642" s="13" t="n">
        <v>58</v>
      </c>
      <c r="C642" s="13" t="n">
        <v>0</v>
      </c>
      <c r="D642" s="13" t="n">
        <v>0</v>
      </c>
      <c r="E642" s="13" t="n">
        <v>1</v>
      </c>
      <c r="F642" s="13" t="n">
        <v>1</v>
      </c>
      <c r="G642" s="13" t="n">
        <v>1</v>
      </c>
      <c r="H642" s="13" t="str">
        <f aca="false">IF(C642=1,A642,"")</f>
        <v/>
      </c>
      <c r="I642" s="13" t="n">
        <f aca="false">IF(C642=0,A642,"")</f>
        <v>4</v>
      </c>
    </row>
    <row r="643" customFormat="false" ht="15" hidden="false" customHeight="false" outlineLevel="0" collapsed="false">
      <c r="A643" s="13" t="n">
        <v>4</v>
      </c>
      <c r="B643" s="13" t="n">
        <v>56</v>
      </c>
      <c r="C643" s="13" t="n">
        <v>1</v>
      </c>
      <c r="D643" s="13" t="n">
        <v>1</v>
      </c>
      <c r="E643" s="13" t="n">
        <v>1</v>
      </c>
      <c r="F643" s="13" t="n">
        <v>0</v>
      </c>
      <c r="G643" s="13" t="n">
        <v>1</v>
      </c>
      <c r="H643" s="13" t="n">
        <f aca="false">IF(C643=1,A643,"")</f>
        <v>4</v>
      </c>
      <c r="I643" s="13" t="str">
        <f aca="false">IF(C643=0,A643,"")</f>
        <v/>
      </c>
    </row>
    <row r="644" customFormat="false" ht="15" hidden="false" customHeight="false" outlineLevel="0" collapsed="false">
      <c r="A644" s="13" t="n">
        <v>3</v>
      </c>
      <c r="B644" s="13" t="n">
        <v>25</v>
      </c>
      <c r="C644" s="13" t="n">
        <v>0</v>
      </c>
      <c r="D644" s="13" t="n">
        <v>0</v>
      </c>
      <c r="E644" s="13" t="n">
        <v>0</v>
      </c>
      <c r="F644" s="13" t="n">
        <v>0</v>
      </c>
      <c r="G644" s="13" t="n">
        <v>1</v>
      </c>
      <c r="H644" s="13" t="str">
        <f aca="false">IF(C644=1,A644,"")</f>
        <v/>
      </c>
      <c r="I644" s="13" t="n">
        <f aca="false">IF(C644=0,A644,"")</f>
        <v>3</v>
      </c>
    </row>
    <row r="645" customFormat="false" ht="15" hidden="false" customHeight="false" outlineLevel="0" collapsed="false">
      <c r="A645" s="13" t="n">
        <v>4</v>
      </c>
      <c r="B645" s="13" t="n">
        <v>53</v>
      </c>
      <c r="C645" s="13" t="n">
        <v>0</v>
      </c>
      <c r="D645" s="13" t="n">
        <v>1</v>
      </c>
      <c r="E645" s="13" t="n">
        <v>1</v>
      </c>
      <c r="F645" s="13" t="n">
        <v>0</v>
      </c>
      <c r="G645" s="13" t="n">
        <v>1</v>
      </c>
      <c r="H645" s="13" t="str">
        <f aca="false">IF(C645=1,A645,"")</f>
        <v/>
      </c>
      <c r="I645" s="13" t="n">
        <f aca="false">IF(C645=0,A645,"")</f>
        <v>4</v>
      </c>
    </row>
    <row r="646" customFormat="false" ht="15" hidden="false" customHeight="false" outlineLevel="0" collapsed="false">
      <c r="A646" s="13" t="n">
        <v>4</v>
      </c>
      <c r="B646" s="13" t="n">
        <v>33</v>
      </c>
      <c r="C646" s="13" t="n">
        <v>0</v>
      </c>
      <c r="D646" s="13" t="n">
        <v>0</v>
      </c>
      <c r="E646" s="13" t="n">
        <v>1</v>
      </c>
      <c r="F646" s="13" t="n">
        <v>1</v>
      </c>
      <c r="G646" s="13" t="n">
        <v>1</v>
      </c>
      <c r="H646" s="13" t="str">
        <f aca="false">IF(C646=1,A646,"")</f>
        <v/>
      </c>
      <c r="I646" s="13" t="n">
        <f aca="false">IF(C646=0,A646,"")</f>
        <v>4</v>
      </c>
    </row>
    <row r="647" customFormat="false" ht="15" hidden="false" customHeight="false" outlineLevel="0" collapsed="false">
      <c r="A647" s="13" t="n">
        <v>3</v>
      </c>
      <c r="B647" s="13" t="n">
        <v>50</v>
      </c>
      <c r="C647" s="13" t="n">
        <v>0</v>
      </c>
      <c r="D647" s="13" t="n">
        <v>0</v>
      </c>
      <c r="E647" s="13" t="n">
        <v>1</v>
      </c>
      <c r="F647" s="13" t="n">
        <v>1</v>
      </c>
      <c r="G647" s="13" t="n">
        <v>0</v>
      </c>
      <c r="H647" s="13" t="str">
        <f aca="false">IF(C647=1,A647,"")</f>
        <v/>
      </c>
      <c r="I647" s="13" t="n">
        <f aca="false">IF(C647=0,A647,"")</f>
        <v>3</v>
      </c>
    </row>
    <row r="648" customFormat="false" ht="15" hidden="false" customHeight="false" outlineLevel="0" collapsed="false">
      <c r="A648" s="13" t="n">
        <v>2</v>
      </c>
      <c r="B648" s="13" t="n">
        <v>55</v>
      </c>
      <c r="C648" s="13" t="n">
        <v>1</v>
      </c>
      <c r="D648" s="13" t="n">
        <v>0</v>
      </c>
      <c r="E648" s="13" t="n">
        <v>1</v>
      </c>
      <c r="F648" s="13" t="n">
        <v>0</v>
      </c>
      <c r="G648" s="13" t="n">
        <v>1</v>
      </c>
      <c r="H648" s="13" t="n">
        <f aca="false">IF(C648=1,A648,"")</f>
        <v>2</v>
      </c>
      <c r="I648" s="13" t="str">
        <f aca="false">IF(C648=0,A648,"")</f>
        <v/>
      </c>
    </row>
    <row r="649" customFormat="false" ht="15" hidden="false" customHeight="false" outlineLevel="0" collapsed="false">
      <c r="A649" s="13" t="n">
        <v>4</v>
      </c>
      <c r="B649" s="13" t="n">
        <v>49</v>
      </c>
      <c r="C649" s="13" t="n">
        <v>0</v>
      </c>
      <c r="D649" s="13" t="n">
        <v>3</v>
      </c>
      <c r="E649" s="13" t="n">
        <v>0</v>
      </c>
      <c r="F649" s="13" t="n">
        <v>1</v>
      </c>
      <c r="G649" s="13" t="n">
        <v>1</v>
      </c>
      <c r="H649" s="13" t="str">
        <f aca="false">IF(C649=1,A649,"")</f>
        <v/>
      </c>
      <c r="I649" s="13" t="n">
        <f aca="false">IF(C649=0,A649,"")</f>
        <v>4</v>
      </c>
    </row>
    <row r="650" customFormat="false" ht="15" hidden="false" customHeight="false" outlineLevel="0" collapsed="false">
      <c r="A650" s="13" t="n">
        <v>4</v>
      </c>
      <c r="B650" s="13" t="n">
        <v>58</v>
      </c>
      <c r="C650" s="13" t="n">
        <v>1</v>
      </c>
      <c r="D650" s="13" t="n">
        <v>0</v>
      </c>
      <c r="E650" s="13" t="n">
        <v>1</v>
      </c>
      <c r="F650" s="13" t="n">
        <v>1</v>
      </c>
      <c r="G650" s="13" t="n">
        <v>0</v>
      </c>
      <c r="H650" s="13" t="n">
        <f aca="false">IF(C650=1,A650,"")</f>
        <v>4</v>
      </c>
      <c r="I650" s="13" t="str">
        <f aca="false">IF(C650=0,A650,"")</f>
        <v/>
      </c>
    </row>
    <row r="651" customFormat="false" ht="15" hidden="false" customHeight="false" outlineLevel="0" collapsed="false">
      <c r="A651" s="13" t="n">
        <v>3</v>
      </c>
      <c r="B651" s="13" t="n">
        <v>54</v>
      </c>
      <c r="C651" s="13" t="n">
        <v>0</v>
      </c>
      <c r="D651" s="13" t="n">
        <v>1</v>
      </c>
      <c r="E651" s="13" t="n">
        <v>0</v>
      </c>
      <c r="F651" s="13" t="n">
        <v>1</v>
      </c>
      <c r="G651" s="13" t="n">
        <v>0</v>
      </c>
      <c r="H651" s="13" t="str">
        <f aca="false">IF(C651=1,A651,"")</f>
        <v/>
      </c>
      <c r="I651" s="13" t="n">
        <f aca="false">IF(C651=0,A651,"")</f>
        <v>3</v>
      </c>
    </row>
    <row r="652" customFormat="false" ht="15" hidden="false" customHeight="false" outlineLevel="0" collapsed="false">
      <c r="A652" s="13" t="n">
        <v>4</v>
      </c>
      <c r="B652" s="13" t="n">
        <v>62</v>
      </c>
      <c r="C652" s="13" t="n">
        <v>0</v>
      </c>
      <c r="D652" s="13" t="n">
        <v>0</v>
      </c>
      <c r="E652" s="13" t="n">
        <v>1</v>
      </c>
      <c r="F652" s="13" t="n">
        <v>1</v>
      </c>
      <c r="G652" s="13" t="n">
        <v>1</v>
      </c>
      <c r="H652" s="13" t="str">
        <f aca="false">IF(C652=1,A652,"")</f>
        <v/>
      </c>
      <c r="I652" s="13" t="n">
        <f aca="false">IF(C652=0,A652,"")</f>
        <v>4</v>
      </c>
    </row>
    <row r="653" customFormat="false" ht="15" hidden="false" customHeight="false" outlineLevel="0" collapsed="false">
      <c r="A653" s="13" t="n">
        <v>5</v>
      </c>
      <c r="B653" s="13" t="n">
        <v>37</v>
      </c>
      <c r="C653" s="13" t="n">
        <v>0</v>
      </c>
      <c r="D653" s="13" t="n">
        <v>0</v>
      </c>
      <c r="E653" s="13" t="n">
        <v>1</v>
      </c>
      <c r="F653" s="13" t="n">
        <v>1</v>
      </c>
      <c r="G653" s="13" t="n">
        <v>1</v>
      </c>
      <c r="H653" s="13" t="str">
        <f aca="false">IF(C653=1,A653,"")</f>
        <v/>
      </c>
      <c r="I653" s="13" t="n">
        <f aca="false">IF(C653=0,A653,"")</f>
        <v>5</v>
      </c>
    </row>
    <row r="654" customFormat="false" ht="15" hidden="false" customHeight="false" outlineLevel="0" collapsed="false">
      <c r="A654" s="13" t="n">
        <v>1</v>
      </c>
      <c r="B654" s="13" t="n">
        <v>49</v>
      </c>
      <c r="C654" s="13" t="n">
        <v>0</v>
      </c>
      <c r="D654" s="13" t="n">
        <v>2</v>
      </c>
      <c r="E654" s="13" t="n">
        <v>0</v>
      </c>
      <c r="F654" s="13" t="n">
        <v>0</v>
      </c>
      <c r="G654" s="13" t="n">
        <v>1</v>
      </c>
      <c r="H654" s="13" t="str">
        <f aca="false">IF(C654=1,A654,"")</f>
        <v/>
      </c>
      <c r="I654" s="13" t="n">
        <f aca="false">IF(C654=0,A654,"")</f>
        <v>1</v>
      </c>
    </row>
    <row r="655" customFormat="false" ht="15" hidden="false" customHeight="false" outlineLevel="0" collapsed="false">
      <c r="A655" s="13" t="n">
        <v>4</v>
      </c>
      <c r="B655" s="13" t="n">
        <v>46</v>
      </c>
      <c r="C655" s="13" t="n">
        <v>0</v>
      </c>
      <c r="D655" s="13" t="n">
        <v>2</v>
      </c>
      <c r="E655" s="13" t="n">
        <v>1</v>
      </c>
      <c r="F655" s="13" t="n">
        <v>1</v>
      </c>
      <c r="G655" s="13" t="n">
        <v>1</v>
      </c>
      <c r="H655" s="13" t="str">
        <f aca="false">IF(C655=1,A655,"")</f>
        <v/>
      </c>
      <c r="I655" s="13" t="n">
        <f aca="false">IF(C655=0,A655,"")</f>
        <v>4</v>
      </c>
    </row>
    <row r="656" customFormat="false" ht="15" hidden="false" customHeight="false" outlineLevel="0" collapsed="false">
      <c r="A656" s="13" t="n">
        <v>3</v>
      </c>
      <c r="B656" s="13" t="n">
        <v>60</v>
      </c>
      <c r="C656" s="13" t="n">
        <v>0</v>
      </c>
      <c r="D656" s="13" t="n">
        <v>0</v>
      </c>
      <c r="E656" s="13" t="n">
        <v>0</v>
      </c>
      <c r="F656" s="13" t="n">
        <v>1</v>
      </c>
      <c r="G656" s="13" t="n">
        <v>0</v>
      </c>
      <c r="H656" s="13" t="str">
        <f aca="false">IF(C656=1,A656,"")</f>
        <v/>
      </c>
      <c r="I656" s="13" t="n">
        <f aca="false">IF(C656=0,A656,"")</f>
        <v>3</v>
      </c>
    </row>
    <row r="657" customFormat="false" ht="15" hidden="false" customHeight="false" outlineLevel="0" collapsed="false">
      <c r="A657" s="13" t="n">
        <v>4</v>
      </c>
      <c r="B657" s="13" t="n">
        <v>31</v>
      </c>
      <c r="C657" s="13" t="n">
        <v>0</v>
      </c>
      <c r="D657" s="13" t="n">
        <v>1</v>
      </c>
      <c r="E657" s="13" t="n">
        <v>1</v>
      </c>
      <c r="F657" s="13" t="n">
        <v>1</v>
      </c>
      <c r="G657" s="13" t="n">
        <v>1</v>
      </c>
      <c r="H657" s="13" t="str">
        <f aca="false">IF(C657=1,A657,"")</f>
        <v/>
      </c>
      <c r="I657" s="13" t="n">
        <f aca="false">IF(C657=0,A657,"")</f>
        <v>4</v>
      </c>
    </row>
    <row r="658" customFormat="false" ht="15" hidden="false" customHeight="false" outlineLevel="0" collapsed="false">
      <c r="A658" s="13" t="n">
        <v>2</v>
      </c>
      <c r="B658" s="13" t="n">
        <v>34</v>
      </c>
      <c r="C658" s="13" t="n">
        <v>1</v>
      </c>
      <c r="D658" s="13" t="n">
        <v>5</v>
      </c>
      <c r="E658" s="13" t="n">
        <v>1</v>
      </c>
      <c r="F658" s="13" t="n">
        <v>1</v>
      </c>
      <c r="G658" s="13" t="n">
        <v>1</v>
      </c>
      <c r="H658" s="13" t="n">
        <f aca="false">IF(C658=1,A658,"")</f>
        <v>2</v>
      </c>
      <c r="I658" s="13" t="str">
        <f aca="false">IF(C658=0,A658,"")</f>
        <v/>
      </c>
    </row>
    <row r="659" customFormat="false" ht="15" hidden="false" customHeight="false" outlineLevel="0" collapsed="false">
      <c r="A659" s="13" t="n">
        <v>5</v>
      </c>
      <c r="B659" s="13" t="n">
        <v>43</v>
      </c>
      <c r="C659" s="13" t="n">
        <v>0</v>
      </c>
      <c r="D659" s="13" t="n">
        <v>0</v>
      </c>
      <c r="E659" s="13" t="n">
        <v>1</v>
      </c>
      <c r="F659" s="13" t="n">
        <v>1</v>
      </c>
      <c r="G659" s="13" t="n">
        <v>1</v>
      </c>
      <c r="H659" s="13" t="str">
        <f aca="false">IF(C659=1,A659,"")</f>
        <v/>
      </c>
      <c r="I659" s="13" t="n">
        <f aca="false">IF(C659=0,A659,"")</f>
        <v>5</v>
      </c>
    </row>
    <row r="660" customFormat="false" ht="15" hidden="false" customHeight="false" outlineLevel="0" collapsed="false">
      <c r="A660" s="13" t="n">
        <v>3</v>
      </c>
      <c r="B660" s="13" t="n">
        <v>51</v>
      </c>
      <c r="C660" s="13" t="n">
        <v>0</v>
      </c>
      <c r="D660" s="13" t="n">
        <v>1</v>
      </c>
      <c r="E660" s="13" t="n">
        <v>1</v>
      </c>
      <c r="F660" s="13" t="n">
        <v>0</v>
      </c>
      <c r="G660" s="13" t="n">
        <v>1</v>
      </c>
      <c r="H660" s="13" t="str">
        <f aca="false">IF(C660=1,A660,"")</f>
        <v/>
      </c>
      <c r="I660" s="13" t="n">
        <f aca="false">IF(C660=0,A660,"")</f>
        <v>3</v>
      </c>
    </row>
    <row r="661" customFormat="false" ht="15" hidden="false" customHeight="false" outlineLevel="0" collapsed="false">
      <c r="A661" s="13" t="n">
        <v>3</v>
      </c>
      <c r="B661" s="13" t="n">
        <v>52</v>
      </c>
      <c r="C661" s="13" t="n">
        <v>1</v>
      </c>
      <c r="D661" s="13" t="n">
        <v>0</v>
      </c>
      <c r="E661" s="13" t="n">
        <v>0</v>
      </c>
      <c r="F661" s="13" t="n">
        <v>0</v>
      </c>
      <c r="G661" s="13" t="n">
        <v>0</v>
      </c>
      <c r="H661" s="13" t="n">
        <f aca="false">IF(C661=1,A661,"")</f>
        <v>3</v>
      </c>
      <c r="I661" s="13" t="str">
        <f aca="false">IF(C661=0,A661,"")</f>
        <v/>
      </c>
    </row>
    <row r="662" customFormat="false" ht="15" hidden="false" customHeight="false" outlineLevel="0" collapsed="false">
      <c r="A662" s="13" t="n">
        <v>5</v>
      </c>
      <c r="B662" s="13" t="n">
        <v>56</v>
      </c>
      <c r="C662" s="13" t="n">
        <v>0</v>
      </c>
      <c r="D662" s="13" t="n">
        <v>0</v>
      </c>
      <c r="E662" s="13" t="n">
        <v>1</v>
      </c>
      <c r="F662" s="13" t="n">
        <v>0</v>
      </c>
      <c r="G662" s="13" t="n">
        <v>1</v>
      </c>
      <c r="H662" s="13" t="str">
        <f aca="false">IF(C662=1,A662,"")</f>
        <v/>
      </c>
      <c r="I662" s="13" t="n">
        <f aca="false">IF(C662=0,A662,"")</f>
        <v>5</v>
      </c>
    </row>
    <row r="663" customFormat="false" ht="15" hidden="false" customHeight="false" outlineLevel="0" collapsed="false">
      <c r="A663" s="13" t="n">
        <v>5</v>
      </c>
      <c r="B663" s="13" t="n">
        <v>37</v>
      </c>
      <c r="C663" s="13" t="n">
        <v>1</v>
      </c>
      <c r="D663" s="13" t="n">
        <v>0</v>
      </c>
      <c r="E663" s="13" t="n">
        <v>1</v>
      </c>
      <c r="F663" s="13" t="n">
        <v>1</v>
      </c>
      <c r="G663" s="13" t="n">
        <v>0</v>
      </c>
      <c r="H663" s="13" t="n">
        <f aca="false">IF(C663=1,A663,"")</f>
        <v>5</v>
      </c>
      <c r="I663" s="13" t="str">
        <f aca="false">IF(C663=0,A663,"")</f>
        <v/>
      </c>
    </row>
    <row r="664" customFormat="false" ht="15" hidden="false" customHeight="false" outlineLevel="0" collapsed="false">
      <c r="A664" s="13" t="n">
        <v>4</v>
      </c>
      <c r="B664" s="13" t="n">
        <v>33</v>
      </c>
      <c r="C664" s="13" t="n">
        <v>0</v>
      </c>
      <c r="D664" s="13" t="n">
        <v>0</v>
      </c>
      <c r="E664" s="13" t="n">
        <v>0</v>
      </c>
      <c r="F664" s="13" t="n">
        <v>1</v>
      </c>
      <c r="G664" s="13" t="n">
        <v>1</v>
      </c>
      <c r="H664" s="13" t="str">
        <f aca="false">IF(C664=1,A664,"")</f>
        <v/>
      </c>
      <c r="I664" s="13" t="n">
        <f aca="false">IF(C664=0,A664,"")</f>
        <v>4</v>
      </c>
    </row>
    <row r="665" customFormat="false" ht="15" hidden="false" customHeight="false" outlineLevel="0" collapsed="false">
      <c r="A665" s="13" t="n">
        <v>5</v>
      </c>
      <c r="B665" s="13" t="n">
        <v>43</v>
      </c>
      <c r="C665" s="13" t="n">
        <v>0</v>
      </c>
      <c r="D665" s="13" t="n">
        <v>1</v>
      </c>
      <c r="E665" s="13" t="n">
        <v>1</v>
      </c>
      <c r="F665" s="13" t="n">
        <v>1</v>
      </c>
      <c r="G665" s="13" t="n">
        <v>1</v>
      </c>
      <c r="H665" s="13" t="str">
        <f aca="false">IF(C665=1,A665,"")</f>
        <v/>
      </c>
      <c r="I665" s="13" t="n">
        <f aca="false">IF(C665=0,A665,"")</f>
        <v>5</v>
      </c>
    </row>
    <row r="666" customFormat="false" ht="15" hidden="false" customHeight="false" outlineLevel="0" collapsed="false">
      <c r="A666" s="13" t="n">
        <v>4</v>
      </c>
      <c r="B666" s="13" t="n">
        <v>57</v>
      </c>
      <c r="C666" s="13" t="n">
        <v>1</v>
      </c>
      <c r="D666" s="13" t="n">
        <v>0</v>
      </c>
      <c r="E666" s="13" t="n">
        <v>0</v>
      </c>
      <c r="F666" s="13" t="n">
        <v>0</v>
      </c>
      <c r="G666" s="13" t="n">
        <v>1</v>
      </c>
      <c r="H666" s="13" t="n">
        <f aca="false">IF(C666=1,A666,"")</f>
        <v>4</v>
      </c>
      <c r="I666" s="13" t="str">
        <f aca="false">IF(C666=0,A666,"")</f>
        <v/>
      </c>
    </row>
    <row r="667" customFormat="false" ht="15" hidden="false" customHeight="false" outlineLevel="0" collapsed="false">
      <c r="A667" s="13" t="n">
        <v>4</v>
      </c>
      <c r="B667" s="13" t="n">
        <v>54</v>
      </c>
      <c r="C667" s="13" t="n">
        <v>0</v>
      </c>
      <c r="D667" s="13" t="n">
        <v>0</v>
      </c>
      <c r="E667" s="13" t="n">
        <v>1</v>
      </c>
      <c r="F667" s="13" t="n">
        <v>1</v>
      </c>
      <c r="G667" s="13" t="n">
        <v>0</v>
      </c>
      <c r="H667" s="13" t="str">
        <f aca="false">IF(C667=1,A667,"")</f>
        <v/>
      </c>
      <c r="I667" s="13" t="n">
        <f aca="false">IF(C667=0,A667,"")</f>
        <v>4</v>
      </c>
    </row>
    <row r="668" customFormat="false" ht="15" hidden="false" customHeight="false" outlineLevel="0" collapsed="false">
      <c r="A668" s="13" t="n">
        <v>5</v>
      </c>
      <c r="B668" s="13" t="n">
        <v>43</v>
      </c>
      <c r="C668" s="13" t="n">
        <v>0</v>
      </c>
      <c r="D668" s="13" t="n">
        <v>1</v>
      </c>
      <c r="E668" s="13" t="n">
        <v>1</v>
      </c>
      <c r="F668" s="13" t="n">
        <v>1</v>
      </c>
      <c r="G668" s="13" t="n">
        <v>1</v>
      </c>
      <c r="H668" s="13" t="str">
        <f aca="false">IF(C668=1,A668,"")</f>
        <v/>
      </c>
      <c r="I668" s="13" t="n">
        <f aca="false">IF(C668=0,A668,"")</f>
        <v>5</v>
      </c>
    </row>
    <row r="669" customFormat="false" ht="15" hidden="false" customHeight="false" outlineLevel="0" collapsed="false">
      <c r="A669" s="13" t="n">
        <v>4</v>
      </c>
      <c r="B669" s="13" t="n">
        <v>64</v>
      </c>
      <c r="C669" s="13" t="n">
        <v>0</v>
      </c>
      <c r="D669" s="13" t="n">
        <v>0</v>
      </c>
      <c r="E669" s="13" t="n">
        <v>0</v>
      </c>
      <c r="F669" s="13" t="n">
        <v>0</v>
      </c>
      <c r="G669" s="13" t="n">
        <v>1</v>
      </c>
      <c r="H669" s="13" t="str">
        <f aca="false">IF(C669=1,A669,"")</f>
        <v/>
      </c>
      <c r="I669" s="13" t="n">
        <f aca="false">IF(C669=0,A669,"")</f>
        <v>4</v>
      </c>
    </row>
    <row r="670" customFormat="false" ht="15" hidden="false" customHeight="false" outlineLevel="0" collapsed="false">
      <c r="A670" s="13" t="n">
        <v>4</v>
      </c>
      <c r="B670" s="13" t="n">
        <v>55</v>
      </c>
      <c r="C670" s="13" t="n">
        <v>0</v>
      </c>
      <c r="D670" s="13" t="n">
        <v>2</v>
      </c>
      <c r="E670" s="13" t="n">
        <v>1</v>
      </c>
      <c r="F670" s="13" t="n">
        <v>1</v>
      </c>
      <c r="G670" s="13" t="n">
        <v>1</v>
      </c>
      <c r="H670" s="13" t="str">
        <f aca="false">IF(C670=1,A670,"")</f>
        <v/>
      </c>
      <c r="I670" s="13" t="n">
        <f aca="false">IF(C670=0,A670,"")</f>
        <v>4</v>
      </c>
    </row>
    <row r="671" customFormat="false" ht="15" hidden="false" customHeight="false" outlineLevel="0" collapsed="false">
      <c r="A671" s="13" t="n">
        <v>2</v>
      </c>
      <c r="B671" s="13" t="n">
        <v>54</v>
      </c>
      <c r="C671" s="13" t="n">
        <v>0</v>
      </c>
      <c r="D671" s="13" t="n">
        <v>1</v>
      </c>
      <c r="E671" s="13" t="n">
        <v>0</v>
      </c>
      <c r="F671" s="13" t="n">
        <v>1</v>
      </c>
      <c r="G671" s="13" t="n">
        <v>0</v>
      </c>
      <c r="H671" s="13" t="str">
        <f aca="false">IF(C671=1,A671,"")</f>
        <v/>
      </c>
      <c r="I671" s="13" t="n">
        <f aca="false">IF(C671=0,A671,"")</f>
        <v>2</v>
      </c>
    </row>
    <row r="672" customFormat="false" ht="15" hidden="false" customHeight="false" outlineLevel="0" collapsed="false">
      <c r="A672" s="13" t="n">
        <v>5</v>
      </c>
      <c r="B672" s="13" t="n">
        <v>61</v>
      </c>
      <c r="C672" s="13" t="n">
        <v>0</v>
      </c>
      <c r="D672" s="13" t="n">
        <v>0</v>
      </c>
      <c r="E672" s="13" t="n">
        <v>0</v>
      </c>
      <c r="F672" s="13" t="n">
        <v>1</v>
      </c>
      <c r="G672" s="13" t="n">
        <v>1</v>
      </c>
      <c r="H672" s="13" t="str">
        <f aca="false">IF(C672=1,A672,"")</f>
        <v/>
      </c>
      <c r="I672" s="13" t="n">
        <f aca="false">IF(C672=0,A672,"")</f>
        <v>5</v>
      </c>
    </row>
    <row r="673" customFormat="false" ht="15" hidden="false" customHeight="false" outlineLevel="0" collapsed="false">
      <c r="A673" s="13" t="n">
        <v>4</v>
      </c>
      <c r="B673" s="13" t="n">
        <v>40</v>
      </c>
      <c r="C673" s="13" t="n">
        <v>0</v>
      </c>
      <c r="D673" s="13" t="n">
        <v>0</v>
      </c>
      <c r="E673" s="13" t="n">
        <v>1</v>
      </c>
      <c r="F673" s="13" t="n">
        <v>0</v>
      </c>
      <c r="G673" s="13" t="n">
        <v>0</v>
      </c>
      <c r="H673" s="13" t="str">
        <f aca="false">IF(C673=1,A673,"")</f>
        <v/>
      </c>
      <c r="I673" s="13" t="n">
        <f aca="false">IF(C673=0,A673,"")</f>
        <v>4</v>
      </c>
    </row>
    <row r="674" customFormat="false" ht="15" hidden="false" customHeight="false" outlineLevel="0" collapsed="false">
      <c r="A674" s="13" t="n">
        <v>4</v>
      </c>
      <c r="B674" s="13" t="n">
        <v>53</v>
      </c>
      <c r="C674" s="13" t="n">
        <v>0</v>
      </c>
      <c r="D674" s="13" t="n">
        <v>1</v>
      </c>
      <c r="E674" s="13" t="n">
        <v>1</v>
      </c>
      <c r="F674" s="13" t="n">
        <v>1</v>
      </c>
      <c r="G674" s="13" t="n">
        <v>0</v>
      </c>
      <c r="H674" s="13" t="str">
        <f aca="false">IF(C674=1,A674,"")</f>
        <v/>
      </c>
      <c r="I674" s="13" t="n">
        <f aca="false">IF(C674=0,A674,"")</f>
        <v>4</v>
      </c>
    </row>
    <row r="675" customFormat="false" ht="15" hidden="false" customHeight="false" outlineLevel="0" collapsed="false">
      <c r="A675" s="13" t="n">
        <v>4</v>
      </c>
      <c r="B675" s="13" t="n">
        <v>26</v>
      </c>
      <c r="C675" s="13" t="n">
        <v>0</v>
      </c>
      <c r="D675" s="13" t="n">
        <v>2</v>
      </c>
      <c r="E675" s="13" t="n">
        <v>1</v>
      </c>
      <c r="F675" s="13" t="n">
        <v>0</v>
      </c>
      <c r="G675" s="13" t="n">
        <v>0</v>
      </c>
      <c r="H675" s="13" t="str">
        <f aca="false">IF(C675=1,A675,"")</f>
        <v/>
      </c>
      <c r="I675" s="13" t="n">
        <f aca="false">IF(C675=0,A675,"")</f>
        <v>4</v>
      </c>
    </row>
    <row r="676" customFormat="false" ht="15" hidden="false" customHeight="false" outlineLevel="0" collapsed="false">
      <c r="A676" s="13" t="n">
        <v>4</v>
      </c>
      <c r="B676" s="13" t="n">
        <v>60</v>
      </c>
      <c r="C676" s="13" t="n">
        <v>1</v>
      </c>
      <c r="D676" s="13" t="n">
        <v>2</v>
      </c>
      <c r="E676" s="13" t="n">
        <v>0</v>
      </c>
      <c r="F676" s="13" t="n">
        <v>0</v>
      </c>
      <c r="G676" s="13" t="n">
        <v>1</v>
      </c>
      <c r="H676" s="13" t="n">
        <f aca="false">IF(C676=1,A676,"")</f>
        <v>4</v>
      </c>
      <c r="I676" s="13" t="str">
        <f aca="false">IF(C676=0,A676,"")</f>
        <v/>
      </c>
    </row>
    <row r="677" customFormat="false" ht="15" hidden="false" customHeight="false" outlineLevel="0" collapsed="false">
      <c r="A677" s="13" t="n">
        <v>4</v>
      </c>
      <c r="B677" s="13" t="n">
        <v>57</v>
      </c>
      <c r="C677" s="13" t="n">
        <v>0</v>
      </c>
      <c r="D677" s="13" t="n">
        <v>0</v>
      </c>
      <c r="E677" s="13" t="n">
        <v>0</v>
      </c>
      <c r="F677" s="13" t="n">
        <v>1</v>
      </c>
      <c r="G677" s="13" t="n">
        <v>0</v>
      </c>
      <c r="H677" s="13" t="str">
        <f aca="false">IF(C677=1,A677,"")</f>
        <v/>
      </c>
      <c r="I677" s="13" t="n">
        <f aca="false">IF(C677=0,A677,"")</f>
        <v>4</v>
      </c>
    </row>
    <row r="678" customFormat="false" ht="15" hidden="false" customHeight="false" outlineLevel="0" collapsed="false">
      <c r="A678" s="13" t="n">
        <v>4</v>
      </c>
      <c r="B678" s="13" t="n">
        <v>42</v>
      </c>
      <c r="C678" s="13" t="n">
        <v>1</v>
      </c>
      <c r="D678" s="13" t="n">
        <v>2</v>
      </c>
      <c r="E678" s="13" t="n">
        <v>1</v>
      </c>
      <c r="F678" s="13" t="n">
        <v>1</v>
      </c>
      <c r="G678" s="13" t="n">
        <v>1</v>
      </c>
      <c r="H678" s="13" t="n">
        <f aca="false">IF(C678=1,A678,"")</f>
        <v>4</v>
      </c>
      <c r="I678" s="13" t="str">
        <f aca="false">IF(C678=0,A678,"")</f>
        <v/>
      </c>
    </row>
    <row r="679" customFormat="false" ht="15" hidden="false" customHeight="false" outlineLevel="0" collapsed="false">
      <c r="A679" s="13" t="n">
        <v>4</v>
      </c>
      <c r="B679" s="13" t="n">
        <v>37</v>
      </c>
      <c r="C679" s="13" t="n">
        <v>0</v>
      </c>
      <c r="D679" s="13" t="n">
        <v>2</v>
      </c>
      <c r="E679" s="13" t="n">
        <v>0</v>
      </c>
      <c r="F679" s="13" t="n">
        <v>1</v>
      </c>
      <c r="G679" s="13" t="n">
        <v>1</v>
      </c>
      <c r="H679" s="13" t="str">
        <f aca="false">IF(C679=1,A679,"")</f>
        <v/>
      </c>
      <c r="I679" s="13" t="n">
        <f aca="false">IF(C679=0,A679,"")</f>
        <v>4</v>
      </c>
    </row>
    <row r="680" customFormat="false" ht="15" hidden="false" customHeight="false" outlineLevel="0" collapsed="false">
      <c r="A680" s="13" t="n">
        <v>4</v>
      </c>
      <c r="B680" s="13" t="n">
        <v>64</v>
      </c>
      <c r="C680" s="13" t="n">
        <v>0</v>
      </c>
      <c r="D680" s="13" t="n">
        <v>0</v>
      </c>
      <c r="E680" s="13" t="n">
        <v>0</v>
      </c>
      <c r="F680" s="13" t="n">
        <v>0</v>
      </c>
      <c r="G680" s="13" t="n">
        <v>0</v>
      </c>
      <c r="H680" s="13" t="str">
        <f aca="false">IF(C680=1,A680,"")</f>
        <v/>
      </c>
      <c r="I680" s="13" t="n">
        <f aca="false">IF(C680=0,A680,"")</f>
        <v>4</v>
      </c>
    </row>
    <row r="681" customFormat="false" ht="15" hidden="false" customHeight="false" outlineLevel="0" collapsed="false">
      <c r="A681" s="13" t="n">
        <v>4</v>
      </c>
      <c r="B681" s="13" t="n">
        <v>60</v>
      </c>
      <c r="C681" s="13" t="n">
        <v>1</v>
      </c>
      <c r="D681" s="13" t="n">
        <v>0</v>
      </c>
      <c r="E681" s="13" t="n">
        <v>1</v>
      </c>
      <c r="F681" s="13" t="n">
        <v>0</v>
      </c>
      <c r="G681" s="13" t="n">
        <v>0</v>
      </c>
      <c r="H681" s="13" t="n">
        <f aca="false">IF(C681=1,A681,"")</f>
        <v>4</v>
      </c>
      <c r="I681" s="13" t="str">
        <f aca="false">IF(C681=0,A681,"")</f>
        <v/>
      </c>
    </row>
    <row r="682" customFormat="false" ht="15" hidden="false" customHeight="false" outlineLevel="0" collapsed="false">
      <c r="A682" s="13" t="n">
        <v>4</v>
      </c>
      <c r="B682" s="13" t="n">
        <v>63</v>
      </c>
      <c r="C682" s="13" t="n">
        <v>1</v>
      </c>
      <c r="D682" s="13" t="n">
        <v>0</v>
      </c>
      <c r="E682" s="13" t="n">
        <v>0</v>
      </c>
      <c r="F682" s="13" t="n">
        <v>1</v>
      </c>
      <c r="G682" s="13" t="n">
        <v>1</v>
      </c>
      <c r="H682" s="13" t="n">
        <f aca="false">IF(C682=1,A682,"")</f>
        <v>4</v>
      </c>
      <c r="I682" s="13" t="str">
        <f aca="false">IF(C682=0,A682,"")</f>
        <v/>
      </c>
    </row>
    <row r="683" customFormat="false" ht="15" hidden="false" customHeight="false" outlineLevel="0" collapsed="false">
      <c r="A683" s="13" t="n">
        <v>2</v>
      </c>
      <c r="B683" s="13" t="n">
        <v>25</v>
      </c>
      <c r="C683" s="13" t="n">
        <v>1</v>
      </c>
      <c r="D683" s="13" t="n">
        <v>0</v>
      </c>
      <c r="E683" s="13" t="n">
        <v>0</v>
      </c>
      <c r="F683" s="13" t="n">
        <v>0</v>
      </c>
      <c r="G683" s="13" t="n">
        <v>0</v>
      </c>
      <c r="H683" s="13" t="n">
        <f aca="false">IF(C683=1,A683,"")</f>
        <v>2</v>
      </c>
      <c r="I683" s="13" t="str">
        <f aca="false">IF(C683=0,A683,"")</f>
        <v/>
      </c>
    </row>
    <row r="684" customFormat="false" ht="15" hidden="false" customHeight="false" outlineLevel="0" collapsed="false">
      <c r="A684" s="13" t="n">
        <v>4</v>
      </c>
      <c r="B684" s="13" t="n">
        <v>35</v>
      </c>
      <c r="C684" s="13" t="n">
        <v>0</v>
      </c>
      <c r="D684" s="13" t="n">
        <v>2</v>
      </c>
      <c r="E684" s="13" t="n">
        <v>1</v>
      </c>
      <c r="F684" s="13" t="n">
        <v>0</v>
      </c>
      <c r="G684" s="13" t="n">
        <v>0</v>
      </c>
      <c r="H684" s="13" t="str">
        <f aca="false">IF(C684=1,A684,"")</f>
        <v/>
      </c>
      <c r="I684" s="13" t="n">
        <f aca="false">IF(C684=0,A684,"")</f>
        <v>4</v>
      </c>
    </row>
    <row r="685" customFormat="false" ht="15" hidden="false" customHeight="false" outlineLevel="0" collapsed="false">
      <c r="A685" s="13" t="n">
        <v>5</v>
      </c>
      <c r="B685" s="13" t="n">
        <v>53</v>
      </c>
      <c r="C685" s="13" t="n">
        <v>1</v>
      </c>
      <c r="D685" s="13" t="n">
        <v>0</v>
      </c>
      <c r="E685" s="13" t="n">
        <v>1</v>
      </c>
      <c r="F685" s="13" t="n">
        <v>1</v>
      </c>
      <c r="G685" s="13" t="n">
        <v>1</v>
      </c>
      <c r="H685" s="13" t="n">
        <f aca="false">IF(C685=1,A685,"")</f>
        <v>5</v>
      </c>
      <c r="I685" s="13" t="str">
        <f aca="false">IF(C685=0,A685,"")</f>
        <v/>
      </c>
    </row>
    <row r="686" customFormat="false" ht="15" hidden="false" customHeight="false" outlineLevel="0" collapsed="false">
      <c r="A686" s="13" t="n">
        <v>3</v>
      </c>
      <c r="B686" s="13" t="n">
        <v>34</v>
      </c>
      <c r="C686" s="13" t="n">
        <v>1</v>
      </c>
      <c r="D686" s="13" t="n">
        <v>1</v>
      </c>
      <c r="E686" s="13" t="n">
        <v>1</v>
      </c>
      <c r="F686" s="13" t="n">
        <v>1</v>
      </c>
      <c r="G686" s="13" t="n">
        <v>1</v>
      </c>
      <c r="H686" s="13" t="n">
        <f aca="false">IF(C686=1,A686,"")</f>
        <v>3</v>
      </c>
      <c r="I686" s="13" t="str">
        <f aca="false">IF(C686=0,A686,"")</f>
        <v/>
      </c>
    </row>
    <row r="687" customFormat="false" ht="15" hidden="false" customHeight="false" outlineLevel="0" collapsed="false">
      <c r="A687" s="13" t="n">
        <v>5</v>
      </c>
      <c r="B687" s="13" t="n">
        <v>58</v>
      </c>
      <c r="C687" s="13" t="n">
        <v>1</v>
      </c>
      <c r="D687" s="13" t="n">
        <v>1</v>
      </c>
      <c r="E687" s="13" t="n">
        <v>1</v>
      </c>
      <c r="F687" s="13" t="n">
        <v>0</v>
      </c>
      <c r="G687" s="13" t="n">
        <v>1</v>
      </c>
      <c r="H687" s="13" t="n">
        <f aca="false">IF(C687=1,A687,"")</f>
        <v>5</v>
      </c>
      <c r="I687" s="13" t="str">
        <f aca="false">IF(C687=0,A687,"")</f>
        <v/>
      </c>
    </row>
    <row r="688" customFormat="false" ht="15" hidden="false" customHeight="false" outlineLevel="0" collapsed="false">
      <c r="A688" s="13" t="n">
        <v>4</v>
      </c>
      <c r="B688" s="13" t="n">
        <v>35</v>
      </c>
      <c r="C688" s="13" t="n">
        <v>0</v>
      </c>
      <c r="D688" s="13" t="n">
        <v>0</v>
      </c>
      <c r="E688" s="13" t="n">
        <v>1</v>
      </c>
      <c r="F688" s="13" t="n">
        <v>1</v>
      </c>
      <c r="G688" s="13" t="n">
        <v>1</v>
      </c>
      <c r="H688" s="13" t="str">
        <f aca="false">IF(C688=1,A688,"")</f>
        <v/>
      </c>
      <c r="I688" s="13" t="n">
        <f aca="false">IF(C688=0,A688,"")</f>
        <v>4</v>
      </c>
    </row>
    <row r="689" customFormat="false" ht="15" hidden="false" customHeight="false" outlineLevel="0" collapsed="false">
      <c r="A689" s="13" t="n">
        <v>4</v>
      </c>
      <c r="B689" s="13" t="n">
        <v>57</v>
      </c>
      <c r="C689" s="13" t="n">
        <v>0</v>
      </c>
      <c r="D689" s="13" t="n">
        <v>2</v>
      </c>
      <c r="E689" s="13" t="n">
        <v>1</v>
      </c>
      <c r="F689" s="13" t="n">
        <v>0</v>
      </c>
      <c r="G689" s="13" t="n">
        <v>1</v>
      </c>
      <c r="H689" s="13" t="str">
        <f aca="false">IF(C689=1,A689,"")</f>
        <v/>
      </c>
      <c r="I689" s="13" t="n">
        <f aca="false">IF(C689=0,A689,"")</f>
        <v>4</v>
      </c>
    </row>
    <row r="690" customFormat="false" ht="15" hidden="false" customHeight="false" outlineLevel="0" collapsed="false">
      <c r="A690" s="13" t="n">
        <v>4</v>
      </c>
      <c r="B690" s="13" t="n">
        <v>52</v>
      </c>
      <c r="C690" s="13" t="n">
        <v>0</v>
      </c>
      <c r="D690" s="13" t="n">
        <v>1</v>
      </c>
      <c r="E690" s="13" t="n">
        <v>0</v>
      </c>
      <c r="F690" s="13" t="n">
        <v>0</v>
      </c>
      <c r="G690" s="13" t="n">
        <v>0</v>
      </c>
      <c r="H690" s="13" t="str">
        <f aca="false">IF(C690=1,A690,"")</f>
        <v/>
      </c>
      <c r="I690" s="13" t="n">
        <f aca="false">IF(C690=0,A690,"")</f>
        <v>4</v>
      </c>
    </row>
    <row r="691" customFormat="false" ht="15" hidden="false" customHeight="false" outlineLevel="0" collapsed="false">
      <c r="A691" s="13" t="n">
        <v>5</v>
      </c>
      <c r="B691" s="13" t="n">
        <v>46</v>
      </c>
      <c r="C691" s="13" t="n">
        <v>0</v>
      </c>
      <c r="D691" s="13" t="n">
        <v>0</v>
      </c>
      <c r="E691" s="13" t="n">
        <v>1</v>
      </c>
      <c r="F691" s="13" t="n">
        <v>1</v>
      </c>
      <c r="G691" s="13" t="n">
        <v>1</v>
      </c>
      <c r="H691" s="13" t="str">
        <f aca="false">IF(C691=1,A691,"")</f>
        <v/>
      </c>
      <c r="I691" s="13" t="n">
        <f aca="false">IF(C691=0,A691,"")</f>
        <v>5</v>
      </c>
    </row>
    <row r="692" customFormat="false" ht="15" hidden="false" customHeight="false" outlineLevel="0" collapsed="false">
      <c r="A692" s="13" t="n">
        <v>1</v>
      </c>
      <c r="B692" s="13" t="n">
        <v>63</v>
      </c>
      <c r="C692" s="13" t="n">
        <v>0</v>
      </c>
      <c r="D692" s="13" t="n">
        <v>0</v>
      </c>
      <c r="E692" s="13" t="n">
        <v>0</v>
      </c>
      <c r="F692" s="13" t="n">
        <v>0</v>
      </c>
      <c r="G692" s="13" t="n">
        <v>1</v>
      </c>
      <c r="H692" s="13" t="str">
        <f aca="false">IF(C692=1,A692,"")</f>
        <v/>
      </c>
      <c r="I692" s="13" t="n">
        <f aca="false">IF(C692=0,A692,"")</f>
        <v>1</v>
      </c>
    </row>
    <row r="693" customFormat="false" ht="15" hidden="false" customHeight="false" outlineLevel="0" collapsed="false">
      <c r="A693" s="13" t="n">
        <v>2</v>
      </c>
      <c r="B693" s="13" t="n">
        <v>61</v>
      </c>
      <c r="C693" s="13" t="n">
        <v>0</v>
      </c>
      <c r="D693" s="13" t="n">
        <v>0</v>
      </c>
      <c r="E693" s="13" t="n">
        <v>1</v>
      </c>
      <c r="F693" s="13" t="n">
        <v>1</v>
      </c>
      <c r="G693" s="13" t="n">
        <v>1</v>
      </c>
      <c r="H693" s="13" t="str">
        <f aca="false">IF(C693=1,A693,"")</f>
        <v/>
      </c>
      <c r="I693" s="13" t="n">
        <f aca="false">IF(C693=0,A693,"")</f>
        <v>2</v>
      </c>
    </row>
    <row r="694" customFormat="false" ht="15" hidden="false" customHeight="false" outlineLevel="0" collapsed="false">
      <c r="A694" s="13" t="n">
        <v>5</v>
      </c>
      <c r="B694" s="13" t="n">
        <v>48</v>
      </c>
      <c r="C694" s="13" t="n">
        <v>0</v>
      </c>
      <c r="D694" s="13" t="n">
        <v>1</v>
      </c>
      <c r="E694" s="13" t="n">
        <v>1</v>
      </c>
      <c r="F694" s="13" t="n">
        <v>1</v>
      </c>
      <c r="G694" s="13" t="n">
        <v>1</v>
      </c>
      <c r="H694" s="13" t="str">
        <f aca="false">IF(C694=1,A694,"")</f>
        <v/>
      </c>
      <c r="I694" s="13" t="n">
        <f aca="false">IF(C694=0,A694,"")</f>
        <v>5</v>
      </c>
    </row>
    <row r="695" customFormat="false" ht="15" hidden="false" customHeight="false" outlineLevel="0" collapsed="false">
      <c r="A695" s="13" t="n">
        <v>4</v>
      </c>
      <c r="B695" s="13" t="n">
        <v>27</v>
      </c>
      <c r="C695" s="13" t="n">
        <v>0</v>
      </c>
      <c r="D695" s="13" t="n">
        <v>0</v>
      </c>
      <c r="E695" s="13" t="n">
        <v>1</v>
      </c>
      <c r="F695" s="13" t="n">
        <v>1</v>
      </c>
      <c r="G695" s="13" t="n">
        <v>0</v>
      </c>
      <c r="H695" s="13" t="str">
        <f aca="false">IF(C695=1,A695,"")</f>
        <v/>
      </c>
      <c r="I695" s="13" t="n">
        <f aca="false">IF(C695=0,A695,"")</f>
        <v>4</v>
      </c>
    </row>
    <row r="696" customFormat="false" ht="15" hidden="false" customHeight="false" outlineLevel="0" collapsed="false">
      <c r="A696" s="13" t="n">
        <v>2</v>
      </c>
      <c r="B696" s="13" t="n">
        <v>58</v>
      </c>
      <c r="C696" s="13" t="n">
        <v>1</v>
      </c>
      <c r="D696" s="13" t="n">
        <v>0</v>
      </c>
      <c r="E696" s="13" t="n">
        <v>0</v>
      </c>
      <c r="F696" s="13" t="n">
        <v>1</v>
      </c>
      <c r="G696" s="13" t="n">
        <v>1</v>
      </c>
      <c r="H696" s="13" t="n">
        <f aca="false">IF(C696=1,A696,"")</f>
        <v>2</v>
      </c>
      <c r="I696" s="13" t="str">
        <f aca="false">IF(C696=0,A696,"")</f>
        <v/>
      </c>
    </row>
    <row r="697" customFormat="false" ht="15" hidden="false" customHeight="false" outlineLevel="0" collapsed="false">
      <c r="A697" s="13" t="n">
        <v>4</v>
      </c>
      <c r="B697" s="13" t="n">
        <v>63</v>
      </c>
      <c r="C697" s="13" t="n">
        <v>0</v>
      </c>
      <c r="D697" s="13" t="n">
        <v>0</v>
      </c>
      <c r="E697" s="13" t="n">
        <v>0</v>
      </c>
      <c r="F697" s="13" t="n">
        <v>0</v>
      </c>
      <c r="G697" s="13" t="n">
        <v>0</v>
      </c>
      <c r="H697" s="13" t="str">
        <f aca="false">IF(C697=1,A697,"")</f>
        <v/>
      </c>
      <c r="I697" s="13" t="n">
        <f aca="false">IF(C697=0,A697,"")</f>
        <v>4</v>
      </c>
    </row>
    <row r="698" customFormat="false" ht="15" hidden="false" customHeight="false" outlineLevel="0" collapsed="false">
      <c r="A698" s="13" t="n">
        <v>5</v>
      </c>
      <c r="B698" s="13" t="n">
        <v>45</v>
      </c>
      <c r="C698" s="13" t="n">
        <v>0</v>
      </c>
      <c r="D698" s="13" t="n">
        <v>3</v>
      </c>
      <c r="E698" s="13" t="n">
        <v>1</v>
      </c>
      <c r="F698" s="13" t="n">
        <v>0</v>
      </c>
      <c r="G698" s="13" t="n">
        <v>1</v>
      </c>
      <c r="H698" s="13" t="str">
        <f aca="false">IF(C698=1,A698,"")</f>
        <v/>
      </c>
      <c r="I698" s="13" t="n">
        <f aca="false">IF(C698=0,A698,"")</f>
        <v>5</v>
      </c>
    </row>
    <row r="699" customFormat="false" ht="15" hidden="false" customHeight="false" outlineLevel="0" collapsed="false">
      <c r="A699" s="13" t="n">
        <v>3</v>
      </c>
      <c r="B699" s="13" t="n">
        <v>40</v>
      </c>
      <c r="C699" s="13" t="n">
        <v>1</v>
      </c>
      <c r="D699" s="13" t="n">
        <v>2</v>
      </c>
      <c r="E699" s="13" t="n">
        <v>1</v>
      </c>
      <c r="F699" s="13" t="n">
        <v>1</v>
      </c>
      <c r="G699" s="13" t="n">
        <v>1</v>
      </c>
      <c r="H699" s="13" t="n">
        <f aca="false">IF(C699=1,A699,"")</f>
        <v>3</v>
      </c>
      <c r="I699" s="13" t="str">
        <f aca="false">IF(C699=0,A699,"")</f>
        <v/>
      </c>
    </row>
    <row r="700" customFormat="false" ht="15" hidden="false" customHeight="false" outlineLevel="0" collapsed="false">
      <c r="A700" s="13" t="n">
        <v>5</v>
      </c>
      <c r="B700" s="13" t="n">
        <v>28</v>
      </c>
      <c r="C700" s="13" t="n">
        <v>0</v>
      </c>
      <c r="D700" s="13" t="n">
        <v>0</v>
      </c>
      <c r="E700" s="13" t="n">
        <v>1</v>
      </c>
      <c r="F700" s="13" t="n">
        <v>1</v>
      </c>
      <c r="G700" s="13" t="n">
        <v>1</v>
      </c>
      <c r="H700" s="13" t="str">
        <f aca="false">IF(C700=1,A700,"")</f>
        <v/>
      </c>
      <c r="I700" s="13" t="n">
        <f aca="false">IF(C700=0,A700,"")</f>
        <v>5</v>
      </c>
    </row>
    <row r="701" customFormat="false" ht="15" hidden="false" customHeight="false" outlineLevel="0" collapsed="false">
      <c r="A701" s="13" t="n">
        <v>4</v>
      </c>
      <c r="B701" s="13" t="n">
        <v>45</v>
      </c>
      <c r="C701" s="13" t="n">
        <v>1</v>
      </c>
      <c r="D701" s="13" t="n">
        <v>0</v>
      </c>
      <c r="E701" s="13" t="n">
        <v>1</v>
      </c>
      <c r="F701" s="13" t="n">
        <v>1</v>
      </c>
      <c r="G701" s="13" t="n">
        <v>1</v>
      </c>
      <c r="H701" s="13" t="n">
        <f aca="false">IF(C701=1,A701,"")</f>
        <v>4</v>
      </c>
      <c r="I701" s="13" t="str">
        <f aca="false">IF(C701=0,A701,"")</f>
        <v/>
      </c>
    </row>
    <row r="702" customFormat="false" ht="15" hidden="false" customHeight="false" outlineLevel="0" collapsed="false">
      <c r="A702" s="13" t="n">
        <v>4</v>
      </c>
      <c r="B702" s="13" t="n">
        <v>37</v>
      </c>
      <c r="C702" s="13" t="n">
        <v>1</v>
      </c>
      <c r="D702" s="13" t="n">
        <v>0</v>
      </c>
      <c r="E702" s="13" t="n">
        <v>1</v>
      </c>
      <c r="F702" s="13" t="n">
        <v>1</v>
      </c>
      <c r="G702" s="13" t="n">
        <v>0</v>
      </c>
      <c r="H702" s="13" t="n">
        <f aca="false">IF(C702=1,A702,"")</f>
        <v>4</v>
      </c>
      <c r="I702" s="13" t="str">
        <f aca="false">IF(C702=0,A702,"")</f>
        <v/>
      </c>
    </row>
    <row r="703" customFormat="false" ht="15" hidden="false" customHeight="false" outlineLevel="0" collapsed="false">
      <c r="A703" s="13" t="n">
        <v>2</v>
      </c>
      <c r="B703" s="13" t="n">
        <v>62</v>
      </c>
      <c r="C703" s="13" t="n">
        <v>0</v>
      </c>
      <c r="D703" s="13" t="n">
        <v>0</v>
      </c>
      <c r="E703" s="13" t="n">
        <v>1</v>
      </c>
      <c r="F703" s="13" t="n">
        <v>1</v>
      </c>
      <c r="G703" s="13" t="n">
        <v>0</v>
      </c>
      <c r="H703" s="13" t="str">
        <f aca="false">IF(C703=1,A703,"")</f>
        <v/>
      </c>
      <c r="I703" s="13" t="n">
        <f aca="false">IF(C703=0,A703,"")</f>
        <v>2</v>
      </c>
    </row>
    <row r="704" customFormat="false" ht="15" hidden="false" customHeight="false" outlineLevel="0" collapsed="false">
      <c r="A704" s="13" t="n">
        <v>4</v>
      </c>
      <c r="B704" s="13" t="n">
        <v>50</v>
      </c>
      <c r="C704" s="13" t="n">
        <v>0</v>
      </c>
      <c r="D704" s="13" t="n">
        <v>1</v>
      </c>
      <c r="E704" s="13" t="n">
        <v>1</v>
      </c>
      <c r="F704" s="13" t="n">
        <v>1</v>
      </c>
      <c r="G704" s="13" t="n">
        <v>1</v>
      </c>
      <c r="H704" s="13" t="str">
        <f aca="false">IF(C704=1,A704,"")</f>
        <v/>
      </c>
      <c r="I704" s="13" t="n">
        <f aca="false">IF(C704=0,A704,"")</f>
        <v>4</v>
      </c>
    </row>
    <row r="705" customFormat="false" ht="15" hidden="false" customHeight="false" outlineLevel="0" collapsed="false">
      <c r="A705" s="13" t="n">
        <v>5</v>
      </c>
      <c r="B705" s="13" t="n">
        <v>58</v>
      </c>
      <c r="C705" s="13" t="n">
        <v>1</v>
      </c>
      <c r="D705" s="13" t="n">
        <v>2</v>
      </c>
      <c r="E705" s="13" t="n">
        <v>1</v>
      </c>
      <c r="F705" s="13" t="n">
        <v>1</v>
      </c>
      <c r="G705" s="13" t="n">
        <v>0</v>
      </c>
      <c r="H705" s="13" t="n">
        <f aca="false">IF(C705=1,A705,"")</f>
        <v>5</v>
      </c>
      <c r="I705" s="13" t="str">
        <f aca="false">IF(C705=0,A705,"")</f>
        <v/>
      </c>
    </row>
    <row r="706" customFormat="false" ht="15" hidden="false" customHeight="false" outlineLevel="0" collapsed="false">
      <c r="A706" s="13" t="n">
        <v>4</v>
      </c>
      <c r="B706" s="13" t="n">
        <v>41</v>
      </c>
      <c r="C706" s="13" t="n">
        <v>0</v>
      </c>
      <c r="D706" s="13" t="n">
        <v>2</v>
      </c>
      <c r="E706" s="13" t="n">
        <v>0</v>
      </c>
      <c r="F706" s="13" t="n">
        <v>1</v>
      </c>
      <c r="G706" s="13" t="n">
        <v>1</v>
      </c>
      <c r="H706" s="13" t="str">
        <f aca="false">IF(C706=1,A706,"")</f>
        <v/>
      </c>
      <c r="I706" s="13" t="n">
        <f aca="false">IF(C706=0,A706,"")</f>
        <v>4</v>
      </c>
    </row>
    <row r="707" customFormat="false" ht="15" hidden="false" customHeight="false" outlineLevel="0" collapsed="false">
      <c r="A707" s="13" t="n">
        <v>4</v>
      </c>
      <c r="B707" s="13" t="n">
        <v>64</v>
      </c>
      <c r="C707" s="13" t="n">
        <v>1</v>
      </c>
      <c r="D707" s="13" t="n">
        <v>0</v>
      </c>
      <c r="E707" s="13" t="n">
        <v>1</v>
      </c>
      <c r="F707" s="13" t="n">
        <v>1</v>
      </c>
      <c r="G707" s="13" t="n">
        <v>1</v>
      </c>
      <c r="H707" s="13" t="n">
        <f aca="false">IF(C707=1,A707,"")</f>
        <v>4</v>
      </c>
      <c r="I707" s="13" t="str">
        <f aca="false">IF(C707=0,A707,"")</f>
        <v/>
      </c>
    </row>
    <row r="708" customFormat="false" ht="15" hidden="false" customHeight="false" outlineLevel="0" collapsed="false">
      <c r="A708" s="13" t="n">
        <v>3</v>
      </c>
      <c r="B708" s="13" t="n">
        <v>25</v>
      </c>
      <c r="C708" s="13" t="n">
        <v>0</v>
      </c>
      <c r="D708" s="13" t="n">
        <v>0</v>
      </c>
      <c r="E708" s="13" t="n">
        <v>0</v>
      </c>
      <c r="F708" s="13" t="n">
        <v>1</v>
      </c>
      <c r="G708" s="13" t="n">
        <v>1</v>
      </c>
      <c r="H708" s="13" t="str">
        <f aca="false">IF(C708=1,A708,"")</f>
        <v/>
      </c>
      <c r="I708" s="13" t="n">
        <f aca="false">IF(C708=0,A708,"")</f>
        <v>3</v>
      </c>
    </row>
    <row r="709" customFormat="false" ht="15" hidden="false" customHeight="false" outlineLevel="0" collapsed="false">
      <c r="A709" s="13" t="n">
        <v>2</v>
      </c>
      <c r="B709" s="13" t="n">
        <v>55</v>
      </c>
      <c r="C709" s="13" t="n">
        <v>0</v>
      </c>
      <c r="D709" s="13" t="n">
        <v>1</v>
      </c>
      <c r="E709" s="13" t="n">
        <v>1</v>
      </c>
      <c r="F709" s="13" t="n">
        <v>1</v>
      </c>
      <c r="G709" s="13" t="n">
        <v>1</v>
      </c>
      <c r="H709" s="13" t="str">
        <f aca="false">IF(C709=1,A709,"")</f>
        <v/>
      </c>
      <c r="I709" s="13" t="n">
        <f aca="false">IF(C709=0,A709,"")</f>
        <v>2</v>
      </c>
    </row>
    <row r="710" customFormat="false" ht="15" hidden="false" customHeight="false" outlineLevel="0" collapsed="false">
      <c r="A710" s="13" t="n">
        <v>5</v>
      </c>
      <c r="B710" s="13" t="n">
        <v>56</v>
      </c>
      <c r="C710" s="13" t="n">
        <v>0</v>
      </c>
      <c r="D710" s="13" t="n">
        <v>0</v>
      </c>
      <c r="E710" s="13" t="n">
        <v>1</v>
      </c>
      <c r="F710" s="13" t="n">
        <v>0</v>
      </c>
      <c r="G710" s="13" t="n">
        <v>0</v>
      </c>
      <c r="H710" s="13" t="str">
        <f aca="false">IF(C710=1,A710,"")</f>
        <v/>
      </c>
      <c r="I710" s="13" t="n">
        <f aca="false">IF(C710=0,A710,"")</f>
        <v>5</v>
      </c>
    </row>
    <row r="711" customFormat="false" ht="15" hidden="false" customHeight="false" outlineLevel="0" collapsed="false">
      <c r="A711" s="13" t="n">
        <v>4</v>
      </c>
      <c r="B711" s="13" t="n">
        <v>47</v>
      </c>
      <c r="C711" s="13" t="n">
        <v>1</v>
      </c>
      <c r="D711" s="13" t="n">
        <v>3</v>
      </c>
      <c r="E711" s="13" t="n">
        <v>1</v>
      </c>
      <c r="F711" s="13" t="n">
        <v>1</v>
      </c>
      <c r="G711" s="13" t="n">
        <v>1</v>
      </c>
      <c r="H711" s="13" t="n">
        <f aca="false">IF(C711=1,A711,"")</f>
        <v>4</v>
      </c>
      <c r="I711" s="13" t="str">
        <f aca="false">IF(C711=0,A711,"")</f>
        <v/>
      </c>
    </row>
    <row r="712" customFormat="false" ht="15" hidden="false" customHeight="false" outlineLevel="0" collapsed="false">
      <c r="A712" s="13" t="n">
        <v>2</v>
      </c>
      <c r="B712" s="13" t="n">
        <v>33</v>
      </c>
      <c r="C712" s="13" t="n">
        <v>1</v>
      </c>
      <c r="D712" s="13" t="n">
        <v>1</v>
      </c>
      <c r="E712" s="13" t="n">
        <v>1</v>
      </c>
      <c r="F712" s="13" t="n">
        <v>1</v>
      </c>
      <c r="G712" s="13" t="n">
        <v>1</v>
      </c>
      <c r="H712" s="13" t="n">
        <f aca="false">IF(C712=1,A712,"")</f>
        <v>2</v>
      </c>
      <c r="I712" s="13" t="str">
        <f aca="false">IF(C712=0,A712,"")</f>
        <v/>
      </c>
    </row>
    <row r="713" customFormat="false" ht="15" hidden="false" customHeight="false" outlineLevel="0" collapsed="false">
      <c r="A713" s="13" t="n">
        <v>4</v>
      </c>
      <c r="B713" s="13" t="n">
        <v>55</v>
      </c>
      <c r="C713" s="13" t="n">
        <v>0</v>
      </c>
      <c r="D713" s="13" t="n">
        <v>0</v>
      </c>
      <c r="E713" s="13" t="n">
        <v>1</v>
      </c>
      <c r="F713" s="13" t="n">
        <v>0</v>
      </c>
      <c r="G713" s="13" t="n">
        <v>0</v>
      </c>
      <c r="H713" s="13" t="str">
        <f aca="false">IF(C713=1,A713,"")</f>
        <v/>
      </c>
      <c r="I713" s="13" t="n">
        <f aca="false">IF(C713=0,A713,"")</f>
        <v>4</v>
      </c>
    </row>
    <row r="714" customFormat="false" ht="15" hidden="false" customHeight="false" outlineLevel="0" collapsed="false">
      <c r="A714" s="13" t="n">
        <v>2</v>
      </c>
      <c r="B714" s="13" t="n">
        <v>26</v>
      </c>
      <c r="C714" s="13" t="n">
        <v>0</v>
      </c>
      <c r="D714" s="13" t="n">
        <v>0</v>
      </c>
      <c r="E714" s="13" t="n">
        <v>0</v>
      </c>
      <c r="F714" s="13" t="n">
        <v>1</v>
      </c>
      <c r="G714" s="13" t="n">
        <v>0</v>
      </c>
      <c r="H714" s="13" t="str">
        <f aca="false">IF(C714=1,A714,"")</f>
        <v/>
      </c>
      <c r="I714" s="13" t="n">
        <f aca="false">IF(C714=0,A714,"")</f>
        <v>2</v>
      </c>
    </row>
    <row r="715" customFormat="false" ht="15" hidden="false" customHeight="false" outlineLevel="0" collapsed="false">
      <c r="A715" s="13" t="n">
        <v>2</v>
      </c>
      <c r="B715" s="13" t="n">
        <v>48</v>
      </c>
      <c r="C715" s="13" t="n">
        <v>0</v>
      </c>
      <c r="D715" s="13" t="n">
        <v>0</v>
      </c>
      <c r="E715" s="13" t="n">
        <v>0</v>
      </c>
      <c r="F715" s="13" t="n">
        <v>1</v>
      </c>
      <c r="G715" s="13" t="n">
        <v>0</v>
      </c>
      <c r="H715" s="13" t="str">
        <f aca="false">IF(C715=1,A715,"")</f>
        <v/>
      </c>
      <c r="I715" s="13" t="n">
        <f aca="false">IF(C715=0,A715,"")</f>
        <v>2</v>
      </c>
    </row>
    <row r="716" customFormat="false" ht="15" hidden="false" customHeight="false" outlineLevel="0" collapsed="false">
      <c r="A716" s="13" t="n">
        <v>4</v>
      </c>
      <c r="B716" s="13" t="n">
        <v>49</v>
      </c>
      <c r="C716" s="13" t="n">
        <v>0</v>
      </c>
      <c r="D716" s="13" t="n">
        <v>1</v>
      </c>
      <c r="E716" s="13" t="n">
        <v>0</v>
      </c>
      <c r="F716" s="13" t="n">
        <v>1</v>
      </c>
      <c r="G716" s="13" t="n">
        <v>0</v>
      </c>
      <c r="H716" s="13" t="str">
        <f aca="false">IF(C716=1,A716,"")</f>
        <v/>
      </c>
      <c r="I716" s="13" t="n">
        <f aca="false">IF(C716=0,A716,"")</f>
        <v>4</v>
      </c>
    </row>
    <row r="717" customFormat="false" ht="15" hidden="false" customHeight="false" outlineLevel="0" collapsed="false">
      <c r="A717" s="13" t="n">
        <v>4</v>
      </c>
      <c r="B717" s="13" t="n">
        <v>60</v>
      </c>
      <c r="C717" s="13" t="n">
        <v>0</v>
      </c>
      <c r="D717" s="13" t="n">
        <v>0</v>
      </c>
      <c r="E717" s="13" t="n">
        <v>1</v>
      </c>
      <c r="F717" s="13" t="n">
        <v>1</v>
      </c>
      <c r="G717" s="13" t="n">
        <v>0</v>
      </c>
      <c r="H717" s="13" t="str">
        <f aca="false">IF(C717=1,A717,"")</f>
        <v/>
      </c>
      <c r="I717" s="13" t="n">
        <f aca="false">IF(C717=0,A717,"")</f>
        <v>4</v>
      </c>
    </row>
    <row r="718" customFormat="false" ht="15" hidden="false" customHeight="false" outlineLevel="0" collapsed="false">
      <c r="A718" s="13" t="n">
        <v>4</v>
      </c>
      <c r="B718" s="13" t="n">
        <v>51</v>
      </c>
      <c r="C718" s="13" t="n">
        <v>0</v>
      </c>
      <c r="D718" s="13" t="n">
        <v>2</v>
      </c>
      <c r="E718" s="13" t="n">
        <v>0</v>
      </c>
      <c r="F718" s="13" t="n">
        <v>0</v>
      </c>
      <c r="G718" s="13" t="n">
        <v>1</v>
      </c>
      <c r="H718" s="13" t="str">
        <f aca="false">IF(C718=1,A718,"")</f>
        <v/>
      </c>
      <c r="I718" s="13" t="n">
        <f aca="false">IF(C718=0,A718,"")</f>
        <v>4</v>
      </c>
    </row>
    <row r="719" customFormat="false" ht="15" hidden="false" customHeight="false" outlineLevel="0" collapsed="false">
      <c r="A719" s="13" t="n">
        <v>4</v>
      </c>
      <c r="B719" s="13" t="n">
        <v>51</v>
      </c>
      <c r="C719" s="13" t="n">
        <v>0</v>
      </c>
      <c r="D719" s="13" t="n">
        <v>0</v>
      </c>
      <c r="E719" s="13" t="n">
        <v>0</v>
      </c>
      <c r="F719" s="13" t="n">
        <v>0</v>
      </c>
      <c r="G719" s="13" t="n">
        <v>0</v>
      </c>
      <c r="H719" s="13" t="str">
        <f aca="false">IF(C719=1,A719,"")</f>
        <v/>
      </c>
      <c r="I719" s="13" t="n">
        <f aca="false">IF(C719=0,A719,"")</f>
        <v>4</v>
      </c>
    </row>
    <row r="720" customFormat="false" ht="15" hidden="false" customHeight="false" outlineLevel="0" collapsed="false">
      <c r="A720" s="13" t="n">
        <v>3</v>
      </c>
      <c r="B720" s="13" t="n">
        <v>58</v>
      </c>
      <c r="C720" s="13" t="n">
        <v>0</v>
      </c>
      <c r="D720" s="13" t="n">
        <v>0</v>
      </c>
      <c r="E720" s="13" t="n">
        <v>0</v>
      </c>
      <c r="F720" s="13" t="n">
        <v>0</v>
      </c>
      <c r="G720" s="13" t="n">
        <v>1</v>
      </c>
      <c r="H720" s="13" t="str">
        <f aca="false">IF(C720=1,A720,"")</f>
        <v/>
      </c>
      <c r="I720" s="13" t="n">
        <f aca="false">IF(C720=0,A720,"")</f>
        <v>3</v>
      </c>
    </row>
    <row r="721" customFormat="false" ht="15" hidden="false" customHeight="false" outlineLevel="0" collapsed="false">
      <c r="A721" s="13" t="n">
        <v>3</v>
      </c>
      <c r="B721" s="13" t="n">
        <v>62</v>
      </c>
      <c r="C721" s="13" t="n">
        <v>1</v>
      </c>
      <c r="D721" s="13" t="n">
        <v>0</v>
      </c>
      <c r="E721" s="13" t="n">
        <v>0</v>
      </c>
      <c r="F721" s="13" t="n">
        <v>1</v>
      </c>
      <c r="G721" s="13" t="n">
        <v>0</v>
      </c>
      <c r="H721" s="13" t="n">
        <f aca="false">IF(C721=1,A721,"")</f>
        <v>3</v>
      </c>
      <c r="I721" s="13" t="str">
        <f aca="false">IF(C721=0,A721,"")</f>
        <v/>
      </c>
    </row>
    <row r="722" customFormat="false" ht="15" hidden="false" customHeight="false" outlineLevel="0" collapsed="false">
      <c r="A722" s="13" t="n">
        <v>5</v>
      </c>
      <c r="B722" s="13" t="n">
        <v>33</v>
      </c>
      <c r="C722" s="13" t="n">
        <v>0</v>
      </c>
      <c r="D722" s="13" t="n">
        <v>4</v>
      </c>
      <c r="E722" s="13" t="n">
        <v>0</v>
      </c>
      <c r="F722" s="13" t="n">
        <v>1</v>
      </c>
      <c r="G722" s="13" t="n">
        <v>0</v>
      </c>
      <c r="H722" s="13" t="str">
        <f aca="false">IF(C722=1,A722,"")</f>
        <v/>
      </c>
      <c r="I722" s="13" t="n">
        <f aca="false">IF(C722=0,A722,"")</f>
        <v>5</v>
      </c>
    </row>
    <row r="723" customFormat="false" ht="15" hidden="false" customHeight="false" outlineLevel="0" collapsed="false">
      <c r="A723" s="13" t="n">
        <v>4</v>
      </c>
      <c r="B723" s="13" t="n">
        <v>63</v>
      </c>
      <c r="C723" s="13" t="n">
        <v>1</v>
      </c>
      <c r="D723" s="13" t="n">
        <v>0</v>
      </c>
      <c r="E723" s="13" t="n">
        <v>1</v>
      </c>
      <c r="F723" s="13" t="n">
        <v>1</v>
      </c>
      <c r="G723" s="13" t="n">
        <v>1</v>
      </c>
      <c r="H723" s="13" t="n">
        <f aca="false">IF(C723=1,A723,"")</f>
        <v>4</v>
      </c>
      <c r="I723" s="13" t="str">
        <f aca="false">IF(C723=0,A723,"")</f>
        <v/>
      </c>
    </row>
    <row r="724" customFormat="false" ht="15" hidden="false" customHeight="false" outlineLevel="0" collapsed="false">
      <c r="A724" s="13" t="n">
        <v>5</v>
      </c>
      <c r="B724" s="13" t="n">
        <v>28</v>
      </c>
      <c r="C724" s="13" t="n">
        <v>1</v>
      </c>
      <c r="D724" s="13" t="n">
        <v>0</v>
      </c>
      <c r="E724" s="13" t="n">
        <v>0</v>
      </c>
      <c r="F724" s="13" t="n">
        <v>1</v>
      </c>
      <c r="G724" s="13" t="n">
        <v>1</v>
      </c>
      <c r="H724" s="13" t="n">
        <f aca="false">IF(C724=1,A724,"")</f>
        <v>5</v>
      </c>
      <c r="I724" s="13" t="str">
        <f aca="false">IF(C724=0,A724,"")</f>
        <v/>
      </c>
    </row>
    <row r="725" customFormat="false" ht="15" hidden="false" customHeight="false" outlineLevel="0" collapsed="false">
      <c r="A725" s="13" t="n">
        <v>2</v>
      </c>
      <c r="B725" s="13" t="n">
        <v>59</v>
      </c>
      <c r="C725" s="13" t="n">
        <v>1</v>
      </c>
      <c r="D725" s="13" t="n">
        <v>1</v>
      </c>
      <c r="E725" s="13" t="n">
        <v>0</v>
      </c>
      <c r="F725" s="13" t="n">
        <v>1</v>
      </c>
      <c r="G725" s="13" t="n">
        <v>1</v>
      </c>
      <c r="H725" s="13" t="n">
        <f aca="false">IF(C725=1,A725,"")</f>
        <v>2</v>
      </c>
      <c r="I725" s="13" t="str">
        <f aca="false">IF(C725=0,A725,"")</f>
        <v/>
      </c>
    </row>
    <row r="726" customFormat="false" ht="15" hidden="false" customHeight="false" outlineLevel="0" collapsed="false">
      <c r="A726" s="13" t="n">
        <v>4</v>
      </c>
      <c r="B726" s="13" t="n">
        <v>44</v>
      </c>
      <c r="C726" s="13" t="n">
        <v>0</v>
      </c>
      <c r="D726" s="13" t="n">
        <v>2</v>
      </c>
      <c r="E726" s="13" t="n">
        <v>1</v>
      </c>
      <c r="F726" s="13" t="n">
        <v>1</v>
      </c>
      <c r="G726" s="13" t="n">
        <v>0</v>
      </c>
      <c r="H726" s="13" t="str">
        <f aca="false">IF(C726=1,A726,"")</f>
        <v/>
      </c>
      <c r="I726" s="13" t="n">
        <f aca="false">IF(C726=0,A726,"")</f>
        <v>4</v>
      </c>
    </row>
    <row r="727" customFormat="false" ht="15" hidden="false" customHeight="false" outlineLevel="0" collapsed="false">
      <c r="A727" s="13" t="n">
        <v>3</v>
      </c>
      <c r="B727" s="13" t="n">
        <v>55</v>
      </c>
      <c r="C727" s="13" t="n">
        <v>0</v>
      </c>
      <c r="D727" s="13" t="n">
        <v>0</v>
      </c>
      <c r="E727" s="13" t="n">
        <v>0</v>
      </c>
      <c r="F727" s="13" t="n">
        <v>1</v>
      </c>
      <c r="G727" s="13" t="n">
        <v>1</v>
      </c>
      <c r="H727" s="13" t="str">
        <f aca="false">IF(C727=1,A727,"")</f>
        <v/>
      </c>
      <c r="I727" s="13" t="n">
        <f aca="false">IF(C727=0,A727,"")</f>
        <v>3</v>
      </c>
    </row>
    <row r="728" customFormat="false" ht="15" hidden="false" customHeight="false" outlineLevel="0" collapsed="false">
      <c r="A728" s="13" t="n">
        <v>4</v>
      </c>
      <c r="B728" s="13" t="n">
        <v>53</v>
      </c>
      <c r="C728" s="13" t="n">
        <v>1</v>
      </c>
      <c r="D728" s="13" t="n">
        <v>1</v>
      </c>
      <c r="E728" s="13" t="n">
        <v>1</v>
      </c>
      <c r="F728" s="13" t="n">
        <v>1</v>
      </c>
      <c r="G728" s="13" t="n">
        <v>1</v>
      </c>
      <c r="H728" s="13" t="n">
        <f aca="false">IF(C728=1,A728,"")</f>
        <v>4</v>
      </c>
      <c r="I728" s="13" t="str">
        <f aca="false">IF(C728=0,A728,"")</f>
        <v/>
      </c>
    </row>
    <row r="729" customFormat="false" ht="15" hidden="false" customHeight="false" outlineLevel="0" collapsed="false">
      <c r="A729" s="13" t="n">
        <v>3</v>
      </c>
      <c r="B729" s="13" t="n">
        <v>44</v>
      </c>
      <c r="C729" s="13" t="n">
        <v>1</v>
      </c>
      <c r="D729" s="13" t="n">
        <v>0</v>
      </c>
      <c r="E729" s="13" t="n">
        <v>0</v>
      </c>
      <c r="F729" s="13" t="n">
        <v>0</v>
      </c>
      <c r="G729" s="13" t="n">
        <v>0</v>
      </c>
      <c r="H729" s="13" t="n">
        <f aca="false">IF(C729=1,A729,"")</f>
        <v>3</v>
      </c>
      <c r="I729" s="13" t="str">
        <f aca="false">IF(C729=0,A729,"")</f>
        <v/>
      </c>
    </row>
    <row r="730" customFormat="false" ht="15" hidden="false" customHeight="false" outlineLevel="0" collapsed="false">
      <c r="A730" s="13" t="n">
        <v>4</v>
      </c>
      <c r="B730" s="13" t="n">
        <v>33</v>
      </c>
      <c r="C730" s="13" t="n">
        <v>1</v>
      </c>
      <c r="D730" s="13" t="n">
        <v>2</v>
      </c>
      <c r="E730" s="13" t="n">
        <v>1</v>
      </c>
      <c r="F730" s="13" t="n">
        <v>1</v>
      </c>
      <c r="G730" s="13" t="n">
        <v>0</v>
      </c>
      <c r="H730" s="13" t="n">
        <f aca="false">IF(C730=1,A730,"")</f>
        <v>4</v>
      </c>
      <c r="I730" s="13" t="str">
        <f aca="false">IF(C730=0,A730,"")</f>
        <v/>
      </c>
    </row>
    <row r="731" customFormat="false" ht="15" hidden="false" customHeight="false" outlineLevel="0" collapsed="false">
      <c r="A731" s="13" t="n">
        <v>5</v>
      </c>
      <c r="B731" s="13" t="n">
        <v>47</v>
      </c>
      <c r="C731" s="13" t="n">
        <v>0</v>
      </c>
      <c r="D731" s="13" t="n">
        <v>3</v>
      </c>
      <c r="E731" s="13" t="n">
        <v>1</v>
      </c>
      <c r="F731" s="13" t="n">
        <v>1</v>
      </c>
      <c r="G731" s="13" t="n">
        <v>1</v>
      </c>
      <c r="H731" s="13" t="str">
        <f aca="false">IF(C731=1,A731,"")</f>
        <v/>
      </c>
      <c r="I731" s="13" t="n">
        <f aca="false">IF(C731=0,A731,"")</f>
        <v>5</v>
      </c>
    </row>
    <row r="732" customFormat="false" ht="15" hidden="false" customHeight="false" outlineLevel="0" collapsed="false">
      <c r="A732" s="13" t="n">
        <v>5</v>
      </c>
      <c r="B732" s="13" t="n">
        <v>33</v>
      </c>
      <c r="C732" s="13" t="n">
        <v>0</v>
      </c>
      <c r="D732" s="13" t="n">
        <v>0</v>
      </c>
      <c r="E732" s="13" t="n">
        <v>1</v>
      </c>
      <c r="F732" s="13" t="n">
        <v>1</v>
      </c>
      <c r="G732" s="13" t="n">
        <v>1</v>
      </c>
      <c r="H732" s="13" t="str">
        <f aca="false">IF(C732=1,A732,"")</f>
        <v/>
      </c>
      <c r="I732" s="13" t="n">
        <f aca="false">IF(C732=0,A732,"")</f>
        <v>5</v>
      </c>
    </row>
    <row r="733" customFormat="false" ht="15" hidden="false" customHeight="false" outlineLevel="0" collapsed="false">
      <c r="A733" s="13" t="n">
        <v>4</v>
      </c>
      <c r="B733" s="13" t="n">
        <v>28</v>
      </c>
      <c r="C733" s="13" t="n">
        <v>0</v>
      </c>
      <c r="D733" s="13" t="n">
        <v>1</v>
      </c>
      <c r="E733" s="13" t="n">
        <v>1</v>
      </c>
      <c r="F733" s="13" t="n">
        <v>1</v>
      </c>
      <c r="G733" s="13" t="n">
        <v>1</v>
      </c>
      <c r="H733" s="13" t="str">
        <f aca="false">IF(C733=1,A733,"")</f>
        <v/>
      </c>
      <c r="I733" s="13" t="n">
        <f aca="false">IF(C733=0,A733,"")</f>
        <v>4</v>
      </c>
    </row>
    <row r="734" customFormat="false" ht="15" hidden="false" customHeight="false" outlineLevel="0" collapsed="false">
      <c r="A734" s="13" t="n">
        <v>4</v>
      </c>
      <c r="B734" s="13" t="n">
        <v>53</v>
      </c>
      <c r="C734" s="13" t="n">
        <v>1</v>
      </c>
      <c r="D734" s="13" t="n">
        <v>2</v>
      </c>
      <c r="E734" s="13" t="n">
        <v>1</v>
      </c>
      <c r="F734" s="13" t="n">
        <v>1</v>
      </c>
      <c r="G734" s="13" t="n">
        <v>1</v>
      </c>
      <c r="H734" s="13" t="n">
        <f aca="false">IF(C734=1,A734,"")</f>
        <v>4</v>
      </c>
      <c r="I734" s="13" t="str">
        <f aca="false">IF(C734=0,A734,"")</f>
        <v/>
      </c>
    </row>
    <row r="735" customFormat="false" ht="15" hidden="false" customHeight="false" outlineLevel="0" collapsed="false">
      <c r="A735" s="13" t="n">
        <v>3</v>
      </c>
      <c r="B735" s="13" t="n">
        <v>40</v>
      </c>
      <c r="C735" s="13" t="n">
        <v>0</v>
      </c>
      <c r="D735" s="13" t="n">
        <v>0</v>
      </c>
      <c r="E735" s="13" t="n">
        <v>0</v>
      </c>
      <c r="F735" s="13" t="n">
        <v>1</v>
      </c>
      <c r="G735" s="13" t="n">
        <v>0</v>
      </c>
      <c r="H735" s="13" t="str">
        <f aca="false">IF(C735=1,A735,"")</f>
        <v/>
      </c>
      <c r="I735" s="13" t="n">
        <f aca="false">IF(C735=0,A735,"")</f>
        <v>3</v>
      </c>
    </row>
    <row r="736" customFormat="false" ht="15" hidden="false" customHeight="false" outlineLevel="0" collapsed="false">
      <c r="A736" s="13" t="n">
        <v>1</v>
      </c>
      <c r="B736" s="13" t="n">
        <v>59</v>
      </c>
      <c r="C736" s="13" t="n">
        <v>1</v>
      </c>
      <c r="D736" s="13" t="n">
        <v>0</v>
      </c>
      <c r="E736" s="13" t="n">
        <v>1</v>
      </c>
      <c r="F736" s="13" t="n">
        <v>1</v>
      </c>
      <c r="G736" s="13" t="n">
        <v>0</v>
      </c>
      <c r="H736" s="13" t="n">
        <f aca="false">IF(C736=1,A736,"")</f>
        <v>1</v>
      </c>
      <c r="I736" s="13" t="str">
        <f aca="false">IF(C736=0,A736,"")</f>
        <v/>
      </c>
    </row>
    <row r="737" customFormat="false" ht="15" hidden="false" customHeight="false" outlineLevel="0" collapsed="false">
      <c r="A737" s="13" t="n">
        <v>4</v>
      </c>
      <c r="B737" s="13" t="n">
        <v>39</v>
      </c>
      <c r="C737" s="13" t="n">
        <v>0</v>
      </c>
      <c r="D737" s="13" t="n">
        <v>0</v>
      </c>
      <c r="E737" s="13" t="n">
        <v>1</v>
      </c>
      <c r="F737" s="13" t="n">
        <v>1</v>
      </c>
      <c r="G737" s="13" t="n">
        <v>0</v>
      </c>
      <c r="H737" s="13" t="str">
        <f aca="false">IF(C737=1,A737,"")</f>
        <v/>
      </c>
      <c r="I737" s="13" t="n">
        <f aca="false">IF(C737=0,A737,"")</f>
        <v>4</v>
      </c>
    </row>
    <row r="738" customFormat="false" ht="15" hidden="false" customHeight="false" outlineLevel="0" collapsed="false">
      <c r="A738" s="13" t="n">
        <v>5</v>
      </c>
      <c r="B738" s="13" t="n">
        <v>55</v>
      </c>
      <c r="C738" s="13" t="n">
        <v>1</v>
      </c>
      <c r="D738" s="13" t="n">
        <v>2</v>
      </c>
      <c r="E738" s="13" t="n">
        <v>1</v>
      </c>
      <c r="F738" s="13" t="n">
        <v>1</v>
      </c>
      <c r="G738" s="13" t="n">
        <v>1</v>
      </c>
      <c r="H738" s="13" t="n">
        <f aca="false">IF(C738=1,A738,"")</f>
        <v>5</v>
      </c>
      <c r="I738" s="13" t="str">
        <f aca="false">IF(C738=0,A738,"")</f>
        <v/>
      </c>
    </row>
    <row r="739" customFormat="false" ht="15" hidden="false" customHeight="false" outlineLevel="0" collapsed="false">
      <c r="A739" s="13" t="n">
        <v>4</v>
      </c>
      <c r="B739" s="13" t="n">
        <v>25</v>
      </c>
      <c r="C739" s="13" t="n">
        <v>0</v>
      </c>
      <c r="D739" s="13" t="n">
        <v>0</v>
      </c>
      <c r="E739" s="13" t="n">
        <v>1</v>
      </c>
      <c r="F739" s="13" t="n">
        <v>1</v>
      </c>
      <c r="G739" s="13" t="n">
        <v>0</v>
      </c>
      <c r="H739" s="13" t="str">
        <f aca="false">IF(C739=1,A739,"")</f>
        <v/>
      </c>
      <c r="I739" s="13" t="n">
        <f aca="false">IF(C739=0,A739,"")</f>
        <v>4</v>
      </c>
    </row>
    <row r="740" customFormat="false" ht="15" hidden="false" customHeight="false" outlineLevel="0" collapsed="false">
      <c r="A740" s="13" t="n">
        <v>5</v>
      </c>
      <c r="B740" s="13" t="n">
        <v>45</v>
      </c>
      <c r="C740" s="13" t="n">
        <v>1</v>
      </c>
      <c r="D740" s="13" t="n">
        <v>0</v>
      </c>
      <c r="E740" s="13" t="n">
        <v>1</v>
      </c>
      <c r="F740" s="13" t="n">
        <v>1</v>
      </c>
      <c r="G740" s="13" t="n">
        <v>1</v>
      </c>
      <c r="H740" s="13" t="n">
        <f aca="false">IF(C740=1,A740,"")</f>
        <v>5</v>
      </c>
      <c r="I740" s="13" t="str">
        <f aca="false">IF(C740=0,A740,"")</f>
        <v/>
      </c>
    </row>
    <row r="741" customFormat="false" ht="15" hidden="false" customHeight="false" outlineLevel="0" collapsed="false">
      <c r="A741" s="13" t="n">
        <v>5</v>
      </c>
      <c r="B741" s="13" t="n">
        <v>50</v>
      </c>
      <c r="C741" s="13" t="n">
        <v>0</v>
      </c>
      <c r="D741" s="13" t="n">
        <v>0</v>
      </c>
      <c r="E741" s="13" t="n">
        <v>1</v>
      </c>
      <c r="F741" s="13" t="n">
        <v>1</v>
      </c>
      <c r="G741" s="13" t="n">
        <v>1</v>
      </c>
      <c r="H741" s="13" t="str">
        <f aca="false">IF(C741=1,A741,"")</f>
        <v/>
      </c>
      <c r="I741" s="13" t="n">
        <f aca="false">IF(C741=0,A741,"")</f>
        <v>5</v>
      </c>
    </row>
    <row r="742" customFormat="false" ht="15" hidden="false" customHeight="false" outlineLevel="0" collapsed="false">
      <c r="A742" s="13" t="n">
        <v>4</v>
      </c>
      <c r="B742" s="13" t="n">
        <v>53</v>
      </c>
      <c r="C742" s="13" t="n">
        <v>0</v>
      </c>
      <c r="D742" s="13" t="n">
        <v>0</v>
      </c>
      <c r="E742" s="13" t="n">
        <v>0</v>
      </c>
      <c r="F742" s="13" t="n">
        <v>0</v>
      </c>
      <c r="G742" s="13" t="n">
        <v>1</v>
      </c>
      <c r="H742" s="13" t="str">
        <f aca="false">IF(C742=1,A742,"")</f>
        <v/>
      </c>
      <c r="I742" s="13" t="n">
        <f aca="false">IF(C742=0,A742,"")</f>
        <v>4</v>
      </c>
    </row>
    <row r="743" customFormat="false" ht="15" hidden="false" customHeight="false" outlineLevel="0" collapsed="false">
      <c r="A743" s="13" t="n">
        <v>2</v>
      </c>
      <c r="B743" s="13" t="n">
        <v>61</v>
      </c>
      <c r="C743" s="13" t="n">
        <v>0</v>
      </c>
      <c r="D743" s="13" t="n">
        <v>1</v>
      </c>
      <c r="E743" s="13" t="n">
        <v>1</v>
      </c>
      <c r="F743" s="13" t="n">
        <v>0</v>
      </c>
      <c r="G743" s="13" t="n">
        <v>1</v>
      </c>
      <c r="H743" s="13" t="str">
        <f aca="false">IF(C743=1,A743,"")</f>
        <v/>
      </c>
      <c r="I743" s="13" t="n">
        <f aca="false">IF(C743=0,A743,"")</f>
        <v>2</v>
      </c>
    </row>
    <row r="744" customFormat="false" ht="15" hidden="false" customHeight="false" outlineLevel="0" collapsed="false">
      <c r="A744" s="13" t="n">
        <v>5</v>
      </c>
      <c r="B744" s="13" t="n">
        <v>49</v>
      </c>
      <c r="C744" s="13" t="n">
        <v>0</v>
      </c>
      <c r="D744" s="13" t="n">
        <v>1</v>
      </c>
      <c r="E744" s="13" t="n">
        <v>0</v>
      </c>
      <c r="F744" s="13" t="n">
        <v>1</v>
      </c>
      <c r="G744" s="13" t="n">
        <v>1</v>
      </c>
      <c r="H744" s="13" t="str">
        <f aca="false">IF(C744=1,A744,"")</f>
        <v/>
      </c>
      <c r="I744" s="13" t="n">
        <f aca="false">IF(C744=0,A744,"")</f>
        <v>5</v>
      </c>
    </row>
    <row r="745" customFormat="false" ht="15" hidden="false" customHeight="false" outlineLevel="0" collapsed="false">
      <c r="A745" s="13" t="n">
        <v>2</v>
      </c>
      <c r="B745" s="13" t="n">
        <v>25</v>
      </c>
      <c r="C745" s="13" t="n">
        <v>0</v>
      </c>
      <c r="D745" s="13" t="n">
        <v>0</v>
      </c>
      <c r="E745" s="13" t="n">
        <v>1</v>
      </c>
      <c r="F745" s="13" t="n">
        <v>1</v>
      </c>
      <c r="G745" s="13" t="n">
        <v>0</v>
      </c>
      <c r="H745" s="13" t="str">
        <f aca="false">IF(C745=1,A745,"")</f>
        <v/>
      </c>
      <c r="I745" s="13" t="n">
        <f aca="false">IF(C745=0,A745,"")</f>
        <v>2</v>
      </c>
    </row>
    <row r="746" customFormat="false" ht="15" hidden="false" customHeight="false" outlineLevel="0" collapsed="false">
      <c r="A746" s="13" t="n">
        <v>5</v>
      </c>
      <c r="B746" s="13" t="n">
        <v>43</v>
      </c>
      <c r="C746" s="13" t="n">
        <v>0</v>
      </c>
      <c r="D746" s="13" t="n">
        <v>2</v>
      </c>
      <c r="E746" s="13" t="n">
        <v>0</v>
      </c>
      <c r="F746" s="13" t="n">
        <v>0</v>
      </c>
      <c r="G746" s="13" t="n">
        <v>1</v>
      </c>
      <c r="H746" s="13" t="str">
        <f aca="false">IF(C746=1,A746,"")</f>
        <v/>
      </c>
      <c r="I746" s="13" t="n">
        <f aca="false">IF(C746=0,A746,"")</f>
        <v>5</v>
      </c>
    </row>
    <row r="747" customFormat="false" ht="15" hidden="false" customHeight="false" outlineLevel="0" collapsed="false">
      <c r="A747" s="13" t="n">
        <v>4</v>
      </c>
      <c r="B747" s="13" t="n">
        <v>64</v>
      </c>
      <c r="C747" s="13" t="n">
        <v>1</v>
      </c>
      <c r="D747" s="13" t="n">
        <v>0</v>
      </c>
      <c r="E747" s="13" t="n">
        <v>0</v>
      </c>
      <c r="F747" s="13" t="n">
        <v>1</v>
      </c>
      <c r="G747" s="13" t="n">
        <v>1</v>
      </c>
      <c r="H747" s="13" t="n">
        <f aca="false">IF(C747=1,A747,"")</f>
        <v>4</v>
      </c>
      <c r="I747" s="13" t="str">
        <f aca="false">IF(C747=0,A747,"")</f>
        <v/>
      </c>
    </row>
    <row r="748" customFormat="false" ht="15" hidden="false" customHeight="false" outlineLevel="0" collapsed="false">
      <c r="A748" s="13" t="n">
        <v>4</v>
      </c>
      <c r="B748" s="13" t="n">
        <v>32</v>
      </c>
      <c r="C748" s="13" t="n">
        <v>0</v>
      </c>
      <c r="D748" s="13" t="n">
        <v>2</v>
      </c>
      <c r="E748" s="13" t="n">
        <v>0</v>
      </c>
      <c r="F748" s="13" t="n">
        <v>1</v>
      </c>
      <c r="G748" s="13" t="n">
        <v>1</v>
      </c>
      <c r="H748" s="13" t="str">
        <f aca="false">IF(C748=1,A748,"")</f>
        <v/>
      </c>
      <c r="I748" s="13" t="n">
        <f aca="false">IF(C748=0,A748,"")</f>
        <v>4</v>
      </c>
    </row>
    <row r="749" customFormat="false" ht="15" hidden="false" customHeight="false" outlineLevel="0" collapsed="false">
      <c r="A749" s="13" t="n">
        <v>4</v>
      </c>
      <c r="B749" s="13" t="n">
        <v>37</v>
      </c>
      <c r="C749" s="13" t="n">
        <v>0</v>
      </c>
      <c r="D749" s="13" t="n">
        <v>3</v>
      </c>
      <c r="E749" s="13" t="n">
        <v>1</v>
      </c>
      <c r="F749" s="13" t="n">
        <v>1</v>
      </c>
      <c r="G749" s="13" t="n">
        <v>1</v>
      </c>
      <c r="H749" s="13" t="str">
        <f aca="false">IF(C749=1,A749,"")</f>
        <v/>
      </c>
      <c r="I749" s="13" t="n">
        <f aca="false">IF(C749=0,A749,"")</f>
        <v>4</v>
      </c>
    </row>
    <row r="750" customFormat="false" ht="15" hidden="false" customHeight="false" outlineLevel="0" collapsed="false">
      <c r="A750" s="13" t="n">
        <v>1</v>
      </c>
      <c r="B750" s="13" t="n">
        <v>29</v>
      </c>
      <c r="C750" s="13" t="n">
        <v>0</v>
      </c>
      <c r="D750" s="13" t="n">
        <v>0</v>
      </c>
      <c r="E750" s="13" t="n">
        <v>0</v>
      </c>
      <c r="F750" s="13" t="n">
        <v>1</v>
      </c>
      <c r="G750" s="13" t="n">
        <v>0</v>
      </c>
      <c r="H750" s="13" t="str">
        <f aca="false">IF(C750=1,A750,"")</f>
        <v/>
      </c>
      <c r="I750" s="13" t="n">
        <f aca="false">IF(C750=0,A750,"")</f>
        <v>1</v>
      </c>
    </row>
    <row r="751" customFormat="false" ht="15" hidden="false" customHeight="false" outlineLevel="0" collapsed="false">
      <c r="A751" s="13" t="n">
        <v>3</v>
      </c>
      <c r="B751" s="13" t="n">
        <v>32</v>
      </c>
      <c r="C751" s="13" t="n">
        <v>0</v>
      </c>
      <c r="D751" s="13" t="n">
        <v>0</v>
      </c>
      <c r="E751" s="13" t="n">
        <v>1</v>
      </c>
      <c r="F751" s="13" t="n">
        <v>1</v>
      </c>
      <c r="G751" s="13" t="n">
        <v>1</v>
      </c>
      <c r="H751" s="13" t="str">
        <f aca="false">IF(C751=1,A751,"")</f>
        <v/>
      </c>
      <c r="I751" s="13" t="n">
        <f aca="false">IF(C751=0,A751,"")</f>
        <v>3</v>
      </c>
    </row>
    <row r="752" customFormat="false" ht="15" hidden="false" customHeight="false" outlineLevel="0" collapsed="false">
      <c r="A752" s="13" t="n">
        <v>4</v>
      </c>
      <c r="B752" s="13" t="n">
        <v>57</v>
      </c>
      <c r="C752" s="13" t="n">
        <v>0</v>
      </c>
      <c r="D752" s="13" t="n">
        <v>0</v>
      </c>
      <c r="E752" s="13" t="n">
        <v>0</v>
      </c>
      <c r="F752" s="13" t="n">
        <v>1</v>
      </c>
      <c r="G752" s="13" t="n">
        <v>1</v>
      </c>
      <c r="H752" s="13" t="str">
        <f aca="false">IF(C752=1,A752,"")</f>
        <v/>
      </c>
      <c r="I752" s="13" t="n">
        <f aca="false">IF(C752=0,A752,"")</f>
        <v>4</v>
      </c>
    </row>
    <row r="753" customFormat="false" ht="15" hidden="false" customHeight="false" outlineLevel="0" collapsed="false">
      <c r="A753" s="13" t="n">
        <v>4</v>
      </c>
      <c r="B753" s="13" t="n">
        <v>39</v>
      </c>
      <c r="C753" s="13" t="n">
        <v>0</v>
      </c>
      <c r="D753" s="13" t="n">
        <v>0</v>
      </c>
      <c r="E753" s="13" t="n">
        <v>1</v>
      </c>
      <c r="F753" s="13" t="n">
        <v>1</v>
      </c>
      <c r="G753" s="13" t="n">
        <v>1</v>
      </c>
      <c r="H753" s="13" t="str">
        <f aca="false">IF(C753=1,A753,"")</f>
        <v/>
      </c>
      <c r="I753" s="13" t="n">
        <f aca="false">IF(C753=0,A753,"")</f>
        <v>4</v>
      </c>
    </row>
    <row r="754" customFormat="false" ht="15" hidden="false" customHeight="false" outlineLevel="0" collapsed="false">
      <c r="A754" s="13" t="n">
        <v>4</v>
      </c>
      <c r="B754" s="13" t="n">
        <v>26</v>
      </c>
      <c r="C754" s="13" t="n">
        <v>0</v>
      </c>
      <c r="D754" s="13" t="n">
        <v>1</v>
      </c>
      <c r="E754" s="13" t="n">
        <v>1</v>
      </c>
      <c r="F754" s="13" t="n">
        <v>1</v>
      </c>
      <c r="G754" s="13" t="n">
        <v>1</v>
      </c>
      <c r="H754" s="13" t="str">
        <f aca="false">IF(C754=1,A754,"")</f>
        <v/>
      </c>
      <c r="I754" s="13" t="n">
        <f aca="false">IF(C754=0,A754,"")</f>
        <v>4</v>
      </c>
    </row>
    <row r="755" customFormat="false" ht="15" hidden="false" customHeight="false" outlineLevel="0" collapsed="false">
      <c r="A755" s="13" t="n">
        <v>4</v>
      </c>
      <c r="B755" s="13" t="n">
        <v>35</v>
      </c>
      <c r="C755" s="13" t="n">
        <v>0</v>
      </c>
      <c r="D755" s="13" t="n">
        <v>2</v>
      </c>
      <c r="E755" s="13" t="n">
        <v>0</v>
      </c>
      <c r="F755" s="13" t="n">
        <v>1</v>
      </c>
      <c r="G755" s="13" t="n">
        <v>1</v>
      </c>
      <c r="H755" s="13" t="str">
        <f aca="false">IF(C755=1,A755,"")</f>
        <v/>
      </c>
      <c r="I755" s="13" t="n">
        <f aca="false">IF(C755=0,A755,"")</f>
        <v>4</v>
      </c>
    </row>
    <row r="756" customFormat="false" ht="15" hidden="false" customHeight="false" outlineLevel="0" collapsed="false">
      <c r="A756" s="13" t="n">
        <v>2</v>
      </c>
      <c r="B756" s="13" t="n">
        <v>26</v>
      </c>
      <c r="C756" s="13" t="n">
        <v>0</v>
      </c>
      <c r="D756" s="13" t="n">
        <v>0</v>
      </c>
      <c r="E756" s="13" t="n">
        <v>1</v>
      </c>
      <c r="F756" s="13" t="n">
        <v>1</v>
      </c>
      <c r="G756" s="13" t="n">
        <v>0</v>
      </c>
      <c r="H756" s="13" t="str">
        <f aca="false">IF(C756=1,A756,"")</f>
        <v/>
      </c>
      <c r="I756" s="13" t="n">
        <f aca="false">IF(C756=0,A756,"")</f>
        <v>2</v>
      </c>
    </row>
    <row r="757" customFormat="false" ht="15" hidden="false" customHeight="false" outlineLevel="0" collapsed="false">
      <c r="A757" s="13" t="n">
        <v>4</v>
      </c>
      <c r="B757" s="13" t="n">
        <v>42</v>
      </c>
      <c r="C757" s="13" t="n">
        <v>0</v>
      </c>
      <c r="D757" s="13" t="n">
        <v>2</v>
      </c>
      <c r="E757" s="13" t="n">
        <v>0</v>
      </c>
      <c r="F757" s="13" t="n">
        <v>0</v>
      </c>
      <c r="G757" s="13" t="n">
        <v>1</v>
      </c>
      <c r="H757" s="13" t="str">
        <f aca="false">IF(C757=1,A757,"")</f>
        <v/>
      </c>
      <c r="I757" s="13" t="n">
        <f aca="false">IF(C757=0,A757,"")</f>
        <v>4</v>
      </c>
    </row>
    <row r="758" customFormat="false" ht="15" hidden="false" customHeight="false" outlineLevel="0" collapsed="false">
      <c r="A758" s="13" t="n">
        <v>4</v>
      </c>
      <c r="B758" s="13" t="n">
        <v>53</v>
      </c>
      <c r="C758" s="13" t="n">
        <v>1</v>
      </c>
      <c r="D758" s="13" t="n">
        <v>0</v>
      </c>
      <c r="E758" s="13" t="n">
        <v>0</v>
      </c>
      <c r="F758" s="13" t="n">
        <v>1</v>
      </c>
      <c r="G758" s="13" t="n">
        <v>0</v>
      </c>
      <c r="H758" s="13" t="n">
        <f aca="false">IF(C758=1,A758,"")</f>
        <v>4</v>
      </c>
      <c r="I758" s="13" t="str">
        <f aca="false">IF(C758=0,A758,"")</f>
        <v/>
      </c>
    </row>
    <row r="759" customFormat="false" ht="15" hidden="false" customHeight="false" outlineLevel="0" collapsed="false">
      <c r="A759" s="13" t="n">
        <v>4</v>
      </c>
      <c r="B759" s="13" t="n">
        <v>49</v>
      </c>
      <c r="C759" s="13" t="n">
        <v>1</v>
      </c>
      <c r="D759" s="13" t="n">
        <v>2</v>
      </c>
      <c r="E759" s="13" t="n">
        <v>1</v>
      </c>
      <c r="F759" s="13" t="n">
        <v>0</v>
      </c>
      <c r="G759" s="13" t="n">
        <v>1</v>
      </c>
      <c r="H759" s="13" t="n">
        <f aca="false">IF(C759=1,A759,"")</f>
        <v>4</v>
      </c>
      <c r="I759" s="13" t="str">
        <f aca="false">IF(C759=0,A759,"")</f>
        <v/>
      </c>
    </row>
    <row r="760" customFormat="false" ht="15" hidden="false" customHeight="false" outlineLevel="0" collapsed="false">
      <c r="A760" s="13" t="n">
        <v>4</v>
      </c>
      <c r="B760" s="13" t="n">
        <v>50</v>
      </c>
      <c r="C760" s="13" t="n">
        <v>1</v>
      </c>
      <c r="D760" s="13" t="n">
        <v>1</v>
      </c>
      <c r="E760" s="13" t="n">
        <v>1</v>
      </c>
      <c r="F760" s="13" t="n">
        <v>1</v>
      </c>
      <c r="G760" s="13" t="n">
        <v>0</v>
      </c>
      <c r="H760" s="13" t="n">
        <f aca="false">IF(C760=1,A760,"")</f>
        <v>4</v>
      </c>
      <c r="I760" s="13" t="str">
        <f aca="false">IF(C760=0,A760,"")</f>
        <v/>
      </c>
    </row>
    <row r="761" customFormat="false" ht="15" hidden="false" customHeight="false" outlineLevel="0" collapsed="false">
      <c r="A761" s="13" t="n">
        <v>4</v>
      </c>
      <c r="B761" s="13" t="n">
        <v>63</v>
      </c>
      <c r="C761" s="13" t="n">
        <v>0</v>
      </c>
      <c r="D761" s="13" t="n">
        <v>1</v>
      </c>
      <c r="E761" s="13" t="n">
        <v>0</v>
      </c>
      <c r="F761" s="13" t="n">
        <v>0</v>
      </c>
      <c r="G761" s="13" t="n">
        <v>1</v>
      </c>
      <c r="H761" s="13" t="str">
        <f aca="false">IF(C761=1,A761,"")</f>
        <v/>
      </c>
      <c r="I761" s="13" t="n">
        <f aca="false">IF(C761=0,A761,"")</f>
        <v>4</v>
      </c>
    </row>
    <row r="762" customFormat="false" ht="15" hidden="false" customHeight="false" outlineLevel="0" collapsed="false">
      <c r="A762" s="13" t="n">
        <v>4</v>
      </c>
      <c r="B762" s="13" t="n">
        <v>34</v>
      </c>
      <c r="C762" s="13" t="n">
        <v>1</v>
      </c>
      <c r="D762" s="13" t="n">
        <v>1</v>
      </c>
      <c r="E762" s="13" t="n">
        <v>1</v>
      </c>
      <c r="F762" s="13" t="n">
        <v>1</v>
      </c>
      <c r="G762" s="13" t="n">
        <v>1</v>
      </c>
      <c r="H762" s="13" t="n">
        <f aca="false">IF(C762=1,A762,"")</f>
        <v>4</v>
      </c>
      <c r="I762" s="13" t="str">
        <f aca="false">IF(C762=0,A762,"")</f>
        <v/>
      </c>
    </row>
    <row r="763" customFormat="false" ht="15" hidden="false" customHeight="false" outlineLevel="0" collapsed="false">
      <c r="A763" s="13" t="n">
        <v>5</v>
      </c>
      <c r="B763" s="13" t="n">
        <v>54</v>
      </c>
      <c r="C763" s="13" t="n">
        <v>0</v>
      </c>
      <c r="D763" s="13" t="n">
        <v>1</v>
      </c>
      <c r="E763" s="13" t="n">
        <v>0</v>
      </c>
      <c r="F763" s="13" t="n">
        <v>0</v>
      </c>
      <c r="G763" s="13" t="n">
        <v>1</v>
      </c>
      <c r="H763" s="13" t="str">
        <f aca="false">IF(C763=1,A763,"")</f>
        <v/>
      </c>
      <c r="I763" s="13" t="n">
        <f aca="false">IF(C763=0,A763,"")</f>
        <v>5</v>
      </c>
    </row>
    <row r="764" customFormat="false" ht="15" hidden="false" customHeight="false" outlineLevel="0" collapsed="false">
      <c r="A764" s="13" t="n">
        <v>3</v>
      </c>
      <c r="B764" s="13" t="n">
        <v>36</v>
      </c>
      <c r="C764" s="13" t="n">
        <v>1</v>
      </c>
      <c r="D764" s="13" t="n">
        <v>0</v>
      </c>
      <c r="E764" s="13" t="n">
        <v>0</v>
      </c>
      <c r="F764" s="13" t="n">
        <v>0</v>
      </c>
      <c r="G764" s="13" t="n">
        <v>0</v>
      </c>
      <c r="H764" s="13" t="n">
        <f aca="false">IF(C764=1,A764,"")</f>
        <v>3</v>
      </c>
      <c r="I764" s="13" t="str">
        <f aca="false">IF(C764=0,A764,"")</f>
        <v/>
      </c>
    </row>
    <row r="765" customFormat="false" ht="15" hidden="false" customHeight="false" outlineLevel="0" collapsed="false">
      <c r="A765" s="13" t="n">
        <v>3</v>
      </c>
      <c r="B765" s="13" t="n">
        <v>55</v>
      </c>
      <c r="C765" s="13" t="n">
        <v>0</v>
      </c>
      <c r="D765" s="13" t="n">
        <v>0</v>
      </c>
      <c r="E765" s="13" t="n">
        <v>0</v>
      </c>
      <c r="F765" s="13" t="n">
        <v>1</v>
      </c>
      <c r="G765" s="13" t="n">
        <v>0</v>
      </c>
      <c r="H765" s="13" t="str">
        <f aca="false">IF(C765=1,A765,"")</f>
        <v/>
      </c>
      <c r="I765" s="13" t="n">
        <f aca="false">IF(C765=0,A765,"")</f>
        <v>3</v>
      </c>
    </row>
    <row r="766" customFormat="false" ht="15" hidden="false" customHeight="false" outlineLevel="0" collapsed="false">
      <c r="A766" s="13" t="n">
        <v>3</v>
      </c>
      <c r="B766" s="13" t="n">
        <v>37</v>
      </c>
      <c r="C766" s="13" t="n">
        <v>1</v>
      </c>
      <c r="D766" s="13" t="n">
        <v>0</v>
      </c>
      <c r="E766" s="13" t="n">
        <v>1</v>
      </c>
      <c r="F766" s="13" t="n">
        <v>1</v>
      </c>
      <c r="G766" s="13" t="n">
        <v>1</v>
      </c>
      <c r="H766" s="13" t="n">
        <f aca="false">IF(C766=1,A766,"")</f>
        <v>3</v>
      </c>
      <c r="I766" s="13" t="str">
        <f aca="false">IF(C766=0,A766,"")</f>
        <v/>
      </c>
    </row>
    <row r="767" customFormat="false" ht="15" hidden="false" customHeight="false" outlineLevel="0" collapsed="false">
      <c r="A767" s="13" t="n">
        <v>3</v>
      </c>
      <c r="B767" s="13" t="n">
        <v>53</v>
      </c>
      <c r="C767" s="13" t="n">
        <v>0</v>
      </c>
      <c r="D767" s="13" t="n">
        <v>0</v>
      </c>
      <c r="E767" s="13" t="n">
        <v>0</v>
      </c>
      <c r="F767" s="13" t="n">
        <v>0</v>
      </c>
      <c r="G767" s="13" t="n">
        <v>1</v>
      </c>
      <c r="H767" s="13" t="str">
        <f aca="false">IF(C767=1,A767,"")</f>
        <v/>
      </c>
      <c r="I767" s="13" t="n">
        <f aca="false">IF(C767=0,A767,"")</f>
        <v>3</v>
      </c>
    </row>
    <row r="768" customFormat="false" ht="15" hidden="false" customHeight="false" outlineLevel="0" collapsed="false">
      <c r="A768" s="13" t="n">
        <v>2</v>
      </c>
      <c r="B768" s="13" t="n">
        <v>36</v>
      </c>
      <c r="C768" s="13" t="n">
        <v>1</v>
      </c>
      <c r="D768" s="13" t="n">
        <v>0</v>
      </c>
      <c r="E768" s="13" t="n">
        <v>0</v>
      </c>
      <c r="F768" s="13" t="n">
        <v>1</v>
      </c>
      <c r="G768" s="13" t="n">
        <v>0</v>
      </c>
      <c r="H768" s="13" t="n">
        <f aca="false">IF(C768=1,A768,"")</f>
        <v>2</v>
      </c>
      <c r="I768" s="13" t="str">
        <f aca="false">IF(C768=0,A768,"")</f>
        <v/>
      </c>
    </row>
    <row r="769" customFormat="false" ht="15" hidden="false" customHeight="false" outlineLevel="0" collapsed="false">
      <c r="A769" s="13" t="n">
        <v>2</v>
      </c>
      <c r="B769" s="13" t="n">
        <v>56</v>
      </c>
      <c r="C769" s="13" t="n">
        <v>1</v>
      </c>
      <c r="D769" s="13" t="n">
        <v>1</v>
      </c>
      <c r="E769" s="13" t="n">
        <v>1</v>
      </c>
      <c r="F769" s="13" t="n">
        <v>1</v>
      </c>
      <c r="G769" s="13" t="n">
        <v>1</v>
      </c>
      <c r="H769" s="13" t="n">
        <f aca="false">IF(C769=1,A769,"")</f>
        <v>2</v>
      </c>
      <c r="I769" s="13" t="str">
        <f aca="false">IF(C769=0,A769,"")</f>
        <v/>
      </c>
    </row>
    <row r="770" customFormat="false" ht="15" hidden="false" customHeight="false" outlineLevel="0" collapsed="false">
      <c r="A770" s="13" t="n">
        <v>3</v>
      </c>
      <c r="B770" s="13" t="n">
        <v>49</v>
      </c>
      <c r="C770" s="13" t="n">
        <v>0</v>
      </c>
      <c r="D770" s="13" t="n">
        <v>0</v>
      </c>
      <c r="E770" s="13" t="n">
        <v>0</v>
      </c>
      <c r="F770" s="13" t="n">
        <v>1</v>
      </c>
      <c r="G770" s="13" t="n">
        <v>1</v>
      </c>
      <c r="H770" s="13" t="str">
        <f aca="false">IF(C770=1,A770,"")</f>
        <v/>
      </c>
      <c r="I770" s="13" t="n">
        <f aca="false">IF(C770=0,A770,"")</f>
        <v>3</v>
      </c>
    </row>
    <row r="771" customFormat="false" ht="15" hidden="false" customHeight="false" outlineLevel="0" collapsed="false">
      <c r="A771" s="13" t="n">
        <v>4</v>
      </c>
      <c r="B771" s="13" t="n">
        <v>43</v>
      </c>
      <c r="C771" s="13" t="n">
        <v>0</v>
      </c>
      <c r="D771" s="13" t="n">
        <v>1</v>
      </c>
      <c r="E771" s="13" t="n">
        <v>0</v>
      </c>
      <c r="F771" s="13" t="n">
        <v>1</v>
      </c>
      <c r="G771" s="13" t="n">
        <v>0</v>
      </c>
      <c r="H771" s="13" t="str">
        <f aca="false">IF(C771=1,A771,"")</f>
        <v/>
      </c>
      <c r="I771" s="13" t="n">
        <f aca="false">IF(C771=0,A771,"")</f>
        <v>4</v>
      </c>
    </row>
    <row r="772" customFormat="false" ht="15" hidden="false" customHeight="false" outlineLevel="0" collapsed="false">
      <c r="A772" s="13" t="n">
        <v>4</v>
      </c>
      <c r="B772" s="13" t="n">
        <v>62</v>
      </c>
      <c r="C772" s="13" t="n">
        <v>0</v>
      </c>
      <c r="D772" s="13" t="n">
        <v>0</v>
      </c>
      <c r="E772" s="13" t="n">
        <v>1</v>
      </c>
      <c r="F772" s="13" t="n">
        <v>0</v>
      </c>
      <c r="G772" s="13" t="n">
        <v>0</v>
      </c>
      <c r="H772" s="13" t="str">
        <f aca="false">IF(C772=1,A772,"")</f>
        <v/>
      </c>
      <c r="I772" s="13" t="n">
        <f aca="false">IF(C772=0,A772,"")</f>
        <v>4</v>
      </c>
    </row>
    <row r="773" customFormat="false" ht="15" hidden="false" customHeight="false" outlineLevel="0" collapsed="false">
      <c r="A773" s="13" t="n">
        <v>3</v>
      </c>
      <c r="B773" s="13" t="n">
        <v>39</v>
      </c>
      <c r="C773" s="13" t="n">
        <v>1</v>
      </c>
      <c r="D773" s="13" t="n">
        <v>0</v>
      </c>
      <c r="E773" s="13" t="n">
        <v>1</v>
      </c>
      <c r="F773" s="13" t="n">
        <v>1</v>
      </c>
      <c r="G773" s="13" t="n">
        <v>1</v>
      </c>
      <c r="H773" s="13" t="n">
        <f aca="false">IF(C773=1,A773,"")</f>
        <v>3</v>
      </c>
      <c r="I773" s="13" t="str">
        <f aca="false">IF(C773=0,A773,"")</f>
        <v/>
      </c>
    </row>
    <row r="774" customFormat="false" ht="15" hidden="false" customHeight="false" outlineLevel="0" collapsed="false">
      <c r="A774" s="13" t="n">
        <v>3</v>
      </c>
      <c r="B774" s="13" t="n">
        <v>62</v>
      </c>
      <c r="C774" s="13" t="n">
        <v>1</v>
      </c>
      <c r="D774" s="13" t="n">
        <v>0</v>
      </c>
      <c r="E774" s="13" t="n">
        <v>0</v>
      </c>
      <c r="F774" s="13" t="n">
        <v>0</v>
      </c>
      <c r="G774" s="13" t="n">
        <v>1</v>
      </c>
      <c r="H774" s="13" t="n">
        <f aca="false">IF(C774=1,A774,"")</f>
        <v>3</v>
      </c>
      <c r="I774" s="13" t="str">
        <f aca="false">IF(C774=0,A774,"")</f>
        <v/>
      </c>
    </row>
    <row r="775" customFormat="false" ht="15" hidden="false" customHeight="false" outlineLevel="0" collapsed="false">
      <c r="A775" s="13" t="n">
        <v>4</v>
      </c>
      <c r="B775" s="13" t="n">
        <v>52</v>
      </c>
      <c r="C775" s="13" t="n">
        <v>0</v>
      </c>
      <c r="D775" s="13" t="n">
        <v>0</v>
      </c>
      <c r="E775" s="13" t="n">
        <v>0</v>
      </c>
      <c r="F775" s="13" t="n">
        <v>1</v>
      </c>
      <c r="G775" s="13" t="n">
        <v>1</v>
      </c>
      <c r="H775" s="13" t="str">
        <f aca="false">IF(C775=1,A775,"")</f>
        <v/>
      </c>
      <c r="I775" s="13" t="n">
        <f aca="false">IF(C775=0,A775,"")</f>
        <v>4</v>
      </c>
    </row>
    <row r="776" customFormat="false" ht="15" hidden="false" customHeight="false" outlineLevel="0" collapsed="false">
      <c r="A776" s="13" t="n">
        <v>4</v>
      </c>
      <c r="B776" s="13" t="n">
        <v>35</v>
      </c>
      <c r="C776" s="13" t="n">
        <v>0</v>
      </c>
      <c r="D776" s="13" t="n">
        <v>2</v>
      </c>
      <c r="E776" s="13" t="n">
        <v>0</v>
      </c>
      <c r="F776" s="13" t="n">
        <v>0</v>
      </c>
      <c r="G776" s="13" t="n">
        <v>1</v>
      </c>
      <c r="H776" s="13" t="str">
        <f aca="false">IF(C776=1,A776,"")</f>
        <v/>
      </c>
      <c r="I776" s="13" t="n">
        <f aca="false">IF(C776=0,A776,"")</f>
        <v>4</v>
      </c>
    </row>
    <row r="777" customFormat="false" ht="15" hidden="false" customHeight="false" outlineLevel="0" collapsed="false">
      <c r="A777" s="13" t="n">
        <v>4</v>
      </c>
      <c r="B777" s="13" t="n">
        <v>48</v>
      </c>
      <c r="C777" s="13" t="n">
        <v>0</v>
      </c>
      <c r="D777" s="13" t="n">
        <v>0</v>
      </c>
      <c r="E777" s="13" t="n">
        <v>1</v>
      </c>
      <c r="F777" s="13" t="n">
        <v>1</v>
      </c>
      <c r="G777" s="13" t="n">
        <v>1</v>
      </c>
      <c r="H777" s="13" t="str">
        <f aca="false">IF(C777=1,A777,"")</f>
        <v/>
      </c>
      <c r="I777" s="13" t="n">
        <f aca="false">IF(C777=0,A777,"")</f>
        <v>4</v>
      </c>
    </row>
    <row r="778" customFormat="false" ht="15" hidden="false" customHeight="false" outlineLevel="0" collapsed="false">
      <c r="A778" s="13" t="n">
        <v>3</v>
      </c>
      <c r="B778" s="13" t="n">
        <v>28</v>
      </c>
      <c r="C778" s="13" t="n">
        <v>0</v>
      </c>
      <c r="D778" s="13" t="n">
        <v>2</v>
      </c>
      <c r="E778" s="13" t="n">
        <v>0</v>
      </c>
      <c r="F778" s="13" t="n">
        <v>1</v>
      </c>
      <c r="G778" s="13" t="n">
        <v>1</v>
      </c>
      <c r="H778" s="13" t="str">
        <f aca="false">IF(C778=1,A778,"")</f>
        <v/>
      </c>
      <c r="I778" s="13" t="n">
        <f aca="false">IF(C778=0,A778,"")</f>
        <v>3</v>
      </c>
    </row>
    <row r="779" customFormat="false" ht="15" hidden="false" customHeight="false" outlineLevel="0" collapsed="false">
      <c r="A779" s="13" t="n">
        <v>5</v>
      </c>
      <c r="B779" s="13" t="n">
        <v>56</v>
      </c>
      <c r="C779" s="13" t="n">
        <v>1</v>
      </c>
      <c r="D779" s="13" t="n">
        <v>0</v>
      </c>
      <c r="E779" s="13" t="n">
        <v>0</v>
      </c>
      <c r="F779" s="13" t="n">
        <v>0</v>
      </c>
      <c r="G779" s="13" t="n">
        <v>1</v>
      </c>
      <c r="H779" s="13" t="n">
        <f aca="false">IF(C779=1,A779,"")</f>
        <v>5</v>
      </c>
      <c r="I779" s="13" t="str">
        <f aca="false">IF(C779=0,A779,"")</f>
        <v/>
      </c>
    </row>
    <row r="780" customFormat="false" ht="15" hidden="false" customHeight="false" outlineLevel="0" collapsed="false">
      <c r="A780" s="13" t="n">
        <v>4</v>
      </c>
      <c r="B780" s="13" t="n">
        <v>46</v>
      </c>
      <c r="C780" s="13" t="n">
        <v>0</v>
      </c>
      <c r="D780" s="13" t="n">
        <v>2</v>
      </c>
      <c r="E780" s="13" t="n">
        <v>1</v>
      </c>
      <c r="F780" s="13" t="n">
        <v>1</v>
      </c>
      <c r="G780" s="13" t="n">
        <v>1</v>
      </c>
      <c r="H780" s="13" t="str">
        <f aca="false">IF(C780=1,A780,"")</f>
        <v/>
      </c>
      <c r="I780" s="13" t="n">
        <f aca="false">IF(C780=0,A780,"")</f>
        <v>4</v>
      </c>
    </row>
    <row r="781" customFormat="false" ht="15" hidden="false" customHeight="false" outlineLevel="0" collapsed="false">
      <c r="A781" s="13" t="n">
        <v>2</v>
      </c>
      <c r="B781" s="13" t="n">
        <v>43</v>
      </c>
      <c r="C781" s="13" t="n">
        <v>0</v>
      </c>
      <c r="D781" s="13" t="n">
        <v>0</v>
      </c>
      <c r="E781" s="13" t="n">
        <v>0</v>
      </c>
      <c r="F781" s="13" t="n">
        <v>0</v>
      </c>
      <c r="G781" s="13" t="n">
        <v>0</v>
      </c>
      <c r="H781" s="13" t="str">
        <f aca="false">IF(C781=1,A781,"")</f>
        <v/>
      </c>
      <c r="I781" s="13" t="n">
        <f aca="false">IF(C781=0,A781,"")</f>
        <v>2</v>
      </c>
    </row>
    <row r="782" customFormat="false" ht="15" hidden="false" customHeight="false" outlineLevel="0" collapsed="false">
      <c r="A782" s="13" t="n">
        <v>4</v>
      </c>
      <c r="B782" s="13" t="n">
        <v>34</v>
      </c>
      <c r="C782" s="13" t="n">
        <v>1</v>
      </c>
      <c r="D782" s="13" t="n">
        <v>1</v>
      </c>
      <c r="E782" s="13" t="n">
        <v>1</v>
      </c>
      <c r="F782" s="13" t="n">
        <v>1</v>
      </c>
      <c r="G782" s="13" t="n">
        <v>1</v>
      </c>
      <c r="H782" s="13" t="n">
        <f aca="false">IF(C782=1,A782,"")</f>
        <v>4</v>
      </c>
      <c r="I782" s="13" t="str">
        <f aca="false">IF(C782=0,A782,"")</f>
        <v/>
      </c>
    </row>
    <row r="783" customFormat="false" ht="15" hidden="false" customHeight="false" outlineLevel="0" collapsed="false">
      <c r="A783" s="13" t="n">
        <v>4</v>
      </c>
      <c r="B783" s="13" t="n">
        <v>36</v>
      </c>
      <c r="C783" s="13" t="n">
        <v>0</v>
      </c>
      <c r="D783" s="13" t="n">
        <v>2</v>
      </c>
      <c r="E783" s="13" t="n">
        <v>1</v>
      </c>
      <c r="F783" s="13" t="n">
        <v>1</v>
      </c>
      <c r="G783" s="13" t="n">
        <v>1</v>
      </c>
      <c r="H783" s="13" t="str">
        <f aca="false">IF(C783=1,A783,"")</f>
        <v/>
      </c>
      <c r="I783" s="13" t="n">
        <f aca="false">IF(C783=0,A783,"")</f>
        <v>4</v>
      </c>
    </row>
    <row r="784" customFormat="false" ht="15" hidden="false" customHeight="false" outlineLevel="0" collapsed="false">
      <c r="A784" s="13" t="n">
        <v>4</v>
      </c>
      <c r="B784" s="13" t="n">
        <v>45</v>
      </c>
      <c r="C784" s="13" t="n">
        <v>1</v>
      </c>
      <c r="D784" s="13" t="n">
        <v>0</v>
      </c>
      <c r="E784" s="13" t="n">
        <v>1</v>
      </c>
      <c r="F784" s="13" t="n">
        <v>0</v>
      </c>
      <c r="G784" s="13" t="n">
        <v>0</v>
      </c>
      <c r="H784" s="13" t="n">
        <f aca="false">IF(C784=1,A784,"")</f>
        <v>4</v>
      </c>
      <c r="I784" s="13" t="str">
        <f aca="false">IF(C784=0,A784,"")</f>
        <v/>
      </c>
    </row>
    <row r="785" customFormat="false" ht="15" hidden="false" customHeight="false" outlineLevel="0" collapsed="false">
      <c r="A785" s="13" t="n">
        <v>4</v>
      </c>
      <c r="B785" s="13" t="n">
        <v>26</v>
      </c>
      <c r="C785" s="13" t="n">
        <v>0</v>
      </c>
      <c r="D785" s="13" t="n">
        <v>2</v>
      </c>
      <c r="E785" s="13" t="n">
        <v>1</v>
      </c>
      <c r="F785" s="13" t="n">
        <v>1</v>
      </c>
      <c r="G785" s="13" t="n">
        <v>1</v>
      </c>
      <c r="H785" s="13" t="str">
        <f aca="false">IF(C785=1,A785,"")</f>
        <v/>
      </c>
      <c r="I785" s="13" t="n">
        <f aca="false">IF(C785=0,A785,"")</f>
        <v>4</v>
      </c>
    </row>
    <row r="786" customFormat="false" ht="15" hidden="false" customHeight="false" outlineLevel="0" collapsed="false">
      <c r="A786" s="13" t="n">
        <v>5</v>
      </c>
      <c r="B786" s="13" t="n">
        <v>61</v>
      </c>
      <c r="C786" s="13" t="n">
        <v>1</v>
      </c>
      <c r="D786" s="13" t="n">
        <v>0</v>
      </c>
      <c r="E786" s="13" t="n">
        <v>1</v>
      </c>
      <c r="F786" s="13" t="n">
        <v>1</v>
      </c>
      <c r="G786" s="13" t="n">
        <v>1</v>
      </c>
      <c r="H786" s="13" t="n">
        <f aca="false">IF(C786=1,A786,"")</f>
        <v>5</v>
      </c>
      <c r="I786" s="13" t="str">
        <f aca="false">IF(C786=0,A786,"")</f>
        <v/>
      </c>
    </row>
    <row r="787" customFormat="false" ht="15" hidden="false" customHeight="false" outlineLevel="0" collapsed="false">
      <c r="A787" s="13" t="n">
        <v>2</v>
      </c>
      <c r="B787" s="13" t="n">
        <v>44</v>
      </c>
      <c r="C787" s="13" t="n">
        <v>1</v>
      </c>
      <c r="D787" s="13" t="n">
        <v>0</v>
      </c>
      <c r="E787" s="13" t="n">
        <v>1</v>
      </c>
      <c r="F787" s="13" t="n">
        <v>1</v>
      </c>
      <c r="G787" s="13" t="n">
        <v>0</v>
      </c>
      <c r="H787" s="13" t="n">
        <f aca="false">IF(C787=1,A787,"")</f>
        <v>2</v>
      </c>
      <c r="I787" s="13" t="str">
        <f aca="false">IF(C787=0,A787,"")</f>
        <v/>
      </c>
    </row>
    <row r="788" customFormat="false" ht="15" hidden="false" customHeight="false" outlineLevel="0" collapsed="false">
      <c r="A788" s="13" t="n">
        <v>4</v>
      </c>
      <c r="B788" s="13" t="n">
        <v>52</v>
      </c>
      <c r="C788" s="13" t="n">
        <v>0</v>
      </c>
      <c r="D788" s="13" t="n">
        <v>2</v>
      </c>
      <c r="E788" s="13" t="n">
        <v>0</v>
      </c>
      <c r="F788" s="13" t="n">
        <v>0</v>
      </c>
      <c r="G788" s="13" t="n">
        <v>0</v>
      </c>
      <c r="H788" s="13" t="str">
        <f aca="false">IF(C788=1,A788,"")</f>
        <v/>
      </c>
      <c r="I788" s="13" t="n">
        <f aca="false">IF(C788=0,A788,"")</f>
        <v>4</v>
      </c>
    </row>
    <row r="789" customFormat="false" ht="15" hidden="false" customHeight="false" outlineLevel="0" collapsed="false">
      <c r="A789" s="13" t="n">
        <v>4</v>
      </c>
      <c r="B789" s="13" t="n">
        <v>45</v>
      </c>
      <c r="C789" s="13" t="n">
        <v>0</v>
      </c>
      <c r="D789" s="13" t="n">
        <v>1</v>
      </c>
      <c r="E789" s="13" t="n">
        <v>1</v>
      </c>
      <c r="F789" s="13" t="n">
        <v>1</v>
      </c>
      <c r="G789" s="13" t="n">
        <v>1</v>
      </c>
      <c r="H789" s="13" t="str">
        <f aca="false">IF(C789=1,A789,"")</f>
        <v/>
      </c>
      <c r="I789" s="13" t="n">
        <f aca="false">IF(C789=0,A789,"")</f>
        <v>4</v>
      </c>
    </row>
    <row r="790" customFormat="false" ht="15" hidden="false" customHeight="false" outlineLevel="0" collapsed="false">
      <c r="A790" s="13" t="n">
        <v>4</v>
      </c>
      <c r="B790" s="13" t="n">
        <v>40</v>
      </c>
      <c r="C790" s="13" t="n">
        <v>0</v>
      </c>
      <c r="D790" s="13" t="n">
        <v>1</v>
      </c>
      <c r="E790" s="13" t="n">
        <v>0</v>
      </c>
      <c r="F790" s="13" t="n">
        <v>0</v>
      </c>
      <c r="G790" s="13" t="n">
        <v>1</v>
      </c>
      <c r="H790" s="13" t="str">
        <f aca="false">IF(C790=1,A790,"")</f>
        <v/>
      </c>
      <c r="I790" s="13" t="n">
        <f aca="false">IF(C790=0,A790,"")</f>
        <v>4</v>
      </c>
    </row>
    <row r="791" customFormat="false" ht="15" hidden="false" customHeight="false" outlineLevel="0" collapsed="false">
      <c r="A791" s="13" t="n">
        <v>4</v>
      </c>
      <c r="B791" s="13" t="n">
        <v>44</v>
      </c>
      <c r="C791" s="13" t="n">
        <v>1</v>
      </c>
      <c r="D791" s="13" t="n">
        <v>2</v>
      </c>
      <c r="E791" s="13" t="n">
        <v>1</v>
      </c>
      <c r="F791" s="13" t="n">
        <v>0</v>
      </c>
      <c r="G791" s="13" t="n">
        <v>1</v>
      </c>
      <c r="H791" s="13" t="n">
        <f aca="false">IF(C791=1,A791,"")</f>
        <v>4</v>
      </c>
      <c r="I791" s="13" t="str">
        <f aca="false">IF(C791=0,A791,"")</f>
        <v/>
      </c>
    </row>
    <row r="792" customFormat="false" ht="15" hidden="false" customHeight="false" outlineLevel="0" collapsed="false">
      <c r="A792" s="13" t="n">
        <v>3</v>
      </c>
      <c r="B792" s="13" t="n">
        <v>57</v>
      </c>
      <c r="C792" s="13" t="n">
        <v>1</v>
      </c>
      <c r="D792" s="13" t="n">
        <v>0</v>
      </c>
      <c r="E792" s="13" t="n">
        <v>1</v>
      </c>
      <c r="F792" s="13" t="n">
        <v>1</v>
      </c>
      <c r="G792" s="13" t="n">
        <v>1</v>
      </c>
      <c r="H792" s="13" t="n">
        <f aca="false">IF(C792=1,A792,"")</f>
        <v>3</v>
      </c>
      <c r="I792" s="13" t="str">
        <f aca="false">IF(C792=0,A792,"")</f>
        <v/>
      </c>
    </row>
    <row r="793" customFormat="false" ht="15" hidden="false" customHeight="false" outlineLevel="0" collapsed="false">
      <c r="A793" s="13" t="n">
        <v>4</v>
      </c>
      <c r="B793" s="13" t="n">
        <v>40</v>
      </c>
      <c r="C793" s="13" t="n">
        <v>0</v>
      </c>
      <c r="D793" s="13" t="n">
        <v>2</v>
      </c>
      <c r="E793" s="13" t="n">
        <v>1</v>
      </c>
      <c r="F793" s="13" t="n">
        <v>1</v>
      </c>
      <c r="G793" s="13" t="n">
        <v>1</v>
      </c>
      <c r="H793" s="13" t="str">
        <f aca="false">IF(C793=1,A793,"")</f>
        <v/>
      </c>
      <c r="I793" s="13" t="n">
        <f aca="false">IF(C793=0,A793,"")</f>
        <v>4</v>
      </c>
    </row>
    <row r="794" customFormat="false" ht="15" hidden="false" customHeight="false" outlineLevel="0" collapsed="false">
      <c r="A794" s="13" t="n">
        <v>4</v>
      </c>
      <c r="B794" s="13" t="n">
        <v>56</v>
      </c>
      <c r="C794" s="13" t="n">
        <v>1</v>
      </c>
      <c r="D794" s="13" t="n">
        <v>0</v>
      </c>
      <c r="E794" s="13" t="n">
        <v>0</v>
      </c>
      <c r="F794" s="13" t="n">
        <v>0</v>
      </c>
      <c r="G794" s="13" t="n">
        <v>1</v>
      </c>
      <c r="H794" s="13" t="n">
        <f aca="false">IF(C794=1,A794,"")</f>
        <v>4</v>
      </c>
      <c r="I794" s="13" t="str">
        <f aca="false">IF(C794=0,A794,"")</f>
        <v/>
      </c>
    </row>
    <row r="795" customFormat="false" ht="15" hidden="false" customHeight="false" outlineLevel="0" collapsed="false">
      <c r="A795" s="13" t="n">
        <v>5</v>
      </c>
      <c r="B795" s="13" t="n">
        <v>51</v>
      </c>
      <c r="C795" s="13" t="n">
        <v>0</v>
      </c>
      <c r="D795" s="13" t="n">
        <v>0</v>
      </c>
      <c r="E795" s="13" t="n">
        <v>1</v>
      </c>
      <c r="F795" s="13" t="n">
        <v>0</v>
      </c>
      <c r="G795" s="13" t="n">
        <v>1</v>
      </c>
      <c r="H795" s="13" t="str">
        <f aca="false">IF(C795=1,A795,"")</f>
        <v/>
      </c>
      <c r="I795" s="13" t="n">
        <f aca="false">IF(C795=0,A795,"")</f>
        <v>5</v>
      </c>
    </row>
    <row r="796" customFormat="false" ht="15" hidden="false" customHeight="false" outlineLevel="0" collapsed="false">
      <c r="A796" s="13" t="n">
        <v>4</v>
      </c>
      <c r="B796" s="13" t="n">
        <v>34</v>
      </c>
      <c r="C796" s="13" t="n">
        <v>0</v>
      </c>
      <c r="D796" s="13" t="n">
        <v>1</v>
      </c>
      <c r="E796" s="13" t="n">
        <v>1</v>
      </c>
      <c r="F796" s="13" t="n">
        <v>1</v>
      </c>
      <c r="G796" s="13" t="n">
        <v>1</v>
      </c>
      <c r="H796" s="13" t="str">
        <f aca="false">IF(C796=1,A796,"")</f>
        <v/>
      </c>
      <c r="I796" s="13" t="n">
        <f aca="false">IF(C796=0,A796,"")</f>
        <v>4</v>
      </c>
    </row>
    <row r="797" customFormat="false" ht="15" hidden="false" customHeight="false" outlineLevel="0" collapsed="false">
      <c r="A797" s="13" t="n">
        <v>4</v>
      </c>
      <c r="B797" s="13" t="n">
        <v>64</v>
      </c>
      <c r="C797" s="13" t="n">
        <v>0</v>
      </c>
      <c r="D797" s="13" t="n">
        <v>0</v>
      </c>
      <c r="E797" s="13" t="n">
        <v>0</v>
      </c>
      <c r="F797" s="13" t="n">
        <v>0</v>
      </c>
      <c r="G797" s="13" t="n">
        <v>1</v>
      </c>
      <c r="H797" s="13" t="str">
        <f aca="false">IF(C797=1,A797,"")</f>
        <v/>
      </c>
      <c r="I797" s="13" t="n">
        <f aca="false">IF(C797=0,A797,"")</f>
        <v>4</v>
      </c>
    </row>
    <row r="798" customFormat="false" ht="15" hidden="false" customHeight="false" outlineLevel="0" collapsed="false">
      <c r="A798" s="13" t="n">
        <v>4</v>
      </c>
      <c r="B798" s="13" t="n">
        <v>62</v>
      </c>
      <c r="C798" s="13" t="n">
        <v>1</v>
      </c>
      <c r="D798" s="13" t="n">
        <v>0</v>
      </c>
      <c r="E798" s="13" t="n">
        <v>1</v>
      </c>
      <c r="F798" s="13" t="n">
        <v>1</v>
      </c>
      <c r="G798" s="13" t="n">
        <v>1</v>
      </c>
      <c r="H798" s="13" t="n">
        <f aca="false">IF(C798=1,A798,"")</f>
        <v>4</v>
      </c>
      <c r="I798" s="13" t="str">
        <f aca="false">IF(C798=0,A798,"")</f>
        <v/>
      </c>
    </row>
    <row r="799" customFormat="false" ht="15" hidden="false" customHeight="false" outlineLevel="0" collapsed="false">
      <c r="A799" s="13" t="n">
        <v>4</v>
      </c>
      <c r="B799" s="13" t="n">
        <v>63</v>
      </c>
      <c r="C799" s="13" t="n">
        <v>0</v>
      </c>
      <c r="D799" s="13" t="n">
        <v>1</v>
      </c>
      <c r="E799" s="13" t="n">
        <v>0</v>
      </c>
      <c r="F799" s="13" t="n">
        <v>0</v>
      </c>
      <c r="G799" s="13" t="n">
        <v>1</v>
      </c>
      <c r="H799" s="13" t="str">
        <f aca="false">IF(C799=1,A799,"")</f>
        <v/>
      </c>
      <c r="I799" s="13" t="n">
        <f aca="false">IF(C799=0,A799,"")</f>
        <v>4</v>
      </c>
    </row>
    <row r="800" customFormat="false" ht="15" hidden="false" customHeight="false" outlineLevel="0" collapsed="false">
      <c r="A800" s="13" t="n">
        <v>3</v>
      </c>
      <c r="B800" s="13" t="n">
        <v>53</v>
      </c>
      <c r="C800" s="13" t="n">
        <v>0</v>
      </c>
      <c r="D800" s="13" t="n">
        <v>0</v>
      </c>
      <c r="E800" s="13" t="n">
        <v>1</v>
      </c>
      <c r="F800" s="13" t="n">
        <v>1</v>
      </c>
      <c r="G800" s="13" t="n">
        <v>0</v>
      </c>
      <c r="H800" s="13" t="str">
        <f aca="false">IF(C800=1,A800,"")</f>
        <v/>
      </c>
      <c r="I800" s="13" t="n">
        <f aca="false">IF(C800=0,A800,"")</f>
        <v>3</v>
      </c>
    </row>
    <row r="801" customFormat="false" ht="15" hidden="false" customHeight="false" outlineLevel="0" collapsed="false">
      <c r="A801" s="13" t="n">
        <v>4</v>
      </c>
      <c r="B801" s="13" t="n">
        <v>34</v>
      </c>
      <c r="C801" s="13" t="n">
        <v>1</v>
      </c>
      <c r="D801" s="13" t="n">
        <v>2</v>
      </c>
      <c r="E801" s="13" t="n">
        <v>1</v>
      </c>
      <c r="F801" s="13" t="n">
        <v>1</v>
      </c>
      <c r="G801" s="13" t="n">
        <v>1</v>
      </c>
      <c r="H801" s="13" t="n">
        <f aca="false">IF(C801=1,A801,"")</f>
        <v>4</v>
      </c>
      <c r="I801" s="13" t="str">
        <f aca="false">IF(C801=0,A801,"")</f>
        <v/>
      </c>
    </row>
    <row r="802" customFormat="false" ht="15" hidden="false" customHeight="false" outlineLevel="0" collapsed="false">
      <c r="A802" s="13" t="n">
        <v>1</v>
      </c>
      <c r="B802" s="13" t="n">
        <v>45</v>
      </c>
      <c r="C802" s="13" t="n">
        <v>0</v>
      </c>
      <c r="D802" s="13" t="n">
        <v>4</v>
      </c>
      <c r="E802" s="13" t="n">
        <v>0</v>
      </c>
      <c r="F802" s="13" t="n">
        <v>0</v>
      </c>
      <c r="G802" s="13" t="n">
        <v>1</v>
      </c>
      <c r="H802" s="13" t="str">
        <f aca="false">IF(C802=1,A802,"")</f>
        <v/>
      </c>
      <c r="I802" s="13" t="n">
        <f aca="false">IF(C802=0,A802,"")</f>
        <v>1</v>
      </c>
    </row>
    <row r="803" customFormat="false" ht="15" hidden="false" customHeight="false" outlineLevel="0" collapsed="false">
      <c r="A803" s="13" t="n">
        <v>5</v>
      </c>
      <c r="B803" s="13" t="n">
        <v>50</v>
      </c>
      <c r="C803" s="13" t="n">
        <v>0</v>
      </c>
      <c r="D803" s="13" t="n">
        <v>1</v>
      </c>
      <c r="E803" s="13" t="n">
        <v>1</v>
      </c>
      <c r="F803" s="13" t="n">
        <v>1</v>
      </c>
      <c r="G803" s="13" t="n">
        <v>1</v>
      </c>
      <c r="H803" s="13" t="str">
        <f aca="false">IF(C803=1,A803,"")</f>
        <v/>
      </c>
      <c r="I803" s="13" t="n">
        <f aca="false">IF(C803=0,A803,"")</f>
        <v>5</v>
      </c>
    </row>
    <row r="804" customFormat="false" ht="15" hidden="false" customHeight="false" outlineLevel="0" collapsed="false">
      <c r="A804" s="13" t="n">
        <v>4</v>
      </c>
      <c r="B804" s="13" t="n">
        <v>39</v>
      </c>
      <c r="C804" s="13" t="n">
        <v>1</v>
      </c>
      <c r="D804" s="13" t="n">
        <v>2</v>
      </c>
      <c r="E804" s="13" t="n">
        <v>0</v>
      </c>
      <c r="F804" s="13" t="n">
        <v>0</v>
      </c>
      <c r="G804" s="13" t="n">
        <v>1</v>
      </c>
      <c r="H804" s="13" t="n">
        <f aca="false">IF(C804=1,A804,"")</f>
        <v>4</v>
      </c>
      <c r="I804" s="13" t="str">
        <f aca="false">IF(C804=0,A804,"")</f>
        <v/>
      </c>
    </row>
    <row r="805" customFormat="false" ht="15" hidden="false" customHeight="false" outlineLevel="0" collapsed="false">
      <c r="A805" s="13" t="n">
        <v>5</v>
      </c>
      <c r="B805" s="13" t="n">
        <v>64</v>
      </c>
      <c r="C805" s="13" t="n">
        <v>0</v>
      </c>
      <c r="D805" s="13" t="n">
        <v>0</v>
      </c>
      <c r="E805" s="13" t="n">
        <v>1</v>
      </c>
      <c r="F805" s="13" t="n">
        <v>1</v>
      </c>
      <c r="G805" s="13" t="n">
        <v>1</v>
      </c>
      <c r="H805" s="13" t="str">
        <f aca="false">IF(C805=1,A805,"")</f>
        <v/>
      </c>
      <c r="I805" s="13" t="n">
        <f aca="false">IF(C805=0,A805,"")</f>
        <v>5</v>
      </c>
    </row>
    <row r="806" customFormat="false" ht="15" hidden="false" customHeight="false" outlineLevel="0" collapsed="false">
      <c r="A806" s="13" t="n">
        <v>4</v>
      </c>
      <c r="B806" s="13" t="n">
        <v>50</v>
      </c>
      <c r="C806" s="13" t="n">
        <v>0</v>
      </c>
      <c r="D806" s="13" t="n">
        <v>0</v>
      </c>
      <c r="E806" s="13" t="n">
        <v>0</v>
      </c>
      <c r="F806" s="13" t="n">
        <v>0</v>
      </c>
      <c r="G806" s="13" t="n">
        <v>0</v>
      </c>
      <c r="H806" s="13" t="str">
        <f aca="false">IF(C806=1,A806,"")</f>
        <v/>
      </c>
      <c r="I806" s="13" t="n">
        <f aca="false">IF(C806=0,A806,"")</f>
        <v>4</v>
      </c>
    </row>
    <row r="807" customFormat="false" ht="15" hidden="false" customHeight="false" outlineLevel="0" collapsed="false">
      <c r="A807" s="13" t="n">
        <v>4</v>
      </c>
      <c r="B807" s="13" t="n">
        <v>53</v>
      </c>
      <c r="C807" s="13" t="n">
        <v>1</v>
      </c>
      <c r="D807" s="13" t="n">
        <v>1</v>
      </c>
      <c r="E807" s="13" t="n">
        <v>1</v>
      </c>
      <c r="F807" s="13" t="n">
        <v>1</v>
      </c>
      <c r="G807" s="13" t="n">
        <v>1</v>
      </c>
      <c r="H807" s="13" t="n">
        <f aca="false">IF(C807=1,A807,"")</f>
        <v>4</v>
      </c>
      <c r="I807" s="13" t="str">
        <f aca="false">IF(C807=0,A807,"")</f>
        <v/>
      </c>
    </row>
    <row r="808" customFormat="false" ht="15" hidden="false" customHeight="false" outlineLevel="0" collapsed="false">
      <c r="A808" s="13" t="n">
        <v>4</v>
      </c>
      <c r="B808" s="13" t="n">
        <v>52</v>
      </c>
      <c r="C808" s="13" t="n">
        <v>1</v>
      </c>
      <c r="D808" s="13" t="n">
        <v>0</v>
      </c>
      <c r="E808" s="13" t="n">
        <v>0</v>
      </c>
      <c r="F808" s="13" t="n">
        <v>0</v>
      </c>
      <c r="G808" s="13" t="n">
        <v>0</v>
      </c>
      <c r="H808" s="13" t="n">
        <f aca="false">IF(C808=1,A808,"")</f>
        <v>4</v>
      </c>
      <c r="I808" s="13" t="str">
        <f aca="false">IF(C808=0,A808,"")</f>
        <v/>
      </c>
    </row>
    <row r="809" customFormat="false" ht="15" hidden="false" customHeight="false" outlineLevel="0" collapsed="false">
      <c r="A809" s="13" t="n">
        <v>4</v>
      </c>
      <c r="B809" s="13" t="n">
        <v>58</v>
      </c>
      <c r="C809" s="13" t="n">
        <v>0</v>
      </c>
      <c r="D809" s="13" t="n">
        <v>0</v>
      </c>
      <c r="E809" s="13" t="n">
        <v>1</v>
      </c>
      <c r="F809" s="13" t="n">
        <v>1</v>
      </c>
      <c r="G809" s="13" t="n">
        <v>1</v>
      </c>
      <c r="H809" s="13" t="str">
        <f aca="false">IF(C809=1,A809,"")</f>
        <v/>
      </c>
      <c r="I809" s="13" t="n">
        <f aca="false">IF(C809=0,A809,"")</f>
        <v>4</v>
      </c>
    </row>
    <row r="810" customFormat="false" ht="15" hidden="false" customHeight="false" outlineLevel="0" collapsed="false">
      <c r="A810" s="13" t="n">
        <v>5</v>
      </c>
      <c r="B810" s="13" t="n">
        <v>64</v>
      </c>
      <c r="C810" s="13" t="n">
        <v>0</v>
      </c>
      <c r="D810" s="13" t="n">
        <v>0</v>
      </c>
      <c r="E810" s="13" t="n">
        <v>1</v>
      </c>
      <c r="F810" s="13" t="n">
        <v>1</v>
      </c>
      <c r="G810" s="13" t="n">
        <v>1</v>
      </c>
      <c r="H810" s="13" t="str">
        <f aca="false">IF(C810=1,A810,"")</f>
        <v/>
      </c>
      <c r="I810" s="13" t="n">
        <f aca="false">IF(C810=0,A810,"")</f>
        <v>5</v>
      </c>
    </row>
    <row r="811" customFormat="false" ht="15" hidden="false" customHeight="false" outlineLevel="0" collapsed="false">
      <c r="A811" s="13" t="n">
        <v>2</v>
      </c>
      <c r="B811" s="13" t="n">
        <v>50</v>
      </c>
      <c r="C811" s="13" t="n">
        <v>1</v>
      </c>
      <c r="D811" s="13" t="n">
        <v>0</v>
      </c>
      <c r="E811" s="13" t="n">
        <v>0</v>
      </c>
      <c r="F811" s="13" t="n">
        <v>0</v>
      </c>
      <c r="G811" s="13" t="n">
        <v>0</v>
      </c>
      <c r="H811" s="13" t="n">
        <f aca="false">IF(C811=1,A811,"")</f>
        <v>2</v>
      </c>
      <c r="I811" s="13" t="str">
        <f aca="false">IF(C811=0,A811,"")</f>
        <v/>
      </c>
    </row>
    <row r="812" customFormat="false" ht="15" hidden="false" customHeight="false" outlineLevel="0" collapsed="false">
      <c r="A812" s="13" t="n">
        <v>4</v>
      </c>
      <c r="B812" s="13" t="n">
        <v>42</v>
      </c>
      <c r="C812" s="13" t="n">
        <v>1</v>
      </c>
      <c r="D812" s="13" t="n">
        <v>2</v>
      </c>
      <c r="E812" s="13" t="n">
        <v>1</v>
      </c>
      <c r="F812" s="13" t="n">
        <v>1</v>
      </c>
      <c r="G812" s="13" t="n">
        <v>1</v>
      </c>
      <c r="H812" s="13" t="n">
        <f aca="false">IF(C812=1,A812,"")</f>
        <v>4</v>
      </c>
      <c r="I812" s="13" t="str">
        <f aca="false">IF(C812=0,A812,"")</f>
        <v/>
      </c>
    </row>
    <row r="813" customFormat="false" ht="15" hidden="false" customHeight="false" outlineLevel="0" collapsed="false">
      <c r="A813" s="13" t="n">
        <v>4</v>
      </c>
      <c r="B813" s="13" t="n">
        <v>56</v>
      </c>
      <c r="C813" s="13" t="n">
        <v>0</v>
      </c>
      <c r="D813" s="13" t="n">
        <v>0</v>
      </c>
      <c r="E813" s="13" t="n">
        <v>1</v>
      </c>
      <c r="F813" s="13" t="n">
        <v>1</v>
      </c>
      <c r="G813" s="13" t="n">
        <v>1</v>
      </c>
      <c r="H813" s="13" t="str">
        <f aca="false">IF(C813=1,A813,"")</f>
        <v/>
      </c>
      <c r="I813" s="13" t="n">
        <f aca="false">IF(C813=0,A813,"")</f>
        <v>4</v>
      </c>
    </row>
    <row r="814" customFormat="false" ht="15" hidden="false" customHeight="false" outlineLevel="0" collapsed="false">
      <c r="A814" s="13" t="n">
        <v>4</v>
      </c>
      <c r="B814" s="13" t="n">
        <v>49</v>
      </c>
      <c r="C814" s="13" t="n">
        <v>1</v>
      </c>
      <c r="D814" s="13" t="n">
        <v>1</v>
      </c>
      <c r="E814" s="13" t="n">
        <v>1</v>
      </c>
      <c r="F814" s="13" t="n">
        <v>1</v>
      </c>
      <c r="G814" s="13" t="n">
        <v>1</v>
      </c>
      <c r="H814" s="13" t="n">
        <f aca="false">IF(C814=1,A814,"")</f>
        <v>4</v>
      </c>
      <c r="I814" s="13" t="str">
        <f aca="false">IF(C814=0,A814,"")</f>
        <v/>
      </c>
    </row>
    <row r="815" customFormat="false" ht="15" hidden="false" customHeight="false" outlineLevel="0" collapsed="false">
      <c r="A815" s="13" t="n">
        <v>4</v>
      </c>
      <c r="B815" s="13" t="n">
        <v>33</v>
      </c>
      <c r="C815" s="13" t="n">
        <v>0</v>
      </c>
      <c r="D815" s="13" t="n">
        <v>1</v>
      </c>
      <c r="E815" s="13" t="n">
        <v>1</v>
      </c>
      <c r="F815" s="13" t="n">
        <v>1</v>
      </c>
      <c r="G815" s="13" t="n">
        <v>1</v>
      </c>
      <c r="H815" s="13" t="str">
        <f aca="false">IF(C815=1,A815,"")</f>
        <v/>
      </c>
      <c r="I815" s="13" t="n">
        <f aca="false">IF(C815=0,A815,"")</f>
        <v>4</v>
      </c>
    </row>
    <row r="816" customFormat="false" ht="15" hidden="false" customHeight="false" outlineLevel="0" collapsed="false">
      <c r="A816" s="13" t="n">
        <v>4</v>
      </c>
      <c r="B816" s="13" t="n">
        <v>60</v>
      </c>
      <c r="C816" s="13" t="n">
        <v>1</v>
      </c>
      <c r="D816" s="13" t="n">
        <v>0</v>
      </c>
      <c r="E816" s="13" t="n">
        <v>0</v>
      </c>
      <c r="F816" s="13" t="n">
        <v>0</v>
      </c>
      <c r="G816" s="13" t="n">
        <v>1</v>
      </c>
      <c r="H816" s="13" t="n">
        <f aca="false">IF(C816=1,A816,"")</f>
        <v>4</v>
      </c>
      <c r="I816" s="13" t="str">
        <f aca="false">IF(C816=0,A816,"")</f>
        <v/>
      </c>
    </row>
    <row r="817" customFormat="false" ht="15" hidden="false" customHeight="false" outlineLevel="0" collapsed="false">
      <c r="A817" s="13" t="n">
        <v>3</v>
      </c>
      <c r="B817" s="13" t="n">
        <v>60</v>
      </c>
      <c r="C817" s="13" t="n">
        <v>0</v>
      </c>
      <c r="D817" s="13" t="n">
        <v>0</v>
      </c>
      <c r="E817" s="13" t="n">
        <v>0</v>
      </c>
      <c r="F817" s="13" t="n">
        <v>1</v>
      </c>
      <c r="G817" s="13" t="n">
        <v>0</v>
      </c>
      <c r="H817" s="13" t="str">
        <f aca="false">IF(C817=1,A817,"")</f>
        <v/>
      </c>
      <c r="I817" s="13" t="n">
        <f aca="false">IF(C817=0,A817,"")</f>
        <v>3</v>
      </c>
    </row>
    <row r="818" customFormat="false" ht="15" hidden="false" customHeight="false" outlineLevel="0" collapsed="false">
      <c r="A818" s="13" t="n">
        <v>4</v>
      </c>
      <c r="B818" s="13" t="n">
        <v>61</v>
      </c>
      <c r="C818" s="13" t="n">
        <v>0</v>
      </c>
      <c r="D818" s="13" t="n">
        <v>0</v>
      </c>
      <c r="E818" s="13" t="n">
        <v>0</v>
      </c>
      <c r="F818" s="13" t="n">
        <v>0</v>
      </c>
      <c r="G818" s="13" t="n">
        <v>1</v>
      </c>
      <c r="H818" s="13" t="str">
        <f aca="false">IF(C818=1,A818,"")</f>
        <v/>
      </c>
      <c r="I818" s="13" t="n">
        <f aca="false">IF(C818=0,A818,"")</f>
        <v>4</v>
      </c>
    </row>
    <row r="819" customFormat="false" ht="15" hidden="false" customHeight="false" outlineLevel="0" collapsed="false">
      <c r="A819" s="13" t="n">
        <v>4</v>
      </c>
      <c r="B819" s="13" t="n">
        <v>51</v>
      </c>
      <c r="C819" s="13" t="n">
        <v>0</v>
      </c>
      <c r="D819" s="13" t="n">
        <v>0</v>
      </c>
      <c r="E819" s="13" t="n">
        <v>1</v>
      </c>
      <c r="F819" s="13" t="n">
        <v>1</v>
      </c>
      <c r="G819" s="13" t="n">
        <v>0</v>
      </c>
      <c r="H819" s="13" t="str">
        <f aca="false">IF(C819=1,A819,"")</f>
        <v/>
      </c>
      <c r="I819" s="13" t="n">
        <f aca="false">IF(C819=0,A819,"")</f>
        <v>4</v>
      </c>
    </row>
    <row r="820" customFormat="false" ht="15" hidden="false" customHeight="false" outlineLevel="0" collapsed="false">
      <c r="A820" s="13" t="n">
        <v>4</v>
      </c>
      <c r="B820" s="13" t="n">
        <v>35</v>
      </c>
      <c r="C820" s="13" t="n">
        <v>0</v>
      </c>
      <c r="D820" s="13" t="n">
        <v>1</v>
      </c>
      <c r="E820" s="13" t="n">
        <v>1</v>
      </c>
      <c r="F820" s="13" t="n">
        <v>1</v>
      </c>
      <c r="G820" s="13" t="n">
        <v>1</v>
      </c>
      <c r="H820" s="13" t="str">
        <f aca="false">IF(C820=1,A820,"")</f>
        <v/>
      </c>
      <c r="I820" s="13" t="n">
        <f aca="false">IF(C820=0,A820,"")</f>
        <v>4</v>
      </c>
    </row>
    <row r="821" customFormat="false" ht="15" hidden="false" customHeight="false" outlineLevel="0" collapsed="false">
      <c r="A821" s="13" t="n">
        <v>4</v>
      </c>
      <c r="B821" s="13" t="n">
        <v>62</v>
      </c>
      <c r="C821" s="13" t="n">
        <v>1</v>
      </c>
      <c r="D821" s="13" t="n">
        <v>2</v>
      </c>
      <c r="E821" s="13" t="n">
        <v>0</v>
      </c>
      <c r="F821" s="13" t="n">
        <v>1</v>
      </c>
      <c r="G821" s="13" t="n">
        <v>1</v>
      </c>
      <c r="H821" s="13" t="n">
        <f aca="false">IF(C821=1,A821,"")</f>
        <v>4</v>
      </c>
      <c r="I821" s="13" t="str">
        <f aca="false">IF(C821=0,A821,"")</f>
        <v/>
      </c>
    </row>
    <row r="822" customFormat="false" ht="15" hidden="false" customHeight="false" outlineLevel="0" collapsed="false">
      <c r="A822" s="13" t="n">
        <v>4</v>
      </c>
      <c r="B822" s="13" t="n">
        <v>64</v>
      </c>
      <c r="C822" s="13" t="n">
        <v>0</v>
      </c>
      <c r="D822" s="13" t="n">
        <v>0</v>
      </c>
      <c r="E822" s="13" t="n">
        <v>0</v>
      </c>
      <c r="F822" s="13" t="n">
        <v>1</v>
      </c>
      <c r="G822" s="13" t="n">
        <v>0</v>
      </c>
      <c r="H822" s="13" t="str">
        <f aca="false">IF(C822=1,A822,"")</f>
        <v/>
      </c>
      <c r="I822" s="13" t="n">
        <f aca="false">IF(C822=0,A822,"")</f>
        <v>4</v>
      </c>
    </row>
    <row r="823" customFormat="false" ht="15" hidden="false" customHeight="false" outlineLevel="0" collapsed="false">
      <c r="A823" s="13" t="n">
        <v>4</v>
      </c>
      <c r="B823" s="13" t="n">
        <v>62</v>
      </c>
      <c r="C823" s="13" t="n">
        <v>1</v>
      </c>
      <c r="D823" s="13" t="n">
        <v>0</v>
      </c>
      <c r="E823" s="13" t="n">
        <v>1</v>
      </c>
      <c r="F823" s="13" t="n">
        <v>1</v>
      </c>
      <c r="G823" s="13" t="n">
        <v>1</v>
      </c>
      <c r="H823" s="13" t="n">
        <f aca="false">IF(C823=1,A823,"")</f>
        <v>4</v>
      </c>
      <c r="I823" s="13" t="str">
        <f aca="false">IF(C823=0,A823,"")</f>
        <v/>
      </c>
    </row>
    <row r="824" customFormat="false" ht="15" hidden="false" customHeight="false" outlineLevel="0" collapsed="false">
      <c r="A824" s="13" t="n">
        <v>5</v>
      </c>
      <c r="B824" s="13" t="n">
        <v>34</v>
      </c>
      <c r="C824" s="13" t="n">
        <v>0</v>
      </c>
      <c r="D824" s="13" t="n">
        <v>4</v>
      </c>
      <c r="E824" s="13" t="n">
        <v>0</v>
      </c>
      <c r="F824" s="13" t="n">
        <v>0</v>
      </c>
      <c r="G824" s="13" t="n">
        <v>1</v>
      </c>
      <c r="H824" s="13" t="str">
        <f aca="false">IF(C824=1,A824,"")</f>
        <v/>
      </c>
      <c r="I824" s="13" t="n">
        <f aca="false">IF(C824=0,A824,"")</f>
        <v>5</v>
      </c>
    </row>
    <row r="825" customFormat="false" ht="15" hidden="false" customHeight="false" outlineLevel="0" collapsed="false">
      <c r="A825" s="13" t="n">
        <v>4</v>
      </c>
      <c r="B825" s="13" t="n">
        <v>64</v>
      </c>
      <c r="C825" s="13" t="n">
        <v>0</v>
      </c>
      <c r="D825" s="13" t="n">
        <v>0</v>
      </c>
      <c r="E825" s="13" t="n">
        <v>0</v>
      </c>
      <c r="F825" s="13" t="n">
        <v>0</v>
      </c>
      <c r="G825" s="13" t="n">
        <v>1</v>
      </c>
      <c r="H825" s="13" t="str">
        <f aca="false">IF(C825=1,A825,"")</f>
        <v/>
      </c>
      <c r="I825" s="13" t="n">
        <f aca="false">IF(C825=0,A825,"")</f>
        <v>4</v>
      </c>
    </row>
    <row r="826" customFormat="false" ht="15" hidden="false" customHeight="false" outlineLevel="0" collapsed="false">
      <c r="A826" s="13" t="n">
        <v>3</v>
      </c>
      <c r="B826" s="13" t="n">
        <v>58</v>
      </c>
      <c r="C826" s="13" t="n">
        <v>0</v>
      </c>
      <c r="D826" s="13" t="n">
        <v>0</v>
      </c>
      <c r="E826" s="13" t="n">
        <v>1</v>
      </c>
      <c r="F826" s="13" t="n">
        <v>1</v>
      </c>
      <c r="G826" s="13" t="n">
        <v>0</v>
      </c>
      <c r="H826" s="13" t="str">
        <f aca="false">IF(C826=1,A826,"")</f>
        <v/>
      </c>
      <c r="I826" s="13" t="n">
        <f aca="false">IF(C826=0,A826,"")</f>
        <v>3</v>
      </c>
    </row>
    <row r="827" customFormat="false" ht="15" hidden="false" customHeight="false" outlineLevel="0" collapsed="false">
      <c r="A827" s="13" t="n">
        <v>3</v>
      </c>
      <c r="B827" s="13" t="n">
        <v>54</v>
      </c>
      <c r="C827" s="13" t="n">
        <v>1</v>
      </c>
      <c r="D827" s="13" t="n">
        <v>0</v>
      </c>
      <c r="E827" s="13" t="n">
        <v>1</v>
      </c>
      <c r="F827" s="13" t="n">
        <v>0</v>
      </c>
      <c r="G827" s="13" t="n">
        <v>1</v>
      </c>
      <c r="H827" s="13" t="n">
        <f aca="false">IF(C827=1,A827,"")</f>
        <v>3</v>
      </c>
      <c r="I827" s="13" t="str">
        <f aca="false">IF(C827=0,A827,"")</f>
        <v/>
      </c>
    </row>
    <row r="828" customFormat="false" ht="15" hidden="false" customHeight="false" outlineLevel="0" collapsed="false">
      <c r="A828" s="13" t="n">
        <v>5</v>
      </c>
      <c r="B828" s="13" t="n">
        <v>45</v>
      </c>
      <c r="C828" s="13" t="n">
        <v>0</v>
      </c>
      <c r="D828" s="13" t="n">
        <v>1</v>
      </c>
      <c r="E828" s="13" t="n">
        <v>1</v>
      </c>
      <c r="F828" s="13" t="n">
        <v>1</v>
      </c>
      <c r="G828" s="13" t="n">
        <v>1</v>
      </c>
      <c r="H828" s="13" t="str">
        <f aca="false">IF(C828=1,A828,"")</f>
        <v/>
      </c>
      <c r="I828" s="13" t="n">
        <f aca="false">IF(C828=0,A828,"")</f>
        <v>5</v>
      </c>
    </row>
    <row r="829" customFormat="false" ht="15" hidden="false" customHeight="false" outlineLevel="0" collapsed="false">
      <c r="A829" s="13" t="n">
        <v>5</v>
      </c>
      <c r="B829" s="13" t="n">
        <v>61</v>
      </c>
      <c r="C829" s="13" t="n">
        <v>1</v>
      </c>
      <c r="D829" s="13" t="n">
        <v>0</v>
      </c>
      <c r="E829" s="13" t="n">
        <v>1</v>
      </c>
      <c r="F829" s="13" t="n">
        <v>1</v>
      </c>
      <c r="G829" s="13" t="n">
        <v>1</v>
      </c>
      <c r="H829" s="13" t="n">
        <f aca="false">IF(C829=1,A829,"")</f>
        <v>5</v>
      </c>
      <c r="I829" s="13" t="str">
        <f aca="false">IF(C829=0,A829,"")</f>
        <v/>
      </c>
    </row>
    <row r="830" customFormat="false" ht="15" hidden="false" customHeight="false" outlineLevel="0" collapsed="false">
      <c r="A830" s="13" t="n">
        <v>3</v>
      </c>
      <c r="B830" s="13" t="n">
        <v>49</v>
      </c>
      <c r="C830" s="13" t="n">
        <v>0</v>
      </c>
      <c r="D830" s="13" t="n">
        <v>0</v>
      </c>
      <c r="E830" s="13" t="n">
        <v>1</v>
      </c>
      <c r="F830" s="13" t="n">
        <v>1</v>
      </c>
      <c r="G830" s="13" t="n">
        <v>0</v>
      </c>
      <c r="H830" s="13" t="str">
        <f aca="false">IF(C830=1,A830,"")</f>
        <v/>
      </c>
      <c r="I830" s="13" t="n">
        <f aca="false">IF(C830=0,A830,"")</f>
        <v>3</v>
      </c>
    </row>
    <row r="831" customFormat="false" ht="15" hidden="false" customHeight="false" outlineLevel="0" collapsed="false">
      <c r="A831" s="13" t="n">
        <v>2</v>
      </c>
      <c r="B831" s="13" t="n">
        <v>49</v>
      </c>
      <c r="C831" s="13" t="n">
        <v>0</v>
      </c>
      <c r="D831" s="13" t="n">
        <v>0</v>
      </c>
      <c r="E831" s="13" t="n">
        <v>1</v>
      </c>
      <c r="F831" s="13" t="n">
        <v>0</v>
      </c>
      <c r="G831" s="13" t="n">
        <v>0</v>
      </c>
      <c r="H831" s="13" t="str">
        <f aca="false">IF(C831=1,A831,"")</f>
        <v/>
      </c>
      <c r="I831" s="13" t="n">
        <f aca="false">IF(C831=0,A831,"")</f>
        <v>2</v>
      </c>
    </row>
    <row r="832" customFormat="false" ht="15" hidden="false" customHeight="false" outlineLevel="0" collapsed="false">
      <c r="A832" s="13" t="n">
        <v>4</v>
      </c>
      <c r="B832" s="13" t="n">
        <v>56</v>
      </c>
      <c r="C832" s="13" t="n">
        <v>0</v>
      </c>
      <c r="D832" s="13" t="n">
        <v>0</v>
      </c>
      <c r="E832" s="13" t="n">
        <v>1</v>
      </c>
      <c r="F832" s="13" t="n">
        <v>1</v>
      </c>
      <c r="G832" s="13" t="n">
        <v>1</v>
      </c>
      <c r="H832" s="13" t="str">
        <f aca="false">IF(C832=1,A832,"")</f>
        <v/>
      </c>
      <c r="I832" s="13" t="n">
        <f aca="false">IF(C832=0,A832,"")</f>
        <v>4</v>
      </c>
    </row>
    <row r="833" customFormat="false" ht="15" hidden="false" customHeight="false" outlineLevel="0" collapsed="false">
      <c r="A833" s="13" t="n">
        <v>1</v>
      </c>
      <c r="B833" s="13" t="n">
        <v>63</v>
      </c>
      <c r="C833" s="13" t="n">
        <v>0</v>
      </c>
      <c r="D833" s="13" t="n">
        <v>0</v>
      </c>
      <c r="E833" s="13" t="n">
        <v>0</v>
      </c>
      <c r="F833" s="13" t="n">
        <v>1</v>
      </c>
      <c r="G833" s="13" t="n">
        <v>0</v>
      </c>
      <c r="H833" s="13" t="str">
        <f aca="false">IF(C833=1,A833,"")</f>
        <v/>
      </c>
      <c r="I833" s="13" t="n">
        <f aca="false">IF(C833=0,A833,"")</f>
        <v>1</v>
      </c>
    </row>
    <row r="834" customFormat="false" ht="15" hidden="false" customHeight="false" outlineLevel="0" collapsed="false">
      <c r="A834" s="13" t="n">
        <v>4</v>
      </c>
      <c r="B834" s="13" t="n">
        <v>27</v>
      </c>
      <c r="C834" s="13" t="n">
        <v>0</v>
      </c>
      <c r="D834" s="13" t="n">
        <v>0</v>
      </c>
      <c r="E834" s="13" t="n">
        <v>1</v>
      </c>
      <c r="F834" s="13" t="n">
        <v>1</v>
      </c>
      <c r="G834" s="13" t="n">
        <v>1</v>
      </c>
      <c r="H834" s="13" t="str">
        <f aca="false">IF(C834=1,A834,"")</f>
        <v/>
      </c>
      <c r="I834" s="13" t="n">
        <f aca="false">IF(C834=0,A834,"")</f>
        <v>4</v>
      </c>
    </row>
    <row r="835" customFormat="false" ht="15" hidden="false" customHeight="false" outlineLevel="0" collapsed="false">
      <c r="A835" s="13" t="n">
        <v>5</v>
      </c>
      <c r="B835" s="13" t="n">
        <v>31</v>
      </c>
      <c r="C835" s="13" t="n">
        <v>1</v>
      </c>
      <c r="D835" s="13" t="n">
        <v>0</v>
      </c>
      <c r="E835" s="13" t="n">
        <v>1</v>
      </c>
      <c r="F835" s="13" t="n">
        <v>1</v>
      </c>
      <c r="G835" s="13" t="n">
        <v>1</v>
      </c>
      <c r="H835" s="13" t="n">
        <f aca="false">IF(C835=1,A835,"")</f>
        <v>5</v>
      </c>
      <c r="I835" s="13" t="str">
        <f aca="false">IF(C835=0,A835,"")</f>
        <v/>
      </c>
    </row>
    <row r="836" customFormat="false" ht="15" hidden="false" customHeight="false" outlineLevel="0" collapsed="false">
      <c r="A836" s="13" t="n">
        <v>1</v>
      </c>
      <c r="B836" s="13" t="n">
        <v>64</v>
      </c>
      <c r="C836" s="13" t="n">
        <v>0</v>
      </c>
      <c r="D836" s="13" t="n">
        <v>0</v>
      </c>
      <c r="E836" s="13" t="n">
        <v>1</v>
      </c>
      <c r="F836" s="13" t="n">
        <v>1</v>
      </c>
      <c r="G836" s="13" t="n">
        <v>1</v>
      </c>
      <c r="H836" s="13" t="str">
        <f aca="false">IF(C836=1,A836,"")</f>
        <v/>
      </c>
      <c r="I836" s="13" t="n">
        <f aca="false">IF(C836=0,A836,"")</f>
        <v>1</v>
      </c>
    </row>
    <row r="837" customFormat="false" ht="15" hidden="false" customHeight="false" outlineLevel="0" collapsed="false">
      <c r="A837" s="13" t="n">
        <v>4</v>
      </c>
      <c r="B837" s="13" t="n">
        <v>30</v>
      </c>
      <c r="C837" s="13" t="n">
        <v>0</v>
      </c>
      <c r="D837" s="13" t="n">
        <v>4</v>
      </c>
      <c r="E837" s="13" t="n">
        <v>0</v>
      </c>
      <c r="F837" s="13" t="n">
        <v>0</v>
      </c>
      <c r="G837" s="13" t="n">
        <v>1</v>
      </c>
      <c r="H837" s="13" t="str">
        <f aca="false">IF(C837=1,A837,"")</f>
        <v/>
      </c>
      <c r="I837" s="13" t="n">
        <f aca="false">IF(C837=0,A837,"")</f>
        <v>4</v>
      </c>
    </row>
    <row r="838" customFormat="false" ht="15" hidden="false" customHeight="false" outlineLevel="0" collapsed="false">
      <c r="A838" s="13" t="n">
        <v>5</v>
      </c>
      <c r="B838" s="13" t="n">
        <v>54</v>
      </c>
      <c r="C838" s="13" t="n">
        <v>0</v>
      </c>
      <c r="D838" s="13" t="n">
        <v>0</v>
      </c>
      <c r="E838" s="13" t="n">
        <v>0</v>
      </c>
      <c r="F838" s="13" t="n">
        <v>0</v>
      </c>
      <c r="G838" s="13" t="n">
        <v>1</v>
      </c>
      <c r="H838" s="13" t="str">
        <f aca="false">IF(C838=1,A838,"")</f>
        <v/>
      </c>
      <c r="I838" s="13" t="n">
        <f aca="false">IF(C838=0,A838,"")</f>
        <v>5</v>
      </c>
    </row>
    <row r="839" customFormat="false" ht="15" hidden="false" customHeight="false" outlineLevel="0" collapsed="false">
      <c r="A839" s="13" t="n">
        <v>2</v>
      </c>
      <c r="B839" s="13" t="n">
        <v>58</v>
      </c>
      <c r="C839" s="13" t="n">
        <v>0</v>
      </c>
      <c r="D839" s="13" t="n">
        <v>0</v>
      </c>
      <c r="E839" s="13" t="n">
        <v>1</v>
      </c>
      <c r="F839" s="13" t="n">
        <v>0</v>
      </c>
      <c r="G839" s="13" t="n">
        <v>1</v>
      </c>
      <c r="H839" s="13" t="str">
        <f aca="false">IF(C839=1,A839,"")</f>
        <v/>
      </c>
      <c r="I839" s="13" t="n">
        <f aca="false">IF(C839=0,A839,"")</f>
        <v>2</v>
      </c>
    </row>
    <row r="840" customFormat="false" ht="15" hidden="false" customHeight="false" outlineLevel="0" collapsed="false">
      <c r="A840" s="13" t="n">
        <v>5</v>
      </c>
      <c r="B840" s="13" t="n">
        <v>42</v>
      </c>
      <c r="C840" s="13" t="n">
        <v>0</v>
      </c>
      <c r="D840" s="13" t="n">
        <v>5</v>
      </c>
      <c r="E840" s="13" t="n">
        <v>1</v>
      </c>
      <c r="F840" s="13" t="n">
        <v>1</v>
      </c>
      <c r="G840" s="13" t="n">
        <v>1</v>
      </c>
      <c r="H840" s="13" t="str">
        <f aca="false">IF(C840=1,A840,"")</f>
        <v/>
      </c>
      <c r="I840" s="13" t="n">
        <f aca="false">IF(C840=0,A840,"")</f>
        <v>5</v>
      </c>
    </row>
    <row r="841" customFormat="false" ht="15" hidden="false" customHeight="false" outlineLevel="0" collapsed="false">
      <c r="A841" s="13" t="n">
        <v>4</v>
      </c>
      <c r="B841" s="13" t="n">
        <v>60</v>
      </c>
      <c r="C841" s="13" t="n">
        <v>1</v>
      </c>
      <c r="D841" s="13" t="n">
        <v>0</v>
      </c>
      <c r="E841" s="13" t="n">
        <v>0</v>
      </c>
      <c r="F841" s="13" t="n">
        <v>0</v>
      </c>
      <c r="G841" s="13" t="n">
        <v>1</v>
      </c>
      <c r="H841" s="13" t="n">
        <f aca="false">IF(C841=1,A841,"")</f>
        <v>4</v>
      </c>
      <c r="I841" s="13" t="str">
        <f aca="false">IF(C841=0,A841,"")</f>
        <v/>
      </c>
    </row>
    <row r="842" customFormat="false" ht="15" hidden="false" customHeight="false" outlineLevel="0" collapsed="false">
      <c r="A842" s="13" t="n">
        <v>4</v>
      </c>
      <c r="B842" s="13" t="n">
        <v>25</v>
      </c>
      <c r="C842" s="13" t="n">
        <v>0</v>
      </c>
      <c r="D842" s="13" t="n">
        <v>0</v>
      </c>
      <c r="E842" s="13" t="n">
        <v>1</v>
      </c>
      <c r="F842" s="13" t="n">
        <v>1</v>
      </c>
      <c r="G842" s="13" t="n">
        <v>0</v>
      </c>
      <c r="H842" s="13" t="str">
        <f aca="false">IF(C842=1,A842,"")</f>
        <v/>
      </c>
      <c r="I842" s="13" t="n">
        <f aca="false">IF(C842=0,A842,"")</f>
        <v>4</v>
      </c>
    </row>
    <row r="843" customFormat="false" ht="15" hidden="false" customHeight="false" outlineLevel="0" collapsed="false">
      <c r="A843" s="13" t="n">
        <v>3</v>
      </c>
      <c r="B843" s="13" t="n">
        <v>34</v>
      </c>
      <c r="C843" s="13" t="n">
        <v>1</v>
      </c>
      <c r="D843" s="13" t="n">
        <v>0</v>
      </c>
      <c r="E843" s="13" t="n">
        <v>1</v>
      </c>
      <c r="F843" s="13" t="n">
        <v>0</v>
      </c>
      <c r="G843" s="13" t="n">
        <v>0</v>
      </c>
      <c r="H843" s="13" t="n">
        <f aca="false">IF(C843=1,A843,"")</f>
        <v>3</v>
      </c>
      <c r="I843" s="13" t="str">
        <f aca="false">IF(C843=0,A843,"")</f>
        <v/>
      </c>
    </row>
    <row r="844" customFormat="false" ht="15" hidden="false" customHeight="false" outlineLevel="0" collapsed="false">
      <c r="A844" s="13" t="n">
        <v>5</v>
      </c>
      <c r="B844" s="13" t="n">
        <v>34</v>
      </c>
      <c r="C844" s="13" t="n">
        <v>0</v>
      </c>
      <c r="D844" s="13" t="n">
        <v>2</v>
      </c>
      <c r="E844" s="13" t="n">
        <v>1</v>
      </c>
      <c r="F844" s="13" t="n">
        <v>0</v>
      </c>
      <c r="G844" s="13" t="n">
        <v>1</v>
      </c>
      <c r="H844" s="13" t="str">
        <f aca="false">IF(C844=1,A844,"")</f>
        <v/>
      </c>
      <c r="I844" s="13" t="n">
        <f aca="false">IF(C844=0,A844,"")</f>
        <v>5</v>
      </c>
    </row>
    <row r="845" customFormat="false" ht="15" hidden="false" customHeight="false" outlineLevel="0" collapsed="false">
      <c r="A845" s="13" t="n">
        <v>4</v>
      </c>
      <c r="B845" s="13" t="n">
        <v>30</v>
      </c>
      <c r="C845" s="13" t="n">
        <v>1</v>
      </c>
      <c r="D845" s="13" t="n">
        <v>0</v>
      </c>
      <c r="E845" s="13" t="n">
        <v>1</v>
      </c>
      <c r="F845" s="13" t="n">
        <v>1</v>
      </c>
      <c r="G845" s="13" t="n">
        <v>1</v>
      </c>
      <c r="H845" s="13" t="n">
        <f aca="false">IF(C845=1,A845,"")</f>
        <v>4</v>
      </c>
      <c r="I845" s="13" t="str">
        <f aca="false">IF(C845=0,A845,"")</f>
        <v/>
      </c>
    </row>
    <row r="846" customFormat="false" ht="15" hidden="false" customHeight="false" outlineLevel="0" collapsed="false">
      <c r="A846" s="13" t="n">
        <v>2</v>
      </c>
      <c r="B846" s="13" t="n">
        <v>40</v>
      </c>
      <c r="C846" s="13" t="n">
        <v>1</v>
      </c>
      <c r="D846" s="13" t="n">
        <v>0</v>
      </c>
      <c r="E846" s="13" t="n">
        <v>1</v>
      </c>
      <c r="F846" s="13" t="n">
        <v>1</v>
      </c>
      <c r="G846" s="13" t="n">
        <v>0</v>
      </c>
      <c r="H846" s="13" t="n">
        <f aca="false">IF(C846=1,A846,"")</f>
        <v>2</v>
      </c>
      <c r="I846" s="13" t="str">
        <f aca="false">IF(C846=0,A846,"")</f>
        <v/>
      </c>
    </row>
    <row r="847" customFormat="false" ht="15" hidden="false" customHeight="false" outlineLevel="0" collapsed="false">
      <c r="A847" s="13" t="n">
        <v>4</v>
      </c>
      <c r="B847" s="13" t="n">
        <v>60</v>
      </c>
      <c r="C847" s="13" t="n">
        <v>0</v>
      </c>
      <c r="D847" s="13" t="n">
        <v>0</v>
      </c>
      <c r="E847" s="13" t="n">
        <v>1</v>
      </c>
      <c r="F847" s="13" t="n">
        <v>1</v>
      </c>
      <c r="G847" s="13" t="n">
        <v>1</v>
      </c>
      <c r="H847" s="13" t="str">
        <f aca="false">IF(C847=1,A847,"")</f>
        <v/>
      </c>
      <c r="I847" s="13" t="n">
        <f aca="false">IF(C847=0,A847,"")</f>
        <v>4</v>
      </c>
    </row>
    <row r="848" customFormat="false" ht="15" hidden="false" customHeight="false" outlineLevel="0" collapsed="false">
      <c r="A848" s="13" t="n">
        <v>3</v>
      </c>
      <c r="B848" s="13" t="n">
        <v>64</v>
      </c>
      <c r="C848" s="13" t="n">
        <v>1</v>
      </c>
      <c r="D848" s="13" t="n">
        <v>0</v>
      </c>
      <c r="E848" s="13" t="n">
        <v>1</v>
      </c>
      <c r="F848" s="13" t="n">
        <v>0</v>
      </c>
      <c r="G848" s="13" t="n">
        <v>0</v>
      </c>
      <c r="H848" s="13" t="n">
        <f aca="false">IF(C848=1,A848,"")</f>
        <v>3</v>
      </c>
      <c r="I848" s="13" t="str">
        <f aca="false">IF(C848=0,A848,"")</f>
        <v/>
      </c>
    </row>
    <row r="849" customFormat="false" ht="15" hidden="false" customHeight="false" outlineLevel="0" collapsed="false">
      <c r="A849" s="13" t="n">
        <v>2</v>
      </c>
      <c r="B849" s="13" t="n">
        <v>43</v>
      </c>
      <c r="C849" s="13" t="n">
        <v>1</v>
      </c>
      <c r="D849" s="13" t="n">
        <v>0</v>
      </c>
      <c r="E849" s="13" t="n">
        <v>1</v>
      </c>
      <c r="F849" s="13" t="n">
        <v>1</v>
      </c>
      <c r="G849" s="13" t="n">
        <v>0</v>
      </c>
      <c r="H849" s="13" t="n">
        <f aca="false">IF(C849=1,A849,"")</f>
        <v>2</v>
      </c>
      <c r="I849" s="13" t="str">
        <f aca="false">IF(C849=0,A849,"")</f>
        <v/>
      </c>
    </row>
    <row r="850" customFormat="false" ht="15" hidden="false" customHeight="false" outlineLevel="0" collapsed="false">
      <c r="A850" s="13" t="n">
        <v>4</v>
      </c>
      <c r="B850" s="13" t="n">
        <v>61</v>
      </c>
      <c r="C850" s="13" t="n">
        <v>1</v>
      </c>
      <c r="D850" s="13" t="n">
        <v>1</v>
      </c>
      <c r="E850" s="13" t="n">
        <v>0</v>
      </c>
      <c r="F850" s="13" t="n">
        <v>0</v>
      </c>
      <c r="G850" s="13" t="n">
        <v>0</v>
      </c>
      <c r="H850" s="13" t="n">
        <f aca="false">IF(C850=1,A850,"")</f>
        <v>4</v>
      </c>
      <c r="I850" s="13" t="str">
        <f aca="false">IF(C850=0,A850,"")</f>
        <v/>
      </c>
    </row>
    <row r="851" customFormat="false" ht="15" hidden="false" customHeight="false" outlineLevel="0" collapsed="false">
      <c r="A851" s="13" t="n">
        <v>4</v>
      </c>
      <c r="B851" s="13" t="n">
        <v>52</v>
      </c>
      <c r="C851" s="13" t="n">
        <v>1</v>
      </c>
      <c r="D851" s="13" t="n">
        <v>2</v>
      </c>
      <c r="E851" s="13" t="n">
        <v>1</v>
      </c>
      <c r="F851" s="13" t="n">
        <v>1</v>
      </c>
      <c r="G851" s="13" t="n">
        <v>1</v>
      </c>
      <c r="H851" s="13" t="n">
        <f aca="false">IF(C851=1,A851,"")</f>
        <v>4</v>
      </c>
      <c r="I851" s="13" t="str">
        <f aca="false">IF(C851=0,A851,"")</f>
        <v/>
      </c>
    </row>
    <row r="852" customFormat="false" ht="15" hidden="false" customHeight="false" outlineLevel="0" collapsed="false">
      <c r="A852" s="13" t="n">
        <v>2</v>
      </c>
      <c r="B852" s="13" t="n">
        <v>40</v>
      </c>
      <c r="C852" s="13" t="n">
        <v>1</v>
      </c>
      <c r="D852" s="13" t="n">
        <v>0</v>
      </c>
      <c r="E852" s="13" t="n">
        <v>1</v>
      </c>
      <c r="F852" s="13" t="n">
        <v>0</v>
      </c>
      <c r="G852" s="13" t="n">
        <v>0</v>
      </c>
      <c r="H852" s="13" t="n">
        <f aca="false">IF(C852=1,A852,"")</f>
        <v>2</v>
      </c>
      <c r="I852" s="13" t="str">
        <f aca="false">IF(C852=0,A852,"")</f>
        <v/>
      </c>
    </row>
    <row r="853" customFormat="false" ht="15" hidden="false" customHeight="false" outlineLevel="0" collapsed="false">
      <c r="A853" s="13" t="n">
        <v>5</v>
      </c>
      <c r="B853" s="13" t="n">
        <v>55</v>
      </c>
      <c r="C853" s="13" t="n">
        <v>0</v>
      </c>
      <c r="D853" s="13" t="n">
        <v>0</v>
      </c>
      <c r="E853" s="13" t="n">
        <v>0</v>
      </c>
      <c r="F853" s="13" t="n">
        <v>0</v>
      </c>
      <c r="G853" s="13" t="n">
        <v>1</v>
      </c>
      <c r="H853" s="13" t="str">
        <f aca="false">IF(C853=1,A853,"")</f>
        <v/>
      </c>
      <c r="I853" s="13" t="n">
        <f aca="false">IF(C853=0,A853,"")</f>
        <v>5</v>
      </c>
    </row>
    <row r="854" customFormat="false" ht="15" hidden="false" customHeight="false" outlineLevel="0" collapsed="false">
      <c r="A854" s="13" t="n">
        <v>5</v>
      </c>
      <c r="B854" s="13" t="n">
        <v>62</v>
      </c>
      <c r="C854" s="13" t="n">
        <v>1</v>
      </c>
      <c r="D854" s="13" t="n">
        <v>0</v>
      </c>
      <c r="E854" s="13" t="n">
        <v>1</v>
      </c>
      <c r="F854" s="13" t="n">
        <v>0</v>
      </c>
      <c r="G854" s="13" t="n">
        <v>1</v>
      </c>
      <c r="H854" s="13" t="n">
        <f aca="false">IF(C854=1,A854,"")</f>
        <v>5</v>
      </c>
      <c r="I854" s="13" t="str">
        <f aca="false">IF(C854=0,A854,"")</f>
        <v/>
      </c>
    </row>
    <row r="855" customFormat="false" ht="15" hidden="false" customHeight="false" outlineLevel="0" collapsed="false">
      <c r="A855" s="13" t="n">
        <v>4</v>
      </c>
      <c r="B855" s="13" t="n">
        <v>38</v>
      </c>
      <c r="C855" s="13" t="n">
        <v>1</v>
      </c>
      <c r="D855" s="13" t="n">
        <v>0</v>
      </c>
      <c r="E855" s="13" t="n">
        <v>1</v>
      </c>
      <c r="F855" s="13" t="n">
        <v>0</v>
      </c>
      <c r="G855" s="13" t="n">
        <v>0</v>
      </c>
      <c r="H855" s="13" t="n">
        <f aca="false">IF(C855=1,A855,"")</f>
        <v>4</v>
      </c>
      <c r="I855" s="13" t="str">
        <f aca="false">IF(C855=0,A855,"")</f>
        <v/>
      </c>
    </row>
    <row r="856" customFormat="false" ht="15" hidden="false" customHeight="false" outlineLevel="0" collapsed="false">
      <c r="A856" s="13" t="n">
        <v>4</v>
      </c>
      <c r="B856" s="13" t="n">
        <v>59</v>
      </c>
      <c r="C856" s="13" t="n">
        <v>0</v>
      </c>
      <c r="D856" s="13" t="n">
        <v>0</v>
      </c>
      <c r="E856" s="13" t="n">
        <v>1</v>
      </c>
      <c r="F856" s="13" t="n">
        <v>1</v>
      </c>
      <c r="G856" s="13" t="n">
        <v>1</v>
      </c>
      <c r="H856" s="13" t="str">
        <f aca="false">IF(C856=1,A856,"")</f>
        <v/>
      </c>
      <c r="I856" s="13" t="n">
        <f aca="false">IF(C856=0,A856,"")</f>
        <v>4</v>
      </c>
    </row>
    <row r="857" customFormat="false" ht="15" hidden="false" customHeight="false" outlineLevel="0" collapsed="false">
      <c r="A857" s="13" t="n">
        <v>4</v>
      </c>
      <c r="B857" s="13" t="n">
        <v>56</v>
      </c>
      <c r="C857" s="13" t="n">
        <v>1</v>
      </c>
      <c r="D857" s="13" t="n">
        <v>0</v>
      </c>
      <c r="E857" s="13" t="n">
        <v>0</v>
      </c>
      <c r="F857" s="13" t="n">
        <v>1</v>
      </c>
      <c r="G857" s="13" t="n">
        <v>0</v>
      </c>
      <c r="H857" s="13" t="n">
        <f aca="false">IF(C857=1,A857,"")</f>
        <v>4</v>
      </c>
      <c r="I857" s="13" t="str">
        <f aca="false">IF(C857=0,A857,"")</f>
        <v/>
      </c>
    </row>
    <row r="858" customFormat="false" ht="15" hidden="false" customHeight="false" outlineLevel="0" collapsed="false">
      <c r="A858" s="13" t="n">
        <v>4</v>
      </c>
      <c r="B858" s="13" t="n">
        <v>55</v>
      </c>
      <c r="C858" s="13" t="n">
        <v>0</v>
      </c>
      <c r="D858" s="13" t="n">
        <v>0</v>
      </c>
      <c r="E858" s="13" t="n">
        <v>0</v>
      </c>
      <c r="F858" s="13" t="n">
        <v>0</v>
      </c>
      <c r="G858" s="13" t="n">
        <v>1</v>
      </c>
      <c r="H858" s="13" t="str">
        <f aca="false">IF(C858=1,A858,"")</f>
        <v/>
      </c>
      <c r="I858" s="13" t="n">
        <f aca="false">IF(C858=0,A858,"")</f>
        <v>4</v>
      </c>
    </row>
    <row r="859" customFormat="false" ht="15" hidden="false" customHeight="false" outlineLevel="0" collapsed="false">
      <c r="A859" s="13" t="n">
        <v>5</v>
      </c>
      <c r="B859" s="13" t="n">
        <v>40</v>
      </c>
      <c r="C859" s="13" t="n">
        <v>0</v>
      </c>
      <c r="D859" s="13" t="n">
        <v>2</v>
      </c>
      <c r="E859" s="13" t="n">
        <v>1</v>
      </c>
      <c r="F859" s="13" t="n">
        <v>1</v>
      </c>
      <c r="G859" s="13" t="n">
        <v>1</v>
      </c>
      <c r="H859" s="13" t="str">
        <f aca="false">IF(C859=1,A859,"")</f>
        <v/>
      </c>
      <c r="I859" s="13" t="n">
        <f aca="false">IF(C859=0,A859,"")</f>
        <v>5</v>
      </c>
    </row>
    <row r="860" customFormat="false" ht="15" hidden="false" customHeight="false" outlineLevel="0" collapsed="false">
      <c r="A860" s="13" t="n">
        <v>4</v>
      </c>
      <c r="B860" s="13" t="n">
        <v>56</v>
      </c>
      <c r="C860" s="13" t="n">
        <v>0</v>
      </c>
      <c r="D860" s="13" t="n">
        <v>3</v>
      </c>
      <c r="E860" s="13" t="n">
        <v>1</v>
      </c>
      <c r="F860" s="13" t="n">
        <v>1</v>
      </c>
      <c r="G860" s="13" t="n">
        <v>0</v>
      </c>
      <c r="H860" s="13" t="str">
        <f aca="false">IF(C860=1,A860,"")</f>
        <v/>
      </c>
      <c r="I860" s="13" t="n">
        <f aca="false">IF(C860=0,A860,"")</f>
        <v>4</v>
      </c>
    </row>
    <row r="861" customFormat="false" ht="15" hidden="false" customHeight="false" outlineLevel="0" collapsed="false">
      <c r="A861" s="13" t="n">
        <v>4</v>
      </c>
      <c r="B861" s="13" t="n">
        <v>55</v>
      </c>
      <c r="C861" s="13" t="n">
        <v>1</v>
      </c>
      <c r="D861" s="13" t="n">
        <v>0</v>
      </c>
      <c r="E861" s="13" t="n">
        <v>0</v>
      </c>
      <c r="F861" s="13" t="n">
        <v>0</v>
      </c>
      <c r="G861" s="13" t="n">
        <v>0</v>
      </c>
      <c r="H861" s="13" t="n">
        <f aca="false">IF(C861=1,A861,"")</f>
        <v>4</v>
      </c>
      <c r="I861" s="13" t="str">
        <f aca="false">IF(C861=0,A861,"")</f>
        <v/>
      </c>
    </row>
    <row r="862" customFormat="false" ht="15" hidden="false" customHeight="false" outlineLevel="0" collapsed="false">
      <c r="A862" s="13" t="n">
        <v>2</v>
      </c>
      <c r="B862" s="13" t="n">
        <v>46</v>
      </c>
      <c r="C862" s="13" t="n">
        <v>0</v>
      </c>
      <c r="D862" s="13" t="n">
        <v>0</v>
      </c>
      <c r="E862" s="13" t="n">
        <v>0</v>
      </c>
      <c r="F862" s="13" t="n">
        <v>0</v>
      </c>
      <c r="G862" s="13" t="n">
        <v>1</v>
      </c>
      <c r="H862" s="13" t="str">
        <f aca="false">IF(C862=1,A862,"")</f>
        <v/>
      </c>
      <c r="I862" s="13" t="n">
        <f aca="false">IF(C862=0,A862,"")</f>
        <v>2</v>
      </c>
    </row>
    <row r="863" customFormat="false" ht="15" hidden="false" customHeight="false" outlineLevel="0" collapsed="false">
      <c r="A863" s="13" t="n">
        <v>4</v>
      </c>
      <c r="B863" s="13" t="n">
        <v>52</v>
      </c>
      <c r="C863" s="13" t="n">
        <v>1</v>
      </c>
      <c r="D863" s="13" t="n">
        <v>1</v>
      </c>
      <c r="E863" s="13" t="n">
        <v>1</v>
      </c>
      <c r="F863" s="13" t="n">
        <v>1</v>
      </c>
      <c r="G863" s="13" t="n">
        <v>1</v>
      </c>
      <c r="H863" s="13" t="n">
        <f aca="false">IF(C863=1,A863,"")</f>
        <v>4</v>
      </c>
      <c r="I863" s="13" t="str">
        <f aca="false">IF(C863=0,A863,"")</f>
        <v/>
      </c>
    </row>
    <row r="864" customFormat="false" ht="15" hidden="false" customHeight="false" outlineLevel="0" collapsed="false">
      <c r="A864" s="13" t="n">
        <v>4</v>
      </c>
      <c r="B864" s="13" t="n">
        <v>61</v>
      </c>
      <c r="C864" s="13" t="n">
        <v>0</v>
      </c>
      <c r="D864" s="13" t="n">
        <v>0</v>
      </c>
      <c r="E864" s="13" t="n">
        <v>1</v>
      </c>
      <c r="F864" s="13" t="n">
        <v>1</v>
      </c>
      <c r="G864" s="13" t="n">
        <v>1</v>
      </c>
      <c r="H864" s="13" t="str">
        <f aca="false">IF(C864=1,A864,"")</f>
        <v/>
      </c>
      <c r="I864" s="13" t="n">
        <f aca="false">IF(C864=0,A864,"")</f>
        <v>4</v>
      </c>
    </row>
    <row r="865" customFormat="false" ht="15" hidden="false" customHeight="false" outlineLevel="0" collapsed="false">
      <c r="A865" s="13" t="n">
        <v>4</v>
      </c>
      <c r="B865" s="13" t="n">
        <v>38</v>
      </c>
      <c r="C865" s="13" t="n">
        <v>1</v>
      </c>
      <c r="D865" s="13" t="n">
        <v>2</v>
      </c>
      <c r="E865" s="13" t="n">
        <v>1</v>
      </c>
      <c r="F865" s="13" t="n">
        <v>1</v>
      </c>
      <c r="G865" s="13" t="n">
        <v>1</v>
      </c>
      <c r="H865" s="13" t="n">
        <f aca="false">IF(C865=1,A865,"")</f>
        <v>4</v>
      </c>
      <c r="I865" s="13" t="str">
        <f aca="false">IF(C865=0,A865,"")</f>
        <v/>
      </c>
    </row>
    <row r="866" customFormat="false" ht="15" hidden="false" customHeight="false" outlineLevel="0" collapsed="false">
      <c r="A866" s="13" t="n">
        <v>4</v>
      </c>
      <c r="B866" s="13" t="n">
        <v>45</v>
      </c>
      <c r="C866" s="13" t="n">
        <v>0</v>
      </c>
      <c r="D866" s="13" t="n">
        <v>1</v>
      </c>
      <c r="E866" s="13" t="n">
        <v>1</v>
      </c>
      <c r="F866" s="13" t="n">
        <v>1</v>
      </c>
      <c r="G866" s="13" t="n">
        <v>1</v>
      </c>
      <c r="H866" s="13" t="str">
        <f aca="false">IF(C866=1,A866,"")</f>
        <v/>
      </c>
      <c r="I866" s="13" t="n">
        <f aca="false">IF(C866=0,A866,"")</f>
        <v>4</v>
      </c>
    </row>
    <row r="867" customFormat="false" ht="15" hidden="false" customHeight="false" outlineLevel="0" collapsed="false">
      <c r="A867" s="13" t="n">
        <v>4</v>
      </c>
      <c r="B867" s="13" t="n">
        <v>64</v>
      </c>
      <c r="C867" s="13" t="n">
        <v>1</v>
      </c>
      <c r="D867" s="13" t="n">
        <v>0</v>
      </c>
      <c r="E867" s="13" t="n">
        <v>0</v>
      </c>
      <c r="F867" s="13" t="n">
        <v>0</v>
      </c>
      <c r="G867" s="13" t="n">
        <v>1</v>
      </c>
      <c r="H867" s="13" t="n">
        <f aca="false">IF(C867=1,A867,"")</f>
        <v>4</v>
      </c>
      <c r="I867" s="13" t="str">
        <f aca="false">IF(C867=0,A867,"")</f>
        <v/>
      </c>
    </row>
    <row r="868" customFormat="false" ht="15" hidden="false" customHeight="false" outlineLevel="0" collapsed="false">
      <c r="A868" s="13" t="n">
        <v>3</v>
      </c>
      <c r="B868" s="13" t="n">
        <v>60</v>
      </c>
      <c r="C868" s="13" t="n">
        <v>0</v>
      </c>
      <c r="D868" s="13" t="n">
        <v>0</v>
      </c>
      <c r="E868" s="13" t="n">
        <v>0</v>
      </c>
      <c r="F868" s="13" t="n">
        <v>0</v>
      </c>
      <c r="G868" s="13" t="n">
        <v>1</v>
      </c>
      <c r="H868" s="13" t="str">
        <f aca="false">IF(C868=1,A868,"")</f>
        <v/>
      </c>
      <c r="I868" s="13" t="n">
        <f aca="false">IF(C868=0,A868,"")</f>
        <v>3</v>
      </c>
    </row>
    <row r="869" customFormat="false" ht="15" hidden="false" customHeight="false" outlineLevel="0" collapsed="false">
      <c r="A869" s="13" t="n">
        <v>3</v>
      </c>
      <c r="B869" s="13" t="n">
        <v>46</v>
      </c>
      <c r="C869" s="13" t="n">
        <v>0</v>
      </c>
      <c r="D869" s="13" t="n">
        <v>3</v>
      </c>
      <c r="E869" s="13" t="n">
        <v>0</v>
      </c>
      <c r="F869" s="13" t="n">
        <v>1</v>
      </c>
      <c r="G869" s="13" t="n">
        <v>1</v>
      </c>
      <c r="H869" s="13" t="str">
        <f aca="false">IF(C869=1,A869,"")</f>
        <v/>
      </c>
      <c r="I869" s="13" t="n">
        <f aca="false">IF(C869=0,A869,"")</f>
        <v>3</v>
      </c>
    </row>
    <row r="870" customFormat="false" ht="15" hidden="false" customHeight="false" outlineLevel="0" collapsed="false">
      <c r="A870" s="13" t="n">
        <v>4</v>
      </c>
      <c r="B870" s="13" t="n">
        <v>59</v>
      </c>
      <c r="C870" s="13" t="n">
        <v>0</v>
      </c>
      <c r="D870" s="13" t="n">
        <v>0</v>
      </c>
      <c r="E870" s="13" t="n">
        <v>1</v>
      </c>
      <c r="F870" s="13" t="n">
        <v>0</v>
      </c>
      <c r="G870" s="13" t="n">
        <v>1</v>
      </c>
      <c r="H870" s="13" t="str">
        <f aca="false">IF(C870=1,A870,"")</f>
        <v/>
      </c>
      <c r="I870" s="13" t="n">
        <f aca="false">IF(C870=0,A870,"")</f>
        <v>4</v>
      </c>
    </row>
    <row r="871" customFormat="false" ht="15" hidden="false" customHeight="false" outlineLevel="0" collapsed="false">
      <c r="A871" s="13" t="n">
        <v>4</v>
      </c>
      <c r="B871" s="13" t="n">
        <v>48</v>
      </c>
      <c r="C871" s="13" t="n">
        <v>0</v>
      </c>
      <c r="D871" s="13" t="n">
        <v>0</v>
      </c>
      <c r="E871" s="13" t="n">
        <v>1</v>
      </c>
      <c r="F871" s="13" t="n">
        <v>1</v>
      </c>
      <c r="G871" s="13" t="n">
        <v>0</v>
      </c>
      <c r="H871" s="13" t="str">
        <f aca="false">IF(C871=1,A871,"")</f>
        <v/>
      </c>
      <c r="I871" s="13" t="n">
        <f aca="false">IF(C871=0,A871,"")</f>
        <v>4</v>
      </c>
    </row>
    <row r="872" customFormat="false" ht="15" hidden="false" customHeight="false" outlineLevel="0" collapsed="false">
      <c r="A872" s="13" t="n">
        <v>4</v>
      </c>
      <c r="B872" s="13" t="n">
        <v>62</v>
      </c>
      <c r="C872" s="13" t="n">
        <v>0</v>
      </c>
      <c r="D872" s="13" t="n">
        <v>0</v>
      </c>
      <c r="E872" s="13" t="n">
        <v>0</v>
      </c>
      <c r="F872" s="13" t="n">
        <v>1</v>
      </c>
      <c r="G872" s="13" t="n">
        <v>1</v>
      </c>
      <c r="H872" s="13" t="str">
        <f aca="false">IF(C872=1,A872,"")</f>
        <v/>
      </c>
      <c r="I872" s="13" t="n">
        <f aca="false">IF(C872=0,A872,"")</f>
        <v>4</v>
      </c>
    </row>
    <row r="873" customFormat="false" ht="15" hidden="false" customHeight="false" outlineLevel="0" collapsed="false">
      <c r="A873" s="13" t="n">
        <v>4</v>
      </c>
      <c r="B873" s="13" t="n">
        <v>25</v>
      </c>
      <c r="C873" s="13" t="n">
        <v>0</v>
      </c>
      <c r="D873" s="13" t="n">
        <v>0</v>
      </c>
      <c r="E873" s="13" t="n">
        <v>1</v>
      </c>
      <c r="F873" s="13" t="n">
        <v>1</v>
      </c>
      <c r="G873" s="13" t="n">
        <v>0</v>
      </c>
      <c r="H873" s="13" t="str">
        <f aca="false">IF(C873=1,A873,"")</f>
        <v/>
      </c>
      <c r="I873" s="13" t="n">
        <f aca="false">IF(C873=0,A873,"")</f>
        <v>4</v>
      </c>
    </row>
    <row r="874" customFormat="false" ht="15" hidden="false" customHeight="false" outlineLevel="0" collapsed="false">
      <c r="A874" s="13" t="n">
        <v>5</v>
      </c>
      <c r="B874" s="13" t="n">
        <v>57</v>
      </c>
      <c r="C874" s="13" t="n">
        <v>1</v>
      </c>
      <c r="D874" s="13" t="n">
        <v>2</v>
      </c>
      <c r="E874" s="13" t="n">
        <v>1</v>
      </c>
      <c r="F874" s="13" t="n">
        <v>1</v>
      </c>
      <c r="G874" s="13" t="n">
        <v>1</v>
      </c>
      <c r="H874" s="13" t="n">
        <f aca="false">IF(C874=1,A874,"")</f>
        <v>5</v>
      </c>
      <c r="I874" s="13" t="str">
        <f aca="false">IF(C874=0,A874,"")</f>
        <v/>
      </c>
    </row>
    <row r="875" customFormat="false" ht="15" hidden="false" customHeight="false" outlineLevel="0" collapsed="false">
      <c r="A875" s="13" t="n">
        <v>4</v>
      </c>
      <c r="B875" s="13" t="n">
        <v>37</v>
      </c>
      <c r="C875" s="13" t="n">
        <v>0</v>
      </c>
      <c r="D875" s="13" t="n">
        <v>5</v>
      </c>
      <c r="E875" s="13" t="n">
        <v>0</v>
      </c>
      <c r="F875" s="13" t="n">
        <v>0</v>
      </c>
      <c r="G875" s="13" t="n">
        <v>1</v>
      </c>
      <c r="H875" s="13" t="str">
        <f aca="false">IF(C875=1,A875,"")</f>
        <v/>
      </c>
      <c r="I875" s="13" t="n">
        <f aca="false">IF(C875=0,A875,"")</f>
        <v>4</v>
      </c>
    </row>
    <row r="876" customFormat="false" ht="15" hidden="false" customHeight="false" outlineLevel="0" collapsed="false">
      <c r="A876" s="13" t="n">
        <v>4</v>
      </c>
      <c r="B876" s="13" t="n">
        <v>29</v>
      </c>
      <c r="C876" s="13" t="n">
        <v>1</v>
      </c>
      <c r="D876" s="13" t="n">
        <v>0</v>
      </c>
      <c r="E876" s="13" t="n">
        <v>1</v>
      </c>
      <c r="F876" s="13" t="n">
        <v>1</v>
      </c>
      <c r="G876" s="13" t="n">
        <v>0</v>
      </c>
      <c r="H876" s="13" t="n">
        <f aca="false">IF(C876=1,A876,"")</f>
        <v>4</v>
      </c>
      <c r="I876" s="13" t="str">
        <f aca="false">IF(C876=0,A876,"")</f>
        <v/>
      </c>
    </row>
    <row r="877" customFormat="false" ht="15" hidden="false" customHeight="false" outlineLevel="0" collapsed="false">
      <c r="A877" s="13" t="n">
        <v>1</v>
      </c>
      <c r="B877" s="13" t="n">
        <v>60</v>
      </c>
      <c r="C877" s="13" t="n">
        <v>0</v>
      </c>
      <c r="D877" s="13" t="n">
        <v>0</v>
      </c>
      <c r="E877" s="13" t="n">
        <v>0</v>
      </c>
      <c r="F877" s="13" t="n">
        <v>0</v>
      </c>
      <c r="G877" s="13" t="n">
        <v>0</v>
      </c>
      <c r="H877" s="13" t="str">
        <f aca="false">IF(C877=1,A877,"")</f>
        <v/>
      </c>
      <c r="I877" s="13" t="n">
        <f aca="false">IF(C877=0,A877,"")</f>
        <v>1</v>
      </c>
    </row>
    <row r="878" customFormat="false" ht="15" hidden="false" customHeight="false" outlineLevel="0" collapsed="false">
      <c r="A878" s="13" t="n">
        <v>3</v>
      </c>
      <c r="B878" s="13" t="n">
        <v>60</v>
      </c>
      <c r="C878" s="13" t="n">
        <v>0</v>
      </c>
      <c r="D878" s="13" t="n">
        <v>0</v>
      </c>
      <c r="E878" s="13" t="n">
        <v>0</v>
      </c>
      <c r="F878" s="13" t="n">
        <v>0</v>
      </c>
      <c r="G878" s="13" t="n">
        <v>1</v>
      </c>
      <c r="H878" s="13" t="str">
        <f aca="false">IF(C878=1,A878,"")</f>
        <v/>
      </c>
      <c r="I878" s="13" t="n">
        <f aca="false">IF(C878=0,A878,"")</f>
        <v>3</v>
      </c>
    </row>
    <row r="879" customFormat="false" ht="15" hidden="false" customHeight="false" outlineLevel="0" collapsed="false">
      <c r="A879" s="13" t="n">
        <v>4</v>
      </c>
      <c r="B879" s="13" t="n">
        <v>34</v>
      </c>
      <c r="C879" s="13" t="n">
        <v>0</v>
      </c>
      <c r="D879" s="13" t="n">
        <v>1</v>
      </c>
      <c r="E879" s="13" t="n">
        <v>1</v>
      </c>
      <c r="F879" s="13" t="n">
        <v>1</v>
      </c>
      <c r="G879" s="13" t="n">
        <v>1</v>
      </c>
      <c r="H879" s="13" t="str">
        <f aca="false">IF(C879=1,A879,"")</f>
        <v/>
      </c>
      <c r="I879" s="13" t="n">
        <f aca="false">IF(C879=0,A879,"")</f>
        <v>4</v>
      </c>
    </row>
    <row r="880" customFormat="false" ht="15" hidden="false" customHeight="false" outlineLevel="0" collapsed="false">
      <c r="A880" s="13" t="n">
        <v>1</v>
      </c>
      <c r="B880" s="13" t="n">
        <v>48</v>
      </c>
      <c r="C880" s="13" t="n">
        <v>1</v>
      </c>
      <c r="D880" s="13" t="n">
        <v>1</v>
      </c>
      <c r="E880" s="13" t="n">
        <v>1</v>
      </c>
      <c r="F880" s="13" t="n">
        <v>1</v>
      </c>
      <c r="G880" s="13" t="n">
        <v>0</v>
      </c>
      <c r="H880" s="13" t="n">
        <f aca="false">IF(C880=1,A880,"")</f>
        <v>1</v>
      </c>
      <c r="I880" s="13" t="str">
        <f aca="false">IF(C880=0,A880,"")</f>
        <v/>
      </c>
    </row>
    <row r="881" customFormat="false" ht="15" hidden="false" customHeight="false" outlineLevel="0" collapsed="false">
      <c r="A881" s="13" t="n">
        <v>5</v>
      </c>
      <c r="B881" s="13" t="n">
        <v>62</v>
      </c>
      <c r="C881" s="13" t="n">
        <v>0</v>
      </c>
      <c r="D881" s="13" t="n">
        <v>0</v>
      </c>
      <c r="E881" s="13" t="n">
        <v>1</v>
      </c>
      <c r="F881" s="13" t="n">
        <v>1</v>
      </c>
      <c r="G881" s="13" t="n">
        <v>1</v>
      </c>
      <c r="H881" s="13" t="str">
        <f aca="false">IF(C881=1,A881,"")</f>
        <v/>
      </c>
      <c r="I881" s="13" t="n">
        <f aca="false">IF(C881=0,A881,"")</f>
        <v>5</v>
      </c>
    </row>
    <row r="882" customFormat="false" ht="15" hidden="false" customHeight="false" outlineLevel="0" collapsed="false">
      <c r="A882" s="13" t="n">
        <v>5</v>
      </c>
      <c r="B882" s="13" t="n">
        <v>37</v>
      </c>
      <c r="C882" s="13" t="n">
        <v>1</v>
      </c>
      <c r="D882" s="13" t="n">
        <v>2</v>
      </c>
      <c r="E882" s="13" t="n">
        <v>1</v>
      </c>
      <c r="F882" s="13" t="n">
        <v>1</v>
      </c>
      <c r="G882" s="13" t="n">
        <v>1</v>
      </c>
      <c r="H882" s="13" t="n">
        <f aca="false">IF(C882=1,A882,"")</f>
        <v>5</v>
      </c>
      <c r="I882" s="13" t="str">
        <f aca="false">IF(C882=0,A882,"")</f>
        <v/>
      </c>
    </row>
    <row r="883" customFormat="false" ht="15" hidden="false" customHeight="false" outlineLevel="0" collapsed="false">
      <c r="A883" s="13" t="n">
        <v>4</v>
      </c>
      <c r="B883" s="13" t="n">
        <v>49</v>
      </c>
      <c r="C883" s="13" t="n">
        <v>0</v>
      </c>
      <c r="D883" s="13" t="n">
        <v>2</v>
      </c>
      <c r="E883" s="13" t="n">
        <v>1</v>
      </c>
      <c r="F883" s="13" t="n">
        <v>1</v>
      </c>
      <c r="G883" s="13" t="n">
        <v>1</v>
      </c>
      <c r="H883" s="13" t="str">
        <f aca="false">IF(C883=1,A883,"")</f>
        <v/>
      </c>
      <c r="I883" s="13" t="n">
        <f aca="false">IF(C883=0,A883,"")</f>
        <v>4</v>
      </c>
    </row>
    <row r="884" customFormat="false" ht="15" hidden="false" customHeight="false" outlineLevel="0" collapsed="false">
      <c r="A884" s="13" t="n">
        <v>3</v>
      </c>
      <c r="B884" s="13" t="n">
        <v>49</v>
      </c>
      <c r="C884" s="13" t="n">
        <v>1</v>
      </c>
      <c r="D884" s="13" t="n">
        <v>0</v>
      </c>
      <c r="E884" s="13" t="n">
        <v>1</v>
      </c>
      <c r="F884" s="13" t="n">
        <v>1</v>
      </c>
      <c r="G884" s="13" t="n">
        <v>0</v>
      </c>
      <c r="H884" s="13" t="n">
        <f aca="false">IF(C884=1,A884,"")</f>
        <v>3</v>
      </c>
      <c r="I884" s="13" t="str">
        <f aca="false">IF(C884=0,A884,"")</f>
        <v/>
      </c>
    </row>
    <row r="885" customFormat="false" ht="15" hidden="false" customHeight="false" outlineLevel="0" collapsed="false">
      <c r="A885" s="13" t="n">
        <v>4</v>
      </c>
      <c r="B885" s="13" t="n">
        <v>52</v>
      </c>
      <c r="C885" s="13" t="n">
        <v>1</v>
      </c>
      <c r="D885" s="13" t="n">
        <v>0</v>
      </c>
      <c r="E885" s="13" t="n">
        <v>0</v>
      </c>
      <c r="F885" s="13" t="n">
        <v>0</v>
      </c>
      <c r="G885" s="13" t="n">
        <v>0</v>
      </c>
      <c r="H885" s="13" t="n">
        <f aca="false">IF(C885=1,A885,"")</f>
        <v>4</v>
      </c>
      <c r="I885" s="13" t="str">
        <f aca="false">IF(C885=0,A885,"")</f>
        <v/>
      </c>
    </row>
    <row r="886" customFormat="false" ht="15" hidden="false" customHeight="false" outlineLevel="0" collapsed="false">
      <c r="A886" s="13" t="n">
        <v>4</v>
      </c>
      <c r="B886" s="13" t="n">
        <v>33</v>
      </c>
      <c r="C886" s="13" t="n">
        <v>0</v>
      </c>
      <c r="D886" s="13" t="n">
        <v>0</v>
      </c>
      <c r="E886" s="13" t="n">
        <v>1</v>
      </c>
      <c r="F886" s="13" t="n">
        <v>1</v>
      </c>
      <c r="G886" s="13" t="n">
        <v>0</v>
      </c>
      <c r="H886" s="13" t="str">
        <f aca="false">IF(C886=1,A886,"")</f>
        <v/>
      </c>
      <c r="I886" s="13" t="n">
        <f aca="false">IF(C886=0,A886,"")</f>
        <v>4</v>
      </c>
    </row>
    <row r="887" customFormat="false" ht="15" hidden="false" customHeight="false" outlineLevel="0" collapsed="false">
      <c r="A887" s="13" t="n">
        <v>4</v>
      </c>
      <c r="B887" s="13" t="n">
        <v>57</v>
      </c>
      <c r="C887" s="13" t="n">
        <v>1</v>
      </c>
      <c r="D887" s="13" t="n">
        <v>2</v>
      </c>
      <c r="E887" s="13" t="n">
        <v>1</v>
      </c>
      <c r="F887" s="13" t="n">
        <v>1</v>
      </c>
      <c r="G887" s="13" t="n">
        <v>1</v>
      </c>
      <c r="H887" s="13" t="n">
        <f aca="false">IF(C887=1,A887,"")</f>
        <v>4</v>
      </c>
      <c r="I887" s="13" t="str">
        <f aca="false">IF(C887=0,A887,"")</f>
        <v/>
      </c>
    </row>
    <row r="888" customFormat="false" ht="15" hidden="false" customHeight="false" outlineLevel="0" collapsed="false">
      <c r="A888" s="13" t="n">
        <v>1</v>
      </c>
      <c r="B888" s="13" t="n">
        <v>36</v>
      </c>
      <c r="C888" s="13" t="n">
        <v>1</v>
      </c>
      <c r="D888" s="13" t="n">
        <v>1</v>
      </c>
      <c r="E888" s="13" t="n">
        <v>1</v>
      </c>
      <c r="F888" s="13" t="n">
        <v>1</v>
      </c>
      <c r="G888" s="13" t="n">
        <v>0</v>
      </c>
      <c r="H888" s="13" t="n">
        <f aca="false">IF(C888=1,A888,"")</f>
        <v>1</v>
      </c>
      <c r="I888" s="13" t="str">
        <f aca="false">IF(C888=0,A888,"")</f>
        <v/>
      </c>
    </row>
    <row r="889" customFormat="false" ht="15" hidden="false" customHeight="false" outlineLevel="0" collapsed="false">
      <c r="A889" s="13" t="n">
        <v>4</v>
      </c>
      <c r="B889" s="13" t="n">
        <v>44</v>
      </c>
      <c r="C889" s="13" t="n">
        <v>1</v>
      </c>
      <c r="D889" s="13" t="n">
        <v>2</v>
      </c>
      <c r="E889" s="13" t="n">
        <v>1</v>
      </c>
      <c r="F889" s="13" t="n">
        <v>1</v>
      </c>
      <c r="G889" s="13" t="n">
        <v>1</v>
      </c>
      <c r="H889" s="13" t="n">
        <f aca="false">IF(C889=1,A889,"")</f>
        <v>4</v>
      </c>
      <c r="I889" s="13" t="str">
        <f aca="false">IF(C889=0,A889,"")</f>
        <v/>
      </c>
    </row>
    <row r="890" customFormat="false" ht="15" hidden="false" customHeight="false" outlineLevel="0" collapsed="false">
      <c r="A890" s="13" t="n">
        <v>4</v>
      </c>
      <c r="B890" s="13" t="n">
        <v>42</v>
      </c>
      <c r="C890" s="13" t="n">
        <v>1</v>
      </c>
      <c r="D890" s="13" t="n">
        <v>2</v>
      </c>
      <c r="E890" s="13" t="n">
        <v>1</v>
      </c>
      <c r="F890" s="13" t="n">
        <v>1</v>
      </c>
      <c r="G890" s="13" t="n">
        <v>1</v>
      </c>
      <c r="H890" s="13" t="n">
        <f aca="false">IF(C890=1,A890,"")</f>
        <v>4</v>
      </c>
      <c r="I890" s="13" t="str">
        <f aca="false">IF(C890=0,A890,"")</f>
        <v/>
      </c>
    </row>
    <row r="891" customFormat="false" ht="15" hidden="false" customHeight="false" outlineLevel="0" collapsed="false">
      <c r="A891" s="13" t="n">
        <v>4</v>
      </c>
      <c r="B891" s="13" t="n">
        <v>27</v>
      </c>
      <c r="C891" s="13" t="n">
        <v>0</v>
      </c>
      <c r="D891" s="13" t="n">
        <v>0</v>
      </c>
      <c r="E891" s="13" t="n">
        <v>1</v>
      </c>
      <c r="F891" s="13" t="n">
        <v>1</v>
      </c>
      <c r="G891" s="13" t="n">
        <v>0</v>
      </c>
      <c r="H891" s="13" t="str">
        <f aca="false">IF(C891=1,A891,"")</f>
        <v/>
      </c>
      <c r="I891" s="13" t="n">
        <f aca="false">IF(C891=0,A891,"")</f>
        <v>4</v>
      </c>
    </row>
    <row r="892" customFormat="false" ht="15" hidden="false" customHeight="false" outlineLevel="0" collapsed="false">
      <c r="A892" s="13" t="n">
        <v>4</v>
      </c>
      <c r="B892" s="13" t="n">
        <v>50</v>
      </c>
      <c r="C892" s="13" t="n">
        <v>1</v>
      </c>
      <c r="D892" s="13" t="n">
        <v>1</v>
      </c>
      <c r="E892" s="13" t="n">
        <v>1</v>
      </c>
      <c r="F892" s="13" t="n">
        <v>1</v>
      </c>
      <c r="G892" s="13" t="n">
        <v>1</v>
      </c>
      <c r="H892" s="13" t="n">
        <f aca="false">IF(C892=1,A892,"")</f>
        <v>4</v>
      </c>
      <c r="I892" s="13" t="str">
        <f aca="false">IF(C892=0,A892,"")</f>
        <v/>
      </c>
    </row>
    <row r="893" customFormat="false" ht="15" hidden="false" customHeight="false" outlineLevel="0" collapsed="false">
      <c r="A893" s="13" t="n">
        <v>3</v>
      </c>
      <c r="B893" s="13" t="n">
        <v>30</v>
      </c>
      <c r="C893" s="13" t="n">
        <v>0</v>
      </c>
      <c r="D893" s="13" t="n">
        <v>1</v>
      </c>
      <c r="E893" s="13" t="n">
        <v>1</v>
      </c>
      <c r="F893" s="13" t="n">
        <v>1</v>
      </c>
      <c r="G893" s="13" t="n">
        <v>1</v>
      </c>
      <c r="H893" s="13" t="str">
        <f aca="false">IF(C893=1,A893,"")</f>
        <v/>
      </c>
      <c r="I893" s="13" t="n">
        <f aca="false">IF(C893=0,A893,"")</f>
        <v>3</v>
      </c>
    </row>
    <row r="894" customFormat="false" ht="15" hidden="false" customHeight="false" outlineLevel="0" collapsed="false">
      <c r="A894" s="13" t="n">
        <v>4</v>
      </c>
      <c r="B894" s="13" t="n">
        <v>41</v>
      </c>
      <c r="C894" s="13" t="n">
        <v>1</v>
      </c>
      <c r="D894" s="13" t="n">
        <v>3</v>
      </c>
      <c r="E894" s="13" t="n">
        <v>1</v>
      </c>
      <c r="F894" s="13" t="n">
        <v>0</v>
      </c>
      <c r="G894" s="13" t="n">
        <v>1</v>
      </c>
      <c r="H894" s="13" t="n">
        <f aca="false">IF(C894=1,A894,"")</f>
        <v>4</v>
      </c>
      <c r="I894" s="13" t="str">
        <f aca="false">IF(C894=0,A894,"")</f>
        <v/>
      </c>
    </row>
    <row r="895" customFormat="false" ht="15" hidden="false" customHeight="false" outlineLevel="0" collapsed="false">
      <c r="A895" s="13" t="n">
        <v>4</v>
      </c>
      <c r="B895" s="13" t="n">
        <v>45</v>
      </c>
      <c r="C895" s="13" t="n">
        <v>1</v>
      </c>
      <c r="D895" s="13" t="n">
        <v>0</v>
      </c>
      <c r="E895" s="13" t="n">
        <v>1</v>
      </c>
      <c r="F895" s="13" t="n">
        <v>1</v>
      </c>
      <c r="G895" s="13" t="n">
        <v>0</v>
      </c>
      <c r="H895" s="13" t="n">
        <f aca="false">IF(C895=1,A895,"")</f>
        <v>4</v>
      </c>
      <c r="I895" s="13" t="str">
        <f aca="false">IF(C895=0,A895,"")</f>
        <v/>
      </c>
    </row>
    <row r="896" customFormat="false" ht="15" hidden="false" customHeight="false" outlineLevel="0" collapsed="false">
      <c r="A896" s="13" t="n">
        <v>4</v>
      </c>
      <c r="B896" s="13" t="n">
        <v>42</v>
      </c>
      <c r="C896" s="13" t="n">
        <v>0</v>
      </c>
      <c r="D896" s="13" t="n">
        <v>0</v>
      </c>
      <c r="E896" s="13" t="n">
        <v>1</v>
      </c>
      <c r="F896" s="13" t="n">
        <v>0</v>
      </c>
      <c r="G896" s="13" t="n">
        <v>1</v>
      </c>
      <c r="H896" s="13" t="str">
        <f aca="false">IF(C896=1,A896,"")</f>
        <v/>
      </c>
      <c r="I896" s="13" t="n">
        <f aca="false">IF(C896=0,A896,"")</f>
        <v>4</v>
      </c>
    </row>
    <row r="897" customFormat="false" ht="15" hidden="false" customHeight="false" outlineLevel="0" collapsed="false">
      <c r="A897" s="13" t="n">
        <v>4</v>
      </c>
      <c r="B897" s="13" t="n">
        <v>53</v>
      </c>
      <c r="C897" s="13" t="n">
        <v>0</v>
      </c>
      <c r="D897" s="13" t="n">
        <v>0</v>
      </c>
      <c r="E897" s="13" t="n">
        <v>0</v>
      </c>
      <c r="F897" s="13" t="n">
        <v>1</v>
      </c>
      <c r="G897" s="13" t="n">
        <v>0</v>
      </c>
      <c r="H897" s="13" t="str">
        <f aca="false">IF(C897=1,A897,"")</f>
        <v/>
      </c>
      <c r="I897" s="13" t="n">
        <f aca="false">IF(C897=0,A897,"")</f>
        <v>4</v>
      </c>
    </row>
    <row r="898" customFormat="false" ht="15" hidden="false" customHeight="false" outlineLevel="0" collapsed="false">
      <c r="A898" s="13" t="n">
        <v>4</v>
      </c>
      <c r="B898" s="13" t="n">
        <v>30</v>
      </c>
      <c r="C898" s="13" t="n">
        <v>1</v>
      </c>
      <c r="D898" s="13" t="n">
        <v>0</v>
      </c>
      <c r="E898" s="13" t="n">
        <v>1</v>
      </c>
      <c r="F898" s="13" t="n">
        <v>1</v>
      </c>
      <c r="G898" s="13" t="n">
        <v>0</v>
      </c>
      <c r="H898" s="13" t="n">
        <f aca="false">IF(C898=1,A898,"")</f>
        <v>4</v>
      </c>
      <c r="I898" s="13" t="str">
        <f aca="false">IF(C898=0,A898,"")</f>
        <v/>
      </c>
    </row>
    <row r="899" customFormat="false" ht="15" hidden="false" customHeight="false" outlineLevel="0" collapsed="false">
      <c r="A899" s="13" t="n">
        <v>4</v>
      </c>
      <c r="B899" s="13" t="n">
        <v>63</v>
      </c>
      <c r="C899" s="13" t="n">
        <v>0</v>
      </c>
      <c r="D899" s="13" t="n">
        <v>0</v>
      </c>
      <c r="E899" s="13" t="n">
        <v>0</v>
      </c>
      <c r="F899" s="13" t="n">
        <v>0</v>
      </c>
      <c r="G899" s="13" t="n">
        <v>1</v>
      </c>
      <c r="H899" s="13" t="str">
        <f aca="false">IF(C899=1,A899,"")</f>
        <v/>
      </c>
      <c r="I899" s="13" t="n">
        <f aca="false">IF(C899=0,A899,"")</f>
        <v>4</v>
      </c>
    </row>
    <row r="900" customFormat="false" ht="15" hidden="false" customHeight="false" outlineLevel="0" collapsed="false">
      <c r="A900" s="13" t="n">
        <v>5</v>
      </c>
      <c r="B900" s="13" t="n">
        <v>38</v>
      </c>
      <c r="C900" s="13" t="n">
        <v>1</v>
      </c>
      <c r="D900" s="13" t="n">
        <v>4</v>
      </c>
      <c r="E900" s="13" t="n">
        <v>1</v>
      </c>
      <c r="F900" s="13" t="n">
        <v>1</v>
      </c>
      <c r="G900" s="13" t="n">
        <v>1</v>
      </c>
      <c r="H900" s="13" t="n">
        <f aca="false">IF(C900=1,A900,"")</f>
        <v>5</v>
      </c>
      <c r="I900" s="13" t="str">
        <f aca="false">IF(C900=0,A900,"")</f>
        <v/>
      </c>
    </row>
    <row r="901" customFormat="false" ht="15" hidden="false" customHeight="false" outlineLevel="0" collapsed="false">
      <c r="A901" s="13" t="n">
        <v>5</v>
      </c>
      <c r="B901" s="13" t="n">
        <v>53</v>
      </c>
      <c r="C901" s="13" t="n">
        <v>1</v>
      </c>
      <c r="D901" s="13" t="n">
        <v>0</v>
      </c>
      <c r="E901" s="13" t="n">
        <v>0</v>
      </c>
      <c r="F901" s="13" t="n">
        <v>0</v>
      </c>
      <c r="G901" s="13" t="n">
        <v>0</v>
      </c>
      <c r="H901" s="13" t="n">
        <f aca="false">IF(C901=1,A901,"")</f>
        <v>5</v>
      </c>
      <c r="I901" s="13" t="str">
        <f aca="false">IF(C901=0,A901,"")</f>
        <v/>
      </c>
    </row>
    <row r="902" customFormat="false" ht="15" hidden="false" customHeight="false" outlineLevel="0" collapsed="false">
      <c r="A902" s="13" t="n">
        <v>4</v>
      </c>
      <c r="B902" s="13" t="n">
        <v>36</v>
      </c>
      <c r="C902" s="13" t="n">
        <v>1</v>
      </c>
      <c r="D902" s="13" t="n">
        <v>3</v>
      </c>
      <c r="E902" s="13" t="n">
        <v>0</v>
      </c>
      <c r="F902" s="13" t="n">
        <v>0</v>
      </c>
      <c r="G902" s="13" t="n">
        <v>1</v>
      </c>
      <c r="H902" s="13" t="n">
        <f aca="false">IF(C902=1,A902,"")</f>
        <v>4</v>
      </c>
      <c r="I902" s="13" t="str">
        <f aca="false">IF(C902=0,A902,"")</f>
        <v/>
      </c>
    </row>
    <row r="903" customFormat="false" ht="15" hidden="false" customHeight="false" outlineLevel="0" collapsed="false">
      <c r="A903" s="13" t="n">
        <v>4</v>
      </c>
      <c r="B903" s="13" t="n">
        <v>38</v>
      </c>
      <c r="C903" s="13" t="n">
        <v>0</v>
      </c>
      <c r="D903" s="13" t="n">
        <v>2</v>
      </c>
      <c r="E903" s="13" t="n">
        <v>1</v>
      </c>
      <c r="F903" s="13" t="n">
        <v>1</v>
      </c>
      <c r="G903" s="13" t="n">
        <v>1</v>
      </c>
      <c r="H903" s="13" t="str">
        <f aca="false">IF(C903=1,A903,"")</f>
        <v/>
      </c>
      <c r="I903" s="13" t="n">
        <f aca="false">IF(C903=0,A903,"")</f>
        <v>4</v>
      </c>
    </row>
    <row r="904" customFormat="false" ht="15" hidden="false" customHeight="false" outlineLevel="0" collapsed="false">
      <c r="A904" s="13" t="n">
        <v>4</v>
      </c>
      <c r="B904" s="13" t="n">
        <v>44</v>
      </c>
      <c r="C904" s="13" t="n">
        <v>0</v>
      </c>
      <c r="D904" s="13" t="n">
        <v>3</v>
      </c>
      <c r="E904" s="13" t="n">
        <v>1</v>
      </c>
      <c r="F904" s="13" t="n">
        <v>1</v>
      </c>
      <c r="G904" s="13" t="n">
        <v>0</v>
      </c>
      <c r="H904" s="13" t="str">
        <f aca="false">IF(C904=1,A904,"")</f>
        <v/>
      </c>
      <c r="I904" s="13" t="n">
        <f aca="false">IF(C904=0,A904,"")</f>
        <v>4</v>
      </c>
    </row>
    <row r="905" customFormat="false" ht="15" hidden="false" customHeight="false" outlineLevel="0" collapsed="false">
      <c r="A905" s="13" t="n">
        <v>4</v>
      </c>
      <c r="B905" s="13" t="n">
        <v>60</v>
      </c>
      <c r="C905" s="13" t="n">
        <v>1</v>
      </c>
      <c r="D905" s="13" t="n">
        <v>0</v>
      </c>
      <c r="E905" s="13" t="n">
        <v>1</v>
      </c>
      <c r="F905" s="13" t="n">
        <v>1</v>
      </c>
      <c r="G905" s="13" t="n">
        <v>1</v>
      </c>
      <c r="H905" s="13" t="n">
        <f aca="false">IF(C905=1,A905,"")</f>
        <v>4</v>
      </c>
      <c r="I905" s="13" t="str">
        <f aca="false">IF(C905=0,A905,"")</f>
        <v/>
      </c>
    </row>
    <row r="906" customFormat="false" ht="15" hidden="false" customHeight="false" outlineLevel="0" collapsed="false">
      <c r="A906" s="13" t="n">
        <v>2</v>
      </c>
      <c r="B906" s="13" t="n">
        <v>59</v>
      </c>
      <c r="C906" s="13" t="n">
        <v>0</v>
      </c>
      <c r="D906" s="13" t="n">
        <v>0</v>
      </c>
      <c r="E906" s="13" t="n">
        <v>1</v>
      </c>
      <c r="F906" s="13" t="n">
        <v>0</v>
      </c>
      <c r="G906" s="13" t="n">
        <v>0</v>
      </c>
      <c r="H906" s="13" t="str">
        <f aca="false">IF(C906=1,A906,"")</f>
        <v/>
      </c>
      <c r="I906" s="13" t="n">
        <f aca="false">IF(C906=0,A906,"")</f>
        <v>2</v>
      </c>
    </row>
    <row r="907" customFormat="false" ht="15" hidden="false" customHeight="false" outlineLevel="0" collapsed="false">
      <c r="A907" s="13" t="n">
        <v>5</v>
      </c>
      <c r="B907" s="13" t="n">
        <v>55</v>
      </c>
      <c r="C907" s="13" t="n">
        <v>1</v>
      </c>
      <c r="D907" s="13" t="n">
        <v>0</v>
      </c>
      <c r="E907" s="13" t="n">
        <v>1</v>
      </c>
      <c r="F907" s="13" t="n">
        <v>1</v>
      </c>
      <c r="G907" s="13" t="n">
        <v>1</v>
      </c>
      <c r="H907" s="13" t="n">
        <f aca="false">IF(C907=1,A907,"")</f>
        <v>5</v>
      </c>
      <c r="I907" s="13" t="str">
        <f aca="false">IF(C907=0,A907,"")</f>
        <v/>
      </c>
    </row>
    <row r="908" customFormat="false" ht="15" hidden="false" customHeight="false" outlineLevel="0" collapsed="false">
      <c r="A908" s="13" t="n">
        <v>5</v>
      </c>
      <c r="B908" s="13" t="n">
        <v>57</v>
      </c>
      <c r="C908" s="13" t="n">
        <v>1</v>
      </c>
      <c r="D908" s="13" t="n">
        <v>0</v>
      </c>
      <c r="E908" s="13" t="n">
        <v>1</v>
      </c>
      <c r="F908" s="13" t="n">
        <v>0</v>
      </c>
      <c r="G908" s="13" t="n">
        <v>1</v>
      </c>
      <c r="H908" s="13" t="n">
        <f aca="false">IF(C908=1,A908,"")</f>
        <v>5</v>
      </c>
      <c r="I908" s="13" t="str">
        <f aca="false">IF(C908=0,A908,"")</f>
        <v/>
      </c>
    </row>
    <row r="909" customFormat="false" ht="15" hidden="false" customHeight="false" outlineLevel="0" collapsed="false">
      <c r="A909" s="13" t="n">
        <v>2</v>
      </c>
      <c r="B909" s="13" t="n">
        <v>63</v>
      </c>
      <c r="C909" s="13" t="n">
        <v>1</v>
      </c>
      <c r="D909" s="13" t="n">
        <v>0</v>
      </c>
      <c r="E909" s="13" t="n">
        <v>0</v>
      </c>
      <c r="F909" s="13" t="n">
        <v>1</v>
      </c>
      <c r="G909" s="13" t="n">
        <v>1</v>
      </c>
      <c r="H909" s="13" t="n">
        <f aca="false">IF(C909=1,A909,"")</f>
        <v>2</v>
      </c>
      <c r="I909" s="13" t="str">
        <f aca="false">IF(C909=0,A909,"")</f>
        <v/>
      </c>
    </row>
    <row r="910" customFormat="false" ht="15" hidden="false" customHeight="false" outlineLevel="0" collapsed="false">
      <c r="A910" s="13" t="n">
        <v>3</v>
      </c>
      <c r="B910" s="13" t="n">
        <v>60</v>
      </c>
      <c r="C910" s="13" t="n">
        <v>1</v>
      </c>
      <c r="D910" s="13" t="n">
        <v>0</v>
      </c>
      <c r="E910" s="13" t="n">
        <v>0</v>
      </c>
      <c r="F910" s="13" t="n">
        <v>1</v>
      </c>
      <c r="G910" s="13" t="n">
        <v>1</v>
      </c>
      <c r="H910" s="13" t="n">
        <f aca="false">IF(C910=1,A910,"")</f>
        <v>3</v>
      </c>
      <c r="I910" s="13" t="str">
        <f aca="false">IF(C910=0,A910,"")</f>
        <v/>
      </c>
    </row>
    <row r="911" customFormat="false" ht="15" hidden="false" customHeight="false" outlineLevel="0" collapsed="false">
      <c r="A911" s="13" t="n">
        <v>4</v>
      </c>
      <c r="B911" s="13" t="n">
        <v>56</v>
      </c>
      <c r="C911" s="13" t="n">
        <v>0</v>
      </c>
      <c r="D911" s="13" t="n">
        <v>0</v>
      </c>
      <c r="E911" s="13" t="n">
        <v>0</v>
      </c>
      <c r="F911" s="13" t="n">
        <v>0</v>
      </c>
      <c r="G911" s="13" t="n">
        <v>0</v>
      </c>
      <c r="H911" s="13" t="str">
        <f aca="false">IF(C911=1,A911,"")</f>
        <v/>
      </c>
      <c r="I911" s="13" t="n">
        <f aca="false">IF(C911=0,A911,"")</f>
        <v>4</v>
      </c>
    </row>
    <row r="912" customFormat="false" ht="15" hidden="false" customHeight="false" outlineLevel="0" collapsed="false">
      <c r="A912" s="13" t="n">
        <v>5</v>
      </c>
      <c r="B912" s="13" t="n">
        <v>51</v>
      </c>
      <c r="C912" s="13" t="n">
        <v>1</v>
      </c>
      <c r="D912" s="13" t="n">
        <v>0</v>
      </c>
      <c r="E912" s="13" t="n">
        <v>1</v>
      </c>
      <c r="F912" s="13" t="n">
        <v>1</v>
      </c>
      <c r="G912" s="13" t="n">
        <v>1</v>
      </c>
      <c r="H912" s="13" t="n">
        <f aca="false">IF(C912=1,A912,"")</f>
        <v>5</v>
      </c>
      <c r="I912" s="13" t="str">
        <f aca="false">IF(C912=0,A912,"")</f>
        <v/>
      </c>
    </row>
    <row r="913" customFormat="false" ht="15" hidden="false" customHeight="false" outlineLevel="0" collapsed="false">
      <c r="A913" s="13" t="n">
        <v>4</v>
      </c>
      <c r="B913" s="13" t="n">
        <v>58</v>
      </c>
      <c r="C913" s="13" t="n">
        <v>0</v>
      </c>
      <c r="D913" s="13" t="n">
        <v>0</v>
      </c>
      <c r="E913" s="13" t="n">
        <v>1</v>
      </c>
      <c r="F913" s="13" t="n">
        <v>1</v>
      </c>
      <c r="G913" s="13" t="n">
        <v>1</v>
      </c>
      <c r="H913" s="13" t="str">
        <f aca="false">IF(C913=1,A913,"")</f>
        <v/>
      </c>
      <c r="I913" s="13" t="n">
        <f aca="false">IF(C913=0,A913,"")</f>
        <v>4</v>
      </c>
    </row>
    <row r="914" customFormat="false" ht="15" hidden="false" customHeight="false" outlineLevel="0" collapsed="false">
      <c r="A914" s="13" t="n">
        <v>4</v>
      </c>
      <c r="B914" s="13" t="n">
        <v>63</v>
      </c>
      <c r="C914" s="13" t="n">
        <v>1</v>
      </c>
      <c r="D914" s="13" t="n">
        <v>0</v>
      </c>
      <c r="E914" s="13" t="n">
        <v>0</v>
      </c>
      <c r="F914" s="13" t="n">
        <v>0</v>
      </c>
      <c r="G914" s="13" t="n">
        <v>0</v>
      </c>
      <c r="H914" s="13" t="n">
        <f aca="false">IF(C914=1,A914,"")</f>
        <v>4</v>
      </c>
      <c r="I914" s="13" t="str">
        <f aca="false">IF(C914=0,A914,"")</f>
        <v/>
      </c>
    </row>
    <row r="915" customFormat="false" ht="15" hidden="false" customHeight="false" outlineLevel="0" collapsed="false">
      <c r="A915" s="13" t="n">
        <v>4</v>
      </c>
      <c r="B915" s="13" t="n">
        <v>32</v>
      </c>
      <c r="C915" s="13" t="n">
        <v>1</v>
      </c>
      <c r="D915" s="13" t="n">
        <v>0</v>
      </c>
      <c r="E915" s="13" t="n">
        <v>1</v>
      </c>
      <c r="F915" s="13" t="n">
        <v>0</v>
      </c>
      <c r="G915" s="13" t="n">
        <v>0</v>
      </c>
      <c r="H915" s="13" t="n">
        <f aca="false">IF(C915=1,A915,"")</f>
        <v>4</v>
      </c>
      <c r="I915" s="13" t="str">
        <f aca="false">IF(C915=0,A915,"")</f>
        <v/>
      </c>
    </row>
    <row r="916" customFormat="false" ht="15" hidden="false" customHeight="false" outlineLevel="0" collapsed="false">
      <c r="A916" s="13" t="n">
        <v>4</v>
      </c>
      <c r="B916" s="13" t="n">
        <v>38</v>
      </c>
      <c r="C916" s="13" t="n">
        <v>0</v>
      </c>
      <c r="D916" s="13" t="n">
        <v>2</v>
      </c>
      <c r="E916" s="13" t="n">
        <v>0</v>
      </c>
      <c r="F916" s="13" t="n">
        <v>1</v>
      </c>
      <c r="G916" s="13" t="n">
        <v>1</v>
      </c>
      <c r="H916" s="13" t="str">
        <f aca="false">IF(C916=1,A916,"")</f>
        <v/>
      </c>
      <c r="I916" s="13" t="n">
        <f aca="false">IF(C916=0,A916,"")</f>
        <v>4</v>
      </c>
    </row>
    <row r="917" customFormat="false" ht="15" hidden="false" customHeight="false" outlineLevel="0" collapsed="false">
      <c r="A917" s="13" t="n">
        <v>5</v>
      </c>
      <c r="B917" s="13" t="n">
        <v>58</v>
      </c>
      <c r="C917" s="13" t="n">
        <v>0</v>
      </c>
      <c r="D917" s="13" t="n">
        <v>0</v>
      </c>
      <c r="E917" s="13" t="n">
        <v>1</v>
      </c>
      <c r="F917" s="13" t="n">
        <v>0</v>
      </c>
      <c r="G917" s="13" t="n">
        <v>1</v>
      </c>
      <c r="H917" s="13" t="str">
        <f aca="false">IF(C917=1,A917,"")</f>
        <v/>
      </c>
      <c r="I917" s="13" t="n">
        <f aca="false">IF(C917=0,A917,"")</f>
        <v>5</v>
      </c>
    </row>
    <row r="918" customFormat="false" ht="15" hidden="false" customHeight="false" outlineLevel="0" collapsed="false">
      <c r="A918" s="13" t="n">
        <v>2</v>
      </c>
      <c r="B918" s="13" t="n">
        <v>64</v>
      </c>
      <c r="C918" s="13" t="n">
        <v>1</v>
      </c>
      <c r="D918" s="13" t="n">
        <v>0</v>
      </c>
      <c r="E918" s="13" t="n">
        <v>1</v>
      </c>
      <c r="F918" s="13" t="n">
        <v>0</v>
      </c>
      <c r="G918" s="13" t="n">
        <v>0</v>
      </c>
      <c r="H918" s="13" t="n">
        <f aca="false">IF(C918=1,A918,"")</f>
        <v>2</v>
      </c>
      <c r="I918" s="13" t="str">
        <f aca="false">IF(C918=0,A918,"")</f>
        <v/>
      </c>
    </row>
    <row r="919" customFormat="false" ht="15" hidden="false" customHeight="false" outlineLevel="0" collapsed="false">
      <c r="A919" s="13" t="n">
        <v>4</v>
      </c>
      <c r="B919" s="13" t="n">
        <v>55</v>
      </c>
      <c r="C919" s="13" t="n">
        <v>1</v>
      </c>
      <c r="D919" s="13" t="n">
        <v>0</v>
      </c>
      <c r="E919" s="13" t="n">
        <v>1</v>
      </c>
      <c r="F919" s="13" t="n">
        <v>0</v>
      </c>
      <c r="G919" s="13" t="n">
        <v>0</v>
      </c>
      <c r="H919" s="13" t="n">
        <f aca="false">IF(C919=1,A919,"")</f>
        <v>4</v>
      </c>
      <c r="I919" s="13" t="str">
        <f aca="false">IF(C919=0,A919,"")</f>
        <v/>
      </c>
    </row>
    <row r="920" customFormat="false" ht="15" hidden="false" customHeight="false" outlineLevel="0" collapsed="false">
      <c r="A920" s="13" t="n">
        <v>4</v>
      </c>
      <c r="B920" s="13" t="n">
        <v>31</v>
      </c>
      <c r="C920" s="13" t="n">
        <v>0</v>
      </c>
      <c r="D920" s="13" t="n">
        <v>0</v>
      </c>
      <c r="E920" s="13" t="n">
        <v>0</v>
      </c>
      <c r="F920" s="13" t="n">
        <v>1</v>
      </c>
      <c r="G920" s="13" t="n">
        <v>1</v>
      </c>
      <c r="H920" s="13" t="str">
        <f aca="false">IF(C920=1,A920,"")</f>
        <v/>
      </c>
      <c r="I920" s="13" t="n">
        <f aca="false">IF(C920=0,A920,"")</f>
        <v>4</v>
      </c>
    </row>
    <row r="921" customFormat="false" ht="15" hidden="false" customHeight="false" outlineLevel="0" collapsed="false">
      <c r="A921" s="13" t="n">
        <v>4</v>
      </c>
      <c r="B921" s="13" t="n">
        <v>58</v>
      </c>
      <c r="C921" s="13" t="n">
        <v>1</v>
      </c>
      <c r="D921" s="13" t="n">
        <v>0</v>
      </c>
      <c r="E921" s="13" t="n">
        <v>0</v>
      </c>
      <c r="F921" s="13" t="n">
        <v>0</v>
      </c>
      <c r="G921" s="13" t="n">
        <v>1</v>
      </c>
      <c r="H921" s="13" t="n">
        <f aca="false">IF(C921=1,A921,"")</f>
        <v>4</v>
      </c>
      <c r="I921" s="13" t="str">
        <f aca="false">IF(C921=0,A921,"")</f>
        <v/>
      </c>
    </row>
    <row r="922" customFormat="false" ht="15" hidden="false" customHeight="false" outlineLevel="0" collapsed="false">
      <c r="A922" s="13" t="n">
        <v>2</v>
      </c>
      <c r="B922" s="13" t="n">
        <v>51</v>
      </c>
      <c r="C922" s="13" t="n">
        <v>1</v>
      </c>
      <c r="D922" s="13" t="n">
        <v>0</v>
      </c>
      <c r="E922" s="13" t="n">
        <v>0</v>
      </c>
      <c r="F922" s="13" t="n">
        <v>0</v>
      </c>
      <c r="G922" s="13" t="n">
        <v>0</v>
      </c>
      <c r="H922" s="13" t="n">
        <f aca="false">IF(C922=1,A922,"")</f>
        <v>2</v>
      </c>
      <c r="I922" s="13" t="str">
        <f aca="false">IF(C922=0,A922,"")</f>
        <v/>
      </c>
    </row>
    <row r="923" customFormat="false" ht="15" hidden="false" customHeight="false" outlineLevel="0" collapsed="false">
      <c r="A923" s="13" t="n">
        <v>4</v>
      </c>
      <c r="B923" s="13" t="n">
        <v>55</v>
      </c>
      <c r="C923" s="13" t="n">
        <v>1</v>
      </c>
      <c r="D923" s="13" t="n">
        <v>0</v>
      </c>
      <c r="E923" s="13" t="n">
        <v>0</v>
      </c>
      <c r="F923" s="13" t="n">
        <v>1</v>
      </c>
      <c r="G923" s="13" t="n">
        <v>1</v>
      </c>
      <c r="H923" s="13" t="n">
        <f aca="false">IF(C923=1,A923,"")</f>
        <v>4</v>
      </c>
      <c r="I923" s="13" t="str">
        <f aca="false">IF(C923=0,A923,"")</f>
        <v/>
      </c>
    </row>
    <row r="924" customFormat="false" ht="15" hidden="false" customHeight="false" outlineLevel="0" collapsed="false">
      <c r="A924" s="13" t="n">
        <v>4</v>
      </c>
      <c r="B924" s="13" t="n">
        <v>30</v>
      </c>
      <c r="C924" s="13" t="n">
        <v>1</v>
      </c>
      <c r="D924" s="13" t="n">
        <v>0</v>
      </c>
      <c r="E924" s="13" t="n">
        <v>0</v>
      </c>
      <c r="F924" s="13" t="n">
        <v>1</v>
      </c>
      <c r="G924" s="13" t="n">
        <v>0</v>
      </c>
      <c r="H924" s="13" t="n">
        <f aca="false">IF(C924=1,A924,"")</f>
        <v>4</v>
      </c>
      <c r="I924" s="13" t="str">
        <f aca="false">IF(C924=0,A924,"")</f>
        <v/>
      </c>
    </row>
    <row r="925" customFormat="false" ht="15" hidden="false" customHeight="false" outlineLevel="0" collapsed="false">
      <c r="A925" s="13" t="n">
        <v>4</v>
      </c>
      <c r="B925" s="13" t="n">
        <v>56</v>
      </c>
      <c r="C925" s="13" t="n">
        <v>1</v>
      </c>
      <c r="D925" s="13" t="n">
        <v>0</v>
      </c>
      <c r="E925" s="13" t="n">
        <v>1</v>
      </c>
      <c r="F925" s="13" t="n">
        <v>1</v>
      </c>
      <c r="G925" s="13" t="n">
        <v>1</v>
      </c>
      <c r="H925" s="13" t="n">
        <f aca="false">IF(C925=1,A925,"")</f>
        <v>4</v>
      </c>
      <c r="I925" s="13" t="str">
        <f aca="false">IF(C925=0,A925,"")</f>
        <v/>
      </c>
    </row>
    <row r="926" customFormat="false" ht="15" hidden="false" customHeight="false" outlineLevel="0" collapsed="false">
      <c r="A926" s="13" t="n">
        <v>5</v>
      </c>
      <c r="B926" s="13" t="n">
        <v>58</v>
      </c>
      <c r="C926" s="13" t="n">
        <v>1</v>
      </c>
      <c r="D926" s="13" t="n">
        <v>0</v>
      </c>
      <c r="E926" s="13" t="n">
        <v>1</v>
      </c>
      <c r="F926" s="13" t="n">
        <v>0</v>
      </c>
      <c r="G926" s="13" t="n">
        <v>1</v>
      </c>
      <c r="H926" s="13" t="n">
        <f aca="false">IF(C926=1,A926,"")</f>
        <v>5</v>
      </c>
      <c r="I926" s="13" t="str">
        <f aca="false">IF(C926=0,A926,"")</f>
        <v/>
      </c>
    </row>
    <row r="927" customFormat="false" ht="15" hidden="false" customHeight="false" outlineLevel="0" collapsed="false">
      <c r="A927" s="13" t="n">
        <v>5</v>
      </c>
      <c r="B927" s="13" t="n">
        <v>55</v>
      </c>
      <c r="C927" s="13" t="n">
        <v>0</v>
      </c>
      <c r="D927" s="13" t="n">
        <v>0</v>
      </c>
      <c r="E927" s="13" t="n">
        <v>0</v>
      </c>
      <c r="F927" s="13" t="n">
        <v>1</v>
      </c>
      <c r="G927" s="13" t="n">
        <v>1</v>
      </c>
      <c r="H927" s="13" t="str">
        <f aca="false">IF(C927=1,A927,"")</f>
        <v/>
      </c>
      <c r="I927" s="13" t="n">
        <f aca="false">IF(C927=0,A927,"")</f>
        <v>5</v>
      </c>
    </row>
    <row r="928" customFormat="false" ht="15" hidden="false" customHeight="false" outlineLevel="0" collapsed="false">
      <c r="A928" s="13" t="n">
        <v>4</v>
      </c>
      <c r="B928" s="13" t="n">
        <v>43</v>
      </c>
      <c r="C928" s="13" t="n">
        <v>0</v>
      </c>
      <c r="D928" s="13" t="n">
        <v>1</v>
      </c>
      <c r="E928" s="13" t="n">
        <v>0</v>
      </c>
      <c r="F928" s="13" t="n">
        <v>1</v>
      </c>
      <c r="G928" s="13" t="n">
        <v>1</v>
      </c>
      <c r="H928" s="13" t="str">
        <f aca="false">IF(C928=1,A928,"")</f>
        <v/>
      </c>
      <c r="I928" s="13" t="n">
        <f aca="false">IF(C928=0,A928,"")</f>
        <v>4</v>
      </c>
    </row>
    <row r="929" customFormat="false" ht="15" hidden="false" customHeight="false" outlineLevel="0" collapsed="false">
      <c r="A929" s="13" t="n">
        <v>1</v>
      </c>
      <c r="B929" s="13" t="n">
        <v>43</v>
      </c>
      <c r="C929" s="13" t="n">
        <v>0</v>
      </c>
      <c r="D929" s="13" t="n">
        <v>0</v>
      </c>
      <c r="E929" s="13" t="n">
        <v>1</v>
      </c>
      <c r="F929" s="13" t="n">
        <v>0</v>
      </c>
      <c r="G929" s="13" t="n">
        <v>0</v>
      </c>
      <c r="H929" s="13" t="str">
        <f aca="false">IF(C929=1,A929,"")</f>
        <v/>
      </c>
      <c r="I929" s="13" t="n">
        <f aca="false">IF(C929=0,A929,"")</f>
        <v>1</v>
      </c>
    </row>
    <row r="930" customFormat="false" ht="15" hidden="false" customHeight="false" outlineLevel="0" collapsed="false">
      <c r="A930" s="13" t="n">
        <v>2</v>
      </c>
      <c r="B930" s="13" t="n">
        <v>56</v>
      </c>
      <c r="C930" s="13" t="n">
        <v>1</v>
      </c>
      <c r="D930" s="13" t="n">
        <v>0</v>
      </c>
      <c r="E930" s="13" t="n">
        <v>0</v>
      </c>
      <c r="F930" s="13" t="n">
        <v>1</v>
      </c>
      <c r="G930" s="13" t="n">
        <v>0</v>
      </c>
      <c r="H930" s="13" t="n">
        <f aca="false">IF(C930=1,A930,"")</f>
        <v>2</v>
      </c>
      <c r="I930" s="13" t="str">
        <f aca="false">IF(C930=0,A930,"")</f>
        <v/>
      </c>
    </row>
    <row r="931" customFormat="false" ht="15" hidden="false" customHeight="false" outlineLevel="0" collapsed="false">
      <c r="A931" s="13" t="n">
        <v>4</v>
      </c>
      <c r="B931" s="13" t="n">
        <v>55</v>
      </c>
      <c r="C931" s="13" t="n">
        <v>1</v>
      </c>
      <c r="D931" s="13" t="n">
        <v>0</v>
      </c>
      <c r="E931" s="13" t="n">
        <v>1</v>
      </c>
      <c r="F931" s="13" t="n">
        <v>1</v>
      </c>
      <c r="G931" s="13" t="n">
        <v>1</v>
      </c>
      <c r="H931" s="13" t="n">
        <f aca="false">IF(C931=1,A931,"")</f>
        <v>4</v>
      </c>
      <c r="I931" s="13" t="str">
        <f aca="false">IF(C931=0,A931,"")</f>
        <v/>
      </c>
    </row>
    <row r="932" customFormat="false" ht="15" hidden="false" customHeight="false" outlineLevel="0" collapsed="false">
      <c r="A932" s="13" t="n">
        <v>4</v>
      </c>
      <c r="B932" s="13" t="n">
        <v>53</v>
      </c>
      <c r="C932" s="13" t="n">
        <v>1</v>
      </c>
      <c r="D932" s="13" t="n">
        <v>1</v>
      </c>
      <c r="E932" s="13" t="n">
        <v>1</v>
      </c>
      <c r="F932" s="13" t="n">
        <v>1</v>
      </c>
      <c r="G932" s="13" t="n">
        <v>0</v>
      </c>
      <c r="H932" s="13" t="n">
        <f aca="false">IF(C932=1,A932,"")</f>
        <v>4</v>
      </c>
      <c r="I932" s="13" t="str">
        <f aca="false">IF(C932=0,A932,"")</f>
        <v/>
      </c>
    </row>
    <row r="933" customFormat="false" ht="15" hidden="false" customHeight="false" outlineLevel="0" collapsed="false">
      <c r="A933" s="13" t="n">
        <v>4</v>
      </c>
      <c r="B933" s="13" t="n">
        <v>30</v>
      </c>
      <c r="C933" s="13" t="n">
        <v>0</v>
      </c>
      <c r="D933" s="13" t="n">
        <v>0</v>
      </c>
      <c r="E933" s="13" t="n">
        <v>1</v>
      </c>
      <c r="F933" s="13" t="n">
        <v>1</v>
      </c>
      <c r="G933" s="13" t="n">
        <v>0</v>
      </c>
      <c r="H933" s="13" t="str">
        <f aca="false">IF(C933=1,A933,"")</f>
        <v/>
      </c>
      <c r="I933" s="13" t="n">
        <f aca="false">IF(C933=0,A933,"")</f>
        <v>4</v>
      </c>
    </row>
    <row r="934" customFormat="false" ht="15" hidden="false" customHeight="false" outlineLevel="0" collapsed="false">
      <c r="A934" s="13" t="n">
        <v>4</v>
      </c>
      <c r="B934" s="13" t="n">
        <v>56</v>
      </c>
      <c r="C934" s="13" t="n">
        <v>0</v>
      </c>
      <c r="D934" s="13" t="n">
        <v>1</v>
      </c>
      <c r="E934" s="13" t="n">
        <v>1</v>
      </c>
      <c r="F934" s="13" t="n">
        <v>1</v>
      </c>
      <c r="G934" s="13" t="n">
        <v>1</v>
      </c>
      <c r="H934" s="13" t="str">
        <f aca="false">IF(C934=1,A934,"")</f>
        <v/>
      </c>
      <c r="I934" s="13" t="n">
        <f aca="false">IF(C934=0,A934,"")</f>
        <v>4</v>
      </c>
    </row>
    <row r="935" customFormat="false" ht="15" hidden="false" customHeight="false" outlineLevel="0" collapsed="false">
      <c r="A935" s="13" t="n">
        <v>3</v>
      </c>
      <c r="B935" s="13" t="n">
        <v>57</v>
      </c>
      <c r="C935" s="13" t="n">
        <v>1</v>
      </c>
      <c r="D935" s="13" t="n">
        <v>1</v>
      </c>
      <c r="E935" s="13" t="n">
        <v>1</v>
      </c>
      <c r="F935" s="13" t="n">
        <v>0</v>
      </c>
      <c r="G935" s="13" t="n">
        <v>0</v>
      </c>
      <c r="H935" s="13" t="n">
        <f aca="false">IF(C935=1,A935,"")</f>
        <v>3</v>
      </c>
      <c r="I935" s="13" t="str">
        <f aca="false">IF(C935=0,A935,"")</f>
        <v/>
      </c>
    </row>
    <row r="936" customFormat="false" ht="15" hidden="false" customHeight="false" outlineLevel="0" collapsed="false">
      <c r="A936" s="13" t="n">
        <v>4</v>
      </c>
      <c r="B936" s="13" t="n">
        <v>28</v>
      </c>
      <c r="C936" s="13" t="n">
        <v>0</v>
      </c>
      <c r="D936" s="13" t="n">
        <v>2</v>
      </c>
      <c r="E936" s="13" t="n">
        <v>1</v>
      </c>
      <c r="F936" s="13" t="n">
        <v>1</v>
      </c>
      <c r="G936" s="13" t="n">
        <v>1</v>
      </c>
      <c r="H936" s="13" t="str">
        <f aca="false">IF(C936=1,A936,"")</f>
        <v/>
      </c>
      <c r="I936" s="13" t="n">
        <f aca="false">IF(C936=0,A936,"")</f>
        <v>4</v>
      </c>
    </row>
    <row r="937" customFormat="false" ht="15" hidden="false" customHeight="false" outlineLevel="0" collapsed="false">
      <c r="A937" s="13" t="n">
        <v>4</v>
      </c>
      <c r="B937" s="13" t="n">
        <v>32</v>
      </c>
      <c r="C937" s="13" t="n">
        <v>1</v>
      </c>
      <c r="D937" s="13" t="n">
        <v>2</v>
      </c>
      <c r="E937" s="13" t="n">
        <v>1</v>
      </c>
      <c r="F937" s="13" t="n">
        <v>1</v>
      </c>
      <c r="G937" s="13" t="n">
        <v>1</v>
      </c>
      <c r="H937" s="13" t="n">
        <f aca="false">IF(C937=1,A937,"")</f>
        <v>4</v>
      </c>
      <c r="I937" s="13" t="str">
        <f aca="false">IF(C937=0,A937,"")</f>
        <v/>
      </c>
    </row>
    <row r="938" customFormat="false" ht="15" hidden="false" customHeight="false" outlineLevel="0" collapsed="false">
      <c r="A938" s="13" t="n">
        <v>4</v>
      </c>
      <c r="B938" s="13" t="n">
        <v>59</v>
      </c>
      <c r="C938" s="13" t="n">
        <v>0</v>
      </c>
      <c r="D938" s="13" t="n">
        <v>0</v>
      </c>
      <c r="E938" s="13" t="n">
        <v>0</v>
      </c>
      <c r="F938" s="13" t="n">
        <v>1</v>
      </c>
      <c r="G938" s="13" t="n">
        <v>1</v>
      </c>
      <c r="H938" s="13" t="str">
        <f aca="false">IF(C938=1,A938,"")</f>
        <v/>
      </c>
      <c r="I938" s="13" t="n">
        <f aca="false">IF(C938=0,A938,"")</f>
        <v>4</v>
      </c>
    </row>
    <row r="939" customFormat="false" ht="15" hidden="false" customHeight="false" outlineLevel="0" collapsed="false">
      <c r="A939" s="13" t="n">
        <v>3</v>
      </c>
      <c r="B939" s="13" t="n">
        <v>36</v>
      </c>
      <c r="C939" s="13" t="n">
        <v>1</v>
      </c>
      <c r="D939" s="13" t="n">
        <v>0</v>
      </c>
      <c r="E939" s="13" t="n">
        <v>1</v>
      </c>
      <c r="F939" s="13" t="n">
        <v>1</v>
      </c>
      <c r="G939" s="13" t="n">
        <v>0</v>
      </c>
      <c r="H939" s="13" t="n">
        <f aca="false">IF(C939=1,A939,"")</f>
        <v>3</v>
      </c>
      <c r="I939" s="13" t="str">
        <f aca="false">IF(C939=0,A939,"")</f>
        <v/>
      </c>
    </row>
    <row r="940" customFormat="false" ht="15" hidden="false" customHeight="false" outlineLevel="0" collapsed="false">
      <c r="A940" s="13" t="n">
        <v>4</v>
      </c>
      <c r="B940" s="13" t="n">
        <v>51</v>
      </c>
      <c r="C940" s="13" t="n">
        <v>0</v>
      </c>
      <c r="D940" s="13" t="n">
        <v>3</v>
      </c>
      <c r="E940" s="13" t="n">
        <v>0</v>
      </c>
      <c r="F940" s="13" t="n">
        <v>0</v>
      </c>
      <c r="G940" s="13" t="n">
        <v>1</v>
      </c>
      <c r="H940" s="13" t="str">
        <f aca="false">IF(C940=1,A940,"")</f>
        <v/>
      </c>
      <c r="I940" s="13" t="n">
        <f aca="false">IF(C940=0,A940,"")</f>
        <v>4</v>
      </c>
    </row>
    <row r="941" customFormat="false" ht="15" hidden="false" customHeight="false" outlineLevel="0" collapsed="false">
      <c r="A941" s="13" t="n">
        <v>4</v>
      </c>
      <c r="B941" s="13" t="n">
        <v>40</v>
      </c>
      <c r="C941" s="13" t="n">
        <v>1</v>
      </c>
      <c r="D941" s="13" t="n">
        <v>1</v>
      </c>
      <c r="E941" s="13" t="n">
        <v>1</v>
      </c>
      <c r="F941" s="13" t="n">
        <v>1</v>
      </c>
      <c r="G941" s="13" t="n">
        <v>1</v>
      </c>
      <c r="H941" s="13" t="n">
        <f aca="false">IF(C941=1,A941,"")</f>
        <v>4</v>
      </c>
      <c r="I941" s="13" t="str">
        <f aca="false">IF(C941=0,A941,"")</f>
        <v/>
      </c>
    </row>
    <row r="942" customFormat="false" ht="15" hidden="false" customHeight="false" outlineLevel="0" collapsed="false">
      <c r="A942" s="13" t="n">
        <v>3</v>
      </c>
      <c r="B942" s="13" t="n">
        <v>32</v>
      </c>
      <c r="C942" s="13" t="n">
        <v>0</v>
      </c>
      <c r="D942" s="13" t="n">
        <v>2</v>
      </c>
      <c r="E942" s="13" t="n">
        <v>1</v>
      </c>
      <c r="F942" s="13" t="n">
        <v>1</v>
      </c>
      <c r="G942" s="13" t="n">
        <v>1</v>
      </c>
      <c r="H942" s="13" t="str">
        <f aca="false">IF(C942=1,A942,"")</f>
        <v/>
      </c>
      <c r="I942" s="13" t="n">
        <f aca="false">IF(C942=0,A942,"")</f>
        <v>3</v>
      </c>
    </row>
    <row r="943" customFormat="false" ht="15" hidden="false" customHeight="false" outlineLevel="0" collapsed="false">
      <c r="A943" s="13" t="n">
        <v>1</v>
      </c>
      <c r="B943" s="13" t="n">
        <v>48</v>
      </c>
      <c r="C943" s="13" t="n">
        <v>0</v>
      </c>
      <c r="D943" s="13" t="n">
        <v>0</v>
      </c>
      <c r="E943" s="13" t="n">
        <v>0</v>
      </c>
      <c r="F943" s="13" t="n">
        <v>0</v>
      </c>
      <c r="G943" s="13" t="n">
        <v>1</v>
      </c>
      <c r="H943" s="13" t="str">
        <f aca="false">IF(C943=1,A943,"")</f>
        <v/>
      </c>
      <c r="I943" s="13" t="n">
        <f aca="false">IF(C943=0,A943,"")</f>
        <v>1</v>
      </c>
    </row>
    <row r="944" customFormat="false" ht="15" hidden="false" customHeight="false" outlineLevel="0" collapsed="false">
      <c r="A944" s="13" t="n">
        <v>4</v>
      </c>
      <c r="B944" s="13" t="n">
        <v>47</v>
      </c>
      <c r="C944" s="13" t="n">
        <v>0</v>
      </c>
      <c r="D944" s="13" t="n">
        <v>0</v>
      </c>
      <c r="E944" s="13" t="n">
        <v>1</v>
      </c>
      <c r="F944" s="13" t="n">
        <v>1</v>
      </c>
      <c r="G944" s="13" t="n">
        <v>0</v>
      </c>
      <c r="H944" s="13" t="str">
        <f aca="false">IF(C944=1,A944,"")</f>
        <v/>
      </c>
      <c r="I944" s="13" t="n">
        <f aca="false">IF(C944=0,A944,"")</f>
        <v>4</v>
      </c>
    </row>
    <row r="945" customFormat="false" ht="15" hidden="false" customHeight="false" outlineLevel="0" collapsed="false">
      <c r="A945" s="13" t="n">
        <v>5</v>
      </c>
      <c r="B945" s="13" t="n">
        <v>63</v>
      </c>
      <c r="C945" s="13" t="n">
        <v>0</v>
      </c>
      <c r="D945" s="13" t="n">
        <v>0</v>
      </c>
      <c r="E945" s="13" t="n">
        <v>0</v>
      </c>
      <c r="F945" s="13" t="n">
        <v>1</v>
      </c>
      <c r="G945" s="13" t="n">
        <v>1</v>
      </c>
      <c r="H945" s="13" t="str">
        <f aca="false">IF(C945=1,A945,"")</f>
        <v/>
      </c>
      <c r="I945" s="13" t="n">
        <f aca="false">IF(C945=0,A945,"")</f>
        <v>5</v>
      </c>
    </row>
    <row r="946" customFormat="false" ht="15" hidden="false" customHeight="false" outlineLevel="0" collapsed="false">
      <c r="A946" s="13" t="n">
        <v>4</v>
      </c>
      <c r="B946" s="13" t="n">
        <v>27</v>
      </c>
      <c r="C946" s="13" t="n">
        <v>1</v>
      </c>
      <c r="D946" s="13" t="n">
        <v>0</v>
      </c>
      <c r="E946" s="13" t="n">
        <v>1</v>
      </c>
      <c r="F946" s="13" t="n">
        <v>1</v>
      </c>
      <c r="G946" s="13" t="n">
        <v>1</v>
      </c>
      <c r="H946" s="13" t="n">
        <f aca="false">IF(C946=1,A946,"")</f>
        <v>4</v>
      </c>
      <c r="I946" s="13" t="str">
        <f aca="false">IF(C946=0,A946,"")</f>
        <v/>
      </c>
    </row>
    <row r="947" customFormat="false" ht="15" hidden="false" customHeight="false" outlineLevel="0" collapsed="false">
      <c r="A947" s="13" t="n">
        <v>4</v>
      </c>
      <c r="B947" s="13" t="n">
        <v>29</v>
      </c>
      <c r="C947" s="13" t="n">
        <v>0</v>
      </c>
      <c r="D947" s="13" t="n">
        <v>1</v>
      </c>
      <c r="E947" s="13" t="n">
        <v>1</v>
      </c>
      <c r="F947" s="13" t="n">
        <v>1</v>
      </c>
      <c r="G947" s="13" t="n">
        <v>1</v>
      </c>
      <c r="H947" s="13" t="str">
        <f aca="false">IF(C947=1,A947,"")</f>
        <v/>
      </c>
      <c r="I947" s="13" t="n">
        <f aca="false">IF(C947=0,A947,"")</f>
        <v>4</v>
      </c>
    </row>
    <row r="948" customFormat="false" ht="15" hidden="false" customHeight="false" outlineLevel="0" collapsed="false">
      <c r="A948" s="13" t="n">
        <v>1</v>
      </c>
      <c r="B948" s="13" t="n">
        <v>54</v>
      </c>
      <c r="C948" s="13" t="n">
        <v>0</v>
      </c>
      <c r="D948" s="13" t="n">
        <v>0</v>
      </c>
      <c r="E948" s="13" t="n">
        <v>1</v>
      </c>
      <c r="F948" s="13" t="n">
        <v>0</v>
      </c>
      <c r="G948" s="13" t="n">
        <v>0</v>
      </c>
      <c r="H948" s="13" t="str">
        <f aca="false">IF(C948=1,A948,"")</f>
        <v/>
      </c>
      <c r="I948" s="13" t="n">
        <f aca="false">IF(C948=0,A948,"")</f>
        <v>1</v>
      </c>
    </row>
    <row r="949" customFormat="false" ht="15" hidden="false" customHeight="false" outlineLevel="0" collapsed="false">
      <c r="A949" s="13" t="n">
        <v>3</v>
      </c>
      <c r="B949" s="13" t="n">
        <v>39</v>
      </c>
      <c r="C949" s="13" t="n">
        <v>0</v>
      </c>
      <c r="D949" s="13" t="n">
        <v>0</v>
      </c>
      <c r="E949" s="13" t="n">
        <v>1</v>
      </c>
      <c r="F949" s="13" t="n">
        <v>1</v>
      </c>
      <c r="G949" s="13" t="n">
        <v>0</v>
      </c>
      <c r="H949" s="13" t="str">
        <f aca="false">IF(C949=1,A949,"")</f>
        <v/>
      </c>
      <c r="I949" s="13" t="n">
        <f aca="false">IF(C949=0,A949,"")</f>
        <v>3</v>
      </c>
    </row>
    <row r="950" customFormat="false" ht="15" hidden="false" customHeight="false" outlineLevel="0" collapsed="false">
      <c r="A950" s="13" t="n">
        <v>4</v>
      </c>
      <c r="B950" s="13" t="n">
        <v>50</v>
      </c>
      <c r="C950" s="13" t="n">
        <v>0</v>
      </c>
      <c r="D950" s="13" t="n">
        <v>0</v>
      </c>
      <c r="E950" s="13" t="n">
        <v>0</v>
      </c>
      <c r="F950" s="13" t="n">
        <v>0</v>
      </c>
      <c r="G950" s="13" t="n">
        <v>1</v>
      </c>
      <c r="H950" s="13" t="str">
        <f aca="false">IF(C950=1,A950,"")</f>
        <v/>
      </c>
      <c r="I950" s="13" t="n">
        <f aca="false">IF(C950=0,A950,"")</f>
        <v>4</v>
      </c>
    </row>
    <row r="951" customFormat="false" ht="15" hidden="false" customHeight="false" outlineLevel="0" collapsed="false">
      <c r="A951" s="13" t="n">
        <v>4</v>
      </c>
      <c r="B951" s="13" t="n">
        <v>54</v>
      </c>
      <c r="C951" s="13" t="n">
        <v>0</v>
      </c>
      <c r="D951" s="13" t="n">
        <v>0</v>
      </c>
      <c r="E951" s="13" t="n">
        <v>0</v>
      </c>
      <c r="F951" s="13" t="n">
        <v>1</v>
      </c>
      <c r="G951" s="13" t="n">
        <v>1</v>
      </c>
      <c r="H951" s="13" t="str">
        <f aca="false">IF(C951=1,A951,"")</f>
        <v/>
      </c>
      <c r="I951" s="13" t="n">
        <f aca="false">IF(C951=0,A951,"")</f>
        <v>4</v>
      </c>
    </row>
    <row r="952" customFormat="false" ht="15" hidden="false" customHeight="false" outlineLevel="0" collapsed="false">
      <c r="A952" s="13" t="n">
        <v>4</v>
      </c>
      <c r="B952" s="13" t="n">
        <v>50</v>
      </c>
      <c r="C952" s="13" t="n">
        <v>0</v>
      </c>
      <c r="D952" s="13" t="n">
        <v>0</v>
      </c>
      <c r="E952" s="13" t="n">
        <v>1</v>
      </c>
      <c r="F952" s="13" t="n">
        <v>0</v>
      </c>
      <c r="G952" s="13" t="n">
        <v>1</v>
      </c>
      <c r="H952" s="13" t="str">
        <f aca="false">IF(C952=1,A952,"")</f>
        <v/>
      </c>
      <c r="I952" s="13" t="n">
        <f aca="false">IF(C952=0,A952,"")</f>
        <v>4</v>
      </c>
    </row>
    <row r="953" customFormat="false" ht="15" hidden="false" customHeight="false" outlineLevel="0" collapsed="false">
      <c r="A953" s="13" t="n">
        <v>3</v>
      </c>
      <c r="B953" s="13" t="n">
        <v>50</v>
      </c>
      <c r="C953" s="13" t="n">
        <v>1</v>
      </c>
      <c r="D953" s="13" t="n">
        <v>0</v>
      </c>
      <c r="E953" s="13" t="n">
        <v>0</v>
      </c>
      <c r="F953" s="13" t="n">
        <v>1</v>
      </c>
      <c r="G953" s="13" t="n">
        <v>0</v>
      </c>
      <c r="H953" s="13" t="n">
        <f aca="false">IF(C953=1,A953,"")</f>
        <v>3</v>
      </c>
      <c r="I953" s="13" t="str">
        <f aca="false">IF(C953=0,A953,"")</f>
        <v/>
      </c>
    </row>
    <row r="954" customFormat="false" ht="15" hidden="false" customHeight="false" outlineLevel="0" collapsed="false">
      <c r="A954" s="13" t="n">
        <v>2</v>
      </c>
      <c r="B954" s="13" t="n">
        <v>34</v>
      </c>
      <c r="C954" s="13" t="n">
        <v>0</v>
      </c>
      <c r="D954" s="13" t="n">
        <v>1</v>
      </c>
      <c r="E954" s="13" t="n">
        <v>1</v>
      </c>
      <c r="F954" s="13" t="n">
        <v>1</v>
      </c>
      <c r="G954" s="13" t="n">
        <v>0</v>
      </c>
      <c r="H954" s="13" t="str">
        <f aca="false">IF(C954=1,A954,"")</f>
        <v/>
      </c>
      <c r="I954" s="13" t="n">
        <f aca="false">IF(C954=0,A954,"")</f>
        <v>2</v>
      </c>
    </row>
    <row r="955" customFormat="false" ht="15" hidden="false" customHeight="false" outlineLevel="0" collapsed="false">
      <c r="A955" s="13" t="n">
        <v>4</v>
      </c>
      <c r="B955" s="13" t="n">
        <v>59</v>
      </c>
      <c r="C955" s="13" t="n">
        <v>1</v>
      </c>
      <c r="D955" s="13" t="n">
        <v>0</v>
      </c>
      <c r="E955" s="13" t="n">
        <v>0</v>
      </c>
      <c r="F955" s="13" t="n">
        <v>1</v>
      </c>
      <c r="G955" s="13" t="n">
        <v>0</v>
      </c>
      <c r="H955" s="13" t="n">
        <f aca="false">IF(C955=1,A955,"")</f>
        <v>4</v>
      </c>
      <c r="I955" s="13" t="str">
        <f aca="false">IF(C955=0,A955,"")</f>
        <v/>
      </c>
    </row>
    <row r="956" customFormat="false" ht="15" hidden="false" customHeight="false" outlineLevel="0" collapsed="false">
      <c r="A956" s="13" t="n">
        <v>4</v>
      </c>
      <c r="B956" s="13" t="n">
        <v>55</v>
      </c>
      <c r="C956" s="13" t="n">
        <v>1</v>
      </c>
      <c r="D956" s="13" t="n">
        <v>2</v>
      </c>
      <c r="E956" s="13" t="n">
        <v>1</v>
      </c>
      <c r="F956" s="13" t="n">
        <v>1</v>
      </c>
      <c r="G956" s="13" t="n">
        <v>1</v>
      </c>
      <c r="H956" s="13" t="n">
        <f aca="false">IF(C956=1,A956,"")</f>
        <v>4</v>
      </c>
      <c r="I956" s="13" t="str">
        <f aca="false">IF(C956=0,A956,"")</f>
        <v/>
      </c>
    </row>
    <row r="957" customFormat="false" ht="15" hidden="false" customHeight="false" outlineLevel="0" collapsed="false">
      <c r="A957" s="13" t="n">
        <v>1</v>
      </c>
      <c r="B957" s="13" t="n">
        <v>52</v>
      </c>
      <c r="C957" s="13" t="n">
        <v>0</v>
      </c>
      <c r="D957" s="13" t="n">
        <v>2</v>
      </c>
      <c r="E957" s="13" t="n">
        <v>0</v>
      </c>
      <c r="F957" s="13" t="n">
        <v>0</v>
      </c>
      <c r="G957" s="13" t="n">
        <v>0</v>
      </c>
      <c r="H957" s="13" t="str">
        <f aca="false">IF(C957=1,A957,"")</f>
        <v/>
      </c>
      <c r="I957" s="13" t="n">
        <f aca="false">IF(C957=0,A957,"")</f>
        <v>1</v>
      </c>
    </row>
    <row r="958" customFormat="false" ht="15" hidden="false" customHeight="false" outlineLevel="0" collapsed="false">
      <c r="A958" s="13" t="n">
        <v>3</v>
      </c>
      <c r="B958" s="13" t="n">
        <v>59</v>
      </c>
      <c r="C958" s="13" t="n">
        <v>1</v>
      </c>
      <c r="D958" s="13" t="n">
        <v>0</v>
      </c>
      <c r="E958" s="13" t="n">
        <v>0</v>
      </c>
      <c r="F958" s="13" t="n">
        <v>1</v>
      </c>
      <c r="G958" s="13" t="n">
        <v>0</v>
      </c>
      <c r="H958" s="13" t="n">
        <f aca="false">IF(C958=1,A958,"")</f>
        <v>3</v>
      </c>
      <c r="I958" s="13" t="str">
        <f aca="false">IF(C958=0,A958,"")</f>
        <v/>
      </c>
    </row>
    <row r="959" customFormat="false" ht="15" hidden="false" customHeight="false" outlineLevel="0" collapsed="false">
      <c r="A959" s="13" t="n">
        <v>4</v>
      </c>
      <c r="B959" s="13" t="n">
        <v>55</v>
      </c>
      <c r="C959" s="13" t="n">
        <v>1</v>
      </c>
      <c r="D959" s="13" t="n">
        <v>0</v>
      </c>
      <c r="E959" s="13" t="n">
        <v>1</v>
      </c>
      <c r="F959" s="13" t="n">
        <v>1</v>
      </c>
      <c r="G959" s="13" t="n">
        <v>0</v>
      </c>
      <c r="H959" s="13" t="n">
        <f aca="false">IF(C959=1,A959,"")</f>
        <v>4</v>
      </c>
      <c r="I959" s="13" t="str">
        <f aca="false">IF(C959=0,A959,"")</f>
        <v/>
      </c>
    </row>
    <row r="960" customFormat="false" ht="15" hidden="false" customHeight="false" outlineLevel="0" collapsed="false">
      <c r="A960" s="13" t="n">
        <v>5</v>
      </c>
      <c r="B960" s="13" t="n">
        <v>62</v>
      </c>
      <c r="C960" s="13" t="n">
        <v>1</v>
      </c>
      <c r="D960" s="13" t="n">
        <v>0</v>
      </c>
      <c r="E960" s="13" t="n">
        <v>0</v>
      </c>
      <c r="F960" s="13" t="n">
        <v>1</v>
      </c>
      <c r="G960" s="13" t="n">
        <v>1</v>
      </c>
      <c r="H960" s="13" t="n">
        <f aca="false">IF(C960=1,A960,"")</f>
        <v>5</v>
      </c>
      <c r="I960" s="13" t="str">
        <f aca="false">IF(C960=0,A960,"")</f>
        <v/>
      </c>
    </row>
    <row r="961" customFormat="false" ht="15" hidden="false" customHeight="false" outlineLevel="0" collapsed="false">
      <c r="A961" s="13" t="n">
        <v>3</v>
      </c>
      <c r="B961" s="13" t="n">
        <v>57</v>
      </c>
      <c r="C961" s="13" t="n">
        <v>1</v>
      </c>
      <c r="D961" s="13" t="n">
        <v>0</v>
      </c>
      <c r="E961" s="13" t="n">
        <v>0</v>
      </c>
      <c r="F961" s="13" t="n">
        <v>1</v>
      </c>
      <c r="G961" s="13" t="n">
        <v>1</v>
      </c>
      <c r="H961" s="13" t="n">
        <f aca="false">IF(C961=1,A961,"")</f>
        <v>3</v>
      </c>
      <c r="I961" s="13" t="str">
        <f aca="false">IF(C961=0,A961,"")</f>
        <v/>
      </c>
    </row>
    <row r="962" customFormat="false" ht="15" hidden="false" customHeight="false" outlineLevel="0" collapsed="false">
      <c r="A962" s="13" t="n">
        <v>4</v>
      </c>
      <c r="B962" s="13" t="n">
        <v>47</v>
      </c>
      <c r="C962" s="13" t="n">
        <v>0</v>
      </c>
      <c r="D962" s="13" t="n">
        <v>0</v>
      </c>
      <c r="E962" s="13" t="n">
        <v>0</v>
      </c>
      <c r="F962" s="13" t="n">
        <v>0</v>
      </c>
      <c r="G962" s="13" t="n">
        <v>1</v>
      </c>
      <c r="H962" s="13" t="str">
        <f aca="false">IF(C962=1,A962,"")</f>
        <v/>
      </c>
      <c r="I962" s="13" t="n">
        <f aca="false">IF(C962=0,A962,"")</f>
        <v>4</v>
      </c>
    </row>
    <row r="963" customFormat="false" ht="15" hidden="false" customHeight="false" outlineLevel="0" collapsed="false">
      <c r="A963" s="13" t="n">
        <v>4</v>
      </c>
      <c r="B963" s="13" t="n">
        <v>34</v>
      </c>
      <c r="C963" s="13" t="n">
        <v>0</v>
      </c>
      <c r="D963" s="13" t="n">
        <v>1</v>
      </c>
      <c r="E963" s="13" t="n">
        <v>1</v>
      </c>
      <c r="F963" s="13" t="n">
        <v>1</v>
      </c>
      <c r="G963" s="13" t="n">
        <v>1</v>
      </c>
      <c r="H963" s="13" t="str">
        <f aca="false">IF(C963=1,A963,"")</f>
        <v/>
      </c>
      <c r="I963" s="13" t="n">
        <f aca="false">IF(C963=0,A963,"")</f>
        <v>4</v>
      </c>
    </row>
    <row r="964" customFormat="false" ht="15" hidden="false" customHeight="false" outlineLevel="0" collapsed="false">
      <c r="A964" s="13" t="n">
        <v>4</v>
      </c>
      <c r="B964" s="13" t="n">
        <v>33</v>
      </c>
      <c r="C964" s="13" t="n">
        <v>0</v>
      </c>
      <c r="D964" s="13" t="n">
        <v>0</v>
      </c>
      <c r="E964" s="13" t="n">
        <v>1</v>
      </c>
      <c r="F964" s="13" t="n">
        <v>1</v>
      </c>
      <c r="G964" s="13" t="n">
        <v>1</v>
      </c>
      <c r="H964" s="13" t="str">
        <f aca="false">IF(C964=1,A964,"")</f>
        <v/>
      </c>
      <c r="I964" s="13" t="n">
        <f aca="false">IF(C964=0,A964,"")</f>
        <v>4</v>
      </c>
    </row>
    <row r="965" customFormat="false" ht="15" hidden="false" customHeight="false" outlineLevel="0" collapsed="false">
      <c r="A965" s="13" t="n">
        <v>4</v>
      </c>
      <c r="B965" s="13" t="n">
        <v>47</v>
      </c>
      <c r="C965" s="13" t="n">
        <v>0</v>
      </c>
      <c r="D965" s="13" t="n">
        <v>0</v>
      </c>
      <c r="E965" s="13" t="n">
        <v>0</v>
      </c>
      <c r="F965" s="13" t="n">
        <v>1</v>
      </c>
      <c r="G965" s="13" t="n">
        <v>0</v>
      </c>
      <c r="H965" s="13" t="str">
        <f aca="false">IF(C965=1,A965,"")</f>
        <v/>
      </c>
      <c r="I965" s="13" t="n">
        <f aca="false">IF(C965=0,A965,"")</f>
        <v>4</v>
      </c>
    </row>
    <row r="966" customFormat="false" ht="15" hidden="false" customHeight="false" outlineLevel="0" collapsed="false">
      <c r="A966" s="13" t="n">
        <v>3</v>
      </c>
      <c r="B966" s="13" t="n">
        <v>34</v>
      </c>
      <c r="C966" s="13" t="n">
        <v>1</v>
      </c>
      <c r="D966" s="13" t="n">
        <v>1</v>
      </c>
      <c r="E966" s="13" t="n">
        <v>1</v>
      </c>
      <c r="F966" s="13" t="n">
        <v>1</v>
      </c>
      <c r="G966" s="13" t="n">
        <v>1</v>
      </c>
      <c r="H966" s="13" t="n">
        <f aca="false">IF(C966=1,A966,"")</f>
        <v>3</v>
      </c>
      <c r="I966" s="13" t="str">
        <f aca="false">IF(C966=0,A966,"")</f>
        <v/>
      </c>
    </row>
    <row r="967" customFormat="false" ht="15" hidden="false" customHeight="false" outlineLevel="0" collapsed="false">
      <c r="A967" s="13" t="n">
        <v>4</v>
      </c>
      <c r="B967" s="13" t="n">
        <v>53</v>
      </c>
      <c r="C967" s="13" t="n">
        <v>1</v>
      </c>
      <c r="D967" s="13" t="n">
        <v>0</v>
      </c>
      <c r="E967" s="13" t="n">
        <v>1</v>
      </c>
      <c r="F967" s="13" t="n">
        <v>1</v>
      </c>
      <c r="G967" s="13" t="n">
        <v>1</v>
      </c>
      <c r="H967" s="13" t="n">
        <f aca="false">IF(C967=1,A967,"")</f>
        <v>4</v>
      </c>
      <c r="I967" s="13" t="str">
        <f aca="false">IF(C967=0,A967,"")</f>
        <v/>
      </c>
    </row>
    <row r="968" customFormat="false" ht="15" hidden="false" customHeight="false" outlineLevel="0" collapsed="false">
      <c r="A968" s="13" t="n">
        <v>3</v>
      </c>
      <c r="B968" s="13" t="n">
        <v>55</v>
      </c>
      <c r="C968" s="13" t="n">
        <v>0</v>
      </c>
      <c r="D968" s="13" t="n">
        <v>0</v>
      </c>
      <c r="E968" s="13" t="n">
        <v>1</v>
      </c>
      <c r="F968" s="13" t="n">
        <v>0</v>
      </c>
      <c r="G968" s="13" t="n">
        <v>1</v>
      </c>
      <c r="H968" s="13" t="str">
        <f aca="false">IF(C968=1,A968,"")</f>
        <v/>
      </c>
      <c r="I968" s="13" t="n">
        <f aca="false">IF(C968=0,A968,"")</f>
        <v>3</v>
      </c>
    </row>
    <row r="969" customFormat="false" ht="15" hidden="false" customHeight="false" outlineLevel="0" collapsed="false">
      <c r="A969" s="13" t="n">
        <v>4</v>
      </c>
      <c r="B969" s="13" t="n">
        <v>52</v>
      </c>
      <c r="C969" s="13" t="n">
        <v>0</v>
      </c>
      <c r="D969" s="13" t="n">
        <v>0</v>
      </c>
      <c r="E969" s="13" t="n">
        <v>1</v>
      </c>
      <c r="F969" s="13" t="n">
        <v>0</v>
      </c>
      <c r="G969" s="13" t="n">
        <v>1</v>
      </c>
      <c r="H969" s="13" t="str">
        <f aca="false">IF(C969=1,A969,"")</f>
        <v/>
      </c>
      <c r="I969" s="13" t="n">
        <f aca="false">IF(C969=0,A969,"")</f>
        <v>4</v>
      </c>
    </row>
    <row r="970" customFormat="false" ht="15" hidden="false" customHeight="false" outlineLevel="0" collapsed="false">
      <c r="A970" s="13" t="n">
        <v>5</v>
      </c>
      <c r="B970" s="13" t="n">
        <v>56</v>
      </c>
      <c r="C970" s="13" t="n">
        <v>1</v>
      </c>
      <c r="D970" s="13" t="n">
        <v>0</v>
      </c>
      <c r="E970" s="13" t="n">
        <v>0</v>
      </c>
      <c r="F970" s="13" t="n">
        <v>0</v>
      </c>
      <c r="G970" s="13" t="n">
        <v>1</v>
      </c>
      <c r="H970" s="13" t="n">
        <f aca="false">IF(C970=1,A970,"")</f>
        <v>5</v>
      </c>
      <c r="I970" s="13" t="str">
        <f aca="false">IF(C970=0,A970,"")</f>
        <v/>
      </c>
    </row>
    <row r="971" customFormat="false" ht="15" hidden="false" customHeight="false" outlineLevel="0" collapsed="false">
      <c r="A971" s="13" t="n">
        <v>4</v>
      </c>
      <c r="B971" s="13" t="n">
        <v>29</v>
      </c>
      <c r="C971" s="13" t="n">
        <v>1</v>
      </c>
      <c r="D971" s="13" t="n">
        <v>0</v>
      </c>
      <c r="E971" s="13" t="n">
        <v>1</v>
      </c>
      <c r="F971" s="13" t="n">
        <v>1</v>
      </c>
      <c r="G971" s="13" t="n">
        <v>1</v>
      </c>
      <c r="H971" s="13" t="n">
        <f aca="false">IF(C971=1,A971,"")</f>
        <v>4</v>
      </c>
      <c r="I971" s="13" t="str">
        <f aca="false">IF(C971=0,A971,"")</f>
        <v/>
      </c>
    </row>
    <row r="972" customFormat="false" ht="15" hidden="false" customHeight="false" outlineLevel="0" collapsed="false">
      <c r="A972" s="13" t="n">
        <v>4</v>
      </c>
      <c r="B972" s="13" t="n">
        <v>48</v>
      </c>
      <c r="C972" s="13" t="n">
        <v>0</v>
      </c>
      <c r="D972" s="13" t="n">
        <v>1</v>
      </c>
      <c r="E972" s="13" t="n">
        <v>1</v>
      </c>
      <c r="F972" s="13" t="n">
        <v>1</v>
      </c>
      <c r="G972" s="13" t="n">
        <v>1</v>
      </c>
      <c r="H972" s="13" t="str">
        <f aca="false">IF(C972=1,A972,"")</f>
        <v/>
      </c>
      <c r="I972" s="13" t="n">
        <f aca="false">IF(C972=0,A972,"")</f>
        <v>4</v>
      </c>
    </row>
    <row r="973" customFormat="false" ht="15" hidden="false" customHeight="false" outlineLevel="0" collapsed="false">
      <c r="A973" s="13" t="n">
        <v>5</v>
      </c>
      <c r="B973" s="13" t="n">
        <v>55</v>
      </c>
      <c r="C973" s="13" t="n">
        <v>1</v>
      </c>
      <c r="D973" s="13" t="n">
        <v>0</v>
      </c>
      <c r="E973" s="13" t="n">
        <v>1</v>
      </c>
      <c r="F973" s="13" t="n">
        <v>1</v>
      </c>
      <c r="G973" s="13" t="n">
        <v>1</v>
      </c>
      <c r="H973" s="13" t="n">
        <f aca="false">IF(C973=1,A973,"")</f>
        <v>5</v>
      </c>
      <c r="I973" s="13" t="str">
        <f aca="false">IF(C973=0,A973,"")</f>
        <v/>
      </c>
    </row>
    <row r="974" customFormat="false" ht="15" hidden="false" customHeight="false" outlineLevel="0" collapsed="false">
      <c r="A974" s="13" t="n">
        <v>4</v>
      </c>
      <c r="B974" s="13" t="n">
        <v>56</v>
      </c>
      <c r="C974" s="13" t="n">
        <v>0</v>
      </c>
      <c r="D974" s="13" t="n">
        <v>0</v>
      </c>
      <c r="E974" s="13" t="n">
        <v>0</v>
      </c>
      <c r="F974" s="13" t="n">
        <v>0</v>
      </c>
      <c r="G974" s="13" t="n">
        <v>1</v>
      </c>
      <c r="H974" s="13" t="str">
        <f aca="false">IF(C974=1,A974,"")</f>
        <v/>
      </c>
      <c r="I974" s="13" t="n">
        <f aca="false">IF(C974=0,A974,"")</f>
        <v>4</v>
      </c>
    </row>
    <row r="975" customFormat="false" ht="15" hidden="false" customHeight="false" outlineLevel="0" collapsed="false">
      <c r="A975" s="13" t="n">
        <v>4</v>
      </c>
      <c r="B975" s="13" t="n">
        <v>48</v>
      </c>
      <c r="C975" s="13" t="n">
        <v>0</v>
      </c>
      <c r="D975" s="13" t="n">
        <v>0</v>
      </c>
      <c r="E975" s="13" t="n">
        <v>1</v>
      </c>
      <c r="F975" s="13" t="n">
        <v>0</v>
      </c>
      <c r="G975" s="13" t="n">
        <v>1</v>
      </c>
      <c r="H975" s="13" t="str">
        <f aca="false">IF(C975=1,A975,"")</f>
        <v/>
      </c>
      <c r="I975" s="13" t="n">
        <f aca="false">IF(C975=0,A975,"")</f>
        <v>4</v>
      </c>
    </row>
    <row r="976" customFormat="false" ht="15" hidden="false" customHeight="false" outlineLevel="0" collapsed="false">
      <c r="A976" s="13" t="n">
        <v>4</v>
      </c>
      <c r="B976" s="13" t="n">
        <v>55</v>
      </c>
      <c r="C976" s="13" t="n">
        <v>0</v>
      </c>
      <c r="D976" s="13" t="n">
        <v>0</v>
      </c>
      <c r="E976" s="13" t="n">
        <v>1</v>
      </c>
      <c r="F976" s="13" t="n">
        <v>1</v>
      </c>
      <c r="G976" s="13" t="n">
        <v>0</v>
      </c>
      <c r="H976" s="13" t="str">
        <f aca="false">IF(C976=1,A976,"")</f>
        <v/>
      </c>
      <c r="I976" s="13" t="n">
        <f aca="false">IF(C976=0,A976,"")</f>
        <v>4</v>
      </c>
    </row>
    <row r="977" customFormat="false" ht="15" hidden="false" customHeight="false" outlineLevel="0" collapsed="false">
      <c r="A977" s="13" t="n">
        <v>4</v>
      </c>
      <c r="B977" s="13" t="n">
        <v>61</v>
      </c>
      <c r="C977" s="13" t="n">
        <v>0</v>
      </c>
      <c r="D977" s="13" t="n">
        <v>0</v>
      </c>
      <c r="E977" s="13" t="n">
        <v>0</v>
      </c>
      <c r="F977" s="13" t="n">
        <v>1</v>
      </c>
      <c r="G977" s="13" t="n">
        <v>0</v>
      </c>
      <c r="H977" s="13" t="str">
        <f aca="false">IF(C977=1,A977,"")</f>
        <v/>
      </c>
      <c r="I977" s="13" t="n">
        <f aca="false">IF(C977=0,A977,"")</f>
        <v>4</v>
      </c>
    </row>
    <row r="978" customFormat="false" ht="15" hidden="false" customHeight="false" outlineLevel="0" collapsed="false">
      <c r="A978" s="13" t="n">
        <v>4</v>
      </c>
      <c r="B978" s="13" t="n">
        <v>45</v>
      </c>
      <c r="C978" s="13" t="n">
        <v>0</v>
      </c>
      <c r="D978" s="13" t="n">
        <v>2</v>
      </c>
      <c r="E978" s="13" t="n">
        <v>0</v>
      </c>
      <c r="F978" s="13" t="n">
        <v>1</v>
      </c>
      <c r="G978" s="13" t="n">
        <v>1</v>
      </c>
      <c r="H978" s="13" t="str">
        <f aca="false">IF(C978=1,A978,"")</f>
        <v/>
      </c>
      <c r="I978" s="13" t="n">
        <f aca="false">IF(C978=0,A978,"")</f>
        <v>4</v>
      </c>
    </row>
    <row r="979" customFormat="false" ht="15" hidden="false" customHeight="false" outlineLevel="0" collapsed="false">
      <c r="A979" s="13" t="n">
        <v>4</v>
      </c>
      <c r="B979" s="13" t="n">
        <v>32</v>
      </c>
      <c r="C979" s="13" t="n">
        <v>1</v>
      </c>
      <c r="D979" s="13" t="n">
        <v>0</v>
      </c>
      <c r="E979" s="13" t="n">
        <v>1</v>
      </c>
      <c r="F979" s="13" t="n">
        <v>1</v>
      </c>
      <c r="G979" s="13" t="n">
        <v>0</v>
      </c>
      <c r="H979" s="13" t="n">
        <f aca="false">IF(C979=1,A979,"")</f>
        <v>4</v>
      </c>
      <c r="I979" s="13" t="str">
        <f aca="false">IF(C979=0,A979,"")</f>
        <v/>
      </c>
    </row>
    <row r="980" customFormat="false" ht="15" hidden="false" customHeight="false" outlineLevel="0" collapsed="false">
      <c r="A980" s="13" t="n">
        <v>4</v>
      </c>
      <c r="B980" s="13" t="n">
        <v>45</v>
      </c>
      <c r="C980" s="13" t="n">
        <v>1</v>
      </c>
      <c r="D980" s="13" t="n">
        <v>0</v>
      </c>
      <c r="E980" s="13" t="n">
        <v>1</v>
      </c>
      <c r="F980" s="13" t="n">
        <v>1</v>
      </c>
      <c r="G980" s="13" t="n">
        <v>0</v>
      </c>
      <c r="H980" s="13" t="n">
        <f aca="false">IF(C980=1,A980,"")</f>
        <v>4</v>
      </c>
      <c r="I980" s="13" t="str">
        <f aca="false">IF(C980=0,A980,"")</f>
        <v/>
      </c>
    </row>
    <row r="981" customFormat="false" ht="15" hidden="false" customHeight="false" outlineLevel="0" collapsed="false">
      <c r="A981" s="13" t="n">
        <v>4</v>
      </c>
      <c r="B981" s="13" t="n">
        <v>30</v>
      </c>
      <c r="C981" s="13" t="n">
        <v>0</v>
      </c>
      <c r="D981" s="13" t="n">
        <v>1</v>
      </c>
      <c r="E981" s="13" t="n">
        <v>1</v>
      </c>
      <c r="F981" s="13" t="n">
        <v>1</v>
      </c>
      <c r="G981" s="13" t="n">
        <v>1</v>
      </c>
      <c r="H981" s="13" t="str">
        <f aca="false">IF(C981=1,A981,"")</f>
        <v/>
      </c>
      <c r="I981" s="13" t="n">
        <f aca="false">IF(C981=0,A981,"")</f>
        <v>4</v>
      </c>
    </row>
    <row r="982" customFormat="false" ht="15" hidden="false" customHeight="false" outlineLevel="0" collapsed="false">
      <c r="A982" s="13" t="n">
        <v>4</v>
      </c>
      <c r="B982" s="13" t="n">
        <v>56</v>
      </c>
      <c r="C982" s="13" t="n">
        <v>0</v>
      </c>
      <c r="D982" s="13" t="n">
        <v>1</v>
      </c>
      <c r="E982" s="13" t="n">
        <v>1</v>
      </c>
      <c r="F982" s="13" t="n">
        <v>1</v>
      </c>
      <c r="G982" s="13" t="n">
        <v>1</v>
      </c>
      <c r="H982" s="13" t="str">
        <f aca="false">IF(C982=1,A982,"")</f>
        <v/>
      </c>
      <c r="I982" s="13" t="n">
        <f aca="false">IF(C982=0,A982,"")</f>
        <v>4</v>
      </c>
    </row>
    <row r="983" customFormat="false" ht="15" hidden="false" customHeight="false" outlineLevel="0" collapsed="false">
      <c r="A983" s="13" t="n">
        <v>4</v>
      </c>
      <c r="B983" s="13" t="n">
        <v>53</v>
      </c>
      <c r="C983" s="13" t="n">
        <v>1</v>
      </c>
      <c r="D983" s="13" t="n">
        <v>0</v>
      </c>
      <c r="E983" s="13" t="n">
        <v>1</v>
      </c>
      <c r="F983" s="13" t="n">
        <v>0</v>
      </c>
      <c r="G983" s="13" t="n">
        <v>0</v>
      </c>
      <c r="H983" s="13" t="n">
        <f aca="false">IF(C983=1,A983,"")</f>
        <v>4</v>
      </c>
      <c r="I983" s="13" t="str">
        <f aca="false">IF(C983=0,A983,"")</f>
        <v/>
      </c>
    </row>
    <row r="984" customFormat="false" ht="15" hidden="false" customHeight="false" outlineLevel="0" collapsed="false">
      <c r="A984" s="13" t="n">
        <v>3</v>
      </c>
      <c r="B984" s="13" t="n">
        <v>64</v>
      </c>
      <c r="C984" s="13" t="n">
        <v>1</v>
      </c>
      <c r="D984" s="13" t="n">
        <v>0</v>
      </c>
      <c r="E984" s="13" t="n">
        <v>0</v>
      </c>
      <c r="F984" s="13" t="n">
        <v>1</v>
      </c>
      <c r="G984" s="13" t="n">
        <v>1</v>
      </c>
      <c r="H984" s="13" t="n">
        <f aca="false">IF(C984=1,A984,"")</f>
        <v>3</v>
      </c>
      <c r="I984" s="13" t="str">
        <f aca="false">IF(C984=0,A984,"")</f>
        <v/>
      </c>
    </row>
    <row r="985" customFormat="false" ht="15" hidden="false" customHeight="false" outlineLevel="0" collapsed="false">
      <c r="A985" s="13" t="n">
        <v>4</v>
      </c>
      <c r="B985" s="13" t="n">
        <v>28</v>
      </c>
      <c r="C985" s="13" t="n">
        <v>0</v>
      </c>
      <c r="D985" s="13" t="n">
        <v>0</v>
      </c>
      <c r="E985" s="13" t="n">
        <v>1</v>
      </c>
      <c r="F985" s="13" t="n">
        <v>1</v>
      </c>
      <c r="G985" s="13" t="n">
        <v>1</v>
      </c>
      <c r="H985" s="13" t="str">
        <f aca="false">IF(C985=1,A985,"")</f>
        <v/>
      </c>
      <c r="I985" s="13" t="n">
        <f aca="false">IF(C985=0,A985,"")</f>
        <v>4</v>
      </c>
    </row>
    <row r="986" customFormat="false" ht="15" hidden="false" customHeight="false" outlineLevel="0" collapsed="false">
      <c r="A986" s="13" t="n">
        <v>4</v>
      </c>
      <c r="B986" s="13" t="n">
        <v>54</v>
      </c>
      <c r="C986" s="13" t="n">
        <v>0</v>
      </c>
      <c r="D986" s="13" t="n">
        <v>0</v>
      </c>
      <c r="E986" s="13" t="n">
        <v>1</v>
      </c>
      <c r="F986" s="13" t="n">
        <v>0</v>
      </c>
      <c r="G986" s="13" t="n">
        <v>1</v>
      </c>
      <c r="H986" s="13" t="str">
        <f aca="false">IF(C986=1,A986,"")</f>
        <v/>
      </c>
      <c r="I986" s="13" t="n">
        <f aca="false">IF(C986=0,A986,"")</f>
        <v>4</v>
      </c>
    </row>
    <row r="987" customFormat="false" ht="15" hidden="false" customHeight="false" outlineLevel="0" collapsed="false">
      <c r="A987" s="13" t="n">
        <v>5</v>
      </c>
      <c r="B987" s="13" t="n">
        <v>57</v>
      </c>
      <c r="C987" s="13" t="n">
        <v>0</v>
      </c>
      <c r="D987" s="13" t="n">
        <v>0</v>
      </c>
      <c r="E987" s="13" t="n">
        <v>0</v>
      </c>
      <c r="F987" s="13" t="n">
        <v>1</v>
      </c>
      <c r="G987" s="13" t="n">
        <v>1</v>
      </c>
      <c r="H987" s="13" t="str">
        <f aca="false">IF(C987=1,A987,"")</f>
        <v/>
      </c>
      <c r="I987" s="13" t="n">
        <f aca="false">IF(C987=0,A987,"")</f>
        <v>5</v>
      </c>
    </row>
    <row r="988" customFormat="false" ht="15" hidden="false" customHeight="false" outlineLevel="0" collapsed="false">
      <c r="A988" s="13" t="n">
        <v>3</v>
      </c>
      <c r="B988" s="13" t="n">
        <v>58</v>
      </c>
      <c r="C988" s="13" t="n">
        <v>1</v>
      </c>
      <c r="D988" s="13" t="n">
        <v>0</v>
      </c>
      <c r="E988" s="13" t="n">
        <v>0</v>
      </c>
      <c r="F988" s="13" t="n">
        <v>1</v>
      </c>
      <c r="G988" s="13" t="n">
        <v>0</v>
      </c>
      <c r="H988" s="13" t="n">
        <f aca="false">IF(C988=1,A988,"")</f>
        <v>3</v>
      </c>
      <c r="I988" s="13" t="str">
        <f aca="false">IF(C988=0,A988,"")</f>
        <v/>
      </c>
    </row>
    <row r="989" customFormat="false" ht="15" hidden="false" customHeight="false" outlineLevel="0" collapsed="false">
      <c r="A989" s="13" t="n">
        <v>1</v>
      </c>
      <c r="B989" s="13" t="n">
        <v>54</v>
      </c>
      <c r="C989" s="13" t="n">
        <v>1</v>
      </c>
      <c r="D989" s="13" t="n">
        <v>0</v>
      </c>
      <c r="E989" s="13" t="n">
        <v>0</v>
      </c>
      <c r="F989" s="13" t="n">
        <v>0</v>
      </c>
      <c r="G989" s="13" t="n">
        <v>0</v>
      </c>
      <c r="H989" s="13" t="n">
        <f aca="false">IF(C989=1,A989,"")</f>
        <v>1</v>
      </c>
      <c r="I989" s="13" t="str">
        <f aca="false">IF(C989=0,A989,"")</f>
        <v/>
      </c>
    </row>
    <row r="990" customFormat="false" ht="15" hidden="false" customHeight="false" outlineLevel="0" collapsed="false">
      <c r="A990" s="13" t="n">
        <v>2</v>
      </c>
      <c r="B990" s="13" t="n">
        <v>31</v>
      </c>
      <c r="C990" s="13" t="n">
        <v>1</v>
      </c>
      <c r="D990" s="13" t="n">
        <v>0</v>
      </c>
      <c r="E990" s="13" t="n">
        <v>1</v>
      </c>
      <c r="F990" s="13" t="n">
        <v>1</v>
      </c>
      <c r="G990" s="13" t="n">
        <v>0</v>
      </c>
      <c r="H990" s="13" t="n">
        <f aca="false">IF(C990=1,A990,"")</f>
        <v>2</v>
      </c>
      <c r="I990" s="13" t="str">
        <f aca="false">IF(C990=0,A990,"")</f>
        <v/>
      </c>
    </row>
    <row r="991" customFormat="false" ht="15" hidden="false" customHeight="false" outlineLevel="0" collapsed="false">
      <c r="A991" s="13" t="n">
        <v>5</v>
      </c>
      <c r="B991" s="13" t="n">
        <v>59</v>
      </c>
      <c r="C991" s="13" t="n">
        <v>0</v>
      </c>
      <c r="D991" s="13" t="n">
        <v>0</v>
      </c>
      <c r="E991" s="13" t="n">
        <v>1</v>
      </c>
      <c r="F991" s="13" t="n">
        <v>0</v>
      </c>
      <c r="G991" s="13" t="n">
        <v>0</v>
      </c>
      <c r="H991" s="13" t="str">
        <f aca="false">IF(C991=1,A991,"")</f>
        <v/>
      </c>
      <c r="I991" s="13" t="n">
        <f aca="false">IF(C991=0,A991,"")</f>
        <v>5</v>
      </c>
    </row>
    <row r="992" customFormat="false" ht="15" hidden="false" customHeight="false" outlineLevel="0" collapsed="false">
      <c r="A992" s="13" t="n">
        <v>4</v>
      </c>
      <c r="B992" s="13" t="n">
        <v>59</v>
      </c>
      <c r="C992" s="13" t="n">
        <v>0</v>
      </c>
      <c r="D992" s="13" t="n">
        <v>0</v>
      </c>
      <c r="E992" s="13" t="n">
        <v>1</v>
      </c>
      <c r="F992" s="13" t="n">
        <v>0</v>
      </c>
      <c r="G992" s="13" t="n">
        <v>0</v>
      </c>
      <c r="H992" s="13" t="str">
        <f aca="false">IF(C992=1,A992,"")</f>
        <v/>
      </c>
      <c r="I992" s="13" t="n">
        <f aca="false">IF(C992=0,A992,"")</f>
        <v>4</v>
      </c>
    </row>
    <row r="993" customFormat="false" ht="15" hidden="false" customHeight="false" outlineLevel="0" collapsed="false">
      <c r="A993" s="13" t="n">
        <v>5</v>
      </c>
      <c r="B993" s="13" t="n">
        <v>27</v>
      </c>
      <c r="C993" s="13" t="n">
        <v>0</v>
      </c>
      <c r="D993" s="13" t="n">
        <v>0</v>
      </c>
      <c r="E993" s="13" t="n">
        <v>1</v>
      </c>
      <c r="F993" s="13" t="n">
        <v>1</v>
      </c>
      <c r="G993" s="13" t="n">
        <v>1</v>
      </c>
      <c r="H993" s="13" t="str">
        <f aca="false">IF(C993=1,A993,"")</f>
        <v/>
      </c>
      <c r="I993" s="13" t="n">
        <f aca="false">IF(C993=0,A993,"")</f>
        <v>5</v>
      </c>
    </row>
    <row r="994" customFormat="false" ht="15" hidden="false" customHeight="false" outlineLevel="0" collapsed="false">
      <c r="A994" s="13" t="n">
        <v>4</v>
      </c>
      <c r="B994" s="13" t="n">
        <v>61</v>
      </c>
      <c r="C994" s="13" t="n">
        <v>1</v>
      </c>
      <c r="D994" s="13" t="n">
        <v>2</v>
      </c>
      <c r="E994" s="13" t="n">
        <v>0</v>
      </c>
      <c r="F994" s="13" t="n">
        <v>1</v>
      </c>
      <c r="G994" s="13" t="n">
        <v>1</v>
      </c>
      <c r="H994" s="13" t="n">
        <f aca="false">IF(C994=1,A994,"")</f>
        <v>4</v>
      </c>
      <c r="I994" s="13" t="str">
        <f aca="false">IF(C994=0,A994,"")</f>
        <v/>
      </c>
    </row>
    <row r="995" customFormat="false" ht="15" hidden="false" customHeight="false" outlineLevel="0" collapsed="false">
      <c r="A995" s="13" t="n">
        <v>4</v>
      </c>
      <c r="B995" s="13" t="n">
        <v>48</v>
      </c>
      <c r="C995" s="13" t="n">
        <v>0</v>
      </c>
      <c r="D995" s="13" t="n">
        <v>0</v>
      </c>
      <c r="E995" s="13" t="n">
        <v>1</v>
      </c>
      <c r="F995" s="13" t="n">
        <v>1</v>
      </c>
      <c r="G995" s="13" t="n">
        <v>0</v>
      </c>
      <c r="H995" s="13" t="str">
        <f aca="false">IF(C995=1,A995,"")</f>
        <v/>
      </c>
      <c r="I995" s="13" t="n">
        <f aca="false">IF(C995=0,A995,"")</f>
        <v>4</v>
      </c>
    </row>
    <row r="996" customFormat="false" ht="15" hidden="false" customHeight="false" outlineLevel="0" collapsed="false">
      <c r="A996" s="13" t="n">
        <v>3</v>
      </c>
      <c r="B996" s="13" t="n">
        <v>25</v>
      </c>
      <c r="C996" s="13" t="n">
        <v>1</v>
      </c>
      <c r="D996" s="13" t="n">
        <v>0</v>
      </c>
      <c r="E996" s="13" t="n">
        <v>0</v>
      </c>
      <c r="F996" s="13" t="n">
        <v>1</v>
      </c>
      <c r="G996" s="13" t="n">
        <v>0</v>
      </c>
      <c r="H996" s="13" t="n">
        <f aca="false">IF(C996=1,A996,"")</f>
        <v>3</v>
      </c>
      <c r="I996" s="13" t="str">
        <f aca="false">IF(C996=0,A996,"")</f>
        <v/>
      </c>
    </row>
    <row r="997" customFormat="false" ht="15" hidden="false" customHeight="false" outlineLevel="0" collapsed="false">
      <c r="A997" s="13" t="n">
        <v>3</v>
      </c>
      <c r="B997" s="13" t="n">
        <v>49</v>
      </c>
      <c r="C997" s="13" t="n">
        <v>0</v>
      </c>
      <c r="D997" s="13" t="n">
        <v>0</v>
      </c>
      <c r="E997" s="13" t="n">
        <v>1</v>
      </c>
      <c r="F997" s="13" t="n">
        <v>0</v>
      </c>
      <c r="G997" s="13" t="n">
        <v>1</v>
      </c>
      <c r="H997" s="13" t="str">
        <f aca="false">IF(C997=1,A997,"")</f>
        <v/>
      </c>
      <c r="I997" s="13" t="n">
        <f aca="false">IF(C997=0,A997,"")</f>
        <v>3</v>
      </c>
    </row>
    <row r="998" customFormat="false" ht="15" hidden="false" customHeight="false" outlineLevel="0" collapsed="false">
      <c r="A998" s="13" t="n">
        <v>4</v>
      </c>
      <c r="B998" s="13" t="n">
        <v>55</v>
      </c>
      <c r="C998" s="13" t="n">
        <v>1</v>
      </c>
      <c r="D998" s="13" t="n">
        <v>0</v>
      </c>
      <c r="E998" s="13" t="n">
        <v>1</v>
      </c>
      <c r="F998" s="13" t="n">
        <v>1</v>
      </c>
      <c r="G998" s="13" t="n">
        <v>0</v>
      </c>
      <c r="H998" s="13" t="n">
        <f aca="false">IF(C998=1,A998,"")</f>
        <v>4</v>
      </c>
      <c r="I998" s="13" t="str">
        <f aca="false">IF(C998=0,A998,"")</f>
        <v/>
      </c>
    </row>
    <row r="999" customFormat="false" ht="15" hidden="false" customHeight="false" outlineLevel="0" collapsed="false">
      <c r="A999" s="13" t="n">
        <v>4</v>
      </c>
      <c r="B999" s="13" t="n">
        <v>32</v>
      </c>
      <c r="C999" s="13" t="n">
        <v>0</v>
      </c>
      <c r="D999" s="13" t="n">
        <v>0</v>
      </c>
      <c r="E999" s="13" t="n">
        <v>1</v>
      </c>
      <c r="F999" s="13" t="n">
        <v>1</v>
      </c>
      <c r="G999" s="13" t="n">
        <v>0</v>
      </c>
      <c r="H999" s="13" t="str">
        <f aca="false">IF(C999=1,A999,"")</f>
        <v/>
      </c>
      <c r="I999" s="13" t="n">
        <f aca="false">IF(C999=0,A999,"")</f>
        <v>4</v>
      </c>
    </row>
    <row r="1000" customFormat="false" ht="15" hidden="false" customHeight="false" outlineLevel="0" collapsed="false">
      <c r="A1000" s="13" t="n">
        <v>4</v>
      </c>
      <c r="B1000" s="13" t="n">
        <v>64</v>
      </c>
      <c r="C1000" s="13" t="n">
        <v>1</v>
      </c>
      <c r="D1000" s="13" t="n">
        <v>0</v>
      </c>
      <c r="E1000" s="13" t="n">
        <v>0</v>
      </c>
      <c r="F1000" s="13" t="n">
        <v>1</v>
      </c>
      <c r="G1000" s="13" t="n">
        <v>1</v>
      </c>
      <c r="H1000" s="13" t="n">
        <f aca="false">IF(C1000=1,A1000,"")</f>
        <v>4</v>
      </c>
      <c r="I1000" s="13" t="str">
        <f aca="false">IF(C1000=0,A1000,"")</f>
        <v/>
      </c>
    </row>
    <row r="1001" customFormat="false" ht="15" hidden="false" customHeight="false" outlineLevel="0" collapsed="false">
      <c r="A1001" s="13" t="n">
        <v>4</v>
      </c>
      <c r="B1001" s="13" t="n">
        <v>50</v>
      </c>
      <c r="C1001" s="13" t="n">
        <v>0</v>
      </c>
      <c r="D1001" s="13" t="n">
        <v>0</v>
      </c>
      <c r="E1001" s="13" t="n">
        <v>1</v>
      </c>
      <c r="F1001" s="13" t="n">
        <v>1</v>
      </c>
      <c r="G1001" s="13" t="n">
        <v>1</v>
      </c>
      <c r="H1001" s="13" t="str">
        <f aca="false">IF(C1001=1,A1001,"")</f>
        <v/>
      </c>
      <c r="I1001" s="13" t="n">
        <f aca="false">IF(C1001=0,A1001,"")</f>
        <v>4</v>
      </c>
    </row>
    <row r="1002" customFormat="false" ht="15" hidden="false" customHeight="false" outlineLevel="0" collapsed="false">
      <c r="A1002" s="13" t="n">
        <v>4</v>
      </c>
      <c r="B1002" s="13" t="n">
        <v>62</v>
      </c>
      <c r="C1002" s="13" t="n">
        <v>0</v>
      </c>
      <c r="D1002" s="13" t="n">
        <v>0</v>
      </c>
      <c r="E1002" s="13" t="n">
        <v>0</v>
      </c>
      <c r="F1002" s="13" t="n">
        <v>0</v>
      </c>
      <c r="G1002" s="13" t="n">
        <v>1</v>
      </c>
      <c r="H1002" s="13" t="str">
        <f aca="false">IF(C1002=1,A1002,"")</f>
        <v/>
      </c>
      <c r="I1002" s="13" t="n">
        <f aca="false">IF(C1002=0,A1002,"")</f>
        <v>4</v>
      </c>
    </row>
    <row r="1003" customFormat="false" ht="15" hidden="false" customHeight="false" outlineLevel="0" collapsed="false">
      <c r="A1003" s="13" t="n">
        <v>4</v>
      </c>
      <c r="B1003" s="13" t="n">
        <v>29</v>
      </c>
      <c r="C1003" s="13" t="n">
        <v>0</v>
      </c>
      <c r="D1003" s="13" t="n">
        <v>2</v>
      </c>
      <c r="E1003" s="13" t="n">
        <v>0</v>
      </c>
      <c r="F1003" s="13" t="n">
        <v>1</v>
      </c>
      <c r="G1003" s="13" t="n">
        <v>1</v>
      </c>
      <c r="H1003" s="13" t="str">
        <f aca="false">IF(C1003=1,A1003,"")</f>
        <v/>
      </c>
      <c r="I1003" s="13" t="n">
        <f aca="false">IF(C1003=0,A1003,"")</f>
        <v>4</v>
      </c>
    </row>
    <row r="1004" customFormat="false" ht="15" hidden="false" customHeight="false" outlineLevel="0" collapsed="false">
      <c r="A1004" s="13" t="n">
        <v>5</v>
      </c>
      <c r="B1004" s="13" t="n">
        <v>63</v>
      </c>
      <c r="C1004" s="13" t="n">
        <v>1</v>
      </c>
      <c r="D1004" s="13" t="n">
        <v>0</v>
      </c>
      <c r="E1004" s="13" t="n">
        <v>1</v>
      </c>
      <c r="F1004" s="13" t="n">
        <v>0</v>
      </c>
      <c r="G1004" s="13" t="n">
        <v>1</v>
      </c>
      <c r="H1004" s="13" t="n">
        <f aca="false">IF(C1004=1,A1004,"")</f>
        <v>5</v>
      </c>
      <c r="I1004" s="13" t="str">
        <f aca="false">IF(C1004=0,A1004,"")</f>
        <v/>
      </c>
    </row>
    <row r="1005" customFormat="false" ht="15" hidden="false" customHeight="false" outlineLevel="0" collapsed="false">
      <c r="A1005" s="13" t="n">
        <v>4</v>
      </c>
      <c r="B1005" s="13" t="n">
        <v>45</v>
      </c>
      <c r="C1005" s="13" t="n">
        <v>0</v>
      </c>
      <c r="D1005" s="13" t="n">
        <v>2</v>
      </c>
      <c r="E1005" s="13" t="n">
        <v>0</v>
      </c>
      <c r="F1005" s="13" t="n">
        <v>1</v>
      </c>
      <c r="G1005" s="13" t="n">
        <v>1</v>
      </c>
      <c r="H1005" s="13" t="str">
        <f aca="false">IF(C1005=1,A1005,"")</f>
        <v/>
      </c>
      <c r="I1005" s="13" t="n">
        <f aca="false">IF(C1005=0,A1005,"")</f>
        <v>4</v>
      </c>
    </row>
    <row r="1006" customFormat="false" ht="15" hidden="false" customHeight="false" outlineLevel="0" collapsed="false">
      <c r="A1006" s="13" t="n">
        <v>3</v>
      </c>
      <c r="B1006" s="13" t="n">
        <v>54</v>
      </c>
      <c r="C1006" s="13" t="n">
        <v>1</v>
      </c>
      <c r="D1006" s="13" t="n">
        <v>2</v>
      </c>
      <c r="E1006" s="13" t="n">
        <v>0</v>
      </c>
      <c r="F1006" s="13" t="n">
        <v>1</v>
      </c>
      <c r="G1006" s="13" t="n">
        <v>1</v>
      </c>
      <c r="H1006" s="13" t="n">
        <f aca="false">IF(C1006=1,A1006,"")</f>
        <v>3</v>
      </c>
      <c r="I1006" s="13" t="str">
        <f aca="false">IF(C1006=0,A1006,"")</f>
        <v/>
      </c>
    </row>
    <row r="1007" customFormat="false" ht="15" hidden="false" customHeight="false" outlineLevel="0" collapsed="false">
      <c r="A1007" s="13" t="n">
        <v>3</v>
      </c>
      <c r="B1007" s="13" t="n">
        <v>64</v>
      </c>
      <c r="C1007" s="13" t="n">
        <v>1</v>
      </c>
      <c r="D1007" s="13" t="n">
        <v>0</v>
      </c>
      <c r="E1007" s="13" t="n">
        <v>0</v>
      </c>
      <c r="F1007" s="13" t="n">
        <v>1</v>
      </c>
      <c r="G1007" s="13" t="n">
        <v>1</v>
      </c>
      <c r="H1007" s="13" t="n">
        <f aca="false">IF(C1007=1,A1007,"")</f>
        <v>3</v>
      </c>
      <c r="I1007" s="13" t="str">
        <f aca="false">IF(C1007=0,A1007,"")</f>
        <v/>
      </c>
    </row>
    <row r="1008" customFormat="false" ht="15" hidden="false" customHeight="false" outlineLevel="0" collapsed="false">
      <c r="A1008" s="13" t="n">
        <v>4</v>
      </c>
      <c r="B1008" s="13" t="n">
        <v>53</v>
      </c>
      <c r="C1008" s="13" t="n">
        <v>0</v>
      </c>
      <c r="D1008" s="13" t="n">
        <v>0</v>
      </c>
      <c r="E1008" s="13" t="n">
        <v>1</v>
      </c>
      <c r="F1008" s="13" t="n">
        <v>1</v>
      </c>
      <c r="G1008" s="13" t="n">
        <v>0</v>
      </c>
      <c r="H1008" s="13" t="str">
        <f aca="false">IF(C1008=1,A1008,"")</f>
        <v/>
      </c>
      <c r="I1008" s="13" t="n">
        <f aca="false">IF(C1008=0,A1008,"")</f>
        <v>4</v>
      </c>
    </row>
    <row r="1009" customFormat="false" ht="15" hidden="false" customHeight="false" outlineLevel="0" collapsed="false">
      <c r="A1009" s="13" t="n">
        <v>3</v>
      </c>
      <c r="B1009" s="13" t="n">
        <v>58</v>
      </c>
      <c r="C1009" s="13" t="n">
        <v>1</v>
      </c>
      <c r="D1009" s="13" t="n">
        <v>1</v>
      </c>
      <c r="E1009" s="13" t="n">
        <v>1</v>
      </c>
      <c r="F1009" s="13" t="n">
        <v>0</v>
      </c>
      <c r="G1009" s="13" t="n">
        <v>1</v>
      </c>
      <c r="H1009" s="13" t="n">
        <f aca="false">IF(C1009=1,A1009,"")</f>
        <v>3</v>
      </c>
      <c r="I1009" s="13" t="str">
        <f aca="false">IF(C1009=0,A1009,"")</f>
        <v/>
      </c>
    </row>
    <row r="1010" customFormat="false" ht="15" hidden="false" customHeight="false" outlineLevel="0" collapsed="false">
      <c r="A1010" s="13" t="n">
        <v>4</v>
      </c>
      <c r="B1010" s="13" t="n">
        <v>51</v>
      </c>
      <c r="C1010" s="13" t="n">
        <v>0</v>
      </c>
      <c r="D1010" s="13" t="n">
        <v>0</v>
      </c>
      <c r="E1010" s="13" t="n">
        <v>1</v>
      </c>
      <c r="F1010" s="13" t="n">
        <v>0</v>
      </c>
      <c r="G1010" s="13" t="n">
        <v>0</v>
      </c>
      <c r="H1010" s="13" t="str">
        <f aca="false">IF(C1010=1,A1010,"")</f>
        <v/>
      </c>
      <c r="I1010" s="13" t="n">
        <f aca="false">IF(C1010=0,A1010,"")</f>
        <v>4</v>
      </c>
    </row>
    <row r="1011" customFormat="false" ht="15" hidden="false" customHeight="false" outlineLevel="0" collapsed="false">
      <c r="A1011" s="13" t="n">
        <v>4</v>
      </c>
      <c r="B1011" s="13" t="n">
        <v>57</v>
      </c>
      <c r="C1011" s="13" t="n">
        <v>1</v>
      </c>
      <c r="D1011" s="13" t="n">
        <v>0</v>
      </c>
      <c r="E1011" s="13" t="n">
        <v>0</v>
      </c>
      <c r="F1011" s="13" t="n">
        <v>0</v>
      </c>
      <c r="G1011" s="13" t="n">
        <v>1</v>
      </c>
      <c r="H1011" s="13" t="n">
        <f aca="false">IF(C1011=1,A1011,"")</f>
        <v>4</v>
      </c>
      <c r="I1011" s="13" t="str">
        <f aca="false">IF(C1011=0,A1011,"")</f>
        <v/>
      </c>
    </row>
    <row r="1012" customFormat="false" ht="15" hidden="false" customHeight="false" outlineLevel="0" collapsed="false">
      <c r="A1012" s="13" t="n">
        <v>3</v>
      </c>
      <c r="B1012" s="13" t="n">
        <v>53</v>
      </c>
      <c r="C1012" s="13" t="n">
        <v>0</v>
      </c>
      <c r="D1012" s="13" t="n">
        <v>0</v>
      </c>
      <c r="E1012" s="13" t="n">
        <v>1</v>
      </c>
      <c r="F1012" s="13" t="n">
        <v>1</v>
      </c>
      <c r="G1012" s="13" t="n">
        <v>0</v>
      </c>
      <c r="H1012" s="13" t="str">
        <f aca="false">IF(C1012=1,A1012,"")</f>
        <v/>
      </c>
      <c r="I1012" s="13" t="n">
        <f aca="false">IF(C1012=0,A1012,"")</f>
        <v>3</v>
      </c>
    </row>
    <row r="1013" customFormat="false" ht="15" hidden="false" customHeight="false" outlineLevel="0" collapsed="false">
      <c r="A1013" s="13" t="n">
        <v>4</v>
      </c>
      <c r="B1013" s="13" t="n">
        <v>61</v>
      </c>
      <c r="C1013" s="13" t="n">
        <v>0</v>
      </c>
      <c r="D1013" s="13" t="n">
        <v>0</v>
      </c>
      <c r="E1013" s="13" t="n">
        <v>0</v>
      </c>
      <c r="F1013" s="13" t="n">
        <v>0</v>
      </c>
      <c r="G1013" s="13" t="n">
        <v>0</v>
      </c>
      <c r="H1013" s="13" t="str">
        <f aca="false">IF(C1013=1,A1013,"")</f>
        <v/>
      </c>
      <c r="I1013" s="13" t="n">
        <f aca="false">IF(C1013=0,A1013,"")</f>
        <v>4</v>
      </c>
    </row>
    <row r="1014" customFormat="false" ht="15" hidden="false" customHeight="false" outlineLevel="0" collapsed="false">
      <c r="A1014" s="13" t="n">
        <v>5</v>
      </c>
      <c r="B1014" s="13" t="n">
        <v>60</v>
      </c>
      <c r="C1014" s="13" t="n">
        <v>0</v>
      </c>
      <c r="D1014" s="13" t="n">
        <v>0</v>
      </c>
      <c r="E1014" s="13" t="n">
        <v>0</v>
      </c>
      <c r="F1014" s="13" t="n">
        <v>0</v>
      </c>
      <c r="G1014" s="13" t="n">
        <v>1</v>
      </c>
      <c r="H1014" s="13" t="str">
        <f aca="false">IF(C1014=1,A1014,"")</f>
        <v/>
      </c>
      <c r="I1014" s="13" t="n">
        <f aca="false">IF(C1014=0,A1014,"")</f>
        <v>5</v>
      </c>
    </row>
    <row r="1015" customFormat="false" ht="15" hidden="false" customHeight="false" outlineLevel="0" collapsed="false">
      <c r="A1015" s="13" t="n">
        <v>4</v>
      </c>
      <c r="B1015" s="13" t="n">
        <v>33</v>
      </c>
      <c r="C1015" s="13" t="n">
        <v>1</v>
      </c>
      <c r="D1015" s="13" t="n">
        <v>2</v>
      </c>
      <c r="E1015" s="13" t="n">
        <v>1</v>
      </c>
      <c r="F1015" s="13" t="n">
        <v>1</v>
      </c>
      <c r="G1015" s="13" t="n">
        <v>1</v>
      </c>
      <c r="H1015" s="13" t="n">
        <f aca="false">IF(C1015=1,A1015,"")</f>
        <v>4</v>
      </c>
      <c r="I1015" s="13" t="str">
        <f aca="false">IF(C1015=0,A1015,"")</f>
        <v/>
      </c>
    </row>
    <row r="1016" customFormat="false" ht="15" hidden="false" customHeight="false" outlineLevel="0" collapsed="false">
      <c r="A1016" s="13" t="n">
        <v>4</v>
      </c>
      <c r="B1016" s="13" t="n">
        <v>28</v>
      </c>
      <c r="C1016" s="13" t="n">
        <v>0</v>
      </c>
      <c r="D1016" s="13" t="n">
        <v>0</v>
      </c>
      <c r="E1016" s="13" t="n">
        <v>0</v>
      </c>
      <c r="F1016" s="13" t="n">
        <v>0</v>
      </c>
      <c r="G1016" s="13" t="n">
        <v>0</v>
      </c>
      <c r="H1016" s="13" t="str">
        <f aca="false">IF(C1016=1,A1016,"")</f>
        <v/>
      </c>
      <c r="I1016" s="13" t="n">
        <f aca="false">IF(C1016=0,A1016,"")</f>
        <v>4</v>
      </c>
    </row>
    <row r="1017" customFormat="false" ht="15" hidden="false" customHeight="false" outlineLevel="0" collapsed="false">
      <c r="A1017" s="13" t="n">
        <v>3</v>
      </c>
      <c r="B1017" s="13" t="n">
        <v>59</v>
      </c>
      <c r="C1017" s="13" t="n">
        <v>1</v>
      </c>
      <c r="D1017" s="13" t="n">
        <v>0</v>
      </c>
      <c r="E1017" s="13" t="n">
        <v>0</v>
      </c>
      <c r="F1017" s="13" t="n">
        <v>0</v>
      </c>
      <c r="G1017" s="13" t="n">
        <v>1</v>
      </c>
      <c r="H1017" s="13" t="n">
        <f aca="false">IF(C1017=1,A1017,"")</f>
        <v>3</v>
      </c>
      <c r="I1017" s="13" t="str">
        <f aca="false">IF(C1017=0,A1017,"")</f>
        <v/>
      </c>
    </row>
    <row r="1018" customFormat="false" ht="15" hidden="false" customHeight="false" outlineLevel="0" collapsed="false">
      <c r="A1018" s="13" t="n">
        <v>4</v>
      </c>
      <c r="B1018" s="13" t="n">
        <v>64</v>
      </c>
      <c r="C1018" s="13" t="n">
        <v>1</v>
      </c>
      <c r="D1018" s="13" t="n">
        <v>0</v>
      </c>
      <c r="E1018" s="13" t="n">
        <v>0</v>
      </c>
      <c r="F1018" s="13" t="n">
        <v>0</v>
      </c>
      <c r="G1018" s="13" t="n">
        <v>1</v>
      </c>
      <c r="H1018" s="13" t="n">
        <f aca="false">IF(C1018=1,A1018,"")</f>
        <v>4</v>
      </c>
      <c r="I1018" s="13" t="str">
        <f aca="false">IF(C1018=0,A1018,"")</f>
        <v/>
      </c>
    </row>
    <row r="1019" customFormat="false" ht="15" hidden="false" customHeight="false" outlineLevel="0" collapsed="false">
      <c r="A1019" s="13" t="n">
        <v>4</v>
      </c>
      <c r="B1019" s="13" t="n">
        <v>54</v>
      </c>
      <c r="C1019" s="13" t="n">
        <v>0</v>
      </c>
      <c r="D1019" s="13" t="n">
        <v>1</v>
      </c>
      <c r="E1019" s="13" t="n">
        <v>0</v>
      </c>
      <c r="F1019" s="13" t="n">
        <v>0</v>
      </c>
      <c r="G1019" s="13" t="n">
        <v>0</v>
      </c>
      <c r="H1019" s="13" t="str">
        <f aca="false">IF(C1019=1,A1019,"")</f>
        <v/>
      </c>
      <c r="I1019" s="13" t="n">
        <f aca="false">IF(C1019=0,A1019,"")</f>
        <v>4</v>
      </c>
    </row>
    <row r="1020" customFormat="false" ht="15" hidden="false" customHeight="false" outlineLevel="0" collapsed="false">
      <c r="A1020" s="13" t="n">
        <v>3</v>
      </c>
      <c r="B1020" s="13" t="n">
        <v>26</v>
      </c>
      <c r="C1020" s="13" t="n">
        <v>0</v>
      </c>
      <c r="D1020" s="13" t="n">
        <v>0</v>
      </c>
      <c r="E1020" s="13" t="n">
        <v>0</v>
      </c>
      <c r="F1020" s="13" t="n">
        <v>1</v>
      </c>
      <c r="G1020" s="13" t="n">
        <v>1</v>
      </c>
      <c r="H1020" s="13" t="str">
        <f aca="false">IF(C1020=1,A1020,"")</f>
        <v/>
      </c>
      <c r="I1020" s="13" t="n">
        <f aca="false">IF(C1020=0,A1020,"")</f>
        <v>3</v>
      </c>
    </row>
    <row r="1021" customFormat="false" ht="15" hidden="false" customHeight="false" outlineLevel="0" collapsed="false">
      <c r="A1021" s="13" t="n">
        <v>4</v>
      </c>
      <c r="B1021" s="13" t="n">
        <v>56</v>
      </c>
      <c r="C1021" s="13" t="n">
        <v>1</v>
      </c>
      <c r="D1021" s="13" t="n">
        <v>0</v>
      </c>
      <c r="E1021" s="13" t="n">
        <v>1</v>
      </c>
      <c r="F1021" s="13" t="n">
        <v>1</v>
      </c>
      <c r="G1021" s="13" t="n">
        <v>1</v>
      </c>
      <c r="H1021" s="13" t="n">
        <f aca="false">IF(C1021=1,A1021,"")</f>
        <v>4</v>
      </c>
      <c r="I1021" s="13" t="str">
        <f aca="false">IF(C1021=0,A1021,"")</f>
        <v/>
      </c>
    </row>
    <row r="1022" customFormat="false" ht="15" hidden="false" customHeight="false" outlineLevel="0" collapsed="false">
      <c r="A1022" s="13" t="n">
        <v>5</v>
      </c>
      <c r="B1022" s="13" t="n">
        <v>57</v>
      </c>
      <c r="C1022" s="13" t="n">
        <v>0</v>
      </c>
      <c r="D1022" s="13" t="n">
        <v>0</v>
      </c>
      <c r="E1022" s="13" t="n">
        <v>0</v>
      </c>
      <c r="F1022" s="13" t="n">
        <v>1</v>
      </c>
      <c r="G1022" s="13" t="n">
        <v>0</v>
      </c>
      <c r="H1022" s="13" t="str">
        <f aca="false">IF(C1022=1,A1022,"")</f>
        <v/>
      </c>
      <c r="I1022" s="13" t="n">
        <f aca="false">IF(C1022=0,A1022,"")</f>
        <v>5</v>
      </c>
    </row>
    <row r="1023" customFormat="false" ht="15" hidden="false" customHeight="false" outlineLevel="0" collapsed="false">
      <c r="A1023" s="13" t="n">
        <v>4</v>
      </c>
      <c r="B1023" s="13" t="n">
        <v>46</v>
      </c>
      <c r="C1023" s="13" t="n">
        <v>0</v>
      </c>
      <c r="D1023" s="13" t="n">
        <v>0</v>
      </c>
      <c r="E1023" s="13" t="n">
        <v>1</v>
      </c>
      <c r="F1023" s="13" t="n">
        <v>0</v>
      </c>
      <c r="G1023" s="13" t="n">
        <v>0</v>
      </c>
      <c r="H1023" s="13" t="str">
        <f aca="false">IF(C1023=1,A1023,"")</f>
        <v/>
      </c>
      <c r="I1023" s="13" t="n">
        <f aca="false">IF(C1023=0,A1023,"")</f>
        <v>4</v>
      </c>
    </row>
    <row r="1024" customFormat="false" ht="15" hidden="false" customHeight="false" outlineLevel="0" collapsed="false">
      <c r="A1024" s="13" t="n">
        <v>4</v>
      </c>
      <c r="B1024" s="13" t="n">
        <v>29</v>
      </c>
      <c r="C1024" s="13" t="n">
        <v>0</v>
      </c>
      <c r="D1024" s="13" t="n">
        <v>0</v>
      </c>
      <c r="E1024" s="13" t="n">
        <v>1</v>
      </c>
      <c r="F1024" s="13" t="n">
        <v>1</v>
      </c>
      <c r="G1024" s="13" t="n">
        <v>0</v>
      </c>
      <c r="H1024" s="13" t="str">
        <f aca="false">IF(C1024=1,A1024,"")</f>
        <v/>
      </c>
      <c r="I1024" s="13" t="n">
        <f aca="false">IF(C1024=0,A1024,"")</f>
        <v>4</v>
      </c>
    </row>
    <row r="1025" customFormat="false" ht="15" hidden="false" customHeight="false" outlineLevel="0" collapsed="false">
      <c r="A1025" s="13" t="n">
        <v>4</v>
      </c>
      <c r="B1025" s="13" t="n">
        <v>48</v>
      </c>
      <c r="C1025" s="13" t="n">
        <v>1</v>
      </c>
      <c r="D1025" s="13" t="n">
        <v>3</v>
      </c>
      <c r="E1025" s="13" t="n">
        <v>1</v>
      </c>
      <c r="F1025" s="13" t="n">
        <v>1</v>
      </c>
      <c r="G1025" s="13" t="n">
        <v>1</v>
      </c>
      <c r="H1025" s="13" t="n">
        <f aca="false">IF(C1025=1,A1025,"")</f>
        <v>4</v>
      </c>
      <c r="I1025" s="13" t="str">
        <f aca="false">IF(C1025=0,A1025,"")</f>
        <v/>
      </c>
    </row>
    <row r="1026" customFormat="false" ht="15" hidden="false" customHeight="false" outlineLevel="0" collapsed="false">
      <c r="A1026" s="13" t="n">
        <v>3</v>
      </c>
      <c r="B1026" s="13" t="n">
        <v>53</v>
      </c>
      <c r="C1026" s="13" t="n">
        <v>0</v>
      </c>
      <c r="D1026" s="13" t="n">
        <v>1</v>
      </c>
      <c r="E1026" s="13" t="n">
        <v>1</v>
      </c>
      <c r="F1026" s="13" t="n">
        <v>1</v>
      </c>
      <c r="G1026" s="13" t="n">
        <v>0</v>
      </c>
      <c r="H1026" s="13" t="str">
        <f aca="false">IF(C1026=1,A1026,"")</f>
        <v/>
      </c>
      <c r="I1026" s="13" t="n">
        <f aca="false">IF(C1026=0,A1026,"")</f>
        <v>3</v>
      </c>
    </row>
    <row r="1027" customFormat="false" ht="15" hidden="false" customHeight="false" outlineLevel="0" collapsed="false">
      <c r="A1027" s="13" t="n">
        <v>4</v>
      </c>
      <c r="B1027" s="13" t="n">
        <v>32</v>
      </c>
      <c r="C1027" s="13" t="n">
        <v>1</v>
      </c>
      <c r="D1027" s="13" t="n">
        <v>2</v>
      </c>
      <c r="E1027" s="13" t="n">
        <v>1</v>
      </c>
      <c r="F1027" s="13" t="n">
        <v>1</v>
      </c>
      <c r="G1027" s="13" t="n">
        <v>1</v>
      </c>
      <c r="H1027" s="13" t="n">
        <f aca="false">IF(C1027=1,A1027,"")</f>
        <v>4</v>
      </c>
      <c r="I1027" s="13" t="str">
        <f aca="false">IF(C1027=0,A1027,"")</f>
        <v/>
      </c>
    </row>
    <row r="1028" customFormat="false" ht="15" hidden="false" customHeight="false" outlineLevel="0" collapsed="false">
      <c r="A1028" s="13" t="n">
        <v>3</v>
      </c>
      <c r="B1028" s="13" t="n">
        <v>57</v>
      </c>
      <c r="C1028" s="13" t="n">
        <v>1</v>
      </c>
      <c r="D1028" s="13" t="n">
        <v>1</v>
      </c>
      <c r="E1028" s="13" t="n">
        <v>1</v>
      </c>
      <c r="F1028" s="13" t="n">
        <v>0</v>
      </c>
      <c r="G1028" s="13" t="n">
        <v>1</v>
      </c>
      <c r="H1028" s="13" t="n">
        <f aca="false">IF(C1028=1,A1028,"")</f>
        <v>3</v>
      </c>
      <c r="I1028" s="13" t="str">
        <f aca="false">IF(C1028=0,A1028,"")</f>
        <v/>
      </c>
    </row>
    <row r="1029" customFormat="false" ht="15" hidden="false" customHeight="false" outlineLevel="0" collapsed="false">
      <c r="A1029" s="13" t="n">
        <v>5</v>
      </c>
      <c r="B1029" s="13" t="n">
        <v>55</v>
      </c>
      <c r="C1029" s="13" t="n">
        <v>0</v>
      </c>
      <c r="D1029" s="13" t="n">
        <v>0</v>
      </c>
      <c r="E1029" s="13" t="n">
        <v>0</v>
      </c>
      <c r="F1029" s="13" t="n">
        <v>0</v>
      </c>
      <c r="G1029" s="13" t="n">
        <v>0</v>
      </c>
      <c r="H1029" s="13" t="str">
        <f aca="false">IF(C1029=1,A1029,"")</f>
        <v/>
      </c>
      <c r="I1029" s="13" t="n">
        <f aca="false">IF(C1029=0,A1029,"")</f>
        <v>5</v>
      </c>
    </row>
    <row r="1030" customFormat="false" ht="15" hidden="false" customHeight="false" outlineLevel="0" collapsed="false">
      <c r="A1030" s="13" t="n">
        <v>4</v>
      </c>
      <c r="B1030" s="13" t="n">
        <v>31</v>
      </c>
      <c r="C1030" s="13" t="n">
        <v>0</v>
      </c>
      <c r="D1030" s="13" t="n">
        <v>0</v>
      </c>
      <c r="E1030" s="13" t="n">
        <v>0</v>
      </c>
      <c r="F1030" s="13" t="n">
        <v>1</v>
      </c>
      <c r="G1030" s="13" t="n">
        <v>1</v>
      </c>
      <c r="H1030" s="13" t="str">
        <f aca="false">IF(C1030=1,A1030,"")</f>
        <v/>
      </c>
      <c r="I1030" s="13" t="n">
        <f aca="false">IF(C1030=0,A1030,"")</f>
        <v>4</v>
      </c>
    </row>
    <row r="1031" customFormat="false" ht="15" hidden="false" customHeight="false" outlineLevel="0" collapsed="false">
      <c r="A1031" s="13" t="n">
        <v>4</v>
      </c>
      <c r="B1031" s="13" t="n">
        <v>32</v>
      </c>
      <c r="C1031" s="13" t="n">
        <v>0</v>
      </c>
      <c r="D1031" s="13" t="n">
        <v>0</v>
      </c>
      <c r="E1031" s="13" t="n">
        <v>1</v>
      </c>
      <c r="F1031" s="13" t="n">
        <v>1</v>
      </c>
      <c r="G1031" s="13" t="n">
        <v>0</v>
      </c>
      <c r="H1031" s="13" t="str">
        <f aca="false">IF(C1031=1,A1031,"")</f>
        <v/>
      </c>
      <c r="I1031" s="13" t="n">
        <f aca="false">IF(C1031=0,A1031,"")</f>
        <v>4</v>
      </c>
    </row>
    <row r="1032" customFormat="false" ht="15" hidden="false" customHeight="false" outlineLevel="0" collapsed="false">
      <c r="A1032" s="13" t="n">
        <v>5</v>
      </c>
      <c r="B1032" s="13" t="n">
        <v>46</v>
      </c>
      <c r="C1032" s="13" t="n">
        <v>0</v>
      </c>
      <c r="D1032" s="13" t="n">
        <v>2</v>
      </c>
      <c r="E1032" s="13" t="n">
        <v>1</v>
      </c>
      <c r="F1032" s="13" t="n">
        <v>1</v>
      </c>
      <c r="G1032" s="13" t="n">
        <v>1</v>
      </c>
      <c r="H1032" s="13" t="str">
        <f aca="false">IF(C1032=1,A1032,"")</f>
        <v/>
      </c>
      <c r="I1032" s="13" t="n">
        <f aca="false">IF(C1032=0,A1032,"")</f>
        <v>5</v>
      </c>
    </row>
    <row r="1033" customFormat="false" ht="15" hidden="false" customHeight="false" outlineLevel="0" collapsed="false">
      <c r="A1033" s="13" t="n">
        <v>5</v>
      </c>
      <c r="B1033" s="13" t="n">
        <v>59</v>
      </c>
      <c r="C1033" s="13" t="n">
        <v>0</v>
      </c>
      <c r="D1033" s="13" t="n">
        <v>0</v>
      </c>
      <c r="E1033" s="13" t="n">
        <v>0</v>
      </c>
      <c r="F1033" s="13" t="n">
        <v>1</v>
      </c>
      <c r="G1033" s="13" t="n">
        <v>1</v>
      </c>
      <c r="H1033" s="13" t="str">
        <f aca="false">IF(C1033=1,A1033,"")</f>
        <v/>
      </c>
      <c r="I1033" s="13" t="n">
        <f aca="false">IF(C1033=0,A1033,"")</f>
        <v>5</v>
      </c>
    </row>
    <row r="1034" customFormat="false" ht="15" hidden="false" customHeight="false" outlineLevel="0" collapsed="false">
      <c r="A1034" s="13" t="n">
        <v>3</v>
      </c>
      <c r="B1034" s="13" t="n">
        <v>57</v>
      </c>
      <c r="C1034" s="13" t="n">
        <v>1</v>
      </c>
      <c r="D1034" s="13" t="n">
        <v>0</v>
      </c>
      <c r="E1034" s="13" t="n">
        <v>0</v>
      </c>
      <c r="F1034" s="13" t="n">
        <v>1</v>
      </c>
      <c r="G1034" s="13" t="n">
        <v>0</v>
      </c>
      <c r="H1034" s="13" t="n">
        <f aca="false">IF(C1034=1,A1034,"")</f>
        <v>3</v>
      </c>
      <c r="I1034" s="13" t="str">
        <f aca="false">IF(C1034=0,A1034,"")</f>
        <v/>
      </c>
    </row>
    <row r="1035" customFormat="false" ht="15" hidden="false" customHeight="false" outlineLevel="0" collapsed="false">
      <c r="A1035" s="13" t="n">
        <v>3</v>
      </c>
      <c r="B1035" s="13" t="n">
        <v>52</v>
      </c>
      <c r="C1035" s="13" t="n">
        <v>1</v>
      </c>
      <c r="D1035" s="13" t="n">
        <v>1</v>
      </c>
      <c r="E1035" s="13" t="n">
        <v>1</v>
      </c>
      <c r="F1035" s="13" t="n">
        <v>1</v>
      </c>
      <c r="G1035" s="13" t="n">
        <v>1</v>
      </c>
      <c r="H1035" s="13" t="n">
        <f aca="false">IF(C1035=1,A1035,"")</f>
        <v>3</v>
      </c>
      <c r="I1035" s="13" t="str">
        <f aca="false">IF(C1035=0,A1035,"")</f>
        <v/>
      </c>
    </row>
    <row r="1036" customFormat="false" ht="15" hidden="false" customHeight="false" outlineLevel="0" collapsed="false">
      <c r="A1036" s="13" t="n">
        <v>5</v>
      </c>
      <c r="B1036" s="13" t="n">
        <v>55</v>
      </c>
      <c r="C1036" s="13" t="n">
        <v>1</v>
      </c>
      <c r="D1036" s="13" t="n">
        <v>1</v>
      </c>
      <c r="E1036" s="13" t="n">
        <v>0</v>
      </c>
      <c r="F1036" s="13" t="n">
        <v>1</v>
      </c>
      <c r="G1036" s="13" t="n">
        <v>1</v>
      </c>
      <c r="H1036" s="13" t="n">
        <f aca="false">IF(C1036=1,A1036,"")</f>
        <v>5</v>
      </c>
      <c r="I1036" s="13" t="str">
        <f aca="false">IF(C1036=0,A1036,"")</f>
        <v/>
      </c>
    </row>
    <row r="1037" customFormat="false" ht="15" hidden="false" customHeight="false" outlineLevel="0" collapsed="false">
      <c r="A1037" s="13" t="n">
        <v>4</v>
      </c>
      <c r="B1037" s="13" t="n">
        <v>33</v>
      </c>
      <c r="C1037" s="13" t="n">
        <v>1</v>
      </c>
      <c r="D1037" s="13" t="n">
        <v>0</v>
      </c>
      <c r="E1037" s="13" t="n">
        <v>1</v>
      </c>
      <c r="F1037" s="13" t="n">
        <v>1</v>
      </c>
      <c r="G1037" s="13" t="n">
        <v>1</v>
      </c>
      <c r="H1037" s="13" t="n">
        <f aca="false">IF(C1037=1,A1037,"")</f>
        <v>4</v>
      </c>
      <c r="I1037" s="13" t="str">
        <f aca="false">IF(C1037=0,A1037,"")</f>
        <v/>
      </c>
    </row>
    <row r="1038" customFormat="false" ht="15" hidden="false" customHeight="false" outlineLevel="0" collapsed="false">
      <c r="A1038" s="13" t="n">
        <v>5</v>
      </c>
      <c r="B1038" s="13" t="n">
        <v>64</v>
      </c>
      <c r="C1038" s="13" t="n">
        <v>0</v>
      </c>
      <c r="D1038" s="13" t="n">
        <v>0</v>
      </c>
      <c r="E1038" s="13" t="n">
        <v>0</v>
      </c>
      <c r="F1038" s="13" t="n">
        <v>1</v>
      </c>
      <c r="G1038" s="13" t="n">
        <v>1</v>
      </c>
      <c r="H1038" s="13" t="str">
        <f aca="false">IF(C1038=1,A1038,"")</f>
        <v/>
      </c>
      <c r="I1038" s="13" t="n">
        <f aca="false">IF(C1038=0,A1038,"")</f>
        <v>5</v>
      </c>
    </row>
    <row r="1039" customFormat="false" ht="15" hidden="false" customHeight="false" outlineLevel="0" collapsed="false">
      <c r="A1039" s="13" t="n">
        <v>4</v>
      </c>
      <c r="B1039" s="13" t="n">
        <v>28</v>
      </c>
      <c r="C1039" s="13" t="n">
        <v>1</v>
      </c>
      <c r="D1039" s="13" t="n">
        <v>0</v>
      </c>
      <c r="E1039" s="13" t="n">
        <v>1</v>
      </c>
      <c r="F1039" s="13" t="n">
        <v>1</v>
      </c>
      <c r="G1039" s="13" t="n">
        <v>0</v>
      </c>
      <c r="H1039" s="13" t="n">
        <f aca="false">IF(C1039=1,A1039,"")</f>
        <v>4</v>
      </c>
      <c r="I1039" s="13" t="str">
        <f aca="false">IF(C1039=0,A1039,"")</f>
        <v/>
      </c>
    </row>
    <row r="1040" customFormat="false" ht="15" hidden="false" customHeight="false" outlineLevel="0" collapsed="false">
      <c r="A1040" s="13" t="n">
        <v>5</v>
      </c>
      <c r="B1040" s="13" t="n">
        <v>31</v>
      </c>
      <c r="C1040" s="13" t="n">
        <v>0</v>
      </c>
      <c r="D1040" s="13" t="n">
        <v>0</v>
      </c>
      <c r="E1040" s="13" t="n">
        <v>1</v>
      </c>
      <c r="F1040" s="13" t="n">
        <v>0</v>
      </c>
      <c r="G1040" s="13" t="n">
        <v>1</v>
      </c>
      <c r="H1040" s="13" t="str">
        <f aca="false">IF(C1040=1,A1040,"")</f>
        <v/>
      </c>
      <c r="I1040" s="13" t="n">
        <f aca="false">IF(C1040=0,A1040,"")</f>
        <v>5</v>
      </c>
    </row>
    <row r="1041" customFormat="false" ht="15" hidden="false" customHeight="false" outlineLevel="0" collapsed="false">
      <c r="A1041" s="13" t="n">
        <v>5</v>
      </c>
      <c r="B1041" s="13" t="n">
        <v>49</v>
      </c>
      <c r="C1041" s="13" t="n">
        <v>0</v>
      </c>
      <c r="D1041" s="13" t="n">
        <v>0</v>
      </c>
      <c r="E1041" s="13" t="n">
        <v>1</v>
      </c>
      <c r="F1041" s="13" t="n">
        <v>1</v>
      </c>
      <c r="G1041" s="13" t="n">
        <v>1</v>
      </c>
      <c r="H1041" s="13" t="str">
        <f aca="false">IF(C1041=1,A1041,"")</f>
        <v/>
      </c>
      <c r="I1041" s="13" t="n">
        <f aca="false">IF(C1041=0,A1041,"")</f>
        <v>5</v>
      </c>
    </row>
    <row r="1042" customFormat="false" ht="15" hidden="false" customHeight="false" outlineLevel="0" collapsed="false">
      <c r="A1042" s="13" t="n">
        <v>2</v>
      </c>
      <c r="B1042" s="13" t="n">
        <v>61</v>
      </c>
      <c r="C1042" s="13" t="n">
        <v>0</v>
      </c>
      <c r="D1042" s="13" t="n">
        <v>1</v>
      </c>
      <c r="E1042" s="13" t="n">
        <v>0</v>
      </c>
      <c r="F1042" s="13" t="n">
        <v>1</v>
      </c>
      <c r="G1042" s="13" t="n">
        <v>0</v>
      </c>
      <c r="H1042" s="13" t="str">
        <f aca="false">IF(C1042=1,A1042,"")</f>
        <v/>
      </c>
      <c r="I1042" s="13" t="n">
        <f aca="false">IF(C1042=0,A1042,"")</f>
        <v>2</v>
      </c>
    </row>
    <row r="1043" customFormat="false" ht="15" hidden="false" customHeight="false" outlineLevel="0" collapsed="false">
      <c r="A1043" s="13" t="n">
        <v>2</v>
      </c>
      <c r="B1043" s="13" t="n">
        <v>33</v>
      </c>
      <c r="C1043" s="13" t="n">
        <v>1</v>
      </c>
      <c r="D1043" s="13" t="n">
        <v>0</v>
      </c>
      <c r="E1043" s="13" t="n">
        <v>1</v>
      </c>
      <c r="F1043" s="13" t="n">
        <v>1</v>
      </c>
      <c r="G1043" s="13" t="n">
        <v>0</v>
      </c>
      <c r="H1043" s="13" t="n">
        <f aca="false">IF(C1043=1,A1043,"")</f>
        <v>2</v>
      </c>
      <c r="I1043" s="13" t="str">
        <f aca="false">IF(C1043=0,A1043,"")</f>
        <v/>
      </c>
    </row>
    <row r="1044" customFormat="false" ht="15" hidden="false" customHeight="false" outlineLevel="0" collapsed="false">
      <c r="A1044" s="13" t="n">
        <v>4</v>
      </c>
      <c r="B1044" s="13" t="n">
        <v>63</v>
      </c>
      <c r="C1044" s="13" t="n">
        <v>0</v>
      </c>
      <c r="D1044" s="13" t="n">
        <v>0</v>
      </c>
      <c r="E1044" s="13" t="n">
        <v>0</v>
      </c>
      <c r="F1044" s="13" t="n">
        <v>0</v>
      </c>
      <c r="G1044" s="13" t="n">
        <v>1</v>
      </c>
      <c r="H1044" s="13" t="str">
        <f aca="false">IF(C1044=1,A1044,"")</f>
        <v/>
      </c>
      <c r="I1044" s="13" t="n">
        <f aca="false">IF(C1044=0,A1044,"")</f>
        <v>4</v>
      </c>
    </row>
    <row r="1045" customFormat="false" ht="15" hidden="false" customHeight="false" outlineLevel="0" collapsed="false">
      <c r="A1045" s="13" t="n">
        <v>4</v>
      </c>
      <c r="B1045" s="13" t="n">
        <v>29</v>
      </c>
      <c r="C1045" s="13" t="n">
        <v>1</v>
      </c>
      <c r="D1045" s="13" t="n">
        <v>1</v>
      </c>
      <c r="E1045" s="13" t="n">
        <v>1</v>
      </c>
      <c r="F1045" s="13" t="n">
        <v>0</v>
      </c>
      <c r="G1045" s="13" t="n">
        <v>1</v>
      </c>
      <c r="H1045" s="13" t="n">
        <f aca="false">IF(C1045=1,A1045,"")</f>
        <v>4</v>
      </c>
      <c r="I1045" s="13" t="str">
        <f aca="false">IF(C1045=0,A1045,"")</f>
        <v/>
      </c>
    </row>
    <row r="1046" customFormat="false" ht="15" hidden="false" customHeight="false" outlineLevel="0" collapsed="false">
      <c r="A1046" s="13" t="n">
        <v>2</v>
      </c>
      <c r="B1046" s="13" t="n">
        <v>49</v>
      </c>
      <c r="C1046" s="13" t="n">
        <v>1</v>
      </c>
      <c r="D1046" s="13" t="n">
        <v>0</v>
      </c>
      <c r="E1046" s="13" t="n">
        <v>0</v>
      </c>
      <c r="F1046" s="13" t="n">
        <v>0</v>
      </c>
      <c r="G1046" s="13" t="n">
        <v>0</v>
      </c>
      <c r="H1046" s="13" t="n">
        <f aca="false">IF(C1046=1,A1046,"")</f>
        <v>2</v>
      </c>
      <c r="I1046" s="13" t="str">
        <f aca="false">IF(C1046=0,A1046,"")</f>
        <v/>
      </c>
    </row>
    <row r="1047" customFormat="false" ht="15" hidden="false" customHeight="false" outlineLevel="0" collapsed="false">
      <c r="A1047" s="13" t="n">
        <v>4</v>
      </c>
      <c r="B1047" s="13" t="n">
        <v>63</v>
      </c>
      <c r="C1047" s="13" t="n">
        <v>1</v>
      </c>
      <c r="D1047" s="13" t="n">
        <v>0</v>
      </c>
      <c r="E1047" s="13" t="n">
        <v>0</v>
      </c>
      <c r="F1047" s="13" t="n">
        <v>0</v>
      </c>
      <c r="G1047" s="13" t="n">
        <v>0</v>
      </c>
      <c r="H1047" s="13" t="n">
        <f aca="false">IF(C1047=1,A1047,"")</f>
        <v>4</v>
      </c>
      <c r="I1047" s="13" t="str">
        <f aca="false">IF(C1047=0,A1047,"")</f>
        <v/>
      </c>
    </row>
    <row r="1048" customFormat="false" ht="15" hidden="false" customHeight="false" outlineLevel="0" collapsed="false">
      <c r="A1048" s="13" t="n">
        <v>3</v>
      </c>
      <c r="B1048" s="13" t="n">
        <v>48</v>
      </c>
      <c r="C1048" s="13" t="n">
        <v>1</v>
      </c>
      <c r="D1048" s="13" t="n">
        <v>3</v>
      </c>
      <c r="E1048" s="13" t="n">
        <v>1</v>
      </c>
      <c r="F1048" s="13" t="n">
        <v>0</v>
      </c>
      <c r="G1048" s="13" t="n">
        <v>1</v>
      </c>
      <c r="H1048" s="13" t="n">
        <f aca="false">IF(C1048=1,A1048,"")</f>
        <v>3</v>
      </c>
      <c r="I1048" s="13" t="str">
        <f aca="false">IF(C1048=0,A1048,"")</f>
        <v/>
      </c>
    </row>
    <row r="1049" customFormat="false" ht="15" hidden="false" customHeight="false" outlineLevel="0" collapsed="false">
      <c r="A1049" s="13" t="n">
        <v>4</v>
      </c>
      <c r="B1049" s="13" t="n">
        <v>59</v>
      </c>
      <c r="C1049" s="13" t="n">
        <v>0</v>
      </c>
      <c r="D1049" s="13" t="n">
        <v>0</v>
      </c>
      <c r="E1049" s="13" t="n">
        <v>0</v>
      </c>
      <c r="F1049" s="13" t="n">
        <v>1</v>
      </c>
      <c r="G1049" s="13" t="n">
        <v>0</v>
      </c>
      <c r="H1049" s="13" t="str">
        <f aca="false">IF(C1049=1,A1049,"")</f>
        <v/>
      </c>
      <c r="I1049" s="13" t="n">
        <f aca="false">IF(C1049=0,A1049,"")</f>
        <v>4</v>
      </c>
    </row>
    <row r="1050" customFormat="false" ht="15" hidden="false" customHeight="false" outlineLevel="0" collapsed="false">
      <c r="A1050" s="13" t="n">
        <v>5</v>
      </c>
      <c r="B1050" s="13" t="n">
        <v>29</v>
      </c>
      <c r="C1050" s="13" t="n">
        <v>0</v>
      </c>
      <c r="D1050" s="13" t="n">
        <v>1</v>
      </c>
      <c r="E1050" s="13" t="n">
        <v>1</v>
      </c>
      <c r="F1050" s="13" t="n">
        <v>1</v>
      </c>
      <c r="G1050" s="13" t="n">
        <v>1</v>
      </c>
      <c r="H1050" s="13" t="str">
        <f aca="false">IF(C1050=1,A1050,"")</f>
        <v/>
      </c>
      <c r="I1050" s="13" t="n">
        <f aca="false">IF(C1050=0,A1050,"")</f>
        <v>5</v>
      </c>
    </row>
    <row r="1051" customFormat="false" ht="15" hidden="false" customHeight="false" outlineLevel="0" collapsed="false">
      <c r="A1051" s="13" t="n">
        <v>4</v>
      </c>
      <c r="B1051" s="13" t="n">
        <v>63</v>
      </c>
      <c r="C1051" s="13" t="n">
        <v>1</v>
      </c>
      <c r="D1051" s="13" t="n">
        <v>0</v>
      </c>
      <c r="E1051" s="13" t="n">
        <v>0</v>
      </c>
      <c r="F1051" s="13" t="n">
        <v>0</v>
      </c>
      <c r="G1051" s="13" t="n">
        <v>1</v>
      </c>
      <c r="H1051" s="13" t="n">
        <f aca="false">IF(C1051=1,A1051,"")</f>
        <v>4</v>
      </c>
      <c r="I1051" s="13" t="str">
        <f aca="false">IF(C1051=0,A1051,"")</f>
        <v/>
      </c>
    </row>
    <row r="1052" customFormat="false" ht="15" hidden="false" customHeight="false" outlineLevel="0" collapsed="false">
      <c r="A1052" s="13" t="n">
        <v>4</v>
      </c>
      <c r="B1052" s="13" t="n">
        <v>64</v>
      </c>
      <c r="C1052" s="13" t="n">
        <v>0</v>
      </c>
      <c r="D1052" s="13" t="n">
        <v>0</v>
      </c>
      <c r="E1052" s="13" t="n">
        <v>0</v>
      </c>
      <c r="F1052" s="13" t="n">
        <v>0</v>
      </c>
      <c r="G1052" s="13" t="n">
        <v>0</v>
      </c>
      <c r="H1052" s="13" t="str">
        <f aca="false">IF(C1052=1,A1052,"")</f>
        <v/>
      </c>
      <c r="I1052" s="13" t="n">
        <f aca="false">IF(C1052=0,A1052,"")</f>
        <v>4</v>
      </c>
    </row>
    <row r="1053" customFormat="false" ht="15" hidden="false" customHeight="false" outlineLevel="0" collapsed="false">
      <c r="A1053" s="13" t="n">
        <v>3</v>
      </c>
      <c r="B1053" s="13" t="n">
        <v>51</v>
      </c>
      <c r="C1053" s="13" t="n">
        <v>0</v>
      </c>
      <c r="D1053" s="13" t="n">
        <v>0</v>
      </c>
      <c r="E1053" s="13" t="n">
        <v>0</v>
      </c>
      <c r="F1053" s="13" t="n">
        <v>1</v>
      </c>
      <c r="G1053" s="13" t="n">
        <v>0</v>
      </c>
      <c r="H1053" s="13" t="str">
        <f aca="false">IF(C1053=1,A1053,"")</f>
        <v/>
      </c>
      <c r="I1053" s="13" t="n">
        <f aca="false">IF(C1053=0,A1053,"")</f>
        <v>3</v>
      </c>
    </row>
    <row r="1054" customFormat="false" ht="15" hidden="false" customHeight="false" outlineLevel="0" collapsed="false">
      <c r="A1054" s="13" t="n">
        <v>4</v>
      </c>
      <c r="B1054" s="13" t="n">
        <v>28</v>
      </c>
      <c r="C1054" s="13" t="n">
        <v>1</v>
      </c>
      <c r="D1054" s="13" t="n">
        <v>0</v>
      </c>
      <c r="E1054" s="13" t="n">
        <v>1</v>
      </c>
      <c r="F1054" s="13" t="n">
        <v>1</v>
      </c>
      <c r="G1054" s="13" t="n">
        <v>0</v>
      </c>
      <c r="H1054" s="13" t="n">
        <f aca="false">IF(C1054=1,A1054,"")</f>
        <v>4</v>
      </c>
      <c r="I1054" s="13" t="str">
        <f aca="false">IF(C1054=0,A1054,"")</f>
        <v/>
      </c>
    </row>
    <row r="1055" customFormat="false" ht="15" hidden="false" customHeight="false" outlineLevel="0" collapsed="false">
      <c r="A1055" s="13" t="n">
        <v>4</v>
      </c>
      <c r="B1055" s="13" t="n">
        <v>61</v>
      </c>
      <c r="C1055" s="13" t="n">
        <v>0</v>
      </c>
      <c r="D1055" s="13" t="n">
        <v>0</v>
      </c>
      <c r="E1055" s="13" t="n">
        <v>0</v>
      </c>
      <c r="F1055" s="13" t="n">
        <v>0</v>
      </c>
      <c r="G1055" s="13" t="n">
        <v>0</v>
      </c>
      <c r="H1055" s="13" t="str">
        <f aca="false">IF(C1055=1,A1055,"")</f>
        <v/>
      </c>
      <c r="I1055" s="13" t="n">
        <f aca="false">IF(C1055=0,A1055,"")</f>
        <v>4</v>
      </c>
    </row>
    <row r="1056" customFormat="false" ht="15" hidden="false" customHeight="false" outlineLevel="0" collapsed="false">
      <c r="A1056" s="13" t="n">
        <v>4</v>
      </c>
      <c r="B1056" s="13" t="n">
        <v>59</v>
      </c>
      <c r="C1056" s="13" t="n">
        <v>1</v>
      </c>
      <c r="D1056" s="13" t="n">
        <v>0</v>
      </c>
      <c r="E1056" s="13" t="n">
        <v>0</v>
      </c>
      <c r="F1056" s="13" t="n">
        <v>1</v>
      </c>
      <c r="G1056" s="13" t="n">
        <v>1</v>
      </c>
      <c r="H1056" s="13" t="n">
        <f aca="false">IF(C1056=1,A1056,"")</f>
        <v>4</v>
      </c>
      <c r="I1056" s="13" t="str">
        <f aca="false">IF(C1056=0,A1056,"")</f>
        <v/>
      </c>
    </row>
    <row r="1057" customFormat="false" ht="15" hidden="false" customHeight="false" outlineLevel="0" collapsed="false">
      <c r="A1057" s="13" t="n">
        <v>5</v>
      </c>
      <c r="B1057" s="13" t="n">
        <v>45</v>
      </c>
      <c r="C1057" s="13" t="n">
        <v>1</v>
      </c>
      <c r="D1057" s="13" t="n">
        <v>1</v>
      </c>
      <c r="E1057" s="13" t="n">
        <v>1</v>
      </c>
      <c r="F1057" s="13" t="n">
        <v>1</v>
      </c>
      <c r="G1057" s="13" t="n">
        <v>1</v>
      </c>
      <c r="H1057" s="13" t="n">
        <f aca="false">IF(C1057=1,A1057,"")</f>
        <v>5</v>
      </c>
      <c r="I1057" s="13" t="str">
        <f aca="false">IF(C1057=0,A1057,"")</f>
        <v/>
      </c>
    </row>
    <row r="1058" customFormat="false" ht="15" hidden="false" customHeight="false" outlineLevel="0" collapsed="false">
      <c r="A1058" s="13" t="n">
        <v>4</v>
      </c>
      <c r="B1058" s="13" t="n">
        <v>32</v>
      </c>
      <c r="C1058" s="13" t="n">
        <v>1</v>
      </c>
      <c r="D1058" s="13" t="n">
        <v>0</v>
      </c>
      <c r="E1058" s="13" t="n">
        <v>1</v>
      </c>
      <c r="F1058" s="13" t="n">
        <v>1</v>
      </c>
      <c r="G1058" s="13" t="n">
        <v>1</v>
      </c>
      <c r="H1058" s="13" t="n">
        <f aca="false">IF(C1058=1,A1058,"")</f>
        <v>4</v>
      </c>
      <c r="I1058" s="13" t="str">
        <f aca="false">IF(C1058=0,A1058,"")</f>
        <v/>
      </c>
    </row>
    <row r="1059" customFormat="false" ht="15" hidden="false" customHeight="false" outlineLevel="0" collapsed="false">
      <c r="A1059" s="13" t="n">
        <v>5</v>
      </c>
      <c r="B1059" s="13" t="n">
        <v>59</v>
      </c>
      <c r="C1059" s="13" t="n">
        <v>1</v>
      </c>
      <c r="D1059" s="13" t="n">
        <v>0</v>
      </c>
      <c r="E1059" s="13" t="n">
        <v>0</v>
      </c>
      <c r="F1059" s="13" t="n">
        <v>1</v>
      </c>
      <c r="G1059" s="13" t="n">
        <v>1</v>
      </c>
      <c r="H1059" s="13" t="n">
        <f aca="false">IF(C1059=1,A1059,"")</f>
        <v>5</v>
      </c>
      <c r="I1059" s="13" t="str">
        <f aca="false">IF(C1059=0,A1059,"")</f>
        <v/>
      </c>
    </row>
    <row r="1060" customFormat="false" ht="15" hidden="false" customHeight="false" outlineLevel="0" collapsed="false">
      <c r="A1060" s="13" t="n">
        <v>2</v>
      </c>
      <c r="B1060" s="13" t="n">
        <v>63</v>
      </c>
      <c r="C1060" s="13" t="n">
        <v>1</v>
      </c>
      <c r="D1060" s="13" t="n">
        <v>0</v>
      </c>
      <c r="E1060" s="13" t="n">
        <v>1</v>
      </c>
      <c r="F1060" s="13" t="n">
        <v>0</v>
      </c>
      <c r="G1060" s="13" t="n">
        <v>0</v>
      </c>
      <c r="H1060" s="13" t="n">
        <f aca="false">IF(C1060=1,A1060,"")</f>
        <v>2</v>
      </c>
      <c r="I1060" s="13" t="str">
        <f aca="false">IF(C1060=0,A1060,"")</f>
        <v/>
      </c>
    </row>
    <row r="1061" customFormat="false" ht="15" hidden="false" customHeight="false" outlineLevel="0" collapsed="false">
      <c r="A1061" s="13" t="n">
        <v>4</v>
      </c>
      <c r="B1061" s="13" t="n">
        <v>58</v>
      </c>
      <c r="C1061" s="13" t="n">
        <v>1</v>
      </c>
      <c r="D1061" s="13" t="n">
        <v>0</v>
      </c>
      <c r="E1061" s="13" t="n">
        <v>1</v>
      </c>
      <c r="F1061" s="13" t="n">
        <v>1</v>
      </c>
      <c r="G1061" s="13" t="n">
        <v>1</v>
      </c>
      <c r="H1061" s="13" t="n">
        <f aca="false">IF(C1061=1,A1061,"")</f>
        <v>4</v>
      </c>
      <c r="I1061" s="13" t="str">
        <f aca="false">IF(C1061=0,A1061,"")</f>
        <v/>
      </c>
    </row>
    <row r="1062" customFormat="false" ht="15" hidden="false" customHeight="false" outlineLevel="0" collapsed="false">
      <c r="A1062" s="13" t="n">
        <v>4</v>
      </c>
      <c r="B1062" s="13" t="n">
        <v>32</v>
      </c>
      <c r="C1062" s="13" t="n">
        <v>0</v>
      </c>
      <c r="D1062" s="13" t="n">
        <v>3</v>
      </c>
      <c r="E1062" s="13" t="n">
        <v>1</v>
      </c>
      <c r="F1062" s="13" t="n">
        <v>1</v>
      </c>
      <c r="G1062" s="13" t="n">
        <v>1</v>
      </c>
      <c r="H1062" s="13" t="str">
        <f aca="false">IF(C1062=1,A1062,"")</f>
        <v/>
      </c>
      <c r="I1062" s="13" t="n">
        <f aca="false">IF(C1062=0,A1062,"")</f>
        <v>4</v>
      </c>
    </row>
    <row r="1063" customFormat="false" ht="15" hidden="false" customHeight="false" outlineLevel="0" collapsed="false">
      <c r="A1063" s="13" t="n">
        <v>3</v>
      </c>
      <c r="B1063" s="13" t="n">
        <v>49</v>
      </c>
      <c r="C1063" s="13" t="n">
        <v>0</v>
      </c>
      <c r="D1063" s="13" t="n">
        <v>2</v>
      </c>
      <c r="E1063" s="13" t="n">
        <v>1</v>
      </c>
      <c r="F1063" s="13" t="n">
        <v>0</v>
      </c>
      <c r="G1063" s="13" t="n">
        <v>0</v>
      </c>
      <c r="H1063" s="13" t="str">
        <f aca="false">IF(C1063=1,A1063,"")</f>
        <v/>
      </c>
      <c r="I1063" s="13" t="n">
        <f aca="false">IF(C1063=0,A1063,"")</f>
        <v>3</v>
      </c>
    </row>
    <row r="1064" customFormat="false" ht="15" hidden="false" customHeight="false" outlineLevel="0" collapsed="false">
      <c r="A1064" s="13" t="n">
        <v>3</v>
      </c>
      <c r="B1064" s="13" t="n">
        <v>62</v>
      </c>
      <c r="C1064" s="13" t="n">
        <v>1</v>
      </c>
      <c r="D1064" s="13" t="n">
        <v>0</v>
      </c>
      <c r="E1064" s="13" t="n">
        <v>0</v>
      </c>
      <c r="F1064" s="13" t="n">
        <v>1</v>
      </c>
      <c r="G1064" s="13" t="n">
        <v>1</v>
      </c>
      <c r="H1064" s="13" t="n">
        <f aca="false">IF(C1064=1,A1064,"")</f>
        <v>3</v>
      </c>
      <c r="I1064" s="13" t="str">
        <f aca="false">IF(C1064=0,A1064,"")</f>
        <v/>
      </c>
    </row>
    <row r="1065" customFormat="false" ht="15" hidden="false" customHeight="false" outlineLevel="0" collapsed="false">
      <c r="A1065" s="13" t="n">
        <v>4</v>
      </c>
      <c r="B1065" s="13" t="n">
        <v>26</v>
      </c>
      <c r="C1065" s="13" t="n">
        <v>0</v>
      </c>
      <c r="D1065" s="13" t="n">
        <v>1</v>
      </c>
      <c r="E1065" s="13" t="n">
        <v>0</v>
      </c>
      <c r="F1065" s="13" t="n">
        <v>0</v>
      </c>
      <c r="G1065" s="13" t="n">
        <v>1</v>
      </c>
      <c r="H1065" s="13" t="str">
        <f aca="false">IF(C1065=1,A1065,"")</f>
        <v/>
      </c>
      <c r="I1065" s="13" t="n">
        <f aca="false">IF(C1065=0,A1065,"")</f>
        <v>4</v>
      </c>
    </row>
    <row r="1066" customFormat="false" ht="15" hidden="false" customHeight="false" outlineLevel="0" collapsed="false">
      <c r="A1066" s="13" t="n">
        <v>3</v>
      </c>
      <c r="B1066" s="13" t="n">
        <v>58</v>
      </c>
      <c r="C1066" s="13" t="n">
        <v>1</v>
      </c>
      <c r="D1066" s="13" t="n">
        <v>0</v>
      </c>
      <c r="E1066" s="13" t="n">
        <v>0</v>
      </c>
      <c r="F1066" s="13" t="n">
        <v>1</v>
      </c>
      <c r="G1066" s="13" t="n">
        <v>0</v>
      </c>
      <c r="H1066" s="13" t="n">
        <f aca="false">IF(C1066=1,A1066,"")</f>
        <v>3</v>
      </c>
      <c r="I1066" s="13" t="str">
        <f aca="false">IF(C1066=0,A1066,"")</f>
        <v/>
      </c>
    </row>
    <row r="1067" customFormat="false" ht="15" hidden="false" customHeight="false" outlineLevel="0" collapsed="false">
      <c r="A1067" s="13" t="n">
        <v>4</v>
      </c>
      <c r="B1067" s="13" t="n">
        <v>45</v>
      </c>
      <c r="C1067" s="13" t="n">
        <v>0</v>
      </c>
      <c r="D1067" s="13" t="n">
        <v>3</v>
      </c>
      <c r="E1067" s="13" t="n">
        <v>1</v>
      </c>
      <c r="F1067" s="13" t="n">
        <v>1</v>
      </c>
      <c r="G1067" s="13" t="n">
        <v>1</v>
      </c>
      <c r="H1067" s="13" t="str">
        <f aca="false">IF(C1067=1,A1067,"")</f>
        <v/>
      </c>
      <c r="I1067" s="13" t="n">
        <f aca="false">IF(C1067=0,A1067,"")</f>
        <v>4</v>
      </c>
    </row>
    <row r="1068" customFormat="false" ht="15" hidden="false" customHeight="false" outlineLevel="0" collapsed="false">
      <c r="A1068" s="13" t="n">
        <v>1</v>
      </c>
      <c r="B1068" s="13" t="n">
        <v>60</v>
      </c>
      <c r="C1068" s="13" t="n">
        <v>1</v>
      </c>
      <c r="D1068" s="13" t="n">
        <v>0</v>
      </c>
      <c r="E1068" s="13" t="n">
        <v>0</v>
      </c>
      <c r="F1068" s="13" t="n">
        <v>1</v>
      </c>
      <c r="G1068" s="13" t="n">
        <v>0</v>
      </c>
      <c r="H1068" s="13" t="n">
        <f aca="false">IF(C1068=1,A1068,"")</f>
        <v>1</v>
      </c>
      <c r="I1068" s="13" t="str">
        <f aca="false">IF(C1068=0,A1068,"")</f>
        <v/>
      </c>
    </row>
    <row r="1069" customFormat="false" ht="15" hidden="false" customHeight="false" outlineLevel="0" collapsed="false">
      <c r="A1069" s="13" t="n">
        <v>4</v>
      </c>
      <c r="B1069" s="13" t="n">
        <v>52</v>
      </c>
      <c r="C1069" s="13" t="n">
        <v>1</v>
      </c>
      <c r="D1069" s="13" t="n">
        <v>0</v>
      </c>
      <c r="E1069" s="13" t="n">
        <v>1</v>
      </c>
      <c r="F1069" s="13" t="n">
        <v>1</v>
      </c>
      <c r="G1069" s="13" t="n">
        <v>1</v>
      </c>
      <c r="H1069" s="13" t="n">
        <f aca="false">IF(C1069=1,A1069,"")</f>
        <v>4</v>
      </c>
      <c r="I1069" s="13" t="str">
        <f aca="false">IF(C1069=0,A1069,"")</f>
        <v/>
      </c>
    </row>
    <row r="1070" customFormat="false" ht="15" hidden="false" customHeight="false" outlineLevel="0" collapsed="false">
      <c r="A1070" s="13" t="n">
        <v>4</v>
      </c>
      <c r="B1070" s="13" t="n">
        <v>61</v>
      </c>
      <c r="C1070" s="13" t="n">
        <v>1</v>
      </c>
      <c r="D1070" s="13" t="n">
        <v>0</v>
      </c>
      <c r="E1070" s="13" t="n">
        <v>0</v>
      </c>
      <c r="F1070" s="13" t="n">
        <v>0</v>
      </c>
      <c r="G1070" s="13" t="n">
        <v>1</v>
      </c>
      <c r="H1070" s="13" t="n">
        <f aca="false">IF(C1070=1,A1070,"")</f>
        <v>4</v>
      </c>
      <c r="I1070" s="13" t="str">
        <f aca="false">IF(C1070=0,A1070,"")</f>
        <v/>
      </c>
    </row>
    <row r="1071" customFormat="false" ht="15" hidden="false" customHeight="false" outlineLevel="0" collapsed="false">
      <c r="A1071" s="13" t="n">
        <v>4</v>
      </c>
      <c r="B1071" s="13" t="n">
        <v>52</v>
      </c>
      <c r="C1071" s="13" t="n">
        <v>0</v>
      </c>
      <c r="D1071" s="13" t="n">
        <v>1</v>
      </c>
      <c r="E1071" s="13" t="n">
        <v>0</v>
      </c>
      <c r="F1071" s="13" t="n">
        <v>1</v>
      </c>
      <c r="G1071" s="13" t="n">
        <v>1</v>
      </c>
      <c r="H1071" s="13" t="str">
        <f aca="false">IF(C1071=1,A1071,"")</f>
        <v/>
      </c>
      <c r="I1071" s="13" t="n">
        <f aca="false">IF(C1071=0,A1071,"")</f>
        <v>4</v>
      </c>
    </row>
    <row r="1072" customFormat="false" ht="15" hidden="false" customHeight="false" outlineLevel="0" collapsed="false">
      <c r="A1072" s="13" t="n">
        <v>4</v>
      </c>
      <c r="B1072" s="13" t="n">
        <v>63</v>
      </c>
      <c r="C1072" s="13" t="n">
        <v>1</v>
      </c>
      <c r="D1072" s="13" t="n">
        <v>0</v>
      </c>
      <c r="E1072" s="13" t="n">
        <v>0</v>
      </c>
      <c r="F1072" s="13" t="n">
        <v>0</v>
      </c>
      <c r="G1072" s="13" t="n">
        <v>1</v>
      </c>
      <c r="H1072" s="13" t="n">
        <f aca="false">IF(C1072=1,A1072,"")</f>
        <v>4</v>
      </c>
      <c r="I1072" s="13" t="str">
        <f aca="false">IF(C1072=0,A1072,"")</f>
        <v/>
      </c>
    </row>
    <row r="1073" customFormat="false" ht="15" hidden="false" customHeight="false" outlineLevel="0" collapsed="false">
      <c r="A1073" s="13" t="n">
        <v>2</v>
      </c>
      <c r="B1073" s="13" t="n">
        <v>59</v>
      </c>
      <c r="C1073" s="13" t="n">
        <v>1</v>
      </c>
      <c r="D1073" s="13" t="n">
        <v>0</v>
      </c>
      <c r="E1073" s="13" t="n">
        <v>0</v>
      </c>
      <c r="F1073" s="13" t="n">
        <v>0</v>
      </c>
      <c r="G1073" s="13" t="n">
        <v>0</v>
      </c>
      <c r="H1073" s="13" t="n">
        <f aca="false">IF(C1073=1,A1073,"")</f>
        <v>2</v>
      </c>
      <c r="I1073" s="13" t="str">
        <f aca="false">IF(C1073=0,A1073,"")</f>
        <v/>
      </c>
    </row>
    <row r="1074" customFormat="false" ht="15" hidden="false" customHeight="false" outlineLevel="0" collapsed="false">
      <c r="A1074" s="13" t="n">
        <v>5</v>
      </c>
      <c r="B1074" s="13" t="n">
        <v>57</v>
      </c>
      <c r="C1074" s="13" t="n">
        <v>0</v>
      </c>
      <c r="D1074" s="13" t="n">
        <v>0</v>
      </c>
      <c r="E1074" s="13" t="n">
        <v>0</v>
      </c>
      <c r="F1074" s="13" t="n">
        <v>1</v>
      </c>
      <c r="G1074" s="13" t="n">
        <v>0</v>
      </c>
      <c r="H1074" s="13" t="str">
        <f aca="false">IF(C1074=1,A1074,"")</f>
        <v/>
      </c>
      <c r="I1074" s="13" t="n">
        <f aca="false">IF(C1074=0,A1074,"")</f>
        <v>5</v>
      </c>
    </row>
    <row r="1075" customFormat="false" ht="15" hidden="false" customHeight="false" outlineLevel="0" collapsed="false">
      <c r="A1075" s="13" t="n">
        <v>4</v>
      </c>
      <c r="B1075" s="13" t="n">
        <v>47</v>
      </c>
      <c r="C1075" s="13" t="n">
        <v>0</v>
      </c>
      <c r="D1075" s="13" t="n">
        <v>0</v>
      </c>
      <c r="E1075" s="13" t="n">
        <v>1</v>
      </c>
      <c r="F1075" s="13" t="n">
        <v>1</v>
      </c>
      <c r="G1075" s="13" t="n">
        <v>1</v>
      </c>
      <c r="H1075" s="13" t="str">
        <f aca="false">IF(C1075=1,A1075,"")</f>
        <v/>
      </c>
      <c r="I1075" s="13" t="n">
        <f aca="false">IF(C1075=0,A1075,"")</f>
        <v>4</v>
      </c>
    </row>
    <row r="1076" customFormat="false" ht="15" hidden="false" customHeight="false" outlineLevel="0" collapsed="false">
      <c r="A1076" s="13" t="n">
        <v>4</v>
      </c>
      <c r="B1076" s="13" t="n">
        <v>58</v>
      </c>
      <c r="C1076" s="13" t="n">
        <v>1</v>
      </c>
      <c r="D1076" s="13" t="n">
        <v>1</v>
      </c>
      <c r="E1076" s="13" t="n">
        <v>1</v>
      </c>
      <c r="F1076" s="13" t="n">
        <v>1</v>
      </c>
      <c r="G1076" s="13" t="n">
        <v>1</v>
      </c>
      <c r="H1076" s="13" t="n">
        <f aca="false">IF(C1076=1,A1076,"")</f>
        <v>4</v>
      </c>
      <c r="I1076" s="13" t="str">
        <f aca="false">IF(C1076=0,A1076,"")</f>
        <v/>
      </c>
    </row>
    <row r="1077" customFormat="false" ht="15" hidden="false" customHeight="false" outlineLevel="0" collapsed="false">
      <c r="A1077" s="13" t="n">
        <v>1</v>
      </c>
      <c r="B1077" s="13" t="n">
        <v>50</v>
      </c>
      <c r="C1077" s="13" t="n">
        <v>1</v>
      </c>
      <c r="D1077" s="13" t="n">
        <v>0</v>
      </c>
      <c r="E1077" s="13" t="n">
        <v>0</v>
      </c>
      <c r="F1077" s="13" t="n">
        <v>1</v>
      </c>
      <c r="G1077" s="13" t="n">
        <v>0</v>
      </c>
      <c r="H1077" s="13" t="n">
        <f aca="false">IF(C1077=1,A1077,"")</f>
        <v>1</v>
      </c>
      <c r="I1077" s="13" t="str">
        <f aca="false">IF(C1077=0,A1077,"")</f>
        <v/>
      </c>
    </row>
    <row r="1078" customFormat="false" ht="15" hidden="false" customHeight="false" outlineLevel="0" collapsed="false">
      <c r="A1078" s="13" t="n">
        <v>2</v>
      </c>
      <c r="B1078" s="13" t="n">
        <v>64</v>
      </c>
      <c r="C1078" s="13" t="n">
        <v>1</v>
      </c>
      <c r="D1078" s="13" t="n">
        <v>0</v>
      </c>
      <c r="E1078" s="13" t="n">
        <v>0</v>
      </c>
      <c r="F1078" s="13" t="n">
        <v>0</v>
      </c>
      <c r="G1078" s="13" t="n">
        <v>1</v>
      </c>
      <c r="H1078" s="13" t="n">
        <f aca="false">IF(C1078=1,A1078,"")</f>
        <v>2</v>
      </c>
      <c r="I1078" s="13" t="str">
        <f aca="false">IF(C1078=0,A1078,"")</f>
        <v/>
      </c>
    </row>
    <row r="1079" customFormat="false" ht="15" hidden="false" customHeight="false" outlineLevel="0" collapsed="false">
      <c r="A1079" s="13" t="n">
        <v>4</v>
      </c>
      <c r="B1079" s="13" t="n">
        <v>63</v>
      </c>
      <c r="C1079" s="13" t="n">
        <v>0</v>
      </c>
      <c r="D1079" s="13" t="n">
        <v>0</v>
      </c>
      <c r="E1079" s="13" t="n">
        <v>1</v>
      </c>
      <c r="F1079" s="13" t="n">
        <v>1</v>
      </c>
      <c r="G1079" s="13" t="n">
        <v>1</v>
      </c>
      <c r="H1079" s="13" t="str">
        <f aca="false">IF(C1079=1,A1079,"")</f>
        <v/>
      </c>
      <c r="I1079" s="13" t="n">
        <f aca="false">IF(C1079=0,A1079,"")</f>
        <v>4</v>
      </c>
    </row>
    <row r="1080" customFormat="false" ht="15" hidden="false" customHeight="false" outlineLevel="0" collapsed="false">
      <c r="A1080" s="13" t="n">
        <v>4</v>
      </c>
      <c r="B1080" s="13" t="n">
        <v>50</v>
      </c>
      <c r="C1080" s="13" t="n">
        <v>0</v>
      </c>
      <c r="D1080" s="13" t="n">
        <v>0</v>
      </c>
      <c r="E1080" s="13" t="n">
        <v>1</v>
      </c>
      <c r="F1080" s="13" t="n">
        <v>1</v>
      </c>
      <c r="G1080" s="13" t="n">
        <v>0</v>
      </c>
      <c r="H1080" s="13" t="str">
        <f aca="false">IF(C1080=1,A1080,"")</f>
        <v/>
      </c>
      <c r="I1080" s="13" t="n">
        <f aca="false">IF(C1080=0,A1080,"")</f>
        <v>4</v>
      </c>
    </row>
    <row r="1081" customFormat="false" ht="15" hidden="false" customHeight="false" outlineLevel="0" collapsed="false">
      <c r="A1081" s="13" t="n">
        <v>2</v>
      </c>
      <c r="B1081" s="13" t="n">
        <v>62</v>
      </c>
      <c r="C1081" s="13" t="n">
        <v>1</v>
      </c>
      <c r="D1081" s="13" t="n">
        <v>0</v>
      </c>
      <c r="E1081" s="13" t="n">
        <v>0</v>
      </c>
      <c r="F1081" s="13" t="n">
        <v>0</v>
      </c>
      <c r="G1081" s="13" t="n">
        <v>0</v>
      </c>
      <c r="H1081" s="13" t="n">
        <f aca="false">IF(C1081=1,A1081,"")</f>
        <v>2</v>
      </c>
      <c r="I1081" s="13" t="str">
        <f aca="false">IF(C1081=0,A1081,"")</f>
        <v/>
      </c>
    </row>
    <row r="1082" customFormat="false" ht="15" hidden="false" customHeight="false" outlineLevel="0" collapsed="false">
      <c r="A1082" s="13" t="n">
        <v>3</v>
      </c>
      <c r="B1082" s="13" t="n">
        <v>31</v>
      </c>
      <c r="C1082" s="13" t="n">
        <v>0</v>
      </c>
      <c r="D1082" s="13" t="n">
        <v>2</v>
      </c>
      <c r="E1082" s="13" t="n">
        <v>0</v>
      </c>
      <c r="F1082" s="13" t="n">
        <v>1</v>
      </c>
      <c r="G1082" s="13" t="n">
        <v>1</v>
      </c>
      <c r="H1082" s="13" t="str">
        <f aca="false">IF(C1082=1,A1082,"")</f>
        <v/>
      </c>
      <c r="I1082" s="13" t="n">
        <f aca="false">IF(C1082=0,A1082,"")</f>
        <v>3</v>
      </c>
    </row>
    <row r="1083" customFormat="false" ht="15" hidden="false" customHeight="false" outlineLevel="0" collapsed="false">
      <c r="A1083" s="13" t="n">
        <v>4</v>
      </c>
      <c r="B1083" s="13" t="n">
        <v>53</v>
      </c>
      <c r="C1083" s="13" t="n">
        <v>1</v>
      </c>
      <c r="D1083" s="13" t="n">
        <v>0</v>
      </c>
      <c r="E1083" s="13" t="n">
        <v>1</v>
      </c>
      <c r="F1083" s="13" t="n">
        <v>1</v>
      </c>
      <c r="G1083" s="13" t="n">
        <v>1</v>
      </c>
      <c r="H1083" s="13" t="n">
        <f aca="false">IF(C1083=1,A1083,"")</f>
        <v>4</v>
      </c>
      <c r="I1083" s="13" t="str">
        <f aca="false">IF(C1083=0,A1083,"")</f>
        <v/>
      </c>
    </row>
    <row r="1084" customFormat="false" ht="15" hidden="false" customHeight="false" outlineLevel="0" collapsed="false">
      <c r="A1084" s="13" t="n">
        <v>5</v>
      </c>
      <c r="B1084" s="13" t="n">
        <v>55</v>
      </c>
      <c r="C1084" s="13" t="n">
        <v>1</v>
      </c>
      <c r="D1084" s="13" t="n">
        <v>0</v>
      </c>
      <c r="E1084" s="13" t="n">
        <v>1</v>
      </c>
      <c r="F1084" s="13" t="n">
        <v>1</v>
      </c>
      <c r="G1084" s="13" t="n">
        <v>0</v>
      </c>
      <c r="H1084" s="13" t="n">
        <f aca="false">IF(C1084=1,A1084,"")</f>
        <v>5</v>
      </c>
      <c r="I1084" s="13" t="str">
        <f aca="false">IF(C1084=0,A1084,"")</f>
        <v/>
      </c>
    </row>
    <row r="1085" customFormat="false" ht="15" hidden="false" customHeight="false" outlineLevel="0" collapsed="false">
      <c r="A1085" s="13" t="n">
        <v>5</v>
      </c>
      <c r="B1085" s="13" t="n">
        <v>31</v>
      </c>
      <c r="C1085" s="13" t="n">
        <v>1</v>
      </c>
      <c r="D1085" s="13" t="n">
        <v>3</v>
      </c>
      <c r="E1085" s="13" t="n">
        <v>1</v>
      </c>
      <c r="F1085" s="13" t="n">
        <v>1</v>
      </c>
      <c r="G1085" s="13" t="n">
        <v>1</v>
      </c>
      <c r="H1085" s="13" t="n">
        <f aca="false">IF(C1085=1,A1085,"")</f>
        <v>5</v>
      </c>
      <c r="I1085" s="13" t="str">
        <f aca="false">IF(C1085=0,A1085,"")</f>
        <v/>
      </c>
    </row>
    <row r="1086" customFormat="false" ht="15" hidden="false" customHeight="false" outlineLevel="0" collapsed="false">
      <c r="A1086" s="13" t="n">
        <v>5</v>
      </c>
      <c r="B1086" s="13" t="n">
        <v>60</v>
      </c>
      <c r="C1086" s="13" t="n">
        <v>1</v>
      </c>
      <c r="D1086" s="13" t="n">
        <v>0</v>
      </c>
      <c r="E1086" s="13" t="n">
        <v>1</v>
      </c>
      <c r="F1086" s="13" t="n">
        <v>1</v>
      </c>
      <c r="G1086" s="13" t="n">
        <v>0</v>
      </c>
      <c r="H1086" s="13" t="n">
        <f aca="false">IF(C1086=1,A1086,"")</f>
        <v>5</v>
      </c>
      <c r="I1086" s="13" t="str">
        <f aca="false">IF(C1086=0,A1086,"")</f>
        <v/>
      </c>
    </row>
    <row r="1087" customFormat="false" ht="15" hidden="false" customHeight="false" outlineLevel="0" collapsed="false">
      <c r="A1087" s="13" t="n">
        <v>5</v>
      </c>
      <c r="B1087" s="13" t="n">
        <v>59</v>
      </c>
      <c r="C1087" s="13" t="n">
        <v>0</v>
      </c>
      <c r="D1087" s="13" t="n">
        <v>0</v>
      </c>
      <c r="E1087" s="13" t="n">
        <v>1</v>
      </c>
      <c r="F1087" s="13" t="n">
        <v>0</v>
      </c>
      <c r="G1087" s="13" t="n">
        <v>1</v>
      </c>
      <c r="H1087" s="13" t="str">
        <f aca="false">IF(C1087=1,A1087,"")</f>
        <v/>
      </c>
      <c r="I1087" s="13" t="n">
        <f aca="false">IF(C1087=0,A1087,"")</f>
        <v>5</v>
      </c>
    </row>
    <row r="1088" customFormat="false" ht="15" hidden="false" customHeight="false" outlineLevel="0" collapsed="false">
      <c r="A1088" s="13" t="n">
        <v>4</v>
      </c>
      <c r="B1088" s="13" t="n">
        <v>48</v>
      </c>
      <c r="C1088" s="13" t="n">
        <v>0</v>
      </c>
      <c r="D1088" s="13" t="n">
        <v>0</v>
      </c>
      <c r="E1088" s="13" t="n">
        <v>1</v>
      </c>
      <c r="F1088" s="13" t="n">
        <v>1</v>
      </c>
      <c r="G1088" s="13" t="n">
        <v>1</v>
      </c>
      <c r="H1088" s="13" t="str">
        <f aca="false">IF(C1088=1,A1088,"")</f>
        <v/>
      </c>
      <c r="I1088" s="13" t="n">
        <f aca="false">IF(C1088=0,A1088,"")</f>
        <v>4</v>
      </c>
    </row>
    <row r="1089" customFormat="false" ht="15" hidden="false" customHeight="false" outlineLevel="0" collapsed="false">
      <c r="A1089" s="13" t="n">
        <v>4</v>
      </c>
      <c r="B1089" s="13" t="n">
        <v>62</v>
      </c>
      <c r="C1089" s="13" t="n">
        <v>0</v>
      </c>
      <c r="D1089" s="13" t="n">
        <v>0</v>
      </c>
      <c r="E1089" s="13" t="n">
        <v>0</v>
      </c>
      <c r="F1089" s="13" t="n">
        <v>0</v>
      </c>
      <c r="G1089" s="13" t="n">
        <v>1</v>
      </c>
      <c r="H1089" s="13" t="str">
        <f aca="false">IF(C1089=1,A1089,"")</f>
        <v/>
      </c>
      <c r="I1089" s="13" t="n">
        <f aca="false">IF(C1089=0,A1089,"")</f>
        <v>4</v>
      </c>
    </row>
    <row r="1090" customFormat="false" ht="15" hidden="false" customHeight="false" outlineLevel="0" collapsed="false">
      <c r="A1090" s="13" t="n">
        <v>5</v>
      </c>
      <c r="B1090" s="13" t="n">
        <v>62</v>
      </c>
      <c r="C1090" s="13" t="n">
        <v>0</v>
      </c>
      <c r="D1090" s="13" t="n">
        <v>0</v>
      </c>
      <c r="E1090" s="13" t="n">
        <v>0</v>
      </c>
      <c r="F1090" s="13" t="n">
        <v>0</v>
      </c>
      <c r="G1090" s="13" t="n">
        <v>1</v>
      </c>
      <c r="H1090" s="13" t="str">
        <f aca="false">IF(C1090=1,A1090,"")</f>
        <v/>
      </c>
      <c r="I1090" s="13" t="n">
        <f aca="false">IF(C1090=0,A1090,"")</f>
        <v>5</v>
      </c>
    </row>
    <row r="1091" customFormat="false" ht="15" hidden="false" customHeight="false" outlineLevel="0" collapsed="false">
      <c r="A1091" s="13" t="n">
        <v>4</v>
      </c>
      <c r="B1091" s="13" t="n">
        <v>53</v>
      </c>
      <c r="C1091" s="13" t="n">
        <v>0</v>
      </c>
      <c r="D1091" s="13" t="n">
        <v>0</v>
      </c>
      <c r="E1091" s="13" t="n">
        <v>1</v>
      </c>
      <c r="F1091" s="13" t="n">
        <v>1</v>
      </c>
      <c r="G1091" s="13" t="n">
        <v>1</v>
      </c>
      <c r="H1091" s="13" t="str">
        <f aca="false">IF(C1091=1,A1091,"")</f>
        <v/>
      </c>
      <c r="I1091" s="13" t="n">
        <f aca="false">IF(C1091=0,A1091,"")</f>
        <v>4</v>
      </c>
    </row>
    <row r="1092" customFormat="false" ht="15" hidden="false" customHeight="false" outlineLevel="0" collapsed="false">
      <c r="A1092" s="13" t="n">
        <v>4</v>
      </c>
      <c r="B1092" s="13" t="n">
        <v>50</v>
      </c>
      <c r="C1092" s="13" t="n">
        <v>0</v>
      </c>
      <c r="D1092" s="13" t="n">
        <v>0</v>
      </c>
      <c r="E1092" s="13" t="n">
        <v>1</v>
      </c>
      <c r="F1092" s="13" t="n">
        <v>0</v>
      </c>
      <c r="G1092" s="13" t="n">
        <v>1</v>
      </c>
      <c r="H1092" s="13" t="str">
        <f aca="false">IF(C1092=1,A1092,"")</f>
        <v/>
      </c>
      <c r="I1092" s="13" t="n">
        <f aca="false">IF(C1092=0,A1092,"")</f>
        <v>4</v>
      </c>
    </row>
    <row r="1093" customFormat="false" ht="15" hidden="false" customHeight="false" outlineLevel="0" collapsed="false">
      <c r="A1093" s="13" t="n">
        <v>4</v>
      </c>
      <c r="B1093" s="13" t="n">
        <v>30</v>
      </c>
      <c r="C1093" s="13" t="n">
        <v>1</v>
      </c>
      <c r="D1093" s="13" t="n">
        <v>0</v>
      </c>
      <c r="E1093" s="13" t="n">
        <v>0</v>
      </c>
      <c r="F1093" s="13" t="n">
        <v>0</v>
      </c>
      <c r="G1093" s="13" t="n">
        <v>1</v>
      </c>
      <c r="H1093" s="13" t="n">
        <f aca="false">IF(C1093=1,A1093,"")</f>
        <v>4</v>
      </c>
      <c r="I1093" s="13" t="str">
        <f aca="false">IF(C1093=0,A1093,"")</f>
        <v/>
      </c>
    </row>
    <row r="1094" customFormat="false" ht="15" hidden="false" customHeight="false" outlineLevel="0" collapsed="false">
      <c r="A1094" s="13" t="n">
        <v>3</v>
      </c>
      <c r="B1094" s="13" t="n">
        <v>48</v>
      </c>
      <c r="C1094" s="13" t="n">
        <v>1</v>
      </c>
      <c r="D1094" s="13" t="n">
        <v>0</v>
      </c>
      <c r="E1094" s="13" t="n">
        <v>1</v>
      </c>
      <c r="F1094" s="13" t="n">
        <v>0</v>
      </c>
      <c r="G1094" s="13" t="n">
        <v>0</v>
      </c>
      <c r="H1094" s="13" t="n">
        <f aca="false">IF(C1094=1,A1094,"")</f>
        <v>3</v>
      </c>
      <c r="I1094" s="13" t="str">
        <f aca="false">IF(C1094=0,A1094,"")</f>
        <v/>
      </c>
    </row>
    <row r="1095" customFormat="false" ht="15" hidden="false" customHeight="false" outlineLevel="0" collapsed="false">
      <c r="A1095" s="13" t="n">
        <v>3</v>
      </c>
      <c r="B1095" s="13" t="n">
        <v>57</v>
      </c>
      <c r="C1095" s="13" t="n">
        <v>1</v>
      </c>
      <c r="D1095" s="13" t="n">
        <v>0</v>
      </c>
      <c r="E1095" s="13" t="n">
        <v>0</v>
      </c>
      <c r="F1095" s="13" t="n">
        <v>1</v>
      </c>
      <c r="G1095" s="13" t="n">
        <v>0</v>
      </c>
      <c r="H1095" s="13" t="n">
        <f aca="false">IF(C1095=1,A1095,"")</f>
        <v>3</v>
      </c>
      <c r="I1095" s="13" t="str">
        <f aca="false">IF(C1095=0,A1095,"")</f>
        <v/>
      </c>
    </row>
    <row r="1096" customFormat="false" ht="15" hidden="false" customHeight="false" outlineLevel="0" collapsed="false">
      <c r="A1096" s="13" t="n">
        <v>3</v>
      </c>
      <c r="B1096" s="13" t="n">
        <v>48</v>
      </c>
      <c r="C1096" s="13" t="n">
        <v>0</v>
      </c>
      <c r="D1096" s="13" t="n">
        <v>0</v>
      </c>
      <c r="E1096" s="13" t="n">
        <v>0</v>
      </c>
      <c r="F1096" s="13" t="n">
        <v>1</v>
      </c>
      <c r="G1096" s="13" t="n">
        <v>1</v>
      </c>
      <c r="H1096" s="13" t="str">
        <f aca="false">IF(C1096=1,A1096,"")</f>
        <v/>
      </c>
      <c r="I1096" s="13" t="n">
        <f aca="false">IF(C1096=0,A1096,"")</f>
        <v>3</v>
      </c>
    </row>
    <row r="1097" customFormat="false" ht="15" hidden="false" customHeight="false" outlineLevel="0" collapsed="false">
      <c r="A1097" s="13" t="n">
        <v>4</v>
      </c>
      <c r="B1097" s="13" t="n">
        <v>54</v>
      </c>
      <c r="C1097" s="13" t="n">
        <v>1</v>
      </c>
      <c r="D1097" s="13" t="n">
        <v>0</v>
      </c>
      <c r="E1097" s="13" t="n">
        <v>0</v>
      </c>
      <c r="F1097" s="13" t="n">
        <v>1</v>
      </c>
      <c r="G1097" s="13" t="n">
        <v>0</v>
      </c>
      <c r="H1097" s="13" t="n">
        <f aca="false">IF(C1097=1,A1097,"")</f>
        <v>4</v>
      </c>
      <c r="I1097" s="13" t="str">
        <f aca="false">IF(C1097=0,A1097,"")</f>
        <v/>
      </c>
    </row>
    <row r="1098" customFormat="false" ht="15" hidden="false" customHeight="false" outlineLevel="0" collapsed="false">
      <c r="A1098" s="13" t="n">
        <v>4</v>
      </c>
      <c r="B1098" s="13" t="n">
        <v>58</v>
      </c>
      <c r="C1098" s="13" t="n">
        <v>0</v>
      </c>
      <c r="D1098" s="13" t="n">
        <v>0</v>
      </c>
      <c r="E1098" s="13" t="n">
        <v>1</v>
      </c>
      <c r="F1098" s="13" t="n">
        <v>0</v>
      </c>
      <c r="G1098" s="13" t="n">
        <v>0</v>
      </c>
      <c r="H1098" s="13" t="str">
        <f aca="false">IF(C1098=1,A1098,"")</f>
        <v/>
      </c>
      <c r="I1098" s="13" t="n">
        <f aca="false">IF(C1098=0,A1098,"")</f>
        <v>4</v>
      </c>
    </row>
    <row r="1099" customFormat="false" ht="15" hidden="false" customHeight="false" outlineLevel="0" collapsed="false">
      <c r="A1099" s="13" t="n">
        <v>3</v>
      </c>
      <c r="B1099" s="13" t="n">
        <v>64</v>
      </c>
      <c r="C1099" s="13" t="n">
        <v>0</v>
      </c>
      <c r="D1099" s="13" t="n">
        <v>0</v>
      </c>
      <c r="E1099" s="13" t="n">
        <v>0</v>
      </c>
      <c r="F1099" s="13" t="n">
        <v>1</v>
      </c>
      <c r="G1099" s="13" t="n">
        <v>1</v>
      </c>
      <c r="H1099" s="13" t="str">
        <f aca="false">IF(C1099=1,A1099,"")</f>
        <v/>
      </c>
      <c r="I1099" s="13" t="n">
        <f aca="false">IF(C1099=0,A1099,"")</f>
        <v>3</v>
      </c>
    </row>
    <row r="1100" customFormat="false" ht="15" hidden="false" customHeight="false" outlineLevel="0" collapsed="false">
      <c r="A1100" s="13" t="n">
        <v>4</v>
      </c>
      <c r="B1100" s="13" t="n">
        <v>61</v>
      </c>
      <c r="C1100" s="13" t="n">
        <v>1</v>
      </c>
      <c r="D1100" s="13" t="n">
        <v>0</v>
      </c>
      <c r="E1100" s="13" t="n">
        <v>0</v>
      </c>
      <c r="F1100" s="13" t="n">
        <v>1</v>
      </c>
      <c r="G1100" s="13" t="n">
        <v>1</v>
      </c>
      <c r="H1100" s="13" t="n">
        <f aca="false">IF(C1100=1,A1100,"")</f>
        <v>4</v>
      </c>
      <c r="I1100" s="13" t="str">
        <f aca="false">IF(C1100=0,A1100,"")</f>
        <v/>
      </c>
    </row>
    <row r="1101" customFormat="false" ht="15" hidden="false" customHeight="false" outlineLevel="0" collapsed="false">
      <c r="A1101" s="13" t="n">
        <v>4</v>
      </c>
      <c r="B1101" s="13" t="n">
        <v>60</v>
      </c>
      <c r="C1101" s="13" t="n">
        <v>0</v>
      </c>
      <c r="D1101" s="13" t="n">
        <v>0</v>
      </c>
      <c r="E1101" s="13" t="n">
        <v>0</v>
      </c>
      <c r="F1101" s="13" t="n">
        <v>1</v>
      </c>
      <c r="G1101" s="13" t="n">
        <v>1</v>
      </c>
      <c r="H1101" s="13" t="str">
        <f aca="false">IF(C1101=1,A1101,"")</f>
        <v/>
      </c>
      <c r="I1101" s="13" t="n">
        <f aca="false">IF(C1101=0,A1101,"")</f>
        <v>4</v>
      </c>
    </row>
    <row r="1102" customFormat="false" ht="15" hidden="false" customHeight="false" outlineLevel="0" collapsed="false">
      <c r="A1102" s="13" t="n">
        <v>4</v>
      </c>
      <c r="B1102" s="13" t="n">
        <v>62</v>
      </c>
      <c r="C1102" s="13" t="n">
        <v>0</v>
      </c>
      <c r="D1102" s="13" t="n">
        <v>0</v>
      </c>
      <c r="E1102" s="13" t="n">
        <v>0</v>
      </c>
      <c r="F1102" s="13" t="n">
        <v>0</v>
      </c>
      <c r="G1102" s="13" t="n">
        <v>1</v>
      </c>
      <c r="H1102" s="13" t="str">
        <f aca="false">IF(C1102=1,A1102,"")</f>
        <v/>
      </c>
      <c r="I1102" s="13" t="n">
        <f aca="false">IF(C1102=0,A1102,"")</f>
        <v>4</v>
      </c>
    </row>
    <row r="1103" customFormat="false" ht="15" hidden="false" customHeight="false" outlineLevel="0" collapsed="false">
      <c r="A1103" s="13" t="n">
        <v>4</v>
      </c>
      <c r="B1103" s="13" t="n">
        <v>56</v>
      </c>
      <c r="C1103" s="13" t="n">
        <v>0</v>
      </c>
      <c r="D1103" s="13" t="n">
        <v>2</v>
      </c>
      <c r="E1103" s="13" t="n">
        <v>1</v>
      </c>
      <c r="F1103" s="13" t="n">
        <v>1</v>
      </c>
      <c r="G1103" s="13" t="n">
        <v>1</v>
      </c>
      <c r="H1103" s="13" t="str">
        <f aca="false">IF(C1103=1,A1103,"")</f>
        <v/>
      </c>
      <c r="I1103" s="13" t="n">
        <f aca="false">IF(C1103=0,A1103,"")</f>
        <v>4</v>
      </c>
    </row>
    <row r="1104" customFormat="false" ht="15" hidden="false" customHeight="false" outlineLevel="0" collapsed="false">
      <c r="A1104" s="13" t="n">
        <v>3</v>
      </c>
      <c r="B1104" s="13" t="n">
        <v>57</v>
      </c>
      <c r="C1104" s="13" t="n">
        <v>0</v>
      </c>
      <c r="D1104" s="13" t="n">
        <v>0</v>
      </c>
      <c r="E1104" s="13" t="n">
        <v>1</v>
      </c>
      <c r="F1104" s="13" t="n">
        <v>0</v>
      </c>
      <c r="G1104" s="13" t="n">
        <v>1</v>
      </c>
      <c r="H1104" s="13" t="str">
        <f aca="false">IF(C1104=1,A1104,"")</f>
        <v/>
      </c>
      <c r="I1104" s="13" t="n">
        <f aca="false">IF(C1104=0,A1104,"")</f>
        <v>3</v>
      </c>
    </row>
    <row r="1105" customFormat="false" ht="15" hidden="false" customHeight="false" outlineLevel="0" collapsed="false">
      <c r="A1105" s="13" t="n">
        <v>4</v>
      </c>
      <c r="B1105" s="13" t="n">
        <v>53</v>
      </c>
      <c r="C1105" s="13" t="n">
        <v>0</v>
      </c>
      <c r="D1105" s="13" t="n">
        <v>1</v>
      </c>
      <c r="E1105" s="13" t="n">
        <v>0</v>
      </c>
      <c r="F1105" s="13" t="n">
        <v>1</v>
      </c>
      <c r="G1105" s="13" t="n">
        <v>1</v>
      </c>
      <c r="H1105" s="13" t="str">
        <f aca="false">IF(C1105=1,A1105,"")</f>
        <v/>
      </c>
      <c r="I1105" s="13" t="n">
        <f aca="false">IF(C1105=0,A1105,"")</f>
        <v>4</v>
      </c>
    </row>
    <row r="1106" customFormat="false" ht="15" hidden="false" customHeight="false" outlineLevel="0" collapsed="false">
      <c r="A1106" s="13" t="n">
        <v>4</v>
      </c>
      <c r="B1106" s="13" t="n">
        <v>34</v>
      </c>
      <c r="C1106" s="13" t="n">
        <v>1</v>
      </c>
      <c r="D1106" s="13" t="n">
        <v>0</v>
      </c>
      <c r="E1106" s="13" t="n">
        <v>1</v>
      </c>
      <c r="F1106" s="13" t="n">
        <v>1</v>
      </c>
      <c r="G1106" s="13" t="n">
        <v>1</v>
      </c>
      <c r="H1106" s="13" t="n">
        <f aca="false">IF(C1106=1,A1106,"")</f>
        <v>4</v>
      </c>
      <c r="I1106" s="13" t="str">
        <f aca="false">IF(C1106=0,A1106,"")</f>
        <v/>
      </c>
    </row>
    <row r="1107" customFormat="false" ht="15" hidden="false" customHeight="false" outlineLevel="0" collapsed="false">
      <c r="A1107" s="13" t="n">
        <v>4</v>
      </c>
      <c r="B1107" s="13" t="n">
        <v>28</v>
      </c>
      <c r="C1107" s="13" t="n">
        <v>0</v>
      </c>
      <c r="D1107" s="13" t="n">
        <v>1</v>
      </c>
      <c r="E1107" s="13" t="n">
        <v>0</v>
      </c>
      <c r="F1107" s="13" t="n">
        <v>1</v>
      </c>
      <c r="G1107" s="13" t="n">
        <v>1</v>
      </c>
      <c r="H1107" s="13" t="str">
        <f aca="false">IF(C1107=1,A1107,"")</f>
        <v/>
      </c>
      <c r="I1107" s="13" t="n">
        <f aca="false">IF(C1107=0,A1107,"")</f>
        <v>4</v>
      </c>
    </row>
    <row r="1108" customFormat="false" ht="15" hidden="false" customHeight="false" outlineLevel="0" collapsed="false">
      <c r="A1108" s="13" t="n">
        <v>4</v>
      </c>
      <c r="B1108" s="13" t="n">
        <v>55</v>
      </c>
      <c r="C1108" s="13" t="n">
        <v>0</v>
      </c>
      <c r="D1108" s="13" t="n">
        <v>0</v>
      </c>
      <c r="E1108" s="13" t="n">
        <v>0</v>
      </c>
      <c r="F1108" s="13" t="n">
        <v>1</v>
      </c>
      <c r="G1108" s="13" t="n">
        <v>1</v>
      </c>
      <c r="H1108" s="13" t="str">
        <f aca="false">IF(C1108=1,A1108,"")</f>
        <v/>
      </c>
      <c r="I1108" s="13" t="n">
        <f aca="false">IF(C1108=0,A1108,"")</f>
        <v>4</v>
      </c>
    </row>
    <row r="1109" customFormat="false" ht="15" hidden="false" customHeight="false" outlineLevel="0" collapsed="false">
      <c r="A1109" s="13" t="n">
        <v>2</v>
      </c>
      <c r="B1109" s="13" t="n">
        <v>57</v>
      </c>
      <c r="C1109" s="13" t="n">
        <v>1</v>
      </c>
      <c r="D1109" s="13" t="n">
        <v>0</v>
      </c>
      <c r="E1109" s="13" t="n">
        <v>0</v>
      </c>
      <c r="F1109" s="13" t="n">
        <v>1</v>
      </c>
      <c r="G1109" s="13" t="n">
        <v>0</v>
      </c>
      <c r="H1109" s="13" t="n">
        <f aca="false">IF(C1109=1,A1109,"")</f>
        <v>2</v>
      </c>
      <c r="I1109" s="13" t="str">
        <f aca="false">IF(C1109=0,A1109,"")</f>
        <v/>
      </c>
    </row>
    <row r="1110" customFormat="false" ht="15" hidden="false" customHeight="false" outlineLevel="0" collapsed="false">
      <c r="A1110" s="13" t="n">
        <v>4</v>
      </c>
      <c r="B1110" s="13" t="n">
        <v>59</v>
      </c>
      <c r="C1110" s="13" t="n">
        <v>0</v>
      </c>
      <c r="D1110" s="13" t="n">
        <v>1</v>
      </c>
      <c r="E1110" s="13" t="n">
        <v>0</v>
      </c>
      <c r="F1110" s="13" t="n">
        <v>1</v>
      </c>
      <c r="G1110" s="13" t="n">
        <v>1</v>
      </c>
      <c r="H1110" s="13" t="str">
        <f aca="false">IF(C1110=1,A1110,"")</f>
        <v/>
      </c>
      <c r="I1110" s="13" t="n">
        <f aca="false">IF(C1110=0,A1110,"")</f>
        <v>4</v>
      </c>
    </row>
    <row r="1111" customFormat="false" ht="15" hidden="false" customHeight="false" outlineLevel="0" collapsed="false">
      <c r="A1111" s="13" t="n">
        <v>3</v>
      </c>
      <c r="B1111" s="13" t="n">
        <v>26</v>
      </c>
      <c r="C1111" s="13" t="n">
        <v>0</v>
      </c>
      <c r="D1111" s="13" t="n">
        <v>0</v>
      </c>
      <c r="E1111" s="13" t="n">
        <v>1</v>
      </c>
      <c r="F1111" s="13" t="n">
        <v>1</v>
      </c>
      <c r="G1111" s="13" t="n">
        <v>1</v>
      </c>
      <c r="H1111" s="13" t="str">
        <f aca="false">IF(C1111=1,A1111,"")</f>
        <v/>
      </c>
      <c r="I1111" s="13" t="n">
        <f aca="false">IF(C1111=0,A1111,"")</f>
        <v>3</v>
      </c>
    </row>
    <row r="1112" customFormat="false" ht="15" hidden="false" customHeight="false" outlineLevel="0" collapsed="false">
      <c r="A1112" s="13" t="n">
        <v>5</v>
      </c>
      <c r="B1112" s="13" t="n">
        <v>59</v>
      </c>
      <c r="C1112" s="13" t="n">
        <v>0</v>
      </c>
      <c r="D1112" s="13" t="n">
        <v>0</v>
      </c>
      <c r="E1112" s="13" t="n">
        <v>0</v>
      </c>
      <c r="F1112" s="13" t="n">
        <v>1</v>
      </c>
      <c r="G1112" s="13" t="n">
        <v>1</v>
      </c>
      <c r="H1112" s="13" t="str">
        <f aca="false">IF(C1112=1,A1112,"")</f>
        <v/>
      </c>
      <c r="I1112" s="13" t="n">
        <f aca="false">IF(C1112=0,A1112,"")</f>
        <v>5</v>
      </c>
    </row>
    <row r="1113" customFormat="false" ht="15" hidden="false" customHeight="false" outlineLevel="0" collapsed="false">
      <c r="A1113" s="13" t="n">
        <v>4</v>
      </c>
      <c r="B1113" s="13" t="n">
        <v>34</v>
      </c>
      <c r="C1113" s="13" t="n">
        <v>0</v>
      </c>
      <c r="D1113" s="13" t="n">
        <v>0</v>
      </c>
      <c r="E1113" s="13" t="n">
        <v>1</v>
      </c>
      <c r="F1113" s="13" t="n">
        <v>0</v>
      </c>
      <c r="G1113" s="13" t="n">
        <v>0</v>
      </c>
      <c r="H1113" s="13" t="str">
        <f aca="false">IF(C1113=1,A1113,"")</f>
        <v/>
      </c>
      <c r="I1113" s="13" t="n">
        <f aca="false">IF(C1113=0,A1113,"")</f>
        <v>4</v>
      </c>
    </row>
    <row r="1114" customFormat="false" ht="15" hidden="false" customHeight="false" outlineLevel="0" collapsed="false">
      <c r="A1114" s="13" t="n">
        <v>4</v>
      </c>
      <c r="B1114" s="13" t="n">
        <v>50</v>
      </c>
      <c r="C1114" s="13" t="n">
        <v>0</v>
      </c>
      <c r="D1114" s="13" t="n">
        <v>1</v>
      </c>
      <c r="E1114" s="13" t="n">
        <v>1</v>
      </c>
      <c r="F1114" s="13" t="n">
        <v>0</v>
      </c>
      <c r="G1114" s="13" t="n">
        <v>0</v>
      </c>
      <c r="H1114" s="13" t="str">
        <f aca="false">IF(C1114=1,A1114,"")</f>
        <v/>
      </c>
      <c r="I1114" s="13" t="n">
        <f aca="false">IF(C1114=0,A1114,"")</f>
        <v>4</v>
      </c>
    </row>
    <row r="1115" customFormat="false" ht="15" hidden="false" customHeight="false" outlineLevel="0" collapsed="false">
      <c r="A1115" s="13" t="n">
        <v>3</v>
      </c>
      <c r="B1115" s="13" t="n">
        <v>50</v>
      </c>
      <c r="C1115" s="13" t="n">
        <v>1</v>
      </c>
      <c r="D1115" s="13" t="n">
        <v>0</v>
      </c>
      <c r="E1115" s="13" t="n">
        <v>0</v>
      </c>
      <c r="F1115" s="13" t="n">
        <v>1</v>
      </c>
      <c r="G1115" s="13" t="n">
        <v>1</v>
      </c>
      <c r="H1115" s="13" t="n">
        <f aca="false">IF(C1115=1,A1115,"")</f>
        <v>3</v>
      </c>
      <c r="I1115" s="13" t="str">
        <f aca="false">IF(C1115=0,A1115,"")</f>
        <v/>
      </c>
    </row>
    <row r="1116" customFormat="false" ht="15" hidden="false" customHeight="false" outlineLevel="0" collapsed="false">
      <c r="A1116" s="13" t="n">
        <v>4</v>
      </c>
      <c r="B1116" s="13" t="n">
        <v>45</v>
      </c>
      <c r="C1116" s="13" t="n">
        <v>1</v>
      </c>
      <c r="D1116" s="13" t="n">
        <v>0</v>
      </c>
      <c r="E1116" s="13" t="n">
        <v>1</v>
      </c>
      <c r="F1116" s="13" t="n">
        <v>1</v>
      </c>
      <c r="G1116" s="13" t="n">
        <v>0</v>
      </c>
      <c r="H1116" s="13" t="n">
        <f aca="false">IF(C1116=1,A1116,"")</f>
        <v>4</v>
      </c>
      <c r="I1116" s="13" t="str">
        <f aca="false">IF(C1116=0,A1116,"")</f>
        <v/>
      </c>
    </row>
    <row r="1117" customFormat="false" ht="15" hidden="false" customHeight="false" outlineLevel="0" collapsed="false">
      <c r="A1117" s="13" t="n">
        <v>4</v>
      </c>
      <c r="B1117" s="13" t="n">
        <v>57</v>
      </c>
      <c r="C1117" s="13" t="n">
        <v>1</v>
      </c>
      <c r="D1117" s="13" t="n">
        <v>0</v>
      </c>
      <c r="E1117" s="13" t="n">
        <v>0</v>
      </c>
      <c r="F1117" s="13" t="n">
        <v>0</v>
      </c>
      <c r="G1117" s="13" t="n">
        <v>1</v>
      </c>
      <c r="H1117" s="13" t="n">
        <f aca="false">IF(C1117=1,A1117,"")</f>
        <v>4</v>
      </c>
      <c r="I1117" s="13" t="str">
        <f aca="false">IF(C1117=0,A1117,"")</f>
        <v/>
      </c>
    </row>
    <row r="1118" customFormat="false" ht="15" hidden="false" customHeight="false" outlineLevel="0" collapsed="false">
      <c r="A1118" s="13" t="n">
        <v>3</v>
      </c>
      <c r="B1118" s="13" t="n">
        <v>56</v>
      </c>
      <c r="C1118" s="13" t="n">
        <v>1</v>
      </c>
      <c r="D1118" s="13" t="n">
        <v>1</v>
      </c>
      <c r="E1118" s="13" t="n">
        <v>1</v>
      </c>
      <c r="F1118" s="13" t="n">
        <v>1</v>
      </c>
      <c r="G1118" s="13" t="n">
        <v>1</v>
      </c>
      <c r="H1118" s="13" t="n">
        <f aca="false">IF(C1118=1,A1118,"")</f>
        <v>3</v>
      </c>
      <c r="I1118" s="13" t="str">
        <f aca="false">IF(C1118=0,A1118,"")</f>
        <v/>
      </c>
    </row>
    <row r="1119" customFormat="false" ht="15" hidden="false" customHeight="false" outlineLevel="0" collapsed="false">
      <c r="A1119" s="13" t="n">
        <v>4</v>
      </c>
      <c r="B1119" s="13" t="n">
        <v>52</v>
      </c>
      <c r="C1119" s="13" t="n">
        <v>0</v>
      </c>
      <c r="D1119" s="13" t="n">
        <v>0</v>
      </c>
      <c r="E1119" s="13" t="n">
        <v>0</v>
      </c>
      <c r="F1119" s="13" t="n">
        <v>1</v>
      </c>
      <c r="G1119" s="13" t="n">
        <v>1</v>
      </c>
      <c r="H1119" s="13" t="str">
        <f aca="false">IF(C1119=1,A1119,"")</f>
        <v/>
      </c>
      <c r="I1119" s="13" t="n">
        <f aca="false">IF(C1119=0,A1119,"")</f>
        <v>4</v>
      </c>
    </row>
    <row r="1120" customFormat="false" ht="15" hidden="false" customHeight="false" outlineLevel="0" collapsed="false">
      <c r="A1120" s="13" t="n">
        <v>4</v>
      </c>
      <c r="B1120" s="13" t="n">
        <v>34</v>
      </c>
      <c r="C1120" s="13" t="n">
        <v>1</v>
      </c>
      <c r="D1120" s="13" t="n">
        <v>1</v>
      </c>
      <c r="E1120" s="13" t="n">
        <v>1</v>
      </c>
      <c r="F1120" s="13" t="n">
        <v>1</v>
      </c>
      <c r="G1120" s="13" t="n">
        <v>1</v>
      </c>
      <c r="H1120" s="13" t="n">
        <f aca="false">IF(C1120=1,A1120,"")</f>
        <v>4</v>
      </c>
      <c r="I1120" s="13" t="str">
        <f aca="false">IF(C1120=0,A1120,"")</f>
        <v/>
      </c>
    </row>
    <row r="1121" customFormat="false" ht="15" hidden="false" customHeight="false" outlineLevel="0" collapsed="false">
      <c r="A1121" s="13" t="n">
        <v>4</v>
      </c>
      <c r="B1121" s="13" t="n">
        <v>48</v>
      </c>
      <c r="C1121" s="13" t="n">
        <v>0</v>
      </c>
      <c r="D1121" s="13" t="n">
        <v>0</v>
      </c>
      <c r="E1121" s="13" t="n">
        <v>1</v>
      </c>
      <c r="F1121" s="13" t="n">
        <v>1</v>
      </c>
      <c r="G1121" s="13" t="n">
        <v>1</v>
      </c>
      <c r="H1121" s="13" t="str">
        <f aca="false">IF(C1121=1,A1121,"")</f>
        <v/>
      </c>
      <c r="I1121" s="13" t="n">
        <f aca="false">IF(C1121=0,A1121,"")</f>
        <v>4</v>
      </c>
    </row>
    <row r="1122" customFormat="false" ht="15" hidden="false" customHeight="false" outlineLevel="0" collapsed="false">
      <c r="A1122" s="13" t="n">
        <v>5</v>
      </c>
      <c r="B1122" s="13" t="n">
        <v>29</v>
      </c>
      <c r="C1122" s="13" t="n">
        <v>0</v>
      </c>
      <c r="D1122" s="13" t="n">
        <v>0</v>
      </c>
      <c r="E1122" s="13" t="n">
        <v>1</v>
      </c>
      <c r="F1122" s="13" t="n">
        <v>1</v>
      </c>
      <c r="G1122" s="13" t="n">
        <v>0</v>
      </c>
      <c r="H1122" s="13" t="str">
        <f aca="false">IF(C1122=1,A1122,"")</f>
        <v/>
      </c>
      <c r="I1122" s="13" t="n">
        <f aca="false">IF(C1122=0,A1122,"")</f>
        <v>5</v>
      </c>
    </row>
    <row r="1123" customFormat="false" ht="15" hidden="false" customHeight="false" outlineLevel="0" collapsed="false">
      <c r="A1123" s="13" t="n">
        <v>2</v>
      </c>
      <c r="B1123" s="13" t="n">
        <v>61</v>
      </c>
      <c r="C1123" s="13" t="n">
        <v>1</v>
      </c>
      <c r="D1123" s="13" t="n">
        <v>0</v>
      </c>
      <c r="E1123" s="13" t="n">
        <v>1</v>
      </c>
      <c r="F1123" s="13" t="n">
        <v>0</v>
      </c>
      <c r="G1123" s="13" t="n">
        <v>1</v>
      </c>
      <c r="H1123" s="13" t="n">
        <f aca="false">IF(C1123=1,A1123,"")</f>
        <v>2</v>
      </c>
      <c r="I1123" s="13" t="str">
        <f aca="false">IF(C1123=0,A1123,"")</f>
        <v/>
      </c>
    </row>
    <row r="1124" customFormat="false" ht="15" hidden="false" customHeight="false" outlineLevel="0" collapsed="false">
      <c r="A1124" s="13" t="n">
        <v>5</v>
      </c>
      <c r="B1124" s="13" t="n">
        <v>61</v>
      </c>
      <c r="C1124" s="13" t="n">
        <v>1</v>
      </c>
      <c r="D1124" s="13" t="n">
        <v>0</v>
      </c>
      <c r="E1124" s="13" t="n">
        <v>0</v>
      </c>
      <c r="F1124" s="13" t="n">
        <v>1</v>
      </c>
      <c r="G1124" s="13" t="n">
        <v>1</v>
      </c>
      <c r="H1124" s="13" t="n">
        <f aca="false">IF(C1124=1,A1124,"")</f>
        <v>5</v>
      </c>
      <c r="I1124" s="13" t="str">
        <f aca="false">IF(C1124=0,A1124,"")</f>
        <v/>
      </c>
    </row>
    <row r="1125" customFormat="false" ht="15" hidden="false" customHeight="false" outlineLevel="0" collapsed="false">
      <c r="A1125" s="13" t="n">
        <v>4</v>
      </c>
      <c r="B1125" s="13" t="n">
        <v>56</v>
      </c>
      <c r="C1125" s="13" t="n">
        <v>1</v>
      </c>
      <c r="D1125" s="13" t="n">
        <v>0</v>
      </c>
      <c r="E1125" s="13" t="n">
        <v>1</v>
      </c>
      <c r="F1125" s="13" t="n">
        <v>1</v>
      </c>
      <c r="G1125" s="13" t="n">
        <v>1</v>
      </c>
      <c r="H1125" s="13" t="n">
        <f aca="false">IF(C1125=1,A1125,"")</f>
        <v>4</v>
      </c>
      <c r="I1125" s="13" t="str">
        <f aca="false">IF(C1125=0,A1125,"")</f>
        <v/>
      </c>
    </row>
    <row r="1126" customFormat="false" ht="15" hidden="false" customHeight="false" outlineLevel="0" collapsed="false">
      <c r="A1126" s="13" t="n">
        <v>4</v>
      </c>
      <c r="B1126" s="13" t="n">
        <v>61</v>
      </c>
      <c r="C1126" s="13" t="n">
        <v>1</v>
      </c>
      <c r="D1126" s="13" t="n">
        <v>0</v>
      </c>
      <c r="E1126" s="13" t="n">
        <v>0</v>
      </c>
      <c r="F1126" s="13" t="n">
        <v>1</v>
      </c>
      <c r="G1126" s="13" t="n">
        <v>1</v>
      </c>
      <c r="H1126" s="13" t="n">
        <f aca="false">IF(C1126=1,A1126,"")</f>
        <v>4</v>
      </c>
      <c r="I1126" s="13" t="str">
        <f aca="false">IF(C1126=0,A1126,"")</f>
        <v/>
      </c>
    </row>
    <row r="1127" customFormat="false" ht="15" hidden="false" customHeight="false" outlineLevel="0" collapsed="false">
      <c r="A1127" s="13" t="n">
        <v>4</v>
      </c>
      <c r="B1127" s="13" t="n">
        <v>31</v>
      </c>
      <c r="C1127" s="13" t="n">
        <v>1</v>
      </c>
      <c r="D1127" s="13" t="n">
        <v>0</v>
      </c>
      <c r="E1127" s="13" t="n">
        <v>1</v>
      </c>
      <c r="F1127" s="13" t="n">
        <v>1</v>
      </c>
      <c r="G1127" s="13" t="n">
        <v>1</v>
      </c>
      <c r="H1127" s="13" t="n">
        <f aca="false">IF(C1127=1,A1127,"")</f>
        <v>4</v>
      </c>
      <c r="I1127" s="13" t="str">
        <f aca="false">IF(C1127=0,A1127,"")</f>
        <v/>
      </c>
    </row>
    <row r="1128" customFormat="false" ht="15" hidden="false" customHeight="false" outlineLevel="0" collapsed="false">
      <c r="A1128" s="13" t="n">
        <v>4</v>
      </c>
      <c r="B1128" s="13" t="n">
        <v>55</v>
      </c>
      <c r="C1128" s="13" t="n">
        <v>1</v>
      </c>
      <c r="D1128" s="13" t="n">
        <v>0</v>
      </c>
      <c r="E1128" s="13" t="n">
        <v>1</v>
      </c>
      <c r="F1128" s="13" t="n">
        <v>1</v>
      </c>
      <c r="G1128" s="13" t="n">
        <v>0</v>
      </c>
      <c r="H1128" s="13" t="n">
        <f aca="false">IF(C1128=1,A1128,"")</f>
        <v>4</v>
      </c>
      <c r="I1128" s="13" t="str">
        <f aca="false">IF(C1128=0,A1128,"")</f>
        <v/>
      </c>
    </row>
    <row r="1129" customFormat="false" ht="15" hidden="false" customHeight="false" outlineLevel="0" collapsed="false">
      <c r="A1129" s="13" t="n">
        <v>4</v>
      </c>
      <c r="B1129" s="13" t="n">
        <v>64</v>
      </c>
      <c r="C1129" s="13" t="n">
        <v>0</v>
      </c>
      <c r="D1129" s="13" t="n">
        <v>0</v>
      </c>
      <c r="E1129" s="13" t="n">
        <v>1</v>
      </c>
      <c r="F1129" s="13" t="n">
        <v>0</v>
      </c>
      <c r="G1129" s="13" t="n">
        <v>1</v>
      </c>
      <c r="H1129" s="13" t="str">
        <f aca="false">IF(C1129=1,A1129,"")</f>
        <v/>
      </c>
      <c r="I1129" s="13" t="n">
        <f aca="false">IF(C1129=0,A1129,"")</f>
        <v>4</v>
      </c>
    </row>
    <row r="1130" customFormat="false" ht="15" hidden="false" customHeight="false" outlineLevel="0" collapsed="false">
      <c r="A1130" s="13" t="n">
        <v>4</v>
      </c>
      <c r="B1130" s="13" t="n">
        <v>58</v>
      </c>
      <c r="C1130" s="13" t="n">
        <v>1</v>
      </c>
      <c r="D1130" s="13" t="n">
        <v>0</v>
      </c>
      <c r="E1130" s="13" t="n">
        <v>1</v>
      </c>
      <c r="F1130" s="13" t="n">
        <v>0</v>
      </c>
      <c r="G1130" s="13" t="n">
        <v>0</v>
      </c>
      <c r="H1130" s="13" t="n">
        <f aca="false">IF(C1130=1,A1130,"")</f>
        <v>4</v>
      </c>
      <c r="I1130" s="13" t="str">
        <f aca="false">IF(C1130=0,A1130,"")</f>
        <v/>
      </c>
    </row>
    <row r="1131" customFormat="false" ht="15" hidden="false" customHeight="false" outlineLevel="0" collapsed="false">
      <c r="A1131" s="13" t="n">
        <v>4</v>
      </c>
      <c r="B1131" s="13" t="n">
        <v>55</v>
      </c>
      <c r="C1131" s="13" t="n">
        <v>0</v>
      </c>
      <c r="D1131" s="13" t="n">
        <v>0</v>
      </c>
      <c r="E1131" s="13" t="n">
        <v>0</v>
      </c>
      <c r="F1131" s="13" t="n">
        <v>0</v>
      </c>
      <c r="G1131" s="13" t="n">
        <v>0</v>
      </c>
      <c r="H1131" s="13" t="str">
        <f aca="false">IF(C1131=1,A1131,"")</f>
        <v/>
      </c>
      <c r="I1131" s="13" t="n">
        <f aca="false">IF(C1131=0,A1131,"")</f>
        <v>4</v>
      </c>
    </row>
    <row r="1132" customFormat="false" ht="15" hidden="false" customHeight="false" outlineLevel="0" collapsed="false">
      <c r="A1132" s="13" t="n">
        <v>4</v>
      </c>
      <c r="B1132" s="13" t="n">
        <v>48</v>
      </c>
      <c r="C1132" s="13" t="n">
        <v>1</v>
      </c>
      <c r="D1132" s="13" t="n">
        <v>1</v>
      </c>
      <c r="E1132" s="13" t="n">
        <v>1</v>
      </c>
      <c r="F1132" s="13" t="n">
        <v>1</v>
      </c>
      <c r="G1132" s="13" t="n">
        <v>0</v>
      </c>
      <c r="H1132" s="13" t="n">
        <f aca="false">IF(C1132=1,A1132,"")</f>
        <v>4</v>
      </c>
      <c r="I1132" s="13" t="str">
        <f aca="false">IF(C1132=0,A1132,"")</f>
        <v/>
      </c>
    </row>
    <row r="1133" customFormat="false" ht="15" hidden="false" customHeight="false" outlineLevel="0" collapsed="false">
      <c r="A1133" s="13" t="n">
        <v>2</v>
      </c>
      <c r="B1133" s="13" t="n">
        <v>59</v>
      </c>
      <c r="C1133" s="13" t="n">
        <v>1</v>
      </c>
      <c r="D1133" s="13" t="n">
        <v>1</v>
      </c>
      <c r="E1133" s="13" t="n">
        <v>1</v>
      </c>
      <c r="F1133" s="13" t="n">
        <v>0</v>
      </c>
      <c r="G1133" s="13" t="n">
        <v>0</v>
      </c>
      <c r="H1133" s="13" t="n">
        <f aca="false">IF(C1133=1,A1133,"")</f>
        <v>2</v>
      </c>
      <c r="I1133" s="13" t="str">
        <f aca="false">IF(C1133=0,A1133,"")</f>
        <v/>
      </c>
    </row>
    <row r="1134" customFormat="false" ht="15" hidden="false" customHeight="false" outlineLevel="0" collapsed="false">
      <c r="A1134" s="13" t="n">
        <v>4</v>
      </c>
      <c r="B1134" s="13" t="n">
        <v>59</v>
      </c>
      <c r="C1134" s="13" t="n">
        <v>1</v>
      </c>
      <c r="D1134" s="13" t="n">
        <v>1</v>
      </c>
      <c r="E1134" s="13" t="n">
        <v>0</v>
      </c>
      <c r="F1134" s="13" t="n">
        <v>1</v>
      </c>
      <c r="G1134" s="13" t="n">
        <v>1</v>
      </c>
      <c r="H1134" s="13" t="n">
        <f aca="false">IF(C1134=1,A1134,"")</f>
        <v>4</v>
      </c>
      <c r="I1134" s="13" t="str">
        <f aca="false">IF(C1134=0,A1134,"")</f>
        <v/>
      </c>
    </row>
    <row r="1135" customFormat="false" ht="15" hidden="false" customHeight="false" outlineLevel="0" collapsed="false">
      <c r="A1135" s="13" t="n">
        <v>4</v>
      </c>
      <c r="B1135" s="13" t="n">
        <v>57</v>
      </c>
      <c r="C1135" s="13" t="n">
        <v>1</v>
      </c>
      <c r="D1135" s="13" t="n">
        <v>0</v>
      </c>
      <c r="E1135" s="13" t="n">
        <v>1</v>
      </c>
      <c r="F1135" s="13" t="n">
        <v>0</v>
      </c>
      <c r="G1135" s="13" t="n">
        <v>1</v>
      </c>
      <c r="H1135" s="13" t="n">
        <f aca="false">IF(C1135=1,A1135,"")</f>
        <v>4</v>
      </c>
      <c r="I1135" s="13" t="str">
        <f aca="false">IF(C1135=0,A1135,"")</f>
        <v/>
      </c>
    </row>
    <row r="1136" customFormat="false" ht="15" hidden="false" customHeight="false" outlineLevel="0" collapsed="false">
      <c r="A1136" s="13" t="n">
        <v>4</v>
      </c>
      <c r="B1136" s="13" t="n">
        <v>45</v>
      </c>
      <c r="C1136" s="13" t="n">
        <v>1</v>
      </c>
      <c r="D1136" s="13" t="n">
        <v>1</v>
      </c>
      <c r="E1136" s="13" t="n">
        <v>1</v>
      </c>
      <c r="F1136" s="13" t="n">
        <v>1</v>
      </c>
      <c r="G1136" s="13" t="n">
        <v>1</v>
      </c>
      <c r="H1136" s="13" t="n">
        <f aca="false">IF(C1136=1,A1136,"")</f>
        <v>4</v>
      </c>
      <c r="I1136" s="13" t="str">
        <f aca="false">IF(C1136=0,A1136,"")</f>
        <v/>
      </c>
    </row>
    <row r="1137" customFormat="false" ht="15" hidden="false" customHeight="false" outlineLevel="0" collapsed="false">
      <c r="A1137" s="13" t="n">
        <v>4</v>
      </c>
      <c r="B1137" s="13" t="n">
        <v>62</v>
      </c>
      <c r="C1137" s="13" t="n">
        <v>0</v>
      </c>
      <c r="D1137" s="13" t="n">
        <v>0</v>
      </c>
      <c r="E1137" s="13" t="n">
        <v>1</v>
      </c>
      <c r="F1137" s="13" t="n">
        <v>1</v>
      </c>
      <c r="G1137" s="13" t="n">
        <v>1</v>
      </c>
      <c r="H1137" s="13" t="str">
        <f aca="false">IF(C1137=1,A1137,"")</f>
        <v/>
      </c>
      <c r="I1137" s="13" t="n">
        <f aca="false">IF(C1137=0,A1137,"")</f>
        <v>4</v>
      </c>
    </row>
    <row r="1138" customFormat="false" ht="15" hidden="false" customHeight="false" outlineLevel="0" collapsed="false">
      <c r="A1138" s="13" t="n">
        <v>4</v>
      </c>
      <c r="B1138" s="13" t="n">
        <v>64</v>
      </c>
      <c r="C1138" s="13" t="n">
        <v>0</v>
      </c>
      <c r="D1138" s="13" t="n">
        <v>0</v>
      </c>
      <c r="E1138" s="13" t="n">
        <v>1</v>
      </c>
      <c r="F1138" s="13" t="n">
        <v>1</v>
      </c>
      <c r="G1138" s="13" t="n">
        <v>1</v>
      </c>
      <c r="H1138" s="13" t="str">
        <f aca="false">IF(C1138=1,A1138,"")</f>
        <v/>
      </c>
      <c r="I1138" s="13" t="n">
        <f aca="false">IF(C1138=0,A1138,"")</f>
        <v>4</v>
      </c>
    </row>
    <row r="1139" customFormat="false" ht="15" hidden="false" customHeight="false" outlineLevel="0" collapsed="false">
      <c r="A1139" s="13" t="n">
        <v>3</v>
      </c>
      <c r="B1139" s="13" t="n">
        <v>27</v>
      </c>
      <c r="C1139" s="13" t="n">
        <v>1</v>
      </c>
      <c r="D1139" s="13" t="n">
        <v>0</v>
      </c>
      <c r="E1139" s="13" t="n">
        <v>1</v>
      </c>
      <c r="F1139" s="13" t="n">
        <v>1</v>
      </c>
      <c r="G1139" s="13" t="n">
        <v>1</v>
      </c>
      <c r="H1139" s="13" t="n">
        <f aca="false">IF(C1139=1,A1139,"")</f>
        <v>3</v>
      </c>
      <c r="I1139" s="13" t="str">
        <f aca="false">IF(C1139=0,A1139,"")</f>
        <v/>
      </c>
    </row>
    <row r="1140" customFormat="false" ht="15" hidden="false" customHeight="false" outlineLevel="0" collapsed="false">
      <c r="A1140" s="13" t="n">
        <v>4</v>
      </c>
      <c r="B1140" s="13" t="n">
        <v>58</v>
      </c>
      <c r="C1140" s="13" t="n">
        <v>0</v>
      </c>
      <c r="D1140" s="13" t="n">
        <v>0</v>
      </c>
      <c r="E1140" s="13" t="n">
        <v>1</v>
      </c>
      <c r="F1140" s="13" t="n">
        <v>1</v>
      </c>
      <c r="G1140" s="13" t="n">
        <v>1</v>
      </c>
      <c r="H1140" s="13" t="str">
        <f aca="false">IF(C1140=1,A1140,"")</f>
        <v/>
      </c>
      <c r="I1140" s="13" t="n">
        <f aca="false">IF(C1140=0,A1140,"")</f>
        <v>4</v>
      </c>
    </row>
    <row r="1141" customFormat="false" ht="15" hidden="false" customHeight="false" outlineLevel="0" collapsed="false">
      <c r="A1141" s="13" t="n">
        <v>2</v>
      </c>
      <c r="B1141" s="13" t="n">
        <v>28</v>
      </c>
      <c r="C1141" s="13" t="n">
        <v>1</v>
      </c>
      <c r="D1141" s="13" t="n">
        <v>0</v>
      </c>
      <c r="E1141" s="13" t="n">
        <v>1</v>
      </c>
      <c r="F1141" s="13" t="n">
        <v>1</v>
      </c>
      <c r="G1141" s="13" t="n">
        <v>0</v>
      </c>
      <c r="H1141" s="13" t="n">
        <f aca="false">IF(C1141=1,A1141,"")</f>
        <v>2</v>
      </c>
      <c r="I1141" s="13" t="str">
        <f aca="false">IF(C1141=0,A1141,"")</f>
        <v/>
      </c>
    </row>
    <row r="1142" customFormat="false" ht="15" hidden="false" customHeight="false" outlineLevel="0" collapsed="false">
      <c r="A1142" s="13" t="n">
        <v>1</v>
      </c>
      <c r="B1142" s="13" t="n">
        <v>52</v>
      </c>
      <c r="C1142" s="13" t="n">
        <v>0</v>
      </c>
      <c r="D1142" s="13" t="n">
        <v>1</v>
      </c>
      <c r="E1142" s="13" t="n">
        <v>0</v>
      </c>
      <c r="F1142" s="13" t="n">
        <v>0</v>
      </c>
      <c r="G1142" s="13" t="n">
        <v>0</v>
      </c>
      <c r="H1142" s="13" t="str">
        <f aca="false">IF(C1142=1,A1142,"")</f>
        <v/>
      </c>
      <c r="I1142" s="13" t="n">
        <f aca="false">IF(C1142=0,A1142,"")</f>
        <v>1</v>
      </c>
    </row>
    <row r="1143" customFormat="false" ht="15" hidden="false" customHeight="false" outlineLevel="0" collapsed="false">
      <c r="A1143" s="13" t="n">
        <v>4</v>
      </c>
      <c r="B1143" s="13" t="n">
        <v>64</v>
      </c>
      <c r="C1143" s="13" t="n">
        <v>1</v>
      </c>
      <c r="D1143" s="13" t="n">
        <v>0</v>
      </c>
      <c r="E1143" s="13" t="n">
        <v>0</v>
      </c>
      <c r="F1143" s="13" t="n">
        <v>0</v>
      </c>
      <c r="G1143" s="13" t="n">
        <v>1</v>
      </c>
      <c r="H1143" s="13" t="n">
        <f aca="false">IF(C1143=1,A1143,"")</f>
        <v>4</v>
      </c>
      <c r="I1143" s="13" t="str">
        <f aca="false">IF(C1143=0,A1143,"")</f>
        <v/>
      </c>
    </row>
    <row r="1144" customFormat="false" ht="15" hidden="false" customHeight="false" outlineLevel="0" collapsed="false">
      <c r="A1144" s="13" t="n">
        <v>2</v>
      </c>
      <c r="B1144" s="13" t="n">
        <v>64</v>
      </c>
      <c r="C1144" s="13" t="n">
        <v>1</v>
      </c>
      <c r="D1144" s="13" t="n">
        <v>0</v>
      </c>
      <c r="E1144" s="13" t="n">
        <v>0</v>
      </c>
      <c r="F1144" s="13" t="n">
        <v>0</v>
      </c>
      <c r="G1144" s="13" t="n">
        <v>0</v>
      </c>
      <c r="H1144" s="13" t="n">
        <f aca="false">IF(C1144=1,A1144,"")</f>
        <v>2</v>
      </c>
      <c r="I1144" s="13" t="str">
        <f aca="false">IF(C1144=0,A1144,"")</f>
        <v/>
      </c>
    </row>
    <row r="1145" customFormat="false" ht="15" hidden="false" customHeight="false" outlineLevel="0" collapsed="false">
      <c r="A1145" s="13" t="n">
        <v>4</v>
      </c>
      <c r="B1145" s="13" t="n">
        <v>32</v>
      </c>
      <c r="C1145" s="13" t="n">
        <v>0</v>
      </c>
      <c r="D1145" s="13" t="n">
        <v>1</v>
      </c>
      <c r="E1145" s="13" t="n">
        <v>0</v>
      </c>
      <c r="F1145" s="13" t="n">
        <v>1</v>
      </c>
      <c r="G1145" s="13" t="n">
        <v>0</v>
      </c>
      <c r="H1145" s="13" t="str">
        <f aca="false">IF(C1145=1,A1145,"")</f>
        <v/>
      </c>
      <c r="I1145" s="13" t="n">
        <f aca="false">IF(C1145=0,A1145,"")</f>
        <v>4</v>
      </c>
    </row>
    <row r="1146" customFormat="false" ht="15" hidden="false" customHeight="false" outlineLevel="0" collapsed="false">
      <c r="A1146" s="13" t="n">
        <v>4</v>
      </c>
      <c r="B1146" s="13" t="n">
        <v>27</v>
      </c>
      <c r="C1146" s="13" t="n">
        <v>0</v>
      </c>
      <c r="D1146" s="13" t="n">
        <v>2</v>
      </c>
      <c r="E1146" s="13" t="n">
        <v>1</v>
      </c>
      <c r="F1146" s="13" t="n">
        <v>0</v>
      </c>
      <c r="G1146" s="13" t="n">
        <v>1</v>
      </c>
      <c r="H1146" s="13" t="str">
        <f aca="false">IF(C1146=1,A1146,"")</f>
        <v/>
      </c>
      <c r="I1146" s="13" t="n">
        <f aca="false">IF(C1146=0,A1146,"")</f>
        <v>4</v>
      </c>
    </row>
    <row r="1147" customFormat="false" ht="15" hidden="false" customHeight="false" outlineLevel="0" collapsed="false">
      <c r="A1147" s="13" t="n">
        <v>4</v>
      </c>
      <c r="B1147" s="13" t="n">
        <v>50</v>
      </c>
      <c r="C1147" s="13" t="n">
        <v>0</v>
      </c>
      <c r="D1147" s="13" t="n">
        <v>1</v>
      </c>
      <c r="E1147" s="13" t="n">
        <v>1</v>
      </c>
      <c r="F1147" s="13" t="n">
        <v>0</v>
      </c>
      <c r="G1147" s="13" t="n">
        <v>1</v>
      </c>
      <c r="H1147" s="13" t="str">
        <f aca="false">IF(C1147=1,A1147,"")</f>
        <v/>
      </c>
      <c r="I1147" s="13" t="n">
        <f aca="false">IF(C1147=0,A1147,"")</f>
        <v>4</v>
      </c>
    </row>
    <row r="1148" customFormat="false" ht="15" hidden="false" customHeight="false" outlineLevel="0" collapsed="false">
      <c r="A1148" s="13" t="n">
        <v>4</v>
      </c>
      <c r="B1148" s="13" t="n">
        <v>55</v>
      </c>
      <c r="C1148" s="13" t="n">
        <v>0</v>
      </c>
      <c r="D1148" s="13" t="n">
        <v>1</v>
      </c>
      <c r="E1148" s="13" t="n">
        <v>1</v>
      </c>
      <c r="F1148" s="13" t="n">
        <v>1</v>
      </c>
      <c r="G1148" s="13" t="n">
        <v>0</v>
      </c>
      <c r="H1148" s="13" t="str">
        <f aca="false">IF(C1148=1,A1148,"")</f>
        <v/>
      </c>
      <c r="I1148" s="13" t="n">
        <f aca="false">IF(C1148=0,A1148,"")</f>
        <v>4</v>
      </c>
    </row>
    <row r="1149" customFormat="false" ht="15" hidden="false" customHeight="false" outlineLevel="0" collapsed="false">
      <c r="A1149" s="13" t="n">
        <v>4</v>
      </c>
      <c r="B1149" s="13" t="n">
        <v>32</v>
      </c>
      <c r="C1149" s="13" t="n">
        <v>0</v>
      </c>
      <c r="D1149" s="13" t="n">
        <v>0</v>
      </c>
      <c r="E1149" s="13" t="n">
        <v>0</v>
      </c>
      <c r="F1149" s="13" t="n">
        <v>1</v>
      </c>
      <c r="G1149" s="13" t="n">
        <v>0</v>
      </c>
      <c r="H1149" s="13" t="str">
        <f aca="false">IF(C1149=1,A1149,"")</f>
        <v/>
      </c>
      <c r="I1149" s="13" t="n">
        <f aca="false">IF(C1149=0,A1149,"")</f>
        <v>4</v>
      </c>
    </row>
    <row r="1150" customFormat="false" ht="15" hidden="false" customHeight="false" outlineLevel="0" collapsed="false">
      <c r="A1150" s="13" t="n">
        <v>3</v>
      </c>
      <c r="B1150" s="13" t="n">
        <v>46</v>
      </c>
      <c r="C1150" s="13" t="n">
        <v>0</v>
      </c>
      <c r="D1150" s="13" t="n">
        <v>1</v>
      </c>
      <c r="E1150" s="13" t="n">
        <v>0</v>
      </c>
      <c r="F1150" s="13" t="n">
        <v>0</v>
      </c>
      <c r="G1150" s="13" t="n">
        <v>0</v>
      </c>
      <c r="H1150" s="13" t="str">
        <f aca="false">IF(C1150=1,A1150,"")</f>
        <v/>
      </c>
      <c r="I1150" s="13" t="n">
        <f aca="false">IF(C1150=0,A1150,"")</f>
        <v>3</v>
      </c>
    </row>
    <row r="1151" customFormat="false" ht="15" hidden="false" customHeight="false" outlineLevel="0" collapsed="false">
      <c r="A1151" s="13" t="n">
        <v>4</v>
      </c>
      <c r="B1151" s="13" t="n">
        <v>46</v>
      </c>
      <c r="C1151" s="13" t="n">
        <v>0</v>
      </c>
      <c r="D1151" s="13" t="n">
        <v>0</v>
      </c>
      <c r="E1151" s="13" t="n">
        <v>1</v>
      </c>
      <c r="F1151" s="13" t="n">
        <v>0</v>
      </c>
      <c r="G1151" s="13" t="n">
        <v>0</v>
      </c>
      <c r="H1151" s="13" t="str">
        <f aca="false">IF(C1151=1,A1151,"")</f>
        <v/>
      </c>
      <c r="I1151" s="13" t="n">
        <f aca="false">IF(C1151=0,A1151,"")</f>
        <v>4</v>
      </c>
    </row>
    <row r="1152" customFormat="false" ht="15" hidden="false" customHeight="false" outlineLevel="0" collapsed="false">
      <c r="A1152" s="13" t="n">
        <v>3</v>
      </c>
      <c r="B1152" s="13" t="n">
        <v>54</v>
      </c>
      <c r="C1152" s="13" t="n">
        <v>0</v>
      </c>
      <c r="D1152" s="13" t="n">
        <v>0</v>
      </c>
      <c r="E1152" s="13" t="n">
        <v>0</v>
      </c>
      <c r="F1152" s="13" t="n">
        <v>1</v>
      </c>
      <c r="G1152" s="13" t="n">
        <v>0</v>
      </c>
      <c r="H1152" s="13" t="str">
        <f aca="false">IF(C1152=1,A1152,"")</f>
        <v/>
      </c>
      <c r="I1152" s="13" t="n">
        <f aca="false">IF(C1152=0,A1152,"")</f>
        <v>3</v>
      </c>
    </row>
    <row r="1153" customFormat="false" ht="15" hidden="false" customHeight="false" outlineLevel="0" collapsed="false">
      <c r="A1153" s="13" t="n">
        <v>4</v>
      </c>
      <c r="B1153" s="13" t="n">
        <v>28</v>
      </c>
      <c r="C1153" s="13" t="n">
        <v>0</v>
      </c>
      <c r="D1153" s="13" t="n">
        <v>0</v>
      </c>
      <c r="E1153" s="13" t="n">
        <v>1</v>
      </c>
      <c r="F1153" s="13" t="n">
        <v>1</v>
      </c>
      <c r="G1153" s="13" t="n">
        <v>0</v>
      </c>
      <c r="H1153" s="13" t="str">
        <f aca="false">IF(C1153=1,A1153,"")</f>
        <v/>
      </c>
      <c r="I1153" s="13" t="n">
        <f aca="false">IF(C1153=0,A1153,"")</f>
        <v>4</v>
      </c>
    </row>
    <row r="1154" customFormat="false" ht="15" hidden="false" customHeight="false" outlineLevel="0" collapsed="false">
      <c r="A1154" s="13" t="n">
        <v>4</v>
      </c>
      <c r="B1154" s="13" t="n">
        <v>54</v>
      </c>
      <c r="C1154" s="13" t="n">
        <v>0</v>
      </c>
      <c r="D1154" s="13" t="n">
        <v>0</v>
      </c>
      <c r="E1154" s="13" t="n">
        <v>1</v>
      </c>
      <c r="F1154" s="13" t="n">
        <v>1</v>
      </c>
      <c r="G1154" s="13" t="n">
        <v>1</v>
      </c>
      <c r="H1154" s="13" t="str">
        <f aca="false">IF(C1154=1,A1154,"")</f>
        <v/>
      </c>
      <c r="I1154" s="13" t="n">
        <f aca="false">IF(C1154=0,A1154,"")</f>
        <v>4</v>
      </c>
    </row>
    <row r="1155" customFormat="false" ht="15" hidden="false" customHeight="false" outlineLevel="0" collapsed="false">
      <c r="A1155" s="13" t="n">
        <v>3</v>
      </c>
      <c r="B1155" s="13" t="n">
        <v>63</v>
      </c>
      <c r="C1155" s="13" t="n">
        <v>0</v>
      </c>
      <c r="D1155" s="13" t="n">
        <v>0</v>
      </c>
      <c r="E1155" s="13" t="n">
        <v>0</v>
      </c>
      <c r="F1155" s="13" t="n">
        <v>0</v>
      </c>
      <c r="G1155" s="13" t="n">
        <v>1</v>
      </c>
      <c r="H1155" s="13" t="str">
        <f aca="false">IF(C1155=1,A1155,"")</f>
        <v/>
      </c>
      <c r="I1155" s="13" t="n">
        <f aca="false">IF(C1155=0,A1155,"")</f>
        <v>3</v>
      </c>
    </row>
    <row r="1156" customFormat="false" ht="15" hidden="false" customHeight="false" outlineLevel="0" collapsed="false">
      <c r="A1156" s="13" t="n">
        <v>4</v>
      </c>
      <c r="B1156" s="13" t="n">
        <v>51</v>
      </c>
      <c r="C1156" s="13" t="n">
        <v>1</v>
      </c>
      <c r="D1156" s="13" t="n">
        <v>0</v>
      </c>
      <c r="E1156" s="13" t="n">
        <v>1</v>
      </c>
      <c r="F1156" s="13" t="n">
        <v>0</v>
      </c>
      <c r="G1156" s="13" t="n">
        <v>0</v>
      </c>
      <c r="H1156" s="13" t="n">
        <f aca="false">IF(C1156=1,A1156,"")</f>
        <v>4</v>
      </c>
      <c r="I1156" s="13" t="str">
        <f aca="false">IF(C1156=0,A1156,"")</f>
        <v/>
      </c>
    </row>
    <row r="1157" customFormat="false" ht="15" hidden="false" customHeight="false" outlineLevel="0" collapsed="false">
      <c r="A1157" s="13" t="n">
        <v>2</v>
      </c>
      <c r="B1157" s="13" t="n">
        <v>51</v>
      </c>
      <c r="C1157" s="13" t="n">
        <v>1</v>
      </c>
      <c r="D1157" s="13" t="n">
        <v>0</v>
      </c>
      <c r="E1157" s="13" t="n">
        <v>0</v>
      </c>
      <c r="F1157" s="13" t="n">
        <v>0</v>
      </c>
      <c r="G1157" s="13" t="n">
        <v>0</v>
      </c>
      <c r="H1157" s="13" t="n">
        <f aca="false">IF(C1157=1,A1157,"")</f>
        <v>2</v>
      </c>
      <c r="I1157" s="13" t="str">
        <f aca="false">IF(C1157=0,A1157,"")</f>
        <v/>
      </c>
    </row>
    <row r="1158" customFormat="false" ht="15" hidden="false" customHeight="false" outlineLevel="0" collapsed="false">
      <c r="A1158" s="13" t="n">
        <v>4</v>
      </c>
      <c r="B1158" s="13" t="n">
        <v>58</v>
      </c>
      <c r="C1158" s="13" t="n">
        <v>0</v>
      </c>
      <c r="D1158" s="13" t="n">
        <v>0</v>
      </c>
      <c r="E1158" s="13" t="n">
        <v>0</v>
      </c>
      <c r="F1158" s="13" t="n">
        <v>0</v>
      </c>
      <c r="G1158" s="13" t="n">
        <v>1</v>
      </c>
      <c r="H1158" s="13" t="str">
        <f aca="false">IF(C1158=1,A1158,"")</f>
        <v/>
      </c>
      <c r="I1158" s="13" t="n">
        <f aca="false">IF(C1158=0,A1158,"")</f>
        <v>4</v>
      </c>
    </row>
    <row r="1159" customFormat="false" ht="15" hidden="false" customHeight="false" outlineLevel="0" collapsed="false">
      <c r="A1159" s="13" t="n">
        <v>4</v>
      </c>
      <c r="B1159" s="13" t="n">
        <v>46</v>
      </c>
      <c r="C1159" s="13" t="n">
        <v>1</v>
      </c>
      <c r="D1159" s="13" t="n">
        <v>2</v>
      </c>
      <c r="E1159" s="13" t="n">
        <v>1</v>
      </c>
      <c r="F1159" s="13" t="n">
        <v>0</v>
      </c>
      <c r="G1159" s="13" t="n">
        <v>1</v>
      </c>
      <c r="H1159" s="13" t="n">
        <f aca="false">IF(C1159=1,A1159,"")</f>
        <v>4</v>
      </c>
      <c r="I1159" s="13" t="str">
        <f aca="false">IF(C1159=0,A1159,"")</f>
        <v/>
      </c>
    </row>
    <row r="1160" customFormat="false" ht="15" hidden="false" customHeight="false" outlineLevel="0" collapsed="false">
      <c r="A1160" s="13" t="n">
        <v>5</v>
      </c>
      <c r="B1160" s="13" t="n">
        <v>48</v>
      </c>
      <c r="C1160" s="13" t="n">
        <v>1</v>
      </c>
      <c r="D1160" s="13" t="n">
        <v>0</v>
      </c>
      <c r="E1160" s="13" t="n">
        <v>1</v>
      </c>
      <c r="F1160" s="13" t="n">
        <v>1</v>
      </c>
      <c r="G1160" s="13" t="n">
        <v>1</v>
      </c>
      <c r="H1160" s="13" t="n">
        <f aca="false">IF(C1160=1,A1160,"")</f>
        <v>5</v>
      </c>
      <c r="I1160" s="13" t="str">
        <f aca="false">IF(C1160=0,A1160,"")</f>
        <v/>
      </c>
    </row>
    <row r="1161" customFormat="false" ht="15" hidden="false" customHeight="false" outlineLevel="0" collapsed="false">
      <c r="A1161" s="13" t="n">
        <v>4</v>
      </c>
      <c r="B1161" s="13" t="n">
        <v>55</v>
      </c>
      <c r="C1161" s="13" t="n">
        <v>1</v>
      </c>
      <c r="D1161" s="13" t="n">
        <v>0</v>
      </c>
      <c r="E1161" s="13" t="n">
        <v>0</v>
      </c>
      <c r="F1161" s="13" t="n">
        <v>0</v>
      </c>
      <c r="G1161" s="13" t="n">
        <v>1</v>
      </c>
      <c r="H1161" s="13" t="n">
        <f aca="false">IF(C1161=1,A1161,"")</f>
        <v>4</v>
      </c>
      <c r="I1161" s="13" t="str">
        <f aca="false">IF(C1161=0,A1161,"")</f>
        <v/>
      </c>
    </row>
    <row r="1162" customFormat="false" ht="15" hidden="false" customHeight="false" outlineLevel="0" collapsed="false">
      <c r="A1162" s="13" t="n">
        <v>4</v>
      </c>
      <c r="B1162" s="13" t="n">
        <v>60</v>
      </c>
      <c r="C1162" s="13" t="n">
        <v>1</v>
      </c>
      <c r="D1162" s="13" t="n">
        <v>0</v>
      </c>
      <c r="E1162" s="13" t="n">
        <v>1</v>
      </c>
      <c r="F1162" s="13" t="n">
        <v>1</v>
      </c>
      <c r="G1162" s="13" t="n">
        <v>1</v>
      </c>
      <c r="H1162" s="13" t="n">
        <f aca="false">IF(C1162=1,A1162,"")</f>
        <v>4</v>
      </c>
      <c r="I1162" s="13" t="str">
        <f aca="false">IF(C1162=0,A1162,"")</f>
        <v/>
      </c>
    </row>
    <row r="1163" customFormat="false" ht="15" hidden="false" customHeight="false" outlineLevel="0" collapsed="false">
      <c r="A1163" s="13" t="n">
        <v>4</v>
      </c>
      <c r="B1163" s="13" t="n">
        <v>64</v>
      </c>
      <c r="C1163" s="13" t="n">
        <v>1</v>
      </c>
      <c r="D1163" s="13" t="n">
        <v>0</v>
      </c>
      <c r="E1163" s="13" t="n">
        <v>0</v>
      </c>
      <c r="F1163" s="13" t="n">
        <v>1</v>
      </c>
      <c r="G1163" s="13" t="n">
        <v>1</v>
      </c>
      <c r="H1163" s="13" t="n">
        <f aca="false">IF(C1163=1,A1163,"")</f>
        <v>4</v>
      </c>
      <c r="I1163" s="13" t="str">
        <f aca="false">IF(C1163=0,A1163,"")</f>
        <v/>
      </c>
    </row>
    <row r="1164" customFormat="false" ht="15" hidden="false" customHeight="false" outlineLevel="0" collapsed="false">
      <c r="A1164" s="13" t="n">
        <v>4</v>
      </c>
      <c r="B1164" s="13" t="n">
        <v>51</v>
      </c>
      <c r="C1164" s="13" t="n">
        <v>1</v>
      </c>
      <c r="D1164" s="13" t="n">
        <v>1</v>
      </c>
      <c r="E1164" s="13" t="n">
        <v>1</v>
      </c>
      <c r="F1164" s="13" t="n">
        <v>0</v>
      </c>
      <c r="G1164" s="13" t="n">
        <v>1</v>
      </c>
      <c r="H1164" s="13" t="n">
        <f aca="false">IF(C1164=1,A1164,"")</f>
        <v>4</v>
      </c>
      <c r="I1164" s="13" t="str">
        <f aca="false">IF(C1164=0,A1164,"")</f>
        <v/>
      </c>
    </row>
    <row r="1165" customFormat="false" ht="15" hidden="false" customHeight="false" outlineLevel="0" collapsed="false">
      <c r="A1165" s="13" t="n">
        <v>4</v>
      </c>
      <c r="B1165" s="13" t="n">
        <v>61</v>
      </c>
      <c r="C1165" s="13" t="n">
        <v>1</v>
      </c>
      <c r="D1165" s="13" t="n">
        <v>0</v>
      </c>
      <c r="E1165" s="13" t="n">
        <v>1</v>
      </c>
      <c r="F1165" s="13" t="n">
        <v>0</v>
      </c>
      <c r="G1165" s="13" t="n">
        <v>1</v>
      </c>
      <c r="H1165" s="13" t="n">
        <f aca="false">IF(C1165=1,A1165,"")</f>
        <v>4</v>
      </c>
      <c r="I1165" s="13" t="str">
        <f aca="false">IF(C1165=0,A1165,"")</f>
        <v/>
      </c>
    </row>
    <row r="1166" customFormat="false" ht="15" hidden="false" customHeight="false" outlineLevel="0" collapsed="false">
      <c r="A1166" s="13" t="n">
        <v>3</v>
      </c>
      <c r="B1166" s="13" t="n">
        <v>50</v>
      </c>
      <c r="C1166" s="13" t="n">
        <v>1</v>
      </c>
      <c r="D1166" s="13" t="n">
        <v>2</v>
      </c>
      <c r="E1166" s="13" t="n">
        <v>0</v>
      </c>
      <c r="F1166" s="13" t="n">
        <v>1</v>
      </c>
      <c r="G1166" s="13" t="n">
        <v>1</v>
      </c>
      <c r="H1166" s="13" t="n">
        <f aca="false">IF(C1166=1,A1166,"")</f>
        <v>3</v>
      </c>
      <c r="I1166" s="13" t="str">
        <f aca="false">IF(C1166=0,A1166,"")</f>
        <v/>
      </c>
    </row>
    <row r="1167" customFormat="false" ht="15" hidden="false" customHeight="false" outlineLevel="0" collapsed="false">
      <c r="A1167" s="13" t="n">
        <v>5</v>
      </c>
      <c r="B1167" s="13" t="n">
        <v>49</v>
      </c>
      <c r="C1167" s="13" t="n">
        <v>1</v>
      </c>
      <c r="D1167" s="13" t="n">
        <v>0</v>
      </c>
      <c r="E1167" s="13" t="n">
        <v>0</v>
      </c>
      <c r="F1167" s="13" t="n">
        <v>1</v>
      </c>
      <c r="G1167" s="13" t="n">
        <v>1</v>
      </c>
      <c r="H1167" s="13" t="n">
        <f aca="false">IF(C1167=1,A1167,"")</f>
        <v>5</v>
      </c>
      <c r="I1167" s="13" t="str">
        <f aca="false">IF(C1167=0,A1167,"")</f>
        <v/>
      </c>
    </row>
    <row r="1168" customFormat="false" ht="15" hidden="false" customHeight="false" outlineLevel="0" collapsed="false">
      <c r="A1168" s="13" t="n">
        <v>4</v>
      </c>
      <c r="B1168" s="13" t="n">
        <v>60</v>
      </c>
      <c r="C1168" s="13" t="n">
        <v>1</v>
      </c>
      <c r="D1168" s="13" t="n">
        <v>2</v>
      </c>
      <c r="E1168" s="13" t="n">
        <v>1</v>
      </c>
      <c r="F1168" s="13" t="n">
        <v>1</v>
      </c>
      <c r="G1168" s="13" t="n">
        <v>1</v>
      </c>
      <c r="H1168" s="13" t="n">
        <f aca="false">IF(C1168=1,A1168,"")</f>
        <v>4</v>
      </c>
      <c r="I1168" s="13" t="str">
        <f aca="false">IF(C1168=0,A1168,"")</f>
        <v/>
      </c>
    </row>
    <row r="1169" customFormat="false" ht="15" hidden="false" customHeight="false" outlineLevel="0" collapsed="false">
      <c r="A1169" s="13" t="n">
        <v>3</v>
      </c>
      <c r="B1169" s="13" t="n">
        <v>53</v>
      </c>
      <c r="C1169" s="13" t="n">
        <v>1</v>
      </c>
      <c r="D1169" s="13" t="n">
        <v>0</v>
      </c>
      <c r="E1169" s="13" t="n">
        <v>1</v>
      </c>
      <c r="F1169" s="13" t="n">
        <v>0</v>
      </c>
      <c r="G1169" s="13" t="n">
        <v>1</v>
      </c>
      <c r="H1169" s="13" t="n">
        <f aca="false">IF(C1169=1,A1169,"")</f>
        <v>3</v>
      </c>
      <c r="I1169" s="13" t="str">
        <f aca="false">IF(C1169=0,A1169,"")</f>
        <v/>
      </c>
    </row>
    <row r="1170" customFormat="false" ht="15" hidden="false" customHeight="false" outlineLevel="0" collapsed="false">
      <c r="A1170" s="13" t="n">
        <v>3</v>
      </c>
      <c r="B1170" s="13" t="n">
        <v>48</v>
      </c>
      <c r="C1170" s="13" t="n">
        <v>1</v>
      </c>
      <c r="D1170" s="13" t="n">
        <v>2</v>
      </c>
      <c r="E1170" s="13" t="n">
        <v>1</v>
      </c>
      <c r="F1170" s="13" t="n">
        <v>1</v>
      </c>
      <c r="G1170" s="13" t="n">
        <v>1</v>
      </c>
      <c r="H1170" s="13" t="n">
        <f aca="false">IF(C1170=1,A1170,"")</f>
        <v>3</v>
      </c>
      <c r="I1170" s="13" t="str">
        <f aca="false">IF(C1170=0,A1170,"")</f>
        <v/>
      </c>
    </row>
    <row r="1171" customFormat="false" ht="15" hidden="false" customHeight="false" outlineLevel="0" collapsed="false">
      <c r="A1171" s="13" t="n">
        <v>4</v>
      </c>
      <c r="B1171" s="13" t="n">
        <v>29</v>
      </c>
      <c r="C1171" s="13" t="n">
        <v>1</v>
      </c>
      <c r="D1171" s="13" t="n">
        <v>0</v>
      </c>
      <c r="E1171" s="13" t="n">
        <v>1</v>
      </c>
      <c r="F1171" s="13" t="n">
        <v>1</v>
      </c>
      <c r="G1171" s="13" t="n">
        <v>0</v>
      </c>
      <c r="H1171" s="13" t="n">
        <f aca="false">IF(C1171=1,A1171,"")</f>
        <v>4</v>
      </c>
      <c r="I1171" s="13" t="str">
        <f aca="false">IF(C1171=0,A1171,"")</f>
        <v/>
      </c>
    </row>
    <row r="1172" customFormat="false" ht="15" hidden="false" customHeight="false" outlineLevel="0" collapsed="false">
      <c r="A1172" s="13" t="n">
        <v>4</v>
      </c>
      <c r="B1172" s="13" t="n">
        <v>45</v>
      </c>
      <c r="C1172" s="13" t="n">
        <v>1</v>
      </c>
      <c r="D1172" s="13" t="n">
        <v>0</v>
      </c>
      <c r="E1172" s="13" t="n">
        <v>1</v>
      </c>
      <c r="F1172" s="13" t="n">
        <v>1</v>
      </c>
      <c r="G1172" s="13" t="n">
        <v>1</v>
      </c>
      <c r="H1172" s="13" t="n">
        <f aca="false">IF(C1172=1,A1172,"")</f>
        <v>4</v>
      </c>
      <c r="I1172" s="13" t="str">
        <f aca="false">IF(C1172=0,A1172,"")</f>
        <v/>
      </c>
    </row>
    <row r="1173" customFormat="false" ht="15" hidden="false" customHeight="false" outlineLevel="0" collapsed="false">
      <c r="A1173" s="13" t="n">
        <v>3</v>
      </c>
      <c r="B1173" s="13" t="n">
        <v>62</v>
      </c>
      <c r="C1173" s="13" t="n">
        <v>1</v>
      </c>
      <c r="D1173" s="13" t="n">
        <v>0</v>
      </c>
      <c r="E1173" s="13" t="n">
        <v>0</v>
      </c>
      <c r="F1173" s="13" t="n">
        <v>1</v>
      </c>
      <c r="G1173" s="13" t="n">
        <v>0</v>
      </c>
      <c r="H1173" s="13" t="n">
        <f aca="false">IF(C1173=1,A1173,"")</f>
        <v>3</v>
      </c>
      <c r="I1173" s="13" t="str">
        <f aca="false">IF(C1173=0,A1173,"")</f>
        <v/>
      </c>
    </row>
    <row r="1174" customFormat="false" ht="15" hidden="false" customHeight="false" outlineLevel="0" collapsed="false">
      <c r="A1174" s="13" t="n">
        <v>2</v>
      </c>
      <c r="B1174" s="13" t="n">
        <v>55</v>
      </c>
      <c r="C1174" s="13" t="n">
        <v>1</v>
      </c>
      <c r="D1174" s="13" t="n">
        <v>0</v>
      </c>
      <c r="E1174" s="13" t="n">
        <v>1</v>
      </c>
      <c r="F1174" s="13" t="n">
        <v>1</v>
      </c>
      <c r="G1174" s="13" t="n">
        <v>1</v>
      </c>
      <c r="H1174" s="13" t="n">
        <f aca="false">IF(C1174=1,A1174,"")</f>
        <v>2</v>
      </c>
      <c r="I1174" s="13" t="str">
        <f aca="false">IF(C1174=0,A1174,"")</f>
        <v/>
      </c>
    </row>
    <row r="1175" customFormat="false" ht="15" hidden="false" customHeight="false" outlineLevel="0" collapsed="false">
      <c r="A1175" s="13" t="n">
        <v>4</v>
      </c>
      <c r="B1175" s="13" t="n">
        <v>61</v>
      </c>
      <c r="C1175" s="13" t="n">
        <v>1</v>
      </c>
      <c r="D1175" s="13" t="n">
        <v>0</v>
      </c>
      <c r="E1175" s="13" t="n">
        <v>0</v>
      </c>
      <c r="F1175" s="13" t="n">
        <v>1</v>
      </c>
      <c r="G1175" s="13" t="n">
        <v>1</v>
      </c>
      <c r="H1175" s="13" t="n">
        <f aca="false">IF(C1175=1,A1175,"")</f>
        <v>4</v>
      </c>
      <c r="I1175" s="13" t="str">
        <f aca="false">IF(C1175=0,A1175,"")</f>
        <v/>
      </c>
    </row>
    <row r="1176" customFormat="false" ht="15" hidden="false" customHeight="false" outlineLevel="0" collapsed="false">
      <c r="A1176" s="13" t="n">
        <v>3</v>
      </c>
      <c r="B1176" s="13" t="n">
        <v>45</v>
      </c>
      <c r="C1176" s="13" t="n">
        <v>1</v>
      </c>
      <c r="D1176" s="13" t="n">
        <v>2</v>
      </c>
      <c r="E1176" s="13" t="n">
        <v>1</v>
      </c>
      <c r="F1176" s="13" t="n">
        <v>1</v>
      </c>
      <c r="G1176" s="13" t="n">
        <v>1</v>
      </c>
      <c r="H1176" s="13" t="n">
        <f aca="false">IF(C1176=1,A1176,"")</f>
        <v>3</v>
      </c>
      <c r="I1176" s="13" t="str">
        <f aca="false">IF(C1176=0,A1176,"")</f>
        <v/>
      </c>
    </row>
    <row r="1177" customFormat="false" ht="15" hidden="false" customHeight="false" outlineLevel="0" collapsed="false">
      <c r="A1177" s="13" t="n">
        <v>4</v>
      </c>
      <c r="B1177" s="13" t="n">
        <v>29</v>
      </c>
      <c r="C1177" s="13" t="n">
        <v>1</v>
      </c>
      <c r="D1177" s="13" t="n">
        <v>0</v>
      </c>
      <c r="E1177" s="13" t="n">
        <v>1</v>
      </c>
      <c r="F1177" s="13" t="n">
        <v>1</v>
      </c>
      <c r="G1177" s="13" t="n">
        <v>0</v>
      </c>
      <c r="H1177" s="13" t="n">
        <f aca="false">IF(C1177=1,A1177,"")</f>
        <v>4</v>
      </c>
      <c r="I1177" s="13" t="str">
        <f aca="false">IF(C1177=0,A1177,"")</f>
        <v/>
      </c>
    </row>
    <row r="1178" customFormat="false" ht="15" hidden="false" customHeight="false" outlineLevel="0" collapsed="false">
      <c r="A1178" s="13" t="n">
        <v>4</v>
      </c>
      <c r="B1178" s="13" t="n">
        <v>30</v>
      </c>
      <c r="C1178" s="13" t="n">
        <v>1</v>
      </c>
      <c r="D1178" s="13" t="n">
        <v>0</v>
      </c>
      <c r="E1178" s="13" t="n">
        <v>1</v>
      </c>
      <c r="F1178" s="13" t="n">
        <v>0</v>
      </c>
      <c r="G1178" s="13" t="n">
        <v>0</v>
      </c>
      <c r="H1178" s="13" t="n">
        <f aca="false">IF(C1178=1,A1178,"")</f>
        <v>4</v>
      </c>
      <c r="I1178" s="13" t="str">
        <f aca="false">IF(C1178=0,A1178,"")</f>
        <v/>
      </c>
    </row>
    <row r="1179" customFormat="false" ht="15" hidden="false" customHeight="false" outlineLevel="0" collapsed="false">
      <c r="A1179" s="13" t="n">
        <v>4</v>
      </c>
      <c r="B1179" s="13" t="n">
        <v>61</v>
      </c>
      <c r="C1179" s="13" t="n">
        <v>1</v>
      </c>
      <c r="D1179" s="13" t="n">
        <v>0</v>
      </c>
      <c r="E1179" s="13" t="n">
        <v>0</v>
      </c>
      <c r="F1179" s="13" t="n">
        <v>1</v>
      </c>
      <c r="G1179" s="13" t="n">
        <v>1</v>
      </c>
      <c r="H1179" s="13" t="n">
        <f aca="false">IF(C1179=1,A1179,"")</f>
        <v>4</v>
      </c>
      <c r="I1179" s="13" t="str">
        <f aca="false">IF(C1179=0,A1179,"")</f>
        <v/>
      </c>
    </row>
    <row r="1180" customFormat="false" ht="15" hidden="false" customHeight="false" outlineLevel="0" collapsed="false">
      <c r="A1180" s="13" t="n">
        <v>2</v>
      </c>
      <c r="B1180" s="13" t="n">
        <v>28</v>
      </c>
      <c r="C1180" s="13" t="n">
        <v>1</v>
      </c>
      <c r="D1180" s="13" t="n">
        <v>0</v>
      </c>
      <c r="E1180" s="13" t="n">
        <v>1</v>
      </c>
      <c r="F1180" s="13" t="n">
        <v>1</v>
      </c>
      <c r="G1180" s="13" t="n">
        <v>1</v>
      </c>
      <c r="H1180" s="13" t="n">
        <f aca="false">IF(C1180=1,A1180,"")</f>
        <v>2</v>
      </c>
      <c r="I1180" s="13" t="str">
        <f aca="false">IF(C1180=0,A1180,"")</f>
        <v/>
      </c>
    </row>
    <row r="1181" customFormat="false" ht="15" hidden="false" customHeight="false" outlineLevel="0" collapsed="false">
      <c r="A1181" s="13" t="n">
        <v>4</v>
      </c>
      <c r="B1181" s="13" t="n">
        <v>53</v>
      </c>
      <c r="C1181" s="13" t="n">
        <v>1</v>
      </c>
      <c r="D1181" s="13" t="n">
        <v>0</v>
      </c>
      <c r="E1181" s="13" t="n">
        <v>0</v>
      </c>
      <c r="F1181" s="13" t="n">
        <v>0</v>
      </c>
      <c r="G1181" s="13" t="n">
        <v>0</v>
      </c>
      <c r="H1181" s="13" t="n">
        <f aca="false">IF(C1181=1,A1181,"")</f>
        <v>4</v>
      </c>
      <c r="I1181" s="13" t="str">
        <f aca="false">IF(C1181=0,A1181,"")</f>
        <v/>
      </c>
    </row>
    <row r="1182" customFormat="false" ht="15" hidden="false" customHeight="false" outlineLevel="0" collapsed="false">
      <c r="A1182" s="13" t="n">
        <v>3</v>
      </c>
      <c r="B1182" s="13" t="n">
        <v>55</v>
      </c>
      <c r="C1182" s="13" t="n">
        <v>1</v>
      </c>
      <c r="D1182" s="13" t="n">
        <v>0</v>
      </c>
      <c r="E1182" s="13" t="n">
        <v>1</v>
      </c>
      <c r="F1182" s="13" t="n">
        <v>1</v>
      </c>
      <c r="G1182" s="13" t="n">
        <v>1</v>
      </c>
      <c r="H1182" s="13" t="n">
        <f aca="false">IF(C1182=1,A1182,"")</f>
        <v>3</v>
      </c>
      <c r="I1182" s="13" t="str">
        <f aca="false">IF(C1182=0,A1182,"")</f>
        <v/>
      </c>
    </row>
    <row r="1183" customFormat="false" ht="15" hidden="false" customHeight="false" outlineLevel="0" collapsed="false">
      <c r="A1183" s="13" t="n">
        <v>3</v>
      </c>
      <c r="B1183" s="13" t="n">
        <v>32</v>
      </c>
      <c r="C1183" s="13" t="n">
        <v>1</v>
      </c>
      <c r="D1183" s="13" t="n">
        <v>5</v>
      </c>
      <c r="E1183" s="13" t="n">
        <v>1</v>
      </c>
      <c r="F1183" s="13" t="n">
        <v>1</v>
      </c>
      <c r="G1183" s="13" t="n">
        <v>1</v>
      </c>
      <c r="H1183" s="13" t="n">
        <f aca="false">IF(C1183=1,A1183,"")</f>
        <v>3</v>
      </c>
      <c r="I1183" s="13" t="str">
        <f aca="false">IF(C1183=0,A1183,"")</f>
        <v/>
      </c>
    </row>
    <row r="1184" customFormat="false" ht="15" hidden="false" customHeight="false" outlineLevel="0" collapsed="false">
      <c r="A1184" s="13" t="n">
        <v>5</v>
      </c>
      <c r="B1184" s="13" t="n">
        <v>25</v>
      </c>
      <c r="C1184" s="13" t="n">
        <v>1</v>
      </c>
      <c r="D1184" s="13" t="n">
        <v>0</v>
      </c>
      <c r="E1184" s="13" t="n">
        <v>0</v>
      </c>
      <c r="F1184" s="13" t="n">
        <v>0</v>
      </c>
      <c r="G1184" s="13" t="n">
        <v>1</v>
      </c>
      <c r="H1184" s="13" t="n">
        <f aca="false">IF(C1184=1,A1184,"")</f>
        <v>5</v>
      </c>
      <c r="I1184" s="13" t="str">
        <f aca="false">IF(C1184=0,A1184,"")</f>
        <v/>
      </c>
    </row>
    <row r="1185" customFormat="false" ht="15" hidden="false" customHeight="false" outlineLevel="0" collapsed="false">
      <c r="A1185" s="13" t="n">
        <v>4</v>
      </c>
      <c r="B1185" s="13" t="n">
        <v>58</v>
      </c>
      <c r="C1185" s="13" t="n">
        <v>1</v>
      </c>
      <c r="D1185" s="13" t="n">
        <v>0</v>
      </c>
      <c r="E1185" s="13" t="n">
        <v>0</v>
      </c>
      <c r="F1185" s="13" t="n">
        <v>1</v>
      </c>
      <c r="G1185" s="13" t="n">
        <v>1</v>
      </c>
      <c r="H1185" s="13" t="n">
        <f aca="false">IF(C1185=1,A1185,"")</f>
        <v>4</v>
      </c>
      <c r="I1185" s="13" t="str">
        <f aca="false">IF(C1185=0,A1185,"")</f>
        <v/>
      </c>
    </row>
    <row r="1186" customFormat="false" ht="15" hidden="false" customHeight="false" outlineLevel="0" collapsed="false">
      <c r="A1186" s="13" t="n">
        <v>1</v>
      </c>
      <c r="B1186" s="13" t="n">
        <v>51</v>
      </c>
      <c r="C1186" s="13" t="n">
        <v>1</v>
      </c>
      <c r="D1186" s="13" t="n">
        <v>0</v>
      </c>
      <c r="E1186" s="13" t="n">
        <v>1</v>
      </c>
      <c r="F1186" s="13" t="n">
        <v>0</v>
      </c>
      <c r="G1186" s="13" t="n">
        <v>0</v>
      </c>
      <c r="H1186" s="13" t="n">
        <f aca="false">IF(C1186=1,A1186,"")</f>
        <v>1</v>
      </c>
      <c r="I1186" s="13" t="str">
        <f aca="false">IF(C1186=0,A1186,"")</f>
        <v/>
      </c>
    </row>
    <row r="1187" customFormat="false" ht="15" hidden="false" customHeight="false" outlineLevel="0" collapsed="false">
      <c r="A1187" s="13" t="n">
        <v>4</v>
      </c>
      <c r="B1187" s="13" t="n">
        <v>63</v>
      </c>
      <c r="C1187" s="13" t="n">
        <v>1</v>
      </c>
      <c r="D1187" s="13" t="n">
        <v>0</v>
      </c>
      <c r="E1187" s="13" t="n">
        <v>0</v>
      </c>
      <c r="F1187" s="13" t="n">
        <v>0</v>
      </c>
      <c r="G1187" s="13" t="n">
        <v>0</v>
      </c>
      <c r="H1187" s="13" t="n">
        <f aca="false">IF(C1187=1,A1187,"")</f>
        <v>4</v>
      </c>
      <c r="I1187" s="13" t="str">
        <f aca="false">IF(C1187=0,A1187,"")</f>
        <v/>
      </c>
    </row>
    <row r="1188" customFormat="false" ht="15" hidden="false" customHeight="false" outlineLevel="0" collapsed="false">
      <c r="A1188" s="13" t="n">
        <v>4</v>
      </c>
      <c r="B1188" s="13" t="n">
        <v>57</v>
      </c>
      <c r="C1188" s="13" t="n">
        <v>1</v>
      </c>
      <c r="D1188" s="13" t="n">
        <v>0</v>
      </c>
      <c r="E1188" s="13" t="n">
        <v>1</v>
      </c>
      <c r="F1188" s="13" t="n">
        <v>1</v>
      </c>
      <c r="G1188" s="13" t="n">
        <v>0</v>
      </c>
      <c r="H1188" s="13" t="n">
        <f aca="false">IF(C1188=1,A1188,"")</f>
        <v>4</v>
      </c>
      <c r="I1188" s="13" t="str">
        <f aca="false">IF(C1188=0,A1188,"")</f>
        <v/>
      </c>
    </row>
    <row r="1189" customFormat="false" ht="15" hidden="false" customHeight="false" outlineLevel="0" collapsed="false">
      <c r="A1189" s="13" t="n">
        <v>5</v>
      </c>
      <c r="B1189" s="13" t="n">
        <v>50</v>
      </c>
      <c r="C1189" s="13" t="n">
        <v>1</v>
      </c>
      <c r="D1189" s="13" t="n">
        <v>1</v>
      </c>
      <c r="E1189" s="13" t="n">
        <v>1</v>
      </c>
      <c r="F1189" s="13" t="n">
        <v>1</v>
      </c>
      <c r="G1189" s="13" t="n">
        <v>1</v>
      </c>
      <c r="H1189" s="13" t="n">
        <f aca="false">IF(C1189=1,A1189,"")</f>
        <v>5</v>
      </c>
      <c r="I1189" s="13" t="str">
        <f aca="false">IF(C1189=0,A1189,"")</f>
        <v/>
      </c>
    </row>
    <row r="1190" customFormat="false" ht="15" hidden="false" customHeight="false" outlineLevel="0" collapsed="false">
      <c r="A1190" s="13" t="n">
        <v>4</v>
      </c>
      <c r="B1190" s="13" t="n">
        <v>25</v>
      </c>
      <c r="C1190" s="13" t="n">
        <v>1</v>
      </c>
      <c r="D1190" s="13" t="n">
        <v>0</v>
      </c>
      <c r="E1190" s="13" t="n">
        <v>0</v>
      </c>
      <c r="F1190" s="13" t="n">
        <v>1</v>
      </c>
      <c r="G1190" s="13" t="n">
        <v>0</v>
      </c>
      <c r="H1190" s="13" t="n">
        <f aca="false">IF(C1190=1,A1190,"")</f>
        <v>4</v>
      </c>
      <c r="I1190" s="13" t="str">
        <f aca="false">IF(C1190=0,A1190,"")</f>
        <v/>
      </c>
    </row>
    <row r="1191" customFormat="false" ht="15" hidden="false" customHeight="false" outlineLevel="0" collapsed="false">
      <c r="A1191" s="13" t="n">
        <v>4</v>
      </c>
      <c r="B1191" s="13" t="n">
        <v>63</v>
      </c>
      <c r="C1191" s="13" t="n">
        <v>1</v>
      </c>
      <c r="D1191" s="13" t="n">
        <v>0</v>
      </c>
      <c r="E1191" s="13" t="n">
        <v>0</v>
      </c>
      <c r="F1191" s="13" t="n">
        <v>0</v>
      </c>
      <c r="G1191" s="13" t="n">
        <v>1</v>
      </c>
      <c r="H1191" s="13" t="n">
        <f aca="false">IF(C1191=1,A1191,"")</f>
        <v>4</v>
      </c>
      <c r="I1191" s="13" t="str">
        <f aca="false">IF(C1191=0,A1191,"")</f>
        <v/>
      </c>
    </row>
    <row r="1192" customFormat="false" ht="15" hidden="false" customHeight="false" outlineLevel="0" collapsed="false">
      <c r="A1192" s="13" t="n">
        <v>3</v>
      </c>
      <c r="B1192" s="13" t="n">
        <v>52</v>
      </c>
      <c r="C1192" s="13" t="n">
        <v>1</v>
      </c>
      <c r="D1192" s="13" t="n">
        <v>0</v>
      </c>
      <c r="E1192" s="13" t="n">
        <v>1</v>
      </c>
      <c r="F1192" s="13" t="n">
        <v>1</v>
      </c>
      <c r="G1192" s="13" t="n">
        <v>1</v>
      </c>
      <c r="H1192" s="13" t="n">
        <f aca="false">IF(C1192=1,A1192,"")</f>
        <v>3</v>
      </c>
      <c r="I1192" s="13" t="str">
        <f aca="false">IF(C1192=0,A1192,"")</f>
        <v/>
      </c>
    </row>
    <row r="1193" customFormat="false" ht="15" hidden="false" customHeight="false" outlineLevel="0" collapsed="false">
      <c r="A1193" s="13" t="n">
        <v>3</v>
      </c>
      <c r="B1193" s="13" t="n">
        <v>30</v>
      </c>
      <c r="C1193" s="13" t="n">
        <v>1</v>
      </c>
      <c r="D1193" s="13" t="n">
        <v>1</v>
      </c>
      <c r="E1193" s="13" t="n">
        <v>1</v>
      </c>
      <c r="F1193" s="13" t="n">
        <v>1</v>
      </c>
      <c r="G1193" s="13" t="n">
        <v>1</v>
      </c>
      <c r="H1193" s="13" t="n">
        <f aca="false">IF(C1193=1,A1193,"")</f>
        <v>3</v>
      </c>
      <c r="I1193" s="13" t="str">
        <f aca="false">IF(C1193=0,A1193,"")</f>
        <v/>
      </c>
    </row>
    <row r="1194" customFormat="false" ht="15" hidden="false" customHeight="false" outlineLevel="0" collapsed="false">
      <c r="A1194" s="13" t="n">
        <v>2</v>
      </c>
      <c r="B1194" s="13" t="n">
        <v>49</v>
      </c>
      <c r="C1194" s="13" t="n">
        <v>1</v>
      </c>
      <c r="D1194" s="13" t="n">
        <v>0</v>
      </c>
      <c r="E1194" s="13" t="n">
        <v>0</v>
      </c>
      <c r="F1194" s="13" t="n">
        <v>1</v>
      </c>
      <c r="G1194" s="13" t="n">
        <v>0</v>
      </c>
      <c r="H1194" s="13" t="n">
        <f aca="false">IF(C1194=1,A1194,"")</f>
        <v>2</v>
      </c>
      <c r="I1194" s="13" t="str">
        <f aca="false">IF(C1194=0,A1194,"")</f>
        <v/>
      </c>
    </row>
    <row r="1195" customFormat="false" ht="15" hidden="false" customHeight="false" outlineLevel="0" collapsed="false">
      <c r="A1195" s="13" t="n">
        <v>4</v>
      </c>
      <c r="B1195" s="13" t="n">
        <v>54</v>
      </c>
      <c r="C1195" s="13" t="n">
        <v>1</v>
      </c>
      <c r="D1195" s="13" t="n">
        <v>0</v>
      </c>
      <c r="E1195" s="13" t="n">
        <v>0</v>
      </c>
      <c r="F1195" s="13" t="n">
        <v>1</v>
      </c>
      <c r="G1195" s="13" t="n">
        <v>0</v>
      </c>
      <c r="H1195" s="13" t="n">
        <f aca="false">IF(C1195=1,A1195,"")</f>
        <v>4</v>
      </c>
      <c r="I1195" s="13" t="str">
        <f aca="false">IF(C1195=0,A1195,"")</f>
        <v/>
      </c>
    </row>
    <row r="1196" customFormat="false" ht="15" hidden="false" customHeight="false" outlineLevel="0" collapsed="false">
      <c r="A1196" s="13" t="n">
        <v>2</v>
      </c>
      <c r="B1196" s="13" t="n">
        <v>53</v>
      </c>
      <c r="C1196" s="13" t="n">
        <v>1</v>
      </c>
      <c r="D1196" s="13" t="n">
        <v>0</v>
      </c>
      <c r="E1196" s="13" t="n">
        <v>0</v>
      </c>
      <c r="F1196" s="13" t="n">
        <v>1</v>
      </c>
      <c r="G1196" s="13" t="n">
        <v>1</v>
      </c>
      <c r="H1196" s="13" t="n">
        <f aca="false">IF(C1196=1,A1196,"")</f>
        <v>2</v>
      </c>
      <c r="I1196" s="13" t="str">
        <f aca="false">IF(C1196=0,A1196,"")</f>
        <v/>
      </c>
    </row>
    <row r="1197" customFormat="false" ht="15" hidden="false" customHeight="false" outlineLevel="0" collapsed="false">
      <c r="A1197" s="13" t="n">
        <v>4</v>
      </c>
      <c r="B1197" s="13" t="n">
        <v>49</v>
      </c>
      <c r="C1197" s="13" t="n">
        <v>1</v>
      </c>
      <c r="D1197" s="13" t="n">
        <v>0</v>
      </c>
      <c r="E1197" s="13" t="n">
        <v>1</v>
      </c>
      <c r="F1197" s="13" t="n">
        <v>1</v>
      </c>
      <c r="G1197" s="13" t="n">
        <v>0</v>
      </c>
      <c r="H1197" s="13" t="n">
        <f aca="false">IF(C1197=1,A1197,"")</f>
        <v>4</v>
      </c>
      <c r="I1197" s="13" t="str">
        <f aca="false">IF(C1197=0,A1197,"")</f>
        <v/>
      </c>
    </row>
    <row r="1198" customFormat="false" ht="15" hidden="false" customHeight="false" outlineLevel="0" collapsed="false">
      <c r="A1198" s="13" t="n">
        <v>5</v>
      </c>
      <c r="B1198" s="13" t="n">
        <v>52</v>
      </c>
      <c r="C1198" s="13" t="n">
        <v>1</v>
      </c>
      <c r="D1198" s="13" t="n">
        <v>0</v>
      </c>
      <c r="E1198" s="13" t="n">
        <v>1</v>
      </c>
      <c r="F1198" s="13" t="n">
        <v>0</v>
      </c>
      <c r="G1198" s="13" t="n">
        <v>0</v>
      </c>
      <c r="H1198" s="13" t="n">
        <f aca="false">IF(C1198=1,A1198,"")</f>
        <v>5</v>
      </c>
      <c r="I1198" s="13" t="str">
        <f aca="false">IF(C1198=0,A1198,"")</f>
        <v/>
      </c>
    </row>
    <row r="1199" customFormat="false" ht="15" hidden="false" customHeight="false" outlineLevel="0" collapsed="false">
      <c r="A1199" s="13" t="n">
        <v>4</v>
      </c>
      <c r="B1199" s="13" t="n">
        <v>57</v>
      </c>
      <c r="C1199" s="13" t="n">
        <v>1</v>
      </c>
      <c r="D1199" s="13" t="n">
        <v>0</v>
      </c>
      <c r="E1199" s="13" t="n">
        <v>1</v>
      </c>
      <c r="F1199" s="13" t="n">
        <v>1</v>
      </c>
      <c r="G1199" s="13" t="n">
        <v>0</v>
      </c>
      <c r="H1199" s="13" t="n">
        <f aca="false">IF(C1199=1,A1199,"")</f>
        <v>4</v>
      </c>
      <c r="I1199" s="13" t="str">
        <f aca="false">IF(C1199=0,A1199,"")</f>
        <v/>
      </c>
    </row>
    <row r="1200" customFormat="false" ht="15" hidden="false" customHeight="false" outlineLevel="0" collapsed="false">
      <c r="A1200" s="13" t="n">
        <v>2</v>
      </c>
      <c r="B1200" s="13" t="n">
        <v>54</v>
      </c>
      <c r="C1200" s="13" t="n">
        <v>1</v>
      </c>
      <c r="D1200" s="13" t="n">
        <v>0</v>
      </c>
      <c r="E1200" s="13" t="n">
        <v>0</v>
      </c>
      <c r="F1200" s="13" t="n">
        <v>1</v>
      </c>
      <c r="G1200" s="13" t="n">
        <v>1</v>
      </c>
      <c r="H1200" s="13" t="n">
        <f aca="false">IF(C1200=1,A1200,"")</f>
        <v>2</v>
      </c>
      <c r="I1200" s="13" t="str">
        <f aca="false">IF(C1200=0,A1200,"")</f>
        <v/>
      </c>
    </row>
    <row r="1201" customFormat="false" ht="15" hidden="false" customHeight="false" outlineLevel="0" collapsed="false">
      <c r="A1201" s="13" t="n">
        <v>4</v>
      </c>
      <c r="B1201" s="13" t="n">
        <v>58</v>
      </c>
      <c r="C1201" s="13" t="n">
        <v>1</v>
      </c>
      <c r="D1201" s="13" t="n">
        <v>0</v>
      </c>
      <c r="E1201" s="13" t="n">
        <v>1</v>
      </c>
      <c r="F1201" s="13" t="n">
        <v>1</v>
      </c>
      <c r="G1201" s="13" t="n">
        <v>1</v>
      </c>
      <c r="H1201" s="13" t="n">
        <f aca="false">IF(C1201=1,A1201,"")</f>
        <v>4</v>
      </c>
      <c r="I1201" s="13" t="str">
        <f aca="false">IF(C1201=0,A1201,"")</f>
        <v/>
      </c>
    </row>
    <row r="1202" customFormat="false" ht="15" hidden="false" customHeight="false" outlineLevel="0" collapsed="false">
      <c r="A1202" s="13" t="n">
        <v>3</v>
      </c>
      <c r="B1202" s="13" t="n">
        <v>53</v>
      </c>
      <c r="C1202" s="13" t="n">
        <v>1</v>
      </c>
      <c r="D1202" s="13" t="n">
        <v>1</v>
      </c>
      <c r="E1202" s="13" t="n">
        <v>1</v>
      </c>
      <c r="F1202" s="13" t="n">
        <v>0</v>
      </c>
      <c r="G1202" s="13" t="n">
        <v>1</v>
      </c>
      <c r="H1202" s="13" t="n">
        <f aca="false">IF(C1202=1,A1202,"")</f>
        <v>3</v>
      </c>
      <c r="I1202" s="13" t="str">
        <f aca="false">IF(C1202=0,A1202,"")</f>
        <v/>
      </c>
    </row>
    <row r="1203" customFormat="false" ht="15" hidden="false" customHeight="false" outlineLevel="0" collapsed="false">
      <c r="A1203" s="13" t="n">
        <v>4</v>
      </c>
      <c r="B1203" s="13" t="n">
        <v>46</v>
      </c>
      <c r="C1203" s="13" t="n">
        <v>1</v>
      </c>
      <c r="D1203" s="13" t="n">
        <v>0</v>
      </c>
      <c r="E1203" s="13" t="n">
        <v>1</v>
      </c>
      <c r="F1203" s="13" t="n">
        <v>0</v>
      </c>
      <c r="G1203" s="13" t="n">
        <v>1</v>
      </c>
      <c r="H1203" s="13" t="n">
        <f aca="false">IF(C1203=1,A1203,"")</f>
        <v>4</v>
      </c>
      <c r="I1203" s="13" t="str">
        <f aca="false">IF(C1203=0,A1203,"")</f>
        <v/>
      </c>
    </row>
    <row r="1204" customFormat="false" ht="15" hidden="false" customHeight="false" outlineLevel="0" collapsed="false">
      <c r="A1204" s="13" t="n">
        <v>4</v>
      </c>
      <c r="B1204" s="13" t="n">
        <v>64</v>
      </c>
      <c r="C1204" s="13" t="n">
        <v>1</v>
      </c>
      <c r="D1204" s="13" t="n">
        <v>0</v>
      </c>
      <c r="E1204" s="13" t="n">
        <v>0</v>
      </c>
      <c r="F1204" s="13" t="n">
        <v>1</v>
      </c>
      <c r="G1204" s="13" t="n">
        <v>1</v>
      </c>
      <c r="H1204" s="13" t="n">
        <f aca="false">IF(C1204=1,A1204,"")</f>
        <v>4</v>
      </c>
      <c r="I1204" s="13" t="str">
        <f aca="false">IF(C1204=0,A1204,"")</f>
        <v/>
      </c>
    </row>
    <row r="1205" customFormat="false" ht="15" hidden="false" customHeight="false" outlineLevel="0" collapsed="false">
      <c r="A1205" s="13" t="n">
        <v>1</v>
      </c>
      <c r="B1205" s="13" t="n">
        <v>62</v>
      </c>
      <c r="C1205" s="13" t="n">
        <v>1</v>
      </c>
      <c r="D1205" s="13" t="n">
        <v>0</v>
      </c>
      <c r="E1205" s="13" t="n">
        <v>1</v>
      </c>
      <c r="F1205" s="13" t="n">
        <v>1</v>
      </c>
      <c r="G1205" s="13" t="n">
        <v>0</v>
      </c>
      <c r="H1205" s="13" t="n">
        <f aca="false">IF(C1205=1,A1205,"")</f>
        <v>1</v>
      </c>
      <c r="I1205" s="13" t="str">
        <f aca="false">IF(C1205=0,A1205,"")</f>
        <v/>
      </c>
    </row>
    <row r="1206" customFormat="false" ht="15" hidden="false" customHeight="false" outlineLevel="0" collapsed="false">
      <c r="A1206" s="13" t="n">
        <v>3</v>
      </c>
      <c r="B1206" s="13" t="n">
        <v>64</v>
      </c>
      <c r="C1206" s="13" t="n">
        <v>1</v>
      </c>
      <c r="D1206" s="13" t="n">
        <v>0</v>
      </c>
      <c r="E1206" s="13" t="n">
        <v>1</v>
      </c>
      <c r="F1206" s="13" t="n">
        <v>0</v>
      </c>
      <c r="G1206" s="13" t="n">
        <v>0</v>
      </c>
      <c r="H1206" s="13" t="n">
        <f aca="false">IF(C1206=1,A1206,"")</f>
        <v>3</v>
      </c>
      <c r="I1206" s="13" t="str">
        <f aca="false">IF(C1206=0,A1206,"")</f>
        <v/>
      </c>
    </row>
    <row r="1207" customFormat="false" ht="15" hidden="false" customHeight="false" outlineLevel="0" collapsed="false">
      <c r="A1207" s="13" t="n">
        <v>5</v>
      </c>
      <c r="B1207" s="13" t="n">
        <v>63</v>
      </c>
      <c r="C1207" s="13" t="n">
        <v>1</v>
      </c>
      <c r="D1207" s="13" t="n">
        <v>0</v>
      </c>
      <c r="E1207" s="13" t="n">
        <v>1</v>
      </c>
      <c r="F1207" s="13" t="n">
        <v>0</v>
      </c>
      <c r="G1207" s="13" t="n">
        <v>1</v>
      </c>
      <c r="H1207" s="13" t="n">
        <f aca="false">IF(C1207=1,A1207,"")</f>
        <v>5</v>
      </c>
      <c r="I1207" s="13" t="str">
        <f aca="false">IF(C1207=0,A1207,"")</f>
        <v/>
      </c>
    </row>
    <row r="1208" customFormat="false" ht="15" hidden="false" customHeight="false" outlineLevel="0" collapsed="false">
      <c r="A1208" s="13" t="n">
        <v>5</v>
      </c>
      <c r="B1208" s="13" t="n">
        <v>60</v>
      </c>
      <c r="C1208" s="13" t="n">
        <v>1</v>
      </c>
      <c r="D1208" s="13" t="n">
        <v>0</v>
      </c>
      <c r="E1208" s="13" t="n">
        <v>1</v>
      </c>
      <c r="F1208" s="13" t="n">
        <v>1</v>
      </c>
      <c r="G1208" s="13" t="n">
        <v>1</v>
      </c>
      <c r="H1208" s="13" t="n">
        <f aca="false">IF(C1208=1,A1208,"")</f>
        <v>5</v>
      </c>
      <c r="I1208" s="13" t="str">
        <f aca="false">IF(C1208=0,A1208,"")</f>
        <v/>
      </c>
    </row>
    <row r="1209" customFormat="false" ht="15" hidden="false" customHeight="false" outlineLevel="0" collapsed="false">
      <c r="A1209" s="13" t="n">
        <v>1</v>
      </c>
      <c r="B1209" s="13" t="n">
        <v>55</v>
      </c>
      <c r="C1209" s="13" t="n">
        <v>1</v>
      </c>
      <c r="D1209" s="13" t="n">
        <v>0</v>
      </c>
      <c r="E1209" s="13" t="n">
        <v>0</v>
      </c>
      <c r="F1209" s="13" t="n">
        <v>1</v>
      </c>
      <c r="G1209" s="13" t="n">
        <v>1</v>
      </c>
      <c r="H1209" s="13" t="n">
        <f aca="false">IF(C1209=1,A1209,"")</f>
        <v>1</v>
      </c>
      <c r="I1209" s="13" t="str">
        <f aca="false">IF(C1209=0,A1209,"")</f>
        <v/>
      </c>
    </row>
    <row r="1210" customFormat="false" ht="15" hidden="false" customHeight="false" outlineLevel="0" collapsed="false">
      <c r="A1210" s="13" t="n">
        <v>3</v>
      </c>
      <c r="B1210" s="13" t="n">
        <v>62</v>
      </c>
      <c r="C1210" s="13" t="n">
        <v>1</v>
      </c>
      <c r="D1210" s="13" t="n">
        <v>0</v>
      </c>
      <c r="E1210" s="13" t="n">
        <v>0</v>
      </c>
      <c r="F1210" s="13" t="n">
        <v>0</v>
      </c>
      <c r="G1210" s="13" t="n">
        <v>1</v>
      </c>
      <c r="H1210" s="13" t="n">
        <f aca="false">IF(C1210=1,A1210,"")</f>
        <v>3</v>
      </c>
      <c r="I1210" s="13" t="str">
        <f aca="false">IF(C1210=0,A1210,"")</f>
        <v/>
      </c>
    </row>
    <row r="1211" customFormat="false" ht="15" hidden="false" customHeight="false" outlineLevel="0" collapsed="false">
      <c r="A1211" s="13" t="n">
        <v>4</v>
      </c>
      <c r="B1211" s="13" t="n">
        <v>58</v>
      </c>
      <c r="C1211" s="13" t="n">
        <v>1</v>
      </c>
      <c r="D1211" s="13" t="n">
        <v>0</v>
      </c>
      <c r="E1211" s="13" t="n">
        <v>1</v>
      </c>
      <c r="F1211" s="13" t="n">
        <v>1</v>
      </c>
      <c r="G1211" s="13" t="n">
        <v>1</v>
      </c>
      <c r="H1211" s="13" t="n">
        <f aca="false">IF(C1211=1,A1211,"")</f>
        <v>4</v>
      </c>
      <c r="I1211" s="13" t="str">
        <f aca="false">IF(C1211=0,A1211,"")</f>
        <v/>
      </c>
    </row>
    <row r="1212" customFormat="false" ht="15" hidden="false" customHeight="false" outlineLevel="0" collapsed="false">
      <c r="A1212" s="13" t="n">
        <v>4</v>
      </c>
      <c r="B1212" s="13" t="n">
        <v>51</v>
      </c>
      <c r="C1212" s="13" t="n">
        <v>1</v>
      </c>
      <c r="D1212" s="13" t="n">
        <v>0</v>
      </c>
      <c r="E1212" s="13" t="n">
        <v>1</v>
      </c>
      <c r="F1212" s="13" t="n">
        <v>1</v>
      </c>
      <c r="G1212" s="13" t="n">
        <v>1</v>
      </c>
      <c r="H1212" s="13" t="n">
        <f aca="false">IF(C1212=1,A1212,"")</f>
        <v>4</v>
      </c>
      <c r="I1212" s="13" t="str">
        <f aca="false">IF(C1212=0,A1212,"")</f>
        <v/>
      </c>
    </row>
    <row r="1213" customFormat="false" ht="15" hidden="false" customHeight="false" outlineLevel="0" collapsed="false">
      <c r="A1213" s="13" t="n">
        <v>5</v>
      </c>
      <c r="B1213" s="13" t="n">
        <v>49</v>
      </c>
      <c r="C1213" s="13" t="n">
        <v>1</v>
      </c>
      <c r="D1213" s="13" t="n">
        <v>1</v>
      </c>
      <c r="E1213" s="13" t="n">
        <v>1</v>
      </c>
      <c r="F1213" s="13" t="n">
        <v>0</v>
      </c>
      <c r="G1213" s="13" t="n">
        <v>1</v>
      </c>
      <c r="H1213" s="13" t="n">
        <f aca="false">IF(C1213=1,A1213,"")</f>
        <v>5</v>
      </c>
      <c r="I1213" s="13" t="str">
        <f aca="false">IF(C1213=0,A1213,"")</f>
        <v/>
      </c>
    </row>
    <row r="1214" customFormat="false" ht="15" hidden="false" customHeight="false" outlineLevel="0" collapsed="false">
      <c r="A1214" s="13" t="n">
        <v>4</v>
      </c>
      <c r="B1214" s="13" t="n">
        <v>60</v>
      </c>
      <c r="C1214" s="13" t="n">
        <v>1</v>
      </c>
      <c r="D1214" s="13" t="n">
        <v>0</v>
      </c>
      <c r="E1214" s="13" t="n">
        <v>0</v>
      </c>
      <c r="F1214" s="13" t="n">
        <v>0</v>
      </c>
      <c r="G1214" s="13" t="n">
        <v>1</v>
      </c>
      <c r="H1214" s="13" t="n">
        <f aca="false">IF(C1214=1,A1214,"")</f>
        <v>4</v>
      </c>
      <c r="I1214" s="13" t="str">
        <f aca="false">IF(C1214=0,A1214,"")</f>
        <v/>
      </c>
    </row>
    <row r="1215" customFormat="false" ht="15" hidden="false" customHeight="false" outlineLevel="0" collapsed="false">
      <c r="A1215" s="13" t="n">
        <v>2</v>
      </c>
      <c r="B1215" s="13" t="n">
        <v>60</v>
      </c>
      <c r="C1215" s="13" t="n">
        <v>1</v>
      </c>
      <c r="D1215" s="13" t="n">
        <v>0</v>
      </c>
      <c r="E1215" s="13" t="n">
        <v>1</v>
      </c>
      <c r="F1215" s="13" t="n">
        <v>1</v>
      </c>
      <c r="G1215" s="13" t="n">
        <v>0</v>
      </c>
      <c r="H1215" s="13" t="n">
        <f aca="false">IF(C1215=1,A1215,"")</f>
        <v>2</v>
      </c>
      <c r="I1215" s="13" t="str">
        <f aca="false">IF(C1215=0,A1215,"")</f>
        <v/>
      </c>
    </row>
    <row r="1216" customFormat="false" ht="15" hidden="false" customHeight="false" outlineLevel="0" collapsed="false">
      <c r="A1216" s="13" t="n">
        <v>3</v>
      </c>
      <c r="B1216" s="13" t="n">
        <v>53</v>
      </c>
      <c r="C1216" s="13" t="n">
        <v>1</v>
      </c>
      <c r="D1216" s="13" t="n">
        <v>0</v>
      </c>
      <c r="E1216" s="13" t="n">
        <v>1</v>
      </c>
      <c r="F1216" s="13" t="n">
        <v>1</v>
      </c>
      <c r="G1216" s="13" t="n">
        <v>0</v>
      </c>
      <c r="H1216" s="13" t="n">
        <f aca="false">IF(C1216=1,A1216,"")</f>
        <v>3</v>
      </c>
      <c r="I1216" s="13" t="str">
        <f aca="false">IF(C1216=0,A1216,"")</f>
        <v/>
      </c>
    </row>
    <row r="1217" customFormat="false" ht="15" hidden="false" customHeight="false" outlineLevel="0" collapsed="false">
      <c r="A1217" s="13" t="n">
        <v>4</v>
      </c>
      <c r="B1217" s="13" t="n">
        <v>46</v>
      </c>
      <c r="C1217" s="13" t="n">
        <v>1</v>
      </c>
      <c r="D1217" s="13" t="n">
        <v>3</v>
      </c>
      <c r="E1217" s="13" t="n">
        <v>1</v>
      </c>
      <c r="F1217" s="13" t="n">
        <v>0</v>
      </c>
      <c r="G1217" s="13" t="n">
        <v>1</v>
      </c>
      <c r="H1217" s="13" t="n">
        <f aca="false">IF(C1217=1,A1217,"")</f>
        <v>4</v>
      </c>
      <c r="I1217" s="13" t="str">
        <f aca="false">IF(C1217=0,A1217,"")</f>
        <v/>
      </c>
    </row>
    <row r="1218" customFormat="false" ht="15" hidden="false" customHeight="false" outlineLevel="0" collapsed="false">
      <c r="A1218" s="13" t="n">
        <v>4</v>
      </c>
      <c r="B1218" s="13" t="n">
        <v>58</v>
      </c>
      <c r="C1218" s="13" t="n">
        <v>1</v>
      </c>
      <c r="D1218" s="13" t="n">
        <v>0</v>
      </c>
      <c r="E1218" s="13" t="n">
        <v>0</v>
      </c>
      <c r="F1218" s="13" t="n">
        <v>0</v>
      </c>
      <c r="G1218" s="13" t="n">
        <v>1</v>
      </c>
      <c r="H1218" s="13" t="n">
        <f aca="false">IF(C1218=1,A1218,"")</f>
        <v>4</v>
      </c>
      <c r="I1218" s="13" t="str">
        <f aca="false">IF(C1218=0,A1218,"")</f>
        <v/>
      </c>
    </row>
    <row r="1219" customFormat="false" ht="15" hidden="false" customHeight="false" outlineLevel="0" collapsed="false">
      <c r="A1219" s="13" t="n">
        <v>4</v>
      </c>
      <c r="B1219" s="13" t="n">
        <v>45</v>
      </c>
      <c r="C1219" s="13" t="n">
        <v>1</v>
      </c>
      <c r="D1219" s="13" t="n">
        <v>0</v>
      </c>
      <c r="E1219" s="13" t="n">
        <v>1</v>
      </c>
      <c r="F1219" s="13" t="n">
        <v>0</v>
      </c>
      <c r="G1219" s="13" t="n">
        <v>1</v>
      </c>
      <c r="H1219" s="13" t="n">
        <f aca="false">IF(C1219=1,A1219,"")</f>
        <v>4</v>
      </c>
      <c r="I1219" s="13" t="str">
        <f aca="false">IF(C1219=0,A1219,"")</f>
        <v/>
      </c>
    </row>
    <row r="1220" customFormat="false" ht="15" hidden="false" customHeight="false" outlineLevel="0" collapsed="false">
      <c r="A1220" s="13" t="n">
        <v>3</v>
      </c>
      <c r="B1220" s="13" t="n">
        <v>58</v>
      </c>
      <c r="C1220" s="13" t="n">
        <v>1</v>
      </c>
      <c r="D1220" s="13" t="n">
        <v>0</v>
      </c>
      <c r="E1220" s="13" t="n">
        <v>1</v>
      </c>
      <c r="F1220" s="13" t="n">
        <v>1</v>
      </c>
      <c r="G1220" s="13" t="n">
        <v>1</v>
      </c>
      <c r="H1220" s="13" t="n">
        <f aca="false">IF(C1220=1,A1220,"")</f>
        <v>3</v>
      </c>
      <c r="I1220" s="13" t="str">
        <f aca="false">IF(C1220=0,A1220,"")</f>
        <v/>
      </c>
    </row>
    <row r="1221" customFormat="false" ht="15" hidden="false" customHeight="false" outlineLevel="0" collapsed="false">
      <c r="A1221" s="13" t="n">
        <v>5</v>
      </c>
      <c r="B1221" s="13" t="n">
        <v>52</v>
      </c>
      <c r="C1221" s="13" t="n">
        <v>1</v>
      </c>
      <c r="D1221" s="13" t="n">
        <v>2</v>
      </c>
      <c r="E1221" s="13" t="n">
        <v>1</v>
      </c>
      <c r="F1221" s="13" t="n">
        <v>0</v>
      </c>
      <c r="G1221" s="13" t="n">
        <v>1</v>
      </c>
      <c r="H1221" s="13" t="n">
        <f aca="false">IF(C1221=1,A1221,"")</f>
        <v>5</v>
      </c>
      <c r="I1221" s="13" t="str">
        <f aca="false">IF(C1221=0,A1221,"")</f>
        <v/>
      </c>
    </row>
    <row r="1222" customFormat="false" ht="15" hidden="false" customHeight="false" outlineLevel="0" collapsed="false">
      <c r="A1222" s="13" t="n">
        <v>4</v>
      </c>
      <c r="B1222" s="13" t="n">
        <v>59</v>
      </c>
      <c r="C1222" s="13" t="n">
        <v>1</v>
      </c>
      <c r="D1222" s="13" t="n">
        <v>0</v>
      </c>
      <c r="E1222" s="13" t="n">
        <v>1</v>
      </c>
      <c r="F1222" s="13" t="n">
        <v>0</v>
      </c>
      <c r="G1222" s="13" t="n">
        <v>1</v>
      </c>
      <c r="H1222" s="13" t="n">
        <f aca="false">IF(C1222=1,A1222,"")</f>
        <v>4</v>
      </c>
      <c r="I1222" s="13" t="str">
        <f aca="false">IF(C1222=0,A1222,"")</f>
        <v/>
      </c>
    </row>
    <row r="1223" customFormat="false" ht="15" hidden="false" customHeight="false" outlineLevel="0" collapsed="false">
      <c r="A1223" s="13" t="n">
        <v>4</v>
      </c>
      <c r="B1223" s="13" t="n">
        <v>54</v>
      </c>
      <c r="C1223" s="13" t="n">
        <v>1</v>
      </c>
      <c r="D1223" s="13" t="n">
        <v>0</v>
      </c>
      <c r="E1223" s="13" t="n">
        <v>0</v>
      </c>
      <c r="F1223" s="13" t="n">
        <v>1</v>
      </c>
      <c r="G1223" s="13" t="n">
        <v>0</v>
      </c>
      <c r="H1223" s="13" t="n">
        <f aca="false">IF(C1223=1,A1223,"")</f>
        <v>4</v>
      </c>
      <c r="I1223" s="13" t="str">
        <f aca="false">IF(C1223=0,A1223,"")</f>
        <v/>
      </c>
    </row>
    <row r="1224" customFormat="false" ht="15" hidden="false" customHeight="false" outlineLevel="0" collapsed="false">
      <c r="A1224" s="13" t="n">
        <v>2</v>
      </c>
      <c r="B1224" s="13" t="n">
        <v>52</v>
      </c>
      <c r="C1224" s="13" t="n">
        <v>1</v>
      </c>
      <c r="D1224" s="13" t="n">
        <v>0</v>
      </c>
      <c r="E1224" s="13" t="n">
        <v>1</v>
      </c>
      <c r="F1224" s="13" t="n">
        <v>1</v>
      </c>
      <c r="G1224" s="13" t="n">
        <v>0</v>
      </c>
      <c r="H1224" s="13" t="n">
        <f aca="false">IF(C1224=1,A1224,"")</f>
        <v>2</v>
      </c>
      <c r="I1224" s="13" t="str">
        <f aca="false">IF(C1224=0,A1224,"")</f>
        <v/>
      </c>
    </row>
    <row r="1225" customFormat="false" ht="15" hidden="false" customHeight="false" outlineLevel="0" collapsed="false">
      <c r="A1225" s="13" t="n">
        <v>1</v>
      </c>
      <c r="B1225" s="13" t="n">
        <v>50</v>
      </c>
      <c r="C1225" s="13" t="n">
        <v>1</v>
      </c>
      <c r="D1225" s="13" t="n">
        <v>0</v>
      </c>
      <c r="E1225" s="13" t="n">
        <v>0</v>
      </c>
      <c r="F1225" s="13" t="n">
        <v>0</v>
      </c>
      <c r="G1225" s="13" t="n">
        <v>0</v>
      </c>
      <c r="H1225" s="13" t="n">
        <f aca="false">IF(C1225=1,A1225,"")</f>
        <v>1</v>
      </c>
      <c r="I1225" s="13" t="str">
        <f aca="false">IF(C1225=0,A1225,"")</f>
        <v/>
      </c>
    </row>
    <row r="1226" customFormat="false" ht="15" hidden="false" customHeight="false" outlineLevel="0" collapsed="false">
      <c r="A1226" s="13" t="n">
        <v>3</v>
      </c>
      <c r="B1226" s="13" t="n">
        <v>49</v>
      </c>
      <c r="C1226" s="13" t="n">
        <v>1</v>
      </c>
      <c r="D1226" s="13" t="n">
        <v>0</v>
      </c>
      <c r="E1226" s="13" t="n">
        <v>0</v>
      </c>
      <c r="F1226" s="13" t="n">
        <v>0</v>
      </c>
      <c r="G1226" s="13" t="n">
        <v>0</v>
      </c>
      <c r="H1226" s="13" t="n">
        <f aca="false">IF(C1226=1,A1226,"")</f>
        <v>3</v>
      </c>
      <c r="I1226" s="13" t="str">
        <f aca="false">IF(C1226=0,A1226,"")</f>
        <v/>
      </c>
    </row>
    <row r="1227" customFormat="false" ht="15" hidden="false" customHeight="false" outlineLevel="0" collapsed="false">
      <c r="A1227" s="13" t="n">
        <v>2</v>
      </c>
      <c r="B1227" s="13" t="n">
        <v>60</v>
      </c>
      <c r="C1227" s="13" t="n">
        <v>1</v>
      </c>
      <c r="D1227" s="13" t="n">
        <v>0</v>
      </c>
      <c r="E1227" s="13" t="n">
        <v>0</v>
      </c>
      <c r="F1227" s="13" t="n">
        <v>1</v>
      </c>
      <c r="G1227" s="13" t="n">
        <v>1</v>
      </c>
      <c r="H1227" s="13" t="n">
        <f aca="false">IF(C1227=1,A1227,"")</f>
        <v>2</v>
      </c>
      <c r="I1227" s="13" t="str">
        <f aca="false">IF(C1227=0,A1227,"")</f>
        <v/>
      </c>
    </row>
    <row r="1228" customFormat="false" ht="15" hidden="false" customHeight="false" outlineLevel="0" collapsed="false">
      <c r="A1228" s="13" t="n">
        <v>4</v>
      </c>
      <c r="B1228" s="13" t="n">
        <v>48</v>
      </c>
      <c r="C1228" s="13" t="n">
        <v>1</v>
      </c>
      <c r="D1228" s="13" t="n">
        <v>0</v>
      </c>
      <c r="E1228" s="13" t="n">
        <v>0</v>
      </c>
      <c r="F1228" s="13" t="n">
        <v>0</v>
      </c>
      <c r="G1228" s="13" t="n">
        <v>0</v>
      </c>
      <c r="H1228" s="13" t="n">
        <f aca="false">IF(C1228=1,A1228,"")</f>
        <v>4</v>
      </c>
      <c r="I1228" s="13" t="str">
        <f aca="false">IF(C1228=0,A1228,"")</f>
        <v/>
      </c>
    </row>
    <row r="1229" customFormat="false" ht="15" hidden="false" customHeight="false" outlineLevel="0" collapsed="false">
      <c r="A1229" s="13" t="n">
        <v>4</v>
      </c>
      <c r="B1229" s="13" t="n">
        <v>45</v>
      </c>
      <c r="C1229" s="13" t="n">
        <v>1</v>
      </c>
      <c r="D1229" s="13" t="n">
        <v>0</v>
      </c>
      <c r="E1229" s="13" t="n">
        <v>1</v>
      </c>
      <c r="F1229" s="13" t="n">
        <v>0</v>
      </c>
      <c r="G1229" s="13" t="n">
        <v>0</v>
      </c>
      <c r="H1229" s="13" t="n">
        <f aca="false">IF(C1229=1,A1229,"")</f>
        <v>4</v>
      </c>
      <c r="I1229" s="13" t="str">
        <f aca="false">IF(C1229=0,A1229,"")</f>
        <v/>
      </c>
    </row>
    <row r="1230" customFormat="false" ht="15" hidden="false" customHeight="false" outlineLevel="0" collapsed="false">
      <c r="A1230" s="13" t="n">
        <v>3</v>
      </c>
      <c r="B1230" s="13" t="n">
        <v>62</v>
      </c>
      <c r="C1230" s="13" t="n">
        <v>1</v>
      </c>
      <c r="D1230" s="13" t="n">
        <v>0</v>
      </c>
      <c r="E1230" s="13" t="n">
        <v>0</v>
      </c>
      <c r="F1230" s="13" t="n">
        <v>1</v>
      </c>
      <c r="G1230" s="13" t="n">
        <v>1</v>
      </c>
      <c r="H1230" s="13" t="n">
        <f aca="false">IF(C1230=1,A1230,"")</f>
        <v>3</v>
      </c>
      <c r="I1230" s="13" t="str">
        <f aca="false">IF(C1230=0,A1230,"")</f>
        <v/>
      </c>
    </row>
    <row r="1231" customFormat="false" ht="15" hidden="false" customHeight="false" outlineLevel="0" collapsed="false">
      <c r="A1231" s="13" t="n">
        <v>4</v>
      </c>
      <c r="B1231" s="13" t="n">
        <v>54</v>
      </c>
      <c r="C1231" s="13" t="n">
        <v>1</v>
      </c>
      <c r="D1231" s="13" t="n">
        <v>2</v>
      </c>
      <c r="E1231" s="13" t="n">
        <v>1</v>
      </c>
      <c r="F1231" s="13" t="n">
        <v>1</v>
      </c>
      <c r="G1231" s="13" t="n">
        <v>0</v>
      </c>
      <c r="H1231" s="13" t="n">
        <f aca="false">IF(C1231=1,A1231,"")</f>
        <v>4</v>
      </c>
      <c r="I1231" s="13" t="str">
        <f aca="false">IF(C1231=0,A1231,"")</f>
        <v/>
      </c>
    </row>
    <row r="1232" customFormat="false" ht="15" hidden="false" customHeight="false" outlineLevel="0" collapsed="false">
      <c r="A1232" s="13" t="n">
        <v>4</v>
      </c>
      <c r="B1232" s="13" t="n">
        <v>60</v>
      </c>
      <c r="C1232" s="13" t="n">
        <v>1</v>
      </c>
      <c r="D1232" s="13" t="n">
        <v>0</v>
      </c>
      <c r="E1232" s="13" t="n">
        <v>0</v>
      </c>
      <c r="F1232" s="13" t="n">
        <v>1</v>
      </c>
      <c r="G1232" s="13" t="n">
        <v>1</v>
      </c>
      <c r="H1232" s="13" t="n">
        <f aca="false">IF(C1232=1,A1232,"")</f>
        <v>4</v>
      </c>
      <c r="I1232" s="13" t="str">
        <f aca="false">IF(C1232=0,A1232,"")</f>
        <v/>
      </c>
    </row>
    <row r="1233" customFormat="false" ht="15" hidden="false" customHeight="false" outlineLevel="0" collapsed="false">
      <c r="A1233" s="13" t="n">
        <v>2</v>
      </c>
      <c r="B1233" s="13" t="n">
        <v>51</v>
      </c>
      <c r="C1233" s="13" t="n">
        <v>1</v>
      </c>
      <c r="D1233" s="13" t="n">
        <v>0</v>
      </c>
      <c r="E1233" s="13" t="n">
        <v>1</v>
      </c>
      <c r="F1233" s="13" t="n">
        <v>1</v>
      </c>
      <c r="G1233" s="13" t="n">
        <v>0</v>
      </c>
      <c r="H1233" s="13" t="n">
        <f aca="false">IF(C1233=1,A1233,"")</f>
        <v>2</v>
      </c>
      <c r="I1233" s="13" t="str">
        <f aca="false">IF(C1233=0,A1233,"")</f>
        <v/>
      </c>
    </row>
    <row r="1234" customFormat="false" ht="15" hidden="false" customHeight="false" outlineLevel="0" collapsed="false">
      <c r="A1234" s="13" t="n">
        <v>4</v>
      </c>
      <c r="B1234" s="13" t="n">
        <v>62</v>
      </c>
      <c r="C1234" s="13" t="n">
        <v>1</v>
      </c>
      <c r="D1234" s="13" t="n">
        <v>0</v>
      </c>
      <c r="E1234" s="13" t="n">
        <v>0</v>
      </c>
      <c r="F1234" s="13" t="n">
        <v>1</v>
      </c>
      <c r="G1234" s="13" t="n">
        <v>0</v>
      </c>
      <c r="H1234" s="13" t="n">
        <f aca="false">IF(C1234=1,A1234,"")</f>
        <v>4</v>
      </c>
      <c r="I1234" s="13" t="str">
        <f aca="false">IF(C1234=0,A1234,"")</f>
        <v/>
      </c>
    </row>
    <row r="1235" customFormat="false" ht="15" hidden="false" customHeight="false" outlineLevel="0" collapsed="false">
      <c r="A1235" s="13" t="n">
        <v>4</v>
      </c>
      <c r="B1235" s="13" t="n">
        <v>62</v>
      </c>
      <c r="C1235" s="13" t="n">
        <v>1</v>
      </c>
      <c r="D1235" s="13" t="n">
        <v>0</v>
      </c>
      <c r="E1235" s="13" t="n">
        <v>0</v>
      </c>
      <c r="F1235" s="13" t="n">
        <v>1</v>
      </c>
      <c r="G1235" s="13" t="n">
        <v>1</v>
      </c>
      <c r="H1235" s="13" t="n">
        <f aca="false">IF(C1235=1,A1235,"")</f>
        <v>4</v>
      </c>
      <c r="I1235" s="13" t="str">
        <f aca="false">IF(C1235=0,A1235,"")</f>
        <v/>
      </c>
    </row>
    <row r="1236" customFormat="false" ht="15" hidden="false" customHeight="false" outlineLevel="0" collapsed="false">
      <c r="A1236" s="13" t="n">
        <v>5</v>
      </c>
      <c r="B1236" s="13" t="n">
        <v>49</v>
      </c>
      <c r="C1236" s="13" t="n">
        <v>1</v>
      </c>
      <c r="D1236" s="13" t="n">
        <v>0</v>
      </c>
      <c r="E1236" s="13" t="n">
        <v>0</v>
      </c>
      <c r="F1236" s="13" t="n">
        <v>1</v>
      </c>
      <c r="G1236" s="13" t="n">
        <v>1</v>
      </c>
      <c r="H1236" s="13" t="n">
        <f aca="false">IF(C1236=1,A1236,"")</f>
        <v>5</v>
      </c>
      <c r="I1236" s="13" t="str">
        <f aca="false">IF(C1236=0,A1236,"")</f>
        <v/>
      </c>
    </row>
    <row r="1237" customFormat="false" ht="15" hidden="false" customHeight="false" outlineLevel="0" collapsed="false">
      <c r="A1237" s="13" t="n">
        <v>4</v>
      </c>
      <c r="B1237" s="13" t="n">
        <v>53</v>
      </c>
      <c r="C1237" s="13" t="n">
        <v>1</v>
      </c>
      <c r="D1237" s="13" t="n">
        <v>0</v>
      </c>
      <c r="E1237" s="13" t="n">
        <v>1</v>
      </c>
      <c r="F1237" s="13" t="n">
        <v>1</v>
      </c>
      <c r="G1237" s="13" t="n">
        <v>0</v>
      </c>
      <c r="H1237" s="13" t="n">
        <f aca="false">IF(C1237=1,A1237,"")</f>
        <v>4</v>
      </c>
      <c r="I1237" s="13" t="str">
        <f aca="false">IF(C1237=0,A1237,"")</f>
        <v/>
      </c>
    </row>
    <row r="1238" customFormat="false" ht="15" hidden="false" customHeight="false" outlineLevel="0" collapsed="false">
      <c r="A1238" s="13" t="n">
        <v>4</v>
      </c>
      <c r="B1238" s="13" t="n">
        <v>54</v>
      </c>
      <c r="C1238" s="13" t="n">
        <v>1</v>
      </c>
      <c r="D1238" s="13" t="n">
        <v>1</v>
      </c>
      <c r="E1238" s="13" t="n">
        <v>1</v>
      </c>
      <c r="F1238" s="13" t="n">
        <v>0</v>
      </c>
      <c r="G1238" s="13" t="n">
        <v>1</v>
      </c>
      <c r="H1238" s="13" t="n">
        <f aca="false">IF(C1238=1,A1238,"")</f>
        <v>4</v>
      </c>
      <c r="I1238" s="13" t="str">
        <f aca="false">IF(C1238=0,A1238,"")</f>
        <v/>
      </c>
    </row>
    <row r="1239" customFormat="false" ht="15" hidden="false" customHeight="false" outlineLevel="0" collapsed="false">
      <c r="A1239" s="13" t="n">
        <v>3</v>
      </c>
      <c r="B1239" s="13" t="n">
        <v>49</v>
      </c>
      <c r="C1239" s="13" t="n">
        <v>1</v>
      </c>
      <c r="D1239" s="13" t="n">
        <v>0</v>
      </c>
      <c r="E1239" s="13" t="n">
        <v>1</v>
      </c>
      <c r="F1239" s="13" t="n">
        <v>1</v>
      </c>
      <c r="G1239" s="13" t="n">
        <v>1</v>
      </c>
      <c r="H1239" s="13" t="n">
        <f aca="false">IF(C1239=1,A1239,"")</f>
        <v>3</v>
      </c>
      <c r="I1239" s="13" t="str">
        <f aca="false">IF(C1239=0,A1239,"")</f>
        <v/>
      </c>
    </row>
    <row r="1240" customFormat="false" ht="15" hidden="false" customHeight="false" outlineLevel="0" collapsed="false">
      <c r="A1240" s="13" t="n">
        <v>4</v>
      </c>
      <c r="B1240" s="13" t="n">
        <v>33</v>
      </c>
      <c r="C1240" s="13" t="n">
        <v>1</v>
      </c>
      <c r="D1240" s="13" t="n">
        <v>0</v>
      </c>
      <c r="E1240" s="13" t="n">
        <v>1</v>
      </c>
      <c r="F1240" s="13" t="n">
        <v>0</v>
      </c>
      <c r="G1240" s="13" t="n">
        <v>0</v>
      </c>
      <c r="H1240" s="13" t="n">
        <f aca="false">IF(C1240=1,A1240,"")</f>
        <v>4</v>
      </c>
      <c r="I1240" s="13" t="str">
        <f aca="false">IF(C1240=0,A1240,"")</f>
        <v/>
      </c>
    </row>
    <row r="1241" customFormat="false" ht="15" hidden="false" customHeight="false" outlineLevel="0" collapsed="false">
      <c r="A1241" s="13" t="n">
        <v>4</v>
      </c>
      <c r="B1241" s="13" t="n">
        <v>54</v>
      </c>
      <c r="C1241" s="13" t="n">
        <v>1</v>
      </c>
      <c r="D1241" s="13" t="n">
        <v>1</v>
      </c>
      <c r="E1241" s="13" t="n">
        <v>0</v>
      </c>
      <c r="F1241" s="13" t="n">
        <v>0</v>
      </c>
      <c r="G1241" s="13" t="n">
        <v>0</v>
      </c>
      <c r="H1241" s="13" t="n">
        <f aca="false">IF(C1241=1,A1241,"")</f>
        <v>4</v>
      </c>
      <c r="I1241" s="13" t="str">
        <f aca="false">IF(C1241=0,A1241,"")</f>
        <v/>
      </c>
    </row>
    <row r="1242" customFormat="false" ht="15" hidden="false" customHeight="false" outlineLevel="0" collapsed="false">
      <c r="A1242" s="13" t="n">
        <v>4</v>
      </c>
      <c r="B1242" s="13" t="n">
        <v>53</v>
      </c>
      <c r="C1242" s="13" t="n">
        <v>1</v>
      </c>
      <c r="D1242" s="13" t="n">
        <v>0</v>
      </c>
      <c r="E1242" s="13" t="n">
        <v>1</v>
      </c>
      <c r="F1242" s="13" t="n">
        <v>1</v>
      </c>
      <c r="G1242" s="13" t="n">
        <v>1</v>
      </c>
      <c r="H1242" s="13" t="n">
        <f aca="false">IF(C1242=1,A1242,"")</f>
        <v>4</v>
      </c>
      <c r="I1242" s="13" t="str">
        <f aca="false">IF(C1242=0,A1242,"")</f>
        <v/>
      </c>
    </row>
    <row r="1243" customFormat="false" ht="15" hidden="false" customHeight="false" outlineLevel="0" collapsed="false">
      <c r="A1243" s="13" t="n">
        <v>3</v>
      </c>
      <c r="B1243" s="13" t="n">
        <v>52</v>
      </c>
      <c r="C1243" s="13" t="n">
        <v>1</v>
      </c>
      <c r="D1243" s="13" t="n">
        <v>0</v>
      </c>
      <c r="E1243" s="13" t="n">
        <v>0</v>
      </c>
      <c r="F1243" s="13" t="n">
        <v>0</v>
      </c>
      <c r="G1243" s="13" t="n">
        <v>0</v>
      </c>
      <c r="H1243" s="13" t="n">
        <f aca="false">IF(C1243=1,A1243,"")</f>
        <v>3</v>
      </c>
      <c r="I1243" s="13" t="str">
        <f aca="false">IF(C1243=0,A1243,"")</f>
        <v/>
      </c>
    </row>
    <row r="1244" customFormat="false" ht="15" hidden="false" customHeight="false" outlineLevel="0" collapsed="false">
      <c r="A1244" s="13" t="n">
        <v>4</v>
      </c>
      <c r="B1244" s="13" t="n">
        <v>49</v>
      </c>
      <c r="C1244" s="13" t="n">
        <v>1</v>
      </c>
      <c r="D1244" s="13" t="n">
        <v>2</v>
      </c>
      <c r="E1244" s="13" t="n">
        <v>1</v>
      </c>
      <c r="F1244" s="13" t="n">
        <v>1</v>
      </c>
      <c r="G1244" s="13" t="n">
        <v>1</v>
      </c>
      <c r="H1244" s="13" t="n">
        <f aca="false">IF(C1244=1,A1244,"")</f>
        <v>4</v>
      </c>
      <c r="I1244" s="13" t="str">
        <f aca="false">IF(C1244=0,A1244,"")</f>
        <v/>
      </c>
    </row>
    <row r="1245" customFormat="false" ht="15" hidden="false" customHeight="false" outlineLevel="0" collapsed="false">
      <c r="A1245" s="13" t="n">
        <v>5</v>
      </c>
      <c r="B1245" s="13" t="n">
        <v>45</v>
      </c>
      <c r="C1245" s="13" t="n">
        <v>1</v>
      </c>
      <c r="D1245" s="13" t="n">
        <v>3</v>
      </c>
      <c r="E1245" s="13" t="n">
        <v>1</v>
      </c>
      <c r="F1245" s="13" t="n">
        <v>1</v>
      </c>
      <c r="G1245" s="13" t="n">
        <v>1</v>
      </c>
      <c r="H1245" s="13" t="n">
        <f aca="false">IF(C1245=1,A1245,"")</f>
        <v>5</v>
      </c>
      <c r="I1245" s="13" t="str">
        <f aca="false">IF(C1245=0,A1245,"")</f>
        <v/>
      </c>
    </row>
    <row r="1246" customFormat="false" ht="15" hidden="false" customHeight="false" outlineLevel="0" collapsed="false">
      <c r="A1246" s="13" t="n">
        <v>4</v>
      </c>
      <c r="B1246" s="13" t="n">
        <v>33</v>
      </c>
      <c r="C1246" s="13" t="n">
        <v>1</v>
      </c>
      <c r="D1246" s="13" t="n">
        <v>2</v>
      </c>
      <c r="E1246" s="13" t="n">
        <v>1</v>
      </c>
      <c r="F1246" s="13" t="n">
        <v>1</v>
      </c>
      <c r="G1246" s="13" t="n">
        <v>1</v>
      </c>
      <c r="H1246" s="13" t="n">
        <f aca="false">IF(C1246=1,A1246,"")</f>
        <v>4</v>
      </c>
      <c r="I1246" s="13" t="str">
        <f aca="false">IF(C1246=0,A1246,"")</f>
        <v/>
      </c>
    </row>
    <row r="1247" customFormat="false" ht="15" hidden="false" customHeight="false" outlineLevel="0" collapsed="false">
      <c r="A1247" s="13" t="n">
        <v>4</v>
      </c>
      <c r="B1247" s="13" t="n">
        <v>51</v>
      </c>
      <c r="C1247" s="13" t="n">
        <v>1</v>
      </c>
      <c r="D1247" s="13" t="n">
        <v>2</v>
      </c>
      <c r="E1247" s="13" t="n">
        <v>1</v>
      </c>
      <c r="F1247" s="13" t="n">
        <v>0</v>
      </c>
      <c r="G1247" s="13" t="n">
        <v>1</v>
      </c>
      <c r="H1247" s="13" t="n">
        <f aca="false">IF(C1247=1,A1247,"")</f>
        <v>4</v>
      </c>
      <c r="I1247" s="13" t="str">
        <f aca="false">IF(C1247=0,A1247,"")</f>
        <v/>
      </c>
    </row>
    <row r="1248" customFormat="false" ht="15" hidden="false" customHeight="false" outlineLevel="0" collapsed="false">
      <c r="A1248" s="13" t="n">
        <v>4</v>
      </c>
      <c r="B1248" s="13" t="n">
        <v>48</v>
      </c>
      <c r="C1248" s="13" t="n">
        <v>1</v>
      </c>
      <c r="D1248" s="13" t="n">
        <v>0</v>
      </c>
      <c r="E1248" s="13" t="n">
        <v>1</v>
      </c>
      <c r="F1248" s="13" t="n">
        <v>0</v>
      </c>
      <c r="G1248" s="13" t="n">
        <v>1</v>
      </c>
      <c r="H1248" s="13" t="n">
        <f aca="false">IF(C1248=1,A1248,"")</f>
        <v>4</v>
      </c>
      <c r="I1248" s="13" t="str">
        <f aca="false">IF(C1248=0,A1248,"")</f>
        <v/>
      </c>
    </row>
    <row r="1249" customFormat="false" ht="15" hidden="false" customHeight="false" outlineLevel="0" collapsed="false">
      <c r="A1249" s="13" t="n">
        <v>4</v>
      </c>
      <c r="B1249" s="13" t="n">
        <v>47</v>
      </c>
      <c r="C1249" s="13" t="n">
        <v>1</v>
      </c>
      <c r="D1249" s="13" t="n">
        <v>0</v>
      </c>
      <c r="E1249" s="13" t="n">
        <v>0</v>
      </c>
      <c r="F1249" s="13" t="n">
        <v>1</v>
      </c>
      <c r="G1249" s="13" t="n">
        <v>0</v>
      </c>
      <c r="H1249" s="13" t="n">
        <f aca="false">IF(C1249=1,A1249,"")</f>
        <v>4</v>
      </c>
      <c r="I1249" s="13" t="str">
        <f aca="false">IF(C1249=0,A1249,"")</f>
        <v/>
      </c>
    </row>
    <row r="1250" customFormat="false" ht="15" hidden="false" customHeight="false" outlineLevel="0" collapsed="false">
      <c r="A1250" s="13" t="n">
        <v>2</v>
      </c>
      <c r="B1250" s="13" t="n">
        <v>52</v>
      </c>
      <c r="C1250" s="13" t="n">
        <v>1</v>
      </c>
      <c r="D1250" s="13" t="n">
        <v>0</v>
      </c>
      <c r="E1250" s="13" t="n">
        <v>0</v>
      </c>
      <c r="F1250" s="13" t="n">
        <v>0</v>
      </c>
      <c r="G1250" s="13" t="n">
        <v>0</v>
      </c>
      <c r="H1250" s="13" t="n">
        <f aca="false">IF(C1250=1,A1250,"")</f>
        <v>2</v>
      </c>
      <c r="I1250" s="13" t="str">
        <f aca="false">IF(C1250=0,A1250,"")</f>
        <v/>
      </c>
    </row>
    <row r="1251" customFormat="false" ht="15" hidden="false" customHeight="false" outlineLevel="0" collapsed="false">
      <c r="A1251" s="13" t="n">
        <v>3</v>
      </c>
      <c r="B1251" s="13" t="n">
        <v>53</v>
      </c>
      <c r="C1251" s="13" t="n">
        <v>1</v>
      </c>
      <c r="D1251" s="13" t="n">
        <v>0</v>
      </c>
      <c r="E1251" s="13" t="n">
        <v>1</v>
      </c>
      <c r="F1251" s="13" t="n">
        <v>0</v>
      </c>
      <c r="G1251" s="13" t="n">
        <v>0</v>
      </c>
      <c r="H1251" s="13" t="n">
        <f aca="false">IF(C1251=1,A1251,"")</f>
        <v>3</v>
      </c>
      <c r="I1251" s="13" t="str">
        <f aca="false">IF(C1251=0,A1251,"")</f>
        <v/>
      </c>
    </row>
    <row r="1252" customFormat="false" ht="15" hidden="false" customHeight="false" outlineLevel="0" collapsed="false">
      <c r="A1252" s="13" t="n">
        <v>4</v>
      </c>
      <c r="B1252" s="13" t="n">
        <v>28</v>
      </c>
      <c r="C1252" s="13" t="n">
        <v>1</v>
      </c>
      <c r="D1252" s="13" t="n">
        <v>0</v>
      </c>
      <c r="E1252" s="13" t="n">
        <v>1</v>
      </c>
      <c r="F1252" s="13" t="n">
        <v>1</v>
      </c>
      <c r="G1252" s="13" t="n">
        <v>0</v>
      </c>
      <c r="H1252" s="13" t="n">
        <f aca="false">IF(C1252=1,A1252,"")</f>
        <v>4</v>
      </c>
      <c r="I1252" s="13" t="str">
        <f aca="false">IF(C1252=0,A1252,"")</f>
        <v/>
      </c>
    </row>
    <row r="1253" customFormat="false" ht="15" hidden="false" customHeight="false" outlineLevel="0" collapsed="false">
      <c r="A1253" s="13" t="n">
        <v>2</v>
      </c>
      <c r="B1253" s="13" t="n">
        <v>54</v>
      </c>
      <c r="C1253" s="13" t="n">
        <v>1</v>
      </c>
      <c r="D1253" s="13" t="n">
        <v>1</v>
      </c>
      <c r="E1253" s="13" t="n">
        <v>1</v>
      </c>
      <c r="F1253" s="13" t="n">
        <v>1</v>
      </c>
      <c r="G1253" s="13" t="n">
        <v>1</v>
      </c>
      <c r="H1253" s="13" t="n">
        <f aca="false">IF(C1253=1,A1253,"")</f>
        <v>2</v>
      </c>
      <c r="I1253" s="13" t="str">
        <f aca="false">IF(C1253=0,A1253,"")</f>
        <v/>
      </c>
    </row>
    <row r="1254" customFormat="false" ht="15" hidden="false" customHeight="false" outlineLevel="0" collapsed="false">
      <c r="A1254" s="13" t="n">
        <v>4</v>
      </c>
      <c r="B1254" s="13" t="n">
        <v>47</v>
      </c>
      <c r="C1254" s="13" t="n">
        <v>1</v>
      </c>
      <c r="D1254" s="13" t="n">
        <v>2</v>
      </c>
      <c r="E1254" s="13" t="n">
        <v>1</v>
      </c>
      <c r="F1254" s="13" t="n">
        <v>1</v>
      </c>
      <c r="G1254" s="13" t="n">
        <v>0</v>
      </c>
      <c r="H1254" s="13" t="n">
        <f aca="false">IF(C1254=1,A1254,"")</f>
        <v>4</v>
      </c>
      <c r="I1254" s="13" t="str">
        <f aca="false">IF(C1254=0,A1254,"")</f>
        <v/>
      </c>
    </row>
    <row r="1255" customFormat="false" ht="15" hidden="false" customHeight="false" outlineLevel="0" collapsed="false">
      <c r="A1255" s="13" t="n">
        <v>4</v>
      </c>
      <c r="B1255" s="13" t="n">
        <v>52</v>
      </c>
      <c r="C1255" s="13" t="n">
        <v>1</v>
      </c>
      <c r="D1255" s="13" t="n">
        <v>0</v>
      </c>
      <c r="E1255" s="13" t="n">
        <v>1</v>
      </c>
      <c r="F1255" s="13" t="n">
        <v>0</v>
      </c>
      <c r="G1255" s="13" t="n">
        <v>1</v>
      </c>
      <c r="H1255" s="13" t="n">
        <f aca="false">IF(C1255=1,A1255,"")</f>
        <v>4</v>
      </c>
      <c r="I1255" s="13" t="str">
        <f aca="false">IF(C1255=0,A1255,"")</f>
        <v/>
      </c>
    </row>
    <row r="1256" customFormat="false" ht="15" hidden="false" customHeight="false" outlineLevel="0" collapsed="false">
      <c r="A1256" s="13" t="n">
        <v>2</v>
      </c>
      <c r="B1256" s="13" t="n">
        <v>30</v>
      </c>
      <c r="C1256" s="13" t="n">
        <v>1</v>
      </c>
      <c r="D1256" s="13" t="n">
        <v>2</v>
      </c>
      <c r="E1256" s="13" t="n">
        <v>0</v>
      </c>
      <c r="F1256" s="13" t="n">
        <v>1</v>
      </c>
      <c r="G1256" s="13" t="n">
        <v>0</v>
      </c>
      <c r="H1256" s="13" t="n">
        <f aca="false">IF(C1256=1,A1256,"")</f>
        <v>2</v>
      </c>
      <c r="I1256" s="13" t="str">
        <f aca="false">IF(C1256=0,A1256,"")</f>
        <v/>
      </c>
    </row>
    <row r="1257" customFormat="false" ht="15" hidden="false" customHeight="false" outlineLevel="0" collapsed="false">
      <c r="A1257" s="13" t="n">
        <v>4</v>
      </c>
      <c r="B1257" s="13" t="n">
        <v>47</v>
      </c>
      <c r="C1257" s="13" t="n">
        <v>1</v>
      </c>
      <c r="D1257" s="13" t="n">
        <v>0</v>
      </c>
      <c r="E1257" s="13" t="n">
        <v>1</v>
      </c>
      <c r="F1257" s="13" t="n">
        <v>0</v>
      </c>
      <c r="G1257" s="13" t="n">
        <v>0</v>
      </c>
      <c r="H1257" s="13" t="n">
        <f aca="false">IF(C1257=1,A1257,"")</f>
        <v>4</v>
      </c>
      <c r="I1257" s="13" t="str">
        <f aca="false">IF(C1257=0,A1257,"")</f>
        <v/>
      </c>
    </row>
    <row r="1258" customFormat="false" ht="15" hidden="false" customHeight="false" outlineLevel="0" collapsed="false">
      <c r="A1258" s="13" t="n">
        <v>4</v>
      </c>
      <c r="B1258" s="13" t="n">
        <v>45</v>
      </c>
      <c r="C1258" s="13" t="n">
        <v>1</v>
      </c>
      <c r="D1258" s="13" t="n">
        <v>2</v>
      </c>
      <c r="E1258" s="13" t="n">
        <v>1</v>
      </c>
      <c r="F1258" s="13" t="n">
        <v>1</v>
      </c>
      <c r="G1258" s="13" t="n">
        <v>1</v>
      </c>
      <c r="H1258" s="13" t="n">
        <f aca="false">IF(C1258=1,A1258,"")</f>
        <v>4</v>
      </c>
      <c r="I1258" s="13" t="str">
        <f aca="false">IF(C1258=0,A1258,"")</f>
        <v/>
      </c>
    </row>
    <row r="1259" customFormat="false" ht="15" hidden="false" customHeight="false" outlineLevel="0" collapsed="false">
      <c r="A1259" s="13" t="n">
        <v>4</v>
      </c>
      <c r="B1259" s="13" t="n">
        <v>48</v>
      </c>
      <c r="C1259" s="13" t="n">
        <v>1</v>
      </c>
      <c r="D1259" s="13" t="n">
        <v>1</v>
      </c>
      <c r="E1259" s="13" t="n">
        <v>1</v>
      </c>
      <c r="F1259" s="13" t="n">
        <v>1</v>
      </c>
      <c r="G1259" s="13" t="n">
        <v>0</v>
      </c>
      <c r="H1259" s="13" t="n">
        <f aca="false">IF(C1259=1,A1259,"")</f>
        <v>4</v>
      </c>
      <c r="I1259" s="13" t="str">
        <f aca="false">IF(C1259=0,A1259,"")</f>
        <v/>
      </c>
    </row>
    <row r="1260" customFormat="false" ht="15" hidden="false" customHeight="false" outlineLevel="0" collapsed="false">
      <c r="A1260" s="13" t="n">
        <v>4</v>
      </c>
      <c r="B1260" s="13" t="n">
        <v>50</v>
      </c>
      <c r="C1260" s="13" t="n">
        <v>1</v>
      </c>
      <c r="D1260" s="13" t="n">
        <v>2</v>
      </c>
      <c r="E1260" s="13" t="n">
        <v>0</v>
      </c>
      <c r="F1260" s="13" t="n">
        <v>0</v>
      </c>
      <c r="G1260" s="13" t="n">
        <v>1</v>
      </c>
      <c r="H1260" s="13" t="n">
        <f aca="false">IF(C1260=1,A1260,"")</f>
        <v>4</v>
      </c>
      <c r="I1260" s="13" t="str">
        <f aca="false">IF(C1260=0,A1260,"")</f>
        <v/>
      </c>
    </row>
    <row r="1261" customFormat="false" ht="15" hidden="false" customHeight="false" outlineLevel="0" collapsed="false">
      <c r="A1261" s="13" t="n">
        <v>5</v>
      </c>
      <c r="B1261" s="13" t="n">
        <v>47</v>
      </c>
      <c r="C1261" s="13" t="n">
        <v>1</v>
      </c>
      <c r="D1261" s="13" t="n">
        <v>1</v>
      </c>
      <c r="E1261" s="13" t="n">
        <v>1</v>
      </c>
      <c r="F1261" s="13" t="n">
        <v>0</v>
      </c>
      <c r="G1261" s="13" t="n">
        <v>0</v>
      </c>
      <c r="H1261" s="13" t="n">
        <f aca="false">IF(C1261=1,A1261,"")</f>
        <v>5</v>
      </c>
      <c r="I1261" s="13" t="str">
        <f aca="false">IF(C1261=0,A1261,"")</f>
        <v/>
      </c>
    </row>
    <row r="1262" customFormat="false" ht="15" hidden="false" customHeight="false" outlineLevel="0" collapsed="false">
      <c r="A1262" s="13" t="n">
        <v>2</v>
      </c>
      <c r="B1262" s="13" t="n">
        <v>52</v>
      </c>
      <c r="C1262" s="13" t="n">
        <v>1</v>
      </c>
      <c r="D1262" s="13" t="n">
        <v>0</v>
      </c>
      <c r="E1262" s="13" t="n">
        <v>0</v>
      </c>
      <c r="F1262" s="13" t="n">
        <v>1</v>
      </c>
      <c r="G1262" s="13" t="n">
        <v>0</v>
      </c>
      <c r="H1262" s="13" t="n">
        <f aca="false">IF(C1262=1,A1262,"")</f>
        <v>2</v>
      </c>
      <c r="I1262" s="13" t="str">
        <f aca="false">IF(C1262=0,A1262,"")</f>
        <v/>
      </c>
    </row>
    <row r="1263" customFormat="false" ht="15" hidden="false" customHeight="false" outlineLevel="0" collapsed="false">
      <c r="A1263" s="13" t="n">
        <v>4</v>
      </c>
      <c r="B1263" s="13" t="n">
        <v>29</v>
      </c>
      <c r="C1263" s="13" t="n">
        <v>1</v>
      </c>
      <c r="D1263" s="13" t="n">
        <v>1</v>
      </c>
      <c r="E1263" s="13" t="n">
        <v>1</v>
      </c>
      <c r="F1263" s="13" t="n">
        <v>1</v>
      </c>
      <c r="G1263" s="13" t="n">
        <v>1</v>
      </c>
      <c r="H1263" s="13" t="n">
        <f aca="false">IF(C1263=1,A1263,"")</f>
        <v>4</v>
      </c>
      <c r="I1263" s="13" t="str">
        <f aca="false">IF(C1263=0,A1263,"")</f>
        <v/>
      </c>
    </row>
    <row r="1264" customFormat="false" ht="15" hidden="false" customHeight="false" outlineLevel="0" collapsed="false">
      <c r="A1264" s="13" t="n">
        <v>2</v>
      </c>
      <c r="B1264" s="13" t="n">
        <v>33</v>
      </c>
      <c r="C1264" s="13" t="n">
        <v>1</v>
      </c>
      <c r="D1264" s="13" t="n">
        <v>0</v>
      </c>
      <c r="E1264" s="13" t="n">
        <v>0</v>
      </c>
      <c r="F1264" s="13" t="n">
        <v>1</v>
      </c>
      <c r="G1264" s="13" t="n">
        <v>0</v>
      </c>
      <c r="H1264" s="13" t="n">
        <f aca="false">IF(C1264=1,A1264,"")</f>
        <v>2</v>
      </c>
      <c r="I1264" s="13" t="str">
        <f aca="false">IF(C1264=0,A1264,"")</f>
        <v/>
      </c>
    </row>
    <row r="1265" customFormat="false" ht="15" hidden="false" customHeight="false" outlineLevel="0" collapsed="false">
      <c r="A1265" s="13" t="n">
        <v>4</v>
      </c>
      <c r="B1265" s="13" t="n">
        <v>33</v>
      </c>
      <c r="C1265" s="13" t="n">
        <v>1</v>
      </c>
      <c r="D1265" s="13" t="n">
        <v>1</v>
      </c>
      <c r="E1265" s="13" t="n">
        <v>1</v>
      </c>
      <c r="F1265" s="13" t="n">
        <v>1</v>
      </c>
      <c r="G1265" s="13" t="n">
        <v>1</v>
      </c>
      <c r="H1265" s="13" t="n">
        <f aca="false">IF(C1265=1,A1265,"")</f>
        <v>4</v>
      </c>
      <c r="I1265" s="13" t="str">
        <f aca="false">IF(C1265=0,A1265,"")</f>
        <v/>
      </c>
    </row>
    <row r="1266" customFormat="false" ht="15" hidden="false" customHeight="false" outlineLevel="0" collapsed="false">
      <c r="A1266" s="13" t="n">
        <v>4</v>
      </c>
      <c r="B1266" s="13" t="n">
        <v>27</v>
      </c>
      <c r="C1266" s="13" t="n">
        <v>1</v>
      </c>
      <c r="D1266" s="13" t="n">
        <v>0</v>
      </c>
      <c r="E1266" s="13" t="n">
        <v>0</v>
      </c>
      <c r="F1266" s="13" t="n">
        <v>1</v>
      </c>
      <c r="G1266" s="13" t="n">
        <v>0</v>
      </c>
      <c r="H1266" s="13" t="n">
        <f aca="false">IF(C1266=1,A1266,"")</f>
        <v>4</v>
      </c>
      <c r="I1266" s="13" t="str">
        <f aca="false">IF(C1266=0,A1266,"")</f>
        <v/>
      </c>
    </row>
    <row r="1267" customFormat="false" ht="15" hidden="false" customHeight="false" outlineLevel="0" collapsed="false">
      <c r="A1267" s="13" t="n">
        <v>4</v>
      </c>
      <c r="B1267" s="13" t="n">
        <v>33</v>
      </c>
      <c r="C1267" s="13" t="n">
        <v>1</v>
      </c>
      <c r="D1267" s="13" t="n">
        <v>0</v>
      </c>
      <c r="E1267" s="13" t="n">
        <v>1</v>
      </c>
      <c r="F1267" s="13" t="n">
        <v>1</v>
      </c>
      <c r="G1267" s="13" t="n">
        <v>0</v>
      </c>
      <c r="H1267" s="13" t="n">
        <f aca="false">IF(C1267=1,A1267,"")</f>
        <v>4</v>
      </c>
      <c r="I1267" s="13" t="str">
        <f aca="false">IF(C1267=0,A1267,"")</f>
        <v/>
      </c>
    </row>
    <row r="1268" customFormat="false" ht="15" hidden="false" customHeight="false" outlineLevel="0" collapsed="false">
      <c r="A1268" s="13" t="n">
        <v>4</v>
      </c>
      <c r="B1268" s="13" t="n">
        <v>33</v>
      </c>
      <c r="C1268" s="13" t="n">
        <v>1</v>
      </c>
      <c r="D1268" s="13" t="n">
        <v>0</v>
      </c>
      <c r="E1268" s="13" t="n">
        <v>0</v>
      </c>
      <c r="F1268" s="13" t="n">
        <v>0</v>
      </c>
      <c r="G1268" s="13" t="n">
        <v>0</v>
      </c>
      <c r="H1268" s="13" t="n">
        <f aca="false">IF(C1268=1,A1268,"")</f>
        <v>4</v>
      </c>
      <c r="I1268" s="13" t="str">
        <f aca="false">IF(C1268=0,A1268,"")</f>
        <v/>
      </c>
    </row>
    <row r="1269" customFormat="false" ht="15" hidden="false" customHeight="false" outlineLevel="0" collapsed="false">
      <c r="A1269" s="13" t="n">
        <v>4</v>
      </c>
      <c r="B1269" s="13" t="n">
        <v>27</v>
      </c>
      <c r="C1269" s="13" t="n">
        <v>1</v>
      </c>
      <c r="D1269" s="13" t="n">
        <v>0</v>
      </c>
      <c r="E1269" s="13" t="n">
        <v>0</v>
      </c>
      <c r="F1269" s="13" t="n">
        <v>0</v>
      </c>
      <c r="G1269" s="13" t="n">
        <v>1</v>
      </c>
      <c r="H1269" s="13" t="n">
        <f aca="false">IF(C1269=1,A1269,"")</f>
        <v>4</v>
      </c>
      <c r="I1269" s="13" t="str">
        <f aca="false">IF(C1269=0,A1269,"")</f>
        <v/>
      </c>
    </row>
    <row r="1270" customFormat="false" ht="15" hidden="false" customHeight="false" outlineLevel="0" collapsed="false">
      <c r="A1270" s="13" t="n">
        <v>1</v>
      </c>
      <c r="B1270" s="13" t="n">
        <v>31</v>
      </c>
      <c r="C1270" s="13" t="n">
        <v>1</v>
      </c>
      <c r="D1270" s="13" t="n">
        <v>5</v>
      </c>
      <c r="E1270" s="13" t="n">
        <v>1</v>
      </c>
      <c r="F1270" s="13" t="n">
        <v>1</v>
      </c>
      <c r="G1270" s="13" t="n">
        <v>1</v>
      </c>
      <c r="H1270" s="13" t="n">
        <f aca="false">IF(C1270=1,A1270,"")</f>
        <v>1</v>
      </c>
      <c r="I1270" s="13" t="str">
        <f aca="false">IF(C1270=0,A1270,"")</f>
        <v/>
      </c>
    </row>
    <row r="1271" customFormat="false" ht="15" hidden="false" customHeight="false" outlineLevel="0" collapsed="false">
      <c r="A1271" s="13" t="n">
        <v>4</v>
      </c>
      <c r="B1271" s="13" t="n">
        <v>28</v>
      </c>
      <c r="C1271" s="13" t="n">
        <v>1</v>
      </c>
      <c r="D1271" s="13" t="n">
        <v>0</v>
      </c>
      <c r="E1271" s="13" t="n">
        <v>1</v>
      </c>
      <c r="F1271" s="13" t="n">
        <v>1</v>
      </c>
      <c r="G1271" s="13" t="n">
        <v>1</v>
      </c>
      <c r="H1271" s="13" t="n">
        <f aca="false">IF(C1271=1,A1271,"")</f>
        <v>4</v>
      </c>
      <c r="I1271" s="13" t="str">
        <f aca="false">IF(C1271=0,A1271,"")</f>
        <v/>
      </c>
    </row>
    <row r="1272" customFormat="false" ht="15" hidden="false" customHeight="false" outlineLevel="0" collapsed="false">
      <c r="A1272" s="13" t="n">
        <v>4</v>
      </c>
      <c r="B1272" s="13" t="n">
        <v>29</v>
      </c>
      <c r="C1272" s="13" t="n">
        <v>1</v>
      </c>
      <c r="D1272" s="13" t="n">
        <v>0</v>
      </c>
      <c r="E1272" s="13" t="n">
        <v>1</v>
      </c>
      <c r="F1272" s="13" t="n">
        <v>1</v>
      </c>
      <c r="G1272" s="13" t="n">
        <v>0</v>
      </c>
      <c r="H1272" s="13" t="n">
        <f aca="false">IF(C1272=1,A1272,"")</f>
        <v>4</v>
      </c>
      <c r="I1272" s="13" t="str">
        <f aca="false">IF(C1272=0,A1272,"")</f>
        <v/>
      </c>
    </row>
    <row r="1273" customFormat="false" ht="15" hidden="false" customHeight="false" outlineLevel="0" collapsed="false">
      <c r="A1273" s="13" t="n">
        <v>4</v>
      </c>
      <c r="B1273" s="13" t="n">
        <v>34</v>
      </c>
      <c r="C1273" s="13" t="n">
        <v>1</v>
      </c>
      <c r="D1273" s="13" t="n">
        <v>1</v>
      </c>
      <c r="E1273" s="13" t="n">
        <v>1</v>
      </c>
      <c r="F1273" s="13" t="n">
        <v>0</v>
      </c>
      <c r="G1273" s="13" t="n">
        <v>1</v>
      </c>
      <c r="H1273" s="13" t="n">
        <f aca="false">IF(C1273=1,A1273,"")</f>
        <v>4</v>
      </c>
      <c r="I1273" s="13" t="str">
        <f aca="false">IF(C1273=0,A1273,"")</f>
        <v/>
      </c>
    </row>
    <row r="1274" customFormat="false" ht="15" hidden="false" customHeight="false" outlineLevel="0" collapsed="false">
      <c r="A1274" s="13" t="n">
        <v>3</v>
      </c>
      <c r="B1274" s="13" t="n">
        <v>29</v>
      </c>
      <c r="C1274" s="13" t="n">
        <v>1</v>
      </c>
      <c r="D1274" s="13" t="n">
        <v>0</v>
      </c>
      <c r="E1274" s="13" t="n">
        <v>1</v>
      </c>
      <c r="F1274" s="13" t="n">
        <v>0</v>
      </c>
      <c r="G1274" s="13" t="n">
        <v>0</v>
      </c>
      <c r="H1274" s="13" t="n">
        <f aca="false">IF(C1274=1,A1274,"")</f>
        <v>3</v>
      </c>
      <c r="I1274" s="13" t="str">
        <f aca="false">IF(C1274=0,A1274,"")</f>
        <v/>
      </c>
    </row>
    <row r="1275" customFormat="false" ht="15" hidden="false" customHeight="false" outlineLevel="0" collapsed="false">
      <c r="A1275" s="13" t="n">
        <v>2</v>
      </c>
      <c r="B1275" s="13" t="n">
        <v>29</v>
      </c>
      <c r="C1275" s="13" t="n">
        <v>1</v>
      </c>
      <c r="D1275" s="13" t="n">
        <v>0</v>
      </c>
      <c r="E1275" s="13" t="n">
        <v>1</v>
      </c>
      <c r="F1275" s="13" t="n">
        <v>1</v>
      </c>
      <c r="G1275" s="13" t="n">
        <v>0</v>
      </c>
      <c r="H1275" s="13" t="n">
        <f aca="false">IF(C1275=1,A1275,"")</f>
        <v>2</v>
      </c>
      <c r="I1275" s="13" t="str">
        <f aca="false">IF(C1275=0,A1275,"")</f>
        <v/>
      </c>
    </row>
    <row r="1276" customFormat="false" ht="15" hidden="false" customHeight="false" outlineLevel="0" collapsed="false">
      <c r="A1276" s="13" t="n">
        <v>4</v>
      </c>
      <c r="B1276" s="13" t="n">
        <v>34</v>
      </c>
      <c r="C1276" s="13" t="n">
        <v>1</v>
      </c>
      <c r="D1276" s="13" t="n">
        <v>2</v>
      </c>
      <c r="E1276" s="13" t="n">
        <v>1</v>
      </c>
      <c r="F1276" s="13" t="n">
        <v>1</v>
      </c>
      <c r="G1276" s="13" t="n">
        <v>1</v>
      </c>
      <c r="H1276" s="13" t="n">
        <f aca="false">IF(C1276=1,A1276,"")</f>
        <v>4</v>
      </c>
      <c r="I1276" s="13" t="str">
        <f aca="false">IF(C1276=0,A1276,"")</f>
        <v/>
      </c>
    </row>
    <row r="1277" customFormat="false" ht="15" hidden="false" customHeight="false" outlineLevel="0" collapsed="false">
      <c r="A1277" s="13" t="n">
        <v>4</v>
      </c>
      <c r="B1277" s="13" t="n">
        <v>33</v>
      </c>
      <c r="C1277" s="13" t="n">
        <v>1</v>
      </c>
      <c r="D1277" s="13" t="n">
        <v>2</v>
      </c>
      <c r="E1277" s="13" t="n">
        <v>1</v>
      </c>
      <c r="F1277" s="13" t="n">
        <v>1</v>
      </c>
      <c r="G1277" s="13" t="n">
        <v>1</v>
      </c>
      <c r="H1277" s="13" t="n">
        <f aca="false">IF(C1277=1,A1277,"")</f>
        <v>4</v>
      </c>
      <c r="I1277" s="13" t="str">
        <f aca="false">IF(C1277=0,A1277,"")</f>
        <v/>
      </c>
    </row>
    <row r="1278" customFormat="false" ht="15" hidden="false" customHeight="false" outlineLevel="0" collapsed="false">
      <c r="A1278" s="13" t="n">
        <v>4</v>
      </c>
      <c r="B1278" s="13" t="n">
        <v>29</v>
      </c>
      <c r="C1278" s="13" t="n">
        <v>1</v>
      </c>
      <c r="D1278" s="13" t="n">
        <v>0</v>
      </c>
      <c r="E1278" s="13" t="n">
        <v>0</v>
      </c>
      <c r="F1278" s="13" t="n">
        <v>1</v>
      </c>
      <c r="G1278" s="13" t="n">
        <v>1</v>
      </c>
      <c r="H1278" s="13" t="n">
        <f aca="false">IF(C1278=1,A1278,"")</f>
        <v>4</v>
      </c>
      <c r="I1278" s="13" t="str">
        <f aca="false">IF(C1278=0,A1278,"")</f>
        <v/>
      </c>
    </row>
    <row r="1279" customFormat="false" ht="15" hidden="false" customHeight="false" outlineLevel="0" collapsed="false">
      <c r="A1279" s="13" t="n">
        <v>4</v>
      </c>
      <c r="B1279" s="13" t="n">
        <v>29</v>
      </c>
      <c r="C1279" s="13" t="n">
        <v>1</v>
      </c>
      <c r="D1279" s="13" t="n">
        <v>0</v>
      </c>
      <c r="E1279" s="13" t="n">
        <v>1</v>
      </c>
      <c r="F1279" s="13" t="n">
        <v>1</v>
      </c>
      <c r="G1279" s="13" t="n">
        <v>0</v>
      </c>
      <c r="H1279" s="13" t="n">
        <f aca="false">IF(C1279=1,A1279,"")</f>
        <v>4</v>
      </c>
      <c r="I1279" s="13" t="str">
        <f aca="false">IF(C1279=0,A1279,"")</f>
        <v/>
      </c>
    </row>
    <row r="1280" customFormat="false" ht="15" hidden="false" customHeight="false" outlineLevel="0" collapsed="false">
      <c r="A1280" s="13" t="n">
        <v>4</v>
      </c>
      <c r="B1280" s="13" t="n">
        <v>31</v>
      </c>
      <c r="C1280" s="13" t="n">
        <v>1</v>
      </c>
      <c r="D1280" s="13" t="n">
        <v>3</v>
      </c>
      <c r="E1280" s="13" t="n">
        <v>1</v>
      </c>
      <c r="F1280" s="13" t="n">
        <v>1</v>
      </c>
      <c r="G1280" s="13" t="n">
        <v>1</v>
      </c>
      <c r="H1280" s="13" t="n">
        <f aca="false">IF(C1280=1,A1280,"")</f>
        <v>4</v>
      </c>
      <c r="I1280" s="13" t="str">
        <f aca="false">IF(C1280=0,A1280,"")</f>
        <v/>
      </c>
    </row>
    <row r="1281" customFormat="false" ht="15" hidden="false" customHeight="false" outlineLevel="0" collapsed="false">
      <c r="A1281" s="13" t="n">
        <v>4</v>
      </c>
      <c r="B1281" s="13" t="n">
        <v>27</v>
      </c>
      <c r="C1281" s="13" t="n">
        <v>1</v>
      </c>
      <c r="D1281" s="13" t="n">
        <v>0</v>
      </c>
      <c r="E1281" s="13" t="n">
        <v>1</v>
      </c>
      <c r="F1281" s="13" t="n">
        <v>1</v>
      </c>
      <c r="G1281" s="13" t="n">
        <v>0</v>
      </c>
      <c r="H1281" s="13" t="n">
        <f aca="false">IF(C1281=1,A1281,"")</f>
        <v>4</v>
      </c>
      <c r="I1281" s="13" t="str">
        <f aca="false">IF(C1281=0,A1281,"")</f>
        <v/>
      </c>
    </row>
    <row r="1282" customFormat="false" ht="15" hidden="false" customHeight="false" outlineLevel="0" collapsed="false">
      <c r="A1282" s="13" t="n">
        <v>3</v>
      </c>
      <c r="B1282" s="13" t="n">
        <v>27</v>
      </c>
      <c r="C1282" s="13" t="n">
        <v>1</v>
      </c>
      <c r="D1282" s="13" t="n">
        <v>0</v>
      </c>
      <c r="E1282" s="13" t="n">
        <v>1</v>
      </c>
      <c r="F1282" s="13" t="n">
        <v>1</v>
      </c>
      <c r="G1282" s="13" t="n">
        <v>0</v>
      </c>
      <c r="H1282" s="13" t="n">
        <f aca="false">IF(C1282=1,A1282,"")</f>
        <v>3</v>
      </c>
      <c r="I1282" s="13" t="str">
        <f aca="false">IF(C1282=0,A1282,"")</f>
        <v/>
      </c>
    </row>
    <row r="1283" customFormat="false" ht="15" hidden="false" customHeight="false" outlineLevel="0" collapsed="false">
      <c r="A1283" s="13" t="n">
        <v>4</v>
      </c>
      <c r="B1283" s="13" t="n">
        <v>26</v>
      </c>
      <c r="C1283" s="13" t="n">
        <v>1</v>
      </c>
      <c r="D1283" s="13" t="n">
        <v>0</v>
      </c>
      <c r="E1283" s="13" t="n">
        <v>1</v>
      </c>
      <c r="F1283" s="13" t="n">
        <v>1</v>
      </c>
      <c r="G1283" s="13" t="n">
        <v>0</v>
      </c>
      <c r="H1283" s="13" t="n">
        <f aca="false">IF(C1283=1,A1283,"")</f>
        <v>4</v>
      </c>
      <c r="I1283" s="13" t="str">
        <f aca="false">IF(C1283=0,A1283,"")</f>
        <v/>
      </c>
    </row>
    <row r="1284" customFormat="false" ht="15" hidden="false" customHeight="false" outlineLevel="0" collapsed="false">
      <c r="A1284" s="13" t="n">
        <v>3</v>
      </c>
      <c r="B1284" s="13" t="n">
        <v>27</v>
      </c>
      <c r="C1284" s="13" t="n">
        <v>1</v>
      </c>
      <c r="D1284" s="13" t="n">
        <v>0</v>
      </c>
      <c r="E1284" s="13" t="n">
        <v>0</v>
      </c>
      <c r="F1284" s="13" t="n">
        <v>1</v>
      </c>
      <c r="G1284" s="13" t="n">
        <v>0</v>
      </c>
      <c r="H1284" s="13" t="n">
        <f aca="false">IF(C1284=1,A1284,"")</f>
        <v>3</v>
      </c>
      <c r="I1284" s="13" t="str">
        <f aca="false">IF(C1284=0,A1284,"")</f>
        <v/>
      </c>
    </row>
    <row r="1285" customFormat="false" ht="15" hidden="false" customHeight="false" outlineLevel="0" collapsed="false">
      <c r="A1285" s="13" t="n">
        <v>5</v>
      </c>
      <c r="B1285" s="13" t="n">
        <v>33</v>
      </c>
      <c r="C1285" s="13" t="n">
        <v>1</v>
      </c>
      <c r="D1285" s="13" t="n">
        <v>3</v>
      </c>
      <c r="E1285" s="13" t="n">
        <v>1</v>
      </c>
      <c r="F1285" s="13" t="n">
        <v>0</v>
      </c>
      <c r="G1285" s="13" t="n">
        <v>1</v>
      </c>
      <c r="H1285" s="13" t="n">
        <f aca="false">IF(C1285=1,A1285,"")</f>
        <v>5</v>
      </c>
      <c r="I1285" s="13" t="str">
        <f aca="false">IF(C1285=0,A1285,"")</f>
        <v/>
      </c>
    </row>
    <row r="1286" customFormat="false" ht="15" hidden="false" customHeight="false" outlineLevel="0" collapsed="false">
      <c r="A1286" s="13" t="n">
        <v>3</v>
      </c>
      <c r="B1286" s="13" t="n">
        <v>31</v>
      </c>
      <c r="C1286" s="13" t="n">
        <v>1</v>
      </c>
      <c r="D1286" s="13" t="n">
        <v>0</v>
      </c>
      <c r="E1286" s="13" t="n">
        <v>1</v>
      </c>
      <c r="F1286" s="13" t="n">
        <v>1</v>
      </c>
      <c r="G1286" s="13" t="n">
        <v>0</v>
      </c>
      <c r="H1286" s="13" t="n">
        <f aca="false">IF(C1286=1,A1286,"")</f>
        <v>3</v>
      </c>
      <c r="I1286" s="13" t="str">
        <f aca="false">IF(C1286=0,A1286,"")</f>
        <v/>
      </c>
    </row>
    <row r="1287" customFormat="false" ht="15" hidden="false" customHeight="false" outlineLevel="0" collapsed="false">
      <c r="A1287" s="13" t="n">
        <v>5</v>
      </c>
      <c r="B1287" s="13" t="n">
        <v>27</v>
      </c>
      <c r="C1287" s="13" t="n">
        <v>1</v>
      </c>
      <c r="D1287" s="13" t="n">
        <v>0</v>
      </c>
      <c r="E1287" s="13" t="n">
        <v>1</v>
      </c>
      <c r="F1287" s="13" t="n">
        <v>1</v>
      </c>
      <c r="G1287" s="13" t="n">
        <v>0</v>
      </c>
      <c r="H1287" s="13" t="n">
        <f aca="false">IF(C1287=1,A1287,"")</f>
        <v>5</v>
      </c>
      <c r="I1287" s="13" t="str">
        <f aca="false">IF(C1287=0,A1287,"")</f>
        <v/>
      </c>
    </row>
    <row r="1288" customFormat="false" ht="15" hidden="false" customHeight="false" outlineLevel="0" collapsed="false">
      <c r="A1288" s="13" t="n">
        <v>5</v>
      </c>
      <c r="B1288" s="13" t="n">
        <v>30</v>
      </c>
      <c r="C1288" s="13" t="n">
        <v>1</v>
      </c>
      <c r="D1288" s="13" t="n">
        <v>0</v>
      </c>
      <c r="E1288" s="13" t="n">
        <v>1</v>
      </c>
      <c r="F1288" s="13" t="n">
        <v>0</v>
      </c>
      <c r="G1288" s="13" t="n">
        <v>1</v>
      </c>
      <c r="H1288" s="13" t="n">
        <f aca="false">IF(C1288=1,A1288,"")</f>
        <v>5</v>
      </c>
      <c r="I1288" s="13" t="str">
        <f aca="false">IF(C1288=0,A1288,"")</f>
        <v/>
      </c>
    </row>
    <row r="1289" customFormat="false" ht="15" hidden="false" customHeight="false" outlineLevel="0" collapsed="false">
      <c r="A1289" s="13" t="n">
        <v>3</v>
      </c>
      <c r="B1289" s="13" t="n">
        <v>34</v>
      </c>
      <c r="C1289" s="13" t="n">
        <v>1</v>
      </c>
      <c r="D1289" s="13" t="n">
        <v>0</v>
      </c>
      <c r="E1289" s="13" t="n">
        <v>1</v>
      </c>
      <c r="F1289" s="13" t="n">
        <v>1</v>
      </c>
      <c r="G1289" s="13" t="n">
        <v>1</v>
      </c>
      <c r="H1289" s="13" t="n">
        <f aca="false">IF(C1289=1,A1289,"")</f>
        <v>3</v>
      </c>
      <c r="I1289" s="13" t="str">
        <f aca="false">IF(C1289=0,A1289,"")</f>
        <v/>
      </c>
    </row>
    <row r="1290" customFormat="false" ht="15" hidden="false" customHeight="false" outlineLevel="0" collapsed="false">
      <c r="A1290" s="13" t="n">
        <v>5</v>
      </c>
      <c r="B1290" s="13" t="n">
        <v>34</v>
      </c>
      <c r="C1290" s="13" t="n">
        <v>1</v>
      </c>
      <c r="D1290" s="13" t="n">
        <v>1</v>
      </c>
      <c r="E1290" s="13" t="n">
        <v>1</v>
      </c>
      <c r="F1290" s="13" t="n">
        <v>1</v>
      </c>
      <c r="G1290" s="13" t="n">
        <v>1</v>
      </c>
      <c r="H1290" s="13" t="n">
        <f aca="false">IF(C1290=1,A1290,"")</f>
        <v>5</v>
      </c>
      <c r="I1290" s="13" t="str">
        <f aca="false">IF(C1290=0,A1290,"")</f>
        <v/>
      </c>
    </row>
    <row r="1291" customFormat="false" ht="15" hidden="false" customHeight="false" outlineLevel="0" collapsed="false">
      <c r="A1291" s="13" t="n">
        <v>3</v>
      </c>
      <c r="B1291" s="13" t="n">
        <v>32</v>
      </c>
      <c r="C1291" s="13" t="n">
        <v>1</v>
      </c>
      <c r="D1291" s="13" t="n">
        <v>0</v>
      </c>
      <c r="E1291" s="13" t="n">
        <v>0</v>
      </c>
      <c r="F1291" s="13" t="n">
        <v>0</v>
      </c>
      <c r="G1291" s="13" t="n">
        <v>0</v>
      </c>
      <c r="H1291" s="13" t="n">
        <f aca="false">IF(C1291=1,A1291,"")</f>
        <v>3</v>
      </c>
      <c r="I1291" s="13" t="str">
        <f aca="false">IF(C1291=0,A1291,"")</f>
        <v/>
      </c>
    </row>
    <row r="1292" customFormat="false" ht="15" hidden="false" customHeight="false" outlineLevel="0" collapsed="false">
      <c r="A1292" s="13" t="n">
        <v>5</v>
      </c>
      <c r="B1292" s="13" t="n">
        <v>30</v>
      </c>
      <c r="C1292" s="13" t="n">
        <v>1</v>
      </c>
      <c r="D1292" s="13" t="n">
        <v>3</v>
      </c>
      <c r="E1292" s="13" t="n">
        <v>1</v>
      </c>
      <c r="F1292" s="13" t="n">
        <v>1</v>
      </c>
      <c r="G1292" s="13" t="n">
        <v>0</v>
      </c>
      <c r="H1292" s="13" t="n">
        <f aca="false">IF(C1292=1,A1292,"")</f>
        <v>5</v>
      </c>
      <c r="I1292" s="13" t="str">
        <f aca="false">IF(C1292=0,A1292,"")</f>
        <v/>
      </c>
    </row>
    <row r="1293" customFormat="false" ht="15" hidden="false" customHeight="false" outlineLevel="0" collapsed="false">
      <c r="A1293" s="13" t="n">
        <v>3</v>
      </c>
      <c r="B1293" s="13" t="n">
        <v>26</v>
      </c>
      <c r="C1293" s="13" t="n">
        <v>1</v>
      </c>
      <c r="D1293" s="13" t="n">
        <v>0</v>
      </c>
      <c r="E1293" s="13" t="n">
        <v>0</v>
      </c>
      <c r="F1293" s="13" t="n">
        <v>1</v>
      </c>
      <c r="G1293" s="13" t="n">
        <v>0</v>
      </c>
      <c r="H1293" s="13" t="n">
        <f aca="false">IF(C1293=1,A1293,"")</f>
        <v>3</v>
      </c>
      <c r="I1293" s="13" t="str">
        <f aca="false">IF(C1293=0,A1293,"")</f>
        <v/>
      </c>
    </row>
    <row r="1294" customFormat="false" ht="15" hidden="false" customHeight="false" outlineLevel="0" collapsed="false">
      <c r="A1294" s="13" t="n">
        <v>4</v>
      </c>
      <c r="B1294" s="13" t="n">
        <v>29</v>
      </c>
      <c r="C1294" s="13" t="n">
        <v>1</v>
      </c>
      <c r="D1294" s="13" t="n">
        <v>0</v>
      </c>
      <c r="E1294" s="13" t="n">
        <v>1</v>
      </c>
      <c r="F1294" s="13" t="n">
        <v>1</v>
      </c>
      <c r="G1294" s="13" t="n">
        <v>0</v>
      </c>
      <c r="H1294" s="13" t="n">
        <f aca="false">IF(C1294=1,A1294,"")</f>
        <v>4</v>
      </c>
      <c r="I1294" s="13" t="str">
        <f aca="false">IF(C1294=0,A1294,"")</f>
        <v/>
      </c>
    </row>
    <row r="1295" customFormat="false" ht="15" hidden="false" customHeight="false" outlineLevel="0" collapsed="false">
      <c r="A1295" s="13" t="n">
        <v>4</v>
      </c>
      <c r="B1295" s="13" t="n">
        <v>27</v>
      </c>
      <c r="C1295" s="13" t="n">
        <v>1</v>
      </c>
      <c r="D1295" s="13" t="n">
        <v>0</v>
      </c>
      <c r="E1295" s="13" t="n">
        <v>1</v>
      </c>
      <c r="F1295" s="13" t="n">
        <v>1</v>
      </c>
      <c r="G1295" s="13" t="n">
        <v>1</v>
      </c>
      <c r="H1295" s="13" t="n">
        <f aca="false">IF(C1295=1,A1295,"")</f>
        <v>4</v>
      </c>
      <c r="I1295" s="13" t="str">
        <f aca="false">IF(C1295=0,A1295,"")</f>
        <v/>
      </c>
    </row>
    <row r="1296" customFormat="false" ht="15" hidden="false" customHeight="false" outlineLevel="0" collapsed="false">
      <c r="A1296" s="13" t="n">
        <v>5</v>
      </c>
      <c r="B1296" s="13" t="n">
        <v>32</v>
      </c>
      <c r="C1296" s="13" t="n">
        <v>1</v>
      </c>
      <c r="D1296" s="13" t="n">
        <v>0</v>
      </c>
      <c r="E1296" s="13" t="n">
        <v>1</v>
      </c>
      <c r="F1296" s="13" t="n">
        <v>1</v>
      </c>
      <c r="G1296" s="13" t="n">
        <v>0</v>
      </c>
      <c r="H1296" s="13" t="n">
        <f aca="false">IF(C1296=1,A1296,"")</f>
        <v>5</v>
      </c>
      <c r="I1296" s="13" t="str">
        <f aca="false">IF(C1296=0,A1296,"")</f>
        <v/>
      </c>
    </row>
    <row r="1297" customFormat="false" ht="15" hidden="false" customHeight="false" outlineLevel="0" collapsed="false">
      <c r="A1297" s="13" t="n">
        <v>4</v>
      </c>
      <c r="B1297" s="13" t="n">
        <v>33</v>
      </c>
      <c r="C1297" s="13" t="n">
        <v>1</v>
      </c>
      <c r="D1297" s="13" t="n">
        <v>1</v>
      </c>
      <c r="E1297" s="13" t="n">
        <v>1</v>
      </c>
      <c r="F1297" s="13" t="n">
        <v>0</v>
      </c>
      <c r="G1297" s="13" t="n">
        <v>1</v>
      </c>
      <c r="H1297" s="13" t="n">
        <f aca="false">IF(C1297=1,A1297,"")</f>
        <v>4</v>
      </c>
      <c r="I1297" s="13" t="str">
        <f aca="false">IF(C1297=0,A1297,"")</f>
        <v/>
      </c>
    </row>
    <row r="1298" customFormat="false" ht="15" hidden="false" customHeight="false" outlineLevel="0" collapsed="false">
      <c r="A1298" s="13" t="n">
        <v>4</v>
      </c>
      <c r="B1298" s="13" t="n">
        <v>30</v>
      </c>
      <c r="C1298" s="13" t="n">
        <v>1</v>
      </c>
      <c r="D1298" s="13" t="n">
        <v>0</v>
      </c>
      <c r="E1298" s="13" t="n">
        <v>1</v>
      </c>
      <c r="F1298" s="13" t="n">
        <v>1</v>
      </c>
      <c r="G1298" s="13" t="n">
        <v>0</v>
      </c>
      <c r="H1298" s="13" t="n">
        <f aca="false">IF(C1298=1,A1298,"")</f>
        <v>4</v>
      </c>
      <c r="I1298" s="13" t="str">
        <f aca="false">IF(C1298=0,A1298,"")</f>
        <v/>
      </c>
    </row>
    <row r="1299" customFormat="false" ht="15" hidden="false" customHeight="false" outlineLevel="0" collapsed="false">
      <c r="A1299" s="13" t="n">
        <v>3</v>
      </c>
      <c r="B1299" s="13" t="n">
        <v>27</v>
      </c>
      <c r="C1299" s="13" t="n">
        <v>1</v>
      </c>
      <c r="D1299" s="13" t="n">
        <v>1</v>
      </c>
      <c r="E1299" s="13" t="n">
        <v>1</v>
      </c>
      <c r="F1299" s="13" t="n">
        <v>0</v>
      </c>
      <c r="G1299" s="13" t="n">
        <v>1</v>
      </c>
      <c r="H1299" s="13" t="n">
        <f aca="false">IF(C1299=1,A1299,"")</f>
        <v>3</v>
      </c>
      <c r="I1299" s="13" t="str">
        <f aca="false">IF(C1299=0,A1299,"")</f>
        <v/>
      </c>
    </row>
    <row r="1300" customFormat="false" ht="15" hidden="false" customHeight="false" outlineLevel="0" collapsed="false">
      <c r="A1300" s="13" t="n">
        <v>2</v>
      </c>
      <c r="B1300" s="13" t="n">
        <v>25</v>
      </c>
      <c r="C1300" s="13" t="n">
        <v>1</v>
      </c>
      <c r="D1300" s="13" t="n">
        <v>0</v>
      </c>
      <c r="E1300" s="13" t="n">
        <v>0</v>
      </c>
      <c r="F1300" s="13" t="n">
        <v>0</v>
      </c>
      <c r="G1300" s="13" t="n">
        <v>0</v>
      </c>
      <c r="H1300" s="13" t="n">
        <f aca="false">IF(C1300=1,A1300,"")</f>
        <v>2</v>
      </c>
      <c r="I1300" s="13" t="str">
        <f aca="false">IF(C1300=0,A1300,"")</f>
        <v/>
      </c>
    </row>
    <row r="1301" customFormat="false" ht="15" hidden="false" customHeight="false" outlineLevel="0" collapsed="false">
      <c r="A1301" s="13" t="n">
        <v>2</v>
      </c>
      <c r="B1301" s="13" t="n">
        <v>27</v>
      </c>
      <c r="C1301" s="13" t="n">
        <v>1</v>
      </c>
      <c r="D1301" s="13" t="n">
        <v>0</v>
      </c>
      <c r="E1301" s="13" t="n">
        <v>0</v>
      </c>
      <c r="F1301" s="13" t="n">
        <v>1</v>
      </c>
      <c r="G1301" s="13" t="n">
        <v>0</v>
      </c>
      <c r="H1301" s="13" t="n">
        <f aca="false">IF(C1301=1,A1301,"")</f>
        <v>2</v>
      </c>
      <c r="I1301" s="13" t="str">
        <f aca="false">IF(C1301=0,A1301,"")</f>
        <v/>
      </c>
    </row>
    <row r="1302" customFormat="false" ht="15" hidden="false" customHeight="false" outlineLevel="0" collapsed="false">
      <c r="A1302" s="13" t="n">
        <v>4</v>
      </c>
      <c r="B1302" s="13" t="n">
        <v>25</v>
      </c>
      <c r="C1302" s="13" t="n">
        <v>1</v>
      </c>
      <c r="D1302" s="13" t="n">
        <v>0</v>
      </c>
      <c r="E1302" s="13" t="n">
        <v>1</v>
      </c>
      <c r="F1302" s="13" t="n">
        <v>1</v>
      </c>
      <c r="G1302" s="13" t="n">
        <v>0</v>
      </c>
      <c r="H1302" s="13" t="n">
        <f aca="false">IF(C1302=1,A1302,"")</f>
        <v>4</v>
      </c>
      <c r="I1302" s="13" t="str">
        <f aca="false">IF(C1302=0,A1302,"")</f>
        <v/>
      </c>
    </row>
    <row r="1303" customFormat="false" ht="15" hidden="false" customHeight="false" outlineLevel="0" collapsed="false">
      <c r="A1303" s="13" t="n">
        <v>3</v>
      </c>
      <c r="B1303" s="13" t="n">
        <v>26</v>
      </c>
      <c r="C1303" s="13" t="n">
        <v>1</v>
      </c>
      <c r="D1303" s="13" t="n">
        <v>0</v>
      </c>
      <c r="E1303" s="13" t="n">
        <v>1</v>
      </c>
      <c r="F1303" s="13" t="n">
        <v>1</v>
      </c>
      <c r="G1303" s="13" t="n">
        <v>0</v>
      </c>
      <c r="H1303" s="13" t="n">
        <f aca="false">IF(C1303=1,A1303,"")</f>
        <v>3</v>
      </c>
      <c r="I1303" s="13" t="str">
        <f aca="false">IF(C1303=0,A1303,"")</f>
        <v/>
      </c>
    </row>
    <row r="1304" customFormat="false" ht="15" hidden="false" customHeight="false" outlineLevel="0" collapsed="false">
      <c r="A1304" s="13" t="n">
        <v>4</v>
      </c>
      <c r="B1304" s="13" t="n">
        <v>26</v>
      </c>
      <c r="C1304" s="13" t="n">
        <v>1</v>
      </c>
      <c r="D1304" s="13" t="n">
        <v>1</v>
      </c>
      <c r="E1304" s="13" t="n">
        <v>1</v>
      </c>
      <c r="F1304" s="13" t="n">
        <v>1</v>
      </c>
      <c r="G1304" s="13" t="n">
        <v>1</v>
      </c>
      <c r="H1304" s="13" t="n">
        <f aca="false">IF(C1304=1,A1304,"")</f>
        <v>4</v>
      </c>
      <c r="I1304" s="13" t="str">
        <f aca="false">IF(C1304=0,A1304,"")</f>
        <v/>
      </c>
    </row>
    <row r="1305" customFormat="false" ht="15" hidden="false" customHeight="false" outlineLevel="0" collapsed="false">
      <c r="A1305" s="13" t="n">
        <v>3</v>
      </c>
      <c r="B1305" s="13" t="n">
        <v>32</v>
      </c>
      <c r="C1305" s="13" t="n">
        <v>1</v>
      </c>
      <c r="D1305" s="13" t="n">
        <v>0</v>
      </c>
      <c r="E1305" s="13" t="n">
        <v>0</v>
      </c>
      <c r="F1305" s="13" t="n">
        <v>1</v>
      </c>
      <c r="G1305" s="13" t="n">
        <v>0</v>
      </c>
      <c r="H1305" s="13" t="n">
        <f aca="false">IF(C1305=1,A1305,"")</f>
        <v>3</v>
      </c>
      <c r="I1305" s="13" t="str">
        <f aca="false">IF(C1305=0,A1305,"")</f>
        <v/>
      </c>
    </row>
    <row r="1306" customFormat="false" ht="15" hidden="false" customHeight="false" outlineLevel="0" collapsed="false">
      <c r="A1306" s="13" t="n">
        <v>5</v>
      </c>
      <c r="B1306" s="13" t="n">
        <v>30</v>
      </c>
      <c r="C1306" s="13" t="n">
        <v>1</v>
      </c>
      <c r="D1306" s="13" t="n">
        <v>3</v>
      </c>
      <c r="E1306" s="13" t="n">
        <v>1</v>
      </c>
      <c r="F1306" s="13" t="n">
        <v>1</v>
      </c>
      <c r="G1306" s="13" t="n">
        <v>0</v>
      </c>
      <c r="H1306" s="13" t="n">
        <f aca="false">IF(C1306=1,A1306,"")</f>
        <v>5</v>
      </c>
      <c r="I1306" s="13" t="str">
        <f aca="false">IF(C1306=0,A1306,"")</f>
        <v/>
      </c>
    </row>
    <row r="1307" customFormat="false" ht="15" hidden="false" customHeight="false" outlineLevel="0" collapsed="false">
      <c r="A1307" s="13" t="n">
        <v>4</v>
      </c>
      <c r="B1307" s="13" t="n">
        <v>30</v>
      </c>
      <c r="C1307" s="13" t="n">
        <v>1</v>
      </c>
      <c r="D1307" s="13" t="n">
        <v>0</v>
      </c>
      <c r="E1307" s="13" t="n">
        <v>1</v>
      </c>
      <c r="F1307" s="13" t="n">
        <v>1</v>
      </c>
      <c r="G1307" s="13" t="n">
        <v>0</v>
      </c>
      <c r="H1307" s="13" t="n">
        <f aca="false">IF(C1307=1,A1307,"")</f>
        <v>4</v>
      </c>
      <c r="I1307" s="13" t="str">
        <f aca="false">IF(C1307=0,A1307,"")</f>
        <v/>
      </c>
    </row>
    <row r="1308" customFormat="false" ht="15" hidden="false" customHeight="false" outlineLevel="0" collapsed="false">
      <c r="A1308" s="13" t="n">
        <v>4</v>
      </c>
      <c r="B1308" s="13" t="n">
        <v>34</v>
      </c>
      <c r="C1308" s="13" t="n">
        <v>1</v>
      </c>
      <c r="D1308" s="13" t="n">
        <v>0</v>
      </c>
      <c r="E1308" s="13" t="n">
        <v>1</v>
      </c>
      <c r="F1308" s="13" t="n">
        <v>1</v>
      </c>
      <c r="G1308" s="13" t="n">
        <v>0</v>
      </c>
      <c r="H1308" s="13" t="n">
        <f aca="false">IF(C1308=1,A1308,"")</f>
        <v>4</v>
      </c>
      <c r="I1308" s="13" t="str">
        <f aca="false">IF(C1308=0,A1308,"")</f>
        <v/>
      </c>
    </row>
    <row r="1309" customFormat="false" ht="15" hidden="false" customHeight="false" outlineLevel="0" collapsed="false">
      <c r="A1309" s="13" t="n">
        <v>3</v>
      </c>
      <c r="B1309" s="13" t="n">
        <v>34</v>
      </c>
      <c r="C1309" s="13" t="n">
        <v>1</v>
      </c>
      <c r="D1309" s="13" t="n">
        <v>0</v>
      </c>
      <c r="E1309" s="13" t="n">
        <v>1</v>
      </c>
      <c r="F1309" s="13" t="n">
        <v>0</v>
      </c>
      <c r="G1309" s="13" t="n">
        <v>0</v>
      </c>
      <c r="H1309" s="13" t="n">
        <f aca="false">IF(C1309=1,A1309,"")</f>
        <v>3</v>
      </c>
      <c r="I1309" s="13" t="str">
        <f aca="false">IF(C1309=0,A1309,"")</f>
        <v/>
      </c>
    </row>
    <row r="1310" customFormat="false" ht="15" hidden="false" customHeight="false" outlineLevel="0" collapsed="false">
      <c r="A1310" s="13" t="n">
        <v>4</v>
      </c>
      <c r="B1310" s="13" t="n">
        <v>41</v>
      </c>
      <c r="C1310" s="13" t="n">
        <v>0</v>
      </c>
      <c r="D1310" s="13" t="n">
        <v>0</v>
      </c>
      <c r="E1310" s="13" t="n">
        <v>1</v>
      </c>
      <c r="F1310" s="13" t="n">
        <v>1</v>
      </c>
      <c r="G1310" s="13" t="n">
        <v>0</v>
      </c>
      <c r="H1310" s="13" t="str">
        <f aca="false">IF(C1310=1,A1310,"")</f>
        <v/>
      </c>
      <c r="I1310" s="13" t="n">
        <f aca="false">IF(C1310=0,A1310,"")</f>
        <v>4</v>
      </c>
    </row>
    <row r="1311" customFormat="false" ht="15" hidden="false" customHeight="false" outlineLevel="0" collapsed="false">
      <c r="A1311" s="13" t="n">
        <v>4</v>
      </c>
      <c r="B1311" s="13" t="n">
        <v>35</v>
      </c>
      <c r="C1311" s="13" t="n">
        <v>0</v>
      </c>
      <c r="D1311" s="13" t="n">
        <v>1</v>
      </c>
      <c r="E1311" s="13" t="n">
        <v>1</v>
      </c>
      <c r="F1311" s="13" t="n">
        <v>1</v>
      </c>
      <c r="G1311" s="13" t="n">
        <v>0</v>
      </c>
      <c r="H1311" s="13" t="str">
        <f aca="false">IF(C1311=1,A1311,"")</f>
        <v/>
      </c>
      <c r="I1311" s="13" t="n">
        <f aca="false">IF(C1311=0,A1311,"")</f>
        <v>4</v>
      </c>
    </row>
    <row r="1312" customFormat="false" ht="15" hidden="false" customHeight="false" outlineLevel="0" collapsed="false">
      <c r="A1312" s="13" t="n">
        <v>5</v>
      </c>
      <c r="B1312" s="13" t="n">
        <v>44</v>
      </c>
      <c r="C1312" s="13" t="n">
        <v>0</v>
      </c>
      <c r="D1312" s="13" t="n">
        <v>0</v>
      </c>
      <c r="E1312" s="13" t="n">
        <v>1</v>
      </c>
      <c r="F1312" s="13" t="n">
        <v>1</v>
      </c>
      <c r="G1312" s="13" t="n">
        <v>0</v>
      </c>
      <c r="H1312" s="13" t="str">
        <f aca="false">IF(C1312=1,A1312,"")</f>
        <v/>
      </c>
      <c r="I1312" s="13" t="n">
        <f aca="false">IF(C1312=0,A1312,"")</f>
        <v>5</v>
      </c>
    </row>
    <row r="1313" customFormat="false" ht="15" hidden="false" customHeight="false" outlineLevel="0" collapsed="false">
      <c r="A1313" s="13" t="n">
        <v>3</v>
      </c>
      <c r="B1313" s="13" t="n">
        <v>34</v>
      </c>
      <c r="C1313" s="13" t="n">
        <v>0</v>
      </c>
      <c r="D1313" s="13" t="n">
        <v>0</v>
      </c>
      <c r="E1313" s="13" t="n">
        <v>1</v>
      </c>
      <c r="F1313" s="13" t="n">
        <v>1</v>
      </c>
      <c r="G1313" s="13" t="n">
        <v>0</v>
      </c>
      <c r="H1313" s="13" t="str">
        <f aca="false">IF(C1313=1,A1313,"")</f>
        <v/>
      </c>
      <c r="I1313" s="13" t="n">
        <f aca="false">IF(C1313=0,A1313,"")</f>
        <v>3</v>
      </c>
    </row>
    <row r="1314" customFormat="false" ht="15" hidden="false" customHeight="false" outlineLevel="0" collapsed="false">
      <c r="A1314" s="13" t="n">
        <v>3</v>
      </c>
      <c r="B1314" s="13" t="n">
        <v>41</v>
      </c>
      <c r="C1314" s="13" t="n">
        <v>0</v>
      </c>
      <c r="D1314" s="13" t="n">
        <v>1</v>
      </c>
      <c r="E1314" s="13" t="n">
        <v>0</v>
      </c>
      <c r="F1314" s="13" t="n">
        <v>1</v>
      </c>
      <c r="G1314" s="13" t="n">
        <v>0</v>
      </c>
      <c r="H1314" s="13" t="str">
        <f aca="false">IF(C1314=1,A1314,"")</f>
        <v/>
      </c>
      <c r="I1314" s="13" t="n">
        <f aca="false">IF(C1314=0,A1314,"")</f>
        <v>3</v>
      </c>
    </row>
    <row r="1315" customFormat="false" ht="15" hidden="false" customHeight="false" outlineLevel="0" collapsed="false">
      <c r="A1315" s="13" t="n">
        <v>4</v>
      </c>
      <c r="B1315" s="13" t="n">
        <v>41</v>
      </c>
      <c r="C1315" s="13" t="n">
        <v>0</v>
      </c>
      <c r="D1315" s="13" t="n">
        <v>2</v>
      </c>
      <c r="E1315" s="13" t="n">
        <v>0</v>
      </c>
      <c r="F1315" s="13" t="n">
        <v>1</v>
      </c>
      <c r="G1315" s="13" t="n">
        <v>1</v>
      </c>
      <c r="H1315" s="13" t="str">
        <f aca="false">IF(C1315=1,A1315,"")</f>
        <v/>
      </c>
      <c r="I1315" s="13" t="n">
        <f aca="false">IF(C1315=0,A1315,"")</f>
        <v>4</v>
      </c>
    </row>
    <row r="1316" customFormat="false" ht="15" hidden="false" customHeight="false" outlineLevel="0" collapsed="false">
      <c r="A1316" s="13" t="n">
        <v>3</v>
      </c>
      <c r="B1316" s="13" t="n">
        <v>35</v>
      </c>
      <c r="C1316" s="13" t="n">
        <v>0</v>
      </c>
      <c r="D1316" s="13" t="n">
        <v>0</v>
      </c>
      <c r="E1316" s="13" t="n">
        <v>1</v>
      </c>
      <c r="F1316" s="13" t="n">
        <v>1</v>
      </c>
      <c r="G1316" s="13" t="n">
        <v>1</v>
      </c>
      <c r="H1316" s="13" t="str">
        <f aca="false">IF(C1316=1,A1316,"")</f>
        <v/>
      </c>
      <c r="I1316" s="13" t="n">
        <f aca="false">IF(C1316=0,A1316,"")</f>
        <v>3</v>
      </c>
    </row>
    <row r="1317" customFormat="false" ht="15" hidden="false" customHeight="false" outlineLevel="0" collapsed="false">
      <c r="A1317" s="13" t="n">
        <v>4</v>
      </c>
      <c r="B1317" s="13" t="n">
        <v>30</v>
      </c>
      <c r="C1317" s="13" t="n">
        <v>1</v>
      </c>
      <c r="D1317" s="13" t="n">
        <v>0</v>
      </c>
      <c r="E1317" s="13" t="n">
        <v>1</v>
      </c>
      <c r="F1317" s="13" t="n">
        <v>1</v>
      </c>
      <c r="G1317" s="13" t="n">
        <v>1</v>
      </c>
      <c r="H1317" s="13" t="n">
        <f aca="false">IF(C1317=1,A1317,"")</f>
        <v>4</v>
      </c>
      <c r="I1317" s="13" t="str">
        <f aca="false">IF(C1317=0,A1317,"")</f>
        <v/>
      </c>
    </row>
    <row r="1318" customFormat="false" ht="15" hidden="false" customHeight="false" outlineLevel="0" collapsed="false">
      <c r="A1318" s="13" t="n">
        <v>4</v>
      </c>
      <c r="B1318" s="13" t="n">
        <v>29</v>
      </c>
      <c r="C1318" s="13" t="n">
        <v>1</v>
      </c>
      <c r="D1318" s="13" t="n">
        <v>0</v>
      </c>
      <c r="E1318" s="13" t="n">
        <v>1</v>
      </c>
      <c r="F1318" s="13" t="n">
        <v>1</v>
      </c>
      <c r="G1318" s="13" t="n">
        <v>0</v>
      </c>
      <c r="H1318" s="13" t="n">
        <f aca="false">IF(C1318=1,A1318,"")</f>
        <v>4</v>
      </c>
      <c r="I1318" s="13" t="str">
        <f aca="false">IF(C1318=0,A1318,"")</f>
        <v/>
      </c>
    </row>
    <row r="1319" customFormat="false" ht="15" hidden="false" customHeight="false" outlineLevel="0" collapsed="false">
      <c r="A1319" s="13" t="n">
        <v>4</v>
      </c>
      <c r="B1319" s="13" t="n">
        <v>25</v>
      </c>
      <c r="C1319" s="13" t="n">
        <v>0</v>
      </c>
      <c r="D1319" s="13" t="n">
        <v>2</v>
      </c>
      <c r="E1319" s="13" t="n">
        <v>1</v>
      </c>
      <c r="F1319" s="13" t="n">
        <v>1</v>
      </c>
      <c r="G1319" s="13" t="n">
        <v>1</v>
      </c>
      <c r="H1319" s="13" t="str">
        <f aca="false">IF(C1319=1,A1319,"")</f>
        <v/>
      </c>
      <c r="I1319" s="13" t="n">
        <f aca="false">IF(C1319=0,A1319,"")</f>
        <v>4</v>
      </c>
    </row>
    <row r="1320" customFormat="false" ht="15" hidden="false" customHeight="false" outlineLevel="0" collapsed="false">
      <c r="A1320" s="13" t="n">
        <v>4</v>
      </c>
      <c r="B1320" s="13" t="n">
        <v>28</v>
      </c>
      <c r="C1320" s="13" t="n">
        <v>0</v>
      </c>
      <c r="D1320" s="13" t="n">
        <v>1</v>
      </c>
      <c r="E1320" s="13" t="n">
        <v>0</v>
      </c>
      <c r="F1320" s="13" t="n">
        <v>0</v>
      </c>
      <c r="G1320" s="13" t="n">
        <v>1</v>
      </c>
      <c r="H1320" s="13" t="str">
        <f aca="false">IF(C1320=1,A1320,"")</f>
        <v/>
      </c>
      <c r="I1320" s="13" t="n">
        <f aca="false">IF(C1320=0,A1320,"")</f>
        <v>4</v>
      </c>
    </row>
    <row r="1321" customFormat="false" ht="15" hidden="false" customHeight="false" outlineLevel="0" collapsed="false">
      <c r="A1321" s="13" t="n">
        <v>3</v>
      </c>
      <c r="B1321" s="13" t="n">
        <v>36</v>
      </c>
      <c r="C1321" s="13" t="n">
        <v>1</v>
      </c>
      <c r="D1321" s="13" t="n">
        <v>0</v>
      </c>
      <c r="E1321" s="13" t="n">
        <v>0</v>
      </c>
      <c r="F1321" s="13" t="n">
        <v>0</v>
      </c>
      <c r="G1321" s="13" t="n">
        <v>0</v>
      </c>
      <c r="H1321" s="13" t="n">
        <f aca="false">IF(C1321=1,A1321,"")</f>
        <v>3</v>
      </c>
      <c r="I1321" s="13" t="str">
        <f aca="false">IF(C1321=0,A1321,"")</f>
        <v/>
      </c>
    </row>
    <row r="1322" customFormat="false" ht="15" hidden="false" customHeight="false" outlineLevel="0" collapsed="false">
      <c r="A1322" s="13" t="n">
        <v>4</v>
      </c>
      <c r="B1322" s="13" t="n">
        <v>26</v>
      </c>
      <c r="C1322" s="13" t="n">
        <v>0</v>
      </c>
      <c r="D1322" s="13" t="n">
        <v>1</v>
      </c>
      <c r="E1322" s="13" t="n">
        <v>0</v>
      </c>
      <c r="F1322" s="13" t="n">
        <v>0</v>
      </c>
      <c r="G1322" s="13" t="n">
        <v>1</v>
      </c>
      <c r="H1322" s="13" t="str">
        <f aca="false">IF(C1322=1,A1322,"")</f>
        <v/>
      </c>
      <c r="I1322" s="13" t="n">
        <f aca="false">IF(C1322=0,A1322,"")</f>
        <v>4</v>
      </c>
    </row>
    <row r="1323" customFormat="false" ht="15" hidden="false" customHeight="false" outlineLevel="0" collapsed="false">
      <c r="A1323" s="13" t="n">
        <v>4</v>
      </c>
      <c r="B1323" s="13" t="n">
        <v>32</v>
      </c>
      <c r="C1323" s="13" t="n">
        <v>0</v>
      </c>
      <c r="D1323" s="13" t="n">
        <v>1</v>
      </c>
      <c r="E1323" s="13" t="n">
        <v>1</v>
      </c>
      <c r="F1323" s="13" t="n">
        <v>1</v>
      </c>
      <c r="G1323" s="13" t="n">
        <v>1</v>
      </c>
      <c r="H1323" s="13" t="str">
        <f aca="false">IF(C1323=1,A1323,"")</f>
        <v/>
      </c>
      <c r="I1323" s="13" t="n">
        <f aca="false">IF(C1323=0,A1323,"")</f>
        <v>4</v>
      </c>
    </row>
    <row r="1324" customFormat="false" ht="15" hidden="false" customHeight="false" outlineLevel="0" collapsed="false">
      <c r="A1324" s="13" t="n">
        <v>4</v>
      </c>
      <c r="B1324" s="13" t="n">
        <v>36</v>
      </c>
      <c r="C1324" s="13" t="n">
        <v>1</v>
      </c>
      <c r="D1324" s="13" t="n">
        <v>0</v>
      </c>
      <c r="E1324" s="13" t="n">
        <v>1</v>
      </c>
      <c r="F1324" s="13" t="n">
        <v>1</v>
      </c>
      <c r="G1324" s="13" t="n">
        <v>1</v>
      </c>
      <c r="H1324" s="13" t="n">
        <f aca="false">IF(C1324=1,A1324,"")</f>
        <v>4</v>
      </c>
      <c r="I1324" s="13" t="str">
        <f aca="false">IF(C1324=0,A1324,"")</f>
        <v/>
      </c>
    </row>
    <row r="1325" customFormat="false" ht="15" hidden="false" customHeight="false" outlineLevel="0" collapsed="false">
      <c r="A1325" s="13" t="n">
        <v>5</v>
      </c>
      <c r="B1325" s="13" t="n">
        <v>38</v>
      </c>
      <c r="C1325" s="13" t="n">
        <v>0</v>
      </c>
      <c r="D1325" s="13" t="n">
        <v>2</v>
      </c>
      <c r="E1325" s="13" t="n">
        <v>1</v>
      </c>
      <c r="F1325" s="13" t="n">
        <v>1</v>
      </c>
      <c r="G1325" s="13" t="n">
        <v>1</v>
      </c>
      <c r="H1325" s="13" t="str">
        <f aca="false">IF(C1325=1,A1325,"")</f>
        <v/>
      </c>
      <c r="I1325" s="13" t="n">
        <f aca="false">IF(C1325=0,A1325,"")</f>
        <v>5</v>
      </c>
    </row>
    <row r="1326" customFormat="false" ht="15" hidden="false" customHeight="false" outlineLevel="0" collapsed="false">
      <c r="A1326" s="13" t="n">
        <v>4</v>
      </c>
      <c r="B1326" s="13" t="n">
        <v>42</v>
      </c>
      <c r="C1326" s="13" t="n">
        <v>0</v>
      </c>
      <c r="D1326" s="13" t="n">
        <v>0</v>
      </c>
      <c r="E1326" s="13" t="n">
        <v>1</v>
      </c>
      <c r="F1326" s="13" t="n">
        <v>0</v>
      </c>
      <c r="G1326" s="13" t="n">
        <v>0</v>
      </c>
      <c r="H1326" s="13" t="str">
        <f aca="false">IF(C1326=1,A1326,"")</f>
        <v/>
      </c>
      <c r="I1326" s="13" t="n">
        <f aca="false">IF(C1326=0,A1326,"")</f>
        <v>4</v>
      </c>
    </row>
    <row r="1327" customFormat="false" ht="15" hidden="false" customHeight="false" outlineLevel="0" collapsed="false">
      <c r="A1327" s="13" t="n">
        <v>4</v>
      </c>
      <c r="B1327" s="13" t="n">
        <v>44</v>
      </c>
      <c r="C1327" s="13" t="n">
        <v>0</v>
      </c>
      <c r="D1327" s="13" t="n">
        <v>1</v>
      </c>
      <c r="E1327" s="13" t="n">
        <v>1</v>
      </c>
      <c r="F1327" s="13" t="n">
        <v>0</v>
      </c>
      <c r="G1327" s="13" t="n">
        <v>1</v>
      </c>
      <c r="H1327" s="13" t="str">
        <f aca="false">IF(C1327=1,A1327,"")</f>
        <v/>
      </c>
      <c r="I1327" s="13" t="n">
        <f aca="false">IF(C1327=0,A1327,"")</f>
        <v>4</v>
      </c>
    </row>
    <row r="1328" customFormat="false" ht="15" hidden="false" customHeight="false" outlineLevel="0" collapsed="false">
      <c r="A1328" s="13" t="n">
        <v>3</v>
      </c>
      <c r="B1328" s="13" t="n">
        <v>33</v>
      </c>
      <c r="C1328" s="13" t="n">
        <v>1</v>
      </c>
      <c r="D1328" s="13" t="n">
        <v>1</v>
      </c>
      <c r="E1328" s="13" t="n">
        <v>1</v>
      </c>
      <c r="F1328" s="13" t="n">
        <v>1</v>
      </c>
      <c r="G1328" s="13" t="n">
        <v>1</v>
      </c>
      <c r="H1328" s="13" t="n">
        <f aca="false">IF(C1328=1,A1328,"")</f>
        <v>3</v>
      </c>
      <c r="I1328" s="13" t="str">
        <f aca="false">IF(C1328=0,A1328,"")</f>
        <v/>
      </c>
    </row>
    <row r="1329" customFormat="false" ht="15" hidden="false" customHeight="false" outlineLevel="0" collapsed="false">
      <c r="A1329" s="13" t="n">
        <v>4</v>
      </c>
      <c r="B1329" s="13" t="n">
        <v>30</v>
      </c>
      <c r="C1329" s="13" t="n">
        <v>0</v>
      </c>
      <c r="D1329" s="13" t="n">
        <v>2</v>
      </c>
      <c r="E1329" s="13" t="n">
        <v>1</v>
      </c>
      <c r="F1329" s="13" t="n">
        <v>1</v>
      </c>
      <c r="G1329" s="13" t="n">
        <v>1</v>
      </c>
      <c r="H1329" s="13" t="str">
        <f aca="false">IF(C1329=1,A1329,"")</f>
        <v/>
      </c>
      <c r="I1329" s="13" t="n">
        <f aca="false">IF(C1329=0,A1329,"")</f>
        <v>4</v>
      </c>
    </row>
    <row r="1330" customFormat="false" ht="15" hidden="false" customHeight="false" outlineLevel="0" collapsed="false">
      <c r="A1330" s="13" t="n">
        <v>4</v>
      </c>
      <c r="B1330" s="13" t="n">
        <v>41</v>
      </c>
      <c r="C1330" s="13" t="n">
        <v>0</v>
      </c>
      <c r="D1330" s="13" t="n">
        <v>0</v>
      </c>
      <c r="E1330" s="13" t="n">
        <v>1</v>
      </c>
      <c r="F1330" s="13" t="n">
        <v>1</v>
      </c>
      <c r="G1330" s="13" t="n">
        <v>1</v>
      </c>
      <c r="H1330" s="13" t="str">
        <f aca="false">IF(C1330=1,A1330,"")</f>
        <v/>
      </c>
      <c r="I1330" s="13" t="n">
        <f aca="false">IF(C1330=0,A1330,"")</f>
        <v>4</v>
      </c>
    </row>
    <row r="1331" customFormat="false" ht="15" hidden="false" customHeight="false" outlineLevel="0" collapsed="false">
      <c r="A1331" s="13" t="n">
        <v>3</v>
      </c>
      <c r="B1331" s="13" t="n">
        <v>37</v>
      </c>
      <c r="C1331" s="13" t="n">
        <v>1</v>
      </c>
      <c r="D1331" s="13" t="n">
        <v>0</v>
      </c>
      <c r="E1331" s="13" t="n">
        <v>1</v>
      </c>
      <c r="F1331" s="13" t="n">
        <v>1</v>
      </c>
      <c r="G1331" s="13" t="n">
        <v>0</v>
      </c>
      <c r="H1331" s="13" t="n">
        <f aca="false">IF(C1331=1,A1331,"")</f>
        <v>3</v>
      </c>
      <c r="I1331" s="13" t="str">
        <f aca="false">IF(C1331=0,A1331,"")</f>
        <v/>
      </c>
    </row>
    <row r="1332" customFormat="false" ht="15" hidden="false" customHeight="false" outlineLevel="0" collapsed="false">
      <c r="A1332" s="13" t="n">
        <v>4</v>
      </c>
      <c r="B1332" s="13" t="n">
        <v>30</v>
      </c>
      <c r="C1332" s="13" t="n">
        <v>1</v>
      </c>
      <c r="D1332" s="13" t="n">
        <v>1</v>
      </c>
      <c r="E1332" s="13" t="n">
        <v>1</v>
      </c>
      <c r="F1332" s="13" t="n">
        <v>1</v>
      </c>
      <c r="G1332" s="13" t="n">
        <v>1</v>
      </c>
      <c r="H1332" s="13" t="n">
        <f aca="false">IF(C1332=1,A1332,"")</f>
        <v>4</v>
      </c>
      <c r="I1332" s="13" t="str">
        <f aca="false">IF(C1332=0,A1332,"")</f>
        <v/>
      </c>
    </row>
    <row r="1333" customFormat="false" ht="15" hidden="false" customHeight="false" outlineLevel="0" collapsed="false">
      <c r="A1333" s="13" t="n">
        <v>2</v>
      </c>
      <c r="B1333" s="13" t="n">
        <v>29</v>
      </c>
      <c r="C1333" s="13" t="n">
        <v>0</v>
      </c>
      <c r="D1333" s="13" t="n">
        <v>0</v>
      </c>
      <c r="E1333" s="13" t="n">
        <v>1</v>
      </c>
      <c r="F1333" s="13" t="n">
        <v>0</v>
      </c>
      <c r="G1333" s="13" t="n">
        <v>0</v>
      </c>
      <c r="H1333" s="13" t="str">
        <f aca="false">IF(C1333=1,A1333,"")</f>
        <v/>
      </c>
      <c r="I1333" s="13" t="n">
        <f aca="false">IF(C1333=0,A1333,"")</f>
        <v>2</v>
      </c>
    </row>
    <row r="1334" customFormat="false" ht="15" hidden="false" customHeight="false" outlineLevel="0" collapsed="false">
      <c r="A1334" s="13" t="n">
        <v>5</v>
      </c>
      <c r="B1334" s="13" t="n">
        <v>34</v>
      </c>
      <c r="C1334" s="13" t="n">
        <v>0</v>
      </c>
      <c r="D1334" s="13" t="n">
        <v>0</v>
      </c>
      <c r="E1334" s="13" t="n">
        <v>1</v>
      </c>
      <c r="F1334" s="13" t="n">
        <v>1</v>
      </c>
      <c r="G1334" s="13" t="n">
        <v>0</v>
      </c>
      <c r="H1334" s="13" t="str">
        <f aca="false">IF(C1334=1,A1334,"")</f>
        <v/>
      </c>
      <c r="I1334" s="13" t="n">
        <f aca="false">IF(C1334=0,A1334,"")</f>
        <v>5</v>
      </c>
    </row>
    <row r="1335" customFormat="false" ht="15" hidden="false" customHeight="false" outlineLevel="0" collapsed="false">
      <c r="A1335" s="13" t="n">
        <v>4</v>
      </c>
      <c r="B1335" s="13" t="n">
        <v>43</v>
      </c>
      <c r="C1335" s="13" t="n">
        <v>0</v>
      </c>
      <c r="D1335" s="13" t="n">
        <v>0</v>
      </c>
      <c r="E1335" s="13" t="n">
        <v>0</v>
      </c>
      <c r="F1335" s="13" t="n">
        <v>0</v>
      </c>
      <c r="G1335" s="13" t="n">
        <v>1</v>
      </c>
      <c r="H1335" s="13" t="str">
        <f aca="false">IF(C1335=1,A1335,"")</f>
        <v/>
      </c>
      <c r="I1335" s="13" t="n">
        <f aca="false">IF(C1335=0,A1335,"")</f>
        <v>4</v>
      </c>
    </row>
    <row r="1336" customFormat="false" ht="15" hidden="false" customHeight="false" outlineLevel="0" collapsed="false">
      <c r="A1336" s="13" t="n">
        <v>4</v>
      </c>
      <c r="B1336" s="13" t="n">
        <v>33</v>
      </c>
      <c r="C1336" s="13" t="n">
        <v>0</v>
      </c>
      <c r="D1336" s="13" t="n">
        <v>0</v>
      </c>
      <c r="E1336" s="13" t="n">
        <v>1</v>
      </c>
      <c r="F1336" s="13" t="n">
        <v>1</v>
      </c>
      <c r="G1336" s="13" t="n">
        <v>0</v>
      </c>
      <c r="H1336" s="13" t="str">
        <f aca="false">IF(C1336=1,A1336,"")</f>
        <v/>
      </c>
      <c r="I1336" s="13" t="n">
        <f aca="false">IF(C1336=0,A1336,"")</f>
        <v>4</v>
      </c>
    </row>
    <row r="1337" customFormat="false" ht="15" hidden="false" customHeight="false" outlineLevel="0" collapsed="false">
      <c r="A1337" s="13" t="n">
        <v>4</v>
      </c>
      <c r="B1337" s="13" t="n">
        <v>41</v>
      </c>
      <c r="C1337" s="13" t="n">
        <v>0</v>
      </c>
      <c r="D1337" s="13" t="n">
        <v>2</v>
      </c>
      <c r="E1337" s="13" t="n">
        <v>1</v>
      </c>
      <c r="F1337" s="13" t="n">
        <v>0</v>
      </c>
      <c r="G1337" s="13" t="n">
        <v>1</v>
      </c>
      <c r="H1337" s="13" t="str">
        <f aca="false">IF(C1337=1,A1337,"")</f>
        <v/>
      </c>
      <c r="I1337" s="13" t="n">
        <f aca="false">IF(C1337=0,A1337,"")</f>
        <v>4</v>
      </c>
    </row>
    <row r="1338" customFormat="false" ht="15" hidden="false" customHeight="false" outlineLevel="0" collapsed="false">
      <c r="A1338" s="13" t="n">
        <v>3</v>
      </c>
      <c r="B1338" s="13" t="n">
        <v>44</v>
      </c>
      <c r="C1338" s="13" t="n">
        <v>1</v>
      </c>
      <c r="D1338" s="13" t="n">
        <v>2</v>
      </c>
      <c r="E1338" s="13" t="n">
        <v>1</v>
      </c>
      <c r="F1338" s="13" t="n">
        <v>1</v>
      </c>
      <c r="G1338" s="13" t="n">
        <v>0</v>
      </c>
      <c r="H1338" s="13" t="n">
        <f aca="false">IF(C1338=1,A1338,"")</f>
        <v>3</v>
      </c>
      <c r="I1338" s="13" t="str">
        <f aca="false">IF(C1338=0,A1338,"")</f>
        <v/>
      </c>
    </row>
    <row r="1339" customFormat="false" ht="15" hidden="false" customHeight="false" outlineLevel="0" collapsed="false">
      <c r="A1339" s="13" t="n">
        <v>4</v>
      </c>
      <c r="B1339" s="13" t="n">
        <v>35</v>
      </c>
      <c r="C1339" s="13" t="n">
        <v>0</v>
      </c>
      <c r="D1339" s="13" t="n">
        <v>0</v>
      </c>
      <c r="E1339" s="13" t="n">
        <v>1</v>
      </c>
      <c r="F1339" s="13" t="n">
        <v>1</v>
      </c>
      <c r="G1339" s="13" t="n">
        <v>1</v>
      </c>
      <c r="H1339" s="13" t="str">
        <f aca="false">IF(C1339=1,A1339,"")</f>
        <v/>
      </c>
      <c r="I1339" s="13" t="n">
        <f aca="false">IF(C1339=0,A1339,"")</f>
        <v>4</v>
      </c>
    </row>
    <row r="1340" customFormat="false" ht="15" hidden="false" customHeight="false" outlineLevel="0" collapsed="false">
      <c r="A1340" s="13" t="n">
        <v>4</v>
      </c>
      <c r="B1340" s="13" t="n">
        <v>40</v>
      </c>
      <c r="C1340" s="13" t="n">
        <v>0</v>
      </c>
      <c r="D1340" s="13" t="n">
        <v>1</v>
      </c>
      <c r="E1340" s="13" t="n">
        <v>1</v>
      </c>
      <c r="F1340" s="13" t="n">
        <v>1</v>
      </c>
      <c r="G1340" s="13" t="n">
        <v>1</v>
      </c>
      <c r="H1340" s="13" t="str">
        <f aca="false">IF(C1340=1,A1340,"")</f>
        <v/>
      </c>
      <c r="I1340" s="13" t="n">
        <f aca="false">IF(C1340=0,A1340,"")</f>
        <v>4</v>
      </c>
    </row>
    <row r="1341" customFormat="false" ht="15" hidden="false" customHeight="false" outlineLevel="0" collapsed="false">
      <c r="A1341" s="13" t="n">
        <v>4</v>
      </c>
      <c r="B1341" s="13" t="n">
        <v>40</v>
      </c>
      <c r="C1341" s="13" t="n">
        <v>0</v>
      </c>
      <c r="D1341" s="13" t="n">
        <v>2</v>
      </c>
      <c r="E1341" s="13" t="n">
        <v>1</v>
      </c>
      <c r="F1341" s="13" t="n">
        <v>0</v>
      </c>
      <c r="G1341" s="13" t="n">
        <v>1</v>
      </c>
      <c r="H1341" s="13" t="str">
        <f aca="false">IF(C1341=1,A1341,"")</f>
        <v/>
      </c>
      <c r="I1341" s="13" t="n">
        <f aca="false">IF(C1341=0,A1341,"")</f>
        <v>4</v>
      </c>
    </row>
    <row r="1342" customFormat="false" ht="15" hidden="false" customHeight="false" outlineLevel="0" collapsed="false">
      <c r="A1342" s="13" t="n">
        <v>4</v>
      </c>
      <c r="B1342" s="13" t="n">
        <v>43</v>
      </c>
      <c r="C1342" s="13" t="n">
        <v>0</v>
      </c>
      <c r="D1342" s="13" t="n">
        <v>2</v>
      </c>
      <c r="E1342" s="13" t="n">
        <v>1</v>
      </c>
      <c r="F1342" s="13" t="n">
        <v>1</v>
      </c>
      <c r="G1342" s="13" t="n">
        <v>1</v>
      </c>
      <c r="H1342" s="13" t="str">
        <f aca="false">IF(C1342=1,A1342,"")</f>
        <v/>
      </c>
      <c r="I1342" s="13" t="n">
        <f aca="false">IF(C1342=0,A1342,"")</f>
        <v>4</v>
      </c>
    </row>
    <row r="1343" customFormat="false" ht="15" hidden="false" customHeight="false" outlineLevel="0" collapsed="false">
      <c r="A1343" s="13" t="n">
        <v>4</v>
      </c>
      <c r="B1343" s="13" t="n">
        <v>32</v>
      </c>
      <c r="C1343" s="13" t="n">
        <v>0</v>
      </c>
      <c r="D1343" s="13" t="n">
        <v>2</v>
      </c>
      <c r="E1343" s="13" t="n">
        <v>0</v>
      </c>
      <c r="F1343" s="13" t="n">
        <v>1</v>
      </c>
      <c r="G1343" s="13" t="n">
        <v>1</v>
      </c>
      <c r="H1343" s="13" t="str">
        <f aca="false">IF(C1343=1,A1343,"")</f>
        <v/>
      </c>
      <c r="I1343" s="13" t="n">
        <f aca="false">IF(C1343=0,A1343,"")</f>
        <v>4</v>
      </c>
    </row>
    <row r="1344" customFormat="false" ht="15" hidden="false" customHeight="false" outlineLevel="0" collapsed="false">
      <c r="A1344" s="13" t="n">
        <v>3</v>
      </c>
      <c r="B1344" s="13" t="n">
        <v>44</v>
      </c>
      <c r="C1344" s="13" t="n">
        <v>0</v>
      </c>
      <c r="D1344" s="13" t="n">
        <v>1</v>
      </c>
      <c r="E1344" s="13" t="n">
        <v>1</v>
      </c>
      <c r="F1344" s="13" t="n">
        <v>1</v>
      </c>
      <c r="G1344" s="13" t="n">
        <v>1</v>
      </c>
      <c r="H1344" s="13" t="str">
        <f aca="false">IF(C1344=1,A1344,"")</f>
        <v/>
      </c>
      <c r="I1344" s="13" t="n">
        <f aca="false">IF(C1344=0,A1344,"")</f>
        <v>3</v>
      </c>
    </row>
    <row r="1345" customFormat="false" ht="15" hidden="false" customHeight="false" outlineLevel="0" collapsed="false">
      <c r="A1345" s="13" t="n">
        <v>4</v>
      </c>
      <c r="B1345" s="13" t="n">
        <v>42</v>
      </c>
      <c r="C1345" s="13" t="n">
        <v>0</v>
      </c>
      <c r="D1345" s="13" t="n">
        <v>2</v>
      </c>
      <c r="E1345" s="13" t="n">
        <v>1</v>
      </c>
      <c r="F1345" s="13" t="n">
        <v>1</v>
      </c>
      <c r="G1345" s="13" t="n">
        <v>0</v>
      </c>
      <c r="H1345" s="13" t="str">
        <f aca="false">IF(C1345=1,A1345,"")</f>
        <v/>
      </c>
      <c r="I1345" s="13" t="n">
        <f aca="false">IF(C1345=0,A1345,"")</f>
        <v>4</v>
      </c>
    </row>
    <row r="1346" customFormat="false" ht="15" hidden="false" customHeight="false" outlineLevel="0" collapsed="false">
      <c r="A1346" s="13" t="n">
        <v>5</v>
      </c>
      <c r="B1346" s="13" t="n">
        <v>37</v>
      </c>
      <c r="C1346" s="13" t="n">
        <v>0</v>
      </c>
      <c r="D1346" s="13" t="n">
        <v>0</v>
      </c>
      <c r="E1346" s="13" t="n">
        <v>1</v>
      </c>
      <c r="F1346" s="13" t="n">
        <v>1</v>
      </c>
      <c r="G1346" s="13" t="n">
        <v>0</v>
      </c>
      <c r="H1346" s="13" t="str">
        <f aca="false">IF(C1346=1,A1346,"")</f>
        <v/>
      </c>
      <c r="I1346" s="13" t="n">
        <f aca="false">IF(C1346=0,A1346,"")</f>
        <v>5</v>
      </c>
    </row>
    <row r="1347" customFormat="false" ht="15" hidden="false" customHeight="false" outlineLevel="0" collapsed="false">
      <c r="A1347" s="13" t="n">
        <v>4</v>
      </c>
      <c r="B1347" s="13" t="n">
        <v>40</v>
      </c>
      <c r="C1347" s="13" t="n">
        <v>0</v>
      </c>
      <c r="D1347" s="13" t="n">
        <v>0</v>
      </c>
      <c r="E1347" s="13" t="n">
        <v>1</v>
      </c>
      <c r="F1347" s="13" t="n">
        <v>1</v>
      </c>
      <c r="G1347" s="13" t="n">
        <v>1</v>
      </c>
      <c r="H1347" s="13" t="str">
        <f aca="false">IF(C1347=1,A1347,"")</f>
        <v/>
      </c>
      <c r="I1347" s="13" t="n">
        <f aca="false">IF(C1347=0,A1347,"")</f>
        <v>4</v>
      </c>
    </row>
    <row r="1348" customFormat="false" ht="15" hidden="false" customHeight="false" outlineLevel="0" collapsed="false">
      <c r="A1348" s="13" t="n">
        <v>4</v>
      </c>
      <c r="B1348" s="13" t="n">
        <v>26</v>
      </c>
      <c r="C1348" s="13" t="n">
        <v>0</v>
      </c>
      <c r="D1348" s="13" t="n">
        <v>1</v>
      </c>
      <c r="E1348" s="13" t="n">
        <v>0</v>
      </c>
      <c r="F1348" s="13" t="n">
        <v>0</v>
      </c>
      <c r="G1348" s="13" t="n">
        <v>1</v>
      </c>
      <c r="H1348" s="13" t="str">
        <f aca="false">IF(C1348=1,A1348,"")</f>
        <v/>
      </c>
      <c r="I1348" s="13" t="n">
        <f aca="false">IF(C1348=0,A1348,"")</f>
        <v>4</v>
      </c>
    </row>
    <row r="1349" customFormat="false" ht="15" hidden="false" customHeight="false" outlineLevel="0" collapsed="false">
      <c r="A1349" s="13" t="n">
        <v>3</v>
      </c>
      <c r="B1349" s="13" t="n">
        <v>28</v>
      </c>
      <c r="C1349" s="13" t="n">
        <v>0</v>
      </c>
      <c r="D1349" s="13" t="n">
        <v>0</v>
      </c>
      <c r="E1349" s="13" t="n">
        <v>1</v>
      </c>
      <c r="F1349" s="13" t="n">
        <v>1</v>
      </c>
      <c r="G1349" s="13" t="n">
        <v>1</v>
      </c>
      <c r="H1349" s="13" t="str">
        <f aca="false">IF(C1349=1,A1349,"")</f>
        <v/>
      </c>
      <c r="I1349" s="13" t="n">
        <f aca="false">IF(C1349=0,A1349,"")</f>
        <v>3</v>
      </c>
    </row>
    <row r="1350" customFormat="false" ht="15" hidden="false" customHeight="false" outlineLevel="0" collapsed="false">
      <c r="A1350" s="13" t="n">
        <v>4</v>
      </c>
      <c r="B1350" s="13" t="n">
        <v>33</v>
      </c>
      <c r="C1350" s="13" t="n">
        <v>0</v>
      </c>
      <c r="D1350" s="13" t="n">
        <v>3</v>
      </c>
      <c r="E1350" s="13" t="n">
        <v>1</v>
      </c>
      <c r="F1350" s="13" t="n">
        <v>0</v>
      </c>
      <c r="G1350" s="13" t="n">
        <v>1</v>
      </c>
      <c r="H1350" s="13" t="str">
        <f aca="false">IF(C1350=1,A1350,"")</f>
        <v/>
      </c>
      <c r="I1350" s="13" t="n">
        <f aca="false">IF(C1350=0,A1350,"")</f>
        <v>4</v>
      </c>
    </row>
    <row r="1351" customFormat="false" ht="15" hidden="false" customHeight="false" outlineLevel="0" collapsed="false">
      <c r="A1351" s="13" t="n">
        <v>1</v>
      </c>
      <c r="B1351" s="13" t="n">
        <v>30</v>
      </c>
      <c r="C1351" s="13" t="n">
        <v>0</v>
      </c>
      <c r="D1351" s="13" t="n">
        <v>1</v>
      </c>
      <c r="E1351" s="13" t="n">
        <v>1</v>
      </c>
      <c r="F1351" s="13" t="n">
        <v>0</v>
      </c>
      <c r="G1351" s="13" t="n">
        <v>1</v>
      </c>
      <c r="H1351" s="13" t="str">
        <f aca="false">IF(C1351=1,A1351,"")</f>
        <v/>
      </c>
      <c r="I1351" s="13" t="n">
        <f aca="false">IF(C1351=0,A1351,"")</f>
        <v>1</v>
      </c>
    </row>
    <row r="1352" customFormat="false" ht="15" hidden="false" customHeight="false" outlineLevel="0" collapsed="false">
      <c r="A1352" s="13" t="n">
        <v>3</v>
      </c>
      <c r="B1352" s="13" t="n">
        <v>42</v>
      </c>
      <c r="C1352" s="13" t="n">
        <v>1</v>
      </c>
      <c r="D1352" s="13" t="n">
        <v>0</v>
      </c>
      <c r="E1352" s="13" t="n">
        <v>0</v>
      </c>
      <c r="F1352" s="13" t="n">
        <v>0</v>
      </c>
      <c r="G1352" s="13" t="n">
        <v>0</v>
      </c>
      <c r="H1352" s="13" t="n">
        <f aca="false">IF(C1352=1,A1352,"")</f>
        <v>3</v>
      </c>
      <c r="I1352" s="13" t="str">
        <f aca="false">IF(C1352=0,A1352,"")</f>
        <v/>
      </c>
    </row>
    <row r="1353" customFormat="false" ht="15" hidden="false" customHeight="false" outlineLevel="0" collapsed="false">
      <c r="A1353" s="13" t="n">
        <v>5</v>
      </c>
      <c r="B1353" s="13" t="n">
        <v>28</v>
      </c>
      <c r="C1353" s="13" t="n">
        <v>0</v>
      </c>
      <c r="D1353" s="13" t="n">
        <v>0</v>
      </c>
      <c r="E1353" s="13" t="n">
        <v>1</v>
      </c>
      <c r="F1353" s="13" t="n">
        <v>1</v>
      </c>
      <c r="G1353" s="13" t="n">
        <v>1</v>
      </c>
      <c r="H1353" s="13" t="str">
        <f aca="false">IF(C1353=1,A1353,"")</f>
        <v/>
      </c>
      <c r="I1353" s="13" t="n">
        <f aca="false">IF(C1353=0,A1353,"")</f>
        <v>5</v>
      </c>
    </row>
    <row r="1354" customFormat="false" ht="15" hidden="false" customHeight="false" outlineLevel="0" collapsed="false">
      <c r="A1354" s="13" t="n">
        <v>4</v>
      </c>
      <c r="B1354" s="13" t="n">
        <v>39</v>
      </c>
      <c r="C1354" s="13" t="n">
        <v>0</v>
      </c>
      <c r="D1354" s="13" t="n">
        <v>0</v>
      </c>
      <c r="E1354" s="13" t="n">
        <v>0</v>
      </c>
      <c r="F1354" s="13" t="n">
        <v>0</v>
      </c>
      <c r="G1354" s="13" t="n">
        <v>0</v>
      </c>
      <c r="H1354" s="13" t="str">
        <f aca="false">IF(C1354=1,A1354,"")</f>
        <v/>
      </c>
      <c r="I1354" s="13" t="n">
        <f aca="false">IF(C1354=0,A1354,"")</f>
        <v>4</v>
      </c>
    </row>
    <row r="1355" customFormat="false" ht="15" hidden="false" customHeight="false" outlineLevel="0" collapsed="false">
      <c r="A1355" s="13" t="n">
        <v>4</v>
      </c>
      <c r="B1355" s="13" t="n">
        <v>25</v>
      </c>
      <c r="C1355" s="13" t="n">
        <v>0</v>
      </c>
      <c r="D1355" s="13" t="n">
        <v>0</v>
      </c>
      <c r="E1355" s="13" t="n">
        <v>1</v>
      </c>
      <c r="F1355" s="13" t="n">
        <v>1</v>
      </c>
      <c r="G1355" s="13" t="n">
        <v>1</v>
      </c>
      <c r="H1355" s="13" t="str">
        <f aca="false">IF(C1355=1,A1355,"")</f>
        <v/>
      </c>
      <c r="I1355" s="13" t="n">
        <f aca="false">IF(C1355=0,A1355,"")</f>
        <v>4</v>
      </c>
    </row>
    <row r="1356" customFormat="false" ht="15" hidden="false" customHeight="false" outlineLevel="0" collapsed="false">
      <c r="A1356" s="13" t="n">
        <v>3</v>
      </c>
      <c r="B1356" s="13" t="n">
        <v>33</v>
      </c>
      <c r="C1356" s="13" t="n">
        <v>0</v>
      </c>
      <c r="D1356" s="13" t="n">
        <v>0</v>
      </c>
      <c r="E1356" s="13" t="n">
        <v>1</v>
      </c>
      <c r="F1356" s="13" t="n">
        <v>1</v>
      </c>
      <c r="G1356" s="13" t="n">
        <v>0</v>
      </c>
      <c r="H1356" s="13" t="str">
        <f aca="false">IF(C1356=1,A1356,"")</f>
        <v/>
      </c>
      <c r="I1356" s="13" t="n">
        <f aca="false">IF(C1356=0,A1356,"")</f>
        <v>3</v>
      </c>
    </row>
    <row r="1357" customFormat="false" ht="15" hidden="false" customHeight="false" outlineLevel="0" collapsed="false">
      <c r="A1357" s="13" t="n">
        <v>4</v>
      </c>
      <c r="B1357" s="13" t="n">
        <v>33</v>
      </c>
      <c r="C1357" s="13" t="n">
        <v>0</v>
      </c>
      <c r="D1357" s="13" t="n">
        <v>0</v>
      </c>
      <c r="E1357" s="13" t="n">
        <v>1</v>
      </c>
      <c r="F1357" s="13" t="n">
        <v>1</v>
      </c>
      <c r="G1357" s="13" t="n">
        <v>1</v>
      </c>
      <c r="H1357" s="13" t="str">
        <f aca="false">IF(C1357=1,A1357,"")</f>
        <v/>
      </c>
      <c r="I1357" s="13" t="n">
        <f aca="false">IF(C1357=0,A1357,"")</f>
        <v>4</v>
      </c>
    </row>
    <row r="1358" customFormat="false" ht="15" hidden="false" customHeight="false" outlineLevel="0" collapsed="false">
      <c r="A1358" s="13" t="n">
        <v>2</v>
      </c>
      <c r="B1358" s="13" t="n">
        <v>29</v>
      </c>
      <c r="C1358" s="13" t="n">
        <v>0</v>
      </c>
      <c r="D1358" s="13" t="n">
        <v>0</v>
      </c>
      <c r="E1358" s="13" t="n">
        <v>1</v>
      </c>
      <c r="F1358" s="13" t="n">
        <v>0</v>
      </c>
      <c r="G1358" s="13" t="n">
        <v>0</v>
      </c>
      <c r="H1358" s="13" t="str">
        <f aca="false">IF(C1358=1,A1358,"")</f>
        <v/>
      </c>
      <c r="I1358" s="13" t="n">
        <f aca="false">IF(C1358=0,A1358,"")</f>
        <v>2</v>
      </c>
    </row>
    <row r="1359" customFormat="false" ht="15" hidden="false" customHeight="false" outlineLevel="0" collapsed="false">
      <c r="A1359" s="13" t="n">
        <v>4</v>
      </c>
      <c r="B1359" s="13" t="n">
        <v>27</v>
      </c>
      <c r="C1359" s="13" t="n">
        <v>0</v>
      </c>
      <c r="D1359" s="13" t="n">
        <v>0</v>
      </c>
      <c r="E1359" s="13" t="n">
        <v>1</v>
      </c>
      <c r="F1359" s="13" t="n">
        <v>1</v>
      </c>
      <c r="G1359" s="13" t="n">
        <v>1</v>
      </c>
      <c r="H1359" s="13" t="str">
        <f aca="false">IF(C1359=1,A1359,"")</f>
        <v/>
      </c>
      <c r="I1359" s="13" t="n">
        <f aca="false">IF(C1359=0,A1359,"")</f>
        <v>4</v>
      </c>
    </row>
    <row r="1360" customFormat="false" ht="15" hidden="false" customHeight="false" outlineLevel="0" collapsed="false">
      <c r="A1360" s="13" t="n">
        <v>4</v>
      </c>
      <c r="B1360" s="13" t="n">
        <v>42</v>
      </c>
      <c r="C1360" s="13" t="n">
        <v>0</v>
      </c>
      <c r="D1360" s="13" t="n">
        <v>0</v>
      </c>
      <c r="E1360" s="13" t="n">
        <v>1</v>
      </c>
      <c r="F1360" s="13" t="n">
        <v>0</v>
      </c>
      <c r="G1360" s="13" t="n">
        <v>1</v>
      </c>
      <c r="H1360" s="13" t="str">
        <f aca="false">IF(C1360=1,A1360,"")</f>
        <v/>
      </c>
      <c r="I1360" s="13" t="n">
        <f aca="false">IF(C1360=0,A1360,"")</f>
        <v>4</v>
      </c>
    </row>
    <row r="1361" customFormat="false" ht="15" hidden="false" customHeight="false" outlineLevel="0" collapsed="false">
      <c r="A1361" s="13" t="n">
        <v>4</v>
      </c>
      <c r="B1361" s="13" t="n">
        <v>28</v>
      </c>
      <c r="C1361" s="13" t="n">
        <v>0</v>
      </c>
      <c r="D1361" s="13" t="n">
        <v>0</v>
      </c>
      <c r="E1361" s="13" t="n">
        <v>0</v>
      </c>
      <c r="F1361" s="13" t="n">
        <v>1</v>
      </c>
      <c r="G1361" s="13" t="n">
        <v>0</v>
      </c>
      <c r="H1361" s="13" t="str">
        <f aca="false">IF(C1361=1,A1361,"")</f>
        <v/>
      </c>
      <c r="I1361" s="13" t="n">
        <f aca="false">IF(C1361=0,A1361,"")</f>
        <v>4</v>
      </c>
    </row>
    <row r="1362" customFormat="false" ht="15" hidden="false" customHeight="false" outlineLevel="0" collapsed="false">
      <c r="A1362" s="13" t="n">
        <v>4</v>
      </c>
      <c r="B1362" s="13" t="n">
        <v>34</v>
      </c>
      <c r="C1362" s="13" t="n">
        <v>1</v>
      </c>
      <c r="D1362" s="13" t="n">
        <v>0</v>
      </c>
      <c r="E1362" s="13" t="n">
        <v>0</v>
      </c>
      <c r="F1362" s="13" t="n">
        <v>1</v>
      </c>
      <c r="G1362" s="13" t="n">
        <v>0</v>
      </c>
      <c r="H1362" s="13" t="n">
        <f aca="false">IF(C1362=1,A1362,"")</f>
        <v>4</v>
      </c>
      <c r="I1362" s="13" t="str">
        <f aca="false">IF(C1362=0,A1362,"")</f>
        <v/>
      </c>
    </row>
    <row r="1363" customFormat="false" ht="15" hidden="false" customHeight="false" outlineLevel="0" collapsed="false">
      <c r="A1363" s="13" t="n">
        <v>3</v>
      </c>
      <c r="B1363" s="13" t="n">
        <v>28</v>
      </c>
      <c r="C1363" s="13" t="n">
        <v>0</v>
      </c>
      <c r="D1363" s="13" t="n">
        <v>0</v>
      </c>
      <c r="E1363" s="13" t="n">
        <v>1</v>
      </c>
      <c r="F1363" s="13" t="n">
        <v>1</v>
      </c>
      <c r="G1363" s="13" t="n">
        <v>0</v>
      </c>
      <c r="H1363" s="13" t="str">
        <f aca="false">IF(C1363=1,A1363,"")</f>
        <v/>
      </c>
      <c r="I1363" s="13" t="n">
        <f aca="false">IF(C1363=0,A1363,"")</f>
        <v>3</v>
      </c>
    </row>
    <row r="1364" customFormat="false" ht="15" hidden="false" customHeight="false" outlineLevel="0" collapsed="false">
      <c r="A1364" s="13" t="n">
        <v>5</v>
      </c>
      <c r="B1364" s="13" t="n">
        <v>25</v>
      </c>
      <c r="C1364" s="13" t="n">
        <v>0</v>
      </c>
      <c r="D1364" s="13" t="n">
        <v>2</v>
      </c>
      <c r="E1364" s="13" t="n">
        <v>1</v>
      </c>
      <c r="F1364" s="13" t="n">
        <v>0</v>
      </c>
      <c r="G1364" s="13" t="n">
        <v>1</v>
      </c>
      <c r="H1364" s="13" t="str">
        <f aca="false">IF(C1364=1,A1364,"")</f>
        <v/>
      </c>
      <c r="I1364" s="13" t="n">
        <f aca="false">IF(C1364=0,A1364,"")</f>
        <v>5</v>
      </c>
    </row>
    <row r="1365" customFormat="false" ht="15" hidden="false" customHeight="false" outlineLevel="0" collapsed="false">
      <c r="A1365" s="13" t="n">
        <v>4</v>
      </c>
      <c r="B1365" s="13" t="n">
        <v>37</v>
      </c>
      <c r="C1365" s="13" t="n">
        <v>0</v>
      </c>
      <c r="D1365" s="13" t="n">
        <v>0</v>
      </c>
      <c r="E1365" s="13" t="n">
        <v>1</v>
      </c>
      <c r="F1365" s="13" t="n">
        <v>0</v>
      </c>
      <c r="G1365" s="13" t="n">
        <v>0</v>
      </c>
      <c r="H1365" s="13" t="str">
        <f aca="false">IF(C1365=1,A1365,"")</f>
        <v/>
      </c>
      <c r="I1365" s="13" t="n">
        <f aca="false">IF(C1365=0,A1365,"")</f>
        <v>4</v>
      </c>
    </row>
    <row r="1366" customFormat="false" ht="15" hidden="false" customHeight="false" outlineLevel="0" collapsed="false">
      <c r="A1366" s="13" t="n">
        <v>3</v>
      </c>
      <c r="B1366" s="13" t="n">
        <v>36</v>
      </c>
      <c r="C1366" s="13" t="n">
        <v>0</v>
      </c>
      <c r="D1366" s="13" t="n">
        <v>0</v>
      </c>
      <c r="E1366" s="13" t="n">
        <v>1</v>
      </c>
      <c r="F1366" s="13" t="n">
        <v>0</v>
      </c>
      <c r="G1366" s="13" t="n">
        <v>0</v>
      </c>
      <c r="H1366" s="13" t="str">
        <f aca="false">IF(C1366=1,A1366,"")</f>
        <v/>
      </c>
      <c r="I1366" s="13" t="n">
        <f aca="false">IF(C1366=0,A1366,"")</f>
        <v>3</v>
      </c>
    </row>
    <row r="1367" customFormat="false" ht="15" hidden="false" customHeight="false" outlineLevel="0" collapsed="false">
      <c r="A1367" s="13" t="n">
        <v>4</v>
      </c>
      <c r="B1367" s="13" t="n">
        <v>34</v>
      </c>
      <c r="C1367" s="13" t="n">
        <v>0</v>
      </c>
      <c r="D1367" s="13" t="n">
        <v>0</v>
      </c>
      <c r="E1367" s="13" t="n">
        <v>1</v>
      </c>
      <c r="F1367" s="13" t="n">
        <v>0</v>
      </c>
      <c r="G1367" s="13" t="n">
        <v>0</v>
      </c>
      <c r="H1367" s="13" t="str">
        <f aca="false">IF(C1367=1,A1367,"")</f>
        <v/>
      </c>
      <c r="I1367" s="13" t="n">
        <f aca="false">IF(C1367=0,A1367,"")</f>
        <v>4</v>
      </c>
    </row>
    <row r="1368" customFormat="false" ht="15" hidden="false" customHeight="false" outlineLevel="0" collapsed="false">
      <c r="A1368" s="13" t="n">
        <v>4</v>
      </c>
      <c r="B1368" s="13" t="n">
        <v>37</v>
      </c>
      <c r="C1368" s="13" t="n">
        <v>0</v>
      </c>
      <c r="D1368" s="13" t="n">
        <v>1</v>
      </c>
      <c r="E1368" s="13" t="n">
        <v>0</v>
      </c>
      <c r="F1368" s="13" t="n">
        <v>0</v>
      </c>
      <c r="G1368" s="13" t="n">
        <v>1</v>
      </c>
      <c r="H1368" s="13" t="str">
        <f aca="false">IF(C1368=1,A1368,"")</f>
        <v/>
      </c>
      <c r="I1368" s="13" t="n">
        <f aca="false">IF(C1368=0,A1368,"")</f>
        <v>4</v>
      </c>
    </row>
    <row r="1369" customFormat="false" ht="15" hidden="false" customHeight="false" outlineLevel="0" collapsed="false">
      <c r="A1369" s="13" t="n">
        <v>4</v>
      </c>
      <c r="B1369" s="13" t="n">
        <v>43</v>
      </c>
      <c r="C1369" s="13" t="n">
        <v>0</v>
      </c>
      <c r="D1369" s="13" t="n">
        <v>3</v>
      </c>
      <c r="E1369" s="13" t="n">
        <v>0</v>
      </c>
      <c r="F1369" s="13" t="n">
        <v>1</v>
      </c>
      <c r="G1369" s="13" t="n">
        <v>1</v>
      </c>
      <c r="H1369" s="13" t="str">
        <f aca="false">IF(C1369=1,A1369,"")</f>
        <v/>
      </c>
      <c r="I1369" s="13" t="n">
        <f aca="false">IF(C1369=0,A1369,"")</f>
        <v>4</v>
      </c>
    </row>
    <row r="1370" customFormat="false" ht="15" hidden="false" customHeight="false" outlineLevel="0" collapsed="false">
      <c r="A1370" s="13" t="n">
        <v>3</v>
      </c>
      <c r="B1370" s="13" t="n">
        <v>40</v>
      </c>
      <c r="C1370" s="13" t="n">
        <v>0</v>
      </c>
      <c r="D1370" s="13" t="n">
        <v>2</v>
      </c>
      <c r="E1370" s="13" t="n">
        <v>1</v>
      </c>
      <c r="F1370" s="13" t="n">
        <v>1</v>
      </c>
      <c r="G1370" s="13" t="n">
        <v>1</v>
      </c>
      <c r="H1370" s="13" t="str">
        <f aca="false">IF(C1370=1,A1370,"")</f>
        <v/>
      </c>
      <c r="I1370" s="13" t="n">
        <f aca="false">IF(C1370=0,A1370,"")</f>
        <v>3</v>
      </c>
    </row>
    <row r="1371" customFormat="false" ht="15" hidden="false" customHeight="false" outlineLevel="0" collapsed="false">
      <c r="A1371" s="13" t="n">
        <v>3</v>
      </c>
      <c r="B1371" s="13" t="n">
        <v>35</v>
      </c>
      <c r="C1371" s="13" t="n">
        <v>0</v>
      </c>
      <c r="D1371" s="13" t="n">
        <v>0</v>
      </c>
      <c r="E1371" s="13" t="n">
        <v>1</v>
      </c>
      <c r="F1371" s="13" t="n">
        <v>1</v>
      </c>
      <c r="G1371" s="13" t="n">
        <v>1</v>
      </c>
      <c r="H1371" s="13" t="str">
        <f aca="false">IF(C1371=1,A1371,"")</f>
        <v/>
      </c>
      <c r="I1371" s="13" t="n">
        <f aca="false">IF(C1371=0,A1371,"")</f>
        <v>3</v>
      </c>
    </row>
    <row r="1372" customFormat="false" ht="15" hidden="false" customHeight="false" outlineLevel="0" collapsed="false">
      <c r="A1372" s="13" t="n">
        <v>5</v>
      </c>
      <c r="B1372" s="13" t="n">
        <v>28</v>
      </c>
      <c r="C1372" s="13" t="n">
        <v>0</v>
      </c>
      <c r="D1372" s="13" t="n">
        <v>1</v>
      </c>
      <c r="E1372" s="13" t="n">
        <v>1</v>
      </c>
      <c r="F1372" s="13" t="n">
        <v>1</v>
      </c>
      <c r="G1372" s="13" t="n">
        <v>1</v>
      </c>
      <c r="H1372" s="13" t="str">
        <f aca="false">IF(C1372=1,A1372,"")</f>
        <v/>
      </c>
      <c r="I1372" s="13" t="n">
        <f aca="false">IF(C1372=0,A1372,"")</f>
        <v>5</v>
      </c>
    </row>
    <row r="1373" customFormat="false" ht="15" hidden="false" customHeight="false" outlineLevel="0" collapsed="false">
      <c r="A1373" s="13" t="n">
        <v>4</v>
      </c>
      <c r="B1373" s="13" t="n">
        <v>35</v>
      </c>
      <c r="C1373" s="13" t="n">
        <v>1</v>
      </c>
      <c r="D1373" s="13" t="n">
        <v>0</v>
      </c>
      <c r="E1373" s="13" t="n">
        <v>1</v>
      </c>
      <c r="F1373" s="13" t="n">
        <v>1</v>
      </c>
      <c r="G1373" s="13" t="n">
        <v>0</v>
      </c>
      <c r="H1373" s="13" t="n">
        <f aca="false">IF(C1373=1,A1373,"")</f>
        <v>4</v>
      </c>
      <c r="I1373" s="13" t="str">
        <f aca="false">IF(C1373=0,A1373,"")</f>
        <v/>
      </c>
    </row>
    <row r="1374" customFormat="false" ht="15" hidden="false" customHeight="false" outlineLevel="0" collapsed="false">
      <c r="A1374" s="13" t="n">
        <v>3</v>
      </c>
      <c r="B1374" s="13" t="n">
        <v>38</v>
      </c>
      <c r="C1374" s="13" t="n">
        <v>0</v>
      </c>
      <c r="D1374" s="13" t="n">
        <v>0</v>
      </c>
      <c r="E1374" s="13" t="n">
        <v>1</v>
      </c>
      <c r="F1374" s="13" t="n">
        <v>0</v>
      </c>
      <c r="G1374" s="13" t="n">
        <v>0</v>
      </c>
      <c r="H1374" s="13" t="str">
        <f aca="false">IF(C1374=1,A1374,"")</f>
        <v/>
      </c>
      <c r="I1374" s="13" t="n">
        <f aca="false">IF(C1374=0,A1374,"")</f>
        <v>3</v>
      </c>
    </row>
    <row r="1375" customFormat="false" ht="15" hidden="false" customHeight="false" outlineLevel="0" collapsed="false">
      <c r="A1375" s="13" t="n">
        <v>4</v>
      </c>
      <c r="B1375" s="13" t="n">
        <v>38</v>
      </c>
      <c r="C1375" s="13" t="n">
        <v>0</v>
      </c>
      <c r="D1375" s="13" t="n">
        <v>0</v>
      </c>
      <c r="E1375" s="13" t="n">
        <v>1</v>
      </c>
      <c r="F1375" s="13" t="n">
        <v>1</v>
      </c>
      <c r="G1375" s="13" t="n">
        <v>1</v>
      </c>
      <c r="H1375" s="13" t="str">
        <f aca="false">IF(C1375=1,A1375,"")</f>
        <v/>
      </c>
      <c r="I1375" s="13" t="n">
        <f aca="false">IF(C1375=0,A1375,"")</f>
        <v>4</v>
      </c>
    </row>
    <row r="1376" customFormat="false" ht="15" hidden="false" customHeight="false" outlineLevel="0" collapsed="false">
      <c r="A1376" s="13" t="n">
        <v>3</v>
      </c>
      <c r="B1376" s="13" t="n">
        <v>38</v>
      </c>
      <c r="C1376" s="13" t="n">
        <v>1</v>
      </c>
      <c r="D1376" s="13" t="n">
        <v>1</v>
      </c>
      <c r="E1376" s="13" t="n">
        <v>0</v>
      </c>
      <c r="F1376" s="13" t="n">
        <v>1</v>
      </c>
      <c r="G1376" s="13" t="n">
        <v>0</v>
      </c>
      <c r="H1376" s="13" t="n">
        <f aca="false">IF(C1376=1,A1376,"")</f>
        <v>3</v>
      </c>
      <c r="I1376" s="13" t="str">
        <f aca="false">IF(C1376=0,A1376,"")</f>
        <v/>
      </c>
    </row>
    <row r="1377" customFormat="false" ht="15" hidden="false" customHeight="false" outlineLevel="0" collapsed="false">
      <c r="A1377" s="13" t="n">
        <v>3</v>
      </c>
      <c r="B1377" s="13" t="n">
        <v>42</v>
      </c>
      <c r="C1377" s="13" t="n">
        <v>0</v>
      </c>
      <c r="D1377" s="13" t="n">
        <v>0</v>
      </c>
      <c r="E1377" s="13" t="n">
        <v>1</v>
      </c>
      <c r="F1377" s="13" t="n">
        <v>0</v>
      </c>
      <c r="G1377" s="13" t="n">
        <v>0</v>
      </c>
      <c r="H1377" s="13" t="str">
        <f aca="false">IF(C1377=1,A1377,"")</f>
        <v/>
      </c>
      <c r="I1377" s="13" t="n">
        <f aca="false">IF(C1377=0,A1377,"")</f>
        <v>3</v>
      </c>
    </row>
    <row r="1378" customFormat="false" ht="15" hidden="false" customHeight="false" outlineLevel="0" collapsed="false">
      <c r="A1378" s="13" t="n">
        <v>2</v>
      </c>
      <c r="B1378" s="13" t="n">
        <v>37</v>
      </c>
      <c r="C1378" s="13" t="n">
        <v>0</v>
      </c>
      <c r="D1378" s="13" t="n">
        <v>0</v>
      </c>
      <c r="E1378" s="13" t="n">
        <v>1</v>
      </c>
      <c r="F1378" s="13" t="n">
        <v>0</v>
      </c>
      <c r="G1378" s="13" t="n">
        <v>1</v>
      </c>
      <c r="H1378" s="13" t="str">
        <f aca="false">IF(C1378=1,A1378,"")</f>
        <v/>
      </c>
      <c r="I1378" s="13" t="n">
        <f aca="false">IF(C1378=0,A1378,"")</f>
        <v>2</v>
      </c>
    </row>
    <row r="1379" customFormat="false" ht="15" hidden="false" customHeight="false" outlineLevel="0" collapsed="false">
      <c r="A1379" s="13" t="n">
        <v>5</v>
      </c>
      <c r="B1379" s="13" t="n">
        <v>43</v>
      </c>
      <c r="C1379" s="13" t="n">
        <v>0</v>
      </c>
      <c r="D1379" s="13" t="n">
        <v>2</v>
      </c>
      <c r="E1379" s="13" t="n">
        <v>1</v>
      </c>
      <c r="F1379" s="13" t="n">
        <v>1</v>
      </c>
      <c r="G1379" s="13" t="n">
        <v>1</v>
      </c>
      <c r="H1379" s="13" t="str">
        <f aca="false">IF(C1379=1,A1379,"")</f>
        <v/>
      </c>
      <c r="I1379" s="13" t="n">
        <f aca="false">IF(C1379=0,A1379,"")</f>
        <v>5</v>
      </c>
    </row>
    <row r="1380" customFormat="false" ht="15" hidden="false" customHeight="false" outlineLevel="0" collapsed="false">
      <c r="A1380" s="13" t="n">
        <v>3</v>
      </c>
      <c r="B1380" s="13" t="n">
        <v>38</v>
      </c>
      <c r="C1380" s="13" t="n">
        <v>1</v>
      </c>
      <c r="D1380" s="13" t="n">
        <v>2</v>
      </c>
      <c r="E1380" s="13" t="n">
        <v>1</v>
      </c>
      <c r="F1380" s="13" t="n">
        <v>1</v>
      </c>
      <c r="G1380" s="13" t="n">
        <v>1</v>
      </c>
      <c r="H1380" s="13" t="n">
        <f aca="false">IF(C1380=1,A1380,"")</f>
        <v>3</v>
      </c>
      <c r="I1380" s="13" t="str">
        <f aca="false">IF(C1380=0,A1380,"")</f>
        <v/>
      </c>
    </row>
    <row r="1381" customFormat="false" ht="15" hidden="false" customHeight="false" outlineLevel="0" collapsed="false">
      <c r="A1381" s="13" t="n">
        <v>2</v>
      </c>
      <c r="B1381" s="13" t="n">
        <v>35</v>
      </c>
      <c r="C1381" s="13" t="n">
        <v>0</v>
      </c>
      <c r="D1381" s="13" t="n">
        <v>0</v>
      </c>
      <c r="E1381" s="13" t="n">
        <v>0</v>
      </c>
      <c r="F1381" s="13" t="n">
        <v>1</v>
      </c>
      <c r="G1381" s="13" t="n">
        <v>0</v>
      </c>
      <c r="H1381" s="13" t="str">
        <f aca="false">IF(C1381=1,A1381,"")</f>
        <v/>
      </c>
      <c r="I1381" s="13" t="n">
        <f aca="false">IF(C1381=0,A1381,"")</f>
        <v>2</v>
      </c>
    </row>
    <row r="1382" customFormat="false" ht="15" hidden="false" customHeight="false" outlineLevel="0" collapsed="false">
      <c r="A1382" s="13" t="n">
        <v>3</v>
      </c>
      <c r="B1382" s="13" t="n">
        <v>37</v>
      </c>
      <c r="C1382" s="13" t="n">
        <v>0</v>
      </c>
      <c r="D1382" s="13" t="n">
        <v>3</v>
      </c>
      <c r="E1382" s="13" t="n">
        <v>0</v>
      </c>
      <c r="F1382" s="13" t="n">
        <v>0</v>
      </c>
      <c r="G1382" s="13" t="n">
        <v>1</v>
      </c>
      <c r="H1382" s="13" t="str">
        <f aca="false">IF(C1382=1,A1382,"")</f>
        <v/>
      </c>
      <c r="I1382" s="13" t="n">
        <f aca="false">IF(C1382=0,A1382,"")</f>
        <v>3</v>
      </c>
    </row>
    <row r="1383" customFormat="false" ht="15" hidden="false" customHeight="false" outlineLevel="0" collapsed="false">
      <c r="A1383" s="13" t="n">
        <v>3</v>
      </c>
      <c r="B1383" s="13" t="n">
        <v>36</v>
      </c>
      <c r="C1383" s="13" t="n">
        <v>1</v>
      </c>
      <c r="D1383" s="13" t="n">
        <v>0</v>
      </c>
      <c r="E1383" s="13" t="n">
        <v>0</v>
      </c>
      <c r="F1383" s="13" t="n">
        <v>1</v>
      </c>
      <c r="G1383" s="13" t="n">
        <v>0</v>
      </c>
      <c r="H1383" s="13" t="n">
        <f aca="false">IF(C1383=1,A1383,"")</f>
        <v>3</v>
      </c>
      <c r="I1383" s="13" t="str">
        <f aca="false">IF(C1383=0,A1383,"")</f>
        <v/>
      </c>
    </row>
    <row r="1384" customFormat="false" ht="15" hidden="false" customHeight="false" outlineLevel="0" collapsed="false">
      <c r="A1384" s="13" t="n">
        <v>3</v>
      </c>
      <c r="B1384" s="13" t="n">
        <v>36</v>
      </c>
      <c r="C1384" s="13" t="n">
        <v>1</v>
      </c>
      <c r="D1384" s="13" t="n">
        <v>4</v>
      </c>
      <c r="E1384" s="13" t="n">
        <v>1</v>
      </c>
      <c r="F1384" s="13" t="n">
        <v>0</v>
      </c>
      <c r="G1384" s="13" t="n">
        <v>1</v>
      </c>
      <c r="H1384" s="13" t="n">
        <f aca="false">IF(C1384=1,A1384,"")</f>
        <v>3</v>
      </c>
      <c r="I1384" s="13" t="str">
        <f aca="false">IF(C1384=0,A1384,"")</f>
        <v/>
      </c>
    </row>
    <row r="1385" customFormat="false" ht="15" hidden="false" customHeight="false" outlineLevel="0" collapsed="false">
      <c r="A1385" s="13" t="n">
        <v>4</v>
      </c>
      <c r="B1385" s="13" t="n">
        <v>43</v>
      </c>
      <c r="C1385" s="13" t="n">
        <v>0</v>
      </c>
      <c r="D1385" s="13" t="n">
        <v>0</v>
      </c>
      <c r="E1385" s="13" t="n">
        <v>1</v>
      </c>
      <c r="F1385" s="13" t="n">
        <v>1</v>
      </c>
      <c r="G1385" s="13" t="n">
        <v>1</v>
      </c>
      <c r="H1385" s="13" t="str">
        <f aca="false">IF(C1385=1,A1385,"")</f>
        <v/>
      </c>
      <c r="I1385" s="13" t="n">
        <f aca="false">IF(C1385=0,A1385,"")</f>
        <v>4</v>
      </c>
    </row>
    <row r="1386" customFormat="false" ht="15" hidden="false" customHeight="false" outlineLevel="0" collapsed="false">
      <c r="A1386" s="13" t="n">
        <v>4</v>
      </c>
      <c r="B1386" s="13" t="n">
        <v>36</v>
      </c>
      <c r="C1386" s="13" t="n">
        <v>0</v>
      </c>
      <c r="D1386" s="13" t="n">
        <v>0</v>
      </c>
      <c r="E1386" s="13" t="n">
        <v>1</v>
      </c>
      <c r="F1386" s="13" t="n">
        <v>1</v>
      </c>
      <c r="G1386" s="13" t="n">
        <v>1</v>
      </c>
      <c r="H1386" s="13" t="str">
        <f aca="false">IF(C1386=1,A1386,"")</f>
        <v/>
      </c>
      <c r="I1386" s="13" t="n">
        <f aca="false">IF(C1386=0,A1386,"")</f>
        <v>4</v>
      </c>
    </row>
    <row r="1387" customFormat="false" ht="15" hidden="false" customHeight="false" outlineLevel="0" collapsed="false">
      <c r="A1387" s="13" t="n">
        <v>4</v>
      </c>
      <c r="B1387" s="13" t="n">
        <v>43</v>
      </c>
      <c r="C1387" s="13" t="n">
        <v>0</v>
      </c>
      <c r="D1387" s="13" t="n">
        <v>2</v>
      </c>
      <c r="E1387" s="13" t="n">
        <v>1</v>
      </c>
      <c r="F1387" s="13" t="n">
        <v>1</v>
      </c>
      <c r="G1387" s="13" t="n">
        <v>1</v>
      </c>
      <c r="H1387" s="13" t="str">
        <f aca="false">IF(C1387=1,A1387,"")</f>
        <v/>
      </c>
      <c r="I1387" s="13" t="n">
        <f aca="false">IF(C1387=0,A1387,"")</f>
        <v>4</v>
      </c>
    </row>
    <row r="1388" customFormat="false" ht="15" hidden="false" customHeight="false" outlineLevel="0" collapsed="false">
      <c r="A1388" s="13" t="n">
        <v>4</v>
      </c>
      <c r="B1388" s="13" t="n">
        <v>41</v>
      </c>
      <c r="C1388" s="13" t="n">
        <v>1</v>
      </c>
      <c r="D1388" s="13" t="n">
        <v>2</v>
      </c>
      <c r="E1388" s="13" t="n">
        <v>1</v>
      </c>
      <c r="F1388" s="13" t="n">
        <v>0</v>
      </c>
      <c r="G1388" s="13" t="n">
        <v>1</v>
      </c>
      <c r="H1388" s="13" t="n">
        <f aca="false">IF(C1388=1,A1388,"")</f>
        <v>4</v>
      </c>
      <c r="I1388" s="13" t="str">
        <f aca="false">IF(C1388=0,A1388,"")</f>
        <v/>
      </c>
    </row>
    <row r="1389" customFormat="false" ht="15" hidden="false" customHeight="false" outlineLevel="0" collapsed="false">
      <c r="A1389" s="13" t="n">
        <v>4</v>
      </c>
      <c r="B1389" s="13" t="n">
        <v>39</v>
      </c>
      <c r="C1389" s="13" t="n">
        <v>0</v>
      </c>
      <c r="D1389" s="13" t="n">
        <v>0</v>
      </c>
      <c r="E1389" s="13" t="n">
        <v>1</v>
      </c>
      <c r="F1389" s="13" t="n">
        <v>0</v>
      </c>
      <c r="G1389" s="13" t="n">
        <v>1</v>
      </c>
      <c r="H1389" s="13" t="str">
        <f aca="false">IF(C1389=1,A1389,"")</f>
        <v/>
      </c>
      <c r="I1389" s="13" t="n">
        <f aca="false">IF(C1389=0,A1389,"")</f>
        <v>4</v>
      </c>
    </row>
    <row r="1390" customFormat="false" ht="15" hidden="false" customHeight="false" outlineLevel="0" collapsed="false">
      <c r="A1390" s="13" t="n">
        <v>3</v>
      </c>
      <c r="B1390" s="13" t="n">
        <v>42</v>
      </c>
      <c r="C1390" s="13" t="n">
        <v>0</v>
      </c>
      <c r="D1390" s="13" t="n">
        <v>2</v>
      </c>
      <c r="E1390" s="13" t="n">
        <v>0</v>
      </c>
      <c r="F1390" s="13" t="n">
        <v>0</v>
      </c>
      <c r="G1390" s="13" t="n">
        <v>1</v>
      </c>
      <c r="H1390" s="13" t="str">
        <f aca="false">IF(C1390=1,A1390,"")</f>
        <v/>
      </c>
      <c r="I1390" s="13" t="n">
        <f aca="false">IF(C1390=0,A1390,"")</f>
        <v>3</v>
      </c>
    </row>
    <row r="1391" customFormat="false" ht="15" hidden="false" customHeight="false" outlineLevel="0" collapsed="false">
      <c r="A1391" s="13" t="n">
        <v>4</v>
      </c>
      <c r="B1391" s="13" t="n">
        <v>35</v>
      </c>
      <c r="C1391" s="13" t="n">
        <v>0</v>
      </c>
      <c r="D1391" s="13" t="n">
        <v>1</v>
      </c>
      <c r="E1391" s="13" t="n">
        <v>1</v>
      </c>
      <c r="F1391" s="13" t="n">
        <v>1</v>
      </c>
      <c r="G1391" s="13" t="n">
        <v>1</v>
      </c>
      <c r="H1391" s="13" t="str">
        <f aca="false">IF(C1391=1,A1391,"")</f>
        <v/>
      </c>
      <c r="I1391" s="13" t="n">
        <f aca="false">IF(C1391=0,A1391,"")</f>
        <v>4</v>
      </c>
    </row>
    <row r="1392" customFormat="false" ht="15" hidden="false" customHeight="false" outlineLevel="0" collapsed="false">
      <c r="A1392" s="13" t="n">
        <v>4</v>
      </c>
      <c r="B1392" s="13" t="n">
        <v>42</v>
      </c>
      <c r="C1392" s="13" t="n">
        <v>0</v>
      </c>
      <c r="D1392" s="13" t="n">
        <v>1</v>
      </c>
      <c r="E1392" s="13" t="n">
        <v>1</v>
      </c>
      <c r="F1392" s="13" t="n">
        <v>0</v>
      </c>
      <c r="G1392" s="13" t="n">
        <v>1</v>
      </c>
      <c r="H1392" s="13" t="str">
        <f aca="false">IF(C1392=1,A1392,"")</f>
        <v/>
      </c>
      <c r="I1392" s="13" t="n">
        <f aca="false">IF(C1392=0,A1392,"")</f>
        <v>4</v>
      </c>
    </row>
    <row r="1393" customFormat="false" ht="15" hidden="false" customHeight="false" outlineLevel="0" collapsed="false">
      <c r="A1393" s="13" t="n">
        <v>4</v>
      </c>
      <c r="B1393" s="13" t="n">
        <v>42</v>
      </c>
      <c r="C1393" s="13" t="n">
        <v>1</v>
      </c>
      <c r="D1393" s="13" t="n">
        <v>2</v>
      </c>
      <c r="E1393" s="13" t="n">
        <v>1</v>
      </c>
      <c r="F1393" s="13" t="n">
        <v>1</v>
      </c>
      <c r="G1393" s="13" t="n">
        <v>1</v>
      </c>
      <c r="H1393" s="13" t="n">
        <f aca="false">IF(C1393=1,A1393,"")</f>
        <v>4</v>
      </c>
      <c r="I1393" s="13" t="str">
        <f aca="false">IF(C1393=0,A1393,"")</f>
        <v/>
      </c>
    </row>
    <row r="1394" customFormat="false" ht="15" hidden="false" customHeight="false" outlineLevel="0" collapsed="false">
      <c r="A1394" s="13" t="n">
        <v>3</v>
      </c>
      <c r="B1394" s="13" t="n">
        <v>44</v>
      </c>
      <c r="C1394" s="13" t="n">
        <v>0</v>
      </c>
      <c r="D1394" s="13" t="n">
        <v>0</v>
      </c>
      <c r="E1394" s="13" t="n">
        <v>0</v>
      </c>
      <c r="F1394" s="13" t="n">
        <v>1</v>
      </c>
      <c r="G1394" s="13" t="n">
        <v>0</v>
      </c>
      <c r="H1394" s="13" t="str">
        <f aca="false">IF(C1394=1,A1394,"")</f>
        <v/>
      </c>
      <c r="I1394" s="13" t="n">
        <f aca="false">IF(C1394=0,A1394,"")</f>
        <v>3</v>
      </c>
    </row>
    <row r="1395" customFormat="false" ht="15" hidden="false" customHeight="false" outlineLevel="0" collapsed="false">
      <c r="A1395" s="13" t="n">
        <v>4</v>
      </c>
      <c r="B1395" s="13" t="n">
        <v>41</v>
      </c>
      <c r="C1395" s="13" t="n">
        <v>0</v>
      </c>
      <c r="D1395" s="13" t="n">
        <v>0</v>
      </c>
      <c r="E1395" s="13" t="n">
        <v>1</v>
      </c>
      <c r="F1395" s="13" t="n">
        <v>1</v>
      </c>
      <c r="G1395" s="13" t="n">
        <v>1</v>
      </c>
      <c r="H1395" s="13" t="str">
        <f aca="false">IF(C1395=1,A1395,"")</f>
        <v/>
      </c>
      <c r="I1395" s="13" t="n">
        <f aca="false">IF(C1395=0,A1395,"")</f>
        <v>4</v>
      </c>
    </row>
    <row r="1396" customFormat="false" ht="15" hidden="false" customHeight="false" outlineLevel="0" collapsed="false">
      <c r="A1396" s="13" t="n">
        <v>3</v>
      </c>
      <c r="B1396" s="13" t="n">
        <v>41</v>
      </c>
      <c r="C1396" s="13" t="n">
        <v>1</v>
      </c>
      <c r="D1396" s="13" t="n">
        <v>2</v>
      </c>
      <c r="E1396" s="13" t="n">
        <v>1</v>
      </c>
      <c r="F1396" s="13" t="n">
        <v>0</v>
      </c>
      <c r="G1396" s="13" t="n">
        <v>1</v>
      </c>
      <c r="H1396" s="13" t="n">
        <f aca="false">IF(C1396=1,A1396,"")</f>
        <v>3</v>
      </c>
      <c r="I1396" s="13" t="str">
        <f aca="false">IF(C1396=0,A1396,"")</f>
        <v/>
      </c>
    </row>
    <row r="1397" customFormat="false" ht="15" hidden="false" customHeight="false" outlineLevel="0" collapsed="false">
      <c r="A1397" s="13" t="n">
        <v>5</v>
      </c>
      <c r="B1397" s="13" t="n">
        <v>36</v>
      </c>
      <c r="C1397" s="13" t="n">
        <v>0</v>
      </c>
      <c r="D1397" s="13" t="n">
        <v>3</v>
      </c>
      <c r="E1397" s="13" t="n">
        <v>0</v>
      </c>
      <c r="F1397" s="13" t="n">
        <v>0</v>
      </c>
      <c r="G1397" s="13" t="n">
        <v>1</v>
      </c>
      <c r="H1397" s="13" t="str">
        <f aca="false">IF(C1397=1,A1397,"")</f>
        <v/>
      </c>
      <c r="I1397" s="13" t="n">
        <f aca="false">IF(C1397=0,A1397,"")</f>
        <v>5</v>
      </c>
    </row>
    <row r="1398" customFormat="false" ht="15" hidden="false" customHeight="false" outlineLevel="0" collapsed="false">
      <c r="A1398" s="13" t="n">
        <v>3</v>
      </c>
      <c r="B1398" s="13" t="n">
        <v>35</v>
      </c>
      <c r="C1398" s="13" t="n">
        <v>0</v>
      </c>
      <c r="D1398" s="13" t="n">
        <v>1</v>
      </c>
      <c r="E1398" s="13" t="n">
        <v>0</v>
      </c>
      <c r="F1398" s="13" t="n">
        <v>1</v>
      </c>
      <c r="G1398" s="13" t="n">
        <v>1</v>
      </c>
      <c r="H1398" s="13" t="str">
        <f aca="false">IF(C1398=1,A1398,"")</f>
        <v/>
      </c>
      <c r="I1398" s="13" t="n">
        <f aca="false">IF(C1398=0,A1398,"")</f>
        <v>3</v>
      </c>
    </row>
    <row r="1399" customFormat="false" ht="15" hidden="false" customHeight="false" outlineLevel="0" collapsed="false">
      <c r="A1399" s="13" t="n">
        <v>4</v>
      </c>
      <c r="B1399" s="13" t="n">
        <v>36</v>
      </c>
      <c r="C1399" s="13" t="n">
        <v>1</v>
      </c>
      <c r="D1399" s="13" t="n">
        <v>1</v>
      </c>
      <c r="E1399" s="13" t="n">
        <v>1</v>
      </c>
      <c r="F1399" s="13" t="n">
        <v>1</v>
      </c>
      <c r="G1399" s="13" t="n">
        <v>1</v>
      </c>
      <c r="H1399" s="13" t="n">
        <f aca="false">IF(C1399=1,A1399,"")</f>
        <v>4</v>
      </c>
      <c r="I1399" s="13" t="str">
        <f aca="false">IF(C1399=0,A1399,"")</f>
        <v/>
      </c>
    </row>
    <row r="1400" customFormat="false" ht="15" hidden="false" customHeight="false" outlineLevel="0" collapsed="false">
      <c r="A1400" s="13" t="n">
        <v>2</v>
      </c>
      <c r="B1400" s="13" t="n">
        <v>36</v>
      </c>
      <c r="C1400" s="13" t="n">
        <v>0</v>
      </c>
      <c r="D1400" s="13" t="n">
        <v>4</v>
      </c>
      <c r="E1400" s="13" t="n">
        <v>0</v>
      </c>
      <c r="F1400" s="13" t="n">
        <v>0</v>
      </c>
      <c r="G1400" s="13" t="n">
        <v>1</v>
      </c>
      <c r="H1400" s="13" t="str">
        <f aca="false">IF(C1400=1,A1400,"")</f>
        <v/>
      </c>
      <c r="I1400" s="13" t="n">
        <f aca="false">IF(C1400=0,A1400,"")</f>
        <v>2</v>
      </c>
    </row>
    <row r="1401" customFormat="false" ht="15" hidden="false" customHeight="false" outlineLevel="0" collapsed="false">
      <c r="A1401" s="13" t="n">
        <v>3</v>
      </c>
      <c r="B1401" s="13" t="n">
        <v>38</v>
      </c>
      <c r="C1401" s="13" t="n">
        <v>0</v>
      </c>
      <c r="D1401" s="13" t="n">
        <v>1</v>
      </c>
      <c r="E1401" s="13" t="n">
        <v>0</v>
      </c>
      <c r="F1401" s="13" t="n">
        <v>0</v>
      </c>
      <c r="G1401" s="13" t="n">
        <v>0</v>
      </c>
      <c r="H1401" s="13" t="str">
        <f aca="false">IF(C1401=1,A1401,"")</f>
        <v/>
      </c>
      <c r="I1401" s="13" t="n">
        <f aca="false">IF(C1401=0,A1401,"")</f>
        <v>3</v>
      </c>
    </row>
    <row r="1402" customFormat="false" ht="15" hidden="false" customHeight="false" outlineLevel="0" collapsed="false">
      <c r="A1402" s="13" t="n">
        <v>4</v>
      </c>
      <c r="B1402" s="13" t="n">
        <v>39</v>
      </c>
      <c r="C1402" s="13" t="n">
        <v>0</v>
      </c>
      <c r="D1402" s="13" t="n">
        <v>0</v>
      </c>
      <c r="E1402" s="13" t="n">
        <v>1</v>
      </c>
      <c r="F1402" s="13" t="n">
        <v>1</v>
      </c>
      <c r="G1402" s="13" t="n">
        <v>0</v>
      </c>
      <c r="H1402" s="13" t="str">
        <f aca="false">IF(C1402=1,A1402,"")</f>
        <v/>
      </c>
      <c r="I1402" s="13" t="n">
        <f aca="false">IF(C1402=0,A1402,"")</f>
        <v>4</v>
      </c>
    </row>
    <row r="1403" customFormat="false" ht="15" hidden="false" customHeight="false" outlineLevel="0" collapsed="false">
      <c r="A1403" s="13" t="n">
        <v>4</v>
      </c>
      <c r="B1403" s="13" t="n">
        <v>42</v>
      </c>
      <c r="C1403" s="13" t="n">
        <v>0</v>
      </c>
      <c r="D1403" s="13" t="n">
        <v>0</v>
      </c>
      <c r="E1403" s="13" t="n">
        <v>1</v>
      </c>
      <c r="F1403" s="13" t="n">
        <v>1</v>
      </c>
      <c r="G1403" s="13" t="n">
        <v>1</v>
      </c>
      <c r="H1403" s="13" t="str">
        <f aca="false">IF(C1403=1,A1403,"")</f>
        <v/>
      </c>
      <c r="I1403" s="13" t="n">
        <f aca="false">IF(C1403=0,A1403,"")</f>
        <v>4</v>
      </c>
    </row>
    <row r="1404" customFormat="false" ht="15" hidden="false" customHeight="false" outlineLevel="0" collapsed="false">
      <c r="A1404" s="13" t="n">
        <v>3</v>
      </c>
      <c r="B1404" s="13" t="n">
        <v>39</v>
      </c>
      <c r="C1404" s="13" t="n">
        <v>0</v>
      </c>
      <c r="D1404" s="13" t="n">
        <v>2</v>
      </c>
      <c r="E1404" s="13" t="n">
        <v>1</v>
      </c>
      <c r="F1404" s="13" t="n">
        <v>0</v>
      </c>
      <c r="G1404" s="13" t="n">
        <v>1</v>
      </c>
      <c r="H1404" s="13" t="str">
        <f aca="false">IF(C1404=1,A1404,"")</f>
        <v/>
      </c>
      <c r="I1404" s="13" t="n">
        <f aca="false">IF(C1404=0,A1404,"")</f>
        <v>3</v>
      </c>
    </row>
    <row r="1405" customFormat="false" ht="15" hidden="false" customHeight="false" outlineLevel="0" collapsed="false">
      <c r="A1405" s="13" t="n">
        <v>4</v>
      </c>
      <c r="B1405" s="13" t="n">
        <v>40</v>
      </c>
      <c r="C1405" s="13" t="n">
        <v>0</v>
      </c>
      <c r="D1405" s="13" t="n">
        <v>0</v>
      </c>
      <c r="E1405" s="13" t="n">
        <v>1</v>
      </c>
      <c r="F1405" s="13" t="n">
        <v>1</v>
      </c>
      <c r="G1405" s="13" t="n">
        <v>0</v>
      </c>
      <c r="H1405" s="13" t="str">
        <f aca="false">IF(C1405=1,A1405,"")</f>
        <v/>
      </c>
      <c r="I1405" s="13" t="n">
        <f aca="false">IF(C1405=0,A1405,"")</f>
        <v>4</v>
      </c>
    </row>
    <row r="1406" customFormat="false" ht="15" hidden="false" customHeight="false" outlineLevel="0" collapsed="false">
      <c r="A1406" s="13" t="n">
        <v>4</v>
      </c>
      <c r="B1406" s="13" t="n">
        <v>35</v>
      </c>
      <c r="C1406" s="13" t="n">
        <v>0</v>
      </c>
      <c r="D1406" s="13" t="n">
        <v>0</v>
      </c>
      <c r="E1406" s="13" t="n">
        <v>1</v>
      </c>
      <c r="F1406" s="13" t="n">
        <v>1</v>
      </c>
      <c r="G1406" s="13" t="n">
        <v>0</v>
      </c>
      <c r="H1406" s="13" t="str">
        <f aca="false">IF(C1406=1,A1406,"")</f>
        <v/>
      </c>
      <c r="I1406" s="13" t="n">
        <f aca="false">IF(C1406=0,A1406,"")</f>
        <v>4</v>
      </c>
    </row>
    <row r="1407" customFormat="false" ht="15" hidden="false" customHeight="false" outlineLevel="0" collapsed="false">
      <c r="A1407" s="13" t="n">
        <v>3</v>
      </c>
      <c r="B1407" s="13" t="n">
        <v>39</v>
      </c>
      <c r="C1407" s="13" t="n">
        <v>1</v>
      </c>
      <c r="D1407" s="13" t="n">
        <v>1</v>
      </c>
      <c r="E1407" s="13" t="n">
        <v>1</v>
      </c>
      <c r="F1407" s="13" t="n">
        <v>1</v>
      </c>
      <c r="G1407" s="13" t="n">
        <v>1</v>
      </c>
      <c r="H1407" s="13" t="n">
        <f aca="false">IF(C1407=1,A1407,"")</f>
        <v>3</v>
      </c>
      <c r="I1407" s="13" t="str">
        <f aca="false">IF(C1407=0,A1407,"")</f>
        <v/>
      </c>
    </row>
    <row r="1408" customFormat="false" ht="15" hidden="false" customHeight="false" outlineLevel="0" collapsed="false">
      <c r="A1408" s="13" t="n">
        <v>5</v>
      </c>
      <c r="B1408" s="13" t="n">
        <v>36</v>
      </c>
      <c r="C1408" s="13" t="n">
        <v>0</v>
      </c>
      <c r="D1408" s="13" t="n">
        <v>2</v>
      </c>
      <c r="E1408" s="13" t="n">
        <v>1</v>
      </c>
      <c r="F1408" s="13" t="n">
        <v>0</v>
      </c>
      <c r="G1408" s="13" t="n">
        <v>1</v>
      </c>
      <c r="H1408" s="13" t="str">
        <f aca="false">IF(C1408=1,A1408,"")</f>
        <v/>
      </c>
      <c r="I1408" s="13" t="n">
        <f aca="false">IF(C1408=0,A1408,"")</f>
        <v>5</v>
      </c>
    </row>
    <row r="1409" customFormat="false" ht="15" hidden="false" customHeight="false" outlineLevel="0" collapsed="false">
      <c r="A1409" s="13" t="n">
        <v>4</v>
      </c>
      <c r="B1409" s="13" t="n">
        <v>36</v>
      </c>
      <c r="C1409" s="13" t="n">
        <v>0</v>
      </c>
      <c r="D1409" s="13" t="n">
        <v>2</v>
      </c>
      <c r="E1409" s="13" t="n">
        <v>0</v>
      </c>
      <c r="F1409" s="13" t="n">
        <v>0</v>
      </c>
      <c r="G1409" s="13" t="n">
        <v>1</v>
      </c>
      <c r="H1409" s="13" t="str">
        <f aca="false">IF(C1409=1,A1409,"")</f>
        <v/>
      </c>
      <c r="I1409" s="13" t="n">
        <f aca="false">IF(C1409=0,A1409,"")</f>
        <v>4</v>
      </c>
    </row>
    <row r="1410" customFormat="false" ht="15" hidden="false" customHeight="false" outlineLevel="0" collapsed="false">
      <c r="A1410" s="13" t="n">
        <v>4</v>
      </c>
      <c r="B1410" s="13" t="n">
        <v>39</v>
      </c>
      <c r="C1410" s="13" t="n">
        <v>1</v>
      </c>
      <c r="D1410" s="13" t="n">
        <v>0</v>
      </c>
      <c r="E1410" s="13" t="n">
        <v>1</v>
      </c>
      <c r="F1410" s="13" t="n">
        <v>1</v>
      </c>
      <c r="G1410" s="13" t="n">
        <v>0</v>
      </c>
      <c r="H1410" s="13" t="n">
        <f aca="false">IF(C1410=1,A1410,"")</f>
        <v>4</v>
      </c>
      <c r="I1410" s="13" t="str">
        <f aca="false">IF(C1410=0,A1410,"")</f>
        <v/>
      </c>
    </row>
    <row r="1411" customFormat="false" ht="15" hidden="false" customHeight="false" outlineLevel="0" collapsed="false">
      <c r="A1411" s="13" t="n">
        <v>4</v>
      </c>
      <c r="B1411" s="13" t="n">
        <v>39</v>
      </c>
      <c r="C1411" s="13" t="n">
        <v>0</v>
      </c>
      <c r="D1411" s="13" t="n">
        <v>2</v>
      </c>
      <c r="E1411" s="13" t="n">
        <v>0</v>
      </c>
      <c r="F1411" s="13" t="n">
        <v>1</v>
      </c>
      <c r="G1411" s="13" t="n">
        <v>1</v>
      </c>
      <c r="H1411" s="13" t="str">
        <f aca="false">IF(C1411=1,A1411,"")</f>
        <v/>
      </c>
      <c r="I1411" s="13" t="n">
        <f aca="false">IF(C1411=0,A1411,"")</f>
        <v>4</v>
      </c>
    </row>
    <row r="1412" customFormat="false" ht="15" hidden="false" customHeight="false" outlineLevel="0" collapsed="false">
      <c r="A1412" s="13" t="n">
        <v>5</v>
      </c>
      <c r="B1412" s="13" t="n">
        <v>42</v>
      </c>
      <c r="C1412" s="13" t="n">
        <v>0</v>
      </c>
      <c r="D1412" s="13" t="n">
        <v>0</v>
      </c>
      <c r="E1412" s="13" t="n">
        <v>1</v>
      </c>
      <c r="F1412" s="13" t="n">
        <v>0</v>
      </c>
      <c r="G1412" s="13" t="n">
        <v>0</v>
      </c>
      <c r="H1412" s="13" t="str">
        <f aca="false">IF(C1412=1,A1412,"")</f>
        <v/>
      </c>
      <c r="I1412" s="13" t="n">
        <f aca="false">IF(C1412=0,A1412,"")</f>
        <v>5</v>
      </c>
    </row>
    <row r="1413" customFormat="false" ht="15" hidden="false" customHeight="false" outlineLevel="0" collapsed="false">
      <c r="A1413" s="13" t="n">
        <v>4</v>
      </c>
      <c r="B1413" s="13" t="n">
        <v>44</v>
      </c>
      <c r="C1413" s="13" t="n">
        <v>0</v>
      </c>
      <c r="D1413" s="13" t="n">
        <v>2</v>
      </c>
      <c r="E1413" s="13" t="n">
        <v>0</v>
      </c>
      <c r="F1413" s="13" t="n">
        <v>1</v>
      </c>
      <c r="G1413" s="13" t="n">
        <v>1</v>
      </c>
      <c r="H1413" s="13" t="str">
        <f aca="false">IF(C1413=1,A1413,"")</f>
        <v/>
      </c>
      <c r="I1413" s="13" t="n">
        <f aca="false">IF(C1413=0,A1413,"")</f>
        <v>4</v>
      </c>
    </row>
    <row r="1414" customFormat="false" ht="15" hidden="false" customHeight="false" outlineLevel="0" collapsed="false">
      <c r="A1414" s="13" t="n">
        <v>1</v>
      </c>
      <c r="B1414" s="13" t="n">
        <v>41</v>
      </c>
      <c r="C1414" s="13" t="n">
        <v>0</v>
      </c>
      <c r="D1414" s="13" t="n">
        <v>0</v>
      </c>
      <c r="E1414" s="13" t="n">
        <v>0</v>
      </c>
      <c r="F1414" s="13" t="n">
        <v>1</v>
      </c>
      <c r="G1414" s="13" t="n">
        <v>1</v>
      </c>
      <c r="H1414" s="13" t="str">
        <f aca="false">IF(C1414=1,A1414,"")</f>
        <v/>
      </c>
      <c r="I1414" s="13" t="n">
        <f aca="false">IF(C1414=0,A1414,"")</f>
        <v>1</v>
      </c>
    </row>
    <row r="1415" customFormat="false" ht="15" hidden="false" customHeight="false" outlineLevel="0" collapsed="false">
      <c r="A1415" s="13" t="n">
        <v>4</v>
      </c>
      <c r="B1415" s="13" t="n">
        <v>27</v>
      </c>
      <c r="C1415" s="13" t="n">
        <v>0</v>
      </c>
      <c r="D1415" s="13" t="n">
        <v>1</v>
      </c>
      <c r="E1415" s="13" t="n">
        <v>1</v>
      </c>
      <c r="F1415" s="13" t="n">
        <v>0</v>
      </c>
      <c r="G1415" s="13" t="n">
        <v>1</v>
      </c>
      <c r="H1415" s="13" t="str">
        <f aca="false">IF(C1415=1,A1415,"")</f>
        <v/>
      </c>
      <c r="I1415" s="13" t="n">
        <f aca="false">IF(C1415=0,A1415,"")</f>
        <v>4</v>
      </c>
    </row>
    <row r="1416" customFormat="false" ht="15" hidden="false" customHeight="false" outlineLevel="0" collapsed="false">
      <c r="A1416" s="13" t="n">
        <v>4</v>
      </c>
      <c r="B1416" s="13" t="n">
        <v>28</v>
      </c>
      <c r="C1416" s="13" t="n">
        <v>0</v>
      </c>
      <c r="D1416" s="13" t="n">
        <v>0</v>
      </c>
      <c r="E1416" s="13" t="n">
        <v>1</v>
      </c>
      <c r="F1416" s="13" t="n">
        <v>0</v>
      </c>
      <c r="G1416" s="13" t="n">
        <v>1</v>
      </c>
      <c r="H1416" s="13" t="str">
        <f aca="false">IF(C1416=1,A1416,"")</f>
        <v/>
      </c>
      <c r="I1416" s="13" t="n">
        <f aca="false">IF(C1416=0,A1416,"")</f>
        <v>4</v>
      </c>
    </row>
    <row r="1417" customFormat="false" ht="15" hidden="false" customHeight="false" outlineLevel="0" collapsed="false">
      <c r="A1417" s="13" t="n">
        <v>5</v>
      </c>
      <c r="B1417" s="13" t="n">
        <v>44</v>
      </c>
      <c r="C1417" s="13" t="n">
        <v>1</v>
      </c>
      <c r="D1417" s="13" t="n">
        <v>4</v>
      </c>
      <c r="E1417" s="13" t="n">
        <v>1</v>
      </c>
      <c r="F1417" s="13" t="n">
        <v>0</v>
      </c>
      <c r="G1417" s="13" t="n">
        <v>1</v>
      </c>
      <c r="H1417" s="13" t="n">
        <f aca="false">IF(C1417=1,A1417,"")</f>
        <v>5</v>
      </c>
      <c r="I1417" s="13" t="str">
        <f aca="false">IF(C1417=0,A1417,"")</f>
        <v/>
      </c>
    </row>
    <row r="1418" customFormat="false" ht="15" hidden="false" customHeight="false" outlineLevel="0" collapsed="false">
      <c r="A1418" s="13" t="n">
        <v>3</v>
      </c>
      <c r="B1418" s="13" t="n">
        <v>37</v>
      </c>
      <c r="C1418" s="13" t="n">
        <v>0</v>
      </c>
      <c r="D1418" s="13" t="n">
        <v>0</v>
      </c>
      <c r="E1418" s="13" t="n">
        <v>1</v>
      </c>
      <c r="F1418" s="13" t="n">
        <v>0</v>
      </c>
      <c r="G1418" s="13" t="n">
        <v>0</v>
      </c>
      <c r="H1418" s="13" t="str">
        <f aca="false">IF(C1418=1,A1418,"")</f>
        <v/>
      </c>
      <c r="I1418" s="13" t="n">
        <f aca="false">IF(C1418=0,A1418,"")</f>
        <v>3</v>
      </c>
    </row>
    <row r="1419" customFormat="false" ht="15" hidden="false" customHeight="false" outlineLevel="0" collapsed="false">
      <c r="A1419" s="13" t="n">
        <v>3</v>
      </c>
      <c r="B1419" s="13" t="n">
        <v>29</v>
      </c>
      <c r="C1419" s="13" t="n">
        <v>0</v>
      </c>
      <c r="D1419" s="13" t="n">
        <v>2</v>
      </c>
      <c r="E1419" s="13" t="n">
        <v>0</v>
      </c>
      <c r="F1419" s="13" t="n">
        <v>1</v>
      </c>
      <c r="G1419" s="13" t="n">
        <v>1</v>
      </c>
      <c r="H1419" s="13" t="str">
        <f aca="false">IF(C1419=1,A1419,"")</f>
        <v/>
      </c>
      <c r="I1419" s="13" t="n">
        <f aca="false">IF(C1419=0,A1419,"")</f>
        <v>3</v>
      </c>
    </row>
    <row r="1420" customFormat="false" ht="15" hidden="false" customHeight="false" outlineLevel="0" collapsed="false">
      <c r="A1420" s="13" t="n">
        <v>4</v>
      </c>
      <c r="B1420" s="13" t="n">
        <v>28</v>
      </c>
      <c r="C1420" s="13" t="n">
        <v>0</v>
      </c>
      <c r="D1420" s="13" t="n">
        <v>0</v>
      </c>
      <c r="E1420" s="13" t="n">
        <v>1</v>
      </c>
      <c r="F1420" s="13" t="n">
        <v>1</v>
      </c>
      <c r="G1420" s="13" t="n">
        <v>1</v>
      </c>
      <c r="H1420" s="13" t="str">
        <f aca="false">IF(C1420=1,A1420,"")</f>
        <v/>
      </c>
      <c r="I1420" s="13" t="n">
        <f aca="false">IF(C1420=0,A1420,"")</f>
        <v>4</v>
      </c>
    </row>
    <row r="1421" customFormat="false" ht="15" hidden="false" customHeight="false" outlineLevel="0" collapsed="false">
      <c r="A1421" s="13" t="n">
        <v>4</v>
      </c>
      <c r="B1421" s="13" t="n">
        <v>36</v>
      </c>
      <c r="C1421" s="13" t="n">
        <v>1</v>
      </c>
      <c r="D1421" s="13" t="n">
        <v>3</v>
      </c>
      <c r="E1421" s="13" t="n">
        <v>0</v>
      </c>
      <c r="F1421" s="13" t="n">
        <v>0</v>
      </c>
      <c r="G1421" s="13" t="n">
        <v>0</v>
      </c>
      <c r="H1421" s="13" t="n">
        <f aca="false">IF(C1421=1,A1421,"")</f>
        <v>4</v>
      </c>
      <c r="I1421" s="13" t="str">
        <f aca="false">IF(C1421=0,A1421,"")</f>
        <v/>
      </c>
    </row>
    <row r="1422" customFormat="false" ht="15" hidden="false" customHeight="false" outlineLevel="0" collapsed="false">
      <c r="A1422" s="13" t="n">
        <v>2</v>
      </c>
      <c r="B1422" s="13" t="n">
        <v>34</v>
      </c>
      <c r="C1422" s="13" t="n">
        <v>0</v>
      </c>
      <c r="D1422" s="13" t="n">
        <v>1</v>
      </c>
      <c r="E1422" s="13" t="n">
        <v>1</v>
      </c>
      <c r="F1422" s="13" t="n">
        <v>1</v>
      </c>
      <c r="G1422" s="13" t="n">
        <v>0</v>
      </c>
      <c r="H1422" s="13" t="str">
        <f aca="false">IF(C1422=1,A1422,"")</f>
        <v/>
      </c>
      <c r="I1422" s="13" t="n">
        <f aca="false">IF(C1422=0,A1422,"")</f>
        <v>2</v>
      </c>
    </row>
    <row r="1423" customFormat="false" ht="15" hidden="false" customHeight="false" outlineLevel="0" collapsed="false">
      <c r="A1423" s="13" t="n">
        <v>4</v>
      </c>
      <c r="B1423" s="13" t="n">
        <v>41</v>
      </c>
      <c r="C1423" s="13" t="n">
        <v>0</v>
      </c>
      <c r="D1423" s="13" t="n">
        <v>0</v>
      </c>
      <c r="E1423" s="13" t="n">
        <v>1</v>
      </c>
      <c r="F1423" s="13" t="n">
        <v>1</v>
      </c>
      <c r="G1423" s="13" t="n">
        <v>1</v>
      </c>
      <c r="H1423" s="13" t="str">
        <f aca="false">IF(C1423=1,A1423,"")</f>
        <v/>
      </c>
      <c r="I1423" s="13" t="n">
        <f aca="false">IF(C1423=0,A1423,"")</f>
        <v>4</v>
      </c>
    </row>
    <row r="1424" customFormat="false" ht="15" hidden="false" customHeight="false" outlineLevel="0" collapsed="false">
      <c r="A1424" s="13" t="n">
        <v>2</v>
      </c>
      <c r="B1424" s="13" t="n">
        <v>41</v>
      </c>
      <c r="C1424" s="13" t="n">
        <v>1</v>
      </c>
      <c r="D1424" s="13" t="n">
        <v>0</v>
      </c>
      <c r="E1424" s="13" t="n">
        <v>0</v>
      </c>
      <c r="F1424" s="13" t="n">
        <v>1</v>
      </c>
      <c r="G1424" s="13" t="n">
        <v>0</v>
      </c>
      <c r="H1424" s="13" t="n">
        <f aca="false">IF(C1424=1,A1424,"")</f>
        <v>2</v>
      </c>
      <c r="I1424" s="13" t="str">
        <f aca="false">IF(C1424=0,A1424,"")</f>
        <v/>
      </c>
    </row>
    <row r="1425" customFormat="false" ht="15" hidden="false" customHeight="false" outlineLevel="0" collapsed="false">
      <c r="A1425" s="13" t="n">
        <v>4</v>
      </c>
      <c r="B1425" s="13" t="n">
        <v>33</v>
      </c>
      <c r="C1425" s="13" t="n">
        <v>1</v>
      </c>
      <c r="D1425" s="13" t="n">
        <v>0</v>
      </c>
      <c r="E1425" s="13" t="n">
        <v>1</v>
      </c>
      <c r="F1425" s="13" t="n">
        <v>1</v>
      </c>
      <c r="G1425" s="13" t="n">
        <v>1</v>
      </c>
      <c r="H1425" s="13" t="n">
        <f aca="false">IF(C1425=1,A1425,"")</f>
        <v>4</v>
      </c>
      <c r="I1425" s="13" t="str">
        <f aca="false">IF(C1425=0,A1425,"")</f>
        <v/>
      </c>
    </row>
    <row r="1426" customFormat="false" ht="15" hidden="false" customHeight="false" outlineLevel="0" collapsed="false">
      <c r="A1426" s="13" t="n">
        <v>3</v>
      </c>
      <c r="B1426" s="13" t="n">
        <v>27</v>
      </c>
      <c r="C1426" s="13" t="n">
        <v>1</v>
      </c>
      <c r="D1426" s="13" t="n">
        <v>1</v>
      </c>
      <c r="E1426" s="13" t="n">
        <v>1</v>
      </c>
      <c r="F1426" s="13" t="n">
        <v>1</v>
      </c>
      <c r="G1426" s="13" t="n">
        <v>1</v>
      </c>
      <c r="H1426" s="13" t="n">
        <f aca="false">IF(C1426=1,A1426,"")</f>
        <v>3</v>
      </c>
      <c r="I1426" s="13" t="str">
        <f aca="false">IF(C1426=0,A1426,"")</f>
        <v/>
      </c>
    </row>
    <row r="1427" customFormat="false" ht="15" hidden="false" customHeight="false" outlineLevel="0" collapsed="false">
      <c r="A1427" s="13" t="n">
        <v>4</v>
      </c>
      <c r="B1427" s="13" t="n">
        <v>42</v>
      </c>
      <c r="C1427" s="13" t="n">
        <v>1</v>
      </c>
      <c r="D1427" s="13" t="n">
        <v>0</v>
      </c>
      <c r="E1427" s="13" t="n">
        <v>0</v>
      </c>
      <c r="F1427" s="13" t="n">
        <v>0</v>
      </c>
      <c r="G1427" s="13" t="n">
        <v>0</v>
      </c>
      <c r="H1427" s="13" t="n">
        <f aca="false">IF(C1427=1,A1427,"")</f>
        <v>4</v>
      </c>
      <c r="I1427" s="13" t="str">
        <f aca="false">IF(C1427=0,A1427,"")</f>
        <v/>
      </c>
    </row>
    <row r="1428" customFormat="false" ht="15" hidden="false" customHeight="false" outlineLevel="0" collapsed="false">
      <c r="A1428" s="13" t="n">
        <v>1</v>
      </c>
      <c r="B1428" s="13" t="n">
        <v>39</v>
      </c>
      <c r="C1428" s="13" t="n">
        <v>1</v>
      </c>
      <c r="D1428" s="13" t="n">
        <v>0</v>
      </c>
      <c r="E1428" s="13" t="n">
        <v>1</v>
      </c>
      <c r="F1428" s="13" t="n">
        <v>0</v>
      </c>
      <c r="G1428" s="13" t="n">
        <v>1</v>
      </c>
      <c r="H1428" s="13" t="n">
        <f aca="false">IF(C1428=1,A1428,"")</f>
        <v>1</v>
      </c>
      <c r="I1428" s="13" t="str">
        <f aca="false">IF(C1428=0,A1428,"")</f>
        <v/>
      </c>
    </row>
    <row r="1429" customFormat="false" ht="15" hidden="false" customHeight="false" outlineLevel="0" collapsed="false">
      <c r="A1429" s="13" t="n">
        <v>4</v>
      </c>
      <c r="B1429" s="13" t="n">
        <v>36</v>
      </c>
      <c r="C1429" s="13" t="n">
        <v>1</v>
      </c>
      <c r="D1429" s="13" t="n">
        <v>2</v>
      </c>
      <c r="E1429" s="13" t="n">
        <v>1</v>
      </c>
      <c r="F1429" s="13" t="n">
        <v>1</v>
      </c>
      <c r="G1429" s="13" t="n">
        <v>1</v>
      </c>
      <c r="H1429" s="13" t="n">
        <f aca="false">IF(C1429=1,A1429,"")</f>
        <v>4</v>
      </c>
      <c r="I1429" s="13" t="str">
        <f aca="false">IF(C1429=0,A1429,"")</f>
        <v/>
      </c>
    </row>
    <row r="1430" customFormat="false" ht="15" hidden="false" customHeight="false" outlineLevel="0" collapsed="false">
      <c r="A1430" s="13" t="n">
        <v>4</v>
      </c>
      <c r="B1430" s="13" t="n">
        <v>35</v>
      </c>
      <c r="C1430" s="13" t="n">
        <v>1</v>
      </c>
      <c r="D1430" s="13" t="n">
        <v>0</v>
      </c>
      <c r="E1430" s="13" t="n">
        <v>1</v>
      </c>
      <c r="F1430" s="13" t="n">
        <v>1</v>
      </c>
      <c r="G1430" s="13" t="n">
        <v>1</v>
      </c>
      <c r="H1430" s="13" t="n">
        <f aca="false">IF(C1430=1,A1430,"")</f>
        <v>4</v>
      </c>
      <c r="I1430" s="13" t="str">
        <f aca="false">IF(C1430=0,A1430,"")</f>
        <v/>
      </c>
    </row>
    <row r="1431" customFormat="false" ht="15" hidden="false" customHeight="false" outlineLevel="0" collapsed="false">
      <c r="A1431" s="13" t="n">
        <v>4</v>
      </c>
      <c r="B1431" s="13" t="n">
        <v>34</v>
      </c>
      <c r="C1431" s="13" t="n">
        <v>1</v>
      </c>
      <c r="D1431" s="13" t="n">
        <v>2</v>
      </c>
      <c r="E1431" s="13" t="n">
        <v>1</v>
      </c>
      <c r="F1431" s="13" t="n">
        <v>1</v>
      </c>
      <c r="G1431" s="13" t="n">
        <v>1</v>
      </c>
      <c r="H1431" s="13" t="n">
        <f aca="false">IF(C1431=1,A1431,"")</f>
        <v>4</v>
      </c>
      <c r="I1431" s="13" t="str">
        <f aca="false">IF(C1431=0,A1431,"")</f>
        <v/>
      </c>
    </row>
    <row r="1432" customFormat="false" ht="15" hidden="false" customHeight="false" outlineLevel="0" collapsed="false">
      <c r="A1432" s="13" t="n">
        <v>3</v>
      </c>
      <c r="B1432" s="13" t="n">
        <v>33</v>
      </c>
      <c r="C1432" s="13" t="n">
        <v>1</v>
      </c>
      <c r="D1432" s="13" t="n">
        <v>4</v>
      </c>
      <c r="E1432" s="13" t="n">
        <v>0</v>
      </c>
      <c r="F1432" s="13" t="n">
        <v>1</v>
      </c>
      <c r="G1432" s="13" t="n">
        <v>0</v>
      </c>
      <c r="H1432" s="13" t="n">
        <f aca="false">IF(C1432=1,A1432,"")</f>
        <v>3</v>
      </c>
      <c r="I1432" s="13" t="str">
        <f aca="false">IF(C1432=0,A1432,"")</f>
        <v/>
      </c>
    </row>
    <row r="1433" customFormat="false" ht="15" hidden="false" customHeight="false" outlineLevel="0" collapsed="false">
      <c r="A1433" s="13" t="n">
        <v>3</v>
      </c>
      <c r="B1433" s="13" t="n">
        <v>34</v>
      </c>
      <c r="C1433" s="13" t="n">
        <v>1</v>
      </c>
      <c r="D1433" s="13" t="n">
        <v>0</v>
      </c>
      <c r="E1433" s="13" t="n">
        <v>1</v>
      </c>
      <c r="F1433" s="13" t="n">
        <v>1</v>
      </c>
      <c r="G1433" s="13" t="n">
        <v>1</v>
      </c>
      <c r="H1433" s="13" t="n">
        <f aca="false">IF(C1433=1,A1433,"")</f>
        <v>3</v>
      </c>
      <c r="I1433" s="13" t="str">
        <f aca="false">IF(C1433=0,A1433,"")</f>
        <v/>
      </c>
    </row>
    <row r="1434" customFormat="false" ht="15" hidden="false" customHeight="false" outlineLevel="0" collapsed="false">
      <c r="A1434" s="13" t="n">
        <v>5</v>
      </c>
      <c r="B1434" s="13" t="n">
        <v>36</v>
      </c>
      <c r="C1434" s="13" t="n">
        <v>1</v>
      </c>
      <c r="D1434" s="13" t="n">
        <v>1</v>
      </c>
      <c r="E1434" s="13" t="n">
        <v>1</v>
      </c>
      <c r="F1434" s="13" t="n">
        <v>1</v>
      </c>
      <c r="G1434" s="13" t="n">
        <v>1</v>
      </c>
      <c r="H1434" s="13" t="n">
        <f aca="false">IF(C1434=1,A1434,"")</f>
        <v>5</v>
      </c>
      <c r="I1434" s="13" t="str">
        <f aca="false">IF(C1434=0,A1434,"")</f>
        <v/>
      </c>
    </row>
    <row r="1435" customFormat="false" ht="15" hidden="false" customHeight="false" outlineLevel="0" collapsed="false">
      <c r="A1435" s="13" t="n">
        <v>4</v>
      </c>
      <c r="B1435" s="13" t="n">
        <v>43</v>
      </c>
      <c r="C1435" s="13" t="n">
        <v>1</v>
      </c>
      <c r="D1435" s="13" t="n">
        <v>2</v>
      </c>
      <c r="E1435" s="13" t="n">
        <v>1</v>
      </c>
      <c r="F1435" s="13" t="n">
        <v>1</v>
      </c>
      <c r="G1435" s="13" t="n">
        <v>1</v>
      </c>
      <c r="H1435" s="13" t="n">
        <f aca="false">IF(C1435=1,A1435,"")</f>
        <v>4</v>
      </c>
      <c r="I1435" s="13" t="str">
        <f aca="false">IF(C1435=0,A1435,"")</f>
        <v/>
      </c>
    </row>
    <row r="1436" customFormat="false" ht="15" hidden="false" customHeight="false" outlineLevel="0" collapsed="false">
      <c r="A1436" s="13" t="n">
        <v>4</v>
      </c>
      <c r="B1436" s="13" t="n">
        <v>36</v>
      </c>
      <c r="C1436" s="13" t="n">
        <v>1</v>
      </c>
      <c r="D1436" s="13" t="n">
        <v>2</v>
      </c>
      <c r="E1436" s="13" t="n">
        <v>1</v>
      </c>
      <c r="F1436" s="13" t="n">
        <v>1</v>
      </c>
      <c r="G1436" s="13" t="n">
        <v>1</v>
      </c>
      <c r="H1436" s="13" t="n">
        <f aca="false">IF(C1436=1,A1436,"")</f>
        <v>4</v>
      </c>
      <c r="I1436" s="13" t="str">
        <f aca="false">IF(C1436=0,A1436,"")</f>
        <v/>
      </c>
    </row>
    <row r="1437" customFormat="false" ht="15" hidden="false" customHeight="false" outlineLevel="0" collapsed="false">
      <c r="A1437" s="13" t="n">
        <v>4</v>
      </c>
      <c r="B1437" s="13" t="n">
        <v>26</v>
      </c>
      <c r="C1437" s="13" t="n">
        <v>1</v>
      </c>
      <c r="D1437" s="13" t="n">
        <v>0</v>
      </c>
      <c r="E1437" s="13" t="n">
        <v>1</v>
      </c>
      <c r="F1437" s="13" t="n">
        <v>1</v>
      </c>
      <c r="G1437" s="13" t="n">
        <v>0</v>
      </c>
      <c r="H1437" s="13" t="n">
        <f aca="false">IF(C1437=1,A1437,"")</f>
        <v>4</v>
      </c>
      <c r="I1437" s="13" t="str">
        <f aca="false">IF(C1437=0,A1437,"")</f>
        <v/>
      </c>
    </row>
    <row r="1438" customFormat="false" ht="15" hidden="false" customHeight="false" outlineLevel="0" collapsed="false">
      <c r="A1438" s="13" t="n">
        <v>4</v>
      </c>
      <c r="B1438" s="13" t="n">
        <v>42</v>
      </c>
      <c r="C1438" s="13" t="n">
        <v>1</v>
      </c>
      <c r="D1438" s="13" t="n">
        <v>0</v>
      </c>
      <c r="E1438" s="13" t="n">
        <v>0</v>
      </c>
      <c r="F1438" s="13" t="n">
        <v>0</v>
      </c>
      <c r="G1438" s="13" t="n">
        <v>1</v>
      </c>
      <c r="H1438" s="13" t="n">
        <f aca="false">IF(C1438=1,A1438,"")</f>
        <v>4</v>
      </c>
      <c r="I1438" s="13" t="str">
        <f aca="false">IF(C1438=0,A1438,"")</f>
        <v/>
      </c>
    </row>
    <row r="1439" customFormat="false" ht="15" hidden="false" customHeight="false" outlineLevel="0" collapsed="false">
      <c r="A1439" s="13" t="n">
        <v>3</v>
      </c>
      <c r="B1439" s="13" t="n">
        <v>43</v>
      </c>
      <c r="C1439" s="13" t="n">
        <v>1</v>
      </c>
      <c r="D1439" s="13" t="n">
        <v>0</v>
      </c>
      <c r="E1439" s="13" t="n">
        <v>1</v>
      </c>
      <c r="F1439" s="13" t="n">
        <v>1</v>
      </c>
      <c r="G1439" s="13" t="n">
        <v>1</v>
      </c>
      <c r="H1439" s="13" t="n">
        <f aca="false">IF(C1439=1,A1439,"")</f>
        <v>3</v>
      </c>
      <c r="I1439" s="13" t="str">
        <f aca="false">IF(C1439=0,A1439,"")</f>
        <v/>
      </c>
    </row>
    <row r="1440" customFormat="false" ht="15" hidden="false" customHeight="false" outlineLevel="0" collapsed="false">
      <c r="A1440" s="13" t="n">
        <v>4</v>
      </c>
      <c r="B1440" s="13" t="n">
        <v>38</v>
      </c>
      <c r="C1440" s="13" t="n">
        <v>1</v>
      </c>
      <c r="D1440" s="13" t="n">
        <v>1</v>
      </c>
      <c r="E1440" s="13" t="n">
        <v>1</v>
      </c>
      <c r="F1440" s="13" t="n">
        <v>0</v>
      </c>
      <c r="G1440" s="13" t="n">
        <v>1</v>
      </c>
      <c r="H1440" s="13" t="n">
        <f aca="false">IF(C1440=1,A1440,"")</f>
        <v>4</v>
      </c>
      <c r="I1440" s="13" t="str">
        <f aca="false">IF(C1440=0,A1440,"")</f>
        <v/>
      </c>
    </row>
    <row r="1441" customFormat="false" ht="15" hidden="false" customHeight="false" outlineLevel="0" collapsed="false">
      <c r="A1441" s="13" t="n">
        <v>4</v>
      </c>
      <c r="B1441" s="13" t="n">
        <v>30</v>
      </c>
      <c r="C1441" s="13" t="n">
        <v>1</v>
      </c>
      <c r="D1441" s="13" t="n">
        <v>0</v>
      </c>
      <c r="E1441" s="13" t="n">
        <v>1</v>
      </c>
      <c r="F1441" s="13" t="n">
        <v>1</v>
      </c>
      <c r="G1441" s="13" t="n">
        <v>0</v>
      </c>
      <c r="H1441" s="13" t="n">
        <f aca="false">IF(C1441=1,A1441,"")</f>
        <v>4</v>
      </c>
      <c r="I1441" s="13" t="str">
        <f aca="false">IF(C1441=0,A1441,"")</f>
        <v/>
      </c>
    </row>
    <row r="1442" customFormat="false" ht="15" hidden="false" customHeight="false" outlineLevel="0" collapsed="false">
      <c r="A1442" s="13" t="n">
        <v>5</v>
      </c>
      <c r="B1442" s="13" t="n">
        <v>33</v>
      </c>
      <c r="C1442" s="13" t="n">
        <v>1</v>
      </c>
      <c r="D1442" s="13" t="n">
        <v>4</v>
      </c>
      <c r="E1442" s="13" t="n">
        <v>1</v>
      </c>
      <c r="F1442" s="13" t="n">
        <v>0</v>
      </c>
      <c r="G1442" s="13" t="n">
        <v>0</v>
      </c>
      <c r="H1442" s="13" t="n">
        <f aca="false">IF(C1442=1,A1442,"")</f>
        <v>5</v>
      </c>
      <c r="I1442" s="13" t="str">
        <f aca="false">IF(C1442=0,A1442,"")</f>
        <v/>
      </c>
    </row>
    <row r="1443" customFormat="false" ht="15" hidden="false" customHeight="false" outlineLevel="0" collapsed="false">
      <c r="A1443" s="13" t="n">
        <v>3</v>
      </c>
      <c r="B1443" s="13" t="n">
        <v>32</v>
      </c>
      <c r="C1443" s="13" t="n">
        <v>1</v>
      </c>
      <c r="D1443" s="13" t="n">
        <v>2</v>
      </c>
      <c r="E1443" s="13" t="n">
        <v>1</v>
      </c>
      <c r="F1443" s="13" t="n">
        <v>1</v>
      </c>
      <c r="G1443" s="13" t="n">
        <v>1</v>
      </c>
      <c r="H1443" s="13" t="n">
        <f aca="false">IF(C1443=1,A1443,"")</f>
        <v>3</v>
      </c>
      <c r="I1443" s="13" t="str">
        <f aca="false">IF(C1443=0,A1443,"")</f>
        <v/>
      </c>
    </row>
    <row r="1444" customFormat="false" ht="15" hidden="false" customHeight="false" outlineLevel="0" collapsed="false">
      <c r="A1444" s="13" t="n">
        <v>5</v>
      </c>
      <c r="B1444" s="13" t="n">
        <v>36</v>
      </c>
      <c r="C1444" s="13" t="n">
        <v>1</v>
      </c>
      <c r="D1444" s="13" t="n">
        <v>1</v>
      </c>
      <c r="E1444" s="13" t="n">
        <v>1</v>
      </c>
      <c r="F1444" s="13" t="n">
        <v>1</v>
      </c>
      <c r="G1444" s="13" t="n">
        <v>1</v>
      </c>
      <c r="H1444" s="13" t="n">
        <f aca="false">IF(C1444=1,A1444,"")</f>
        <v>5</v>
      </c>
      <c r="I1444" s="13" t="str">
        <f aca="false">IF(C1444=0,A1444,"")</f>
        <v/>
      </c>
    </row>
    <row r="1445" customFormat="false" ht="15" hidden="false" customHeight="false" outlineLevel="0" collapsed="false">
      <c r="A1445" s="13" t="n">
        <v>4</v>
      </c>
      <c r="B1445" s="13" t="n">
        <v>25</v>
      </c>
      <c r="C1445" s="13" t="n">
        <v>1</v>
      </c>
      <c r="D1445" s="13" t="n">
        <v>1</v>
      </c>
      <c r="E1445" s="13" t="n">
        <v>1</v>
      </c>
      <c r="F1445" s="13" t="n">
        <v>0</v>
      </c>
      <c r="G1445" s="13" t="n">
        <v>1</v>
      </c>
      <c r="H1445" s="13" t="n">
        <f aca="false">IF(C1445=1,A1445,"")</f>
        <v>4</v>
      </c>
      <c r="I1445" s="13" t="str">
        <f aca="false">IF(C1445=0,A1445,"")</f>
        <v/>
      </c>
    </row>
    <row r="1446" customFormat="false" ht="15" hidden="false" customHeight="false" outlineLevel="0" collapsed="false">
      <c r="A1446" s="13" t="n">
        <v>4</v>
      </c>
      <c r="B1446" s="13" t="n">
        <v>44</v>
      </c>
      <c r="C1446" s="13" t="n">
        <v>1</v>
      </c>
      <c r="D1446" s="13" t="n">
        <v>3</v>
      </c>
      <c r="E1446" s="13" t="n">
        <v>1</v>
      </c>
      <c r="F1446" s="13" t="n">
        <v>0</v>
      </c>
      <c r="G1446" s="13" t="n">
        <v>1</v>
      </c>
      <c r="H1446" s="13" t="n">
        <f aca="false">IF(C1446=1,A1446,"")</f>
        <v>4</v>
      </c>
      <c r="I1446" s="13" t="str">
        <f aca="false">IF(C1446=0,A1446,"")</f>
        <v/>
      </c>
    </row>
    <row r="1447" customFormat="false" ht="15" hidden="false" customHeight="false" outlineLevel="0" collapsed="false">
      <c r="A1447" s="13" t="n">
        <v>4</v>
      </c>
      <c r="B1447" s="13" t="n">
        <v>35</v>
      </c>
      <c r="C1447" s="13" t="n">
        <v>1</v>
      </c>
      <c r="D1447" s="13" t="n">
        <v>2</v>
      </c>
      <c r="E1447" s="13" t="n">
        <v>1</v>
      </c>
      <c r="F1447" s="13" t="n">
        <v>1</v>
      </c>
      <c r="G1447" s="13" t="n">
        <v>1</v>
      </c>
      <c r="H1447" s="13" t="n">
        <f aca="false">IF(C1447=1,A1447,"")</f>
        <v>4</v>
      </c>
      <c r="I1447" s="13" t="str">
        <f aca="false">IF(C1447=0,A1447,"")</f>
        <v/>
      </c>
    </row>
    <row r="1448" customFormat="false" ht="15" hidden="false" customHeight="false" outlineLevel="0" collapsed="false">
      <c r="A1448" s="13" t="n">
        <v>4</v>
      </c>
      <c r="B1448" s="13" t="n">
        <v>44</v>
      </c>
      <c r="C1448" s="13" t="n">
        <v>1</v>
      </c>
      <c r="D1448" s="13" t="n">
        <v>1</v>
      </c>
      <c r="E1448" s="13" t="n">
        <v>1</v>
      </c>
      <c r="F1448" s="13" t="n">
        <v>0</v>
      </c>
      <c r="G1448" s="13" t="n">
        <v>1</v>
      </c>
      <c r="H1448" s="13" t="n">
        <f aca="false">IF(C1448=1,A1448,"")</f>
        <v>4</v>
      </c>
      <c r="I1448" s="13" t="str">
        <f aca="false">IF(C1448=0,A1448,"")</f>
        <v/>
      </c>
    </row>
    <row r="1449" customFormat="false" ht="15" hidden="false" customHeight="false" outlineLevel="0" collapsed="false">
      <c r="A1449" s="13" t="n">
        <v>2</v>
      </c>
      <c r="B1449" s="13" t="n">
        <v>29</v>
      </c>
      <c r="C1449" s="13" t="n">
        <v>1</v>
      </c>
      <c r="D1449" s="13" t="n">
        <v>0</v>
      </c>
      <c r="E1449" s="13" t="n">
        <v>0</v>
      </c>
      <c r="F1449" s="13" t="n">
        <v>1</v>
      </c>
      <c r="G1449" s="13" t="n">
        <v>0</v>
      </c>
      <c r="H1449" s="13" t="n">
        <f aca="false">IF(C1449=1,A1449,"")</f>
        <v>2</v>
      </c>
      <c r="I1449" s="13" t="str">
        <f aca="false">IF(C1449=0,A1449,"")</f>
        <v/>
      </c>
    </row>
    <row r="1450" customFormat="false" ht="15" hidden="false" customHeight="false" outlineLevel="0" collapsed="false">
      <c r="A1450" s="13" t="n">
        <v>4</v>
      </c>
      <c r="B1450" s="13" t="n">
        <v>25</v>
      </c>
      <c r="C1450" s="13" t="n">
        <v>1</v>
      </c>
      <c r="D1450" s="13" t="n">
        <v>0</v>
      </c>
      <c r="E1450" s="13" t="n">
        <v>1</v>
      </c>
      <c r="F1450" s="13" t="n">
        <v>1</v>
      </c>
      <c r="G1450" s="13" t="n">
        <v>1</v>
      </c>
      <c r="H1450" s="13" t="n">
        <f aca="false">IF(C1450=1,A1450,"")</f>
        <v>4</v>
      </c>
      <c r="I1450" s="13" t="str">
        <f aca="false">IF(C1450=0,A1450,"")</f>
        <v/>
      </c>
    </row>
    <row r="1451" customFormat="false" ht="15" hidden="false" customHeight="false" outlineLevel="0" collapsed="false">
      <c r="A1451" s="13" t="n">
        <v>2</v>
      </c>
      <c r="B1451" s="13" t="n">
        <v>34</v>
      </c>
      <c r="C1451" s="13" t="n">
        <v>1</v>
      </c>
      <c r="D1451" s="13" t="n">
        <v>0</v>
      </c>
      <c r="E1451" s="13" t="n">
        <v>1</v>
      </c>
      <c r="F1451" s="13" t="n">
        <v>0</v>
      </c>
      <c r="G1451" s="13" t="n">
        <v>0</v>
      </c>
      <c r="H1451" s="13" t="n">
        <f aca="false">IF(C1451=1,A1451,"")</f>
        <v>2</v>
      </c>
      <c r="I1451" s="13" t="str">
        <f aca="false">IF(C1451=0,A1451,"")</f>
        <v/>
      </c>
    </row>
    <row r="1452" customFormat="false" ht="15" hidden="false" customHeight="false" outlineLevel="0" collapsed="false">
      <c r="A1452" s="13" t="n">
        <v>3</v>
      </c>
      <c r="B1452" s="13" t="n">
        <v>39</v>
      </c>
      <c r="C1452" s="13" t="n">
        <v>1</v>
      </c>
      <c r="D1452" s="13" t="n">
        <v>0</v>
      </c>
      <c r="E1452" s="13" t="n">
        <v>1</v>
      </c>
      <c r="F1452" s="13" t="n">
        <v>1</v>
      </c>
      <c r="G1452" s="13" t="n">
        <v>0</v>
      </c>
      <c r="H1452" s="13" t="n">
        <f aca="false">IF(C1452=1,A1452,"")</f>
        <v>3</v>
      </c>
      <c r="I1452" s="13" t="str">
        <f aca="false">IF(C1452=0,A1452,"")</f>
        <v/>
      </c>
    </row>
    <row r="1453" customFormat="false" ht="15" hidden="false" customHeight="false" outlineLevel="0" collapsed="false">
      <c r="A1453" s="13" t="n">
        <v>3</v>
      </c>
      <c r="B1453" s="13" t="n">
        <v>33</v>
      </c>
      <c r="C1453" s="13" t="n">
        <v>1</v>
      </c>
      <c r="D1453" s="13" t="n">
        <v>3</v>
      </c>
      <c r="E1453" s="13" t="n">
        <v>1</v>
      </c>
      <c r="F1453" s="13" t="n">
        <v>0</v>
      </c>
      <c r="G1453" s="13" t="n">
        <v>1</v>
      </c>
      <c r="H1453" s="13" t="n">
        <f aca="false">IF(C1453=1,A1453,"")</f>
        <v>3</v>
      </c>
      <c r="I1453" s="13" t="str">
        <f aca="false">IF(C1453=0,A1453,"")</f>
        <v/>
      </c>
    </row>
    <row r="1454" customFormat="false" ht="15" hidden="false" customHeight="false" outlineLevel="0" collapsed="false">
      <c r="A1454" s="13" t="n">
        <v>4</v>
      </c>
      <c r="B1454" s="13" t="n">
        <v>33</v>
      </c>
      <c r="C1454" s="13" t="n">
        <v>1</v>
      </c>
      <c r="D1454" s="13" t="n">
        <v>0</v>
      </c>
      <c r="E1454" s="13" t="n">
        <v>1</v>
      </c>
      <c r="F1454" s="13" t="n">
        <v>1</v>
      </c>
      <c r="G1454" s="13" t="n">
        <v>1</v>
      </c>
      <c r="H1454" s="13" t="n">
        <f aca="false">IF(C1454=1,A1454,"")</f>
        <v>4</v>
      </c>
      <c r="I1454" s="13" t="str">
        <f aca="false">IF(C1454=0,A1454,"")</f>
        <v/>
      </c>
    </row>
    <row r="1455" customFormat="false" ht="15" hidden="false" customHeight="false" outlineLevel="0" collapsed="false">
      <c r="A1455" s="13" t="n">
        <v>3</v>
      </c>
      <c r="B1455" s="13" t="n">
        <v>31</v>
      </c>
      <c r="C1455" s="13" t="n">
        <v>1</v>
      </c>
      <c r="D1455" s="13" t="n">
        <v>0</v>
      </c>
      <c r="E1455" s="13" t="n">
        <v>1</v>
      </c>
      <c r="F1455" s="13" t="n">
        <v>1</v>
      </c>
      <c r="G1455" s="13" t="n">
        <v>0</v>
      </c>
      <c r="H1455" s="13" t="n">
        <f aca="false">IF(C1455=1,A1455,"")</f>
        <v>3</v>
      </c>
      <c r="I1455" s="13" t="str">
        <f aca="false">IF(C1455=0,A1455,"")</f>
        <v/>
      </c>
    </row>
    <row r="1456" customFormat="false" ht="15" hidden="false" customHeight="false" outlineLevel="0" collapsed="false">
      <c r="A1456" s="13" t="n">
        <v>4</v>
      </c>
      <c r="B1456" s="13" t="n">
        <v>35</v>
      </c>
      <c r="C1456" s="13" t="n">
        <v>1</v>
      </c>
      <c r="D1456" s="13" t="n">
        <v>1</v>
      </c>
      <c r="E1456" s="13" t="n">
        <v>1</v>
      </c>
      <c r="F1456" s="13" t="n">
        <v>0</v>
      </c>
      <c r="G1456" s="13" t="n">
        <v>0</v>
      </c>
      <c r="H1456" s="13" t="n">
        <f aca="false">IF(C1456=1,A1456,"")</f>
        <v>4</v>
      </c>
      <c r="I1456" s="13" t="str">
        <f aca="false">IF(C1456=0,A1456,"")</f>
        <v/>
      </c>
    </row>
    <row r="1457" customFormat="false" ht="15" hidden="false" customHeight="false" outlineLevel="0" collapsed="false">
      <c r="A1457" s="13" t="n">
        <v>3</v>
      </c>
      <c r="B1457" s="13" t="n">
        <v>39</v>
      </c>
      <c r="C1457" s="13" t="n">
        <v>1</v>
      </c>
      <c r="D1457" s="13" t="n">
        <v>0</v>
      </c>
      <c r="E1457" s="13" t="n">
        <v>1</v>
      </c>
      <c r="F1457" s="13" t="n">
        <v>0</v>
      </c>
      <c r="G1457" s="13" t="n">
        <v>1</v>
      </c>
      <c r="H1457" s="13" t="n">
        <f aca="false">IF(C1457=1,A1457,"")</f>
        <v>3</v>
      </c>
      <c r="I1457" s="13" t="str">
        <f aca="false">IF(C1457=0,A1457,"")</f>
        <v/>
      </c>
    </row>
    <row r="1458" customFormat="false" ht="15" hidden="false" customHeight="false" outlineLevel="0" collapsed="false">
      <c r="A1458" s="13" t="n">
        <v>5</v>
      </c>
      <c r="B1458" s="13" t="n">
        <v>35</v>
      </c>
      <c r="C1458" s="13" t="n">
        <v>1</v>
      </c>
      <c r="D1458" s="13" t="n">
        <v>4</v>
      </c>
      <c r="E1458" s="13" t="n">
        <v>1</v>
      </c>
      <c r="F1458" s="13" t="n">
        <v>0</v>
      </c>
      <c r="G1458" s="13" t="n">
        <v>1</v>
      </c>
      <c r="H1458" s="13" t="n">
        <f aca="false">IF(C1458=1,A1458,"")</f>
        <v>5</v>
      </c>
      <c r="I1458" s="13" t="str">
        <f aca="false">IF(C1458=0,A1458,"")</f>
        <v/>
      </c>
    </row>
    <row r="1459" customFormat="false" ht="15" hidden="false" customHeight="false" outlineLevel="0" collapsed="false">
      <c r="A1459" s="13" t="n">
        <v>4</v>
      </c>
      <c r="B1459" s="13" t="n">
        <v>29</v>
      </c>
      <c r="C1459" s="13" t="n">
        <v>1</v>
      </c>
      <c r="D1459" s="13" t="n">
        <v>2</v>
      </c>
      <c r="E1459" s="13" t="n">
        <v>1</v>
      </c>
      <c r="F1459" s="13" t="n">
        <v>1</v>
      </c>
      <c r="G1459" s="13" t="n">
        <v>1</v>
      </c>
      <c r="H1459" s="13" t="n">
        <f aca="false">IF(C1459=1,A1459,"")</f>
        <v>4</v>
      </c>
      <c r="I1459" s="13" t="str">
        <f aca="false">IF(C1459=0,A1459,"")</f>
        <v/>
      </c>
    </row>
    <row r="1460" customFormat="false" ht="15" hidden="false" customHeight="false" outlineLevel="0" collapsed="false">
      <c r="A1460" s="13" t="n">
        <v>5</v>
      </c>
      <c r="B1460" s="13" t="n">
        <v>29</v>
      </c>
      <c r="C1460" s="13" t="n">
        <v>1</v>
      </c>
      <c r="D1460" s="13" t="n">
        <v>0</v>
      </c>
      <c r="E1460" s="13" t="n">
        <v>1</v>
      </c>
      <c r="F1460" s="13" t="n">
        <v>1</v>
      </c>
      <c r="G1460" s="13" t="n">
        <v>1</v>
      </c>
      <c r="H1460" s="13" t="n">
        <f aca="false">IF(C1460=1,A1460,"")</f>
        <v>5</v>
      </c>
      <c r="I1460" s="13" t="str">
        <f aca="false">IF(C1460=0,A1460,"")</f>
        <v/>
      </c>
    </row>
    <row r="1461" customFormat="false" ht="15" hidden="false" customHeight="false" outlineLevel="0" collapsed="false">
      <c r="A1461" s="13" t="n">
        <v>3</v>
      </c>
      <c r="B1461" s="13" t="n">
        <v>25</v>
      </c>
      <c r="C1461" s="13" t="n">
        <v>1</v>
      </c>
      <c r="D1461" s="13" t="n">
        <v>0</v>
      </c>
      <c r="E1461" s="13" t="n">
        <v>0</v>
      </c>
      <c r="F1461" s="13" t="n">
        <v>1</v>
      </c>
      <c r="G1461" s="13" t="n">
        <v>1</v>
      </c>
      <c r="H1461" s="13" t="n">
        <f aca="false">IF(C1461=1,A1461,"")</f>
        <v>3</v>
      </c>
      <c r="I1461" s="13" t="str">
        <f aca="false">IF(C1461=0,A1461,"")</f>
        <v/>
      </c>
    </row>
    <row r="1462" customFormat="false" ht="15" hidden="false" customHeight="false" outlineLevel="0" collapsed="false">
      <c r="A1462" s="13" t="n">
        <v>4</v>
      </c>
      <c r="B1462" s="13" t="n">
        <v>33</v>
      </c>
      <c r="C1462" s="13" t="n">
        <v>1</v>
      </c>
      <c r="D1462" s="13" t="n">
        <v>0</v>
      </c>
      <c r="E1462" s="13" t="n">
        <v>0</v>
      </c>
      <c r="F1462" s="13" t="n">
        <v>1</v>
      </c>
      <c r="G1462" s="13" t="n">
        <v>0</v>
      </c>
      <c r="H1462" s="13" t="n">
        <f aca="false">IF(C1462=1,A1462,"")</f>
        <v>4</v>
      </c>
      <c r="I1462" s="13" t="str">
        <f aca="false">IF(C1462=0,A1462,"")</f>
        <v/>
      </c>
    </row>
    <row r="1463" customFormat="false" ht="15" hidden="false" customHeight="false" outlineLevel="0" collapsed="false">
      <c r="A1463" s="13" t="n">
        <v>4</v>
      </c>
      <c r="B1463" s="13" t="n">
        <v>33</v>
      </c>
      <c r="C1463" s="13" t="n">
        <v>1</v>
      </c>
      <c r="D1463" s="13" t="n">
        <v>0</v>
      </c>
      <c r="E1463" s="13" t="n">
        <v>0</v>
      </c>
      <c r="F1463" s="13" t="n">
        <v>1</v>
      </c>
      <c r="G1463" s="13" t="n">
        <v>0</v>
      </c>
      <c r="H1463" s="13" t="n">
        <f aca="false">IF(C1463=1,A1463,"")</f>
        <v>4</v>
      </c>
      <c r="I1463" s="13" t="str">
        <f aca="false">IF(C1463=0,A1463,"")</f>
        <v/>
      </c>
    </row>
    <row r="1464" customFormat="false" ht="15" hidden="false" customHeight="false" outlineLevel="0" collapsed="false">
      <c r="A1464" s="13" t="n">
        <v>5</v>
      </c>
      <c r="B1464" s="13" t="n">
        <v>39</v>
      </c>
      <c r="C1464" s="13" t="n">
        <v>1</v>
      </c>
      <c r="D1464" s="13" t="n">
        <v>2</v>
      </c>
      <c r="E1464" s="13" t="n">
        <v>1</v>
      </c>
      <c r="F1464" s="13" t="n">
        <v>1</v>
      </c>
      <c r="G1464" s="13" t="n">
        <v>1</v>
      </c>
      <c r="H1464" s="13" t="n">
        <f aca="false">IF(C1464=1,A1464,"")</f>
        <v>5</v>
      </c>
      <c r="I1464" s="13" t="str">
        <f aca="false">IF(C1464=0,A1464,"")</f>
        <v/>
      </c>
    </row>
    <row r="1465" customFormat="false" ht="15" hidden="false" customHeight="false" outlineLevel="0" collapsed="false">
      <c r="A1465" s="13" t="n">
        <v>4</v>
      </c>
      <c r="B1465" s="13" t="n">
        <v>41</v>
      </c>
      <c r="C1465" s="13" t="n">
        <v>1</v>
      </c>
      <c r="D1465" s="13" t="n">
        <v>0</v>
      </c>
      <c r="E1465" s="13" t="n">
        <v>1</v>
      </c>
      <c r="F1465" s="13" t="n">
        <v>1</v>
      </c>
      <c r="G1465" s="13" t="n">
        <v>1</v>
      </c>
      <c r="H1465" s="13" t="n">
        <f aca="false">IF(C1465=1,A1465,"")</f>
        <v>4</v>
      </c>
      <c r="I1465" s="13" t="str">
        <f aca="false">IF(C1465=0,A1465,"")</f>
        <v/>
      </c>
    </row>
    <row r="1466" customFormat="false" ht="15" hidden="false" customHeight="false" outlineLevel="0" collapsed="false">
      <c r="A1466" s="13" t="n">
        <v>4</v>
      </c>
      <c r="B1466" s="13" t="n">
        <v>35</v>
      </c>
      <c r="C1466" s="13" t="n">
        <v>1</v>
      </c>
      <c r="D1466" s="13" t="n">
        <v>0</v>
      </c>
      <c r="E1466" s="13" t="n">
        <v>1</v>
      </c>
      <c r="F1466" s="13" t="n">
        <v>0</v>
      </c>
      <c r="G1466" s="13" t="n">
        <v>1</v>
      </c>
      <c r="H1466" s="13" t="n">
        <f aca="false">IF(C1466=1,A1466,"")</f>
        <v>4</v>
      </c>
      <c r="I1466" s="13" t="str">
        <f aca="false">IF(C1466=0,A1466,"")</f>
        <v/>
      </c>
    </row>
    <row r="1467" customFormat="false" ht="15" hidden="false" customHeight="false" outlineLevel="0" collapsed="false">
      <c r="A1467" s="13" t="n">
        <v>4</v>
      </c>
      <c r="B1467" s="13" t="n">
        <v>38</v>
      </c>
      <c r="C1467" s="13" t="n">
        <v>1</v>
      </c>
      <c r="D1467" s="13" t="n">
        <v>1</v>
      </c>
      <c r="E1467" s="13" t="n">
        <v>1</v>
      </c>
      <c r="F1467" s="13" t="n">
        <v>1</v>
      </c>
      <c r="G1467" s="13" t="n">
        <v>1</v>
      </c>
      <c r="H1467" s="13" t="n">
        <f aca="false">IF(C1467=1,A1467,"")</f>
        <v>4</v>
      </c>
      <c r="I1467" s="13" t="str">
        <f aca="false">IF(C1467=0,A1467,"")</f>
        <v/>
      </c>
    </row>
    <row r="1468" customFormat="false" ht="15" hidden="false" customHeight="false" outlineLevel="0" collapsed="false">
      <c r="A1468" s="13" t="n">
        <v>2</v>
      </c>
      <c r="B1468" s="13" t="n">
        <v>37</v>
      </c>
      <c r="C1468" s="13" t="n">
        <v>1</v>
      </c>
      <c r="D1468" s="13" t="n">
        <v>0</v>
      </c>
      <c r="E1468" s="13" t="n">
        <v>1</v>
      </c>
      <c r="F1468" s="13" t="n">
        <v>1</v>
      </c>
      <c r="G1468" s="13" t="n">
        <v>1</v>
      </c>
      <c r="H1468" s="13" t="n">
        <f aca="false">IF(C1468=1,A1468,"")</f>
        <v>2</v>
      </c>
      <c r="I1468" s="13" t="str">
        <f aca="false">IF(C1468=0,A1468,"")</f>
        <v/>
      </c>
    </row>
    <row r="1469" customFormat="false" ht="15" hidden="false" customHeight="false" outlineLevel="0" collapsed="false">
      <c r="A1469" s="13" t="n">
        <v>4</v>
      </c>
      <c r="B1469" s="13" t="n">
        <v>43</v>
      </c>
      <c r="C1469" s="13" t="n">
        <v>1</v>
      </c>
      <c r="D1469" s="13" t="n">
        <v>3</v>
      </c>
      <c r="E1469" s="13" t="n">
        <v>1</v>
      </c>
      <c r="F1469" s="13" t="n">
        <v>1</v>
      </c>
      <c r="G1469" s="13" t="n">
        <v>1</v>
      </c>
      <c r="H1469" s="13" t="n">
        <f aca="false">IF(C1469=1,A1469,"")</f>
        <v>4</v>
      </c>
      <c r="I1469" s="13" t="str">
        <f aca="false">IF(C1469=0,A1469,"")</f>
        <v/>
      </c>
    </row>
    <row r="1470" customFormat="false" ht="15" hidden="false" customHeight="false" outlineLevel="0" collapsed="false">
      <c r="A1470" s="13" t="n">
        <v>3</v>
      </c>
      <c r="B1470" s="13" t="n">
        <v>35</v>
      </c>
      <c r="C1470" s="13" t="n">
        <v>1</v>
      </c>
      <c r="D1470" s="13" t="n">
        <v>0</v>
      </c>
      <c r="E1470" s="13" t="n">
        <v>0</v>
      </c>
      <c r="F1470" s="13" t="n">
        <v>0</v>
      </c>
      <c r="G1470" s="13" t="n">
        <v>0</v>
      </c>
      <c r="H1470" s="13" t="n">
        <f aca="false">IF(C1470=1,A1470,"")</f>
        <v>3</v>
      </c>
      <c r="I1470" s="13" t="str">
        <f aca="false">IF(C1470=0,A1470,"")</f>
        <v/>
      </c>
    </row>
    <row r="1471" customFormat="false" ht="15" hidden="false" customHeight="false" outlineLevel="0" collapsed="false">
      <c r="A1471" s="13" t="n">
        <v>1</v>
      </c>
      <c r="B1471" s="13" t="n">
        <v>38</v>
      </c>
      <c r="C1471" s="13" t="n">
        <v>1</v>
      </c>
      <c r="D1471" s="13" t="n">
        <v>0</v>
      </c>
      <c r="E1471" s="13" t="n">
        <v>1</v>
      </c>
      <c r="F1471" s="13" t="n">
        <v>1</v>
      </c>
      <c r="G1471" s="13" t="n">
        <v>0</v>
      </c>
      <c r="H1471" s="13" t="n">
        <f aca="false">IF(C1471=1,A1471,"")</f>
        <v>1</v>
      </c>
      <c r="I1471" s="13" t="str">
        <f aca="false">IF(C1471=0,A1471,"")</f>
        <v/>
      </c>
    </row>
    <row r="1472" customFormat="false" ht="15" hidden="false" customHeight="false" outlineLevel="0" collapsed="false">
      <c r="A1472" s="13" t="n">
        <v>4</v>
      </c>
      <c r="B1472" s="13" t="n">
        <v>41</v>
      </c>
      <c r="C1472" s="13" t="n">
        <v>1</v>
      </c>
      <c r="D1472" s="13" t="n">
        <v>2</v>
      </c>
      <c r="E1472" s="13" t="n">
        <v>1</v>
      </c>
      <c r="F1472" s="13" t="n">
        <v>1</v>
      </c>
      <c r="G1472" s="13" t="n">
        <v>1</v>
      </c>
      <c r="H1472" s="13" t="n">
        <f aca="false">IF(C1472=1,A1472,"")</f>
        <v>4</v>
      </c>
      <c r="I1472" s="13" t="str">
        <f aca="false">IF(C1472=0,A1472,"")</f>
        <v/>
      </c>
    </row>
    <row r="1473" customFormat="false" ht="15" hidden="false" customHeight="false" outlineLevel="0" collapsed="false">
      <c r="A1473" s="13" t="n">
        <v>5</v>
      </c>
      <c r="B1473" s="13" t="n">
        <v>37</v>
      </c>
      <c r="C1473" s="13" t="n">
        <v>1</v>
      </c>
      <c r="D1473" s="13" t="n">
        <v>0</v>
      </c>
      <c r="E1473" s="13" t="n">
        <v>1</v>
      </c>
      <c r="F1473" s="13" t="n">
        <v>1</v>
      </c>
      <c r="G1473" s="13" t="n">
        <v>0</v>
      </c>
      <c r="H1473" s="13" t="n">
        <f aca="false">IF(C1473=1,A1473,"")</f>
        <v>5</v>
      </c>
      <c r="I1473" s="13" t="str">
        <f aca="false">IF(C1473=0,A1473,"")</f>
        <v/>
      </c>
    </row>
    <row r="1474" customFormat="false" ht="15" hidden="false" customHeight="false" outlineLevel="0" collapsed="false">
      <c r="A1474" s="13" t="n">
        <v>2</v>
      </c>
      <c r="B1474" s="13" t="n">
        <v>41</v>
      </c>
      <c r="C1474" s="13" t="n">
        <v>1</v>
      </c>
      <c r="D1474" s="13" t="n">
        <v>0</v>
      </c>
      <c r="E1474" s="13" t="n">
        <v>1</v>
      </c>
      <c r="F1474" s="13" t="n">
        <v>1</v>
      </c>
      <c r="G1474" s="13" t="n">
        <v>0</v>
      </c>
      <c r="H1474" s="13" t="n">
        <f aca="false">IF(C1474=1,A1474,"")</f>
        <v>2</v>
      </c>
      <c r="I1474" s="13" t="str">
        <f aca="false">IF(C1474=0,A1474,"")</f>
        <v/>
      </c>
    </row>
    <row r="1475" customFormat="false" ht="15" hidden="false" customHeight="false" outlineLevel="0" collapsed="false">
      <c r="A1475" s="13" t="n">
        <v>4</v>
      </c>
      <c r="B1475" s="13" t="n">
        <v>42</v>
      </c>
      <c r="C1475" s="13" t="n">
        <v>1</v>
      </c>
      <c r="D1475" s="13" t="n">
        <v>3</v>
      </c>
      <c r="E1475" s="13" t="n">
        <v>1</v>
      </c>
      <c r="F1475" s="13" t="n">
        <v>1</v>
      </c>
      <c r="G1475" s="13" t="n">
        <v>1</v>
      </c>
      <c r="H1475" s="13" t="n">
        <f aca="false">IF(C1475=1,A1475,"")</f>
        <v>4</v>
      </c>
      <c r="I1475" s="13" t="str">
        <f aca="false">IF(C1475=0,A1475,"")</f>
        <v/>
      </c>
    </row>
    <row r="1476" customFormat="false" ht="15" hidden="false" customHeight="false" outlineLevel="0" collapsed="false">
      <c r="A1476" s="13" t="n">
        <v>5</v>
      </c>
      <c r="B1476" s="13" t="n">
        <v>38</v>
      </c>
      <c r="C1476" s="13" t="n">
        <v>1</v>
      </c>
      <c r="D1476" s="13" t="n">
        <v>0</v>
      </c>
      <c r="E1476" s="13" t="n">
        <v>1</v>
      </c>
      <c r="F1476" s="13" t="n">
        <v>0</v>
      </c>
      <c r="G1476" s="13" t="n">
        <v>0</v>
      </c>
      <c r="H1476" s="13" t="n">
        <f aca="false">IF(C1476=1,A1476,"")</f>
        <v>5</v>
      </c>
      <c r="I1476" s="13" t="str">
        <f aca="false">IF(C1476=0,A1476,"")</f>
        <v/>
      </c>
    </row>
    <row r="1477" customFormat="false" ht="15" hidden="false" customHeight="false" outlineLevel="0" collapsed="false">
      <c r="A1477" s="13" t="n">
        <v>4</v>
      </c>
      <c r="B1477" s="13" t="n">
        <v>39</v>
      </c>
      <c r="C1477" s="13" t="n">
        <v>1</v>
      </c>
      <c r="D1477" s="13" t="n">
        <v>5</v>
      </c>
      <c r="E1477" s="13" t="n">
        <v>1</v>
      </c>
      <c r="F1477" s="13" t="n">
        <v>1</v>
      </c>
      <c r="G1477" s="13" t="n">
        <v>1</v>
      </c>
      <c r="H1477" s="13" t="n">
        <f aca="false">IF(C1477=1,A1477,"")</f>
        <v>4</v>
      </c>
      <c r="I1477" s="13" t="str">
        <f aca="false">IF(C1477=0,A1477,"")</f>
        <v/>
      </c>
    </row>
    <row r="1478" customFormat="false" ht="15" hidden="false" customHeight="false" outlineLevel="0" collapsed="false">
      <c r="A1478" s="13" t="n">
        <v>4</v>
      </c>
      <c r="B1478" s="13" t="n">
        <v>40</v>
      </c>
      <c r="C1478" s="13" t="n">
        <v>1</v>
      </c>
      <c r="D1478" s="13" t="n">
        <v>2</v>
      </c>
      <c r="E1478" s="13" t="n">
        <v>1</v>
      </c>
      <c r="F1478" s="13" t="n">
        <v>1</v>
      </c>
      <c r="G1478" s="13" t="n">
        <v>1</v>
      </c>
      <c r="H1478" s="13" t="n">
        <f aca="false">IF(C1478=1,A1478,"")</f>
        <v>4</v>
      </c>
      <c r="I1478" s="13" t="str">
        <f aca="false">IF(C1478=0,A1478,"")</f>
        <v/>
      </c>
    </row>
    <row r="1479" customFormat="false" ht="15" hidden="false" customHeight="false" outlineLevel="0" collapsed="false">
      <c r="A1479" s="13" t="n">
        <v>3</v>
      </c>
      <c r="B1479" s="13" t="n">
        <v>41</v>
      </c>
      <c r="C1479" s="13" t="n">
        <v>1</v>
      </c>
      <c r="D1479" s="13" t="n">
        <v>2</v>
      </c>
      <c r="E1479" s="13" t="n">
        <v>1</v>
      </c>
      <c r="F1479" s="13" t="n">
        <v>0</v>
      </c>
      <c r="G1479" s="13" t="n">
        <v>1</v>
      </c>
      <c r="H1479" s="13" t="n">
        <f aca="false">IF(C1479=1,A1479,"")</f>
        <v>3</v>
      </c>
      <c r="I1479" s="13" t="str">
        <f aca="false">IF(C1479=0,A1479,"")</f>
        <v/>
      </c>
    </row>
    <row r="1480" customFormat="false" ht="15" hidden="false" customHeight="false" outlineLevel="0" collapsed="false">
      <c r="A1480" s="13" t="n">
        <v>4</v>
      </c>
      <c r="B1480" s="13" t="n">
        <v>37</v>
      </c>
      <c r="C1480" s="13" t="n">
        <v>1</v>
      </c>
      <c r="D1480" s="13" t="n">
        <v>0</v>
      </c>
      <c r="E1480" s="13" t="n">
        <v>1</v>
      </c>
      <c r="F1480" s="13" t="n">
        <v>1</v>
      </c>
      <c r="G1480" s="13" t="n">
        <v>0</v>
      </c>
      <c r="H1480" s="13" t="n">
        <f aca="false">IF(C1480=1,A1480,"")</f>
        <v>4</v>
      </c>
      <c r="I1480" s="13" t="str">
        <f aca="false">IF(C1480=0,A1480,"")</f>
        <v/>
      </c>
    </row>
    <row r="1481" customFormat="false" ht="15" hidden="false" customHeight="false" outlineLevel="0" collapsed="false">
      <c r="A1481" s="13" t="n">
        <v>2</v>
      </c>
      <c r="B1481" s="13" t="n">
        <v>44</v>
      </c>
      <c r="C1481" s="13" t="n">
        <v>1</v>
      </c>
      <c r="D1481" s="13" t="n">
        <v>0</v>
      </c>
      <c r="E1481" s="13" t="n">
        <v>0</v>
      </c>
      <c r="F1481" s="13" t="n">
        <v>0</v>
      </c>
      <c r="G1481" s="13" t="n">
        <v>1</v>
      </c>
      <c r="H1481" s="13" t="n">
        <f aca="false">IF(C1481=1,A1481,"")</f>
        <v>2</v>
      </c>
      <c r="I1481" s="13" t="str">
        <f aca="false">IF(C1481=0,A1481,"")</f>
        <v/>
      </c>
    </row>
    <row r="1482" customFormat="false" ht="15" hidden="false" customHeight="false" outlineLevel="0" collapsed="false">
      <c r="A1482" s="13" t="n">
        <v>5</v>
      </c>
      <c r="B1482" s="13" t="n">
        <v>42</v>
      </c>
      <c r="C1482" s="13" t="n">
        <v>1</v>
      </c>
      <c r="D1482" s="13" t="n">
        <v>3</v>
      </c>
      <c r="E1482" s="13" t="n">
        <v>1</v>
      </c>
      <c r="F1482" s="13" t="n">
        <v>1</v>
      </c>
      <c r="G1482" s="13" t="n">
        <v>1</v>
      </c>
      <c r="H1482" s="13" t="n">
        <f aca="false">IF(C1482=1,A1482,"")</f>
        <v>5</v>
      </c>
      <c r="I1482" s="13" t="str">
        <f aca="false">IF(C1482=0,A1482,"")</f>
        <v/>
      </c>
    </row>
    <row r="1483" customFormat="false" ht="15" hidden="false" customHeight="false" outlineLevel="0" collapsed="false">
      <c r="A1483" s="13" t="n">
        <v>4</v>
      </c>
      <c r="B1483" s="13" t="n">
        <v>42</v>
      </c>
      <c r="C1483" s="13" t="n">
        <v>1</v>
      </c>
      <c r="D1483" s="13" t="n">
        <v>0</v>
      </c>
      <c r="E1483" s="13" t="n">
        <v>1</v>
      </c>
      <c r="F1483" s="13" t="n">
        <v>1</v>
      </c>
      <c r="G1483" s="13" t="n">
        <v>1</v>
      </c>
      <c r="H1483" s="13" t="n">
        <f aca="false">IF(C1483=1,A1483,"")</f>
        <v>4</v>
      </c>
      <c r="I1483" s="13" t="str">
        <f aca="false">IF(C1483=0,A1483,"")</f>
        <v/>
      </c>
    </row>
    <row r="1484" customFormat="false" ht="15" hidden="false" customHeight="false" outlineLevel="0" collapsed="false">
      <c r="A1484" s="13" t="n">
        <v>4</v>
      </c>
      <c r="B1484" s="13" t="n">
        <v>42</v>
      </c>
      <c r="C1484" s="13" t="n">
        <v>1</v>
      </c>
      <c r="D1484" s="13" t="n">
        <v>0</v>
      </c>
      <c r="E1484" s="13" t="n">
        <v>0</v>
      </c>
      <c r="F1484" s="13" t="n">
        <v>0</v>
      </c>
      <c r="G1484" s="13" t="n">
        <v>0</v>
      </c>
      <c r="H1484" s="13" t="n">
        <f aca="false">IF(C1484=1,A1484,"")</f>
        <v>4</v>
      </c>
      <c r="I1484" s="13" t="str">
        <f aca="false">IF(C1484=0,A1484,"")</f>
        <v/>
      </c>
    </row>
    <row r="1485" customFormat="false" ht="15" hidden="false" customHeight="false" outlineLevel="0" collapsed="false">
      <c r="A1485" s="13" t="n">
        <v>1</v>
      </c>
      <c r="B1485" s="13" t="n">
        <v>44</v>
      </c>
      <c r="C1485" s="13" t="n">
        <v>1</v>
      </c>
      <c r="D1485" s="13" t="n">
        <v>1</v>
      </c>
      <c r="E1485" s="13" t="n">
        <v>1</v>
      </c>
      <c r="F1485" s="13" t="n">
        <v>0</v>
      </c>
      <c r="G1485" s="13" t="n">
        <v>1</v>
      </c>
      <c r="H1485" s="13" t="n">
        <f aca="false">IF(C1485=1,A1485,"")</f>
        <v>1</v>
      </c>
      <c r="I1485" s="13" t="str">
        <f aca="false">IF(C1485=0,A1485,"")</f>
        <v/>
      </c>
    </row>
    <row r="1486" customFormat="false" ht="15" hidden="false" customHeight="false" outlineLevel="0" collapsed="false">
      <c r="A1486" s="13" t="n">
        <v>2</v>
      </c>
      <c r="B1486" s="13" t="n">
        <v>44</v>
      </c>
      <c r="C1486" s="13" t="n">
        <v>1</v>
      </c>
      <c r="D1486" s="13" t="n">
        <v>0</v>
      </c>
      <c r="E1486" s="13" t="n">
        <v>1</v>
      </c>
      <c r="F1486" s="13" t="n">
        <v>0</v>
      </c>
      <c r="G1486" s="13" t="n">
        <v>0</v>
      </c>
      <c r="H1486" s="13" t="n">
        <f aca="false">IF(C1486=1,A1486,"")</f>
        <v>2</v>
      </c>
      <c r="I1486" s="13" t="str">
        <f aca="false">IF(C1486=0,A1486,"")</f>
        <v/>
      </c>
    </row>
    <row r="1487" customFormat="false" ht="15" hidden="false" customHeight="false" outlineLevel="0" collapsed="false">
      <c r="A1487" s="13" t="n">
        <v>2</v>
      </c>
      <c r="B1487" s="13" t="n">
        <v>44</v>
      </c>
      <c r="C1487" s="13" t="n">
        <v>1</v>
      </c>
      <c r="D1487" s="13" t="n">
        <v>0</v>
      </c>
      <c r="E1487" s="13" t="n">
        <v>1</v>
      </c>
      <c r="F1487" s="13" t="n">
        <v>1</v>
      </c>
      <c r="G1487" s="13" t="n">
        <v>1</v>
      </c>
      <c r="H1487" s="13" t="n">
        <f aca="false">IF(C1487=1,A1487,"")</f>
        <v>2</v>
      </c>
      <c r="I1487" s="13" t="str">
        <f aca="false">IF(C1487=0,A1487,"")</f>
        <v/>
      </c>
    </row>
    <row r="1488" customFormat="false" ht="15" hidden="false" customHeight="false" outlineLevel="0" collapsed="false">
      <c r="A1488" s="13" t="n">
        <v>4</v>
      </c>
      <c r="B1488" s="13" t="n">
        <v>37</v>
      </c>
      <c r="C1488" s="13" t="n">
        <v>1</v>
      </c>
      <c r="D1488" s="13" t="n">
        <v>0</v>
      </c>
      <c r="E1488" s="13" t="n">
        <v>0</v>
      </c>
      <c r="F1488" s="13" t="n">
        <v>1</v>
      </c>
      <c r="G1488" s="13" t="n">
        <v>0</v>
      </c>
      <c r="H1488" s="13" t="n">
        <f aca="false">IF(C1488=1,A1488,"")</f>
        <v>4</v>
      </c>
      <c r="I1488" s="13" t="str">
        <f aca="false">IF(C1488=0,A1488,"")</f>
        <v/>
      </c>
    </row>
    <row r="1489" customFormat="false" ht="15" hidden="false" customHeight="false" outlineLevel="0" collapsed="false">
      <c r="A1489" s="13" t="n">
        <v>4</v>
      </c>
      <c r="B1489" s="13" t="n">
        <v>44</v>
      </c>
      <c r="C1489" s="13" t="n">
        <v>1</v>
      </c>
      <c r="D1489" s="13" t="n">
        <v>5</v>
      </c>
      <c r="E1489" s="13" t="n">
        <v>1</v>
      </c>
      <c r="F1489" s="13" t="n">
        <v>1</v>
      </c>
      <c r="G1489" s="13" t="n">
        <v>1</v>
      </c>
      <c r="H1489" s="13" t="n">
        <f aca="false">IF(C1489=1,A1489,"")</f>
        <v>4</v>
      </c>
      <c r="I1489" s="13" t="str">
        <f aca="false">IF(C1489=0,A1489,"")</f>
        <v/>
      </c>
    </row>
    <row r="1490" customFormat="false" ht="15" hidden="false" customHeight="false" outlineLevel="0" collapsed="false">
      <c r="A1490" s="13" t="n">
        <v>4</v>
      </c>
      <c r="B1490" s="13" t="n">
        <v>44</v>
      </c>
      <c r="C1490" s="13" t="n">
        <v>1</v>
      </c>
      <c r="D1490" s="13" t="n">
        <v>1</v>
      </c>
      <c r="E1490" s="13" t="n">
        <v>1</v>
      </c>
      <c r="F1490" s="13" t="n">
        <v>1</v>
      </c>
      <c r="G1490" s="13" t="n">
        <v>0</v>
      </c>
      <c r="H1490" s="13" t="n">
        <f aca="false">IF(C1490=1,A1490,"")</f>
        <v>4</v>
      </c>
      <c r="I1490" s="13" t="str">
        <f aca="false">IF(C1490=0,A1490,"")</f>
        <v/>
      </c>
    </row>
    <row r="1491" customFormat="false" ht="15" hidden="false" customHeight="false" outlineLevel="0" collapsed="false">
      <c r="A1491" s="13" t="n">
        <v>4</v>
      </c>
      <c r="B1491" s="13" t="n">
        <v>36</v>
      </c>
      <c r="C1491" s="13" t="n">
        <v>1</v>
      </c>
      <c r="D1491" s="13" t="n">
        <v>1</v>
      </c>
      <c r="E1491" s="13" t="n">
        <v>1</v>
      </c>
      <c r="F1491" s="13" t="n">
        <v>0</v>
      </c>
      <c r="G1491" s="13" t="n">
        <v>1</v>
      </c>
      <c r="H1491" s="13" t="n">
        <f aca="false">IF(C1491=1,A1491,"")</f>
        <v>4</v>
      </c>
      <c r="I1491" s="13" t="str">
        <f aca="false">IF(C1491=0,A1491,"")</f>
        <v/>
      </c>
    </row>
    <row r="1492" customFormat="false" ht="15" hidden="false" customHeight="false" outlineLevel="0" collapsed="false">
      <c r="A1492" s="13" t="n">
        <v>3</v>
      </c>
      <c r="B1492" s="13" t="n">
        <v>35</v>
      </c>
      <c r="C1492" s="13" t="n">
        <v>1</v>
      </c>
      <c r="D1492" s="13" t="n">
        <v>2</v>
      </c>
      <c r="E1492" s="13" t="n">
        <v>1</v>
      </c>
      <c r="F1492" s="13" t="n">
        <v>1</v>
      </c>
      <c r="G1492" s="13" t="n">
        <v>1</v>
      </c>
      <c r="H1492" s="13" t="n">
        <f aca="false">IF(C1492=1,A1492,"")</f>
        <v>3</v>
      </c>
      <c r="I1492" s="13" t="str">
        <f aca="false">IF(C1492=0,A1492,"")</f>
        <v/>
      </c>
    </row>
    <row r="1493" customFormat="false" ht="15" hidden="false" customHeight="false" outlineLevel="0" collapsed="false">
      <c r="A1493" s="13" t="n">
        <v>2</v>
      </c>
      <c r="B1493" s="13" t="n">
        <v>40</v>
      </c>
      <c r="C1493" s="13" t="n">
        <v>1</v>
      </c>
      <c r="D1493" s="13" t="n">
        <v>3</v>
      </c>
      <c r="E1493" s="13" t="n">
        <v>1</v>
      </c>
      <c r="F1493" s="13" t="n">
        <v>0</v>
      </c>
      <c r="G1493" s="13" t="n">
        <v>0</v>
      </c>
      <c r="H1493" s="13" t="n">
        <f aca="false">IF(C1493=1,A1493,"")</f>
        <v>2</v>
      </c>
      <c r="I1493" s="13" t="str">
        <f aca="false">IF(C1493=0,A1493,"")</f>
        <v/>
      </c>
    </row>
    <row r="1494" customFormat="false" ht="15" hidden="false" customHeight="false" outlineLevel="0" collapsed="false">
      <c r="A1494" s="13" t="n">
        <v>4</v>
      </c>
      <c r="B1494" s="13" t="n">
        <v>39</v>
      </c>
      <c r="C1494" s="13" t="n">
        <v>1</v>
      </c>
      <c r="D1494" s="13" t="n">
        <v>0</v>
      </c>
      <c r="E1494" s="13" t="n">
        <v>1</v>
      </c>
      <c r="F1494" s="13" t="n">
        <v>1</v>
      </c>
      <c r="G1494" s="13" t="n">
        <v>0</v>
      </c>
      <c r="H1494" s="13" t="n">
        <f aca="false">IF(C1494=1,A1494,"")</f>
        <v>4</v>
      </c>
      <c r="I1494" s="13" t="str">
        <f aca="false">IF(C1494=0,A1494,"")</f>
        <v/>
      </c>
    </row>
    <row r="1495" customFormat="false" ht="15" hidden="false" customHeight="false" outlineLevel="0" collapsed="false">
      <c r="A1495" s="13" t="n">
        <v>4</v>
      </c>
      <c r="B1495" s="13" t="n">
        <v>35</v>
      </c>
      <c r="C1495" s="13" t="n">
        <v>1</v>
      </c>
      <c r="D1495" s="13" t="n">
        <v>1</v>
      </c>
      <c r="E1495" s="13" t="n">
        <v>0</v>
      </c>
      <c r="F1495" s="13" t="n">
        <v>0</v>
      </c>
      <c r="G1495" s="13" t="n">
        <v>1</v>
      </c>
      <c r="H1495" s="13" t="n">
        <f aca="false">IF(C1495=1,A1495,"")</f>
        <v>4</v>
      </c>
      <c r="I1495" s="13" t="str">
        <f aca="false">IF(C1495=0,A1495,"")</f>
        <v/>
      </c>
    </row>
    <row r="1496" customFormat="false" ht="15" hidden="false" customHeight="false" outlineLevel="0" collapsed="false">
      <c r="A1496" s="13" t="n">
        <v>4</v>
      </c>
      <c r="B1496" s="13" t="n">
        <v>36</v>
      </c>
      <c r="C1496" s="13" t="n">
        <v>1</v>
      </c>
      <c r="D1496" s="13" t="n">
        <v>1</v>
      </c>
      <c r="E1496" s="13" t="n">
        <v>1</v>
      </c>
      <c r="F1496" s="13" t="n">
        <v>1</v>
      </c>
      <c r="G1496" s="13" t="n">
        <v>1</v>
      </c>
      <c r="H1496" s="13" t="n">
        <f aca="false">IF(C1496=1,A1496,"")</f>
        <v>4</v>
      </c>
      <c r="I1496" s="13" t="str">
        <f aca="false">IF(C1496=0,A1496,"")</f>
        <v/>
      </c>
    </row>
    <row r="1497" customFormat="false" ht="15" hidden="false" customHeight="false" outlineLevel="0" collapsed="false">
      <c r="A1497" s="13" t="n">
        <v>3</v>
      </c>
      <c r="B1497" s="13" t="n">
        <v>37</v>
      </c>
      <c r="C1497" s="13" t="n">
        <v>1</v>
      </c>
      <c r="D1497" s="13" t="n">
        <v>1</v>
      </c>
      <c r="E1497" s="13" t="n">
        <v>1</v>
      </c>
      <c r="F1497" s="13" t="n">
        <v>1</v>
      </c>
      <c r="G1497" s="13" t="n">
        <v>1</v>
      </c>
      <c r="H1497" s="13" t="n">
        <f aca="false">IF(C1497=1,A1497,"")</f>
        <v>3</v>
      </c>
      <c r="I1497" s="13" t="str">
        <f aca="false">IF(C1497=0,A1497,"")</f>
        <v/>
      </c>
    </row>
    <row r="1498" customFormat="false" ht="15" hidden="false" customHeight="false" outlineLevel="0" collapsed="false">
      <c r="A1498" s="13" t="n">
        <v>4</v>
      </c>
      <c r="B1498" s="13" t="n">
        <v>37</v>
      </c>
      <c r="C1498" s="13" t="n">
        <v>1</v>
      </c>
      <c r="D1498" s="13" t="n">
        <v>0</v>
      </c>
      <c r="E1498" s="13" t="n">
        <v>0</v>
      </c>
      <c r="F1498" s="13" t="n">
        <v>0</v>
      </c>
      <c r="G1498" s="13" t="n">
        <v>1</v>
      </c>
      <c r="H1498" s="13" t="n">
        <f aca="false">IF(C1498=1,A1498,"")</f>
        <v>4</v>
      </c>
      <c r="I1498" s="13" t="str">
        <f aca="false">IF(C1498=0,A1498,"")</f>
        <v/>
      </c>
    </row>
    <row r="1499" customFormat="false" ht="15" hidden="false" customHeight="false" outlineLevel="0" collapsed="false">
      <c r="A1499" s="13" t="n">
        <v>3</v>
      </c>
      <c r="B1499" s="13" t="n">
        <v>44</v>
      </c>
      <c r="C1499" s="13" t="n">
        <v>1</v>
      </c>
      <c r="D1499" s="13" t="n">
        <v>2</v>
      </c>
      <c r="E1499" s="13" t="n">
        <v>1</v>
      </c>
      <c r="F1499" s="13" t="n">
        <v>1</v>
      </c>
      <c r="G1499" s="13" t="n">
        <v>1</v>
      </c>
      <c r="H1499" s="13" t="n">
        <f aca="false">IF(C1499=1,A1499,"")</f>
        <v>3</v>
      </c>
      <c r="I1499" s="13" t="str">
        <f aca="false">IF(C1499=0,A1499,"")</f>
        <v/>
      </c>
    </row>
    <row r="1500" customFormat="false" ht="15" hidden="false" customHeight="false" outlineLevel="0" collapsed="false">
      <c r="A1500" s="13" t="n">
        <v>4</v>
      </c>
      <c r="B1500" s="13" t="n">
        <v>35</v>
      </c>
      <c r="C1500" s="13" t="n">
        <v>1</v>
      </c>
      <c r="D1500" s="13" t="n">
        <v>0</v>
      </c>
      <c r="E1500" s="13" t="n">
        <v>1</v>
      </c>
      <c r="F1500" s="13" t="n">
        <v>1</v>
      </c>
      <c r="G1500" s="13" t="n">
        <v>1</v>
      </c>
      <c r="H1500" s="13" t="n">
        <f aca="false">IF(C1500=1,A1500,"")</f>
        <v>4</v>
      </c>
      <c r="I1500" s="13" t="str">
        <f aca="false">IF(C1500=0,A1500,"")</f>
        <v/>
      </c>
    </row>
    <row r="1501" customFormat="false" ht="15" hidden="false" customHeight="false" outlineLevel="0" collapsed="false">
      <c r="A1501" s="13" t="n">
        <v>4</v>
      </c>
      <c r="B1501" s="13" t="n">
        <v>39</v>
      </c>
      <c r="C1501" s="13" t="n">
        <v>1</v>
      </c>
      <c r="D1501" s="13" t="n">
        <v>0</v>
      </c>
      <c r="E1501" s="13" t="n">
        <v>1</v>
      </c>
      <c r="F1501" s="13" t="n">
        <v>0</v>
      </c>
      <c r="G1501" s="13" t="n">
        <v>1</v>
      </c>
      <c r="H1501" s="13" t="n">
        <f aca="false">IF(C1501=1,A1501,"")</f>
        <v>4</v>
      </c>
      <c r="I1501" s="13" t="str">
        <f aca="false">IF(C1501=0,A1501,"")</f>
        <v/>
      </c>
    </row>
    <row r="1502" customFormat="false" ht="15" hidden="false" customHeight="false" outlineLevel="0" collapsed="false">
      <c r="A1502" s="13" t="n">
        <v>4</v>
      </c>
      <c r="B1502" s="13" t="n">
        <v>37</v>
      </c>
      <c r="C1502" s="13" t="n">
        <v>1</v>
      </c>
      <c r="D1502" s="13" t="n">
        <v>1</v>
      </c>
      <c r="E1502" s="13" t="n">
        <v>1</v>
      </c>
      <c r="F1502" s="13" t="n">
        <v>1</v>
      </c>
      <c r="G1502" s="13" t="n">
        <v>1</v>
      </c>
      <c r="H1502" s="13" t="n">
        <f aca="false">IF(C1502=1,A1502,"")</f>
        <v>4</v>
      </c>
      <c r="I1502" s="13" t="str">
        <f aca="false">IF(C1502=0,A1502,"")</f>
        <v/>
      </c>
    </row>
    <row r="1503" customFormat="false" ht="15" hidden="false" customHeight="false" outlineLevel="0" collapsed="false">
      <c r="A1503" s="13" t="n">
        <v>5</v>
      </c>
      <c r="B1503" s="13" t="n">
        <v>43</v>
      </c>
      <c r="C1503" s="13" t="n">
        <v>1</v>
      </c>
      <c r="D1503" s="13" t="n">
        <v>3</v>
      </c>
      <c r="E1503" s="13" t="n">
        <v>1</v>
      </c>
      <c r="F1503" s="13" t="n">
        <v>0</v>
      </c>
      <c r="G1503" s="13" t="n">
        <v>0</v>
      </c>
      <c r="H1503" s="13" t="n">
        <f aca="false">IF(C1503=1,A1503,"")</f>
        <v>5</v>
      </c>
      <c r="I1503" s="13" t="str">
        <f aca="false">IF(C1503=0,A1503,"")</f>
        <v/>
      </c>
    </row>
    <row r="1504" customFormat="false" ht="15" hidden="false" customHeight="false" outlineLevel="0" collapsed="false">
      <c r="A1504" s="13" t="n">
        <v>4</v>
      </c>
      <c r="B1504" s="13" t="n">
        <v>44</v>
      </c>
      <c r="C1504" s="13" t="n">
        <v>1</v>
      </c>
      <c r="D1504" s="13" t="n">
        <v>0</v>
      </c>
      <c r="E1504" s="13" t="n">
        <v>1</v>
      </c>
      <c r="F1504" s="13" t="n">
        <v>0</v>
      </c>
      <c r="G1504" s="13" t="n">
        <v>1</v>
      </c>
      <c r="H1504" s="13" t="n">
        <f aca="false">IF(C1504=1,A1504,"")</f>
        <v>4</v>
      </c>
      <c r="I1504" s="13" t="str">
        <f aca="false">IF(C1504=0,A1504,"")</f>
        <v/>
      </c>
    </row>
    <row r="1505" customFormat="false" ht="15" hidden="false" customHeight="false" outlineLevel="0" collapsed="false">
      <c r="A1505" s="13" t="n">
        <v>4</v>
      </c>
      <c r="B1505" s="13" t="n">
        <v>35</v>
      </c>
      <c r="C1505" s="13" t="n">
        <v>1</v>
      </c>
      <c r="D1505" s="13" t="n">
        <v>1</v>
      </c>
      <c r="E1505" s="13" t="n">
        <v>1</v>
      </c>
      <c r="F1505" s="13" t="n">
        <v>1</v>
      </c>
      <c r="G1505" s="13" t="n">
        <v>0</v>
      </c>
      <c r="H1505" s="13" t="n">
        <f aca="false">IF(C1505=1,A1505,"")</f>
        <v>4</v>
      </c>
      <c r="I1505" s="13" t="str">
        <f aca="false">IF(C1505=0,A1505,"")</f>
        <v/>
      </c>
    </row>
    <row r="1506" customFormat="false" ht="15" hidden="false" customHeight="false" outlineLevel="0" collapsed="false">
      <c r="A1506" s="13" t="n">
        <v>4</v>
      </c>
      <c r="B1506" s="13" t="n">
        <v>42</v>
      </c>
      <c r="C1506" s="13" t="n">
        <v>1</v>
      </c>
      <c r="D1506" s="13" t="n">
        <v>2</v>
      </c>
      <c r="E1506" s="13" t="n">
        <v>1</v>
      </c>
      <c r="F1506" s="13" t="n">
        <v>0</v>
      </c>
      <c r="G1506" s="13" t="n">
        <v>1</v>
      </c>
      <c r="H1506" s="13" t="n">
        <f aca="false">IF(C1506=1,A1506,"")</f>
        <v>4</v>
      </c>
      <c r="I1506" s="13" t="str">
        <f aca="false">IF(C1506=0,A1506,"")</f>
        <v/>
      </c>
    </row>
    <row r="1507" customFormat="false" ht="15" hidden="false" customHeight="false" outlineLevel="0" collapsed="false">
      <c r="A1507" s="13" t="n">
        <v>4</v>
      </c>
      <c r="B1507" s="13" t="n">
        <v>40</v>
      </c>
      <c r="C1507" s="13" t="n">
        <v>1</v>
      </c>
      <c r="D1507" s="13" t="n">
        <v>2</v>
      </c>
      <c r="E1507" s="13" t="n">
        <v>1</v>
      </c>
      <c r="F1507" s="13" t="n">
        <v>1</v>
      </c>
      <c r="G1507" s="13" t="n">
        <v>0</v>
      </c>
      <c r="H1507" s="13" t="n">
        <f aca="false">IF(C1507=1,A1507,"")</f>
        <v>4</v>
      </c>
      <c r="I1507" s="13" t="str">
        <f aca="false">IF(C1507=0,A1507,"")</f>
        <v/>
      </c>
    </row>
    <row r="1508" customFormat="false" ht="15" hidden="false" customHeight="false" outlineLevel="0" collapsed="false">
      <c r="A1508" s="13" t="n">
        <v>4</v>
      </c>
      <c r="B1508" s="13" t="n">
        <v>42</v>
      </c>
      <c r="C1508" s="13" t="n">
        <v>1</v>
      </c>
      <c r="D1508" s="13" t="n">
        <v>3</v>
      </c>
      <c r="E1508" s="13" t="n">
        <v>1</v>
      </c>
      <c r="F1508" s="13" t="n">
        <v>0</v>
      </c>
      <c r="G1508" s="13" t="n">
        <v>1</v>
      </c>
      <c r="H1508" s="13" t="n">
        <f aca="false">IF(C1508=1,A1508,"")</f>
        <v>4</v>
      </c>
      <c r="I1508" s="13" t="str">
        <f aca="false">IF(C1508=0,A1508,"")</f>
        <v/>
      </c>
    </row>
    <row r="1509" customFormat="false" ht="15" hidden="false" customHeight="false" outlineLevel="0" collapsed="false">
      <c r="A1509" s="13" t="n">
        <v>3</v>
      </c>
      <c r="B1509" s="13" t="n">
        <v>44</v>
      </c>
      <c r="C1509" s="13" t="n">
        <v>1</v>
      </c>
      <c r="D1509" s="13" t="n">
        <v>1</v>
      </c>
      <c r="E1509" s="13" t="n">
        <v>1</v>
      </c>
      <c r="F1509" s="13" t="n">
        <v>1</v>
      </c>
      <c r="G1509" s="13" t="n">
        <v>1</v>
      </c>
      <c r="H1509" s="13" t="n">
        <f aca="false">IF(C1509=1,A1509,"")</f>
        <v>3</v>
      </c>
      <c r="I1509" s="13" t="str">
        <f aca="false">IF(C1509=0,A1509,"")</f>
        <v/>
      </c>
    </row>
    <row r="1510" customFormat="false" ht="15" hidden="false" customHeight="false" outlineLevel="0" collapsed="false">
      <c r="A1510" s="13" t="n">
        <v>4</v>
      </c>
      <c r="B1510" s="13" t="n">
        <v>41</v>
      </c>
      <c r="C1510" s="13" t="n">
        <v>1</v>
      </c>
      <c r="D1510" s="13" t="n">
        <v>5</v>
      </c>
      <c r="E1510" s="13" t="n">
        <v>0</v>
      </c>
      <c r="F1510" s="13" t="n">
        <v>0</v>
      </c>
      <c r="G1510" s="13" t="n">
        <v>1</v>
      </c>
      <c r="H1510" s="13" t="n">
        <f aca="false">IF(C1510=1,A1510,"")</f>
        <v>4</v>
      </c>
      <c r="I1510" s="13" t="str">
        <f aca="false">IF(C1510=0,A1510,"")</f>
        <v/>
      </c>
    </row>
    <row r="1511" customFormat="false" ht="15" hidden="false" customHeight="false" outlineLevel="0" collapsed="false">
      <c r="A1511" s="13" t="n">
        <v>4</v>
      </c>
      <c r="B1511" s="13" t="n">
        <v>40</v>
      </c>
      <c r="C1511" s="13" t="n">
        <v>1</v>
      </c>
      <c r="D1511" s="13" t="n">
        <v>1</v>
      </c>
      <c r="E1511" s="13" t="n">
        <v>0</v>
      </c>
      <c r="F1511" s="13" t="n">
        <v>1</v>
      </c>
      <c r="G1511" s="13" t="n">
        <v>1</v>
      </c>
      <c r="H1511" s="13" t="n">
        <f aca="false">IF(C1511=1,A1511,"")</f>
        <v>4</v>
      </c>
      <c r="I1511" s="13" t="str">
        <f aca="false">IF(C1511=0,A1511,"")</f>
        <v/>
      </c>
    </row>
    <row r="1512" customFormat="false" ht="15" hidden="false" customHeight="false" outlineLevel="0" collapsed="false">
      <c r="A1512" s="13" t="n">
        <v>2</v>
      </c>
      <c r="B1512" s="13" t="n">
        <v>36</v>
      </c>
      <c r="C1512" s="13" t="n">
        <v>1</v>
      </c>
      <c r="D1512" s="13" t="n">
        <v>0</v>
      </c>
      <c r="E1512" s="13" t="n">
        <v>0</v>
      </c>
      <c r="F1512" s="13" t="n">
        <v>1</v>
      </c>
      <c r="G1512" s="13" t="n">
        <v>0</v>
      </c>
      <c r="H1512" s="13" t="n">
        <f aca="false">IF(C1512=1,A1512,"")</f>
        <v>2</v>
      </c>
      <c r="I1512" s="13" t="str">
        <f aca="false">IF(C1512=0,A1512,"")</f>
        <v/>
      </c>
    </row>
    <row r="1513" customFormat="false" ht="15" hidden="false" customHeight="false" outlineLevel="0" collapsed="false">
      <c r="A1513" s="13" t="n">
        <v>4</v>
      </c>
      <c r="B1513" s="13" t="n">
        <v>41</v>
      </c>
      <c r="C1513" s="13" t="n">
        <v>1</v>
      </c>
      <c r="D1513" s="13" t="n">
        <v>3</v>
      </c>
      <c r="E1513" s="13" t="n">
        <v>1</v>
      </c>
      <c r="F1513" s="13" t="n">
        <v>0</v>
      </c>
      <c r="G1513" s="13" t="n">
        <v>1</v>
      </c>
      <c r="H1513" s="13" t="n">
        <f aca="false">IF(C1513=1,A1513,"")</f>
        <v>4</v>
      </c>
      <c r="I1513" s="13" t="str">
        <f aca="false">IF(C1513=0,A1513,"")</f>
        <v/>
      </c>
    </row>
    <row r="1514" customFormat="false" ht="15" hidden="false" customHeight="false" outlineLevel="0" collapsed="false">
      <c r="A1514" s="13" t="n">
        <v>5</v>
      </c>
      <c r="B1514" s="13" t="n">
        <v>38</v>
      </c>
      <c r="C1514" s="13" t="n">
        <v>1</v>
      </c>
      <c r="D1514" s="13" t="n">
        <v>0</v>
      </c>
      <c r="E1514" s="13" t="n">
        <v>1</v>
      </c>
      <c r="F1514" s="13" t="n">
        <v>0</v>
      </c>
      <c r="G1514" s="13" t="n">
        <v>0</v>
      </c>
      <c r="H1514" s="13" t="n">
        <f aca="false">IF(C1514=1,A1514,"")</f>
        <v>5</v>
      </c>
      <c r="I1514" s="13" t="str">
        <f aca="false">IF(C1514=0,A1514,"")</f>
        <v/>
      </c>
    </row>
    <row r="1515" customFormat="false" ht="15" hidden="false" customHeight="false" outlineLevel="0" collapsed="false">
      <c r="A1515" s="13" t="n">
        <v>4</v>
      </c>
      <c r="B1515" s="13" t="n">
        <v>42</v>
      </c>
      <c r="C1515" s="13" t="n">
        <v>1</v>
      </c>
      <c r="D1515" s="13" t="n">
        <v>0</v>
      </c>
      <c r="E1515" s="13" t="n">
        <v>1</v>
      </c>
      <c r="F1515" s="13" t="n">
        <v>1</v>
      </c>
      <c r="G1515" s="13" t="n">
        <v>1</v>
      </c>
      <c r="H1515" s="13" t="n">
        <f aca="false">IF(C1515=1,A1515,"")</f>
        <v>4</v>
      </c>
      <c r="I1515" s="13" t="str">
        <f aca="false">IF(C1515=0,A1515,"")</f>
        <v/>
      </c>
    </row>
    <row r="1516" customFormat="false" ht="15" hidden="false" customHeight="false" outlineLevel="0" collapsed="false">
      <c r="A1516" s="13" t="n">
        <v>4</v>
      </c>
      <c r="B1516" s="13" t="n">
        <v>41</v>
      </c>
      <c r="C1516" s="13" t="n">
        <v>1</v>
      </c>
      <c r="D1516" s="13" t="n">
        <v>3</v>
      </c>
      <c r="E1516" s="13" t="n">
        <v>1</v>
      </c>
      <c r="F1516" s="13" t="n">
        <v>1</v>
      </c>
      <c r="G1516" s="13" t="n">
        <v>1</v>
      </c>
      <c r="H1516" s="13" t="n">
        <f aca="false">IF(C1516=1,A1516,"")</f>
        <v>4</v>
      </c>
      <c r="I1516" s="13" t="str">
        <f aca="false">IF(C1516=0,A1516,"")</f>
        <v/>
      </c>
    </row>
    <row r="1517" customFormat="false" ht="15" hidden="false" customHeight="false" outlineLevel="0" collapsed="false">
      <c r="A1517" s="13" t="n">
        <v>2</v>
      </c>
      <c r="B1517" s="13" t="n">
        <v>42</v>
      </c>
      <c r="C1517" s="13" t="n">
        <v>1</v>
      </c>
      <c r="D1517" s="13" t="n">
        <v>1</v>
      </c>
      <c r="E1517" s="13" t="n">
        <v>1</v>
      </c>
      <c r="F1517" s="13" t="n">
        <v>0</v>
      </c>
      <c r="G1517" s="13" t="n">
        <v>1</v>
      </c>
      <c r="H1517" s="13" t="n">
        <f aca="false">IF(C1517=1,A1517,"")</f>
        <v>2</v>
      </c>
      <c r="I1517" s="13" t="str">
        <f aca="false">IF(C1517=0,A1517,"")</f>
        <v/>
      </c>
    </row>
    <row r="1518" customFormat="false" ht="15" hidden="false" customHeight="false" outlineLevel="0" collapsed="false">
      <c r="A1518" s="13" t="n">
        <v>2</v>
      </c>
      <c r="B1518" s="13" t="n">
        <v>41</v>
      </c>
      <c r="C1518" s="13" t="n">
        <v>1</v>
      </c>
      <c r="D1518" s="13" t="n">
        <v>0</v>
      </c>
      <c r="E1518" s="13" t="n">
        <v>1</v>
      </c>
      <c r="F1518" s="13" t="n">
        <v>1</v>
      </c>
      <c r="G1518" s="13" t="n">
        <v>0</v>
      </c>
      <c r="H1518" s="13" t="n">
        <f aca="false">IF(C1518=1,A1518,"")</f>
        <v>2</v>
      </c>
      <c r="I1518" s="13" t="str">
        <f aca="false">IF(C1518=0,A1518,"")</f>
        <v/>
      </c>
    </row>
    <row r="1519" customFormat="false" ht="15" hidden="false" customHeight="false" outlineLevel="0" collapsed="false">
      <c r="A1519" s="13" t="n">
        <v>4</v>
      </c>
      <c r="B1519" s="13" t="n">
        <v>44</v>
      </c>
      <c r="C1519" s="13" t="n">
        <v>1</v>
      </c>
      <c r="D1519" s="13" t="n">
        <v>2</v>
      </c>
      <c r="E1519" s="13" t="n">
        <v>0</v>
      </c>
      <c r="F1519" s="13" t="n">
        <v>0</v>
      </c>
      <c r="G1519" s="13" t="n">
        <v>1</v>
      </c>
      <c r="H1519" s="13" t="n">
        <f aca="false">IF(C1519=1,A1519,"")</f>
        <v>4</v>
      </c>
      <c r="I1519" s="13" t="str">
        <f aca="false">IF(C1519=0,A1519,"")</f>
        <v/>
      </c>
    </row>
    <row r="1520" customFormat="false" ht="15" hidden="false" customHeight="false" outlineLevel="0" collapsed="false">
      <c r="A1520" s="13" t="n">
        <v>3</v>
      </c>
      <c r="B1520" s="13" t="n">
        <v>39</v>
      </c>
      <c r="C1520" s="13" t="n">
        <v>1</v>
      </c>
      <c r="D1520" s="13" t="n">
        <v>5</v>
      </c>
      <c r="E1520" s="13" t="n">
        <v>0</v>
      </c>
      <c r="F1520" s="13" t="n">
        <v>0</v>
      </c>
      <c r="G1520" s="13" t="n">
        <v>1</v>
      </c>
      <c r="H1520" s="13" t="n">
        <f aca="false">IF(C1520=1,A1520,"")</f>
        <v>3</v>
      </c>
      <c r="I1520" s="13" t="str">
        <f aca="false">IF(C1520=0,A1520,"")</f>
        <v/>
      </c>
    </row>
    <row r="1521" customFormat="false" ht="15" hidden="false" customHeight="false" outlineLevel="0" collapsed="false">
      <c r="A1521" s="13" t="n">
        <v>4</v>
      </c>
      <c r="B1521" s="13" t="n">
        <v>39</v>
      </c>
      <c r="C1521" s="13" t="n">
        <v>1</v>
      </c>
      <c r="D1521" s="13" t="n">
        <v>0</v>
      </c>
      <c r="E1521" s="13" t="n">
        <v>1</v>
      </c>
      <c r="F1521" s="13" t="n">
        <v>0</v>
      </c>
      <c r="G1521" s="13" t="n">
        <v>1</v>
      </c>
      <c r="H1521" s="13" t="n">
        <f aca="false">IF(C1521=1,A1521,"")</f>
        <v>4</v>
      </c>
      <c r="I1521" s="13" t="str">
        <f aca="false">IF(C1521=0,A1521,"")</f>
        <v/>
      </c>
    </row>
    <row r="1522" customFormat="false" ht="15" hidden="false" customHeight="false" outlineLevel="0" collapsed="false">
      <c r="A1522" s="13" t="n">
        <v>4</v>
      </c>
      <c r="B1522" s="13" t="n">
        <v>40</v>
      </c>
      <c r="C1522" s="13" t="n">
        <v>1</v>
      </c>
      <c r="D1522" s="13" t="n">
        <v>0</v>
      </c>
      <c r="E1522" s="13" t="n">
        <v>1</v>
      </c>
      <c r="F1522" s="13" t="n">
        <v>1</v>
      </c>
      <c r="G1522" s="13" t="n">
        <v>0</v>
      </c>
      <c r="H1522" s="13" t="n">
        <f aca="false">IF(C1522=1,A1522,"")</f>
        <v>4</v>
      </c>
      <c r="I1522" s="13" t="str">
        <f aca="false">IF(C1522=0,A1522,"")</f>
        <v/>
      </c>
    </row>
    <row r="1523" customFormat="false" ht="15" hidden="false" customHeight="false" outlineLevel="0" collapsed="false">
      <c r="A1523" s="13" t="n">
        <v>2</v>
      </c>
      <c r="B1523" s="13" t="n">
        <v>42</v>
      </c>
      <c r="C1523" s="13" t="n">
        <v>1</v>
      </c>
      <c r="D1523" s="13" t="n">
        <v>0</v>
      </c>
      <c r="E1523" s="13" t="n">
        <v>0</v>
      </c>
      <c r="F1523" s="13" t="n">
        <v>0</v>
      </c>
      <c r="G1523" s="13" t="n">
        <v>0</v>
      </c>
      <c r="H1523" s="13" t="n">
        <f aca="false">IF(C1523=1,A1523,"")</f>
        <v>2</v>
      </c>
      <c r="I1523" s="13" t="str">
        <f aca="false">IF(C1523=0,A1523,"")</f>
        <v/>
      </c>
    </row>
    <row r="1524" customFormat="false" ht="15" hidden="false" customHeight="false" outlineLevel="0" collapsed="false">
      <c r="A1524" s="13" t="n">
        <v>3</v>
      </c>
      <c r="B1524" s="13" t="n">
        <v>37</v>
      </c>
      <c r="C1524" s="13" t="n">
        <v>1</v>
      </c>
      <c r="D1524" s="13" t="n">
        <v>0</v>
      </c>
      <c r="E1524" s="13" t="n">
        <v>0</v>
      </c>
      <c r="F1524" s="13" t="n">
        <v>1</v>
      </c>
      <c r="G1524" s="13" t="n">
        <v>1</v>
      </c>
      <c r="H1524" s="13" t="n">
        <f aca="false">IF(C1524=1,A1524,"")</f>
        <v>3</v>
      </c>
      <c r="I1524" s="13" t="str">
        <f aca="false">IF(C1524=0,A1524,"")</f>
        <v/>
      </c>
    </row>
    <row r="1525" customFormat="false" ht="15" hidden="false" customHeight="false" outlineLevel="0" collapsed="false">
      <c r="A1525" s="13" t="n">
        <v>4</v>
      </c>
      <c r="B1525" s="13" t="n">
        <v>43</v>
      </c>
      <c r="C1525" s="13" t="n">
        <v>1</v>
      </c>
      <c r="D1525" s="13" t="n">
        <v>3</v>
      </c>
      <c r="E1525" s="13" t="n">
        <v>1</v>
      </c>
      <c r="F1525" s="13" t="n">
        <v>0</v>
      </c>
      <c r="G1525" s="13" t="n">
        <v>1</v>
      </c>
      <c r="H1525" s="13" t="n">
        <f aca="false">IF(C1525=1,A1525,"")</f>
        <v>4</v>
      </c>
      <c r="I1525" s="13" t="str">
        <f aca="false">IF(C1525=0,A1525,"")</f>
        <v/>
      </c>
    </row>
    <row r="1526" customFormat="false" ht="15" hidden="false" customHeight="false" outlineLevel="0" collapsed="false">
      <c r="A1526" s="13" t="n">
        <v>2</v>
      </c>
      <c r="B1526" s="13" t="n">
        <v>42</v>
      </c>
      <c r="C1526" s="13" t="n">
        <v>1</v>
      </c>
      <c r="D1526" s="13" t="n">
        <v>0</v>
      </c>
      <c r="E1526" s="13" t="n">
        <v>1</v>
      </c>
      <c r="F1526" s="13" t="n">
        <v>1</v>
      </c>
      <c r="G1526" s="13" t="n">
        <v>0</v>
      </c>
      <c r="H1526" s="13" t="n">
        <f aca="false">IF(C1526=1,A1526,"")</f>
        <v>2</v>
      </c>
      <c r="I1526" s="13" t="str">
        <f aca="false">IF(C1526=0,A1526,"")</f>
        <v/>
      </c>
    </row>
    <row r="1527" customFormat="false" ht="15" hidden="false" customHeight="false" outlineLevel="0" collapsed="false">
      <c r="A1527" s="13" t="n">
        <v>3</v>
      </c>
      <c r="B1527" s="13" t="n">
        <v>41</v>
      </c>
      <c r="C1527" s="13" t="n">
        <v>1</v>
      </c>
      <c r="D1527" s="13" t="n">
        <v>0</v>
      </c>
      <c r="E1527" s="13" t="n">
        <v>1</v>
      </c>
      <c r="F1527" s="13" t="n">
        <v>1</v>
      </c>
      <c r="G1527" s="13" t="n">
        <v>0</v>
      </c>
      <c r="H1527" s="13" t="n">
        <f aca="false">IF(C1527=1,A1527,"")</f>
        <v>3</v>
      </c>
      <c r="I1527" s="13" t="str">
        <f aca="false">IF(C1527=0,A1527,"")</f>
        <v/>
      </c>
    </row>
    <row r="1528" customFormat="false" ht="15" hidden="false" customHeight="false" outlineLevel="0" collapsed="false">
      <c r="A1528" s="13" t="n">
        <v>3</v>
      </c>
      <c r="B1528" s="13" t="n">
        <v>43</v>
      </c>
      <c r="C1528" s="13" t="n">
        <v>1</v>
      </c>
      <c r="D1528" s="13" t="n">
        <v>0</v>
      </c>
      <c r="E1528" s="13" t="n">
        <v>1</v>
      </c>
      <c r="F1528" s="13" t="n">
        <v>1</v>
      </c>
      <c r="G1528" s="13" t="n">
        <v>0</v>
      </c>
      <c r="H1528" s="13" t="n">
        <f aca="false">IF(C1528=1,A1528,"")</f>
        <v>3</v>
      </c>
      <c r="I1528" s="13" t="str">
        <f aca="false">IF(C1528=0,A1528,"")</f>
        <v/>
      </c>
    </row>
    <row r="1529" customFormat="false" ht="15" hidden="false" customHeight="false" outlineLevel="0" collapsed="false">
      <c r="A1529" s="13" t="n">
        <v>3</v>
      </c>
      <c r="B1529" s="13" t="n">
        <v>43</v>
      </c>
      <c r="C1529" s="13" t="n">
        <v>1</v>
      </c>
      <c r="D1529" s="13" t="n">
        <v>1</v>
      </c>
      <c r="E1529" s="13" t="n">
        <v>1</v>
      </c>
      <c r="F1529" s="13" t="n">
        <v>1</v>
      </c>
      <c r="G1529" s="13" t="n">
        <v>1</v>
      </c>
      <c r="H1529" s="13" t="n">
        <f aca="false">IF(C1529=1,A1529,"")</f>
        <v>3</v>
      </c>
      <c r="I1529" s="13" t="str">
        <f aca="false">IF(C1529=0,A1529,"")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5" min="5" style="0" width="6"/>
  </cols>
  <sheetData>
    <row r="1" customFormat="false" ht="25.5" hidden="false" customHeight="true" outlineLevel="0" collapsed="false">
      <c r="A1" s="1" t="s">
        <v>37</v>
      </c>
      <c r="B1" s="1"/>
      <c r="C1" s="1"/>
      <c r="D1" s="1"/>
    </row>
    <row r="2" customFormat="false" ht="15" hidden="false" customHeight="false" outlineLevel="0" collapsed="false">
      <c r="A2" s="5" t="s">
        <v>38</v>
      </c>
    </row>
    <row r="4" customFormat="false" ht="15" hidden="false" customHeight="false" outlineLevel="0" collapsed="false">
      <c r="A4" s="14" t="s">
        <v>39</v>
      </c>
      <c r="B4" s="14" t="s">
        <v>40</v>
      </c>
      <c r="C4" s="14" t="s">
        <v>41</v>
      </c>
      <c r="D4" s="11" t="s">
        <v>42</v>
      </c>
    </row>
    <row r="5" customFormat="false" ht="15" hidden="false" customHeight="false" outlineLevel="0" collapsed="false">
      <c r="A5" s="9" t="s">
        <v>43</v>
      </c>
      <c r="B5" s="15" t="n">
        <f aca="false">COUNTIF(資料!C2:C1529,1)</f>
        <v>752</v>
      </c>
      <c r="C5" s="15" t="n">
        <f aca="false">COUNTIF(資料!C2:C1529,0)</f>
        <v>776</v>
      </c>
      <c r="D5" s="16" t="s">
        <v>44</v>
      </c>
    </row>
    <row r="6" customFormat="false" ht="15" hidden="false" customHeight="false" outlineLevel="0" collapsed="false">
      <c r="A6" s="9" t="s">
        <v>45</v>
      </c>
      <c r="B6" s="17" t="n">
        <f aca="false">AVERAGEIF(資料!C2:C1529,1,資料!A2:A1529)</f>
        <v>3.54787234042553</v>
      </c>
      <c r="C6" s="17" t="n">
        <f aca="false">AVERAGEIF(資料!C2:C1529,0,資料!A2:A1529)</f>
        <v>3.69458762886598</v>
      </c>
      <c r="D6" s="16" t="s">
        <v>46</v>
      </c>
    </row>
    <row r="7" customFormat="false" ht="15" hidden="false" customHeight="false" outlineLevel="0" collapsed="false">
      <c r="A7" s="9" t="s">
        <v>47</v>
      </c>
      <c r="B7" s="17" t="n">
        <f aca="false">STDEV(資料!H2:H1529)</f>
        <v>0.987455671269662</v>
      </c>
      <c r="C7" s="17" t="n">
        <f aca="false">STDEV(資料!I2:I1529)</f>
        <v>0.939881439359881</v>
      </c>
      <c r="D7" s="16" t="s">
        <v>48</v>
      </c>
    </row>
    <row r="8" customFormat="false" ht="15" hidden="false" customHeight="false" outlineLevel="0" collapsed="false">
      <c r="A8" s="9" t="s">
        <v>49</v>
      </c>
      <c r="B8" s="17" t="n">
        <f aca="false">B7^2</f>
        <v>0.975068702722618</v>
      </c>
      <c r="C8" s="17" t="n">
        <f aca="false">C7^2</f>
        <v>0.883377120053203</v>
      </c>
      <c r="D8" s="16" t="s">
        <v>50</v>
      </c>
    </row>
    <row r="10" customFormat="false" ht="15" hidden="false" customHeight="true" outlineLevel="0" collapsed="false">
      <c r="A10" s="11" t="s">
        <v>51</v>
      </c>
      <c r="B10" s="11"/>
      <c r="C10" s="14" t="s">
        <v>52</v>
      </c>
      <c r="D10" s="14" t="s">
        <v>53</v>
      </c>
    </row>
    <row r="11" customFormat="false" ht="15" hidden="false" customHeight="true" outlineLevel="0" collapsed="false">
      <c r="A11" s="9" t="s">
        <v>54</v>
      </c>
      <c r="B11" s="9"/>
      <c r="C11" s="17" t="n">
        <f aca="false">B6-C6</f>
        <v>-0.146715288440447</v>
      </c>
      <c r="D11" s="18" t="s">
        <v>55</v>
      </c>
    </row>
    <row r="12" customFormat="false" ht="15" hidden="false" customHeight="true" outlineLevel="0" collapsed="false">
      <c r="A12" s="9" t="s">
        <v>56</v>
      </c>
      <c r="B12" s="9"/>
      <c r="C12" s="17" t="n">
        <f aca="false">((B5-1)*B8+(C5-1)*C8)/(B5+C5-2)</f>
        <v>0.928501876661808</v>
      </c>
      <c r="D12" s="16" t="s">
        <v>57</v>
      </c>
    </row>
    <row r="13" customFormat="false" ht="15" hidden="false" customHeight="true" outlineLevel="0" collapsed="false">
      <c r="A13" s="9" t="s">
        <v>58</v>
      </c>
      <c r="B13" s="9"/>
      <c r="C13" s="17" t="n">
        <f aca="false">SQRT(C12*(1/B5+1/C5))</f>
        <v>0.0493075347112867</v>
      </c>
      <c r="D13" s="16" t="s">
        <v>59</v>
      </c>
    </row>
    <row r="14" customFormat="false" ht="15" hidden="false" customHeight="true" outlineLevel="0" collapsed="false">
      <c r="A14" s="7" t="s">
        <v>60</v>
      </c>
      <c r="B14" s="7"/>
      <c r="C14" s="17" t="n">
        <f aca="false">C11/C13</f>
        <v>-2.97551458006404</v>
      </c>
      <c r="D14" s="18" t="s">
        <v>61</v>
      </c>
    </row>
    <row r="15" customFormat="false" ht="15" hidden="false" customHeight="true" outlineLevel="0" collapsed="false">
      <c r="A15" s="9" t="s">
        <v>62</v>
      </c>
      <c r="B15" s="9"/>
      <c r="C15" s="15" t="n">
        <f aca="false">B5+C5-2</f>
        <v>1526</v>
      </c>
      <c r="D15" s="16" t="s">
        <v>63</v>
      </c>
    </row>
    <row r="16" customFormat="false" ht="15" hidden="false" customHeight="true" outlineLevel="0" collapsed="false">
      <c r="A16" s="7" t="s">
        <v>64</v>
      </c>
      <c r="B16" s="7"/>
      <c r="C16" s="19" t="n">
        <f aca="false">TTEST(資料!H2:H1529,資料!I2:I1529,2,2)</f>
        <v>0.00297097011014814</v>
      </c>
      <c r="D16" s="18" t="s">
        <v>65</v>
      </c>
    </row>
    <row r="17" customFormat="false" ht="15" hidden="false" customHeight="true" outlineLevel="0" collapsed="false">
      <c r="A17" s="7" t="s">
        <v>66</v>
      </c>
      <c r="B17" s="7"/>
      <c r="C17" s="20" t="n">
        <f aca="false">TDIST(ABS(C14),C15,2)</f>
        <v>0.00297097011014826</v>
      </c>
      <c r="D17" s="18" t="s">
        <v>67</v>
      </c>
    </row>
    <row r="19" customFormat="false" ht="15" hidden="false" customHeight="true" outlineLevel="0" collapsed="false">
      <c r="A19" s="14" t="s">
        <v>68</v>
      </c>
      <c r="B19" s="14"/>
      <c r="C19" s="14"/>
      <c r="D19" s="14"/>
    </row>
    <row r="20" customFormat="false" ht="30" hidden="false" customHeight="true" outlineLevel="0" collapsed="false">
      <c r="A20" s="21" t="str">
        <f aca="false">IF(C16&lt;0.05,"p = "&amp;TEXT(C16,"0.0000")&amp;" &lt; 0.05 → 在 5% 水準下,男女平均生活滿意度有統計顯著差異。女性平均較高。","p ≥ 0.05 → 差異不顯著。")</f>
        <v>p = 0.0030 &lt; 0.05 → 在 5% 水準下,男女平均生活滿意度有統計顯著差異。女性平均較高。</v>
      </c>
      <c r="B20" s="21"/>
      <c r="C20" s="21"/>
      <c r="D20" s="21"/>
    </row>
    <row r="21" customFormat="false" ht="15" hidden="false" customHeight="false" outlineLevel="0" collapsed="false">
      <c r="A21" s="21"/>
      <c r="B21" s="21"/>
      <c r="C21" s="21"/>
      <c r="D21" s="21"/>
    </row>
  </sheetData>
  <mergeCells count="11">
    <mergeCell ref="A1:D1"/>
    <mergeCell ref="A10:B10"/>
    <mergeCell ref="A11:B11"/>
    <mergeCell ref="A12:B12"/>
    <mergeCell ref="A13:B13"/>
    <mergeCell ref="A14:B14"/>
    <mergeCell ref="A15:B15"/>
    <mergeCell ref="A16:B16"/>
    <mergeCell ref="A17:B17"/>
    <mergeCell ref="A19:D19"/>
    <mergeCell ref="A20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1" t="s">
        <v>69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5" t="s">
        <v>70</v>
      </c>
    </row>
    <row r="4" customFormat="false" ht="15" hidden="false" customHeight="false" outlineLevel="0" collapsed="false">
      <c r="A4" s="14" t="s">
        <v>71</v>
      </c>
      <c r="B4" s="14" t="s">
        <v>72</v>
      </c>
      <c r="C4" s="14" t="s">
        <v>73</v>
      </c>
      <c r="D4" s="11" t="s">
        <v>74</v>
      </c>
      <c r="E4" s="11" t="s">
        <v>75</v>
      </c>
      <c r="F4" s="14" t="s">
        <v>7</v>
      </c>
    </row>
    <row r="5" customFormat="false" ht="15" hidden="false" customHeight="false" outlineLevel="0" collapsed="false">
      <c r="A5" s="9" t="s">
        <v>76</v>
      </c>
      <c r="B5" s="17" t="n">
        <f aca="false">INDEX(LINEST(資料!A2:A1529,資料!C2:C1529,TRUE(),TRUE()),1,2)</f>
        <v>3.69458762886598</v>
      </c>
      <c r="C5" s="17" t="n">
        <f aca="false">INDEX(LINEST(資料!A2:A1529,資料!C2:C1529,TRUE(),TRUE()),2,2)</f>
        <v>0.0345907941067464</v>
      </c>
      <c r="D5" s="17" t="n">
        <f aca="false">B5/C5</f>
        <v>106.808407389104</v>
      </c>
      <c r="E5" s="20" t="n">
        <f aca="false">TDIST(ABS(D5),B8,2)</f>
        <v>0</v>
      </c>
      <c r="F5" s="18" t="s">
        <v>77</v>
      </c>
    </row>
    <row r="6" customFormat="false" ht="15" hidden="false" customHeight="false" outlineLevel="0" collapsed="false">
      <c r="A6" s="7" t="s">
        <v>78</v>
      </c>
      <c r="B6" s="22" t="n">
        <f aca="false">INDEX(LINEST(資料!A2:A1529,資料!C2:C1529,TRUE(),TRUE()),1,1)</f>
        <v>-0.146715288440447</v>
      </c>
      <c r="C6" s="17" t="n">
        <f aca="false">INDEX(LINEST(資料!A2:A1529,資料!C2:C1529,TRUE(),TRUE()),2,1)</f>
        <v>0.0493075347112867</v>
      </c>
      <c r="D6" s="17" t="n">
        <f aca="false">B6/C6</f>
        <v>-2.97551458006404</v>
      </c>
      <c r="E6" s="19" t="n">
        <f aca="false">TDIST(ABS(D6),B8,2)</f>
        <v>0.00297097011014814</v>
      </c>
      <c r="F6" s="18" t="s">
        <v>79</v>
      </c>
    </row>
    <row r="8" customFormat="false" ht="15" hidden="false" customHeight="false" outlineLevel="0" collapsed="false">
      <c r="A8" s="9" t="s">
        <v>62</v>
      </c>
      <c r="B8" s="15" t="n">
        <f aca="false">INDEX(LINEST(資料!A2:A1529,資料!C2:C1529,TRUE(),TRUE()),4,2)</f>
        <v>1526</v>
      </c>
      <c r="C8" s="7" t="s">
        <v>80</v>
      </c>
      <c r="D8" s="17" t="n">
        <f aca="false">INDEX(LINEST(資料!A2:A1529,資料!C2:C1529,TRUE(),TRUE()),3,1)</f>
        <v>0.00576842411173776</v>
      </c>
    </row>
    <row r="10" customFormat="false" ht="15" hidden="false" customHeight="true" outlineLevel="0" collapsed="false">
      <c r="A10" s="14" t="s">
        <v>81</v>
      </c>
      <c r="B10" s="14"/>
      <c r="C10" s="14"/>
      <c r="D10" s="14"/>
      <c r="E10" s="14"/>
      <c r="F10" s="14"/>
    </row>
    <row r="11" customFormat="false" ht="15" hidden="false" customHeight="true" outlineLevel="0" collapsed="false">
      <c r="A11" s="9" t="s">
        <v>76</v>
      </c>
      <c r="B11" s="17" t="n">
        <f aca="false">B5</f>
        <v>3.69458762886598</v>
      </c>
      <c r="C11" s="23" t="n">
        <f aca="false">步驟2_t檢定!C6</f>
        <v>3.69458762886598</v>
      </c>
      <c r="D11" s="24" t="str">
        <f aca="false">IF(ABS(B11-C11)&lt;0.0001,"✓ 一致","✗")</f>
        <v>✓ 一致</v>
      </c>
      <c r="E11" s="18" t="s">
        <v>82</v>
      </c>
      <c r="F11" s="18"/>
    </row>
    <row r="12" customFormat="false" ht="15" hidden="false" customHeight="true" outlineLevel="0" collapsed="false">
      <c r="A12" s="7" t="s">
        <v>83</v>
      </c>
      <c r="B12" s="17" t="n">
        <f aca="false">B5+B6</f>
        <v>3.54787234042553</v>
      </c>
      <c r="C12" s="23" t="n">
        <f aca="false">步驟2_t檢定!B6</f>
        <v>3.54787234042553</v>
      </c>
      <c r="D12" s="24" t="str">
        <f aca="false">IF(ABS(B12-C12)&lt;0.0001,"✓ 一致","✗")</f>
        <v>✓ 一致</v>
      </c>
      <c r="E12" s="18" t="s">
        <v>84</v>
      </c>
      <c r="F12" s="18"/>
    </row>
    <row r="13" customFormat="false" ht="15" hidden="false" customHeight="true" outlineLevel="0" collapsed="false">
      <c r="A13" s="7" t="s">
        <v>78</v>
      </c>
      <c r="B13" s="17" t="n">
        <f aca="false">B6</f>
        <v>-0.146715288440447</v>
      </c>
      <c r="C13" s="23" t="n">
        <f aca="false">步驟2_t檢定!C11</f>
        <v>-0.146715288440447</v>
      </c>
      <c r="D13" s="24" t="str">
        <f aca="false">IF(ABS(B13-C13)&lt;0.0001,"✓ 一致","✗")</f>
        <v>✓ 一致</v>
      </c>
      <c r="E13" s="18" t="s">
        <v>85</v>
      </c>
      <c r="F13" s="18"/>
    </row>
    <row r="15" customFormat="false" ht="15" hidden="false" customHeight="true" outlineLevel="0" collapsed="false">
      <c r="A15" s="14" t="s">
        <v>86</v>
      </c>
      <c r="B15" s="14"/>
      <c r="C15" s="14"/>
      <c r="D15" s="14"/>
      <c r="E15" s="14"/>
      <c r="F15" s="14"/>
    </row>
    <row r="16" customFormat="false" ht="30" hidden="false" customHeight="true" outlineLevel="0" collapsed="false">
      <c r="A16" s="21" t="str">
        <f aca="false">" male 係數 = "&amp;TEXT(B6,"0.0000")&amp;":男性的生活滿意度平均比女性低約 "&amp;TEXT(ABS(B6),"0.000")&amp;" 分(1–5 量表)。截距 "&amp;TEXT(B5,"0.0000")&amp;" 即女性的預測值;截距+係數 = 男性預測值。R² 僅 "&amp;TEXT(D8,"0.000")&amp;",顯示性別只解釋了生活滿意度極小部分的變異。"</f>
        <v> male 係數 = -0.1467:男性的生活滿意度平均比女性低約 0.147 分(1–5 量表)。截距 3.6946 即女性的預測值;截距+係數 = 男性預測值。R² 僅 0.006,顯示性別只解釋了生活滿意度極小部分的變異。</v>
      </c>
      <c r="B16" s="21"/>
      <c r="C16" s="21"/>
      <c r="D16" s="21"/>
      <c r="E16" s="21"/>
      <c r="F16" s="21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1"/>
    </row>
  </sheetData>
  <mergeCells count="7">
    <mergeCell ref="A1:F1"/>
    <mergeCell ref="A10:F10"/>
    <mergeCell ref="E11:F11"/>
    <mergeCell ref="E12:F12"/>
    <mergeCell ref="E13:F13"/>
    <mergeCell ref="A15:F15"/>
    <mergeCell ref="A16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" t="s">
        <v>87</v>
      </c>
      <c r="B1" s="1"/>
      <c r="C1" s="1"/>
    </row>
    <row r="3" customFormat="false" ht="15" hidden="false" customHeight="false" outlineLevel="0" collapsed="false">
      <c r="A3" s="14" t="s">
        <v>88</v>
      </c>
      <c r="B3" s="11" t="s">
        <v>75</v>
      </c>
      <c r="C3" s="14" t="s">
        <v>7</v>
      </c>
    </row>
    <row r="4" customFormat="false" ht="15" hidden="false" customHeight="false" outlineLevel="0" collapsed="false">
      <c r="A4" s="9" t="s">
        <v>89</v>
      </c>
      <c r="B4" s="20" t="n">
        <f aca="false">步驟2_t檢定!C16</f>
        <v>0.00297097011014814</v>
      </c>
      <c r="C4" s="16" t="s">
        <v>90</v>
      </c>
    </row>
    <row r="5" customFormat="false" ht="15" hidden="false" customHeight="false" outlineLevel="0" collapsed="false">
      <c r="A5" s="9" t="s">
        <v>91</v>
      </c>
      <c r="B5" s="20" t="n">
        <f aca="false">步驟3_簡單迴歸!E6</f>
        <v>0.00297097011014814</v>
      </c>
      <c r="C5" s="18" t="s">
        <v>92</v>
      </c>
    </row>
    <row r="6" customFormat="false" ht="15" hidden="false" customHeight="false" outlineLevel="0" collapsed="false">
      <c r="A6" s="9" t="s">
        <v>93</v>
      </c>
      <c r="B6" s="25" t="n">
        <f aca="false">ABS(B4-B5)</f>
        <v>0</v>
      </c>
      <c r="C6" s="18" t="s">
        <v>94</v>
      </c>
    </row>
    <row r="8" customFormat="false" ht="15" hidden="false" customHeight="true" outlineLevel="0" collapsed="false">
      <c r="A8" s="14" t="s">
        <v>68</v>
      </c>
      <c r="B8" s="14"/>
      <c r="C8" s="14"/>
    </row>
    <row r="9" customFormat="false" ht="30" hidden="false" customHeight="true" outlineLevel="0" collapsed="false">
      <c r="A9" s="26" t="s">
        <v>95</v>
      </c>
      <c r="B9" s="26"/>
      <c r="C9" s="26"/>
    </row>
    <row r="10" customFormat="false" ht="15" hidden="false" customHeight="false" outlineLevel="0" collapsed="false">
      <c r="A10" s="26"/>
      <c r="B10" s="26"/>
      <c r="C10" s="26"/>
    </row>
    <row r="11" customFormat="false" ht="15" hidden="false" customHeight="false" outlineLevel="0" collapsed="false">
      <c r="A11" s="26"/>
      <c r="B11" s="26"/>
      <c r="C11" s="26"/>
    </row>
    <row r="12" customFormat="false" ht="15" hidden="false" customHeight="false" outlineLevel="0" collapsed="false">
      <c r="A12" s="26"/>
      <c r="B12" s="26"/>
      <c r="C12" s="26"/>
    </row>
  </sheetData>
  <mergeCells count="3">
    <mergeCell ref="A1:C1"/>
    <mergeCell ref="A8:C8"/>
    <mergeCell ref="A9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3"/>
    <col collapsed="false" customWidth="true" hidden="false" outlineLevel="0" max="6" min="5" style="0" width="12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7" t="s">
        <v>97</v>
      </c>
    </row>
    <row r="4" customFormat="false" ht="15" hidden="false" customHeight="false" outlineLevel="0" collapsed="false">
      <c r="A4" s="14" t="s">
        <v>98</v>
      </c>
      <c r="B4" s="14" t="s">
        <v>72</v>
      </c>
      <c r="C4" s="14" t="s">
        <v>73</v>
      </c>
      <c r="D4" s="11" t="s">
        <v>74</v>
      </c>
      <c r="E4" s="11" t="s">
        <v>75</v>
      </c>
      <c r="F4" s="11" t="s">
        <v>99</v>
      </c>
      <c r="G4" s="14" t="s">
        <v>7</v>
      </c>
    </row>
    <row r="5" customFormat="false" ht="15" hidden="false" customHeight="false" outlineLevel="0" collapsed="false">
      <c r="A5" s="9" t="s">
        <v>76</v>
      </c>
      <c r="B5" s="17" t="n">
        <f aca="false">INDEX(LINEST(資料!A2:A1529,資料!B2:G1529,TRUE(),TRUE()),1,7)</f>
        <v>2.95429816622335</v>
      </c>
      <c r="C5" s="17" t="n">
        <f aca="false">INDEX(LINEST(資料!A2:A1529,資料!B2:G1529,TRUE(),TRUE()),2,7)</f>
        <v>0.126938300018413</v>
      </c>
      <c r="D5" s="17" t="n">
        <f aca="false">B5/C5</f>
        <v>23.273497169844</v>
      </c>
      <c r="E5" s="20" t="n">
        <f aca="false">TDIST(ABS(D5),$B$14,2)</f>
        <v>9.72957744259755E-103</v>
      </c>
      <c r="F5" s="24" t="str">
        <f aca="false">IF(E5&lt;0.05,"是","否")</f>
        <v>是</v>
      </c>
      <c r="G5" s="18" t="s">
        <v>100</v>
      </c>
    </row>
    <row r="6" customFormat="false" ht="15" hidden="false" customHeight="false" outlineLevel="0" collapsed="false">
      <c r="A6" s="28" t="s">
        <v>19</v>
      </c>
      <c r="B6" s="29" t="n">
        <f aca="false">INDEX(LINEST(資料!A2:A1529,資料!B2:G1529,TRUE(),TRUE()),1,5)</f>
        <v>-0.124127150020037</v>
      </c>
      <c r="C6" s="29" t="n">
        <f aca="false">INDEX(LINEST(資料!A2:A1529,資料!B2:G1529,TRUE(),TRUE()),2,5)</f>
        <v>0.0474095836405476</v>
      </c>
      <c r="D6" s="29" t="n">
        <f aca="false">B6/C6</f>
        <v>-2.6181868830815</v>
      </c>
      <c r="E6" s="30" t="n">
        <f aca="false">TDIST(ABS(D6),$B$14,2)</f>
        <v>0.00892759359344824</v>
      </c>
      <c r="F6" s="31" t="str">
        <f aca="false">IF(E6&lt;0.05,"是","否")</f>
        <v>是</v>
      </c>
      <c r="G6" s="18" t="s">
        <v>101</v>
      </c>
    </row>
    <row r="7" customFormat="false" ht="15" hidden="false" customHeight="false" outlineLevel="0" collapsed="false">
      <c r="A7" s="7" t="s">
        <v>15</v>
      </c>
      <c r="B7" s="17" t="n">
        <f aca="false">INDEX(LINEST(資料!A2:A1529,資料!B2:G1529,TRUE(),TRUE()),1,6)</f>
        <v>0.00383971406770226</v>
      </c>
      <c r="C7" s="17" t="n">
        <f aca="false">INDEX(LINEST(資料!A2:A1529,資料!B2:G1529,TRUE(),TRUE()),2,6)</f>
        <v>0.00221039929224919</v>
      </c>
      <c r="D7" s="17" t="n">
        <f aca="false">B7/C7</f>
        <v>1.73711332661312</v>
      </c>
      <c r="E7" s="20" t="n">
        <f aca="false">TDIST(ABS(D7),$B$14,2)</f>
        <v>0.0825696056018874</v>
      </c>
      <c r="F7" s="24" t="str">
        <f aca="false">IF(E7&lt;0.05,"是","否")</f>
        <v>否</v>
      </c>
      <c r="G7" s="18" t="s">
        <v>102</v>
      </c>
    </row>
    <row r="8" customFormat="false" ht="15" hidden="false" customHeight="false" outlineLevel="0" collapsed="false">
      <c r="A8" s="7" t="s">
        <v>23</v>
      </c>
      <c r="B8" s="17" t="n">
        <f aca="false">INDEX(LINEST(資料!A2:A1529,資料!B2:G1529,TRUE(),TRUE()),1,4)</f>
        <v>0.0107838781294884</v>
      </c>
      <c r="C8" s="17" t="n">
        <f aca="false">INDEX(LINEST(資料!A2:A1529,資料!B2:G1529,TRUE(),TRUE()),2,4)</f>
        <v>0.0247165378405312</v>
      </c>
      <c r="D8" s="17" t="n">
        <f aca="false">B8/C8</f>
        <v>0.436302130948315</v>
      </c>
      <c r="E8" s="20" t="n">
        <f aca="false">TDIST(ABS(D8),$B$14,2)</f>
        <v>0.662679457053599</v>
      </c>
      <c r="F8" s="24" t="str">
        <f aca="false">IF(E8&lt;0.05,"是","否")</f>
        <v>否</v>
      </c>
      <c r="G8" s="18" t="s">
        <v>103</v>
      </c>
    </row>
    <row r="9" customFormat="false" ht="15" hidden="false" customHeight="false" outlineLevel="0" collapsed="false">
      <c r="A9" s="7" t="s">
        <v>27</v>
      </c>
      <c r="B9" s="17" t="n">
        <f aca="false">INDEX(LINEST(資料!A2:A1529,資料!B2:G1529,TRUE(),TRUE()),1,3)</f>
        <v>0.270494118359122</v>
      </c>
      <c r="C9" s="17" t="n">
        <f aca="false">INDEX(LINEST(資料!A2:A1529,資料!B2:G1529,TRUE(),TRUE()),2,3)</f>
        <v>0.0508254684792283</v>
      </c>
      <c r="D9" s="17" t="n">
        <f aca="false">B9/C9</f>
        <v>5.32201918551267</v>
      </c>
      <c r="E9" s="20" t="n">
        <f aca="false">TDIST(ABS(D9),$B$14,2)</f>
        <v>1.17965703159421E-007</v>
      </c>
      <c r="F9" s="24" t="str">
        <f aca="false">IF(E9&lt;0.05,"是","否")</f>
        <v>是</v>
      </c>
      <c r="G9" s="18" t="s">
        <v>104</v>
      </c>
    </row>
    <row r="10" customFormat="false" ht="15" hidden="false" customHeight="false" outlineLevel="0" collapsed="false">
      <c r="A10" s="7" t="s">
        <v>31</v>
      </c>
      <c r="B10" s="17" t="n">
        <f aca="false">INDEX(LINEST(資料!A2:A1529,資料!B2:G1529,TRUE(),TRUE()),1,2)</f>
        <v>0.0796185956550311</v>
      </c>
      <c r="C10" s="17" t="n">
        <f aca="false">INDEX(LINEST(資料!A2:A1529,資料!B2:G1529,TRUE(),TRUE()),2,2)</f>
        <v>0.0504506134064685</v>
      </c>
      <c r="D10" s="17" t="n">
        <f aca="false">B10/C10</f>
        <v>1.57814920927845</v>
      </c>
      <c r="E10" s="20" t="n">
        <f aca="false">TDIST(ABS(D10),$B$14,2)</f>
        <v>0.114739273232609</v>
      </c>
      <c r="F10" s="24" t="str">
        <f aca="false">IF(E10&lt;0.05,"是","否")</f>
        <v>否</v>
      </c>
      <c r="G10" s="18" t="s">
        <v>105</v>
      </c>
    </row>
    <row r="11" customFormat="false" ht="15" hidden="false" customHeight="false" outlineLevel="0" collapsed="false">
      <c r="A11" s="7" t="s">
        <v>33</v>
      </c>
      <c r="B11" s="17" t="n">
        <f aca="false">INDEX(LINEST(資料!A2:A1529,資料!B2:G1529,TRUE(),TRUE()),1,1)</f>
        <v>0.527785520959955</v>
      </c>
      <c r="C11" s="17" t="n">
        <f aca="false">INDEX(LINEST(資料!A2:A1529,資料!B2:G1529,TRUE(),TRUE()),2,1)</f>
        <v>0.0513739860798274</v>
      </c>
      <c r="D11" s="17" t="n">
        <f aca="false">B11/C11</f>
        <v>10.2734002407338</v>
      </c>
      <c r="E11" s="20" t="n">
        <f aca="false">TDIST(ABS(D11),$B$14,2)</f>
        <v>5.52806977772738E-024</v>
      </c>
      <c r="F11" s="24" t="str">
        <f aca="false">IF(E11&lt;0.05,"是","否")</f>
        <v>是</v>
      </c>
      <c r="G11" s="18" t="s">
        <v>106</v>
      </c>
    </row>
    <row r="13" customFormat="false" ht="15" hidden="false" customHeight="false" outlineLevel="0" collapsed="false">
      <c r="A13" s="7" t="s">
        <v>80</v>
      </c>
      <c r="B13" s="17" t="n">
        <f aca="false">INDEX(LINEST(資料!A2:A1529,資料!B2:G1529,TRUE(),TRUE()),3,1)</f>
        <v>0.104039567545685</v>
      </c>
      <c r="C13" s="9" t="s">
        <v>107</v>
      </c>
      <c r="D13" s="17" t="n">
        <f aca="false">1-(1-B13)*(1528-1)/B14</f>
        <v>0.100505206865392</v>
      </c>
    </row>
    <row r="14" customFormat="false" ht="15" hidden="false" customHeight="true" outlineLevel="0" collapsed="false">
      <c r="A14" s="9" t="s">
        <v>62</v>
      </c>
      <c r="B14" s="15" t="n">
        <f aca="false">INDEX(LINEST(資料!A2:A1529,資料!B2:G1529,TRUE(),TRUE()),4,2)</f>
        <v>1521</v>
      </c>
      <c r="C14" s="16" t="s">
        <v>108</v>
      </c>
      <c r="D14" s="16"/>
      <c r="E14" s="16"/>
      <c r="F14" s="16"/>
      <c r="G14" s="16"/>
    </row>
    <row r="16" customFormat="false" ht="15" hidden="false" customHeight="true" outlineLevel="0" collapsed="false">
      <c r="A16" s="14" t="s">
        <v>86</v>
      </c>
      <c r="B16" s="14"/>
      <c r="C16" s="14"/>
      <c r="D16" s="14"/>
      <c r="E16" s="14"/>
      <c r="F16" s="14"/>
      <c r="G16" s="14"/>
    </row>
    <row r="17" customFormat="false" ht="33.75" hidden="false" customHeight="true" outlineLevel="0" collapsed="false">
      <c r="A17" s="26" t="str">
        <f aca="false">" 控制年齡、子女數、就業、城市、伴侶後,male 係數為 "&amp;TEXT(B6,"0.0000")&amp;"(p = "&amp;TEXT(E6,"0.0000")&amp;")。相較步驟三的 "&amp;TEXT(步驟3_簡單迴歸!B6,"0.0000")&amp;",差距僅略微縮小且仍在 5% 水準顯著——男女生活滿意度差距並非由這些可觀察特徵造成。employed 與 couple 是最強的正向預測因子。"</f>
        <v> 控制年齡、子女數、就業、城市、伴侶後,male 係數為 -0.1241(p = 0.0089)。相較步驟三的 -0.1467,差距僅略微縮小且仍在 5% 水準顯著——男女生活滿意度差距並非由這些可觀察特徵造成。employed 與 couple 是最強的正向預測因子。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A18" s="26"/>
      <c r="B18" s="26"/>
      <c r="C18" s="26"/>
      <c r="D18" s="26"/>
      <c r="E18" s="26"/>
      <c r="F18" s="26"/>
      <c r="G18" s="26"/>
    </row>
    <row r="19" customFormat="false" ht="15" hidden="false" customHeight="false" outlineLevel="0" collapsed="false">
      <c r="A19" s="26"/>
      <c r="B19" s="26"/>
      <c r="C19" s="26"/>
      <c r="D19" s="26"/>
      <c r="E19" s="26"/>
      <c r="F19" s="26"/>
      <c r="G19" s="26"/>
    </row>
    <row r="20" customFormat="false" ht="15" hidden="false" customHeight="false" outlineLevel="0" collapsed="false">
      <c r="A20" s="26"/>
      <c r="B20" s="26"/>
      <c r="C20" s="26"/>
      <c r="D20" s="26"/>
      <c r="E20" s="26"/>
      <c r="F20" s="26"/>
      <c r="G20" s="26"/>
    </row>
  </sheetData>
  <mergeCells count="4">
    <mergeCell ref="A1:G1"/>
    <mergeCell ref="C14:G14"/>
    <mergeCell ref="A16:G16"/>
    <mergeCell ref="A17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2026-05-23T05:18:23Z</dcterms:created>
  <dc:creator>openpyxl</dc:creator>
  <dc:description/>
  <dc:language>en-US</dc:language>
  <cp:lastModifiedBy/>
  <dcterms:modified xsi:type="dcterms:W3CDTF">2026-05-23T05:18:23Z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