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資料" sheetId="2" state="visible" r:id="rId4"/>
    <sheet name="Q1_描述統計" sheetId="3" state="visible" r:id="rId5"/>
    <sheet name="Q2_頻數" sheetId="4" state="visible" r:id="rId6"/>
    <sheet name="Q3_t檢定" sheetId="5" state="visible" r:id="rId7"/>
    <sheet name="Q4_相關" sheetId="6" state="visible" r:id="rId8"/>
    <sheet name="Q5_Q10_迴歸" sheetId="7" state="visible" r:id="rId9"/>
    <sheet name="Q11_需求曲線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<sst xmlns="http://schemas.openxmlformats.org/spreadsheetml/2006/main" count="5002" uniqueCount="2516">
  <si>
    <r>
      <rPr>
        <b val="true"/>
        <sz val="13"/>
        <color rgb="FFFFFFFF"/>
        <rFont val="DejaVu Sans"/>
        <family val="2"/>
      </rPr>
      <t xml:space="preserve">評估二</t>
    </r>
    <r>
      <rPr>
        <b val="true"/>
        <sz val="13"/>
        <color rgb="FFFFFFFF"/>
        <rFont val="Arial"/>
        <family val="0"/>
        <charset val="1"/>
      </rPr>
      <t xml:space="preserve">:</t>
    </r>
    <r>
      <rPr>
        <b val="true"/>
        <sz val="13"/>
        <color rgb="FFFFFFFF"/>
        <rFont val="DejaVu Sans"/>
        <family val="2"/>
      </rPr>
      <t xml:space="preserve">商業分析模擬 — 計算工作檔</t>
    </r>
  </si>
  <si>
    <t xml:space="preserve">課程</t>
  </si>
  <si>
    <r>
      <rPr>
        <sz val="10"/>
        <rFont val="Arial"/>
        <family val="0"/>
        <charset val="1"/>
      </rPr>
      <t xml:space="preserve">231708 Foundation Studio — </t>
    </r>
    <r>
      <rPr>
        <sz val="10"/>
        <rFont val="DejaVu Sans"/>
        <family val="2"/>
      </rPr>
      <t xml:space="preserve">評估任務二</t>
    </r>
  </si>
  <si>
    <t xml:space="preserve">資料</t>
  </si>
  <si>
    <r>
      <rPr>
        <sz val="10"/>
        <rFont val="Arial"/>
        <family val="0"/>
        <charset val="1"/>
      </rPr>
      <t xml:space="preserve">Udemy Courses Dataset(Kaggle,n=1203,</t>
    </r>
    <r>
      <rPr>
        <sz val="10"/>
        <rFont val="DejaVu Sans"/>
        <family val="2"/>
      </rPr>
      <t xml:space="preserve">已剔除缺失值</t>
    </r>
    <r>
      <rPr>
        <sz val="10"/>
        <rFont val="Arial"/>
        <family val="0"/>
        <charset val="1"/>
      </rPr>
      <t xml:space="preserve">)</t>
    </r>
  </si>
  <si>
    <t xml:space="preserve">用途</t>
  </si>
  <si>
    <r>
      <rPr>
        <sz val="10"/>
        <rFont val="DejaVu Sans"/>
        <family val="2"/>
      </rPr>
      <t xml:space="preserve">本檔以 </t>
    </r>
    <r>
      <rPr>
        <sz val="10"/>
        <rFont val="Arial"/>
        <family val="0"/>
        <charset val="1"/>
      </rPr>
      <t xml:space="preserve">Excel </t>
    </r>
    <r>
      <rPr>
        <sz val="10"/>
        <rFont val="DejaVu Sans"/>
        <family val="2"/>
      </rPr>
      <t xml:space="preserve">公式即時重現報告中 </t>
    </r>
    <r>
      <rPr>
        <sz val="10"/>
        <rFont val="Arial"/>
        <family val="0"/>
        <charset val="1"/>
      </rPr>
      <t xml:space="preserve">Q1–Q11 </t>
    </r>
    <r>
      <rPr>
        <sz val="10"/>
        <rFont val="DejaVu Sans"/>
        <family val="2"/>
      </rPr>
      <t xml:space="preserve">的所有統計計算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供核對。</t>
    </r>
  </si>
  <si>
    <t xml:space="preserve">說明</t>
  </si>
  <si>
    <r>
      <rPr>
        <i val="true"/>
        <sz val="9"/>
        <color rgb="FF555555"/>
        <rFont val="DejaVu Sans"/>
        <family val="2"/>
      </rPr>
      <t xml:space="preserve">迴歸以 </t>
    </r>
    <r>
      <rPr>
        <i val="true"/>
        <sz val="9"/>
        <color rgb="FF555555"/>
        <rFont val="Arial"/>
        <family val="0"/>
        <charset val="1"/>
      </rPr>
      <t xml:space="preserve">LINEST </t>
    </r>
    <r>
      <rPr>
        <i val="true"/>
        <sz val="9"/>
        <color rgb="FF555555"/>
        <rFont val="DejaVu Sans"/>
        <family val="2"/>
      </rPr>
      <t xml:space="preserve">估計</t>
    </r>
    <r>
      <rPr>
        <i val="true"/>
        <sz val="9"/>
        <color rgb="FF555555"/>
        <rFont val="Arial"/>
        <family val="0"/>
        <charset val="1"/>
      </rPr>
      <t xml:space="preserve">;</t>
    </r>
    <r>
      <rPr>
        <i val="true"/>
        <sz val="9"/>
        <color rgb="FF555555"/>
        <rFont val="DejaVu Sans"/>
        <family val="2"/>
      </rPr>
      <t xml:space="preserve">虛擬變數基準組為 </t>
    </r>
    <r>
      <rPr>
        <i val="true"/>
        <sz val="9"/>
        <color rgb="FF555555"/>
        <rFont val="Arial"/>
        <family val="0"/>
        <charset val="1"/>
      </rPr>
      <t xml:space="preserve">2011 </t>
    </r>
    <r>
      <rPr>
        <i val="true"/>
        <sz val="9"/>
        <color rgb="FF555555"/>
        <rFont val="DejaVu Sans"/>
        <family val="2"/>
      </rPr>
      <t xml:space="preserve">年與 </t>
    </r>
    <r>
      <rPr>
        <i val="true"/>
        <sz val="9"/>
        <color rgb="FF555555"/>
        <rFont val="Arial"/>
        <family val="0"/>
        <charset val="1"/>
      </rPr>
      <t xml:space="preserve">All Levels</t>
    </r>
    <r>
      <rPr>
        <i val="true"/>
        <sz val="9"/>
        <color rgb="FF555555"/>
        <rFont val="DejaVu Sans"/>
        <family val="2"/>
      </rPr>
      <t xml:space="preserve">。</t>
    </r>
  </si>
  <si>
    <t xml:space="preserve">工作表導覽</t>
  </si>
  <si>
    <r>
      <rPr>
        <sz val="10"/>
        <rFont val="DejaVu Sans"/>
        <family val="2"/>
      </rPr>
      <t xml:space="preserve">原始 </t>
    </r>
    <r>
      <rPr>
        <sz val="10"/>
        <rFont val="Arial"/>
        <family val="0"/>
        <charset val="1"/>
      </rPr>
      <t xml:space="preserve">1203 </t>
    </r>
    <r>
      <rPr>
        <sz val="10"/>
        <rFont val="DejaVu Sans"/>
        <family val="2"/>
      </rPr>
      <t xml:space="preserve">筆資料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迴歸用虛擬變數欄</t>
    </r>
  </si>
  <si>
    <r>
      <rPr>
        <b val="true"/>
        <sz val="10"/>
        <rFont val="Arial"/>
        <family val="0"/>
        <charset val="1"/>
      </rPr>
      <t xml:space="preserve">Q1_</t>
    </r>
    <r>
      <rPr>
        <b val="true"/>
        <sz val="10"/>
        <rFont val="DejaVu Sans"/>
        <family val="2"/>
      </rPr>
      <t xml:space="preserve">描述統計</t>
    </r>
  </si>
  <si>
    <r>
      <rPr>
        <sz val="10"/>
        <rFont val="DejaVu Sans"/>
        <family val="2"/>
      </rPr>
      <t xml:space="preserve">六變數平均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中位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眾數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標準差</t>
    </r>
  </si>
  <si>
    <r>
      <rPr>
        <b val="true"/>
        <sz val="10"/>
        <rFont val="Arial"/>
        <family val="0"/>
        <charset val="1"/>
      </rPr>
      <t xml:space="preserve">Q2_</t>
    </r>
    <r>
      <rPr>
        <b val="true"/>
        <sz val="10"/>
        <rFont val="DejaVu Sans"/>
        <family val="2"/>
      </rPr>
      <t xml:space="preserve">頻數</t>
    </r>
  </si>
  <si>
    <r>
      <rPr>
        <sz val="10"/>
        <rFont val="Arial"/>
        <family val="0"/>
        <charset val="1"/>
      </rPr>
      <t xml:space="preserve">level </t>
    </r>
    <r>
      <rPr>
        <sz val="10"/>
        <rFont val="DejaVu Sans"/>
        <family val="2"/>
      </rPr>
      <t xml:space="preserve">與 </t>
    </r>
    <r>
      <rPr>
        <sz val="10"/>
        <rFont val="Arial"/>
        <family val="0"/>
        <charset val="1"/>
      </rPr>
      <t xml:space="preserve">year </t>
    </r>
    <r>
      <rPr>
        <sz val="10"/>
        <rFont val="DejaVu Sans"/>
        <family val="2"/>
      </rPr>
      <t xml:space="preserve">的次數分布</t>
    </r>
  </si>
  <si>
    <r>
      <rPr>
        <b val="true"/>
        <sz val="10"/>
        <rFont val="Arial"/>
        <family val="0"/>
        <charset val="1"/>
      </rPr>
      <t xml:space="preserve">Q3_t</t>
    </r>
    <r>
      <rPr>
        <b val="true"/>
        <sz val="10"/>
        <rFont val="DejaVu Sans"/>
        <family val="2"/>
      </rPr>
      <t xml:space="preserve">檢定</t>
    </r>
  </si>
  <si>
    <r>
      <rPr>
        <sz val="10"/>
        <rFont val="DejaVu Sans"/>
        <family val="2"/>
      </rPr>
      <t xml:space="preserve">單樣本 </t>
    </r>
    <r>
      <rPr>
        <sz val="10"/>
        <rFont val="Arial"/>
        <family val="0"/>
        <charset val="1"/>
      </rPr>
      <t xml:space="preserve">t </t>
    </r>
    <r>
      <rPr>
        <sz val="10"/>
        <rFont val="DejaVu Sans"/>
        <family val="2"/>
      </rPr>
      <t xml:space="preserve">檢定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評分</t>
    </r>
    <r>
      <rPr>
        <sz val="10"/>
        <rFont val="Arial"/>
        <family val="0"/>
        <charset val="1"/>
      </rPr>
      <t xml:space="preserve">=65%)</t>
    </r>
  </si>
  <si>
    <r>
      <rPr>
        <b val="true"/>
        <sz val="10"/>
        <rFont val="Arial"/>
        <family val="0"/>
        <charset val="1"/>
      </rPr>
      <t xml:space="preserve">Q4_</t>
    </r>
    <r>
      <rPr>
        <b val="true"/>
        <sz val="10"/>
        <rFont val="DejaVu Sans"/>
        <family val="2"/>
      </rPr>
      <t xml:space="preserve">相關</t>
    </r>
  </si>
  <si>
    <r>
      <rPr>
        <sz val="10"/>
        <rFont val="Arial"/>
        <family val="0"/>
        <charset val="1"/>
      </rPr>
      <t xml:space="preserve">price </t>
    </r>
    <r>
      <rPr>
        <sz val="10"/>
        <rFont val="DejaVu Sans"/>
        <family val="2"/>
      </rPr>
      <t xml:space="preserve">與 </t>
    </r>
    <r>
      <rPr>
        <sz val="10"/>
        <rFont val="Arial"/>
        <family val="0"/>
        <charset val="1"/>
      </rPr>
      <t xml:space="preserve">num_subscribers </t>
    </r>
    <r>
      <rPr>
        <sz val="10"/>
        <rFont val="DejaVu Sans"/>
        <family val="2"/>
      </rPr>
      <t xml:space="preserve">相關係數</t>
    </r>
  </si>
  <si>
    <r>
      <rPr>
        <b val="true"/>
        <sz val="10"/>
        <rFont val="Arial"/>
        <family val="0"/>
        <charset val="1"/>
      </rPr>
      <t xml:space="preserve">Q5_Q10_</t>
    </r>
    <r>
      <rPr>
        <b val="true"/>
        <sz val="10"/>
        <rFont val="DejaVu Sans"/>
        <family val="2"/>
      </rPr>
      <t xml:space="preserve">迴歸</t>
    </r>
  </si>
  <si>
    <t xml:space="preserve">簡單、多元、對數迴歸</t>
  </si>
  <si>
    <r>
      <rPr>
        <b val="true"/>
        <sz val="10"/>
        <rFont val="Arial"/>
        <family val="0"/>
        <charset val="1"/>
      </rPr>
      <t xml:space="preserve">Q11_</t>
    </r>
    <r>
      <rPr>
        <b val="true"/>
        <sz val="10"/>
        <rFont val="DejaVu Sans"/>
        <family val="2"/>
      </rPr>
      <t xml:space="preserve">需求曲線</t>
    </r>
  </si>
  <si>
    <t xml:space="preserve">指定課程的訂閱人數預測</t>
  </si>
  <si>
    <t xml:space="preserve">course_id</t>
  </si>
  <si>
    <t xml:space="preserve">course_title</t>
  </si>
  <si>
    <t xml:space="preserve">url</t>
  </si>
  <si>
    <t xml:space="preserve">price</t>
  </si>
  <si>
    <t xml:space="preserve">num_subscribers</t>
  </si>
  <si>
    <t xml:space="preserve">num_reviews</t>
  </si>
  <si>
    <t xml:space="preserve">num_lectures</t>
  </si>
  <si>
    <t xml:space="preserve">level</t>
  </si>
  <si>
    <t xml:space="preserve">rating</t>
  </si>
  <si>
    <t xml:space="preserve">content_duration</t>
  </si>
  <si>
    <t xml:space="preserve">freepaid</t>
  </si>
  <si>
    <t xml:space="preserve">year</t>
  </si>
  <si>
    <t xml:space="preserve">log_num_subscriber</t>
  </si>
  <si>
    <t xml:space="preserve">log_price</t>
  </si>
  <si>
    <t xml:space="preserve">price_x</t>
  </si>
  <si>
    <t xml:space="preserve">lectures_x</t>
  </si>
  <si>
    <t xml:space="preserve">duration_x</t>
  </si>
  <si>
    <t xml:space="preserve">y2012</t>
  </si>
  <si>
    <t xml:space="preserve">y2013</t>
  </si>
  <si>
    <t xml:space="preserve">y2014</t>
  </si>
  <si>
    <t xml:space="preserve">y2015</t>
  </si>
  <si>
    <t xml:space="preserve">y2016</t>
  </si>
  <si>
    <t xml:space="preserve">y2017</t>
  </si>
  <si>
    <t xml:space="preserve">lvBeg</t>
  </si>
  <si>
    <t xml:space="preserve">lvExp</t>
  </si>
  <si>
    <t xml:space="preserve">lvInt</t>
  </si>
  <si>
    <t xml:space="preserve">logprice_x</t>
  </si>
  <si>
    <t xml:space="preserve">Learn HTML5 Programming From Scratch</t>
  </si>
  <si>
    <t xml:space="preserve">https://www.udemy.com/learn-html5-programming-from-scratch/</t>
  </si>
  <si>
    <t xml:space="preserve">Beginner Level</t>
  </si>
  <si>
    <t xml:space="preserve">Free</t>
  </si>
  <si>
    <t xml:space="preserve">Coding for Entrepreneurs Basic</t>
  </si>
  <si>
    <t xml:space="preserve">https://www.udemy.com/coding-for-entrepreneurs-basic/</t>
  </si>
  <si>
    <t xml:space="preserve">Expert Level</t>
  </si>
  <si>
    <t xml:space="preserve">The Web Developer Bootcamp</t>
  </si>
  <si>
    <t xml:space="preserve">https://www.udemy.com/the-web-developer-bootcamp/</t>
  </si>
  <si>
    <t xml:space="preserve">Paid</t>
  </si>
  <si>
    <t xml:space="preserve">Build Your First Website in 1 Week with HTML5 and CSS3</t>
  </si>
  <si>
    <t xml:space="preserve">https://www.udemy.com/build-your-first-website-in-1-week/</t>
  </si>
  <si>
    <t xml:space="preserve">All Levels</t>
  </si>
  <si>
    <t xml:space="preserve">The Complete Web Developer Course 2.0</t>
  </si>
  <si>
    <t xml:space="preserve">https://www.udemy.com/the-complete-web-developer-course-2/</t>
  </si>
  <si>
    <t xml:space="preserve">Web Design for Web Developers: Build Beautiful Websites!</t>
  </si>
  <si>
    <t xml:space="preserve">https://www.udemy.com/web-design-secrets/</t>
  </si>
  <si>
    <t xml:space="preserve">Learn Javascript &amp; JQuery From Scratch</t>
  </si>
  <si>
    <t xml:space="preserve">https://www.udemy.com/learn-javascript-jquery-from-scratch/</t>
  </si>
  <si>
    <t xml:space="preserve">Practical PHP: Master the Basics and Code Dynamic Websites</t>
  </si>
  <si>
    <t xml:space="preserve">https://www.udemy.com/code-dynamic-websites/</t>
  </si>
  <si>
    <t xml:space="preserve">Intermediate Level</t>
  </si>
  <si>
    <t xml:space="preserve">JavaScript: Understanding the Weird Parts</t>
  </si>
  <si>
    <t xml:space="preserve">https://www.udemy.com/understand-javascript/</t>
  </si>
  <si>
    <t xml:space="preserve">Angular 4 (formerly Angular 2) - The Complete Guide</t>
  </si>
  <si>
    <t xml:space="preserve">https://www.udemy.com/the-complete-guide-to-angular-2/</t>
  </si>
  <si>
    <t xml:space="preserve">Beginner Photoshop to HTML5 and CSS3</t>
  </si>
  <si>
    <t xml:space="preserve">https://www.udemy.com/psd-html5-css3/</t>
  </si>
  <si>
    <t xml:space="preserve">Web Development By Doing: HTML / CSS From Scratch</t>
  </si>
  <si>
    <t xml:space="preserve">https://www.udemy.com/web-development-learn-by-doing-html5-css3-from-scratch-introductory/</t>
  </si>
  <si>
    <t xml:space="preserve">HTML and CSS for Beginners - Build a Website &amp; Launch ONLINE</t>
  </si>
  <si>
    <t xml:space="preserve">https://www.udemy.com/html-and-css-for-beginners-crash-course-learn-fast-easy/</t>
  </si>
  <si>
    <t xml:space="preserve">Become a Web Developer from Scratch</t>
  </si>
  <si>
    <t xml:space="preserve">https://www.udemy.com/how-to-become-a-web-developer-from-scratch/</t>
  </si>
  <si>
    <t xml:space="preserve">Quickstart AngularJS</t>
  </si>
  <si>
    <t xml:space="preserve">https://www.udemy.com/quickstart-angularjs/</t>
  </si>
  <si>
    <t xml:space="preserve">Learn Responsive Web Development from Scratch</t>
  </si>
  <si>
    <t xml:space="preserve">https://www.udemy.com/learn-responsive-web-development-from-scratch/</t>
  </si>
  <si>
    <t xml:space="preserve">Learn and Understand AngularJS</t>
  </si>
  <si>
    <t xml:space="preserve">https://www.udemy.com/learn-angularjs/</t>
  </si>
  <si>
    <t xml:space="preserve">Learn and Understand NodeJS</t>
  </si>
  <si>
    <t xml:space="preserve">https://www.udemy.com/understand-nodejs/</t>
  </si>
  <si>
    <t xml:space="preserve">The Complete HTML &amp; CSS Course - From Novice To Professional</t>
  </si>
  <si>
    <t xml:space="preserve">https://www.udemy.com/htmlwebsite/</t>
  </si>
  <si>
    <t xml:space="preserve">Complete PHP Course With Bootstrap3 CMS System &amp; Admin Panel</t>
  </si>
  <si>
    <t xml:space="preserve">https://www.udemy.com/complete-php-course/</t>
  </si>
  <si>
    <t xml:space="preserve">Build Websites from Scratch with HTML &amp; CSS</t>
  </si>
  <si>
    <t xml:space="preserve">https://www.udemy.com/build-website-scratch/</t>
  </si>
  <si>
    <t xml:space="preserve">Modern React with Redux</t>
  </si>
  <si>
    <t xml:space="preserve">https://www.udemy.com/react-redux/</t>
  </si>
  <si>
    <t xml:space="preserve">Learn PHP Fundamentals From Scratch</t>
  </si>
  <si>
    <t xml:space="preserve">https://www.udemy.com/learn-php-fundamentals-from-scratch/</t>
  </si>
  <si>
    <t xml:space="preserve">Learning Dynamic Website Design - PHP MySQL and JavaScript</t>
  </si>
  <si>
    <t xml:space="preserve">https://www.udemy.com/learning-dynamic-website-design/</t>
  </si>
  <si>
    <t xml:space="preserve">Javascript Essentials</t>
  </si>
  <si>
    <t xml:space="preserve">https://www.udemy.com/javascript-essentials/</t>
  </si>
  <si>
    <t xml:space="preserve">Build Responsive Real World Websites with HTML5 and CSS3</t>
  </si>
  <si>
    <t xml:space="preserve">https://www.udemy.com/design-and-develop-a-killer-website-with-html5-and-css3/</t>
  </si>
  <si>
    <t xml:space="preserve">Learn Web Designing &amp; HTML5/CSS3 Essentials in 4-Hours</t>
  </si>
  <si>
    <t xml:space="preserve">https://www.udemy.com/build-beautiful-html5-website/</t>
  </si>
  <si>
    <t xml:space="preserve">Bootstrap 4 Quick Start: Code Modern Responsive Websites</t>
  </si>
  <si>
    <t xml:space="preserve">https://www.udemy.com/bootstrap-4/</t>
  </si>
  <si>
    <t xml:space="preserve">Angular 2 with TypeScript for Beginners: The Pragmatic Guide</t>
  </si>
  <si>
    <t xml:space="preserve">https://www.udemy.com/angular-2-tutorial-for-beginners/</t>
  </si>
  <si>
    <t xml:space="preserve">The Complete Web Developer Masterclass: Beginner To Advanced</t>
  </si>
  <si>
    <t xml:space="preserve">https://www.udemy.com/webdevelopercourse/</t>
  </si>
  <si>
    <t xml:space="preserve">Learn Object Oriented PHP By Building a Complete Website</t>
  </si>
  <si>
    <t xml:space="preserve">https://www.udemy.com/learn-object-oriented-php-by-building-a-complete-website/</t>
  </si>
  <si>
    <t xml:space="preserve">Web Programming with Python</t>
  </si>
  <si>
    <t xml:space="preserve">https://www.udemy.com/web-programming-with-python/</t>
  </si>
  <si>
    <t xml:space="preserve">Ultimate Web Designer &amp; Developer Course: Build 23 Projects!</t>
  </si>
  <si>
    <t xml:space="preserve">https://www.udemy.com/web-developer-course/</t>
  </si>
  <si>
    <t xml:space="preserve">The Complete Ruby on Rails Developer Course</t>
  </si>
  <si>
    <t xml:space="preserve">https://www.udemy.com/the-complete-ruby-on-rails-developer-course/</t>
  </si>
  <si>
    <t xml:space="preserve">Learn Angular 2 from Beginner to Advanced</t>
  </si>
  <si>
    <t xml:space="preserve">https://www.udemy.com/learn-angular-2-from-beginner-to-advanced/</t>
  </si>
  <si>
    <t xml:space="preserve">Create An HTML5 Video Player From Scratch</t>
  </si>
  <si>
    <t xml:space="preserve">https://www.udemy.com/html5-video-player/</t>
  </si>
  <si>
    <t xml:space="preserve">The Complete JavaScript Course For Web Development Beginners</t>
  </si>
  <si>
    <t xml:space="preserve">https://www.udemy.com/javascriptcourse/</t>
  </si>
  <si>
    <t xml:space="preserve">The Original Complete Web Developer Course.</t>
  </si>
  <si>
    <t xml:space="preserve">https://www.udemy.com/thecompletewebdeveloper/</t>
  </si>
  <si>
    <t xml:space="preserve">AngularJS For Beginners</t>
  </si>
  <si>
    <t xml:space="preserve">https://www.udemy.com/angularjs-for-beginners-udemy/</t>
  </si>
  <si>
    <t xml:space="preserve">Learn E-Commerce Website in PHP &amp; MySQL From Scratch!</t>
  </si>
  <si>
    <t xml:space="preserve">https://www.udemy.com/ecommerce-website-in-php-mysqli/</t>
  </si>
  <si>
    <t xml:space="preserve">Angular 2+ with Typescript - Essential Training</t>
  </si>
  <si>
    <t xml:space="preserve">https://www.udemy.com/angular-2-training/</t>
  </si>
  <si>
    <t xml:space="preserve">PHP for Beginners -Become a PHP Master - Project Included</t>
  </si>
  <si>
    <t xml:space="preserve">https://www.udemy.com/php-for-complete-beginners-includes-msql-object-oriented/</t>
  </si>
  <si>
    <t xml:space="preserve">Javascript - From Beginner to Pro-Build real world JS apps</t>
  </si>
  <si>
    <t xml:space="preserve">https://www.udemy.com/javascript-from-beginner-to-pro-best-course/</t>
  </si>
  <si>
    <t xml:space="preserve">Essentials of JavaScript Practice Coding Exercises Tips</t>
  </si>
  <si>
    <t xml:space="preserve">https://www.udemy.com/essentials-of-javascript-practice-coding-exercises-tips/</t>
  </si>
  <si>
    <t xml:space="preserve">The Complete JavaScript Course: Build a Real-World Project</t>
  </si>
  <si>
    <t xml:space="preserve">https://www.udemy.com/the-complete-javascript-course/</t>
  </si>
  <si>
    <t xml:space="preserve">Introduction to Web Development: HTML</t>
  </si>
  <si>
    <t xml:space="preserve">https://www.udemy.com/webdevelopment101_html/</t>
  </si>
  <si>
    <t xml:space="preserve">EMMET Faster HTML &amp; CSS workflow - Best Tool For Developers</t>
  </si>
  <si>
    <t xml:space="preserve">https://www.udemy.com/emmet-start-coding-html-and-css-fast-and-easy/</t>
  </si>
  <si>
    <t xml:space="preserve">Become a Certified Web Developer</t>
  </si>
  <si>
    <t xml:space="preserve">https://www.udemy.com/become-a-certified-web-developer/</t>
  </si>
  <si>
    <t xml:space="preserve">Master the Basics of HTML5 &amp; CSS3: Beginner Web Development</t>
  </si>
  <si>
    <t xml:space="preserve">https://www.udemy.com/master-the-basics-of-html5-css3-beginner-web-development/</t>
  </si>
  <si>
    <t xml:space="preserve">CSS Development (with CSS3!)</t>
  </si>
  <si>
    <t xml:space="preserve">https://www.udemy.com/css-development-with-css3/</t>
  </si>
  <si>
    <t xml:space="preserve">HTML Workshop</t>
  </si>
  <si>
    <t xml:space="preserve">https://www.udemy.com/html-workshop/</t>
  </si>
  <si>
    <t xml:space="preserve">Master the MEAN Stack - Learn By Example</t>
  </si>
  <si>
    <t xml:space="preserve">https://www.udemy.com/master-the-mean-stack/</t>
  </si>
  <si>
    <t xml:space="preserve">The Complete Bootstrap Masterclass Course - Build 4 Projects</t>
  </si>
  <si>
    <t xml:space="preserve">https://www.udemy.com/bootstrapcourse/</t>
  </si>
  <si>
    <t xml:space="preserve">The Ultimate Web Developer How To Guide</t>
  </si>
  <si>
    <t xml:space="preserve">https://www.udemy.com/learn-web-development-complete-step-by-step-guide-to-success/</t>
  </si>
  <si>
    <t xml:space="preserve">Running a Web Development Business: The Complete Guide</t>
  </si>
  <si>
    <t xml:space="preserve">https://www.udemy.com/the-complete-guide-to-running-a-web-development-business/</t>
  </si>
  <si>
    <t xml:space="preserve">Programming Foundations: HTML5 + CSS3 for Entrepreneurs 2015</t>
  </si>
  <si>
    <t xml:space="preserve">https://www.udemy.com/html-css-more/</t>
  </si>
  <si>
    <t xml:space="preserve">Learn to Use jQuery UI Widgets</t>
  </si>
  <si>
    <t xml:space="preserve">https://www.udemy.com/learn-to-use-jquery-ui-widgets/</t>
  </si>
  <si>
    <t xml:space="preserve">WordPress Development For Beginners</t>
  </si>
  <si>
    <t xml:space="preserve">https://www.udemy.com/wordpress-basic/</t>
  </si>
  <si>
    <t xml:space="preserve">Coding for Entrepreneurs: Learn Python, Django, and More.</t>
  </si>
  <si>
    <t xml:space="preserve">https://www.udemy.com/coding-for-entrepreneurs/</t>
  </si>
  <si>
    <t xml:space="preserve">1 Hour JavaScript</t>
  </si>
  <si>
    <t xml:space="preserve">https://www.udemy.com/1-hour-javascript/</t>
  </si>
  <si>
    <t xml:space="preserve">Build Responsive Website Using HTML5, CSS3, JS And Bootstrap</t>
  </si>
  <si>
    <t xml:space="preserve">https://www.udemy.com/build-responsive-website-using-html5-css3-js-and-bootstrap/</t>
  </si>
  <si>
    <t xml:space="preserve">Get Results - Core Principles of Web Development Tricks Tips</t>
  </si>
  <si>
    <t xml:space="preserve">https://www.udemy.com/web-development-foundations-base-for-your-coding-environment/</t>
  </si>
  <si>
    <t xml:space="preserve">Learn Object Oriented Programming PHP fundamentals bootcamp</t>
  </si>
  <si>
    <t xml:space="preserve">https://www.udemy.com/learn-object-oriented-programming-php-fundamentals-bootcamp/</t>
  </si>
  <si>
    <t xml:space="preserve">Advanced React and Redux</t>
  </si>
  <si>
    <t xml:space="preserve">https://www.udemy.com/react-redux-tutorial/</t>
  </si>
  <si>
    <t xml:space="preserve">Become A Web Developer And Seller - Build Websites With HTML</t>
  </si>
  <si>
    <t xml:space="preserve">https://www.udemy.com/the-ultimate-building-and-selling-websites-course/</t>
  </si>
  <si>
    <t xml:space="preserve">AngularJS Authentication: Secure Your App with Auth0</t>
  </si>
  <si>
    <t xml:space="preserve">https://www.udemy.com/angularjs-authentication-with-auth0/</t>
  </si>
  <si>
    <t xml:space="preserve">MongooseJS Essentials - Learn MongoDB for Node.js</t>
  </si>
  <si>
    <t xml:space="preserve">https://www.udemy.com/mongoosejs-essentials/</t>
  </si>
  <si>
    <t xml:space="preserve">Mastering HTML5 Programming - The Easier Way</t>
  </si>
  <si>
    <t xml:space="preserve">https://www.udemy.com/html5-programming-tutorials/</t>
  </si>
  <si>
    <t xml:space="preserve">ExpressJS Fundamentals</t>
  </si>
  <si>
    <t xml:space="preserve">https://www.udemy.com/expressjs-fundamentals/</t>
  </si>
  <si>
    <t xml:space="preserve">Spring Framework 4 And Dependency Injection For Beginners</t>
  </si>
  <si>
    <t xml:space="preserve">https://www.udemy.com/spring-framework-video-tutorial/</t>
  </si>
  <si>
    <t xml:space="preserve">Learn to Setup Websites from Scratch</t>
  </si>
  <si>
    <t xml:space="preserve">https://www.udemy.com/learn-to-setup-websites-from-scratch/</t>
  </si>
  <si>
    <t xml:space="preserve">Sass Workflow</t>
  </si>
  <si>
    <t xml:space="preserve">https://www.udemy.com/sass-workflow/</t>
  </si>
  <si>
    <t xml:space="preserve">The Complete ASP.NET MVC 5 Course</t>
  </si>
  <si>
    <t xml:space="preserve">https://www.udemy.com/the-complete-aspnet-mvc-5-course/</t>
  </si>
  <si>
    <t xml:space="preserve">HTML Complete Course - Beginner to Expert</t>
  </si>
  <si>
    <t xml:space="preserve">https://www.udemy.com/the-complete-html-developer-course/</t>
  </si>
  <si>
    <t xml:space="preserve">Joomla 3 - The Basics</t>
  </si>
  <si>
    <t xml:space="preserve">https://www.udemy.com/joomla-3-the-basics/</t>
  </si>
  <si>
    <t xml:space="preserve">Docker Technologies for DevOps and Developers</t>
  </si>
  <si>
    <t xml:space="preserve">https://www.udemy.com/docker-tutorial-for-devops-run-docker-containers/</t>
  </si>
  <si>
    <t xml:space="preserve">Learn To Build Beautiful HTML5 And CSS3 Websites In 1 Month</t>
  </si>
  <si>
    <t xml:space="preserve">https://www.udemy.com/learn-to-build-beautiful-html5-and-css3-websites-in-1-month/</t>
  </si>
  <si>
    <t xml:space="preserve">Learn AngularJS Step By Step</t>
  </si>
  <si>
    <t xml:space="preserve">https://www.udemy.com/maruti-angularjs/</t>
  </si>
  <si>
    <t xml:space="preserve">Joomla: Create a Joomla Website This Weekend With NO CODING!</t>
  </si>
  <si>
    <t xml:space="preserve">https://www.udemy.com/joomla-create-a-joomla-website-this-weekend-with-no-coding/</t>
  </si>
  <si>
    <t xml:space="preserve">1 Hour CSS</t>
  </si>
  <si>
    <t xml:space="preserve">https://www.udemy.com/1-hour-css/</t>
  </si>
  <si>
    <t xml:space="preserve">Back to School Web Development and Programming Bundle</t>
  </si>
  <si>
    <t xml:space="preserve">https://www.udemy.com/back-to-school-web-development-and-programming-bundle/</t>
  </si>
  <si>
    <t xml:space="preserve">Introduction to Web Development</t>
  </si>
  <si>
    <t xml:space="preserve">https://www.udemy.com/introduction-to-web-development/</t>
  </si>
  <si>
    <t xml:space="preserve">Bootstrap unleash the power faster &amp; easier web development</t>
  </si>
  <si>
    <t xml:space="preserve">https://www.udemy.com/bootstrap-3-responsive-design-tutorial-fundamentals/</t>
  </si>
  <si>
    <t xml:space="preserve">The Complete PHP CodeIgniter Course: Beginner To Advanced</t>
  </si>
  <si>
    <t xml:space="preserve">https://www.udemy.com/codeignitercourse/</t>
  </si>
  <si>
    <t xml:space="preserve">AngularJS JumpStart with Dan Wahlin</t>
  </si>
  <si>
    <t xml:space="preserve">https://www.udemy.com/angularjs-jumpstart/</t>
  </si>
  <si>
    <t xml:space="preserve">The Complete NodeJS Course: Build a Full Business Rating App</t>
  </si>
  <si>
    <t xml:space="preserve">https://www.udemy.com/learn-nodejs-by-building-an-employee-to-business-rating-app/</t>
  </si>
  <si>
    <t xml:space="preserve">Building Websites JavaScript and the DOM</t>
  </si>
  <si>
    <t xml:space="preserve">https://www.udemy.com/building-websites-learn-javascript-and-the-dom/</t>
  </si>
  <si>
    <t xml:space="preserve">Learn Python and Django: Payment Processing</t>
  </si>
  <si>
    <t xml:space="preserve">https://www.udemy.com/learn-django-code-accept-payments-with-stripe/</t>
  </si>
  <si>
    <t xml:space="preserve">Vue JS 2 - The Complete Guide (incl. Vue Router &amp; Vuex)</t>
  </si>
  <si>
    <t xml:space="preserve">https://www.udemy.com/vuejs-2-the-complete-guide/</t>
  </si>
  <si>
    <t xml:space="preserve">JavaScript Intro to learning JavaScript web programming</t>
  </si>
  <si>
    <t xml:space="preserve">https://www.udemy.com/javascript-intro-to-learning-javascript/</t>
  </si>
  <si>
    <t xml:space="preserve">How to Make a Single Page Website for Freelancers &amp; Agencies</t>
  </si>
  <si>
    <t xml:space="preserve">https://www.udemy.com/how-to-make-a-portfolio-website-for-freelancers-agencies/</t>
  </si>
  <si>
    <t xml:space="preserve">The Professional Ruby on Rails Developer</t>
  </si>
  <si>
    <t xml:space="preserve">https://www.udemy.com/pro-rubyonrails/</t>
  </si>
  <si>
    <t xml:space="preserve">Angular (Angular 2 or 4) &amp; NodeJS - The MEAN Stack Guide</t>
  </si>
  <si>
    <t xml:space="preserve">https://www.udemy.com/angular-2-and-nodejs-the-practical-guide/</t>
  </si>
  <si>
    <t xml:space="preserve">Learning JavaScript Programming Tutorial. A Definitive Guide</t>
  </si>
  <si>
    <t xml:space="preserve">https://www.udemy.com/programming-javascript/</t>
  </si>
  <si>
    <t xml:space="preserve">Adobe Flash for Beginners - Build Flash Website From Scratch</t>
  </si>
  <si>
    <t xml:space="preserve">https://www.udemy.com/adobe-flash-for-beginners-build-flash-website-from-scratch/</t>
  </si>
  <si>
    <t xml:space="preserve">Try AngularJS: Beginner's Guide to Front End Web Development</t>
  </si>
  <si>
    <t xml:space="preserve">https://www.udemy.com/try-angularjs/</t>
  </si>
  <si>
    <t xml:space="preserve">React JS and Redux - Mastering Web Apps</t>
  </si>
  <si>
    <t xml:space="preserve">https://www.udemy.com/react-js-and-redux-mastering-web-apps/</t>
  </si>
  <si>
    <t xml:space="preserve">Learn Web Scraping with Node.js</t>
  </si>
  <si>
    <t xml:space="preserve">https://www.udemy.com/web-scraping-nodejs/</t>
  </si>
  <si>
    <t xml:space="preserve">JavaScript Rockstar How to create Incredible Useful code</t>
  </si>
  <si>
    <t xml:space="preserve">https://www.udemy.com/javascript-projects-from-scratch-step-by-step-guide-to-learn/</t>
  </si>
  <si>
    <t xml:space="preserve">Build a Responsive Website with a Modern Flat Design</t>
  </si>
  <si>
    <t xml:space="preserve">https://www.udemy.com/build-responsive-website-designs-with-html5-and-css/</t>
  </si>
  <si>
    <t xml:space="preserve">Become Exceptional in HTML and HTML5</t>
  </si>
  <si>
    <t xml:space="preserve">https://www.udemy.com/become-exceptional-in-html-html5/</t>
  </si>
  <si>
    <t xml:space="preserve">Angular 2 Crash Course with TypeScript</t>
  </si>
  <si>
    <t xml:space="preserve">https://www.udemy.com/angular-2-crash-course/</t>
  </si>
  <si>
    <t xml:space="preserve">Django Core | A Reference Guide to Core Django Concepts</t>
  </si>
  <si>
    <t xml:space="preserve">https://www.udemy.com/django-core/</t>
  </si>
  <si>
    <t xml:space="preserve">1 Hour HTML</t>
  </si>
  <si>
    <t xml:space="preserve">https://www.udemy.com/1-hour-html/</t>
  </si>
  <si>
    <t xml:space="preserve">The Complete PHP MySQL Professional Course with 5 Projects</t>
  </si>
  <si>
    <t xml:space="preserve">https://www.udemy.com/the-complete-php-mysql-professional-course/</t>
  </si>
  <si>
    <t xml:space="preserve">Learn Ruby on Rails: Stripe Payment Processing</t>
  </si>
  <si>
    <t xml:space="preserve">https://www.udemy.com/learn-ruby-on-rails-stripe-payment-processing/</t>
  </si>
  <si>
    <t xml:space="preserve">Learn how to quickly build websites using Wordpress</t>
  </si>
  <si>
    <t xml:space="preserve">https://www.udemy.com/learn-how-to-quickly-build-websites-using-wordpress/</t>
  </si>
  <si>
    <t xml:space="preserve">Introduction to CSS Development</t>
  </si>
  <si>
    <t xml:space="preserve">https://www.udemy.com/refactoru-intro-to-css/</t>
  </si>
  <si>
    <t xml:space="preserve">Learn HTML &amp; CSS: How To Start Your Web Development Career</t>
  </si>
  <si>
    <t xml:space="preserve">https://www.udemy.com/how-i-landed-a-web-development-job-earned-5k-freelancing/</t>
  </si>
  <si>
    <t xml:space="preserve">Learn JavaScript for beginners</t>
  </si>
  <si>
    <t xml:space="preserve">https://www.udemy.com/learn-javascript-course/</t>
  </si>
  <si>
    <t xml:space="preserve">Servlets and JSPs Tutorial: Learn Web Applications With Java</t>
  </si>
  <si>
    <t xml:space="preserve">https://www.udemy.com/javawebtut/</t>
  </si>
  <si>
    <t xml:space="preserve">Learn to Build Websites using Twitter Bootstrap</t>
  </si>
  <si>
    <t xml:space="preserve">https://www.udemy.com/learn-to-build-websites-using-twitter-bootstrap/</t>
  </si>
  <si>
    <t xml:space="preserve">JavaScript Tricks how to create code projects from scratch</t>
  </si>
  <si>
    <t xml:space="preserve">https://www.udemy.com/learn-javascript-code-create-projects-from-scratch/</t>
  </si>
  <si>
    <t xml:space="preserve">ASP.Net MVC Quick Start</t>
  </si>
  <si>
    <t xml:space="preserve">https://www.udemy.com/aspnet-mvc-quick-start/</t>
  </si>
  <si>
    <t xml:space="preserve">HTML 5: How I made websites in HTML5</t>
  </si>
  <si>
    <t xml:space="preserve">https://www.udemy.com/html5-certification/</t>
  </si>
  <si>
    <t xml:space="preserve">Rapid Website Design with Bootstrap</t>
  </si>
  <si>
    <t xml:space="preserve">https://www.udemy.com/responsive-website-design/</t>
  </si>
  <si>
    <t xml:space="preserve">Learn Bootstrap Development By Building 10 Projects</t>
  </si>
  <si>
    <t xml:space="preserve">https://www.udemy.com/learn-bootstrap-development-by-building-10-projects/</t>
  </si>
  <si>
    <t xml:space="preserve">Codeigniter: How to use Codeigniter that drives knowledge</t>
  </si>
  <si>
    <t xml:space="preserve">https://www.udemy.com/codeigniter/</t>
  </si>
  <si>
    <t xml:space="preserve">Creating an MP3 Player with HTML5</t>
  </si>
  <si>
    <t xml:space="preserve">https://www.udemy.com/creating-an-mp3-player-with-html5/</t>
  </si>
  <si>
    <t xml:space="preserve">Get started Creating Websites Everything you need provided</t>
  </si>
  <si>
    <t xml:space="preserve">https://www.udemy.com/get-started-creating-websites-everything-you-need-provided/</t>
  </si>
  <si>
    <t xml:space="preserve">Benefits of Thinking Mobile First Future of Website Design</t>
  </si>
  <si>
    <t xml:space="preserve">https://www.udemy.com/thinking-mobile-websites-smart-design-tutorial/</t>
  </si>
  <si>
    <t xml:space="preserve">HTML5 canvas Bootcamp for beginners 25 easy steps</t>
  </si>
  <si>
    <t xml:space="preserve">https://www.udemy.com/html5-canvas-course-for-beginners/</t>
  </si>
  <si>
    <t xml:space="preserve">The Complete Web Developer Bootcamp - Beginner to Expert</t>
  </si>
  <si>
    <t xml:space="preserve">https://www.udemy.com/job-ready-web-developer/</t>
  </si>
  <si>
    <t xml:space="preserve">Learn Complete Web Development From Scratch</t>
  </si>
  <si>
    <t xml:space="preserve">https://www.udemy.com/learn-complete-web-development-from-scratch/</t>
  </si>
  <si>
    <t xml:space="preserve">How to Make an Online Portfolio Website from Scratch</t>
  </si>
  <si>
    <t xml:space="preserve">https://www.udemy.com/how-to-make-a-portfolio-website-photographers-designers/</t>
  </si>
  <si>
    <t xml:space="preserve">Learn Html5 &amp; CSS3 from scratch</t>
  </si>
  <si>
    <t xml:space="preserve">https://www.udemy.com/learn-html5-css3-from-scratch/</t>
  </si>
  <si>
    <t xml:space="preserve">Web Design Creating websites from scratch</t>
  </si>
  <si>
    <t xml:space="preserve">https://www.udemy.com/web-design-creating-websites-from-scratch/</t>
  </si>
  <si>
    <t xml:space="preserve">jQuery Fundamentals Powerful Bootcamp for beginners</t>
  </si>
  <si>
    <t xml:space="preserve">https://www.udemy.com/jquery-fundamentals-bootcamp-learn-how-to-use-jquery/</t>
  </si>
  <si>
    <t xml:space="preserve">Learn Complete WordPress for Building a Professional Sites</t>
  </si>
  <si>
    <t xml:space="preserve">https://www.udemy.com/learn-complete-wordpress-for-building-a-professional-sites/</t>
  </si>
  <si>
    <t xml:space="preserve">Code a 'Coming Soon' Landing Page in Bootstrap 4</t>
  </si>
  <si>
    <t xml:space="preserve">https://www.udemy.com/code-a-coming-soon-landing-page-in-bootstrap-4/</t>
  </si>
  <si>
    <t xml:space="preserve">Vue JS - Mastering Web Apps</t>
  </si>
  <si>
    <t xml:space="preserve">https://www.udemy.com/vue-web-apps/</t>
  </si>
  <si>
    <t xml:space="preserve">The Complete WordPress Website Business Course</t>
  </si>
  <si>
    <t xml:space="preserve">https://www.udemy.com/the-complete-wordpress-website-business-course/</t>
  </si>
  <si>
    <t xml:space="preserve">JavaScript Step by Step how to apply it to your web pages</t>
  </si>
  <si>
    <t xml:space="preserve">https://www.udemy.com/javascript-fundamentals-bootcamp-learn-how-to-use-javascript/</t>
  </si>
  <si>
    <t xml:space="preserve">WordPress Backup And Restore Fundamentals</t>
  </si>
  <si>
    <t xml:space="preserve">https://www.udemy.com/wordpress-backup-and-restore-fundamentals/</t>
  </si>
  <si>
    <t xml:space="preserve">Serverless Architecture on Amazon Web Services</t>
  </si>
  <si>
    <t xml:space="preserve">https://www.udemy.com/serverless-architecture-on-aws/</t>
  </si>
  <si>
    <t xml:space="preserve">Ruby on Rails a Beginners Guide</t>
  </si>
  <si>
    <t xml:space="preserve">https://www.udemy.com/ruby-on-rails-a-beginners-guide-free/</t>
  </si>
  <si>
    <t xml:space="preserve">Write quicker HTML5 and CSS 3; productivity hacks with emmet</t>
  </si>
  <si>
    <t xml:space="preserve">https://www.udemy.com/write-quicker-html5-and-css-3-productivity-hacks-with-emmet/</t>
  </si>
  <si>
    <t xml:space="preserve">ES6 Javascript: The Complete Developer's Guide</t>
  </si>
  <si>
    <t xml:space="preserve">https://www.udemy.com/javascript-es6-tutorial/</t>
  </si>
  <si>
    <t xml:space="preserve">Create Startup Landing Page with Viral Marketing Strategies</t>
  </si>
  <si>
    <t xml:space="preserve">https://www.udemy.com/create-startup-landing-page-with-viral-marketing-strategies/</t>
  </si>
  <si>
    <t xml:space="preserve">Learn SVG Animation - With HTML, CSS &amp; Javascript</t>
  </si>
  <si>
    <t xml:space="preserve">https://www.udemy.com/learn-svg-animation/</t>
  </si>
  <si>
    <t xml:space="preserve">How to Make a Video Blog Website From Scratch w/ Wordpress</t>
  </si>
  <si>
    <t xml:space="preserve">https://www.udemy.com/how-to-make-a-video-blog-website/</t>
  </si>
  <si>
    <t xml:space="preserve">Learn JavaScript for Web Development</t>
  </si>
  <si>
    <t xml:space="preserve">https://www.udemy.com/javascript-learn-javascript-essentials-and-build-project/</t>
  </si>
  <si>
    <t xml:space="preserve">Create a Website from Scratch using HTML CSS step by step</t>
  </si>
  <si>
    <t xml:space="preserve">https://www.udemy.com/create-a-website-from-scratch-using-html-css-in-1-hour/</t>
  </si>
  <si>
    <t xml:space="preserve">Programming for Entrepreneurs - JavaScript</t>
  </si>
  <si>
    <t xml:space="preserve">https://www.udemy.com/javascript-tutorial/</t>
  </si>
  <si>
    <t xml:space="preserve">Learn to use JSON</t>
  </si>
  <si>
    <t xml:space="preserve">https://www.udemy.com/learn-to-use-json/</t>
  </si>
  <si>
    <t xml:space="preserve">React JS - Build real world JS apps &amp; deploy on cloud</t>
  </si>
  <si>
    <t xml:space="preserve">https://www.udemy.com/reactjs-for-beginners-build-real-world-react-apps-deploy-on-cloud/</t>
  </si>
  <si>
    <t xml:space="preserve">PHP: Complete Registration and Login with Email Verification</t>
  </si>
  <si>
    <t xml:space="preserve">https://www.udemy.com/php-complete-registration-and-login-with-email-verification/</t>
  </si>
  <si>
    <t xml:space="preserve">Responsive Design with NEW Materialize</t>
  </si>
  <si>
    <t xml:space="preserve">https://www.udemy.com/responsive-design-with-new-google-materialize/</t>
  </si>
  <si>
    <t xml:space="preserve">Web Hosting Set Up and WordPress Installation For Beginners</t>
  </si>
  <si>
    <t xml:space="preserve">https://www.udemy.com/web-hosting-wordpress-installation-for-beginners/</t>
  </si>
  <si>
    <t xml:space="preserve">HTML Tutorial: HTML &amp; CSS for Beginners</t>
  </si>
  <si>
    <t xml:space="preserve">https://www.udemy.com/learn-html5/</t>
  </si>
  <si>
    <t xml:space="preserve">Complete AJAX Course: Learn AJAX Techniques Using Bootstrap</t>
  </si>
  <si>
    <t xml:space="preserve">https://www.udemy.com/ajaxcourse/</t>
  </si>
  <si>
    <t xml:space="preserve">Angular 4 (2+) Crash Course for Beginners</t>
  </si>
  <si>
    <t xml:space="preserve">https://www.udemy.com/angular-crash-course-for-beginners/</t>
  </si>
  <si>
    <t xml:space="preserve">Learn what's new in PHP 7</t>
  </si>
  <si>
    <t xml:space="preserve">https://www.udemy.com/php7-new-features/</t>
  </si>
  <si>
    <t xml:space="preserve">Website Secrets: Get a Gorgeous Website on the Cheap</t>
  </si>
  <si>
    <t xml:space="preserve">https://www.udemy.com/how-to-get-an-excellent-website-at-a-lower-cost/</t>
  </si>
  <si>
    <t xml:space="preserve">How to Make a Wordpress Website 2017</t>
  </si>
  <si>
    <t xml:space="preserve">https://www.udemy.com/wordpress-4-for-beginners/</t>
  </si>
  <si>
    <t xml:space="preserve">Practical Understanding of PHP and MySQL</t>
  </si>
  <si>
    <t xml:space="preserve">https://www.udemy.com/practical-understanding-of-php-and-myqsl-demo/</t>
  </si>
  <si>
    <t xml:space="preserve">Build Flat Responsive Website from Scratch - Complete Course</t>
  </si>
  <si>
    <t xml:space="preserve">https://www.udemy.com/build-flat-responsive-website-from-scratch-complete-course/</t>
  </si>
  <si>
    <t xml:space="preserve">PHP Fundamentals - Start Earning The Top Dollars You Deserve</t>
  </si>
  <si>
    <t xml:space="preserve">https://www.udemy.com/php-fundamentals/</t>
  </si>
  <si>
    <t xml:space="preserve">The Complete Sass &amp; SCSS Course: From Beginner to Advanced</t>
  </si>
  <si>
    <t xml:space="preserve">https://www.udemy.com/sasscourse/</t>
  </si>
  <si>
    <t xml:space="preserve">You can create Incredible Websites with HTML CSS learn how</t>
  </si>
  <si>
    <t xml:space="preserve">https://www.udemy.com/learn-to-create-html-css-web-templates-create-web-pages/</t>
  </si>
  <si>
    <t xml:space="preserve">Advanced HTML5 Tutorial for Web Developers</t>
  </si>
  <si>
    <t xml:space="preserve">https://www.udemy.com/advanced-html5-for-web-developers/</t>
  </si>
  <si>
    <t xml:space="preserve">Python and Django Full Stack Web Developer Bootcamp</t>
  </si>
  <si>
    <t xml:space="preserve">https://www.udemy.com/python-and-django-full-stack-web-developer-bootcamp/</t>
  </si>
  <si>
    <t xml:space="preserve">Learn how to create a WordPress theme using Pinegrow</t>
  </si>
  <si>
    <t xml:space="preserve">https://www.udemy.com/learn-how-to-create-a-wordpress-theme-using-pinegrow/</t>
  </si>
  <si>
    <t xml:space="preserve">How To Setup Web Hosting</t>
  </si>
  <si>
    <t xml:space="preserve">https://www.udemy.com/how-to-setup-web-hosting/</t>
  </si>
  <si>
    <t xml:space="preserve">PSD To a Creative Landing Page Using Twitter Bootstrap 3</t>
  </si>
  <si>
    <t xml:space="preserve">https://www.udemy.com/psd-to-responsive-html5-css3-with-bootstrap-3/</t>
  </si>
  <si>
    <t xml:space="preserve">Learn HTML 5 in 1 hour</t>
  </si>
  <si>
    <t xml:space="preserve">https://www.udemy.com/learn-html-5-in-1-hour/</t>
  </si>
  <si>
    <t xml:space="preserve">HTML CSS Easy steps to create a web template from scratch</t>
  </si>
  <si>
    <t xml:space="preserve">https://www.udemy.com/html-css-easy-steps-to-create-a-web-template-from-scratch/</t>
  </si>
  <si>
    <t xml:space="preserve">React Redux React-Router: From Beginner to Paid Professional</t>
  </si>
  <si>
    <t xml:space="preserve">https://www.udemy.com/react-redux-react-router/</t>
  </si>
  <si>
    <t xml:space="preserve">Learn HTML And CSS From Scratch</t>
  </si>
  <si>
    <t xml:space="preserve">https://www.udemy.com/html-and-css-from-scratch/</t>
  </si>
  <si>
    <t xml:space="preserve">Complete Web Development Course + Building 5 Websites!</t>
  </si>
  <si>
    <t xml:space="preserve">https://www.udemy.com/creating-5-web-development-projects-in-html5-and-css3/</t>
  </si>
  <si>
    <t xml:space="preserve">Ultimate Angular 4 (previously Angular 2) with Bootstrap 4</t>
  </si>
  <si>
    <t xml:space="preserve">https://www.udemy.com/ultimate-angular-2/</t>
  </si>
  <si>
    <t xml:space="preserve">Learn the Basics of Programming for Marketers</t>
  </si>
  <si>
    <t xml:space="preserve">https://www.udemy.com/basic-programming-for-marketers/</t>
  </si>
  <si>
    <t xml:space="preserve">JavaScript For Beginners : Learn JavaScript From Scratch</t>
  </si>
  <si>
    <t xml:space="preserve">https://www.udemy.com/javascript-course-for-beginners/</t>
  </si>
  <si>
    <t xml:space="preserve">jQuery Crash Course: Learn the Essentials of jQuery Fast</t>
  </si>
  <si>
    <t xml:space="preserve">https://www.udemy.com/learn-jquery-crash-course/</t>
  </si>
  <si>
    <t xml:space="preserve">Practical CSS Website Development: Crash Course</t>
  </si>
  <si>
    <t xml:space="preserve">https://www.udemy.com/css-website-development-crash-course/</t>
  </si>
  <si>
    <t xml:space="preserve">Make a professional website - 30 Day Guarantee. Discounted!</t>
  </si>
  <si>
    <t xml:space="preserve">https://www.udemy.com/make-your-own-business-website-beginner-and-intermediate/</t>
  </si>
  <si>
    <t xml:space="preserve">Learn to Make an Animated Image Gallery using HTML5</t>
  </si>
  <si>
    <t xml:space="preserve">https://www.udemy.com/learn-to-make-an-animated-image-gallery-using-html5/</t>
  </si>
  <si>
    <t xml:space="preserve">Improved SEO with Rich Snippets and MicroData</t>
  </si>
  <si>
    <t xml:space="preserve">https://www.udemy.com/improved-seo-with-rich-snippets-and-microdata/</t>
  </si>
  <si>
    <t xml:space="preserve">Ultimate guide to Social Media Web development integration</t>
  </si>
  <si>
    <t xml:space="preserve">https://www.udemy.com/ultimate-guide-to-social-media-web-development-integration/</t>
  </si>
  <si>
    <t xml:space="preserve">The Complete Developers Guide to MongoDB</t>
  </si>
  <si>
    <t xml:space="preserve">https://www.udemy.com/the-complete-developers-guide-to-mongodb/</t>
  </si>
  <si>
    <t xml:space="preserve">Fun and creative web engineering with Python and Web2py</t>
  </si>
  <si>
    <t xml:space="preserve">https://www.udemy.com/web-engineering-with-python-and-web2py/</t>
  </si>
  <si>
    <t xml:space="preserve">CSS and CSS3 For Absolute Beginners</t>
  </si>
  <si>
    <t xml:space="preserve">https://www.udemy.com/css-and-css3-for-absolute-beginners/</t>
  </si>
  <si>
    <t xml:space="preserve">Build Real World Websites from Scratch using HTML5 and CSS3</t>
  </si>
  <si>
    <t xml:space="preserve">https://www.udemy.com/web-development-html5-css3/</t>
  </si>
  <si>
    <t xml:space="preserve">JavaScript for Beginners Welcome to learning JavaScript</t>
  </si>
  <si>
    <t xml:space="preserve">https://www.udemy.com/javascript-for-beginners-course/</t>
  </si>
  <si>
    <t xml:space="preserve">Master WordPress Plugins: Shortcodes Ultimate - The Basics</t>
  </si>
  <si>
    <t xml:space="preserve">https://www.udemy.com/master-popular-wordpress-plugin-shortcodes-ultimate/</t>
  </si>
  <si>
    <t xml:space="preserve">JavaScript for Absolute Beginners</t>
  </si>
  <si>
    <t xml:space="preserve">https://www.udemy.com/javascript-for-absolute-beginners/</t>
  </si>
  <si>
    <t xml:space="preserve">Get to know HTML Learn HTML Basics</t>
  </si>
  <si>
    <t xml:space="preserve">https://www.udemy.com/html-online-course/</t>
  </si>
  <si>
    <t xml:space="preserve">Code a personal splash page in 1 hour</t>
  </si>
  <si>
    <t xml:space="preserve">https://www.udemy.com/intro-to-html-and-css/</t>
  </si>
  <si>
    <t xml:space="preserve">Projects in PHP and MySQL</t>
  </si>
  <si>
    <t xml:space="preserve">https://www.udemy.com/the-complete-web-development-course-learn-by-building-apps/</t>
  </si>
  <si>
    <t xml:space="preserve">HTML CSS: Essential steps to learn HTML CSS</t>
  </si>
  <si>
    <t xml:space="preserve">https://www.udemy.com/html-and-css-basics/</t>
  </si>
  <si>
    <t xml:space="preserve">The Complete HTML5 &amp; CSS3 Course Build Professional Websites</t>
  </si>
  <si>
    <t xml:space="preserve">https://www.udemy.com/html5css3/</t>
  </si>
  <si>
    <t xml:space="preserve">Core HTML How to get online quickly HTML to HTML5</t>
  </si>
  <si>
    <t xml:space="preserve">https://www.udemy.com/web-development-introduction-html-html5-course/</t>
  </si>
  <si>
    <t xml:space="preserve">HTML5 Essentials for Beginners</t>
  </si>
  <si>
    <t xml:space="preserve">https://www.udemy.com/html5-essentials-for-beginners/</t>
  </si>
  <si>
    <t xml:space="preserve">JavaScript Game Development: Create Your Own Breakout Game</t>
  </si>
  <si>
    <t xml:space="preserve">https://www.udemy.com/javascript-game-development-create-your-own-breakout-game/</t>
  </si>
  <si>
    <t xml:space="preserve">JavaScript Basics Web Development Building Blocks</t>
  </si>
  <si>
    <t xml:space="preserve">https://www.udemy.com/javascript-basics-web-development-building-blocks/</t>
  </si>
  <si>
    <t xml:space="preserve">Learn Nodejs by building 12 projects</t>
  </si>
  <si>
    <t xml:space="preserve">https://www.udemy.com/learn-nodejs-by-building-10-projects/</t>
  </si>
  <si>
    <t xml:space="preserve">Building a Search Engine in PHP &amp; MySQL</t>
  </si>
  <si>
    <t xml:space="preserve">https://www.udemy.com/creating-a-search-engine-in-php/</t>
  </si>
  <si>
    <t xml:space="preserve">PHP: Ultimate guide to PHP for everyone</t>
  </si>
  <si>
    <t xml:space="preserve">https://www.udemy.com/basic-php/</t>
  </si>
  <si>
    <t xml:space="preserve">CSS Web Development Crash Course</t>
  </si>
  <si>
    <t xml:space="preserve">https://www.udemy.com/css-course/</t>
  </si>
  <si>
    <t xml:space="preserve">HTML5 and CSS3 for beginners: Create a Website from Scratch</t>
  </si>
  <si>
    <t xml:space="preserve">https://www.udemy.com/html5-and-css3-for-beginners-create-a-website-from-scratch/</t>
  </si>
  <si>
    <t xml:space="preserve">The Ultimate Web Development Course</t>
  </si>
  <si>
    <t xml:space="preserve">https://www.udemy.com/build-an-instant-update-database-interface-with-jquery-ajax/</t>
  </si>
  <si>
    <t xml:space="preserve">Getting Started as a Web Developer</t>
  </si>
  <si>
    <t xml:space="preserve">https://www.udemy.com/refactoru-getting-started-as-a-web-developer/</t>
  </si>
  <si>
    <t xml:space="preserve">Beginning Web development Learn the basics of HTML</t>
  </si>
  <si>
    <t xml:space="preserve">https://www.udemy.com/learn-the-basics-of-html-in-less-than-a-week/</t>
  </si>
  <si>
    <t xml:space="preserve">The Complete PHP Bootcamp Course With Video Sharing Project</t>
  </si>
  <si>
    <t xml:space="preserve">https://www.udemy.com/php-bootcamp/</t>
  </si>
  <si>
    <t xml:space="preserve">Beginning Oracle WebLogic for Administrators</t>
  </si>
  <si>
    <t xml:space="preserve">https://www.udemy.com/learn-oracle-weblogic-12c-essentials/</t>
  </si>
  <si>
    <t xml:space="preserve">Dynamic JavaScript Master Class AJAX JSON Simple APIs</t>
  </si>
  <si>
    <t xml:space="preserve">https://www.udemy.com/ajax-course/</t>
  </si>
  <si>
    <t xml:space="preserve">Build A Complete CRUD Application With PHP, MYSQL &amp; JQUERY</t>
  </si>
  <si>
    <t xml:space="preserve">https://www.udemy.com/build-a-complete-crud-application-with-php-mysql-jquery/</t>
  </si>
  <si>
    <t xml:space="preserve">HTML5 for beginners</t>
  </si>
  <si>
    <t xml:space="preserve">https://www.udemy.com/html-complete-html-course-for-beginners/</t>
  </si>
  <si>
    <t xml:space="preserve">JQuery Essentials core training for Dynamic Interactive web</t>
  </si>
  <si>
    <t xml:space="preserve">https://www.udemy.com/jquery-essentials-core-training-for-dynamic-interactive-web/</t>
  </si>
  <si>
    <t xml:space="preserve">Try Django 1.10 | Create a URL Shortening Service</t>
  </si>
  <si>
    <t xml:space="preserve">https://www.udemy.com/try-django-1-10/</t>
  </si>
  <si>
    <t xml:space="preserve">Code your first Website using HTML &amp; CSS: Project Learning</t>
  </si>
  <si>
    <t xml:space="preserve">https://www.udemy.com/code-your-first-website-using-html-css-project-learning/</t>
  </si>
  <si>
    <t xml:space="preserve">Web Site for Beginners - Learn Web Building like knitting</t>
  </si>
  <si>
    <t xml:space="preserve">https://www.udemy.com/web-design-for-grandmothers-with-html/</t>
  </si>
  <si>
    <t xml:space="preserve">The Complete Wordpress Course - Build Your Own Website Today</t>
  </si>
  <si>
    <t xml:space="preserve">https://www.udemy.com/wordpresscourse/</t>
  </si>
  <si>
    <t xml:space="preserve">Successful website creation - everything you need to know</t>
  </si>
  <si>
    <t xml:space="preserve">https://www.udemy.com/total-guide-to-creating-websites-and-an-online-web-business/</t>
  </si>
  <si>
    <t xml:space="preserve">Introductory JavaScript Made Easy Training Tutorial</t>
  </si>
  <si>
    <t xml:space="preserve">https://www.udemy.com/introductory-javascript-made-easy-training-tutorial/</t>
  </si>
  <si>
    <t xml:space="preserve">Ruby on Rails: Training and Skills to Build Web Applications</t>
  </si>
  <si>
    <t xml:space="preserve">https://www.udemy.com/the-startups-guide-to-web-development-with-ruby-on-rails/</t>
  </si>
  <si>
    <t xml:space="preserve">Learn How To Build a Web Application Without Coding</t>
  </si>
  <si>
    <t xml:space="preserve">https://www.udemy.com/learn-how-to-build-a-web-application-without-coding/</t>
  </si>
  <si>
    <t xml:space="preserve">Ultimate Web Developer Course Build 10 Websites from Scratch</t>
  </si>
  <si>
    <t xml:space="preserve">https://www.udemy.com/ultimate-web-developer-course-build-10-websites-from-scratch/</t>
  </si>
  <si>
    <t xml:space="preserve">The Essential Web Developer Course - Build 12 Websites</t>
  </si>
  <si>
    <t xml:space="preserve">https://www.udemy.com/the-essential-web-developer-course/</t>
  </si>
  <si>
    <t xml:space="preserve">Learn and Earn with HTML &amp; CSS</t>
  </si>
  <si>
    <t xml:space="preserve">https://www.udemy.com/learn-and-earn-with-html-css/</t>
  </si>
  <si>
    <t xml:space="preserve">HTML CSS JavaScript: Most popular ways to code HTML CSS JS</t>
  </si>
  <si>
    <t xml:space="preserve">https://www.udemy.com/html-css-javascript/</t>
  </si>
  <si>
    <t xml:space="preserve">Understanding TypeScript</t>
  </si>
  <si>
    <t xml:space="preserve">https://www.udemy.com/understanding-typescript/</t>
  </si>
  <si>
    <t xml:space="preserve">Introduction to Laravel 4</t>
  </si>
  <si>
    <t xml:space="preserve">https://www.udemy.com/introduction-to-laravel-4/</t>
  </si>
  <si>
    <t xml:space="preserve">Projects In JavaScript &amp; JQuery</t>
  </si>
  <si>
    <t xml:space="preserve">https://www.udemy.com/projects-in-javascript-jquery/</t>
  </si>
  <si>
    <t xml:space="preserve">Web Design for Beginners: Real World Coding in HTML &amp; CSS</t>
  </si>
  <si>
    <t xml:space="preserve">https://www.udemy.com/web-design-for-beginners-real-world-coding-in-html-css/</t>
  </si>
  <si>
    <t xml:space="preserve">Start Writing JavaScript Today - Beginner JavaScript Course</t>
  </si>
  <si>
    <t xml:space="preserve">https://www.udemy.com/start-writing-javascript-today/</t>
  </si>
  <si>
    <t xml:space="preserve">How to Create a Website Without Coding - WordPress 2016</t>
  </si>
  <si>
    <t xml:space="preserve">https://www.udemy.com/how-to-create-a-website-wordpress-2016/</t>
  </si>
  <si>
    <t xml:space="preserve">How to Launch Your Own Website Builder Service</t>
  </si>
  <si>
    <t xml:space="preserve">https://www.udemy.com/how-to-launch-your-own-website-builder-service/</t>
  </si>
  <si>
    <t xml:space="preserve">Building HTML5 Canvas projects from scratch</t>
  </si>
  <si>
    <t xml:space="preserve">https://www.udemy.com/building-html5-canvas-projects-from-scratch/</t>
  </si>
  <si>
    <t xml:space="preserve">Webpack 2: The Complete Developer's Guide</t>
  </si>
  <si>
    <t xml:space="preserve">https://www.udemy.com/webpack-2-the-complete-developers-guide/</t>
  </si>
  <si>
    <t xml:space="preserve">Projects in HTML5</t>
  </si>
  <si>
    <t xml:space="preserve">https://www.udemy.com/projects-in-html5/</t>
  </si>
  <si>
    <t xml:space="preserve">How to Set Up a Self-Hosted Wordpress Website in 30 Minutes</t>
  </si>
  <si>
    <t xml:space="preserve">https://www.udemy.com/how-to-set-up-a-wordpress-website-custom-domain-in-30-mins/</t>
  </si>
  <si>
    <t xml:space="preserve">Serverless Workflow Management with AWS Step Functions</t>
  </si>
  <si>
    <t xml:space="preserve">https://www.udemy.com/aws-step-functions/</t>
  </si>
  <si>
    <t xml:space="preserve">All about NodeJS</t>
  </si>
  <si>
    <t xml:space="preserve">https://www.udemy.com/all-about-nodejs/</t>
  </si>
  <si>
    <t xml:space="preserve">Discover HTML Essential guide to HTML how to create webpages</t>
  </si>
  <si>
    <t xml:space="preserve">https://www.udemy.com/intro-to-html-beginners-guide-to-html-how-to-create-webpages/</t>
  </si>
  <si>
    <t xml:space="preserve">WordPress Plugins and Widgets</t>
  </si>
  <si>
    <t xml:space="preserve">https://www.udemy.com/wordpress-plugins-and-widgets/</t>
  </si>
  <si>
    <t xml:space="preserve">Learn Angular 4 from Scratch</t>
  </si>
  <si>
    <t xml:space="preserve">https://www.udemy.com/learn-angular-from-scratch/</t>
  </si>
  <si>
    <t xml:space="preserve">React and Flux Web Development for Beginners</t>
  </si>
  <si>
    <t xml:space="preserve">https://www.udemy.com/react-flux/</t>
  </si>
  <si>
    <t xml:space="preserve">Learn jQuery by Example Course</t>
  </si>
  <si>
    <t xml:space="preserve">https://www.udemy.com/complete-jquery-course/</t>
  </si>
  <si>
    <t xml:space="preserve">Interaction Design Specialist For Web Developers</t>
  </si>
  <si>
    <t xml:space="preserve">https://www.udemy.com/interaction-design-specialist-for-web-developers/</t>
  </si>
  <si>
    <t xml:space="preserve">HTML for Beginners</t>
  </si>
  <si>
    <t xml:space="preserve">https://www.udemy.com/hmtl5-training/</t>
  </si>
  <si>
    <t xml:space="preserve">JSON Faster Sleeker &amp; Easier Discover the benefits learn it</t>
  </si>
  <si>
    <t xml:space="preserve">https://www.udemy.com/introduction-to-json-javascript-object-notation-tutorial/</t>
  </si>
  <si>
    <t xml:space="preserve">PHP with Laravel for beginners - Become a Master in Laravel</t>
  </si>
  <si>
    <t xml:space="preserve">https://www.udemy.com/php-with-laravel-for-beginners-become-a-master-in-laravel/</t>
  </si>
  <si>
    <t xml:space="preserve">How to easily Manage your WordPress Website</t>
  </si>
  <si>
    <t xml:space="preserve">https://www.udemy.com/manage-wordpress-website/</t>
  </si>
  <si>
    <t xml:space="preserve">How to Install WordPress From Scratch</t>
  </si>
  <si>
    <t xml:space="preserve">https://www.udemy.com/install-wordpress/</t>
  </si>
  <si>
    <t xml:space="preserve">Introduction to HTML</t>
  </si>
  <si>
    <t xml:space="preserve">https://www.udemy.com/refactoru-intro-html/</t>
  </si>
  <si>
    <t xml:space="preserve">Foundations of Front-End Web Development</t>
  </si>
  <si>
    <t xml:space="preserve">https://www.udemy.com/foundations-of-front-end-development/</t>
  </si>
  <si>
    <t xml:space="preserve">PHP Graphic Techniques: CAPTCHA/ Create a verification code</t>
  </si>
  <si>
    <t xml:space="preserve">https://www.udemy.com/php-graphic-techniques-captcha-watermark-crop-thumbnail/</t>
  </si>
  <si>
    <t xml:space="preserve">The Docker for DevOps course: From development to production</t>
  </si>
  <si>
    <t xml:space="preserve">https://www.udemy.com/the-docker-for-devops-course-from-development-to-production/</t>
  </si>
  <si>
    <t xml:space="preserve">PHP Essential How to create build Amazing websites with PHP</t>
  </si>
  <si>
    <t xml:space="preserve">https://www.udemy.com/php-essential-how-to-create-build-amazing-websites-with-php/</t>
  </si>
  <si>
    <t xml:space="preserve">Sass: From Beginner to Advanced</t>
  </si>
  <si>
    <t xml:space="preserve">https://www.udemy.com/sass-from-beginner-to-advanced/</t>
  </si>
  <si>
    <t xml:space="preserve">Complete WooCommerce Plugin Tutorial For Wordpress 2017</t>
  </si>
  <si>
    <t xml:space="preserve">https://www.udemy.com/complete-woocommerce-plugin-tutorial-for-wordpress-2017/</t>
  </si>
  <si>
    <t xml:space="preserve">REST WCF Service in ASP.NET</t>
  </si>
  <si>
    <t xml:space="preserve">https://www.udemy.com/rest-wcf-service-in-aspnet/</t>
  </si>
  <si>
    <t xml:space="preserve">Build a website HTML5 CSS3 Beginner Course</t>
  </si>
  <si>
    <t xml:space="preserve">https://www.udemy.com/how-to-build-a-website-html5-css3-beginner-course/</t>
  </si>
  <si>
    <t xml:space="preserve">AJAX Development</t>
  </si>
  <si>
    <t xml:space="preserve">https://www.udemy.com/ajax-development/</t>
  </si>
  <si>
    <t xml:space="preserve">Complete Bootstrap 4 course - build 3 projects</t>
  </si>
  <si>
    <t xml:space="preserve">https://www.udemy.com/bootstrap-4-tutorials/</t>
  </si>
  <si>
    <t xml:space="preserve">How to Optimise Your WordPress Website's Speed &amp; Security to Improve SEO &amp; User Experience</t>
  </si>
  <si>
    <t xml:space="preserve">https://www.udemy.com/how-to-make-your-wordpress-site-blazing-fast/</t>
  </si>
  <si>
    <t xml:space="preserve">The Complete Ethical Hacking Course 2.0: Python &amp; Kali Linux</t>
  </si>
  <si>
    <t xml:space="preserve">https://www.udemy.com/penetration-testing-ethical-hacking-course-python-kali-linux/</t>
  </si>
  <si>
    <t xml:space="preserve">JavaScript Introduction to Object Oriented JavaScript</t>
  </si>
  <si>
    <t xml:space="preserve">https://www.udemy.com/javascript-introduction-to-object-oriented-javascript/</t>
  </si>
  <si>
    <t xml:space="preserve">JavaScript for Beginning Web Developers</t>
  </si>
  <si>
    <t xml:space="preserve">https://www.udemy.com/learn-javascript-programming/</t>
  </si>
  <si>
    <t xml:space="preserve">Learn How to Manage &amp; Customize Web Sites By Drupal CMS</t>
  </si>
  <si>
    <t xml:space="preserve">https://www.udemy.com/drupal-course/</t>
  </si>
  <si>
    <t xml:space="preserve">JavaScript in Action JavaScript Projects</t>
  </si>
  <si>
    <t xml:space="preserve">https://www.udemy.com/javascript-in-action-learn-javascript-projects/</t>
  </si>
  <si>
    <t xml:space="preserve">HTML5 APIs For JavaScript - A Course For Web Developers</t>
  </si>
  <si>
    <t xml:space="preserve">https://www.udemy.com/html5-apis-for-javascript-a-course-for-web-developers/</t>
  </si>
  <si>
    <t xml:space="preserve">Learn Building Your Own Website Without Coding</t>
  </si>
  <si>
    <t xml:space="preserve">https://www.udemy.com/learn-building-your-own-website-without-coding/</t>
  </si>
  <si>
    <t xml:space="preserve">Create A Custom Responsive WordPress Website For A Client</t>
  </si>
  <si>
    <t xml:space="preserve">https://www.udemy.com/create-custom-responsive-wordpress-website-client/</t>
  </si>
  <si>
    <t xml:space="preserve">The Complete Web Development Course - Build 15 Projects</t>
  </si>
  <si>
    <t xml:space="preserve">https://www.udemy.com/complete-web-development-course/</t>
  </si>
  <si>
    <t xml:space="preserve">Complete Python Web Course: Build 8 Python Web Apps</t>
  </si>
  <si>
    <t xml:space="preserve">https://www.udemy.com/the-complete-python-web-course-learn-by-building-8-apps/</t>
  </si>
  <si>
    <t xml:space="preserve">SAP Crystal Reports with ASP.Net (Step by step)</t>
  </si>
  <si>
    <t xml:space="preserve">https://www.udemy.com/sap-crystalreports-for-beginners/</t>
  </si>
  <si>
    <t xml:space="preserve">Create Single Page Website using Twitter Bootstrap 3</t>
  </si>
  <si>
    <t xml:space="preserve">https://www.udemy.com/create-single-page-website-using-twitter-bootstrap/</t>
  </si>
  <si>
    <t xml:space="preserve">Complete JavaScript Course for Beginners with Easy Examples</t>
  </si>
  <si>
    <t xml:space="preserve">https://www.udemy.com/javascript-for-dummies-and-newbies/</t>
  </si>
  <si>
    <t xml:space="preserve">Master ECMAScript 2015 (ES6)</t>
  </si>
  <si>
    <t xml:space="preserve">https://www.udemy.com/ecmascript2015/</t>
  </si>
  <si>
    <t xml:space="preserve">HTML Learning the Basics Intro to HTML website coding</t>
  </si>
  <si>
    <t xml:space="preserve">https://www.udemy.com/html-learning-the-basics-intro-to-html-website-coding/</t>
  </si>
  <si>
    <t xml:space="preserve">Try Django 1.9 | Build a Blog and Learn Python's #1 Library</t>
  </si>
  <si>
    <t xml:space="preserve">https://www.udemy.com/try-django/</t>
  </si>
  <si>
    <t xml:space="preserve">JavaScript DOM Dynamic Web interactive content Boot Camp</t>
  </si>
  <si>
    <t xml:space="preserve">https://www.udemy.com/javascript-dom-dynamic-web-interactive-content-boot-camp/</t>
  </si>
  <si>
    <t xml:space="preserve">Getting Started with HTML</t>
  </si>
  <si>
    <t xml:space="preserve">https://www.udemy.com/html-basics-course/</t>
  </si>
  <si>
    <t xml:space="preserve">Crash Course: Fundamentals Of HTML &amp; CSS From Scratch.</t>
  </si>
  <si>
    <t xml:space="preserve">https://www.udemy.com/beginner-crash-course-fundamentals-of-html-css-in-60-mins/</t>
  </si>
  <si>
    <t xml:space="preserve">Beginners Introduction to Web Development</t>
  </si>
  <si>
    <t xml:space="preserve">https://www.udemy.com/explore-web-development/</t>
  </si>
  <si>
    <t xml:space="preserve">A how to guide in HTML</t>
  </si>
  <si>
    <t xml:space="preserve">https://www.udemy.com/a-how-to-guide-in-html/</t>
  </si>
  <si>
    <t xml:space="preserve">HTML Introduction Course: Learn HTML in 2 hours!!!</t>
  </si>
  <si>
    <t xml:space="preserve">https://www.udemy.com/html-introduction-course-learn-html-in-2-hours/</t>
  </si>
  <si>
    <t xml:space="preserve">Create a Dynamic User Registration Form from scratch</t>
  </si>
  <si>
    <t xml:space="preserve">https://www.udemy.com/create-a-dynamic-user-registration-form-from-scratch/</t>
  </si>
  <si>
    <t xml:space="preserve">Code &amp; Grow Rich: Earn More As An Entrepreneur Or Developer</t>
  </si>
  <si>
    <t xml:space="preserve">https://www.udemy.com/code-grow-rich-earn-more-as-an-entrepreneur-or-developer/</t>
  </si>
  <si>
    <t xml:space="preserve">Node Package Manager Course: Build and Publish NPM Modules</t>
  </si>
  <si>
    <t xml:space="preserve">https://www.udemy.com/node-package-manager-course-build-and-publish-npm-modules/</t>
  </si>
  <si>
    <t xml:space="preserve">Learn How To Build A Professional Web Site By Using Joomla</t>
  </si>
  <si>
    <t xml:space="preserve">https://www.udemy.com/learn-how-to-build-a-professional-web-site-by-using-joomla/</t>
  </si>
  <si>
    <t xml:space="preserve">Complete JQuery And JQuery UI Course For Beginner</t>
  </si>
  <si>
    <t xml:space="preserve">https://www.udemy.com/complete-jquery-and-jquery-ui-course-for-beginner/</t>
  </si>
  <si>
    <t xml:space="preserve">Projects in AngularJS - Learn by building 10 Projects</t>
  </si>
  <si>
    <t xml:space="preserve">https://www.udemy.com/learn-angularjs-development/</t>
  </si>
  <si>
    <t xml:space="preserve">Create a Powerful Website with the Cool Bootstrap Framework</t>
  </si>
  <si>
    <t xml:space="preserve">https://www.udemy.com/e107-tutorial-for-beginner-build-bootstrap-website/</t>
  </si>
  <si>
    <t xml:space="preserve">Kids Coding - Beginners CSS</t>
  </si>
  <si>
    <t xml:space="preserve">https://www.udemy.com/kids-coding-beginners-css/</t>
  </si>
  <si>
    <t xml:space="preserve">JavaScript HTML CSS Project make a Quiz Tutorial</t>
  </si>
  <si>
    <t xml:space="preserve">https://www.udemy.com/javascript-html-css-project-make-a-quiz-tutorial/</t>
  </si>
  <si>
    <t xml:space="preserve">Become a Heroku Rails Ninja: Expert Level Deployment Tools</t>
  </si>
  <si>
    <t xml:space="preserve">https://www.udemy.com/become-a-heroku-rails-ninja/</t>
  </si>
  <si>
    <t xml:space="preserve">Learn How To Become a Web Developer From Scratch</t>
  </si>
  <si>
    <t xml:space="preserve">https://www.udemy.com/learn-how-to-become-a-front-end-web-developer-from-scratch/</t>
  </si>
  <si>
    <t xml:space="preserve">React JS - Mastering Redux</t>
  </si>
  <si>
    <t xml:space="preserve">https://www.udemy.com/react-js-mastering-redux/</t>
  </si>
  <si>
    <t xml:space="preserve">Beginner API development in Node, Express, ES6, &amp; MongoDB</t>
  </si>
  <si>
    <t xml:space="preserve">https://www.udemy.com/api-development/</t>
  </si>
  <si>
    <t xml:space="preserve">How To Build And Make A Wordpress Website From Scratch 2017</t>
  </si>
  <si>
    <t xml:space="preserve">https://www.udemy.com/how-to-build-and-make-a-wordpress-website-from-scratch-2017/</t>
  </si>
  <si>
    <t xml:space="preserve">How to Create a Wordpress Website from Scratch - No Coding</t>
  </si>
  <si>
    <t xml:space="preserve">https://www.udemy.com/how-to-create-a-wordpress-website-from-scratch-no-coding/</t>
  </si>
  <si>
    <t xml:space="preserve">How To Build A Website From Scratch + Blogging Blueprint</t>
  </si>
  <si>
    <t xml:space="preserve">https://www.udemy.com/how-to-build-a-website-from-scratch-blogging-blueprint/</t>
  </si>
  <si>
    <t xml:space="preserve">Learn jQuery: An In-depth Course For Beginners</t>
  </si>
  <si>
    <t xml:space="preserve">https://www.udemy.com/jquery/</t>
  </si>
  <si>
    <t xml:space="preserve">React vs Angular vs Vue.js by Example</t>
  </si>
  <si>
    <t xml:space="preserve">https://www.udemy.com/react-vs-angular-vs-vuejs-by-example/</t>
  </si>
  <si>
    <t xml:space="preserve">How To Setup a Micro-Blog in 3 Easy Steps</t>
  </si>
  <si>
    <t xml:space="preserve">https://www.udemy.com/setup-your-own-micro-blog-in-3-easy-steps/</t>
  </si>
  <si>
    <t xml:space="preserve">Getting Started with Angular 2+</t>
  </si>
  <si>
    <t xml:space="preserve">https://www.udemy.com/getting-started-with-angular-2/</t>
  </si>
  <si>
    <t xml:space="preserve">The Advanced Web Developer Course</t>
  </si>
  <si>
    <t xml:space="preserve">https://www.udemy.com/the-advanced-web-developer-course/</t>
  </si>
  <si>
    <t xml:space="preserve">How To Make A Modern Wordpress BLOG 2017! Create Your Blog!</t>
  </si>
  <si>
    <t xml:space="preserve">https://www.udemy.com/how-to-make-a-modern-wordpress-blog-2017-create-your-blog/</t>
  </si>
  <si>
    <t xml:space="preserve">Become a Professional Web Developer | Version 3.0</t>
  </si>
  <si>
    <t xml:space="preserve">https://www.udemy.com/web-development-tutorials/</t>
  </si>
  <si>
    <t xml:space="preserve">Comprehensive JavaScript Programming</t>
  </si>
  <si>
    <t xml:space="preserve">https://www.udemy.com/comprehensive-javascript-programming/</t>
  </si>
  <si>
    <t xml:space="preserve">Become a Kick-Ass Web Developer: From Newbie to Pro</t>
  </si>
  <si>
    <t xml:space="preserve">https://www.udemy.com/become-a-web-developer/</t>
  </si>
  <si>
    <t xml:space="preserve">Introduction to Voice Design with Amazon's Alexa</t>
  </si>
  <si>
    <t xml:space="preserve">https://www.udemy.com/amazonalexa/</t>
  </si>
  <si>
    <t xml:space="preserve">A-Frame WebVR Programming Tutorial Series (Virtual Reality)</t>
  </si>
  <si>
    <t xml:space="preserve">https://www.udemy.com/a-frame-webvr/</t>
  </si>
  <si>
    <t xml:space="preserve">The Complete jQuery Course: From Beginner To Advanced!</t>
  </si>
  <si>
    <t xml:space="preserve">https://www.udemy.com/jquery-tutorial/</t>
  </si>
  <si>
    <t xml:space="preserve">Kids Coding - Beginner HTML</t>
  </si>
  <si>
    <t xml:space="preserve">https://www.udemy.com/kids-coding-beginner-html/</t>
  </si>
  <si>
    <t xml:space="preserve">Advanced Javascript</t>
  </si>
  <si>
    <t xml:space="preserve">https://www.udemy.com/top-javascript-interview-questions-and-answers/</t>
  </si>
  <si>
    <t xml:space="preserve">Object Oriented Programming (OOP) in PHP - Build An OOP Site</t>
  </si>
  <si>
    <t xml:space="preserve">https://www.udemy.com/object-oriented-programming-in-php/</t>
  </si>
  <si>
    <t xml:space="preserve">Build A Weather App With Ajax Using Open Weather Map API</t>
  </si>
  <si>
    <t xml:space="preserve">https://www.udemy.com/build-a-weather-app-with-ajax-using-open-weather-map-api/</t>
  </si>
  <si>
    <t xml:space="preserve">Meteor and React for Realtime Apps</t>
  </si>
  <si>
    <t xml:space="preserve">https://www.udemy.com/meteor-react-tutorial/</t>
  </si>
  <si>
    <t xml:space="preserve">Learn To Create Different Website Layouts &amp; Media Queries</t>
  </si>
  <si>
    <t xml:space="preserve">https://www.udemy.com/websitelayouts/</t>
  </si>
  <si>
    <t xml:space="preserve">Complete PHP and MySql Course: From Beginner to Professional</t>
  </si>
  <si>
    <t xml:space="preserve">https://www.udemy.com/complete-php-mysql-course-for-beginners-start-to-finish/</t>
  </si>
  <si>
    <t xml:space="preserve">PHP OOP: Object Oriented Programming for beginners + Project</t>
  </si>
  <si>
    <t xml:space="preserve">https://www.udemy.com/oop-php-object-oriented-programing-with-project-1-course/</t>
  </si>
  <si>
    <t xml:space="preserve">WordPress in under an hour - Create/manage your own website!</t>
  </si>
  <si>
    <t xml:space="preserve">https://www.udemy.com/learn-wordpress-in-57-minutes/</t>
  </si>
  <si>
    <t xml:space="preserve">Dive Into Docker: The Docker Course for Developers</t>
  </si>
  <si>
    <t xml:space="preserve">https://www.udemy.com/dive-into-docker-the-complete-docker-course-for-developers/</t>
  </si>
  <si>
    <t xml:space="preserve">The Complete jQuery Course - From Beginner to Professional!</t>
  </si>
  <si>
    <t xml:space="preserve">https://www.udemy.com/complete-jquery-developer-course-beginner-to-pro/</t>
  </si>
  <si>
    <t xml:space="preserve">How to Make a Website Without Coding- WordPress &amp; Web Skills</t>
  </si>
  <si>
    <t xml:space="preserve">https://www.udemy.com/make-a-website-without-code-wordpress-course/</t>
  </si>
  <si>
    <t xml:space="preserve">GraphQL with React: The Complete Developers Guide</t>
  </si>
  <si>
    <t xml:space="preserve">https://www.udemy.com/graphql-with-react-course/</t>
  </si>
  <si>
    <t xml:space="preserve">Wordpress Beginner Tutorial: Build Your First Website</t>
  </si>
  <si>
    <t xml:space="preserve">https://www.udemy.com/wordpress-beginner-tutorial-build-your-first-website/</t>
  </si>
  <si>
    <t xml:space="preserve">CSS Image filters - The modern web images color manipulation</t>
  </si>
  <si>
    <t xml:space="preserve">https://www.udemy.com/super-awesome-images-with-css-image-filters/</t>
  </si>
  <si>
    <t xml:space="preserve">jQuery For Beginners : A Basic Introduction</t>
  </si>
  <si>
    <t xml:space="preserve">https://www.udemy.com/jquery-for-beginners-a-basic-introduction/</t>
  </si>
  <si>
    <t xml:space="preserve">Step-by-step HTML and CSS for Absolute Beginners</t>
  </si>
  <si>
    <t xml:space="preserve">https://www.udemy.com/step-by-step-html-and-css-for-absolute-beginners/</t>
  </si>
  <si>
    <t xml:space="preserve">Python for Beginners: Python Programming Language | Tutorial</t>
  </si>
  <si>
    <t xml:space="preserve">https://www.udemy.com/python-course/</t>
  </si>
  <si>
    <t xml:space="preserve">Full Stack JavaScript: Learn Backbone.js, Node.js &amp; MongoDB</t>
  </si>
  <si>
    <t xml:space="preserve">https://www.udemy.com/fullstack-javascript/</t>
  </si>
  <si>
    <t xml:space="preserve">Javascript from Beginner to Advanced Level</t>
  </si>
  <si>
    <t xml:space="preserve">https://www.udemy.com/javascript-from-beginner-to-advanced-level/</t>
  </si>
  <si>
    <t xml:space="preserve">Installing Wordpress 4 - Installation, Registrars &amp; Hosting</t>
  </si>
  <si>
    <t xml:space="preserve">https://www.udemy.com/installing-wordpress-domain-registrars-and-web-hosting/</t>
  </si>
  <si>
    <t xml:space="preserve">Build Enterprise Applications with Angular 2 (and Angular 4)</t>
  </si>
  <si>
    <t xml:space="preserve">https://www.udemy.com/angular2-advanced/</t>
  </si>
  <si>
    <t xml:space="preserve">Complete ASP NET MVC Web Development - Newbie to Ninja!</t>
  </si>
  <si>
    <t xml:space="preserve">https://www.udemy.com/better-web-development-pro-techniques-for-success/</t>
  </si>
  <si>
    <t xml:space="preserve">Intro To HTML &amp; CSS: Web Development For Beginners</t>
  </si>
  <si>
    <t xml:space="preserve">https://www.udemy.com/intro-to-html-and-css-basics/</t>
  </si>
  <si>
    <t xml:space="preserve">JavaScript project Learn to create a memory Game and more</t>
  </si>
  <si>
    <t xml:space="preserve">https://www.udemy.com/javascript-project-learn-to-create-a-memory-game-and-more/</t>
  </si>
  <si>
    <t xml:space="preserve">8 Beautiful Ruby on Rails Apps in 30 Days &amp; TDD - Immersive</t>
  </si>
  <si>
    <t xml:space="preserve">https://www.udemy.com/8-beautiful-ruby-on-rails-apps-in-30-days/</t>
  </si>
  <si>
    <t xml:space="preserve">https://www.udemy.com/introduction-to-web-development2/</t>
  </si>
  <si>
    <t xml:space="preserve">Accelerated ES6 JavaScript Training</t>
  </si>
  <si>
    <t xml:space="preserve">https://www.udemy.com/es6-bootcamp-next-generation-javascript/</t>
  </si>
  <si>
    <t xml:space="preserve">Git a Web Developer Job: Mastering the Modern Workflow</t>
  </si>
  <si>
    <t xml:space="preserve">https://www.udemy.com/git-a-web-developer-job-mastering-the-modern-workflow/</t>
  </si>
  <si>
    <t xml:space="preserve">Be a Bootstrap Developer from scratch</t>
  </si>
  <si>
    <t xml:space="preserve">https://www.udemy.com/be-a-bootstrap-developer-from-scratch/</t>
  </si>
  <si>
    <t xml:space="preserve">Introduction to Bootstrap 3</t>
  </si>
  <si>
    <t xml:space="preserve">https://www.udemy.com/introduction-to-bootstrap-3/</t>
  </si>
  <si>
    <t xml:space="preserve">Explore JavaScript Beginners Guide to Coding JavaScript</t>
  </si>
  <si>
    <t xml:space="preserve">https://www.udemy.com/javascript-beginners-course/</t>
  </si>
  <si>
    <t xml:space="preserve">Responsive PHP Registration Form: From Scratch</t>
  </si>
  <si>
    <t xml:space="preserve">https://www.udemy.com/responsive-php-registration-form/</t>
  </si>
  <si>
    <t xml:space="preserve">Learn HTML, A practical guide from scratch to HTML 5</t>
  </si>
  <si>
    <t xml:space="preserve">https://www.udemy.com/learn-html-a-practical-guide-from-scratch-to-html-5/</t>
  </si>
  <si>
    <t xml:space="preserve">PHP User Login Registration Script With All Features</t>
  </si>
  <si>
    <t xml:space="preserve">https://www.udemy.com/php-user-login-registration-system/</t>
  </si>
  <si>
    <t xml:space="preserve">Interactive Dynamic JavaScript for beginners DOM</t>
  </si>
  <si>
    <t xml:space="preserve">https://www.udemy.com/javascript-dom/</t>
  </si>
  <si>
    <t xml:space="preserve">PHP &amp; MySQL - Learn The Easy Way. Master PHP &amp; MySQL Quickly</t>
  </si>
  <si>
    <t xml:space="preserve">https://www.udemy.com/learning-php-and-mysql-development-the-easy-way/</t>
  </si>
  <si>
    <t xml:space="preserve">Bootstrap 3 -&gt; Profitable WordPress Theme Development!</t>
  </si>
  <si>
    <t xml:space="preserve">https://www.udemy.com/bootstrap-wordpress/</t>
  </si>
  <si>
    <t xml:space="preserve">Learn Bootstrap 4 by Example</t>
  </si>
  <si>
    <t xml:space="preserve">https://www.udemy.com/learn-bootstrap-4-by-example/</t>
  </si>
  <si>
    <t xml:space="preserve">Web Hosting Introduction: How to Publish Your Website Online</t>
  </si>
  <si>
    <t xml:space="preserve">https://www.udemy.com/web-hosting-introduction/</t>
  </si>
  <si>
    <t xml:space="preserve">JavaScript Basics for Beginners Introduction to coding</t>
  </si>
  <si>
    <t xml:space="preserve">https://www.udemy.com/learn-javascript-for-beginners-introduction-to-coding-course/</t>
  </si>
  <si>
    <t xml:space="preserve">JavaScript from Beginner to Expert</t>
  </si>
  <si>
    <t xml:space="preserve">https://www.udemy.com/javascript-from-beginner-to-expert-bring-life-to-your-site/</t>
  </si>
  <si>
    <t xml:space="preserve">1 hour jQuery</t>
  </si>
  <si>
    <t xml:space="preserve">https://www.udemy.com/1-hour-jquery/</t>
  </si>
  <si>
    <t xml:space="preserve">WP Plugin Development - Build your own plugin!</t>
  </si>
  <si>
    <t xml:space="preserve">https://www.udemy.com/wp-plugin-development-build-your-own-plugin/</t>
  </si>
  <si>
    <t xml:space="preserve">Create a Professional Website Without Programming/Coding</t>
  </si>
  <si>
    <t xml:space="preserve">https://www.udemy.com/create-professional-websites/</t>
  </si>
  <si>
    <t xml:space="preserve">Learn WCF And Web APIs From Scratch</t>
  </si>
  <si>
    <t xml:space="preserve">https://www.udemy.com/learn-wcf-and-web-apis-from-scratch/</t>
  </si>
  <si>
    <t xml:space="preserve">Angular Tutorial For Beginners</t>
  </si>
  <si>
    <t xml:space="preserve">https://www.udemy.com/angular-tutorial-for-beginners/</t>
  </si>
  <si>
    <t xml:space="preserve">Start Your Own Forum Website in 15 Minutes</t>
  </si>
  <si>
    <t xml:space="preserve">https://www.udemy.com/forum-web-development/</t>
  </si>
  <si>
    <t xml:space="preserve">Learn PHP Programming for Absolute Beginners</t>
  </si>
  <si>
    <t xml:space="preserve">https://www.udemy.com/learn-php-programming-for-absolute-beginners/</t>
  </si>
  <si>
    <t xml:space="preserve">Learn HTML in 2 hours!</t>
  </si>
  <si>
    <t xml:space="preserve">https://www.udemy.com/learn-html5-in-2-hours/</t>
  </si>
  <si>
    <t xml:space="preserve">The Complete DevOps Engineer Course 2.0 - Java &amp; Kubernetes</t>
  </si>
  <si>
    <t xml:space="preserve">https://www.udemy.com/the-complete-devops-engineer-course-20-java-kubernetes/</t>
  </si>
  <si>
    <t xml:space="preserve">Build a Real-world App with ASP.NET Core and Angular 2 (4+)</t>
  </si>
  <si>
    <t xml:space="preserve">https://www.udemy.com/aspnet-core-angular/</t>
  </si>
  <si>
    <t xml:space="preserve">Inspirational Web Development - A Beginner Approach -</t>
  </si>
  <si>
    <t xml:space="preserve">https://www.udemy.com/inspirational-web-development-level-0/</t>
  </si>
  <si>
    <t xml:space="preserve">Learn how to convert PSD to HTML and CSS responsive</t>
  </si>
  <si>
    <t xml:space="preserve">https://www.udemy.com/learn-how-to-convert-psd-to-html-and-css-responsive/</t>
  </si>
  <si>
    <t xml:space="preserve">Learn Jquery from Scratch 2-Hour Training</t>
  </si>
  <si>
    <t xml:space="preserve">https://www.udemy.com/jquery_complete/</t>
  </si>
  <si>
    <t xml:space="preserve">Learn to Create Responsive Layouts in 30 Minutes</t>
  </si>
  <si>
    <t xml:space="preserve">https://www.udemy.com/learn-to-create-responsive-layouts-in-30-minutes/</t>
  </si>
  <si>
    <t xml:space="preserve">The Complete Elixir and Phoenix Bootcamp</t>
  </si>
  <si>
    <t xml:space="preserve">https://www.udemy.com/the-complete-elixir-and-phoenix-bootcamp-and-tutorial/</t>
  </si>
  <si>
    <t xml:space="preserve">Building a Portfolio in 90 minutes ( HTML, CSS, Js )</t>
  </si>
  <si>
    <t xml:space="preserve">https://www.udemy.com/build-a-portfolio-website-in-90-minutes-html-css-js/</t>
  </si>
  <si>
    <t xml:space="preserve">Web Design How to Create a Website HTML CSS Bootstrap</t>
  </si>
  <si>
    <t xml:space="preserve">https://www.udemy.com/how-to-create-a-website-html-css-bootstrap/</t>
  </si>
  <si>
    <t xml:space="preserve">Django Tutorial: Build Your First App Fast &amp; Free!</t>
  </si>
  <si>
    <t xml:space="preserve">https://www.udemy.com/create-your-first-django-website-fast-free/</t>
  </si>
  <si>
    <t xml:space="preserve">Angular 2 &amp; TypeScript Beginner Web Development</t>
  </si>
  <si>
    <t xml:space="preserve">https://www.udemy.com/angular2/</t>
  </si>
  <si>
    <t xml:space="preserve">Wordpress Website Mastery 2017</t>
  </si>
  <si>
    <t xml:space="preserve">https://www.udemy.com/wordpress-website-mastery-2017/</t>
  </si>
  <si>
    <t xml:space="preserve">Spring Framework 4 (Java Enterprise JEE) with AngularJS</t>
  </si>
  <si>
    <t xml:space="preserve">https://www.udemy.com/java-spring-mvc-framework-with-angularjs-by-google-and-html5/</t>
  </si>
  <si>
    <t xml:space="preserve">REST APIs with Flask and Python</t>
  </si>
  <si>
    <t xml:space="preserve">https://www.udemy.com/rest-api-flask-and-python/</t>
  </si>
  <si>
    <t xml:space="preserve">Learn Angular 2 Development By Building 12 Apps</t>
  </si>
  <si>
    <t xml:space="preserve">https://www.udemy.com/learn-angular-2-development-by-building-10-apps/</t>
  </si>
  <si>
    <t xml:space="preserve">Wordpress For Beginners: Create a Professional Website</t>
  </si>
  <si>
    <t xml:space="preserve">https://www.udemy.com/learn-how-to-create-a-website-with-wordpress/</t>
  </si>
  <si>
    <t xml:space="preserve">Build a Responsive Website with HTML5, CSS3 and Bootstrap 4</t>
  </si>
  <si>
    <t xml:space="preserve">https://www.udemy.com/build-a-responsive-website-with-html5-css3-and-bootstrap-4/</t>
  </si>
  <si>
    <t xml:space="preserve">PHP for Beginners: How to Build an E-Commerce Store</t>
  </si>
  <si>
    <t xml:space="preserve">https://www.udemy.com/php-for-beginners-how-to-build-an-ecommerce-store/</t>
  </si>
  <si>
    <t xml:space="preserve">How To Create Your Very First Website With HTML and CSS</t>
  </si>
  <si>
    <t xml:space="preserve">https://www.udemy.com/how-to-create-a-website-with-html-and-css/</t>
  </si>
  <si>
    <t xml:space="preserve">Javascript for Beginners Learn by Doing Practical Exercises</t>
  </si>
  <si>
    <t xml:space="preserve">https://www.udemy.com/javascript-for-beginners-introduction-learn-fast-easy/</t>
  </si>
  <si>
    <t xml:space="preserve">Responsive Web Design: Made Easy</t>
  </si>
  <si>
    <t xml:space="preserve">https://www.udemy.com/responsive-web-design-made-easy/</t>
  </si>
  <si>
    <t xml:space="preserve">Introduction to Coding with Ruby</t>
  </si>
  <si>
    <t xml:space="preserve">https://www.udemy.com/newbie-to-ruby/</t>
  </si>
  <si>
    <t xml:space="preserve">Build a Website in 30 Minutes</t>
  </si>
  <si>
    <t xml:space="preserve">https://www.udemy.com/30-minute-website/</t>
  </si>
  <si>
    <t xml:space="preserve">Create Jekyll blog and host it on Github like a Ninja</t>
  </si>
  <si>
    <t xml:space="preserve">https://www.udemy.com/create-free-jekyll-blog-on-github-pages-like-a-ninja/</t>
  </si>
  <si>
    <t xml:space="preserve">Rock Solid Wordpress Security - Secure Web Development</t>
  </si>
  <si>
    <t xml:space="preserve">https://www.udemy.com/rock-solid-wordpress-security-secure-wordpress-easily/</t>
  </si>
  <si>
    <t xml:space="preserve">React VR - Creating Virtual Reality Apps</t>
  </si>
  <si>
    <t xml:space="preserve">https://www.udemy.com/react-vr/</t>
  </si>
  <si>
    <t xml:space="preserve">Bootstrap 4: Exploring New Features</t>
  </si>
  <si>
    <t xml:space="preserve">https://www.udemy.com/bootstrap-40exploring-new-features/</t>
  </si>
  <si>
    <t xml:space="preserve">Simple And Easy: Wordpress For Beginners</t>
  </si>
  <si>
    <t xml:space="preserve">https://www.udemy.com/simple-and-easy-wordpress-101/</t>
  </si>
  <si>
    <t xml:space="preserve">Learn HTML Basics From Scratch</t>
  </si>
  <si>
    <t xml:space="preserve">https://www.udemy.com/learn-html-from-scratch/</t>
  </si>
  <si>
    <t xml:space="preserve">Backbone Tutorial: Learn Backbonejs from Scratch</t>
  </si>
  <si>
    <t xml:space="preserve">https://www.udemy.com/backbonejs-tutorial/</t>
  </si>
  <si>
    <t xml:space="preserve">Laravel Deployment - Launch your Laravel Application Online</t>
  </si>
  <si>
    <t xml:space="preserve">https://www.udemy.com/laravel-deployment/</t>
  </si>
  <si>
    <t xml:space="preserve">HTML CSS Learn to create a website from scratch</t>
  </si>
  <si>
    <t xml:space="preserve">https://www.udemy.com/html-css-learn-to-create-a-website-from-scratch/</t>
  </si>
  <si>
    <t xml:space="preserve">Web Development w/ Googleâ€™s Go (golang) Programming Language</t>
  </si>
  <si>
    <t xml:space="preserve">https://www.udemy.com/go-programming-language/</t>
  </si>
  <si>
    <t xml:space="preserve">Create Your First Wordpress Site in Under an Hour</t>
  </si>
  <si>
    <t xml:space="preserve">https://www.udemy.com/how-to-install-wordpress-/</t>
  </si>
  <si>
    <t xml:space="preserve">HTML Web Development Crash Course</t>
  </si>
  <si>
    <t xml:space="preserve">https://www.udemy.com/html-tutorials/</t>
  </si>
  <si>
    <t xml:space="preserve">Learn and Understand React</t>
  </si>
  <si>
    <t xml:space="preserve">https://www.udemy.com/learn-and-understand-react-and-redux-i/</t>
  </si>
  <si>
    <t xml:space="preserve">Ruby on Rails for Complete Beginners</t>
  </si>
  <si>
    <t xml:space="preserve">https://www.udemy.com/ruby-on-rails-tutorial-for-complete-beginners/</t>
  </si>
  <si>
    <t xml:space="preserve">Building a Ruby on Rails Application with Neo4j</t>
  </si>
  <si>
    <t xml:space="preserve">https://www.udemy.com/building-a-ruby-on-rails-application-with-neo4j/</t>
  </si>
  <si>
    <t xml:space="preserve">The complete JavaScript developer: MEAN stack zero-to-hero</t>
  </si>
  <si>
    <t xml:space="preserve">https://www.udemy.com/the-complete-javascript-developer-mean-stack-zero-to-hero/</t>
  </si>
  <si>
    <t xml:space="preserve">Css Positioning For Absolute Beginners: A Basic Introduction</t>
  </si>
  <si>
    <t xml:space="preserve">https://www.udemy.com/learn-how-css-positioning-works-a/</t>
  </si>
  <si>
    <t xml:space="preserve">Javascript ES6! A Complete Reference Guide to Javascript ES6</t>
  </si>
  <si>
    <t xml:space="preserve">https://www.udemy.com/javascript-es6-a-complete-reference-guide-to-javascript-es6/</t>
  </si>
  <si>
    <t xml:space="preserve">Bootstrap Basics: Program Responsive Websites</t>
  </si>
  <si>
    <t xml:space="preserve">https://www.udemy.com/code-responsive-website-twitter-bootstrap/</t>
  </si>
  <si>
    <t xml:space="preserve">Customizr - Learn WordPress with the ultimate creative theme</t>
  </si>
  <si>
    <t xml:space="preserve">https://www.udemy.com/wpcustomizrcourse/</t>
  </si>
  <si>
    <t xml:space="preserve">Learn How to Create Your Own Social Network</t>
  </si>
  <si>
    <t xml:space="preserve">https://www.udemy.com/create-your-own-social-network/</t>
  </si>
  <si>
    <t xml:space="preserve">Accelerated JavaScript Training</t>
  </si>
  <si>
    <t xml:space="preserve">https://www.udemy.com/javascript-bootcamp-2016/</t>
  </si>
  <si>
    <t xml:space="preserve">Complete Login and Registration System in PHP and MYSQL</t>
  </si>
  <si>
    <t xml:space="preserve">https://www.udemy.com/login-and-registration-system-in-php-and-mysql-step-by-step/</t>
  </si>
  <si>
    <t xml:space="preserve">Complete AJAX Using Bootstrap, PHP From Basic To Advanced.</t>
  </si>
  <si>
    <t xml:space="preserve">https://www.udemy.com/complete-ajax-using-bootstrap-php-from-basic-to-advanced/</t>
  </si>
  <si>
    <t xml:space="preserve">Projects in CSS</t>
  </si>
  <si>
    <t xml:space="preserve">https://www.udemy.com/projects-in-css/</t>
  </si>
  <si>
    <t xml:space="preserve">Angular JS Essentials</t>
  </si>
  <si>
    <t xml:space="preserve">https://www.udemy.com/angular-js-crash-course/</t>
  </si>
  <si>
    <t xml:space="preserve">How to Build Your Own Website with WordPress: A Step-by-Step Guide</t>
  </si>
  <si>
    <t xml:space="preserve">https://www.udemy.com/build-your-own-website-with-wordpress-a-step-by-step-guide/</t>
  </si>
  <si>
    <t xml:space="preserve">Flask Tutorial Step by Step</t>
  </si>
  <si>
    <t xml:space="preserve">https://www.udemy.com/python-flask-tutorial-step-by-step/</t>
  </si>
  <si>
    <t xml:space="preserve">Projects in MongoDB - Learn MongoDB Building Projects</t>
  </si>
  <si>
    <t xml:space="preserve">https://www.udemy.com/projects-in-mongodb/</t>
  </si>
  <si>
    <t xml:space="preserve">Creating FaceBook Design Using Bootstrap - Handson Project</t>
  </si>
  <si>
    <t xml:space="preserve">https://www.udemy.com/facebook-design-using-bootstrap/</t>
  </si>
  <si>
    <t xml:space="preserve">JavaScript for beginners with live examples</t>
  </si>
  <si>
    <t xml:space="preserve">https://www.udemy.com/javascript-from-basic-fundamentals-to-advanced/</t>
  </si>
  <si>
    <t xml:space="preserve">Devtools 2017: The Basics of Chrome Developer Tools</t>
  </si>
  <si>
    <t xml:space="preserve">https://www.udemy.com/devtools-2017-the-basics-of-chrome-developer-tools/</t>
  </si>
  <si>
    <t xml:space="preserve">Hit the ground running with AngularJS with Dion Yang</t>
  </si>
  <si>
    <t xml:space="preserve">https://www.udemy.com/hit-the-ground-running-with-angularjs-with-dion-yang/</t>
  </si>
  <si>
    <t xml:space="preserve">Ultimate WordPress Plugin Course</t>
  </si>
  <si>
    <t xml:space="preserve">https://www.udemy.com/wordpress-plugin-course/</t>
  </si>
  <si>
    <t xml:space="preserve">Complete PHP Course with OOP Start to Finish!</t>
  </si>
  <si>
    <t xml:space="preserve">https://www.udemy.com/complete-object-oriented-programming-in-php-start-to-finish/</t>
  </si>
  <si>
    <t xml:space="preserve">Learn Bootstrap3 With Multi Purposes Single Page Layout</t>
  </si>
  <si>
    <t xml:space="preserve">https://www.udemy.com/single-page-layout-with-bootstrap/</t>
  </si>
  <si>
    <t xml:space="preserve">Laravel Blog Development Starter</t>
  </si>
  <si>
    <t xml:space="preserve">https://www.udemy.com/laravel-blog-development/</t>
  </si>
  <si>
    <t xml:space="preserve">Django + AngularJS for a Powerful Web Application</t>
  </si>
  <si>
    <t xml:space="preserve">https://www.udemy.com/django-angularjs/</t>
  </si>
  <si>
    <t xml:space="preserve">React.js Quickly: Developing Scalable Web User Interfaces</t>
  </si>
  <si>
    <t xml:space="preserve">https://www.udemy.com/react-quickly/</t>
  </si>
  <si>
    <t xml:space="preserve">Power up HTML5 with JavaScript</t>
  </si>
  <si>
    <t xml:space="preserve">https://www.udemy.com/power-up-html5-with-javascript/</t>
  </si>
  <si>
    <t xml:space="preserve">HTML and CSS for Absolute Beginners</t>
  </si>
  <si>
    <t xml:space="preserve">https://www.udemy.com/html-and-css-for-absolute-beginners-with-examples/</t>
  </si>
  <si>
    <t xml:space="preserve">JavaScript Fundamentals</t>
  </si>
  <si>
    <t xml:space="preserve">https://www.udemy.com/javascriptfundamentals/</t>
  </si>
  <si>
    <t xml:space="preserve">JQuery Create Overlay Popups from scratch using Jquery</t>
  </si>
  <si>
    <t xml:space="preserve">https://www.udemy.com/jquery-create-modal-popup-windows-from-scratch-using-jquery/</t>
  </si>
  <si>
    <t xml:space="preserve">Build CRUD Application - PHP &amp; Mysql</t>
  </si>
  <si>
    <t xml:space="preserve">https://www.udemy.com/build-crud-application-php-mysql/</t>
  </si>
  <si>
    <t xml:space="preserve">Angular 4: From Theory to Practice &amp; FREE E-Book</t>
  </si>
  <si>
    <t xml:space="preserve">https://www.udemy.com/angular-2-from-theory-to-practice/</t>
  </si>
  <si>
    <t xml:space="preserve">How To Create A WordPress Website Without Paying A Developer</t>
  </si>
  <si>
    <t xml:space="preserve">https://www.udemy.com/wordpress-website-in-under-one-hour/</t>
  </si>
  <si>
    <t xml:space="preserve">How To Create a Local Wordpress Environment</t>
  </si>
  <si>
    <t xml:space="preserve">https://www.udemy.com/how-to-create-a-local-wordpress-environment/</t>
  </si>
  <si>
    <t xml:space="preserve">Install WordPress on Computer using XAMPP</t>
  </si>
  <si>
    <t xml:space="preserve">https://www.udemy.com/wordpress-xampp/</t>
  </si>
  <si>
    <t xml:space="preserve">Effective Personal Website Building and Hosting</t>
  </si>
  <si>
    <t xml:space="preserve">https://www.udemy.com/effective-personal-website-building-and-hosting/</t>
  </si>
  <si>
    <t xml:space="preserve">Python Programming: Create an Digital Marketplace in Django</t>
  </si>
  <si>
    <t xml:space="preserve">https://www.udemy.com/coding-for-entrepreneurs-marketplace-daily-deals/</t>
  </si>
  <si>
    <t xml:space="preserve">Learn JavaScript from scratch</t>
  </si>
  <si>
    <t xml:space="preserve">https://www.udemy.com/learn-javascript-from-scratch/</t>
  </si>
  <si>
    <t xml:space="preserve">A 13 Hour SQL Server 2014 /ASP.NET/CSS/C#/jQuery Course</t>
  </si>
  <si>
    <t xml:space="preserve">https://www.udemy.com/learnsqlwithsqlserver2014/</t>
  </si>
  <si>
    <t xml:space="preserve">AJAX : Let's build a COOL project</t>
  </si>
  <si>
    <t xml:space="preserve">https://www.udemy.com/ajax-for-beginners-with-jquery-php-mysql-tutorial/</t>
  </si>
  <si>
    <t xml:space="preserve">Angular 2 Master Class with Alejandro Rangel</t>
  </si>
  <si>
    <t xml:space="preserve">https://www.udemy.com/angular-2-master-class-with-alejandro-rangel/</t>
  </si>
  <si>
    <t xml:space="preserve">How To Create A Wordpress Website 2016 | NEW Divi Theme 3.0!</t>
  </si>
  <si>
    <t xml:space="preserve">https://www.udemy.com/how-to-create-a-wordpress-website-2016-new-divi-theme-30/</t>
  </si>
  <si>
    <t xml:space="preserve">Angular Styling &amp; Animations (for Angular 2 and Angular 4)</t>
  </si>
  <si>
    <t xml:space="preserve">https://www.udemy.com/angular-styling-animations-for-angular-2-and-angular-4/</t>
  </si>
  <si>
    <t xml:space="preserve">AngularJS Custom Directives with Dan Wahlin</t>
  </si>
  <si>
    <t xml:space="preserve">https://www.udemy.com/angularjs-custom-directives/</t>
  </si>
  <si>
    <t xml:space="preserve">Create and Deploy a Web App in 3 Hours</t>
  </si>
  <si>
    <t xml:space="preserve">https://www.udemy.com/create-and-deploy-a-web-app-in-3-hours/</t>
  </si>
  <si>
    <t xml:space="preserve">HTML and CSS Crash Course for Beginners</t>
  </si>
  <si>
    <t xml:space="preserve">https://www.udemy.com/html-and-css-crash-course-for-beginners/</t>
  </si>
  <si>
    <t xml:space="preserve">Mastering CSS 3.0 Selectors</t>
  </si>
  <si>
    <t xml:space="preserve">https://www.udemy.com/css3-selectors/</t>
  </si>
  <si>
    <t xml:space="preserve">Introductory To HTML and CSS</t>
  </si>
  <si>
    <t xml:space="preserve">https://www.udemy.com/introductory-to-html-and-css/</t>
  </si>
  <si>
    <t xml:space="preserve">Web Development Masterclass - Complete Certificate Course</t>
  </si>
  <si>
    <t xml:space="preserve">https://www.udemy.com/web-development-masterclass-complete-certificate-course/</t>
  </si>
  <si>
    <t xml:space="preserve">Create a Responsive Website with Bootstrap 3</t>
  </si>
  <si>
    <t xml:space="preserve">https://www.udemy.com/create-a-responsive-website-with-bootstrap-3/</t>
  </si>
  <si>
    <t xml:space="preserve">Angular Masterclass</t>
  </si>
  <si>
    <t xml:space="preserve">https://www.udemy.com/angular-2-fundamentals-with-typescript-for-pro-developers-systemjs/</t>
  </si>
  <si>
    <t xml:space="preserve">Intro to PHP Web Application Development with Symfony</t>
  </si>
  <si>
    <t xml:space="preserve">https://www.udemy.com/symfony-development/</t>
  </si>
  <si>
    <t xml:space="preserve">Create Complete Sign up System using PHP, jQuery and Ajax</t>
  </si>
  <si>
    <t xml:space="preserve">https://www.udemy.com/create-sign-up-system-using-jquery-ajax-and-php/</t>
  </si>
  <si>
    <t xml:space="preserve">Basic HTML CSS and Web Design</t>
  </si>
  <si>
    <t xml:space="preserve">https://www.udemy.com/basic-html-css-web-design/</t>
  </si>
  <si>
    <t xml:space="preserve">JavaScript the Basics - JavaScript for Beginners</t>
  </si>
  <si>
    <t xml:space="preserve">https://www.udemy.com/javascript-the-basics-for-beginners/</t>
  </si>
  <si>
    <t xml:space="preserve">Build Professional WordPress Website</t>
  </si>
  <si>
    <t xml:space="preserve">https://www.udemy.com/wordpress-no-coding/</t>
  </si>
  <si>
    <t xml:space="preserve">Learn HTML Fast and Easy!</t>
  </si>
  <si>
    <t xml:space="preserve">https://www.udemy.com/learn-to-code-html/</t>
  </si>
  <si>
    <t xml:space="preserve">Creating Animations using HTML5 Canvas</t>
  </si>
  <si>
    <t xml:space="preserve">https://www.udemy.com/hmtl5-canvas-animations/</t>
  </si>
  <si>
    <t xml:space="preserve">Become PHP Facebook Developer: Password-Less Authentication</t>
  </si>
  <si>
    <t xml:space="preserve">https://www.udemy.com/php-facebook-developer-password-less-authentication/</t>
  </si>
  <si>
    <t xml:space="preserve">The Bubble Course - Create Complete Web Apps without Coding</t>
  </si>
  <si>
    <t xml:space="preserve">https://www.udemy.com/bubble-course/</t>
  </si>
  <si>
    <t xml:space="preserve">Mastering Basic CSS Selectors.</t>
  </si>
  <si>
    <t xml:space="preserve">https://www.udemy.com/mastering-basic-css-selectors/</t>
  </si>
  <si>
    <t xml:space="preserve">Master JavaScript Programming, 3 Projects Included !!</t>
  </si>
  <si>
    <t xml:space="preserve">https://www.udemy.com/master-javascript-programming-extended-course/</t>
  </si>
  <si>
    <t xml:space="preserve">Laravel(5.2) PHP Framework Jump Start for beginners</t>
  </si>
  <si>
    <t xml:space="preserve">https://www.udemy.com/laravel-php-framework-jump-start-for-beginners/</t>
  </si>
  <si>
    <t xml:space="preserve">Become a HTML and CSS Developer - Build a Responsive Site</t>
  </si>
  <si>
    <t xml:space="preserve">https://www.udemy.com/learn-to-code-in-html-and-css/</t>
  </si>
  <si>
    <t xml:space="preserve">Complete HTML5 and CSS3 Course +1 Start to Finish Project</t>
  </si>
  <si>
    <t xml:space="preserve">https://www.udemy.com/complete-html5-and-css3-course-1-start-to-finish-project/</t>
  </si>
  <si>
    <t xml:space="preserve">Laravel Homestead</t>
  </si>
  <si>
    <t xml:space="preserve">https://www.udemy.com/laravel-homestead/</t>
  </si>
  <si>
    <t xml:space="preserve">Wordpress for Beginners - Build a Live Website from Scratch</t>
  </si>
  <si>
    <t xml:space="preserve">https://www.udemy.com/wordpress_for_beginners/</t>
  </si>
  <si>
    <t xml:space="preserve">Build Realtime Apps | React Js, Golang &amp; RethinkDB</t>
  </si>
  <si>
    <t xml:space="preserve">https://www.udemy.com/realtime-apps-with-reactjs-golang-rethinkdb/</t>
  </si>
  <si>
    <t xml:space="preserve">CSS3 for beginners</t>
  </si>
  <si>
    <t xml:space="preserve">https://www.udemy.com/css-learn-css-from-scratch/</t>
  </si>
  <si>
    <t xml:space="preserve">WordPress local server setup and site migration online</t>
  </si>
  <si>
    <t xml:space="preserve">https://www.udemy.com/wordpress-local-install-and-two-methods-to-migrate-online/</t>
  </si>
  <si>
    <t xml:space="preserve">How to Start a WordPress Blog - Complete Beginners Guide!</t>
  </si>
  <si>
    <t xml:space="preserve">https://www.udemy.com/how-to-start-a-blog-complete-beginners-guide/</t>
  </si>
  <si>
    <t xml:space="preserve">How To Create A Real Estate Website With Wordpress 2017</t>
  </si>
  <si>
    <t xml:space="preserve">https://www.udemy.com/how-to-create-a-real-estate-website-with-wordpress-2017/</t>
  </si>
  <si>
    <t xml:space="preserve">WordPress Plugin Development for 2017 - Build 14 Plugins</t>
  </si>
  <si>
    <t xml:space="preserve">https://www.udemy.com/advanced-wordpress-development-take-control-of-the-back-end/</t>
  </si>
  <si>
    <t xml:space="preserve">Angular Material - Quickstart</t>
  </si>
  <si>
    <t xml:space="preserve">https://www.udemy.com/styling-angular-applications-with-angular-material/</t>
  </si>
  <si>
    <t xml:space="preserve">How To Make A Business Website In 1 Day With Wix FAST &amp; EASY</t>
  </si>
  <si>
    <t xml:space="preserve">https://www.udemy.com/how-i-make-a-professional-website-in-1-day-or-less-with-wix/</t>
  </si>
  <si>
    <t xml:space="preserve">Learn CSS Transition and Animation</t>
  </si>
  <si>
    <t xml:space="preserve">https://www.udemy.com/css-transition-and-animation/</t>
  </si>
  <si>
    <t xml:space="preserve">Learn XML Crash Course: Discover Essential XML Fundamentals</t>
  </si>
  <si>
    <t xml:space="preserve">https://www.udemy.com/learn-xml-crash-course/</t>
  </si>
  <si>
    <t xml:space="preserve">PHP MVC Framework CodeIgniter Tutorial for Beginners Project</t>
  </si>
  <si>
    <t xml:space="preserve">https://www.udemy.com/php-mvc-framework-codeigniter-tutorial-for-beginners-project/</t>
  </si>
  <si>
    <t xml:space="preserve">Develop Your First App in an Hour</t>
  </si>
  <si>
    <t xml:space="preserve">https://www.udemy.com/develop-your-first-app-in-an-hour/</t>
  </si>
  <si>
    <t xml:space="preserve">Javascript for Beginners</t>
  </si>
  <si>
    <t xml:space="preserve">https://www.udemy.com/beginning-javascript/</t>
  </si>
  <si>
    <t xml:space="preserve">WordPress for Beginners - Tutorial - From Novice to Know-How</t>
  </si>
  <si>
    <t xml:space="preserve">https://www.udemy.com/wordpress-for-beginners-tutorial-from-novice-to-know-how/</t>
  </si>
  <si>
    <t xml:space="preserve">Build Your Own Calculator App with Javascript, HTML5 &amp; CSS</t>
  </si>
  <si>
    <t xml:space="preserve">https://www.udemy.com/create-a-calculator-web-app-with-javascript-html-css/</t>
  </si>
  <si>
    <t xml:space="preserve">Chrome Extensions : Develop 5 chrome extensions from scratch</t>
  </si>
  <si>
    <t xml:space="preserve">https://www.udemy.com/chrome-extension-dev/</t>
  </si>
  <si>
    <t xml:space="preserve">How to create HTML Forms</t>
  </si>
  <si>
    <t xml:space="preserve">https://www.udemy.com/how-to-create-html-forms/</t>
  </si>
  <si>
    <t xml:space="preserve">VueJS V1 Introduction to VueJS JavaScript Framework</t>
  </si>
  <si>
    <t xml:space="preserve">https://www.udemy.com/vuejs-introduction-to-vuejs-javascript-framework/</t>
  </si>
  <si>
    <t xml:space="preserve">Learn JSON with JavaScript Objects and APIs in 1 hour</t>
  </si>
  <si>
    <t xml:space="preserve">https://www.udemy.com/json-course/</t>
  </si>
  <si>
    <t xml:space="preserve">Web Design HTML CSS How to Create a Website from Scratch</t>
  </si>
  <si>
    <t xml:space="preserve">https://www.udemy.com/html-css-how-to-create-a-website-from-scratch/</t>
  </si>
  <si>
    <t xml:space="preserve">The Complete Guide to JavaScript Development</t>
  </si>
  <si>
    <t xml:space="preserve">https://www.udemy.com/the-complete-javascript-development-course/</t>
  </si>
  <si>
    <t xml:space="preserve">Build and Deploy a LAMP server on AWS</t>
  </si>
  <si>
    <t xml:space="preserve">https://www.udemy.com/build-and-deploy-a-lamp-server-on-aws/</t>
  </si>
  <si>
    <t xml:space="preserve">JQuery Basics - Learn JQuery From Scratch</t>
  </si>
  <si>
    <t xml:space="preserve">https://www.udemy.com/jquery-basics-learn-jquery-from-scratch/</t>
  </si>
  <si>
    <t xml:space="preserve">How To Make A Wordpress Website 2017 | Divi Theme Tutorial</t>
  </si>
  <si>
    <t xml:space="preserve">https://www.udemy.com/how-to-make-a-wordpress-website-2017-divi-theme-tutorial/</t>
  </si>
  <si>
    <t xml:space="preserve">Email Marketing: Send Unlimited Emails via Own Mail Server</t>
  </si>
  <si>
    <t xml:space="preserve">https://www.udemy.com/email-marketing-send-unlimited-emails-via-own-mail-server/</t>
  </si>
  <si>
    <t xml:space="preserve">Create an eCommerce Wordpress Website 2016 - New Divi Theme!</t>
  </si>
  <si>
    <t xml:space="preserve">https://www.udemy.com/create-an-ecommerce-wordpress-website-2016-new-divi-theme/</t>
  </si>
  <si>
    <t xml:space="preserve">How To Make an eCommerce Website With Wordpress 2017</t>
  </si>
  <si>
    <t xml:space="preserve">https://www.udemy.com/how-to-make-an-ecommerce-website-with-wordpress-2017/</t>
  </si>
  <si>
    <t xml:space="preserve">A Complete Laravel basics from beginner to expert</t>
  </si>
  <si>
    <t xml:space="preserve">https://www.udemy.com/learn-laravel-from-beginner-to-expert/</t>
  </si>
  <si>
    <t xml:space="preserve">Learn Ruby Programming The Easy Way</t>
  </si>
  <si>
    <t xml:space="preserve">https://www.udemy.com/learn-ruby-programming-the-easy-way/</t>
  </si>
  <si>
    <t xml:space="preserve">The complete HTML5 course</t>
  </si>
  <si>
    <t xml:space="preserve">https://www.udemy.com/learn-html-by-building-websites/</t>
  </si>
  <si>
    <t xml:space="preserve">All in one HTML CSS and JQuery</t>
  </si>
  <si>
    <t xml:space="preserve">https://www.udemy.com/all-in-one-html-css-and-jquery/</t>
  </si>
  <si>
    <t xml:space="preserve">Professional Python Web Development Using Flask</t>
  </si>
  <si>
    <t xml:space="preserve">https://www.udemy.com/python-flask-course/</t>
  </si>
  <si>
    <t xml:space="preserve">Complete WordPress Theme Developer Course With Bootstrap</t>
  </si>
  <si>
    <t xml:space="preserve">https://www.udemy.com/the-complete-wordpress-theme-developer-course/</t>
  </si>
  <si>
    <t xml:space="preserve">Create a classified website in 2 hours - guaranteed</t>
  </si>
  <si>
    <t xml:space="preserve">https://www.udemy.com/create-a-classified-website-in-2-hours-guaranteed/</t>
  </si>
  <si>
    <t xml:space="preserve">Ajax in JavaScript and JQuery, with PHP - Creating Chat App</t>
  </si>
  <si>
    <t xml:space="preserve">https://www.udemy.com/ajax-in-javascript-and-jquery-with-php/</t>
  </si>
  <si>
    <t xml:space="preserve">Become a Certified Web Developer - Beginner to Expert</t>
  </si>
  <si>
    <t xml:space="preserve">https://www.udemy.com/jquery101/</t>
  </si>
  <si>
    <t xml:space="preserve">Building Websites Create a fully functional Web contact form</t>
  </si>
  <si>
    <t xml:space="preserve">https://www.udemy.com/how-to-create-a-fully-functional-web-contact-form/</t>
  </si>
  <si>
    <t xml:space="preserve">Quick learning jQuery web development</t>
  </si>
  <si>
    <t xml:space="preserve">https://www.udemy.com/quick-learning-jquery-web-development/</t>
  </si>
  <si>
    <t xml:space="preserve">HTML Made Simple For Beginners: Create a One Page Website</t>
  </si>
  <si>
    <t xml:space="preserve">https://www.udemy.com/html-made-simple-create-your-own-webpage-step-by-step/</t>
  </si>
  <si>
    <t xml:space="preserve">Complete Website &amp; CMS in PHP &amp; MySQL From Scratch!</t>
  </si>
  <si>
    <t xml:space="preserve">https://www.udemy.com/cms-admin-panel-in-php-mysql/</t>
  </si>
  <si>
    <t xml:space="preserve">Angular 2 Routing: Up And Running</t>
  </si>
  <si>
    <t xml:space="preserve">https://www.udemy.com/angular-2-routing-up-and-running/</t>
  </si>
  <si>
    <t xml:space="preserve">Up and Running with jQuery</t>
  </si>
  <si>
    <t xml:space="preserve">https://www.udemy.com/up-and-running-with-jquery/</t>
  </si>
  <si>
    <t xml:space="preserve">JSON Crash Course for Beginners</t>
  </si>
  <si>
    <t xml:space="preserve">https://www.udemy.com/json-crash-course-for-beginners-learn-json-in-one-hour/</t>
  </si>
  <si>
    <t xml:space="preserve">Build a Real Time web app in node.js , Angular.js, mongoDB</t>
  </si>
  <si>
    <t xml:space="preserve">https://www.udemy.com/realtime-meanstack/</t>
  </si>
  <si>
    <t xml:space="preserve">Full-Stack Web Apps with Meteor and React</t>
  </si>
  <si>
    <t xml:space="preserve">https://www.udemy.com/meteor-react/</t>
  </si>
  <si>
    <t xml:space="preserve">Bootstrap 3 Beginners: Create a Professional Landing Page</t>
  </si>
  <si>
    <t xml:space="preserve">https://www.udemy.com/bootstrap-beginners-landing-page/</t>
  </si>
  <si>
    <t xml:space="preserve">introduction to HTML Course</t>
  </si>
  <si>
    <t xml:space="preserve">https://www.udemy.com/introduction-to-html-course/</t>
  </si>
  <si>
    <t xml:space="preserve">Coding Made Easy: HTML &amp; CSS For Beginners</t>
  </si>
  <si>
    <t xml:space="preserve">https://www.udemy.com/coding-made-easy-html-css-for-beginners/</t>
  </si>
  <si>
    <t xml:space="preserve">React From The Ground Up</t>
  </si>
  <si>
    <t xml:space="preserve">https://www.udemy.com/reactjs-from-the-ground-up/</t>
  </si>
  <si>
    <t xml:space="preserve">In Depth Web Development Made Easy</t>
  </si>
  <si>
    <t xml:space="preserve">https://www.udemy.com/in-depth-web-development-from-scratch/</t>
  </si>
  <si>
    <t xml:space="preserve">ES6 / EcmaScript 6 for beginners an introduction</t>
  </si>
  <si>
    <t xml:space="preserve">https://www.udemy.com/es6-ecmascript-6-for-beginners/</t>
  </si>
  <si>
    <t xml:space="preserve">The Complete E-Commerce Web Developer Course 5.0</t>
  </si>
  <si>
    <t xml:space="preserve">https://www.udemy.com/e-commerce-web-developer-course/</t>
  </si>
  <si>
    <t xml:space="preserve">Learn JSON for beginners with JavaScript</t>
  </si>
  <si>
    <t xml:space="preserve">https://www.udemy.com/json-javascript-course/</t>
  </si>
  <si>
    <t xml:space="preserve">Professional WordPress Theme Development For 2017</t>
  </si>
  <si>
    <t xml:space="preserve">https://www.udemy.com/advanced-wordpress-theme-development-next-level-of-theming/</t>
  </si>
  <si>
    <t xml:space="preserve">Professional Ruby on Rails Developer with Rails 5</t>
  </si>
  <si>
    <t xml:space="preserve">https://www.udemy.com/pro-ruby-on-rails-rails5/</t>
  </si>
  <si>
    <t xml:space="preserve">Ethereum Developer: Build A Decentralised Blockchain App</t>
  </si>
  <si>
    <t xml:space="preserve">https://www.udemy.com/ethereum-developer/</t>
  </si>
  <si>
    <t xml:space="preserve">Angular 2 Demystified</t>
  </si>
  <si>
    <t xml:space="preserve">https://www.udemy.com/introduction-to-angular2/</t>
  </si>
  <si>
    <t xml:space="preserve">Ultimate JavaScript Strings</t>
  </si>
  <si>
    <t xml:space="preserve">https://www.udemy.com/js-strings/</t>
  </si>
  <si>
    <t xml:space="preserve">Scaling Docker on AWS</t>
  </si>
  <si>
    <t xml:space="preserve">https://www.udemy.com/scaling-docker-on-aws/</t>
  </si>
  <si>
    <t xml:space="preserve">The Full Stack Web Development</t>
  </si>
  <si>
    <t xml:space="preserve">https://www.udemy.com/the-full-stack-web-development/</t>
  </si>
  <si>
    <t xml:space="preserve">Critical Web Dev Skills &amp; Tools for the Non-Tech Hustler</t>
  </si>
  <si>
    <t xml:space="preserve">https://www.udemy.com/critical-web-dev-skills-tools-for-the-non-tech-hustler/</t>
  </si>
  <si>
    <t xml:space="preserve">WordPress For Beginners | No Coding Required</t>
  </si>
  <si>
    <t xml:space="preserve">https://www.udemy.com/wordpress-for-beginners-no-coding-required/</t>
  </si>
  <si>
    <t xml:space="preserve">Bootstrap 4 Responsive Web Design and Development</t>
  </si>
  <si>
    <t xml:space="preserve">https://www.udemy.com/bootstrap-4-responsive-web-design-and-development/</t>
  </si>
  <si>
    <t xml:space="preserve">Earn Big Profits With Web Development, Simple and Easy!</t>
  </si>
  <si>
    <t xml:space="preserve">https://www.udemy.com/earn-big-profits-by-building-simple-and-easy-websites/</t>
  </si>
  <si>
    <t xml:space="preserve">Create Website from scratch in Urdu &amp; Hindi</t>
  </si>
  <si>
    <t xml:space="preserve">https://www.udemy.com/create-website-from-scratch-in-urdu-hindi/</t>
  </si>
  <si>
    <t xml:space="preserve">Learn HTML5 At Your Own Pace. Ideal for Beginners</t>
  </si>
  <si>
    <t xml:space="preserve">https://www.udemy.com/learning-html5/</t>
  </si>
  <si>
    <t xml:space="preserve">Expert Guide : Mastering Functions in JavaScript !</t>
  </si>
  <si>
    <t xml:space="preserve">https://www.udemy.com/functions-in-javascript/</t>
  </si>
  <si>
    <t xml:space="preserve">How to Create A Website: An HTML Tutorial and CSS Tutorial</t>
  </si>
  <si>
    <t xml:space="preserve">https://www.udemy.com/html-tutorial/</t>
  </si>
  <si>
    <t xml:space="preserve">AngularJS For ASP.NET MVC Developers</t>
  </si>
  <si>
    <t xml:space="preserve">https://www.udemy.com/angularjs-for-aspnet-mvc-developers/</t>
  </si>
  <si>
    <t xml:space="preserve">Learn HTML, CSS, and Ruby on Rails: Build Your First Blog</t>
  </si>
  <si>
    <t xml:space="preserve">https://www.udemy.com/learn-html-css-and-ruby-on-rails-build-your-first-blog/</t>
  </si>
  <si>
    <t xml:space="preserve">jQuery for Beginners - Create Website Animations Easily</t>
  </si>
  <si>
    <t xml:space="preserve">https://www.udemy.com/jquery-for-beginners-fundamentals-training-tutorial-course/</t>
  </si>
  <si>
    <t xml:space="preserve">Learn the basics of the Web development: Coding Tactics</t>
  </si>
  <si>
    <t xml:space="preserve">https://www.udemy.com/learn-the-basics-of-the-web-development-in-2-hours/</t>
  </si>
  <si>
    <t xml:space="preserve">Learn Ajax and jquery with PHP</t>
  </si>
  <si>
    <t xml:space="preserve">https://www.udemy.com/learn-ajax-and-jquery-with-php/</t>
  </si>
  <si>
    <t xml:space="preserve">Essential JavaScript, jQuery and AngularJS Training</t>
  </si>
  <si>
    <t xml:space="preserve">https://www.udemy.com/essential-javascript-jquery-angularjs-training/</t>
  </si>
  <si>
    <t xml:space="preserve">Introduction to HTML5 Canvas basics of drawing</t>
  </si>
  <si>
    <t xml:space="preserve">https://www.udemy.com/introduction-to-html5-canvas-basics-of-drawing/</t>
  </si>
  <si>
    <t xml:space="preserve">AngularJS Masterclass - Deep Dive &amp; Understand AngularJS</t>
  </si>
  <si>
    <t xml:space="preserve">https://www.udemy.com/angularjs-masterclass/</t>
  </si>
  <si>
    <t xml:space="preserve">Wordpress Security</t>
  </si>
  <si>
    <t xml:space="preserve">https://www.udemy.com/easy-wordpress-security/</t>
  </si>
  <si>
    <t xml:space="preserve">Learn Ruby on Rails for Absolute Beginners</t>
  </si>
  <si>
    <t xml:space="preserve">https://www.udemy.com/learn-ruby-on-rails-for-absolute-beginners/</t>
  </si>
  <si>
    <t xml:space="preserve">First Web Application with Spring Boot</t>
  </si>
  <si>
    <t xml:space="preserve">https://www.udemy.com/spring-boot-first-web-application/</t>
  </si>
  <si>
    <t xml:space="preserve">Build Responsive Websites in an Hour using Portalfin</t>
  </si>
  <si>
    <t xml:space="preserve">https://www.udemy.com/build-website/</t>
  </si>
  <si>
    <t xml:space="preserve">Hosting your static website on Amazon AWS S3 service</t>
  </si>
  <si>
    <t xml:space="preserve">https://www.udemy.com/hosting-a-static-website-on-amazon-aws-s3-service/</t>
  </si>
  <si>
    <t xml:space="preserve">Create, Update and Manage Your Own Website Using Drupal 7</t>
  </si>
  <si>
    <t xml:space="preserve">https://www.udemy.com/getting-to-know-drupal/</t>
  </si>
  <si>
    <t xml:space="preserve">Create Your Own Successful Online School To Sell Courses</t>
  </si>
  <si>
    <t xml:space="preserve">https://www.udemy.com/create-an-online-school-website-with-joomla/</t>
  </si>
  <si>
    <t xml:space="preserve">How to Build Chat Bots: From Beginner to Intermediate</t>
  </si>
  <si>
    <t xml:space="preserve">https://www.udemy.com/how-to-build-chats-bots-from-beginner-to-expert/</t>
  </si>
  <si>
    <t xml:space="preserve">Dissecting Ruby on Rails 5 - Become a Professional Developer</t>
  </si>
  <si>
    <t xml:space="preserve">https://www.udemy.com/professional-rails-5-development-course/</t>
  </si>
  <si>
    <t xml:space="preserve">Basic Concepts of Web Development, HTTP and Java Servlets</t>
  </si>
  <si>
    <t xml:space="preserve">https://www.udemy.com/web-application-and-java-servlet-concepts/</t>
  </si>
  <si>
    <t xml:space="preserve">JavaScript Design Patterns: 20 Patterns for Expert Code</t>
  </si>
  <si>
    <t xml:space="preserve">https://www.udemy.com/javascript-design-patterns-20-patterns-for-expert-code/</t>
  </si>
  <si>
    <t xml:space="preserve">Complete Codeigniter: From Beginner to Advanced</t>
  </si>
  <si>
    <t xml:space="preserve">https://www.udemy.com/complete-codeigniter-course-from-basic-to-advanced/</t>
  </si>
  <si>
    <t xml:space="preserve">Learn MeteorJS By Building 10 Real World Projects</t>
  </si>
  <si>
    <t xml:space="preserve">https://www.udemy.com/learn-meteorjs-by-building-10-real-world-projects/</t>
  </si>
  <si>
    <t xml:space="preserve">Automate Web Development With Gulp JS</t>
  </si>
  <si>
    <t xml:space="preserve">https://www.udemy.com/learn-gulp/</t>
  </si>
  <si>
    <t xml:space="preserve">Creating User Authentication System in CodeIgniter</t>
  </si>
  <si>
    <t xml:space="preserve">https://www.udemy.com/codeigniter-user-authentication-system/</t>
  </si>
  <si>
    <t xml:space="preserve">How To Make A Wordpress Website 2017 - Divi Theme Tutorial</t>
  </si>
  <si>
    <t xml:space="preserve">https://www.udemy.com/how-to-make-a-wordpress-website-2017-divi-theme-tutorial-for-beginners/</t>
  </si>
  <si>
    <t xml:space="preserve">Web Programming Course : Asp.Net MVC</t>
  </si>
  <si>
    <t xml:space="preserve">https://www.udemy.com/mvc-course/</t>
  </si>
  <si>
    <t xml:space="preserve">Node.js: The Essentials + API Frameworks Express KOA Sails</t>
  </si>
  <si>
    <t xml:space="preserve">https://www.udemy.com/nodejs-up-and-running/</t>
  </si>
  <si>
    <t xml:space="preserve">Become a Bootstrap Expert: Build 20 Layouts!</t>
  </si>
  <si>
    <t xml:space="preserve">https://www.udemy.com/become-a-bootstrap-expert-build-20-layouts/</t>
  </si>
  <si>
    <t xml:space="preserve">Simple Javascript: Learn by Doing, Beginners Welcome!</t>
  </si>
  <si>
    <t xml:space="preserve">https://www.udemy.com/simple-javascript-learn-by-doing/</t>
  </si>
  <si>
    <t xml:space="preserve">Learn PHP Programming for Absolute Beginners - Lite</t>
  </si>
  <si>
    <t xml:space="preserve">https://www.udemy.com/learn-php-programming-for-absolute-beginners-lite/</t>
  </si>
  <si>
    <t xml:space="preserve">Building An E-Commerce Store Using Java Spring Framework</t>
  </si>
  <si>
    <t xml:space="preserve">https://www.udemy.com/building-an-e-commerce-store-using-java-spring-framework/</t>
  </si>
  <si>
    <t xml:space="preserve">Learn To Program JavaScript (in ten easy steps)</t>
  </si>
  <si>
    <t xml:space="preserve">https://www.udemy.com/learn-to-program-javascript-in-ten-easy-steps/</t>
  </si>
  <si>
    <t xml:space="preserve">BDD with Ruby on Rails using RSpec 3 and Capybara</t>
  </si>
  <si>
    <t xml:space="preserve">https://www.udemy.com/rubyonrails-bdd-rspec-capybara/</t>
  </si>
  <si>
    <t xml:space="preserve">Social Network Web Development</t>
  </si>
  <si>
    <t xml:space="preserve">https://www.udemy.com/how-to-create-a-social-network-site-from-scratch/</t>
  </si>
  <si>
    <t xml:space="preserve">HTML &amp; CSS From Scratch in 30 Days</t>
  </si>
  <si>
    <t xml:space="preserve">https://www.udemy.com/html5-css3-responsive/</t>
  </si>
  <si>
    <t xml:space="preserve">Beginner Full Stack Web Development: HTML, CSS, React &amp; Node</t>
  </si>
  <si>
    <t xml:space="preserve">https://www.udemy.com/ultimate-web/</t>
  </si>
  <si>
    <t xml:space="preserve">Build Your Own Backend REST API using Django REST Framework</t>
  </si>
  <si>
    <t xml:space="preserve">https://www.udemy.com/django-python/</t>
  </si>
  <si>
    <t xml:space="preserve">ASP.NET Web API 2 Hands-On</t>
  </si>
  <si>
    <t xml:space="preserve">https://www.udemy.com/aspnet-web-api-2-hands-on/</t>
  </si>
  <si>
    <t xml:space="preserve">JavaScript Complete for beginners with real world Apps</t>
  </si>
  <si>
    <t xml:space="preserve">https://www.udemy.com/javascript-complete-and-comprehensive/</t>
  </si>
  <si>
    <t xml:space="preserve">WordPress Plugin Development -&gt; Deep dive discovery!</t>
  </si>
  <si>
    <t xml:space="preserve">https://www.udemy.com/wordpress-plugin/</t>
  </si>
  <si>
    <t xml:space="preserve">The Complete Web Developer Course - Build 20 Websites</t>
  </si>
  <si>
    <t xml:space="preserve">https://www.udemy.com/the-complete-web-developer-course-build-20-websites/</t>
  </si>
  <si>
    <t xml:space="preserve">Optimizing Wordpress for More Speed and Revenue</t>
  </si>
  <si>
    <t xml:space="preserve">https://www.udemy.com/optimizing-wordpress-for-more-speed-and-revenue/</t>
  </si>
  <si>
    <t xml:space="preserve">Bootstrap Essential Training - Create Your Very Own Website</t>
  </si>
  <si>
    <t xml:space="preserve">https://www.udemy.com/ultimate-bootstrap-basics-course-with-2-projects/</t>
  </si>
  <si>
    <t xml:space="preserve">Master ExpressJS to Build Web Apps with NodeJS&amp;JavaScript</t>
  </si>
  <si>
    <t xml:space="preserve">https://www.udemy.com/expressjs/</t>
  </si>
  <si>
    <t xml:space="preserve">Bootstrap 4 Theme Development Masterclass</t>
  </si>
  <si>
    <t xml:space="preserve">https://www.udemy.com/bootstrap-theme-development-masterclass/</t>
  </si>
  <si>
    <t xml:space="preserve">Ultimate CSS3 Course - From Beginners To Professional</t>
  </si>
  <si>
    <t xml:space="preserve">https://www.udemy.com/ultimate-css3-course/</t>
  </si>
  <si>
    <t xml:space="preserve">PHP for Beginners</t>
  </si>
  <si>
    <t xml:space="preserve">https://www.udemy.com/learn-php-via-examples-and-mini-tasks/</t>
  </si>
  <si>
    <t xml:space="preserve">PHP Login and Registration System - Email Confirm Activation</t>
  </si>
  <si>
    <t xml:space="preserve">https://www.udemy.com/php-mysql-login-and-registration-system-with-email-confirm-activation/</t>
  </si>
  <si>
    <t xml:space="preserve">Electron for Desktop Apps: The Complete Developer's Guide</t>
  </si>
  <si>
    <t xml:space="preserve">https://www.udemy.com/electron-react-tutorial/</t>
  </si>
  <si>
    <t xml:space="preserve">Web Development Tools the Pros Use: Code Productivity Hacks</t>
  </si>
  <si>
    <t xml:space="preserve">https://www.udemy.com/web-development-tools/</t>
  </si>
  <si>
    <t xml:space="preserve">Spring Boot Tutorial For Beginners</t>
  </si>
  <si>
    <t xml:space="preserve">https://www.udemy.com/spring-boot-tutorial-for-beginners/</t>
  </si>
  <si>
    <t xml:space="preserve">ChatBots: Messenger ChatBot with API.AI and Node.JS</t>
  </si>
  <si>
    <t xml:space="preserve">https://www.udemy.com/chatbots/</t>
  </si>
  <si>
    <t xml:space="preserve">Hosting Django: Amazon Web Services (AWS) Fundamentals</t>
  </si>
  <si>
    <t xml:space="preserve">https://www.udemy.com/django-tutorial-amazon-web-services/</t>
  </si>
  <si>
    <t xml:space="preserve">Learn JavaScript From Scratch:Become Top Rated Web Developer</t>
  </si>
  <si>
    <t xml:space="preserve">https://www.udemy.com/learnjsandbecometopratedwebdeveloper/</t>
  </si>
  <si>
    <t xml:space="preserve">Advanced Node.js Development</t>
  </si>
  <si>
    <t xml:space="preserve">https://www.udemy.com/refactoru-adv-nodejs/</t>
  </si>
  <si>
    <t xml:space="preserve">Learn JavaScript Dynamic Interactive Projects for Beginners</t>
  </si>
  <si>
    <t xml:space="preserve">https://www.udemy.com/learn-javascript-dynamic-interactive-projects-for-beginners/</t>
  </si>
  <si>
    <t xml:space="preserve">Learn jQuery AJAX in 1 hour</t>
  </si>
  <si>
    <t xml:space="preserve">https://www.udemy.com/jquery-ajax-course/</t>
  </si>
  <si>
    <t xml:space="preserve">Intro to Git</t>
  </si>
  <si>
    <t xml:space="preserve">https://www.udemy.com/intro-to-git/</t>
  </si>
  <si>
    <t xml:space="preserve">Learn to Create Advance Responsive Websites With Bootstrap</t>
  </si>
  <si>
    <t xml:space="preserve">https://www.udemy.com/responsive-website-with-bootstrap/</t>
  </si>
  <si>
    <t xml:space="preserve">Ruby On Rails For Web Development</t>
  </si>
  <si>
    <t xml:space="preserve">https://www.udemy.com/ruby-on-rails-for-web-development/</t>
  </si>
  <si>
    <t xml:space="preserve">Creating a Responsive HTML Email</t>
  </si>
  <si>
    <t xml:space="preserve">https://www.udemy.com/creating-responsive-html-email/</t>
  </si>
  <si>
    <t xml:space="preserve">PHP Tutorial: Learn PHP Basic Programming for Beginners</t>
  </si>
  <si>
    <t xml:space="preserve">https://www.udemy.com/php-tutorial-beginners/</t>
  </si>
  <si>
    <t xml:space="preserve">Core: A Web App Reference Guide for Django, Python, and More</t>
  </si>
  <si>
    <t xml:space="preserve">https://www.udemy.com/coding-for-entrepreneurs-core/</t>
  </si>
  <si>
    <t xml:space="preserve">AngularJS For .Net Developers From Scratch</t>
  </si>
  <si>
    <t xml:space="preserve">https://www.udemy.com/angularjs-for-dotnet-developers-from-scratch/</t>
  </si>
  <si>
    <t xml:space="preserve">HTML &amp; CSS for beginners: Build 3 projects from scratch</t>
  </si>
  <si>
    <t xml:space="preserve">https://www.udemy.com/learn-html-css-by-building-3-real-projects/</t>
  </si>
  <si>
    <t xml:space="preserve">HTML Forms For Beginners: A Basic Introduction</t>
  </si>
  <si>
    <t xml:space="preserve">https://www.udemy.com/html-forms-for-beginners-a-basic-introduction/</t>
  </si>
  <si>
    <t xml:space="preserve">Learn Rails Programming in Less than 2 Hours</t>
  </si>
  <si>
    <t xml:space="preserve">https://www.udemy.com/learn-rails-programming-in-less-than-2-hours/</t>
  </si>
  <si>
    <t xml:space="preserve">Create a Simple Photo Gallery with Dropzonejs, Slick and PHP</t>
  </si>
  <si>
    <t xml:space="preserve">https://www.udemy.com/create-a-simple-photo-gallery-with-dropzonejs-slick-and-php/</t>
  </si>
  <si>
    <t xml:space="preserve">Learning CSS3 - A Comprehensive Tutorial For Web Developers</t>
  </si>
  <si>
    <t xml:space="preserve">https://www.udemy.com/learning-css3/</t>
  </si>
  <si>
    <t xml:space="preserve">https://www.udemy.com/how-to-wordpress/</t>
  </si>
  <si>
    <t xml:space="preserve">The Complete HMTL5 Course - Go From Beginner To Advanced!</t>
  </si>
  <si>
    <t xml:space="preserve">https://www.udemy.com/complete-hmtl5-course/</t>
  </si>
  <si>
    <t xml:space="preserve">Build your own Beautiful Blog in WordPress + SEO</t>
  </si>
  <si>
    <t xml:space="preserve">https://www.udemy.com/learn-to-create-an-amazing-wordpress-blog-start-to-finish/</t>
  </si>
  <si>
    <t xml:space="preserve">Javascript Intermediate level 2 - Mastering Functions</t>
  </si>
  <si>
    <t xml:space="preserve">https://www.udemy.com/javascript-intermediate-mastering-functions/</t>
  </si>
  <si>
    <t xml:space="preserve">The Pro Ruby on Rails Starter</t>
  </si>
  <si>
    <t xml:space="preserve">https://www.udemy.com/pro-rubyonrails-starter/</t>
  </si>
  <si>
    <t xml:space="preserve">Laravel 4 try and enjoy php coding</t>
  </si>
  <si>
    <t xml:space="preserve">https://www.udemy.com/laravel-4-try-and-enjoy-php-coding/</t>
  </si>
  <si>
    <t xml:space="preserve">HTML Tutorials : HTML Code for Website Creating</t>
  </si>
  <si>
    <t xml:space="preserve">https://www.udemy.com/html-code-for-website/</t>
  </si>
  <si>
    <t xml:space="preserve">The Ultimate Beginner's Guide to Django</t>
  </si>
  <si>
    <t xml:space="preserve">https://www.udemy.com/the-ultimate-beginners-guide-to-django-python-web-dev-website/</t>
  </si>
  <si>
    <t xml:space="preserve">Practical Web Development: Make Websites Quickly And Easily</t>
  </si>
  <si>
    <t xml:space="preserve">https://www.udemy.com/make-beautiful-websites-in-a-few-hours/</t>
  </si>
  <si>
    <t xml:space="preserve">Twitter Bootstrap 2 for Beginners</t>
  </si>
  <si>
    <t xml:space="preserve">https://www.udemy.com/twitter-bootstrap/</t>
  </si>
  <si>
    <t xml:space="preserve">WordPress LMS: E-Learning Website Made Easy</t>
  </si>
  <si>
    <t xml:space="preserve">https://www.udemy.com/wordpress-learning-management-system-create-a-learning-site/</t>
  </si>
  <si>
    <t xml:space="preserve">WordPress Look and Feel with Themes</t>
  </si>
  <si>
    <t xml:space="preserve">https://www.udemy.com/learn-wordpress-customize-look-and-feel-with-themes/</t>
  </si>
  <si>
    <t xml:space="preserve">WordPress Domination #2: Leads &amp; Scarcity</t>
  </si>
  <si>
    <t xml:space="preserve">https://www.udemy.com/wordpress-domination-2-leads-and-scarcity/</t>
  </si>
  <si>
    <t xml:space="preserve">Learn HTML5 Canvas for beginners</t>
  </si>
  <si>
    <t xml:space="preserve">https://www.udemy.com/learn-html5-canvas-for-beginners/</t>
  </si>
  <si>
    <t xml:space="preserve">Kids Coding -Introduction to HTML, CSS and JavaScript</t>
  </si>
  <si>
    <t xml:space="preserve">https://www.udemy.com/kids-coding-introduction-to-html-css-and-javascript/</t>
  </si>
  <si>
    <t xml:space="preserve">HTML5 and CSS3 : Landing Pages for Entrepreneurs 2016</t>
  </si>
  <si>
    <t xml:space="preserve">https://www.udemy.com/landing-pages-for-entrepreneurs/</t>
  </si>
  <si>
    <t xml:space="preserve">Learn to code, Become a Web Developer and Master JavaScript!</t>
  </si>
  <si>
    <t xml:space="preserve">https://www.udemy.com/master-javascript-today/</t>
  </si>
  <si>
    <t xml:space="preserve">Bootstrap 3 Introduction : Create RESPONSIVE Websites Fast</t>
  </si>
  <si>
    <t xml:space="preserve">https://www.udemy.com/bootstrap-3-introduction-make-responsive-websites-fast/</t>
  </si>
  <si>
    <t xml:space="preserve">Wordpress for Non-Technical People</t>
  </si>
  <si>
    <t xml:space="preserve">https://www.udemy.com/wordpress-for-non-technical-people/</t>
  </si>
  <si>
    <t xml:space="preserve">Create eye-catching WordPress website from scratch</t>
  </si>
  <si>
    <t xml:space="preserve">https://www.udemy.com/create-eye-catching-wordpress-website-from-scratch/</t>
  </si>
  <si>
    <t xml:space="preserve">Install a Wordpress Theme the Correct Way &amp; Charge Others</t>
  </si>
  <si>
    <t xml:space="preserve">https://www.udemy.com/how-to-install-a-wordpress-theme-the-right-way/</t>
  </si>
  <si>
    <t xml:space="preserve">A Very Complete Introduction To Laravel</t>
  </si>
  <si>
    <t xml:space="preserve">https://www.udemy.com/laravel-4-beginners/</t>
  </si>
  <si>
    <t xml:space="preserve">PHP MySQL: Learn PHP MySQL with Project</t>
  </si>
  <si>
    <t xml:space="preserve">https://www.udemy.com/php-mysql-project-learning/</t>
  </si>
  <si>
    <t xml:space="preserve">Wordpress Tutorial</t>
  </si>
  <si>
    <t xml:space="preserve">https://www.udemy.com/responsive-design/</t>
  </si>
  <si>
    <t xml:space="preserve">Redirect Your Visitors By Country Easily -Wordpress Tutorial</t>
  </si>
  <si>
    <t xml:space="preserve">https://www.udemy.com/redirect-your-visitors-by-country-easily-wordpress-tutorial/</t>
  </si>
  <si>
    <t xml:space="preserve">Build Websites And Apps By Outsourcing</t>
  </si>
  <si>
    <t xml:space="preserve">https://www.udemy.com/outsourcing-development-work/</t>
  </si>
  <si>
    <t xml:space="preserve">Bootstrap 4.0 New Features: Build Responsive Website</t>
  </si>
  <si>
    <t xml:space="preserve">https://www.udemy.com/bootstrap4-new-features/</t>
  </si>
  <si>
    <t xml:space="preserve">Build a Photo Blog with Ruby on Rails</t>
  </si>
  <si>
    <t xml:space="preserve">https://www.udemy.com/build-a-photo-blog-with-ruby-on-rails/</t>
  </si>
  <si>
    <t xml:space="preserve">React JS, Angular &amp; Vue JS - Quickstart &amp; Comparison</t>
  </si>
  <si>
    <t xml:space="preserve">https://www.udemy.com/angular-reactjs-vuejs-quickstart-comparison/</t>
  </si>
  <si>
    <t xml:space="preserve">Learn To Create WordPress Themes By Building 10 Projects</t>
  </si>
  <si>
    <t xml:space="preserve">https://www.udemy.com/learn-to-create-wordpress-themes-by-building-10-projects/</t>
  </si>
  <si>
    <t xml:space="preserve">WordPress Security - The Ultimate Security Guide</t>
  </si>
  <si>
    <t xml:space="preserve">https://www.udemy.com/wordpress-the-ultimate-security-guide/</t>
  </si>
  <si>
    <t xml:space="preserve">The Build a SAAS App with Flask Course</t>
  </si>
  <si>
    <t xml:space="preserve">https://www.udemy.com/the-build-a-saas-app-with-flask-course/</t>
  </si>
  <si>
    <t xml:space="preserve">The Web Developers Guide: Learn HTML &amp; CSS Fundamentals</t>
  </si>
  <si>
    <t xml:space="preserve">https://www.udemy.com/become-a-professional-html-and-css-web-developer/</t>
  </si>
  <si>
    <t xml:space="preserve">Create a PHP Contact Form in Bootstrap</t>
  </si>
  <si>
    <t xml:space="preserve">https://www.udemy.com/bootstrap-php-contact-form/</t>
  </si>
  <si>
    <t xml:space="preserve">Build Incredible Chatbots</t>
  </si>
  <si>
    <t xml:space="preserve">https://www.udemy.com/build-incredible-chatbots/</t>
  </si>
  <si>
    <t xml:space="preserve">Better way towards CSS using Less and Sass</t>
  </si>
  <si>
    <t xml:space="preserve">https://www.udemy.com/better-way-towards-css-using-less-and-sass/</t>
  </si>
  <si>
    <t xml:space="preserve">WordPress for Beginners 2017 + Google AdSense Implementation</t>
  </si>
  <si>
    <t xml:space="preserve">https://www.udemy.com/wordpress-tutorial-for-beginners-and-google-adsense-implementation/</t>
  </si>
  <si>
    <t xml:space="preserve">JavaScript programming: JavaScript for beginners</t>
  </si>
  <si>
    <t xml:space="preserve">https://www.udemy.com/learn-javascript-online/</t>
  </si>
  <si>
    <t xml:space="preserve">How To Make A Web Page With No Code</t>
  </si>
  <si>
    <t xml:space="preserve">https://www.udemy.com/how-to-make-a-web-page-with-no-code/</t>
  </si>
  <si>
    <t xml:space="preserve">Complete RESPONSIVE Website Design with HTML5 &amp; CSS3</t>
  </si>
  <si>
    <t xml:space="preserve">https://www.udemy.com/website_design/</t>
  </si>
  <si>
    <t xml:space="preserve">Advanced Prezi: Make Amazing Presentations</t>
  </si>
  <si>
    <t xml:space="preserve">https://www.udemy.com/prezi-advanced/</t>
  </si>
  <si>
    <t xml:space="preserve">Create a Website Similar to Facebook from Scratch!</t>
  </si>
  <si>
    <t xml:space="preserve">https://www.udemy.com/clone-facebook/</t>
  </si>
  <si>
    <t xml:space="preserve">Canvas image Creator HTML5 JavaScript project from Scratch</t>
  </si>
  <si>
    <t xml:space="preserve">https://www.udemy.com/canvas-image-maker-html5-javascript-project-from-scratch/</t>
  </si>
  <si>
    <t xml:space="preserve">Learn OAuth 2.0 - Get started as an API Security Expert</t>
  </si>
  <si>
    <t xml:space="preserve">https://www.udemy.com/learn-oauth-2/</t>
  </si>
  <si>
    <t xml:space="preserve">Step by Step Build Your Template by Bootstrap 4 from scratch</t>
  </si>
  <si>
    <t xml:space="preserve">https://www.udemy.com/bootstrap-v4/</t>
  </si>
  <si>
    <t xml:space="preserve">Build Modern Websites Super Fast</t>
  </si>
  <si>
    <t xml:space="preserve">https://www.udemy.com/build-modern-websites-in-1-hour/</t>
  </si>
  <si>
    <t xml:space="preserve">WordPress 2016 for Beginners : Build awesome websites!</t>
  </si>
  <si>
    <t xml:space="preserve">https://www.udemy.com/build-your-own-wordpress-website-in-less-than-90-minutes/</t>
  </si>
  <si>
    <t xml:space="preserve">Build an Amazon clone: Nodejs + MongoDB + Stripe Payment</t>
  </si>
  <si>
    <t xml:space="preserve">https://www.udemy.com/build-an-amazon-clone-nodejs-stripe-elasticsearch/</t>
  </si>
  <si>
    <t xml:space="preserve">Byte-Sized-Chunks: Cascading Style Sheets (CSS) with HTML</t>
  </si>
  <si>
    <t xml:space="preserve">https://www.udemy.com/css-with-html/</t>
  </si>
  <si>
    <t xml:space="preserve">CoffeeScript: The Good Partsâ€”Write Better javaScript</t>
  </si>
  <si>
    <t xml:space="preserve">https://www.udemy.com/coffeescript/</t>
  </si>
  <si>
    <t xml:space="preserve">AWS Serverless APIs &amp; Apps - A Complete Introduction</t>
  </si>
  <si>
    <t xml:space="preserve">https://www.udemy.com/aws-serverless-a-complete-introduction/</t>
  </si>
  <si>
    <t xml:space="preserve">Modern Web Development with Laravel 5.2 (PHP Framework)</t>
  </si>
  <si>
    <t xml:space="preserve">https://www.udemy.com/modern-web-development-with-laravel/</t>
  </si>
  <si>
    <t xml:space="preserve">The WpFASTER WordPress Speed Optimization Master Course</t>
  </si>
  <si>
    <t xml:space="preserve">https://www.udemy.com/make-your-wordpress-sites-fastest-in-world/</t>
  </si>
  <si>
    <t xml:space="preserve">Sublime Text for Rapid Web Development</t>
  </si>
  <si>
    <t xml:space="preserve">https://www.udemy.com/sublime-text-for-rapid-web-development/</t>
  </si>
  <si>
    <t xml:space="preserve">Reactive JS: Are you ready for the next big paradigm shift?</t>
  </si>
  <si>
    <t xml:space="preserve">https://www.udemy.com/reactive-js-getting-ready-for-the-next-big-paradigm-shift/</t>
  </si>
  <si>
    <t xml:space="preserve">Complete Web Development with HTML, CSS and Javascript</t>
  </si>
  <si>
    <t xml:space="preserve">https://www.udemy.com/complete-web-development-with-html-css-and-javascript/</t>
  </si>
  <si>
    <t xml:space="preserve">Jekyll: make fast, secure static sites and blogs with Jekyll</t>
  </si>
  <si>
    <t xml:space="preserve">https://www.udemy.com/static-website-generator-fast-secure-sites-blogs-with-jekyll/</t>
  </si>
  <si>
    <t xml:space="preserve">JavaScript for beginners in 1 hour</t>
  </si>
  <si>
    <t xml:space="preserve">https://www.udemy.com/learn-javascript-in-1-hour-and-create-a-game-in-javascript/</t>
  </si>
  <si>
    <t xml:space="preserve">Unit Testing AngularJS: Build Bugfree Apps That Always Work!</t>
  </si>
  <si>
    <t xml:space="preserve">https://www.udemy.com/unit-testing-angularjs/</t>
  </si>
  <si>
    <t xml:space="preserve">Become a Rockstar Web Developer - Learn By Coding</t>
  </si>
  <si>
    <t xml:space="preserve">https://www.udemy.com/become-rockstar-php-developer/</t>
  </si>
  <si>
    <t xml:space="preserve">WordPress Blog : Create a WordPress Website for Beginners</t>
  </si>
  <si>
    <t xml:space="preserve">https://www.udemy.com/wordpress-website-for-beginners/</t>
  </si>
  <si>
    <t xml:space="preserve">JavaScript Tutorial: Learn JavaScript Code for Beginners</t>
  </si>
  <si>
    <t xml:space="preserve">https://www.udemy.com/javascript-tutorial-for-beginners/</t>
  </si>
  <si>
    <t xml:space="preserve">PSD to HTML5/CSS3 using Twitter Bootstrap 3!</t>
  </si>
  <si>
    <t xml:space="preserve">https://www.udemy.com/psd-to-html5css3-using-twitter-bootstrap-3/</t>
  </si>
  <si>
    <t xml:space="preserve">Javascript for beginners</t>
  </si>
  <si>
    <t xml:space="preserve">https://www.udemy.com/java-script-quick-beginner-introduction/</t>
  </si>
  <si>
    <t xml:space="preserve">Develop Competitive Plugins for WordPress and WooCommerce</t>
  </si>
  <si>
    <t xml:space="preserve">https://www.udemy.com/develop-competitive-plugins-for-wordpress-and-woocommerce/</t>
  </si>
  <si>
    <t xml:space="preserve">JSON :basics for beginners</t>
  </si>
  <si>
    <t xml:space="preserve">https://www.udemy.com/learn-json/</t>
  </si>
  <si>
    <t xml:space="preserve">The CSS and CSS3 Crash Course</t>
  </si>
  <si>
    <t xml:space="preserve">https://www.udemy.com/the-css-and-css3-crash-course/</t>
  </si>
  <si>
    <t xml:space="preserve">Twitter Integration customize Tweets with developer API</t>
  </si>
  <si>
    <t xml:space="preserve">https://www.udemy.com/twitter-integration-customize-tweets-with-developer-api/</t>
  </si>
  <si>
    <t xml:space="preserve">Practical Guide to Web Development</t>
  </si>
  <si>
    <t xml:space="preserve">https://www.udemy.com/designers-guide-to-web-development/</t>
  </si>
  <si>
    <t xml:space="preserve">Learn Wordpress 4 from Scratch : Create Awesome Websites</t>
  </si>
  <si>
    <t xml:space="preserve">https://www.udemy.com/learn-wordpress-from-scratch-and-create-websites/</t>
  </si>
  <si>
    <t xml:space="preserve">Learn Drupal 8 - With a Live Project</t>
  </si>
  <si>
    <t xml:space="preserve">https://www.udemy.com/learn-drupal-8-with-a-live-project/</t>
  </si>
  <si>
    <t xml:space="preserve">HTML 5 and CSS 3 - tricks and workarounds</t>
  </si>
  <si>
    <t xml:space="preserve">https://www.udemy.com/html5-css3-tricks-and-workarounds/</t>
  </si>
  <si>
    <t xml:space="preserve">Mastering the Google Chrome Developer Tools</t>
  </si>
  <si>
    <t xml:space="preserve">https://www.udemy.com/mastering-chrome-developer-tools/</t>
  </si>
  <si>
    <t xml:space="preserve">Build An Online Bank With Java, Angular 2, Spring and More</t>
  </si>
  <si>
    <t xml:space="preserve">https://www.udemy.com/build-an-online-bank-with-java-angular-2-spring-and-more/</t>
  </si>
  <si>
    <t xml:space="preserve">React: Learn ReactJS Fundamentals for Front-End Developers</t>
  </si>
  <si>
    <t xml:space="preserve">https://www.udemy.com/react-fundamentals-frontend-developers/</t>
  </si>
  <si>
    <t xml:space="preserve">Regular Expressions for Beginners - Universal</t>
  </si>
  <si>
    <t xml:space="preserve">https://www.udemy.com/regular-expressions-for-beginners-universal/</t>
  </si>
  <si>
    <t xml:space="preserve">Angular 2 + Rails 5 Bootcamp</t>
  </si>
  <si>
    <t xml:space="preserve">https://www.udemy.com/angular-on-rails-course/</t>
  </si>
  <si>
    <t xml:space="preserve">Angular and Firebase - Build a Web App with Typescript</t>
  </si>
  <si>
    <t xml:space="preserve">https://www.udemy.com/angular-firebase-application/</t>
  </si>
  <si>
    <t xml:space="preserve">Coding Made Easy: A Beginners Guide To JavaScript</t>
  </si>
  <si>
    <t xml:space="preserve">https://www.udemy.com/coding-made-easy-a-beginners-guide-to-javascript/</t>
  </si>
  <si>
    <t xml:space="preserve">Projects in ExpressJS - Learn ExpressJs building 10 projects</t>
  </si>
  <si>
    <t xml:space="preserve">https://www.udemy.com/projects-in-expressjs-learn-expressjs-building-10-projects/</t>
  </si>
  <si>
    <t xml:space="preserve">Learn ReactJS: Code Like A Facebook Developer</t>
  </si>
  <si>
    <t xml:space="preserve">https://www.udemy.com/learn-react-js/</t>
  </si>
  <si>
    <t xml:space="preserve">XML For Absolute Beginners: Learn to create your own tags</t>
  </si>
  <si>
    <t xml:space="preserve">https://www.udemy.com/xml-for-absolute-beginners-learn-to-create-your-own-tags/</t>
  </si>
  <si>
    <t xml:space="preserve">Drupal 8 Site Building</t>
  </si>
  <si>
    <t xml:space="preserve">https://www.udemy.com/drupal-8-site-building/</t>
  </si>
  <si>
    <t xml:space="preserve">All You Need To Know About AngularJS - Training On AngularJS</t>
  </si>
  <si>
    <t xml:space="preserve">https://www.udemy.com/angularjs/</t>
  </si>
  <si>
    <t xml:space="preserve">How to become an App Developer</t>
  </si>
  <si>
    <t xml:space="preserve">https://www.udemy.com/how-to-become-an-app-developer/</t>
  </si>
  <si>
    <t xml:space="preserve">Learn to build 20 websites and build 14 iOS9 apps with swift</t>
  </si>
  <si>
    <t xml:space="preserve">https://www.udemy.com/learn-to-build-20-websites-and-build-14-ios9-apps-with-swift/</t>
  </si>
  <si>
    <t xml:space="preserve">Master Regular Expressions from scratch - All languages</t>
  </si>
  <si>
    <t xml:space="preserve">https://www.udemy.com/master-regular-expressions-from-scratch/</t>
  </si>
  <si>
    <t xml:space="preserve">Learn PHP from scratch!!</t>
  </si>
  <si>
    <t xml:space="preserve">https://www.udemy.com/learn-php-from-scratch-by-niveditajain/</t>
  </si>
  <si>
    <t xml:space="preserve">RESTful API with Laravel</t>
  </si>
  <si>
    <t xml:space="preserve">https://www.udemy.com/laravel-5-php-framework-agile-and-practical-php-restful-api/</t>
  </si>
  <si>
    <t xml:space="preserve">Build an HTML5 and CSS3 Website in 35 Minutes</t>
  </si>
  <si>
    <t xml:space="preserve">https://www.udemy.com/build-an-html5-and-css3-website-in-35-minutes/</t>
  </si>
  <si>
    <t xml:space="preserve">Master Electron: Desktop Apps using HTML, JavaScript &amp; CSS</t>
  </si>
  <si>
    <t xml:space="preserve">https://www.udemy.com/master-electron/</t>
  </si>
  <si>
    <t xml:space="preserve">Build Sign Up and Login Forms With Bootstrap Modal</t>
  </si>
  <si>
    <t xml:space="preserve">https://www.udemy.com/build-sign-up-and-login-forms-with-bootstrap-modal/</t>
  </si>
  <si>
    <t xml:space="preserve">Wordpress Site Migration</t>
  </si>
  <si>
    <t xml:space="preserve">https://www.udemy.com/wordpress-site-migration-tutorial/</t>
  </si>
  <si>
    <t xml:space="preserve">PHP Security</t>
  </si>
  <si>
    <t xml:space="preserve">https://www.udemy.com/php-security/</t>
  </si>
  <si>
    <t xml:space="preserve">CSSCasts; CSS libraries Plugins Tips &amp; Tricks for Developers</t>
  </si>
  <si>
    <t xml:space="preserve">https://www.udemy.com/csscasts-css-libraries-plugins-tips-tricks-for-developers/</t>
  </si>
  <si>
    <t xml:space="preserve">WordPress Academy: Learn WordPress step by step</t>
  </si>
  <si>
    <t xml:space="preserve">https://www.udemy.com/wordpress-academy-course/</t>
  </si>
  <si>
    <t xml:space="preserve">Modern JavaScript: Building Real-World, Real-Time Apps</t>
  </si>
  <si>
    <t xml:space="preserve">https://www.udemy.com/real-world-real-time-modern-javascript/</t>
  </si>
  <si>
    <t xml:space="preserve">Ruby on Rails 5 - BDD, RSpec and Capybara</t>
  </si>
  <si>
    <t xml:space="preserve">https://www.udemy.com/ruby-rails-5-bdd-rspec-capybara/</t>
  </si>
  <si>
    <t xml:space="preserve">Web Hosting Fundamentals</t>
  </si>
  <si>
    <t xml:space="preserve">https://www.udemy.com/web-hosting-fundamentals/</t>
  </si>
  <si>
    <t xml:space="preserve">Amazon Alexa Development: From Beginner to Intermediate</t>
  </si>
  <si>
    <t xml:space="preserve">https://www.udemy.com/amazon-alexa-development-from-beginner-to-intermediate/</t>
  </si>
  <si>
    <t xml:space="preserve">How to Create a Social Network For a Niche-Related Community</t>
  </si>
  <si>
    <t xml:space="preserve">https://www.udemy.com/how-to-create-a-social-network/</t>
  </si>
  <si>
    <t xml:space="preserve">Learn Rails: Quickly Code, Style and Launch 4 Web Apps</t>
  </si>
  <si>
    <t xml:space="preserve">https://www.udemy.com/learn-rails/</t>
  </si>
  <si>
    <t xml:space="preserve">Learn SASS and improve your CSS</t>
  </si>
  <si>
    <t xml:space="preserve">https://www.udemy.com/write-clean-css-using-sass/</t>
  </si>
  <si>
    <t xml:space="preserve">The Complete JavaScript Bootcamp</t>
  </si>
  <si>
    <t xml:space="preserve">https://www.udemy.com/the-complete-javascript-bootcamp/</t>
  </si>
  <si>
    <t xml:space="preserve">Javascript Intermediate level 1 - Mastering the DOM</t>
  </si>
  <si>
    <t xml:space="preserve">https://www.udemy.com/javascript-intermediate-mastering-the-dom/</t>
  </si>
  <si>
    <t xml:space="preserve">create a search engine for your website!</t>
  </si>
  <si>
    <t xml:space="preserve">https://www.udemy.com/create-a-simple-php-mysql-search-engine/</t>
  </si>
  <si>
    <t xml:space="preserve">Server API Development in Swift, Kitura, &amp; Bluemix</t>
  </si>
  <si>
    <t xml:space="preserve">https://www.udemy.com/swift-kitura/</t>
  </si>
  <si>
    <t xml:space="preserve">PHP For Beginners : Learn PHP From Scratch!</t>
  </si>
  <si>
    <t xml:space="preserve">https://www.udemy.com/php-fundamentals-course/</t>
  </si>
  <si>
    <t xml:space="preserve">Learn how to use Javascript Components with PHP and Symfony</t>
  </si>
  <si>
    <t xml:space="preserve">https://www.udemy.com/learn-how-to-use-javascript-components-with-php-and-symfony/</t>
  </si>
  <si>
    <t xml:space="preserve">Mastering CSS</t>
  </si>
  <si>
    <t xml:space="preserve">https://www.udemy.com/mastering-css/</t>
  </si>
  <si>
    <t xml:space="preserve">JQuery DOM and Ajax Concept Explained for Beginners</t>
  </si>
  <si>
    <t xml:space="preserve">https://www.udemy.com/jquery-dom-and-ajax-concept-explained-for-beginners/</t>
  </si>
  <si>
    <t xml:space="preserve">Amazon s3 Mastery - THE How-To' Guides For Amazon S3</t>
  </si>
  <si>
    <t xml:space="preserve">https://www.udemy.com/amazon-s3-mastery/</t>
  </si>
  <si>
    <t xml:space="preserve">Angular 4 Development Decoded</t>
  </si>
  <si>
    <t xml:space="preserve">https://www.udemy.com/marutiangular4/</t>
  </si>
  <si>
    <t xml:space="preserve">How To Build A Facebook Messenger Chat Bot From Scratch</t>
  </si>
  <si>
    <t xml:space="preserve">https://www.udemy.com/how-to-build-a-facebook-messenger-chat-bot-from-scratch/</t>
  </si>
  <si>
    <t xml:space="preserve">WordPress : An Overview</t>
  </si>
  <si>
    <t xml:space="preserve">https://www.udemy.com/what-is-wordpress/</t>
  </si>
  <si>
    <t xml:space="preserve">Getting Started with LESS - Beginner Crash Course</t>
  </si>
  <si>
    <t xml:space="preserve">https://www.udemy.com/getting-started-with-less-beginner-crash-course/</t>
  </si>
  <si>
    <t xml:space="preserve">Self Advertise Using PowerPoint Twitter and Facebook on ios</t>
  </si>
  <si>
    <t xml:space="preserve">https://www.udemy.com/the-basic-roadmap-to-power-point-advertising-for-mac/</t>
  </si>
  <si>
    <t xml:space="preserve">Introduction to Node.js Development</t>
  </si>
  <si>
    <t xml:space="preserve">https://www.udemy.com/refactoru-intro-nodejs/</t>
  </si>
  <si>
    <t xml:space="preserve">HTML and CSS BootCamp for Beginners</t>
  </si>
  <si>
    <t xml:space="preserve">https://www.udemy.com/html-and-css-bootcamp-for-beginners/</t>
  </si>
  <si>
    <t xml:space="preserve">Wordpress - Create an Outstanding Website in 2 hours</t>
  </si>
  <si>
    <t xml:space="preserve">https://www.udemy.com/wordpress-business-website/</t>
  </si>
  <si>
    <t xml:space="preserve">jQuery for Absolute Beginners - Lite</t>
  </si>
  <si>
    <t xml:space="preserve">https://www.udemy.com/jquery-for-absolute-beginners-lite/</t>
  </si>
  <si>
    <t xml:space="preserve">Learning 200 jQuery Functions with 800 Examples</t>
  </si>
  <si>
    <t xml:space="preserve">https://www.udemy.com/jquery-foundation/</t>
  </si>
  <si>
    <t xml:space="preserve">Introduction To Data Analytics Using Microsoft Power BI</t>
  </si>
  <si>
    <t xml:space="preserve">https://www.udemy.com/data-analytics-powerbi/</t>
  </si>
  <si>
    <t xml:space="preserve">Projects in Django and Python</t>
  </si>
  <si>
    <t xml:space="preserve">https://www.udemy.com/projects-in-django-and-python/</t>
  </si>
  <si>
    <t xml:space="preserve">Google Blogger : How to Create a Blog</t>
  </si>
  <si>
    <t xml:space="preserve">https://www.udemy.com/google-blogger-how-to-create-a-blog/</t>
  </si>
  <si>
    <t xml:space="preserve">JavaScript with BackboneJS and Bootstrap CSS - Advanced</t>
  </si>
  <si>
    <t xml:space="preserve">https://www.udemy.com/advanced-javascript-with-backbonejs-and-bootstrap-css/</t>
  </si>
  <si>
    <t xml:space="preserve">Develop a Professional OnePage WordPress site With No Coding</t>
  </si>
  <si>
    <t xml:space="preserve">https://www.udemy.com/develop-a-professional-onepage-wordpress-site-with-no-coding/</t>
  </si>
  <si>
    <t xml:space="preserve">Build a complete Fiverr clone with Node + Algolia + Paypal</t>
  </si>
  <si>
    <t xml:space="preserve">https://www.udemy.com/web-developer-build-fiverr-twitter-and-mvp-with-nodejs/</t>
  </si>
  <si>
    <t xml:space="preserve">Angular 2 From The Ground Up</t>
  </si>
  <si>
    <t xml:space="preserve">https://www.udemy.com/angular-2-from-the-ground-up/</t>
  </si>
  <si>
    <t xml:space="preserve">Learn Ruby on Rails By Building Projects</t>
  </si>
  <si>
    <t xml:space="preserve">https://www.udemy.com/learn-ruby-on-rails-building-projects/</t>
  </si>
  <si>
    <t xml:space="preserve">Javascript Intermediate level 3 - JSON</t>
  </si>
  <si>
    <t xml:space="preserve">https://www.udemy.com/javascript-intermediate-json-course/</t>
  </si>
  <si>
    <t xml:space="preserve">Learn SASS: from beginner to expert</t>
  </si>
  <si>
    <t xml:space="preserve">https://www.udemy.com/learn-sass-from-beginner-to-expert/</t>
  </si>
  <si>
    <t xml:space="preserve">HTML5 and CSS for Beginner To Expert</t>
  </si>
  <si>
    <t xml:space="preserve">https://www.udemy.com/html5-and-css-for-beginner-to-expert/</t>
  </si>
  <si>
    <t xml:space="preserve">Angular 2 Jump Start With Typescript</t>
  </si>
  <si>
    <t xml:space="preserve">https://www.udemy.com/angular-2-jump-start-with-typescript/</t>
  </si>
  <si>
    <t xml:space="preserve">Learn By Example: The Foundations of HTML, CSS &amp; Javascript</t>
  </si>
  <si>
    <t xml:space="preserve">https://www.udemy.com/learn-by-example-html-css-javascript/</t>
  </si>
  <si>
    <t xml:space="preserve">Learn PHP Object Oriented Features with Simple Examples</t>
  </si>
  <si>
    <t xml:space="preserve">https://www.udemy.com/learn-php-object-oriented-features-with-simple-examples/</t>
  </si>
  <si>
    <t xml:space="preserve">ReactJS and Flux: Learn By Building 10 Projects</t>
  </si>
  <si>
    <t xml:space="preserve">https://www.udemy.com/reactjs-and-flux-learn-by-building-10-projects/</t>
  </si>
  <si>
    <t xml:space="preserve">Ultimate AngularJS: Build a Real-World App from Scratch</t>
  </si>
  <si>
    <t xml:space="preserve">https://www.udemy.com/ultimate-angularjs-course/</t>
  </si>
  <si>
    <t xml:space="preserve">Build WordPress Plugin to extend Beaver Builder</t>
  </si>
  <si>
    <t xml:space="preserve">https://www.udemy.com/build-wordpress-plugin-to-extend-beaver-builder/</t>
  </si>
  <si>
    <t xml:space="preserve">The Ultimate Vue JS 2 Developers Course</t>
  </si>
  <si>
    <t xml:space="preserve">https://www.udemy.com/vuejs-2-essentials/</t>
  </si>
  <si>
    <t xml:space="preserve">JSON For Beginners: A Very Basic Introduction</t>
  </si>
  <si>
    <t xml:space="preserve">https://www.udemy.com/json-for-beginners-a-very-basic-introduction/</t>
  </si>
  <si>
    <t xml:space="preserve">Write PHP Like a Pro: Build a PHP MVC Framework From Scratch</t>
  </si>
  <si>
    <t xml:space="preserve">https://www.udemy.com/php-mvc-from-scratch/</t>
  </si>
  <si>
    <t xml:space="preserve">Learn By Example: jQuery</t>
  </si>
  <si>
    <t xml:space="preserve">https://www.udemy.com/learn-by-example-jquery/</t>
  </si>
  <si>
    <t xml:space="preserve">WordPress for Beginners - Build Your First Website in 2017</t>
  </si>
  <si>
    <t xml:space="preserve">https://www.udemy.com/from-novice-to-ninja-the-complete-wordpress-training-course/</t>
  </si>
  <si>
    <t xml:space="preserve">WordPress Development Crash Course: From Zero To Hero</t>
  </si>
  <si>
    <t xml:space="preserve">https://www.udemy.com/wordpress-development-crash-course/</t>
  </si>
  <si>
    <t xml:space="preserve">The Complete hapiJS Course - Go From Beginner To Advanced!</t>
  </si>
  <si>
    <t xml:space="preserve">https://www.udemy.com/hapijs-course/</t>
  </si>
  <si>
    <t xml:space="preserve">Become a Full Stack Developer with Spring, AWS and Stripe</t>
  </si>
  <si>
    <t xml:space="preserve">https://www.udemy.com/become-a-full-stack-developer-with-spring-aws-and-stripe/</t>
  </si>
  <si>
    <t xml:space="preserve">Web Application Development - Learn by Building 3 Web Apps</t>
  </si>
  <si>
    <t xml:space="preserve">https://www.udemy.com/build-3-web-applications-in-90-minutes/</t>
  </si>
  <si>
    <t xml:space="preserve">Build A Web App With Spring Framework and Angular 2</t>
  </si>
  <si>
    <t xml:space="preserve">https://www.udemy.com/build-a-web-app-with-spring-boot-and-angular-2/</t>
  </si>
  <si>
    <t xml:space="preserve">HTML5 CSS3 JQUERY Single Page Website Project from Scratch</t>
  </si>
  <si>
    <t xml:space="preserve">https://www.udemy.com/html5-css3-jquery-single-page-website-project-from-scratch/</t>
  </si>
  <si>
    <t xml:space="preserve">How to set up a Web Server From Scratch to One Fully Managed</t>
  </si>
  <si>
    <t xml:space="preserve">https://www.udemy.com/how-to-setup-a-web-server/</t>
  </si>
  <si>
    <t xml:space="preserve">Create a Responsive Business Website with WordPress</t>
  </si>
  <si>
    <t xml:space="preserve">https://www.udemy.com/creating-a-business-website-with-a-responsive-design/</t>
  </si>
  <si>
    <t xml:space="preserve">Using Modern JavaScript Today</t>
  </si>
  <si>
    <t xml:space="preserve">https://www.udemy.com/using-modern-javascript/</t>
  </si>
  <si>
    <t xml:space="preserve">Wordpress for beginners :Build Websites Fast without Coding</t>
  </si>
  <si>
    <t xml:space="preserve">https://www.udemy.com/wordpress-create-websites-fast-wo-coding-and-make-money/</t>
  </si>
  <si>
    <t xml:space="preserve">Learn HTML - The programming language to build a webpage!</t>
  </si>
  <si>
    <t xml:space="preserve">https://www.udemy.com/takethefirststep/</t>
  </si>
  <si>
    <t xml:space="preserve">WordPress Plugins Treasure Chest</t>
  </si>
  <si>
    <t xml:space="preserve">https://www.udemy.com/best-wordpress-plugins-treasure-chest/</t>
  </si>
  <si>
    <t xml:space="preserve">PHP Date and Time Course by Edwin Diaz</t>
  </si>
  <si>
    <t xml:space="preserve">https://www.udemy.com/crash-course-learn-to-create-date-and-time-in-php-easily/</t>
  </si>
  <si>
    <t xml:space="preserve">Mastering Micro Services Using Java Spring Boot</t>
  </si>
  <si>
    <t xml:space="preserve">https://www.udemy.com/mastering-micro-services-using-java-sprint-boot/</t>
  </si>
  <si>
    <t xml:space="preserve">Getting Started with NodeJS for Beginners</t>
  </si>
  <si>
    <t xml:space="preserve">https://www.udemy.com/getting-started-with-nodejs-for-beginners/</t>
  </si>
  <si>
    <t xml:space="preserve">DesktopServer : Install WordPress Locally - Work Anywhere!</t>
  </si>
  <si>
    <t xml:space="preserve">https://www.udemy.com/desktopserver/</t>
  </si>
  <si>
    <t xml:space="preserve">Learn PHP CodeIgniter Framework with AJAX and Bootstrap</t>
  </si>
  <si>
    <t xml:space="preserve">https://www.udemy.com/learn-php-codeigniter-framework-with-ajax-and-bootstrap/</t>
  </si>
  <si>
    <t xml:space="preserve">One-stop Ruby on Rails: Build Web Applications from Scratch</t>
  </si>
  <si>
    <t xml:space="preserve">https://www.udemy.com/build-etsy-yelp-craigslist-and-a-web-scraper-from-scratch/</t>
  </si>
  <si>
    <t xml:space="preserve">Understand PHP Arrays and HTTP Request in a Better Way</t>
  </si>
  <si>
    <t xml:space="preserve">https://www.udemy.com/understand-php-arrays-and-http-request-in-a-better-way/</t>
  </si>
  <si>
    <t xml:space="preserve">PHP - Send and Receive Mobile Text Messages (SMS)</t>
  </si>
  <si>
    <t xml:space="preserve">https://www.udemy.com/php-send-and-receive-mobile-text-messages-sms/</t>
  </si>
  <si>
    <t xml:space="preserve">Spring Core DevOps on AWS</t>
  </si>
  <si>
    <t xml:space="preserve">https://www.udemy.com/spring-core-devops-on-aws/</t>
  </si>
  <si>
    <t xml:space="preserve">Create a business website with WordPress</t>
  </si>
  <si>
    <t xml:space="preserve">https://www.udemy.com/create-a-business-website-with-wordpress/</t>
  </si>
  <si>
    <t xml:space="preserve">JavaScript manipulation of the DOM Document Object Model</t>
  </si>
  <si>
    <t xml:space="preserve">https://www.udemy.com/javascript-manipulation-of-the-dom-document-object-model/</t>
  </si>
  <si>
    <t xml:space="preserve">Getting Started with WordPress 2016</t>
  </si>
  <si>
    <t xml:space="preserve">https://www.udemy.com/getting-started-with-wordpress-cms/</t>
  </si>
  <si>
    <t xml:space="preserve">The Complete WordPress Development &amp; Customization Course</t>
  </si>
  <si>
    <t xml:space="preserve">https://www.udemy.com/the-complete-wordpress-development-customization-course/</t>
  </si>
  <si>
    <t xml:space="preserve">PHP Development with the Laravel Framework</t>
  </si>
  <si>
    <t xml:space="preserve">https://www.udemy.com/php-development-with-laravel-4/</t>
  </si>
  <si>
    <t xml:space="preserve">HTML and CSS for Beginning Web Developers</t>
  </si>
  <si>
    <t xml:space="preserve">https://www.udemy.com/html-and-css-for-beginning-web-developers/</t>
  </si>
  <si>
    <t xml:space="preserve">Learn Bootstrap And Make Responsive Websites</t>
  </si>
  <si>
    <t xml:space="preserve">https://www.udemy.com/learn-bootstrap-and-make-responsive-websites/</t>
  </si>
  <si>
    <t xml:space="preserve">Start Web Development with GIS Map in JavaScript</t>
  </si>
  <si>
    <t xml:space="preserve">https://www.udemy.com/start-web-development-with-gis-map-in-javascript/</t>
  </si>
  <si>
    <t xml:space="preserve">Learn React : The World's Most Lucrative JavaScript Library</t>
  </si>
  <si>
    <t xml:space="preserve">https://www.udemy.com/learn-react-the-worlds-most-lucrative-javascript-library/</t>
  </si>
  <si>
    <t xml:space="preserve">WordPress Plugin Tutorial</t>
  </si>
  <si>
    <t xml:space="preserve">https://www.udemy.com/wordpress-plugin-tutorial/</t>
  </si>
  <si>
    <t xml:space="preserve">Introduction to Java Programming for Online Learners</t>
  </si>
  <si>
    <t xml:space="preserve">https://www.udemy.com/learning-to-program-in-java-a-supplement-for-online-academic-learners/</t>
  </si>
  <si>
    <t xml:space="preserve">Your Own Site in 45 Min: The Complete Wordpress Course</t>
  </si>
  <si>
    <t xml:space="preserve">https://www.udemy.com/wordpress-sites/</t>
  </si>
  <si>
    <t xml:space="preserve">PHP :basics for beginners</t>
  </si>
  <si>
    <t xml:space="preserve">https://www.udemy.com/php-basics-for-beginners-new/</t>
  </si>
  <si>
    <t xml:space="preserve">Learn React JS from scratch</t>
  </si>
  <si>
    <t xml:space="preserve">https://www.udemy.com/learn-react-js-from-scratch/</t>
  </si>
  <si>
    <t xml:space="preserve">HTML and CSS: A Guide to Web Design</t>
  </si>
  <si>
    <t xml:space="preserve">https://www.udemy.com/html-and-css-a-guide-to-web-design/</t>
  </si>
  <si>
    <t xml:space="preserve">JavaScript, jQuery and Ajax</t>
  </si>
  <si>
    <t xml:space="preserve">https://www.udemy.com/ajax-calls-the-simplest-way/</t>
  </si>
  <si>
    <t xml:space="preserve">Essential HTML, CSS &amp; HTML5 Training</t>
  </si>
  <si>
    <t xml:space="preserve">https://www.udemy.com/essential-html-css-html5-training/</t>
  </si>
  <si>
    <t xml:space="preserve">HTML &amp; CSS - Learn to build sleek websites</t>
  </si>
  <si>
    <t xml:space="preserve">https://www.udemy.com/html-css-learn-to-build-sleek-websites/</t>
  </si>
  <si>
    <t xml:space="preserve">The Complete HTML5 and CSS3 Course - with 8 Websites Design</t>
  </si>
  <si>
    <t xml:space="preserve">https://www.udemy.com/build-responsive-websites-with-html5-and-css3-from-scratch/</t>
  </si>
  <si>
    <t xml:space="preserve">Create full featured Landing Page in Ruby on Rails in 3 hour</t>
  </si>
  <si>
    <t xml:space="preserve">https://www.udemy.com/rails-1-landing-page/</t>
  </si>
  <si>
    <t xml:space="preserve">Learn PHP from Scratch</t>
  </si>
  <si>
    <t xml:space="preserve">https://www.udemy.com/learn-php-from-scratch-in-1-3-hr/</t>
  </si>
  <si>
    <t xml:space="preserve">The Complete HTML5 and CSS3 Course</t>
  </si>
  <si>
    <t xml:space="preserve">https://www.udemy.com/the-complete-html5-and-css3-course/</t>
  </si>
  <si>
    <t xml:space="preserve">Web Security: Common Vulnerabilities And Their Mitigation</t>
  </si>
  <si>
    <t xml:space="preserve">https://www.udemy.com/web-security-common-vulnerabilities-and-their-mitigation/</t>
  </si>
  <si>
    <t xml:space="preserve">HTML and CSS Foundations</t>
  </si>
  <si>
    <t xml:space="preserve">https://www.udemy.com/html-and-css-foundations/</t>
  </si>
  <si>
    <t xml:space="preserve">How to Register a Domain, Set Up Hosting, and Edit Web Pages</t>
  </si>
  <si>
    <t xml:space="preserve">https://www.udemy.com/register-domain-setup-hosting-create-web-page/</t>
  </si>
  <si>
    <t xml:space="preserve">Mastering Modern Web Development Using React</t>
  </si>
  <si>
    <t xml:space="preserve">https://www.udemy.com/mastering-modern-web-development-using-react/</t>
  </si>
  <si>
    <t xml:space="preserve">GRUNT js: Automate web development tasks and save your time</t>
  </si>
  <si>
    <t xml:space="preserve">https://www.udemy.com/gruntjs-automate-web-development-tasks-and-save-your-time/</t>
  </si>
  <si>
    <t xml:space="preserve">Core Concepts in HTML 5</t>
  </si>
  <si>
    <t xml:space="preserve">https://www.udemy.com/core-concepts-in-html-5/</t>
  </si>
  <si>
    <t xml:space="preserve">HTML5 Geolocation in Depth:Build 7 HTML5 Geolocation Apps</t>
  </si>
  <si>
    <t xml:space="preserve">https://www.udemy.com/html5-geolocation-in-depth-build-location-aware-applications/</t>
  </si>
  <si>
    <t xml:space="preserve">Ultimate JavaScript Objects</t>
  </si>
  <si>
    <t xml:space="preserve">https://www.udemy.com/js-objects/</t>
  </si>
  <si>
    <t xml:space="preserve">Projects with JSON and APIs</t>
  </si>
  <si>
    <t xml:space="preserve">https://www.udemy.com/projects-with-json-and-apis/</t>
  </si>
  <si>
    <t xml:space="preserve">jQuery UI In Depth</t>
  </si>
  <si>
    <t xml:space="preserve">https://www.udemy.com/jquery-ui-in-depth/</t>
  </si>
  <si>
    <t xml:space="preserve">Introduction to Elm</t>
  </si>
  <si>
    <t xml:space="preserve">https://www.udemy.com/introduction-to-elm/</t>
  </si>
  <si>
    <t xml:space="preserve">Ruby on Rails 4---A Test-Driven Approach</t>
  </si>
  <si>
    <t xml:space="preserve">https://www.udemy.com/ruby-on-rails-4-a-test-driven-approach/</t>
  </si>
  <si>
    <t xml:space="preserve">Responsive Html5 Theme Development</t>
  </si>
  <si>
    <t xml:space="preserve">https://www.udemy.com/responsive-html5-theme-development/</t>
  </si>
  <si>
    <t xml:space="preserve">Learn By Example: Angular JS</t>
  </si>
  <si>
    <t xml:space="preserve">https://www.udemy.com/learn-by-example-angular-js/</t>
  </si>
  <si>
    <t xml:space="preserve">PSD to Responsive HTML5: Beginner to Advanced</t>
  </si>
  <si>
    <t xml:space="preserve">https://www.udemy.com/psd-to-html5-beginner-to-advanced/</t>
  </si>
  <si>
    <t xml:space="preserve">Learn by Example : ReactJS</t>
  </si>
  <si>
    <t xml:space="preserve">https://www.udemy.com/learn-by-example-reactjs/</t>
  </si>
  <si>
    <t xml:space="preserve">Bootstrap Tutorial - Essentials From Basic to Advanced</t>
  </si>
  <si>
    <t xml:space="preserve">https://www.udemy.com/bootstrap-tutorial-essentials-from-basic-to-advanced/</t>
  </si>
  <si>
    <t xml:space="preserve">Drupal for Beginners</t>
  </si>
  <si>
    <t xml:space="preserve">https://www.udemy.com/getting-started-with-drupal-for-total-beginners/</t>
  </si>
  <si>
    <t xml:space="preserve">Create a social network using PHP Mysqli HTML Css and JQuery</t>
  </si>
  <si>
    <t xml:space="preserve">https://www.udemy.com/create-a-social-network-using-php-mysqli-html-css-and-jquery/</t>
  </si>
  <si>
    <t xml:space="preserve">Learn Essential Javascript Fundamentals - Lite</t>
  </si>
  <si>
    <t xml:space="preserve">https://www.udemy.com/learn-essential-javascript-fundamentals-lite/</t>
  </si>
  <si>
    <t xml:space="preserve">Build Modern Responsive Website With HTML5, CSS3 &amp; Bootstrap</t>
  </si>
  <si>
    <t xml:space="preserve">https://www.udemy.com/build-modern-responsive-website-with-html5-css3-bootstrap/</t>
  </si>
  <si>
    <t xml:space="preserve">Professional Rails Code Along</t>
  </si>
  <si>
    <t xml:space="preserve">https://www.udemy.com/professional-ruby-on-rails-coding-course/</t>
  </si>
  <si>
    <t xml:space="preserve">Learn animation using CSS3, Javascript and HTML5</t>
  </si>
  <si>
    <t xml:space="preserve">https://www.udemy.com/animating-css-javascript/</t>
  </si>
  <si>
    <t xml:space="preserve">Create an Engaging Website with Twitter Bootstrap 2.x</t>
  </si>
  <si>
    <t xml:space="preserve">https://www.udemy.com/create-an-engaging-website-with-twitter-bootstrap/</t>
  </si>
  <si>
    <t xml:space="preserve">The Fastest Way to Create a Website Using Godaddy</t>
  </si>
  <si>
    <t xml:space="preserve">https://www.udemy.com/create-your-own-website/</t>
  </si>
  <si>
    <t xml:space="preserve">PHP: Complete Login and Registration System with PHP &amp; MYSQL</t>
  </si>
  <si>
    <t xml:space="preserve">https://www.udemy.com/user-authentication-code-a-simple-login-system-with-php/</t>
  </si>
  <si>
    <t xml:space="preserve">Install Wordpress</t>
  </si>
  <si>
    <t xml:space="preserve">https://www.udemy.com/learn-how-to-install-wordpress/</t>
  </si>
  <si>
    <t xml:space="preserve">Easily Learn Web Development With Drop &amp; Drag: OptimizePress</t>
  </si>
  <si>
    <t xml:space="preserve">https://www.udemy.com/optimizepress/</t>
  </si>
  <si>
    <t xml:space="preserve">Learn By Example: PHP For Dynamic Websites</t>
  </si>
  <si>
    <t xml:space="preserve">https://www.udemy.com/learn-by-example-php-for-dynamic-websites/</t>
  </si>
  <si>
    <t xml:space="preserve">Fix Google's New 'Not Secure' Warning with Let's Encrypt!</t>
  </si>
  <si>
    <t xml:space="preserve">https://www.udemy.com/fix-googles-new-not-secure-warning-with-lets-encrypt/</t>
  </si>
  <si>
    <t xml:space="preserve">Build Apps with ReactJS: The Complete Course</t>
  </si>
  <si>
    <t xml:space="preserve">https://www.udemy.com/build-apps-with-reactjs-the-complete-course/</t>
  </si>
  <si>
    <t xml:space="preserve">Learn ASP NET MVC 5 step by step</t>
  </si>
  <si>
    <t xml:space="preserve">https://www.udemy.com/maruti-mvc5/</t>
  </si>
  <si>
    <t xml:space="preserve">Learn Node.js by building Udemy: Stripe + MailChimp + Wistia</t>
  </si>
  <si>
    <t xml:space="preserve">https://www.udemy.com/use-javascript-to-build-udemy-stripe-mailchimp-wistia/</t>
  </si>
  <si>
    <t xml:space="preserve">jQuery for Beginners</t>
  </si>
  <si>
    <t xml:space="preserve">https://www.udemy.com/jquery-for-beginners_sre/</t>
  </si>
  <si>
    <t xml:space="preserve">The Extreme Web Development Course - For Beginners</t>
  </si>
  <si>
    <t xml:space="preserve">https://www.udemy.com/the-extreme-web-development-course/</t>
  </si>
  <si>
    <t xml:space="preserve">How to Safely Copy and Move Your WordPress Website</t>
  </si>
  <si>
    <t xml:space="preserve">https://www.udemy.com/how-to-safely-copy-and-move-your-wordpress-website/</t>
  </si>
  <si>
    <t xml:space="preserve">Getting started with JavaScript</t>
  </si>
  <si>
    <t xml:space="preserve">https://www.udemy.com/javascript-code/</t>
  </si>
  <si>
    <t xml:space="preserve">HTML5 and CSS3 -Start building beautiful websites</t>
  </si>
  <si>
    <t xml:space="preserve">https://www.udemy.com/html5-and-css3-crash-course/</t>
  </si>
  <si>
    <t xml:space="preserve">JavaScript - Tricks and Workarounds</t>
  </si>
  <si>
    <t xml:space="preserve">https://www.udemy.com/javascript-tricks-and-workarounds/</t>
  </si>
  <si>
    <t xml:space="preserve">AngularJS for the Real World - Learn by creating a WebApp</t>
  </si>
  <si>
    <t xml:space="preserve">https://www.udemy.com/angularjs-for-the-real-world-learn-to-create-a-webapp/</t>
  </si>
  <si>
    <t xml:space="preserve">Website Builder Software Previews</t>
  </si>
  <si>
    <t xml:space="preserve">https://www.udemy.com/website-builder-software-reviews-weebly-vs-squarespace-vs-wix/</t>
  </si>
  <si>
    <t xml:space="preserve">Learn to Code in HTML5, CSS3, and JavaScript</t>
  </si>
  <si>
    <t xml:space="preserve">https://www.udemy.com/learn-to-code-in-html5-css3-and-javascript/</t>
  </si>
  <si>
    <t xml:space="preserve">Angular NgRx Store Masterclass - Covers Angular 4</t>
  </si>
  <si>
    <t xml:space="preserve">https://www.udemy.com/angular-ngrx-course/</t>
  </si>
  <si>
    <t xml:space="preserve">Create an E-commerce website without any coding</t>
  </si>
  <si>
    <t xml:space="preserve">https://www.udemy.com/create-an-e-commerce-website-without-any-coding/</t>
  </si>
  <si>
    <t xml:space="preserve">Web Development Essential Skills - Complete HTML and CSS</t>
  </si>
  <si>
    <t xml:space="preserve">https://www.udemy.com/complete-html5-css3-course-newbie-to-pro/</t>
  </si>
  <si>
    <t xml:space="preserve">Complete guide to install Wordpress, PHP on Cloud,AWS or VPS</t>
  </si>
  <si>
    <t xml:space="preserve">https://www.udemy.com/a-complete-guide-to-install-wordpress-php-on-cloud-server-aws-or-vps/</t>
  </si>
  <si>
    <t xml:space="preserve">jQuery in Action: Build 8 jQuery Projects</t>
  </si>
  <si>
    <t xml:space="preserve">https://www.udemy.com/jquery-web-development-made-easy/</t>
  </si>
  <si>
    <t xml:space="preserve">HTML5 Specialist: Comprehensive HTML5 Training</t>
  </si>
  <si>
    <t xml:space="preserve">https://www.udemy.com/html5-specialist/</t>
  </si>
  <si>
    <t xml:space="preserve">Complete E-Commerce Course - Java,Spring,Hibernate and MySQL</t>
  </si>
  <si>
    <t xml:space="preserve">https://www.udemy.com/complete-e-commerce-course-javaspringhibernate-and-mysql/</t>
  </si>
  <si>
    <t xml:space="preserve">Introduction to Node.js for Beginners</t>
  </si>
  <si>
    <t xml:space="preserve">https://www.udemy.com/introduction-to-nodejs-for-beginners/</t>
  </si>
  <si>
    <t xml:space="preserve">Web Development with BootStrap - 16 Instant Themes Included!</t>
  </si>
  <si>
    <t xml:space="preserve">https://www.udemy.com/bootstrap-course/</t>
  </si>
  <si>
    <t xml:space="preserve">Learn ASP.Net Web API 2 for Absolute Beginner</t>
  </si>
  <si>
    <t xml:space="preserve">https://www.udemy.com/learn-aspnet-web-api-2-for-absolute-beginner/</t>
  </si>
  <si>
    <t xml:space="preserve">Spring 4 Mastercourse: Covers Annotation &amp; XML Configuration</t>
  </si>
  <si>
    <t xml:space="preserve">https://www.udemy.com/java-spring-framework/</t>
  </si>
  <si>
    <t xml:space="preserve">JavaScript 2017: Become Top Rated Web Developer</t>
  </si>
  <si>
    <t xml:space="preserve">https://www.udemy.com/become-professional-javascript-developer/</t>
  </si>
  <si>
    <t xml:space="preserve">Google Blogger Course</t>
  </si>
  <si>
    <t xml:space="preserve">https://www.udemy.com/free-blogger-course/</t>
  </si>
  <si>
    <t xml:space="preserve">Learn Python Django - A Hands-On Course</t>
  </si>
  <si>
    <t xml:space="preserve">https://www.udemy.com/learn-python-django-a-hands-on-course/</t>
  </si>
  <si>
    <t xml:space="preserve">Boost your website speed without any coding!</t>
  </si>
  <si>
    <t xml:space="preserve">https://www.udemy.com/boost-your-website-speed-without-any-coding/</t>
  </si>
  <si>
    <t xml:space="preserve">JSON in Action: Build JSON-Based Applications</t>
  </si>
  <si>
    <t xml:space="preserve">https://www.udemy.com/json-in-action/</t>
  </si>
  <si>
    <t xml:space="preserve">Building Responsive Websites with Bootstrap 3 Framework</t>
  </si>
  <si>
    <t xml:space="preserve">https://www.udemy.com/building-responsive-websites-with-bootstrap-3-framework/</t>
  </si>
  <si>
    <t xml:space="preserve">X theme for WordPress: Responsive web design without code!</t>
  </si>
  <si>
    <t xml:space="preserve">https://www.udemy.com/x-theme-for-wordpress-responsive-websites-without-code/</t>
  </si>
  <si>
    <t xml:space="preserve">Comprehensive TypeScript</t>
  </si>
  <si>
    <t xml:space="preserve">https://www.udemy.com/typescript101/</t>
  </si>
  <si>
    <t xml:space="preserve">JavaScript and jQuery Basics: Start The Journey</t>
  </si>
  <si>
    <t xml:space="preserve">https://www.udemy.com/learn-javacript/</t>
  </si>
  <si>
    <t xml:space="preserve">Learn Plugin Development in WordPress By Building Projects</t>
  </si>
  <si>
    <t xml:space="preserve">https://www.udemy.com/learn-plugin-development-in-wordpress-by-building-projects/</t>
  </si>
  <si>
    <t xml:space="preserve">Introduction to PHP Slim Microframework</t>
  </si>
  <si>
    <t xml:space="preserve">https://www.udemy.com/introduction-to-php-slim-microframework/</t>
  </si>
  <si>
    <t xml:space="preserve">Learn Express</t>
  </si>
  <si>
    <t xml:space="preserve">https://www.udemy.com/learn-express/</t>
  </si>
  <si>
    <t xml:space="preserve">Joomla 3 : Develop a Professional Website in 3 Simple Steps!</t>
  </si>
  <si>
    <t xml:space="preserve">https://www.udemy.com/develop-a-professional-hotel-website-using-joomla-3x/</t>
  </si>
  <si>
    <t xml:space="preserve">Learn Gulp, The Streaming Build System</t>
  </si>
  <si>
    <t xml:space="preserve">https://www.udemy.com/gulp-101/</t>
  </si>
  <si>
    <t xml:space="preserve">PHP webservices</t>
  </si>
  <si>
    <t xml:space="preserve">https://www.udemy.com/php-webservices/</t>
  </si>
  <si>
    <t xml:space="preserve">Star Rating Project AJAX with JSON response from PHP MySQL</t>
  </si>
  <si>
    <t xml:space="preserve">https://www.udemy.com/star-rating-project-ajax-with-json-response-from-php-mysql/</t>
  </si>
  <si>
    <t xml:space="preserve">RxJs &amp; Reactive Programming Angular Masterclass - Angular 4</t>
  </si>
  <si>
    <t xml:space="preserve">https://www.udemy.com/rxjs-reactive-angular-course/</t>
  </si>
  <si>
    <t xml:space="preserve">Advanced Scalable Python Web Development Using Flask</t>
  </si>
  <si>
    <t xml:space="preserve">https://www.udemy.com/advanced-python-flask/</t>
  </si>
  <si>
    <t xml:space="preserve">Learn BuddyPress: Build A Social Network with WordPress</t>
  </si>
  <si>
    <t xml:space="preserve">https://www.udemy.com/learn-buddypress-build-a-social-network-with-wordpress/</t>
  </si>
  <si>
    <t xml:space="preserve">JavaScript Complete Guide to learning JavaScript</t>
  </si>
  <si>
    <t xml:space="preserve">https://www.udemy.com/javascript-complete-guide-to-learning-javascript/</t>
  </si>
  <si>
    <t xml:space="preserve">Build A Professional Wordpress Website In An Hour</t>
  </si>
  <si>
    <t xml:space="preserve">https://www.udemy.com/build-a-professional-wordpress-website-in-an-hour/</t>
  </si>
  <si>
    <t xml:space="preserve">Byte-Sized-Chunks: Closures in Javascript</t>
  </si>
  <si>
    <t xml:space="preserve">https://www.udemy.com/closures-in-javascript/</t>
  </si>
  <si>
    <t xml:space="preserve">AngularJS for Beginners, Single-Page Applications Made Easy</t>
  </si>
  <si>
    <t xml:space="preserve">https://www.udemy.com/angularjs-tutorial/</t>
  </si>
  <si>
    <t xml:space="preserve">Professional WordPress Theme Development from Scratch</t>
  </si>
  <si>
    <t xml:space="preserve">https://www.udemy.com/photoshop-psd-to-wordpress-theme-development-from-scratch/</t>
  </si>
  <si>
    <t xml:space="preserve">Crash Course - Learn to Create a PHP MVC Framework</t>
  </si>
  <si>
    <t xml:space="preserve">https://www.udemy.com/crash-course-learn-to-create-a-php-mvc-framework/</t>
  </si>
  <si>
    <t xml:space="preserve">Build Advanced Responsive Websites with Foundation 6 &amp; SASS</t>
  </si>
  <si>
    <t xml:space="preserve">https://www.udemy.com/foundation-5-sass-learn-by-building-a-complete-website/</t>
  </si>
  <si>
    <t xml:space="preserve">Learn Effective HTML in No Time!</t>
  </si>
  <si>
    <t xml:space="preserve">https://www.udemy.com/learn-effective-html-in-no-time/</t>
  </si>
  <si>
    <t xml:space="preserve">Jquery :basics for beginners</t>
  </si>
  <si>
    <t xml:space="preserve">https://www.udemy.com/jquery-basics-for-beginners/</t>
  </si>
  <si>
    <t xml:space="preserve">JavaScript from Scratch for Very Beginners</t>
  </si>
  <si>
    <t xml:space="preserve">https://www.udemy.com/javascript-basics-for-begginers/</t>
  </si>
  <si>
    <t xml:space="preserve">Code a Responsive Website Using HTML5 and CSS for Beginners</t>
  </si>
  <si>
    <t xml:space="preserve">https://www.udemy.com/how-to-code-a-responsive-website-using-html5-and-css/</t>
  </si>
  <si>
    <t xml:space="preserve">Drupal Tutorial : Drupal 8 Beginner to Expert in 8 PROJECTS</t>
  </si>
  <si>
    <t xml:space="preserve">https://www.udemy.com/drupal-tutorial/</t>
  </si>
  <si>
    <t xml:space="preserve">Learning Bootstrap 3 - Tutorial From Infinite Skills</t>
  </si>
  <si>
    <t xml:space="preserve">https://www.udemy.com/bootstrap-3/</t>
  </si>
  <si>
    <t xml:space="preserve">Ruby on Rails Tutorial: Learn 6 Ruby on Rails SEO Techniques</t>
  </si>
  <si>
    <t xml:space="preserve">https://www.udemy.com/ruby-on-rails-seo/</t>
  </si>
  <si>
    <t xml:space="preserve">Drupal Views: Introduction to Enhancing Your Drupal Website</t>
  </si>
  <si>
    <t xml:space="preserve">https://www.udemy.com/drupalviews/</t>
  </si>
  <si>
    <t xml:space="preserve">PHP with PDO - ULTIMATE Crash Course</t>
  </si>
  <si>
    <t xml:space="preserve">https://www.udemy.com/php-with-pdo-ultimate-crash-course/</t>
  </si>
  <si>
    <t xml:space="preserve">AJAX :basics for beginners</t>
  </si>
  <si>
    <t xml:space="preserve">https://www.udemy.com/ajaxbasics/</t>
  </si>
  <si>
    <t xml:space="preserve">AngularJs :basics for beginners</t>
  </si>
  <si>
    <t xml:space="preserve">https://www.udemy.com/angularjs-basics-for-beginners/</t>
  </si>
  <si>
    <t xml:space="preserve">Learn to make an HTML 5 website with a video background</t>
  </si>
  <si>
    <t xml:space="preserve">https://www.udemy.com/learn-to-make-an-html-5-website-with-a-video-background/</t>
  </si>
  <si>
    <t xml:space="preserve">Learn Rails Programming in Less than 30 Minute - Lite</t>
  </si>
  <si>
    <t xml:space="preserve">https://www.udemy.com/learn-rails-programming-in-less-than-30-minute-lite/</t>
  </si>
  <si>
    <t xml:space="preserve">Typescript Masterclass &amp; FREE E-Book</t>
  </si>
  <si>
    <t xml:space="preserve">https://www.udemy.com/complete-typescript-2-course/</t>
  </si>
  <si>
    <t xml:space="preserve">Learn to make a colorful one page website</t>
  </si>
  <si>
    <t xml:space="preserve">https://www.udemy.com/learn-to-make-a-colorful-one-page-website/</t>
  </si>
  <si>
    <t xml:space="preserve">PHP : Learn to upload files to Amazon S3 and use CloudFront</t>
  </si>
  <si>
    <t xml:space="preserve">https://www.udemy.com/php-learn-to-upload-files-to-amazon-s3-and-use-cloudfront/</t>
  </si>
  <si>
    <t xml:space="preserve">The Complete Wordpress Plugin Development Course - 8 Plugins</t>
  </si>
  <si>
    <t xml:space="preserve">https://www.udemy.com/wordpress-plugin-development/</t>
  </si>
  <si>
    <t xml:space="preserve">Pimcore Developer: Implement a Blog from a Bootstrap Theme</t>
  </si>
  <si>
    <t xml:space="preserve">https://www.udemy.com/enterprise-cms-applied-implement-a-website-with-pimcore/</t>
  </si>
  <si>
    <t xml:space="preserve">How to create a video blog with WordPress</t>
  </si>
  <si>
    <t xml:space="preserve">https://www.udemy.com/how-to-create-a-blog-with-wordpress-video-blog/</t>
  </si>
  <si>
    <t xml:space="preserve">CSS3 Gradients for Web Designers</t>
  </si>
  <si>
    <t xml:space="preserve">https://www.udemy.com/css3-gradients/</t>
  </si>
  <si>
    <t xml:space="preserve">JavaScript for beginners - A Complete Guide</t>
  </si>
  <si>
    <t xml:space="preserve">https://www.udemy.com/javascript-a-complete-guide/</t>
  </si>
  <si>
    <t xml:space="preserve">Learn Ruby Programming The Easy Way - Lite</t>
  </si>
  <si>
    <t xml:space="preserve">https://www.udemy.com/learn-ruby-programming-the-easy-way-lite/</t>
  </si>
  <si>
    <t xml:space="preserve">Bootstrap For Beginners: A Basic Introduction</t>
  </si>
  <si>
    <t xml:space="preserve">https://www.udemy.com/bootstrap-for-beginners-a-basic-introduction/</t>
  </si>
  <si>
    <t xml:space="preserve">WordPress Theme Academy with Bootstrap</t>
  </si>
  <si>
    <t xml:space="preserve">https://www.udemy.com/bootstrap-to-wordpress-build-custom-responsive-themes/</t>
  </si>
  <si>
    <t xml:space="preserve">Create Fast RESTful APIs with Lumen and Homestead by Laravel</t>
  </si>
  <si>
    <t xml:space="preserve">https://www.udemy.com/lumen-restful-api-and-homestead-for-lumen-by-laravel-and-php/</t>
  </si>
  <si>
    <t xml:space="preserve">Css For Beginners</t>
  </si>
  <si>
    <t xml:space="preserve">https://www.udemy.com/css-made-simple-for-beginners-learn-to-style-a-website-page/</t>
  </si>
  <si>
    <t xml:space="preserve">Web Development With HTML CSS BOOTSTRAP JQUERY for Beginners</t>
  </si>
  <si>
    <t xml:space="preserve">https://www.udemy.com/web-development-with-html-css-bootstrap-jquery-for-beginners/</t>
  </si>
  <si>
    <t xml:space="preserve">Learn HTML and CSS to make a Website</t>
  </si>
  <si>
    <t xml:space="preserve">https://www.udemy.com/learn-html-and-css-to-make-website/</t>
  </si>
  <si>
    <t xml:space="preserve">Big Data and Apache Hadoop for Developers - Fundamentals</t>
  </si>
  <si>
    <t xml:space="preserve">https://www.udemy.com/learn-big-data-and-apache-hadoop-for-developers-online/</t>
  </si>
  <si>
    <t xml:space="preserve">Bootstrap :basics for beginners</t>
  </si>
  <si>
    <t xml:space="preserve">https://www.udemy.com/bootstrap-basics-for-beginners/</t>
  </si>
  <si>
    <t xml:space="preserve">Laravel Account Activation Project</t>
  </si>
  <si>
    <t xml:space="preserve">https://www.udemy.com/laravel-account-activation-project/</t>
  </si>
  <si>
    <t xml:space="preserve">SASS - Beginner Crash Course</t>
  </si>
  <si>
    <t xml:space="preserve">https://www.udemy.com/sass-beginner-crash-course/</t>
  </si>
  <si>
    <t xml:space="preserve">Implementing a Data Warehouse with SQL Server 2012</t>
  </si>
  <si>
    <t xml:space="preserve">https://www.udemy.com/implementing-a-data-warehouse-with-sql-server-2012/</t>
  </si>
  <si>
    <t xml:space="preserve">Build Your Own Membership Website With Joomla</t>
  </si>
  <si>
    <t xml:space="preserve">https://www.udemy.com/build-your-own-membership-website-with-joomla/</t>
  </si>
  <si>
    <t xml:space="preserve">Parse Server: From Front End to Full Stack</t>
  </si>
  <si>
    <t xml:space="preserve">https://www.udemy.com/parse-server/</t>
  </si>
  <si>
    <t xml:space="preserve">React.js: Building Production Ready Apps, Start to Finish</t>
  </si>
  <si>
    <t xml:space="preserve">https://www.udemy.com/reactjs-building-production-ready-apps-start-to-finish/</t>
  </si>
  <si>
    <t xml:space="preserve">Login and Registration from Scratch with PHP and MySQL</t>
  </si>
  <si>
    <t xml:space="preserve">https://www.udemy.com/authentication-from-scratch-with-php-and-mysql/</t>
  </si>
  <si>
    <t xml:space="preserve">Build a Complete JQuery Plugin (Image Pop-up Dialog)</t>
  </si>
  <si>
    <t xml:space="preserve">https://www.udemy.com/build-a-complete-jquery-plugin-image-pop-up-dialog/</t>
  </si>
  <si>
    <t xml:space="preserve">WordPress Basics to Business: Share and Sell your Expertise</t>
  </si>
  <si>
    <t xml:space="preserve">https://www.udemy.com/wordpress-basics-to-business/</t>
  </si>
  <si>
    <t xml:space="preserve">PHP Zend Framework 1.11:Creating a CRUD Application</t>
  </si>
  <si>
    <t xml:space="preserve">https://www.udemy.com/zend-framework-111creating-a-crud-application/</t>
  </si>
  <si>
    <t xml:space="preserve">Full stack Universal React with Redux, Node js and MongoDB</t>
  </si>
  <si>
    <t xml:space="preserve">https://www.udemy.com/full-stack-universal-react-with-redux-express-and-mongodb/</t>
  </si>
  <si>
    <t xml:space="preserve">Complete Guide to Front-End Web Development and Design</t>
  </si>
  <si>
    <t xml:space="preserve">https://www.udemy.com/complete-guide-to-front-end-web-development-and-design/</t>
  </si>
  <si>
    <t xml:space="preserve">WordPress Tips and Tricks</t>
  </si>
  <si>
    <t xml:space="preserve">https://www.udemy.com/wordpress-tips-and-tricks/</t>
  </si>
  <si>
    <t xml:space="preserve">Web Development: Make A Website That Will Sell For Thousands</t>
  </si>
  <si>
    <t xml:space="preserve">https://www.udemy.com/web-development-by-doing-html5-css3-complete-from-scratch/</t>
  </si>
  <si>
    <t xml:space="preserve">Building a eCommerce Startup in 4 Hours [Livestream]</t>
  </si>
  <si>
    <t xml:space="preserve">https://www.udemy.com/4-hour-startup-building-an-ecommerce-startup-and-marketing-it/</t>
  </si>
  <si>
    <t xml:space="preserve">WordPress: Create an Amazing Website With Ease</t>
  </si>
  <si>
    <t xml:space="preserve">https://www.udemy.com/wordpress-basic-to-advanced-tutorials/</t>
  </si>
  <si>
    <t xml:space="preserve">Mastering Web and Mobile Debugging Using Chrome Dev Tools</t>
  </si>
  <si>
    <t xml:space="preserve">https://www.udemy.com/mastering-web-and-mobile-debugging-using-chrome-dev-tools/</t>
  </si>
  <si>
    <t xml:space="preserve">The Ultimate jQuery Course</t>
  </si>
  <si>
    <t xml:space="preserve">https://www.udemy.com/essential-jquery-training/</t>
  </si>
  <si>
    <t xml:space="preserve">How to Build a CMS with PHP</t>
  </si>
  <si>
    <t xml:space="preserve">https://www.udemy.com/make-a-cms/</t>
  </si>
  <si>
    <t xml:space="preserve">Security for your WordPress site</t>
  </si>
  <si>
    <t xml:space="preserve">https://www.udemy.com/security-for-your-wordpress-site/</t>
  </si>
  <si>
    <t xml:space="preserve">Learn by Doing: Vue JS 2.0 the Right Way</t>
  </si>
  <si>
    <t xml:space="preserve">https://www.udemy.com/learn-by-doing-vue-js-2-the-right-way/</t>
  </si>
  <si>
    <t xml:space="preserve">Wordpress Essentials: Useful Plugins</t>
  </si>
  <si>
    <t xml:space="preserve">https://www.udemy.com/wordpress-essentials-useful-plugins/</t>
  </si>
  <si>
    <t xml:space="preserve">CSS :basics for beginners</t>
  </si>
  <si>
    <t xml:space="preserve">https://www.udemy.com/learn-css-fast/</t>
  </si>
  <si>
    <t xml:space="preserve">Supreme NodeJS Course - For Beginners</t>
  </si>
  <si>
    <t xml:space="preserve">https://www.udemy.com/supreme-node-js-course/</t>
  </si>
  <si>
    <t xml:space="preserve">Build a Business or Personal Website Using Wordpress</t>
  </si>
  <si>
    <t xml:space="preserve">https://www.udemy.com/build-professional-business-personal-website-wordpress-create/</t>
  </si>
  <si>
    <t xml:space="preserve">Learn to make websites with Google's Material Design Lite</t>
  </si>
  <si>
    <t xml:space="preserve">https://www.udemy.com/learn-googles-material-design-lite/</t>
  </si>
  <si>
    <t xml:space="preserve">Mastering Magento</t>
  </si>
  <si>
    <t xml:space="preserve">https://www.udemy.com/mastering-magento/</t>
  </si>
  <si>
    <t xml:space="preserve">HTML5, CSS3 &amp; Bootstrap - How to Create a Responsive Website</t>
  </si>
  <si>
    <t xml:space="preserve">https://www.udemy.com/html5-css3-bootstrap-how-to-create-a-responsive-website/</t>
  </si>
  <si>
    <t xml:space="preserve">XML :basics for beginners</t>
  </si>
  <si>
    <t xml:space="preserve">https://www.udemy.com/xml-basics-for-beginners/</t>
  </si>
  <si>
    <t xml:space="preserve">Create a Client Network by Hosting WordPress Sites</t>
  </si>
  <si>
    <t xml:space="preserve">https://www.udemy.com/create-a-client-network-by-hosting-wordpress-sites/</t>
  </si>
  <si>
    <t xml:space="preserve">Javascript :basics for beginners</t>
  </si>
  <si>
    <t xml:space="preserve">https://www.udemy.com/learn-javascript-fast/</t>
  </si>
  <si>
    <t xml:space="preserve">Build A Great Wordpress Website For Your Business in 2 Hours</t>
  </si>
  <si>
    <t xml:space="preserve">https://www.udemy.com/build-a-great-wordpress-website-for-your-business-in-2-hours/</t>
  </si>
  <si>
    <t xml:space="preserve">Wordpress Theme Development for Beginners</t>
  </si>
  <si>
    <t xml:space="preserve">https://www.udemy.com/wordpress-theme-development-for-beginners/</t>
  </si>
  <si>
    <t xml:space="preserve">Complete Wordpress Theme Development Course</t>
  </si>
  <si>
    <t xml:space="preserve">https://www.udemy.com/complete-wordpress-theme-development-course/</t>
  </si>
  <si>
    <t xml:space="preserve">CSS Tutorial For Beginners: Style Your Wordpress Templates</t>
  </si>
  <si>
    <t xml:space="preserve">https://www.udemy.com/css-tutorial-for-beginners-style-your-wordpress-templates/</t>
  </si>
  <si>
    <t xml:space="preserve">Mastering 'Native CSS Shapes To Build Modern Web Pages"</t>
  </si>
  <si>
    <t xml:space="preserve">https://www.udemy.com/mastering-native-css-shapes/</t>
  </si>
  <si>
    <t xml:space="preserve">Learn jQuery from Scratch - Master of JavaScript library</t>
  </si>
  <si>
    <t xml:space="preserve">https://www.udemy.com/easy-jquery-for-beginner-learn-from-scratch-step-by-step/</t>
  </si>
  <si>
    <t xml:space="preserve">Bootstrap Tutorial for Beginners</t>
  </si>
  <si>
    <t xml:space="preserve">https://www.udemy.com/bootstrap-tutorial-for-beginners/</t>
  </si>
  <si>
    <t xml:space="preserve">Web Building Starter Pack. Html Css and JQuery Animations</t>
  </si>
  <si>
    <t xml:space="preserve">https://www.udemy.com/web-building-starter-pack-html-css-and-jquery-animations/</t>
  </si>
  <si>
    <t xml:space="preserve">Sell Courses On Your Own Website - No Coding Required!</t>
  </si>
  <si>
    <t xml:space="preserve">https://www.udemy.com/sell-courses-on-your-own-website-no-coding-required/</t>
  </si>
  <si>
    <t xml:space="preserve">https://www.udemy.com/web-development-course-learn-in-just-1-day-by-pooja-thakar/</t>
  </si>
  <si>
    <t xml:space="preserve">Build Powerful Websites &amp; Blogs using WordPress - No Coding</t>
  </si>
  <si>
    <t xml:space="preserve">https://www.udemy.com/powerful-websites-blogs-using-wordpress-no-coding/</t>
  </si>
  <si>
    <t xml:space="preserve">Mastering DevOps</t>
  </si>
  <si>
    <t xml:space="preserve">https://www.udemy.com/mastering-devops/</t>
  </si>
  <si>
    <t xml:space="preserve">Build Ajax Web Apps with Laravel 5.2, Bootstrap and jQuery</t>
  </si>
  <si>
    <t xml:space="preserve">https://www.udemy.com/learn-laravel-by-doing/</t>
  </si>
  <si>
    <t xml:space="preserve">Python Web Programming</t>
  </si>
  <si>
    <t xml:space="preserve">https://www.udemy.com/python-web-programming/</t>
  </si>
  <si>
    <t xml:space="preserve">Introduction to Frontend Web Development For Beginners</t>
  </si>
  <si>
    <t xml:space="preserve">https://www.udemy.com/programming-for-web-development-from-scratch/</t>
  </si>
  <si>
    <t xml:space="preserve">ReactJS Course: Learn JavaScript Library Used by Facebook&amp;IG</t>
  </si>
  <si>
    <t xml:space="preserve">https://www.udemy.com/react-js/</t>
  </si>
  <si>
    <t xml:space="preserve">The Complete Wordpress Theme Development Guide</t>
  </si>
  <si>
    <t xml:space="preserve">https://www.udemy.com/the-complete-wordpress-theme-development-guide/</t>
  </si>
  <si>
    <t xml:space="preserve">So you think you know JavaScript?</t>
  </si>
  <si>
    <t xml:space="preserve">https://www.udemy.com/so-you-think-you-know-javascript-1/</t>
  </si>
  <si>
    <t xml:space="preserve">Learn Top Ten PHP FrameWorks By Building Projects</t>
  </si>
  <si>
    <t xml:space="preserve">https://www.udemy.com/learn-top-ten-php-frameworks-by-building-projects/</t>
  </si>
  <si>
    <t xml:space="preserve">Learn Coding as RF or Telecom Engineer - Build Real Program</t>
  </si>
  <si>
    <t xml:space="preserve">https://www.udemy.com/learn-coding-as-rf-or-telecom-engineer-build-real-program/</t>
  </si>
  <si>
    <t xml:space="preserve">jQuery Essentials: Learn the Fundamental of jQuery</t>
  </si>
  <si>
    <t xml:space="preserve">https://www.udemy.com/jquery-essentials/</t>
  </si>
  <si>
    <t xml:space="preserve">Learn W3.CSS</t>
  </si>
  <si>
    <t xml:space="preserve">https://www.udemy.com/learn-w3css/</t>
  </si>
  <si>
    <t xml:space="preserve">Create a REAL Social Network like Facebook in PHP + MySQL</t>
  </si>
  <si>
    <t xml:space="preserve">https://www.udemy.com/make-a-social-media-website/</t>
  </si>
  <si>
    <t xml:space="preserve">The Ultimate WordPress Boot Camp: Build 7 Websites</t>
  </si>
  <si>
    <t xml:space="preserve">https://www.udemy.com/the-ultimate-wordpress-boot-camp-build-multiple-websites/</t>
  </si>
  <si>
    <t xml:space="preserve">Getting Started with Craft CMS</t>
  </si>
  <si>
    <t xml:space="preserve">https://www.udemy.com/craft-cms/</t>
  </si>
  <si>
    <t xml:space="preserve">HTML : HTML Awesomeness</t>
  </si>
  <si>
    <t xml:space="preserve">https://www.udemy.com/html-awesomeness/</t>
  </si>
  <si>
    <t xml:space="preserve">PSD to Bootstrap 3 for Beginners using HTML &amp; CSS</t>
  </si>
  <si>
    <t xml:space="preserve">https://www.udemy.com/psd-to-bootstrap/</t>
  </si>
  <si>
    <t xml:space="preserve">Build a file hosting/sharing site in less than 2 hours</t>
  </si>
  <si>
    <t xml:space="preserve">https://www.udemy.com/build-a-file-hosting-site-in-less-than-2-hours/</t>
  </si>
  <si>
    <t xml:space="preserve">The Sass Course! Learn Sass for Real-World Websites</t>
  </si>
  <si>
    <t xml:space="preserve">https://www.udemy.com/learn-sass/</t>
  </si>
  <si>
    <t xml:space="preserve">Web Scraping with Python, Ruby &amp; import. io</t>
  </si>
  <si>
    <t xml:space="preserve">https://www.udemy.com/web-scraping-with-python-ruby-import-io-for-fun-profit/</t>
  </si>
  <si>
    <t xml:space="preserve">Create WordPress Plugins</t>
  </si>
  <si>
    <t xml:space="preserve">https://www.udemy.com/create-wordpress-plugins/</t>
  </si>
  <si>
    <t xml:space="preserve">Scrape Websites using PhantomJS and CasperJS</t>
  </si>
  <si>
    <t xml:space="preserve">https://www.udemy.com/scrape-websites-phantomjs-casperjs/</t>
  </si>
  <si>
    <t xml:space="preserve">Java Web Services Part 2</t>
  </si>
  <si>
    <t xml:space="preserve">https://www.udemy.com/javawebservicespart2/</t>
  </si>
  <si>
    <t xml:space="preserve">JavaScript Basics For Web Developers</t>
  </si>
  <si>
    <t xml:space="preserve">https://www.udemy.com/javascript-basics-for-web-developers/</t>
  </si>
  <si>
    <t xml:space="preserve">Introduction to Modern Programming with PHP</t>
  </si>
  <si>
    <t xml:space="preserve">https://www.udemy.com/introduction-to-modern-programming-with-php/</t>
  </si>
  <si>
    <t xml:space="preserve">Complete React JS web developer with ES6 - Build 10 projects</t>
  </si>
  <si>
    <t xml:space="preserve">https://www.udemy.com/complete-react-js-course/</t>
  </si>
  <si>
    <t xml:space="preserve">Angular 2 Complete E-Commerce App Course - Java,Spring,MySQL</t>
  </si>
  <si>
    <t xml:space="preserve">https://www.udemy.com/build-angular-2-complete-e-comerce-app-java-spring-mysql/</t>
  </si>
  <si>
    <t xml:space="preserve">Bootstrap 4 Beginners: Code a Responsive Landing Page</t>
  </si>
  <si>
    <t xml:space="preserve">https://www.udemy.com/bootstrap-4-beginners-code-a-responsive-landing-page/</t>
  </si>
  <si>
    <t xml:space="preserve">Learn to Freelance with People Per hour (URDU)</t>
  </si>
  <si>
    <t xml:space="preserve">https://www.udemy.com/learn-to-freelance-with-people-per-hour-in-30-minutes/</t>
  </si>
  <si>
    <t xml:space="preserve">Projects In ReactJS - The Complete React Learning Course</t>
  </si>
  <si>
    <t xml:space="preserve">https://www.udemy.com/projects-in-reactjs-the-complete-react-learning-course/</t>
  </si>
  <si>
    <t xml:space="preserve">Learn basics of HTML in 30 Minutes</t>
  </si>
  <si>
    <t xml:space="preserve">https://www.udemy.com/learn-basics-of-html/</t>
  </si>
  <si>
    <t xml:space="preserve">XML DTD - Crash Course for Beginners</t>
  </si>
  <si>
    <t xml:space="preserve">https://www.udemy.com/xml-dtd-crash-course-for-beginners/</t>
  </si>
  <si>
    <t xml:space="preserve">Mastering Thymeleaf with Spring</t>
  </si>
  <si>
    <t xml:space="preserve">https://www.udemy.com/mastering-thymeleaf-with-spring/</t>
  </si>
  <si>
    <t xml:space="preserve">How to create awesome website and e-commerce in 1 hour</t>
  </si>
  <si>
    <t xml:space="preserve">https://www.udemy.com/how-to-create-awesome-websites-and-e-commerce-in-1-hour/</t>
  </si>
  <si>
    <t xml:space="preserve">XQUERY :basics for beginners</t>
  </si>
  <si>
    <t xml:space="preserve">https://www.udemy.com/xquery-basics-for-beginners/</t>
  </si>
  <si>
    <t xml:space="preserve">Drupal 7 for Beginners</t>
  </si>
  <si>
    <t xml:space="preserve">https://www.udemy.com/drupal-for-beginners/</t>
  </si>
  <si>
    <t xml:space="preserve">XML DOM :basics for beginners</t>
  </si>
  <si>
    <t xml:space="preserve">https://www.udemy.com/xml-dom-basics-for-beginners/</t>
  </si>
  <si>
    <t xml:space="preserve">Voiceover Audio Secrets - Your Way to Top Audio Quality</t>
  </si>
  <si>
    <t xml:space="preserve">https://www.udemy.com/professional-audio-recording-processing-for-course-creation/</t>
  </si>
  <si>
    <t xml:space="preserve">Build Modern Websites Quick With HTML,CSS and Bootstrap</t>
  </si>
  <si>
    <t xml:space="preserve">https://www.udemy.com/build-modern-websites-quick-with-htmlcss-and-bootstrap/</t>
  </si>
  <si>
    <t xml:space="preserve">Create Complete Web Applications easily with APEX 5</t>
  </si>
  <si>
    <t xml:space="preserve">https://www.udemy.com/create-web-apps-with-apex-5/</t>
  </si>
  <si>
    <t xml:space="preserve">Redux in Angular (2 and 4+)</t>
  </si>
  <si>
    <t xml:space="preserve">https://www.udemy.com/redux-in-angular/</t>
  </si>
  <si>
    <t xml:space="preserve">XML DTD :basics for beginners</t>
  </si>
  <si>
    <t xml:space="preserve">https://www.udemy.com/xml-dtd-basics-for-beginners/</t>
  </si>
  <si>
    <t xml:space="preserve">Using MODX CMS to Build Websites: A Beginner's Guide</t>
  </si>
  <si>
    <t xml:space="preserve">https://www.udemy.com/using-modx-cms-to-build-websites-a-beginners-guide/</t>
  </si>
  <si>
    <t xml:space="preserve">The Complete front end web developer Bootcamp - 14 projects</t>
  </si>
  <si>
    <t xml:space="preserve">https://www.udemy.com/complete-front-end-web-developer-bootcamp/</t>
  </si>
  <si>
    <t xml:space="preserve">A Beginner's Guide to the Meteor JavaScript Framework</t>
  </si>
  <si>
    <t xml:space="preserve">https://www.udemy.com/meteorjs/</t>
  </si>
  <si>
    <t xml:space="preserve">ASP NET CORE - ANGULAR 2 E-Commerce App</t>
  </si>
  <si>
    <t xml:space="preserve">https://www.udemy.com/build-a-full-e-commerce-app-in-aspnet-core-mvc-6/</t>
  </si>
  <si>
    <t xml:space="preserve">SharePoint 2013 Development using C# - Part I</t>
  </si>
  <si>
    <t xml:space="preserve">https://www.udemy.com/sharepoint2013development/</t>
  </si>
  <si>
    <t xml:space="preserve">Wordpress Development : Create a Custom Wordpress Website</t>
  </si>
  <si>
    <t xml:space="preserve">https://www.udemy.com/create-local-server-and-install-wordpress/</t>
  </si>
  <si>
    <t xml:space="preserve">Byte-Sized-Chunks: Dynamic Prototypes in Javascript</t>
  </si>
  <si>
    <t xml:space="preserve">https://www.udemy.com/dynamic-prototypes-in-javascript/</t>
  </si>
  <si>
    <t xml:space="preserve">XPATH :basics for beginners</t>
  </si>
  <si>
    <t xml:space="preserve">https://www.udemy.com/xpath-basics-for-beginners/</t>
  </si>
  <si>
    <t xml:space="preserve">XSLT :basics for beginners</t>
  </si>
  <si>
    <t xml:space="preserve">https://www.udemy.com/xslt-basics-for-beginners/</t>
  </si>
  <si>
    <t xml:space="preserve">Building Responsive Data Visualizations with D3 JS</t>
  </si>
  <si>
    <t xml:space="preserve">https://www.udemy.com/building-responsive-data-visualizations-with-d3js/</t>
  </si>
  <si>
    <t xml:space="preserve">Kali Linux Web App Testing</t>
  </si>
  <si>
    <t xml:space="preserve">https://www.udemy.com/kali-linux-web-app-testing/</t>
  </si>
  <si>
    <t xml:space="preserve">Projects in Node.js - Learn by Example</t>
  </si>
  <si>
    <t xml:space="preserve">https://www.udemy.com/projects-in-nodejs/</t>
  </si>
  <si>
    <t xml:space="preserve">Building a Social Network in PHP &amp; MySQL From Scratch</t>
  </si>
  <si>
    <t xml:space="preserve">https://www.udemy.com/social-network-in-php-mysql/</t>
  </si>
  <si>
    <t xml:space="preserve">Learn Symfony 3 framework by practical examples</t>
  </si>
  <si>
    <t xml:space="preserve">https://www.udemy.com/learn-symfony-3-framework-by-practical-examples/</t>
  </si>
  <si>
    <t xml:space="preserve">SAP - Learn SAPUI5 Professional Development</t>
  </si>
  <si>
    <t xml:space="preserve">https://www.udemy.com/learn-sapui5/</t>
  </si>
  <si>
    <t xml:space="preserve">Angular 4 - Concepts, Code and Collective Wisdom</t>
  </si>
  <si>
    <t xml:space="preserve">https://www.udemy.com/angular-2-concepts-code-and-collective-wisdom/</t>
  </si>
  <si>
    <t xml:space="preserve">PHP For WordPress Development</t>
  </si>
  <si>
    <t xml:space="preserve">https://www.udemy.com/php-for-wordpress-development/</t>
  </si>
  <si>
    <t xml:space="preserve">Thoughtful Web Development Course: HTML, Vue.js, PHP, MySQL</t>
  </si>
  <si>
    <t xml:space="preserve">https://www.udemy.com/web-development-html5-css3-php-oop-and-mysql-database/</t>
  </si>
  <si>
    <t xml:space="preserve">Learn to Build Web Apps using D3JS</t>
  </si>
  <si>
    <t xml:space="preserve">https://www.udemy.com/learn-to-build-web-apps-using-d3js/</t>
  </si>
  <si>
    <t xml:space="preserve">Creating Interactive HTML5 Video</t>
  </si>
  <si>
    <t xml:space="preserve">https://www.udemy.com/creating-interactive-html5-video/</t>
  </si>
  <si>
    <t xml:space="preserve">Superb jQuery Course - Become Certified jQuery Developer</t>
  </si>
  <si>
    <t xml:space="preserve">https://www.udemy.com/superb-jquery-course/</t>
  </si>
  <si>
    <t xml:space="preserve">WordPress Development - Themes, Plugins &amp; Single Page Apps</t>
  </si>
  <si>
    <t xml:space="preserve">https://www.udemy.com/wordpress-development-create-wordpress-themes-and-plugins/</t>
  </si>
  <si>
    <t xml:space="preserve">Cakephp:Creating a CRUD application</t>
  </si>
  <si>
    <t xml:space="preserve">https://www.udemy.com/cakephpcreating-a-crud-application/</t>
  </si>
  <si>
    <t xml:space="preserve">PHP Zend Framework 2:Creating a CRUD Application</t>
  </si>
  <si>
    <t xml:space="preserve">https://www.udemy.com/zend-framework-2creating-a-crud-application/</t>
  </si>
  <si>
    <t xml:space="preserve">JSON with Java APIs, jQuery and JSON REST Web Services</t>
  </si>
  <si>
    <t xml:space="preserve">https://www.udemy.com/learn-json-with-java-apis-jquery-and-rest/</t>
  </si>
  <si>
    <t xml:space="preserve">Simplified Cross Browser Web Testing Using VirtualBox</t>
  </si>
  <si>
    <t xml:space="preserve">https://www.udemy.com/cross-browser-web-testing-virtualbox/</t>
  </si>
  <si>
    <t xml:space="preserve">The Complete Web Development Tutorial Using React and Redux</t>
  </si>
  <si>
    <t xml:space="preserve">https://www.udemy.com/the-complete-web-development-tutorial-using-react-and-redux/</t>
  </si>
  <si>
    <t xml:space="preserve">Learn Azure Cloud Step by Step</t>
  </si>
  <si>
    <t xml:space="preserve">https://www.udemy.com/marutiazure/</t>
  </si>
  <si>
    <t xml:space="preserve">HTML FOR BEGINNERS</t>
  </si>
  <si>
    <t xml:space="preserve">https://www.udemy.com/html-5-for-beginners/</t>
  </si>
  <si>
    <t xml:space="preserve">Writing CSS with {LESS} - Tutorial From Infinite Skills</t>
  </si>
  <si>
    <t xml:space="preserve">https://www.udemy.com/writing-css-with-less-tutorial-from-infinite-skills/</t>
  </si>
  <si>
    <t xml:space="preserve">JavaScript : JavaScript Awesomeness</t>
  </si>
  <si>
    <t xml:space="preserve">https://www.udemy.com/javascript-javascript/</t>
  </si>
  <si>
    <t xml:space="preserve">HTML : Beginner Guide to HTML writing</t>
  </si>
  <si>
    <t xml:space="preserve">https://www.udemy.com/html-beginner-guide/</t>
  </si>
  <si>
    <t xml:space="preserve">Ultimate Css &amp; JQuery Form Designing From Beginner to Expert</t>
  </si>
  <si>
    <t xml:space="preserve">https://www.udemy.com/ultimate-css-web-form-designing-from-beginner-to-expert/</t>
  </si>
  <si>
    <t xml:space="preserve">Build Your Startup with No Coding (Design, Develop &amp; Ship)</t>
  </si>
  <si>
    <t xml:space="preserve">https://www.udemy.com/buildastartup/</t>
  </si>
  <si>
    <t xml:space="preserve">Responsive Web Design with HTML5 and CSS3 - Introduction</t>
  </si>
  <si>
    <t xml:space="preserve">https://www.udemy.com/responsive-web-design-with-html5-and-css3-introduction/</t>
  </si>
  <si>
    <t xml:space="preserve">AppML :basics for beginners</t>
  </si>
  <si>
    <t xml:space="preserve">https://www.udemy.com/appml-basics-for-beginners/</t>
  </si>
  <si>
    <t xml:space="preserve">Docker for Developers - Newest Version 1.12 with Swarm Mode</t>
  </si>
  <si>
    <t xml:space="preserve">https://www.udemy.com/docker-for-developers/</t>
  </si>
  <si>
    <t xml:space="preserve">ASP :basics for beginners</t>
  </si>
  <si>
    <t xml:space="preserve">https://www.udemy.com/asp-basics-for-beginners/</t>
  </si>
  <si>
    <t xml:space="preserve">Ajax for Beginners: A Very Basic Introduction</t>
  </si>
  <si>
    <t xml:space="preserve">https://www.udemy.com/ajax-for-beginners-a-very-basic-introduction/</t>
  </si>
  <si>
    <t xml:space="preserve">XSD :basics for beginners</t>
  </si>
  <si>
    <t xml:space="preserve">https://www.udemy.com/xsd-basics-for-beginners/</t>
  </si>
  <si>
    <t xml:space="preserve">Learn to Build Web Apps using Laravel Framework</t>
  </si>
  <si>
    <t xml:space="preserve">https://www.udemy.com/learn-to-build-web-apps-using-laravel-framework/</t>
  </si>
  <si>
    <t xml:space="preserve">How to manage your own VPS and create websites</t>
  </si>
  <si>
    <t xml:space="preserve">https://www.udemy.com/manage-vps/</t>
  </si>
  <si>
    <t xml:space="preserve">The Complete HTML and CSS Course For Beginners</t>
  </si>
  <si>
    <t xml:space="preserve">https://www.udemy.com/the-complete-html-and-css-course-for-beginners/</t>
  </si>
  <si>
    <t xml:space="preserve">Zend Framework 2: Learn the PHP framework ZF2 from scratch</t>
  </si>
  <si>
    <t xml:space="preserve">https://www.udemy.com/zend-framework-2-from-beginner-to-professional/</t>
  </si>
  <si>
    <t xml:space="preserve">Single Page Application of MVC 5 Using AngularJS</t>
  </si>
  <si>
    <t xml:space="preserve">https://www.udemy.com/maruti-spa-angularjs/</t>
  </si>
  <si>
    <t xml:space="preserve">Tumult Hype Pro Basics: HTML5 Animations Made Easier</t>
  </si>
  <si>
    <t xml:space="preserve">https://www.udemy.com/tumult-hype-pro-basics-html5-animations-made-easier/</t>
  </si>
  <si>
    <t xml:space="preserve">RESTful Services with ASP.NET Web API</t>
  </si>
  <si>
    <t xml:space="preserve">https://www.udemy.com/restful-services-with-aspnet-web-api/</t>
  </si>
  <si>
    <t xml:space="preserve">Up and Running with Phalcon</t>
  </si>
  <si>
    <t xml:space="preserve">https://www.udemy.com/up-and-running-with-phalcon-php/</t>
  </si>
  <si>
    <t xml:space="preserve">Building Web Applications with Spring MVC</t>
  </si>
  <si>
    <t xml:space="preserve">https://www.udemy.com/building-web-applications-with-spring-mvc/</t>
  </si>
  <si>
    <t xml:space="preserve">JavaScript For Absolute Beginners - Level One</t>
  </si>
  <si>
    <t xml:space="preserve">https://www.udemy.com/javascript-for-absolute-beginners-level-one/</t>
  </si>
  <si>
    <t xml:space="preserve">JavaScript - Become Higly Paid Front End Developer</t>
  </si>
  <si>
    <t xml:space="preserve">https://www.udemy.com/javascript-become-higly-paid-front-end-developer/</t>
  </si>
  <si>
    <t xml:space="preserve">Master EmberJS : Learn Ember JS From Scratch</t>
  </si>
  <si>
    <t xml:space="preserve">https://www.udemy.com/master-emberjs/</t>
  </si>
  <si>
    <t xml:space="preserve">Angular 2 - Superheroic Framework</t>
  </si>
  <si>
    <t xml:space="preserve">https://www.udemy.com/marutiangular2/</t>
  </si>
  <si>
    <t xml:space="preserve">Mastering JavaScript</t>
  </si>
  <si>
    <t xml:space="preserve">https://www.udemy.com/mastering-javascript/</t>
  </si>
  <si>
    <t xml:space="preserve">Building a Website With Jekyll</t>
  </si>
  <si>
    <t xml:space="preserve">https://www.udemy.com/building-a-website-with-jekyll/</t>
  </si>
  <si>
    <t xml:space="preserve">Professional Web Scraping with Java</t>
  </si>
  <si>
    <t xml:space="preserve">https://www.udemy.com/learn-web-scraping-with-java-in-just-1-hour/</t>
  </si>
  <si>
    <t xml:space="preserve">Laravel, the complete guide with real world projects</t>
  </si>
  <si>
    <t xml:space="preserve">https://www.udemy.com/best-laravel/</t>
  </si>
  <si>
    <t xml:space="preserve">Basic JavaScript: Build 4 Basic JavaScript Projects</t>
  </si>
  <si>
    <t xml:space="preserve">https://www.udemy.com/practical-javascript-javascript-basics/</t>
  </si>
  <si>
    <t xml:space="preserve">Querying Microsoft SQL Server 2012 - (Exam No. 70-461)</t>
  </si>
  <si>
    <t xml:space="preserve">https://www.udemy.com/querying-sql-server-2012-70-461/</t>
  </si>
  <si>
    <t xml:space="preserve">React for visual learners</t>
  </si>
  <si>
    <t xml:space="preserve">https://www.udemy.com/react-for-visual-learners/</t>
  </si>
  <si>
    <t xml:space="preserve">RESTful API with Laravel 5.4: Definitive Guide</t>
  </si>
  <si>
    <t xml:space="preserve">https://www.udemy.com/restful-api-with-laravel-php-homestead-passport-hateoas/</t>
  </si>
  <si>
    <t xml:space="preserve">Building a ASP.NET MVC 5 Membership Website</t>
  </si>
  <si>
    <t xml:space="preserve">https://www.udemy.com/building-a-mvc-5-membership-website/</t>
  </si>
  <si>
    <t xml:space="preserve">Perfect React JS Course - Understand Relevant Details</t>
  </si>
  <si>
    <t xml:space="preserve">https://www.udemy.com/perfect-react-js-course/</t>
  </si>
  <si>
    <t xml:space="preserve">Angularjs-WebApi2-EFCodeFirst Web App On 3-Tier Architecture</t>
  </si>
  <si>
    <t xml:space="preserve">https://www.udemy.com/angularjs-webapi2-efcodefirst-web-app-on-3-tier-architecture/</t>
  </si>
  <si>
    <t xml:space="preserve">JavaScript Promises: Applications in ES6 and AngularJS</t>
  </si>
  <si>
    <t xml:space="preserve">https://www.udemy.com/javascript-promises-applications-in-es6-and-angularjs/</t>
  </si>
  <si>
    <t xml:space="preserve">Supercharging Development With Atom Text Editor</t>
  </si>
  <si>
    <t xml:space="preserve">https://www.udemy.com/atom-text-editor/</t>
  </si>
  <si>
    <t xml:space="preserve">Projects in Foundation Framework - Learn By Building 10 Apps</t>
  </si>
  <si>
    <t xml:space="preserve">https://www.udemy.com/foundation-framework-course/</t>
  </si>
  <si>
    <t xml:space="preserve">Shopping Cart Website from Scratch Ecommerce</t>
  </si>
  <si>
    <t xml:space="preserve">https://www.udemy.com/shopping-cart/</t>
  </si>
  <si>
    <t xml:space="preserve">Learn Knockout JS Framework from GroundUp</t>
  </si>
  <si>
    <t xml:space="preserve">https://www.udemy.com/learn-knockout-js-framework-from-groundup/</t>
  </si>
  <si>
    <t xml:space="preserve">Learning Axure RP</t>
  </si>
  <si>
    <t xml:space="preserve">https://www.udemy.com/learning-axure-rp/</t>
  </si>
  <si>
    <t xml:space="preserve">HTML5, CSS3 And JavaScript Fundamentals 2016</t>
  </si>
  <si>
    <t xml:space="preserve">https://www.udemy.com/html5-css3-and-javascript-fundamentals-2016/</t>
  </si>
  <si>
    <t xml:space="preserve">Build Web Apps Using EmberJS: The Complete Course</t>
  </si>
  <si>
    <t xml:space="preserve">https://www.udemy.com/build-web-apps-using-emberjs-the-complete-course/</t>
  </si>
  <si>
    <t xml:space="preserve">Master ASP . NET 4 from scratch</t>
  </si>
  <si>
    <t xml:space="preserve">https://www.udemy.com/masteraspnet/</t>
  </si>
  <si>
    <t xml:space="preserve">JavaScript Tutorial</t>
  </si>
  <si>
    <t xml:space="preserve">https://www.udemy.com/lets-learn-javascript-by-coding/</t>
  </si>
  <si>
    <t xml:space="preserve">Getting Started with Magento</t>
  </si>
  <si>
    <t xml:space="preserve">https://www.udemy.com/getting-started-with-magento/</t>
  </si>
  <si>
    <t xml:space="preserve">Learn Laravel: Create Your Web App Step-By-Step</t>
  </si>
  <si>
    <t xml:space="preserve">https://www.udemy.com/laravel-5-course-learn-php-laravel/</t>
  </si>
  <si>
    <t xml:space="preserve">ASP.NET C# - Enterprise Web Systems From Novice to Expert</t>
  </si>
  <si>
    <t xml:space="preserve">https://www.udemy.com/aspnet-c-enterprise-web-systems-from-novice-to-expert/</t>
  </si>
  <si>
    <t xml:space="preserve">Vue JS 2: From Beginner to Professional</t>
  </si>
  <si>
    <t xml:space="preserve">https://www.udemy.com/vuejs-from-beginner-to-professional/</t>
  </si>
  <si>
    <t xml:space="preserve">Cross-Platform Development with ASP.NET Core 1.0 MVC</t>
  </si>
  <si>
    <t xml:space="preserve">https://www.udemy.com/crossplatformaspnetcoremvc/</t>
  </si>
  <si>
    <t xml:space="preserve">PHP CodeIgniter:CRUD concepts in MVC</t>
  </si>
  <si>
    <t xml:space="preserve">https://www.udemy.com/codeignitercrud-concepts-in-mvc/</t>
  </si>
  <si>
    <t xml:space="preserve">Master Angular 4 by Example - Build 7 Awesome Apps!</t>
  </si>
  <si>
    <t xml:space="preserve">https://www.udemy.com/learn-angular-4/</t>
  </si>
  <si>
    <t xml:space="preserve">Create Newsletter Subscription Form with PHP/AJAX in 40 Min</t>
  </si>
  <si>
    <t xml:space="preserve">https://www.udemy.com/php-ajax-form-with-validation-email-ip-tracking-in-40-minutes/</t>
  </si>
  <si>
    <t xml:space="preserve">Administering Microsoft SQL Server 2012 Databases - 70-462</t>
  </si>
  <si>
    <t xml:space="preserve">https://www.udemy.com/administering-microsoft-sql-server-2012-databases-70-462/</t>
  </si>
  <si>
    <t xml:space="preserve">Learning Docker and Kubernetes by Lab</t>
  </si>
  <si>
    <t xml:space="preserve">https://www.udemy.com/learning-docker-and-k8s-by-practice/</t>
  </si>
  <si>
    <t xml:space="preserve">Joomla for Beginners - Learn how to build a website with CMS</t>
  </si>
  <si>
    <t xml:space="preserve">https://www.udemy.com/joomla-for-beginners-build-a-website-with-joomla-cms/</t>
  </si>
  <si>
    <t xml:space="preserve">Advance Unix : File Processing: AWK | SED | GREP | CUT | VIM</t>
  </si>
  <si>
    <t xml:space="preserve">https://www.udemy.com/advance-unix-commands/</t>
  </si>
  <si>
    <t xml:space="preserve">Professional RESTful API Design using Python Flask</t>
  </si>
  <si>
    <t xml:space="preserve">https://www.udemy.com/restful-api-flask-course/</t>
  </si>
  <si>
    <t xml:space="preserve">How to create Paypal and Credit card Payment Buttons</t>
  </si>
  <si>
    <t xml:space="preserve">https://www.udemy.com/how-to-create-paypal-and-credit-card-payment-buttons/</t>
  </si>
  <si>
    <t xml:space="preserve">Learning Drupal 8</t>
  </si>
  <si>
    <t xml:space="preserve">https://www.udemy.com/learning-drupal-8/</t>
  </si>
  <si>
    <t xml:space="preserve">Lerning PHP by building website</t>
  </si>
  <si>
    <t xml:space="preserve">https://www.udemy.com/lerning-php-by-building-website/</t>
  </si>
  <si>
    <t xml:space="preserve">HTML and HTML5 For Beginners 2016</t>
  </si>
  <si>
    <t xml:space="preserve">https://www.udemy.com/html-and-html5-for-beginners-2016/</t>
  </si>
  <si>
    <t xml:space="preserve">Learn Laravel PHP Framework Building Multi User SEO Blog APP</t>
  </si>
  <si>
    <t xml:space="preserve">https://www.udemy.com/learn-laravel-php-framework-building-multi-user-seo-blog-app/</t>
  </si>
  <si>
    <t xml:space="preserve">Create a Membership Site with Wishlist Member &amp; Wordpress</t>
  </si>
  <si>
    <t xml:space="preserve">https://www.udemy.com/create-a-membership-site-with-wishlist-member/</t>
  </si>
  <si>
    <t xml:space="preserve">Building Better APIs with GraphQL</t>
  </si>
  <si>
    <t xml:space="preserve">https://www.udemy.com/building-better-apis-with-graphql/</t>
  </si>
  <si>
    <t xml:space="preserve">Learn Redis from Scratch</t>
  </si>
  <si>
    <t xml:space="preserve">https://www.udemy.com/learn-redis-from-scratch/</t>
  </si>
  <si>
    <t xml:space="preserve">Master the Art of Web Design with HTML &amp; CSS</t>
  </si>
  <si>
    <t xml:space="preserve">https://www.udemy.com/html-css-beginners/</t>
  </si>
  <si>
    <t xml:space="preserve">ASP.NET MVC 5 Project - CMS and Shopping Cart with Paypal</t>
  </si>
  <si>
    <t xml:space="preserve">https://www.udemy.com/aspnet-mvc-5-project-cms-and-shopping-cart-with-paypal/</t>
  </si>
  <si>
    <t xml:space="preserve">3D Programming with WebGL and Babylon.js for Beginners</t>
  </si>
  <si>
    <t xml:space="preserve">https://www.udemy.com/webgl-tutorial/</t>
  </si>
  <si>
    <t xml:space="preserve">Learn OAuth 2.0 - Theory and Hands On</t>
  </si>
  <si>
    <t xml:space="preserve">https://www.udemy.com/learn-oauth-20-theory-and-hands-on/</t>
  </si>
  <si>
    <t xml:space="preserve">Create Ajax Chat App with PHP &amp; Mysql</t>
  </si>
  <si>
    <t xml:space="preserve">https://www.udemy.com/create-ajax-chat-app-with-php-mysql/</t>
  </si>
  <si>
    <t xml:space="preserve">Convert HTML Websites into PHP: Learn by Doing in 40 Minutes</t>
  </si>
  <si>
    <t xml:space="preserve">https://www.udemy.com/convert-static-websites-from-html-to-php-for-web-designers/</t>
  </si>
  <si>
    <t xml:space="preserve">The All-In-One Web Development Course</t>
  </si>
  <si>
    <t xml:space="preserve">https://www.udemy.com/the-all-in-one-web-development-course/</t>
  </si>
  <si>
    <t xml:space="preserve">Django For Beginners</t>
  </si>
  <si>
    <t xml:space="preserve">https://www.udemy.com/django-for-beginners/</t>
  </si>
  <si>
    <t xml:space="preserve">Learning Object-Oriented JavaScript</t>
  </si>
  <si>
    <t xml:space="preserve">https://www.udemy.com/learning-object-oriented-javascript/</t>
  </si>
  <si>
    <t xml:space="preserve">Java Spring Security</t>
  </si>
  <si>
    <t xml:space="preserve">https://www.udemy.com/how-to-use-spring-security-to-secure-your-java-applications/</t>
  </si>
  <si>
    <t xml:space="preserve">Learn Spring Framework Practically - Hands On Recipies</t>
  </si>
  <si>
    <t xml:space="preserve">https://www.udemy.com/learn-spring-framework-practically-hands-on-recipies/</t>
  </si>
  <si>
    <t xml:space="preserve">Learn and Build using Polymer</t>
  </si>
  <si>
    <t xml:space="preserve">https://www.udemy.com/learn-and-build-using-polymer/</t>
  </si>
  <si>
    <t xml:space="preserve">PHP Laravel 5:Creating a CRUD application</t>
  </si>
  <si>
    <t xml:space="preserve">https://www.udemy.com/laravel-5creating-a-crud-application/</t>
  </si>
  <si>
    <t xml:space="preserve">Modern Web Development with SASS, Gulp, NPM &amp; Web Workflows</t>
  </si>
  <si>
    <t xml:space="preserve">https://www.udemy.com/modern-web-development-with-sass-gulp-npm-web-workflows/</t>
  </si>
  <si>
    <t xml:space="preserve">Learn Grunt with Examples: Automate Your Front End Workflow</t>
  </si>
  <si>
    <t xml:space="preserve">https://www.udemy.com/learn-grunt-automate-your-front-end-workflow/</t>
  </si>
  <si>
    <t xml:space="preserve">Mastering Meteor: Reactive Full Stack JavaScript</t>
  </si>
  <si>
    <t xml:space="preserve">https://www.udemy.com/mastering-meteor-reactive-full-stack-javascript/</t>
  </si>
  <si>
    <t xml:space="preserve">CSS Specialist: Comprehensive CSS Training</t>
  </si>
  <si>
    <t xml:space="preserve">https://www.udemy.com/css-specialist-comprehensive-css-training/</t>
  </si>
  <si>
    <t xml:space="preserve">Build a Single Page Application with jQuery &amp; AJAX</t>
  </si>
  <si>
    <t xml:space="preserve">https://www.udemy.com/jquery-ajax/</t>
  </si>
  <si>
    <t xml:space="preserve">Build an Advanced Single Page with Bootstrap &amp; WordPress</t>
  </si>
  <si>
    <t xml:space="preserve">https://www.udemy.com/single-page-design-with-bootstrap-css-html5-js-parallax/</t>
  </si>
  <si>
    <t xml:space="preserve">Wordpress Backup &amp; Restore</t>
  </si>
  <si>
    <t xml:space="preserve">https://www.udemy.com/wordpress-backup-restore/</t>
  </si>
  <si>
    <t xml:space="preserve">Become A Full Stack Web Developer in 14 Days</t>
  </si>
  <si>
    <t xml:space="preserve">https://www.udemy.com/become-a-full-stack-web-developer-in-14-days/</t>
  </si>
  <si>
    <t xml:space="preserve">Symfony 3: Build a PHP Application with Symfony</t>
  </si>
  <si>
    <t xml:space="preserve">https://www.udemy.com/learn-symfony/</t>
  </si>
  <si>
    <t xml:space="preserve">Mastering AngularJS UI Development</t>
  </si>
  <si>
    <t xml:space="preserve">https://www.udemy.com/mastering-angularjs-ui-development/</t>
  </si>
  <si>
    <t xml:space="preserve">Codeless Website Development with Adobe Muse</t>
  </si>
  <si>
    <t xml:space="preserve">https://www.udemy.com/codeless-website-development-with-adobe-muse/</t>
  </si>
  <si>
    <t xml:space="preserve">JavaScript High Performance</t>
  </si>
  <si>
    <t xml:space="preserve">https://www.udemy.com/javascript-high-performance/</t>
  </si>
  <si>
    <t xml:space="preserve">Advance Unix : File Processing: AWK | GREP | VIM</t>
  </si>
  <si>
    <t xml:space="preserve">https://www.udemy.com/advance-unix-file-processing/</t>
  </si>
  <si>
    <t xml:space="preserve">Angular 2 Fundamentals for Web Developers</t>
  </si>
  <si>
    <t xml:space="preserve">https://www.udemy.com/angular-2-fundamentals-for-web-developers/</t>
  </si>
  <si>
    <t xml:space="preserve">Learn Web Development by Creating a Social Network</t>
  </si>
  <si>
    <t xml:space="preserve">https://www.udemy.com/meteor-tutorial/</t>
  </si>
  <si>
    <t xml:space="preserve">Build A Stock Downloader With Visual Studio 2015 And C#</t>
  </si>
  <si>
    <t xml:space="preserve">https://www.udemy.com/csharpyahoostockdownloader/</t>
  </si>
  <si>
    <t xml:space="preserve">Learn To Build Apps Using Play Framework</t>
  </si>
  <si>
    <t xml:space="preserve">https://www.udemy.com/learn-to-build-apps-using-play-framework/</t>
  </si>
  <si>
    <t xml:space="preserve">Devtools 2017: Beginner to Expert w/ Chrome Developer Tools</t>
  </si>
  <si>
    <t xml:space="preserve">https://www.udemy.com/master-google-chrome-developer-tools/</t>
  </si>
  <si>
    <t xml:space="preserve">XML XSLT - Crash Course for Beginners</t>
  </si>
  <si>
    <t xml:space="preserve">https://www.udemy.com/xml-xslt-crash-course-for-beginners/</t>
  </si>
  <si>
    <t xml:space="preserve">XML XQuery - Crash Course for Beginners</t>
  </si>
  <si>
    <t xml:space="preserve">https://www.udemy.com/xml-xquery-crash-course-for-beginners/</t>
  </si>
  <si>
    <t xml:space="preserve">JavaScript For Absolute Beginners - Level Two</t>
  </si>
  <si>
    <t xml:space="preserve">https://www.udemy.com/javascript-for-absolute-beginners-level-two/</t>
  </si>
  <si>
    <t xml:space="preserve">Master Typescript : Learn Typescript from scratch</t>
  </si>
  <si>
    <t xml:space="preserve">https://www.udemy.com/master-typescript/</t>
  </si>
  <si>
    <t xml:space="preserve">jQuery UI Ultimate:Design Amazing Interfaces Using jQuery UI</t>
  </si>
  <si>
    <t xml:space="preserve">https://www.udemy.com/jquery-ui-ultimatedesign-amazing-interfaces-using-jquery-ui/</t>
  </si>
  <si>
    <t xml:space="preserve">Create a MEAN App by Example - Full Stack Course</t>
  </si>
  <si>
    <t xml:space="preserve">https://www.udemy.com/full-stack-course-mean-app/</t>
  </si>
  <si>
    <t xml:space="preserve">Mastering ASP.NET MVC 5 From Scratch Using C#</t>
  </si>
  <si>
    <t xml:space="preserve">https://www.udemy.com/masteringaspnetmvc5/</t>
  </si>
  <si>
    <t xml:space="preserve">Master WCF 4.0 From Scratch Using C#</t>
  </si>
  <si>
    <t xml:space="preserve">https://www.udemy.com/masterwcf/</t>
  </si>
  <si>
    <t xml:space="preserve">Javascript Specialist</t>
  </si>
  <si>
    <t xml:space="preserve">https://www.udemy.com/javascript-specialist/</t>
  </si>
  <si>
    <t xml:space="preserve">Sara Learns to Code. Making an App from Scratch</t>
  </si>
  <si>
    <t xml:space="preserve">https://www.udemy.com/sara-learns-to-code-making-an-app-from-scratch/</t>
  </si>
  <si>
    <t xml:space="preserve">Professional CSS Flexbox</t>
  </si>
  <si>
    <t xml:space="preserve">https://www.udemy.com/css-flexbox/</t>
  </si>
  <si>
    <t xml:space="preserve">XML DOM - Crash Course for Beginners</t>
  </si>
  <si>
    <t xml:space="preserve">https://www.udemy.com/xml-dom-crash-course-for-beginners/</t>
  </si>
  <si>
    <t xml:space="preserve">Learn Facebook Flux Architecture for Web Applications</t>
  </si>
  <si>
    <t xml:space="preserve">https://www.udemy.com/learn-facebook-flux-architecture-for-web-applications/</t>
  </si>
  <si>
    <t xml:space="preserve">JavaScript from Beginner to Advanced</t>
  </si>
  <si>
    <t xml:space="preserve">https://www.udemy.com/javascript-from-beginner-to-advanced/</t>
  </si>
  <si>
    <t xml:space="preserve">Introducing Ionic 2</t>
  </si>
  <si>
    <t xml:space="preserve">https://www.udemy.com/introducing-ionic-2/</t>
  </si>
  <si>
    <t xml:space="preserve">Build Wordpress CMS Clone with Laravel 5</t>
  </si>
  <si>
    <t xml:space="preserve">https://www.udemy.com/build-blog-cms-with-laravel-5/</t>
  </si>
  <si>
    <t xml:space="preserve">ASP.NET Core MVC, Quick and Practical</t>
  </si>
  <si>
    <t xml:space="preserve">https://www.udemy.com/aspnet-core-mvc-quick-and-practical/</t>
  </si>
  <si>
    <t xml:space="preserve">Build A YouTube Downloader With C# And GitHub</t>
  </si>
  <si>
    <t xml:space="preserve">https://www.udemy.com/youtubedownloader/</t>
  </si>
  <si>
    <t xml:space="preserve">jQuery UI in Action: Build 5 jQuery UI Projects</t>
  </si>
  <si>
    <t xml:space="preserve">https://www.udemy.com/jquery-ui-practical-build-jquery-ui-projects/</t>
  </si>
  <si>
    <t xml:space="preserve">Let's JavaScript! Code a calculator</t>
  </si>
  <si>
    <t xml:space="preserve">https://www.udemy.com/lets-javascript-beginners-coding-projects/</t>
  </si>
  <si>
    <t xml:space="preserve">Sending email with PHP: from Basic to Advanced</t>
  </si>
  <si>
    <t xml:space="preserve">https://www.udemy.com/php-email/</t>
  </si>
  <si>
    <t xml:space="preserve">Master all PHP ideas 2017 to build any project</t>
  </si>
  <si>
    <t xml:space="preserve">https://www.udemy.com/master-all-php-ideas-2017-to-build-any-project/</t>
  </si>
  <si>
    <t xml:space="preserve">Laravel : CRUD Application Using AJAX In Laravel 5.3</t>
  </si>
  <si>
    <t xml:space="preserve">https://www.udemy.com/laravel-53-crud-application-with-ajax/</t>
  </si>
  <si>
    <t xml:space="preserve">Ready for Production with Spring Boot Actuator</t>
  </si>
  <si>
    <t xml:space="preserve">https://www.udemy.com/ready-for-production-with-spring-boot-actuator/</t>
  </si>
  <si>
    <t xml:space="preserve">Ruby on Rails Foundations</t>
  </si>
  <si>
    <t xml:space="preserve">https://www.udemy.com/how-to-learn-ruby-on-rails/</t>
  </si>
  <si>
    <t xml:space="preserve">Mastering Unix : AWK Commands</t>
  </si>
  <si>
    <t xml:space="preserve">https://www.udemy.com/mastering-unix-commands/</t>
  </si>
  <si>
    <t xml:space="preserve">Mastering TypeScript</t>
  </si>
  <si>
    <t xml:space="preserve">https://www.udemy.com/mastering-typescript/</t>
  </si>
  <si>
    <t xml:space="preserve">HTML5 and CSS3: Learn Web Design with HTML + CSS + Bootstrap</t>
  </si>
  <si>
    <t xml:space="preserve">https://www.udemy.com/html-css-bootstrap-build-your-first-website-today/</t>
  </si>
  <si>
    <t xml:space="preserve">Build Websites from Scratch with Squarespace</t>
  </si>
  <si>
    <t xml:space="preserve">https://www.udemy.com/build-websites-from-scratch-with-squarespace/</t>
  </si>
  <si>
    <t xml:space="preserve">Advance JavaScript for Coders: Learn OOP in JavaScript</t>
  </si>
  <si>
    <t xml:space="preserve">https://www.udemy.com/advance-javascript-for-coders-learn-oop-in-javascript/</t>
  </si>
  <si>
    <t xml:space="preserve">The Most Comprehensive Web Development Course</t>
  </si>
  <si>
    <t xml:space="preserve">https://www.udemy.com/comprehensive-web-developer-course/</t>
  </si>
  <si>
    <t xml:space="preserve">Learn HTML in 59 Minutes - Your intro to front-end dev</t>
  </si>
  <si>
    <t xml:space="preserve">https://www.udemy.com/learn-html-in-59-minutes/</t>
  </si>
  <si>
    <t xml:space="preserve">17 Complete JavaScript projects explained step by step</t>
  </si>
  <si>
    <t xml:space="preserve">https://www.udemy.com/17-complete-javascript-projects-explained-step-by-step/</t>
  </si>
  <si>
    <t xml:space="preserve">Learn to Build Web Apps using UnderscoreJS : Code Like a Pro</t>
  </si>
  <si>
    <t xml:space="preserve">https://www.udemy.com/learn-to-build-web-apps-using-underscorejs-code-like-a-pro/</t>
  </si>
  <si>
    <t xml:space="preserve">Build a Complete Registration and Login System using PHP MVC</t>
  </si>
  <si>
    <t xml:space="preserve">https://www.udemy.com/php-mvc-login/</t>
  </si>
  <si>
    <t xml:space="preserve">Create free, fast and secure static website</t>
  </si>
  <si>
    <t xml:space="preserve">https://www.udemy.com/create-free-fast-and-secure-static-website/</t>
  </si>
  <si>
    <t xml:space="preserve">Fundamentals of Angular 2 Full Stack Design</t>
  </si>
  <si>
    <t xml:space="preserve">https://www.udemy.com/fundamentals-of-angular-2-full-stack-design/</t>
  </si>
  <si>
    <t xml:space="preserve">How To Design A WordPress Website With No Coding At All</t>
  </si>
  <si>
    <t xml:space="preserve">https://www.udemy.com/how-to-make-a-wordpress-website-course/</t>
  </si>
  <si>
    <t xml:space="preserve">WordPress Theme Customization 101 (for beginners)</t>
  </si>
  <si>
    <t xml:space="preserve">https://www.udemy.com/wordpress-theme-customization-101-for-beginners/</t>
  </si>
  <si>
    <t xml:space="preserve">Learn Authentication With ASP.NET Identity Security 2017</t>
  </si>
  <si>
    <t xml:space="preserve">https://www.udemy.com/learn-authentication-with-aspnet-identity-security-2016/</t>
  </si>
  <si>
    <t xml:space="preserve">Advanced WordPress Topics: Post Types Taxonomies &amp; Metaboxes</t>
  </si>
  <si>
    <t xml:space="preserve">https://www.udemy.com/advanced-wordpress-topics-post-types-taxonomies-metaboxes/</t>
  </si>
  <si>
    <t xml:space="preserve">Web Application Development using Redis, Express, and Socket</t>
  </si>
  <si>
    <t xml:space="preserve">https://www.udemy.com/web-application-development-using-redis-express-and-socket/</t>
  </si>
  <si>
    <t xml:space="preserve">CSS Animations: Create Amazing Effects on Your Website</t>
  </si>
  <si>
    <t xml:space="preserve">https://www.udemy.com/css-animations-create-amazing-effects-on-your-website/</t>
  </si>
  <si>
    <t xml:space="preserve">Master Riot: Learn Riot.js from Scratch</t>
  </si>
  <si>
    <t xml:space="preserve">https://www.udemy.com/master-riot/</t>
  </si>
  <si>
    <t xml:space="preserve">Custom Theme Creation for WordPress using HTML5 and CSS3</t>
  </si>
  <si>
    <t xml:space="preserve">https://www.udemy.com/custom-theme-creation-for-wordpress/</t>
  </si>
  <si>
    <t xml:space="preserve">Building Data Visualizations with D3 and Angular 2</t>
  </si>
  <si>
    <t xml:space="preserve">https://www.udemy.com/building-data-visualizations-with-d3-and-angular-2/</t>
  </si>
  <si>
    <t xml:space="preserve">WordPress Development With NodeJS, Gulp, Composer &amp; More</t>
  </si>
  <si>
    <t xml:space="preserve">https://www.udemy.com/wordpress-development-with-nodejs-gulpjs-composer-sass-more/</t>
  </si>
  <si>
    <t xml:space="preserve">Learn Bootstrap 4 The Most Popular HTML5 CSS3 &amp; JS Framework</t>
  </si>
  <si>
    <t xml:space="preserve">https://www.udemy.com/learn-bootstrap-4-the-most-popular-html5-css3-js-framework/</t>
  </si>
  <si>
    <t xml:space="preserve">Learn Laravel with Database Migration &amp; Seeding &amp; Faker</t>
  </si>
  <si>
    <t xml:space="preserve">https://www.udemy.com/laravel-53-migra-migration-seeding-faker-tinker/</t>
  </si>
  <si>
    <t xml:space="preserve">Popular JavaScript Framework:Learn The Language Of Angular 2</t>
  </si>
  <si>
    <t xml:space="preserve">https://www.udemy.com/popular-javascript-frameworklearn-the-language-of-angular-2/</t>
  </si>
  <si>
    <t xml:space="preserve">How to Build an Autocomplete System Like Google</t>
  </si>
  <si>
    <t xml:space="preserve">https://www.udemy.com/how-to-build-an-autocomplete-system-using-javascript-and-php/</t>
  </si>
  <si>
    <t xml:space="preserve">Bootstrap Bootcamp - Responsive web development- 8 projects</t>
  </si>
  <si>
    <t xml:space="preserve">https://www.udemy.com/bootstrap-bootcamp-with-projects/</t>
  </si>
  <si>
    <t xml:space="preserve">Webpack 1 &amp; 2 - The Complete Guide</t>
  </si>
  <si>
    <t xml:space="preserve">https://www.udemy.com/webpack-complete-guide/</t>
  </si>
  <si>
    <t xml:space="preserve">Build A Web App with VueJS, Spring Framework and MongoDB</t>
  </si>
  <si>
    <t xml:space="preserve">https://www.udemy.com/build-a-message-board-app-with-vue-spring-and-mongodb/</t>
  </si>
  <si>
    <t xml:space="preserve">Wordpress on AWS: The Easy way to AWS for Free Fast hosting</t>
  </si>
  <si>
    <t xml:space="preserve">https://www.udemy.com/wordpress-on-aws-the-easy-way-to-aws-for-free-fast-hosting-amazon/</t>
  </si>
  <si>
    <t xml:space="preserve">The Complete JavaScript, HTML and CSS Tutorial For Beginners</t>
  </si>
  <si>
    <t xml:space="preserve">https://www.udemy.com/the-complete-javascript-html-and-css-tutorial-for-beginners/</t>
  </si>
  <si>
    <t xml:space="preserve">Modern E-Commerce Store In php &amp; mysqli With Bootstrap</t>
  </si>
  <si>
    <t xml:space="preserve">https://www.udemy.com/modern-e-commerce-store-in-php-mysqli-with-bootstrap/</t>
  </si>
  <si>
    <t xml:space="preserve">HTTP Clients with Laravel: Use and Consume Services and APIs</t>
  </si>
  <si>
    <t xml:space="preserve">https://www.udemy.com/http-clients-with-laravel-use-and-consume-services-and-apis/</t>
  </si>
  <si>
    <t xml:space="preserve">The Complete TypeScript Programming Guide for Web Developers</t>
  </si>
  <si>
    <t xml:space="preserve">https://www.udemy.com/typescript-programming/</t>
  </si>
  <si>
    <t xml:space="preserve">Angular Advanced MasterClass &amp; FREE E-Book</t>
  </si>
  <si>
    <t xml:space="preserve">https://www.udemy.com/angular-advanced-masterclass/</t>
  </si>
  <si>
    <t xml:space="preserve">Learn Spring Security 4 Intermediate - Hands On</t>
  </si>
  <si>
    <t xml:space="preserve">https://www.udemy.com/learn-spring-security-4-intermediate-hands-on/</t>
  </si>
  <si>
    <t xml:space="preserve">Build Complex Express Sites with Redis and Socket IO</t>
  </si>
  <si>
    <t xml:space="preserve">https://www.udemy.com/build-complex-express-sites-with-redis-and-socket-io/</t>
  </si>
  <si>
    <t xml:space="preserve">Web Development With Google Maps</t>
  </si>
  <si>
    <t xml:space="preserve">https://www.udemy.com/webdevelopmentwithgooglemaps/</t>
  </si>
  <si>
    <t xml:space="preserve">Learn Spring Security 4 Basics - Hands On</t>
  </si>
  <si>
    <t xml:space="preserve">https://www.udemy.com/learn-spring-security-4-basics-hands-on/</t>
  </si>
  <si>
    <t xml:space="preserve">Rails Ecommerce App with HTML Template from Themeforest</t>
  </si>
  <si>
    <t xml:space="preserve">https://www.udemy.com/rails-ecommerce-app-with-html-template-from-themeforest/</t>
  </si>
  <si>
    <t xml:space="preserve">ASP.NET MVC 5 Project - Facebook Clone</t>
  </si>
  <si>
    <t xml:space="preserve">https://www.udemy.com/aspnet-mvc-5-project-facebook-clone/</t>
  </si>
  <si>
    <t xml:space="preserve">Creating Custom Web Maps</t>
  </si>
  <si>
    <t xml:space="preserve">https://www.udemy.com/creating-custom-web-maps/</t>
  </si>
  <si>
    <t xml:space="preserve">Learn Reactivex From Ground Up</t>
  </si>
  <si>
    <t xml:space="preserve">https://www.udemy.com/learn-reactivex-from-ground-up/</t>
  </si>
  <si>
    <t xml:space="preserve">Introduction to web programming for GIS applications</t>
  </si>
  <si>
    <t xml:space="preserve">https://www.udemy.com/introduction-to-web-programming-for-gis-applications/</t>
  </si>
  <si>
    <t xml:space="preserve">Learn Web Animation the Easy Way: An Intro to SVG and GSAP</t>
  </si>
  <si>
    <t xml:space="preserve">https://www.udemy.com/learn-web-animation-with-svg-and-gsap/</t>
  </si>
  <si>
    <t xml:space="preserve">Introduction to QGIS Python Programming</t>
  </si>
  <si>
    <t xml:space="preserve">https://www.udemy.com/introduction-to-qgis-python-programming/</t>
  </si>
  <si>
    <t xml:space="preserve">PHP Specialist (2017 Edition)</t>
  </si>
  <si>
    <t xml:space="preserve">https://www.udemy.com/php-specialist-2017/</t>
  </si>
  <si>
    <t xml:space="preserve">HTML/CSS Bootcamp</t>
  </si>
  <si>
    <t xml:space="preserve">https://www.udemy.com/html-css-code-bootcamp/</t>
  </si>
  <si>
    <t xml:space="preserve">Flexbox: The complete guide</t>
  </si>
  <si>
    <t xml:space="preserve">https://www.udemy.com/flexbox-the-complete-guide/</t>
  </si>
  <si>
    <t xml:space="preserve">How to Build WordPress Themes: A Web Designer's Guide</t>
  </si>
  <si>
    <t xml:space="preserve">https://www.udemy.com/how-to-build-wordpress-themes/</t>
  </si>
  <si>
    <t xml:space="preserve">For Free - Deploy Quickly Spring Boot on Heroku With MySQL</t>
  </si>
  <si>
    <t xml:space="preserve">https://www.udemy.com/learn-quickly-deploying-spring-boot-app-on-heroku-with-mysql/</t>
  </si>
  <si>
    <t xml:space="preserve">Django by Example</t>
  </si>
  <si>
    <t xml:space="preserve">https://www.udemy.com/django-by-example/</t>
  </si>
  <si>
    <t xml:space="preserve">Building Web Apps Using Flask and Neo4j</t>
  </si>
  <si>
    <t xml:space="preserve">https://www.udemy.com/building-web-apps-using-flask-and-neo4j/</t>
  </si>
  <si>
    <t xml:space="preserve">Build a Chatbot integrated Website using Bootstrap 4</t>
  </si>
  <si>
    <t xml:space="preserve">https://www.udemy.com/build-a-chatbot-integrated-website-using-bootstrap-4/</t>
  </si>
  <si>
    <t xml:space="preserve">Learning Path: Magento: Master and Test Magento 2 with Ease</t>
  </si>
  <si>
    <t xml:space="preserve">https://www.udemy.com/learning-path-magento-master-and-test-magento-2-with-ease/</t>
  </si>
  <si>
    <t xml:space="preserve">Object Orientation in PHP</t>
  </si>
  <si>
    <t xml:space="preserve">https://www.udemy.com/object-orientation/</t>
  </si>
  <si>
    <t xml:space="preserve">Whatâ€™s New in Bootstrap 4</t>
  </si>
  <si>
    <t xml:space="preserve">https://www.udemy.com/bootstrap4/</t>
  </si>
  <si>
    <t xml:space="preserve">The Ultimate Guide to the Best WordPress Plugins Part 1</t>
  </si>
  <si>
    <t xml:space="preserve">https://www.udemy.com/wordpress-plugins-a-guide-on-the-best-plugins-part-1/</t>
  </si>
  <si>
    <t xml:space="preserve">Projects in Laravel: Learn Laravel Building 10 Projects</t>
  </si>
  <si>
    <t xml:space="preserve">https://www.udemy.com/projects-in-laravel-learn-laravel-building-10-projects/</t>
  </si>
  <si>
    <t xml:space="preserve">Learn To Build A Google Map App Using Angular 2</t>
  </si>
  <si>
    <t xml:space="preserve">https://www.udemy.com/learn-to-build-a-google-map-app-using-angular-2/</t>
  </si>
  <si>
    <t xml:space="preserve">HTML5 And CSS3 - Build Modern Responsive Websites</t>
  </si>
  <si>
    <t xml:space="preserve">https://www.udemy.com/html5-and-css3-build-modern-responsive-websites/</t>
  </si>
  <si>
    <t xml:space="preserve">WordPress Development - Themes and Plugins Complete Guide</t>
  </si>
  <si>
    <t xml:space="preserve">https://www.udemy.com/wordpress-theme-and-plugin-development-course/</t>
  </si>
  <si>
    <t xml:space="preserve">Master Angular 2 - The No Nonsense Course</t>
  </si>
  <si>
    <t xml:space="preserve">https://www.udemy.com/angular-2-tutorial/</t>
  </si>
  <si>
    <t xml:space="preserve">Learning Path: React: Make Stunning React Websites</t>
  </si>
  <si>
    <t xml:space="preserve">https://www.udemy.com/learning-path-react-make-stunning-react-websites/</t>
  </si>
  <si>
    <t xml:space="preserve">Learning Path: Akka: Building Applications and Microservices</t>
  </si>
  <si>
    <t xml:space="preserve">https://www.udemy.com/learning-path-akka-building-applications-and-microservices/</t>
  </si>
  <si>
    <t xml:space="preserve">Adobe Experience Manager CMS Basics</t>
  </si>
  <si>
    <t xml:space="preserve">https://www.udemy.com/adobe-experience-manager-basics/</t>
  </si>
  <si>
    <t xml:space="preserve">Node:js : Building Rest Apis with Sails.js</t>
  </si>
  <si>
    <t xml:space="preserve">https://www.udemy.com/building-rest-apis-with-sailsjs-and-nodejs/</t>
  </si>
  <si>
    <t xml:space="preserve">Set up a localhost Web Server for Faster Website Development</t>
  </si>
  <si>
    <t xml:space="preserve">https://www.udemy.com/localhost-web-server/</t>
  </si>
  <si>
    <t xml:space="preserve">Learning Path: The Road to Elasticsearch</t>
  </si>
  <si>
    <t xml:space="preserve">https://www.udemy.com/learning-path-the-road-to-elasticsearch/</t>
  </si>
  <si>
    <t xml:space="preserve">Angular 4 Front To Back</t>
  </si>
  <si>
    <t xml:space="preserve">https://www.udemy.com/angular-4-front-to-back/</t>
  </si>
  <si>
    <t xml:space="preserve">Essentials of Spring 5.0 for Developers</t>
  </si>
  <si>
    <t xml:space="preserve">https://www.udemy.com/essentials-of-spring-50-for-developers/</t>
  </si>
  <si>
    <t xml:space="preserve">Display and analyze GIS data on the web with Leaflet.js</t>
  </si>
  <si>
    <t xml:space="preserve">https://www.udemy.com/display-and-analyze-gis-data-on-the-web/</t>
  </si>
  <si>
    <t xml:space="preserve">Learning Path: Web Applications with Spring and Angular</t>
  </si>
  <si>
    <t xml:space="preserve">https://www.udemy.com/learning-path-web-applications-with-spring-and-angular/</t>
  </si>
  <si>
    <r>
      <rPr>
        <b val="true"/>
        <sz val="13"/>
        <color rgb="FFFFFFFF"/>
        <rFont val="DejaVu Sans"/>
        <family val="2"/>
      </rPr>
      <t xml:space="preserve">問題一</t>
    </r>
    <r>
      <rPr>
        <b val="true"/>
        <sz val="13"/>
        <color rgb="FFFFFFFF"/>
        <rFont val="Arial"/>
        <family val="0"/>
        <charset val="1"/>
      </rPr>
      <t xml:space="preserve">:</t>
    </r>
    <r>
      <rPr>
        <b val="true"/>
        <sz val="13"/>
        <color rgb="FFFFFFFF"/>
        <rFont val="DejaVu Sans"/>
        <family val="2"/>
      </rPr>
      <t xml:space="preserve">描述性統計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公式即時計算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</si>
  <si>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變數</t>
  </si>
  <si>
    <t xml:space="preserve">平均數</t>
  </si>
  <si>
    <t xml:space="preserve">中位數</t>
  </si>
  <si>
    <t xml:space="preserve">眾數</t>
  </si>
  <si>
    <t xml:space="preserve">標準差</t>
  </si>
  <si>
    <t xml:space="preserve">最小值</t>
  </si>
  <si>
    <t xml:space="preserve">最大值</t>
  </si>
  <si>
    <r>
      <rPr>
        <i val="true"/>
        <sz val="9"/>
        <color rgb="FF555555"/>
        <rFont val="DejaVu Sans"/>
        <family val="2"/>
      </rPr>
      <t xml:space="preserve">註</t>
    </r>
    <r>
      <rPr>
        <i val="true"/>
        <sz val="9"/>
        <color rgb="FF555555"/>
        <rFont val="Arial"/>
        <family val="0"/>
        <charset val="1"/>
      </rPr>
      <t xml:space="preserve">:STDEV </t>
    </r>
    <r>
      <rPr>
        <i val="true"/>
        <sz val="9"/>
        <color rgb="FF555555"/>
        <rFont val="DejaVu Sans"/>
        <family val="2"/>
      </rPr>
      <t xml:space="preserve">為樣本標準差</t>
    </r>
    <r>
      <rPr>
        <i val="true"/>
        <sz val="9"/>
        <color rgb="FF555555"/>
        <rFont val="Arial"/>
        <family val="0"/>
        <charset val="1"/>
      </rPr>
      <t xml:space="preserve">;MODE </t>
    </r>
    <r>
      <rPr>
        <i val="true"/>
        <sz val="9"/>
        <color rgb="FF555555"/>
        <rFont val="DejaVu Sans"/>
        <family val="2"/>
      </rPr>
      <t xml:space="preserve">取最小眾數。所有數值引用「資料」工作表</t>
    </r>
    <r>
      <rPr>
        <i val="true"/>
        <sz val="9"/>
        <color rgb="FF555555"/>
        <rFont val="Arial"/>
        <family val="0"/>
        <charset val="1"/>
      </rPr>
      <t xml:space="preserve">,</t>
    </r>
    <r>
      <rPr>
        <i val="true"/>
        <sz val="9"/>
        <color rgb="FF555555"/>
        <rFont val="DejaVu Sans"/>
        <family val="2"/>
      </rPr>
      <t xml:space="preserve">資料變動即自動更新。</t>
    </r>
  </si>
  <si>
    <r>
      <rPr>
        <b val="true"/>
        <sz val="13"/>
        <color rgb="FFFFFFFF"/>
        <rFont val="DejaVu Sans"/>
        <family val="2"/>
      </rPr>
      <t xml:space="preserve">問題二</t>
    </r>
    <r>
      <rPr>
        <b val="true"/>
        <sz val="13"/>
        <color rgb="FFFFFFFF"/>
        <rFont val="Arial"/>
        <family val="0"/>
        <charset val="1"/>
      </rPr>
      <t xml:space="preserve">:level </t>
    </r>
    <r>
      <rPr>
        <b val="true"/>
        <sz val="13"/>
        <color rgb="FFFFFFFF"/>
        <rFont val="DejaVu Sans"/>
        <family val="2"/>
      </rPr>
      <t xml:space="preserve">與 </t>
    </r>
    <r>
      <rPr>
        <b val="true"/>
        <sz val="13"/>
        <color rgb="FFFFFFFF"/>
        <rFont val="Arial"/>
        <family val="0"/>
        <charset val="1"/>
      </rPr>
      <t xml:space="preserve">year </t>
    </r>
    <r>
      <rPr>
        <b val="true"/>
        <sz val="13"/>
        <color rgb="FFFFFFFF"/>
        <rFont val="DejaVu Sans"/>
        <family val="2"/>
      </rPr>
      <t xml:space="preserve">的頻數分布</t>
    </r>
  </si>
  <si>
    <t xml:space="preserve">次數</t>
  </si>
  <si>
    <t xml:space="preserve">占比</t>
  </si>
  <si>
    <t xml:space="preserve">公式</t>
  </si>
  <si>
    <r>
      <rPr>
        <i val="true"/>
        <sz val="9"/>
        <color rgb="FF555555"/>
        <rFont val="Arial"/>
        <family val="0"/>
        <charset val="1"/>
      </rPr>
      <t xml:space="preserve">COUNTIF(level </t>
    </r>
    <r>
      <rPr>
        <i val="true"/>
        <sz val="9"/>
        <color rgb="FF555555"/>
        <rFont val="DejaVu Sans"/>
        <family val="2"/>
      </rPr>
      <t xml:space="preserve">欄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</si>
  <si>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i val="true"/>
        <sz val="9"/>
        <color rgb="FF555555"/>
        <rFont val="Arial"/>
        <family val="0"/>
        <charset val="1"/>
      </rPr>
      <t xml:space="preserve">COUNTIF(year </t>
    </r>
    <r>
      <rPr>
        <i val="true"/>
        <sz val="9"/>
        <color rgb="FF555555"/>
        <rFont val="DejaVu Sans"/>
        <family val="2"/>
      </rPr>
      <t xml:space="preserve">欄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</si>
  <si>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b val="true"/>
        <sz val="13"/>
        <color rgb="FFFFFFFF"/>
        <rFont val="DejaVu Sans"/>
        <family val="2"/>
      </rPr>
      <t xml:space="preserve">問題三</t>
    </r>
    <r>
      <rPr>
        <b val="true"/>
        <sz val="13"/>
        <color rgb="FFFFFFFF"/>
        <rFont val="Arial"/>
        <family val="0"/>
        <charset val="1"/>
      </rPr>
      <t xml:space="preserve">:</t>
    </r>
    <r>
      <rPr>
        <b val="true"/>
        <sz val="13"/>
        <color rgb="FFFFFFFF"/>
        <rFont val="DejaVu Sans"/>
        <family val="2"/>
      </rPr>
      <t xml:space="preserve">單樣本 </t>
    </r>
    <r>
      <rPr>
        <b val="true"/>
        <sz val="13"/>
        <color rgb="FFFFFFFF"/>
        <rFont val="Arial"/>
        <family val="0"/>
        <charset val="1"/>
      </rPr>
      <t xml:space="preserve">t </t>
    </r>
    <r>
      <rPr>
        <b val="true"/>
        <sz val="13"/>
        <color rgb="FFFFFFFF"/>
        <rFont val="DejaVu Sans"/>
        <family val="2"/>
      </rPr>
      <t xml:space="preserve">檢定 — 平均評分是否 </t>
    </r>
    <r>
      <rPr>
        <b val="true"/>
        <sz val="13"/>
        <color rgb="FFFFFFFF"/>
        <rFont val="Arial"/>
        <family val="0"/>
        <charset val="1"/>
      </rPr>
      <t xml:space="preserve">= 0.65</t>
    </r>
  </si>
  <si>
    <r>
      <rPr>
        <i val="true"/>
        <sz val="9"/>
        <color rgb="FF555555"/>
        <rFont val="Arial"/>
        <family val="0"/>
        <charset val="1"/>
      </rPr>
      <t xml:space="preserve">H0:</t>
    </r>
    <r>
      <rPr>
        <i val="true"/>
        <sz val="9"/>
        <color rgb="FF555555"/>
        <rFont val="DejaVu Sans"/>
        <family val="2"/>
      </rPr>
      <t xml:space="preserve">母體平均評分 </t>
    </r>
    <r>
      <rPr>
        <i val="true"/>
        <sz val="9"/>
        <color rgb="FF555555"/>
        <rFont val="Arial"/>
        <family val="0"/>
        <charset val="1"/>
      </rPr>
      <t xml:space="preserve">= 0.65   H1:</t>
    </r>
    <r>
      <rPr>
        <i val="true"/>
        <sz val="9"/>
        <color rgb="FF555555"/>
        <rFont val="DejaVu Sans"/>
        <family val="2"/>
      </rPr>
      <t xml:space="preserve">母體平均評分 ≠ </t>
    </r>
    <r>
      <rPr>
        <i val="true"/>
        <sz val="9"/>
        <color rgb="FF555555"/>
        <rFont val="Arial"/>
        <family val="0"/>
        <charset val="1"/>
      </rPr>
      <t xml:space="preserve">0.65(</t>
    </r>
    <r>
      <rPr>
        <i val="true"/>
        <sz val="9"/>
        <color rgb="FF555555"/>
        <rFont val="DejaVu Sans"/>
        <family val="2"/>
      </rPr>
      <t xml:space="preserve">雙尾</t>
    </r>
    <r>
      <rPr>
        <i val="true"/>
        <sz val="9"/>
        <color rgb="FF555555"/>
        <rFont val="Arial"/>
        <family val="0"/>
        <charset val="1"/>
      </rPr>
      <t xml:space="preserve">,</t>
    </r>
    <r>
      <rPr>
        <i val="true"/>
        <sz val="9"/>
        <color rgb="FF555555"/>
        <rFont val="DejaVu Sans"/>
        <family val="2"/>
      </rPr>
      <t xml:space="preserve">顯著水準 </t>
    </r>
    <r>
      <rPr>
        <i val="true"/>
        <sz val="9"/>
        <color rgb="FF555555"/>
        <rFont val="Arial"/>
        <family val="0"/>
        <charset val="1"/>
      </rPr>
      <t xml:space="preserve">5%)</t>
    </r>
  </si>
  <si>
    <r>
      <rPr>
        <b val="true"/>
        <sz val="10"/>
        <rFont val="DejaVu Sans"/>
        <family val="2"/>
      </rPr>
      <t xml:space="preserve">樣本數 </t>
    </r>
    <r>
      <rPr>
        <b val="true"/>
        <sz val="10"/>
        <rFont val="Arial"/>
        <family val="0"/>
        <charset val="1"/>
      </rPr>
      <t xml:space="preserve">n</t>
    </r>
  </si>
  <si>
    <t xml:space="preserve">樣本平均數</t>
  </si>
  <si>
    <t xml:space="preserve">樣本標準差</t>
  </si>
  <si>
    <r>
      <rPr>
        <b val="true"/>
        <sz val="10"/>
        <rFont val="DejaVu Sans"/>
        <family val="2"/>
      </rPr>
      <t xml:space="preserve">檢定值 </t>
    </r>
    <r>
      <rPr>
        <b val="true"/>
        <sz val="10"/>
        <rFont val="Arial"/>
        <family val="0"/>
        <charset val="1"/>
      </rPr>
      <t xml:space="preserve">μ0</t>
    </r>
  </si>
  <si>
    <t xml:space="preserve">0.65</t>
  </si>
  <si>
    <r>
      <rPr>
        <b val="true"/>
        <sz val="10"/>
        <rFont val="DejaVu Sans"/>
        <family val="2"/>
      </rPr>
      <t xml:space="preserve">標準誤 </t>
    </r>
    <r>
      <rPr>
        <b val="true"/>
        <sz val="10"/>
        <rFont val="Arial"/>
        <family val="0"/>
        <charset val="1"/>
      </rPr>
      <t xml:space="preserve">SE</t>
    </r>
  </si>
  <si>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DejaVu Sans"/>
        <family val="2"/>
      </rPr>
      <t xml:space="preserve">統計量</t>
    </r>
  </si>
  <si>
    <r>
      <rPr>
        <b val="true"/>
        <sz val="10"/>
        <rFont val="DejaVu Sans"/>
        <family val="2"/>
      </rPr>
      <t xml:space="preserve">自由度 </t>
    </r>
    <r>
      <rPr>
        <b val="true"/>
        <sz val="10"/>
        <rFont val="Arial"/>
        <family val="0"/>
        <charset val="1"/>
      </rPr>
      <t xml:space="preserve">df</t>
    </r>
  </si>
  <si>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DejaVu Sans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雙尾</t>
    </r>
    <r>
      <rPr>
        <b val="true"/>
        <sz val="10"/>
        <rFont val="Arial"/>
        <family val="0"/>
        <charset val="1"/>
      </rPr>
      <t xml:space="preserve">)</t>
    </r>
  </si>
  <si>
    <t xml:space="preserve">結論</t>
  </si>
  <si>
    <r>
      <rPr>
        <b val="true"/>
        <sz val="13"/>
        <color rgb="FFFFFFFF"/>
        <rFont val="DejaVu Sans"/>
        <family val="2"/>
      </rPr>
      <t xml:space="preserve">問題四</t>
    </r>
    <r>
      <rPr>
        <b val="true"/>
        <sz val="13"/>
        <color rgb="FFFFFFFF"/>
        <rFont val="Arial"/>
        <family val="0"/>
        <charset val="1"/>
      </rPr>
      <t xml:space="preserve">:price </t>
    </r>
    <r>
      <rPr>
        <b val="true"/>
        <sz val="13"/>
        <color rgb="FFFFFFFF"/>
        <rFont val="DejaVu Sans"/>
        <family val="2"/>
      </rPr>
      <t xml:space="preserve">與 </t>
    </r>
    <r>
      <rPr>
        <b val="true"/>
        <sz val="13"/>
        <color rgb="FFFFFFFF"/>
        <rFont val="Arial"/>
        <family val="0"/>
        <charset val="1"/>
      </rPr>
      <t xml:space="preserve">num_subscribers </t>
    </r>
    <r>
      <rPr>
        <b val="true"/>
        <sz val="13"/>
        <color rgb="FFFFFFFF"/>
        <rFont val="DejaVu Sans"/>
        <family val="2"/>
      </rPr>
      <t xml:space="preserve">的相關性</t>
    </r>
  </si>
  <si>
    <t xml:space="preserve">項目</t>
  </si>
  <si>
    <t xml:space="preserve">值</t>
  </si>
  <si>
    <r>
      <rPr>
        <b val="true"/>
        <sz val="10"/>
        <rFont val="DejaVu Sans"/>
        <family val="2"/>
      </rPr>
      <t xml:space="preserve">預測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需求法則</t>
    </r>
    <r>
      <rPr>
        <b val="true"/>
        <sz val="10"/>
        <rFont val="Arial"/>
        <family val="0"/>
        <charset val="1"/>
      </rPr>
      <t xml:space="preserve">)</t>
    </r>
  </si>
  <si>
    <t xml:space="preserve">負相關</t>
  </si>
  <si>
    <t xml:space="preserve">價格上升→需求下降</t>
  </si>
  <si>
    <r>
      <rPr>
        <b val="true"/>
        <sz val="10"/>
        <rFont val="Arial"/>
        <family val="0"/>
        <charset val="1"/>
      </rPr>
      <t xml:space="preserve">Pearson </t>
    </r>
    <r>
      <rPr>
        <b val="true"/>
        <sz val="10"/>
        <rFont val="DejaVu Sans"/>
        <family val="2"/>
      </rPr>
      <t xml:space="preserve">相關係數</t>
    </r>
  </si>
  <si>
    <t xml:space="preserve">CORREL(price, num_subscribers)</t>
  </si>
  <si>
    <r>
      <rPr>
        <sz val="10"/>
        <rFont val="DejaVu Sans"/>
        <family val="2"/>
      </rPr>
      <t xml:space="preserve">相關係數接近於零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與「負相關」的預測不符。可能原因</t>
    </r>
    <r>
      <rPr>
        <sz val="10"/>
        <rFont val="Arial"/>
        <family val="0"/>
        <charset val="1"/>
      </rPr>
      <t xml:space="preserve">:</t>
    </r>
    <r>
      <rPr>
        <sz val="10"/>
        <rFont val="DejaVu Sans"/>
        <family val="2"/>
      </rPr>
      <t xml:space="preserve">免費課程</t>
    </r>
    <r>
      <rPr>
        <sz val="10"/>
        <rFont val="Arial"/>
        <family val="0"/>
        <charset val="1"/>
      </rPr>
      <t xml:space="preserve">(price=0)</t>
    </r>
    <r>
      <rPr>
        <sz val="10"/>
        <rFont val="DejaVu Sans"/>
        <family val="2"/>
      </rPr>
      <t xml:space="preserve">訂閱數極高、價格內生於課程品質。詳見報告問題四。</t>
    </r>
  </si>
  <si>
    <r>
      <rPr>
        <b val="true"/>
        <sz val="13"/>
        <color rgb="FFFFFFFF"/>
        <rFont val="DejaVu Sans"/>
        <family val="2"/>
      </rPr>
      <t xml:space="preserve">問題五、十</t>
    </r>
    <r>
      <rPr>
        <b val="true"/>
        <sz val="13"/>
        <color rgb="FFFFFFFF"/>
        <rFont val="Arial"/>
        <family val="0"/>
        <charset val="1"/>
      </rPr>
      <t xml:space="preserve">:</t>
    </r>
    <r>
      <rPr>
        <b val="true"/>
        <sz val="13"/>
        <color rgb="FFFFFFFF"/>
        <rFont val="DejaVu Sans"/>
        <family val="2"/>
      </rPr>
      <t xml:space="preserve">迴歸分析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以 </t>
    </r>
    <r>
      <rPr>
        <b val="true"/>
        <sz val="13"/>
        <color rgb="FFFFFFFF"/>
        <rFont val="Arial"/>
        <family val="0"/>
        <charset val="1"/>
      </rPr>
      <t xml:space="preserve">LINEST </t>
    </r>
    <r>
      <rPr>
        <b val="true"/>
        <sz val="13"/>
        <color rgb="FFFFFFFF"/>
        <rFont val="DejaVu Sans"/>
        <family val="2"/>
      </rPr>
      <t xml:space="preserve">估計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</si>
  <si>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簡單迴歸</t>
    </r>
    <r>
      <rPr>
        <b val="true"/>
        <sz val="10"/>
        <rFont val="Arial"/>
        <family val="0"/>
        <charset val="1"/>
      </rPr>
      <t xml:space="preserve">(Q5):num_subscribers ~ price</t>
    </r>
  </si>
  <si>
    <t xml:space="preserve">係數</t>
  </si>
  <si>
    <t xml:space="preserve">標準誤</t>
  </si>
  <si>
    <r>
      <rPr>
        <b val="true"/>
        <sz val="10"/>
        <color rgb="FFFFFFFF"/>
        <rFont val="Arial"/>
        <family val="0"/>
        <charset val="1"/>
      </rPr>
      <t xml:space="preserve">t </t>
    </r>
    <r>
      <rPr>
        <b val="true"/>
        <sz val="10"/>
        <color rgb="FFFFFFFF"/>
        <rFont val="DejaVu Sans"/>
        <family val="2"/>
      </rPr>
      <t xml:space="preserve">值</t>
    </r>
  </si>
  <si>
    <r>
      <rPr>
        <b val="true"/>
        <sz val="10"/>
        <color rgb="FFFFFFFF"/>
        <rFont val="Arial"/>
        <family val="0"/>
        <charset val="1"/>
      </rPr>
      <t xml:space="preserve">p </t>
    </r>
    <r>
      <rPr>
        <b val="true"/>
        <sz val="10"/>
        <color rgb="FFFFFFFF"/>
        <rFont val="DejaVu Sans"/>
        <family val="2"/>
      </rPr>
      <t xml:space="preserve">值</t>
    </r>
  </si>
  <si>
    <r>
      <rPr>
        <b val="true"/>
        <sz val="10"/>
        <rFont val="DejaVu Sans"/>
        <family val="2"/>
      </rPr>
      <t xml:space="preserve">截距 </t>
    </r>
    <r>
      <rPr>
        <b val="true"/>
        <sz val="10"/>
        <rFont val="Arial"/>
        <family val="0"/>
        <charset val="1"/>
      </rPr>
      <t xml:space="preserve">(Intercept)</t>
    </r>
  </si>
  <si>
    <t xml:space="preserve">R²</t>
  </si>
  <si>
    <r>
      <rPr>
        <b val="true"/>
        <sz val="10"/>
        <rFont val="DejaVu Sans"/>
        <family val="2"/>
      </rPr>
      <t xml:space="preserve">多元迴歸</t>
    </r>
    <r>
      <rPr>
        <b val="true"/>
        <sz val="10"/>
        <rFont val="Arial"/>
        <family val="0"/>
        <charset val="1"/>
      </rPr>
      <t xml:space="preserve">(Q5):num_subscribers ~ price + </t>
    </r>
    <r>
      <rPr>
        <b val="true"/>
        <sz val="10"/>
        <rFont val="DejaVu Sans"/>
        <family val="2"/>
      </rPr>
      <t xml:space="preserve">控制變數</t>
    </r>
  </si>
  <si>
    <t xml:space="preserve">year:2012</t>
  </si>
  <si>
    <t xml:space="preserve">year:2013</t>
  </si>
  <si>
    <t xml:space="preserve">year:2014</t>
  </si>
  <si>
    <t xml:space="preserve">year:2015</t>
  </si>
  <si>
    <t xml:space="preserve">year:2016</t>
  </si>
  <si>
    <t xml:space="preserve">year:2017</t>
  </si>
  <si>
    <t xml:space="preserve">level:Beginner</t>
  </si>
  <si>
    <t xml:space="preserve">level:Expert</t>
  </si>
  <si>
    <t xml:space="preserve">level:Intermediate</t>
  </si>
  <si>
    <r>
      <rPr>
        <b val="true"/>
        <sz val="10"/>
        <rFont val="DejaVu Sans"/>
        <family val="2"/>
      </rPr>
      <t xml:space="preserve">對數—對數迴歸</t>
    </r>
    <r>
      <rPr>
        <b val="true"/>
        <sz val="10"/>
        <rFont val="Arial"/>
        <family val="0"/>
        <charset val="1"/>
      </rPr>
      <t xml:space="preserve">(Q10):log(subs) ~ log(price) + </t>
    </r>
    <r>
      <rPr>
        <b val="true"/>
        <sz val="10"/>
        <rFont val="DejaVu Sans"/>
        <family val="2"/>
      </rPr>
      <t xml:space="preserve">控制變數</t>
    </r>
  </si>
  <si>
    <t xml:space="preserve">log(price)</t>
  </si>
  <si>
    <r>
      <rPr>
        <i val="true"/>
        <sz val="9"/>
        <color rgb="FF555555"/>
        <rFont val="DejaVu Sans"/>
        <family val="2"/>
      </rPr>
      <t xml:space="preserve">註</t>
    </r>
    <r>
      <rPr>
        <i val="true"/>
        <sz val="9"/>
        <color rgb="FF555555"/>
        <rFont val="Arial"/>
        <family val="0"/>
        <charset val="1"/>
      </rPr>
      <t xml:space="preserve">:LINEST </t>
    </r>
    <r>
      <rPr>
        <i val="true"/>
        <sz val="9"/>
        <color rgb="FF555555"/>
        <rFont val="DejaVu Sans"/>
        <family val="2"/>
      </rPr>
      <t xml:space="preserve">第 </t>
    </r>
    <r>
      <rPr>
        <i val="true"/>
        <sz val="9"/>
        <color rgb="FF555555"/>
        <rFont val="Arial"/>
        <family val="0"/>
        <charset val="1"/>
      </rPr>
      <t xml:space="preserve">4 </t>
    </r>
    <r>
      <rPr>
        <i val="true"/>
        <sz val="9"/>
        <color rgb="FF555555"/>
        <rFont val="DejaVu Sans"/>
        <family val="2"/>
      </rPr>
      <t xml:space="preserve">引數</t>
    </r>
    <r>
      <rPr>
        <i val="true"/>
        <sz val="9"/>
        <color rgb="FF555555"/>
        <rFont val="Arial"/>
        <family val="0"/>
        <charset val="1"/>
      </rPr>
      <t xml:space="preserve">=TRUE </t>
    </r>
    <r>
      <rPr>
        <i val="true"/>
        <sz val="9"/>
        <color rgb="FF555555"/>
        <rFont val="DejaVu Sans"/>
        <family val="2"/>
      </rPr>
      <t xml:space="preserve">時回傳完整統計量</t>
    </r>
    <r>
      <rPr>
        <i val="true"/>
        <sz val="9"/>
        <color rgb="FF555555"/>
        <rFont val="Arial"/>
        <family val="0"/>
        <charset val="1"/>
      </rPr>
      <t xml:space="preserve">;</t>
    </r>
    <r>
      <rPr>
        <i val="true"/>
        <sz val="9"/>
        <color rgb="FF555555"/>
        <rFont val="DejaVu Sans"/>
        <family val="2"/>
      </rPr>
      <t xml:space="preserve">係數列順序與自變數欄相反</t>
    </r>
    <r>
      <rPr>
        <i val="true"/>
        <sz val="9"/>
        <color rgb="FF555555"/>
        <rFont val="Arial"/>
        <family val="0"/>
        <charset val="1"/>
      </rPr>
      <t xml:space="preserve">,</t>
    </r>
    <r>
      <rPr>
        <i val="true"/>
        <sz val="9"/>
        <color rgb="FF555555"/>
        <rFont val="DejaVu Sans"/>
        <family val="2"/>
      </rPr>
      <t xml:space="preserve">本表已重新對應標籤。</t>
    </r>
  </si>
  <si>
    <r>
      <rPr>
        <b val="true"/>
        <sz val="13"/>
        <color rgb="FFFFFFFF"/>
        <rFont val="DejaVu Sans"/>
        <family val="2"/>
      </rPr>
      <t xml:space="preserve">問題十一</t>
    </r>
    <r>
      <rPr>
        <b val="true"/>
        <sz val="13"/>
        <color rgb="FFFFFFFF"/>
        <rFont val="Arial"/>
        <family val="0"/>
        <charset val="1"/>
      </rPr>
      <t xml:space="preserve">:</t>
    </r>
    <r>
      <rPr>
        <b val="true"/>
        <sz val="13"/>
        <color rgb="FFFFFFFF"/>
        <rFont val="DejaVu Sans"/>
        <family val="2"/>
      </rPr>
      <t xml:space="preserve">線性需求曲線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預測訂閱人數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</si>
  <si>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i val="true"/>
        <sz val="9"/>
        <color rgb="FF555555"/>
        <rFont val="DejaVu Sans"/>
        <family val="2"/>
      </rPr>
      <t xml:space="preserve">課程特徵</t>
    </r>
    <r>
      <rPr>
        <i val="true"/>
        <sz val="9"/>
        <color rgb="FF555555"/>
        <rFont val="Arial"/>
        <family val="0"/>
        <charset val="1"/>
      </rPr>
      <t xml:space="preserve">:50 </t>
    </r>
    <r>
      <rPr>
        <i val="true"/>
        <sz val="9"/>
        <color rgb="FF555555"/>
        <rFont val="DejaVu Sans"/>
        <family val="2"/>
      </rPr>
      <t xml:space="preserve">則講座、課程時長 </t>
    </r>
    <r>
      <rPr>
        <i val="true"/>
        <sz val="9"/>
        <color rgb="FF555555"/>
        <rFont val="Arial"/>
        <family val="0"/>
        <charset val="1"/>
      </rPr>
      <t xml:space="preserve">10 </t>
    </r>
    <r>
      <rPr>
        <i val="true"/>
        <sz val="9"/>
        <color rgb="FF555555"/>
        <rFont val="DejaVu Sans"/>
        <family val="2"/>
      </rPr>
      <t xml:space="preserve">小時、</t>
    </r>
    <r>
      <rPr>
        <i val="true"/>
        <sz val="9"/>
        <color rgb="FF555555"/>
        <rFont val="Arial"/>
        <family val="0"/>
        <charset val="1"/>
      </rPr>
      <t xml:space="preserve">2017 </t>
    </r>
    <r>
      <rPr>
        <i val="true"/>
        <sz val="9"/>
        <color rgb="FF555555"/>
        <rFont val="DejaVu Sans"/>
        <family val="2"/>
      </rPr>
      <t xml:space="preserve">年、</t>
    </r>
    <r>
      <rPr>
        <i val="true"/>
        <sz val="9"/>
        <color rgb="FF555555"/>
        <rFont val="Arial"/>
        <family val="0"/>
        <charset val="1"/>
      </rPr>
      <t xml:space="preserve">Beginner </t>
    </r>
    <r>
      <rPr>
        <i val="true"/>
        <sz val="9"/>
        <color rgb="FF555555"/>
        <rFont val="DejaVu Sans"/>
        <family val="2"/>
      </rPr>
      <t xml:space="preserve">程度</t>
    </r>
  </si>
  <si>
    <r>
      <rPr>
        <b val="true"/>
        <sz val="10"/>
        <color rgb="FFFFFFFF"/>
        <rFont val="DejaVu Sans"/>
        <family val="2"/>
      </rPr>
      <t xml:space="preserve">價格 </t>
    </r>
    <r>
      <rPr>
        <b val="true"/>
        <sz val="10"/>
        <color rgb="FFFFFFFF"/>
        <rFont val="Arial"/>
        <family val="0"/>
        <charset val="1"/>
      </rPr>
      <t xml:space="preserve">(USD)</t>
    </r>
  </si>
  <si>
    <t xml:space="preserve">預測訂閱人數</t>
  </si>
  <si>
    <t xml:space="preserve">預測方程</t>
  </si>
  <si>
    <r>
      <rPr>
        <i val="true"/>
        <sz val="9"/>
        <color rgb="FF555555"/>
        <rFont val="DejaVu Sans"/>
        <family val="2"/>
      </rPr>
      <t xml:space="preserve">截距</t>
    </r>
    <r>
      <rPr>
        <i val="true"/>
        <sz val="9"/>
        <color rgb="FF555555"/>
        <rFont val="Arial"/>
        <family val="0"/>
        <charset val="1"/>
      </rPr>
      <t xml:space="preserve">+price</t>
    </r>
    <r>
      <rPr>
        <i val="true"/>
        <sz val="9"/>
        <color rgb="FF555555"/>
        <rFont val="DejaVu Sans"/>
        <family val="2"/>
      </rPr>
      <t xml:space="preserve">係數</t>
    </r>
    <r>
      <rPr>
        <i val="true"/>
        <sz val="9"/>
        <color rgb="FF555555"/>
        <rFont val="Arial"/>
        <family val="0"/>
        <charset val="1"/>
      </rPr>
      <t xml:space="preserve">×</t>
    </r>
    <r>
      <rPr>
        <i val="true"/>
        <sz val="9"/>
        <color rgb="FF555555"/>
        <rFont val="DejaVu Sans"/>
        <family val="2"/>
      </rPr>
      <t xml:space="preserve">價格</t>
    </r>
    <r>
      <rPr>
        <i val="true"/>
        <sz val="9"/>
        <color rgb="FF555555"/>
        <rFont val="Arial"/>
        <family val="0"/>
        <charset val="1"/>
      </rPr>
      <t xml:space="preserve">+</t>
    </r>
    <r>
      <rPr>
        <i val="true"/>
        <sz val="9"/>
        <color rgb="FF555555"/>
        <rFont val="DejaVu Sans"/>
        <family val="2"/>
      </rPr>
      <t xml:space="preserve">其餘特徵</t>
    </r>
  </si>
  <si>
    <r>
      <rPr>
        <b val="true"/>
        <sz val="10"/>
        <rFont val="DejaVu Sans"/>
        <family val="2"/>
      </rPr>
      <t xml:space="preserve">斜率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+1 </t>
    </r>
    <r>
      <rPr>
        <b val="true"/>
        <sz val="10"/>
        <rFont val="DejaVu Sans"/>
        <family val="2"/>
      </rPr>
      <t xml:space="preserve">美元的訂閱變化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</si>
  <si>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55555"/>
        <rFont val="DejaVu Sans"/>
        <family val="2"/>
      </rPr>
      <t xml:space="preserve">此為向下傾斜的線性需求曲線</t>
    </r>
    <r>
      <rPr>
        <i val="true"/>
        <sz val="9"/>
        <color rgb="FF555555"/>
        <rFont val="Arial"/>
        <family val="0"/>
        <charset val="1"/>
      </rPr>
      <t xml:space="preserve">;</t>
    </r>
    <r>
      <rPr>
        <i val="true"/>
        <sz val="9"/>
        <color rgb="FF555555"/>
        <rFont val="DejaVu Sans"/>
        <family val="2"/>
      </rPr>
      <t xml:space="preserve">斜率即多元迴歸的 </t>
    </r>
    <r>
      <rPr>
        <i val="true"/>
        <sz val="9"/>
        <color rgb="FF555555"/>
        <rFont val="Arial"/>
        <family val="0"/>
        <charset val="1"/>
      </rPr>
      <t xml:space="preserve">price </t>
    </r>
    <r>
      <rPr>
        <i val="true"/>
        <sz val="9"/>
        <color rgb="FF555555"/>
        <rFont val="DejaVu Sans"/>
        <family val="2"/>
      </rPr>
      <t xml:space="preserve">係數。詳見報告問題十一與圖 </t>
    </r>
    <r>
      <rPr>
        <i val="true"/>
        <sz val="9"/>
        <color rgb="FF555555"/>
        <rFont val="Arial"/>
        <family val="0"/>
        <charset val="1"/>
      </rPr>
      <t xml:space="preserve">7</t>
    </r>
    <r>
      <rPr>
        <i val="true"/>
        <sz val="9"/>
        <color rgb="FF555555"/>
        <rFont val="DejaVu Sans"/>
        <family val="2"/>
      </rPr>
      <t xml:space="preserve">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</si>
</sst>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%"/>
    <numFmt numFmtId="168" formatCode="0.0000"/>
    <numFmt numFmtId="169" formatCode="0.00000"/>
    <numFmt numFmtId="170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b val="true"/>
      <sz val="1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i val="true"/>
      <sz val="9"/>
      <color rgb="FF555555"/>
      <name val="DejaVu Sans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2F3"/>
        <bgColor rgb="FFE2EFDA"/>
      </patternFill>
    </fill>
    <fill>
      <patternFill patternType="solid">
        <fgColor rgb="FFC55A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6" min="3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</row>
    <row r="8" customFormat="false" ht="15" hidden="false" customHeight="true" outlineLevel="0" collapsed="false">
      <c r="A8" s="6" t="s">
        <v>9</v>
      </c>
      <c r="B8" s="6"/>
      <c r="C8" s="6"/>
      <c r="D8" s="6"/>
      <c r="E8" s="6"/>
      <c r="F8" s="6"/>
    </row>
    <row r="9" customFormat="false" ht="15" hidden="false" customHeight="true" outlineLevel="0" collapsed="false">
      <c r="A9" s="7" t="s">
        <v>3</v>
      </c>
      <c r="B9" s="8" t="s">
        <v>10</v>
      </c>
      <c r="C9" s="8"/>
      <c r="D9" s="8"/>
      <c r="E9" s="8"/>
      <c r="F9" s="8"/>
    </row>
    <row r="10" customFormat="false" ht="15" hidden="false" customHeight="true" outlineLevel="0" collapsed="false">
      <c r="A10" s="9" t="s">
        <v>11</v>
      </c>
      <c r="B10" s="8" t="s">
        <v>12</v>
      </c>
      <c r="C10" s="8"/>
      <c r="D10" s="8"/>
      <c r="E10" s="8"/>
      <c r="F10" s="8"/>
    </row>
    <row r="11" customFormat="false" ht="15" hidden="false" customHeight="true" outlineLevel="0" collapsed="false">
      <c r="A11" s="9" t="s">
        <v>13</v>
      </c>
      <c r="B11" s="10" t="s">
        <v>14</v>
      </c>
      <c r="C11" s="10"/>
      <c r="D11" s="10"/>
      <c r="E11" s="10"/>
      <c r="F11" s="10"/>
    </row>
    <row r="12" customFormat="false" ht="15" hidden="false" customHeight="true" outlineLevel="0" collapsed="false">
      <c r="A12" s="9" t="s">
        <v>15</v>
      </c>
      <c r="B12" s="8" t="s">
        <v>16</v>
      </c>
      <c r="C12" s="8"/>
      <c r="D12" s="8"/>
      <c r="E12" s="8"/>
      <c r="F12" s="8"/>
    </row>
    <row r="13" customFormat="false" ht="15" hidden="false" customHeight="true" outlineLevel="0" collapsed="false">
      <c r="A13" s="9" t="s">
        <v>17</v>
      </c>
      <c r="B13" s="10" t="s">
        <v>18</v>
      </c>
      <c r="C13" s="10"/>
      <c r="D13" s="10"/>
      <c r="E13" s="10"/>
      <c r="F13" s="10"/>
    </row>
    <row r="14" customFormat="false" ht="15" hidden="false" customHeight="true" outlineLevel="0" collapsed="false">
      <c r="A14" s="9" t="s">
        <v>19</v>
      </c>
      <c r="B14" s="8" t="s">
        <v>20</v>
      </c>
      <c r="C14" s="8"/>
      <c r="D14" s="8"/>
      <c r="E14" s="8"/>
      <c r="F14" s="8"/>
    </row>
    <row r="15" customFormat="false" ht="15" hidden="false" customHeight="true" outlineLevel="0" collapsed="false">
      <c r="A15" s="9" t="s">
        <v>21</v>
      </c>
      <c r="B15" s="8" t="s">
        <v>22</v>
      </c>
      <c r="C15" s="8"/>
      <c r="D15" s="8"/>
      <c r="E15" s="8"/>
      <c r="F15" s="8"/>
    </row>
  </sheetData>
  <mergeCells count="9">
    <mergeCell ref="A1:F1"/>
    <mergeCell ref="A8:F8"/>
    <mergeCell ref="B9:F9"/>
    <mergeCell ref="B10:F10"/>
    <mergeCell ref="B11:F11"/>
    <mergeCell ref="B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4" min="1" style="0" width="13"/>
    <col collapsed="false" customWidth="true" hidden="false" outlineLevel="0" max="27" min="16" style="0" width="11"/>
    <col collapsed="false" customWidth="true" hidden="false" outlineLevel="0" max="40" min="29" style="0" width="11"/>
  </cols>
  <sheetData>
    <row r="1" customFormat="false" ht="23.85" hidden="false" customHeight="false" outlineLevel="0" collapsed="false">
      <c r="A1" s="11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31</v>
      </c>
      <c r="J1" s="11" t="s">
        <v>32</v>
      </c>
      <c r="K1" s="11" t="s">
        <v>33</v>
      </c>
      <c r="L1" s="11" t="s">
        <v>34</v>
      </c>
      <c r="M1" s="11" t="s">
        <v>35</v>
      </c>
      <c r="N1" s="11" t="s">
        <v>36</v>
      </c>
      <c r="P1" s="12" t="s">
        <v>37</v>
      </c>
      <c r="Q1" s="12" t="s">
        <v>38</v>
      </c>
      <c r="R1" s="12" t="s">
        <v>39</v>
      </c>
      <c r="S1" s="12" t="s">
        <v>40</v>
      </c>
      <c r="T1" s="12" t="s">
        <v>41</v>
      </c>
      <c r="U1" s="12" t="s">
        <v>42</v>
      </c>
      <c r="V1" s="12" t="s">
        <v>43</v>
      </c>
      <c r="W1" s="12" t="s">
        <v>44</v>
      </c>
      <c r="X1" s="12" t="s">
        <v>45</v>
      </c>
      <c r="Y1" s="12" t="s">
        <v>46</v>
      </c>
      <c r="Z1" s="12" t="s">
        <v>47</v>
      </c>
      <c r="AA1" s="12" t="s">
        <v>48</v>
      </c>
      <c r="AC1" s="13" t="s">
        <v>49</v>
      </c>
      <c r="AD1" s="13" t="s">
        <v>38</v>
      </c>
      <c r="AE1" s="13" t="s">
        <v>39</v>
      </c>
      <c r="AF1" s="13" t="s">
        <v>40</v>
      </c>
      <c r="AG1" s="13" t="s">
        <v>41</v>
      </c>
      <c r="AH1" s="13" t="s">
        <v>42</v>
      </c>
      <c r="AI1" s="13" t="s">
        <v>43</v>
      </c>
      <c r="AJ1" s="13" t="s">
        <v>44</v>
      </c>
      <c r="AK1" s="13" t="s">
        <v>45</v>
      </c>
      <c r="AL1" s="13" t="s">
        <v>46</v>
      </c>
      <c r="AM1" s="13" t="s">
        <v>47</v>
      </c>
      <c r="AN1" s="13" t="s">
        <v>48</v>
      </c>
    </row>
    <row r="2" customFormat="false" ht="57.45" hidden="false" customHeight="false" outlineLevel="0" collapsed="false">
      <c r="A2" s="14" t="n">
        <v>41295</v>
      </c>
      <c r="B2" s="14" t="s">
        <v>50</v>
      </c>
      <c r="C2" s="14" t="s">
        <v>51</v>
      </c>
      <c r="D2" s="14" t="n">
        <v>0</v>
      </c>
      <c r="E2" s="14" t="n">
        <v>268923</v>
      </c>
      <c r="F2" s="14" t="n">
        <v>8629</v>
      </c>
      <c r="G2" s="14" t="n">
        <v>45</v>
      </c>
      <c r="H2" s="14" t="s">
        <v>52</v>
      </c>
      <c r="I2" s="14" t="n">
        <v>0.82</v>
      </c>
      <c r="J2" s="14" t="n">
        <v>10.5</v>
      </c>
      <c r="K2" s="14" t="s">
        <v>53</v>
      </c>
      <c r="L2" s="14" t="n">
        <v>2013</v>
      </c>
      <c r="M2" s="14" t="n">
        <v>12.5021803722548</v>
      </c>
      <c r="N2" s="14" t="n">
        <v>-4.60517018598809</v>
      </c>
      <c r="P2" s="14" t="n">
        <f aca="false">D2</f>
        <v>0</v>
      </c>
      <c r="Q2" s="14" t="n">
        <f aca="false">G2</f>
        <v>45</v>
      </c>
      <c r="R2" s="14" t="n">
        <f aca="false">J2</f>
        <v>10.5</v>
      </c>
      <c r="S2" s="14" t="n">
        <f aca="false">IF($L2=2012,1,0)</f>
        <v>0</v>
      </c>
      <c r="T2" s="14" t="n">
        <f aca="false">IF($L2=2013,1,0)</f>
        <v>1</v>
      </c>
      <c r="U2" s="14" t="n">
        <f aca="false">IF($L2=2014,1,0)</f>
        <v>0</v>
      </c>
      <c r="V2" s="14" t="n">
        <f aca="false">IF($L2=2015,1,0)</f>
        <v>0</v>
      </c>
      <c r="W2" s="14" t="n">
        <f aca="false">IF($L2=2016,1,0)</f>
        <v>0</v>
      </c>
      <c r="X2" s="14" t="n">
        <f aca="false">IF($L2=2017,1,0)</f>
        <v>0</v>
      </c>
      <c r="Y2" s="14" t="n">
        <f aca="false">IF($H2="Beginner Level",1,0)</f>
        <v>1</v>
      </c>
      <c r="Z2" s="14" t="n">
        <f aca="false">IF($H2="Expert Level",1,0)</f>
        <v>0</v>
      </c>
      <c r="AA2" s="14" t="n">
        <f aca="false">IF($H2="Intermediate Level",1,0)</f>
        <v>0</v>
      </c>
      <c r="AC2" s="14" t="n">
        <f aca="false">N2</f>
        <v>-4.60517018598809</v>
      </c>
      <c r="AD2" s="14" t="n">
        <f aca="false">G2</f>
        <v>45</v>
      </c>
      <c r="AE2" s="14" t="n">
        <f aca="false">J2</f>
        <v>10.5</v>
      </c>
      <c r="AF2" s="14" t="n">
        <f aca="false">IF($L2=2012,1,0)</f>
        <v>0</v>
      </c>
      <c r="AG2" s="14" t="n">
        <f aca="false">IF($L2=2013,1,0)</f>
        <v>1</v>
      </c>
      <c r="AH2" s="14" t="n">
        <f aca="false">IF($L2=2014,1,0)</f>
        <v>0</v>
      </c>
      <c r="AI2" s="14" t="n">
        <f aca="false">IF($L2=2015,1,0)</f>
        <v>0</v>
      </c>
      <c r="AJ2" s="14" t="n">
        <f aca="false">IF($L2=2016,1,0)</f>
        <v>0</v>
      </c>
      <c r="AK2" s="14" t="n">
        <f aca="false">IF($L2=2017,1,0)</f>
        <v>0</v>
      </c>
      <c r="AL2" s="14" t="n">
        <f aca="false">IF($H2="Beginner Level",1,0)</f>
        <v>1</v>
      </c>
      <c r="AM2" s="14" t="n">
        <f aca="false">IF($H2="Expert Level",1,0)</f>
        <v>0</v>
      </c>
      <c r="AN2" s="14" t="n">
        <f aca="false">IF($H2="Intermediate Level",1,0)</f>
        <v>0</v>
      </c>
    </row>
    <row r="3" customFormat="false" ht="57.45" hidden="false" customHeight="false" outlineLevel="0" collapsed="false">
      <c r="A3" s="14" t="n">
        <v>59014</v>
      </c>
      <c r="B3" s="14" t="s">
        <v>54</v>
      </c>
      <c r="C3" s="14" t="s">
        <v>55</v>
      </c>
      <c r="D3" s="14" t="n">
        <v>0</v>
      </c>
      <c r="E3" s="14" t="n">
        <v>161029</v>
      </c>
      <c r="F3" s="14" t="n">
        <v>279</v>
      </c>
      <c r="G3" s="14" t="n">
        <v>27</v>
      </c>
      <c r="H3" s="14" t="s">
        <v>56</v>
      </c>
      <c r="I3" s="14" t="n">
        <v>0.69</v>
      </c>
      <c r="J3" s="14" t="n">
        <v>3.5</v>
      </c>
      <c r="K3" s="14" t="s">
        <v>53</v>
      </c>
      <c r="L3" s="14" t="n">
        <v>2013</v>
      </c>
      <c r="M3" s="14" t="n">
        <v>11.9893397519698</v>
      </c>
      <c r="N3" s="14" t="n">
        <v>-4.60517018598809</v>
      </c>
      <c r="P3" s="14" t="n">
        <f aca="false">D3</f>
        <v>0</v>
      </c>
      <c r="Q3" s="14" t="n">
        <f aca="false">G3</f>
        <v>27</v>
      </c>
      <c r="R3" s="14" t="n">
        <f aca="false">J3</f>
        <v>3.5</v>
      </c>
      <c r="S3" s="14" t="n">
        <f aca="false">IF($L3=2012,1,0)</f>
        <v>0</v>
      </c>
      <c r="T3" s="14" t="n">
        <f aca="false">IF($L3=2013,1,0)</f>
        <v>1</v>
      </c>
      <c r="U3" s="14" t="n">
        <f aca="false">IF($L3=2014,1,0)</f>
        <v>0</v>
      </c>
      <c r="V3" s="14" t="n">
        <f aca="false">IF($L3=2015,1,0)</f>
        <v>0</v>
      </c>
      <c r="W3" s="14" t="n">
        <f aca="false">IF($L3=2016,1,0)</f>
        <v>0</v>
      </c>
      <c r="X3" s="14" t="n">
        <f aca="false">IF($L3=2017,1,0)</f>
        <v>0</v>
      </c>
      <c r="Y3" s="14" t="n">
        <f aca="false">IF($H3="Beginner Level",1,0)</f>
        <v>0</v>
      </c>
      <c r="Z3" s="14" t="n">
        <f aca="false">IF($H3="Expert Level",1,0)</f>
        <v>1</v>
      </c>
      <c r="AA3" s="14" t="n">
        <f aca="false">IF($H3="Intermediate Level",1,0)</f>
        <v>0</v>
      </c>
      <c r="AC3" s="14" t="n">
        <f aca="false">N3</f>
        <v>-4.60517018598809</v>
      </c>
      <c r="AD3" s="14" t="n">
        <f aca="false">G3</f>
        <v>27</v>
      </c>
      <c r="AE3" s="14" t="n">
        <f aca="false">J3</f>
        <v>3.5</v>
      </c>
      <c r="AF3" s="14" t="n">
        <f aca="false">IF($L3=2012,1,0)</f>
        <v>0</v>
      </c>
      <c r="AG3" s="14" t="n">
        <f aca="false">IF($L3=2013,1,0)</f>
        <v>1</v>
      </c>
      <c r="AH3" s="14" t="n">
        <f aca="false">IF($L3=2014,1,0)</f>
        <v>0</v>
      </c>
      <c r="AI3" s="14" t="n">
        <f aca="false">IF($L3=2015,1,0)</f>
        <v>0</v>
      </c>
      <c r="AJ3" s="14" t="n">
        <f aca="false">IF($L3=2016,1,0)</f>
        <v>0</v>
      </c>
      <c r="AK3" s="14" t="n">
        <f aca="false">IF($L3=2017,1,0)</f>
        <v>0</v>
      </c>
      <c r="AL3" s="14" t="n">
        <f aca="false">IF($H3="Beginner Level",1,0)</f>
        <v>0</v>
      </c>
      <c r="AM3" s="14" t="n">
        <f aca="false">IF($H3="Expert Level",1,0)</f>
        <v>1</v>
      </c>
      <c r="AN3" s="14" t="n">
        <f aca="false">IF($H3="Intermediate Level",1,0)</f>
        <v>0</v>
      </c>
    </row>
    <row r="4" customFormat="false" ht="57.45" hidden="false" customHeight="false" outlineLevel="0" collapsed="false">
      <c r="A4" s="14" t="n">
        <v>625204</v>
      </c>
      <c r="B4" s="14" t="s">
        <v>57</v>
      </c>
      <c r="C4" s="14" t="s">
        <v>58</v>
      </c>
      <c r="D4" s="14" t="n">
        <v>200</v>
      </c>
      <c r="E4" s="14" t="n">
        <v>121584</v>
      </c>
      <c r="F4" s="14" t="n">
        <v>27445</v>
      </c>
      <c r="G4" s="14" t="n">
        <v>342</v>
      </c>
      <c r="H4" s="14" t="s">
        <v>52</v>
      </c>
      <c r="I4" s="14" t="n">
        <v>0.89</v>
      </c>
      <c r="J4" s="14" t="n">
        <v>43</v>
      </c>
      <c r="K4" s="14" t="s">
        <v>59</v>
      </c>
      <c r="L4" s="14" t="n">
        <v>2015</v>
      </c>
      <c r="M4" s="14" t="n">
        <v>11.7083606609096</v>
      </c>
      <c r="N4" s="14" t="n">
        <v>5.29836736529808</v>
      </c>
      <c r="P4" s="14" t="n">
        <f aca="false">D4</f>
        <v>200</v>
      </c>
      <c r="Q4" s="14" t="n">
        <f aca="false">G4</f>
        <v>342</v>
      </c>
      <c r="R4" s="14" t="n">
        <f aca="false">J4</f>
        <v>43</v>
      </c>
      <c r="S4" s="14" t="n">
        <f aca="false">IF($L4=2012,1,0)</f>
        <v>0</v>
      </c>
      <c r="T4" s="14" t="n">
        <f aca="false">IF($L4=2013,1,0)</f>
        <v>0</v>
      </c>
      <c r="U4" s="14" t="n">
        <f aca="false">IF($L4=2014,1,0)</f>
        <v>0</v>
      </c>
      <c r="V4" s="14" t="n">
        <f aca="false">IF($L4=2015,1,0)</f>
        <v>1</v>
      </c>
      <c r="W4" s="14" t="n">
        <f aca="false">IF($L4=2016,1,0)</f>
        <v>0</v>
      </c>
      <c r="X4" s="14" t="n">
        <f aca="false">IF($L4=2017,1,0)</f>
        <v>0</v>
      </c>
      <c r="Y4" s="14" t="n">
        <f aca="false">IF($H4="Beginner Level",1,0)</f>
        <v>1</v>
      </c>
      <c r="Z4" s="14" t="n">
        <f aca="false">IF($H4="Expert Level",1,0)</f>
        <v>0</v>
      </c>
      <c r="AA4" s="14" t="n">
        <f aca="false">IF($H4="Intermediate Level",1,0)</f>
        <v>0</v>
      </c>
      <c r="AC4" s="14" t="n">
        <f aca="false">N4</f>
        <v>5.29836736529808</v>
      </c>
      <c r="AD4" s="14" t="n">
        <f aca="false">G4</f>
        <v>342</v>
      </c>
      <c r="AE4" s="14" t="n">
        <f aca="false">J4</f>
        <v>43</v>
      </c>
      <c r="AF4" s="14" t="n">
        <f aca="false">IF($L4=2012,1,0)</f>
        <v>0</v>
      </c>
      <c r="AG4" s="14" t="n">
        <f aca="false">IF($L4=2013,1,0)</f>
        <v>0</v>
      </c>
      <c r="AH4" s="14" t="n">
        <f aca="false">IF($L4=2014,1,0)</f>
        <v>0</v>
      </c>
      <c r="AI4" s="14" t="n">
        <f aca="false">IF($L4=2015,1,0)</f>
        <v>1</v>
      </c>
      <c r="AJ4" s="14" t="n">
        <f aca="false">IF($L4=2016,1,0)</f>
        <v>0</v>
      </c>
      <c r="AK4" s="14" t="n">
        <f aca="false">IF($L4=2017,1,0)</f>
        <v>0</v>
      </c>
      <c r="AL4" s="14" t="n">
        <f aca="false">IF($H4="Beginner Level",1,0)</f>
        <v>1</v>
      </c>
      <c r="AM4" s="14" t="n">
        <f aca="false">IF($H4="Expert Level",1,0)</f>
        <v>0</v>
      </c>
      <c r="AN4" s="14" t="n">
        <f aca="false">IF($H4="Intermediate Level",1,0)</f>
        <v>0</v>
      </c>
    </row>
    <row r="5" customFormat="false" ht="57.45" hidden="false" customHeight="false" outlineLevel="0" collapsed="false">
      <c r="A5" s="14" t="n">
        <v>173548</v>
      </c>
      <c r="B5" s="14" t="s">
        <v>60</v>
      </c>
      <c r="C5" s="14" t="s">
        <v>61</v>
      </c>
      <c r="D5" s="14" t="n">
        <v>0</v>
      </c>
      <c r="E5" s="14" t="n">
        <v>120291</v>
      </c>
      <c r="F5" s="14" t="n">
        <v>5924</v>
      </c>
      <c r="G5" s="14" t="n">
        <v>30</v>
      </c>
      <c r="H5" s="14" t="s">
        <v>62</v>
      </c>
      <c r="I5" s="14" t="n">
        <v>0.78</v>
      </c>
      <c r="J5" s="14" t="n">
        <v>3</v>
      </c>
      <c r="K5" s="14" t="s">
        <v>53</v>
      </c>
      <c r="L5" s="14" t="n">
        <v>2014</v>
      </c>
      <c r="M5" s="14" t="n">
        <v>11.6976690861966</v>
      </c>
      <c r="N5" s="14" t="n">
        <v>-4.60517018598809</v>
      </c>
      <c r="P5" s="14" t="n">
        <f aca="false">D5</f>
        <v>0</v>
      </c>
      <c r="Q5" s="14" t="n">
        <f aca="false">G5</f>
        <v>30</v>
      </c>
      <c r="R5" s="14" t="n">
        <f aca="false">J5</f>
        <v>3</v>
      </c>
      <c r="S5" s="14" t="n">
        <f aca="false">IF($L5=2012,1,0)</f>
        <v>0</v>
      </c>
      <c r="T5" s="14" t="n">
        <f aca="false">IF($L5=2013,1,0)</f>
        <v>0</v>
      </c>
      <c r="U5" s="14" t="n">
        <f aca="false">IF($L5=2014,1,0)</f>
        <v>1</v>
      </c>
      <c r="V5" s="14" t="n">
        <f aca="false">IF($L5=2015,1,0)</f>
        <v>0</v>
      </c>
      <c r="W5" s="14" t="n">
        <f aca="false">IF($L5=2016,1,0)</f>
        <v>0</v>
      </c>
      <c r="X5" s="14" t="n">
        <f aca="false">IF($L5=2017,1,0)</f>
        <v>0</v>
      </c>
      <c r="Y5" s="14" t="n">
        <f aca="false">IF($H5="Beginner Level",1,0)</f>
        <v>0</v>
      </c>
      <c r="Z5" s="14" t="n">
        <f aca="false">IF($H5="Expert Level",1,0)</f>
        <v>0</v>
      </c>
      <c r="AA5" s="14" t="n">
        <f aca="false">IF($H5="Intermediate Level",1,0)</f>
        <v>0</v>
      </c>
      <c r="AC5" s="14" t="n">
        <f aca="false">N5</f>
        <v>-4.60517018598809</v>
      </c>
      <c r="AD5" s="14" t="n">
        <f aca="false">G5</f>
        <v>30</v>
      </c>
      <c r="AE5" s="14" t="n">
        <f aca="false">J5</f>
        <v>3</v>
      </c>
      <c r="AF5" s="14" t="n">
        <f aca="false">IF($L5=2012,1,0)</f>
        <v>0</v>
      </c>
      <c r="AG5" s="14" t="n">
        <f aca="false">IF($L5=2013,1,0)</f>
        <v>0</v>
      </c>
      <c r="AH5" s="14" t="n">
        <f aca="false">IF($L5=2014,1,0)</f>
        <v>1</v>
      </c>
      <c r="AI5" s="14" t="n">
        <f aca="false">IF($L5=2015,1,0)</f>
        <v>0</v>
      </c>
      <c r="AJ5" s="14" t="n">
        <f aca="false">IF($L5=2016,1,0)</f>
        <v>0</v>
      </c>
      <c r="AK5" s="14" t="n">
        <f aca="false">IF($L5=2017,1,0)</f>
        <v>0</v>
      </c>
      <c r="AL5" s="14" t="n">
        <f aca="false">IF($H5="Beginner Level",1,0)</f>
        <v>0</v>
      </c>
      <c r="AM5" s="14" t="n">
        <f aca="false">IF($H5="Expert Level",1,0)</f>
        <v>0</v>
      </c>
      <c r="AN5" s="14" t="n">
        <f aca="false">IF($H5="Intermediate Level",1,0)</f>
        <v>0</v>
      </c>
    </row>
    <row r="6" customFormat="false" ht="68.65" hidden="false" customHeight="false" outlineLevel="0" collapsed="false">
      <c r="A6" s="14" t="n">
        <v>764164</v>
      </c>
      <c r="B6" s="14" t="s">
        <v>63</v>
      </c>
      <c r="C6" s="14" t="s">
        <v>64</v>
      </c>
      <c r="D6" s="14" t="n">
        <v>200</v>
      </c>
      <c r="E6" s="14" t="n">
        <v>114512</v>
      </c>
      <c r="F6" s="14" t="n">
        <v>22412</v>
      </c>
      <c r="G6" s="14" t="n">
        <v>304</v>
      </c>
      <c r="H6" s="14" t="s">
        <v>52</v>
      </c>
      <c r="I6" s="14" t="n">
        <v>0.55</v>
      </c>
      <c r="J6" s="14" t="n">
        <v>30.5</v>
      </c>
      <c r="K6" s="14" t="s">
        <v>59</v>
      </c>
      <c r="L6" s="14" t="n">
        <v>2016</v>
      </c>
      <c r="M6" s="14" t="n">
        <v>11.6484348999784</v>
      </c>
      <c r="N6" s="14" t="n">
        <v>5.29836736529808</v>
      </c>
      <c r="P6" s="14" t="n">
        <f aca="false">D6</f>
        <v>200</v>
      </c>
      <c r="Q6" s="14" t="n">
        <f aca="false">G6</f>
        <v>304</v>
      </c>
      <c r="R6" s="14" t="n">
        <f aca="false">J6</f>
        <v>30.5</v>
      </c>
      <c r="S6" s="14" t="n">
        <f aca="false">IF($L6=2012,1,0)</f>
        <v>0</v>
      </c>
      <c r="T6" s="14" t="n">
        <f aca="false">IF($L6=2013,1,0)</f>
        <v>0</v>
      </c>
      <c r="U6" s="14" t="n">
        <f aca="false">IF($L6=2014,1,0)</f>
        <v>0</v>
      </c>
      <c r="V6" s="14" t="n">
        <f aca="false">IF($L6=2015,1,0)</f>
        <v>0</v>
      </c>
      <c r="W6" s="14" t="n">
        <f aca="false">IF($L6=2016,1,0)</f>
        <v>1</v>
      </c>
      <c r="X6" s="14" t="n">
        <f aca="false">IF($L6=2017,1,0)</f>
        <v>0</v>
      </c>
      <c r="Y6" s="14" t="n">
        <f aca="false">IF($H6="Beginner Level",1,0)</f>
        <v>1</v>
      </c>
      <c r="Z6" s="14" t="n">
        <f aca="false">IF($H6="Expert Level",1,0)</f>
        <v>0</v>
      </c>
      <c r="AA6" s="14" t="n">
        <f aca="false">IF($H6="Intermediate Level",1,0)</f>
        <v>0</v>
      </c>
      <c r="AC6" s="14" t="n">
        <f aca="false">N6</f>
        <v>5.29836736529808</v>
      </c>
      <c r="AD6" s="14" t="n">
        <f aca="false">G6</f>
        <v>304</v>
      </c>
      <c r="AE6" s="14" t="n">
        <f aca="false">J6</f>
        <v>30.5</v>
      </c>
      <c r="AF6" s="14" t="n">
        <f aca="false">IF($L6=2012,1,0)</f>
        <v>0</v>
      </c>
      <c r="AG6" s="14" t="n">
        <f aca="false">IF($L6=2013,1,0)</f>
        <v>0</v>
      </c>
      <c r="AH6" s="14" t="n">
        <f aca="false">IF($L6=2014,1,0)</f>
        <v>0</v>
      </c>
      <c r="AI6" s="14" t="n">
        <f aca="false">IF($L6=2015,1,0)</f>
        <v>0</v>
      </c>
      <c r="AJ6" s="14" t="n">
        <f aca="false">IF($L6=2016,1,0)</f>
        <v>1</v>
      </c>
      <c r="AK6" s="14" t="n">
        <f aca="false">IF($L6=2017,1,0)</f>
        <v>0</v>
      </c>
      <c r="AL6" s="14" t="n">
        <f aca="false">IF($H6="Beginner Level",1,0)</f>
        <v>1</v>
      </c>
      <c r="AM6" s="14" t="n">
        <f aca="false">IF($H6="Expert Level",1,0)</f>
        <v>0</v>
      </c>
      <c r="AN6" s="14" t="n">
        <f aca="false">IF($H6="Intermediate Level",1,0)</f>
        <v>0</v>
      </c>
    </row>
    <row r="7" customFormat="false" ht="57.45" hidden="false" customHeight="false" outlineLevel="0" collapsed="false">
      <c r="A7" s="14" t="n">
        <v>473160</v>
      </c>
      <c r="B7" s="14" t="s">
        <v>65</v>
      </c>
      <c r="C7" s="14" t="s">
        <v>66</v>
      </c>
      <c r="D7" s="14" t="n">
        <v>0</v>
      </c>
      <c r="E7" s="14" t="n">
        <v>98867</v>
      </c>
      <c r="F7" s="14" t="n">
        <v>6512</v>
      </c>
      <c r="G7" s="14" t="n">
        <v>20</v>
      </c>
      <c r="H7" s="14" t="s">
        <v>62</v>
      </c>
      <c r="I7" s="14" t="n">
        <v>0.82</v>
      </c>
      <c r="J7" s="14" t="n">
        <v>3</v>
      </c>
      <c r="K7" s="14" t="s">
        <v>53</v>
      </c>
      <c r="L7" s="14" t="n">
        <v>2015</v>
      </c>
      <c r="M7" s="14" t="n">
        <v>11.5015307915563</v>
      </c>
      <c r="N7" s="14" t="n">
        <v>-4.60517018598809</v>
      </c>
      <c r="P7" s="14" t="n">
        <f aca="false">D7</f>
        <v>0</v>
      </c>
      <c r="Q7" s="14" t="n">
        <f aca="false">G7</f>
        <v>20</v>
      </c>
      <c r="R7" s="14" t="n">
        <f aca="false">J7</f>
        <v>3</v>
      </c>
      <c r="S7" s="14" t="n">
        <f aca="false">IF($L7=2012,1,0)</f>
        <v>0</v>
      </c>
      <c r="T7" s="14" t="n">
        <f aca="false">IF($L7=2013,1,0)</f>
        <v>0</v>
      </c>
      <c r="U7" s="14" t="n">
        <f aca="false">IF($L7=2014,1,0)</f>
        <v>0</v>
      </c>
      <c r="V7" s="14" t="n">
        <f aca="false">IF($L7=2015,1,0)</f>
        <v>1</v>
      </c>
      <c r="W7" s="14" t="n">
        <f aca="false">IF($L7=2016,1,0)</f>
        <v>0</v>
      </c>
      <c r="X7" s="14" t="n">
        <f aca="false">IF($L7=2017,1,0)</f>
        <v>0</v>
      </c>
      <c r="Y7" s="14" t="n">
        <f aca="false">IF($H7="Beginner Level",1,0)</f>
        <v>0</v>
      </c>
      <c r="Z7" s="14" t="n">
        <f aca="false">IF($H7="Expert Level",1,0)</f>
        <v>0</v>
      </c>
      <c r="AA7" s="14" t="n">
        <f aca="false">IF($H7="Intermediate Level",1,0)</f>
        <v>0</v>
      </c>
      <c r="AC7" s="14" t="n">
        <f aca="false">N7</f>
        <v>-4.60517018598809</v>
      </c>
      <c r="AD7" s="14" t="n">
        <f aca="false">G7</f>
        <v>20</v>
      </c>
      <c r="AE7" s="14" t="n">
        <f aca="false">J7</f>
        <v>3</v>
      </c>
      <c r="AF7" s="14" t="n">
        <f aca="false">IF($L7=2012,1,0)</f>
        <v>0</v>
      </c>
      <c r="AG7" s="14" t="n">
        <f aca="false">IF($L7=2013,1,0)</f>
        <v>0</v>
      </c>
      <c r="AH7" s="14" t="n">
        <f aca="false">IF($L7=2014,1,0)</f>
        <v>0</v>
      </c>
      <c r="AI7" s="14" t="n">
        <f aca="false">IF($L7=2015,1,0)</f>
        <v>1</v>
      </c>
      <c r="AJ7" s="14" t="n">
        <f aca="false">IF($L7=2016,1,0)</f>
        <v>0</v>
      </c>
      <c r="AK7" s="14" t="n">
        <f aca="false">IF($L7=2017,1,0)</f>
        <v>0</v>
      </c>
      <c r="AL7" s="14" t="n">
        <f aca="false">IF($H7="Beginner Level",1,0)</f>
        <v>0</v>
      </c>
      <c r="AM7" s="14" t="n">
        <f aca="false">IF($H7="Expert Level",1,0)</f>
        <v>0</v>
      </c>
      <c r="AN7" s="14" t="n">
        <f aca="false">IF($H7="Intermediate Level",1,0)</f>
        <v>0</v>
      </c>
    </row>
    <row r="8" customFormat="false" ht="68.65" hidden="false" customHeight="false" outlineLevel="0" collapsed="false">
      <c r="A8" s="14" t="n">
        <v>94430</v>
      </c>
      <c r="B8" s="14" t="s">
        <v>67</v>
      </c>
      <c r="C8" s="14" t="s">
        <v>68</v>
      </c>
      <c r="D8" s="14" t="n">
        <v>30</v>
      </c>
      <c r="E8" s="14" t="n">
        <v>84897</v>
      </c>
      <c r="F8" s="14" t="n">
        <v>2685</v>
      </c>
      <c r="G8" s="14" t="n">
        <v>10</v>
      </c>
      <c r="H8" s="14" t="s">
        <v>62</v>
      </c>
      <c r="I8" s="14" t="n">
        <v>0.79</v>
      </c>
      <c r="J8" s="14" t="n">
        <v>2</v>
      </c>
      <c r="K8" s="14" t="s">
        <v>59</v>
      </c>
      <c r="L8" s="14" t="n">
        <v>2013</v>
      </c>
      <c r="M8" s="14" t="n">
        <v>11.3491940359861</v>
      </c>
      <c r="N8" s="14" t="n">
        <v>3.40153065945228</v>
      </c>
      <c r="P8" s="14" t="n">
        <f aca="false">D8</f>
        <v>30</v>
      </c>
      <c r="Q8" s="14" t="n">
        <f aca="false">G8</f>
        <v>10</v>
      </c>
      <c r="R8" s="14" t="n">
        <f aca="false">J8</f>
        <v>2</v>
      </c>
      <c r="S8" s="14" t="n">
        <f aca="false">IF($L8=2012,1,0)</f>
        <v>0</v>
      </c>
      <c r="T8" s="14" t="n">
        <f aca="false">IF($L8=2013,1,0)</f>
        <v>1</v>
      </c>
      <c r="U8" s="14" t="n">
        <f aca="false">IF($L8=2014,1,0)</f>
        <v>0</v>
      </c>
      <c r="V8" s="14" t="n">
        <f aca="false">IF($L8=2015,1,0)</f>
        <v>0</v>
      </c>
      <c r="W8" s="14" t="n">
        <f aca="false">IF($L8=2016,1,0)</f>
        <v>0</v>
      </c>
      <c r="X8" s="14" t="n">
        <f aca="false">IF($L8=2017,1,0)</f>
        <v>0</v>
      </c>
      <c r="Y8" s="14" t="n">
        <f aca="false">IF($H8="Beginner Level",1,0)</f>
        <v>0</v>
      </c>
      <c r="Z8" s="14" t="n">
        <f aca="false">IF($H8="Expert Level",1,0)</f>
        <v>0</v>
      </c>
      <c r="AA8" s="14" t="n">
        <f aca="false">IF($H8="Intermediate Level",1,0)</f>
        <v>0</v>
      </c>
      <c r="AC8" s="14" t="n">
        <f aca="false">N8</f>
        <v>3.40153065945228</v>
      </c>
      <c r="AD8" s="14" t="n">
        <f aca="false">G8</f>
        <v>10</v>
      </c>
      <c r="AE8" s="14" t="n">
        <f aca="false">J8</f>
        <v>2</v>
      </c>
      <c r="AF8" s="14" t="n">
        <f aca="false">IF($L8=2012,1,0)</f>
        <v>0</v>
      </c>
      <c r="AG8" s="14" t="n">
        <f aca="false">IF($L8=2013,1,0)</f>
        <v>1</v>
      </c>
      <c r="AH8" s="14" t="n">
        <f aca="false">IF($L8=2014,1,0)</f>
        <v>0</v>
      </c>
      <c r="AI8" s="14" t="n">
        <f aca="false">IF($L8=2015,1,0)</f>
        <v>0</v>
      </c>
      <c r="AJ8" s="14" t="n">
        <f aca="false">IF($L8=2016,1,0)</f>
        <v>0</v>
      </c>
      <c r="AK8" s="14" t="n">
        <f aca="false">IF($L8=2017,1,0)</f>
        <v>0</v>
      </c>
      <c r="AL8" s="14" t="n">
        <f aca="false">IF($H8="Beginner Level",1,0)</f>
        <v>0</v>
      </c>
      <c r="AM8" s="14" t="n">
        <f aca="false">IF($H8="Expert Level",1,0)</f>
        <v>0</v>
      </c>
      <c r="AN8" s="14" t="n">
        <f aca="false">IF($H8="Intermediate Level",1,0)</f>
        <v>0</v>
      </c>
    </row>
    <row r="9" customFormat="false" ht="57.45" hidden="false" customHeight="false" outlineLevel="0" collapsed="false">
      <c r="A9" s="14" t="n">
        <v>130064</v>
      </c>
      <c r="B9" s="14" t="s">
        <v>69</v>
      </c>
      <c r="C9" s="14" t="s">
        <v>70</v>
      </c>
      <c r="D9" s="14" t="n">
        <v>0</v>
      </c>
      <c r="E9" s="14" t="n">
        <v>83737</v>
      </c>
      <c r="F9" s="14" t="n">
        <v>4598</v>
      </c>
      <c r="G9" s="14" t="n">
        <v>45</v>
      </c>
      <c r="H9" s="14" t="s">
        <v>71</v>
      </c>
      <c r="I9" s="14" t="n">
        <v>0.85</v>
      </c>
      <c r="J9" s="14" t="n">
        <v>6.5</v>
      </c>
      <c r="K9" s="14" t="s">
        <v>53</v>
      </c>
      <c r="L9" s="14" t="n">
        <v>2014</v>
      </c>
      <c r="M9" s="14" t="n">
        <v>11.3354362137582</v>
      </c>
      <c r="N9" s="14" t="n">
        <v>-4.60517018598809</v>
      </c>
      <c r="P9" s="14" t="n">
        <f aca="false">D9</f>
        <v>0</v>
      </c>
      <c r="Q9" s="14" t="n">
        <f aca="false">G9</f>
        <v>45</v>
      </c>
      <c r="R9" s="14" t="n">
        <f aca="false">J9</f>
        <v>6.5</v>
      </c>
      <c r="S9" s="14" t="n">
        <f aca="false">IF($L9=2012,1,0)</f>
        <v>0</v>
      </c>
      <c r="T9" s="14" t="n">
        <f aca="false">IF($L9=2013,1,0)</f>
        <v>0</v>
      </c>
      <c r="U9" s="14" t="n">
        <f aca="false">IF($L9=2014,1,0)</f>
        <v>1</v>
      </c>
      <c r="V9" s="14" t="n">
        <f aca="false">IF($L9=2015,1,0)</f>
        <v>0</v>
      </c>
      <c r="W9" s="14" t="n">
        <f aca="false">IF($L9=2016,1,0)</f>
        <v>0</v>
      </c>
      <c r="X9" s="14" t="n">
        <f aca="false">IF($L9=2017,1,0)</f>
        <v>0</v>
      </c>
      <c r="Y9" s="14" t="n">
        <f aca="false">IF($H9="Beginner Level",1,0)</f>
        <v>0</v>
      </c>
      <c r="Z9" s="14" t="n">
        <f aca="false">IF($H9="Expert Level",1,0)</f>
        <v>0</v>
      </c>
      <c r="AA9" s="14" t="n">
        <f aca="false">IF($H9="Intermediate Level",1,0)</f>
        <v>1</v>
      </c>
      <c r="AC9" s="14" t="n">
        <f aca="false">N9</f>
        <v>-4.60517018598809</v>
      </c>
      <c r="AD9" s="14" t="n">
        <f aca="false">G9</f>
        <v>45</v>
      </c>
      <c r="AE9" s="14" t="n">
        <f aca="false">J9</f>
        <v>6.5</v>
      </c>
      <c r="AF9" s="14" t="n">
        <f aca="false">IF($L9=2012,1,0)</f>
        <v>0</v>
      </c>
      <c r="AG9" s="14" t="n">
        <f aca="false">IF($L9=2013,1,0)</f>
        <v>0</v>
      </c>
      <c r="AH9" s="14" t="n">
        <f aca="false">IF($L9=2014,1,0)</f>
        <v>1</v>
      </c>
      <c r="AI9" s="14" t="n">
        <f aca="false">IF($L9=2015,1,0)</f>
        <v>0</v>
      </c>
      <c r="AJ9" s="14" t="n">
        <f aca="false">IF($L9=2016,1,0)</f>
        <v>0</v>
      </c>
      <c r="AK9" s="14" t="n">
        <f aca="false">IF($L9=2017,1,0)</f>
        <v>0</v>
      </c>
      <c r="AL9" s="14" t="n">
        <f aca="false">IF($H9="Beginner Level",1,0)</f>
        <v>0</v>
      </c>
      <c r="AM9" s="14" t="n">
        <f aca="false">IF($H9="Expert Level",1,0)</f>
        <v>0</v>
      </c>
      <c r="AN9" s="14" t="n">
        <f aca="false">IF($H9="Intermediate Level",1,0)</f>
        <v>1</v>
      </c>
    </row>
    <row r="10" customFormat="false" ht="46.25" hidden="false" customHeight="false" outlineLevel="0" collapsed="false">
      <c r="A10" s="14" t="n">
        <v>364426</v>
      </c>
      <c r="B10" s="14" t="s">
        <v>72</v>
      </c>
      <c r="C10" s="14" t="s">
        <v>73</v>
      </c>
      <c r="D10" s="14" t="n">
        <v>175</v>
      </c>
      <c r="E10" s="14" t="n">
        <v>79612</v>
      </c>
      <c r="F10" s="14" t="n">
        <v>16976</v>
      </c>
      <c r="G10" s="14" t="n">
        <v>85</v>
      </c>
      <c r="H10" s="14" t="s">
        <v>62</v>
      </c>
      <c r="I10" s="14" t="n">
        <v>0.69</v>
      </c>
      <c r="J10" s="14" t="n">
        <v>11.5</v>
      </c>
      <c r="K10" s="14" t="s">
        <v>59</v>
      </c>
      <c r="L10" s="14" t="n">
        <v>2015</v>
      </c>
      <c r="M10" s="14" t="n">
        <v>11.2849201142391</v>
      </c>
      <c r="N10" s="14" t="n">
        <v>5.16484311514807</v>
      </c>
      <c r="P10" s="14" t="n">
        <f aca="false">D10</f>
        <v>175</v>
      </c>
      <c r="Q10" s="14" t="n">
        <f aca="false">G10</f>
        <v>85</v>
      </c>
      <c r="R10" s="14" t="n">
        <f aca="false">J10</f>
        <v>11.5</v>
      </c>
      <c r="S10" s="14" t="n">
        <f aca="false">IF($L10=2012,1,0)</f>
        <v>0</v>
      </c>
      <c r="T10" s="14" t="n">
        <f aca="false">IF($L10=2013,1,0)</f>
        <v>0</v>
      </c>
      <c r="U10" s="14" t="n">
        <f aca="false">IF($L10=2014,1,0)</f>
        <v>0</v>
      </c>
      <c r="V10" s="14" t="n">
        <f aca="false">IF($L10=2015,1,0)</f>
        <v>1</v>
      </c>
      <c r="W10" s="14" t="n">
        <f aca="false">IF($L10=2016,1,0)</f>
        <v>0</v>
      </c>
      <c r="X10" s="14" t="n">
        <f aca="false">IF($L10=2017,1,0)</f>
        <v>0</v>
      </c>
      <c r="Y10" s="14" t="n">
        <f aca="false">IF($H10="Beginner Level",1,0)</f>
        <v>0</v>
      </c>
      <c r="Z10" s="14" t="n">
        <f aca="false">IF($H10="Expert Level",1,0)</f>
        <v>0</v>
      </c>
      <c r="AA10" s="14" t="n">
        <f aca="false">IF($H10="Intermediate Level",1,0)</f>
        <v>0</v>
      </c>
      <c r="AC10" s="14" t="n">
        <f aca="false">N10</f>
        <v>5.16484311514807</v>
      </c>
      <c r="AD10" s="14" t="n">
        <f aca="false">G10</f>
        <v>85</v>
      </c>
      <c r="AE10" s="14" t="n">
        <f aca="false">J10</f>
        <v>11.5</v>
      </c>
      <c r="AF10" s="14" t="n">
        <f aca="false">IF($L10=2012,1,0)</f>
        <v>0</v>
      </c>
      <c r="AG10" s="14" t="n">
        <f aca="false">IF($L10=2013,1,0)</f>
        <v>0</v>
      </c>
      <c r="AH10" s="14" t="n">
        <f aca="false">IF($L10=2014,1,0)</f>
        <v>0</v>
      </c>
      <c r="AI10" s="14" t="n">
        <f aca="false">IF($L10=2015,1,0)</f>
        <v>1</v>
      </c>
      <c r="AJ10" s="14" t="n">
        <f aca="false">IF($L10=2016,1,0)</f>
        <v>0</v>
      </c>
      <c r="AK10" s="14" t="n">
        <f aca="false">IF($L10=2017,1,0)</f>
        <v>0</v>
      </c>
      <c r="AL10" s="14" t="n">
        <f aca="false">IF($H10="Beginner Level",1,0)</f>
        <v>0</v>
      </c>
      <c r="AM10" s="14" t="n">
        <f aca="false">IF($H10="Expert Level",1,0)</f>
        <v>0</v>
      </c>
      <c r="AN10" s="14" t="n">
        <f aca="false">IF($H10="Intermediate Level",1,0)</f>
        <v>0</v>
      </c>
    </row>
    <row r="11" customFormat="false" ht="68.65" hidden="false" customHeight="false" outlineLevel="0" collapsed="false">
      <c r="A11" s="14" t="n">
        <v>756150</v>
      </c>
      <c r="B11" s="14" t="s">
        <v>74</v>
      </c>
      <c r="C11" s="14" t="s">
        <v>75</v>
      </c>
      <c r="D11" s="14" t="n">
        <v>190</v>
      </c>
      <c r="E11" s="14" t="n">
        <v>73783</v>
      </c>
      <c r="F11" s="14" t="n">
        <v>19649</v>
      </c>
      <c r="G11" s="14" t="n">
        <v>329</v>
      </c>
      <c r="H11" s="14" t="s">
        <v>52</v>
      </c>
      <c r="I11" s="14" t="n">
        <v>0.9</v>
      </c>
      <c r="J11" s="14" t="n">
        <v>22</v>
      </c>
      <c r="K11" s="14" t="s">
        <v>59</v>
      </c>
      <c r="L11" s="14" t="n">
        <v>2016</v>
      </c>
      <c r="M11" s="14" t="n">
        <v>11.2088836317499</v>
      </c>
      <c r="N11" s="14" t="n">
        <v>5.24707670235444</v>
      </c>
      <c r="P11" s="14" t="n">
        <f aca="false">D11</f>
        <v>190</v>
      </c>
      <c r="Q11" s="14" t="n">
        <f aca="false">G11</f>
        <v>329</v>
      </c>
      <c r="R11" s="14" t="n">
        <f aca="false">J11</f>
        <v>22</v>
      </c>
      <c r="S11" s="14" t="n">
        <f aca="false">IF($L11=2012,1,0)</f>
        <v>0</v>
      </c>
      <c r="T11" s="14" t="n">
        <f aca="false">IF($L11=2013,1,0)</f>
        <v>0</v>
      </c>
      <c r="U11" s="14" t="n">
        <f aca="false">IF($L11=2014,1,0)</f>
        <v>0</v>
      </c>
      <c r="V11" s="14" t="n">
        <f aca="false">IF($L11=2015,1,0)</f>
        <v>0</v>
      </c>
      <c r="W11" s="14" t="n">
        <f aca="false">IF($L11=2016,1,0)</f>
        <v>1</v>
      </c>
      <c r="X11" s="14" t="n">
        <f aca="false">IF($L11=2017,1,0)</f>
        <v>0</v>
      </c>
      <c r="Y11" s="14" t="n">
        <f aca="false">IF($H11="Beginner Level",1,0)</f>
        <v>1</v>
      </c>
      <c r="Z11" s="14" t="n">
        <f aca="false">IF($H11="Expert Level",1,0)</f>
        <v>0</v>
      </c>
      <c r="AA11" s="14" t="n">
        <f aca="false">IF($H11="Intermediate Level",1,0)</f>
        <v>0</v>
      </c>
      <c r="AC11" s="14" t="n">
        <f aca="false">N11</f>
        <v>5.24707670235444</v>
      </c>
      <c r="AD11" s="14" t="n">
        <f aca="false">G11</f>
        <v>329</v>
      </c>
      <c r="AE11" s="14" t="n">
        <f aca="false">J11</f>
        <v>22</v>
      </c>
      <c r="AF11" s="14" t="n">
        <f aca="false">IF($L11=2012,1,0)</f>
        <v>0</v>
      </c>
      <c r="AG11" s="14" t="n">
        <f aca="false">IF($L11=2013,1,0)</f>
        <v>0</v>
      </c>
      <c r="AH11" s="14" t="n">
        <f aca="false">IF($L11=2014,1,0)</f>
        <v>0</v>
      </c>
      <c r="AI11" s="14" t="n">
        <f aca="false">IF($L11=2015,1,0)</f>
        <v>0</v>
      </c>
      <c r="AJ11" s="14" t="n">
        <f aca="false">IF($L11=2016,1,0)</f>
        <v>1</v>
      </c>
      <c r="AK11" s="14" t="n">
        <f aca="false">IF($L11=2017,1,0)</f>
        <v>0</v>
      </c>
      <c r="AL11" s="14" t="n">
        <f aca="false">IF($H11="Beginner Level",1,0)</f>
        <v>1</v>
      </c>
      <c r="AM11" s="14" t="n">
        <f aca="false">IF($H11="Expert Level",1,0)</f>
        <v>0</v>
      </c>
      <c r="AN11" s="14" t="n">
        <f aca="false">IF($H11="Intermediate Level",1,0)</f>
        <v>0</v>
      </c>
    </row>
    <row r="12" customFormat="false" ht="46.25" hidden="false" customHeight="false" outlineLevel="0" collapsed="false">
      <c r="A12" s="14" t="n">
        <v>21386</v>
      </c>
      <c r="B12" s="14" t="s">
        <v>76</v>
      </c>
      <c r="C12" s="14" t="s">
        <v>77</v>
      </c>
      <c r="D12" s="14" t="n">
        <v>0</v>
      </c>
      <c r="E12" s="14" t="n">
        <v>73110</v>
      </c>
      <c r="F12" s="14" t="n">
        <v>1716</v>
      </c>
      <c r="G12" s="14" t="n">
        <v>22</v>
      </c>
      <c r="H12" s="14" t="s">
        <v>62</v>
      </c>
      <c r="I12" s="14" t="n">
        <v>0.94</v>
      </c>
      <c r="J12" s="14" t="n">
        <v>2</v>
      </c>
      <c r="K12" s="14" t="s">
        <v>53</v>
      </c>
      <c r="L12" s="14" t="n">
        <v>2012</v>
      </c>
      <c r="M12" s="14" t="n">
        <v>11.1997204352874</v>
      </c>
      <c r="N12" s="14" t="n">
        <v>-4.60517018598809</v>
      </c>
      <c r="P12" s="14" t="n">
        <f aca="false">D12</f>
        <v>0</v>
      </c>
      <c r="Q12" s="14" t="n">
        <f aca="false">G12</f>
        <v>22</v>
      </c>
      <c r="R12" s="14" t="n">
        <f aca="false">J12</f>
        <v>2</v>
      </c>
      <c r="S12" s="14" t="n">
        <f aca="false">IF($L12=2012,1,0)</f>
        <v>1</v>
      </c>
      <c r="T12" s="14" t="n">
        <f aca="false">IF($L12=2013,1,0)</f>
        <v>0</v>
      </c>
      <c r="U12" s="14" t="n">
        <f aca="false">IF($L12=2014,1,0)</f>
        <v>0</v>
      </c>
      <c r="V12" s="14" t="n">
        <f aca="false">IF($L12=2015,1,0)</f>
        <v>0</v>
      </c>
      <c r="W12" s="14" t="n">
        <f aca="false">IF($L12=2016,1,0)</f>
        <v>0</v>
      </c>
      <c r="X12" s="14" t="n">
        <f aca="false">IF($L12=2017,1,0)</f>
        <v>0</v>
      </c>
      <c r="Y12" s="14" t="n">
        <f aca="false">IF($H12="Beginner Level",1,0)</f>
        <v>0</v>
      </c>
      <c r="Z12" s="14" t="n">
        <f aca="false">IF($H12="Expert Level",1,0)</f>
        <v>0</v>
      </c>
      <c r="AA12" s="14" t="n">
        <f aca="false">IF($H12="Intermediate Level",1,0)</f>
        <v>0</v>
      </c>
      <c r="AC12" s="14" t="n">
        <f aca="false">N12</f>
        <v>-4.60517018598809</v>
      </c>
      <c r="AD12" s="14" t="n">
        <f aca="false">G12</f>
        <v>22</v>
      </c>
      <c r="AE12" s="14" t="n">
        <f aca="false">J12</f>
        <v>2</v>
      </c>
      <c r="AF12" s="14" t="n">
        <f aca="false">IF($L12=2012,1,0)</f>
        <v>1</v>
      </c>
      <c r="AG12" s="14" t="n">
        <f aca="false">IF($L12=2013,1,0)</f>
        <v>0</v>
      </c>
      <c r="AH12" s="14" t="n">
        <f aca="false">IF($L12=2014,1,0)</f>
        <v>0</v>
      </c>
      <c r="AI12" s="14" t="n">
        <f aca="false">IF($L12=2015,1,0)</f>
        <v>0</v>
      </c>
      <c r="AJ12" s="14" t="n">
        <f aca="false">IF($L12=2016,1,0)</f>
        <v>0</v>
      </c>
      <c r="AK12" s="14" t="n">
        <f aca="false">IF($L12=2017,1,0)</f>
        <v>0</v>
      </c>
      <c r="AL12" s="14" t="n">
        <f aca="false">IF($H12="Beginner Level",1,0)</f>
        <v>0</v>
      </c>
      <c r="AM12" s="14" t="n">
        <f aca="false">IF($H12="Expert Level",1,0)</f>
        <v>0</v>
      </c>
      <c r="AN12" s="14" t="n">
        <f aca="false">IF($H12="Intermediate Level",1,0)</f>
        <v>0</v>
      </c>
    </row>
    <row r="13" customFormat="false" ht="91" hidden="false" customHeight="false" outlineLevel="0" collapsed="false">
      <c r="A13" s="14" t="n">
        <v>65330</v>
      </c>
      <c r="B13" s="14" t="s">
        <v>78</v>
      </c>
      <c r="C13" s="14" t="s">
        <v>79</v>
      </c>
      <c r="D13" s="14" t="n">
        <v>0</v>
      </c>
      <c r="E13" s="14" t="n">
        <v>72932</v>
      </c>
      <c r="F13" s="14" t="n">
        <v>2575</v>
      </c>
      <c r="G13" s="14" t="n">
        <v>21</v>
      </c>
      <c r="H13" s="14" t="s">
        <v>62</v>
      </c>
      <c r="I13" s="14" t="n">
        <v>0.39</v>
      </c>
      <c r="J13" s="14" t="n">
        <v>1</v>
      </c>
      <c r="K13" s="14" t="s">
        <v>53</v>
      </c>
      <c r="L13" s="14" t="n">
        <v>2013</v>
      </c>
      <c r="M13" s="14" t="n">
        <v>11.1972827791591</v>
      </c>
      <c r="N13" s="14" t="n">
        <v>-4.60517018598809</v>
      </c>
      <c r="P13" s="14" t="n">
        <f aca="false">D13</f>
        <v>0</v>
      </c>
      <c r="Q13" s="14" t="n">
        <f aca="false">G13</f>
        <v>21</v>
      </c>
      <c r="R13" s="14" t="n">
        <f aca="false">J13</f>
        <v>1</v>
      </c>
      <c r="S13" s="14" t="n">
        <f aca="false">IF($L13=2012,1,0)</f>
        <v>0</v>
      </c>
      <c r="T13" s="14" t="n">
        <f aca="false">IF($L13=2013,1,0)</f>
        <v>1</v>
      </c>
      <c r="U13" s="14" t="n">
        <f aca="false">IF($L13=2014,1,0)</f>
        <v>0</v>
      </c>
      <c r="V13" s="14" t="n">
        <f aca="false">IF($L13=2015,1,0)</f>
        <v>0</v>
      </c>
      <c r="W13" s="14" t="n">
        <f aca="false">IF($L13=2016,1,0)</f>
        <v>0</v>
      </c>
      <c r="X13" s="14" t="n">
        <f aca="false">IF($L13=2017,1,0)</f>
        <v>0</v>
      </c>
      <c r="Y13" s="14" t="n">
        <f aca="false">IF($H13="Beginner Level",1,0)</f>
        <v>0</v>
      </c>
      <c r="Z13" s="14" t="n">
        <f aca="false">IF($H13="Expert Level",1,0)</f>
        <v>0</v>
      </c>
      <c r="AA13" s="14" t="n">
        <f aca="false">IF($H13="Intermediate Level",1,0)</f>
        <v>0</v>
      </c>
      <c r="AC13" s="14" t="n">
        <f aca="false">N13</f>
        <v>-4.60517018598809</v>
      </c>
      <c r="AD13" s="14" t="n">
        <f aca="false">G13</f>
        <v>21</v>
      </c>
      <c r="AE13" s="14" t="n">
        <f aca="false">J13</f>
        <v>1</v>
      </c>
      <c r="AF13" s="14" t="n">
        <f aca="false">IF($L13=2012,1,0)</f>
        <v>0</v>
      </c>
      <c r="AG13" s="14" t="n">
        <f aca="false">IF($L13=2013,1,0)</f>
        <v>1</v>
      </c>
      <c r="AH13" s="14" t="n">
        <f aca="false">IF($L13=2014,1,0)</f>
        <v>0</v>
      </c>
      <c r="AI13" s="14" t="n">
        <f aca="false">IF($L13=2015,1,0)</f>
        <v>0</v>
      </c>
      <c r="AJ13" s="14" t="n">
        <f aca="false">IF($L13=2016,1,0)</f>
        <v>0</v>
      </c>
      <c r="AK13" s="14" t="n">
        <f aca="false">IF($L13=2017,1,0)</f>
        <v>0</v>
      </c>
      <c r="AL13" s="14" t="n">
        <f aca="false">IF($H13="Beginner Level",1,0)</f>
        <v>0</v>
      </c>
      <c r="AM13" s="14" t="n">
        <f aca="false">IF($H13="Expert Level",1,0)</f>
        <v>0</v>
      </c>
      <c r="AN13" s="14" t="n">
        <f aca="false">IF($H13="Intermediate Level",1,0)</f>
        <v>0</v>
      </c>
    </row>
    <row r="14" customFormat="false" ht="79.85" hidden="false" customHeight="false" outlineLevel="0" collapsed="false">
      <c r="A14" s="14" t="n">
        <v>405926</v>
      </c>
      <c r="B14" s="14" t="s">
        <v>80</v>
      </c>
      <c r="C14" s="14" t="s">
        <v>81</v>
      </c>
      <c r="D14" s="14" t="n">
        <v>0</v>
      </c>
      <c r="E14" s="14" t="n">
        <v>70773</v>
      </c>
      <c r="F14" s="14" t="n">
        <v>5660</v>
      </c>
      <c r="G14" s="14" t="n">
        <v>50</v>
      </c>
      <c r="H14" s="14" t="s">
        <v>62</v>
      </c>
      <c r="I14" s="14" t="n">
        <v>0.57</v>
      </c>
      <c r="J14" s="14" t="n">
        <v>6</v>
      </c>
      <c r="K14" s="14" t="s">
        <v>53</v>
      </c>
      <c r="L14" s="14" t="n">
        <v>2015</v>
      </c>
      <c r="M14" s="14" t="n">
        <v>11.1672328510149</v>
      </c>
      <c r="N14" s="14" t="n">
        <v>-4.60517018598809</v>
      </c>
      <c r="P14" s="14" t="n">
        <f aca="false">D14</f>
        <v>0</v>
      </c>
      <c r="Q14" s="14" t="n">
        <f aca="false">G14</f>
        <v>50</v>
      </c>
      <c r="R14" s="14" t="n">
        <f aca="false">J14</f>
        <v>6</v>
      </c>
      <c r="S14" s="14" t="n">
        <f aca="false">IF($L14=2012,1,0)</f>
        <v>0</v>
      </c>
      <c r="T14" s="14" t="n">
        <f aca="false">IF($L14=2013,1,0)</f>
        <v>0</v>
      </c>
      <c r="U14" s="14" t="n">
        <f aca="false">IF($L14=2014,1,0)</f>
        <v>0</v>
      </c>
      <c r="V14" s="14" t="n">
        <f aca="false">IF($L14=2015,1,0)</f>
        <v>1</v>
      </c>
      <c r="W14" s="14" t="n">
        <f aca="false">IF($L14=2016,1,0)</f>
        <v>0</v>
      </c>
      <c r="X14" s="14" t="n">
        <f aca="false">IF($L14=2017,1,0)</f>
        <v>0</v>
      </c>
      <c r="Y14" s="14" t="n">
        <f aca="false">IF($H14="Beginner Level",1,0)</f>
        <v>0</v>
      </c>
      <c r="Z14" s="14" t="n">
        <f aca="false">IF($H14="Expert Level",1,0)</f>
        <v>0</v>
      </c>
      <c r="AA14" s="14" t="n">
        <f aca="false">IF($H14="Intermediate Level",1,0)</f>
        <v>0</v>
      </c>
      <c r="AC14" s="14" t="n">
        <f aca="false">N14</f>
        <v>-4.60517018598809</v>
      </c>
      <c r="AD14" s="14" t="n">
        <f aca="false">G14</f>
        <v>50</v>
      </c>
      <c r="AE14" s="14" t="n">
        <f aca="false">J14</f>
        <v>6</v>
      </c>
      <c r="AF14" s="14" t="n">
        <f aca="false">IF($L14=2012,1,0)</f>
        <v>0</v>
      </c>
      <c r="AG14" s="14" t="n">
        <f aca="false">IF($L14=2013,1,0)</f>
        <v>0</v>
      </c>
      <c r="AH14" s="14" t="n">
        <f aca="false">IF($L14=2014,1,0)</f>
        <v>0</v>
      </c>
      <c r="AI14" s="14" t="n">
        <f aca="false">IF($L14=2015,1,0)</f>
        <v>1</v>
      </c>
      <c r="AJ14" s="14" t="n">
        <f aca="false">IF($L14=2016,1,0)</f>
        <v>0</v>
      </c>
      <c r="AK14" s="14" t="n">
        <f aca="false">IF($L14=2017,1,0)</f>
        <v>0</v>
      </c>
      <c r="AL14" s="14" t="n">
        <f aca="false">IF($H14="Beginner Level",1,0)</f>
        <v>0</v>
      </c>
      <c r="AM14" s="14" t="n">
        <f aca="false">IF($H14="Expert Level",1,0)</f>
        <v>0</v>
      </c>
      <c r="AN14" s="14" t="n">
        <f aca="false">IF($H14="Intermediate Level",1,0)</f>
        <v>0</v>
      </c>
    </row>
    <row r="15" customFormat="false" ht="68.65" hidden="false" customHeight="false" outlineLevel="0" collapsed="false">
      <c r="A15" s="14" t="n">
        <v>11174</v>
      </c>
      <c r="B15" s="14" t="s">
        <v>82</v>
      </c>
      <c r="C15" s="14" t="s">
        <v>83</v>
      </c>
      <c r="D15" s="14" t="n">
        <v>120</v>
      </c>
      <c r="E15" s="14" t="n">
        <v>69186</v>
      </c>
      <c r="F15" s="14" t="n">
        <v>2408</v>
      </c>
      <c r="G15" s="14" t="n">
        <v>197</v>
      </c>
      <c r="H15" s="14" t="s">
        <v>62</v>
      </c>
      <c r="I15" s="14" t="n">
        <v>0.61</v>
      </c>
      <c r="J15" s="14" t="n">
        <v>27.5</v>
      </c>
      <c r="K15" s="14" t="s">
        <v>59</v>
      </c>
      <c r="L15" s="14" t="n">
        <v>2011</v>
      </c>
      <c r="M15" s="14" t="n">
        <v>11.1445538089992</v>
      </c>
      <c r="N15" s="14" t="n">
        <v>4.78757507264335</v>
      </c>
      <c r="P15" s="14" t="n">
        <f aca="false">D15</f>
        <v>120</v>
      </c>
      <c r="Q15" s="14" t="n">
        <f aca="false">G15</f>
        <v>197</v>
      </c>
      <c r="R15" s="14" t="n">
        <f aca="false">J15</f>
        <v>27.5</v>
      </c>
      <c r="S15" s="14" t="n">
        <f aca="false">IF($L15=2012,1,0)</f>
        <v>0</v>
      </c>
      <c r="T15" s="14" t="n">
        <f aca="false">IF($L15=2013,1,0)</f>
        <v>0</v>
      </c>
      <c r="U15" s="14" t="n">
        <f aca="false">IF($L15=2014,1,0)</f>
        <v>0</v>
      </c>
      <c r="V15" s="14" t="n">
        <f aca="false">IF($L15=2015,1,0)</f>
        <v>0</v>
      </c>
      <c r="W15" s="14" t="n">
        <f aca="false">IF($L15=2016,1,0)</f>
        <v>0</v>
      </c>
      <c r="X15" s="14" t="n">
        <f aca="false">IF($L15=2017,1,0)</f>
        <v>0</v>
      </c>
      <c r="Y15" s="14" t="n">
        <f aca="false">IF($H15="Beginner Level",1,0)</f>
        <v>0</v>
      </c>
      <c r="Z15" s="14" t="n">
        <f aca="false">IF($H15="Expert Level",1,0)</f>
        <v>0</v>
      </c>
      <c r="AA15" s="14" t="n">
        <f aca="false">IF($H15="Intermediate Level",1,0)</f>
        <v>0</v>
      </c>
      <c r="AC15" s="14" t="n">
        <f aca="false">N15</f>
        <v>4.78757507264335</v>
      </c>
      <c r="AD15" s="14" t="n">
        <f aca="false">G15</f>
        <v>197</v>
      </c>
      <c r="AE15" s="14" t="n">
        <f aca="false">J15</f>
        <v>27.5</v>
      </c>
      <c r="AF15" s="14" t="n">
        <f aca="false">IF($L15=2012,1,0)</f>
        <v>0</v>
      </c>
      <c r="AG15" s="14" t="n">
        <f aca="false">IF($L15=2013,1,0)</f>
        <v>0</v>
      </c>
      <c r="AH15" s="14" t="n">
        <f aca="false">IF($L15=2014,1,0)</f>
        <v>0</v>
      </c>
      <c r="AI15" s="14" t="n">
        <f aca="false">IF($L15=2015,1,0)</f>
        <v>0</v>
      </c>
      <c r="AJ15" s="14" t="n">
        <f aca="false">IF($L15=2016,1,0)</f>
        <v>0</v>
      </c>
      <c r="AK15" s="14" t="n">
        <f aca="false">IF($L15=2017,1,0)</f>
        <v>0</v>
      </c>
      <c r="AL15" s="14" t="n">
        <f aca="false">IF($H15="Beginner Level",1,0)</f>
        <v>0</v>
      </c>
      <c r="AM15" s="14" t="n">
        <f aca="false">IF($H15="Expert Level",1,0)</f>
        <v>0</v>
      </c>
      <c r="AN15" s="14" t="n">
        <f aca="false">IF($H15="Intermediate Level",1,0)</f>
        <v>0</v>
      </c>
    </row>
    <row r="16" customFormat="false" ht="46.25" hidden="false" customHeight="false" outlineLevel="0" collapsed="false">
      <c r="A16" s="14" t="n">
        <v>314462</v>
      </c>
      <c r="B16" s="14" t="s">
        <v>84</v>
      </c>
      <c r="C16" s="14" t="s">
        <v>85</v>
      </c>
      <c r="D16" s="14" t="n">
        <v>0</v>
      </c>
      <c r="E16" s="14" t="n">
        <v>64128</v>
      </c>
      <c r="F16" s="14" t="n">
        <v>4047</v>
      </c>
      <c r="G16" s="14" t="n">
        <v>17</v>
      </c>
      <c r="H16" s="14" t="s">
        <v>52</v>
      </c>
      <c r="I16" s="14" t="n">
        <v>0.96</v>
      </c>
      <c r="J16" s="14" t="n">
        <v>1.5</v>
      </c>
      <c r="K16" s="14" t="s">
        <v>53</v>
      </c>
      <c r="L16" s="14" t="n">
        <v>2014</v>
      </c>
      <c r="M16" s="14" t="n">
        <v>11.0686363650045</v>
      </c>
      <c r="N16" s="14" t="n">
        <v>-4.60517018598809</v>
      </c>
      <c r="P16" s="14" t="n">
        <f aca="false">D16</f>
        <v>0</v>
      </c>
      <c r="Q16" s="14" t="n">
        <f aca="false">G16</f>
        <v>17</v>
      </c>
      <c r="R16" s="14" t="n">
        <f aca="false">J16</f>
        <v>1.5</v>
      </c>
      <c r="S16" s="14" t="n">
        <f aca="false">IF($L16=2012,1,0)</f>
        <v>0</v>
      </c>
      <c r="T16" s="14" t="n">
        <f aca="false">IF($L16=2013,1,0)</f>
        <v>0</v>
      </c>
      <c r="U16" s="14" t="n">
        <f aca="false">IF($L16=2014,1,0)</f>
        <v>1</v>
      </c>
      <c r="V16" s="14" t="n">
        <f aca="false">IF($L16=2015,1,0)</f>
        <v>0</v>
      </c>
      <c r="W16" s="14" t="n">
        <f aca="false">IF($L16=2016,1,0)</f>
        <v>0</v>
      </c>
      <c r="X16" s="14" t="n">
        <f aca="false">IF($L16=2017,1,0)</f>
        <v>0</v>
      </c>
      <c r="Y16" s="14" t="n">
        <f aca="false">IF($H16="Beginner Level",1,0)</f>
        <v>1</v>
      </c>
      <c r="Z16" s="14" t="n">
        <f aca="false">IF($H16="Expert Level",1,0)</f>
        <v>0</v>
      </c>
      <c r="AA16" s="14" t="n">
        <f aca="false">IF($H16="Intermediate Level",1,0)</f>
        <v>0</v>
      </c>
      <c r="AC16" s="14" t="n">
        <f aca="false">N16</f>
        <v>-4.60517018598809</v>
      </c>
      <c r="AD16" s="14" t="n">
        <f aca="false">G16</f>
        <v>17</v>
      </c>
      <c r="AE16" s="14" t="n">
        <f aca="false">J16</f>
        <v>1.5</v>
      </c>
      <c r="AF16" s="14" t="n">
        <f aca="false">IF($L16=2012,1,0)</f>
        <v>0</v>
      </c>
      <c r="AG16" s="14" t="n">
        <f aca="false">IF($L16=2013,1,0)</f>
        <v>0</v>
      </c>
      <c r="AH16" s="14" t="n">
        <f aca="false">IF($L16=2014,1,0)</f>
        <v>1</v>
      </c>
      <c r="AI16" s="14" t="n">
        <f aca="false">IF($L16=2015,1,0)</f>
        <v>0</v>
      </c>
      <c r="AJ16" s="14" t="n">
        <f aca="false">IF($L16=2016,1,0)</f>
        <v>0</v>
      </c>
      <c r="AK16" s="14" t="n">
        <f aca="false">IF($L16=2017,1,0)</f>
        <v>0</v>
      </c>
      <c r="AL16" s="14" t="n">
        <f aca="false">IF($H16="Beginner Level",1,0)</f>
        <v>1</v>
      </c>
      <c r="AM16" s="14" t="n">
        <f aca="false">IF($H16="Expert Level",1,0)</f>
        <v>0</v>
      </c>
      <c r="AN16" s="14" t="n">
        <f aca="false">IF($H16="Intermediate Level",1,0)</f>
        <v>0</v>
      </c>
    </row>
    <row r="17" customFormat="false" ht="79.85" hidden="false" customHeight="false" outlineLevel="0" collapsed="false">
      <c r="A17" s="14" t="n">
        <v>128946</v>
      </c>
      <c r="B17" s="14" t="s">
        <v>86</v>
      </c>
      <c r="C17" s="14" t="s">
        <v>87</v>
      </c>
      <c r="D17" s="14" t="n">
        <v>0</v>
      </c>
      <c r="E17" s="14" t="n">
        <v>59639</v>
      </c>
      <c r="F17" s="14" t="n">
        <v>2692</v>
      </c>
      <c r="G17" s="14" t="n">
        <v>24</v>
      </c>
      <c r="H17" s="14" t="s">
        <v>62</v>
      </c>
      <c r="I17" s="14" t="n">
        <v>0.55</v>
      </c>
      <c r="J17" s="14" t="n">
        <v>4.5</v>
      </c>
      <c r="K17" s="14" t="s">
        <v>53</v>
      </c>
      <c r="L17" s="14" t="n">
        <v>2013</v>
      </c>
      <c r="M17" s="14" t="n">
        <v>10.9960650014678</v>
      </c>
      <c r="N17" s="14" t="n">
        <v>-4.60517018598809</v>
      </c>
      <c r="P17" s="14" t="n">
        <f aca="false">D17</f>
        <v>0</v>
      </c>
      <c r="Q17" s="14" t="n">
        <f aca="false">G17</f>
        <v>24</v>
      </c>
      <c r="R17" s="14" t="n">
        <f aca="false">J17</f>
        <v>4.5</v>
      </c>
      <c r="S17" s="14" t="n">
        <f aca="false">IF($L17=2012,1,0)</f>
        <v>0</v>
      </c>
      <c r="T17" s="14" t="n">
        <f aca="false">IF($L17=2013,1,0)</f>
        <v>1</v>
      </c>
      <c r="U17" s="14" t="n">
        <f aca="false">IF($L17=2014,1,0)</f>
        <v>0</v>
      </c>
      <c r="V17" s="14" t="n">
        <f aca="false">IF($L17=2015,1,0)</f>
        <v>0</v>
      </c>
      <c r="W17" s="14" t="n">
        <f aca="false">IF($L17=2016,1,0)</f>
        <v>0</v>
      </c>
      <c r="X17" s="14" t="n">
        <f aca="false">IF($L17=2017,1,0)</f>
        <v>0</v>
      </c>
      <c r="Y17" s="14" t="n">
        <f aca="false">IF($H17="Beginner Level",1,0)</f>
        <v>0</v>
      </c>
      <c r="Z17" s="14" t="n">
        <f aca="false">IF($H17="Expert Level",1,0)</f>
        <v>0</v>
      </c>
      <c r="AA17" s="14" t="n">
        <f aca="false">IF($H17="Intermediate Level",1,0)</f>
        <v>0</v>
      </c>
      <c r="AC17" s="14" t="n">
        <f aca="false">N17</f>
        <v>-4.60517018598809</v>
      </c>
      <c r="AD17" s="14" t="n">
        <f aca="false">G17</f>
        <v>24</v>
      </c>
      <c r="AE17" s="14" t="n">
        <f aca="false">J17</f>
        <v>4.5</v>
      </c>
      <c r="AF17" s="14" t="n">
        <f aca="false">IF($L17=2012,1,0)</f>
        <v>0</v>
      </c>
      <c r="AG17" s="14" t="n">
        <f aca="false">IF($L17=2013,1,0)</f>
        <v>1</v>
      </c>
      <c r="AH17" s="14" t="n">
        <f aca="false">IF($L17=2014,1,0)</f>
        <v>0</v>
      </c>
      <c r="AI17" s="14" t="n">
        <f aca="false">IF($L17=2015,1,0)</f>
        <v>0</v>
      </c>
      <c r="AJ17" s="14" t="n">
        <f aca="false">IF($L17=2016,1,0)</f>
        <v>0</v>
      </c>
      <c r="AK17" s="14" t="n">
        <f aca="false">IF($L17=2017,1,0)</f>
        <v>0</v>
      </c>
      <c r="AL17" s="14" t="n">
        <f aca="false">IF($H17="Beginner Level",1,0)</f>
        <v>0</v>
      </c>
      <c r="AM17" s="14" t="n">
        <f aca="false">IF($H17="Expert Level",1,0)</f>
        <v>0</v>
      </c>
      <c r="AN17" s="14" t="n">
        <f aca="false">IF($H17="Intermediate Level",1,0)</f>
        <v>0</v>
      </c>
    </row>
    <row r="18" customFormat="false" ht="46.25" hidden="false" customHeight="false" outlineLevel="0" collapsed="false">
      <c r="A18" s="14" t="n">
        <v>289230</v>
      </c>
      <c r="B18" s="14" t="s">
        <v>88</v>
      </c>
      <c r="C18" s="14" t="s">
        <v>89</v>
      </c>
      <c r="D18" s="14" t="n">
        <v>175</v>
      </c>
      <c r="E18" s="14" t="n">
        <v>59361</v>
      </c>
      <c r="F18" s="14" t="n">
        <v>11580</v>
      </c>
      <c r="G18" s="14" t="n">
        <v>55</v>
      </c>
      <c r="H18" s="14" t="s">
        <v>52</v>
      </c>
      <c r="I18" s="14" t="n">
        <v>0.87</v>
      </c>
      <c r="J18" s="14" t="n">
        <v>7</v>
      </c>
      <c r="K18" s="14" t="s">
        <v>59</v>
      </c>
      <c r="L18" s="14" t="n">
        <v>2014</v>
      </c>
      <c r="M18" s="14" t="n">
        <v>10.9913927240606</v>
      </c>
      <c r="N18" s="14" t="n">
        <v>5.16484311514807</v>
      </c>
      <c r="P18" s="14" t="n">
        <f aca="false">D18</f>
        <v>175</v>
      </c>
      <c r="Q18" s="14" t="n">
        <f aca="false">G18</f>
        <v>55</v>
      </c>
      <c r="R18" s="14" t="n">
        <f aca="false">J18</f>
        <v>7</v>
      </c>
      <c r="S18" s="14" t="n">
        <f aca="false">IF($L18=2012,1,0)</f>
        <v>0</v>
      </c>
      <c r="T18" s="14" t="n">
        <f aca="false">IF($L18=2013,1,0)</f>
        <v>0</v>
      </c>
      <c r="U18" s="14" t="n">
        <f aca="false">IF($L18=2014,1,0)</f>
        <v>1</v>
      </c>
      <c r="V18" s="14" t="n">
        <f aca="false">IF($L18=2015,1,0)</f>
        <v>0</v>
      </c>
      <c r="W18" s="14" t="n">
        <f aca="false">IF($L18=2016,1,0)</f>
        <v>0</v>
      </c>
      <c r="X18" s="14" t="n">
        <f aca="false">IF($L18=2017,1,0)</f>
        <v>0</v>
      </c>
      <c r="Y18" s="14" t="n">
        <f aca="false">IF($H18="Beginner Level",1,0)</f>
        <v>1</v>
      </c>
      <c r="Z18" s="14" t="n">
        <f aca="false">IF($H18="Expert Level",1,0)</f>
        <v>0</v>
      </c>
      <c r="AA18" s="14" t="n">
        <f aca="false">IF($H18="Intermediate Level",1,0)</f>
        <v>0</v>
      </c>
      <c r="AC18" s="14" t="n">
        <f aca="false">N18</f>
        <v>5.16484311514807</v>
      </c>
      <c r="AD18" s="14" t="n">
        <f aca="false">G18</f>
        <v>55</v>
      </c>
      <c r="AE18" s="14" t="n">
        <f aca="false">J18</f>
        <v>7</v>
      </c>
      <c r="AF18" s="14" t="n">
        <f aca="false">IF($L18=2012,1,0)</f>
        <v>0</v>
      </c>
      <c r="AG18" s="14" t="n">
        <f aca="false">IF($L18=2013,1,0)</f>
        <v>0</v>
      </c>
      <c r="AH18" s="14" t="n">
        <f aca="false">IF($L18=2014,1,0)</f>
        <v>1</v>
      </c>
      <c r="AI18" s="14" t="n">
        <f aca="false">IF($L18=2015,1,0)</f>
        <v>0</v>
      </c>
      <c r="AJ18" s="14" t="n">
        <f aca="false">IF($L18=2016,1,0)</f>
        <v>0</v>
      </c>
      <c r="AK18" s="14" t="n">
        <f aca="false">IF($L18=2017,1,0)</f>
        <v>0</v>
      </c>
      <c r="AL18" s="14" t="n">
        <f aca="false">IF($H18="Beginner Level",1,0)</f>
        <v>1</v>
      </c>
      <c r="AM18" s="14" t="n">
        <f aca="false">IF($H18="Expert Level",1,0)</f>
        <v>0</v>
      </c>
      <c r="AN18" s="14" t="n">
        <f aca="false">IF($H18="Intermediate Level",1,0)</f>
        <v>0</v>
      </c>
    </row>
    <row r="19" customFormat="false" ht="46.25" hidden="false" customHeight="false" outlineLevel="0" collapsed="false">
      <c r="A19" s="14" t="n">
        <v>461160</v>
      </c>
      <c r="B19" s="14" t="s">
        <v>90</v>
      </c>
      <c r="C19" s="14" t="s">
        <v>91</v>
      </c>
      <c r="D19" s="14" t="n">
        <v>195</v>
      </c>
      <c r="E19" s="14" t="n">
        <v>58208</v>
      </c>
      <c r="F19" s="14" t="n">
        <v>11123</v>
      </c>
      <c r="G19" s="14" t="n">
        <v>98</v>
      </c>
      <c r="H19" s="14" t="s">
        <v>52</v>
      </c>
      <c r="I19" s="14" t="n">
        <v>0.73</v>
      </c>
      <c r="J19" s="14" t="n">
        <v>13</v>
      </c>
      <c r="K19" s="14" t="s">
        <v>59</v>
      </c>
      <c r="L19" s="14" t="n">
        <v>2015</v>
      </c>
      <c r="M19" s="14" t="n">
        <v>10.9717780813179</v>
      </c>
      <c r="N19" s="14" t="n">
        <v>5.27305083930015</v>
      </c>
      <c r="P19" s="14" t="n">
        <f aca="false">D19</f>
        <v>195</v>
      </c>
      <c r="Q19" s="14" t="n">
        <f aca="false">G19</f>
        <v>98</v>
      </c>
      <c r="R19" s="14" t="n">
        <f aca="false">J19</f>
        <v>13</v>
      </c>
      <c r="S19" s="14" t="n">
        <f aca="false">IF($L19=2012,1,0)</f>
        <v>0</v>
      </c>
      <c r="T19" s="14" t="n">
        <f aca="false">IF($L19=2013,1,0)</f>
        <v>0</v>
      </c>
      <c r="U19" s="14" t="n">
        <f aca="false">IF($L19=2014,1,0)</f>
        <v>0</v>
      </c>
      <c r="V19" s="14" t="n">
        <f aca="false">IF($L19=2015,1,0)</f>
        <v>1</v>
      </c>
      <c r="W19" s="14" t="n">
        <f aca="false">IF($L19=2016,1,0)</f>
        <v>0</v>
      </c>
      <c r="X19" s="14" t="n">
        <f aca="false">IF($L19=2017,1,0)</f>
        <v>0</v>
      </c>
      <c r="Y19" s="14" t="n">
        <f aca="false">IF($H19="Beginner Level",1,0)</f>
        <v>1</v>
      </c>
      <c r="Z19" s="14" t="n">
        <f aca="false">IF($H19="Expert Level",1,0)</f>
        <v>0</v>
      </c>
      <c r="AA19" s="14" t="n">
        <f aca="false">IF($H19="Intermediate Level",1,0)</f>
        <v>0</v>
      </c>
      <c r="AC19" s="14" t="n">
        <f aca="false">N19</f>
        <v>5.27305083930015</v>
      </c>
      <c r="AD19" s="14" t="n">
        <f aca="false">G19</f>
        <v>98</v>
      </c>
      <c r="AE19" s="14" t="n">
        <f aca="false">J19</f>
        <v>13</v>
      </c>
      <c r="AF19" s="14" t="n">
        <f aca="false">IF($L19=2012,1,0)</f>
        <v>0</v>
      </c>
      <c r="AG19" s="14" t="n">
        <f aca="false">IF($L19=2013,1,0)</f>
        <v>0</v>
      </c>
      <c r="AH19" s="14" t="n">
        <f aca="false">IF($L19=2014,1,0)</f>
        <v>0</v>
      </c>
      <c r="AI19" s="14" t="n">
        <f aca="false">IF($L19=2015,1,0)</f>
        <v>1</v>
      </c>
      <c r="AJ19" s="14" t="n">
        <f aca="false">IF($L19=2016,1,0)</f>
        <v>0</v>
      </c>
      <c r="AK19" s="14" t="n">
        <f aca="false">IF($L19=2017,1,0)</f>
        <v>0</v>
      </c>
      <c r="AL19" s="14" t="n">
        <f aca="false">IF($H19="Beginner Level",1,0)</f>
        <v>1</v>
      </c>
      <c r="AM19" s="14" t="n">
        <f aca="false">IF($H19="Expert Level",1,0)</f>
        <v>0</v>
      </c>
      <c r="AN19" s="14" t="n">
        <f aca="false">IF($H19="Intermediate Level",1,0)</f>
        <v>0</v>
      </c>
    </row>
    <row r="20" customFormat="false" ht="57.45" hidden="false" customHeight="false" outlineLevel="0" collapsed="false">
      <c r="A20" s="14" t="n">
        <v>556248</v>
      </c>
      <c r="B20" s="14" t="s">
        <v>92</v>
      </c>
      <c r="C20" s="14" t="s">
        <v>93</v>
      </c>
      <c r="D20" s="14" t="n">
        <v>195</v>
      </c>
      <c r="E20" s="14" t="n">
        <v>57422</v>
      </c>
      <c r="F20" s="14" t="n">
        <v>874</v>
      </c>
      <c r="G20" s="14" t="n">
        <v>84</v>
      </c>
      <c r="H20" s="14" t="s">
        <v>62</v>
      </c>
      <c r="I20" s="14" t="n">
        <v>0.82</v>
      </c>
      <c r="J20" s="14" t="n">
        <v>7.5</v>
      </c>
      <c r="K20" s="14" t="s">
        <v>59</v>
      </c>
      <c r="L20" s="14" t="n">
        <v>2015</v>
      </c>
      <c r="M20" s="14" t="n">
        <v>10.9581827841378</v>
      </c>
      <c r="N20" s="14" t="n">
        <v>5.27305083930015</v>
      </c>
      <c r="P20" s="14" t="n">
        <f aca="false">D20</f>
        <v>195</v>
      </c>
      <c r="Q20" s="14" t="n">
        <f aca="false">G20</f>
        <v>84</v>
      </c>
      <c r="R20" s="14" t="n">
        <f aca="false">J20</f>
        <v>7.5</v>
      </c>
      <c r="S20" s="14" t="n">
        <f aca="false">IF($L20=2012,1,0)</f>
        <v>0</v>
      </c>
      <c r="T20" s="14" t="n">
        <f aca="false">IF($L20=2013,1,0)</f>
        <v>0</v>
      </c>
      <c r="U20" s="14" t="n">
        <f aca="false">IF($L20=2014,1,0)</f>
        <v>0</v>
      </c>
      <c r="V20" s="14" t="n">
        <f aca="false">IF($L20=2015,1,0)</f>
        <v>1</v>
      </c>
      <c r="W20" s="14" t="n">
        <f aca="false">IF($L20=2016,1,0)</f>
        <v>0</v>
      </c>
      <c r="X20" s="14" t="n">
        <f aca="false">IF($L20=2017,1,0)</f>
        <v>0</v>
      </c>
      <c r="Y20" s="14" t="n">
        <f aca="false">IF($H20="Beginner Level",1,0)</f>
        <v>0</v>
      </c>
      <c r="Z20" s="14" t="n">
        <f aca="false">IF($H20="Expert Level",1,0)</f>
        <v>0</v>
      </c>
      <c r="AA20" s="14" t="n">
        <f aca="false">IF($H20="Intermediate Level",1,0)</f>
        <v>0</v>
      </c>
      <c r="AC20" s="14" t="n">
        <f aca="false">N20</f>
        <v>5.27305083930015</v>
      </c>
      <c r="AD20" s="14" t="n">
        <f aca="false">G20</f>
        <v>84</v>
      </c>
      <c r="AE20" s="14" t="n">
        <f aca="false">J20</f>
        <v>7.5</v>
      </c>
      <c r="AF20" s="14" t="n">
        <f aca="false">IF($L20=2012,1,0)</f>
        <v>0</v>
      </c>
      <c r="AG20" s="14" t="n">
        <f aca="false">IF($L20=2013,1,0)</f>
        <v>0</v>
      </c>
      <c r="AH20" s="14" t="n">
        <f aca="false">IF($L20=2014,1,0)</f>
        <v>0</v>
      </c>
      <c r="AI20" s="14" t="n">
        <f aca="false">IF($L20=2015,1,0)</f>
        <v>1</v>
      </c>
      <c r="AJ20" s="14" t="n">
        <f aca="false">IF($L20=2016,1,0)</f>
        <v>0</v>
      </c>
      <c r="AK20" s="14" t="n">
        <f aca="false">IF($L20=2017,1,0)</f>
        <v>0</v>
      </c>
      <c r="AL20" s="14" t="n">
        <f aca="false">IF($H20="Beginner Level",1,0)</f>
        <v>0</v>
      </c>
      <c r="AM20" s="14" t="n">
        <f aca="false">IF($H20="Expert Level",1,0)</f>
        <v>0</v>
      </c>
      <c r="AN20" s="14" t="n">
        <f aca="false">IF($H20="Intermediate Level",1,0)</f>
        <v>0</v>
      </c>
    </row>
    <row r="21" customFormat="false" ht="57.45" hidden="false" customHeight="false" outlineLevel="0" collapsed="false">
      <c r="A21" s="14" t="n">
        <v>580466</v>
      </c>
      <c r="B21" s="14" t="s">
        <v>94</v>
      </c>
      <c r="C21" s="14" t="s">
        <v>95</v>
      </c>
      <c r="D21" s="14" t="n">
        <v>195</v>
      </c>
      <c r="E21" s="14" t="n">
        <v>55332</v>
      </c>
      <c r="F21" s="14" t="n">
        <v>1225</v>
      </c>
      <c r="G21" s="14" t="n">
        <v>144</v>
      </c>
      <c r="H21" s="14" t="s">
        <v>71</v>
      </c>
      <c r="I21" s="14" t="n">
        <v>0.28</v>
      </c>
      <c r="J21" s="14" t="n">
        <v>20</v>
      </c>
      <c r="K21" s="14" t="s">
        <v>59</v>
      </c>
      <c r="L21" s="14" t="n">
        <v>2015</v>
      </c>
      <c r="M21" s="14" t="n">
        <v>10.9211066819947</v>
      </c>
      <c r="N21" s="14" t="n">
        <v>5.27305083930015</v>
      </c>
      <c r="P21" s="14" t="n">
        <f aca="false">D21</f>
        <v>195</v>
      </c>
      <c r="Q21" s="14" t="n">
        <f aca="false">G21</f>
        <v>144</v>
      </c>
      <c r="R21" s="14" t="n">
        <f aca="false">J21</f>
        <v>20</v>
      </c>
      <c r="S21" s="14" t="n">
        <f aca="false">IF($L21=2012,1,0)</f>
        <v>0</v>
      </c>
      <c r="T21" s="14" t="n">
        <f aca="false">IF($L21=2013,1,0)</f>
        <v>0</v>
      </c>
      <c r="U21" s="14" t="n">
        <f aca="false">IF($L21=2014,1,0)</f>
        <v>0</v>
      </c>
      <c r="V21" s="14" t="n">
        <f aca="false">IF($L21=2015,1,0)</f>
        <v>1</v>
      </c>
      <c r="W21" s="14" t="n">
        <f aca="false">IF($L21=2016,1,0)</f>
        <v>0</v>
      </c>
      <c r="X21" s="14" t="n">
        <f aca="false">IF($L21=2017,1,0)</f>
        <v>0</v>
      </c>
      <c r="Y21" s="14" t="n">
        <f aca="false">IF($H21="Beginner Level",1,0)</f>
        <v>0</v>
      </c>
      <c r="Z21" s="14" t="n">
        <f aca="false">IF($H21="Expert Level",1,0)</f>
        <v>0</v>
      </c>
      <c r="AA21" s="14" t="n">
        <f aca="false">IF($H21="Intermediate Level",1,0)</f>
        <v>1</v>
      </c>
      <c r="AC21" s="14" t="n">
        <f aca="false">N21</f>
        <v>5.27305083930015</v>
      </c>
      <c r="AD21" s="14" t="n">
        <f aca="false">G21</f>
        <v>144</v>
      </c>
      <c r="AE21" s="14" t="n">
        <f aca="false">J21</f>
        <v>20</v>
      </c>
      <c r="AF21" s="14" t="n">
        <f aca="false">IF($L21=2012,1,0)</f>
        <v>0</v>
      </c>
      <c r="AG21" s="14" t="n">
        <f aca="false">IF($L21=2013,1,0)</f>
        <v>0</v>
      </c>
      <c r="AH21" s="14" t="n">
        <f aca="false">IF($L21=2014,1,0)</f>
        <v>0</v>
      </c>
      <c r="AI21" s="14" t="n">
        <f aca="false">IF($L21=2015,1,0)</f>
        <v>1</v>
      </c>
      <c r="AJ21" s="14" t="n">
        <f aca="false">IF($L21=2016,1,0)</f>
        <v>0</v>
      </c>
      <c r="AK21" s="14" t="n">
        <f aca="false">IF($L21=2017,1,0)</f>
        <v>0</v>
      </c>
      <c r="AL21" s="14" t="n">
        <f aca="false">IF($H21="Beginner Level",1,0)</f>
        <v>0</v>
      </c>
      <c r="AM21" s="14" t="n">
        <f aca="false">IF($H21="Expert Level",1,0)</f>
        <v>0</v>
      </c>
      <c r="AN21" s="14" t="n">
        <f aca="false">IF($H21="Intermediate Level",1,0)</f>
        <v>1</v>
      </c>
    </row>
    <row r="22" customFormat="false" ht="57.45" hidden="false" customHeight="false" outlineLevel="0" collapsed="false">
      <c r="A22" s="14" t="n">
        <v>80940</v>
      </c>
      <c r="B22" s="14" t="s">
        <v>96</v>
      </c>
      <c r="C22" s="14" t="s">
        <v>97</v>
      </c>
      <c r="D22" s="14" t="n">
        <v>145</v>
      </c>
      <c r="E22" s="14" t="n">
        <v>51257</v>
      </c>
      <c r="F22" s="14" t="n">
        <v>1955</v>
      </c>
      <c r="G22" s="14" t="n">
        <v>77</v>
      </c>
      <c r="H22" s="14" t="s">
        <v>62</v>
      </c>
      <c r="I22" s="14" t="n">
        <v>0.76</v>
      </c>
      <c r="J22" s="14" t="n">
        <v>8</v>
      </c>
      <c r="K22" s="14" t="s">
        <v>59</v>
      </c>
      <c r="L22" s="14" t="n">
        <v>2013</v>
      </c>
      <c r="M22" s="14" t="n">
        <v>10.8446074730396</v>
      </c>
      <c r="N22" s="14" t="n">
        <v>4.9768027055598</v>
      </c>
      <c r="P22" s="14" t="n">
        <f aca="false">D22</f>
        <v>145</v>
      </c>
      <c r="Q22" s="14" t="n">
        <f aca="false">G22</f>
        <v>77</v>
      </c>
      <c r="R22" s="14" t="n">
        <f aca="false">J22</f>
        <v>8</v>
      </c>
      <c r="S22" s="14" t="n">
        <f aca="false">IF($L22=2012,1,0)</f>
        <v>0</v>
      </c>
      <c r="T22" s="14" t="n">
        <f aca="false">IF($L22=2013,1,0)</f>
        <v>1</v>
      </c>
      <c r="U22" s="14" t="n">
        <f aca="false">IF($L22=2014,1,0)</f>
        <v>0</v>
      </c>
      <c r="V22" s="14" t="n">
        <f aca="false">IF($L22=2015,1,0)</f>
        <v>0</v>
      </c>
      <c r="W22" s="14" t="n">
        <f aca="false">IF($L22=2016,1,0)</f>
        <v>0</v>
      </c>
      <c r="X22" s="14" t="n">
        <f aca="false">IF($L22=2017,1,0)</f>
        <v>0</v>
      </c>
      <c r="Y22" s="14" t="n">
        <f aca="false">IF($H22="Beginner Level",1,0)</f>
        <v>0</v>
      </c>
      <c r="Z22" s="14" t="n">
        <f aca="false">IF($H22="Expert Level",1,0)</f>
        <v>0</v>
      </c>
      <c r="AA22" s="14" t="n">
        <f aca="false">IF($H22="Intermediate Level",1,0)</f>
        <v>0</v>
      </c>
      <c r="AC22" s="14" t="n">
        <f aca="false">N22</f>
        <v>4.9768027055598</v>
      </c>
      <c r="AD22" s="14" t="n">
        <f aca="false">G22</f>
        <v>77</v>
      </c>
      <c r="AE22" s="14" t="n">
        <f aca="false">J22</f>
        <v>8</v>
      </c>
      <c r="AF22" s="14" t="n">
        <f aca="false">IF($L22=2012,1,0)</f>
        <v>0</v>
      </c>
      <c r="AG22" s="14" t="n">
        <f aca="false">IF($L22=2013,1,0)</f>
        <v>1</v>
      </c>
      <c r="AH22" s="14" t="n">
        <f aca="false">IF($L22=2014,1,0)</f>
        <v>0</v>
      </c>
      <c r="AI22" s="14" t="n">
        <f aca="false">IF($L22=2015,1,0)</f>
        <v>0</v>
      </c>
      <c r="AJ22" s="14" t="n">
        <f aca="false">IF($L22=2016,1,0)</f>
        <v>0</v>
      </c>
      <c r="AK22" s="14" t="n">
        <f aca="false">IF($L22=2017,1,0)</f>
        <v>0</v>
      </c>
      <c r="AL22" s="14" t="n">
        <f aca="false">IF($H22="Beginner Level",1,0)</f>
        <v>0</v>
      </c>
      <c r="AM22" s="14" t="n">
        <f aca="false">IF($H22="Expert Level",1,0)</f>
        <v>0</v>
      </c>
      <c r="AN22" s="14" t="n">
        <f aca="false">IF($H22="Intermediate Level",1,0)</f>
        <v>0</v>
      </c>
    </row>
    <row r="23" customFormat="false" ht="35.05" hidden="false" customHeight="false" outlineLevel="0" collapsed="false">
      <c r="A23" s="14" t="n">
        <v>705264</v>
      </c>
      <c r="B23" s="14" t="s">
        <v>98</v>
      </c>
      <c r="C23" s="14" t="s">
        <v>99</v>
      </c>
      <c r="D23" s="14" t="n">
        <v>180</v>
      </c>
      <c r="E23" s="14" t="n">
        <v>50815</v>
      </c>
      <c r="F23" s="14" t="n">
        <v>15117</v>
      </c>
      <c r="G23" s="14" t="n">
        <v>150</v>
      </c>
      <c r="H23" s="14" t="s">
        <v>62</v>
      </c>
      <c r="I23" s="14" t="n">
        <v>0.62</v>
      </c>
      <c r="J23" s="14" t="n">
        <v>26.5</v>
      </c>
      <c r="K23" s="14" t="s">
        <v>59</v>
      </c>
      <c r="L23" s="14" t="n">
        <v>2015</v>
      </c>
      <c r="M23" s="14" t="n">
        <v>10.8359468655719</v>
      </c>
      <c r="N23" s="14" t="n">
        <v>5.19301240490261</v>
      </c>
      <c r="P23" s="14" t="n">
        <f aca="false">D23</f>
        <v>180</v>
      </c>
      <c r="Q23" s="14" t="n">
        <f aca="false">G23</f>
        <v>150</v>
      </c>
      <c r="R23" s="14" t="n">
        <f aca="false">J23</f>
        <v>26.5</v>
      </c>
      <c r="S23" s="14" t="n">
        <f aca="false">IF($L23=2012,1,0)</f>
        <v>0</v>
      </c>
      <c r="T23" s="14" t="n">
        <f aca="false">IF($L23=2013,1,0)</f>
        <v>0</v>
      </c>
      <c r="U23" s="14" t="n">
        <f aca="false">IF($L23=2014,1,0)</f>
        <v>0</v>
      </c>
      <c r="V23" s="14" t="n">
        <f aca="false">IF($L23=2015,1,0)</f>
        <v>1</v>
      </c>
      <c r="W23" s="14" t="n">
        <f aca="false">IF($L23=2016,1,0)</f>
        <v>0</v>
      </c>
      <c r="X23" s="14" t="n">
        <f aca="false">IF($L23=2017,1,0)</f>
        <v>0</v>
      </c>
      <c r="Y23" s="14" t="n">
        <f aca="false">IF($H23="Beginner Level",1,0)</f>
        <v>0</v>
      </c>
      <c r="Z23" s="14" t="n">
        <f aca="false">IF($H23="Expert Level",1,0)</f>
        <v>0</v>
      </c>
      <c r="AA23" s="14" t="n">
        <f aca="false">IF($H23="Intermediate Level",1,0)</f>
        <v>0</v>
      </c>
      <c r="AC23" s="14" t="n">
        <f aca="false">N23</f>
        <v>5.19301240490261</v>
      </c>
      <c r="AD23" s="14" t="n">
        <f aca="false">G23</f>
        <v>150</v>
      </c>
      <c r="AE23" s="14" t="n">
        <f aca="false">J23</f>
        <v>26.5</v>
      </c>
      <c r="AF23" s="14" t="n">
        <f aca="false">IF($L23=2012,1,0)</f>
        <v>0</v>
      </c>
      <c r="AG23" s="14" t="n">
        <f aca="false">IF($L23=2013,1,0)</f>
        <v>0</v>
      </c>
      <c r="AH23" s="14" t="n">
        <f aca="false">IF($L23=2014,1,0)</f>
        <v>0</v>
      </c>
      <c r="AI23" s="14" t="n">
        <f aca="false">IF($L23=2015,1,0)</f>
        <v>1</v>
      </c>
      <c r="AJ23" s="14" t="n">
        <f aca="false">IF($L23=2016,1,0)</f>
        <v>0</v>
      </c>
      <c r="AK23" s="14" t="n">
        <f aca="false">IF($L23=2017,1,0)</f>
        <v>0</v>
      </c>
      <c r="AL23" s="14" t="n">
        <f aca="false">IF($H23="Beginner Level",1,0)</f>
        <v>0</v>
      </c>
      <c r="AM23" s="14" t="n">
        <f aca="false">IF($H23="Expert Level",1,0)</f>
        <v>0</v>
      </c>
      <c r="AN23" s="14" t="n">
        <f aca="false">IF($H23="Intermediate Level",1,0)</f>
        <v>0</v>
      </c>
    </row>
    <row r="24" customFormat="false" ht="57.45" hidden="false" customHeight="false" outlineLevel="0" collapsed="false">
      <c r="A24" s="14" t="n">
        <v>94432</v>
      </c>
      <c r="B24" s="14" t="s">
        <v>100</v>
      </c>
      <c r="C24" s="14" t="s">
        <v>101</v>
      </c>
      <c r="D24" s="14" t="n">
        <v>0</v>
      </c>
      <c r="E24" s="14" t="n">
        <v>48650</v>
      </c>
      <c r="F24" s="14" t="n">
        <v>1236</v>
      </c>
      <c r="G24" s="14" t="n">
        <v>9</v>
      </c>
      <c r="H24" s="14" t="s">
        <v>62</v>
      </c>
      <c r="I24" s="14" t="n">
        <v>0</v>
      </c>
      <c r="J24" s="14" t="n">
        <v>2</v>
      </c>
      <c r="K24" s="14" t="s">
        <v>53</v>
      </c>
      <c r="L24" s="14" t="n">
        <v>2013</v>
      </c>
      <c r="M24" s="14" t="n">
        <v>10.7924070876142</v>
      </c>
      <c r="N24" s="14" t="n">
        <v>-4.60517018598809</v>
      </c>
      <c r="P24" s="14" t="n">
        <f aca="false">D24</f>
        <v>0</v>
      </c>
      <c r="Q24" s="14" t="n">
        <f aca="false">G24</f>
        <v>9</v>
      </c>
      <c r="R24" s="14" t="n">
        <f aca="false">J24</f>
        <v>2</v>
      </c>
      <c r="S24" s="14" t="n">
        <f aca="false">IF($L24=2012,1,0)</f>
        <v>0</v>
      </c>
      <c r="T24" s="14" t="n">
        <f aca="false">IF($L24=2013,1,0)</f>
        <v>1</v>
      </c>
      <c r="U24" s="14" t="n">
        <f aca="false">IF($L24=2014,1,0)</f>
        <v>0</v>
      </c>
      <c r="V24" s="14" t="n">
        <f aca="false">IF($L24=2015,1,0)</f>
        <v>0</v>
      </c>
      <c r="W24" s="14" t="n">
        <f aca="false">IF($L24=2016,1,0)</f>
        <v>0</v>
      </c>
      <c r="X24" s="14" t="n">
        <f aca="false">IF($L24=2017,1,0)</f>
        <v>0</v>
      </c>
      <c r="Y24" s="14" t="n">
        <f aca="false">IF($H24="Beginner Level",1,0)</f>
        <v>0</v>
      </c>
      <c r="Z24" s="14" t="n">
        <f aca="false">IF($H24="Expert Level",1,0)</f>
        <v>0</v>
      </c>
      <c r="AA24" s="14" t="n">
        <f aca="false">IF($H24="Intermediate Level",1,0)</f>
        <v>0</v>
      </c>
      <c r="AC24" s="14" t="n">
        <f aca="false">N24</f>
        <v>-4.60517018598809</v>
      </c>
      <c r="AD24" s="14" t="n">
        <f aca="false">G24</f>
        <v>9</v>
      </c>
      <c r="AE24" s="14" t="n">
        <f aca="false">J24</f>
        <v>2</v>
      </c>
      <c r="AF24" s="14" t="n">
        <f aca="false">IF($L24=2012,1,0)</f>
        <v>0</v>
      </c>
      <c r="AG24" s="14" t="n">
        <f aca="false">IF($L24=2013,1,0)</f>
        <v>1</v>
      </c>
      <c r="AH24" s="14" t="n">
        <f aca="false">IF($L24=2014,1,0)</f>
        <v>0</v>
      </c>
      <c r="AI24" s="14" t="n">
        <f aca="false">IF($L24=2015,1,0)</f>
        <v>0</v>
      </c>
      <c r="AJ24" s="14" t="n">
        <f aca="false">IF($L24=2016,1,0)</f>
        <v>0</v>
      </c>
      <c r="AK24" s="14" t="n">
        <f aca="false">IF($L24=2017,1,0)</f>
        <v>0</v>
      </c>
      <c r="AL24" s="14" t="n">
        <f aca="false">IF($H24="Beginner Level",1,0)</f>
        <v>0</v>
      </c>
      <c r="AM24" s="14" t="n">
        <f aca="false">IF($H24="Expert Level",1,0)</f>
        <v>0</v>
      </c>
      <c r="AN24" s="14" t="n">
        <f aca="false">IF($H24="Intermediate Level",1,0)</f>
        <v>0</v>
      </c>
    </row>
    <row r="25" customFormat="false" ht="68.65" hidden="false" customHeight="false" outlineLevel="0" collapsed="false">
      <c r="A25" s="14" t="n">
        <v>19603</v>
      </c>
      <c r="B25" s="14" t="s">
        <v>102</v>
      </c>
      <c r="C25" s="14" t="s">
        <v>103</v>
      </c>
      <c r="D25" s="14" t="n">
        <v>50</v>
      </c>
      <c r="E25" s="14" t="n">
        <v>47886</v>
      </c>
      <c r="F25" s="14" t="n">
        <v>285</v>
      </c>
      <c r="G25" s="14" t="n">
        <v>125</v>
      </c>
      <c r="H25" s="14" t="s">
        <v>62</v>
      </c>
      <c r="I25" s="14" t="n">
        <v>0.41</v>
      </c>
      <c r="J25" s="14" t="n">
        <v>12.5</v>
      </c>
      <c r="K25" s="14" t="s">
        <v>59</v>
      </c>
      <c r="L25" s="14" t="n">
        <v>2012</v>
      </c>
      <c r="M25" s="14" t="n">
        <v>10.7765784651041</v>
      </c>
      <c r="N25" s="14" t="n">
        <v>3.91222298543081</v>
      </c>
      <c r="P25" s="14" t="n">
        <f aca="false">D25</f>
        <v>50</v>
      </c>
      <c r="Q25" s="14" t="n">
        <f aca="false">G25</f>
        <v>125</v>
      </c>
      <c r="R25" s="14" t="n">
        <f aca="false">J25</f>
        <v>12.5</v>
      </c>
      <c r="S25" s="14" t="n">
        <f aca="false">IF($L25=2012,1,0)</f>
        <v>1</v>
      </c>
      <c r="T25" s="14" t="n">
        <f aca="false">IF($L25=2013,1,0)</f>
        <v>0</v>
      </c>
      <c r="U25" s="14" t="n">
        <f aca="false">IF($L25=2014,1,0)</f>
        <v>0</v>
      </c>
      <c r="V25" s="14" t="n">
        <f aca="false">IF($L25=2015,1,0)</f>
        <v>0</v>
      </c>
      <c r="W25" s="14" t="n">
        <f aca="false">IF($L25=2016,1,0)</f>
        <v>0</v>
      </c>
      <c r="X25" s="14" t="n">
        <f aca="false">IF($L25=2017,1,0)</f>
        <v>0</v>
      </c>
      <c r="Y25" s="14" t="n">
        <f aca="false">IF($H25="Beginner Level",1,0)</f>
        <v>0</v>
      </c>
      <c r="Z25" s="14" t="n">
        <f aca="false">IF($H25="Expert Level",1,0)</f>
        <v>0</v>
      </c>
      <c r="AA25" s="14" t="n">
        <f aca="false">IF($H25="Intermediate Level",1,0)</f>
        <v>0</v>
      </c>
      <c r="AC25" s="14" t="n">
        <f aca="false">N25</f>
        <v>3.91222298543081</v>
      </c>
      <c r="AD25" s="14" t="n">
        <f aca="false">G25</f>
        <v>125</v>
      </c>
      <c r="AE25" s="14" t="n">
        <f aca="false">J25</f>
        <v>12.5</v>
      </c>
      <c r="AF25" s="14" t="n">
        <f aca="false">IF($L25=2012,1,0)</f>
        <v>1</v>
      </c>
      <c r="AG25" s="14" t="n">
        <f aca="false">IF($L25=2013,1,0)</f>
        <v>0</v>
      </c>
      <c r="AH25" s="14" t="n">
        <f aca="false">IF($L25=2014,1,0)</f>
        <v>0</v>
      </c>
      <c r="AI25" s="14" t="n">
        <f aca="false">IF($L25=2015,1,0)</f>
        <v>0</v>
      </c>
      <c r="AJ25" s="14" t="n">
        <f aca="false">IF($L25=2016,1,0)</f>
        <v>0</v>
      </c>
      <c r="AK25" s="14" t="n">
        <f aca="false">IF($L25=2017,1,0)</f>
        <v>0</v>
      </c>
      <c r="AL25" s="14" t="n">
        <f aca="false">IF($H25="Beginner Level",1,0)</f>
        <v>0</v>
      </c>
      <c r="AM25" s="14" t="n">
        <f aca="false">IF($H25="Expert Level",1,0)</f>
        <v>0</v>
      </c>
      <c r="AN25" s="14" t="n">
        <f aca="false">IF($H25="Intermediate Level",1,0)</f>
        <v>0</v>
      </c>
    </row>
    <row r="26" customFormat="false" ht="46.25" hidden="false" customHeight="false" outlineLevel="0" collapsed="false">
      <c r="A26" s="14" t="n">
        <v>707962</v>
      </c>
      <c r="B26" s="14" t="s">
        <v>104</v>
      </c>
      <c r="C26" s="14" t="s">
        <v>105</v>
      </c>
      <c r="D26" s="14" t="n">
        <v>0</v>
      </c>
      <c r="E26" s="14" t="n">
        <v>47062</v>
      </c>
      <c r="F26" s="14" t="n">
        <v>5590</v>
      </c>
      <c r="G26" s="14" t="n">
        <v>41</v>
      </c>
      <c r="H26" s="14" t="s">
        <v>62</v>
      </c>
      <c r="I26" s="14" t="n">
        <v>0.18</v>
      </c>
      <c r="J26" s="14" t="n">
        <v>8.5</v>
      </c>
      <c r="K26" s="14" t="s">
        <v>53</v>
      </c>
      <c r="L26" s="14" t="n">
        <v>2016</v>
      </c>
      <c r="M26" s="14" t="n">
        <v>10.7592211603158</v>
      </c>
      <c r="N26" s="14" t="n">
        <v>-4.60517018598809</v>
      </c>
      <c r="P26" s="14" t="n">
        <f aca="false">D26</f>
        <v>0</v>
      </c>
      <c r="Q26" s="14" t="n">
        <f aca="false">G26</f>
        <v>41</v>
      </c>
      <c r="R26" s="14" t="n">
        <f aca="false">J26</f>
        <v>8.5</v>
      </c>
      <c r="S26" s="14" t="n">
        <f aca="false">IF($L26=2012,1,0)</f>
        <v>0</v>
      </c>
      <c r="T26" s="14" t="n">
        <f aca="false">IF($L26=2013,1,0)</f>
        <v>0</v>
      </c>
      <c r="U26" s="14" t="n">
        <f aca="false">IF($L26=2014,1,0)</f>
        <v>0</v>
      </c>
      <c r="V26" s="14" t="n">
        <f aca="false">IF($L26=2015,1,0)</f>
        <v>0</v>
      </c>
      <c r="W26" s="14" t="n">
        <f aca="false">IF($L26=2016,1,0)</f>
        <v>1</v>
      </c>
      <c r="X26" s="14" t="n">
        <f aca="false">IF($L26=2017,1,0)</f>
        <v>0</v>
      </c>
      <c r="Y26" s="14" t="n">
        <f aca="false">IF($H26="Beginner Level",1,0)</f>
        <v>0</v>
      </c>
      <c r="Z26" s="14" t="n">
        <f aca="false">IF($H26="Expert Level",1,0)</f>
        <v>0</v>
      </c>
      <c r="AA26" s="14" t="n">
        <f aca="false">IF($H26="Intermediate Level",1,0)</f>
        <v>0</v>
      </c>
      <c r="AC26" s="14" t="n">
        <f aca="false">N26</f>
        <v>-4.60517018598809</v>
      </c>
      <c r="AD26" s="14" t="n">
        <f aca="false">G26</f>
        <v>41</v>
      </c>
      <c r="AE26" s="14" t="n">
        <f aca="false">J26</f>
        <v>8.5</v>
      </c>
      <c r="AF26" s="14" t="n">
        <f aca="false">IF($L26=2012,1,0)</f>
        <v>0</v>
      </c>
      <c r="AG26" s="14" t="n">
        <f aca="false">IF($L26=2013,1,0)</f>
        <v>0</v>
      </c>
      <c r="AH26" s="14" t="n">
        <f aca="false">IF($L26=2014,1,0)</f>
        <v>0</v>
      </c>
      <c r="AI26" s="14" t="n">
        <f aca="false">IF($L26=2015,1,0)</f>
        <v>0</v>
      </c>
      <c r="AJ26" s="14" t="n">
        <f aca="false">IF($L26=2016,1,0)</f>
        <v>1</v>
      </c>
      <c r="AK26" s="14" t="n">
        <f aca="false">IF($L26=2017,1,0)</f>
        <v>0</v>
      </c>
      <c r="AL26" s="14" t="n">
        <f aca="false">IF($H26="Beginner Level",1,0)</f>
        <v>0</v>
      </c>
      <c r="AM26" s="14" t="n">
        <f aca="false">IF($H26="Expert Level",1,0)</f>
        <v>0</v>
      </c>
      <c r="AN26" s="14" t="n">
        <f aca="false">IF($H26="Intermediate Level",1,0)</f>
        <v>0</v>
      </c>
    </row>
    <row r="27" customFormat="false" ht="79.85" hidden="false" customHeight="false" outlineLevel="0" collapsed="false">
      <c r="A27" s="14" t="n">
        <v>437398</v>
      </c>
      <c r="B27" s="14" t="s">
        <v>106</v>
      </c>
      <c r="C27" s="14" t="s">
        <v>107</v>
      </c>
      <c r="D27" s="14" t="n">
        <v>195</v>
      </c>
      <c r="E27" s="14" t="n">
        <v>43977</v>
      </c>
      <c r="F27" s="14" t="n">
        <v>7106</v>
      </c>
      <c r="G27" s="14" t="n">
        <v>77</v>
      </c>
      <c r="H27" s="14" t="s">
        <v>62</v>
      </c>
      <c r="I27" s="14" t="n">
        <v>0.34</v>
      </c>
      <c r="J27" s="14" t="n">
        <v>12</v>
      </c>
      <c r="K27" s="14" t="s">
        <v>59</v>
      </c>
      <c r="L27" s="14" t="n">
        <v>2015</v>
      </c>
      <c r="M27" s="14" t="n">
        <v>10.6914220489581</v>
      </c>
      <c r="N27" s="14" t="n">
        <v>5.27305083930015</v>
      </c>
      <c r="P27" s="14" t="n">
        <f aca="false">D27</f>
        <v>195</v>
      </c>
      <c r="Q27" s="14" t="n">
        <f aca="false">G27</f>
        <v>77</v>
      </c>
      <c r="R27" s="14" t="n">
        <f aca="false">J27</f>
        <v>12</v>
      </c>
      <c r="S27" s="14" t="n">
        <f aca="false">IF($L27=2012,1,0)</f>
        <v>0</v>
      </c>
      <c r="T27" s="14" t="n">
        <f aca="false">IF($L27=2013,1,0)</f>
        <v>0</v>
      </c>
      <c r="U27" s="14" t="n">
        <f aca="false">IF($L27=2014,1,0)</f>
        <v>0</v>
      </c>
      <c r="V27" s="14" t="n">
        <f aca="false">IF($L27=2015,1,0)</f>
        <v>1</v>
      </c>
      <c r="W27" s="14" t="n">
        <f aca="false">IF($L27=2016,1,0)</f>
        <v>0</v>
      </c>
      <c r="X27" s="14" t="n">
        <f aca="false">IF($L27=2017,1,0)</f>
        <v>0</v>
      </c>
      <c r="Y27" s="14" t="n">
        <f aca="false">IF($H27="Beginner Level",1,0)</f>
        <v>0</v>
      </c>
      <c r="Z27" s="14" t="n">
        <f aca="false">IF($H27="Expert Level",1,0)</f>
        <v>0</v>
      </c>
      <c r="AA27" s="14" t="n">
        <f aca="false">IF($H27="Intermediate Level",1,0)</f>
        <v>0</v>
      </c>
      <c r="AC27" s="14" t="n">
        <f aca="false">N27</f>
        <v>5.27305083930015</v>
      </c>
      <c r="AD27" s="14" t="n">
        <f aca="false">G27</f>
        <v>77</v>
      </c>
      <c r="AE27" s="14" t="n">
        <f aca="false">J27</f>
        <v>12</v>
      </c>
      <c r="AF27" s="14" t="n">
        <f aca="false">IF($L27=2012,1,0)</f>
        <v>0</v>
      </c>
      <c r="AG27" s="14" t="n">
        <f aca="false">IF($L27=2013,1,0)</f>
        <v>0</v>
      </c>
      <c r="AH27" s="14" t="n">
        <f aca="false">IF($L27=2014,1,0)</f>
        <v>0</v>
      </c>
      <c r="AI27" s="14" t="n">
        <f aca="false">IF($L27=2015,1,0)</f>
        <v>1</v>
      </c>
      <c r="AJ27" s="14" t="n">
        <f aca="false">IF($L27=2016,1,0)</f>
        <v>0</v>
      </c>
      <c r="AK27" s="14" t="n">
        <f aca="false">IF($L27=2017,1,0)</f>
        <v>0</v>
      </c>
      <c r="AL27" s="14" t="n">
        <f aca="false">IF($H27="Beginner Level",1,0)</f>
        <v>0</v>
      </c>
      <c r="AM27" s="14" t="n">
        <f aca="false">IF($H27="Expert Level",1,0)</f>
        <v>0</v>
      </c>
      <c r="AN27" s="14" t="n">
        <f aca="false">IF($H27="Intermediate Level",1,0)</f>
        <v>0</v>
      </c>
    </row>
    <row r="28" customFormat="false" ht="57.45" hidden="false" customHeight="false" outlineLevel="0" collapsed="false">
      <c r="A28" s="14" t="n">
        <v>28295</v>
      </c>
      <c r="B28" s="14" t="s">
        <v>108</v>
      </c>
      <c r="C28" s="14" t="s">
        <v>109</v>
      </c>
      <c r="D28" s="14" t="n">
        <v>75</v>
      </c>
      <c r="E28" s="14" t="n">
        <v>43285</v>
      </c>
      <c r="F28" s="14" t="n">
        <v>525</v>
      </c>
      <c r="G28" s="14" t="n">
        <v>24</v>
      </c>
      <c r="H28" s="14" t="s">
        <v>52</v>
      </c>
      <c r="I28" s="14" t="n">
        <v>0.31</v>
      </c>
      <c r="J28" s="14" t="n">
        <v>4</v>
      </c>
      <c r="K28" s="14" t="s">
        <v>59</v>
      </c>
      <c r="L28" s="14" t="n">
        <v>2013</v>
      </c>
      <c r="M28" s="14" t="n">
        <v>10.6755614336499</v>
      </c>
      <c r="N28" s="14" t="n">
        <v>4.31762143798155</v>
      </c>
      <c r="P28" s="14" t="n">
        <f aca="false">D28</f>
        <v>75</v>
      </c>
      <c r="Q28" s="14" t="n">
        <f aca="false">G28</f>
        <v>24</v>
      </c>
      <c r="R28" s="14" t="n">
        <f aca="false">J28</f>
        <v>4</v>
      </c>
      <c r="S28" s="14" t="n">
        <f aca="false">IF($L28=2012,1,0)</f>
        <v>0</v>
      </c>
      <c r="T28" s="14" t="n">
        <f aca="false">IF($L28=2013,1,0)</f>
        <v>1</v>
      </c>
      <c r="U28" s="14" t="n">
        <f aca="false">IF($L28=2014,1,0)</f>
        <v>0</v>
      </c>
      <c r="V28" s="14" t="n">
        <f aca="false">IF($L28=2015,1,0)</f>
        <v>0</v>
      </c>
      <c r="W28" s="14" t="n">
        <f aca="false">IF($L28=2016,1,0)</f>
        <v>0</v>
      </c>
      <c r="X28" s="14" t="n">
        <f aca="false">IF($L28=2017,1,0)</f>
        <v>0</v>
      </c>
      <c r="Y28" s="14" t="n">
        <f aca="false">IF($H28="Beginner Level",1,0)</f>
        <v>1</v>
      </c>
      <c r="Z28" s="14" t="n">
        <f aca="false">IF($H28="Expert Level",1,0)</f>
        <v>0</v>
      </c>
      <c r="AA28" s="14" t="n">
        <f aca="false">IF($H28="Intermediate Level",1,0)</f>
        <v>0</v>
      </c>
      <c r="AC28" s="14" t="n">
        <f aca="false">N28</f>
        <v>4.31762143798155</v>
      </c>
      <c r="AD28" s="14" t="n">
        <f aca="false">G28</f>
        <v>24</v>
      </c>
      <c r="AE28" s="14" t="n">
        <f aca="false">J28</f>
        <v>4</v>
      </c>
      <c r="AF28" s="14" t="n">
        <f aca="false">IF($L28=2012,1,0)</f>
        <v>0</v>
      </c>
      <c r="AG28" s="14" t="n">
        <f aca="false">IF($L28=2013,1,0)</f>
        <v>1</v>
      </c>
      <c r="AH28" s="14" t="n">
        <f aca="false">IF($L28=2014,1,0)</f>
        <v>0</v>
      </c>
      <c r="AI28" s="14" t="n">
        <f aca="false">IF($L28=2015,1,0)</f>
        <v>0</v>
      </c>
      <c r="AJ28" s="14" t="n">
        <f aca="false">IF($L28=2016,1,0)</f>
        <v>0</v>
      </c>
      <c r="AK28" s="14" t="n">
        <f aca="false">IF($L28=2017,1,0)</f>
        <v>0</v>
      </c>
      <c r="AL28" s="14" t="n">
        <f aca="false">IF($H28="Beginner Level",1,0)</f>
        <v>1</v>
      </c>
      <c r="AM28" s="14" t="n">
        <f aca="false">IF($H28="Expert Level",1,0)</f>
        <v>0</v>
      </c>
      <c r="AN28" s="14" t="n">
        <f aca="false">IF($H28="Intermediate Level",1,0)</f>
        <v>0</v>
      </c>
    </row>
    <row r="29" customFormat="false" ht="57.45" hidden="false" customHeight="false" outlineLevel="0" collapsed="false">
      <c r="A29" s="14" t="n">
        <v>708578</v>
      </c>
      <c r="B29" s="14" t="s">
        <v>110</v>
      </c>
      <c r="C29" s="14" t="s">
        <v>111</v>
      </c>
      <c r="D29" s="14" t="n">
        <v>0</v>
      </c>
      <c r="E29" s="14" t="n">
        <v>41478</v>
      </c>
      <c r="F29" s="14" t="n">
        <v>2104</v>
      </c>
      <c r="G29" s="14" t="n">
        <v>13</v>
      </c>
      <c r="H29" s="14" t="s">
        <v>62</v>
      </c>
      <c r="I29" s="14" t="n">
        <v>0.52</v>
      </c>
      <c r="J29" s="14" t="n">
        <v>3</v>
      </c>
      <c r="K29" s="14" t="s">
        <v>53</v>
      </c>
      <c r="L29" s="14" t="n">
        <v>2015</v>
      </c>
      <c r="M29" s="14" t="n">
        <v>10.6329184451733</v>
      </c>
      <c r="N29" s="14" t="n">
        <v>-4.60517018598809</v>
      </c>
      <c r="P29" s="14" t="n">
        <f aca="false">D29</f>
        <v>0</v>
      </c>
      <c r="Q29" s="14" t="n">
        <f aca="false">G29</f>
        <v>13</v>
      </c>
      <c r="R29" s="14" t="n">
        <f aca="false">J29</f>
        <v>3</v>
      </c>
      <c r="S29" s="14" t="n">
        <f aca="false">IF($L29=2012,1,0)</f>
        <v>0</v>
      </c>
      <c r="T29" s="14" t="n">
        <f aca="false">IF($L29=2013,1,0)</f>
        <v>0</v>
      </c>
      <c r="U29" s="14" t="n">
        <f aca="false">IF($L29=2014,1,0)</f>
        <v>0</v>
      </c>
      <c r="V29" s="14" t="n">
        <f aca="false">IF($L29=2015,1,0)</f>
        <v>1</v>
      </c>
      <c r="W29" s="14" t="n">
        <f aca="false">IF($L29=2016,1,0)</f>
        <v>0</v>
      </c>
      <c r="X29" s="14" t="n">
        <f aca="false">IF($L29=2017,1,0)</f>
        <v>0</v>
      </c>
      <c r="Y29" s="14" t="n">
        <f aca="false">IF($H29="Beginner Level",1,0)</f>
        <v>0</v>
      </c>
      <c r="Z29" s="14" t="n">
        <f aca="false">IF($H29="Expert Level",1,0)</f>
        <v>0</v>
      </c>
      <c r="AA29" s="14" t="n">
        <f aca="false">IF($H29="Intermediate Level",1,0)</f>
        <v>0</v>
      </c>
      <c r="AC29" s="14" t="n">
        <f aca="false">N29</f>
        <v>-4.60517018598809</v>
      </c>
      <c r="AD29" s="14" t="n">
        <f aca="false">G29</f>
        <v>13</v>
      </c>
      <c r="AE29" s="14" t="n">
        <f aca="false">J29</f>
        <v>3</v>
      </c>
      <c r="AF29" s="14" t="n">
        <f aca="false">IF($L29=2012,1,0)</f>
        <v>0</v>
      </c>
      <c r="AG29" s="14" t="n">
        <f aca="false">IF($L29=2013,1,0)</f>
        <v>0</v>
      </c>
      <c r="AH29" s="14" t="n">
        <f aca="false">IF($L29=2014,1,0)</f>
        <v>0</v>
      </c>
      <c r="AI29" s="14" t="n">
        <f aca="false">IF($L29=2015,1,0)</f>
        <v>1</v>
      </c>
      <c r="AJ29" s="14" t="n">
        <f aca="false">IF($L29=2016,1,0)</f>
        <v>0</v>
      </c>
      <c r="AK29" s="14" t="n">
        <f aca="false">IF($L29=2017,1,0)</f>
        <v>0</v>
      </c>
      <c r="AL29" s="14" t="n">
        <f aca="false">IF($H29="Beginner Level",1,0)</f>
        <v>0</v>
      </c>
      <c r="AM29" s="14" t="n">
        <f aca="false">IF($H29="Expert Level",1,0)</f>
        <v>0</v>
      </c>
      <c r="AN29" s="14" t="n">
        <f aca="false">IF($H29="Intermediate Level",1,0)</f>
        <v>0</v>
      </c>
    </row>
    <row r="30" customFormat="false" ht="57.45" hidden="false" customHeight="false" outlineLevel="0" collapsed="false">
      <c r="A30" s="14" t="n">
        <v>719002</v>
      </c>
      <c r="B30" s="14" t="s">
        <v>112</v>
      </c>
      <c r="C30" s="14" t="s">
        <v>113</v>
      </c>
      <c r="D30" s="14" t="n">
        <v>150</v>
      </c>
      <c r="E30" s="14" t="n">
        <v>40070</v>
      </c>
      <c r="F30" s="14" t="n">
        <v>8341</v>
      </c>
      <c r="G30" s="14" t="n">
        <v>194</v>
      </c>
      <c r="H30" s="14" t="s">
        <v>62</v>
      </c>
      <c r="I30" s="14" t="n">
        <v>0.74</v>
      </c>
      <c r="J30" s="14" t="n">
        <v>9.5</v>
      </c>
      <c r="K30" s="14" t="s">
        <v>59</v>
      </c>
      <c r="L30" s="14" t="n">
        <v>2016</v>
      </c>
      <c r="M30" s="14" t="n">
        <v>10.5983832036302</v>
      </c>
      <c r="N30" s="14" t="n">
        <v>5.0107019585408</v>
      </c>
      <c r="P30" s="14" t="n">
        <f aca="false">D30</f>
        <v>150</v>
      </c>
      <c r="Q30" s="14" t="n">
        <f aca="false">G30</f>
        <v>194</v>
      </c>
      <c r="R30" s="14" t="n">
        <f aca="false">J30</f>
        <v>9.5</v>
      </c>
      <c r="S30" s="14" t="n">
        <f aca="false">IF($L30=2012,1,0)</f>
        <v>0</v>
      </c>
      <c r="T30" s="14" t="n">
        <f aca="false">IF($L30=2013,1,0)</f>
        <v>0</v>
      </c>
      <c r="U30" s="14" t="n">
        <f aca="false">IF($L30=2014,1,0)</f>
        <v>0</v>
      </c>
      <c r="V30" s="14" t="n">
        <f aca="false">IF($L30=2015,1,0)</f>
        <v>0</v>
      </c>
      <c r="W30" s="14" t="n">
        <f aca="false">IF($L30=2016,1,0)</f>
        <v>1</v>
      </c>
      <c r="X30" s="14" t="n">
        <f aca="false">IF($L30=2017,1,0)</f>
        <v>0</v>
      </c>
      <c r="Y30" s="14" t="n">
        <f aca="false">IF($H30="Beginner Level",1,0)</f>
        <v>0</v>
      </c>
      <c r="Z30" s="14" t="n">
        <f aca="false">IF($H30="Expert Level",1,0)</f>
        <v>0</v>
      </c>
      <c r="AA30" s="14" t="n">
        <f aca="false">IF($H30="Intermediate Level",1,0)</f>
        <v>0</v>
      </c>
      <c r="AC30" s="14" t="n">
        <f aca="false">N30</f>
        <v>5.0107019585408</v>
      </c>
      <c r="AD30" s="14" t="n">
        <f aca="false">G30</f>
        <v>194</v>
      </c>
      <c r="AE30" s="14" t="n">
        <f aca="false">J30</f>
        <v>9.5</v>
      </c>
      <c r="AF30" s="14" t="n">
        <f aca="false">IF($L30=2012,1,0)</f>
        <v>0</v>
      </c>
      <c r="AG30" s="14" t="n">
        <f aca="false">IF($L30=2013,1,0)</f>
        <v>0</v>
      </c>
      <c r="AH30" s="14" t="n">
        <f aca="false">IF($L30=2014,1,0)</f>
        <v>0</v>
      </c>
      <c r="AI30" s="14" t="n">
        <f aca="false">IF($L30=2015,1,0)</f>
        <v>0</v>
      </c>
      <c r="AJ30" s="14" t="n">
        <f aca="false">IF($L30=2016,1,0)</f>
        <v>1</v>
      </c>
      <c r="AK30" s="14" t="n">
        <f aca="false">IF($L30=2017,1,0)</f>
        <v>0</v>
      </c>
      <c r="AL30" s="14" t="n">
        <f aca="false">IF($H30="Beginner Level",1,0)</f>
        <v>0</v>
      </c>
      <c r="AM30" s="14" t="n">
        <f aca="false">IF($H30="Expert Level",1,0)</f>
        <v>0</v>
      </c>
      <c r="AN30" s="14" t="n">
        <f aca="false">IF($H30="Intermediate Level",1,0)</f>
        <v>0</v>
      </c>
    </row>
    <row r="31" customFormat="false" ht="57.45" hidden="false" customHeight="false" outlineLevel="0" collapsed="false">
      <c r="A31" s="14" t="n">
        <v>674608</v>
      </c>
      <c r="B31" s="14" t="s">
        <v>114</v>
      </c>
      <c r="C31" s="14" t="s">
        <v>115</v>
      </c>
      <c r="D31" s="14" t="n">
        <v>195</v>
      </c>
      <c r="E31" s="14" t="n">
        <v>37141</v>
      </c>
      <c r="F31" s="14" t="n">
        <v>1813</v>
      </c>
      <c r="G31" s="14" t="n">
        <v>316</v>
      </c>
      <c r="H31" s="14" t="s">
        <v>52</v>
      </c>
      <c r="I31" s="14" t="n">
        <v>0.07</v>
      </c>
      <c r="J31" s="14" t="n">
        <v>51</v>
      </c>
      <c r="K31" s="14" t="s">
        <v>59</v>
      </c>
      <c r="L31" s="14" t="n">
        <v>2016</v>
      </c>
      <c r="M31" s="14" t="n">
        <v>10.5224767596923</v>
      </c>
      <c r="N31" s="14" t="n">
        <v>5.27305083930015</v>
      </c>
      <c r="P31" s="14" t="n">
        <f aca="false">D31</f>
        <v>195</v>
      </c>
      <c r="Q31" s="14" t="n">
        <f aca="false">G31</f>
        <v>316</v>
      </c>
      <c r="R31" s="14" t="n">
        <f aca="false">J31</f>
        <v>51</v>
      </c>
      <c r="S31" s="14" t="n">
        <f aca="false">IF($L31=2012,1,0)</f>
        <v>0</v>
      </c>
      <c r="T31" s="14" t="n">
        <f aca="false">IF($L31=2013,1,0)</f>
        <v>0</v>
      </c>
      <c r="U31" s="14" t="n">
        <f aca="false">IF($L31=2014,1,0)</f>
        <v>0</v>
      </c>
      <c r="V31" s="14" t="n">
        <f aca="false">IF($L31=2015,1,0)</f>
        <v>0</v>
      </c>
      <c r="W31" s="14" t="n">
        <f aca="false">IF($L31=2016,1,0)</f>
        <v>1</v>
      </c>
      <c r="X31" s="14" t="n">
        <f aca="false">IF($L31=2017,1,0)</f>
        <v>0</v>
      </c>
      <c r="Y31" s="14" t="n">
        <f aca="false">IF($H31="Beginner Level",1,0)</f>
        <v>1</v>
      </c>
      <c r="Z31" s="14" t="n">
        <f aca="false">IF($H31="Expert Level",1,0)</f>
        <v>0</v>
      </c>
      <c r="AA31" s="14" t="n">
        <f aca="false">IF($H31="Intermediate Level",1,0)</f>
        <v>0</v>
      </c>
      <c r="AC31" s="14" t="n">
        <f aca="false">N31</f>
        <v>5.27305083930015</v>
      </c>
      <c r="AD31" s="14" t="n">
        <f aca="false">G31</f>
        <v>316</v>
      </c>
      <c r="AE31" s="14" t="n">
        <f aca="false">J31</f>
        <v>51</v>
      </c>
      <c r="AF31" s="14" t="n">
        <f aca="false">IF($L31=2012,1,0)</f>
        <v>0</v>
      </c>
      <c r="AG31" s="14" t="n">
        <f aca="false">IF($L31=2013,1,0)</f>
        <v>0</v>
      </c>
      <c r="AH31" s="14" t="n">
        <f aca="false">IF($L31=2014,1,0)</f>
        <v>0</v>
      </c>
      <c r="AI31" s="14" t="n">
        <f aca="false">IF($L31=2015,1,0)</f>
        <v>0</v>
      </c>
      <c r="AJ31" s="14" t="n">
        <f aca="false">IF($L31=2016,1,0)</f>
        <v>1</v>
      </c>
      <c r="AK31" s="14" t="n">
        <f aca="false">IF($L31=2017,1,0)</f>
        <v>0</v>
      </c>
      <c r="AL31" s="14" t="n">
        <f aca="false">IF($H31="Beginner Level",1,0)</f>
        <v>1</v>
      </c>
      <c r="AM31" s="14" t="n">
        <f aca="false">IF($H31="Expert Level",1,0)</f>
        <v>0</v>
      </c>
      <c r="AN31" s="14" t="n">
        <f aca="false">IF($H31="Intermediate Level",1,0)</f>
        <v>0</v>
      </c>
    </row>
    <row r="32" customFormat="false" ht="79.85" hidden="false" customHeight="false" outlineLevel="0" collapsed="false">
      <c r="A32" s="14" t="n">
        <v>772618</v>
      </c>
      <c r="B32" s="14" t="s">
        <v>116</v>
      </c>
      <c r="C32" s="14" t="s">
        <v>117</v>
      </c>
      <c r="D32" s="14" t="n">
        <v>0</v>
      </c>
      <c r="E32" s="14" t="n">
        <v>36322</v>
      </c>
      <c r="F32" s="14" t="n">
        <v>2618</v>
      </c>
      <c r="G32" s="14" t="n">
        <v>32</v>
      </c>
      <c r="H32" s="14" t="s">
        <v>62</v>
      </c>
      <c r="I32" s="14" t="n">
        <v>0.68</v>
      </c>
      <c r="J32" s="14" t="n">
        <v>4.5</v>
      </c>
      <c r="K32" s="14" t="s">
        <v>53</v>
      </c>
      <c r="L32" s="14" t="n">
        <v>2016</v>
      </c>
      <c r="M32" s="14" t="n">
        <v>10.5001788972784</v>
      </c>
      <c r="N32" s="14" t="n">
        <v>-4.60517018598809</v>
      </c>
      <c r="P32" s="14" t="n">
        <f aca="false">D32</f>
        <v>0</v>
      </c>
      <c r="Q32" s="14" t="n">
        <f aca="false">G32</f>
        <v>32</v>
      </c>
      <c r="R32" s="14" t="n">
        <f aca="false">J32</f>
        <v>4.5</v>
      </c>
      <c r="S32" s="14" t="n">
        <f aca="false">IF($L32=2012,1,0)</f>
        <v>0</v>
      </c>
      <c r="T32" s="14" t="n">
        <f aca="false">IF($L32=2013,1,0)</f>
        <v>0</v>
      </c>
      <c r="U32" s="14" t="n">
        <f aca="false">IF($L32=2014,1,0)</f>
        <v>0</v>
      </c>
      <c r="V32" s="14" t="n">
        <f aca="false">IF($L32=2015,1,0)</f>
        <v>0</v>
      </c>
      <c r="W32" s="14" t="n">
        <f aca="false">IF($L32=2016,1,0)</f>
        <v>1</v>
      </c>
      <c r="X32" s="14" t="n">
        <f aca="false">IF($L32=2017,1,0)</f>
        <v>0</v>
      </c>
      <c r="Y32" s="14" t="n">
        <f aca="false">IF($H32="Beginner Level",1,0)</f>
        <v>0</v>
      </c>
      <c r="Z32" s="14" t="n">
        <f aca="false">IF($H32="Expert Level",1,0)</f>
        <v>0</v>
      </c>
      <c r="AA32" s="14" t="n">
        <f aca="false">IF($H32="Intermediate Level",1,0)</f>
        <v>0</v>
      </c>
      <c r="AC32" s="14" t="n">
        <f aca="false">N32</f>
        <v>-4.60517018598809</v>
      </c>
      <c r="AD32" s="14" t="n">
        <f aca="false">G32</f>
        <v>32</v>
      </c>
      <c r="AE32" s="14" t="n">
        <f aca="false">J32</f>
        <v>4.5</v>
      </c>
      <c r="AF32" s="14" t="n">
        <f aca="false">IF($L32=2012,1,0)</f>
        <v>0</v>
      </c>
      <c r="AG32" s="14" t="n">
        <f aca="false">IF($L32=2013,1,0)</f>
        <v>0</v>
      </c>
      <c r="AH32" s="14" t="n">
        <f aca="false">IF($L32=2014,1,0)</f>
        <v>0</v>
      </c>
      <c r="AI32" s="14" t="n">
        <f aca="false">IF($L32=2015,1,0)</f>
        <v>0</v>
      </c>
      <c r="AJ32" s="14" t="n">
        <f aca="false">IF($L32=2016,1,0)</f>
        <v>1</v>
      </c>
      <c r="AK32" s="14" t="n">
        <f aca="false">IF($L32=2017,1,0)</f>
        <v>0</v>
      </c>
      <c r="AL32" s="14" t="n">
        <f aca="false">IF($H32="Beginner Level",1,0)</f>
        <v>0</v>
      </c>
      <c r="AM32" s="14" t="n">
        <f aca="false">IF($H32="Expert Level",1,0)</f>
        <v>0</v>
      </c>
      <c r="AN32" s="14" t="n">
        <f aca="false">IF($H32="Intermediate Level",1,0)</f>
        <v>0</v>
      </c>
    </row>
    <row r="33" customFormat="false" ht="57.45" hidden="false" customHeight="false" outlineLevel="0" collapsed="false">
      <c r="A33" s="14" t="n">
        <v>16646</v>
      </c>
      <c r="B33" s="14" t="s">
        <v>118</v>
      </c>
      <c r="C33" s="14" t="s">
        <v>119</v>
      </c>
      <c r="D33" s="14" t="n">
        <v>50</v>
      </c>
      <c r="E33" s="14" t="n">
        <v>35267</v>
      </c>
      <c r="F33" s="14" t="n">
        <v>217</v>
      </c>
      <c r="G33" s="14" t="n">
        <v>53</v>
      </c>
      <c r="H33" s="14" t="s">
        <v>52</v>
      </c>
      <c r="I33" s="14" t="n">
        <v>0.78</v>
      </c>
      <c r="J33" s="14" t="n">
        <v>4</v>
      </c>
      <c r="K33" s="14" t="s">
        <v>59</v>
      </c>
      <c r="L33" s="14" t="n">
        <v>2012</v>
      </c>
      <c r="M33" s="14" t="n">
        <v>10.4707029614894</v>
      </c>
      <c r="N33" s="14" t="n">
        <v>3.91222298543081</v>
      </c>
      <c r="P33" s="14" t="n">
        <f aca="false">D33</f>
        <v>50</v>
      </c>
      <c r="Q33" s="14" t="n">
        <f aca="false">G33</f>
        <v>53</v>
      </c>
      <c r="R33" s="14" t="n">
        <f aca="false">J33</f>
        <v>4</v>
      </c>
      <c r="S33" s="14" t="n">
        <f aca="false">IF($L33=2012,1,0)</f>
        <v>1</v>
      </c>
      <c r="T33" s="14" t="n">
        <f aca="false">IF($L33=2013,1,0)</f>
        <v>0</v>
      </c>
      <c r="U33" s="14" t="n">
        <f aca="false">IF($L33=2014,1,0)</f>
        <v>0</v>
      </c>
      <c r="V33" s="14" t="n">
        <f aca="false">IF($L33=2015,1,0)</f>
        <v>0</v>
      </c>
      <c r="W33" s="14" t="n">
        <f aca="false">IF($L33=2016,1,0)</f>
        <v>0</v>
      </c>
      <c r="X33" s="14" t="n">
        <f aca="false">IF($L33=2017,1,0)</f>
        <v>0</v>
      </c>
      <c r="Y33" s="14" t="n">
        <f aca="false">IF($H33="Beginner Level",1,0)</f>
        <v>1</v>
      </c>
      <c r="Z33" s="14" t="n">
        <f aca="false">IF($H33="Expert Level",1,0)</f>
        <v>0</v>
      </c>
      <c r="AA33" s="14" t="n">
        <f aca="false">IF($H33="Intermediate Level",1,0)</f>
        <v>0</v>
      </c>
      <c r="AC33" s="14" t="n">
        <f aca="false">N33</f>
        <v>3.91222298543081</v>
      </c>
      <c r="AD33" s="14" t="n">
        <f aca="false">G33</f>
        <v>53</v>
      </c>
      <c r="AE33" s="14" t="n">
        <f aca="false">J33</f>
        <v>4</v>
      </c>
      <c r="AF33" s="14" t="n">
        <f aca="false">IF($L33=2012,1,0)</f>
        <v>1</v>
      </c>
      <c r="AG33" s="14" t="n">
        <f aca="false">IF($L33=2013,1,0)</f>
        <v>0</v>
      </c>
      <c r="AH33" s="14" t="n">
        <f aca="false">IF($L33=2014,1,0)</f>
        <v>0</v>
      </c>
      <c r="AI33" s="14" t="n">
        <f aca="false">IF($L33=2015,1,0)</f>
        <v>0</v>
      </c>
      <c r="AJ33" s="14" t="n">
        <f aca="false">IF($L33=2016,1,0)</f>
        <v>0</v>
      </c>
      <c r="AK33" s="14" t="n">
        <f aca="false">IF($L33=2017,1,0)</f>
        <v>0</v>
      </c>
      <c r="AL33" s="14" t="n">
        <f aca="false">IF($H33="Beginner Level",1,0)</f>
        <v>1</v>
      </c>
      <c r="AM33" s="14" t="n">
        <f aca="false">IF($H33="Expert Level",1,0)</f>
        <v>0</v>
      </c>
      <c r="AN33" s="14" t="n">
        <f aca="false">IF($H33="Intermediate Level",1,0)</f>
        <v>0</v>
      </c>
    </row>
    <row r="34" customFormat="false" ht="57.45" hidden="false" customHeight="false" outlineLevel="0" collapsed="false">
      <c r="A34" s="14" t="n">
        <v>446134</v>
      </c>
      <c r="B34" s="14" t="s">
        <v>120</v>
      </c>
      <c r="C34" s="14" t="s">
        <v>121</v>
      </c>
      <c r="D34" s="14" t="n">
        <v>200</v>
      </c>
      <c r="E34" s="14" t="n">
        <v>33788</v>
      </c>
      <c r="F34" s="14" t="n">
        <v>4434</v>
      </c>
      <c r="G34" s="14" t="n">
        <v>246</v>
      </c>
      <c r="H34" s="14" t="s">
        <v>52</v>
      </c>
      <c r="I34" s="14" t="n">
        <v>0.31</v>
      </c>
      <c r="J34" s="14" t="n">
        <v>32.5</v>
      </c>
      <c r="K34" s="14" t="s">
        <v>59</v>
      </c>
      <c r="L34" s="14" t="n">
        <v>2015</v>
      </c>
      <c r="M34" s="14" t="n">
        <v>10.4278609888474</v>
      </c>
      <c r="N34" s="14" t="n">
        <v>5.29836736529808</v>
      </c>
      <c r="P34" s="14" t="n">
        <f aca="false">D34</f>
        <v>200</v>
      </c>
      <c r="Q34" s="14" t="n">
        <f aca="false">G34</f>
        <v>246</v>
      </c>
      <c r="R34" s="14" t="n">
        <f aca="false">J34</f>
        <v>32.5</v>
      </c>
      <c r="S34" s="14" t="n">
        <f aca="false">IF($L34=2012,1,0)</f>
        <v>0</v>
      </c>
      <c r="T34" s="14" t="n">
        <f aca="false">IF($L34=2013,1,0)</f>
        <v>0</v>
      </c>
      <c r="U34" s="14" t="n">
        <f aca="false">IF($L34=2014,1,0)</f>
        <v>0</v>
      </c>
      <c r="V34" s="14" t="n">
        <f aca="false">IF($L34=2015,1,0)</f>
        <v>1</v>
      </c>
      <c r="W34" s="14" t="n">
        <f aca="false">IF($L34=2016,1,0)</f>
        <v>0</v>
      </c>
      <c r="X34" s="14" t="n">
        <f aca="false">IF($L34=2017,1,0)</f>
        <v>0</v>
      </c>
      <c r="Y34" s="14" t="n">
        <f aca="false">IF($H34="Beginner Level",1,0)</f>
        <v>1</v>
      </c>
      <c r="Z34" s="14" t="n">
        <f aca="false">IF($H34="Expert Level",1,0)</f>
        <v>0</v>
      </c>
      <c r="AA34" s="14" t="n">
        <f aca="false">IF($H34="Intermediate Level",1,0)</f>
        <v>0</v>
      </c>
      <c r="AC34" s="14" t="n">
        <f aca="false">N34</f>
        <v>5.29836736529808</v>
      </c>
      <c r="AD34" s="14" t="n">
        <f aca="false">G34</f>
        <v>246</v>
      </c>
      <c r="AE34" s="14" t="n">
        <f aca="false">J34</f>
        <v>32.5</v>
      </c>
      <c r="AF34" s="14" t="n">
        <f aca="false">IF($L34=2012,1,0)</f>
        <v>0</v>
      </c>
      <c r="AG34" s="14" t="n">
        <f aca="false">IF($L34=2013,1,0)</f>
        <v>0</v>
      </c>
      <c r="AH34" s="14" t="n">
        <f aca="false">IF($L34=2014,1,0)</f>
        <v>0</v>
      </c>
      <c r="AI34" s="14" t="n">
        <f aca="false">IF($L34=2015,1,0)</f>
        <v>1</v>
      </c>
      <c r="AJ34" s="14" t="n">
        <f aca="false">IF($L34=2016,1,0)</f>
        <v>0</v>
      </c>
      <c r="AK34" s="14" t="n">
        <f aca="false">IF($L34=2017,1,0)</f>
        <v>0</v>
      </c>
      <c r="AL34" s="14" t="n">
        <f aca="false">IF($H34="Beginner Level",1,0)</f>
        <v>1</v>
      </c>
      <c r="AM34" s="14" t="n">
        <f aca="false">IF($H34="Expert Level",1,0)</f>
        <v>0</v>
      </c>
      <c r="AN34" s="14" t="n">
        <f aca="false">IF($H34="Intermediate Level",1,0)</f>
        <v>0</v>
      </c>
    </row>
    <row r="35" customFormat="false" ht="79.85" hidden="false" customHeight="false" outlineLevel="0" collapsed="false">
      <c r="A35" s="14" t="n">
        <v>519442</v>
      </c>
      <c r="B35" s="14" t="s">
        <v>122</v>
      </c>
      <c r="C35" s="14" t="s">
        <v>123</v>
      </c>
      <c r="D35" s="14" t="n">
        <v>195</v>
      </c>
      <c r="E35" s="14" t="n">
        <v>33677</v>
      </c>
      <c r="F35" s="14" t="n">
        <v>3809</v>
      </c>
      <c r="G35" s="14" t="n">
        <v>283</v>
      </c>
      <c r="H35" s="14" t="s">
        <v>62</v>
      </c>
      <c r="I35" s="14" t="n">
        <v>0.77</v>
      </c>
      <c r="J35" s="14" t="n">
        <v>31.5</v>
      </c>
      <c r="K35" s="14" t="s">
        <v>59</v>
      </c>
      <c r="L35" s="14" t="n">
        <v>2015</v>
      </c>
      <c r="M35" s="14" t="n">
        <v>10.4245703907548</v>
      </c>
      <c r="N35" s="14" t="n">
        <v>5.27305083930015</v>
      </c>
      <c r="P35" s="14" t="n">
        <f aca="false">D35</f>
        <v>195</v>
      </c>
      <c r="Q35" s="14" t="n">
        <f aca="false">G35</f>
        <v>283</v>
      </c>
      <c r="R35" s="14" t="n">
        <f aca="false">J35</f>
        <v>31.5</v>
      </c>
      <c r="S35" s="14" t="n">
        <f aca="false">IF($L35=2012,1,0)</f>
        <v>0</v>
      </c>
      <c r="T35" s="14" t="n">
        <f aca="false">IF($L35=2013,1,0)</f>
        <v>0</v>
      </c>
      <c r="U35" s="14" t="n">
        <f aca="false">IF($L35=2014,1,0)</f>
        <v>0</v>
      </c>
      <c r="V35" s="14" t="n">
        <f aca="false">IF($L35=2015,1,0)</f>
        <v>1</v>
      </c>
      <c r="W35" s="14" t="n">
        <f aca="false">IF($L35=2016,1,0)</f>
        <v>0</v>
      </c>
      <c r="X35" s="14" t="n">
        <f aca="false">IF($L35=2017,1,0)</f>
        <v>0</v>
      </c>
      <c r="Y35" s="14" t="n">
        <f aca="false">IF($H35="Beginner Level",1,0)</f>
        <v>0</v>
      </c>
      <c r="Z35" s="14" t="n">
        <f aca="false">IF($H35="Expert Level",1,0)</f>
        <v>0</v>
      </c>
      <c r="AA35" s="14" t="n">
        <f aca="false">IF($H35="Intermediate Level",1,0)</f>
        <v>0</v>
      </c>
      <c r="AC35" s="14" t="n">
        <f aca="false">N35</f>
        <v>5.27305083930015</v>
      </c>
      <c r="AD35" s="14" t="n">
        <f aca="false">G35</f>
        <v>283</v>
      </c>
      <c r="AE35" s="14" t="n">
        <f aca="false">J35</f>
        <v>31.5</v>
      </c>
      <c r="AF35" s="14" t="n">
        <f aca="false">IF($L35=2012,1,0)</f>
        <v>0</v>
      </c>
      <c r="AG35" s="14" t="n">
        <f aca="false">IF($L35=2013,1,0)</f>
        <v>0</v>
      </c>
      <c r="AH35" s="14" t="n">
        <f aca="false">IF($L35=2014,1,0)</f>
        <v>0</v>
      </c>
      <c r="AI35" s="14" t="n">
        <f aca="false">IF($L35=2015,1,0)</f>
        <v>1</v>
      </c>
      <c r="AJ35" s="14" t="n">
        <f aca="false">IF($L35=2016,1,0)</f>
        <v>0</v>
      </c>
      <c r="AK35" s="14" t="n">
        <f aca="false">IF($L35=2017,1,0)</f>
        <v>0</v>
      </c>
      <c r="AL35" s="14" t="n">
        <f aca="false">IF($H35="Beginner Level",1,0)</f>
        <v>0</v>
      </c>
      <c r="AM35" s="14" t="n">
        <f aca="false">IF($H35="Expert Level",1,0)</f>
        <v>0</v>
      </c>
      <c r="AN35" s="14" t="n">
        <f aca="false">IF($H35="Intermediate Level",1,0)</f>
        <v>0</v>
      </c>
    </row>
    <row r="36" customFormat="false" ht="68.65" hidden="false" customHeight="false" outlineLevel="0" collapsed="false">
      <c r="A36" s="14" t="n">
        <v>949282</v>
      </c>
      <c r="B36" s="14" t="s">
        <v>124</v>
      </c>
      <c r="C36" s="14" t="s">
        <v>125</v>
      </c>
      <c r="D36" s="14" t="n">
        <v>195</v>
      </c>
      <c r="E36" s="14" t="n">
        <v>32696</v>
      </c>
      <c r="F36" s="14" t="n">
        <v>526</v>
      </c>
      <c r="G36" s="14" t="n">
        <v>67</v>
      </c>
      <c r="H36" s="14" t="s">
        <v>52</v>
      </c>
      <c r="I36" s="14" t="n">
        <v>0.7</v>
      </c>
      <c r="J36" s="14" t="n">
        <v>10</v>
      </c>
      <c r="K36" s="14" t="s">
        <v>59</v>
      </c>
      <c r="L36" s="14" t="n">
        <v>2016</v>
      </c>
      <c r="M36" s="14" t="n">
        <v>10.3950080252441</v>
      </c>
      <c r="N36" s="14" t="n">
        <v>5.27305083930015</v>
      </c>
      <c r="P36" s="14" t="n">
        <f aca="false">D36</f>
        <v>195</v>
      </c>
      <c r="Q36" s="14" t="n">
        <f aca="false">G36</f>
        <v>67</v>
      </c>
      <c r="R36" s="14" t="n">
        <f aca="false">J36</f>
        <v>10</v>
      </c>
      <c r="S36" s="14" t="n">
        <f aca="false">IF($L36=2012,1,0)</f>
        <v>0</v>
      </c>
      <c r="T36" s="14" t="n">
        <f aca="false">IF($L36=2013,1,0)</f>
        <v>0</v>
      </c>
      <c r="U36" s="14" t="n">
        <f aca="false">IF($L36=2014,1,0)</f>
        <v>0</v>
      </c>
      <c r="V36" s="14" t="n">
        <f aca="false">IF($L36=2015,1,0)</f>
        <v>0</v>
      </c>
      <c r="W36" s="14" t="n">
        <f aca="false">IF($L36=2016,1,0)</f>
        <v>1</v>
      </c>
      <c r="X36" s="14" t="n">
        <f aca="false">IF($L36=2017,1,0)</f>
        <v>0</v>
      </c>
      <c r="Y36" s="14" t="n">
        <f aca="false">IF($H36="Beginner Level",1,0)</f>
        <v>1</v>
      </c>
      <c r="Z36" s="14" t="n">
        <f aca="false">IF($H36="Expert Level",1,0)</f>
        <v>0</v>
      </c>
      <c r="AA36" s="14" t="n">
        <f aca="false">IF($H36="Intermediate Level",1,0)</f>
        <v>0</v>
      </c>
      <c r="AC36" s="14" t="n">
        <f aca="false">N36</f>
        <v>5.27305083930015</v>
      </c>
      <c r="AD36" s="14" t="n">
        <f aca="false">G36</f>
        <v>67</v>
      </c>
      <c r="AE36" s="14" t="n">
        <f aca="false">J36</f>
        <v>10</v>
      </c>
      <c r="AF36" s="14" t="n">
        <f aca="false">IF($L36=2012,1,0)</f>
        <v>0</v>
      </c>
      <c r="AG36" s="14" t="n">
        <f aca="false">IF($L36=2013,1,0)</f>
        <v>0</v>
      </c>
      <c r="AH36" s="14" t="n">
        <f aca="false">IF($L36=2014,1,0)</f>
        <v>0</v>
      </c>
      <c r="AI36" s="14" t="n">
        <f aca="false">IF($L36=2015,1,0)</f>
        <v>0</v>
      </c>
      <c r="AJ36" s="14" t="n">
        <f aca="false">IF($L36=2016,1,0)</f>
        <v>1</v>
      </c>
      <c r="AK36" s="14" t="n">
        <f aca="false">IF($L36=2017,1,0)</f>
        <v>0</v>
      </c>
      <c r="AL36" s="14" t="n">
        <f aca="false">IF($H36="Beginner Level",1,0)</f>
        <v>1</v>
      </c>
      <c r="AM36" s="14" t="n">
        <f aca="false">IF($H36="Expert Level",1,0)</f>
        <v>0</v>
      </c>
      <c r="AN36" s="14" t="n">
        <f aca="false">IF($H36="Intermediate Level",1,0)</f>
        <v>0</v>
      </c>
    </row>
    <row r="37" customFormat="false" ht="46.25" hidden="false" customHeight="false" outlineLevel="0" collapsed="false">
      <c r="A37" s="14" t="n">
        <v>294794</v>
      </c>
      <c r="B37" s="14" t="s">
        <v>126</v>
      </c>
      <c r="C37" s="14" t="s">
        <v>127</v>
      </c>
      <c r="D37" s="14" t="n">
        <v>0</v>
      </c>
      <c r="E37" s="14" t="n">
        <v>32260</v>
      </c>
      <c r="F37" s="14" t="n">
        <v>1005</v>
      </c>
      <c r="G37" s="14" t="n">
        <v>12</v>
      </c>
      <c r="H37" s="14" t="s">
        <v>62</v>
      </c>
      <c r="I37" s="14" t="n">
        <v>0.94</v>
      </c>
      <c r="J37" s="14" t="n">
        <v>1.5</v>
      </c>
      <c r="K37" s="14" t="s">
        <v>53</v>
      </c>
      <c r="L37" s="14" t="n">
        <v>2014</v>
      </c>
      <c r="M37" s="14" t="n">
        <v>10.3815833516792</v>
      </c>
      <c r="N37" s="14" t="n">
        <v>-4.60517018598809</v>
      </c>
      <c r="P37" s="14" t="n">
        <f aca="false">D37</f>
        <v>0</v>
      </c>
      <c r="Q37" s="14" t="n">
        <f aca="false">G37</f>
        <v>12</v>
      </c>
      <c r="R37" s="14" t="n">
        <f aca="false">J37</f>
        <v>1.5</v>
      </c>
      <c r="S37" s="14" t="n">
        <f aca="false">IF($L37=2012,1,0)</f>
        <v>0</v>
      </c>
      <c r="T37" s="14" t="n">
        <f aca="false">IF($L37=2013,1,0)</f>
        <v>0</v>
      </c>
      <c r="U37" s="14" t="n">
        <f aca="false">IF($L37=2014,1,0)</f>
        <v>1</v>
      </c>
      <c r="V37" s="14" t="n">
        <f aca="false">IF($L37=2015,1,0)</f>
        <v>0</v>
      </c>
      <c r="W37" s="14" t="n">
        <f aca="false">IF($L37=2016,1,0)</f>
        <v>0</v>
      </c>
      <c r="X37" s="14" t="n">
        <f aca="false">IF($L37=2017,1,0)</f>
        <v>0</v>
      </c>
      <c r="Y37" s="14" t="n">
        <f aca="false">IF($H37="Beginner Level",1,0)</f>
        <v>0</v>
      </c>
      <c r="Z37" s="14" t="n">
        <f aca="false">IF($H37="Expert Level",1,0)</f>
        <v>0</v>
      </c>
      <c r="AA37" s="14" t="n">
        <f aca="false">IF($H37="Intermediate Level",1,0)</f>
        <v>0</v>
      </c>
      <c r="AC37" s="14" t="n">
        <f aca="false">N37</f>
        <v>-4.60517018598809</v>
      </c>
      <c r="AD37" s="14" t="n">
        <f aca="false">G37</f>
        <v>12</v>
      </c>
      <c r="AE37" s="14" t="n">
        <f aca="false">J37</f>
        <v>1.5</v>
      </c>
      <c r="AF37" s="14" t="n">
        <f aca="false">IF($L37=2012,1,0)</f>
        <v>0</v>
      </c>
      <c r="AG37" s="14" t="n">
        <f aca="false">IF($L37=2013,1,0)</f>
        <v>0</v>
      </c>
      <c r="AH37" s="14" t="n">
        <f aca="false">IF($L37=2014,1,0)</f>
        <v>1</v>
      </c>
      <c r="AI37" s="14" t="n">
        <f aca="false">IF($L37=2015,1,0)</f>
        <v>0</v>
      </c>
      <c r="AJ37" s="14" t="n">
        <f aca="false">IF($L37=2016,1,0)</f>
        <v>0</v>
      </c>
      <c r="AK37" s="14" t="n">
        <f aca="false">IF($L37=2017,1,0)</f>
        <v>0</v>
      </c>
      <c r="AL37" s="14" t="n">
        <f aca="false">IF($H37="Beginner Level",1,0)</f>
        <v>0</v>
      </c>
      <c r="AM37" s="14" t="n">
        <f aca="false">IF($H37="Expert Level",1,0)</f>
        <v>0</v>
      </c>
      <c r="AN37" s="14" t="n">
        <f aca="false">IF($H37="Intermediate Level",1,0)</f>
        <v>0</v>
      </c>
    </row>
    <row r="38" customFormat="false" ht="68.65" hidden="false" customHeight="false" outlineLevel="0" collapsed="false">
      <c r="A38" s="14" t="n">
        <v>695656</v>
      </c>
      <c r="B38" s="14" t="s">
        <v>128</v>
      </c>
      <c r="C38" s="14" t="s">
        <v>129</v>
      </c>
      <c r="D38" s="14" t="n">
        <v>195</v>
      </c>
      <c r="E38" s="14" t="n">
        <v>31499</v>
      </c>
      <c r="F38" s="14" t="n">
        <v>450</v>
      </c>
      <c r="G38" s="14" t="n">
        <v>46</v>
      </c>
      <c r="H38" s="14" t="s">
        <v>52</v>
      </c>
      <c r="I38" s="14" t="n">
        <v>0.76</v>
      </c>
      <c r="J38" s="14" t="n">
        <v>4</v>
      </c>
      <c r="K38" s="14" t="s">
        <v>59</v>
      </c>
      <c r="L38" s="14" t="n">
        <v>2015</v>
      </c>
      <c r="M38" s="14" t="n">
        <v>10.3577110782781</v>
      </c>
      <c r="N38" s="14" t="n">
        <v>5.27305083930015</v>
      </c>
      <c r="P38" s="14" t="n">
        <f aca="false">D38</f>
        <v>195</v>
      </c>
      <c r="Q38" s="14" t="n">
        <f aca="false">G38</f>
        <v>46</v>
      </c>
      <c r="R38" s="14" t="n">
        <f aca="false">J38</f>
        <v>4</v>
      </c>
      <c r="S38" s="14" t="n">
        <f aca="false">IF($L38=2012,1,0)</f>
        <v>0</v>
      </c>
      <c r="T38" s="14" t="n">
        <f aca="false">IF($L38=2013,1,0)</f>
        <v>0</v>
      </c>
      <c r="U38" s="14" t="n">
        <f aca="false">IF($L38=2014,1,0)</f>
        <v>0</v>
      </c>
      <c r="V38" s="14" t="n">
        <f aca="false">IF($L38=2015,1,0)</f>
        <v>1</v>
      </c>
      <c r="W38" s="14" t="n">
        <f aca="false">IF($L38=2016,1,0)</f>
        <v>0</v>
      </c>
      <c r="X38" s="14" t="n">
        <f aca="false">IF($L38=2017,1,0)</f>
        <v>0</v>
      </c>
      <c r="Y38" s="14" t="n">
        <f aca="false">IF($H38="Beginner Level",1,0)</f>
        <v>1</v>
      </c>
      <c r="Z38" s="14" t="n">
        <f aca="false">IF($H38="Expert Level",1,0)</f>
        <v>0</v>
      </c>
      <c r="AA38" s="14" t="n">
        <f aca="false">IF($H38="Intermediate Level",1,0)</f>
        <v>0</v>
      </c>
      <c r="AC38" s="14" t="n">
        <f aca="false">N38</f>
        <v>5.27305083930015</v>
      </c>
      <c r="AD38" s="14" t="n">
        <f aca="false">G38</f>
        <v>46</v>
      </c>
      <c r="AE38" s="14" t="n">
        <f aca="false">J38</f>
        <v>4</v>
      </c>
      <c r="AF38" s="14" t="n">
        <f aca="false">IF($L38=2012,1,0)</f>
        <v>0</v>
      </c>
      <c r="AG38" s="14" t="n">
        <f aca="false">IF($L38=2013,1,0)</f>
        <v>0</v>
      </c>
      <c r="AH38" s="14" t="n">
        <f aca="false">IF($L38=2014,1,0)</f>
        <v>0</v>
      </c>
      <c r="AI38" s="14" t="n">
        <f aca="false">IF($L38=2015,1,0)</f>
        <v>1</v>
      </c>
      <c r="AJ38" s="14" t="n">
        <f aca="false">IF($L38=2016,1,0)</f>
        <v>0</v>
      </c>
      <c r="AK38" s="14" t="n">
        <f aca="false">IF($L38=2017,1,0)</f>
        <v>0</v>
      </c>
      <c r="AL38" s="14" t="n">
        <f aca="false">IF($H38="Beginner Level",1,0)</f>
        <v>1</v>
      </c>
      <c r="AM38" s="14" t="n">
        <f aca="false">IF($H38="Expert Level",1,0)</f>
        <v>0</v>
      </c>
      <c r="AN38" s="14" t="n">
        <f aca="false">IF($H38="Intermediate Level",1,0)</f>
        <v>0</v>
      </c>
    </row>
    <row r="39" customFormat="false" ht="57.45" hidden="false" customHeight="false" outlineLevel="0" collapsed="false">
      <c r="A39" s="14" t="n">
        <v>19332</v>
      </c>
      <c r="B39" s="14" t="s">
        <v>130</v>
      </c>
      <c r="C39" s="14" t="s">
        <v>131</v>
      </c>
      <c r="D39" s="14" t="n">
        <v>20</v>
      </c>
      <c r="E39" s="14" t="n">
        <v>31070</v>
      </c>
      <c r="F39" s="14" t="n">
        <v>742</v>
      </c>
      <c r="G39" s="14" t="n">
        <v>195</v>
      </c>
      <c r="H39" s="14" t="s">
        <v>52</v>
      </c>
      <c r="I39" s="14" t="n">
        <v>0.07</v>
      </c>
      <c r="J39" s="14" t="n">
        <v>18</v>
      </c>
      <c r="K39" s="14" t="s">
        <v>59</v>
      </c>
      <c r="L39" s="14" t="n">
        <v>2012</v>
      </c>
      <c r="M39" s="14" t="n">
        <v>10.3439980023871</v>
      </c>
      <c r="N39" s="14" t="n">
        <v>2.99623214859564</v>
      </c>
      <c r="P39" s="14" t="n">
        <f aca="false">D39</f>
        <v>20</v>
      </c>
      <c r="Q39" s="14" t="n">
        <f aca="false">G39</f>
        <v>195</v>
      </c>
      <c r="R39" s="14" t="n">
        <f aca="false">J39</f>
        <v>18</v>
      </c>
      <c r="S39" s="14" t="n">
        <f aca="false">IF($L39=2012,1,0)</f>
        <v>1</v>
      </c>
      <c r="T39" s="14" t="n">
        <f aca="false">IF($L39=2013,1,0)</f>
        <v>0</v>
      </c>
      <c r="U39" s="14" t="n">
        <f aca="false">IF($L39=2014,1,0)</f>
        <v>0</v>
      </c>
      <c r="V39" s="14" t="n">
        <f aca="false">IF($L39=2015,1,0)</f>
        <v>0</v>
      </c>
      <c r="W39" s="14" t="n">
        <f aca="false">IF($L39=2016,1,0)</f>
        <v>0</v>
      </c>
      <c r="X39" s="14" t="n">
        <f aca="false">IF($L39=2017,1,0)</f>
        <v>0</v>
      </c>
      <c r="Y39" s="14" t="n">
        <f aca="false">IF($H39="Beginner Level",1,0)</f>
        <v>1</v>
      </c>
      <c r="Z39" s="14" t="n">
        <f aca="false">IF($H39="Expert Level",1,0)</f>
        <v>0</v>
      </c>
      <c r="AA39" s="14" t="n">
        <f aca="false">IF($H39="Intermediate Level",1,0)</f>
        <v>0</v>
      </c>
      <c r="AC39" s="14" t="n">
        <f aca="false">N39</f>
        <v>2.99623214859564</v>
      </c>
      <c r="AD39" s="14" t="n">
        <f aca="false">G39</f>
        <v>195</v>
      </c>
      <c r="AE39" s="14" t="n">
        <f aca="false">J39</f>
        <v>18</v>
      </c>
      <c r="AF39" s="14" t="n">
        <f aca="false">IF($L39=2012,1,0)</f>
        <v>1</v>
      </c>
      <c r="AG39" s="14" t="n">
        <f aca="false">IF($L39=2013,1,0)</f>
        <v>0</v>
      </c>
      <c r="AH39" s="14" t="n">
        <f aca="false">IF($L39=2014,1,0)</f>
        <v>0</v>
      </c>
      <c r="AI39" s="14" t="n">
        <f aca="false">IF($L39=2015,1,0)</f>
        <v>0</v>
      </c>
      <c r="AJ39" s="14" t="n">
        <f aca="false">IF($L39=2016,1,0)</f>
        <v>0</v>
      </c>
      <c r="AK39" s="14" t="n">
        <f aca="false">IF($L39=2017,1,0)</f>
        <v>0</v>
      </c>
      <c r="AL39" s="14" t="n">
        <f aca="false">IF($H39="Beginner Level",1,0)</f>
        <v>1</v>
      </c>
      <c r="AM39" s="14" t="n">
        <f aca="false">IF($H39="Expert Level",1,0)</f>
        <v>0</v>
      </c>
      <c r="AN39" s="14" t="n">
        <f aca="false">IF($H39="Intermediate Level",1,0)</f>
        <v>0</v>
      </c>
    </row>
    <row r="40" customFormat="false" ht="57.45" hidden="false" customHeight="false" outlineLevel="0" collapsed="false">
      <c r="A40" s="14" t="n">
        <v>511934</v>
      </c>
      <c r="B40" s="14" t="s">
        <v>132</v>
      </c>
      <c r="C40" s="14" t="s">
        <v>133</v>
      </c>
      <c r="D40" s="14" t="n">
        <v>0</v>
      </c>
      <c r="E40" s="14" t="n">
        <v>30531</v>
      </c>
      <c r="F40" s="14" t="n">
        <v>1948</v>
      </c>
      <c r="G40" s="14" t="n">
        <v>53</v>
      </c>
      <c r="H40" s="14" t="s">
        <v>62</v>
      </c>
      <c r="I40" s="14" t="n">
        <v>0.78</v>
      </c>
      <c r="J40" s="14" t="n">
        <v>3</v>
      </c>
      <c r="K40" s="14" t="s">
        <v>53</v>
      </c>
      <c r="L40" s="14" t="n">
        <v>2015</v>
      </c>
      <c r="M40" s="14" t="n">
        <v>10.32649783986</v>
      </c>
      <c r="N40" s="14" t="n">
        <v>-4.60517018598809</v>
      </c>
      <c r="P40" s="14" t="n">
        <f aca="false">D40</f>
        <v>0</v>
      </c>
      <c r="Q40" s="14" t="n">
        <f aca="false">G40</f>
        <v>53</v>
      </c>
      <c r="R40" s="14" t="n">
        <f aca="false">J40</f>
        <v>3</v>
      </c>
      <c r="S40" s="14" t="n">
        <f aca="false">IF($L40=2012,1,0)</f>
        <v>0</v>
      </c>
      <c r="T40" s="14" t="n">
        <f aca="false">IF($L40=2013,1,0)</f>
        <v>0</v>
      </c>
      <c r="U40" s="14" t="n">
        <f aca="false">IF($L40=2014,1,0)</f>
        <v>0</v>
      </c>
      <c r="V40" s="14" t="n">
        <f aca="false">IF($L40=2015,1,0)</f>
        <v>1</v>
      </c>
      <c r="W40" s="14" t="n">
        <f aca="false">IF($L40=2016,1,0)</f>
        <v>0</v>
      </c>
      <c r="X40" s="14" t="n">
        <f aca="false">IF($L40=2017,1,0)</f>
        <v>0</v>
      </c>
      <c r="Y40" s="14" t="n">
        <f aca="false">IF($H40="Beginner Level",1,0)</f>
        <v>0</v>
      </c>
      <c r="Z40" s="14" t="n">
        <f aca="false">IF($H40="Expert Level",1,0)</f>
        <v>0</v>
      </c>
      <c r="AA40" s="14" t="n">
        <f aca="false">IF($H40="Intermediate Level",1,0)</f>
        <v>0</v>
      </c>
      <c r="AC40" s="14" t="n">
        <f aca="false">N40</f>
        <v>-4.60517018598809</v>
      </c>
      <c r="AD40" s="14" t="n">
        <f aca="false">G40</f>
        <v>53</v>
      </c>
      <c r="AE40" s="14" t="n">
        <f aca="false">J40</f>
        <v>3</v>
      </c>
      <c r="AF40" s="14" t="n">
        <f aca="false">IF($L40=2012,1,0)</f>
        <v>0</v>
      </c>
      <c r="AG40" s="14" t="n">
        <f aca="false">IF($L40=2013,1,0)</f>
        <v>0</v>
      </c>
      <c r="AH40" s="14" t="n">
        <f aca="false">IF($L40=2014,1,0)</f>
        <v>0</v>
      </c>
      <c r="AI40" s="14" t="n">
        <f aca="false">IF($L40=2015,1,0)</f>
        <v>1</v>
      </c>
      <c r="AJ40" s="14" t="n">
        <f aca="false">IF($L40=2016,1,0)</f>
        <v>0</v>
      </c>
      <c r="AK40" s="14" t="n">
        <f aca="false">IF($L40=2017,1,0)</f>
        <v>0</v>
      </c>
      <c r="AL40" s="14" t="n">
        <f aca="false">IF($H40="Beginner Level",1,0)</f>
        <v>0</v>
      </c>
      <c r="AM40" s="14" t="n">
        <f aca="false">IF($H40="Expert Level",1,0)</f>
        <v>0</v>
      </c>
      <c r="AN40" s="14" t="n">
        <f aca="false">IF($H40="Intermediate Level",1,0)</f>
        <v>0</v>
      </c>
    </row>
    <row r="41" customFormat="false" ht="57.45" hidden="false" customHeight="false" outlineLevel="0" collapsed="false">
      <c r="A41" s="14" t="n">
        <v>267560</v>
      </c>
      <c r="B41" s="14" t="s">
        <v>134</v>
      </c>
      <c r="C41" s="14" t="s">
        <v>135</v>
      </c>
      <c r="D41" s="14" t="n">
        <v>0</v>
      </c>
      <c r="E41" s="14" t="n">
        <v>29990</v>
      </c>
      <c r="F41" s="14" t="n">
        <v>1342</v>
      </c>
      <c r="G41" s="14" t="n">
        <v>87</v>
      </c>
      <c r="H41" s="14" t="s">
        <v>52</v>
      </c>
      <c r="I41" s="14" t="n">
        <v>0.95</v>
      </c>
      <c r="J41" s="14" t="n">
        <v>17.5</v>
      </c>
      <c r="K41" s="14" t="s">
        <v>53</v>
      </c>
      <c r="L41" s="14" t="n">
        <v>2014</v>
      </c>
      <c r="M41" s="14" t="n">
        <v>10.3086192717431</v>
      </c>
      <c r="N41" s="14" t="n">
        <v>-4.60517018598809</v>
      </c>
      <c r="P41" s="14" t="n">
        <f aca="false">D41</f>
        <v>0</v>
      </c>
      <c r="Q41" s="14" t="n">
        <f aca="false">G41</f>
        <v>87</v>
      </c>
      <c r="R41" s="14" t="n">
        <f aca="false">J41</f>
        <v>17.5</v>
      </c>
      <c r="S41" s="14" t="n">
        <f aca="false">IF($L41=2012,1,0)</f>
        <v>0</v>
      </c>
      <c r="T41" s="14" t="n">
        <f aca="false">IF($L41=2013,1,0)</f>
        <v>0</v>
      </c>
      <c r="U41" s="14" t="n">
        <f aca="false">IF($L41=2014,1,0)</f>
        <v>1</v>
      </c>
      <c r="V41" s="14" t="n">
        <f aca="false">IF($L41=2015,1,0)</f>
        <v>0</v>
      </c>
      <c r="W41" s="14" t="n">
        <f aca="false">IF($L41=2016,1,0)</f>
        <v>0</v>
      </c>
      <c r="X41" s="14" t="n">
        <f aca="false">IF($L41=2017,1,0)</f>
        <v>0</v>
      </c>
      <c r="Y41" s="14" t="n">
        <f aca="false">IF($H41="Beginner Level",1,0)</f>
        <v>1</v>
      </c>
      <c r="Z41" s="14" t="n">
        <f aca="false">IF($H41="Expert Level",1,0)</f>
        <v>0</v>
      </c>
      <c r="AA41" s="14" t="n">
        <f aca="false">IF($H41="Intermediate Level",1,0)</f>
        <v>0</v>
      </c>
      <c r="AC41" s="14" t="n">
        <f aca="false">N41</f>
        <v>-4.60517018598809</v>
      </c>
      <c r="AD41" s="14" t="n">
        <f aca="false">G41</f>
        <v>87</v>
      </c>
      <c r="AE41" s="14" t="n">
        <f aca="false">J41</f>
        <v>17.5</v>
      </c>
      <c r="AF41" s="14" t="n">
        <f aca="false">IF($L41=2012,1,0)</f>
        <v>0</v>
      </c>
      <c r="AG41" s="14" t="n">
        <f aca="false">IF($L41=2013,1,0)</f>
        <v>0</v>
      </c>
      <c r="AH41" s="14" t="n">
        <f aca="false">IF($L41=2014,1,0)</f>
        <v>1</v>
      </c>
      <c r="AI41" s="14" t="n">
        <f aca="false">IF($L41=2015,1,0)</f>
        <v>0</v>
      </c>
      <c r="AJ41" s="14" t="n">
        <f aca="false">IF($L41=2016,1,0)</f>
        <v>0</v>
      </c>
      <c r="AK41" s="14" t="n">
        <f aca="false">IF($L41=2017,1,0)</f>
        <v>0</v>
      </c>
      <c r="AL41" s="14" t="n">
        <f aca="false">IF($H41="Beginner Level",1,0)</f>
        <v>1</v>
      </c>
      <c r="AM41" s="14" t="n">
        <f aca="false">IF($H41="Expert Level",1,0)</f>
        <v>0</v>
      </c>
      <c r="AN41" s="14" t="n">
        <f aca="false">IF($H41="Intermediate Level",1,0)</f>
        <v>0</v>
      </c>
    </row>
    <row r="42" customFormat="false" ht="46.25" hidden="false" customHeight="false" outlineLevel="0" collapsed="false">
      <c r="A42" s="14" t="n">
        <v>866460</v>
      </c>
      <c r="B42" s="14" t="s">
        <v>136</v>
      </c>
      <c r="C42" s="14" t="s">
        <v>137</v>
      </c>
      <c r="D42" s="14" t="n">
        <v>195</v>
      </c>
      <c r="E42" s="14" t="n">
        <v>29348</v>
      </c>
      <c r="F42" s="14" t="n">
        <v>780</v>
      </c>
      <c r="G42" s="14" t="n">
        <v>66</v>
      </c>
      <c r="H42" s="14" t="s">
        <v>52</v>
      </c>
      <c r="I42" s="14" t="n">
        <v>0.31</v>
      </c>
      <c r="J42" s="14" t="n">
        <v>3</v>
      </c>
      <c r="K42" s="14" t="s">
        <v>59</v>
      </c>
      <c r="L42" s="14" t="n">
        <v>2016</v>
      </c>
      <c r="M42" s="14" t="n">
        <v>10.2869796798339</v>
      </c>
      <c r="N42" s="14" t="n">
        <v>5.27305083930015</v>
      </c>
      <c r="P42" s="14" t="n">
        <f aca="false">D42</f>
        <v>195</v>
      </c>
      <c r="Q42" s="14" t="n">
        <f aca="false">G42</f>
        <v>66</v>
      </c>
      <c r="R42" s="14" t="n">
        <f aca="false">J42</f>
        <v>3</v>
      </c>
      <c r="S42" s="14" t="n">
        <f aca="false">IF($L42=2012,1,0)</f>
        <v>0</v>
      </c>
      <c r="T42" s="14" t="n">
        <f aca="false">IF($L42=2013,1,0)</f>
        <v>0</v>
      </c>
      <c r="U42" s="14" t="n">
        <f aca="false">IF($L42=2014,1,0)</f>
        <v>0</v>
      </c>
      <c r="V42" s="14" t="n">
        <f aca="false">IF($L42=2015,1,0)</f>
        <v>0</v>
      </c>
      <c r="W42" s="14" t="n">
        <f aca="false">IF($L42=2016,1,0)</f>
        <v>1</v>
      </c>
      <c r="X42" s="14" t="n">
        <f aca="false">IF($L42=2017,1,0)</f>
        <v>0</v>
      </c>
      <c r="Y42" s="14" t="n">
        <f aca="false">IF($H42="Beginner Level",1,0)</f>
        <v>1</v>
      </c>
      <c r="Z42" s="14" t="n">
        <f aca="false">IF($H42="Expert Level",1,0)</f>
        <v>0</v>
      </c>
      <c r="AA42" s="14" t="n">
        <f aca="false">IF($H42="Intermediate Level",1,0)</f>
        <v>0</v>
      </c>
      <c r="AC42" s="14" t="n">
        <f aca="false">N42</f>
        <v>5.27305083930015</v>
      </c>
      <c r="AD42" s="14" t="n">
        <f aca="false">G42</f>
        <v>66</v>
      </c>
      <c r="AE42" s="14" t="n">
        <f aca="false">J42</f>
        <v>3</v>
      </c>
      <c r="AF42" s="14" t="n">
        <f aca="false">IF($L42=2012,1,0)</f>
        <v>0</v>
      </c>
      <c r="AG42" s="14" t="n">
        <f aca="false">IF($L42=2013,1,0)</f>
        <v>0</v>
      </c>
      <c r="AH42" s="14" t="n">
        <f aca="false">IF($L42=2014,1,0)</f>
        <v>0</v>
      </c>
      <c r="AI42" s="14" t="n">
        <f aca="false">IF($L42=2015,1,0)</f>
        <v>0</v>
      </c>
      <c r="AJ42" s="14" t="n">
        <f aca="false">IF($L42=2016,1,0)</f>
        <v>1</v>
      </c>
      <c r="AK42" s="14" t="n">
        <f aca="false">IF($L42=2017,1,0)</f>
        <v>0</v>
      </c>
      <c r="AL42" s="14" t="n">
        <f aca="false">IF($H42="Beginner Level",1,0)</f>
        <v>1</v>
      </c>
      <c r="AM42" s="14" t="n">
        <f aca="false">IF($H42="Expert Level",1,0)</f>
        <v>0</v>
      </c>
      <c r="AN42" s="14" t="n">
        <f aca="false">IF($H42="Intermediate Level",1,0)</f>
        <v>0</v>
      </c>
    </row>
    <row r="43" customFormat="false" ht="79.85" hidden="false" customHeight="false" outlineLevel="0" collapsed="false">
      <c r="A43" s="14" t="n">
        <v>405282</v>
      </c>
      <c r="B43" s="14" t="s">
        <v>138</v>
      </c>
      <c r="C43" s="14" t="s">
        <v>139</v>
      </c>
      <c r="D43" s="14" t="n">
        <v>200</v>
      </c>
      <c r="E43" s="14" t="n">
        <v>28880</v>
      </c>
      <c r="F43" s="14" t="n">
        <v>4316</v>
      </c>
      <c r="G43" s="14" t="n">
        <v>286</v>
      </c>
      <c r="H43" s="14" t="s">
        <v>52</v>
      </c>
      <c r="I43" s="14" t="n">
        <v>0.4</v>
      </c>
      <c r="J43" s="14" t="n">
        <v>30.5</v>
      </c>
      <c r="K43" s="14" t="s">
        <v>59</v>
      </c>
      <c r="L43" s="14" t="n">
        <v>2015</v>
      </c>
      <c r="M43" s="14" t="n">
        <v>10.2709045930068</v>
      </c>
      <c r="N43" s="14" t="n">
        <v>5.29836736529808</v>
      </c>
      <c r="P43" s="14" t="n">
        <f aca="false">D43</f>
        <v>200</v>
      </c>
      <c r="Q43" s="14" t="n">
        <f aca="false">G43</f>
        <v>286</v>
      </c>
      <c r="R43" s="14" t="n">
        <f aca="false">J43</f>
        <v>30.5</v>
      </c>
      <c r="S43" s="14" t="n">
        <f aca="false">IF($L43=2012,1,0)</f>
        <v>0</v>
      </c>
      <c r="T43" s="14" t="n">
        <f aca="false">IF($L43=2013,1,0)</f>
        <v>0</v>
      </c>
      <c r="U43" s="14" t="n">
        <f aca="false">IF($L43=2014,1,0)</f>
        <v>0</v>
      </c>
      <c r="V43" s="14" t="n">
        <f aca="false">IF($L43=2015,1,0)</f>
        <v>1</v>
      </c>
      <c r="W43" s="14" t="n">
        <f aca="false">IF($L43=2016,1,0)</f>
        <v>0</v>
      </c>
      <c r="X43" s="14" t="n">
        <f aca="false">IF($L43=2017,1,0)</f>
        <v>0</v>
      </c>
      <c r="Y43" s="14" t="n">
        <f aca="false">IF($H43="Beginner Level",1,0)</f>
        <v>1</v>
      </c>
      <c r="Z43" s="14" t="n">
        <f aca="false">IF($H43="Expert Level",1,0)</f>
        <v>0</v>
      </c>
      <c r="AA43" s="14" t="n">
        <f aca="false">IF($H43="Intermediate Level",1,0)</f>
        <v>0</v>
      </c>
      <c r="AC43" s="14" t="n">
        <f aca="false">N43</f>
        <v>5.29836736529808</v>
      </c>
      <c r="AD43" s="14" t="n">
        <f aca="false">G43</f>
        <v>286</v>
      </c>
      <c r="AE43" s="14" t="n">
        <f aca="false">J43</f>
        <v>30.5</v>
      </c>
      <c r="AF43" s="14" t="n">
        <f aca="false">IF($L43=2012,1,0)</f>
        <v>0</v>
      </c>
      <c r="AG43" s="14" t="n">
        <f aca="false">IF($L43=2013,1,0)</f>
        <v>0</v>
      </c>
      <c r="AH43" s="14" t="n">
        <f aca="false">IF($L43=2014,1,0)</f>
        <v>0</v>
      </c>
      <c r="AI43" s="14" t="n">
        <f aca="false">IF($L43=2015,1,0)</f>
        <v>1</v>
      </c>
      <c r="AJ43" s="14" t="n">
        <f aca="false">IF($L43=2016,1,0)</f>
        <v>0</v>
      </c>
      <c r="AK43" s="14" t="n">
        <f aca="false">IF($L43=2017,1,0)</f>
        <v>0</v>
      </c>
      <c r="AL43" s="14" t="n">
        <f aca="false">IF($H43="Beginner Level",1,0)</f>
        <v>1</v>
      </c>
      <c r="AM43" s="14" t="n">
        <f aca="false">IF($H43="Expert Level",1,0)</f>
        <v>0</v>
      </c>
      <c r="AN43" s="14" t="n">
        <f aca="false">IF($H43="Intermediate Level",1,0)</f>
        <v>0</v>
      </c>
    </row>
    <row r="44" customFormat="false" ht="68.65" hidden="false" customHeight="false" outlineLevel="0" collapsed="false">
      <c r="A44" s="14" t="n">
        <v>1025026</v>
      </c>
      <c r="B44" s="14" t="s">
        <v>140</v>
      </c>
      <c r="C44" s="14" t="s">
        <v>141</v>
      </c>
      <c r="D44" s="14" t="n">
        <v>195</v>
      </c>
      <c r="E44" s="14" t="n">
        <v>28694</v>
      </c>
      <c r="F44" s="14" t="n">
        <v>688</v>
      </c>
      <c r="G44" s="14" t="n">
        <v>77</v>
      </c>
      <c r="H44" s="14" t="s">
        <v>62</v>
      </c>
      <c r="I44" s="14" t="n">
        <v>0.05</v>
      </c>
      <c r="J44" s="14" t="n">
        <v>11.5</v>
      </c>
      <c r="K44" s="14" t="s">
        <v>59</v>
      </c>
      <c r="L44" s="14" t="n">
        <v>2016</v>
      </c>
      <c r="M44" s="14" t="n">
        <v>10.2644433206583</v>
      </c>
      <c r="N44" s="14" t="n">
        <v>5.27305083930015</v>
      </c>
      <c r="P44" s="14" t="n">
        <f aca="false">D44</f>
        <v>195</v>
      </c>
      <c r="Q44" s="14" t="n">
        <f aca="false">G44</f>
        <v>77</v>
      </c>
      <c r="R44" s="14" t="n">
        <f aca="false">J44</f>
        <v>11.5</v>
      </c>
      <c r="S44" s="14" t="n">
        <f aca="false">IF($L44=2012,1,0)</f>
        <v>0</v>
      </c>
      <c r="T44" s="14" t="n">
        <f aca="false">IF($L44=2013,1,0)</f>
        <v>0</v>
      </c>
      <c r="U44" s="14" t="n">
        <f aca="false">IF($L44=2014,1,0)</f>
        <v>0</v>
      </c>
      <c r="V44" s="14" t="n">
        <f aca="false">IF($L44=2015,1,0)</f>
        <v>0</v>
      </c>
      <c r="W44" s="14" t="n">
        <f aca="false">IF($L44=2016,1,0)</f>
        <v>1</v>
      </c>
      <c r="X44" s="14" t="n">
        <f aca="false">IF($L44=2017,1,0)</f>
        <v>0</v>
      </c>
      <c r="Y44" s="14" t="n">
        <f aca="false">IF($H44="Beginner Level",1,0)</f>
        <v>0</v>
      </c>
      <c r="Z44" s="14" t="n">
        <f aca="false">IF($H44="Expert Level",1,0)</f>
        <v>0</v>
      </c>
      <c r="AA44" s="14" t="n">
        <f aca="false">IF($H44="Intermediate Level",1,0)</f>
        <v>0</v>
      </c>
      <c r="AC44" s="14" t="n">
        <f aca="false">N44</f>
        <v>5.27305083930015</v>
      </c>
      <c r="AD44" s="14" t="n">
        <f aca="false">G44</f>
        <v>77</v>
      </c>
      <c r="AE44" s="14" t="n">
        <f aca="false">J44</f>
        <v>11.5</v>
      </c>
      <c r="AF44" s="14" t="n">
        <f aca="false">IF($L44=2012,1,0)</f>
        <v>0</v>
      </c>
      <c r="AG44" s="14" t="n">
        <f aca="false">IF($L44=2013,1,0)</f>
        <v>0</v>
      </c>
      <c r="AH44" s="14" t="n">
        <f aca="false">IF($L44=2014,1,0)</f>
        <v>0</v>
      </c>
      <c r="AI44" s="14" t="n">
        <f aca="false">IF($L44=2015,1,0)</f>
        <v>0</v>
      </c>
      <c r="AJ44" s="14" t="n">
        <f aca="false">IF($L44=2016,1,0)</f>
        <v>1</v>
      </c>
      <c r="AK44" s="14" t="n">
        <f aca="false">IF($L44=2017,1,0)</f>
        <v>0</v>
      </c>
      <c r="AL44" s="14" t="n">
        <f aca="false">IF($H44="Beginner Level",1,0)</f>
        <v>0</v>
      </c>
      <c r="AM44" s="14" t="n">
        <f aca="false">IF($H44="Expert Level",1,0)</f>
        <v>0</v>
      </c>
      <c r="AN44" s="14" t="n">
        <f aca="false">IF($H44="Intermediate Level",1,0)</f>
        <v>0</v>
      </c>
    </row>
    <row r="45" customFormat="false" ht="79.85" hidden="false" customHeight="false" outlineLevel="0" collapsed="false">
      <c r="A45" s="14" t="n">
        <v>607048</v>
      </c>
      <c r="B45" s="14" t="s">
        <v>142</v>
      </c>
      <c r="C45" s="14" t="s">
        <v>143</v>
      </c>
      <c r="D45" s="14" t="n">
        <v>80</v>
      </c>
      <c r="E45" s="14" t="n">
        <v>28125</v>
      </c>
      <c r="F45" s="14" t="n">
        <v>115</v>
      </c>
      <c r="G45" s="14" t="n">
        <v>21</v>
      </c>
      <c r="H45" s="14" t="s">
        <v>52</v>
      </c>
      <c r="I45" s="14" t="n">
        <v>0.38</v>
      </c>
      <c r="J45" s="14" t="n">
        <v>2</v>
      </c>
      <c r="K45" s="14" t="s">
        <v>59</v>
      </c>
      <c r="L45" s="14" t="n">
        <v>2015</v>
      </c>
      <c r="M45" s="14" t="n">
        <v>10.2444141395067</v>
      </c>
      <c r="N45" s="14" t="n">
        <v>4.38215162686203</v>
      </c>
      <c r="P45" s="14" t="n">
        <f aca="false">D45</f>
        <v>80</v>
      </c>
      <c r="Q45" s="14" t="n">
        <f aca="false">G45</f>
        <v>21</v>
      </c>
      <c r="R45" s="14" t="n">
        <f aca="false">J45</f>
        <v>2</v>
      </c>
      <c r="S45" s="14" t="n">
        <f aca="false">IF($L45=2012,1,0)</f>
        <v>0</v>
      </c>
      <c r="T45" s="14" t="n">
        <f aca="false">IF($L45=2013,1,0)</f>
        <v>0</v>
      </c>
      <c r="U45" s="14" t="n">
        <f aca="false">IF($L45=2014,1,0)</f>
        <v>0</v>
      </c>
      <c r="V45" s="14" t="n">
        <f aca="false">IF($L45=2015,1,0)</f>
        <v>1</v>
      </c>
      <c r="W45" s="14" t="n">
        <f aca="false">IF($L45=2016,1,0)</f>
        <v>0</v>
      </c>
      <c r="X45" s="14" t="n">
        <f aca="false">IF($L45=2017,1,0)</f>
        <v>0</v>
      </c>
      <c r="Y45" s="14" t="n">
        <f aca="false">IF($H45="Beginner Level",1,0)</f>
        <v>1</v>
      </c>
      <c r="Z45" s="14" t="n">
        <f aca="false">IF($H45="Expert Level",1,0)</f>
        <v>0</v>
      </c>
      <c r="AA45" s="14" t="n">
        <f aca="false">IF($H45="Intermediate Level",1,0)</f>
        <v>0</v>
      </c>
      <c r="AC45" s="14" t="n">
        <f aca="false">N45</f>
        <v>4.38215162686203</v>
      </c>
      <c r="AD45" s="14" t="n">
        <f aca="false">G45</f>
        <v>21</v>
      </c>
      <c r="AE45" s="14" t="n">
        <f aca="false">J45</f>
        <v>2</v>
      </c>
      <c r="AF45" s="14" t="n">
        <f aca="false">IF($L45=2012,1,0)</f>
        <v>0</v>
      </c>
      <c r="AG45" s="14" t="n">
        <f aca="false">IF($L45=2013,1,0)</f>
        <v>0</v>
      </c>
      <c r="AH45" s="14" t="n">
        <f aca="false">IF($L45=2014,1,0)</f>
        <v>0</v>
      </c>
      <c r="AI45" s="14" t="n">
        <f aca="false">IF($L45=2015,1,0)</f>
        <v>1</v>
      </c>
      <c r="AJ45" s="14" t="n">
        <f aca="false">IF($L45=2016,1,0)</f>
        <v>0</v>
      </c>
      <c r="AK45" s="14" t="n">
        <f aca="false">IF($L45=2017,1,0)</f>
        <v>0</v>
      </c>
      <c r="AL45" s="14" t="n">
        <f aca="false">IF($H45="Beginner Level",1,0)</f>
        <v>1</v>
      </c>
      <c r="AM45" s="14" t="n">
        <f aca="false">IF($H45="Expert Level",1,0)</f>
        <v>0</v>
      </c>
      <c r="AN45" s="14" t="n">
        <f aca="false">IF($H45="Intermediate Level",1,0)</f>
        <v>0</v>
      </c>
    </row>
    <row r="46" customFormat="false" ht="68.65" hidden="false" customHeight="false" outlineLevel="0" collapsed="false">
      <c r="A46" s="14" t="n">
        <v>851712</v>
      </c>
      <c r="B46" s="14" t="s">
        <v>144</v>
      </c>
      <c r="C46" s="14" t="s">
        <v>145</v>
      </c>
      <c r="D46" s="14" t="n">
        <v>195</v>
      </c>
      <c r="E46" s="14" t="n">
        <v>27801</v>
      </c>
      <c r="F46" s="14" t="n">
        <v>4340</v>
      </c>
      <c r="G46" s="14" t="n">
        <v>113</v>
      </c>
      <c r="H46" s="14" t="s">
        <v>52</v>
      </c>
      <c r="I46" s="14" t="n">
        <v>0.21</v>
      </c>
      <c r="J46" s="14" t="n">
        <v>17.5</v>
      </c>
      <c r="K46" s="14" t="s">
        <v>59</v>
      </c>
      <c r="L46" s="14" t="n">
        <v>2016</v>
      </c>
      <c r="M46" s="14" t="n">
        <v>10.2328272702548</v>
      </c>
      <c r="N46" s="14" t="n">
        <v>5.27305083930015</v>
      </c>
      <c r="P46" s="14" t="n">
        <f aca="false">D46</f>
        <v>195</v>
      </c>
      <c r="Q46" s="14" t="n">
        <f aca="false">G46</f>
        <v>113</v>
      </c>
      <c r="R46" s="14" t="n">
        <f aca="false">J46</f>
        <v>17.5</v>
      </c>
      <c r="S46" s="14" t="n">
        <f aca="false">IF($L46=2012,1,0)</f>
        <v>0</v>
      </c>
      <c r="T46" s="14" t="n">
        <f aca="false">IF($L46=2013,1,0)</f>
        <v>0</v>
      </c>
      <c r="U46" s="14" t="n">
        <f aca="false">IF($L46=2014,1,0)</f>
        <v>0</v>
      </c>
      <c r="V46" s="14" t="n">
        <f aca="false">IF($L46=2015,1,0)</f>
        <v>0</v>
      </c>
      <c r="W46" s="14" t="n">
        <f aca="false">IF($L46=2016,1,0)</f>
        <v>1</v>
      </c>
      <c r="X46" s="14" t="n">
        <f aca="false">IF($L46=2017,1,0)</f>
        <v>0</v>
      </c>
      <c r="Y46" s="14" t="n">
        <f aca="false">IF($H46="Beginner Level",1,0)</f>
        <v>1</v>
      </c>
      <c r="Z46" s="14" t="n">
        <f aca="false">IF($H46="Expert Level",1,0)</f>
        <v>0</v>
      </c>
      <c r="AA46" s="14" t="n">
        <f aca="false">IF($H46="Intermediate Level",1,0)</f>
        <v>0</v>
      </c>
      <c r="AC46" s="14" t="n">
        <f aca="false">N46</f>
        <v>5.27305083930015</v>
      </c>
      <c r="AD46" s="14" t="n">
        <f aca="false">G46</f>
        <v>113</v>
      </c>
      <c r="AE46" s="14" t="n">
        <f aca="false">J46</f>
        <v>17.5</v>
      </c>
      <c r="AF46" s="14" t="n">
        <f aca="false">IF($L46=2012,1,0)</f>
        <v>0</v>
      </c>
      <c r="AG46" s="14" t="n">
        <f aca="false">IF($L46=2013,1,0)</f>
        <v>0</v>
      </c>
      <c r="AH46" s="14" t="n">
        <f aca="false">IF($L46=2014,1,0)</f>
        <v>0</v>
      </c>
      <c r="AI46" s="14" t="n">
        <f aca="false">IF($L46=2015,1,0)</f>
        <v>0</v>
      </c>
      <c r="AJ46" s="14" t="n">
        <f aca="false">IF($L46=2016,1,0)</f>
        <v>1</v>
      </c>
      <c r="AK46" s="14" t="n">
        <f aca="false">IF($L46=2017,1,0)</f>
        <v>0</v>
      </c>
      <c r="AL46" s="14" t="n">
        <f aca="false">IF($H46="Beginner Level",1,0)</f>
        <v>1</v>
      </c>
      <c r="AM46" s="14" t="n">
        <f aca="false">IF($H46="Expert Level",1,0)</f>
        <v>0</v>
      </c>
      <c r="AN46" s="14" t="n">
        <f aca="false">IF($H46="Intermediate Level",1,0)</f>
        <v>0</v>
      </c>
    </row>
    <row r="47" customFormat="false" ht="57.45" hidden="false" customHeight="false" outlineLevel="0" collapsed="false">
      <c r="A47" s="14" t="n">
        <v>159070</v>
      </c>
      <c r="B47" s="14" t="s">
        <v>146</v>
      </c>
      <c r="C47" s="14" t="s">
        <v>147</v>
      </c>
      <c r="D47" s="14" t="n">
        <v>20</v>
      </c>
      <c r="E47" s="14" t="n">
        <v>26800</v>
      </c>
      <c r="F47" s="14" t="n">
        <v>333</v>
      </c>
      <c r="G47" s="14" t="n">
        <v>55</v>
      </c>
      <c r="H47" s="14" t="s">
        <v>62</v>
      </c>
      <c r="I47" s="14" t="n">
        <v>0.32</v>
      </c>
      <c r="J47" s="14" t="n">
        <v>3</v>
      </c>
      <c r="K47" s="14" t="s">
        <v>59</v>
      </c>
      <c r="L47" s="14" t="n">
        <v>2014</v>
      </c>
      <c r="M47" s="14" t="n">
        <v>10.196157166499</v>
      </c>
      <c r="N47" s="14" t="n">
        <v>2.99623214859564</v>
      </c>
      <c r="P47" s="14" t="n">
        <f aca="false">D47</f>
        <v>20</v>
      </c>
      <c r="Q47" s="14" t="n">
        <f aca="false">G47</f>
        <v>55</v>
      </c>
      <c r="R47" s="14" t="n">
        <f aca="false">J47</f>
        <v>3</v>
      </c>
      <c r="S47" s="14" t="n">
        <f aca="false">IF($L47=2012,1,0)</f>
        <v>0</v>
      </c>
      <c r="T47" s="14" t="n">
        <f aca="false">IF($L47=2013,1,0)</f>
        <v>0</v>
      </c>
      <c r="U47" s="14" t="n">
        <f aca="false">IF($L47=2014,1,0)</f>
        <v>1</v>
      </c>
      <c r="V47" s="14" t="n">
        <f aca="false">IF($L47=2015,1,0)</f>
        <v>0</v>
      </c>
      <c r="W47" s="14" t="n">
        <f aca="false">IF($L47=2016,1,0)</f>
        <v>0</v>
      </c>
      <c r="X47" s="14" t="n">
        <f aca="false">IF($L47=2017,1,0)</f>
        <v>0</v>
      </c>
      <c r="Y47" s="14" t="n">
        <f aca="false">IF($H47="Beginner Level",1,0)</f>
        <v>0</v>
      </c>
      <c r="Z47" s="14" t="n">
        <f aca="false">IF($H47="Expert Level",1,0)</f>
        <v>0</v>
      </c>
      <c r="AA47" s="14" t="n">
        <f aca="false">IF($H47="Intermediate Level",1,0)</f>
        <v>0</v>
      </c>
      <c r="AC47" s="14" t="n">
        <f aca="false">N47</f>
        <v>2.99623214859564</v>
      </c>
      <c r="AD47" s="14" t="n">
        <f aca="false">G47</f>
        <v>55</v>
      </c>
      <c r="AE47" s="14" t="n">
        <f aca="false">J47</f>
        <v>3</v>
      </c>
      <c r="AF47" s="14" t="n">
        <f aca="false">IF($L47=2012,1,0)</f>
        <v>0</v>
      </c>
      <c r="AG47" s="14" t="n">
        <f aca="false">IF($L47=2013,1,0)</f>
        <v>0</v>
      </c>
      <c r="AH47" s="14" t="n">
        <f aca="false">IF($L47=2014,1,0)</f>
        <v>1</v>
      </c>
      <c r="AI47" s="14" t="n">
        <f aca="false">IF($L47=2015,1,0)</f>
        <v>0</v>
      </c>
      <c r="AJ47" s="14" t="n">
        <f aca="false">IF($L47=2016,1,0)</f>
        <v>0</v>
      </c>
      <c r="AK47" s="14" t="n">
        <f aca="false">IF($L47=2017,1,0)</f>
        <v>0</v>
      </c>
      <c r="AL47" s="14" t="n">
        <f aca="false">IF($H47="Beginner Level",1,0)</f>
        <v>0</v>
      </c>
      <c r="AM47" s="14" t="n">
        <f aca="false">IF($H47="Expert Level",1,0)</f>
        <v>0</v>
      </c>
      <c r="AN47" s="14" t="n">
        <f aca="false">IF($H47="Intermediate Level",1,0)</f>
        <v>0</v>
      </c>
    </row>
    <row r="48" customFormat="false" ht="68.65" hidden="false" customHeight="false" outlineLevel="0" collapsed="false">
      <c r="A48" s="14" t="n">
        <v>470288</v>
      </c>
      <c r="B48" s="14" t="s">
        <v>148</v>
      </c>
      <c r="C48" s="14" t="s">
        <v>149</v>
      </c>
      <c r="D48" s="14" t="n">
        <v>0</v>
      </c>
      <c r="E48" s="14" t="n">
        <v>26697</v>
      </c>
      <c r="F48" s="14" t="n">
        <v>1097</v>
      </c>
      <c r="G48" s="14" t="n">
        <v>20</v>
      </c>
      <c r="H48" s="14" t="s">
        <v>52</v>
      </c>
      <c r="I48" s="14" t="n">
        <v>0.15</v>
      </c>
      <c r="J48" s="14" t="n">
        <v>1</v>
      </c>
      <c r="K48" s="14" t="s">
        <v>53</v>
      </c>
      <c r="L48" s="14" t="n">
        <v>2015</v>
      </c>
      <c r="M48" s="14" t="n">
        <v>10.192306478525</v>
      </c>
      <c r="N48" s="14" t="n">
        <v>-4.60517018598809</v>
      </c>
      <c r="P48" s="14" t="n">
        <f aca="false">D48</f>
        <v>0</v>
      </c>
      <c r="Q48" s="14" t="n">
        <f aca="false">G48</f>
        <v>20</v>
      </c>
      <c r="R48" s="14" t="n">
        <f aca="false">J48</f>
        <v>1</v>
      </c>
      <c r="S48" s="14" t="n">
        <f aca="false">IF($L48=2012,1,0)</f>
        <v>0</v>
      </c>
      <c r="T48" s="14" t="n">
        <f aca="false">IF($L48=2013,1,0)</f>
        <v>0</v>
      </c>
      <c r="U48" s="14" t="n">
        <f aca="false">IF($L48=2014,1,0)</f>
        <v>0</v>
      </c>
      <c r="V48" s="14" t="n">
        <f aca="false">IF($L48=2015,1,0)</f>
        <v>1</v>
      </c>
      <c r="W48" s="14" t="n">
        <f aca="false">IF($L48=2016,1,0)</f>
        <v>0</v>
      </c>
      <c r="X48" s="14" t="n">
        <f aca="false">IF($L48=2017,1,0)</f>
        <v>0</v>
      </c>
      <c r="Y48" s="14" t="n">
        <f aca="false">IF($H48="Beginner Level",1,0)</f>
        <v>1</v>
      </c>
      <c r="Z48" s="14" t="n">
        <f aca="false">IF($H48="Expert Level",1,0)</f>
        <v>0</v>
      </c>
      <c r="AA48" s="14" t="n">
        <f aca="false">IF($H48="Intermediate Level",1,0)</f>
        <v>0</v>
      </c>
      <c r="AC48" s="14" t="n">
        <f aca="false">N48</f>
        <v>-4.60517018598809</v>
      </c>
      <c r="AD48" s="14" t="n">
        <f aca="false">G48</f>
        <v>20</v>
      </c>
      <c r="AE48" s="14" t="n">
        <f aca="false">J48</f>
        <v>1</v>
      </c>
      <c r="AF48" s="14" t="n">
        <f aca="false">IF($L48=2012,1,0)</f>
        <v>0</v>
      </c>
      <c r="AG48" s="14" t="n">
        <f aca="false">IF($L48=2013,1,0)</f>
        <v>0</v>
      </c>
      <c r="AH48" s="14" t="n">
        <f aca="false">IF($L48=2014,1,0)</f>
        <v>0</v>
      </c>
      <c r="AI48" s="14" t="n">
        <f aca="false">IF($L48=2015,1,0)</f>
        <v>1</v>
      </c>
      <c r="AJ48" s="14" t="n">
        <f aca="false">IF($L48=2016,1,0)</f>
        <v>0</v>
      </c>
      <c r="AK48" s="14" t="n">
        <f aca="false">IF($L48=2017,1,0)</f>
        <v>0</v>
      </c>
      <c r="AL48" s="14" t="n">
        <f aca="false">IF($H48="Beginner Level",1,0)</f>
        <v>1</v>
      </c>
      <c r="AM48" s="14" t="n">
        <f aca="false">IF($H48="Expert Level",1,0)</f>
        <v>0</v>
      </c>
      <c r="AN48" s="14" t="n">
        <f aca="false">IF($H48="Intermediate Level",1,0)</f>
        <v>0</v>
      </c>
    </row>
    <row r="49" customFormat="false" ht="57.45" hidden="false" customHeight="false" outlineLevel="0" collapsed="false">
      <c r="A49" s="14" t="n">
        <v>11475</v>
      </c>
      <c r="B49" s="14" t="s">
        <v>150</v>
      </c>
      <c r="C49" s="14" t="s">
        <v>151</v>
      </c>
      <c r="D49" s="14" t="n">
        <v>100</v>
      </c>
      <c r="E49" s="14" t="n">
        <v>26673</v>
      </c>
      <c r="F49" s="14" t="n">
        <v>1090</v>
      </c>
      <c r="G49" s="14" t="n">
        <v>185</v>
      </c>
      <c r="H49" s="14" t="s">
        <v>62</v>
      </c>
      <c r="I49" s="14" t="n">
        <v>0.22</v>
      </c>
      <c r="J49" s="14" t="n">
        <v>12</v>
      </c>
      <c r="K49" s="14" t="s">
        <v>59</v>
      </c>
      <c r="L49" s="14" t="n">
        <v>2011</v>
      </c>
      <c r="M49" s="14" t="n">
        <v>10.1914070967893</v>
      </c>
      <c r="N49" s="14" t="n">
        <v>4.60527018098843</v>
      </c>
      <c r="P49" s="14" t="n">
        <f aca="false">D49</f>
        <v>100</v>
      </c>
      <c r="Q49" s="14" t="n">
        <f aca="false">G49</f>
        <v>185</v>
      </c>
      <c r="R49" s="14" t="n">
        <f aca="false">J49</f>
        <v>12</v>
      </c>
      <c r="S49" s="14" t="n">
        <f aca="false">IF($L49=2012,1,0)</f>
        <v>0</v>
      </c>
      <c r="T49" s="14" t="n">
        <f aca="false">IF($L49=2013,1,0)</f>
        <v>0</v>
      </c>
      <c r="U49" s="14" t="n">
        <f aca="false">IF($L49=2014,1,0)</f>
        <v>0</v>
      </c>
      <c r="V49" s="14" t="n">
        <f aca="false">IF($L49=2015,1,0)</f>
        <v>0</v>
      </c>
      <c r="W49" s="14" t="n">
        <f aca="false">IF($L49=2016,1,0)</f>
        <v>0</v>
      </c>
      <c r="X49" s="14" t="n">
        <f aca="false">IF($L49=2017,1,0)</f>
        <v>0</v>
      </c>
      <c r="Y49" s="14" t="n">
        <f aca="false">IF($H49="Beginner Level",1,0)</f>
        <v>0</v>
      </c>
      <c r="Z49" s="14" t="n">
        <f aca="false">IF($H49="Expert Level",1,0)</f>
        <v>0</v>
      </c>
      <c r="AA49" s="14" t="n">
        <f aca="false">IF($H49="Intermediate Level",1,0)</f>
        <v>0</v>
      </c>
      <c r="AC49" s="14" t="n">
        <f aca="false">N49</f>
        <v>4.60527018098843</v>
      </c>
      <c r="AD49" s="14" t="n">
        <f aca="false">G49</f>
        <v>185</v>
      </c>
      <c r="AE49" s="14" t="n">
        <f aca="false">J49</f>
        <v>12</v>
      </c>
      <c r="AF49" s="14" t="n">
        <f aca="false">IF($L49=2012,1,0)</f>
        <v>0</v>
      </c>
      <c r="AG49" s="14" t="n">
        <f aca="false">IF($L49=2013,1,0)</f>
        <v>0</v>
      </c>
      <c r="AH49" s="14" t="n">
        <f aca="false">IF($L49=2014,1,0)</f>
        <v>0</v>
      </c>
      <c r="AI49" s="14" t="n">
        <f aca="false">IF($L49=2015,1,0)</f>
        <v>0</v>
      </c>
      <c r="AJ49" s="14" t="n">
        <f aca="false">IF($L49=2016,1,0)</f>
        <v>0</v>
      </c>
      <c r="AK49" s="14" t="n">
        <f aca="false">IF($L49=2017,1,0)</f>
        <v>0</v>
      </c>
      <c r="AL49" s="14" t="n">
        <f aca="false">IF($H49="Beginner Level",1,0)</f>
        <v>0</v>
      </c>
      <c r="AM49" s="14" t="n">
        <f aca="false">IF($H49="Expert Level",1,0)</f>
        <v>0</v>
      </c>
      <c r="AN49" s="14" t="n">
        <f aca="false">IF($H49="Intermediate Level",1,0)</f>
        <v>0</v>
      </c>
    </row>
    <row r="50" customFormat="false" ht="79.85" hidden="false" customHeight="false" outlineLevel="0" collapsed="false">
      <c r="A50" s="14" t="n">
        <v>429364</v>
      </c>
      <c r="B50" s="14" t="s">
        <v>152</v>
      </c>
      <c r="C50" s="14" t="s">
        <v>153</v>
      </c>
      <c r="D50" s="14" t="n">
        <v>0</v>
      </c>
      <c r="E50" s="14" t="n">
        <v>26541</v>
      </c>
      <c r="F50" s="14" t="n">
        <v>750</v>
      </c>
      <c r="G50" s="14" t="n">
        <v>38</v>
      </c>
      <c r="H50" s="14" t="s">
        <v>62</v>
      </c>
      <c r="I50" s="14" t="n">
        <v>0.15</v>
      </c>
      <c r="J50" s="14" t="n">
        <v>3</v>
      </c>
      <c r="K50" s="14" t="s">
        <v>53</v>
      </c>
      <c r="L50" s="14" t="n">
        <v>2015</v>
      </c>
      <c r="M50" s="14" t="n">
        <v>10.1864459861515</v>
      </c>
      <c r="N50" s="14" t="n">
        <v>-4.60517018598809</v>
      </c>
      <c r="P50" s="14" t="n">
        <f aca="false">D50</f>
        <v>0</v>
      </c>
      <c r="Q50" s="14" t="n">
        <f aca="false">G50</f>
        <v>38</v>
      </c>
      <c r="R50" s="14" t="n">
        <f aca="false">J50</f>
        <v>3</v>
      </c>
      <c r="S50" s="14" t="n">
        <f aca="false">IF($L50=2012,1,0)</f>
        <v>0</v>
      </c>
      <c r="T50" s="14" t="n">
        <f aca="false">IF($L50=2013,1,0)</f>
        <v>0</v>
      </c>
      <c r="U50" s="14" t="n">
        <f aca="false">IF($L50=2014,1,0)</f>
        <v>0</v>
      </c>
      <c r="V50" s="14" t="n">
        <f aca="false">IF($L50=2015,1,0)</f>
        <v>1</v>
      </c>
      <c r="W50" s="14" t="n">
        <f aca="false">IF($L50=2016,1,0)</f>
        <v>0</v>
      </c>
      <c r="X50" s="14" t="n">
        <f aca="false">IF($L50=2017,1,0)</f>
        <v>0</v>
      </c>
      <c r="Y50" s="14" t="n">
        <f aca="false">IF($H50="Beginner Level",1,0)</f>
        <v>0</v>
      </c>
      <c r="Z50" s="14" t="n">
        <f aca="false">IF($H50="Expert Level",1,0)</f>
        <v>0</v>
      </c>
      <c r="AA50" s="14" t="n">
        <f aca="false">IF($H50="Intermediate Level",1,0)</f>
        <v>0</v>
      </c>
      <c r="AC50" s="14" t="n">
        <f aca="false">N50</f>
        <v>-4.60517018598809</v>
      </c>
      <c r="AD50" s="14" t="n">
        <f aca="false">G50</f>
        <v>38</v>
      </c>
      <c r="AE50" s="14" t="n">
        <f aca="false">J50</f>
        <v>3</v>
      </c>
      <c r="AF50" s="14" t="n">
        <f aca="false">IF($L50=2012,1,0)</f>
        <v>0</v>
      </c>
      <c r="AG50" s="14" t="n">
        <f aca="false">IF($L50=2013,1,0)</f>
        <v>0</v>
      </c>
      <c r="AH50" s="14" t="n">
        <f aca="false">IF($L50=2014,1,0)</f>
        <v>0</v>
      </c>
      <c r="AI50" s="14" t="n">
        <f aca="false">IF($L50=2015,1,0)</f>
        <v>1</v>
      </c>
      <c r="AJ50" s="14" t="n">
        <f aca="false">IF($L50=2016,1,0)</f>
        <v>0</v>
      </c>
      <c r="AK50" s="14" t="n">
        <f aca="false">IF($L50=2017,1,0)</f>
        <v>0</v>
      </c>
      <c r="AL50" s="14" t="n">
        <f aca="false">IF($H50="Beginner Level",1,0)</f>
        <v>0</v>
      </c>
      <c r="AM50" s="14" t="n">
        <f aca="false">IF($H50="Expert Level",1,0)</f>
        <v>0</v>
      </c>
      <c r="AN50" s="14" t="n">
        <f aca="false">IF($H50="Intermediate Level",1,0)</f>
        <v>0</v>
      </c>
    </row>
    <row r="51" customFormat="false" ht="57.45" hidden="false" customHeight="false" outlineLevel="0" collapsed="false">
      <c r="A51" s="14" t="n">
        <v>24334</v>
      </c>
      <c r="B51" s="14" t="s">
        <v>154</v>
      </c>
      <c r="C51" s="14" t="s">
        <v>155</v>
      </c>
      <c r="D51" s="14" t="n">
        <v>20</v>
      </c>
      <c r="E51" s="14" t="n">
        <v>25864</v>
      </c>
      <c r="F51" s="14" t="n">
        <v>188</v>
      </c>
      <c r="G51" s="14" t="n">
        <v>32</v>
      </c>
      <c r="H51" s="14" t="s">
        <v>62</v>
      </c>
      <c r="I51" s="14" t="n">
        <v>0.78</v>
      </c>
      <c r="J51" s="14" t="n">
        <v>5</v>
      </c>
      <c r="K51" s="14" t="s">
        <v>59</v>
      </c>
      <c r="L51" s="14" t="n">
        <v>2012</v>
      </c>
      <c r="M51" s="14" t="n">
        <v>10.1606073194053</v>
      </c>
      <c r="N51" s="14" t="n">
        <v>2.99623214859564</v>
      </c>
      <c r="P51" s="14" t="n">
        <f aca="false">D51</f>
        <v>20</v>
      </c>
      <c r="Q51" s="14" t="n">
        <f aca="false">G51</f>
        <v>32</v>
      </c>
      <c r="R51" s="14" t="n">
        <f aca="false">J51</f>
        <v>5</v>
      </c>
      <c r="S51" s="14" t="n">
        <f aca="false">IF($L51=2012,1,0)</f>
        <v>1</v>
      </c>
      <c r="T51" s="14" t="n">
        <f aca="false">IF($L51=2013,1,0)</f>
        <v>0</v>
      </c>
      <c r="U51" s="14" t="n">
        <f aca="false">IF($L51=2014,1,0)</f>
        <v>0</v>
      </c>
      <c r="V51" s="14" t="n">
        <f aca="false">IF($L51=2015,1,0)</f>
        <v>0</v>
      </c>
      <c r="W51" s="14" t="n">
        <f aca="false">IF($L51=2016,1,0)</f>
        <v>0</v>
      </c>
      <c r="X51" s="14" t="n">
        <f aca="false">IF($L51=2017,1,0)</f>
        <v>0</v>
      </c>
      <c r="Y51" s="14" t="n">
        <f aca="false">IF($H51="Beginner Level",1,0)</f>
        <v>0</v>
      </c>
      <c r="Z51" s="14" t="n">
        <f aca="false">IF($H51="Expert Level",1,0)</f>
        <v>0</v>
      </c>
      <c r="AA51" s="14" t="n">
        <f aca="false">IF($H51="Intermediate Level",1,0)</f>
        <v>0</v>
      </c>
      <c r="AC51" s="14" t="n">
        <f aca="false">N51</f>
        <v>2.99623214859564</v>
      </c>
      <c r="AD51" s="14" t="n">
        <f aca="false">G51</f>
        <v>32</v>
      </c>
      <c r="AE51" s="14" t="n">
        <f aca="false">J51</f>
        <v>5</v>
      </c>
      <c r="AF51" s="14" t="n">
        <f aca="false">IF($L51=2012,1,0)</f>
        <v>1</v>
      </c>
      <c r="AG51" s="14" t="n">
        <f aca="false">IF($L51=2013,1,0)</f>
        <v>0</v>
      </c>
      <c r="AH51" s="14" t="n">
        <f aca="false">IF($L51=2014,1,0)</f>
        <v>0</v>
      </c>
      <c r="AI51" s="14" t="n">
        <f aca="false">IF($L51=2015,1,0)</f>
        <v>0</v>
      </c>
      <c r="AJ51" s="14" t="n">
        <f aca="false">IF($L51=2016,1,0)</f>
        <v>0</v>
      </c>
      <c r="AK51" s="14" t="n">
        <f aca="false">IF($L51=2017,1,0)</f>
        <v>0</v>
      </c>
      <c r="AL51" s="14" t="n">
        <f aca="false">IF($H51="Beginner Level",1,0)</f>
        <v>0</v>
      </c>
      <c r="AM51" s="14" t="n">
        <f aca="false">IF($H51="Expert Level",1,0)</f>
        <v>0</v>
      </c>
      <c r="AN51" s="14" t="n">
        <f aca="false">IF($H51="Intermediate Level",1,0)</f>
        <v>0</v>
      </c>
    </row>
    <row r="52" customFormat="false" ht="46.25" hidden="false" customHeight="false" outlineLevel="0" collapsed="false">
      <c r="A52" s="14" t="n">
        <v>15285</v>
      </c>
      <c r="B52" s="14" t="s">
        <v>156</v>
      </c>
      <c r="C52" s="14" t="s">
        <v>157</v>
      </c>
      <c r="D52" s="14" t="n">
        <v>20</v>
      </c>
      <c r="E52" s="14" t="n">
        <v>25854</v>
      </c>
      <c r="F52" s="14" t="n">
        <v>306</v>
      </c>
      <c r="G52" s="14" t="n">
        <v>17</v>
      </c>
      <c r="H52" s="14" t="s">
        <v>62</v>
      </c>
      <c r="I52" s="14" t="n">
        <v>0.28</v>
      </c>
      <c r="J52" s="14" t="n">
        <v>2</v>
      </c>
      <c r="K52" s="14" t="s">
        <v>59</v>
      </c>
      <c r="L52" s="14" t="n">
        <v>2012</v>
      </c>
      <c r="M52" s="14" t="n">
        <v>10.1602206068439</v>
      </c>
      <c r="N52" s="14" t="n">
        <v>2.99623214859564</v>
      </c>
      <c r="P52" s="14" t="n">
        <f aca="false">D52</f>
        <v>20</v>
      </c>
      <c r="Q52" s="14" t="n">
        <f aca="false">G52</f>
        <v>17</v>
      </c>
      <c r="R52" s="14" t="n">
        <f aca="false">J52</f>
        <v>2</v>
      </c>
      <c r="S52" s="14" t="n">
        <f aca="false">IF($L52=2012,1,0)</f>
        <v>1</v>
      </c>
      <c r="T52" s="14" t="n">
        <f aca="false">IF($L52=2013,1,0)</f>
        <v>0</v>
      </c>
      <c r="U52" s="14" t="n">
        <f aca="false">IF($L52=2014,1,0)</f>
        <v>0</v>
      </c>
      <c r="V52" s="14" t="n">
        <f aca="false">IF($L52=2015,1,0)</f>
        <v>0</v>
      </c>
      <c r="W52" s="14" t="n">
        <f aca="false">IF($L52=2016,1,0)</f>
        <v>0</v>
      </c>
      <c r="X52" s="14" t="n">
        <f aca="false">IF($L52=2017,1,0)</f>
        <v>0</v>
      </c>
      <c r="Y52" s="14" t="n">
        <f aca="false">IF($H52="Beginner Level",1,0)</f>
        <v>0</v>
      </c>
      <c r="Z52" s="14" t="n">
        <f aca="false">IF($H52="Expert Level",1,0)</f>
        <v>0</v>
      </c>
      <c r="AA52" s="14" t="n">
        <f aca="false">IF($H52="Intermediate Level",1,0)</f>
        <v>0</v>
      </c>
      <c r="AC52" s="14" t="n">
        <f aca="false">N52</f>
        <v>2.99623214859564</v>
      </c>
      <c r="AD52" s="14" t="n">
        <f aca="false">G52</f>
        <v>17</v>
      </c>
      <c r="AE52" s="14" t="n">
        <f aca="false">J52</f>
        <v>2</v>
      </c>
      <c r="AF52" s="14" t="n">
        <f aca="false">IF($L52=2012,1,0)</f>
        <v>1</v>
      </c>
      <c r="AG52" s="14" t="n">
        <f aca="false">IF($L52=2013,1,0)</f>
        <v>0</v>
      </c>
      <c r="AH52" s="14" t="n">
        <f aca="false">IF($L52=2014,1,0)</f>
        <v>0</v>
      </c>
      <c r="AI52" s="14" t="n">
        <f aca="false">IF($L52=2015,1,0)</f>
        <v>0</v>
      </c>
      <c r="AJ52" s="14" t="n">
        <f aca="false">IF($L52=2016,1,0)</f>
        <v>0</v>
      </c>
      <c r="AK52" s="14" t="n">
        <f aca="false">IF($L52=2017,1,0)</f>
        <v>0</v>
      </c>
      <c r="AL52" s="14" t="n">
        <f aca="false">IF($H52="Beginner Level",1,0)</f>
        <v>0</v>
      </c>
      <c r="AM52" s="14" t="n">
        <f aca="false">IF($H52="Expert Level",1,0)</f>
        <v>0</v>
      </c>
      <c r="AN52" s="14" t="n">
        <f aca="false">IF($H52="Intermediate Level",1,0)</f>
        <v>0</v>
      </c>
    </row>
    <row r="53" customFormat="false" ht="46.25" hidden="false" customHeight="false" outlineLevel="0" collapsed="false">
      <c r="A53" s="14" t="n">
        <v>653846</v>
      </c>
      <c r="B53" s="14" t="s">
        <v>158</v>
      </c>
      <c r="C53" s="14" t="s">
        <v>159</v>
      </c>
      <c r="D53" s="14" t="n">
        <v>195</v>
      </c>
      <c r="E53" s="14" t="n">
        <v>25799</v>
      </c>
      <c r="F53" s="14" t="n">
        <v>382</v>
      </c>
      <c r="G53" s="14" t="n">
        <v>42</v>
      </c>
      <c r="H53" s="14" t="s">
        <v>71</v>
      </c>
      <c r="I53" s="14" t="n">
        <v>0.21</v>
      </c>
      <c r="J53" s="14" t="n">
        <v>4.5</v>
      </c>
      <c r="K53" s="14" t="s">
        <v>59</v>
      </c>
      <c r="L53" s="14" t="n">
        <v>2016</v>
      </c>
      <c r="M53" s="14" t="n">
        <v>10.1580910104686</v>
      </c>
      <c r="N53" s="14" t="n">
        <v>5.27305083930015</v>
      </c>
      <c r="P53" s="14" t="n">
        <f aca="false">D53</f>
        <v>195</v>
      </c>
      <c r="Q53" s="14" t="n">
        <f aca="false">G53</f>
        <v>42</v>
      </c>
      <c r="R53" s="14" t="n">
        <f aca="false">J53</f>
        <v>4.5</v>
      </c>
      <c r="S53" s="14" t="n">
        <f aca="false">IF($L53=2012,1,0)</f>
        <v>0</v>
      </c>
      <c r="T53" s="14" t="n">
        <f aca="false">IF($L53=2013,1,0)</f>
        <v>0</v>
      </c>
      <c r="U53" s="14" t="n">
        <f aca="false">IF($L53=2014,1,0)</f>
        <v>0</v>
      </c>
      <c r="V53" s="14" t="n">
        <f aca="false">IF($L53=2015,1,0)</f>
        <v>0</v>
      </c>
      <c r="W53" s="14" t="n">
        <f aca="false">IF($L53=2016,1,0)</f>
        <v>1</v>
      </c>
      <c r="X53" s="14" t="n">
        <f aca="false">IF($L53=2017,1,0)</f>
        <v>0</v>
      </c>
      <c r="Y53" s="14" t="n">
        <f aca="false">IF($H53="Beginner Level",1,0)</f>
        <v>0</v>
      </c>
      <c r="Z53" s="14" t="n">
        <f aca="false">IF($H53="Expert Level",1,0)</f>
        <v>0</v>
      </c>
      <c r="AA53" s="14" t="n">
        <f aca="false">IF($H53="Intermediate Level",1,0)</f>
        <v>1</v>
      </c>
      <c r="AC53" s="14" t="n">
        <f aca="false">N53</f>
        <v>5.27305083930015</v>
      </c>
      <c r="AD53" s="14" t="n">
        <f aca="false">G53</f>
        <v>42</v>
      </c>
      <c r="AE53" s="14" t="n">
        <f aca="false">J53</f>
        <v>4.5</v>
      </c>
      <c r="AF53" s="14" t="n">
        <f aca="false">IF($L53=2012,1,0)</f>
        <v>0</v>
      </c>
      <c r="AG53" s="14" t="n">
        <f aca="false">IF($L53=2013,1,0)</f>
        <v>0</v>
      </c>
      <c r="AH53" s="14" t="n">
        <f aca="false">IF($L53=2014,1,0)</f>
        <v>0</v>
      </c>
      <c r="AI53" s="14" t="n">
        <f aca="false">IF($L53=2015,1,0)</f>
        <v>0</v>
      </c>
      <c r="AJ53" s="14" t="n">
        <f aca="false">IF($L53=2016,1,0)</f>
        <v>1</v>
      </c>
      <c r="AK53" s="14" t="n">
        <f aca="false">IF($L53=2017,1,0)</f>
        <v>0</v>
      </c>
      <c r="AL53" s="14" t="n">
        <f aca="false">IF($H53="Beginner Level",1,0)</f>
        <v>0</v>
      </c>
      <c r="AM53" s="14" t="n">
        <f aca="false">IF($H53="Expert Level",1,0)</f>
        <v>0</v>
      </c>
      <c r="AN53" s="14" t="n">
        <f aca="false">IF($H53="Intermediate Level",1,0)</f>
        <v>1</v>
      </c>
    </row>
    <row r="54" customFormat="false" ht="57.45" hidden="false" customHeight="false" outlineLevel="0" collapsed="false">
      <c r="A54" s="14" t="n">
        <v>642410</v>
      </c>
      <c r="B54" s="14" t="s">
        <v>160</v>
      </c>
      <c r="C54" s="14" t="s">
        <v>161</v>
      </c>
      <c r="D54" s="14" t="n">
        <v>195</v>
      </c>
      <c r="E54" s="14" t="n">
        <v>24978</v>
      </c>
      <c r="F54" s="14" t="n">
        <v>540</v>
      </c>
      <c r="G54" s="14" t="n">
        <v>67</v>
      </c>
      <c r="H54" s="14" t="s">
        <v>62</v>
      </c>
      <c r="I54" s="14" t="n">
        <v>0.89</v>
      </c>
      <c r="J54" s="14" t="n">
        <v>7</v>
      </c>
      <c r="K54" s="14" t="s">
        <v>59</v>
      </c>
      <c r="L54" s="14" t="n">
        <v>2015</v>
      </c>
      <c r="M54" s="14" t="n">
        <v>10.125750716423</v>
      </c>
      <c r="N54" s="14" t="n">
        <v>5.27305083930015</v>
      </c>
      <c r="P54" s="14" t="n">
        <f aca="false">D54</f>
        <v>195</v>
      </c>
      <c r="Q54" s="14" t="n">
        <f aca="false">G54</f>
        <v>67</v>
      </c>
      <c r="R54" s="14" t="n">
        <f aca="false">J54</f>
        <v>7</v>
      </c>
      <c r="S54" s="14" t="n">
        <f aca="false">IF($L54=2012,1,0)</f>
        <v>0</v>
      </c>
      <c r="T54" s="14" t="n">
        <f aca="false">IF($L54=2013,1,0)</f>
        <v>0</v>
      </c>
      <c r="U54" s="14" t="n">
        <f aca="false">IF($L54=2014,1,0)</f>
        <v>0</v>
      </c>
      <c r="V54" s="14" t="n">
        <f aca="false">IF($L54=2015,1,0)</f>
        <v>1</v>
      </c>
      <c r="W54" s="14" t="n">
        <f aca="false">IF($L54=2016,1,0)</f>
        <v>0</v>
      </c>
      <c r="X54" s="14" t="n">
        <f aca="false">IF($L54=2017,1,0)</f>
        <v>0</v>
      </c>
      <c r="Y54" s="14" t="n">
        <f aca="false">IF($H54="Beginner Level",1,0)</f>
        <v>0</v>
      </c>
      <c r="Z54" s="14" t="n">
        <f aca="false">IF($H54="Expert Level",1,0)</f>
        <v>0</v>
      </c>
      <c r="AA54" s="14" t="n">
        <f aca="false">IF($H54="Intermediate Level",1,0)</f>
        <v>0</v>
      </c>
      <c r="AC54" s="14" t="n">
        <f aca="false">N54</f>
        <v>5.27305083930015</v>
      </c>
      <c r="AD54" s="14" t="n">
        <f aca="false">G54</f>
        <v>67</v>
      </c>
      <c r="AE54" s="14" t="n">
        <f aca="false">J54</f>
        <v>7</v>
      </c>
      <c r="AF54" s="14" t="n">
        <f aca="false">IF($L54=2012,1,0)</f>
        <v>0</v>
      </c>
      <c r="AG54" s="14" t="n">
        <f aca="false">IF($L54=2013,1,0)</f>
        <v>0</v>
      </c>
      <c r="AH54" s="14" t="n">
        <f aca="false">IF($L54=2014,1,0)</f>
        <v>0</v>
      </c>
      <c r="AI54" s="14" t="n">
        <f aca="false">IF($L54=2015,1,0)</f>
        <v>1</v>
      </c>
      <c r="AJ54" s="14" t="n">
        <f aca="false">IF($L54=2016,1,0)</f>
        <v>0</v>
      </c>
      <c r="AK54" s="14" t="n">
        <f aca="false">IF($L54=2017,1,0)</f>
        <v>0</v>
      </c>
      <c r="AL54" s="14" t="n">
        <f aca="false">IF($H54="Beginner Level",1,0)</f>
        <v>0</v>
      </c>
      <c r="AM54" s="14" t="n">
        <f aca="false">IF($H54="Expert Level",1,0)</f>
        <v>0</v>
      </c>
      <c r="AN54" s="14" t="n">
        <f aca="false">IF($H54="Intermediate Level",1,0)</f>
        <v>0</v>
      </c>
    </row>
    <row r="55" customFormat="false" ht="79.85" hidden="false" customHeight="false" outlineLevel="0" collapsed="false">
      <c r="A55" s="14" t="n">
        <v>629142</v>
      </c>
      <c r="B55" s="14" t="s">
        <v>162</v>
      </c>
      <c r="C55" s="14" t="s">
        <v>163</v>
      </c>
      <c r="D55" s="14" t="n">
        <v>200</v>
      </c>
      <c r="E55" s="14" t="n">
        <v>24861</v>
      </c>
      <c r="F55" s="14" t="n">
        <v>423</v>
      </c>
      <c r="G55" s="14" t="n">
        <v>281</v>
      </c>
      <c r="H55" s="14" t="s">
        <v>52</v>
      </c>
      <c r="I55" s="14" t="n">
        <v>0.85</v>
      </c>
      <c r="J55" s="14" t="n">
        <v>22.5</v>
      </c>
      <c r="K55" s="14" t="s">
        <v>59</v>
      </c>
      <c r="L55" s="14" t="n">
        <v>2015</v>
      </c>
      <c r="M55" s="14" t="n">
        <v>10.1210555895172</v>
      </c>
      <c r="N55" s="14" t="n">
        <v>5.29836736529808</v>
      </c>
      <c r="P55" s="14" t="n">
        <f aca="false">D55</f>
        <v>200</v>
      </c>
      <c r="Q55" s="14" t="n">
        <f aca="false">G55</f>
        <v>281</v>
      </c>
      <c r="R55" s="14" t="n">
        <f aca="false">J55</f>
        <v>22.5</v>
      </c>
      <c r="S55" s="14" t="n">
        <f aca="false">IF($L55=2012,1,0)</f>
        <v>0</v>
      </c>
      <c r="T55" s="14" t="n">
        <f aca="false">IF($L55=2013,1,0)</f>
        <v>0</v>
      </c>
      <c r="U55" s="14" t="n">
        <f aca="false">IF($L55=2014,1,0)</f>
        <v>0</v>
      </c>
      <c r="V55" s="14" t="n">
        <f aca="false">IF($L55=2015,1,0)</f>
        <v>1</v>
      </c>
      <c r="W55" s="14" t="n">
        <f aca="false">IF($L55=2016,1,0)</f>
        <v>0</v>
      </c>
      <c r="X55" s="14" t="n">
        <f aca="false">IF($L55=2017,1,0)</f>
        <v>0</v>
      </c>
      <c r="Y55" s="14" t="n">
        <f aca="false">IF($H55="Beginner Level",1,0)</f>
        <v>1</v>
      </c>
      <c r="Z55" s="14" t="n">
        <f aca="false">IF($H55="Expert Level",1,0)</f>
        <v>0</v>
      </c>
      <c r="AA55" s="14" t="n">
        <f aca="false">IF($H55="Intermediate Level",1,0)</f>
        <v>0</v>
      </c>
      <c r="AC55" s="14" t="n">
        <f aca="false">N55</f>
        <v>5.29836736529808</v>
      </c>
      <c r="AD55" s="14" t="n">
        <f aca="false">G55</f>
        <v>281</v>
      </c>
      <c r="AE55" s="14" t="n">
        <f aca="false">J55</f>
        <v>22.5</v>
      </c>
      <c r="AF55" s="14" t="n">
        <f aca="false">IF($L55=2012,1,0)</f>
        <v>0</v>
      </c>
      <c r="AG55" s="14" t="n">
        <f aca="false">IF($L55=2013,1,0)</f>
        <v>0</v>
      </c>
      <c r="AH55" s="14" t="n">
        <f aca="false">IF($L55=2014,1,0)</f>
        <v>0</v>
      </c>
      <c r="AI55" s="14" t="n">
        <f aca="false">IF($L55=2015,1,0)</f>
        <v>1</v>
      </c>
      <c r="AJ55" s="14" t="n">
        <f aca="false">IF($L55=2016,1,0)</f>
        <v>0</v>
      </c>
      <c r="AK55" s="14" t="n">
        <f aca="false">IF($L55=2017,1,0)</f>
        <v>0</v>
      </c>
      <c r="AL55" s="14" t="n">
        <f aca="false">IF($H55="Beginner Level",1,0)</f>
        <v>1</v>
      </c>
      <c r="AM55" s="14" t="n">
        <f aca="false">IF($H55="Expert Level",1,0)</f>
        <v>0</v>
      </c>
      <c r="AN55" s="14" t="n">
        <f aca="false">IF($H55="Intermediate Level",1,0)</f>
        <v>0</v>
      </c>
    </row>
    <row r="56" customFormat="false" ht="91" hidden="false" customHeight="false" outlineLevel="0" collapsed="false">
      <c r="A56" s="14" t="n">
        <v>369662</v>
      </c>
      <c r="B56" s="14" t="s">
        <v>164</v>
      </c>
      <c r="C56" s="14" t="s">
        <v>165</v>
      </c>
      <c r="D56" s="14" t="n">
        <v>150</v>
      </c>
      <c r="E56" s="14" t="n">
        <v>24575</v>
      </c>
      <c r="F56" s="14" t="n">
        <v>525</v>
      </c>
      <c r="G56" s="14" t="n">
        <v>98</v>
      </c>
      <c r="H56" s="14" t="s">
        <v>62</v>
      </c>
      <c r="I56" s="14" t="n">
        <v>0.12</v>
      </c>
      <c r="J56" s="14" t="n">
        <v>19.5</v>
      </c>
      <c r="K56" s="14" t="s">
        <v>59</v>
      </c>
      <c r="L56" s="14" t="n">
        <v>2015</v>
      </c>
      <c r="M56" s="14" t="n">
        <v>10.1094849450154</v>
      </c>
      <c r="N56" s="14" t="n">
        <v>5.0107019585408</v>
      </c>
      <c r="P56" s="14" t="n">
        <f aca="false">D56</f>
        <v>150</v>
      </c>
      <c r="Q56" s="14" t="n">
        <f aca="false">G56</f>
        <v>98</v>
      </c>
      <c r="R56" s="14" t="n">
        <f aca="false">J56</f>
        <v>19.5</v>
      </c>
      <c r="S56" s="14" t="n">
        <f aca="false">IF($L56=2012,1,0)</f>
        <v>0</v>
      </c>
      <c r="T56" s="14" t="n">
        <f aca="false">IF($L56=2013,1,0)</f>
        <v>0</v>
      </c>
      <c r="U56" s="14" t="n">
        <f aca="false">IF($L56=2014,1,0)</f>
        <v>0</v>
      </c>
      <c r="V56" s="14" t="n">
        <f aca="false">IF($L56=2015,1,0)</f>
        <v>1</v>
      </c>
      <c r="W56" s="14" t="n">
        <f aca="false">IF($L56=2016,1,0)</f>
        <v>0</v>
      </c>
      <c r="X56" s="14" t="n">
        <f aca="false">IF($L56=2017,1,0)</f>
        <v>0</v>
      </c>
      <c r="Y56" s="14" t="n">
        <f aca="false">IF($H56="Beginner Level",1,0)</f>
        <v>0</v>
      </c>
      <c r="Z56" s="14" t="n">
        <f aca="false">IF($H56="Expert Level",1,0)</f>
        <v>0</v>
      </c>
      <c r="AA56" s="14" t="n">
        <f aca="false">IF($H56="Intermediate Level",1,0)</f>
        <v>0</v>
      </c>
      <c r="AC56" s="14" t="n">
        <f aca="false">N56</f>
        <v>5.0107019585408</v>
      </c>
      <c r="AD56" s="14" t="n">
        <f aca="false">G56</f>
        <v>98</v>
      </c>
      <c r="AE56" s="14" t="n">
        <f aca="false">J56</f>
        <v>19.5</v>
      </c>
      <c r="AF56" s="14" t="n">
        <f aca="false">IF($L56=2012,1,0)</f>
        <v>0</v>
      </c>
      <c r="AG56" s="14" t="n">
        <f aca="false">IF($L56=2013,1,0)</f>
        <v>0</v>
      </c>
      <c r="AH56" s="14" t="n">
        <f aca="false">IF($L56=2014,1,0)</f>
        <v>0</v>
      </c>
      <c r="AI56" s="14" t="n">
        <f aca="false">IF($L56=2015,1,0)</f>
        <v>1</v>
      </c>
      <c r="AJ56" s="14" t="n">
        <f aca="false">IF($L56=2016,1,0)</f>
        <v>0</v>
      </c>
      <c r="AK56" s="14" t="n">
        <f aca="false">IF($L56=2017,1,0)</f>
        <v>0</v>
      </c>
      <c r="AL56" s="14" t="n">
        <f aca="false">IF($H56="Beginner Level",1,0)</f>
        <v>0</v>
      </c>
      <c r="AM56" s="14" t="n">
        <f aca="false">IF($H56="Expert Level",1,0)</f>
        <v>0</v>
      </c>
      <c r="AN56" s="14" t="n">
        <f aca="false">IF($H56="Intermediate Level",1,0)</f>
        <v>0</v>
      </c>
    </row>
    <row r="57" customFormat="false" ht="68.65" hidden="false" customHeight="false" outlineLevel="0" collapsed="false">
      <c r="A57" s="14" t="n">
        <v>505208</v>
      </c>
      <c r="B57" s="14" t="s">
        <v>166</v>
      </c>
      <c r="C57" s="14" t="s">
        <v>167</v>
      </c>
      <c r="D57" s="14" t="n">
        <v>20</v>
      </c>
      <c r="E57" s="14" t="n">
        <v>23764</v>
      </c>
      <c r="F57" s="14" t="n">
        <v>490</v>
      </c>
      <c r="G57" s="14" t="n">
        <v>58</v>
      </c>
      <c r="H57" s="14" t="s">
        <v>52</v>
      </c>
      <c r="I57" s="14" t="n">
        <v>0.14</v>
      </c>
      <c r="J57" s="14" t="n">
        <v>5.5</v>
      </c>
      <c r="K57" s="14" t="s">
        <v>59</v>
      </c>
      <c r="L57" s="14" t="n">
        <v>2015</v>
      </c>
      <c r="M57" s="14" t="n">
        <v>10.0759271094756</v>
      </c>
      <c r="N57" s="14" t="n">
        <v>2.99623214859564</v>
      </c>
      <c r="P57" s="14" t="n">
        <f aca="false">D57</f>
        <v>20</v>
      </c>
      <c r="Q57" s="14" t="n">
        <f aca="false">G57</f>
        <v>58</v>
      </c>
      <c r="R57" s="14" t="n">
        <f aca="false">J57</f>
        <v>5.5</v>
      </c>
      <c r="S57" s="14" t="n">
        <f aca="false">IF($L57=2012,1,0)</f>
        <v>0</v>
      </c>
      <c r="T57" s="14" t="n">
        <f aca="false">IF($L57=2013,1,0)</f>
        <v>0</v>
      </c>
      <c r="U57" s="14" t="n">
        <f aca="false">IF($L57=2014,1,0)</f>
        <v>0</v>
      </c>
      <c r="V57" s="14" t="n">
        <f aca="false">IF($L57=2015,1,0)</f>
        <v>1</v>
      </c>
      <c r="W57" s="14" t="n">
        <f aca="false">IF($L57=2016,1,0)</f>
        <v>0</v>
      </c>
      <c r="X57" s="14" t="n">
        <f aca="false">IF($L57=2017,1,0)</f>
        <v>0</v>
      </c>
      <c r="Y57" s="14" t="n">
        <f aca="false">IF($H57="Beginner Level",1,0)</f>
        <v>1</v>
      </c>
      <c r="Z57" s="14" t="n">
        <f aca="false">IF($H57="Expert Level",1,0)</f>
        <v>0</v>
      </c>
      <c r="AA57" s="14" t="n">
        <f aca="false">IF($H57="Intermediate Level",1,0)</f>
        <v>0</v>
      </c>
      <c r="AC57" s="14" t="n">
        <f aca="false">N57</f>
        <v>2.99623214859564</v>
      </c>
      <c r="AD57" s="14" t="n">
        <f aca="false">G57</f>
        <v>58</v>
      </c>
      <c r="AE57" s="14" t="n">
        <f aca="false">J57</f>
        <v>5.5</v>
      </c>
      <c r="AF57" s="14" t="n">
        <f aca="false">IF($L57=2012,1,0)</f>
        <v>0</v>
      </c>
      <c r="AG57" s="14" t="n">
        <f aca="false">IF($L57=2013,1,0)</f>
        <v>0</v>
      </c>
      <c r="AH57" s="14" t="n">
        <f aca="false">IF($L57=2014,1,0)</f>
        <v>0</v>
      </c>
      <c r="AI57" s="14" t="n">
        <f aca="false">IF($L57=2015,1,0)</f>
        <v>1</v>
      </c>
      <c r="AJ57" s="14" t="n">
        <f aca="false">IF($L57=2016,1,0)</f>
        <v>0</v>
      </c>
      <c r="AK57" s="14" t="n">
        <f aca="false">IF($L57=2017,1,0)</f>
        <v>0</v>
      </c>
      <c r="AL57" s="14" t="n">
        <f aca="false">IF($H57="Beginner Level",1,0)</f>
        <v>1</v>
      </c>
      <c r="AM57" s="14" t="n">
        <f aca="false">IF($H57="Expert Level",1,0)</f>
        <v>0</v>
      </c>
      <c r="AN57" s="14" t="n">
        <f aca="false">IF($H57="Intermediate Level",1,0)</f>
        <v>0</v>
      </c>
    </row>
    <row r="58" customFormat="false" ht="57.45" hidden="false" customHeight="false" outlineLevel="0" collapsed="false">
      <c r="A58" s="14" t="n">
        <v>60792</v>
      </c>
      <c r="B58" s="14" t="s">
        <v>168</v>
      </c>
      <c r="C58" s="14" t="s">
        <v>169</v>
      </c>
      <c r="D58" s="14" t="n">
        <v>0</v>
      </c>
      <c r="E58" s="14" t="n">
        <v>23669</v>
      </c>
      <c r="F58" s="14" t="n">
        <v>521</v>
      </c>
      <c r="G58" s="14" t="n">
        <v>9</v>
      </c>
      <c r="H58" s="14" t="s">
        <v>52</v>
      </c>
      <c r="I58" s="14" t="n">
        <v>0.96</v>
      </c>
      <c r="J58" s="14" t="n">
        <v>1</v>
      </c>
      <c r="K58" s="14" t="s">
        <v>53</v>
      </c>
      <c r="L58" s="14" t="n">
        <v>2013</v>
      </c>
      <c r="M58" s="14" t="n">
        <v>10.0719214540448</v>
      </c>
      <c r="N58" s="14" t="n">
        <v>-4.60517018598809</v>
      </c>
      <c r="P58" s="14" t="n">
        <f aca="false">D58</f>
        <v>0</v>
      </c>
      <c r="Q58" s="14" t="n">
        <f aca="false">G58</f>
        <v>9</v>
      </c>
      <c r="R58" s="14" t="n">
        <f aca="false">J58</f>
        <v>1</v>
      </c>
      <c r="S58" s="14" t="n">
        <f aca="false">IF($L58=2012,1,0)</f>
        <v>0</v>
      </c>
      <c r="T58" s="14" t="n">
        <f aca="false">IF($L58=2013,1,0)</f>
        <v>1</v>
      </c>
      <c r="U58" s="14" t="n">
        <f aca="false">IF($L58=2014,1,0)</f>
        <v>0</v>
      </c>
      <c r="V58" s="14" t="n">
        <f aca="false">IF($L58=2015,1,0)</f>
        <v>0</v>
      </c>
      <c r="W58" s="14" t="n">
        <f aca="false">IF($L58=2016,1,0)</f>
        <v>0</v>
      </c>
      <c r="X58" s="14" t="n">
        <f aca="false">IF($L58=2017,1,0)</f>
        <v>0</v>
      </c>
      <c r="Y58" s="14" t="n">
        <f aca="false">IF($H58="Beginner Level",1,0)</f>
        <v>1</v>
      </c>
      <c r="Z58" s="14" t="n">
        <f aca="false">IF($H58="Expert Level",1,0)</f>
        <v>0</v>
      </c>
      <c r="AA58" s="14" t="n">
        <f aca="false">IF($H58="Intermediate Level",1,0)</f>
        <v>0</v>
      </c>
      <c r="AC58" s="14" t="n">
        <f aca="false">N58</f>
        <v>-4.60517018598809</v>
      </c>
      <c r="AD58" s="14" t="n">
        <f aca="false">G58</f>
        <v>9</v>
      </c>
      <c r="AE58" s="14" t="n">
        <f aca="false">J58</f>
        <v>1</v>
      </c>
      <c r="AF58" s="14" t="n">
        <f aca="false">IF($L58=2012,1,0)</f>
        <v>0</v>
      </c>
      <c r="AG58" s="14" t="n">
        <f aca="false">IF($L58=2013,1,0)</f>
        <v>1</v>
      </c>
      <c r="AH58" s="14" t="n">
        <f aca="false">IF($L58=2014,1,0)</f>
        <v>0</v>
      </c>
      <c r="AI58" s="14" t="n">
        <f aca="false">IF($L58=2015,1,0)</f>
        <v>0</v>
      </c>
      <c r="AJ58" s="14" t="n">
        <f aca="false">IF($L58=2016,1,0)</f>
        <v>0</v>
      </c>
      <c r="AK58" s="14" t="n">
        <f aca="false">IF($L58=2017,1,0)</f>
        <v>0</v>
      </c>
      <c r="AL58" s="14" t="n">
        <f aca="false">IF($H58="Beginner Level",1,0)</f>
        <v>1</v>
      </c>
      <c r="AM58" s="14" t="n">
        <f aca="false">IF($H58="Expert Level",1,0)</f>
        <v>0</v>
      </c>
      <c r="AN58" s="14" t="n">
        <f aca="false">IF($H58="Intermediate Level",1,0)</f>
        <v>0</v>
      </c>
    </row>
    <row r="59" customFormat="false" ht="46.25" hidden="false" customHeight="false" outlineLevel="0" collapsed="false">
      <c r="A59" s="14" t="n">
        <v>882488</v>
      </c>
      <c r="B59" s="14" t="s">
        <v>170</v>
      </c>
      <c r="C59" s="14" t="s">
        <v>171</v>
      </c>
      <c r="D59" s="14" t="n">
        <v>95</v>
      </c>
      <c r="E59" s="14" t="n">
        <v>23572</v>
      </c>
      <c r="F59" s="14" t="n">
        <v>210</v>
      </c>
      <c r="G59" s="14" t="n">
        <v>20</v>
      </c>
      <c r="H59" s="14" t="s">
        <v>62</v>
      </c>
      <c r="I59" s="14" t="n">
        <v>0.71</v>
      </c>
      <c r="J59" s="14" t="n">
        <v>2</v>
      </c>
      <c r="K59" s="14" t="s">
        <v>59</v>
      </c>
      <c r="L59" s="14" t="n">
        <v>2016</v>
      </c>
      <c r="M59" s="14" t="n">
        <v>10.0678148459578</v>
      </c>
      <c r="N59" s="14" t="n">
        <v>4.55398214921866</v>
      </c>
      <c r="P59" s="14" t="n">
        <f aca="false">D59</f>
        <v>95</v>
      </c>
      <c r="Q59" s="14" t="n">
        <f aca="false">G59</f>
        <v>20</v>
      </c>
      <c r="R59" s="14" t="n">
        <f aca="false">J59</f>
        <v>2</v>
      </c>
      <c r="S59" s="14" t="n">
        <f aca="false">IF($L59=2012,1,0)</f>
        <v>0</v>
      </c>
      <c r="T59" s="14" t="n">
        <f aca="false">IF($L59=2013,1,0)</f>
        <v>0</v>
      </c>
      <c r="U59" s="14" t="n">
        <f aca="false">IF($L59=2014,1,0)</f>
        <v>0</v>
      </c>
      <c r="V59" s="14" t="n">
        <f aca="false">IF($L59=2015,1,0)</f>
        <v>0</v>
      </c>
      <c r="W59" s="14" t="n">
        <f aca="false">IF($L59=2016,1,0)</f>
        <v>1</v>
      </c>
      <c r="X59" s="14" t="n">
        <f aca="false">IF($L59=2017,1,0)</f>
        <v>0</v>
      </c>
      <c r="Y59" s="14" t="n">
        <f aca="false">IF($H59="Beginner Level",1,0)</f>
        <v>0</v>
      </c>
      <c r="Z59" s="14" t="n">
        <f aca="false">IF($H59="Expert Level",1,0)</f>
        <v>0</v>
      </c>
      <c r="AA59" s="14" t="n">
        <f aca="false">IF($H59="Intermediate Level",1,0)</f>
        <v>0</v>
      </c>
      <c r="AC59" s="14" t="n">
        <f aca="false">N59</f>
        <v>4.55398214921866</v>
      </c>
      <c r="AD59" s="14" t="n">
        <f aca="false">G59</f>
        <v>20</v>
      </c>
      <c r="AE59" s="14" t="n">
        <f aca="false">J59</f>
        <v>2</v>
      </c>
      <c r="AF59" s="14" t="n">
        <f aca="false">IF($L59=2012,1,0)</f>
        <v>0</v>
      </c>
      <c r="AG59" s="14" t="n">
        <f aca="false">IF($L59=2013,1,0)</f>
        <v>0</v>
      </c>
      <c r="AH59" s="14" t="n">
        <f aca="false">IF($L59=2014,1,0)</f>
        <v>0</v>
      </c>
      <c r="AI59" s="14" t="n">
        <f aca="false">IF($L59=2015,1,0)</f>
        <v>0</v>
      </c>
      <c r="AJ59" s="14" t="n">
        <f aca="false">IF($L59=2016,1,0)</f>
        <v>1</v>
      </c>
      <c r="AK59" s="14" t="n">
        <f aca="false">IF($L59=2017,1,0)</f>
        <v>0</v>
      </c>
      <c r="AL59" s="14" t="n">
        <f aca="false">IF($H59="Beginner Level",1,0)</f>
        <v>0</v>
      </c>
      <c r="AM59" s="14" t="n">
        <f aca="false">IF($H59="Expert Level",1,0)</f>
        <v>0</v>
      </c>
      <c r="AN59" s="14" t="n">
        <f aca="false">IF($H59="Intermediate Level",1,0)</f>
        <v>0</v>
      </c>
    </row>
    <row r="60" customFormat="false" ht="57.45" hidden="false" customHeight="false" outlineLevel="0" collapsed="false">
      <c r="A60" s="14" t="n">
        <v>47963</v>
      </c>
      <c r="B60" s="14" t="s">
        <v>172</v>
      </c>
      <c r="C60" s="14" t="s">
        <v>173</v>
      </c>
      <c r="D60" s="14" t="n">
        <v>195</v>
      </c>
      <c r="E60" s="14" t="n">
        <v>23412</v>
      </c>
      <c r="F60" s="14" t="n">
        <v>799</v>
      </c>
      <c r="G60" s="14" t="n">
        <v>251</v>
      </c>
      <c r="H60" s="14" t="s">
        <v>62</v>
      </c>
      <c r="I60" s="14" t="n">
        <v>0.07</v>
      </c>
      <c r="J60" s="14" t="n">
        <v>45</v>
      </c>
      <c r="K60" s="14" t="s">
        <v>59</v>
      </c>
      <c r="L60" s="14" t="n">
        <v>2013</v>
      </c>
      <c r="M60" s="14" t="n">
        <v>10.0610039904111</v>
      </c>
      <c r="N60" s="14" t="n">
        <v>5.27305083930015</v>
      </c>
      <c r="P60" s="14" t="n">
        <f aca="false">D60</f>
        <v>195</v>
      </c>
      <c r="Q60" s="14" t="n">
        <f aca="false">G60</f>
        <v>251</v>
      </c>
      <c r="R60" s="14" t="n">
        <f aca="false">J60</f>
        <v>45</v>
      </c>
      <c r="S60" s="14" t="n">
        <f aca="false">IF($L60=2012,1,0)</f>
        <v>0</v>
      </c>
      <c r="T60" s="14" t="n">
        <f aca="false">IF($L60=2013,1,0)</f>
        <v>1</v>
      </c>
      <c r="U60" s="14" t="n">
        <f aca="false">IF($L60=2014,1,0)</f>
        <v>0</v>
      </c>
      <c r="V60" s="14" t="n">
        <f aca="false">IF($L60=2015,1,0)</f>
        <v>0</v>
      </c>
      <c r="W60" s="14" t="n">
        <f aca="false">IF($L60=2016,1,0)</f>
        <v>0</v>
      </c>
      <c r="X60" s="14" t="n">
        <f aca="false">IF($L60=2017,1,0)</f>
        <v>0</v>
      </c>
      <c r="Y60" s="14" t="n">
        <f aca="false">IF($H60="Beginner Level",1,0)</f>
        <v>0</v>
      </c>
      <c r="Z60" s="14" t="n">
        <f aca="false">IF($H60="Expert Level",1,0)</f>
        <v>0</v>
      </c>
      <c r="AA60" s="14" t="n">
        <f aca="false">IF($H60="Intermediate Level",1,0)</f>
        <v>0</v>
      </c>
      <c r="AC60" s="14" t="n">
        <f aca="false">N60</f>
        <v>5.27305083930015</v>
      </c>
      <c r="AD60" s="14" t="n">
        <f aca="false">G60</f>
        <v>251</v>
      </c>
      <c r="AE60" s="14" t="n">
        <f aca="false">J60</f>
        <v>45</v>
      </c>
      <c r="AF60" s="14" t="n">
        <f aca="false">IF($L60=2012,1,0)</f>
        <v>0</v>
      </c>
      <c r="AG60" s="14" t="n">
        <f aca="false">IF($L60=2013,1,0)</f>
        <v>1</v>
      </c>
      <c r="AH60" s="14" t="n">
        <f aca="false">IF($L60=2014,1,0)</f>
        <v>0</v>
      </c>
      <c r="AI60" s="14" t="n">
        <f aca="false">IF($L60=2015,1,0)</f>
        <v>0</v>
      </c>
      <c r="AJ60" s="14" t="n">
        <f aca="false">IF($L60=2016,1,0)</f>
        <v>0</v>
      </c>
      <c r="AK60" s="14" t="n">
        <f aca="false">IF($L60=2017,1,0)</f>
        <v>0</v>
      </c>
      <c r="AL60" s="14" t="n">
        <f aca="false">IF($H60="Beginner Level",1,0)</f>
        <v>0</v>
      </c>
      <c r="AM60" s="14" t="n">
        <f aca="false">IF($H60="Expert Level",1,0)</f>
        <v>0</v>
      </c>
      <c r="AN60" s="14" t="n">
        <f aca="false">IF($H60="Intermediate Level",1,0)</f>
        <v>0</v>
      </c>
    </row>
    <row r="61" customFormat="false" ht="46.25" hidden="false" customHeight="false" outlineLevel="0" collapsed="false">
      <c r="A61" s="14" t="n">
        <v>63612</v>
      </c>
      <c r="B61" s="14" t="s">
        <v>174</v>
      </c>
      <c r="C61" s="14" t="s">
        <v>175</v>
      </c>
      <c r="D61" s="14" t="n">
        <v>200</v>
      </c>
      <c r="E61" s="14" t="n">
        <v>22999</v>
      </c>
      <c r="F61" s="14" t="n">
        <v>602</v>
      </c>
      <c r="G61" s="14" t="n">
        <v>18</v>
      </c>
      <c r="H61" s="14" t="s">
        <v>62</v>
      </c>
      <c r="I61" s="14" t="n">
        <v>0.24</v>
      </c>
      <c r="J61" s="14" t="n">
        <v>1</v>
      </c>
      <c r="K61" s="14" t="s">
        <v>59</v>
      </c>
      <c r="L61" s="14" t="n">
        <v>2013</v>
      </c>
      <c r="M61" s="14" t="n">
        <v>10.0432060157052</v>
      </c>
      <c r="N61" s="14" t="n">
        <v>5.29836736529808</v>
      </c>
      <c r="P61" s="14" t="n">
        <f aca="false">D61</f>
        <v>200</v>
      </c>
      <c r="Q61" s="14" t="n">
        <f aca="false">G61</f>
        <v>18</v>
      </c>
      <c r="R61" s="14" t="n">
        <f aca="false">J61</f>
        <v>1</v>
      </c>
      <c r="S61" s="14" t="n">
        <f aca="false">IF($L61=2012,1,0)</f>
        <v>0</v>
      </c>
      <c r="T61" s="14" t="n">
        <f aca="false">IF($L61=2013,1,0)</f>
        <v>1</v>
      </c>
      <c r="U61" s="14" t="n">
        <f aca="false">IF($L61=2014,1,0)</f>
        <v>0</v>
      </c>
      <c r="V61" s="14" t="n">
        <f aca="false">IF($L61=2015,1,0)</f>
        <v>0</v>
      </c>
      <c r="W61" s="14" t="n">
        <f aca="false">IF($L61=2016,1,0)</f>
        <v>0</v>
      </c>
      <c r="X61" s="14" t="n">
        <f aca="false">IF($L61=2017,1,0)</f>
        <v>0</v>
      </c>
      <c r="Y61" s="14" t="n">
        <f aca="false">IF($H61="Beginner Level",1,0)</f>
        <v>0</v>
      </c>
      <c r="Z61" s="14" t="n">
        <f aca="false">IF($H61="Expert Level",1,0)</f>
        <v>0</v>
      </c>
      <c r="AA61" s="14" t="n">
        <f aca="false">IF($H61="Intermediate Level",1,0)</f>
        <v>0</v>
      </c>
      <c r="AC61" s="14" t="n">
        <f aca="false">N61</f>
        <v>5.29836736529808</v>
      </c>
      <c r="AD61" s="14" t="n">
        <f aca="false">G61</f>
        <v>18</v>
      </c>
      <c r="AE61" s="14" t="n">
        <f aca="false">J61</f>
        <v>1</v>
      </c>
      <c r="AF61" s="14" t="n">
        <f aca="false">IF($L61=2012,1,0)</f>
        <v>0</v>
      </c>
      <c r="AG61" s="14" t="n">
        <f aca="false">IF($L61=2013,1,0)</f>
        <v>1</v>
      </c>
      <c r="AH61" s="14" t="n">
        <f aca="false">IF($L61=2014,1,0)</f>
        <v>0</v>
      </c>
      <c r="AI61" s="14" t="n">
        <f aca="false">IF($L61=2015,1,0)</f>
        <v>0</v>
      </c>
      <c r="AJ61" s="14" t="n">
        <f aca="false">IF($L61=2016,1,0)</f>
        <v>0</v>
      </c>
      <c r="AK61" s="14" t="n">
        <f aca="false">IF($L61=2017,1,0)</f>
        <v>0</v>
      </c>
      <c r="AL61" s="14" t="n">
        <f aca="false">IF($H61="Beginner Level",1,0)</f>
        <v>0</v>
      </c>
      <c r="AM61" s="14" t="n">
        <f aca="false">IF($H61="Expert Level",1,0)</f>
        <v>0</v>
      </c>
      <c r="AN61" s="14" t="n">
        <f aca="false">IF($H61="Intermediate Level",1,0)</f>
        <v>0</v>
      </c>
    </row>
    <row r="62" customFormat="false" ht="79.85" hidden="false" customHeight="false" outlineLevel="0" collapsed="false">
      <c r="A62" s="14" t="n">
        <v>787236</v>
      </c>
      <c r="B62" s="14" t="s">
        <v>176</v>
      </c>
      <c r="C62" s="14" t="s">
        <v>177</v>
      </c>
      <c r="D62" s="14" t="n">
        <v>95</v>
      </c>
      <c r="E62" s="14" t="n">
        <v>22623</v>
      </c>
      <c r="F62" s="14" t="n">
        <v>783</v>
      </c>
      <c r="G62" s="14" t="n">
        <v>73</v>
      </c>
      <c r="H62" s="14" t="s">
        <v>62</v>
      </c>
      <c r="I62" s="14" t="n">
        <v>0.81</v>
      </c>
      <c r="J62" s="14" t="n">
        <v>8</v>
      </c>
      <c r="K62" s="14" t="s">
        <v>59</v>
      </c>
      <c r="L62" s="14" t="n">
        <v>2016</v>
      </c>
      <c r="M62" s="14" t="n">
        <v>10.0267223668708</v>
      </c>
      <c r="N62" s="14" t="n">
        <v>4.55398214921866</v>
      </c>
      <c r="P62" s="14" t="n">
        <f aca="false">D62</f>
        <v>95</v>
      </c>
      <c r="Q62" s="14" t="n">
        <f aca="false">G62</f>
        <v>73</v>
      </c>
      <c r="R62" s="14" t="n">
        <f aca="false">J62</f>
        <v>8</v>
      </c>
      <c r="S62" s="14" t="n">
        <f aca="false">IF($L62=2012,1,0)</f>
        <v>0</v>
      </c>
      <c r="T62" s="14" t="n">
        <f aca="false">IF($L62=2013,1,0)</f>
        <v>0</v>
      </c>
      <c r="U62" s="14" t="n">
        <f aca="false">IF($L62=2014,1,0)</f>
        <v>0</v>
      </c>
      <c r="V62" s="14" t="n">
        <f aca="false">IF($L62=2015,1,0)</f>
        <v>0</v>
      </c>
      <c r="W62" s="14" t="n">
        <f aca="false">IF($L62=2016,1,0)</f>
        <v>1</v>
      </c>
      <c r="X62" s="14" t="n">
        <f aca="false">IF($L62=2017,1,0)</f>
        <v>0</v>
      </c>
      <c r="Y62" s="14" t="n">
        <f aca="false">IF($H62="Beginner Level",1,0)</f>
        <v>0</v>
      </c>
      <c r="Z62" s="14" t="n">
        <f aca="false">IF($H62="Expert Level",1,0)</f>
        <v>0</v>
      </c>
      <c r="AA62" s="14" t="n">
        <f aca="false">IF($H62="Intermediate Level",1,0)</f>
        <v>0</v>
      </c>
      <c r="AC62" s="14" t="n">
        <f aca="false">N62</f>
        <v>4.55398214921866</v>
      </c>
      <c r="AD62" s="14" t="n">
        <f aca="false">G62</f>
        <v>73</v>
      </c>
      <c r="AE62" s="14" t="n">
        <f aca="false">J62</f>
        <v>8</v>
      </c>
      <c r="AF62" s="14" t="n">
        <f aca="false">IF($L62=2012,1,0)</f>
        <v>0</v>
      </c>
      <c r="AG62" s="14" t="n">
        <f aca="false">IF($L62=2013,1,0)</f>
        <v>0</v>
      </c>
      <c r="AH62" s="14" t="n">
        <f aca="false">IF($L62=2014,1,0)</f>
        <v>0</v>
      </c>
      <c r="AI62" s="14" t="n">
        <f aca="false">IF($L62=2015,1,0)</f>
        <v>0</v>
      </c>
      <c r="AJ62" s="14" t="n">
        <f aca="false">IF($L62=2016,1,0)</f>
        <v>1</v>
      </c>
      <c r="AK62" s="14" t="n">
        <f aca="false">IF($L62=2017,1,0)</f>
        <v>0</v>
      </c>
      <c r="AL62" s="14" t="n">
        <f aca="false">IF($H62="Beginner Level",1,0)</f>
        <v>0</v>
      </c>
      <c r="AM62" s="14" t="n">
        <f aca="false">IF($H62="Expert Level",1,0)</f>
        <v>0</v>
      </c>
      <c r="AN62" s="14" t="n">
        <f aca="false">IF($H62="Intermediate Level",1,0)</f>
        <v>0</v>
      </c>
    </row>
    <row r="63" customFormat="false" ht="91" hidden="false" customHeight="false" outlineLevel="0" collapsed="false">
      <c r="A63" s="14" t="n">
        <v>534376</v>
      </c>
      <c r="B63" s="14" t="s">
        <v>178</v>
      </c>
      <c r="C63" s="14" t="s">
        <v>179</v>
      </c>
      <c r="D63" s="14" t="n">
        <v>75</v>
      </c>
      <c r="E63" s="14" t="n">
        <v>22355</v>
      </c>
      <c r="F63" s="14" t="n">
        <v>54</v>
      </c>
      <c r="G63" s="14" t="n">
        <v>26</v>
      </c>
      <c r="H63" s="14" t="s">
        <v>52</v>
      </c>
      <c r="I63" s="14" t="n">
        <v>0.04</v>
      </c>
      <c r="J63" s="14" t="n">
        <v>1.5</v>
      </c>
      <c r="K63" s="14" t="s">
        <v>59</v>
      </c>
      <c r="L63" s="14" t="n">
        <v>2015</v>
      </c>
      <c r="M63" s="14" t="n">
        <v>10.0148052886681</v>
      </c>
      <c r="N63" s="14" t="n">
        <v>4.31762143798155</v>
      </c>
      <c r="P63" s="14" t="n">
        <f aca="false">D63</f>
        <v>75</v>
      </c>
      <c r="Q63" s="14" t="n">
        <f aca="false">G63</f>
        <v>26</v>
      </c>
      <c r="R63" s="14" t="n">
        <f aca="false">J63</f>
        <v>1.5</v>
      </c>
      <c r="S63" s="14" t="n">
        <f aca="false">IF($L63=2012,1,0)</f>
        <v>0</v>
      </c>
      <c r="T63" s="14" t="n">
        <f aca="false">IF($L63=2013,1,0)</f>
        <v>0</v>
      </c>
      <c r="U63" s="14" t="n">
        <f aca="false">IF($L63=2014,1,0)</f>
        <v>0</v>
      </c>
      <c r="V63" s="14" t="n">
        <f aca="false">IF($L63=2015,1,0)</f>
        <v>1</v>
      </c>
      <c r="W63" s="14" t="n">
        <f aca="false">IF($L63=2016,1,0)</f>
        <v>0</v>
      </c>
      <c r="X63" s="14" t="n">
        <f aca="false">IF($L63=2017,1,0)</f>
        <v>0</v>
      </c>
      <c r="Y63" s="14" t="n">
        <f aca="false">IF($H63="Beginner Level",1,0)</f>
        <v>1</v>
      </c>
      <c r="Z63" s="14" t="n">
        <f aca="false">IF($H63="Expert Level",1,0)</f>
        <v>0</v>
      </c>
      <c r="AA63" s="14" t="n">
        <f aca="false">IF($H63="Intermediate Level",1,0)</f>
        <v>0</v>
      </c>
      <c r="AC63" s="14" t="n">
        <f aca="false">N63</f>
        <v>4.31762143798155</v>
      </c>
      <c r="AD63" s="14" t="n">
        <f aca="false">G63</f>
        <v>26</v>
      </c>
      <c r="AE63" s="14" t="n">
        <f aca="false">J63</f>
        <v>1.5</v>
      </c>
      <c r="AF63" s="14" t="n">
        <f aca="false">IF($L63=2012,1,0)</f>
        <v>0</v>
      </c>
      <c r="AG63" s="14" t="n">
        <f aca="false">IF($L63=2013,1,0)</f>
        <v>0</v>
      </c>
      <c r="AH63" s="14" t="n">
        <f aca="false">IF($L63=2014,1,0)</f>
        <v>0</v>
      </c>
      <c r="AI63" s="14" t="n">
        <f aca="false">IF($L63=2015,1,0)</f>
        <v>1</v>
      </c>
      <c r="AJ63" s="14" t="n">
        <f aca="false">IF($L63=2016,1,0)</f>
        <v>0</v>
      </c>
      <c r="AK63" s="14" t="n">
        <f aca="false">IF($L63=2017,1,0)</f>
        <v>0</v>
      </c>
      <c r="AL63" s="14" t="n">
        <f aca="false">IF($H63="Beginner Level",1,0)</f>
        <v>1</v>
      </c>
      <c r="AM63" s="14" t="n">
        <f aca="false">IF($H63="Expert Level",1,0)</f>
        <v>0</v>
      </c>
      <c r="AN63" s="14" t="n">
        <f aca="false">IF($H63="Intermediate Level",1,0)</f>
        <v>0</v>
      </c>
    </row>
    <row r="64" customFormat="false" ht="91" hidden="false" customHeight="false" outlineLevel="0" collapsed="false">
      <c r="A64" s="14" t="n">
        <v>579338</v>
      </c>
      <c r="B64" s="14" t="s">
        <v>180</v>
      </c>
      <c r="C64" s="14" t="s">
        <v>181</v>
      </c>
      <c r="D64" s="14" t="n">
        <v>100</v>
      </c>
      <c r="E64" s="14" t="n">
        <v>22213</v>
      </c>
      <c r="F64" s="14" t="n">
        <v>142</v>
      </c>
      <c r="G64" s="14" t="n">
        <v>16</v>
      </c>
      <c r="H64" s="14" t="s">
        <v>62</v>
      </c>
      <c r="I64" s="14" t="n">
        <v>0.78</v>
      </c>
      <c r="J64" s="14" t="n">
        <v>1</v>
      </c>
      <c r="K64" s="14" t="s">
        <v>59</v>
      </c>
      <c r="L64" s="14" t="n">
        <v>2015</v>
      </c>
      <c r="M64" s="14" t="n">
        <v>10.0084329820576</v>
      </c>
      <c r="N64" s="14" t="n">
        <v>4.60527018098843</v>
      </c>
      <c r="P64" s="14" t="n">
        <f aca="false">D64</f>
        <v>100</v>
      </c>
      <c r="Q64" s="14" t="n">
        <f aca="false">G64</f>
        <v>16</v>
      </c>
      <c r="R64" s="14" t="n">
        <f aca="false">J64</f>
        <v>1</v>
      </c>
      <c r="S64" s="14" t="n">
        <f aca="false">IF($L64=2012,1,0)</f>
        <v>0</v>
      </c>
      <c r="T64" s="14" t="n">
        <f aca="false">IF($L64=2013,1,0)</f>
        <v>0</v>
      </c>
      <c r="U64" s="14" t="n">
        <f aca="false">IF($L64=2014,1,0)</f>
        <v>0</v>
      </c>
      <c r="V64" s="14" t="n">
        <f aca="false">IF($L64=2015,1,0)</f>
        <v>1</v>
      </c>
      <c r="W64" s="14" t="n">
        <f aca="false">IF($L64=2016,1,0)</f>
        <v>0</v>
      </c>
      <c r="X64" s="14" t="n">
        <f aca="false">IF($L64=2017,1,0)</f>
        <v>0</v>
      </c>
      <c r="Y64" s="14" t="n">
        <f aca="false">IF($H64="Beginner Level",1,0)</f>
        <v>0</v>
      </c>
      <c r="Z64" s="14" t="n">
        <f aca="false">IF($H64="Expert Level",1,0)</f>
        <v>0</v>
      </c>
      <c r="AA64" s="14" t="n">
        <f aca="false">IF($H64="Intermediate Level",1,0)</f>
        <v>0</v>
      </c>
      <c r="AC64" s="14" t="n">
        <f aca="false">N64</f>
        <v>4.60527018098843</v>
      </c>
      <c r="AD64" s="14" t="n">
        <f aca="false">G64</f>
        <v>16</v>
      </c>
      <c r="AE64" s="14" t="n">
        <f aca="false">J64</f>
        <v>1</v>
      </c>
      <c r="AF64" s="14" t="n">
        <f aca="false">IF($L64=2012,1,0)</f>
        <v>0</v>
      </c>
      <c r="AG64" s="14" t="n">
        <f aca="false">IF($L64=2013,1,0)</f>
        <v>0</v>
      </c>
      <c r="AH64" s="14" t="n">
        <f aca="false">IF($L64=2014,1,0)</f>
        <v>0</v>
      </c>
      <c r="AI64" s="14" t="n">
        <f aca="false">IF($L64=2015,1,0)</f>
        <v>1</v>
      </c>
      <c r="AJ64" s="14" t="n">
        <f aca="false">IF($L64=2016,1,0)</f>
        <v>0</v>
      </c>
      <c r="AK64" s="14" t="n">
        <f aca="false">IF($L64=2017,1,0)</f>
        <v>0</v>
      </c>
      <c r="AL64" s="14" t="n">
        <f aca="false">IF($H64="Beginner Level",1,0)</f>
        <v>0</v>
      </c>
      <c r="AM64" s="14" t="n">
        <f aca="false">IF($H64="Expert Level",1,0)</f>
        <v>0</v>
      </c>
      <c r="AN64" s="14" t="n">
        <f aca="false">IF($H64="Intermediate Level",1,0)</f>
        <v>0</v>
      </c>
    </row>
    <row r="65" customFormat="false" ht="46.25" hidden="false" customHeight="false" outlineLevel="0" collapsed="false">
      <c r="A65" s="14" t="n">
        <v>781532</v>
      </c>
      <c r="B65" s="14" t="s">
        <v>182</v>
      </c>
      <c r="C65" s="14" t="s">
        <v>183</v>
      </c>
      <c r="D65" s="14" t="n">
        <v>140</v>
      </c>
      <c r="E65" s="14" t="n">
        <v>21998</v>
      </c>
      <c r="F65" s="14" t="n">
        <v>3326</v>
      </c>
      <c r="G65" s="14" t="n">
        <v>119</v>
      </c>
      <c r="H65" s="14" t="s">
        <v>62</v>
      </c>
      <c r="I65" s="14" t="n">
        <v>0.8</v>
      </c>
      <c r="J65" s="14" t="n">
        <v>12</v>
      </c>
      <c r="K65" s="14" t="s">
        <v>59</v>
      </c>
      <c r="L65" s="14" t="n">
        <v>2016</v>
      </c>
      <c r="M65" s="14" t="n">
        <v>9.99870681911706</v>
      </c>
      <c r="N65" s="14" t="n">
        <v>4.94171384862983</v>
      </c>
      <c r="P65" s="14" t="n">
        <f aca="false">D65</f>
        <v>140</v>
      </c>
      <c r="Q65" s="14" t="n">
        <f aca="false">G65</f>
        <v>119</v>
      </c>
      <c r="R65" s="14" t="n">
        <f aca="false">J65</f>
        <v>12</v>
      </c>
      <c r="S65" s="14" t="n">
        <f aca="false">IF($L65=2012,1,0)</f>
        <v>0</v>
      </c>
      <c r="T65" s="14" t="n">
        <f aca="false">IF($L65=2013,1,0)</f>
        <v>0</v>
      </c>
      <c r="U65" s="14" t="n">
        <f aca="false">IF($L65=2014,1,0)</f>
        <v>0</v>
      </c>
      <c r="V65" s="14" t="n">
        <f aca="false">IF($L65=2015,1,0)</f>
        <v>0</v>
      </c>
      <c r="W65" s="14" t="n">
        <f aca="false">IF($L65=2016,1,0)</f>
        <v>1</v>
      </c>
      <c r="X65" s="14" t="n">
        <f aca="false">IF($L65=2017,1,0)</f>
        <v>0</v>
      </c>
      <c r="Y65" s="14" t="n">
        <f aca="false">IF($H65="Beginner Level",1,0)</f>
        <v>0</v>
      </c>
      <c r="Z65" s="14" t="n">
        <f aca="false">IF($H65="Expert Level",1,0)</f>
        <v>0</v>
      </c>
      <c r="AA65" s="14" t="n">
        <f aca="false">IF($H65="Intermediate Level",1,0)</f>
        <v>0</v>
      </c>
      <c r="AC65" s="14" t="n">
        <f aca="false">N65</f>
        <v>4.94171384862983</v>
      </c>
      <c r="AD65" s="14" t="n">
        <f aca="false">G65</f>
        <v>119</v>
      </c>
      <c r="AE65" s="14" t="n">
        <f aca="false">J65</f>
        <v>12</v>
      </c>
      <c r="AF65" s="14" t="n">
        <f aca="false">IF($L65=2012,1,0)</f>
        <v>0</v>
      </c>
      <c r="AG65" s="14" t="n">
        <f aca="false">IF($L65=2013,1,0)</f>
        <v>0</v>
      </c>
      <c r="AH65" s="14" t="n">
        <f aca="false">IF($L65=2014,1,0)</f>
        <v>0</v>
      </c>
      <c r="AI65" s="14" t="n">
        <f aca="false">IF($L65=2015,1,0)</f>
        <v>0</v>
      </c>
      <c r="AJ65" s="14" t="n">
        <f aca="false">IF($L65=2016,1,0)</f>
        <v>1</v>
      </c>
      <c r="AK65" s="14" t="n">
        <f aca="false">IF($L65=2017,1,0)</f>
        <v>0</v>
      </c>
      <c r="AL65" s="14" t="n">
        <f aca="false">IF($H65="Beginner Level",1,0)</f>
        <v>0</v>
      </c>
      <c r="AM65" s="14" t="n">
        <f aca="false">IF($H65="Expert Level",1,0)</f>
        <v>0</v>
      </c>
      <c r="AN65" s="14" t="n">
        <f aca="false">IF($H65="Intermediate Level",1,0)</f>
        <v>0</v>
      </c>
    </row>
    <row r="66" customFormat="false" ht="79.85" hidden="false" customHeight="false" outlineLevel="0" collapsed="false">
      <c r="A66" s="14" t="n">
        <v>99826</v>
      </c>
      <c r="B66" s="14" t="s">
        <v>184</v>
      </c>
      <c r="C66" s="14" t="s">
        <v>185</v>
      </c>
      <c r="D66" s="14" t="n">
        <v>200</v>
      </c>
      <c r="E66" s="14" t="n">
        <v>21730</v>
      </c>
      <c r="F66" s="14" t="n">
        <v>61</v>
      </c>
      <c r="G66" s="14" t="n">
        <v>35</v>
      </c>
      <c r="H66" s="14" t="s">
        <v>62</v>
      </c>
      <c r="I66" s="14" t="n">
        <v>0.36</v>
      </c>
      <c r="J66" s="14" t="n">
        <v>2.5</v>
      </c>
      <c r="K66" s="14" t="s">
        <v>59</v>
      </c>
      <c r="L66" s="14" t="n">
        <v>2013</v>
      </c>
      <c r="M66" s="14" t="n">
        <v>9.98644907325047</v>
      </c>
      <c r="N66" s="14" t="n">
        <v>5.29836736529808</v>
      </c>
      <c r="P66" s="14" t="n">
        <f aca="false">D66</f>
        <v>200</v>
      </c>
      <c r="Q66" s="14" t="n">
        <f aca="false">G66</f>
        <v>35</v>
      </c>
      <c r="R66" s="14" t="n">
        <f aca="false">J66</f>
        <v>2.5</v>
      </c>
      <c r="S66" s="14" t="n">
        <f aca="false">IF($L66=2012,1,0)</f>
        <v>0</v>
      </c>
      <c r="T66" s="14" t="n">
        <f aca="false">IF($L66=2013,1,0)</f>
        <v>1</v>
      </c>
      <c r="U66" s="14" t="n">
        <f aca="false">IF($L66=2014,1,0)</f>
        <v>0</v>
      </c>
      <c r="V66" s="14" t="n">
        <f aca="false">IF($L66=2015,1,0)</f>
        <v>0</v>
      </c>
      <c r="W66" s="14" t="n">
        <f aca="false">IF($L66=2016,1,0)</f>
        <v>0</v>
      </c>
      <c r="X66" s="14" t="n">
        <f aca="false">IF($L66=2017,1,0)</f>
        <v>0</v>
      </c>
      <c r="Y66" s="14" t="n">
        <f aca="false">IF($H66="Beginner Level",1,0)</f>
        <v>0</v>
      </c>
      <c r="Z66" s="14" t="n">
        <f aca="false">IF($H66="Expert Level",1,0)</f>
        <v>0</v>
      </c>
      <c r="AA66" s="14" t="n">
        <f aca="false">IF($H66="Intermediate Level",1,0)</f>
        <v>0</v>
      </c>
      <c r="AC66" s="14" t="n">
        <f aca="false">N66</f>
        <v>5.29836736529808</v>
      </c>
      <c r="AD66" s="14" t="n">
        <f aca="false">G66</f>
        <v>35</v>
      </c>
      <c r="AE66" s="14" t="n">
        <f aca="false">J66</f>
        <v>2.5</v>
      </c>
      <c r="AF66" s="14" t="n">
        <f aca="false">IF($L66=2012,1,0)</f>
        <v>0</v>
      </c>
      <c r="AG66" s="14" t="n">
        <f aca="false">IF($L66=2013,1,0)</f>
        <v>1</v>
      </c>
      <c r="AH66" s="14" t="n">
        <f aca="false">IF($L66=2014,1,0)</f>
        <v>0</v>
      </c>
      <c r="AI66" s="14" t="n">
        <f aca="false">IF($L66=2015,1,0)</f>
        <v>0</v>
      </c>
      <c r="AJ66" s="14" t="n">
        <f aca="false">IF($L66=2016,1,0)</f>
        <v>0</v>
      </c>
      <c r="AK66" s="14" t="n">
        <f aca="false">IF($L66=2017,1,0)</f>
        <v>0</v>
      </c>
      <c r="AL66" s="14" t="n">
        <f aca="false">IF($H66="Beginner Level",1,0)</f>
        <v>0</v>
      </c>
      <c r="AM66" s="14" t="n">
        <f aca="false">IF($H66="Expert Level",1,0)</f>
        <v>0</v>
      </c>
      <c r="AN66" s="14" t="n">
        <f aca="false">IF($H66="Intermediate Level",1,0)</f>
        <v>0</v>
      </c>
    </row>
    <row r="67" customFormat="false" ht="57.45" hidden="false" customHeight="false" outlineLevel="0" collapsed="false">
      <c r="A67" s="14" t="n">
        <v>808622</v>
      </c>
      <c r="B67" s="14" t="s">
        <v>186</v>
      </c>
      <c r="C67" s="14" t="s">
        <v>187</v>
      </c>
      <c r="D67" s="14" t="n">
        <v>0</v>
      </c>
      <c r="E67" s="14" t="n">
        <v>21689</v>
      </c>
      <c r="F67" s="14" t="n">
        <v>1080</v>
      </c>
      <c r="G67" s="14" t="n">
        <v>13</v>
      </c>
      <c r="H67" s="14" t="s">
        <v>52</v>
      </c>
      <c r="I67" s="14" t="n">
        <v>0.86</v>
      </c>
      <c r="J67" s="14" t="n">
        <v>1</v>
      </c>
      <c r="K67" s="14" t="s">
        <v>53</v>
      </c>
      <c r="L67" s="14" t="n">
        <v>2016</v>
      </c>
      <c r="M67" s="14" t="n">
        <v>9.98456049856261</v>
      </c>
      <c r="N67" s="14" t="n">
        <v>-4.60517018598809</v>
      </c>
      <c r="P67" s="14" t="n">
        <f aca="false">D67</f>
        <v>0</v>
      </c>
      <c r="Q67" s="14" t="n">
        <f aca="false">G67</f>
        <v>13</v>
      </c>
      <c r="R67" s="14" t="n">
        <f aca="false">J67</f>
        <v>1</v>
      </c>
      <c r="S67" s="14" t="n">
        <f aca="false">IF($L67=2012,1,0)</f>
        <v>0</v>
      </c>
      <c r="T67" s="14" t="n">
        <f aca="false">IF($L67=2013,1,0)</f>
        <v>0</v>
      </c>
      <c r="U67" s="14" t="n">
        <f aca="false">IF($L67=2014,1,0)</f>
        <v>0</v>
      </c>
      <c r="V67" s="14" t="n">
        <f aca="false">IF($L67=2015,1,0)</f>
        <v>0</v>
      </c>
      <c r="W67" s="14" t="n">
        <f aca="false">IF($L67=2016,1,0)</f>
        <v>1</v>
      </c>
      <c r="X67" s="14" t="n">
        <f aca="false">IF($L67=2017,1,0)</f>
        <v>0</v>
      </c>
      <c r="Y67" s="14" t="n">
        <f aca="false">IF($H67="Beginner Level",1,0)</f>
        <v>1</v>
      </c>
      <c r="Z67" s="14" t="n">
        <f aca="false">IF($H67="Expert Level",1,0)</f>
        <v>0</v>
      </c>
      <c r="AA67" s="14" t="n">
        <f aca="false">IF($H67="Intermediate Level",1,0)</f>
        <v>0</v>
      </c>
      <c r="AC67" s="14" t="n">
        <f aca="false">N67</f>
        <v>-4.60517018598809</v>
      </c>
      <c r="AD67" s="14" t="n">
        <f aca="false">G67</f>
        <v>13</v>
      </c>
      <c r="AE67" s="14" t="n">
        <f aca="false">J67</f>
        <v>1</v>
      </c>
      <c r="AF67" s="14" t="n">
        <f aca="false">IF($L67=2012,1,0)</f>
        <v>0</v>
      </c>
      <c r="AG67" s="14" t="n">
        <f aca="false">IF($L67=2013,1,0)</f>
        <v>0</v>
      </c>
      <c r="AH67" s="14" t="n">
        <f aca="false">IF($L67=2014,1,0)</f>
        <v>0</v>
      </c>
      <c r="AI67" s="14" t="n">
        <f aca="false">IF($L67=2015,1,0)</f>
        <v>0</v>
      </c>
      <c r="AJ67" s="14" t="n">
        <f aca="false">IF($L67=2016,1,0)</f>
        <v>1</v>
      </c>
      <c r="AK67" s="14" t="n">
        <f aca="false">IF($L67=2017,1,0)</f>
        <v>0</v>
      </c>
      <c r="AL67" s="14" t="n">
        <f aca="false">IF($H67="Beginner Level",1,0)</f>
        <v>1</v>
      </c>
      <c r="AM67" s="14" t="n">
        <f aca="false">IF($H67="Expert Level",1,0)</f>
        <v>0</v>
      </c>
      <c r="AN67" s="14" t="n">
        <f aca="false">IF($H67="Intermediate Level",1,0)</f>
        <v>0</v>
      </c>
    </row>
    <row r="68" customFormat="false" ht="57.45" hidden="false" customHeight="false" outlineLevel="0" collapsed="false">
      <c r="A68" s="14" t="n">
        <v>756914</v>
      </c>
      <c r="B68" s="14" t="s">
        <v>188</v>
      </c>
      <c r="C68" s="14" t="s">
        <v>189</v>
      </c>
      <c r="D68" s="14" t="n">
        <v>0</v>
      </c>
      <c r="E68" s="14" t="n">
        <v>21682</v>
      </c>
      <c r="F68" s="14" t="n">
        <v>1106</v>
      </c>
      <c r="G68" s="14" t="n">
        <v>8</v>
      </c>
      <c r="H68" s="14" t="s">
        <v>52</v>
      </c>
      <c r="I68" s="14" t="n">
        <v>0.01</v>
      </c>
      <c r="J68" s="14" t="n">
        <v>0.73333333</v>
      </c>
      <c r="K68" s="14" t="s">
        <v>53</v>
      </c>
      <c r="L68" s="14" t="n">
        <v>2016</v>
      </c>
      <c r="M68" s="14" t="n">
        <v>9.98423770222124</v>
      </c>
      <c r="N68" s="14" t="n">
        <v>-4.60517018598809</v>
      </c>
      <c r="P68" s="14" t="n">
        <f aca="false">D68</f>
        <v>0</v>
      </c>
      <c r="Q68" s="14" t="n">
        <f aca="false">G68</f>
        <v>8</v>
      </c>
      <c r="R68" s="14" t="n">
        <f aca="false">J68</f>
        <v>0.73333333</v>
      </c>
      <c r="S68" s="14" t="n">
        <f aca="false">IF($L68=2012,1,0)</f>
        <v>0</v>
      </c>
      <c r="T68" s="14" t="n">
        <f aca="false">IF($L68=2013,1,0)</f>
        <v>0</v>
      </c>
      <c r="U68" s="14" t="n">
        <f aca="false">IF($L68=2014,1,0)</f>
        <v>0</v>
      </c>
      <c r="V68" s="14" t="n">
        <f aca="false">IF($L68=2015,1,0)</f>
        <v>0</v>
      </c>
      <c r="W68" s="14" t="n">
        <f aca="false">IF($L68=2016,1,0)</f>
        <v>1</v>
      </c>
      <c r="X68" s="14" t="n">
        <f aca="false">IF($L68=2017,1,0)</f>
        <v>0</v>
      </c>
      <c r="Y68" s="14" t="n">
        <f aca="false">IF($H68="Beginner Level",1,0)</f>
        <v>1</v>
      </c>
      <c r="Z68" s="14" t="n">
        <f aca="false">IF($H68="Expert Level",1,0)</f>
        <v>0</v>
      </c>
      <c r="AA68" s="14" t="n">
        <f aca="false">IF($H68="Intermediate Level",1,0)</f>
        <v>0</v>
      </c>
      <c r="AC68" s="14" t="n">
        <f aca="false">N68</f>
        <v>-4.60517018598809</v>
      </c>
      <c r="AD68" s="14" t="n">
        <f aca="false">G68</f>
        <v>8</v>
      </c>
      <c r="AE68" s="14" t="n">
        <f aca="false">J68</f>
        <v>0.73333333</v>
      </c>
      <c r="AF68" s="14" t="n">
        <f aca="false">IF($L68=2012,1,0)</f>
        <v>0</v>
      </c>
      <c r="AG68" s="14" t="n">
        <f aca="false">IF($L68=2013,1,0)</f>
        <v>0</v>
      </c>
      <c r="AH68" s="14" t="n">
        <f aca="false">IF($L68=2014,1,0)</f>
        <v>0</v>
      </c>
      <c r="AI68" s="14" t="n">
        <f aca="false">IF($L68=2015,1,0)</f>
        <v>0</v>
      </c>
      <c r="AJ68" s="14" t="n">
        <f aca="false">IF($L68=2016,1,0)</f>
        <v>1</v>
      </c>
      <c r="AK68" s="14" t="n">
        <f aca="false">IF($L68=2017,1,0)</f>
        <v>0</v>
      </c>
      <c r="AL68" s="14" t="n">
        <f aca="false">IF($H68="Beginner Level",1,0)</f>
        <v>1</v>
      </c>
      <c r="AM68" s="14" t="n">
        <f aca="false">IF($H68="Expert Level",1,0)</f>
        <v>0</v>
      </c>
      <c r="AN68" s="14" t="n">
        <f aca="false">IF($H68="Intermediate Level",1,0)</f>
        <v>0</v>
      </c>
    </row>
    <row r="69" customFormat="false" ht="57.45" hidden="false" customHeight="false" outlineLevel="0" collapsed="false">
      <c r="A69" s="14" t="n">
        <v>30243</v>
      </c>
      <c r="B69" s="14" t="s">
        <v>190</v>
      </c>
      <c r="C69" s="14" t="s">
        <v>191</v>
      </c>
      <c r="D69" s="14" t="n">
        <v>75</v>
      </c>
      <c r="E69" s="14" t="n">
        <v>21653</v>
      </c>
      <c r="F69" s="14" t="n">
        <v>138</v>
      </c>
      <c r="G69" s="14" t="n">
        <v>35</v>
      </c>
      <c r="H69" s="14" t="s">
        <v>62</v>
      </c>
      <c r="I69" s="14" t="n">
        <v>0.55</v>
      </c>
      <c r="J69" s="14" t="n">
        <v>7</v>
      </c>
      <c r="K69" s="14" t="s">
        <v>59</v>
      </c>
      <c r="L69" s="14" t="n">
        <v>2013</v>
      </c>
      <c r="M69" s="14" t="n">
        <v>9.98289929196029</v>
      </c>
      <c r="N69" s="14" t="n">
        <v>4.31762143798155</v>
      </c>
      <c r="P69" s="14" t="n">
        <f aca="false">D69</f>
        <v>75</v>
      </c>
      <c r="Q69" s="14" t="n">
        <f aca="false">G69</f>
        <v>35</v>
      </c>
      <c r="R69" s="14" t="n">
        <f aca="false">J69</f>
        <v>7</v>
      </c>
      <c r="S69" s="14" t="n">
        <f aca="false">IF($L69=2012,1,0)</f>
        <v>0</v>
      </c>
      <c r="T69" s="14" t="n">
        <f aca="false">IF($L69=2013,1,0)</f>
        <v>1</v>
      </c>
      <c r="U69" s="14" t="n">
        <f aca="false">IF($L69=2014,1,0)</f>
        <v>0</v>
      </c>
      <c r="V69" s="14" t="n">
        <f aca="false">IF($L69=2015,1,0)</f>
        <v>0</v>
      </c>
      <c r="W69" s="14" t="n">
        <f aca="false">IF($L69=2016,1,0)</f>
        <v>0</v>
      </c>
      <c r="X69" s="14" t="n">
        <f aca="false">IF($L69=2017,1,0)</f>
        <v>0</v>
      </c>
      <c r="Y69" s="14" t="n">
        <f aca="false">IF($H69="Beginner Level",1,0)</f>
        <v>0</v>
      </c>
      <c r="Z69" s="14" t="n">
        <f aca="false">IF($H69="Expert Level",1,0)</f>
        <v>0</v>
      </c>
      <c r="AA69" s="14" t="n">
        <f aca="false">IF($H69="Intermediate Level",1,0)</f>
        <v>0</v>
      </c>
      <c r="AC69" s="14" t="n">
        <f aca="false">N69</f>
        <v>4.31762143798155</v>
      </c>
      <c r="AD69" s="14" t="n">
        <f aca="false">G69</f>
        <v>35</v>
      </c>
      <c r="AE69" s="14" t="n">
        <f aca="false">J69</f>
        <v>7</v>
      </c>
      <c r="AF69" s="14" t="n">
        <f aca="false">IF($L69=2012,1,0)</f>
        <v>0</v>
      </c>
      <c r="AG69" s="14" t="n">
        <f aca="false">IF($L69=2013,1,0)</f>
        <v>1</v>
      </c>
      <c r="AH69" s="14" t="n">
        <f aca="false">IF($L69=2014,1,0)</f>
        <v>0</v>
      </c>
      <c r="AI69" s="14" t="n">
        <f aca="false">IF($L69=2015,1,0)</f>
        <v>0</v>
      </c>
      <c r="AJ69" s="14" t="n">
        <f aca="false">IF($L69=2016,1,0)</f>
        <v>0</v>
      </c>
      <c r="AK69" s="14" t="n">
        <f aca="false">IF($L69=2017,1,0)</f>
        <v>0</v>
      </c>
      <c r="AL69" s="14" t="n">
        <f aca="false">IF($H69="Beginner Level",1,0)</f>
        <v>0</v>
      </c>
      <c r="AM69" s="14" t="n">
        <f aca="false">IF($H69="Expert Level",1,0)</f>
        <v>0</v>
      </c>
      <c r="AN69" s="14" t="n">
        <f aca="false">IF($H69="Intermediate Level",1,0)</f>
        <v>0</v>
      </c>
    </row>
    <row r="70" customFormat="false" ht="46.25" hidden="false" customHeight="false" outlineLevel="0" collapsed="false">
      <c r="A70" s="14" t="n">
        <v>701634</v>
      </c>
      <c r="B70" s="14" t="s">
        <v>192</v>
      </c>
      <c r="C70" s="14" t="s">
        <v>193</v>
      </c>
      <c r="D70" s="14" t="n">
        <v>0</v>
      </c>
      <c r="E70" s="14" t="n">
        <v>21245</v>
      </c>
      <c r="F70" s="14" t="n">
        <v>914</v>
      </c>
      <c r="G70" s="14" t="n">
        <v>9</v>
      </c>
      <c r="H70" s="14" t="s">
        <v>62</v>
      </c>
      <c r="I70" s="14" t="n">
        <v>0.19</v>
      </c>
      <c r="J70" s="14" t="n">
        <v>1</v>
      </c>
      <c r="K70" s="14" t="s">
        <v>53</v>
      </c>
      <c r="L70" s="14" t="n">
        <v>2016</v>
      </c>
      <c r="M70" s="14" t="n">
        <v>9.96387685254891</v>
      </c>
      <c r="N70" s="14" t="n">
        <v>-4.60517018598809</v>
      </c>
      <c r="P70" s="14" t="n">
        <f aca="false">D70</f>
        <v>0</v>
      </c>
      <c r="Q70" s="14" t="n">
        <f aca="false">G70</f>
        <v>9</v>
      </c>
      <c r="R70" s="14" t="n">
        <f aca="false">J70</f>
        <v>1</v>
      </c>
      <c r="S70" s="14" t="n">
        <f aca="false">IF($L70=2012,1,0)</f>
        <v>0</v>
      </c>
      <c r="T70" s="14" t="n">
        <f aca="false">IF($L70=2013,1,0)</f>
        <v>0</v>
      </c>
      <c r="U70" s="14" t="n">
        <f aca="false">IF($L70=2014,1,0)</f>
        <v>0</v>
      </c>
      <c r="V70" s="14" t="n">
        <f aca="false">IF($L70=2015,1,0)</f>
        <v>0</v>
      </c>
      <c r="W70" s="14" t="n">
        <f aca="false">IF($L70=2016,1,0)</f>
        <v>1</v>
      </c>
      <c r="X70" s="14" t="n">
        <f aca="false">IF($L70=2017,1,0)</f>
        <v>0</v>
      </c>
      <c r="Y70" s="14" t="n">
        <f aca="false">IF($H70="Beginner Level",1,0)</f>
        <v>0</v>
      </c>
      <c r="Z70" s="14" t="n">
        <f aca="false">IF($H70="Expert Level",1,0)</f>
        <v>0</v>
      </c>
      <c r="AA70" s="14" t="n">
        <f aca="false">IF($H70="Intermediate Level",1,0)</f>
        <v>0</v>
      </c>
      <c r="AC70" s="14" t="n">
        <f aca="false">N70</f>
        <v>-4.60517018598809</v>
      </c>
      <c r="AD70" s="14" t="n">
        <f aca="false">G70</f>
        <v>9</v>
      </c>
      <c r="AE70" s="14" t="n">
        <f aca="false">J70</f>
        <v>1</v>
      </c>
      <c r="AF70" s="14" t="n">
        <f aca="false">IF($L70=2012,1,0)</f>
        <v>0</v>
      </c>
      <c r="AG70" s="14" t="n">
        <f aca="false">IF($L70=2013,1,0)</f>
        <v>0</v>
      </c>
      <c r="AH70" s="14" t="n">
        <f aca="false">IF($L70=2014,1,0)</f>
        <v>0</v>
      </c>
      <c r="AI70" s="14" t="n">
        <f aca="false">IF($L70=2015,1,0)</f>
        <v>0</v>
      </c>
      <c r="AJ70" s="14" t="n">
        <f aca="false">IF($L70=2016,1,0)</f>
        <v>1</v>
      </c>
      <c r="AK70" s="14" t="n">
        <f aca="false">IF($L70=2017,1,0)</f>
        <v>0</v>
      </c>
      <c r="AL70" s="14" t="n">
        <f aca="false">IF($H70="Beginner Level",1,0)</f>
        <v>0</v>
      </c>
      <c r="AM70" s="14" t="n">
        <f aca="false">IF($H70="Expert Level",1,0)</f>
        <v>0</v>
      </c>
      <c r="AN70" s="14" t="n">
        <f aca="false">IF($H70="Intermediate Level",1,0)</f>
        <v>0</v>
      </c>
    </row>
    <row r="71" customFormat="false" ht="68.65" hidden="false" customHeight="false" outlineLevel="0" collapsed="false">
      <c r="A71" s="14" t="n">
        <v>357726</v>
      </c>
      <c r="B71" s="14" t="s">
        <v>194</v>
      </c>
      <c r="C71" s="14" t="s">
        <v>195</v>
      </c>
      <c r="D71" s="14" t="n">
        <v>0</v>
      </c>
      <c r="E71" s="14" t="n">
        <v>21147</v>
      </c>
      <c r="F71" s="14" t="n">
        <v>1220</v>
      </c>
      <c r="G71" s="14" t="n">
        <v>16</v>
      </c>
      <c r="H71" s="14" t="s">
        <v>52</v>
      </c>
      <c r="I71" s="14" t="n">
        <v>0.74</v>
      </c>
      <c r="J71" s="14" t="n">
        <v>1.5</v>
      </c>
      <c r="K71" s="14" t="s">
        <v>53</v>
      </c>
      <c r="L71" s="14" t="n">
        <v>2015</v>
      </c>
      <c r="M71" s="14" t="n">
        <v>9.95925333044199</v>
      </c>
      <c r="N71" s="14" t="n">
        <v>-4.60517018598809</v>
      </c>
      <c r="P71" s="14" t="n">
        <f aca="false">D71</f>
        <v>0</v>
      </c>
      <c r="Q71" s="14" t="n">
        <f aca="false">G71</f>
        <v>16</v>
      </c>
      <c r="R71" s="14" t="n">
        <f aca="false">J71</f>
        <v>1.5</v>
      </c>
      <c r="S71" s="14" t="n">
        <f aca="false">IF($L71=2012,1,0)</f>
        <v>0</v>
      </c>
      <c r="T71" s="14" t="n">
        <f aca="false">IF($L71=2013,1,0)</f>
        <v>0</v>
      </c>
      <c r="U71" s="14" t="n">
        <f aca="false">IF($L71=2014,1,0)</f>
        <v>0</v>
      </c>
      <c r="V71" s="14" t="n">
        <f aca="false">IF($L71=2015,1,0)</f>
        <v>1</v>
      </c>
      <c r="W71" s="14" t="n">
        <f aca="false">IF($L71=2016,1,0)</f>
        <v>0</v>
      </c>
      <c r="X71" s="14" t="n">
        <f aca="false">IF($L71=2017,1,0)</f>
        <v>0</v>
      </c>
      <c r="Y71" s="14" t="n">
        <f aca="false">IF($H71="Beginner Level",1,0)</f>
        <v>1</v>
      </c>
      <c r="Z71" s="14" t="n">
        <f aca="false">IF($H71="Expert Level",1,0)</f>
        <v>0</v>
      </c>
      <c r="AA71" s="14" t="n">
        <f aca="false">IF($H71="Intermediate Level",1,0)</f>
        <v>0</v>
      </c>
      <c r="AC71" s="14" t="n">
        <f aca="false">N71</f>
        <v>-4.60517018598809</v>
      </c>
      <c r="AD71" s="14" t="n">
        <f aca="false">G71</f>
        <v>16</v>
      </c>
      <c r="AE71" s="14" t="n">
        <f aca="false">J71</f>
        <v>1.5</v>
      </c>
      <c r="AF71" s="14" t="n">
        <f aca="false">IF($L71=2012,1,0)</f>
        <v>0</v>
      </c>
      <c r="AG71" s="14" t="n">
        <f aca="false">IF($L71=2013,1,0)</f>
        <v>0</v>
      </c>
      <c r="AH71" s="14" t="n">
        <f aca="false">IF($L71=2014,1,0)</f>
        <v>0</v>
      </c>
      <c r="AI71" s="14" t="n">
        <f aca="false">IF($L71=2015,1,0)</f>
        <v>1</v>
      </c>
      <c r="AJ71" s="14" t="n">
        <f aca="false">IF($L71=2016,1,0)</f>
        <v>0</v>
      </c>
      <c r="AK71" s="14" t="n">
        <f aca="false">IF($L71=2017,1,0)</f>
        <v>0</v>
      </c>
      <c r="AL71" s="14" t="n">
        <f aca="false">IF($H71="Beginner Level",1,0)</f>
        <v>1</v>
      </c>
      <c r="AM71" s="14" t="n">
        <f aca="false">IF($H71="Expert Level",1,0)</f>
        <v>0</v>
      </c>
      <c r="AN71" s="14" t="n">
        <f aca="false">IF($H71="Intermediate Level",1,0)</f>
        <v>0</v>
      </c>
    </row>
    <row r="72" customFormat="false" ht="68.65" hidden="false" customHeight="false" outlineLevel="0" collapsed="false">
      <c r="A72" s="14" t="n">
        <v>197828</v>
      </c>
      <c r="B72" s="14" t="s">
        <v>196</v>
      </c>
      <c r="C72" s="14" t="s">
        <v>197</v>
      </c>
      <c r="D72" s="14" t="n">
        <v>0</v>
      </c>
      <c r="E72" s="14" t="n">
        <v>21087</v>
      </c>
      <c r="F72" s="14" t="n">
        <v>154</v>
      </c>
      <c r="G72" s="14" t="n">
        <v>24</v>
      </c>
      <c r="H72" s="14" t="s">
        <v>71</v>
      </c>
      <c r="I72" s="14" t="n">
        <v>0.14</v>
      </c>
      <c r="J72" s="14" t="n">
        <v>3.5</v>
      </c>
      <c r="K72" s="14" t="s">
        <v>53</v>
      </c>
      <c r="L72" s="14" t="n">
        <v>2014</v>
      </c>
      <c r="M72" s="14" t="n">
        <v>9.95641201584401</v>
      </c>
      <c r="N72" s="14" t="n">
        <v>-4.60517018598809</v>
      </c>
      <c r="P72" s="14" t="n">
        <f aca="false">D72</f>
        <v>0</v>
      </c>
      <c r="Q72" s="14" t="n">
        <f aca="false">G72</f>
        <v>24</v>
      </c>
      <c r="R72" s="14" t="n">
        <f aca="false">J72</f>
        <v>3.5</v>
      </c>
      <c r="S72" s="14" t="n">
        <f aca="false">IF($L72=2012,1,0)</f>
        <v>0</v>
      </c>
      <c r="T72" s="14" t="n">
        <f aca="false">IF($L72=2013,1,0)</f>
        <v>0</v>
      </c>
      <c r="U72" s="14" t="n">
        <f aca="false">IF($L72=2014,1,0)</f>
        <v>1</v>
      </c>
      <c r="V72" s="14" t="n">
        <f aca="false">IF($L72=2015,1,0)</f>
        <v>0</v>
      </c>
      <c r="W72" s="14" t="n">
        <f aca="false">IF($L72=2016,1,0)</f>
        <v>0</v>
      </c>
      <c r="X72" s="14" t="n">
        <f aca="false">IF($L72=2017,1,0)</f>
        <v>0</v>
      </c>
      <c r="Y72" s="14" t="n">
        <f aca="false">IF($H72="Beginner Level",1,0)</f>
        <v>0</v>
      </c>
      <c r="Z72" s="14" t="n">
        <f aca="false">IF($H72="Expert Level",1,0)</f>
        <v>0</v>
      </c>
      <c r="AA72" s="14" t="n">
        <f aca="false">IF($H72="Intermediate Level",1,0)</f>
        <v>1</v>
      </c>
      <c r="AC72" s="14" t="n">
        <f aca="false">N72</f>
        <v>-4.60517018598809</v>
      </c>
      <c r="AD72" s="14" t="n">
        <f aca="false">G72</f>
        <v>24</v>
      </c>
      <c r="AE72" s="14" t="n">
        <f aca="false">J72</f>
        <v>3.5</v>
      </c>
      <c r="AF72" s="14" t="n">
        <f aca="false">IF($L72=2012,1,0)</f>
        <v>0</v>
      </c>
      <c r="AG72" s="14" t="n">
        <f aca="false">IF($L72=2013,1,0)</f>
        <v>0</v>
      </c>
      <c r="AH72" s="14" t="n">
        <f aca="false">IF($L72=2014,1,0)</f>
        <v>1</v>
      </c>
      <c r="AI72" s="14" t="n">
        <f aca="false">IF($L72=2015,1,0)</f>
        <v>0</v>
      </c>
      <c r="AJ72" s="14" t="n">
        <f aca="false">IF($L72=2016,1,0)</f>
        <v>0</v>
      </c>
      <c r="AK72" s="14" t="n">
        <f aca="false">IF($L72=2017,1,0)</f>
        <v>0</v>
      </c>
      <c r="AL72" s="14" t="n">
        <f aca="false">IF($H72="Beginner Level",1,0)</f>
        <v>0</v>
      </c>
      <c r="AM72" s="14" t="n">
        <f aca="false">IF($H72="Expert Level",1,0)</f>
        <v>0</v>
      </c>
      <c r="AN72" s="14" t="n">
        <f aca="false">IF($H72="Intermediate Level",1,0)</f>
        <v>1</v>
      </c>
    </row>
    <row r="73" customFormat="false" ht="46.25" hidden="false" customHeight="false" outlineLevel="0" collapsed="false">
      <c r="A73" s="14" t="n">
        <v>382786</v>
      </c>
      <c r="B73" s="14" t="s">
        <v>198</v>
      </c>
      <c r="C73" s="14" t="s">
        <v>199</v>
      </c>
      <c r="D73" s="14" t="n">
        <v>0</v>
      </c>
      <c r="E73" s="14" t="n">
        <v>20890</v>
      </c>
      <c r="F73" s="14" t="n">
        <v>945</v>
      </c>
      <c r="G73" s="14" t="n">
        <v>21</v>
      </c>
      <c r="H73" s="14" t="s">
        <v>52</v>
      </c>
      <c r="I73" s="14" t="n">
        <v>0.22</v>
      </c>
      <c r="J73" s="14" t="n">
        <v>3</v>
      </c>
      <c r="K73" s="14" t="s">
        <v>53</v>
      </c>
      <c r="L73" s="14" t="n">
        <v>2015</v>
      </c>
      <c r="M73" s="14" t="n">
        <v>9.94702585455061</v>
      </c>
      <c r="N73" s="14" t="n">
        <v>-4.60517018598809</v>
      </c>
      <c r="P73" s="14" t="n">
        <f aca="false">D73</f>
        <v>0</v>
      </c>
      <c r="Q73" s="14" t="n">
        <f aca="false">G73</f>
        <v>21</v>
      </c>
      <c r="R73" s="14" t="n">
        <f aca="false">J73</f>
        <v>3</v>
      </c>
      <c r="S73" s="14" t="n">
        <f aca="false">IF($L73=2012,1,0)</f>
        <v>0</v>
      </c>
      <c r="T73" s="14" t="n">
        <f aca="false">IF($L73=2013,1,0)</f>
        <v>0</v>
      </c>
      <c r="U73" s="14" t="n">
        <f aca="false">IF($L73=2014,1,0)</f>
        <v>0</v>
      </c>
      <c r="V73" s="14" t="n">
        <f aca="false">IF($L73=2015,1,0)</f>
        <v>1</v>
      </c>
      <c r="W73" s="14" t="n">
        <f aca="false">IF($L73=2016,1,0)</f>
        <v>0</v>
      </c>
      <c r="X73" s="14" t="n">
        <f aca="false">IF($L73=2017,1,0)</f>
        <v>0</v>
      </c>
      <c r="Y73" s="14" t="n">
        <f aca="false">IF($H73="Beginner Level",1,0)</f>
        <v>1</v>
      </c>
      <c r="Z73" s="14" t="n">
        <f aca="false">IF($H73="Expert Level",1,0)</f>
        <v>0</v>
      </c>
      <c r="AA73" s="14" t="n">
        <f aca="false">IF($H73="Intermediate Level",1,0)</f>
        <v>0</v>
      </c>
      <c r="AC73" s="14" t="n">
        <f aca="false">N73</f>
        <v>-4.60517018598809</v>
      </c>
      <c r="AD73" s="14" t="n">
        <f aca="false">G73</f>
        <v>21</v>
      </c>
      <c r="AE73" s="14" t="n">
        <f aca="false">J73</f>
        <v>3</v>
      </c>
      <c r="AF73" s="14" t="n">
        <f aca="false">IF($L73=2012,1,0)</f>
        <v>0</v>
      </c>
      <c r="AG73" s="14" t="n">
        <f aca="false">IF($L73=2013,1,0)</f>
        <v>0</v>
      </c>
      <c r="AH73" s="14" t="n">
        <f aca="false">IF($L73=2014,1,0)</f>
        <v>0</v>
      </c>
      <c r="AI73" s="14" t="n">
        <f aca="false">IF($L73=2015,1,0)</f>
        <v>1</v>
      </c>
      <c r="AJ73" s="14" t="n">
        <f aca="false">IF($L73=2016,1,0)</f>
        <v>0</v>
      </c>
      <c r="AK73" s="14" t="n">
        <f aca="false">IF($L73=2017,1,0)</f>
        <v>0</v>
      </c>
      <c r="AL73" s="14" t="n">
        <f aca="false">IF($H73="Beginner Level",1,0)</f>
        <v>1</v>
      </c>
      <c r="AM73" s="14" t="n">
        <f aca="false">IF($H73="Expert Level",1,0)</f>
        <v>0</v>
      </c>
      <c r="AN73" s="14" t="n">
        <f aca="false">IF($H73="Intermediate Level",1,0)</f>
        <v>0</v>
      </c>
    </row>
    <row r="74" customFormat="false" ht="68.65" hidden="false" customHeight="false" outlineLevel="0" collapsed="false">
      <c r="A74" s="14" t="n">
        <v>806922</v>
      </c>
      <c r="B74" s="14" t="s">
        <v>200</v>
      </c>
      <c r="C74" s="14" t="s">
        <v>201</v>
      </c>
      <c r="D74" s="14" t="n">
        <v>190</v>
      </c>
      <c r="E74" s="14" t="n">
        <v>20652</v>
      </c>
      <c r="F74" s="14" t="n">
        <v>6357</v>
      </c>
      <c r="G74" s="14" t="n">
        <v>138</v>
      </c>
      <c r="H74" s="14" t="s">
        <v>52</v>
      </c>
      <c r="I74" s="14" t="n">
        <v>0.63</v>
      </c>
      <c r="J74" s="14" t="n">
        <v>7.5</v>
      </c>
      <c r="K74" s="14" t="s">
        <v>59</v>
      </c>
      <c r="L74" s="14" t="n">
        <v>2016</v>
      </c>
      <c r="M74" s="14" t="n">
        <v>9.93556744599954</v>
      </c>
      <c r="N74" s="14" t="n">
        <v>5.24707670235444</v>
      </c>
      <c r="P74" s="14" t="n">
        <f aca="false">D74</f>
        <v>190</v>
      </c>
      <c r="Q74" s="14" t="n">
        <f aca="false">G74</f>
        <v>138</v>
      </c>
      <c r="R74" s="14" t="n">
        <f aca="false">J74</f>
        <v>7.5</v>
      </c>
      <c r="S74" s="14" t="n">
        <f aca="false">IF($L74=2012,1,0)</f>
        <v>0</v>
      </c>
      <c r="T74" s="14" t="n">
        <f aca="false">IF($L74=2013,1,0)</f>
        <v>0</v>
      </c>
      <c r="U74" s="14" t="n">
        <f aca="false">IF($L74=2014,1,0)</f>
        <v>0</v>
      </c>
      <c r="V74" s="14" t="n">
        <f aca="false">IF($L74=2015,1,0)</f>
        <v>0</v>
      </c>
      <c r="W74" s="14" t="n">
        <f aca="false">IF($L74=2016,1,0)</f>
        <v>1</v>
      </c>
      <c r="X74" s="14" t="n">
        <f aca="false">IF($L74=2017,1,0)</f>
        <v>0</v>
      </c>
      <c r="Y74" s="14" t="n">
        <f aca="false">IF($H74="Beginner Level",1,0)</f>
        <v>1</v>
      </c>
      <c r="Z74" s="14" t="n">
        <f aca="false">IF($H74="Expert Level",1,0)</f>
        <v>0</v>
      </c>
      <c r="AA74" s="14" t="n">
        <f aca="false">IF($H74="Intermediate Level",1,0)</f>
        <v>0</v>
      </c>
      <c r="AC74" s="14" t="n">
        <f aca="false">N74</f>
        <v>5.24707670235444</v>
      </c>
      <c r="AD74" s="14" t="n">
        <f aca="false">G74</f>
        <v>138</v>
      </c>
      <c r="AE74" s="14" t="n">
        <f aca="false">J74</f>
        <v>7.5</v>
      </c>
      <c r="AF74" s="14" t="n">
        <f aca="false">IF($L74=2012,1,0)</f>
        <v>0</v>
      </c>
      <c r="AG74" s="14" t="n">
        <f aca="false">IF($L74=2013,1,0)</f>
        <v>0</v>
      </c>
      <c r="AH74" s="14" t="n">
        <f aca="false">IF($L74=2014,1,0)</f>
        <v>0</v>
      </c>
      <c r="AI74" s="14" t="n">
        <f aca="false">IF($L74=2015,1,0)</f>
        <v>0</v>
      </c>
      <c r="AJ74" s="14" t="n">
        <f aca="false">IF($L74=2016,1,0)</f>
        <v>1</v>
      </c>
      <c r="AK74" s="14" t="n">
        <f aca="false">IF($L74=2017,1,0)</f>
        <v>0</v>
      </c>
      <c r="AL74" s="14" t="n">
        <f aca="false">IF($H74="Beginner Level",1,0)</f>
        <v>1</v>
      </c>
      <c r="AM74" s="14" t="n">
        <f aca="false">IF($H74="Expert Level",1,0)</f>
        <v>0</v>
      </c>
      <c r="AN74" s="14" t="n">
        <f aca="false">IF($H74="Intermediate Level",1,0)</f>
        <v>0</v>
      </c>
    </row>
    <row r="75" customFormat="false" ht="68.65" hidden="false" customHeight="false" outlineLevel="0" collapsed="false">
      <c r="A75" s="14" t="n">
        <v>766592</v>
      </c>
      <c r="B75" s="14" t="s">
        <v>202</v>
      </c>
      <c r="C75" s="14" t="s">
        <v>203</v>
      </c>
      <c r="D75" s="14" t="n">
        <v>0</v>
      </c>
      <c r="E75" s="14" t="n">
        <v>20073</v>
      </c>
      <c r="F75" s="14" t="n">
        <v>615</v>
      </c>
      <c r="G75" s="14" t="n">
        <v>28</v>
      </c>
      <c r="H75" s="14" t="s">
        <v>71</v>
      </c>
      <c r="I75" s="14" t="n">
        <v>0.03</v>
      </c>
      <c r="J75" s="14" t="n">
        <v>1.5</v>
      </c>
      <c r="K75" s="14" t="s">
        <v>53</v>
      </c>
      <c r="L75" s="14" t="n">
        <v>2016</v>
      </c>
      <c r="M75" s="14" t="n">
        <v>9.90713090745093</v>
      </c>
      <c r="N75" s="14" t="n">
        <v>-4.60517018598809</v>
      </c>
      <c r="P75" s="14" t="n">
        <f aca="false">D75</f>
        <v>0</v>
      </c>
      <c r="Q75" s="14" t="n">
        <f aca="false">G75</f>
        <v>28</v>
      </c>
      <c r="R75" s="14" t="n">
        <f aca="false">J75</f>
        <v>1.5</v>
      </c>
      <c r="S75" s="14" t="n">
        <f aca="false">IF($L75=2012,1,0)</f>
        <v>0</v>
      </c>
      <c r="T75" s="14" t="n">
        <f aca="false">IF($L75=2013,1,0)</f>
        <v>0</v>
      </c>
      <c r="U75" s="14" t="n">
        <f aca="false">IF($L75=2014,1,0)</f>
        <v>0</v>
      </c>
      <c r="V75" s="14" t="n">
        <f aca="false">IF($L75=2015,1,0)</f>
        <v>0</v>
      </c>
      <c r="W75" s="14" t="n">
        <f aca="false">IF($L75=2016,1,0)</f>
        <v>1</v>
      </c>
      <c r="X75" s="14" t="n">
        <f aca="false">IF($L75=2017,1,0)</f>
        <v>0</v>
      </c>
      <c r="Y75" s="14" t="n">
        <f aca="false">IF($H75="Beginner Level",1,0)</f>
        <v>0</v>
      </c>
      <c r="Z75" s="14" t="n">
        <f aca="false">IF($H75="Expert Level",1,0)</f>
        <v>0</v>
      </c>
      <c r="AA75" s="14" t="n">
        <f aca="false">IF($H75="Intermediate Level",1,0)</f>
        <v>1</v>
      </c>
      <c r="AC75" s="14" t="n">
        <f aca="false">N75</f>
        <v>-4.60517018598809</v>
      </c>
      <c r="AD75" s="14" t="n">
        <f aca="false">G75</f>
        <v>28</v>
      </c>
      <c r="AE75" s="14" t="n">
        <f aca="false">J75</f>
        <v>1.5</v>
      </c>
      <c r="AF75" s="14" t="n">
        <f aca="false">IF($L75=2012,1,0)</f>
        <v>0</v>
      </c>
      <c r="AG75" s="14" t="n">
        <f aca="false">IF($L75=2013,1,0)</f>
        <v>0</v>
      </c>
      <c r="AH75" s="14" t="n">
        <f aca="false">IF($L75=2014,1,0)</f>
        <v>0</v>
      </c>
      <c r="AI75" s="14" t="n">
        <f aca="false">IF($L75=2015,1,0)</f>
        <v>0</v>
      </c>
      <c r="AJ75" s="14" t="n">
        <f aca="false">IF($L75=2016,1,0)</f>
        <v>1</v>
      </c>
      <c r="AK75" s="14" t="n">
        <f aca="false">IF($L75=2017,1,0)</f>
        <v>0</v>
      </c>
      <c r="AL75" s="14" t="n">
        <f aca="false">IF($H75="Beginner Level",1,0)</f>
        <v>0</v>
      </c>
      <c r="AM75" s="14" t="n">
        <f aca="false">IF($H75="Expert Level",1,0)</f>
        <v>0</v>
      </c>
      <c r="AN75" s="14" t="n">
        <f aca="false">IF($H75="Intermediate Level",1,0)</f>
        <v>1</v>
      </c>
    </row>
    <row r="76" customFormat="false" ht="46.25" hidden="false" customHeight="false" outlineLevel="0" collapsed="false">
      <c r="A76" s="14" t="n">
        <v>162274</v>
      </c>
      <c r="B76" s="14" t="s">
        <v>204</v>
      </c>
      <c r="C76" s="14" t="s">
        <v>205</v>
      </c>
      <c r="D76" s="14" t="n">
        <v>0</v>
      </c>
      <c r="E76" s="14" t="n">
        <v>19909</v>
      </c>
      <c r="F76" s="14" t="n">
        <v>411</v>
      </c>
      <c r="G76" s="14" t="n">
        <v>17</v>
      </c>
      <c r="H76" s="14" t="s">
        <v>62</v>
      </c>
      <c r="I76" s="14" t="n">
        <v>0.46</v>
      </c>
      <c r="J76" s="14" t="n">
        <v>3</v>
      </c>
      <c r="K76" s="14" t="s">
        <v>53</v>
      </c>
      <c r="L76" s="14" t="n">
        <v>2014</v>
      </c>
      <c r="M76" s="14" t="n">
        <v>9.8989271697798</v>
      </c>
      <c r="N76" s="14" t="n">
        <v>-4.60517018598809</v>
      </c>
      <c r="P76" s="14" t="n">
        <f aca="false">D76</f>
        <v>0</v>
      </c>
      <c r="Q76" s="14" t="n">
        <f aca="false">G76</f>
        <v>17</v>
      </c>
      <c r="R76" s="14" t="n">
        <f aca="false">J76</f>
        <v>3</v>
      </c>
      <c r="S76" s="14" t="n">
        <f aca="false">IF($L76=2012,1,0)</f>
        <v>0</v>
      </c>
      <c r="T76" s="14" t="n">
        <f aca="false">IF($L76=2013,1,0)</f>
        <v>0</v>
      </c>
      <c r="U76" s="14" t="n">
        <f aca="false">IF($L76=2014,1,0)</f>
        <v>1</v>
      </c>
      <c r="V76" s="14" t="n">
        <f aca="false">IF($L76=2015,1,0)</f>
        <v>0</v>
      </c>
      <c r="W76" s="14" t="n">
        <f aca="false">IF($L76=2016,1,0)</f>
        <v>0</v>
      </c>
      <c r="X76" s="14" t="n">
        <f aca="false">IF($L76=2017,1,0)</f>
        <v>0</v>
      </c>
      <c r="Y76" s="14" t="n">
        <f aca="false">IF($H76="Beginner Level",1,0)</f>
        <v>0</v>
      </c>
      <c r="Z76" s="14" t="n">
        <f aca="false">IF($H76="Expert Level",1,0)</f>
        <v>0</v>
      </c>
      <c r="AA76" s="14" t="n">
        <f aca="false">IF($H76="Intermediate Level",1,0)</f>
        <v>0</v>
      </c>
      <c r="AC76" s="14" t="n">
        <f aca="false">N76</f>
        <v>-4.60517018598809</v>
      </c>
      <c r="AD76" s="14" t="n">
        <f aca="false">G76</f>
        <v>17</v>
      </c>
      <c r="AE76" s="14" t="n">
        <f aca="false">J76</f>
        <v>3</v>
      </c>
      <c r="AF76" s="14" t="n">
        <f aca="false">IF($L76=2012,1,0)</f>
        <v>0</v>
      </c>
      <c r="AG76" s="14" t="n">
        <f aca="false">IF($L76=2013,1,0)</f>
        <v>0</v>
      </c>
      <c r="AH76" s="14" t="n">
        <f aca="false">IF($L76=2014,1,0)</f>
        <v>1</v>
      </c>
      <c r="AI76" s="14" t="n">
        <f aca="false">IF($L76=2015,1,0)</f>
        <v>0</v>
      </c>
      <c r="AJ76" s="14" t="n">
        <f aca="false">IF($L76=2016,1,0)</f>
        <v>0</v>
      </c>
      <c r="AK76" s="14" t="n">
        <f aca="false">IF($L76=2017,1,0)</f>
        <v>0</v>
      </c>
      <c r="AL76" s="14" t="n">
        <f aca="false">IF($H76="Beginner Level",1,0)</f>
        <v>0</v>
      </c>
      <c r="AM76" s="14" t="n">
        <f aca="false">IF($H76="Expert Level",1,0)</f>
        <v>0</v>
      </c>
      <c r="AN76" s="14" t="n">
        <f aca="false">IF($H76="Intermediate Level",1,0)</f>
        <v>0</v>
      </c>
    </row>
    <row r="77" customFormat="false" ht="79.85" hidden="false" customHeight="false" outlineLevel="0" collapsed="false">
      <c r="A77" s="14" t="n">
        <v>714724</v>
      </c>
      <c r="B77" s="14" t="s">
        <v>206</v>
      </c>
      <c r="C77" s="14" t="s">
        <v>207</v>
      </c>
      <c r="D77" s="14" t="n">
        <v>30</v>
      </c>
      <c r="E77" s="14" t="n">
        <v>19210</v>
      </c>
      <c r="F77" s="14" t="n">
        <v>3137</v>
      </c>
      <c r="G77" s="14" t="n">
        <v>44</v>
      </c>
      <c r="H77" s="14" t="s">
        <v>62</v>
      </c>
      <c r="I77" s="14" t="n">
        <v>0.57</v>
      </c>
      <c r="J77" s="14" t="n">
        <v>3</v>
      </c>
      <c r="K77" s="14" t="s">
        <v>59</v>
      </c>
      <c r="L77" s="14" t="n">
        <v>2016</v>
      </c>
      <c r="M77" s="14" t="n">
        <v>9.8631862557626</v>
      </c>
      <c r="N77" s="14" t="n">
        <v>3.40153065945228</v>
      </c>
      <c r="P77" s="14" t="n">
        <f aca="false">D77</f>
        <v>30</v>
      </c>
      <c r="Q77" s="14" t="n">
        <f aca="false">G77</f>
        <v>44</v>
      </c>
      <c r="R77" s="14" t="n">
        <f aca="false">J77</f>
        <v>3</v>
      </c>
      <c r="S77" s="14" t="n">
        <f aca="false">IF($L77=2012,1,0)</f>
        <v>0</v>
      </c>
      <c r="T77" s="14" t="n">
        <f aca="false">IF($L77=2013,1,0)</f>
        <v>0</v>
      </c>
      <c r="U77" s="14" t="n">
        <f aca="false">IF($L77=2014,1,0)</f>
        <v>0</v>
      </c>
      <c r="V77" s="14" t="n">
        <f aca="false">IF($L77=2015,1,0)</f>
        <v>0</v>
      </c>
      <c r="W77" s="14" t="n">
        <f aca="false">IF($L77=2016,1,0)</f>
        <v>1</v>
      </c>
      <c r="X77" s="14" t="n">
        <f aca="false">IF($L77=2017,1,0)</f>
        <v>0</v>
      </c>
      <c r="Y77" s="14" t="n">
        <f aca="false">IF($H77="Beginner Level",1,0)</f>
        <v>0</v>
      </c>
      <c r="Z77" s="14" t="n">
        <f aca="false">IF($H77="Expert Level",1,0)</f>
        <v>0</v>
      </c>
      <c r="AA77" s="14" t="n">
        <f aca="false">IF($H77="Intermediate Level",1,0)</f>
        <v>0</v>
      </c>
      <c r="AC77" s="14" t="n">
        <f aca="false">N77</f>
        <v>3.40153065945228</v>
      </c>
      <c r="AD77" s="14" t="n">
        <f aca="false">G77</f>
        <v>44</v>
      </c>
      <c r="AE77" s="14" t="n">
        <f aca="false">J77</f>
        <v>3</v>
      </c>
      <c r="AF77" s="14" t="n">
        <f aca="false">IF($L77=2012,1,0)</f>
        <v>0</v>
      </c>
      <c r="AG77" s="14" t="n">
        <f aca="false">IF($L77=2013,1,0)</f>
        <v>0</v>
      </c>
      <c r="AH77" s="14" t="n">
        <f aca="false">IF($L77=2014,1,0)</f>
        <v>0</v>
      </c>
      <c r="AI77" s="14" t="n">
        <f aca="false">IF($L77=2015,1,0)</f>
        <v>0</v>
      </c>
      <c r="AJ77" s="14" t="n">
        <f aca="false">IF($L77=2016,1,0)</f>
        <v>1</v>
      </c>
      <c r="AK77" s="14" t="n">
        <f aca="false">IF($L77=2017,1,0)</f>
        <v>0</v>
      </c>
      <c r="AL77" s="14" t="n">
        <f aca="false">IF($H77="Beginner Level",1,0)</f>
        <v>0</v>
      </c>
      <c r="AM77" s="14" t="n">
        <f aca="false">IF($H77="Expert Level",1,0)</f>
        <v>0</v>
      </c>
      <c r="AN77" s="14" t="n">
        <f aca="false">IF($H77="Intermediate Level",1,0)</f>
        <v>0</v>
      </c>
    </row>
    <row r="78" customFormat="false" ht="79.85" hidden="false" customHeight="false" outlineLevel="0" collapsed="false">
      <c r="A78" s="14" t="n">
        <v>231176</v>
      </c>
      <c r="B78" s="14" t="s">
        <v>208</v>
      </c>
      <c r="C78" s="14" t="s">
        <v>209</v>
      </c>
      <c r="D78" s="14" t="n">
        <v>50</v>
      </c>
      <c r="E78" s="14" t="n">
        <v>18818</v>
      </c>
      <c r="F78" s="14" t="n">
        <v>407</v>
      </c>
      <c r="G78" s="14" t="n">
        <v>80</v>
      </c>
      <c r="H78" s="14" t="s">
        <v>52</v>
      </c>
      <c r="I78" s="14" t="n">
        <v>0.89</v>
      </c>
      <c r="J78" s="14" t="n">
        <v>11</v>
      </c>
      <c r="K78" s="14" t="s">
        <v>59</v>
      </c>
      <c r="L78" s="14" t="n">
        <v>2014</v>
      </c>
      <c r="M78" s="14" t="n">
        <v>9.84256913756671</v>
      </c>
      <c r="N78" s="14" t="n">
        <v>3.91222298543081</v>
      </c>
      <c r="P78" s="14" t="n">
        <f aca="false">D78</f>
        <v>50</v>
      </c>
      <c r="Q78" s="14" t="n">
        <f aca="false">G78</f>
        <v>80</v>
      </c>
      <c r="R78" s="14" t="n">
        <f aca="false">J78</f>
        <v>11</v>
      </c>
      <c r="S78" s="14" t="n">
        <f aca="false">IF($L78=2012,1,0)</f>
        <v>0</v>
      </c>
      <c r="T78" s="14" t="n">
        <f aca="false">IF($L78=2013,1,0)</f>
        <v>0</v>
      </c>
      <c r="U78" s="14" t="n">
        <f aca="false">IF($L78=2014,1,0)</f>
        <v>1</v>
      </c>
      <c r="V78" s="14" t="n">
        <f aca="false">IF($L78=2015,1,0)</f>
        <v>0</v>
      </c>
      <c r="W78" s="14" t="n">
        <f aca="false">IF($L78=2016,1,0)</f>
        <v>0</v>
      </c>
      <c r="X78" s="14" t="n">
        <f aca="false">IF($L78=2017,1,0)</f>
        <v>0</v>
      </c>
      <c r="Y78" s="14" t="n">
        <f aca="false">IF($H78="Beginner Level",1,0)</f>
        <v>1</v>
      </c>
      <c r="Z78" s="14" t="n">
        <f aca="false">IF($H78="Expert Level",1,0)</f>
        <v>0</v>
      </c>
      <c r="AA78" s="14" t="n">
        <f aca="false">IF($H78="Intermediate Level",1,0)</f>
        <v>0</v>
      </c>
      <c r="AC78" s="14" t="n">
        <f aca="false">N78</f>
        <v>3.91222298543081</v>
      </c>
      <c r="AD78" s="14" t="n">
        <f aca="false">G78</f>
        <v>80</v>
      </c>
      <c r="AE78" s="14" t="n">
        <f aca="false">J78</f>
        <v>11</v>
      </c>
      <c r="AF78" s="14" t="n">
        <f aca="false">IF($L78=2012,1,0)</f>
        <v>0</v>
      </c>
      <c r="AG78" s="14" t="n">
        <f aca="false">IF($L78=2013,1,0)</f>
        <v>0</v>
      </c>
      <c r="AH78" s="14" t="n">
        <f aca="false">IF($L78=2014,1,0)</f>
        <v>1</v>
      </c>
      <c r="AI78" s="14" t="n">
        <f aca="false">IF($L78=2015,1,0)</f>
        <v>0</v>
      </c>
      <c r="AJ78" s="14" t="n">
        <f aca="false">IF($L78=2016,1,0)</f>
        <v>0</v>
      </c>
      <c r="AK78" s="14" t="n">
        <f aca="false">IF($L78=2017,1,0)</f>
        <v>0</v>
      </c>
      <c r="AL78" s="14" t="n">
        <f aca="false">IF($H78="Beginner Level",1,0)</f>
        <v>1</v>
      </c>
      <c r="AM78" s="14" t="n">
        <f aca="false">IF($H78="Expert Level",1,0)</f>
        <v>0</v>
      </c>
      <c r="AN78" s="14" t="n">
        <f aca="false">IF($H78="Intermediate Level",1,0)</f>
        <v>0</v>
      </c>
    </row>
    <row r="79" customFormat="false" ht="46.25" hidden="false" customHeight="false" outlineLevel="0" collapsed="false">
      <c r="A79" s="14" t="n">
        <v>445534</v>
      </c>
      <c r="B79" s="14" t="s">
        <v>210</v>
      </c>
      <c r="C79" s="14" t="s">
        <v>211</v>
      </c>
      <c r="D79" s="14" t="n">
        <v>20</v>
      </c>
      <c r="E79" s="14" t="n">
        <v>18777</v>
      </c>
      <c r="F79" s="14" t="n">
        <v>1112</v>
      </c>
      <c r="G79" s="14" t="n">
        <v>21</v>
      </c>
      <c r="H79" s="14" t="s">
        <v>52</v>
      </c>
      <c r="I79" s="14" t="n">
        <v>0.88</v>
      </c>
      <c r="J79" s="14" t="n">
        <v>1.5</v>
      </c>
      <c r="K79" s="14" t="s">
        <v>59</v>
      </c>
      <c r="L79" s="14" t="n">
        <v>2015</v>
      </c>
      <c r="M79" s="14" t="n">
        <v>9.84038799559281</v>
      </c>
      <c r="N79" s="14" t="n">
        <v>2.99623214859564</v>
      </c>
      <c r="P79" s="14" t="n">
        <f aca="false">D79</f>
        <v>20</v>
      </c>
      <c r="Q79" s="14" t="n">
        <f aca="false">G79</f>
        <v>21</v>
      </c>
      <c r="R79" s="14" t="n">
        <f aca="false">J79</f>
        <v>1.5</v>
      </c>
      <c r="S79" s="14" t="n">
        <f aca="false">IF($L79=2012,1,0)</f>
        <v>0</v>
      </c>
      <c r="T79" s="14" t="n">
        <f aca="false">IF($L79=2013,1,0)</f>
        <v>0</v>
      </c>
      <c r="U79" s="14" t="n">
        <f aca="false">IF($L79=2014,1,0)</f>
        <v>0</v>
      </c>
      <c r="V79" s="14" t="n">
        <f aca="false">IF($L79=2015,1,0)</f>
        <v>1</v>
      </c>
      <c r="W79" s="14" t="n">
        <f aca="false">IF($L79=2016,1,0)</f>
        <v>0</v>
      </c>
      <c r="X79" s="14" t="n">
        <f aca="false">IF($L79=2017,1,0)</f>
        <v>0</v>
      </c>
      <c r="Y79" s="14" t="n">
        <f aca="false">IF($H79="Beginner Level",1,0)</f>
        <v>1</v>
      </c>
      <c r="Z79" s="14" t="n">
        <f aca="false">IF($H79="Expert Level",1,0)</f>
        <v>0</v>
      </c>
      <c r="AA79" s="14" t="n">
        <f aca="false">IF($H79="Intermediate Level",1,0)</f>
        <v>0</v>
      </c>
      <c r="AC79" s="14" t="n">
        <f aca="false">N79</f>
        <v>2.99623214859564</v>
      </c>
      <c r="AD79" s="14" t="n">
        <f aca="false">G79</f>
        <v>21</v>
      </c>
      <c r="AE79" s="14" t="n">
        <f aca="false">J79</f>
        <v>1.5</v>
      </c>
      <c r="AF79" s="14" t="n">
        <f aca="false">IF($L79=2012,1,0)</f>
        <v>0</v>
      </c>
      <c r="AG79" s="14" t="n">
        <f aca="false">IF($L79=2013,1,0)</f>
        <v>0</v>
      </c>
      <c r="AH79" s="14" t="n">
        <f aca="false">IF($L79=2014,1,0)</f>
        <v>0</v>
      </c>
      <c r="AI79" s="14" t="n">
        <f aca="false">IF($L79=2015,1,0)</f>
        <v>1</v>
      </c>
      <c r="AJ79" s="14" t="n">
        <f aca="false">IF($L79=2016,1,0)</f>
        <v>0</v>
      </c>
      <c r="AK79" s="14" t="n">
        <f aca="false">IF($L79=2017,1,0)</f>
        <v>0</v>
      </c>
      <c r="AL79" s="14" t="n">
        <f aca="false">IF($H79="Beginner Level",1,0)</f>
        <v>1</v>
      </c>
      <c r="AM79" s="14" t="n">
        <f aca="false">IF($H79="Expert Level",1,0)</f>
        <v>0</v>
      </c>
      <c r="AN79" s="14" t="n">
        <f aca="false">IF($H79="Intermediate Level",1,0)</f>
        <v>0</v>
      </c>
    </row>
    <row r="80" customFormat="false" ht="91" hidden="false" customHeight="false" outlineLevel="0" collapsed="false">
      <c r="A80" s="14" t="n">
        <v>297390</v>
      </c>
      <c r="B80" s="14" t="s">
        <v>212</v>
      </c>
      <c r="C80" s="14" t="s">
        <v>213</v>
      </c>
      <c r="D80" s="14" t="n">
        <v>0</v>
      </c>
      <c r="E80" s="14" t="n">
        <v>18496</v>
      </c>
      <c r="F80" s="14" t="n">
        <v>386</v>
      </c>
      <c r="G80" s="14" t="n">
        <v>30</v>
      </c>
      <c r="H80" s="14" t="s">
        <v>62</v>
      </c>
      <c r="I80" s="14" t="n">
        <v>0.34</v>
      </c>
      <c r="J80" s="14" t="n">
        <v>2</v>
      </c>
      <c r="K80" s="14" t="s">
        <v>53</v>
      </c>
      <c r="L80" s="14" t="n">
        <v>2014</v>
      </c>
      <c r="M80" s="14" t="n">
        <v>9.82530977147211</v>
      </c>
      <c r="N80" s="14" t="n">
        <v>-4.60517018598809</v>
      </c>
      <c r="P80" s="14" t="n">
        <f aca="false">D80</f>
        <v>0</v>
      </c>
      <c r="Q80" s="14" t="n">
        <f aca="false">G80</f>
        <v>30</v>
      </c>
      <c r="R80" s="14" t="n">
        <f aca="false">J80</f>
        <v>2</v>
      </c>
      <c r="S80" s="14" t="n">
        <f aca="false">IF($L80=2012,1,0)</f>
        <v>0</v>
      </c>
      <c r="T80" s="14" t="n">
        <f aca="false">IF($L80=2013,1,0)</f>
        <v>0</v>
      </c>
      <c r="U80" s="14" t="n">
        <f aca="false">IF($L80=2014,1,0)</f>
        <v>1</v>
      </c>
      <c r="V80" s="14" t="n">
        <f aca="false">IF($L80=2015,1,0)</f>
        <v>0</v>
      </c>
      <c r="W80" s="14" t="n">
        <f aca="false">IF($L80=2016,1,0)</f>
        <v>0</v>
      </c>
      <c r="X80" s="14" t="n">
        <f aca="false">IF($L80=2017,1,0)</f>
        <v>0</v>
      </c>
      <c r="Y80" s="14" t="n">
        <f aca="false">IF($H80="Beginner Level",1,0)</f>
        <v>0</v>
      </c>
      <c r="Z80" s="14" t="n">
        <f aca="false">IF($H80="Expert Level",1,0)</f>
        <v>0</v>
      </c>
      <c r="AA80" s="14" t="n">
        <f aca="false">IF($H80="Intermediate Level",1,0)</f>
        <v>0</v>
      </c>
      <c r="AC80" s="14" t="n">
        <f aca="false">N80</f>
        <v>-4.60517018598809</v>
      </c>
      <c r="AD80" s="14" t="n">
        <f aca="false">G80</f>
        <v>30</v>
      </c>
      <c r="AE80" s="14" t="n">
        <f aca="false">J80</f>
        <v>2</v>
      </c>
      <c r="AF80" s="14" t="n">
        <f aca="false">IF($L80=2012,1,0)</f>
        <v>0</v>
      </c>
      <c r="AG80" s="14" t="n">
        <f aca="false">IF($L80=2013,1,0)</f>
        <v>0</v>
      </c>
      <c r="AH80" s="14" t="n">
        <f aca="false">IF($L80=2014,1,0)</f>
        <v>1</v>
      </c>
      <c r="AI80" s="14" t="n">
        <f aca="false">IF($L80=2015,1,0)</f>
        <v>0</v>
      </c>
      <c r="AJ80" s="14" t="n">
        <f aca="false">IF($L80=2016,1,0)</f>
        <v>0</v>
      </c>
      <c r="AK80" s="14" t="n">
        <f aca="false">IF($L80=2017,1,0)</f>
        <v>0</v>
      </c>
      <c r="AL80" s="14" t="n">
        <f aca="false">IF($H80="Beginner Level",1,0)</f>
        <v>0</v>
      </c>
      <c r="AM80" s="14" t="n">
        <f aca="false">IF($H80="Expert Level",1,0)</f>
        <v>0</v>
      </c>
      <c r="AN80" s="14" t="n">
        <f aca="false">IF($H80="Intermediate Level",1,0)</f>
        <v>0</v>
      </c>
    </row>
    <row r="81" customFormat="false" ht="35.05" hidden="false" customHeight="false" outlineLevel="0" collapsed="false">
      <c r="A81" s="14" t="n">
        <v>64605</v>
      </c>
      <c r="B81" s="14" t="s">
        <v>214</v>
      </c>
      <c r="C81" s="14" t="s">
        <v>215</v>
      </c>
      <c r="D81" s="14" t="n">
        <v>100</v>
      </c>
      <c r="E81" s="14" t="n">
        <v>18324</v>
      </c>
      <c r="F81" s="14" t="n">
        <v>333</v>
      </c>
      <c r="G81" s="14" t="n">
        <v>16</v>
      </c>
      <c r="H81" s="14" t="s">
        <v>62</v>
      </c>
      <c r="I81" s="14" t="n">
        <v>0.66</v>
      </c>
      <c r="J81" s="14" t="n">
        <v>1</v>
      </c>
      <c r="K81" s="14" t="s">
        <v>59</v>
      </c>
      <c r="L81" s="14" t="n">
        <v>2013</v>
      </c>
      <c r="M81" s="14" t="n">
        <v>9.81596695500663</v>
      </c>
      <c r="N81" s="14" t="n">
        <v>4.60527018098843</v>
      </c>
      <c r="P81" s="14" t="n">
        <f aca="false">D81</f>
        <v>100</v>
      </c>
      <c r="Q81" s="14" t="n">
        <f aca="false">G81</f>
        <v>16</v>
      </c>
      <c r="R81" s="14" t="n">
        <f aca="false">J81</f>
        <v>1</v>
      </c>
      <c r="S81" s="14" t="n">
        <f aca="false">IF($L81=2012,1,0)</f>
        <v>0</v>
      </c>
      <c r="T81" s="14" t="n">
        <f aca="false">IF($L81=2013,1,0)</f>
        <v>1</v>
      </c>
      <c r="U81" s="14" t="n">
        <f aca="false">IF($L81=2014,1,0)</f>
        <v>0</v>
      </c>
      <c r="V81" s="14" t="n">
        <f aca="false">IF($L81=2015,1,0)</f>
        <v>0</v>
      </c>
      <c r="W81" s="14" t="n">
        <f aca="false">IF($L81=2016,1,0)</f>
        <v>0</v>
      </c>
      <c r="X81" s="14" t="n">
        <f aca="false">IF($L81=2017,1,0)</f>
        <v>0</v>
      </c>
      <c r="Y81" s="14" t="n">
        <f aca="false">IF($H81="Beginner Level",1,0)</f>
        <v>0</v>
      </c>
      <c r="Z81" s="14" t="n">
        <f aca="false">IF($H81="Expert Level",1,0)</f>
        <v>0</v>
      </c>
      <c r="AA81" s="14" t="n">
        <f aca="false">IF($H81="Intermediate Level",1,0)</f>
        <v>0</v>
      </c>
      <c r="AC81" s="14" t="n">
        <f aca="false">N81</f>
        <v>4.60527018098843</v>
      </c>
      <c r="AD81" s="14" t="n">
        <f aca="false">G81</f>
        <v>16</v>
      </c>
      <c r="AE81" s="14" t="n">
        <f aca="false">J81</f>
        <v>1</v>
      </c>
      <c r="AF81" s="14" t="n">
        <f aca="false">IF($L81=2012,1,0)</f>
        <v>0</v>
      </c>
      <c r="AG81" s="14" t="n">
        <f aca="false">IF($L81=2013,1,0)</f>
        <v>1</v>
      </c>
      <c r="AH81" s="14" t="n">
        <f aca="false">IF($L81=2014,1,0)</f>
        <v>0</v>
      </c>
      <c r="AI81" s="14" t="n">
        <f aca="false">IF($L81=2015,1,0)</f>
        <v>0</v>
      </c>
      <c r="AJ81" s="14" t="n">
        <f aca="false">IF($L81=2016,1,0)</f>
        <v>0</v>
      </c>
      <c r="AK81" s="14" t="n">
        <f aca="false">IF($L81=2017,1,0)</f>
        <v>0</v>
      </c>
      <c r="AL81" s="14" t="n">
        <f aca="false">IF($H81="Beginner Level",1,0)</f>
        <v>0</v>
      </c>
      <c r="AM81" s="14" t="n">
        <f aca="false">IF($H81="Expert Level",1,0)</f>
        <v>0</v>
      </c>
      <c r="AN81" s="14" t="n">
        <f aca="false">IF($H81="Intermediate Level",1,0)</f>
        <v>0</v>
      </c>
    </row>
    <row r="82" customFormat="false" ht="91" hidden="false" customHeight="false" outlineLevel="0" collapsed="false">
      <c r="A82" s="14" t="n">
        <v>79154</v>
      </c>
      <c r="B82" s="14" t="s">
        <v>216</v>
      </c>
      <c r="C82" s="14" t="s">
        <v>217</v>
      </c>
      <c r="D82" s="14" t="n">
        <v>200</v>
      </c>
      <c r="E82" s="14" t="n">
        <v>18170</v>
      </c>
      <c r="F82" s="14" t="n">
        <v>117</v>
      </c>
      <c r="G82" s="14" t="n">
        <v>779</v>
      </c>
      <c r="H82" s="14" t="s">
        <v>62</v>
      </c>
      <c r="I82" s="14" t="n">
        <v>0.4</v>
      </c>
      <c r="J82" s="14" t="n">
        <v>44.5</v>
      </c>
      <c r="K82" s="14" t="s">
        <v>59</v>
      </c>
      <c r="L82" s="14" t="n">
        <v>2013</v>
      </c>
      <c r="M82" s="14" t="n">
        <v>9.80752716139022</v>
      </c>
      <c r="N82" s="14" t="n">
        <v>5.29836736529808</v>
      </c>
      <c r="P82" s="14" t="n">
        <f aca="false">D82</f>
        <v>200</v>
      </c>
      <c r="Q82" s="14" t="n">
        <f aca="false">G82</f>
        <v>779</v>
      </c>
      <c r="R82" s="14" t="n">
        <f aca="false">J82</f>
        <v>44.5</v>
      </c>
      <c r="S82" s="14" t="n">
        <f aca="false">IF($L82=2012,1,0)</f>
        <v>0</v>
      </c>
      <c r="T82" s="14" t="n">
        <f aca="false">IF($L82=2013,1,0)</f>
        <v>1</v>
      </c>
      <c r="U82" s="14" t="n">
        <f aca="false">IF($L82=2014,1,0)</f>
        <v>0</v>
      </c>
      <c r="V82" s="14" t="n">
        <f aca="false">IF($L82=2015,1,0)</f>
        <v>0</v>
      </c>
      <c r="W82" s="14" t="n">
        <f aca="false">IF($L82=2016,1,0)</f>
        <v>0</v>
      </c>
      <c r="X82" s="14" t="n">
        <f aca="false">IF($L82=2017,1,0)</f>
        <v>0</v>
      </c>
      <c r="Y82" s="14" t="n">
        <f aca="false">IF($H82="Beginner Level",1,0)</f>
        <v>0</v>
      </c>
      <c r="Z82" s="14" t="n">
        <f aca="false">IF($H82="Expert Level",1,0)</f>
        <v>0</v>
      </c>
      <c r="AA82" s="14" t="n">
        <f aca="false">IF($H82="Intermediate Level",1,0)</f>
        <v>0</v>
      </c>
      <c r="AC82" s="14" t="n">
        <f aca="false">N82</f>
        <v>5.29836736529808</v>
      </c>
      <c r="AD82" s="14" t="n">
        <f aca="false">G82</f>
        <v>779</v>
      </c>
      <c r="AE82" s="14" t="n">
        <f aca="false">J82</f>
        <v>44.5</v>
      </c>
      <c r="AF82" s="14" t="n">
        <f aca="false">IF($L82=2012,1,0)</f>
        <v>0</v>
      </c>
      <c r="AG82" s="14" t="n">
        <f aca="false">IF($L82=2013,1,0)</f>
        <v>1</v>
      </c>
      <c r="AH82" s="14" t="n">
        <f aca="false">IF($L82=2014,1,0)</f>
        <v>0</v>
      </c>
      <c r="AI82" s="14" t="n">
        <f aca="false">IF($L82=2015,1,0)</f>
        <v>0</v>
      </c>
      <c r="AJ82" s="14" t="n">
        <f aca="false">IF($L82=2016,1,0)</f>
        <v>0</v>
      </c>
      <c r="AK82" s="14" t="n">
        <f aca="false">IF($L82=2017,1,0)</f>
        <v>0</v>
      </c>
      <c r="AL82" s="14" t="n">
        <f aca="false">IF($H82="Beginner Level",1,0)</f>
        <v>0</v>
      </c>
      <c r="AM82" s="14" t="n">
        <f aca="false">IF($H82="Expert Level",1,0)</f>
        <v>0</v>
      </c>
      <c r="AN82" s="14" t="n">
        <f aca="false">IF($H82="Intermediate Level",1,0)</f>
        <v>0</v>
      </c>
    </row>
    <row r="83" customFormat="false" ht="57.45" hidden="false" customHeight="false" outlineLevel="0" collapsed="false">
      <c r="A83" s="14" t="n">
        <v>99986</v>
      </c>
      <c r="B83" s="14" t="s">
        <v>218</v>
      </c>
      <c r="C83" s="14" t="s">
        <v>219</v>
      </c>
      <c r="D83" s="14" t="n">
        <v>20</v>
      </c>
      <c r="E83" s="14" t="n">
        <v>18143</v>
      </c>
      <c r="F83" s="14" t="n">
        <v>159</v>
      </c>
      <c r="G83" s="14" t="n">
        <v>15</v>
      </c>
      <c r="H83" s="14" t="s">
        <v>62</v>
      </c>
      <c r="I83" s="14" t="n">
        <v>0.67</v>
      </c>
      <c r="J83" s="14" t="n">
        <v>2</v>
      </c>
      <c r="K83" s="14" t="s">
        <v>59</v>
      </c>
      <c r="L83" s="14" t="n">
        <v>2013</v>
      </c>
      <c r="M83" s="14" t="n">
        <v>9.80604009037016</v>
      </c>
      <c r="N83" s="14" t="n">
        <v>2.99623214859564</v>
      </c>
      <c r="P83" s="14" t="n">
        <f aca="false">D83</f>
        <v>20</v>
      </c>
      <c r="Q83" s="14" t="n">
        <f aca="false">G83</f>
        <v>15</v>
      </c>
      <c r="R83" s="14" t="n">
        <f aca="false">J83</f>
        <v>2</v>
      </c>
      <c r="S83" s="14" t="n">
        <f aca="false">IF($L83=2012,1,0)</f>
        <v>0</v>
      </c>
      <c r="T83" s="14" t="n">
        <f aca="false">IF($L83=2013,1,0)</f>
        <v>1</v>
      </c>
      <c r="U83" s="14" t="n">
        <f aca="false">IF($L83=2014,1,0)</f>
        <v>0</v>
      </c>
      <c r="V83" s="14" t="n">
        <f aca="false">IF($L83=2015,1,0)</f>
        <v>0</v>
      </c>
      <c r="W83" s="14" t="n">
        <f aca="false">IF($L83=2016,1,0)</f>
        <v>0</v>
      </c>
      <c r="X83" s="14" t="n">
        <f aca="false">IF($L83=2017,1,0)</f>
        <v>0</v>
      </c>
      <c r="Y83" s="14" t="n">
        <f aca="false">IF($H83="Beginner Level",1,0)</f>
        <v>0</v>
      </c>
      <c r="Z83" s="14" t="n">
        <f aca="false">IF($H83="Expert Level",1,0)</f>
        <v>0</v>
      </c>
      <c r="AA83" s="14" t="n">
        <f aca="false">IF($H83="Intermediate Level",1,0)</f>
        <v>0</v>
      </c>
      <c r="AC83" s="14" t="n">
        <f aca="false">N83</f>
        <v>2.99623214859564</v>
      </c>
      <c r="AD83" s="14" t="n">
        <f aca="false">G83</f>
        <v>15</v>
      </c>
      <c r="AE83" s="14" t="n">
        <f aca="false">J83</f>
        <v>2</v>
      </c>
      <c r="AF83" s="14" t="n">
        <f aca="false">IF($L83=2012,1,0)</f>
        <v>0</v>
      </c>
      <c r="AG83" s="14" t="n">
        <f aca="false">IF($L83=2013,1,0)</f>
        <v>1</v>
      </c>
      <c r="AH83" s="14" t="n">
        <f aca="false">IF($L83=2014,1,0)</f>
        <v>0</v>
      </c>
      <c r="AI83" s="14" t="n">
        <f aca="false">IF($L83=2015,1,0)</f>
        <v>0</v>
      </c>
      <c r="AJ83" s="14" t="n">
        <f aca="false">IF($L83=2016,1,0)</f>
        <v>0</v>
      </c>
      <c r="AK83" s="14" t="n">
        <f aca="false">IF($L83=2017,1,0)</f>
        <v>0</v>
      </c>
      <c r="AL83" s="14" t="n">
        <f aca="false">IF($H83="Beginner Level",1,0)</f>
        <v>0</v>
      </c>
      <c r="AM83" s="14" t="n">
        <f aca="false">IF($H83="Expert Level",1,0)</f>
        <v>0</v>
      </c>
      <c r="AN83" s="14" t="n">
        <f aca="false">IF($H83="Intermediate Level",1,0)</f>
        <v>0</v>
      </c>
    </row>
    <row r="84" customFormat="false" ht="68.65" hidden="false" customHeight="false" outlineLevel="0" collapsed="false">
      <c r="A84" s="14" t="n">
        <v>582636</v>
      </c>
      <c r="B84" s="14" t="s">
        <v>220</v>
      </c>
      <c r="C84" s="14" t="s">
        <v>221</v>
      </c>
      <c r="D84" s="14" t="n">
        <v>150</v>
      </c>
      <c r="E84" s="14" t="n">
        <v>18101</v>
      </c>
      <c r="F84" s="14" t="n">
        <v>88</v>
      </c>
      <c r="G84" s="14" t="n">
        <v>68</v>
      </c>
      <c r="H84" s="14" t="s">
        <v>62</v>
      </c>
      <c r="I84" s="14" t="n">
        <v>0.74</v>
      </c>
      <c r="J84" s="14" t="n">
        <v>5.5</v>
      </c>
      <c r="K84" s="14" t="s">
        <v>59</v>
      </c>
      <c r="L84" s="14" t="n">
        <v>2015</v>
      </c>
      <c r="M84" s="14" t="n">
        <v>9.80372246434655</v>
      </c>
      <c r="N84" s="14" t="n">
        <v>5.0107019585408</v>
      </c>
      <c r="P84" s="14" t="n">
        <f aca="false">D84</f>
        <v>150</v>
      </c>
      <c r="Q84" s="14" t="n">
        <f aca="false">G84</f>
        <v>68</v>
      </c>
      <c r="R84" s="14" t="n">
        <f aca="false">J84</f>
        <v>5.5</v>
      </c>
      <c r="S84" s="14" t="n">
        <f aca="false">IF($L84=2012,1,0)</f>
        <v>0</v>
      </c>
      <c r="T84" s="14" t="n">
        <f aca="false">IF($L84=2013,1,0)</f>
        <v>0</v>
      </c>
      <c r="U84" s="14" t="n">
        <f aca="false">IF($L84=2014,1,0)</f>
        <v>0</v>
      </c>
      <c r="V84" s="14" t="n">
        <f aca="false">IF($L84=2015,1,0)</f>
        <v>1</v>
      </c>
      <c r="W84" s="14" t="n">
        <f aca="false">IF($L84=2016,1,0)</f>
        <v>0</v>
      </c>
      <c r="X84" s="14" t="n">
        <f aca="false">IF($L84=2017,1,0)</f>
        <v>0</v>
      </c>
      <c r="Y84" s="14" t="n">
        <f aca="false">IF($H84="Beginner Level",1,0)</f>
        <v>0</v>
      </c>
      <c r="Z84" s="14" t="n">
        <f aca="false">IF($H84="Expert Level",1,0)</f>
        <v>0</v>
      </c>
      <c r="AA84" s="14" t="n">
        <f aca="false">IF($H84="Intermediate Level",1,0)</f>
        <v>0</v>
      </c>
      <c r="AC84" s="14" t="n">
        <f aca="false">N84</f>
        <v>5.0107019585408</v>
      </c>
      <c r="AD84" s="14" t="n">
        <f aca="false">G84</f>
        <v>68</v>
      </c>
      <c r="AE84" s="14" t="n">
        <f aca="false">J84</f>
        <v>5.5</v>
      </c>
      <c r="AF84" s="14" t="n">
        <f aca="false">IF($L84=2012,1,0)</f>
        <v>0</v>
      </c>
      <c r="AG84" s="14" t="n">
        <f aca="false">IF($L84=2013,1,0)</f>
        <v>0</v>
      </c>
      <c r="AH84" s="14" t="n">
        <f aca="false">IF($L84=2014,1,0)</f>
        <v>0</v>
      </c>
      <c r="AI84" s="14" t="n">
        <f aca="false">IF($L84=2015,1,0)</f>
        <v>1</v>
      </c>
      <c r="AJ84" s="14" t="n">
        <f aca="false">IF($L84=2016,1,0)</f>
        <v>0</v>
      </c>
      <c r="AK84" s="14" t="n">
        <f aca="false">IF($L84=2017,1,0)</f>
        <v>0</v>
      </c>
      <c r="AL84" s="14" t="n">
        <f aca="false">IF($H84="Beginner Level",1,0)</f>
        <v>0</v>
      </c>
      <c r="AM84" s="14" t="n">
        <f aca="false">IF($H84="Expert Level",1,0)</f>
        <v>0</v>
      </c>
      <c r="AN84" s="14" t="n">
        <f aca="false">IF($H84="Intermediate Level",1,0)</f>
        <v>0</v>
      </c>
    </row>
    <row r="85" customFormat="false" ht="68.65" hidden="false" customHeight="false" outlineLevel="0" collapsed="false">
      <c r="A85" s="14" t="n">
        <v>652438</v>
      </c>
      <c r="B85" s="14" t="s">
        <v>222</v>
      </c>
      <c r="C85" s="14" t="s">
        <v>223</v>
      </c>
      <c r="D85" s="14" t="n">
        <v>195</v>
      </c>
      <c r="E85" s="14" t="n">
        <v>17895</v>
      </c>
      <c r="F85" s="14" t="n">
        <v>212</v>
      </c>
      <c r="G85" s="14" t="n">
        <v>30</v>
      </c>
      <c r="H85" s="14" t="s">
        <v>52</v>
      </c>
      <c r="I85" s="14" t="n">
        <v>0.59</v>
      </c>
      <c r="J85" s="14" t="n">
        <v>4</v>
      </c>
      <c r="K85" s="14" t="s">
        <v>59</v>
      </c>
      <c r="L85" s="14" t="n">
        <v>2015</v>
      </c>
      <c r="M85" s="14" t="n">
        <v>9.79227662320013</v>
      </c>
      <c r="N85" s="14" t="n">
        <v>5.27305083930015</v>
      </c>
      <c r="P85" s="14" t="n">
        <f aca="false">D85</f>
        <v>195</v>
      </c>
      <c r="Q85" s="14" t="n">
        <f aca="false">G85</f>
        <v>30</v>
      </c>
      <c r="R85" s="14" t="n">
        <f aca="false">J85</f>
        <v>4</v>
      </c>
      <c r="S85" s="14" t="n">
        <f aca="false">IF($L85=2012,1,0)</f>
        <v>0</v>
      </c>
      <c r="T85" s="14" t="n">
        <f aca="false">IF($L85=2013,1,0)</f>
        <v>0</v>
      </c>
      <c r="U85" s="14" t="n">
        <f aca="false">IF($L85=2014,1,0)</f>
        <v>0</v>
      </c>
      <c r="V85" s="14" t="n">
        <f aca="false">IF($L85=2015,1,0)</f>
        <v>1</v>
      </c>
      <c r="W85" s="14" t="n">
        <f aca="false">IF($L85=2016,1,0)</f>
        <v>0</v>
      </c>
      <c r="X85" s="14" t="n">
        <f aca="false">IF($L85=2017,1,0)</f>
        <v>0</v>
      </c>
      <c r="Y85" s="14" t="n">
        <f aca="false">IF($H85="Beginner Level",1,0)</f>
        <v>1</v>
      </c>
      <c r="Z85" s="14" t="n">
        <f aca="false">IF($H85="Expert Level",1,0)</f>
        <v>0</v>
      </c>
      <c r="AA85" s="14" t="n">
        <f aca="false">IF($H85="Intermediate Level",1,0)</f>
        <v>0</v>
      </c>
      <c r="AC85" s="14" t="n">
        <f aca="false">N85</f>
        <v>5.27305083930015</v>
      </c>
      <c r="AD85" s="14" t="n">
        <f aca="false">G85</f>
        <v>30</v>
      </c>
      <c r="AE85" s="14" t="n">
        <f aca="false">J85</f>
        <v>4</v>
      </c>
      <c r="AF85" s="14" t="n">
        <f aca="false">IF($L85=2012,1,0)</f>
        <v>0</v>
      </c>
      <c r="AG85" s="14" t="n">
        <f aca="false">IF($L85=2013,1,0)</f>
        <v>0</v>
      </c>
      <c r="AH85" s="14" t="n">
        <f aca="false">IF($L85=2014,1,0)</f>
        <v>0</v>
      </c>
      <c r="AI85" s="14" t="n">
        <f aca="false">IF($L85=2015,1,0)</f>
        <v>1</v>
      </c>
      <c r="AJ85" s="14" t="n">
        <f aca="false">IF($L85=2016,1,0)</f>
        <v>0</v>
      </c>
      <c r="AK85" s="14" t="n">
        <f aca="false">IF($L85=2017,1,0)</f>
        <v>0</v>
      </c>
      <c r="AL85" s="14" t="n">
        <f aca="false">IF($H85="Beginner Level",1,0)</f>
        <v>1</v>
      </c>
      <c r="AM85" s="14" t="n">
        <f aca="false">IF($H85="Expert Level",1,0)</f>
        <v>0</v>
      </c>
      <c r="AN85" s="14" t="n">
        <f aca="false">IF($H85="Intermediate Level",1,0)</f>
        <v>0</v>
      </c>
    </row>
    <row r="86" customFormat="false" ht="46.25" hidden="false" customHeight="false" outlineLevel="0" collapsed="false">
      <c r="A86" s="14" t="n">
        <v>164554</v>
      </c>
      <c r="B86" s="14" t="s">
        <v>224</v>
      </c>
      <c r="C86" s="14" t="s">
        <v>225</v>
      </c>
      <c r="D86" s="14" t="n">
        <v>75</v>
      </c>
      <c r="E86" s="14" t="n">
        <v>17802</v>
      </c>
      <c r="F86" s="14" t="n">
        <v>2144</v>
      </c>
      <c r="G86" s="14" t="n">
        <v>113</v>
      </c>
      <c r="H86" s="14" t="s">
        <v>52</v>
      </c>
      <c r="I86" s="14" t="n">
        <v>0.02</v>
      </c>
      <c r="J86" s="14" t="n">
        <v>10</v>
      </c>
      <c r="K86" s="14" t="s">
        <v>59</v>
      </c>
      <c r="L86" s="14" t="n">
        <v>2014</v>
      </c>
      <c r="M86" s="14" t="n">
        <v>9.78706608951888</v>
      </c>
      <c r="N86" s="14" t="n">
        <v>4.31762143798155</v>
      </c>
      <c r="P86" s="14" t="n">
        <f aca="false">D86</f>
        <v>75</v>
      </c>
      <c r="Q86" s="14" t="n">
        <f aca="false">G86</f>
        <v>113</v>
      </c>
      <c r="R86" s="14" t="n">
        <f aca="false">J86</f>
        <v>10</v>
      </c>
      <c r="S86" s="14" t="n">
        <f aca="false">IF($L86=2012,1,0)</f>
        <v>0</v>
      </c>
      <c r="T86" s="14" t="n">
        <f aca="false">IF($L86=2013,1,0)</f>
        <v>0</v>
      </c>
      <c r="U86" s="14" t="n">
        <f aca="false">IF($L86=2014,1,0)</f>
        <v>1</v>
      </c>
      <c r="V86" s="14" t="n">
        <f aca="false">IF($L86=2015,1,0)</f>
        <v>0</v>
      </c>
      <c r="W86" s="14" t="n">
        <f aca="false">IF($L86=2016,1,0)</f>
        <v>0</v>
      </c>
      <c r="X86" s="14" t="n">
        <f aca="false">IF($L86=2017,1,0)</f>
        <v>0</v>
      </c>
      <c r="Y86" s="14" t="n">
        <f aca="false">IF($H86="Beginner Level",1,0)</f>
        <v>1</v>
      </c>
      <c r="Z86" s="14" t="n">
        <f aca="false">IF($H86="Expert Level",1,0)</f>
        <v>0</v>
      </c>
      <c r="AA86" s="14" t="n">
        <f aca="false">IF($H86="Intermediate Level",1,0)</f>
        <v>0</v>
      </c>
      <c r="AC86" s="14" t="n">
        <f aca="false">N86</f>
        <v>4.31762143798155</v>
      </c>
      <c r="AD86" s="14" t="n">
        <f aca="false">G86</f>
        <v>113</v>
      </c>
      <c r="AE86" s="14" t="n">
        <f aca="false">J86</f>
        <v>10</v>
      </c>
      <c r="AF86" s="14" t="n">
        <f aca="false">IF($L86=2012,1,0)</f>
        <v>0</v>
      </c>
      <c r="AG86" s="14" t="n">
        <f aca="false">IF($L86=2013,1,0)</f>
        <v>0</v>
      </c>
      <c r="AH86" s="14" t="n">
        <f aca="false">IF($L86=2014,1,0)</f>
        <v>1</v>
      </c>
      <c r="AI86" s="14" t="n">
        <f aca="false">IF($L86=2015,1,0)</f>
        <v>0</v>
      </c>
      <c r="AJ86" s="14" t="n">
        <f aca="false">IF($L86=2016,1,0)</f>
        <v>0</v>
      </c>
      <c r="AK86" s="14" t="n">
        <f aca="false">IF($L86=2017,1,0)</f>
        <v>0</v>
      </c>
      <c r="AL86" s="14" t="n">
        <f aca="false">IF($H86="Beginner Level",1,0)</f>
        <v>1</v>
      </c>
      <c r="AM86" s="14" t="n">
        <f aca="false">IF($H86="Expert Level",1,0)</f>
        <v>0</v>
      </c>
      <c r="AN86" s="14" t="n">
        <f aca="false">IF($H86="Intermediate Level",1,0)</f>
        <v>0</v>
      </c>
    </row>
    <row r="87" customFormat="false" ht="91" hidden="false" customHeight="false" outlineLevel="0" collapsed="false">
      <c r="A87" s="14" t="n">
        <v>1107524</v>
      </c>
      <c r="B87" s="14" t="s">
        <v>226</v>
      </c>
      <c r="C87" s="14" t="s">
        <v>227</v>
      </c>
      <c r="D87" s="14" t="n">
        <v>195</v>
      </c>
      <c r="E87" s="14" t="n">
        <v>17784</v>
      </c>
      <c r="F87" s="14" t="n">
        <v>260</v>
      </c>
      <c r="G87" s="14" t="n">
        <v>61</v>
      </c>
      <c r="H87" s="14" t="s">
        <v>52</v>
      </c>
      <c r="I87" s="14" t="n">
        <v>0.48</v>
      </c>
      <c r="J87" s="14" t="n">
        <v>12.5</v>
      </c>
      <c r="K87" s="14" t="s">
        <v>59</v>
      </c>
      <c r="L87" s="14" t="n">
        <v>2017</v>
      </c>
      <c r="M87" s="14" t="n">
        <v>9.78605445564403</v>
      </c>
      <c r="N87" s="14" t="n">
        <v>5.27305083930015</v>
      </c>
      <c r="P87" s="14" t="n">
        <f aca="false">D87</f>
        <v>195</v>
      </c>
      <c r="Q87" s="14" t="n">
        <f aca="false">G87</f>
        <v>61</v>
      </c>
      <c r="R87" s="14" t="n">
        <f aca="false">J87</f>
        <v>12.5</v>
      </c>
      <c r="S87" s="14" t="n">
        <f aca="false">IF($L87=2012,1,0)</f>
        <v>0</v>
      </c>
      <c r="T87" s="14" t="n">
        <f aca="false">IF($L87=2013,1,0)</f>
        <v>0</v>
      </c>
      <c r="U87" s="14" t="n">
        <f aca="false">IF($L87=2014,1,0)</f>
        <v>0</v>
      </c>
      <c r="V87" s="14" t="n">
        <f aca="false">IF($L87=2015,1,0)</f>
        <v>0</v>
      </c>
      <c r="W87" s="14" t="n">
        <f aca="false">IF($L87=2016,1,0)</f>
        <v>0</v>
      </c>
      <c r="X87" s="14" t="n">
        <f aca="false">IF($L87=2017,1,0)</f>
        <v>1</v>
      </c>
      <c r="Y87" s="14" t="n">
        <f aca="false">IF($H87="Beginner Level",1,0)</f>
        <v>1</v>
      </c>
      <c r="Z87" s="14" t="n">
        <f aca="false">IF($H87="Expert Level",1,0)</f>
        <v>0</v>
      </c>
      <c r="AA87" s="14" t="n">
        <f aca="false">IF($H87="Intermediate Level",1,0)</f>
        <v>0</v>
      </c>
      <c r="AC87" s="14" t="n">
        <f aca="false">N87</f>
        <v>5.27305083930015</v>
      </c>
      <c r="AD87" s="14" t="n">
        <f aca="false">G87</f>
        <v>61</v>
      </c>
      <c r="AE87" s="14" t="n">
        <f aca="false">J87</f>
        <v>12.5</v>
      </c>
      <c r="AF87" s="14" t="n">
        <f aca="false">IF($L87=2012,1,0)</f>
        <v>0</v>
      </c>
      <c r="AG87" s="14" t="n">
        <f aca="false">IF($L87=2013,1,0)</f>
        <v>0</v>
      </c>
      <c r="AH87" s="14" t="n">
        <f aca="false">IF($L87=2014,1,0)</f>
        <v>0</v>
      </c>
      <c r="AI87" s="14" t="n">
        <f aca="false">IF($L87=2015,1,0)</f>
        <v>0</v>
      </c>
      <c r="AJ87" s="14" t="n">
        <f aca="false">IF($L87=2016,1,0)</f>
        <v>0</v>
      </c>
      <c r="AK87" s="14" t="n">
        <f aca="false">IF($L87=2017,1,0)</f>
        <v>1</v>
      </c>
      <c r="AL87" s="14" t="n">
        <f aca="false">IF($H87="Beginner Level",1,0)</f>
        <v>1</v>
      </c>
      <c r="AM87" s="14" t="n">
        <f aca="false">IF($H87="Expert Level",1,0)</f>
        <v>0</v>
      </c>
      <c r="AN87" s="14" t="n">
        <f aca="false">IF($H87="Intermediate Level",1,0)</f>
        <v>0</v>
      </c>
    </row>
    <row r="88" customFormat="false" ht="68.65" hidden="false" customHeight="false" outlineLevel="0" collapsed="false">
      <c r="A88" s="14" t="n">
        <v>963412</v>
      </c>
      <c r="B88" s="14" t="s">
        <v>228</v>
      </c>
      <c r="C88" s="14" t="s">
        <v>229</v>
      </c>
      <c r="D88" s="14" t="n">
        <v>120</v>
      </c>
      <c r="E88" s="14" t="n">
        <v>17759</v>
      </c>
      <c r="F88" s="14" t="n">
        <v>64</v>
      </c>
      <c r="G88" s="14" t="n">
        <v>37</v>
      </c>
      <c r="H88" s="14" t="s">
        <v>62</v>
      </c>
      <c r="I88" s="14" t="n">
        <v>0.14</v>
      </c>
      <c r="J88" s="14" t="n">
        <v>3</v>
      </c>
      <c r="K88" s="14" t="s">
        <v>59</v>
      </c>
      <c r="L88" s="14" t="n">
        <v>2016</v>
      </c>
      <c r="M88" s="14" t="n">
        <v>9.7846477086546</v>
      </c>
      <c r="N88" s="14" t="n">
        <v>4.78757507264335</v>
      </c>
      <c r="P88" s="14" t="n">
        <f aca="false">D88</f>
        <v>120</v>
      </c>
      <c r="Q88" s="14" t="n">
        <f aca="false">G88</f>
        <v>37</v>
      </c>
      <c r="R88" s="14" t="n">
        <f aca="false">J88</f>
        <v>3</v>
      </c>
      <c r="S88" s="14" t="n">
        <f aca="false">IF($L88=2012,1,0)</f>
        <v>0</v>
      </c>
      <c r="T88" s="14" t="n">
        <f aca="false">IF($L88=2013,1,0)</f>
        <v>0</v>
      </c>
      <c r="U88" s="14" t="n">
        <f aca="false">IF($L88=2014,1,0)</f>
        <v>0</v>
      </c>
      <c r="V88" s="14" t="n">
        <f aca="false">IF($L88=2015,1,0)</f>
        <v>0</v>
      </c>
      <c r="W88" s="14" t="n">
        <f aca="false">IF($L88=2016,1,0)</f>
        <v>1</v>
      </c>
      <c r="X88" s="14" t="n">
        <f aca="false">IF($L88=2017,1,0)</f>
        <v>0</v>
      </c>
      <c r="Y88" s="14" t="n">
        <f aca="false">IF($H88="Beginner Level",1,0)</f>
        <v>0</v>
      </c>
      <c r="Z88" s="14" t="n">
        <f aca="false">IF($H88="Expert Level",1,0)</f>
        <v>0</v>
      </c>
      <c r="AA88" s="14" t="n">
        <f aca="false">IF($H88="Intermediate Level",1,0)</f>
        <v>0</v>
      </c>
      <c r="AC88" s="14" t="n">
        <f aca="false">N88</f>
        <v>4.78757507264335</v>
      </c>
      <c r="AD88" s="14" t="n">
        <f aca="false">G88</f>
        <v>37</v>
      </c>
      <c r="AE88" s="14" t="n">
        <f aca="false">J88</f>
        <v>3</v>
      </c>
      <c r="AF88" s="14" t="n">
        <f aca="false">IF($L88=2012,1,0)</f>
        <v>0</v>
      </c>
      <c r="AG88" s="14" t="n">
        <f aca="false">IF($L88=2013,1,0)</f>
        <v>0</v>
      </c>
      <c r="AH88" s="14" t="n">
        <f aca="false">IF($L88=2014,1,0)</f>
        <v>0</v>
      </c>
      <c r="AI88" s="14" t="n">
        <f aca="false">IF($L88=2015,1,0)</f>
        <v>0</v>
      </c>
      <c r="AJ88" s="14" t="n">
        <f aca="false">IF($L88=2016,1,0)</f>
        <v>1</v>
      </c>
      <c r="AK88" s="14" t="n">
        <f aca="false">IF($L88=2017,1,0)</f>
        <v>0</v>
      </c>
      <c r="AL88" s="14" t="n">
        <f aca="false">IF($H88="Beginner Level",1,0)</f>
        <v>0</v>
      </c>
      <c r="AM88" s="14" t="n">
        <f aca="false">IF($H88="Expert Level",1,0)</f>
        <v>0</v>
      </c>
      <c r="AN88" s="14" t="n">
        <f aca="false">IF($H88="Intermediate Level",1,0)</f>
        <v>0</v>
      </c>
    </row>
    <row r="89" customFormat="false" ht="79.85" hidden="false" customHeight="false" outlineLevel="0" collapsed="false">
      <c r="A89" s="14" t="n">
        <v>391546</v>
      </c>
      <c r="B89" s="14" t="s">
        <v>230</v>
      </c>
      <c r="C89" s="14" t="s">
        <v>231</v>
      </c>
      <c r="D89" s="14" t="n">
        <v>70</v>
      </c>
      <c r="E89" s="14" t="n">
        <v>17714</v>
      </c>
      <c r="F89" s="14" t="n">
        <v>198</v>
      </c>
      <c r="G89" s="14" t="n">
        <v>23</v>
      </c>
      <c r="H89" s="14" t="s">
        <v>62</v>
      </c>
      <c r="I89" s="14" t="n">
        <v>0.11</v>
      </c>
      <c r="J89" s="14" t="n">
        <v>3.5</v>
      </c>
      <c r="K89" s="14" t="s">
        <v>59</v>
      </c>
      <c r="L89" s="14" t="n">
        <v>2015</v>
      </c>
      <c r="M89" s="14" t="n">
        <v>9.78211056636953</v>
      </c>
      <c r="N89" s="14" t="n">
        <v>4.24863808898911</v>
      </c>
      <c r="P89" s="14" t="n">
        <f aca="false">D89</f>
        <v>70</v>
      </c>
      <c r="Q89" s="14" t="n">
        <f aca="false">G89</f>
        <v>23</v>
      </c>
      <c r="R89" s="14" t="n">
        <f aca="false">J89</f>
        <v>3.5</v>
      </c>
      <c r="S89" s="14" t="n">
        <f aca="false">IF($L89=2012,1,0)</f>
        <v>0</v>
      </c>
      <c r="T89" s="14" t="n">
        <f aca="false">IF($L89=2013,1,0)</f>
        <v>0</v>
      </c>
      <c r="U89" s="14" t="n">
        <f aca="false">IF($L89=2014,1,0)</f>
        <v>0</v>
      </c>
      <c r="V89" s="14" t="n">
        <f aca="false">IF($L89=2015,1,0)</f>
        <v>1</v>
      </c>
      <c r="W89" s="14" t="n">
        <f aca="false">IF($L89=2016,1,0)</f>
        <v>0</v>
      </c>
      <c r="X89" s="14" t="n">
        <f aca="false">IF($L89=2017,1,0)</f>
        <v>0</v>
      </c>
      <c r="Y89" s="14" t="n">
        <f aca="false">IF($H89="Beginner Level",1,0)</f>
        <v>0</v>
      </c>
      <c r="Z89" s="14" t="n">
        <f aca="false">IF($H89="Expert Level",1,0)</f>
        <v>0</v>
      </c>
      <c r="AA89" s="14" t="n">
        <f aca="false">IF($H89="Intermediate Level",1,0)</f>
        <v>0</v>
      </c>
      <c r="AC89" s="14" t="n">
        <f aca="false">N89</f>
        <v>4.24863808898911</v>
      </c>
      <c r="AD89" s="14" t="n">
        <f aca="false">G89</f>
        <v>23</v>
      </c>
      <c r="AE89" s="14" t="n">
        <f aca="false">J89</f>
        <v>3.5</v>
      </c>
      <c r="AF89" s="14" t="n">
        <f aca="false">IF($L89=2012,1,0)</f>
        <v>0</v>
      </c>
      <c r="AG89" s="14" t="n">
        <f aca="false">IF($L89=2013,1,0)</f>
        <v>0</v>
      </c>
      <c r="AH89" s="14" t="n">
        <f aca="false">IF($L89=2014,1,0)</f>
        <v>0</v>
      </c>
      <c r="AI89" s="14" t="n">
        <f aca="false">IF($L89=2015,1,0)</f>
        <v>1</v>
      </c>
      <c r="AJ89" s="14" t="n">
        <f aca="false">IF($L89=2016,1,0)</f>
        <v>0</v>
      </c>
      <c r="AK89" s="14" t="n">
        <f aca="false">IF($L89=2017,1,0)</f>
        <v>0</v>
      </c>
      <c r="AL89" s="14" t="n">
        <f aca="false">IF($H89="Beginner Level",1,0)</f>
        <v>0</v>
      </c>
      <c r="AM89" s="14" t="n">
        <f aca="false">IF($H89="Expert Level",1,0)</f>
        <v>0</v>
      </c>
      <c r="AN89" s="14" t="n">
        <f aca="false">IF($H89="Intermediate Level",1,0)</f>
        <v>0</v>
      </c>
    </row>
    <row r="90" customFormat="false" ht="57.45" hidden="false" customHeight="false" outlineLevel="0" collapsed="false">
      <c r="A90" s="14" t="n">
        <v>995016</v>
      </c>
      <c r="B90" s="14" t="s">
        <v>232</v>
      </c>
      <c r="C90" s="14" t="s">
        <v>233</v>
      </c>
      <c r="D90" s="14" t="n">
        <v>190</v>
      </c>
      <c r="E90" s="14" t="n">
        <v>17671</v>
      </c>
      <c r="F90" s="14" t="n">
        <v>4675</v>
      </c>
      <c r="G90" s="14" t="n">
        <v>329</v>
      </c>
      <c r="H90" s="14" t="s">
        <v>71</v>
      </c>
      <c r="I90" s="14" t="n">
        <v>0.53</v>
      </c>
      <c r="J90" s="14" t="n">
        <v>18</v>
      </c>
      <c r="K90" s="14" t="s">
        <v>59</v>
      </c>
      <c r="L90" s="14" t="n">
        <v>2016</v>
      </c>
      <c r="M90" s="14" t="n">
        <v>9.77968015680806</v>
      </c>
      <c r="N90" s="14" t="n">
        <v>5.24707670235444</v>
      </c>
      <c r="P90" s="14" t="n">
        <f aca="false">D90</f>
        <v>190</v>
      </c>
      <c r="Q90" s="14" t="n">
        <f aca="false">G90</f>
        <v>329</v>
      </c>
      <c r="R90" s="14" t="n">
        <f aca="false">J90</f>
        <v>18</v>
      </c>
      <c r="S90" s="14" t="n">
        <f aca="false">IF($L90=2012,1,0)</f>
        <v>0</v>
      </c>
      <c r="T90" s="14" t="n">
        <f aca="false">IF($L90=2013,1,0)</f>
        <v>0</v>
      </c>
      <c r="U90" s="14" t="n">
        <f aca="false">IF($L90=2014,1,0)</f>
        <v>0</v>
      </c>
      <c r="V90" s="14" t="n">
        <f aca="false">IF($L90=2015,1,0)</f>
        <v>0</v>
      </c>
      <c r="W90" s="14" t="n">
        <f aca="false">IF($L90=2016,1,0)</f>
        <v>1</v>
      </c>
      <c r="X90" s="14" t="n">
        <f aca="false">IF($L90=2017,1,0)</f>
        <v>0</v>
      </c>
      <c r="Y90" s="14" t="n">
        <f aca="false">IF($H90="Beginner Level",1,0)</f>
        <v>0</v>
      </c>
      <c r="Z90" s="14" t="n">
        <f aca="false">IF($H90="Expert Level",1,0)</f>
        <v>0</v>
      </c>
      <c r="AA90" s="14" t="n">
        <f aca="false">IF($H90="Intermediate Level",1,0)</f>
        <v>1</v>
      </c>
      <c r="AC90" s="14" t="n">
        <f aca="false">N90</f>
        <v>5.24707670235444</v>
      </c>
      <c r="AD90" s="14" t="n">
        <f aca="false">G90</f>
        <v>329</v>
      </c>
      <c r="AE90" s="14" t="n">
        <f aca="false">J90</f>
        <v>18</v>
      </c>
      <c r="AF90" s="14" t="n">
        <f aca="false">IF($L90=2012,1,0)</f>
        <v>0</v>
      </c>
      <c r="AG90" s="14" t="n">
        <f aca="false">IF($L90=2013,1,0)</f>
        <v>0</v>
      </c>
      <c r="AH90" s="14" t="n">
        <f aca="false">IF($L90=2014,1,0)</f>
        <v>0</v>
      </c>
      <c r="AI90" s="14" t="n">
        <f aca="false">IF($L90=2015,1,0)</f>
        <v>0</v>
      </c>
      <c r="AJ90" s="14" t="n">
        <f aca="false">IF($L90=2016,1,0)</f>
        <v>1</v>
      </c>
      <c r="AK90" s="14" t="n">
        <f aca="false">IF($L90=2017,1,0)</f>
        <v>0</v>
      </c>
      <c r="AL90" s="14" t="n">
        <f aca="false">IF($H90="Beginner Level",1,0)</f>
        <v>0</v>
      </c>
      <c r="AM90" s="14" t="n">
        <f aca="false">IF($H90="Expert Level",1,0)</f>
        <v>0</v>
      </c>
      <c r="AN90" s="14" t="n">
        <f aca="false">IF($H90="Intermediate Level",1,0)</f>
        <v>1</v>
      </c>
    </row>
    <row r="91" customFormat="false" ht="68.65" hidden="false" customHeight="false" outlineLevel="0" collapsed="false">
      <c r="A91" s="14" t="n">
        <v>516062</v>
      </c>
      <c r="B91" s="14" t="s">
        <v>234</v>
      </c>
      <c r="C91" s="14" t="s">
        <v>235</v>
      </c>
      <c r="D91" s="14" t="n">
        <v>20</v>
      </c>
      <c r="E91" s="14" t="n">
        <v>17554</v>
      </c>
      <c r="F91" s="14" t="n">
        <v>94</v>
      </c>
      <c r="G91" s="14" t="n">
        <v>16</v>
      </c>
      <c r="H91" s="14" t="s">
        <v>62</v>
      </c>
      <c r="I91" s="14" t="n">
        <v>0.11</v>
      </c>
      <c r="J91" s="14" t="n">
        <v>1.5</v>
      </c>
      <c r="K91" s="14" t="s">
        <v>59</v>
      </c>
      <c r="L91" s="14" t="n">
        <v>2015</v>
      </c>
      <c r="M91" s="14" t="n">
        <v>9.77303712315206</v>
      </c>
      <c r="N91" s="14" t="n">
        <v>2.99623214859564</v>
      </c>
      <c r="P91" s="14" t="n">
        <f aca="false">D91</f>
        <v>20</v>
      </c>
      <c r="Q91" s="14" t="n">
        <f aca="false">G91</f>
        <v>16</v>
      </c>
      <c r="R91" s="14" t="n">
        <f aca="false">J91</f>
        <v>1.5</v>
      </c>
      <c r="S91" s="14" t="n">
        <f aca="false">IF($L91=2012,1,0)</f>
        <v>0</v>
      </c>
      <c r="T91" s="14" t="n">
        <f aca="false">IF($L91=2013,1,0)</f>
        <v>0</v>
      </c>
      <c r="U91" s="14" t="n">
        <f aca="false">IF($L91=2014,1,0)</f>
        <v>0</v>
      </c>
      <c r="V91" s="14" t="n">
        <f aca="false">IF($L91=2015,1,0)</f>
        <v>1</v>
      </c>
      <c r="W91" s="14" t="n">
        <f aca="false">IF($L91=2016,1,0)</f>
        <v>0</v>
      </c>
      <c r="X91" s="14" t="n">
        <f aca="false">IF($L91=2017,1,0)</f>
        <v>0</v>
      </c>
      <c r="Y91" s="14" t="n">
        <f aca="false">IF($H91="Beginner Level",1,0)</f>
        <v>0</v>
      </c>
      <c r="Z91" s="14" t="n">
        <f aca="false">IF($H91="Expert Level",1,0)</f>
        <v>0</v>
      </c>
      <c r="AA91" s="14" t="n">
        <f aca="false">IF($H91="Intermediate Level",1,0)</f>
        <v>0</v>
      </c>
      <c r="AC91" s="14" t="n">
        <f aca="false">N91</f>
        <v>2.99623214859564</v>
      </c>
      <c r="AD91" s="14" t="n">
        <f aca="false">G91</f>
        <v>16</v>
      </c>
      <c r="AE91" s="14" t="n">
        <f aca="false">J91</f>
        <v>1.5</v>
      </c>
      <c r="AF91" s="14" t="n">
        <f aca="false">IF($L91=2012,1,0)</f>
        <v>0</v>
      </c>
      <c r="AG91" s="14" t="n">
        <f aca="false">IF($L91=2013,1,0)</f>
        <v>0</v>
      </c>
      <c r="AH91" s="14" t="n">
        <f aca="false">IF($L91=2014,1,0)</f>
        <v>0</v>
      </c>
      <c r="AI91" s="14" t="n">
        <f aca="false">IF($L91=2015,1,0)</f>
        <v>1</v>
      </c>
      <c r="AJ91" s="14" t="n">
        <f aca="false">IF($L91=2016,1,0)</f>
        <v>0</v>
      </c>
      <c r="AK91" s="14" t="n">
        <f aca="false">IF($L91=2017,1,0)</f>
        <v>0</v>
      </c>
      <c r="AL91" s="14" t="n">
        <f aca="false">IF($H91="Beginner Level",1,0)</f>
        <v>0</v>
      </c>
      <c r="AM91" s="14" t="n">
        <f aca="false">IF($H91="Expert Level",1,0)</f>
        <v>0</v>
      </c>
      <c r="AN91" s="14" t="n">
        <f aca="false">IF($H91="Intermediate Level",1,0)</f>
        <v>0</v>
      </c>
    </row>
    <row r="92" customFormat="false" ht="91" hidden="false" customHeight="false" outlineLevel="0" collapsed="false">
      <c r="A92" s="14" t="n">
        <v>639654</v>
      </c>
      <c r="B92" s="14" t="s">
        <v>236</v>
      </c>
      <c r="C92" s="14" t="s">
        <v>237</v>
      </c>
      <c r="D92" s="14" t="n">
        <v>0</v>
      </c>
      <c r="E92" s="14" t="n">
        <v>17463</v>
      </c>
      <c r="F92" s="14" t="n">
        <v>283</v>
      </c>
      <c r="G92" s="14" t="n">
        <v>30</v>
      </c>
      <c r="H92" s="14" t="s">
        <v>62</v>
      </c>
      <c r="I92" s="14" t="n">
        <v>0.18</v>
      </c>
      <c r="J92" s="14" t="n">
        <v>1.5</v>
      </c>
      <c r="K92" s="14" t="s">
        <v>53</v>
      </c>
      <c r="L92" s="14" t="n">
        <v>2015</v>
      </c>
      <c r="M92" s="14" t="n">
        <v>9.76783963593985</v>
      </c>
      <c r="N92" s="14" t="n">
        <v>-4.60517018598809</v>
      </c>
      <c r="P92" s="14" t="n">
        <f aca="false">D92</f>
        <v>0</v>
      </c>
      <c r="Q92" s="14" t="n">
        <f aca="false">G92</f>
        <v>30</v>
      </c>
      <c r="R92" s="14" t="n">
        <f aca="false">J92</f>
        <v>1.5</v>
      </c>
      <c r="S92" s="14" t="n">
        <f aca="false">IF($L92=2012,1,0)</f>
        <v>0</v>
      </c>
      <c r="T92" s="14" t="n">
        <f aca="false">IF($L92=2013,1,0)</f>
        <v>0</v>
      </c>
      <c r="U92" s="14" t="n">
        <f aca="false">IF($L92=2014,1,0)</f>
        <v>0</v>
      </c>
      <c r="V92" s="14" t="n">
        <f aca="false">IF($L92=2015,1,0)</f>
        <v>1</v>
      </c>
      <c r="W92" s="14" t="n">
        <f aca="false">IF($L92=2016,1,0)</f>
        <v>0</v>
      </c>
      <c r="X92" s="14" t="n">
        <f aca="false">IF($L92=2017,1,0)</f>
        <v>0</v>
      </c>
      <c r="Y92" s="14" t="n">
        <f aca="false">IF($H92="Beginner Level",1,0)</f>
        <v>0</v>
      </c>
      <c r="Z92" s="14" t="n">
        <f aca="false">IF($H92="Expert Level",1,0)</f>
        <v>0</v>
      </c>
      <c r="AA92" s="14" t="n">
        <f aca="false">IF($H92="Intermediate Level",1,0)</f>
        <v>0</v>
      </c>
      <c r="AC92" s="14" t="n">
        <f aca="false">N92</f>
        <v>-4.60517018598809</v>
      </c>
      <c r="AD92" s="14" t="n">
        <f aca="false">G92</f>
        <v>30</v>
      </c>
      <c r="AE92" s="14" t="n">
        <f aca="false">J92</f>
        <v>1.5</v>
      </c>
      <c r="AF92" s="14" t="n">
        <f aca="false">IF($L92=2012,1,0)</f>
        <v>0</v>
      </c>
      <c r="AG92" s="14" t="n">
        <f aca="false">IF($L92=2013,1,0)</f>
        <v>0</v>
      </c>
      <c r="AH92" s="14" t="n">
        <f aca="false">IF($L92=2014,1,0)</f>
        <v>0</v>
      </c>
      <c r="AI92" s="14" t="n">
        <f aca="false">IF($L92=2015,1,0)</f>
        <v>1</v>
      </c>
      <c r="AJ92" s="14" t="n">
        <f aca="false">IF($L92=2016,1,0)</f>
        <v>0</v>
      </c>
      <c r="AK92" s="14" t="n">
        <f aca="false">IF($L92=2017,1,0)</f>
        <v>0</v>
      </c>
      <c r="AL92" s="14" t="n">
        <f aca="false">IF($H92="Beginner Level",1,0)</f>
        <v>0</v>
      </c>
      <c r="AM92" s="14" t="n">
        <f aca="false">IF($H92="Expert Level",1,0)</f>
        <v>0</v>
      </c>
      <c r="AN92" s="14" t="n">
        <f aca="false">IF($H92="Intermediate Level",1,0)</f>
        <v>0</v>
      </c>
    </row>
    <row r="93" customFormat="false" ht="46.25" hidden="false" customHeight="false" outlineLevel="0" collapsed="false">
      <c r="A93" s="14" t="n">
        <v>383204</v>
      </c>
      <c r="B93" s="14" t="s">
        <v>238</v>
      </c>
      <c r="C93" s="14" t="s">
        <v>239</v>
      </c>
      <c r="D93" s="14" t="n">
        <v>100</v>
      </c>
      <c r="E93" s="14" t="n">
        <v>17334</v>
      </c>
      <c r="F93" s="14" t="n">
        <v>676</v>
      </c>
      <c r="G93" s="14" t="n">
        <v>96</v>
      </c>
      <c r="H93" s="14" t="s">
        <v>62</v>
      </c>
      <c r="I93" s="14" t="n">
        <v>0.45</v>
      </c>
      <c r="J93" s="14" t="n">
        <v>17</v>
      </c>
      <c r="K93" s="14" t="s">
        <v>59</v>
      </c>
      <c r="L93" s="14" t="n">
        <v>2015</v>
      </c>
      <c r="M93" s="14" t="n">
        <v>9.76042516969429</v>
      </c>
      <c r="N93" s="14" t="n">
        <v>4.60527018098843</v>
      </c>
      <c r="P93" s="14" t="n">
        <f aca="false">D93</f>
        <v>100</v>
      </c>
      <c r="Q93" s="14" t="n">
        <f aca="false">G93</f>
        <v>96</v>
      </c>
      <c r="R93" s="14" t="n">
        <f aca="false">J93</f>
        <v>17</v>
      </c>
      <c r="S93" s="14" t="n">
        <f aca="false">IF($L93=2012,1,0)</f>
        <v>0</v>
      </c>
      <c r="T93" s="14" t="n">
        <f aca="false">IF($L93=2013,1,0)</f>
        <v>0</v>
      </c>
      <c r="U93" s="14" t="n">
        <f aca="false">IF($L93=2014,1,0)</f>
        <v>0</v>
      </c>
      <c r="V93" s="14" t="n">
        <f aca="false">IF($L93=2015,1,0)</f>
        <v>1</v>
      </c>
      <c r="W93" s="14" t="n">
        <f aca="false">IF($L93=2016,1,0)</f>
        <v>0</v>
      </c>
      <c r="X93" s="14" t="n">
        <f aca="false">IF($L93=2017,1,0)</f>
        <v>0</v>
      </c>
      <c r="Y93" s="14" t="n">
        <f aca="false">IF($H93="Beginner Level",1,0)</f>
        <v>0</v>
      </c>
      <c r="Z93" s="14" t="n">
        <f aca="false">IF($H93="Expert Level",1,0)</f>
        <v>0</v>
      </c>
      <c r="AA93" s="14" t="n">
        <f aca="false">IF($H93="Intermediate Level",1,0)</f>
        <v>0</v>
      </c>
      <c r="AC93" s="14" t="n">
        <f aca="false">N93</f>
        <v>4.60527018098843</v>
      </c>
      <c r="AD93" s="14" t="n">
        <f aca="false">G93</f>
        <v>96</v>
      </c>
      <c r="AE93" s="14" t="n">
        <f aca="false">J93</f>
        <v>17</v>
      </c>
      <c r="AF93" s="14" t="n">
        <f aca="false">IF($L93=2012,1,0)</f>
        <v>0</v>
      </c>
      <c r="AG93" s="14" t="n">
        <f aca="false">IF($L93=2013,1,0)</f>
        <v>0</v>
      </c>
      <c r="AH93" s="14" t="n">
        <f aca="false">IF($L93=2014,1,0)</f>
        <v>0</v>
      </c>
      <c r="AI93" s="14" t="n">
        <f aca="false">IF($L93=2015,1,0)</f>
        <v>1</v>
      </c>
      <c r="AJ93" s="14" t="n">
        <f aca="false">IF($L93=2016,1,0)</f>
        <v>0</v>
      </c>
      <c r="AK93" s="14" t="n">
        <f aca="false">IF($L93=2017,1,0)</f>
        <v>0</v>
      </c>
      <c r="AL93" s="14" t="n">
        <f aca="false">IF($H93="Beginner Level",1,0)</f>
        <v>0</v>
      </c>
      <c r="AM93" s="14" t="n">
        <f aca="false">IF($H93="Expert Level",1,0)</f>
        <v>0</v>
      </c>
      <c r="AN93" s="14" t="n">
        <f aca="false">IF($H93="Intermediate Level",1,0)</f>
        <v>0</v>
      </c>
    </row>
    <row r="94" customFormat="false" ht="68.65" hidden="false" customHeight="false" outlineLevel="0" collapsed="false">
      <c r="A94" s="14" t="n">
        <v>833442</v>
      </c>
      <c r="B94" s="14" t="s">
        <v>240</v>
      </c>
      <c r="C94" s="14" t="s">
        <v>241</v>
      </c>
      <c r="D94" s="14" t="n">
        <v>150</v>
      </c>
      <c r="E94" s="14" t="n">
        <v>17297</v>
      </c>
      <c r="F94" s="14" t="n">
        <v>3166</v>
      </c>
      <c r="G94" s="14" t="n">
        <v>111</v>
      </c>
      <c r="H94" s="14" t="s">
        <v>56</v>
      </c>
      <c r="I94" s="14" t="n">
        <v>0.15</v>
      </c>
      <c r="J94" s="14" t="n">
        <v>8.5</v>
      </c>
      <c r="K94" s="14" t="s">
        <v>59</v>
      </c>
      <c r="L94" s="14" t="n">
        <v>2016</v>
      </c>
      <c r="M94" s="14" t="n">
        <v>9.75828835504392</v>
      </c>
      <c r="N94" s="14" t="n">
        <v>5.0107019585408</v>
      </c>
      <c r="P94" s="14" t="n">
        <f aca="false">D94</f>
        <v>150</v>
      </c>
      <c r="Q94" s="14" t="n">
        <f aca="false">G94</f>
        <v>111</v>
      </c>
      <c r="R94" s="14" t="n">
        <f aca="false">J94</f>
        <v>8.5</v>
      </c>
      <c r="S94" s="14" t="n">
        <f aca="false">IF($L94=2012,1,0)</f>
        <v>0</v>
      </c>
      <c r="T94" s="14" t="n">
        <f aca="false">IF($L94=2013,1,0)</f>
        <v>0</v>
      </c>
      <c r="U94" s="14" t="n">
        <f aca="false">IF($L94=2014,1,0)</f>
        <v>0</v>
      </c>
      <c r="V94" s="14" t="n">
        <f aca="false">IF($L94=2015,1,0)</f>
        <v>0</v>
      </c>
      <c r="W94" s="14" t="n">
        <f aca="false">IF($L94=2016,1,0)</f>
        <v>1</v>
      </c>
      <c r="X94" s="14" t="n">
        <f aca="false">IF($L94=2017,1,0)</f>
        <v>0</v>
      </c>
      <c r="Y94" s="14" t="n">
        <f aca="false">IF($H94="Beginner Level",1,0)</f>
        <v>0</v>
      </c>
      <c r="Z94" s="14" t="n">
        <f aca="false">IF($H94="Expert Level",1,0)</f>
        <v>1</v>
      </c>
      <c r="AA94" s="14" t="n">
        <f aca="false">IF($H94="Intermediate Level",1,0)</f>
        <v>0</v>
      </c>
      <c r="AC94" s="14" t="n">
        <f aca="false">N94</f>
        <v>5.0107019585408</v>
      </c>
      <c r="AD94" s="14" t="n">
        <f aca="false">G94</f>
        <v>111</v>
      </c>
      <c r="AE94" s="14" t="n">
        <f aca="false">J94</f>
        <v>8.5</v>
      </c>
      <c r="AF94" s="14" t="n">
        <f aca="false">IF($L94=2012,1,0)</f>
        <v>0</v>
      </c>
      <c r="AG94" s="14" t="n">
        <f aca="false">IF($L94=2013,1,0)</f>
        <v>0</v>
      </c>
      <c r="AH94" s="14" t="n">
        <f aca="false">IF($L94=2014,1,0)</f>
        <v>0</v>
      </c>
      <c r="AI94" s="14" t="n">
        <f aca="false">IF($L94=2015,1,0)</f>
        <v>0</v>
      </c>
      <c r="AJ94" s="14" t="n">
        <f aca="false">IF($L94=2016,1,0)</f>
        <v>1</v>
      </c>
      <c r="AK94" s="14" t="n">
        <f aca="false">IF($L94=2017,1,0)</f>
        <v>0</v>
      </c>
      <c r="AL94" s="14" t="n">
        <f aca="false">IF($H94="Beginner Level",1,0)</f>
        <v>0</v>
      </c>
      <c r="AM94" s="14" t="n">
        <f aca="false">IF($H94="Expert Level",1,0)</f>
        <v>1</v>
      </c>
      <c r="AN94" s="14" t="n">
        <f aca="false">IF($H94="Intermediate Level",1,0)</f>
        <v>0</v>
      </c>
    </row>
    <row r="95" customFormat="false" ht="68.65" hidden="false" customHeight="false" outlineLevel="0" collapsed="false">
      <c r="A95" s="14" t="n">
        <v>30318</v>
      </c>
      <c r="B95" s="14" t="s">
        <v>242</v>
      </c>
      <c r="C95" s="14" t="s">
        <v>243</v>
      </c>
      <c r="D95" s="14" t="n">
        <v>50</v>
      </c>
      <c r="E95" s="14" t="n">
        <v>17113</v>
      </c>
      <c r="F95" s="14" t="n">
        <v>380</v>
      </c>
      <c r="G95" s="14" t="n">
        <v>93</v>
      </c>
      <c r="H95" s="14" t="s">
        <v>52</v>
      </c>
      <c r="I95" s="14" t="n">
        <v>0.24</v>
      </c>
      <c r="J95" s="14" t="n">
        <v>9.5</v>
      </c>
      <c r="K95" s="14" t="s">
        <v>59</v>
      </c>
      <c r="L95" s="14" t="n">
        <v>2012</v>
      </c>
      <c r="M95" s="14" t="n">
        <v>9.74759368757745</v>
      </c>
      <c r="N95" s="14" t="n">
        <v>3.91222298543081</v>
      </c>
      <c r="P95" s="14" t="n">
        <f aca="false">D95</f>
        <v>50</v>
      </c>
      <c r="Q95" s="14" t="n">
        <f aca="false">G95</f>
        <v>93</v>
      </c>
      <c r="R95" s="14" t="n">
        <f aca="false">J95</f>
        <v>9.5</v>
      </c>
      <c r="S95" s="14" t="n">
        <f aca="false">IF($L95=2012,1,0)</f>
        <v>1</v>
      </c>
      <c r="T95" s="14" t="n">
        <f aca="false">IF($L95=2013,1,0)</f>
        <v>0</v>
      </c>
      <c r="U95" s="14" t="n">
        <f aca="false">IF($L95=2014,1,0)</f>
        <v>0</v>
      </c>
      <c r="V95" s="14" t="n">
        <f aca="false">IF($L95=2015,1,0)</f>
        <v>0</v>
      </c>
      <c r="W95" s="14" t="n">
        <f aca="false">IF($L95=2016,1,0)</f>
        <v>0</v>
      </c>
      <c r="X95" s="14" t="n">
        <f aca="false">IF($L95=2017,1,0)</f>
        <v>0</v>
      </c>
      <c r="Y95" s="14" t="n">
        <f aca="false">IF($H95="Beginner Level",1,0)</f>
        <v>1</v>
      </c>
      <c r="Z95" s="14" t="n">
        <f aca="false">IF($H95="Expert Level",1,0)</f>
        <v>0</v>
      </c>
      <c r="AA95" s="14" t="n">
        <f aca="false">IF($H95="Intermediate Level",1,0)</f>
        <v>0</v>
      </c>
      <c r="AC95" s="14" t="n">
        <f aca="false">N95</f>
        <v>3.91222298543081</v>
      </c>
      <c r="AD95" s="14" t="n">
        <f aca="false">G95</f>
        <v>93</v>
      </c>
      <c r="AE95" s="14" t="n">
        <f aca="false">J95</f>
        <v>9.5</v>
      </c>
      <c r="AF95" s="14" t="n">
        <f aca="false">IF($L95=2012,1,0)</f>
        <v>1</v>
      </c>
      <c r="AG95" s="14" t="n">
        <f aca="false">IF($L95=2013,1,0)</f>
        <v>0</v>
      </c>
      <c r="AH95" s="14" t="n">
        <f aca="false">IF($L95=2014,1,0)</f>
        <v>0</v>
      </c>
      <c r="AI95" s="14" t="n">
        <f aca="false">IF($L95=2015,1,0)</f>
        <v>0</v>
      </c>
      <c r="AJ95" s="14" t="n">
        <f aca="false">IF($L95=2016,1,0)</f>
        <v>0</v>
      </c>
      <c r="AK95" s="14" t="n">
        <f aca="false">IF($L95=2017,1,0)</f>
        <v>0</v>
      </c>
      <c r="AL95" s="14" t="n">
        <f aca="false">IF($H95="Beginner Level",1,0)</f>
        <v>1</v>
      </c>
      <c r="AM95" s="14" t="n">
        <f aca="false">IF($H95="Expert Level",1,0)</f>
        <v>0</v>
      </c>
      <c r="AN95" s="14" t="n">
        <f aca="false">IF($H95="Intermediate Level",1,0)</f>
        <v>0</v>
      </c>
    </row>
    <row r="96" customFormat="false" ht="79.85" hidden="false" customHeight="false" outlineLevel="0" collapsed="false">
      <c r="A96" s="14" t="n">
        <v>173134</v>
      </c>
      <c r="B96" s="14" t="s">
        <v>244</v>
      </c>
      <c r="C96" s="14" t="s">
        <v>245</v>
      </c>
      <c r="D96" s="14" t="n">
        <v>200</v>
      </c>
      <c r="E96" s="14" t="n">
        <v>17071</v>
      </c>
      <c r="F96" s="14" t="n">
        <v>17</v>
      </c>
      <c r="G96" s="14" t="n">
        <v>15</v>
      </c>
      <c r="H96" s="14" t="s">
        <v>71</v>
      </c>
      <c r="I96" s="14" t="n">
        <v>0.76</v>
      </c>
      <c r="J96" s="14" t="n">
        <v>1.5</v>
      </c>
      <c r="K96" s="14" t="s">
        <v>59</v>
      </c>
      <c r="L96" s="14" t="n">
        <v>2014</v>
      </c>
      <c r="M96" s="14" t="n">
        <v>9.74513639638075</v>
      </c>
      <c r="N96" s="14" t="n">
        <v>5.29836736529808</v>
      </c>
      <c r="P96" s="14" t="n">
        <f aca="false">D96</f>
        <v>200</v>
      </c>
      <c r="Q96" s="14" t="n">
        <f aca="false">G96</f>
        <v>15</v>
      </c>
      <c r="R96" s="14" t="n">
        <f aca="false">J96</f>
        <v>1.5</v>
      </c>
      <c r="S96" s="14" t="n">
        <f aca="false">IF($L96=2012,1,0)</f>
        <v>0</v>
      </c>
      <c r="T96" s="14" t="n">
        <f aca="false">IF($L96=2013,1,0)</f>
        <v>0</v>
      </c>
      <c r="U96" s="14" t="n">
        <f aca="false">IF($L96=2014,1,0)</f>
        <v>1</v>
      </c>
      <c r="V96" s="14" t="n">
        <f aca="false">IF($L96=2015,1,0)</f>
        <v>0</v>
      </c>
      <c r="W96" s="14" t="n">
        <f aca="false">IF($L96=2016,1,0)</f>
        <v>0</v>
      </c>
      <c r="X96" s="14" t="n">
        <f aca="false">IF($L96=2017,1,0)</f>
        <v>0</v>
      </c>
      <c r="Y96" s="14" t="n">
        <f aca="false">IF($H96="Beginner Level",1,0)</f>
        <v>0</v>
      </c>
      <c r="Z96" s="14" t="n">
        <f aca="false">IF($H96="Expert Level",1,0)</f>
        <v>0</v>
      </c>
      <c r="AA96" s="14" t="n">
        <f aca="false">IF($H96="Intermediate Level",1,0)</f>
        <v>1</v>
      </c>
      <c r="AC96" s="14" t="n">
        <f aca="false">N96</f>
        <v>5.29836736529808</v>
      </c>
      <c r="AD96" s="14" t="n">
        <f aca="false">G96</f>
        <v>15</v>
      </c>
      <c r="AE96" s="14" t="n">
        <f aca="false">J96</f>
        <v>1.5</v>
      </c>
      <c r="AF96" s="14" t="n">
        <f aca="false">IF($L96=2012,1,0)</f>
        <v>0</v>
      </c>
      <c r="AG96" s="14" t="n">
        <f aca="false">IF($L96=2013,1,0)</f>
        <v>0</v>
      </c>
      <c r="AH96" s="14" t="n">
        <f aca="false">IF($L96=2014,1,0)</f>
        <v>1</v>
      </c>
      <c r="AI96" s="14" t="n">
        <f aca="false">IF($L96=2015,1,0)</f>
        <v>0</v>
      </c>
      <c r="AJ96" s="14" t="n">
        <f aca="false">IF($L96=2016,1,0)</f>
        <v>0</v>
      </c>
      <c r="AK96" s="14" t="n">
        <f aca="false">IF($L96=2017,1,0)</f>
        <v>0</v>
      </c>
      <c r="AL96" s="14" t="n">
        <f aca="false">IF($H96="Beginner Level",1,0)</f>
        <v>0</v>
      </c>
      <c r="AM96" s="14" t="n">
        <f aca="false">IF($H96="Expert Level",1,0)</f>
        <v>0</v>
      </c>
      <c r="AN96" s="14" t="n">
        <f aca="false">IF($H96="Intermediate Level",1,0)</f>
        <v>1</v>
      </c>
    </row>
    <row r="97" customFormat="false" ht="57.45" hidden="false" customHeight="false" outlineLevel="0" collapsed="false">
      <c r="A97" s="14" t="n">
        <v>983534</v>
      </c>
      <c r="B97" s="14" t="s">
        <v>246</v>
      </c>
      <c r="C97" s="14" t="s">
        <v>247</v>
      </c>
      <c r="D97" s="14" t="n">
        <v>50</v>
      </c>
      <c r="E97" s="14" t="n">
        <v>16926</v>
      </c>
      <c r="F97" s="14" t="n">
        <v>126</v>
      </c>
      <c r="G97" s="14" t="n">
        <v>33</v>
      </c>
      <c r="H97" s="14" t="s">
        <v>52</v>
      </c>
      <c r="I97" s="14" t="n">
        <v>0.61</v>
      </c>
      <c r="J97" s="14" t="n">
        <v>4.5</v>
      </c>
      <c r="K97" s="14" t="s">
        <v>59</v>
      </c>
      <c r="L97" s="14" t="n">
        <v>2016</v>
      </c>
      <c r="M97" s="14" t="n">
        <v>9.73660618023005</v>
      </c>
      <c r="N97" s="14" t="n">
        <v>3.91222298543081</v>
      </c>
      <c r="P97" s="14" t="n">
        <f aca="false">D97</f>
        <v>50</v>
      </c>
      <c r="Q97" s="14" t="n">
        <f aca="false">G97</f>
        <v>33</v>
      </c>
      <c r="R97" s="14" t="n">
        <f aca="false">J97</f>
        <v>4.5</v>
      </c>
      <c r="S97" s="14" t="n">
        <f aca="false">IF($L97=2012,1,0)</f>
        <v>0</v>
      </c>
      <c r="T97" s="14" t="n">
        <f aca="false">IF($L97=2013,1,0)</f>
        <v>0</v>
      </c>
      <c r="U97" s="14" t="n">
        <f aca="false">IF($L97=2014,1,0)</f>
        <v>0</v>
      </c>
      <c r="V97" s="14" t="n">
        <f aca="false">IF($L97=2015,1,0)</f>
        <v>0</v>
      </c>
      <c r="W97" s="14" t="n">
        <f aca="false">IF($L97=2016,1,0)</f>
        <v>1</v>
      </c>
      <c r="X97" s="14" t="n">
        <f aca="false">IF($L97=2017,1,0)</f>
        <v>0</v>
      </c>
      <c r="Y97" s="14" t="n">
        <f aca="false">IF($H97="Beginner Level",1,0)</f>
        <v>1</v>
      </c>
      <c r="Z97" s="14" t="n">
        <f aca="false">IF($H97="Expert Level",1,0)</f>
        <v>0</v>
      </c>
      <c r="AA97" s="14" t="n">
        <f aca="false">IF($H97="Intermediate Level",1,0)</f>
        <v>0</v>
      </c>
      <c r="AC97" s="14" t="n">
        <f aca="false">N97</f>
        <v>3.91222298543081</v>
      </c>
      <c r="AD97" s="14" t="n">
        <f aca="false">G97</f>
        <v>33</v>
      </c>
      <c r="AE97" s="14" t="n">
        <f aca="false">J97</f>
        <v>4.5</v>
      </c>
      <c r="AF97" s="14" t="n">
        <f aca="false">IF($L97=2012,1,0)</f>
        <v>0</v>
      </c>
      <c r="AG97" s="14" t="n">
        <f aca="false">IF($L97=2013,1,0)</f>
        <v>0</v>
      </c>
      <c r="AH97" s="14" t="n">
        <f aca="false">IF($L97=2014,1,0)</f>
        <v>0</v>
      </c>
      <c r="AI97" s="14" t="n">
        <f aca="false">IF($L97=2015,1,0)</f>
        <v>0</v>
      </c>
      <c r="AJ97" s="14" t="n">
        <f aca="false">IF($L97=2016,1,0)</f>
        <v>1</v>
      </c>
      <c r="AK97" s="14" t="n">
        <f aca="false">IF($L97=2017,1,0)</f>
        <v>0</v>
      </c>
      <c r="AL97" s="14" t="n">
        <f aca="false">IF($H97="Beginner Level",1,0)</f>
        <v>1</v>
      </c>
      <c r="AM97" s="14" t="n">
        <f aca="false">IF($H97="Expert Level",1,0)</f>
        <v>0</v>
      </c>
      <c r="AN97" s="14" t="n">
        <f aca="false">IF($H97="Intermediate Level",1,0)</f>
        <v>0</v>
      </c>
    </row>
    <row r="98" customFormat="false" ht="68.65" hidden="false" customHeight="false" outlineLevel="0" collapsed="false">
      <c r="A98" s="14" t="n">
        <v>1078522</v>
      </c>
      <c r="B98" s="14" t="s">
        <v>248</v>
      </c>
      <c r="C98" s="14" t="s">
        <v>249</v>
      </c>
      <c r="D98" s="14" t="n">
        <v>60</v>
      </c>
      <c r="E98" s="14" t="n">
        <v>16829</v>
      </c>
      <c r="F98" s="14" t="n">
        <v>820</v>
      </c>
      <c r="G98" s="14" t="n">
        <v>77</v>
      </c>
      <c r="H98" s="14" t="s">
        <v>62</v>
      </c>
      <c r="I98" s="14" t="n">
        <v>0.76</v>
      </c>
      <c r="J98" s="14" t="n">
        <v>5</v>
      </c>
      <c r="K98" s="14" t="s">
        <v>59</v>
      </c>
      <c r="L98" s="14" t="n">
        <v>2017</v>
      </c>
      <c r="M98" s="14" t="n">
        <v>9.73085886771307</v>
      </c>
      <c r="N98" s="14" t="n">
        <v>4.09451121500142</v>
      </c>
      <c r="P98" s="14" t="n">
        <f aca="false">D98</f>
        <v>60</v>
      </c>
      <c r="Q98" s="14" t="n">
        <f aca="false">G98</f>
        <v>77</v>
      </c>
      <c r="R98" s="14" t="n">
        <f aca="false">J98</f>
        <v>5</v>
      </c>
      <c r="S98" s="14" t="n">
        <f aca="false">IF($L98=2012,1,0)</f>
        <v>0</v>
      </c>
      <c r="T98" s="14" t="n">
        <f aca="false">IF($L98=2013,1,0)</f>
        <v>0</v>
      </c>
      <c r="U98" s="14" t="n">
        <f aca="false">IF($L98=2014,1,0)</f>
        <v>0</v>
      </c>
      <c r="V98" s="14" t="n">
        <f aca="false">IF($L98=2015,1,0)</f>
        <v>0</v>
      </c>
      <c r="W98" s="14" t="n">
        <f aca="false">IF($L98=2016,1,0)</f>
        <v>0</v>
      </c>
      <c r="X98" s="14" t="n">
        <f aca="false">IF($L98=2017,1,0)</f>
        <v>1</v>
      </c>
      <c r="Y98" s="14" t="n">
        <f aca="false">IF($H98="Beginner Level",1,0)</f>
        <v>0</v>
      </c>
      <c r="Z98" s="14" t="n">
        <f aca="false">IF($H98="Expert Level",1,0)</f>
        <v>0</v>
      </c>
      <c r="AA98" s="14" t="n">
        <f aca="false">IF($H98="Intermediate Level",1,0)</f>
        <v>0</v>
      </c>
      <c r="AC98" s="14" t="n">
        <f aca="false">N98</f>
        <v>4.09451121500142</v>
      </c>
      <c r="AD98" s="14" t="n">
        <f aca="false">G98</f>
        <v>77</v>
      </c>
      <c r="AE98" s="14" t="n">
        <f aca="false">J98</f>
        <v>5</v>
      </c>
      <c r="AF98" s="14" t="n">
        <f aca="false">IF($L98=2012,1,0)</f>
        <v>0</v>
      </c>
      <c r="AG98" s="14" t="n">
        <f aca="false">IF($L98=2013,1,0)</f>
        <v>0</v>
      </c>
      <c r="AH98" s="14" t="n">
        <f aca="false">IF($L98=2014,1,0)</f>
        <v>0</v>
      </c>
      <c r="AI98" s="14" t="n">
        <f aca="false">IF($L98=2015,1,0)</f>
        <v>0</v>
      </c>
      <c r="AJ98" s="14" t="n">
        <f aca="false">IF($L98=2016,1,0)</f>
        <v>0</v>
      </c>
      <c r="AK98" s="14" t="n">
        <f aca="false">IF($L98=2017,1,0)</f>
        <v>1</v>
      </c>
      <c r="AL98" s="14" t="n">
        <f aca="false">IF($H98="Beginner Level",1,0)</f>
        <v>0</v>
      </c>
      <c r="AM98" s="14" t="n">
        <f aca="false">IF($H98="Expert Level",1,0)</f>
        <v>0</v>
      </c>
      <c r="AN98" s="14" t="n">
        <f aca="false">IF($H98="Intermediate Level",1,0)</f>
        <v>0</v>
      </c>
    </row>
    <row r="99" customFormat="false" ht="57.45" hidden="false" customHeight="false" outlineLevel="0" collapsed="false">
      <c r="A99" s="14" t="n">
        <v>701636</v>
      </c>
      <c r="B99" s="14" t="s">
        <v>250</v>
      </c>
      <c r="C99" s="14" t="s">
        <v>251</v>
      </c>
      <c r="D99" s="14" t="n">
        <v>75</v>
      </c>
      <c r="E99" s="14" t="n">
        <v>16731</v>
      </c>
      <c r="F99" s="14" t="n">
        <v>137</v>
      </c>
      <c r="G99" s="14" t="n">
        <v>10</v>
      </c>
      <c r="H99" s="14" t="s">
        <v>62</v>
      </c>
      <c r="I99" s="14" t="n">
        <v>0.66</v>
      </c>
      <c r="J99" s="14" t="n">
        <v>1</v>
      </c>
      <c r="K99" s="14" t="s">
        <v>59</v>
      </c>
      <c r="L99" s="14" t="n">
        <v>2015</v>
      </c>
      <c r="M99" s="14" t="n">
        <v>9.72501856505766</v>
      </c>
      <c r="N99" s="14" t="n">
        <v>4.31762143798155</v>
      </c>
      <c r="P99" s="14" t="n">
        <f aca="false">D99</f>
        <v>75</v>
      </c>
      <c r="Q99" s="14" t="n">
        <f aca="false">G99</f>
        <v>10</v>
      </c>
      <c r="R99" s="14" t="n">
        <f aca="false">J99</f>
        <v>1</v>
      </c>
      <c r="S99" s="14" t="n">
        <f aca="false">IF($L99=2012,1,0)</f>
        <v>0</v>
      </c>
      <c r="T99" s="14" t="n">
        <f aca="false">IF($L99=2013,1,0)</f>
        <v>0</v>
      </c>
      <c r="U99" s="14" t="n">
        <f aca="false">IF($L99=2014,1,0)</f>
        <v>0</v>
      </c>
      <c r="V99" s="14" t="n">
        <f aca="false">IF($L99=2015,1,0)</f>
        <v>1</v>
      </c>
      <c r="W99" s="14" t="n">
        <f aca="false">IF($L99=2016,1,0)</f>
        <v>0</v>
      </c>
      <c r="X99" s="14" t="n">
        <f aca="false">IF($L99=2017,1,0)</f>
        <v>0</v>
      </c>
      <c r="Y99" s="14" t="n">
        <f aca="false">IF($H99="Beginner Level",1,0)</f>
        <v>0</v>
      </c>
      <c r="Z99" s="14" t="n">
        <f aca="false">IF($H99="Expert Level",1,0)</f>
        <v>0</v>
      </c>
      <c r="AA99" s="14" t="n">
        <f aca="false">IF($H99="Intermediate Level",1,0)</f>
        <v>0</v>
      </c>
      <c r="AC99" s="14" t="n">
        <f aca="false">N99</f>
        <v>4.31762143798155</v>
      </c>
      <c r="AD99" s="14" t="n">
        <f aca="false">G99</f>
        <v>10</v>
      </c>
      <c r="AE99" s="14" t="n">
        <f aca="false">J99</f>
        <v>1</v>
      </c>
      <c r="AF99" s="14" t="n">
        <f aca="false">IF($L99=2012,1,0)</f>
        <v>0</v>
      </c>
      <c r="AG99" s="14" t="n">
        <f aca="false">IF($L99=2013,1,0)</f>
        <v>0</v>
      </c>
      <c r="AH99" s="14" t="n">
        <f aca="false">IF($L99=2014,1,0)</f>
        <v>0</v>
      </c>
      <c r="AI99" s="14" t="n">
        <f aca="false">IF($L99=2015,1,0)</f>
        <v>1</v>
      </c>
      <c r="AJ99" s="14" t="n">
        <f aca="false">IF($L99=2016,1,0)</f>
        <v>0</v>
      </c>
      <c r="AK99" s="14" t="n">
        <f aca="false">IF($L99=2017,1,0)</f>
        <v>0</v>
      </c>
      <c r="AL99" s="14" t="n">
        <f aca="false">IF($H99="Beginner Level",1,0)</f>
        <v>0</v>
      </c>
      <c r="AM99" s="14" t="n">
        <f aca="false">IF($H99="Expert Level",1,0)</f>
        <v>0</v>
      </c>
      <c r="AN99" s="14" t="n">
        <f aca="false">IF($H99="Intermediate Level",1,0)</f>
        <v>0</v>
      </c>
    </row>
    <row r="100" customFormat="false" ht="79.85" hidden="false" customHeight="false" outlineLevel="0" collapsed="false">
      <c r="A100" s="14" t="n">
        <v>648118</v>
      </c>
      <c r="B100" s="14" t="s">
        <v>252</v>
      </c>
      <c r="C100" s="14" t="s">
        <v>253</v>
      </c>
      <c r="D100" s="14" t="n">
        <v>75</v>
      </c>
      <c r="E100" s="14" t="n">
        <v>16590</v>
      </c>
      <c r="F100" s="14" t="n">
        <v>51</v>
      </c>
      <c r="G100" s="14" t="n">
        <v>27</v>
      </c>
      <c r="H100" s="14" t="s">
        <v>62</v>
      </c>
      <c r="I100" s="14" t="n">
        <v>0.26</v>
      </c>
      <c r="J100" s="14" t="n">
        <v>2.5</v>
      </c>
      <c r="K100" s="14" t="s">
        <v>59</v>
      </c>
      <c r="L100" s="14" t="n">
        <v>2015</v>
      </c>
      <c r="M100" s="14" t="n">
        <v>9.71655538318449</v>
      </c>
      <c r="N100" s="14" t="n">
        <v>4.31762143798155</v>
      </c>
      <c r="P100" s="14" t="n">
        <f aca="false">D100</f>
        <v>75</v>
      </c>
      <c r="Q100" s="14" t="n">
        <f aca="false">G100</f>
        <v>27</v>
      </c>
      <c r="R100" s="14" t="n">
        <f aca="false">J100</f>
        <v>2.5</v>
      </c>
      <c r="S100" s="14" t="n">
        <f aca="false">IF($L100=2012,1,0)</f>
        <v>0</v>
      </c>
      <c r="T100" s="14" t="n">
        <f aca="false">IF($L100=2013,1,0)</f>
        <v>0</v>
      </c>
      <c r="U100" s="14" t="n">
        <f aca="false">IF($L100=2014,1,0)</f>
        <v>0</v>
      </c>
      <c r="V100" s="14" t="n">
        <f aca="false">IF($L100=2015,1,0)</f>
        <v>1</v>
      </c>
      <c r="W100" s="14" t="n">
        <f aca="false">IF($L100=2016,1,0)</f>
        <v>0</v>
      </c>
      <c r="X100" s="14" t="n">
        <f aca="false">IF($L100=2017,1,0)</f>
        <v>0</v>
      </c>
      <c r="Y100" s="14" t="n">
        <f aca="false">IF($H100="Beginner Level",1,0)</f>
        <v>0</v>
      </c>
      <c r="Z100" s="14" t="n">
        <f aca="false">IF($H100="Expert Level",1,0)</f>
        <v>0</v>
      </c>
      <c r="AA100" s="14" t="n">
        <f aca="false">IF($H100="Intermediate Level",1,0)</f>
        <v>0</v>
      </c>
      <c r="AC100" s="14" t="n">
        <f aca="false">N100</f>
        <v>4.31762143798155</v>
      </c>
      <c r="AD100" s="14" t="n">
        <f aca="false">G100</f>
        <v>27</v>
      </c>
      <c r="AE100" s="14" t="n">
        <f aca="false">J100</f>
        <v>2.5</v>
      </c>
      <c r="AF100" s="14" t="n">
        <f aca="false">IF($L100=2012,1,0)</f>
        <v>0</v>
      </c>
      <c r="AG100" s="14" t="n">
        <f aca="false">IF($L100=2013,1,0)</f>
        <v>0</v>
      </c>
      <c r="AH100" s="14" t="n">
        <f aca="false">IF($L100=2014,1,0)</f>
        <v>0</v>
      </c>
      <c r="AI100" s="14" t="n">
        <f aca="false">IF($L100=2015,1,0)</f>
        <v>1</v>
      </c>
      <c r="AJ100" s="14" t="n">
        <f aca="false">IF($L100=2016,1,0)</f>
        <v>0</v>
      </c>
      <c r="AK100" s="14" t="n">
        <f aca="false">IF($L100=2017,1,0)</f>
        <v>0</v>
      </c>
      <c r="AL100" s="14" t="n">
        <f aca="false">IF($H100="Beginner Level",1,0)</f>
        <v>0</v>
      </c>
      <c r="AM100" s="14" t="n">
        <f aca="false">IF($H100="Expert Level",1,0)</f>
        <v>0</v>
      </c>
      <c r="AN100" s="14" t="n">
        <f aca="false">IF($H100="Intermediate Level",1,0)</f>
        <v>0</v>
      </c>
    </row>
    <row r="101" customFormat="false" ht="79.85" hidden="false" customHeight="false" outlineLevel="0" collapsed="false">
      <c r="A101" s="14" t="n">
        <v>188692</v>
      </c>
      <c r="B101" s="14" t="s">
        <v>254</v>
      </c>
      <c r="C101" s="14" t="s">
        <v>255</v>
      </c>
      <c r="D101" s="14" t="n">
        <v>0</v>
      </c>
      <c r="E101" s="14" t="n">
        <v>16527</v>
      </c>
      <c r="F101" s="14" t="n">
        <v>354</v>
      </c>
      <c r="G101" s="14" t="n">
        <v>17</v>
      </c>
      <c r="H101" s="14" t="s">
        <v>62</v>
      </c>
      <c r="I101" s="14" t="n">
        <v>0.68</v>
      </c>
      <c r="J101" s="14" t="n">
        <v>2</v>
      </c>
      <c r="K101" s="14" t="s">
        <v>53</v>
      </c>
      <c r="L101" s="14" t="n">
        <v>2014</v>
      </c>
      <c r="M101" s="14" t="n">
        <v>9.71275068614083</v>
      </c>
      <c r="N101" s="14" t="n">
        <v>-4.60517018598809</v>
      </c>
      <c r="P101" s="14" t="n">
        <f aca="false">D101</f>
        <v>0</v>
      </c>
      <c r="Q101" s="14" t="n">
        <f aca="false">G101</f>
        <v>17</v>
      </c>
      <c r="R101" s="14" t="n">
        <f aca="false">J101</f>
        <v>2</v>
      </c>
      <c r="S101" s="14" t="n">
        <f aca="false">IF($L101=2012,1,0)</f>
        <v>0</v>
      </c>
      <c r="T101" s="14" t="n">
        <f aca="false">IF($L101=2013,1,0)</f>
        <v>0</v>
      </c>
      <c r="U101" s="14" t="n">
        <f aca="false">IF($L101=2014,1,0)</f>
        <v>1</v>
      </c>
      <c r="V101" s="14" t="n">
        <f aca="false">IF($L101=2015,1,0)</f>
        <v>0</v>
      </c>
      <c r="W101" s="14" t="n">
        <f aca="false">IF($L101=2016,1,0)</f>
        <v>0</v>
      </c>
      <c r="X101" s="14" t="n">
        <f aca="false">IF($L101=2017,1,0)</f>
        <v>0</v>
      </c>
      <c r="Y101" s="14" t="n">
        <f aca="false">IF($H101="Beginner Level",1,0)</f>
        <v>0</v>
      </c>
      <c r="Z101" s="14" t="n">
        <f aca="false">IF($H101="Expert Level",1,0)</f>
        <v>0</v>
      </c>
      <c r="AA101" s="14" t="n">
        <f aca="false">IF($H101="Intermediate Level",1,0)</f>
        <v>0</v>
      </c>
      <c r="AC101" s="14" t="n">
        <f aca="false">N101</f>
        <v>-4.60517018598809</v>
      </c>
      <c r="AD101" s="14" t="n">
        <f aca="false">G101</f>
        <v>17</v>
      </c>
      <c r="AE101" s="14" t="n">
        <f aca="false">J101</f>
        <v>2</v>
      </c>
      <c r="AF101" s="14" t="n">
        <f aca="false">IF($L101=2012,1,0)</f>
        <v>0</v>
      </c>
      <c r="AG101" s="14" t="n">
        <f aca="false">IF($L101=2013,1,0)</f>
        <v>0</v>
      </c>
      <c r="AH101" s="14" t="n">
        <f aca="false">IF($L101=2014,1,0)</f>
        <v>1</v>
      </c>
      <c r="AI101" s="14" t="n">
        <f aca="false">IF($L101=2015,1,0)</f>
        <v>0</v>
      </c>
      <c r="AJ101" s="14" t="n">
        <f aca="false">IF($L101=2016,1,0)</f>
        <v>0</v>
      </c>
      <c r="AK101" s="14" t="n">
        <f aca="false">IF($L101=2017,1,0)</f>
        <v>0</v>
      </c>
      <c r="AL101" s="14" t="n">
        <f aca="false">IF($H101="Beginner Level",1,0)</f>
        <v>0</v>
      </c>
      <c r="AM101" s="14" t="n">
        <f aca="false">IF($H101="Expert Level",1,0)</f>
        <v>0</v>
      </c>
      <c r="AN101" s="14" t="n">
        <f aca="false">IF($H101="Intermediate Level",1,0)</f>
        <v>0</v>
      </c>
    </row>
    <row r="102" customFormat="false" ht="57.45" hidden="false" customHeight="false" outlineLevel="0" collapsed="false">
      <c r="A102" s="14" t="n">
        <v>50522</v>
      </c>
      <c r="B102" s="14" t="s">
        <v>256</v>
      </c>
      <c r="C102" s="14" t="s">
        <v>257</v>
      </c>
      <c r="D102" s="14" t="n">
        <v>20</v>
      </c>
      <c r="E102" s="14" t="n">
        <v>16486</v>
      </c>
      <c r="F102" s="14" t="n">
        <v>86</v>
      </c>
      <c r="G102" s="14" t="n">
        <v>34</v>
      </c>
      <c r="H102" s="14" t="s">
        <v>52</v>
      </c>
      <c r="I102" s="14" t="n">
        <v>0.24</v>
      </c>
      <c r="J102" s="14" t="n">
        <v>6.5</v>
      </c>
      <c r="K102" s="14" t="s">
        <v>59</v>
      </c>
      <c r="L102" s="14" t="n">
        <v>2014</v>
      </c>
      <c r="M102" s="14" t="n">
        <v>9.71026681487317</v>
      </c>
      <c r="N102" s="14" t="n">
        <v>2.99623214859564</v>
      </c>
      <c r="P102" s="14" t="n">
        <f aca="false">D102</f>
        <v>20</v>
      </c>
      <c r="Q102" s="14" t="n">
        <f aca="false">G102</f>
        <v>34</v>
      </c>
      <c r="R102" s="14" t="n">
        <f aca="false">J102</f>
        <v>6.5</v>
      </c>
      <c r="S102" s="14" t="n">
        <f aca="false">IF($L102=2012,1,0)</f>
        <v>0</v>
      </c>
      <c r="T102" s="14" t="n">
        <f aca="false">IF($L102=2013,1,0)</f>
        <v>0</v>
      </c>
      <c r="U102" s="14" t="n">
        <f aca="false">IF($L102=2014,1,0)</f>
        <v>1</v>
      </c>
      <c r="V102" s="14" t="n">
        <f aca="false">IF($L102=2015,1,0)</f>
        <v>0</v>
      </c>
      <c r="W102" s="14" t="n">
        <f aca="false">IF($L102=2016,1,0)</f>
        <v>0</v>
      </c>
      <c r="X102" s="14" t="n">
        <f aca="false">IF($L102=2017,1,0)</f>
        <v>0</v>
      </c>
      <c r="Y102" s="14" t="n">
        <f aca="false">IF($H102="Beginner Level",1,0)</f>
        <v>1</v>
      </c>
      <c r="Z102" s="14" t="n">
        <f aca="false">IF($H102="Expert Level",1,0)</f>
        <v>0</v>
      </c>
      <c r="AA102" s="14" t="n">
        <f aca="false">IF($H102="Intermediate Level",1,0)</f>
        <v>0</v>
      </c>
      <c r="AC102" s="14" t="n">
        <f aca="false">N102</f>
        <v>2.99623214859564</v>
      </c>
      <c r="AD102" s="14" t="n">
        <f aca="false">G102</f>
        <v>34</v>
      </c>
      <c r="AE102" s="14" t="n">
        <f aca="false">J102</f>
        <v>6.5</v>
      </c>
      <c r="AF102" s="14" t="n">
        <f aca="false">IF($L102=2012,1,0)</f>
        <v>0</v>
      </c>
      <c r="AG102" s="14" t="n">
        <f aca="false">IF($L102=2013,1,0)</f>
        <v>0</v>
      </c>
      <c r="AH102" s="14" t="n">
        <f aca="false">IF($L102=2014,1,0)</f>
        <v>1</v>
      </c>
      <c r="AI102" s="14" t="n">
        <f aca="false">IF($L102=2015,1,0)</f>
        <v>0</v>
      </c>
      <c r="AJ102" s="14" t="n">
        <f aca="false">IF($L102=2016,1,0)</f>
        <v>0</v>
      </c>
      <c r="AK102" s="14" t="n">
        <f aca="false">IF($L102=2017,1,0)</f>
        <v>0</v>
      </c>
      <c r="AL102" s="14" t="n">
        <f aca="false">IF($H102="Beginner Level",1,0)</f>
        <v>1</v>
      </c>
      <c r="AM102" s="14" t="n">
        <f aca="false">IF($H102="Expert Level",1,0)</f>
        <v>0</v>
      </c>
      <c r="AN102" s="14" t="n">
        <f aca="false">IF($H102="Intermediate Level",1,0)</f>
        <v>0</v>
      </c>
    </row>
    <row r="103" customFormat="false" ht="46.25" hidden="false" customHeight="false" outlineLevel="0" collapsed="false">
      <c r="A103" s="14" t="n">
        <v>874166</v>
      </c>
      <c r="B103" s="14" t="s">
        <v>258</v>
      </c>
      <c r="C103" s="14" t="s">
        <v>259</v>
      </c>
      <c r="D103" s="14" t="n">
        <v>100</v>
      </c>
      <c r="E103" s="14" t="n">
        <v>16409</v>
      </c>
      <c r="F103" s="14" t="n">
        <v>589</v>
      </c>
      <c r="G103" s="14" t="n">
        <v>74</v>
      </c>
      <c r="H103" s="14" t="s">
        <v>71</v>
      </c>
      <c r="I103" s="14" t="n">
        <v>0.71</v>
      </c>
      <c r="J103" s="14" t="n">
        <v>4</v>
      </c>
      <c r="K103" s="14" t="s">
        <v>59</v>
      </c>
      <c r="L103" s="14" t="n">
        <v>2016</v>
      </c>
      <c r="M103" s="14" t="n">
        <v>9.70558524377515</v>
      </c>
      <c r="N103" s="14" t="n">
        <v>4.60527018098843</v>
      </c>
      <c r="P103" s="14" t="n">
        <f aca="false">D103</f>
        <v>100</v>
      </c>
      <c r="Q103" s="14" t="n">
        <f aca="false">G103</f>
        <v>74</v>
      </c>
      <c r="R103" s="14" t="n">
        <f aca="false">J103</f>
        <v>4</v>
      </c>
      <c r="S103" s="14" t="n">
        <f aca="false">IF($L103=2012,1,0)</f>
        <v>0</v>
      </c>
      <c r="T103" s="14" t="n">
        <f aca="false">IF($L103=2013,1,0)</f>
        <v>0</v>
      </c>
      <c r="U103" s="14" t="n">
        <f aca="false">IF($L103=2014,1,0)</f>
        <v>0</v>
      </c>
      <c r="V103" s="14" t="n">
        <f aca="false">IF($L103=2015,1,0)</f>
        <v>0</v>
      </c>
      <c r="W103" s="14" t="n">
        <f aca="false">IF($L103=2016,1,0)</f>
        <v>1</v>
      </c>
      <c r="X103" s="14" t="n">
        <f aca="false">IF($L103=2017,1,0)</f>
        <v>0</v>
      </c>
      <c r="Y103" s="14" t="n">
        <f aca="false">IF($H103="Beginner Level",1,0)</f>
        <v>0</v>
      </c>
      <c r="Z103" s="14" t="n">
        <f aca="false">IF($H103="Expert Level",1,0)</f>
        <v>0</v>
      </c>
      <c r="AA103" s="14" t="n">
        <f aca="false">IF($H103="Intermediate Level",1,0)</f>
        <v>1</v>
      </c>
      <c r="AC103" s="14" t="n">
        <f aca="false">N103</f>
        <v>4.60527018098843</v>
      </c>
      <c r="AD103" s="14" t="n">
        <f aca="false">G103</f>
        <v>74</v>
      </c>
      <c r="AE103" s="14" t="n">
        <f aca="false">J103</f>
        <v>4</v>
      </c>
      <c r="AF103" s="14" t="n">
        <f aca="false">IF($L103=2012,1,0)</f>
        <v>0</v>
      </c>
      <c r="AG103" s="14" t="n">
        <f aca="false">IF($L103=2013,1,0)</f>
        <v>0</v>
      </c>
      <c r="AH103" s="14" t="n">
        <f aca="false">IF($L103=2014,1,0)</f>
        <v>0</v>
      </c>
      <c r="AI103" s="14" t="n">
        <f aca="false">IF($L103=2015,1,0)</f>
        <v>0</v>
      </c>
      <c r="AJ103" s="14" t="n">
        <f aca="false">IF($L103=2016,1,0)</f>
        <v>1</v>
      </c>
      <c r="AK103" s="14" t="n">
        <f aca="false">IF($L103=2017,1,0)</f>
        <v>0</v>
      </c>
      <c r="AL103" s="14" t="n">
        <f aca="false">IF($H103="Beginner Level",1,0)</f>
        <v>0</v>
      </c>
      <c r="AM103" s="14" t="n">
        <f aca="false">IF($H103="Expert Level",1,0)</f>
        <v>0</v>
      </c>
      <c r="AN103" s="14" t="n">
        <f aca="false">IF($H103="Intermediate Level",1,0)</f>
        <v>1</v>
      </c>
    </row>
    <row r="104" customFormat="false" ht="57.45" hidden="false" customHeight="false" outlineLevel="0" collapsed="false">
      <c r="A104" s="14" t="n">
        <v>993754</v>
      </c>
      <c r="B104" s="14" t="s">
        <v>260</v>
      </c>
      <c r="C104" s="14" t="s">
        <v>261</v>
      </c>
      <c r="D104" s="14" t="n">
        <v>195</v>
      </c>
      <c r="E104" s="14" t="n">
        <v>16282</v>
      </c>
      <c r="F104" s="14" t="n">
        <v>303</v>
      </c>
      <c r="G104" s="14" t="n">
        <v>159</v>
      </c>
      <c r="H104" s="14" t="s">
        <v>52</v>
      </c>
      <c r="I104" s="14" t="n">
        <v>0.35</v>
      </c>
      <c r="J104" s="14" t="n">
        <v>18.5</v>
      </c>
      <c r="K104" s="14" t="s">
        <v>59</v>
      </c>
      <c r="L104" s="14" t="n">
        <v>2016</v>
      </c>
      <c r="M104" s="14" t="n">
        <v>9.69781548213392</v>
      </c>
      <c r="N104" s="14" t="n">
        <v>5.27305083930015</v>
      </c>
      <c r="P104" s="14" t="n">
        <f aca="false">D104</f>
        <v>195</v>
      </c>
      <c r="Q104" s="14" t="n">
        <f aca="false">G104</f>
        <v>159</v>
      </c>
      <c r="R104" s="14" t="n">
        <f aca="false">J104</f>
        <v>18.5</v>
      </c>
      <c r="S104" s="14" t="n">
        <f aca="false">IF($L104=2012,1,0)</f>
        <v>0</v>
      </c>
      <c r="T104" s="14" t="n">
        <f aca="false">IF($L104=2013,1,0)</f>
        <v>0</v>
      </c>
      <c r="U104" s="14" t="n">
        <f aca="false">IF($L104=2014,1,0)</f>
        <v>0</v>
      </c>
      <c r="V104" s="14" t="n">
        <f aca="false">IF($L104=2015,1,0)</f>
        <v>0</v>
      </c>
      <c r="W104" s="14" t="n">
        <f aca="false">IF($L104=2016,1,0)</f>
        <v>1</v>
      </c>
      <c r="X104" s="14" t="n">
        <f aca="false">IF($L104=2017,1,0)</f>
        <v>0</v>
      </c>
      <c r="Y104" s="14" t="n">
        <f aca="false">IF($H104="Beginner Level",1,0)</f>
        <v>1</v>
      </c>
      <c r="Z104" s="14" t="n">
        <f aca="false">IF($H104="Expert Level",1,0)</f>
        <v>0</v>
      </c>
      <c r="AA104" s="14" t="n">
        <f aca="false">IF($H104="Intermediate Level",1,0)</f>
        <v>0</v>
      </c>
      <c r="AC104" s="14" t="n">
        <f aca="false">N104</f>
        <v>5.27305083930015</v>
      </c>
      <c r="AD104" s="14" t="n">
        <f aca="false">G104</f>
        <v>159</v>
      </c>
      <c r="AE104" s="14" t="n">
        <f aca="false">J104</f>
        <v>18.5</v>
      </c>
      <c r="AF104" s="14" t="n">
        <f aca="false">IF($L104=2012,1,0)</f>
        <v>0</v>
      </c>
      <c r="AG104" s="14" t="n">
        <f aca="false">IF($L104=2013,1,0)</f>
        <v>0</v>
      </c>
      <c r="AH104" s="14" t="n">
        <f aca="false">IF($L104=2014,1,0)</f>
        <v>0</v>
      </c>
      <c r="AI104" s="14" t="n">
        <f aca="false">IF($L104=2015,1,0)</f>
        <v>0</v>
      </c>
      <c r="AJ104" s="14" t="n">
        <f aca="false">IF($L104=2016,1,0)</f>
        <v>1</v>
      </c>
      <c r="AK104" s="14" t="n">
        <f aca="false">IF($L104=2017,1,0)</f>
        <v>0</v>
      </c>
      <c r="AL104" s="14" t="n">
        <f aca="false">IF($H104="Beginner Level",1,0)</f>
        <v>1</v>
      </c>
      <c r="AM104" s="14" t="n">
        <f aca="false">IF($H104="Expert Level",1,0)</f>
        <v>0</v>
      </c>
      <c r="AN104" s="14" t="n">
        <f aca="false">IF($H104="Intermediate Level",1,0)</f>
        <v>0</v>
      </c>
    </row>
    <row r="105" customFormat="false" ht="35.05" hidden="false" customHeight="false" outlineLevel="0" collapsed="false">
      <c r="A105" s="14" t="n">
        <v>64422</v>
      </c>
      <c r="B105" s="14" t="s">
        <v>262</v>
      </c>
      <c r="C105" s="14" t="s">
        <v>263</v>
      </c>
      <c r="D105" s="14" t="n">
        <v>200</v>
      </c>
      <c r="E105" s="14" t="n">
        <v>16212</v>
      </c>
      <c r="F105" s="14" t="n">
        <v>514</v>
      </c>
      <c r="G105" s="14" t="n">
        <v>20</v>
      </c>
      <c r="H105" s="14" t="s">
        <v>52</v>
      </c>
      <c r="I105" s="14" t="n">
        <v>0.34</v>
      </c>
      <c r="J105" s="14" t="n">
        <v>1</v>
      </c>
      <c r="K105" s="14" t="s">
        <v>59</v>
      </c>
      <c r="L105" s="14" t="n">
        <v>2013</v>
      </c>
      <c r="M105" s="14" t="n">
        <v>9.6935069877482</v>
      </c>
      <c r="N105" s="14" t="n">
        <v>5.29836736529808</v>
      </c>
      <c r="P105" s="14" t="n">
        <f aca="false">D105</f>
        <v>200</v>
      </c>
      <c r="Q105" s="14" t="n">
        <f aca="false">G105</f>
        <v>20</v>
      </c>
      <c r="R105" s="14" t="n">
        <f aca="false">J105</f>
        <v>1</v>
      </c>
      <c r="S105" s="14" t="n">
        <f aca="false">IF($L105=2012,1,0)</f>
        <v>0</v>
      </c>
      <c r="T105" s="14" t="n">
        <f aca="false">IF($L105=2013,1,0)</f>
        <v>1</v>
      </c>
      <c r="U105" s="14" t="n">
        <f aca="false">IF($L105=2014,1,0)</f>
        <v>0</v>
      </c>
      <c r="V105" s="14" t="n">
        <f aca="false">IF($L105=2015,1,0)</f>
        <v>0</v>
      </c>
      <c r="W105" s="14" t="n">
        <f aca="false">IF($L105=2016,1,0)</f>
        <v>0</v>
      </c>
      <c r="X105" s="14" t="n">
        <f aca="false">IF($L105=2017,1,0)</f>
        <v>0</v>
      </c>
      <c r="Y105" s="14" t="n">
        <f aca="false">IF($H105="Beginner Level",1,0)</f>
        <v>1</v>
      </c>
      <c r="Z105" s="14" t="n">
        <f aca="false">IF($H105="Expert Level",1,0)</f>
        <v>0</v>
      </c>
      <c r="AA105" s="14" t="n">
        <f aca="false">IF($H105="Intermediate Level",1,0)</f>
        <v>0</v>
      </c>
      <c r="AC105" s="14" t="n">
        <f aca="false">N105</f>
        <v>5.29836736529808</v>
      </c>
      <c r="AD105" s="14" t="n">
        <f aca="false">G105</f>
        <v>20</v>
      </c>
      <c r="AE105" s="14" t="n">
        <f aca="false">J105</f>
        <v>1</v>
      </c>
      <c r="AF105" s="14" t="n">
        <f aca="false">IF($L105=2012,1,0)</f>
        <v>0</v>
      </c>
      <c r="AG105" s="14" t="n">
        <f aca="false">IF($L105=2013,1,0)</f>
        <v>1</v>
      </c>
      <c r="AH105" s="14" t="n">
        <f aca="false">IF($L105=2014,1,0)</f>
        <v>0</v>
      </c>
      <c r="AI105" s="14" t="n">
        <f aca="false">IF($L105=2015,1,0)</f>
        <v>0</v>
      </c>
      <c r="AJ105" s="14" t="n">
        <f aca="false">IF($L105=2016,1,0)</f>
        <v>0</v>
      </c>
      <c r="AK105" s="14" t="n">
        <f aca="false">IF($L105=2017,1,0)</f>
        <v>0</v>
      </c>
      <c r="AL105" s="14" t="n">
        <f aca="false">IF($H105="Beginner Level",1,0)</f>
        <v>1</v>
      </c>
      <c r="AM105" s="14" t="n">
        <f aca="false">IF($H105="Expert Level",1,0)</f>
        <v>0</v>
      </c>
      <c r="AN105" s="14" t="n">
        <f aca="false">IF($H105="Intermediate Level",1,0)</f>
        <v>0</v>
      </c>
    </row>
    <row r="106" customFormat="false" ht="79.85" hidden="false" customHeight="false" outlineLevel="0" collapsed="false">
      <c r="A106" s="14" t="n">
        <v>1171966</v>
      </c>
      <c r="B106" s="14" t="s">
        <v>264</v>
      </c>
      <c r="C106" s="14" t="s">
        <v>265</v>
      </c>
      <c r="D106" s="14" t="n">
        <v>200</v>
      </c>
      <c r="E106" s="14" t="n">
        <v>16158</v>
      </c>
      <c r="F106" s="14" t="n">
        <v>159</v>
      </c>
      <c r="G106" s="14" t="n">
        <v>125</v>
      </c>
      <c r="H106" s="14" t="s">
        <v>62</v>
      </c>
      <c r="I106" s="14" t="n">
        <v>0.71</v>
      </c>
      <c r="J106" s="14" t="n">
        <v>19.5</v>
      </c>
      <c r="K106" s="14" t="s">
        <v>59</v>
      </c>
      <c r="L106" s="14" t="n">
        <v>2017</v>
      </c>
      <c r="M106" s="14" t="n">
        <v>9.69017056203965</v>
      </c>
      <c r="N106" s="14" t="n">
        <v>5.29836736529808</v>
      </c>
      <c r="P106" s="14" t="n">
        <f aca="false">D106</f>
        <v>200</v>
      </c>
      <c r="Q106" s="14" t="n">
        <f aca="false">G106</f>
        <v>125</v>
      </c>
      <c r="R106" s="14" t="n">
        <f aca="false">J106</f>
        <v>19.5</v>
      </c>
      <c r="S106" s="14" t="n">
        <f aca="false">IF($L106=2012,1,0)</f>
        <v>0</v>
      </c>
      <c r="T106" s="14" t="n">
        <f aca="false">IF($L106=2013,1,0)</f>
        <v>0</v>
      </c>
      <c r="U106" s="14" t="n">
        <f aca="false">IF($L106=2014,1,0)</f>
        <v>0</v>
      </c>
      <c r="V106" s="14" t="n">
        <f aca="false">IF($L106=2015,1,0)</f>
        <v>0</v>
      </c>
      <c r="W106" s="14" t="n">
        <f aca="false">IF($L106=2016,1,0)</f>
        <v>0</v>
      </c>
      <c r="X106" s="14" t="n">
        <f aca="false">IF($L106=2017,1,0)</f>
        <v>1</v>
      </c>
      <c r="Y106" s="14" t="n">
        <f aca="false">IF($H106="Beginner Level",1,0)</f>
        <v>0</v>
      </c>
      <c r="Z106" s="14" t="n">
        <f aca="false">IF($H106="Expert Level",1,0)</f>
        <v>0</v>
      </c>
      <c r="AA106" s="14" t="n">
        <f aca="false">IF($H106="Intermediate Level",1,0)</f>
        <v>0</v>
      </c>
      <c r="AC106" s="14" t="n">
        <f aca="false">N106</f>
        <v>5.29836736529808</v>
      </c>
      <c r="AD106" s="14" t="n">
        <f aca="false">G106</f>
        <v>125</v>
      </c>
      <c r="AE106" s="14" t="n">
        <f aca="false">J106</f>
        <v>19.5</v>
      </c>
      <c r="AF106" s="14" t="n">
        <f aca="false">IF($L106=2012,1,0)</f>
        <v>0</v>
      </c>
      <c r="AG106" s="14" t="n">
        <f aca="false">IF($L106=2013,1,0)</f>
        <v>0</v>
      </c>
      <c r="AH106" s="14" t="n">
        <f aca="false">IF($L106=2014,1,0)</f>
        <v>0</v>
      </c>
      <c r="AI106" s="14" t="n">
        <f aca="false">IF($L106=2015,1,0)</f>
        <v>0</v>
      </c>
      <c r="AJ106" s="14" t="n">
        <f aca="false">IF($L106=2016,1,0)</f>
        <v>0</v>
      </c>
      <c r="AK106" s="14" t="n">
        <f aca="false">IF($L106=2017,1,0)</f>
        <v>1</v>
      </c>
      <c r="AL106" s="14" t="n">
        <f aca="false">IF($H106="Beginner Level",1,0)</f>
        <v>0</v>
      </c>
      <c r="AM106" s="14" t="n">
        <f aca="false">IF($H106="Expert Level",1,0)</f>
        <v>0</v>
      </c>
      <c r="AN106" s="14" t="n">
        <f aca="false">IF($H106="Intermediate Level",1,0)</f>
        <v>0</v>
      </c>
    </row>
    <row r="107" customFormat="false" ht="68.65" hidden="false" customHeight="false" outlineLevel="0" collapsed="false">
      <c r="A107" s="14" t="n">
        <v>556922</v>
      </c>
      <c r="B107" s="14" t="s">
        <v>266</v>
      </c>
      <c r="C107" s="14" t="s">
        <v>267</v>
      </c>
      <c r="D107" s="14" t="n">
        <v>40</v>
      </c>
      <c r="E107" s="14" t="n">
        <v>15724</v>
      </c>
      <c r="F107" s="14" t="n">
        <v>33</v>
      </c>
      <c r="G107" s="14" t="n">
        <v>29</v>
      </c>
      <c r="H107" s="14" t="s">
        <v>52</v>
      </c>
      <c r="I107" s="14" t="n">
        <v>0.44</v>
      </c>
      <c r="J107" s="14" t="n">
        <v>1.5</v>
      </c>
      <c r="K107" s="14" t="s">
        <v>59</v>
      </c>
      <c r="L107" s="14" t="n">
        <v>2016</v>
      </c>
      <c r="M107" s="14" t="n">
        <v>9.66294348654175</v>
      </c>
      <c r="N107" s="14" t="n">
        <v>3.68912942286914</v>
      </c>
      <c r="P107" s="14" t="n">
        <f aca="false">D107</f>
        <v>40</v>
      </c>
      <c r="Q107" s="14" t="n">
        <f aca="false">G107</f>
        <v>29</v>
      </c>
      <c r="R107" s="14" t="n">
        <f aca="false">J107</f>
        <v>1.5</v>
      </c>
      <c r="S107" s="14" t="n">
        <f aca="false">IF($L107=2012,1,0)</f>
        <v>0</v>
      </c>
      <c r="T107" s="14" t="n">
        <f aca="false">IF($L107=2013,1,0)</f>
        <v>0</v>
      </c>
      <c r="U107" s="14" t="n">
        <f aca="false">IF($L107=2014,1,0)</f>
        <v>0</v>
      </c>
      <c r="V107" s="14" t="n">
        <f aca="false">IF($L107=2015,1,0)</f>
        <v>0</v>
      </c>
      <c r="W107" s="14" t="n">
        <f aca="false">IF($L107=2016,1,0)</f>
        <v>1</v>
      </c>
      <c r="X107" s="14" t="n">
        <f aca="false">IF($L107=2017,1,0)</f>
        <v>0</v>
      </c>
      <c r="Y107" s="14" t="n">
        <f aca="false">IF($H107="Beginner Level",1,0)</f>
        <v>1</v>
      </c>
      <c r="Z107" s="14" t="n">
        <f aca="false">IF($H107="Expert Level",1,0)</f>
        <v>0</v>
      </c>
      <c r="AA107" s="14" t="n">
        <f aca="false">IF($H107="Intermediate Level",1,0)</f>
        <v>0</v>
      </c>
      <c r="AC107" s="14" t="n">
        <f aca="false">N107</f>
        <v>3.68912942286914</v>
      </c>
      <c r="AD107" s="14" t="n">
        <f aca="false">G107</f>
        <v>29</v>
      </c>
      <c r="AE107" s="14" t="n">
        <f aca="false">J107</f>
        <v>1.5</v>
      </c>
      <c r="AF107" s="14" t="n">
        <f aca="false">IF($L107=2012,1,0)</f>
        <v>0</v>
      </c>
      <c r="AG107" s="14" t="n">
        <f aca="false">IF($L107=2013,1,0)</f>
        <v>0</v>
      </c>
      <c r="AH107" s="14" t="n">
        <f aca="false">IF($L107=2014,1,0)</f>
        <v>0</v>
      </c>
      <c r="AI107" s="14" t="n">
        <f aca="false">IF($L107=2015,1,0)</f>
        <v>0</v>
      </c>
      <c r="AJ107" s="14" t="n">
        <f aca="false">IF($L107=2016,1,0)</f>
        <v>1</v>
      </c>
      <c r="AK107" s="14" t="n">
        <f aca="false">IF($L107=2017,1,0)</f>
        <v>0</v>
      </c>
      <c r="AL107" s="14" t="n">
        <f aca="false">IF($H107="Beginner Level",1,0)</f>
        <v>1</v>
      </c>
      <c r="AM107" s="14" t="n">
        <f aca="false">IF($H107="Expert Level",1,0)</f>
        <v>0</v>
      </c>
      <c r="AN107" s="14" t="n">
        <f aca="false">IF($H107="Intermediate Level",1,0)</f>
        <v>0</v>
      </c>
    </row>
    <row r="108" customFormat="false" ht="79.85" hidden="false" customHeight="false" outlineLevel="0" collapsed="false">
      <c r="A108" s="14" t="n">
        <v>364616</v>
      </c>
      <c r="B108" s="14" t="s">
        <v>268</v>
      </c>
      <c r="C108" s="14" t="s">
        <v>269</v>
      </c>
      <c r="D108" s="14" t="n">
        <v>0</v>
      </c>
      <c r="E108" s="14" t="n">
        <v>15715</v>
      </c>
      <c r="F108" s="14" t="n">
        <v>406</v>
      </c>
      <c r="G108" s="14" t="n">
        <v>28</v>
      </c>
      <c r="H108" s="14" t="s">
        <v>62</v>
      </c>
      <c r="I108" s="14" t="n">
        <v>0.12</v>
      </c>
      <c r="J108" s="14" t="n">
        <v>3.5</v>
      </c>
      <c r="K108" s="14" t="s">
        <v>53</v>
      </c>
      <c r="L108" s="14" t="n">
        <v>2014</v>
      </c>
      <c r="M108" s="14" t="n">
        <v>9.66237094923167</v>
      </c>
      <c r="N108" s="14" t="n">
        <v>-4.60517018598809</v>
      </c>
      <c r="P108" s="14" t="n">
        <f aca="false">D108</f>
        <v>0</v>
      </c>
      <c r="Q108" s="14" t="n">
        <f aca="false">G108</f>
        <v>28</v>
      </c>
      <c r="R108" s="14" t="n">
        <f aca="false">J108</f>
        <v>3.5</v>
      </c>
      <c r="S108" s="14" t="n">
        <f aca="false">IF($L108=2012,1,0)</f>
        <v>0</v>
      </c>
      <c r="T108" s="14" t="n">
        <f aca="false">IF($L108=2013,1,0)</f>
        <v>0</v>
      </c>
      <c r="U108" s="14" t="n">
        <f aca="false">IF($L108=2014,1,0)</f>
        <v>1</v>
      </c>
      <c r="V108" s="14" t="n">
        <f aca="false">IF($L108=2015,1,0)</f>
        <v>0</v>
      </c>
      <c r="W108" s="14" t="n">
        <f aca="false">IF($L108=2016,1,0)</f>
        <v>0</v>
      </c>
      <c r="X108" s="14" t="n">
        <f aca="false">IF($L108=2017,1,0)</f>
        <v>0</v>
      </c>
      <c r="Y108" s="14" t="n">
        <f aca="false">IF($H108="Beginner Level",1,0)</f>
        <v>0</v>
      </c>
      <c r="Z108" s="14" t="n">
        <f aca="false">IF($H108="Expert Level",1,0)</f>
        <v>0</v>
      </c>
      <c r="AA108" s="14" t="n">
        <f aca="false">IF($H108="Intermediate Level",1,0)</f>
        <v>0</v>
      </c>
      <c r="AC108" s="14" t="n">
        <f aca="false">N108</f>
        <v>-4.60517018598809</v>
      </c>
      <c r="AD108" s="14" t="n">
        <f aca="false">G108</f>
        <v>28</v>
      </c>
      <c r="AE108" s="14" t="n">
        <f aca="false">J108</f>
        <v>3.5</v>
      </c>
      <c r="AF108" s="14" t="n">
        <f aca="false">IF($L108=2012,1,0)</f>
        <v>0</v>
      </c>
      <c r="AG108" s="14" t="n">
        <f aca="false">IF($L108=2013,1,0)</f>
        <v>0</v>
      </c>
      <c r="AH108" s="14" t="n">
        <f aca="false">IF($L108=2014,1,0)</f>
        <v>1</v>
      </c>
      <c r="AI108" s="14" t="n">
        <f aca="false">IF($L108=2015,1,0)</f>
        <v>0</v>
      </c>
      <c r="AJ108" s="14" t="n">
        <f aca="false">IF($L108=2016,1,0)</f>
        <v>0</v>
      </c>
      <c r="AK108" s="14" t="n">
        <f aca="false">IF($L108=2017,1,0)</f>
        <v>0</v>
      </c>
      <c r="AL108" s="14" t="n">
        <f aca="false">IF($H108="Beginner Level",1,0)</f>
        <v>0</v>
      </c>
      <c r="AM108" s="14" t="n">
        <f aca="false">IF($H108="Expert Level",1,0)</f>
        <v>0</v>
      </c>
      <c r="AN108" s="14" t="n">
        <f aca="false">IF($H108="Intermediate Level",1,0)</f>
        <v>0</v>
      </c>
    </row>
    <row r="109" customFormat="false" ht="46.25" hidden="false" customHeight="false" outlineLevel="0" collapsed="false">
      <c r="A109" s="14" t="n">
        <v>212374</v>
      </c>
      <c r="B109" s="14" t="s">
        <v>270</v>
      </c>
      <c r="C109" s="14" t="s">
        <v>271</v>
      </c>
      <c r="D109" s="14" t="n">
        <v>0</v>
      </c>
      <c r="E109" s="14" t="n">
        <v>15493</v>
      </c>
      <c r="F109" s="14" t="n">
        <v>415</v>
      </c>
      <c r="G109" s="14" t="n">
        <v>25</v>
      </c>
      <c r="H109" s="14" t="s">
        <v>62</v>
      </c>
      <c r="I109" s="14" t="n">
        <v>0.56</v>
      </c>
      <c r="J109" s="14" t="n">
        <v>2</v>
      </c>
      <c r="K109" s="14" t="s">
        <v>53</v>
      </c>
      <c r="L109" s="14" t="n">
        <v>2014</v>
      </c>
      <c r="M109" s="14" t="n">
        <v>9.64814358799629</v>
      </c>
      <c r="N109" s="14" t="n">
        <v>-4.60517018598809</v>
      </c>
      <c r="P109" s="14" t="n">
        <f aca="false">D109</f>
        <v>0</v>
      </c>
      <c r="Q109" s="14" t="n">
        <f aca="false">G109</f>
        <v>25</v>
      </c>
      <c r="R109" s="14" t="n">
        <f aca="false">J109</f>
        <v>2</v>
      </c>
      <c r="S109" s="14" t="n">
        <f aca="false">IF($L109=2012,1,0)</f>
        <v>0</v>
      </c>
      <c r="T109" s="14" t="n">
        <f aca="false">IF($L109=2013,1,0)</f>
        <v>0</v>
      </c>
      <c r="U109" s="14" t="n">
        <f aca="false">IF($L109=2014,1,0)</f>
        <v>1</v>
      </c>
      <c r="V109" s="14" t="n">
        <f aca="false">IF($L109=2015,1,0)</f>
        <v>0</v>
      </c>
      <c r="W109" s="14" t="n">
        <f aca="false">IF($L109=2016,1,0)</f>
        <v>0</v>
      </c>
      <c r="X109" s="14" t="n">
        <f aca="false">IF($L109=2017,1,0)</f>
        <v>0</v>
      </c>
      <c r="Y109" s="14" t="n">
        <f aca="false">IF($H109="Beginner Level",1,0)</f>
        <v>0</v>
      </c>
      <c r="Z109" s="14" t="n">
        <f aca="false">IF($H109="Expert Level",1,0)</f>
        <v>0</v>
      </c>
      <c r="AA109" s="14" t="n">
        <f aca="false">IF($H109="Intermediate Level",1,0)</f>
        <v>0</v>
      </c>
      <c r="AC109" s="14" t="n">
        <f aca="false">N109</f>
        <v>-4.60517018598809</v>
      </c>
      <c r="AD109" s="14" t="n">
        <f aca="false">G109</f>
        <v>25</v>
      </c>
      <c r="AE109" s="14" t="n">
        <f aca="false">J109</f>
        <v>2</v>
      </c>
      <c r="AF109" s="14" t="n">
        <f aca="false">IF($L109=2012,1,0)</f>
        <v>0</v>
      </c>
      <c r="AG109" s="14" t="n">
        <f aca="false">IF($L109=2013,1,0)</f>
        <v>0</v>
      </c>
      <c r="AH109" s="14" t="n">
        <f aca="false">IF($L109=2014,1,0)</f>
        <v>1</v>
      </c>
      <c r="AI109" s="14" t="n">
        <f aca="false">IF($L109=2015,1,0)</f>
        <v>0</v>
      </c>
      <c r="AJ109" s="14" t="n">
        <f aca="false">IF($L109=2016,1,0)</f>
        <v>0</v>
      </c>
      <c r="AK109" s="14" t="n">
        <f aca="false">IF($L109=2017,1,0)</f>
        <v>0</v>
      </c>
      <c r="AL109" s="14" t="n">
        <f aca="false">IF($H109="Beginner Level",1,0)</f>
        <v>0</v>
      </c>
      <c r="AM109" s="14" t="n">
        <f aca="false">IF($H109="Expert Level",1,0)</f>
        <v>0</v>
      </c>
      <c r="AN109" s="14" t="n">
        <f aca="false">IF($H109="Intermediate Level",1,0)</f>
        <v>0</v>
      </c>
    </row>
    <row r="110" customFormat="false" ht="79.85" hidden="false" customHeight="false" outlineLevel="0" collapsed="false">
      <c r="A110" s="14" t="n">
        <v>340844</v>
      </c>
      <c r="B110" s="14" t="s">
        <v>272</v>
      </c>
      <c r="C110" s="14" t="s">
        <v>273</v>
      </c>
      <c r="D110" s="14" t="n">
        <v>0</v>
      </c>
      <c r="E110" s="14" t="n">
        <v>15462</v>
      </c>
      <c r="F110" s="14" t="n">
        <v>689</v>
      </c>
      <c r="G110" s="14" t="n">
        <v>60</v>
      </c>
      <c r="H110" s="14" t="s">
        <v>52</v>
      </c>
      <c r="I110" s="14" t="n">
        <v>0.88</v>
      </c>
      <c r="J110" s="14" t="n">
        <v>4.5</v>
      </c>
      <c r="K110" s="14" t="s">
        <v>53</v>
      </c>
      <c r="L110" s="14" t="n">
        <v>2015</v>
      </c>
      <c r="M110" s="14" t="n">
        <v>9.64614067988042</v>
      </c>
      <c r="N110" s="14" t="n">
        <v>-4.60517018598809</v>
      </c>
      <c r="P110" s="14" t="n">
        <f aca="false">D110</f>
        <v>0</v>
      </c>
      <c r="Q110" s="14" t="n">
        <f aca="false">G110</f>
        <v>60</v>
      </c>
      <c r="R110" s="14" t="n">
        <f aca="false">J110</f>
        <v>4.5</v>
      </c>
      <c r="S110" s="14" t="n">
        <f aca="false">IF($L110=2012,1,0)</f>
        <v>0</v>
      </c>
      <c r="T110" s="14" t="n">
        <f aca="false">IF($L110=2013,1,0)</f>
        <v>0</v>
      </c>
      <c r="U110" s="14" t="n">
        <f aca="false">IF($L110=2014,1,0)</f>
        <v>0</v>
      </c>
      <c r="V110" s="14" t="n">
        <f aca="false">IF($L110=2015,1,0)</f>
        <v>1</v>
      </c>
      <c r="W110" s="14" t="n">
        <f aca="false">IF($L110=2016,1,0)</f>
        <v>0</v>
      </c>
      <c r="X110" s="14" t="n">
        <f aca="false">IF($L110=2017,1,0)</f>
        <v>0</v>
      </c>
      <c r="Y110" s="14" t="n">
        <f aca="false">IF($H110="Beginner Level",1,0)</f>
        <v>1</v>
      </c>
      <c r="Z110" s="14" t="n">
        <f aca="false">IF($H110="Expert Level",1,0)</f>
        <v>0</v>
      </c>
      <c r="AA110" s="14" t="n">
        <f aca="false">IF($H110="Intermediate Level",1,0)</f>
        <v>0</v>
      </c>
      <c r="AC110" s="14" t="n">
        <f aca="false">N110</f>
        <v>-4.60517018598809</v>
      </c>
      <c r="AD110" s="14" t="n">
        <f aca="false">G110</f>
        <v>60</v>
      </c>
      <c r="AE110" s="14" t="n">
        <f aca="false">J110</f>
        <v>4.5</v>
      </c>
      <c r="AF110" s="14" t="n">
        <f aca="false">IF($L110=2012,1,0)</f>
        <v>0</v>
      </c>
      <c r="AG110" s="14" t="n">
        <f aca="false">IF($L110=2013,1,0)</f>
        <v>0</v>
      </c>
      <c r="AH110" s="14" t="n">
        <f aca="false">IF($L110=2014,1,0)</f>
        <v>0</v>
      </c>
      <c r="AI110" s="14" t="n">
        <f aca="false">IF($L110=2015,1,0)</f>
        <v>1</v>
      </c>
      <c r="AJ110" s="14" t="n">
        <f aca="false">IF($L110=2016,1,0)</f>
        <v>0</v>
      </c>
      <c r="AK110" s="14" t="n">
        <f aca="false">IF($L110=2017,1,0)</f>
        <v>0</v>
      </c>
      <c r="AL110" s="14" t="n">
        <f aca="false">IF($H110="Beginner Level",1,0)</f>
        <v>1</v>
      </c>
      <c r="AM110" s="14" t="n">
        <f aca="false">IF($H110="Expert Level",1,0)</f>
        <v>0</v>
      </c>
      <c r="AN110" s="14" t="n">
        <f aca="false">IF($H110="Intermediate Level",1,0)</f>
        <v>0</v>
      </c>
    </row>
    <row r="111" customFormat="false" ht="57.45" hidden="false" customHeight="false" outlineLevel="0" collapsed="false">
      <c r="A111" s="14" t="n">
        <v>1146014</v>
      </c>
      <c r="B111" s="14" t="s">
        <v>274</v>
      </c>
      <c r="C111" s="14" t="s">
        <v>275</v>
      </c>
      <c r="D111" s="14" t="n">
        <v>200</v>
      </c>
      <c r="E111" s="14" t="n">
        <v>15276</v>
      </c>
      <c r="F111" s="14" t="n">
        <v>167</v>
      </c>
      <c r="G111" s="14" t="n">
        <v>19</v>
      </c>
      <c r="H111" s="14" t="s">
        <v>62</v>
      </c>
      <c r="I111" s="14" t="n">
        <v>0.58</v>
      </c>
      <c r="J111" s="14" t="n">
        <v>1.5</v>
      </c>
      <c r="K111" s="14" t="s">
        <v>59</v>
      </c>
      <c r="L111" s="14" t="n">
        <v>2017</v>
      </c>
      <c r="M111" s="14" t="n">
        <v>9.63403824834541</v>
      </c>
      <c r="N111" s="14" t="n">
        <v>5.29836736529808</v>
      </c>
      <c r="P111" s="14" t="n">
        <f aca="false">D111</f>
        <v>200</v>
      </c>
      <c r="Q111" s="14" t="n">
        <f aca="false">G111</f>
        <v>19</v>
      </c>
      <c r="R111" s="14" t="n">
        <f aca="false">J111</f>
        <v>1.5</v>
      </c>
      <c r="S111" s="14" t="n">
        <f aca="false">IF($L111=2012,1,0)</f>
        <v>0</v>
      </c>
      <c r="T111" s="14" t="n">
        <f aca="false">IF($L111=2013,1,0)</f>
        <v>0</v>
      </c>
      <c r="U111" s="14" t="n">
        <f aca="false">IF($L111=2014,1,0)</f>
        <v>0</v>
      </c>
      <c r="V111" s="14" t="n">
        <f aca="false">IF($L111=2015,1,0)</f>
        <v>0</v>
      </c>
      <c r="W111" s="14" t="n">
        <f aca="false">IF($L111=2016,1,0)</f>
        <v>0</v>
      </c>
      <c r="X111" s="14" t="n">
        <f aca="false">IF($L111=2017,1,0)</f>
        <v>1</v>
      </c>
      <c r="Y111" s="14" t="n">
        <f aca="false">IF($H111="Beginner Level",1,0)</f>
        <v>0</v>
      </c>
      <c r="Z111" s="14" t="n">
        <f aca="false">IF($H111="Expert Level",1,0)</f>
        <v>0</v>
      </c>
      <c r="AA111" s="14" t="n">
        <f aca="false">IF($H111="Intermediate Level",1,0)</f>
        <v>0</v>
      </c>
      <c r="AC111" s="14" t="n">
        <f aca="false">N111</f>
        <v>5.29836736529808</v>
      </c>
      <c r="AD111" s="14" t="n">
        <f aca="false">G111</f>
        <v>19</v>
      </c>
      <c r="AE111" s="14" t="n">
        <f aca="false">J111</f>
        <v>1.5</v>
      </c>
      <c r="AF111" s="14" t="n">
        <f aca="false">IF($L111=2012,1,0)</f>
        <v>0</v>
      </c>
      <c r="AG111" s="14" t="n">
        <f aca="false">IF($L111=2013,1,0)</f>
        <v>0</v>
      </c>
      <c r="AH111" s="14" t="n">
        <f aca="false">IF($L111=2014,1,0)</f>
        <v>0</v>
      </c>
      <c r="AI111" s="14" t="n">
        <f aca="false">IF($L111=2015,1,0)</f>
        <v>0</v>
      </c>
      <c r="AJ111" s="14" t="n">
        <f aca="false">IF($L111=2016,1,0)</f>
        <v>0</v>
      </c>
      <c r="AK111" s="14" t="n">
        <f aca="false">IF($L111=2017,1,0)</f>
        <v>1</v>
      </c>
      <c r="AL111" s="14" t="n">
        <f aca="false">IF($H111="Beginner Level",1,0)</f>
        <v>0</v>
      </c>
      <c r="AM111" s="14" t="n">
        <f aca="false">IF($H111="Expert Level",1,0)</f>
        <v>0</v>
      </c>
      <c r="AN111" s="14" t="n">
        <f aca="false">IF($H111="Intermediate Level",1,0)</f>
        <v>0</v>
      </c>
    </row>
    <row r="112" customFormat="false" ht="57.45" hidden="false" customHeight="false" outlineLevel="0" collapsed="false">
      <c r="A112" s="14" t="n">
        <v>23742</v>
      </c>
      <c r="B112" s="14" t="s">
        <v>276</v>
      </c>
      <c r="C112" s="14" t="s">
        <v>277</v>
      </c>
      <c r="D112" s="14" t="n">
        <v>35</v>
      </c>
      <c r="E112" s="14" t="n">
        <v>15187</v>
      </c>
      <c r="F112" s="14" t="n">
        <v>970</v>
      </c>
      <c r="G112" s="14" t="n">
        <v>64</v>
      </c>
      <c r="H112" s="14" t="s">
        <v>62</v>
      </c>
      <c r="I112" s="14" t="n">
        <v>0.12</v>
      </c>
      <c r="J112" s="14" t="n">
        <v>10</v>
      </c>
      <c r="K112" s="14" t="s">
        <v>59</v>
      </c>
      <c r="L112" s="14" t="n">
        <v>2012</v>
      </c>
      <c r="M112" s="14" t="n">
        <v>9.62819507773027</v>
      </c>
      <c r="N112" s="14" t="n">
        <v>3.55563373496657</v>
      </c>
      <c r="P112" s="14" t="n">
        <f aca="false">D112</f>
        <v>35</v>
      </c>
      <c r="Q112" s="14" t="n">
        <f aca="false">G112</f>
        <v>64</v>
      </c>
      <c r="R112" s="14" t="n">
        <f aca="false">J112</f>
        <v>10</v>
      </c>
      <c r="S112" s="14" t="n">
        <f aca="false">IF($L112=2012,1,0)</f>
        <v>1</v>
      </c>
      <c r="T112" s="14" t="n">
        <f aca="false">IF($L112=2013,1,0)</f>
        <v>0</v>
      </c>
      <c r="U112" s="14" t="n">
        <f aca="false">IF($L112=2014,1,0)</f>
        <v>0</v>
      </c>
      <c r="V112" s="14" t="n">
        <f aca="false">IF($L112=2015,1,0)</f>
        <v>0</v>
      </c>
      <c r="W112" s="14" t="n">
        <f aca="false">IF($L112=2016,1,0)</f>
        <v>0</v>
      </c>
      <c r="X112" s="14" t="n">
        <f aca="false">IF($L112=2017,1,0)</f>
        <v>0</v>
      </c>
      <c r="Y112" s="14" t="n">
        <f aca="false">IF($H112="Beginner Level",1,0)</f>
        <v>0</v>
      </c>
      <c r="Z112" s="14" t="n">
        <f aca="false">IF($H112="Expert Level",1,0)</f>
        <v>0</v>
      </c>
      <c r="AA112" s="14" t="n">
        <f aca="false">IF($H112="Intermediate Level",1,0)</f>
        <v>0</v>
      </c>
      <c r="AC112" s="14" t="n">
        <f aca="false">N112</f>
        <v>3.55563373496657</v>
      </c>
      <c r="AD112" s="14" t="n">
        <f aca="false">G112</f>
        <v>64</v>
      </c>
      <c r="AE112" s="14" t="n">
        <f aca="false">J112</f>
        <v>10</v>
      </c>
      <c r="AF112" s="14" t="n">
        <f aca="false">IF($L112=2012,1,0)</f>
        <v>1</v>
      </c>
      <c r="AG112" s="14" t="n">
        <f aca="false">IF($L112=2013,1,0)</f>
        <v>0</v>
      </c>
      <c r="AH112" s="14" t="n">
        <f aca="false">IF($L112=2014,1,0)</f>
        <v>0</v>
      </c>
      <c r="AI112" s="14" t="n">
        <f aca="false">IF($L112=2015,1,0)</f>
        <v>0</v>
      </c>
      <c r="AJ112" s="14" t="n">
        <f aca="false">IF($L112=2016,1,0)</f>
        <v>0</v>
      </c>
      <c r="AK112" s="14" t="n">
        <f aca="false">IF($L112=2017,1,0)</f>
        <v>0</v>
      </c>
      <c r="AL112" s="14" t="n">
        <f aca="false">IF($H112="Beginner Level",1,0)</f>
        <v>0</v>
      </c>
      <c r="AM112" s="14" t="n">
        <f aca="false">IF($H112="Expert Level",1,0)</f>
        <v>0</v>
      </c>
      <c r="AN112" s="14" t="n">
        <f aca="false">IF($H112="Intermediate Level",1,0)</f>
        <v>0</v>
      </c>
    </row>
    <row r="113" customFormat="false" ht="68.65" hidden="false" customHeight="false" outlineLevel="0" collapsed="false">
      <c r="A113" s="14" t="n">
        <v>128950</v>
      </c>
      <c r="B113" s="14" t="s">
        <v>278</v>
      </c>
      <c r="C113" s="14" t="s">
        <v>279</v>
      </c>
      <c r="D113" s="14" t="n">
        <v>0</v>
      </c>
      <c r="E113" s="14" t="n">
        <v>15134</v>
      </c>
      <c r="F113" s="14" t="n">
        <v>523</v>
      </c>
      <c r="G113" s="14" t="n">
        <v>12</v>
      </c>
      <c r="H113" s="14" t="s">
        <v>52</v>
      </c>
      <c r="I113" s="14" t="n">
        <v>0.8</v>
      </c>
      <c r="J113" s="14" t="n">
        <v>2.5</v>
      </c>
      <c r="K113" s="14" t="s">
        <v>53</v>
      </c>
      <c r="L113" s="14" t="n">
        <v>2014</v>
      </c>
      <c r="M113" s="14" t="n">
        <v>9.62469914725447</v>
      </c>
      <c r="N113" s="14" t="n">
        <v>-4.60517018598809</v>
      </c>
      <c r="P113" s="14" t="n">
        <f aca="false">D113</f>
        <v>0</v>
      </c>
      <c r="Q113" s="14" t="n">
        <f aca="false">G113</f>
        <v>12</v>
      </c>
      <c r="R113" s="14" t="n">
        <f aca="false">J113</f>
        <v>2.5</v>
      </c>
      <c r="S113" s="14" t="n">
        <f aca="false">IF($L113=2012,1,0)</f>
        <v>0</v>
      </c>
      <c r="T113" s="14" t="n">
        <f aca="false">IF($L113=2013,1,0)</f>
        <v>0</v>
      </c>
      <c r="U113" s="14" t="n">
        <f aca="false">IF($L113=2014,1,0)</f>
        <v>1</v>
      </c>
      <c r="V113" s="14" t="n">
        <f aca="false">IF($L113=2015,1,0)</f>
        <v>0</v>
      </c>
      <c r="W113" s="14" t="n">
        <f aca="false">IF($L113=2016,1,0)</f>
        <v>0</v>
      </c>
      <c r="X113" s="14" t="n">
        <f aca="false">IF($L113=2017,1,0)</f>
        <v>0</v>
      </c>
      <c r="Y113" s="14" t="n">
        <f aca="false">IF($H113="Beginner Level",1,0)</f>
        <v>1</v>
      </c>
      <c r="Z113" s="14" t="n">
        <f aca="false">IF($H113="Expert Level",1,0)</f>
        <v>0</v>
      </c>
      <c r="AA113" s="14" t="n">
        <f aca="false">IF($H113="Intermediate Level",1,0)</f>
        <v>0</v>
      </c>
      <c r="AC113" s="14" t="n">
        <f aca="false">N113</f>
        <v>-4.60517018598809</v>
      </c>
      <c r="AD113" s="14" t="n">
        <f aca="false">G113</f>
        <v>12</v>
      </c>
      <c r="AE113" s="14" t="n">
        <f aca="false">J113</f>
        <v>2.5</v>
      </c>
      <c r="AF113" s="14" t="n">
        <f aca="false">IF($L113=2012,1,0)</f>
        <v>0</v>
      </c>
      <c r="AG113" s="14" t="n">
        <f aca="false">IF($L113=2013,1,0)</f>
        <v>0</v>
      </c>
      <c r="AH113" s="14" t="n">
        <f aca="false">IF($L113=2014,1,0)</f>
        <v>1</v>
      </c>
      <c r="AI113" s="14" t="n">
        <f aca="false">IF($L113=2015,1,0)</f>
        <v>0</v>
      </c>
      <c r="AJ113" s="14" t="n">
        <f aca="false">IF($L113=2016,1,0)</f>
        <v>0</v>
      </c>
      <c r="AK113" s="14" t="n">
        <f aca="false">IF($L113=2017,1,0)</f>
        <v>0</v>
      </c>
      <c r="AL113" s="14" t="n">
        <f aca="false">IF($H113="Beginner Level",1,0)</f>
        <v>1</v>
      </c>
      <c r="AM113" s="14" t="n">
        <f aca="false">IF($H113="Expert Level",1,0)</f>
        <v>0</v>
      </c>
      <c r="AN113" s="14" t="n">
        <f aca="false">IF($H113="Intermediate Level",1,0)</f>
        <v>0</v>
      </c>
    </row>
    <row r="114" customFormat="false" ht="79.85" hidden="false" customHeight="false" outlineLevel="0" collapsed="false">
      <c r="A114" s="14" t="n">
        <v>654680</v>
      </c>
      <c r="B114" s="14" t="s">
        <v>280</v>
      </c>
      <c r="C114" s="14" t="s">
        <v>281</v>
      </c>
      <c r="D114" s="14" t="n">
        <v>75</v>
      </c>
      <c r="E114" s="14" t="n">
        <v>15106</v>
      </c>
      <c r="F114" s="14" t="n">
        <v>31</v>
      </c>
      <c r="G114" s="14" t="n">
        <v>16</v>
      </c>
      <c r="H114" s="14" t="s">
        <v>52</v>
      </c>
      <c r="I114" s="14" t="n">
        <v>0.47</v>
      </c>
      <c r="J114" s="14" t="n">
        <v>1.5</v>
      </c>
      <c r="K114" s="14" t="s">
        <v>59</v>
      </c>
      <c r="L114" s="14" t="n">
        <v>2015</v>
      </c>
      <c r="M114" s="14" t="n">
        <v>9.62284729487339</v>
      </c>
      <c r="N114" s="14" t="n">
        <v>4.31762143798155</v>
      </c>
      <c r="P114" s="14" t="n">
        <f aca="false">D114</f>
        <v>75</v>
      </c>
      <c r="Q114" s="14" t="n">
        <f aca="false">G114</f>
        <v>16</v>
      </c>
      <c r="R114" s="14" t="n">
        <f aca="false">J114</f>
        <v>1.5</v>
      </c>
      <c r="S114" s="14" t="n">
        <f aca="false">IF($L114=2012,1,0)</f>
        <v>0</v>
      </c>
      <c r="T114" s="14" t="n">
        <f aca="false">IF($L114=2013,1,0)</f>
        <v>0</v>
      </c>
      <c r="U114" s="14" t="n">
        <f aca="false">IF($L114=2014,1,0)</f>
        <v>0</v>
      </c>
      <c r="V114" s="14" t="n">
        <f aca="false">IF($L114=2015,1,0)</f>
        <v>1</v>
      </c>
      <c r="W114" s="14" t="n">
        <f aca="false">IF($L114=2016,1,0)</f>
        <v>0</v>
      </c>
      <c r="X114" s="14" t="n">
        <f aca="false">IF($L114=2017,1,0)</f>
        <v>0</v>
      </c>
      <c r="Y114" s="14" t="n">
        <f aca="false">IF($H114="Beginner Level",1,0)</f>
        <v>1</v>
      </c>
      <c r="Z114" s="14" t="n">
        <f aca="false">IF($H114="Expert Level",1,0)</f>
        <v>0</v>
      </c>
      <c r="AA114" s="14" t="n">
        <f aca="false">IF($H114="Intermediate Level",1,0)</f>
        <v>0</v>
      </c>
      <c r="AC114" s="14" t="n">
        <f aca="false">N114</f>
        <v>4.31762143798155</v>
      </c>
      <c r="AD114" s="14" t="n">
        <f aca="false">G114</f>
        <v>16</v>
      </c>
      <c r="AE114" s="14" t="n">
        <f aca="false">J114</f>
        <v>1.5</v>
      </c>
      <c r="AF114" s="14" t="n">
        <f aca="false">IF($L114=2012,1,0)</f>
        <v>0</v>
      </c>
      <c r="AG114" s="14" t="n">
        <f aca="false">IF($L114=2013,1,0)</f>
        <v>0</v>
      </c>
      <c r="AH114" s="14" t="n">
        <f aca="false">IF($L114=2014,1,0)</f>
        <v>0</v>
      </c>
      <c r="AI114" s="14" t="n">
        <f aca="false">IF($L114=2015,1,0)</f>
        <v>1</v>
      </c>
      <c r="AJ114" s="14" t="n">
        <f aca="false">IF($L114=2016,1,0)</f>
        <v>0</v>
      </c>
      <c r="AK114" s="14" t="n">
        <f aca="false">IF($L114=2017,1,0)</f>
        <v>0</v>
      </c>
      <c r="AL114" s="14" t="n">
        <f aca="false">IF($H114="Beginner Level",1,0)</f>
        <v>1</v>
      </c>
      <c r="AM114" s="14" t="n">
        <f aca="false">IF($H114="Expert Level",1,0)</f>
        <v>0</v>
      </c>
      <c r="AN114" s="14" t="n">
        <f aca="false">IF($H114="Intermediate Level",1,0)</f>
        <v>0</v>
      </c>
    </row>
    <row r="115" customFormat="false" ht="46.25" hidden="false" customHeight="false" outlineLevel="0" collapsed="false">
      <c r="A115" s="14" t="n">
        <v>309820</v>
      </c>
      <c r="B115" s="14" t="s">
        <v>282</v>
      </c>
      <c r="C115" s="14" t="s">
        <v>283</v>
      </c>
      <c r="D115" s="14" t="n">
        <v>0</v>
      </c>
      <c r="E115" s="14" t="n">
        <v>15092</v>
      </c>
      <c r="F115" s="14" t="n">
        <v>1234</v>
      </c>
      <c r="G115" s="14" t="n">
        <v>65</v>
      </c>
      <c r="H115" s="14" t="s">
        <v>62</v>
      </c>
      <c r="I115" s="14" t="n">
        <v>0.73</v>
      </c>
      <c r="J115" s="14" t="n">
        <v>5.5</v>
      </c>
      <c r="K115" s="14" t="s">
        <v>53</v>
      </c>
      <c r="L115" s="14" t="n">
        <v>2016</v>
      </c>
      <c r="M115" s="14" t="n">
        <v>9.6219200810842</v>
      </c>
      <c r="N115" s="14" t="n">
        <v>-4.60517018598809</v>
      </c>
      <c r="P115" s="14" t="n">
        <f aca="false">D115</f>
        <v>0</v>
      </c>
      <c r="Q115" s="14" t="n">
        <f aca="false">G115</f>
        <v>65</v>
      </c>
      <c r="R115" s="14" t="n">
        <f aca="false">J115</f>
        <v>5.5</v>
      </c>
      <c r="S115" s="14" t="n">
        <f aca="false">IF($L115=2012,1,0)</f>
        <v>0</v>
      </c>
      <c r="T115" s="14" t="n">
        <f aca="false">IF($L115=2013,1,0)</f>
        <v>0</v>
      </c>
      <c r="U115" s="14" t="n">
        <f aca="false">IF($L115=2014,1,0)</f>
        <v>0</v>
      </c>
      <c r="V115" s="14" t="n">
        <f aca="false">IF($L115=2015,1,0)</f>
        <v>0</v>
      </c>
      <c r="W115" s="14" t="n">
        <f aca="false">IF($L115=2016,1,0)</f>
        <v>1</v>
      </c>
      <c r="X115" s="14" t="n">
        <f aca="false">IF($L115=2017,1,0)</f>
        <v>0</v>
      </c>
      <c r="Y115" s="14" t="n">
        <f aca="false">IF($H115="Beginner Level",1,0)</f>
        <v>0</v>
      </c>
      <c r="Z115" s="14" t="n">
        <f aca="false">IF($H115="Expert Level",1,0)</f>
        <v>0</v>
      </c>
      <c r="AA115" s="14" t="n">
        <f aca="false">IF($H115="Intermediate Level",1,0)</f>
        <v>0</v>
      </c>
      <c r="AC115" s="14" t="n">
        <f aca="false">N115</f>
        <v>-4.60517018598809</v>
      </c>
      <c r="AD115" s="14" t="n">
        <f aca="false">G115</f>
        <v>65</v>
      </c>
      <c r="AE115" s="14" t="n">
        <f aca="false">J115</f>
        <v>5.5</v>
      </c>
      <c r="AF115" s="14" t="n">
        <f aca="false">IF($L115=2012,1,0)</f>
        <v>0</v>
      </c>
      <c r="AG115" s="14" t="n">
        <f aca="false">IF($L115=2013,1,0)</f>
        <v>0</v>
      </c>
      <c r="AH115" s="14" t="n">
        <f aca="false">IF($L115=2014,1,0)</f>
        <v>0</v>
      </c>
      <c r="AI115" s="14" t="n">
        <f aca="false">IF($L115=2015,1,0)</f>
        <v>0</v>
      </c>
      <c r="AJ115" s="14" t="n">
        <f aca="false">IF($L115=2016,1,0)</f>
        <v>1</v>
      </c>
      <c r="AK115" s="14" t="n">
        <f aca="false">IF($L115=2017,1,0)</f>
        <v>0</v>
      </c>
      <c r="AL115" s="14" t="n">
        <f aca="false">IF($H115="Beginner Level",1,0)</f>
        <v>0</v>
      </c>
      <c r="AM115" s="14" t="n">
        <f aca="false">IF($H115="Expert Level",1,0)</f>
        <v>0</v>
      </c>
      <c r="AN115" s="14" t="n">
        <f aca="false">IF($H115="Intermediate Level",1,0)</f>
        <v>0</v>
      </c>
    </row>
    <row r="116" customFormat="false" ht="46.25" hidden="false" customHeight="false" outlineLevel="0" collapsed="false">
      <c r="A116" s="14" t="n">
        <v>283014</v>
      </c>
      <c r="B116" s="14" t="s">
        <v>284</v>
      </c>
      <c r="C116" s="14" t="s">
        <v>285</v>
      </c>
      <c r="D116" s="14" t="n">
        <v>135</v>
      </c>
      <c r="E116" s="14" t="n">
        <v>15064</v>
      </c>
      <c r="F116" s="14" t="n">
        <v>237</v>
      </c>
      <c r="G116" s="14" t="n">
        <v>15</v>
      </c>
      <c r="H116" s="14" t="s">
        <v>62</v>
      </c>
      <c r="I116" s="14" t="n">
        <v>0.5</v>
      </c>
      <c r="J116" s="14" t="n">
        <v>1.5</v>
      </c>
      <c r="K116" s="14" t="s">
        <v>59</v>
      </c>
      <c r="L116" s="14" t="n">
        <v>2014</v>
      </c>
      <c r="M116" s="14" t="n">
        <v>9.62006307033699</v>
      </c>
      <c r="N116" s="14" t="n">
        <v>4.90534884976916</v>
      </c>
      <c r="P116" s="14" t="n">
        <f aca="false">D116</f>
        <v>135</v>
      </c>
      <c r="Q116" s="14" t="n">
        <f aca="false">G116</f>
        <v>15</v>
      </c>
      <c r="R116" s="14" t="n">
        <f aca="false">J116</f>
        <v>1.5</v>
      </c>
      <c r="S116" s="14" t="n">
        <f aca="false">IF($L116=2012,1,0)</f>
        <v>0</v>
      </c>
      <c r="T116" s="14" t="n">
        <f aca="false">IF($L116=2013,1,0)</f>
        <v>0</v>
      </c>
      <c r="U116" s="14" t="n">
        <f aca="false">IF($L116=2014,1,0)</f>
        <v>1</v>
      </c>
      <c r="V116" s="14" t="n">
        <f aca="false">IF($L116=2015,1,0)</f>
        <v>0</v>
      </c>
      <c r="W116" s="14" t="n">
        <f aca="false">IF($L116=2016,1,0)</f>
        <v>0</v>
      </c>
      <c r="X116" s="14" t="n">
        <f aca="false">IF($L116=2017,1,0)</f>
        <v>0</v>
      </c>
      <c r="Y116" s="14" t="n">
        <f aca="false">IF($H116="Beginner Level",1,0)</f>
        <v>0</v>
      </c>
      <c r="Z116" s="14" t="n">
        <f aca="false">IF($H116="Expert Level",1,0)</f>
        <v>0</v>
      </c>
      <c r="AA116" s="14" t="n">
        <f aca="false">IF($H116="Intermediate Level",1,0)</f>
        <v>0</v>
      </c>
      <c r="AC116" s="14" t="n">
        <f aca="false">N116</f>
        <v>4.90534884976916</v>
      </c>
      <c r="AD116" s="14" t="n">
        <f aca="false">G116</f>
        <v>15</v>
      </c>
      <c r="AE116" s="14" t="n">
        <f aca="false">J116</f>
        <v>1.5</v>
      </c>
      <c r="AF116" s="14" t="n">
        <f aca="false">IF($L116=2012,1,0)</f>
        <v>0</v>
      </c>
      <c r="AG116" s="14" t="n">
        <f aca="false">IF($L116=2013,1,0)</f>
        <v>0</v>
      </c>
      <c r="AH116" s="14" t="n">
        <f aca="false">IF($L116=2014,1,0)</f>
        <v>1</v>
      </c>
      <c r="AI116" s="14" t="n">
        <f aca="false">IF($L116=2015,1,0)</f>
        <v>0</v>
      </c>
      <c r="AJ116" s="14" t="n">
        <f aca="false">IF($L116=2016,1,0)</f>
        <v>0</v>
      </c>
      <c r="AK116" s="14" t="n">
        <f aca="false">IF($L116=2017,1,0)</f>
        <v>0</v>
      </c>
      <c r="AL116" s="14" t="n">
        <f aca="false">IF($H116="Beginner Level",1,0)</f>
        <v>0</v>
      </c>
      <c r="AM116" s="14" t="n">
        <f aca="false">IF($H116="Expert Level",1,0)</f>
        <v>0</v>
      </c>
      <c r="AN116" s="14" t="n">
        <f aca="false">IF($H116="Intermediate Level",1,0)</f>
        <v>0</v>
      </c>
    </row>
    <row r="117" customFormat="false" ht="57.45" hidden="false" customHeight="false" outlineLevel="0" collapsed="false">
      <c r="A117" s="14" t="n">
        <v>1027342</v>
      </c>
      <c r="B117" s="14" t="s">
        <v>286</v>
      </c>
      <c r="C117" s="14" t="s">
        <v>287</v>
      </c>
      <c r="D117" s="14" t="n">
        <v>200</v>
      </c>
      <c r="E117" s="14" t="n">
        <v>14842</v>
      </c>
      <c r="F117" s="14" t="n">
        <v>131</v>
      </c>
      <c r="G117" s="14" t="n">
        <v>17</v>
      </c>
      <c r="H117" s="14" t="s">
        <v>62</v>
      </c>
      <c r="I117" s="14" t="n">
        <v>0.88</v>
      </c>
      <c r="J117" s="14" t="n">
        <v>1</v>
      </c>
      <c r="K117" s="14" t="s">
        <v>59</v>
      </c>
      <c r="L117" s="14" t="n">
        <v>2016</v>
      </c>
      <c r="M117" s="14" t="n">
        <v>9.60521627853008</v>
      </c>
      <c r="N117" s="14" t="n">
        <v>5.29836736529808</v>
      </c>
      <c r="P117" s="14" t="n">
        <f aca="false">D117</f>
        <v>200</v>
      </c>
      <c r="Q117" s="14" t="n">
        <f aca="false">G117</f>
        <v>17</v>
      </c>
      <c r="R117" s="14" t="n">
        <f aca="false">J117</f>
        <v>1</v>
      </c>
      <c r="S117" s="14" t="n">
        <f aca="false">IF($L117=2012,1,0)</f>
        <v>0</v>
      </c>
      <c r="T117" s="14" t="n">
        <f aca="false">IF($L117=2013,1,0)</f>
        <v>0</v>
      </c>
      <c r="U117" s="14" t="n">
        <f aca="false">IF($L117=2014,1,0)</f>
        <v>0</v>
      </c>
      <c r="V117" s="14" t="n">
        <f aca="false">IF($L117=2015,1,0)</f>
        <v>0</v>
      </c>
      <c r="W117" s="14" t="n">
        <f aca="false">IF($L117=2016,1,0)</f>
        <v>1</v>
      </c>
      <c r="X117" s="14" t="n">
        <f aca="false">IF($L117=2017,1,0)</f>
        <v>0</v>
      </c>
      <c r="Y117" s="14" t="n">
        <f aca="false">IF($H117="Beginner Level",1,0)</f>
        <v>0</v>
      </c>
      <c r="Z117" s="14" t="n">
        <f aca="false">IF($H117="Expert Level",1,0)</f>
        <v>0</v>
      </c>
      <c r="AA117" s="14" t="n">
        <f aca="false">IF($H117="Intermediate Level",1,0)</f>
        <v>0</v>
      </c>
      <c r="AC117" s="14" t="n">
        <f aca="false">N117</f>
        <v>5.29836736529808</v>
      </c>
      <c r="AD117" s="14" t="n">
        <f aca="false">G117</f>
        <v>17</v>
      </c>
      <c r="AE117" s="14" t="n">
        <f aca="false">J117</f>
        <v>1</v>
      </c>
      <c r="AF117" s="14" t="n">
        <f aca="false">IF($L117=2012,1,0)</f>
        <v>0</v>
      </c>
      <c r="AG117" s="14" t="n">
        <f aca="false">IF($L117=2013,1,0)</f>
        <v>0</v>
      </c>
      <c r="AH117" s="14" t="n">
        <f aca="false">IF($L117=2014,1,0)</f>
        <v>0</v>
      </c>
      <c r="AI117" s="14" t="n">
        <f aca="false">IF($L117=2015,1,0)</f>
        <v>0</v>
      </c>
      <c r="AJ117" s="14" t="n">
        <f aca="false">IF($L117=2016,1,0)</f>
        <v>1</v>
      </c>
      <c r="AK117" s="14" t="n">
        <f aca="false">IF($L117=2017,1,0)</f>
        <v>0</v>
      </c>
      <c r="AL117" s="14" t="n">
        <f aca="false">IF($H117="Beginner Level",1,0)</f>
        <v>0</v>
      </c>
      <c r="AM117" s="14" t="n">
        <f aca="false">IF($H117="Expert Level",1,0)</f>
        <v>0</v>
      </c>
      <c r="AN117" s="14" t="n">
        <f aca="false">IF($H117="Intermediate Level",1,0)</f>
        <v>0</v>
      </c>
    </row>
    <row r="118" customFormat="false" ht="79.85" hidden="false" customHeight="false" outlineLevel="0" collapsed="false">
      <c r="A118" s="14" t="n">
        <v>427530</v>
      </c>
      <c r="B118" s="14" t="s">
        <v>288</v>
      </c>
      <c r="C118" s="14" t="s">
        <v>289</v>
      </c>
      <c r="D118" s="14" t="n">
        <v>60</v>
      </c>
      <c r="E118" s="14" t="n">
        <v>14813</v>
      </c>
      <c r="F118" s="14" t="n">
        <v>1358</v>
      </c>
      <c r="G118" s="14" t="n">
        <v>74</v>
      </c>
      <c r="H118" s="14" t="s">
        <v>52</v>
      </c>
      <c r="I118" s="14" t="n">
        <v>0.15</v>
      </c>
      <c r="J118" s="14" t="n">
        <v>13.5</v>
      </c>
      <c r="K118" s="14" t="s">
        <v>59</v>
      </c>
      <c r="L118" s="14" t="n">
        <v>2015</v>
      </c>
      <c r="M118" s="14" t="n">
        <v>9.60326045258205</v>
      </c>
      <c r="N118" s="14" t="n">
        <v>4.09451121500142</v>
      </c>
      <c r="P118" s="14" t="n">
        <f aca="false">D118</f>
        <v>60</v>
      </c>
      <c r="Q118" s="14" t="n">
        <f aca="false">G118</f>
        <v>74</v>
      </c>
      <c r="R118" s="14" t="n">
        <f aca="false">J118</f>
        <v>13.5</v>
      </c>
      <c r="S118" s="14" t="n">
        <f aca="false">IF($L118=2012,1,0)</f>
        <v>0</v>
      </c>
      <c r="T118" s="14" t="n">
        <f aca="false">IF($L118=2013,1,0)</f>
        <v>0</v>
      </c>
      <c r="U118" s="14" t="n">
        <f aca="false">IF($L118=2014,1,0)</f>
        <v>0</v>
      </c>
      <c r="V118" s="14" t="n">
        <f aca="false">IF($L118=2015,1,0)</f>
        <v>1</v>
      </c>
      <c r="W118" s="14" t="n">
        <f aca="false">IF($L118=2016,1,0)</f>
        <v>0</v>
      </c>
      <c r="X118" s="14" t="n">
        <f aca="false">IF($L118=2017,1,0)</f>
        <v>0</v>
      </c>
      <c r="Y118" s="14" t="n">
        <f aca="false">IF($H118="Beginner Level",1,0)</f>
        <v>1</v>
      </c>
      <c r="Z118" s="14" t="n">
        <f aca="false">IF($H118="Expert Level",1,0)</f>
        <v>0</v>
      </c>
      <c r="AA118" s="14" t="n">
        <f aca="false">IF($H118="Intermediate Level",1,0)</f>
        <v>0</v>
      </c>
      <c r="AC118" s="14" t="n">
        <f aca="false">N118</f>
        <v>4.09451121500142</v>
      </c>
      <c r="AD118" s="14" t="n">
        <f aca="false">G118</f>
        <v>74</v>
      </c>
      <c r="AE118" s="14" t="n">
        <f aca="false">J118</f>
        <v>13.5</v>
      </c>
      <c r="AF118" s="14" t="n">
        <f aca="false">IF($L118=2012,1,0)</f>
        <v>0</v>
      </c>
      <c r="AG118" s="14" t="n">
        <f aca="false">IF($L118=2013,1,0)</f>
        <v>0</v>
      </c>
      <c r="AH118" s="14" t="n">
        <f aca="false">IF($L118=2014,1,0)</f>
        <v>0</v>
      </c>
      <c r="AI118" s="14" t="n">
        <f aca="false">IF($L118=2015,1,0)</f>
        <v>1</v>
      </c>
      <c r="AJ118" s="14" t="n">
        <f aca="false">IF($L118=2016,1,0)</f>
        <v>0</v>
      </c>
      <c r="AK118" s="14" t="n">
        <f aca="false">IF($L118=2017,1,0)</f>
        <v>0</v>
      </c>
      <c r="AL118" s="14" t="n">
        <f aca="false">IF($H118="Beginner Level",1,0)</f>
        <v>1</v>
      </c>
      <c r="AM118" s="14" t="n">
        <f aca="false">IF($H118="Expert Level",1,0)</f>
        <v>0</v>
      </c>
      <c r="AN118" s="14" t="n">
        <f aca="false">IF($H118="Intermediate Level",1,0)</f>
        <v>0</v>
      </c>
    </row>
    <row r="119" customFormat="false" ht="57.45" hidden="false" customHeight="false" outlineLevel="0" collapsed="false">
      <c r="A119" s="14" t="n">
        <v>269638</v>
      </c>
      <c r="B119" s="14" t="s">
        <v>290</v>
      </c>
      <c r="C119" s="14" t="s">
        <v>291</v>
      </c>
      <c r="D119" s="14" t="n">
        <v>150</v>
      </c>
      <c r="E119" s="14" t="n">
        <v>14606</v>
      </c>
      <c r="F119" s="14" t="n">
        <v>235</v>
      </c>
      <c r="G119" s="14" t="n">
        <v>21</v>
      </c>
      <c r="H119" s="14" t="s">
        <v>71</v>
      </c>
      <c r="I119" s="14" t="n">
        <v>0.48</v>
      </c>
      <c r="J119" s="14" t="n">
        <v>3</v>
      </c>
      <c r="K119" s="14" t="s">
        <v>59</v>
      </c>
      <c r="L119" s="14" t="n">
        <v>2014</v>
      </c>
      <c r="M119" s="14" t="n">
        <v>9.58918768218006</v>
      </c>
      <c r="N119" s="14" t="n">
        <v>5.0107019585408</v>
      </c>
      <c r="P119" s="14" t="n">
        <f aca="false">D119</f>
        <v>150</v>
      </c>
      <c r="Q119" s="14" t="n">
        <f aca="false">G119</f>
        <v>21</v>
      </c>
      <c r="R119" s="14" t="n">
        <f aca="false">J119</f>
        <v>3</v>
      </c>
      <c r="S119" s="14" t="n">
        <f aca="false">IF($L119=2012,1,0)</f>
        <v>0</v>
      </c>
      <c r="T119" s="14" t="n">
        <f aca="false">IF($L119=2013,1,0)</f>
        <v>0</v>
      </c>
      <c r="U119" s="14" t="n">
        <f aca="false">IF($L119=2014,1,0)</f>
        <v>1</v>
      </c>
      <c r="V119" s="14" t="n">
        <f aca="false">IF($L119=2015,1,0)</f>
        <v>0</v>
      </c>
      <c r="W119" s="14" t="n">
        <f aca="false">IF($L119=2016,1,0)</f>
        <v>0</v>
      </c>
      <c r="X119" s="14" t="n">
        <f aca="false">IF($L119=2017,1,0)</f>
        <v>0</v>
      </c>
      <c r="Y119" s="14" t="n">
        <f aca="false">IF($H119="Beginner Level",1,0)</f>
        <v>0</v>
      </c>
      <c r="Z119" s="14" t="n">
        <f aca="false">IF($H119="Expert Level",1,0)</f>
        <v>0</v>
      </c>
      <c r="AA119" s="14" t="n">
        <f aca="false">IF($H119="Intermediate Level",1,0)</f>
        <v>1</v>
      </c>
      <c r="AC119" s="14" t="n">
        <f aca="false">N119</f>
        <v>5.0107019585408</v>
      </c>
      <c r="AD119" s="14" t="n">
        <f aca="false">G119</f>
        <v>21</v>
      </c>
      <c r="AE119" s="14" t="n">
        <f aca="false">J119</f>
        <v>3</v>
      </c>
      <c r="AF119" s="14" t="n">
        <f aca="false">IF($L119=2012,1,0)</f>
        <v>0</v>
      </c>
      <c r="AG119" s="14" t="n">
        <f aca="false">IF($L119=2013,1,0)</f>
        <v>0</v>
      </c>
      <c r="AH119" s="14" t="n">
        <f aca="false">IF($L119=2014,1,0)</f>
        <v>1</v>
      </c>
      <c r="AI119" s="14" t="n">
        <f aca="false">IF($L119=2015,1,0)</f>
        <v>0</v>
      </c>
      <c r="AJ119" s="14" t="n">
        <f aca="false">IF($L119=2016,1,0)</f>
        <v>0</v>
      </c>
      <c r="AK119" s="14" t="n">
        <f aca="false">IF($L119=2017,1,0)</f>
        <v>0</v>
      </c>
      <c r="AL119" s="14" t="n">
        <f aca="false">IF($H119="Beginner Level",1,0)</f>
        <v>0</v>
      </c>
      <c r="AM119" s="14" t="n">
        <f aca="false">IF($H119="Expert Level",1,0)</f>
        <v>0</v>
      </c>
      <c r="AN119" s="14" t="n">
        <f aca="false">IF($H119="Intermediate Level",1,0)</f>
        <v>1</v>
      </c>
    </row>
    <row r="120" customFormat="false" ht="57.45" hidden="false" customHeight="false" outlineLevel="0" collapsed="false">
      <c r="A120" s="14" t="n">
        <v>34882</v>
      </c>
      <c r="B120" s="14" t="s">
        <v>292</v>
      </c>
      <c r="C120" s="14" t="s">
        <v>293</v>
      </c>
      <c r="D120" s="14" t="n">
        <v>20</v>
      </c>
      <c r="E120" s="14" t="n">
        <v>14551</v>
      </c>
      <c r="F120" s="14" t="n">
        <v>169</v>
      </c>
      <c r="G120" s="14" t="n">
        <v>14</v>
      </c>
      <c r="H120" s="14" t="s">
        <v>52</v>
      </c>
      <c r="I120" s="14" t="n">
        <v>0.15</v>
      </c>
      <c r="J120" s="14" t="n">
        <v>1.5</v>
      </c>
      <c r="K120" s="14" t="s">
        <v>59</v>
      </c>
      <c r="L120" s="14" t="n">
        <v>2013</v>
      </c>
      <c r="M120" s="14" t="n">
        <v>9.58541499876028</v>
      </c>
      <c r="N120" s="14" t="n">
        <v>2.99623214859564</v>
      </c>
      <c r="P120" s="14" t="n">
        <f aca="false">D120</f>
        <v>20</v>
      </c>
      <c r="Q120" s="14" t="n">
        <f aca="false">G120</f>
        <v>14</v>
      </c>
      <c r="R120" s="14" t="n">
        <f aca="false">J120</f>
        <v>1.5</v>
      </c>
      <c r="S120" s="14" t="n">
        <f aca="false">IF($L120=2012,1,0)</f>
        <v>0</v>
      </c>
      <c r="T120" s="14" t="n">
        <f aca="false">IF($L120=2013,1,0)</f>
        <v>1</v>
      </c>
      <c r="U120" s="14" t="n">
        <f aca="false">IF($L120=2014,1,0)</f>
        <v>0</v>
      </c>
      <c r="V120" s="14" t="n">
        <f aca="false">IF($L120=2015,1,0)</f>
        <v>0</v>
      </c>
      <c r="W120" s="14" t="n">
        <f aca="false">IF($L120=2016,1,0)</f>
        <v>0</v>
      </c>
      <c r="X120" s="14" t="n">
        <f aca="false">IF($L120=2017,1,0)</f>
        <v>0</v>
      </c>
      <c r="Y120" s="14" t="n">
        <f aca="false">IF($H120="Beginner Level",1,0)</f>
        <v>1</v>
      </c>
      <c r="Z120" s="14" t="n">
        <f aca="false">IF($H120="Expert Level",1,0)</f>
        <v>0</v>
      </c>
      <c r="AA120" s="14" t="n">
        <f aca="false">IF($H120="Intermediate Level",1,0)</f>
        <v>0</v>
      </c>
      <c r="AC120" s="14" t="n">
        <f aca="false">N120</f>
        <v>2.99623214859564</v>
      </c>
      <c r="AD120" s="14" t="n">
        <f aca="false">G120</f>
        <v>14</v>
      </c>
      <c r="AE120" s="14" t="n">
        <f aca="false">J120</f>
        <v>1.5</v>
      </c>
      <c r="AF120" s="14" t="n">
        <f aca="false">IF($L120=2012,1,0)</f>
        <v>0</v>
      </c>
      <c r="AG120" s="14" t="n">
        <f aca="false">IF($L120=2013,1,0)</f>
        <v>1</v>
      </c>
      <c r="AH120" s="14" t="n">
        <f aca="false">IF($L120=2014,1,0)</f>
        <v>0</v>
      </c>
      <c r="AI120" s="14" t="n">
        <f aca="false">IF($L120=2015,1,0)</f>
        <v>0</v>
      </c>
      <c r="AJ120" s="14" t="n">
        <f aca="false">IF($L120=2016,1,0)</f>
        <v>0</v>
      </c>
      <c r="AK120" s="14" t="n">
        <f aca="false">IF($L120=2017,1,0)</f>
        <v>0</v>
      </c>
      <c r="AL120" s="14" t="n">
        <f aca="false">IF($H120="Beginner Level",1,0)</f>
        <v>1</v>
      </c>
      <c r="AM120" s="14" t="n">
        <f aca="false">IF($H120="Expert Level",1,0)</f>
        <v>0</v>
      </c>
      <c r="AN120" s="14" t="n">
        <f aca="false">IF($H120="Intermediate Level",1,0)</f>
        <v>0</v>
      </c>
    </row>
    <row r="121" customFormat="false" ht="79.85" hidden="false" customHeight="false" outlineLevel="0" collapsed="false">
      <c r="A121" s="14" t="n">
        <v>574876</v>
      </c>
      <c r="B121" s="14" t="s">
        <v>294</v>
      </c>
      <c r="C121" s="14" t="s">
        <v>295</v>
      </c>
      <c r="D121" s="14" t="n">
        <v>100</v>
      </c>
      <c r="E121" s="14" t="n">
        <v>14260</v>
      </c>
      <c r="F121" s="14" t="n">
        <v>44</v>
      </c>
      <c r="G121" s="14" t="n">
        <v>43</v>
      </c>
      <c r="H121" s="14" t="s">
        <v>52</v>
      </c>
      <c r="I121" s="14" t="n">
        <v>0.25</v>
      </c>
      <c r="J121" s="14" t="n">
        <v>3</v>
      </c>
      <c r="K121" s="14" t="s">
        <v>59</v>
      </c>
      <c r="L121" s="14" t="n">
        <v>2015</v>
      </c>
      <c r="M121" s="14" t="n">
        <v>9.56521369396829</v>
      </c>
      <c r="N121" s="14" t="n">
        <v>4.60527018098843</v>
      </c>
      <c r="P121" s="14" t="n">
        <f aca="false">D121</f>
        <v>100</v>
      </c>
      <c r="Q121" s="14" t="n">
        <f aca="false">G121</f>
        <v>43</v>
      </c>
      <c r="R121" s="14" t="n">
        <f aca="false">J121</f>
        <v>3</v>
      </c>
      <c r="S121" s="14" t="n">
        <f aca="false">IF($L121=2012,1,0)</f>
        <v>0</v>
      </c>
      <c r="T121" s="14" t="n">
        <f aca="false">IF($L121=2013,1,0)</f>
        <v>0</v>
      </c>
      <c r="U121" s="14" t="n">
        <f aca="false">IF($L121=2014,1,0)</f>
        <v>0</v>
      </c>
      <c r="V121" s="14" t="n">
        <f aca="false">IF($L121=2015,1,0)</f>
        <v>1</v>
      </c>
      <c r="W121" s="14" t="n">
        <f aca="false">IF($L121=2016,1,0)</f>
        <v>0</v>
      </c>
      <c r="X121" s="14" t="n">
        <f aca="false">IF($L121=2017,1,0)</f>
        <v>0</v>
      </c>
      <c r="Y121" s="14" t="n">
        <f aca="false">IF($H121="Beginner Level",1,0)</f>
        <v>1</v>
      </c>
      <c r="Z121" s="14" t="n">
        <f aca="false">IF($H121="Expert Level",1,0)</f>
        <v>0</v>
      </c>
      <c r="AA121" s="14" t="n">
        <f aca="false">IF($H121="Intermediate Level",1,0)</f>
        <v>0</v>
      </c>
      <c r="AC121" s="14" t="n">
        <f aca="false">N121</f>
        <v>4.60527018098843</v>
      </c>
      <c r="AD121" s="14" t="n">
        <f aca="false">G121</f>
        <v>43</v>
      </c>
      <c r="AE121" s="14" t="n">
        <f aca="false">J121</f>
        <v>3</v>
      </c>
      <c r="AF121" s="14" t="n">
        <f aca="false">IF($L121=2012,1,0)</f>
        <v>0</v>
      </c>
      <c r="AG121" s="14" t="n">
        <f aca="false">IF($L121=2013,1,0)</f>
        <v>0</v>
      </c>
      <c r="AH121" s="14" t="n">
        <f aca="false">IF($L121=2014,1,0)</f>
        <v>0</v>
      </c>
      <c r="AI121" s="14" t="n">
        <f aca="false">IF($L121=2015,1,0)</f>
        <v>1</v>
      </c>
      <c r="AJ121" s="14" t="n">
        <f aca="false">IF($L121=2016,1,0)</f>
        <v>0</v>
      </c>
      <c r="AK121" s="14" t="n">
        <f aca="false">IF($L121=2017,1,0)</f>
        <v>0</v>
      </c>
      <c r="AL121" s="14" t="n">
        <f aca="false">IF($H121="Beginner Level",1,0)</f>
        <v>1</v>
      </c>
      <c r="AM121" s="14" t="n">
        <f aca="false">IF($H121="Expert Level",1,0)</f>
        <v>0</v>
      </c>
      <c r="AN121" s="14" t="n">
        <f aca="false">IF($H121="Intermediate Level",1,0)</f>
        <v>0</v>
      </c>
    </row>
    <row r="122" customFormat="false" ht="79.85" hidden="false" customHeight="false" outlineLevel="0" collapsed="false">
      <c r="A122" s="14" t="n">
        <v>499632</v>
      </c>
      <c r="B122" s="14" t="s">
        <v>296</v>
      </c>
      <c r="C122" s="14" t="s">
        <v>297</v>
      </c>
      <c r="D122" s="14" t="n">
        <v>75</v>
      </c>
      <c r="E122" s="14" t="n">
        <v>14254</v>
      </c>
      <c r="F122" s="14" t="n">
        <v>27</v>
      </c>
      <c r="G122" s="14" t="n">
        <v>20</v>
      </c>
      <c r="H122" s="14" t="s">
        <v>62</v>
      </c>
      <c r="I122" s="14" t="n">
        <v>0.3</v>
      </c>
      <c r="J122" s="14" t="n">
        <v>1.5</v>
      </c>
      <c r="K122" s="14" t="s">
        <v>59</v>
      </c>
      <c r="L122" s="14" t="n">
        <v>2015</v>
      </c>
      <c r="M122" s="14" t="n">
        <v>9.56479284806182</v>
      </c>
      <c r="N122" s="14" t="n">
        <v>4.31762143798155</v>
      </c>
      <c r="P122" s="14" t="n">
        <f aca="false">D122</f>
        <v>75</v>
      </c>
      <c r="Q122" s="14" t="n">
        <f aca="false">G122</f>
        <v>20</v>
      </c>
      <c r="R122" s="14" t="n">
        <f aca="false">J122</f>
        <v>1.5</v>
      </c>
      <c r="S122" s="14" t="n">
        <f aca="false">IF($L122=2012,1,0)</f>
        <v>0</v>
      </c>
      <c r="T122" s="14" t="n">
        <f aca="false">IF($L122=2013,1,0)</f>
        <v>0</v>
      </c>
      <c r="U122" s="14" t="n">
        <f aca="false">IF($L122=2014,1,0)</f>
        <v>0</v>
      </c>
      <c r="V122" s="14" t="n">
        <f aca="false">IF($L122=2015,1,0)</f>
        <v>1</v>
      </c>
      <c r="W122" s="14" t="n">
        <f aca="false">IF($L122=2016,1,0)</f>
        <v>0</v>
      </c>
      <c r="X122" s="14" t="n">
        <f aca="false">IF($L122=2017,1,0)</f>
        <v>0</v>
      </c>
      <c r="Y122" s="14" t="n">
        <f aca="false">IF($H122="Beginner Level",1,0)</f>
        <v>0</v>
      </c>
      <c r="Z122" s="14" t="n">
        <f aca="false">IF($H122="Expert Level",1,0)</f>
        <v>0</v>
      </c>
      <c r="AA122" s="14" t="n">
        <f aca="false">IF($H122="Intermediate Level",1,0)</f>
        <v>0</v>
      </c>
      <c r="AC122" s="14" t="n">
        <f aca="false">N122</f>
        <v>4.31762143798155</v>
      </c>
      <c r="AD122" s="14" t="n">
        <f aca="false">G122</f>
        <v>20</v>
      </c>
      <c r="AE122" s="14" t="n">
        <f aca="false">J122</f>
        <v>1.5</v>
      </c>
      <c r="AF122" s="14" t="n">
        <f aca="false">IF($L122=2012,1,0)</f>
        <v>0</v>
      </c>
      <c r="AG122" s="14" t="n">
        <f aca="false">IF($L122=2013,1,0)</f>
        <v>0</v>
      </c>
      <c r="AH122" s="14" t="n">
        <f aca="false">IF($L122=2014,1,0)</f>
        <v>0</v>
      </c>
      <c r="AI122" s="14" t="n">
        <f aca="false">IF($L122=2015,1,0)</f>
        <v>1</v>
      </c>
      <c r="AJ122" s="14" t="n">
        <f aca="false">IF($L122=2016,1,0)</f>
        <v>0</v>
      </c>
      <c r="AK122" s="14" t="n">
        <f aca="false">IF($L122=2017,1,0)</f>
        <v>0</v>
      </c>
      <c r="AL122" s="14" t="n">
        <f aca="false">IF($H122="Beginner Level",1,0)</f>
        <v>0</v>
      </c>
      <c r="AM122" s="14" t="n">
        <f aca="false">IF($H122="Expert Level",1,0)</f>
        <v>0</v>
      </c>
      <c r="AN122" s="14" t="n">
        <f aca="false">IF($H122="Intermediate Level",1,0)</f>
        <v>0</v>
      </c>
    </row>
    <row r="123" customFormat="false" ht="57.45" hidden="false" customHeight="false" outlineLevel="0" collapsed="false">
      <c r="A123" s="14" t="n">
        <v>778112</v>
      </c>
      <c r="B123" s="14" t="s">
        <v>298</v>
      </c>
      <c r="C123" s="14" t="s">
        <v>299</v>
      </c>
      <c r="D123" s="14" t="n">
        <v>120</v>
      </c>
      <c r="E123" s="14" t="n">
        <v>14118</v>
      </c>
      <c r="F123" s="14" t="n">
        <v>30</v>
      </c>
      <c r="G123" s="14" t="n">
        <v>27</v>
      </c>
      <c r="H123" s="14" t="s">
        <v>62</v>
      </c>
      <c r="I123" s="14" t="n">
        <v>0.64</v>
      </c>
      <c r="J123" s="14" t="n">
        <v>2</v>
      </c>
      <c r="K123" s="14" t="s">
        <v>59</v>
      </c>
      <c r="L123" s="14" t="n">
        <v>2016</v>
      </c>
      <c r="M123" s="14" t="n">
        <v>9.55520585795542</v>
      </c>
      <c r="N123" s="14" t="n">
        <v>4.78757507264335</v>
      </c>
      <c r="P123" s="14" t="n">
        <f aca="false">D123</f>
        <v>120</v>
      </c>
      <c r="Q123" s="14" t="n">
        <f aca="false">G123</f>
        <v>27</v>
      </c>
      <c r="R123" s="14" t="n">
        <f aca="false">J123</f>
        <v>2</v>
      </c>
      <c r="S123" s="14" t="n">
        <f aca="false">IF($L123=2012,1,0)</f>
        <v>0</v>
      </c>
      <c r="T123" s="14" t="n">
        <f aca="false">IF($L123=2013,1,0)</f>
        <v>0</v>
      </c>
      <c r="U123" s="14" t="n">
        <f aca="false">IF($L123=2014,1,0)</f>
        <v>0</v>
      </c>
      <c r="V123" s="14" t="n">
        <f aca="false">IF($L123=2015,1,0)</f>
        <v>0</v>
      </c>
      <c r="W123" s="14" t="n">
        <f aca="false">IF($L123=2016,1,0)</f>
        <v>1</v>
      </c>
      <c r="X123" s="14" t="n">
        <f aca="false">IF($L123=2017,1,0)</f>
        <v>0</v>
      </c>
      <c r="Y123" s="14" t="n">
        <f aca="false">IF($H123="Beginner Level",1,0)</f>
        <v>0</v>
      </c>
      <c r="Z123" s="14" t="n">
        <f aca="false">IF($H123="Expert Level",1,0)</f>
        <v>0</v>
      </c>
      <c r="AA123" s="14" t="n">
        <f aca="false">IF($H123="Intermediate Level",1,0)</f>
        <v>0</v>
      </c>
      <c r="AC123" s="14" t="n">
        <f aca="false">N123</f>
        <v>4.78757507264335</v>
      </c>
      <c r="AD123" s="14" t="n">
        <f aca="false">G123</f>
        <v>27</v>
      </c>
      <c r="AE123" s="14" t="n">
        <f aca="false">J123</f>
        <v>2</v>
      </c>
      <c r="AF123" s="14" t="n">
        <f aca="false">IF($L123=2012,1,0)</f>
        <v>0</v>
      </c>
      <c r="AG123" s="14" t="n">
        <f aca="false">IF($L123=2013,1,0)</f>
        <v>0</v>
      </c>
      <c r="AH123" s="14" t="n">
        <f aca="false">IF($L123=2014,1,0)</f>
        <v>0</v>
      </c>
      <c r="AI123" s="14" t="n">
        <f aca="false">IF($L123=2015,1,0)</f>
        <v>0</v>
      </c>
      <c r="AJ123" s="14" t="n">
        <f aca="false">IF($L123=2016,1,0)</f>
        <v>1</v>
      </c>
      <c r="AK123" s="14" t="n">
        <f aca="false">IF($L123=2017,1,0)</f>
        <v>0</v>
      </c>
      <c r="AL123" s="14" t="n">
        <f aca="false">IF($H123="Beginner Level",1,0)</f>
        <v>0</v>
      </c>
      <c r="AM123" s="14" t="n">
        <f aca="false">IF($H123="Expert Level",1,0)</f>
        <v>0</v>
      </c>
      <c r="AN123" s="14" t="n">
        <f aca="false">IF($H123="Intermediate Level",1,0)</f>
        <v>0</v>
      </c>
    </row>
    <row r="124" customFormat="false" ht="57.45" hidden="false" customHeight="false" outlineLevel="0" collapsed="false">
      <c r="A124" s="14" t="n">
        <v>390866</v>
      </c>
      <c r="B124" s="14" t="s">
        <v>300</v>
      </c>
      <c r="C124" s="14" t="s">
        <v>301</v>
      </c>
      <c r="D124" s="14" t="n">
        <v>190</v>
      </c>
      <c r="E124" s="14" t="n">
        <v>14103</v>
      </c>
      <c r="F124" s="14" t="n">
        <v>1548</v>
      </c>
      <c r="G124" s="14" t="n">
        <v>197</v>
      </c>
      <c r="H124" s="14" t="s">
        <v>62</v>
      </c>
      <c r="I124" s="14" t="n">
        <v>0.78</v>
      </c>
      <c r="J124" s="14" t="n">
        <v>21.5</v>
      </c>
      <c r="K124" s="14" t="s">
        <v>59</v>
      </c>
      <c r="L124" s="14" t="n">
        <v>2015</v>
      </c>
      <c r="M124" s="14" t="n">
        <v>9.55414281969224</v>
      </c>
      <c r="N124" s="14" t="n">
        <v>5.24707670235444</v>
      </c>
      <c r="P124" s="14" t="n">
        <f aca="false">D124</f>
        <v>190</v>
      </c>
      <c r="Q124" s="14" t="n">
        <f aca="false">G124</f>
        <v>197</v>
      </c>
      <c r="R124" s="14" t="n">
        <f aca="false">J124</f>
        <v>21.5</v>
      </c>
      <c r="S124" s="14" t="n">
        <f aca="false">IF($L124=2012,1,0)</f>
        <v>0</v>
      </c>
      <c r="T124" s="14" t="n">
        <f aca="false">IF($L124=2013,1,0)</f>
        <v>0</v>
      </c>
      <c r="U124" s="14" t="n">
        <f aca="false">IF($L124=2014,1,0)</f>
        <v>0</v>
      </c>
      <c r="V124" s="14" t="n">
        <f aca="false">IF($L124=2015,1,0)</f>
        <v>1</v>
      </c>
      <c r="W124" s="14" t="n">
        <f aca="false">IF($L124=2016,1,0)</f>
        <v>0</v>
      </c>
      <c r="X124" s="14" t="n">
        <f aca="false">IF($L124=2017,1,0)</f>
        <v>0</v>
      </c>
      <c r="Y124" s="14" t="n">
        <f aca="false">IF($H124="Beginner Level",1,0)</f>
        <v>0</v>
      </c>
      <c r="Z124" s="14" t="n">
        <f aca="false">IF($H124="Expert Level",1,0)</f>
        <v>0</v>
      </c>
      <c r="AA124" s="14" t="n">
        <f aca="false">IF($H124="Intermediate Level",1,0)</f>
        <v>0</v>
      </c>
      <c r="AC124" s="14" t="n">
        <f aca="false">N124</f>
        <v>5.24707670235444</v>
      </c>
      <c r="AD124" s="14" t="n">
        <f aca="false">G124</f>
        <v>197</v>
      </c>
      <c r="AE124" s="14" t="n">
        <f aca="false">J124</f>
        <v>21.5</v>
      </c>
      <c r="AF124" s="14" t="n">
        <f aca="false">IF($L124=2012,1,0)</f>
        <v>0</v>
      </c>
      <c r="AG124" s="14" t="n">
        <f aca="false">IF($L124=2013,1,0)</f>
        <v>0</v>
      </c>
      <c r="AH124" s="14" t="n">
        <f aca="false">IF($L124=2014,1,0)</f>
        <v>0</v>
      </c>
      <c r="AI124" s="14" t="n">
        <f aca="false">IF($L124=2015,1,0)</f>
        <v>1</v>
      </c>
      <c r="AJ124" s="14" t="n">
        <f aca="false">IF($L124=2016,1,0)</f>
        <v>0</v>
      </c>
      <c r="AK124" s="14" t="n">
        <f aca="false">IF($L124=2017,1,0)</f>
        <v>0</v>
      </c>
      <c r="AL124" s="14" t="n">
        <f aca="false">IF($H124="Beginner Level",1,0)</f>
        <v>0</v>
      </c>
      <c r="AM124" s="14" t="n">
        <f aca="false">IF($H124="Expert Level",1,0)</f>
        <v>0</v>
      </c>
      <c r="AN124" s="14" t="n">
        <f aca="false">IF($H124="Intermediate Level",1,0)</f>
        <v>0</v>
      </c>
    </row>
    <row r="125" customFormat="false" ht="68.65" hidden="false" customHeight="false" outlineLevel="0" collapsed="false">
      <c r="A125" s="14" t="n">
        <v>94428</v>
      </c>
      <c r="B125" s="14" t="s">
        <v>302</v>
      </c>
      <c r="C125" s="14" t="s">
        <v>303</v>
      </c>
      <c r="D125" s="14" t="n">
        <v>40</v>
      </c>
      <c r="E125" s="14" t="n">
        <v>14074</v>
      </c>
      <c r="F125" s="14" t="n">
        <v>106</v>
      </c>
      <c r="G125" s="14" t="n">
        <v>46</v>
      </c>
      <c r="H125" s="14" t="s">
        <v>62</v>
      </c>
      <c r="I125" s="14" t="n">
        <v>0.66</v>
      </c>
      <c r="J125" s="14" t="n">
        <v>12</v>
      </c>
      <c r="K125" s="14" t="s">
        <v>59</v>
      </c>
      <c r="L125" s="14" t="n">
        <v>2013</v>
      </c>
      <c r="M125" s="14" t="n">
        <v>9.5520844025265</v>
      </c>
      <c r="N125" s="14" t="n">
        <v>3.68912942286914</v>
      </c>
      <c r="P125" s="14" t="n">
        <f aca="false">D125</f>
        <v>40</v>
      </c>
      <c r="Q125" s="14" t="n">
        <f aca="false">G125</f>
        <v>46</v>
      </c>
      <c r="R125" s="14" t="n">
        <f aca="false">J125</f>
        <v>12</v>
      </c>
      <c r="S125" s="14" t="n">
        <f aca="false">IF($L125=2012,1,0)</f>
        <v>0</v>
      </c>
      <c r="T125" s="14" t="n">
        <f aca="false">IF($L125=2013,1,0)</f>
        <v>1</v>
      </c>
      <c r="U125" s="14" t="n">
        <f aca="false">IF($L125=2014,1,0)</f>
        <v>0</v>
      </c>
      <c r="V125" s="14" t="n">
        <f aca="false">IF($L125=2015,1,0)</f>
        <v>0</v>
      </c>
      <c r="W125" s="14" t="n">
        <f aca="false">IF($L125=2016,1,0)</f>
        <v>0</v>
      </c>
      <c r="X125" s="14" t="n">
        <f aca="false">IF($L125=2017,1,0)</f>
        <v>0</v>
      </c>
      <c r="Y125" s="14" t="n">
        <f aca="false">IF($H125="Beginner Level",1,0)</f>
        <v>0</v>
      </c>
      <c r="Z125" s="14" t="n">
        <f aca="false">IF($H125="Expert Level",1,0)</f>
        <v>0</v>
      </c>
      <c r="AA125" s="14" t="n">
        <f aca="false">IF($H125="Intermediate Level",1,0)</f>
        <v>0</v>
      </c>
      <c r="AC125" s="14" t="n">
        <f aca="false">N125</f>
        <v>3.68912942286914</v>
      </c>
      <c r="AD125" s="14" t="n">
        <f aca="false">G125</f>
        <v>46</v>
      </c>
      <c r="AE125" s="14" t="n">
        <f aca="false">J125</f>
        <v>12</v>
      </c>
      <c r="AF125" s="14" t="n">
        <f aca="false">IF($L125=2012,1,0)</f>
        <v>0</v>
      </c>
      <c r="AG125" s="14" t="n">
        <f aca="false">IF($L125=2013,1,0)</f>
        <v>1</v>
      </c>
      <c r="AH125" s="14" t="n">
        <f aca="false">IF($L125=2014,1,0)</f>
        <v>0</v>
      </c>
      <c r="AI125" s="14" t="n">
        <f aca="false">IF($L125=2015,1,0)</f>
        <v>0</v>
      </c>
      <c r="AJ125" s="14" t="n">
        <f aca="false">IF($L125=2016,1,0)</f>
        <v>0</v>
      </c>
      <c r="AK125" s="14" t="n">
        <f aca="false">IF($L125=2017,1,0)</f>
        <v>0</v>
      </c>
      <c r="AL125" s="14" t="n">
        <f aca="false">IF($H125="Beginner Level",1,0)</f>
        <v>0</v>
      </c>
      <c r="AM125" s="14" t="n">
        <f aca="false">IF($H125="Expert Level",1,0)</f>
        <v>0</v>
      </c>
      <c r="AN125" s="14" t="n">
        <f aca="false">IF($H125="Intermediate Level",1,0)</f>
        <v>0</v>
      </c>
    </row>
    <row r="126" customFormat="false" ht="91" hidden="false" customHeight="false" outlineLevel="0" collapsed="false">
      <c r="A126" s="14" t="n">
        <v>628222</v>
      </c>
      <c r="B126" s="14" t="s">
        <v>304</v>
      </c>
      <c r="C126" s="14" t="s">
        <v>305</v>
      </c>
      <c r="D126" s="14" t="n">
        <v>0</v>
      </c>
      <c r="E126" s="14" t="n">
        <v>14026</v>
      </c>
      <c r="F126" s="14" t="n">
        <v>232</v>
      </c>
      <c r="G126" s="14" t="n">
        <v>25</v>
      </c>
      <c r="H126" s="14" t="s">
        <v>62</v>
      </c>
      <c r="I126" s="14" t="n">
        <v>0.66</v>
      </c>
      <c r="J126" s="14" t="n">
        <v>1</v>
      </c>
      <c r="K126" s="14" t="s">
        <v>53</v>
      </c>
      <c r="L126" s="14" t="n">
        <v>2015</v>
      </c>
      <c r="M126" s="14" t="n">
        <v>9.54866802909686</v>
      </c>
      <c r="N126" s="14" t="n">
        <v>-4.60517018598809</v>
      </c>
      <c r="P126" s="14" t="n">
        <f aca="false">D126</f>
        <v>0</v>
      </c>
      <c r="Q126" s="14" t="n">
        <f aca="false">G126</f>
        <v>25</v>
      </c>
      <c r="R126" s="14" t="n">
        <f aca="false">J126</f>
        <v>1</v>
      </c>
      <c r="S126" s="14" t="n">
        <f aca="false">IF($L126=2012,1,0)</f>
        <v>0</v>
      </c>
      <c r="T126" s="14" t="n">
        <f aca="false">IF($L126=2013,1,0)</f>
        <v>0</v>
      </c>
      <c r="U126" s="14" t="n">
        <f aca="false">IF($L126=2014,1,0)</f>
        <v>0</v>
      </c>
      <c r="V126" s="14" t="n">
        <f aca="false">IF($L126=2015,1,0)</f>
        <v>1</v>
      </c>
      <c r="W126" s="14" t="n">
        <f aca="false">IF($L126=2016,1,0)</f>
        <v>0</v>
      </c>
      <c r="X126" s="14" t="n">
        <f aca="false">IF($L126=2017,1,0)</f>
        <v>0</v>
      </c>
      <c r="Y126" s="14" t="n">
        <f aca="false">IF($H126="Beginner Level",1,0)</f>
        <v>0</v>
      </c>
      <c r="Z126" s="14" t="n">
        <f aca="false">IF($H126="Expert Level",1,0)</f>
        <v>0</v>
      </c>
      <c r="AA126" s="14" t="n">
        <f aca="false">IF($H126="Intermediate Level",1,0)</f>
        <v>0</v>
      </c>
      <c r="AC126" s="14" t="n">
        <f aca="false">N126</f>
        <v>-4.60517018598809</v>
      </c>
      <c r="AD126" s="14" t="n">
        <f aca="false">G126</f>
        <v>25</v>
      </c>
      <c r="AE126" s="14" t="n">
        <f aca="false">J126</f>
        <v>1</v>
      </c>
      <c r="AF126" s="14" t="n">
        <f aca="false">IF($L126=2012,1,0)</f>
        <v>0</v>
      </c>
      <c r="AG126" s="14" t="n">
        <f aca="false">IF($L126=2013,1,0)</f>
        <v>0</v>
      </c>
      <c r="AH126" s="14" t="n">
        <f aca="false">IF($L126=2014,1,0)</f>
        <v>0</v>
      </c>
      <c r="AI126" s="14" t="n">
        <f aca="false">IF($L126=2015,1,0)</f>
        <v>1</v>
      </c>
      <c r="AJ126" s="14" t="n">
        <f aca="false">IF($L126=2016,1,0)</f>
        <v>0</v>
      </c>
      <c r="AK126" s="14" t="n">
        <f aca="false">IF($L126=2017,1,0)</f>
        <v>0</v>
      </c>
      <c r="AL126" s="14" t="n">
        <f aca="false">IF($H126="Beginner Level",1,0)</f>
        <v>0</v>
      </c>
      <c r="AM126" s="14" t="n">
        <f aca="false">IF($H126="Expert Level",1,0)</f>
        <v>0</v>
      </c>
      <c r="AN126" s="14" t="n">
        <f aca="false">IF($H126="Intermediate Level",1,0)</f>
        <v>0</v>
      </c>
    </row>
    <row r="127" customFormat="false" ht="57.45" hidden="false" customHeight="false" outlineLevel="0" collapsed="false">
      <c r="A127" s="14" t="n">
        <v>269006</v>
      </c>
      <c r="B127" s="14" t="s">
        <v>306</v>
      </c>
      <c r="C127" s="14" t="s">
        <v>307</v>
      </c>
      <c r="D127" s="14" t="n">
        <v>20</v>
      </c>
      <c r="E127" s="14" t="n">
        <v>13960</v>
      </c>
      <c r="F127" s="14" t="n">
        <v>239</v>
      </c>
      <c r="G127" s="14" t="n">
        <v>19</v>
      </c>
      <c r="H127" s="14" t="s">
        <v>62</v>
      </c>
      <c r="I127" s="14" t="n">
        <v>0.4</v>
      </c>
      <c r="J127" s="14" t="n">
        <v>2.5</v>
      </c>
      <c r="K127" s="14" t="s">
        <v>59</v>
      </c>
      <c r="L127" s="14" t="n">
        <v>2014</v>
      </c>
      <c r="M127" s="14" t="n">
        <v>9.54395137631636</v>
      </c>
      <c r="N127" s="14" t="n">
        <v>2.99623214859564</v>
      </c>
      <c r="P127" s="14" t="n">
        <f aca="false">D127</f>
        <v>20</v>
      </c>
      <c r="Q127" s="14" t="n">
        <f aca="false">G127</f>
        <v>19</v>
      </c>
      <c r="R127" s="14" t="n">
        <f aca="false">J127</f>
        <v>2.5</v>
      </c>
      <c r="S127" s="14" t="n">
        <f aca="false">IF($L127=2012,1,0)</f>
        <v>0</v>
      </c>
      <c r="T127" s="14" t="n">
        <f aca="false">IF($L127=2013,1,0)</f>
        <v>0</v>
      </c>
      <c r="U127" s="14" t="n">
        <f aca="false">IF($L127=2014,1,0)</f>
        <v>1</v>
      </c>
      <c r="V127" s="14" t="n">
        <f aca="false">IF($L127=2015,1,0)</f>
        <v>0</v>
      </c>
      <c r="W127" s="14" t="n">
        <f aca="false">IF($L127=2016,1,0)</f>
        <v>0</v>
      </c>
      <c r="X127" s="14" t="n">
        <f aca="false">IF($L127=2017,1,0)</f>
        <v>0</v>
      </c>
      <c r="Y127" s="14" t="n">
        <f aca="false">IF($H127="Beginner Level",1,0)</f>
        <v>0</v>
      </c>
      <c r="Z127" s="14" t="n">
        <f aca="false">IF($H127="Expert Level",1,0)</f>
        <v>0</v>
      </c>
      <c r="AA127" s="14" t="n">
        <f aca="false">IF($H127="Intermediate Level",1,0)</f>
        <v>0</v>
      </c>
      <c r="AC127" s="14" t="n">
        <f aca="false">N127</f>
        <v>2.99623214859564</v>
      </c>
      <c r="AD127" s="14" t="n">
        <f aca="false">G127</f>
        <v>19</v>
      </c>
      <c r="AE127" s="14" t="n">
        <f aca="false">J127</f>
        <v>2.5</v>
      </c>
      <c r="AF127" s="14" t="n">
        <f aca="false">IF($L127=2012,1,0)</f>
        <v>0</v>
      </c>
      <c r="AG127" s="14" t="n">
        <f aca="false">IF($L127=2013,1,0)</f>
        <v>0</v>
      </c>
      <c r="AH127" s="14" t="n">
        <f aca="false">IF($L127=2014,1,0)</f>
        <v>1</v>
      </c>
      <c r="AI127" s="14" t="n">
        <f aca="false">IF($L127=2015,1,0)</f>
        <v>0</v>
      </c>
      <c r="AJ127" s="14" t="n">
        <f aca="false">IF($L127=2016,1,0)</f>
        <v>0</v>
      </c>
      <c r="AK127" s="14" t="n">
        <f aca="false">IF($L127=2017,1,0)</f>
        <v>0</v>
      </c>
      <c r="AL127" s="14" t="n">
        <f aca="false">IF($H127="Beginner Level",1,0)</f>
        <v>0</v>
      </c>
      <c r="AM127" s="14" t="n">
        <f aca="false">IF($H127="Expert Level",1,0)</f>
        <v>0</v>
      </c>
      <c r="AN127" s="14" t="n">
        <f aca="false">IF($H127="Intermediate Level",1,0)</f>
        <v>0</v>
      </c>
    </row>
    <row r="128" customFormat="false" ht="68.65" hidden="false" customHeight="false" outlineLevel="0" collapsed="false">
      <c r="A128" s="14" t="n">
        <v>958750</v>
      </c>
      <c r="B128" s="14" t="s">
        <v>308</v>
      </c>
      <c r="C128" s="14" t="s">
        <v>309</v>
      </c>
      <c r="D128" s="14" t="n">
        <v>75</v>
      </c>
      <c r="E128" s="14" t="n">
        <v>13920</v>
      </c>
      <c r="F128" s="14" t="n">
        <v>64</v>
      </c>
      <c r="G128" s="14" t="n">
        <v>28</v>
      </c>
      <c r="H128" s="14" t="s">
        <v>62</v>
      </c>
      <c r="I128" s="14" t="n">
        <v>0.41</v>
      </c>
      <c r="J128" s="14" t="n">
        <v>2</v>
      </c>
      <c r="K128" s="14" t="s">
        <v>59</v>
      </c>
      <c r="L128" s="14" t="n">
        <v>2016</v>
      </c>
      <c r="M128" s="14" t="n">
        <v>9.54108193388841</v>
      </c>
      <c r="N128" s="14" t="n">
        <v>4.31762143798155</v>
      </c>
      <c r="P128" s="14" t="n">
        <f aca="false">D128</f>
        <v>75</v>
      </c>
      <c r="Q128" s="14" t="n">
        <f aca="false">G128</f>
        <v>28</v>
      </c>
      <c r="R128" s="14" t="n">
        <f aca="false">J128</f>
        <v>2</v>
      </c>
      <c r="S128" s="14" t="n">
        <f aca="false">IF($L128=2012,1,0)</f>
        <v>0</v>
      </c>
      <c r="T128" s="14" t="n">
        <f aca="false">IF($L128=2013,1,0)</f>
        <v>0</v>
      </c>
      <c r="U128" s="14" t="n">
        <f aca="false">IF($L128=2014,1,0)</f>
        <v>0</v>
      </c>
      <c r="V128" s="14" t="n">
        <f aca="false">IF($L128=2015,1,0)</f>
        <v>0</v>
      </c>
      <c r="W128" s="14" t="n">
        <f aca="false">IF($L128=2016,1,0)</f>
        <v>1</v>
      </c>
      <c r="X128" s="14" t="n">
        <f aca="false">IF($L128=2017,1,0)</f>
        <v>0</v>
      </c>
      <c r="Y128" s="14" t="n">
        <f aca="false">IF($H128="Beginner Level",1,0)</f>
        <v>0</v>
      </c>
      <c r="Z128" s="14" t="n">
        <f aca="false">IF($H128="Expert Level",1,0)</f>
        <v>0</v>
      </c>
      <c r="AA128" s="14" t="n">
        <f aca="false">IF($H128="Intermediate Level",1,0)</f>
        <v>0</v>
      </c>
      <c r="AC128" s="14" t="n">
        <f aca="false">N128</f>
        <v>4.31762143798155</v>
      </c>
      <c r="AD128" s="14" t="n">
        <f aca="false">G128</f>
        <v>28</v>
      </c>
      <c r="AE128" s="14" t="n">
        <f aca="false">J128</f>
        <v>2</v>
      </c>
      <c r="AF128" s="14" t="n">
        <f aca="false">IF($L128=2012,1,0)</f>
        <v>0</v>
      </c>
      <c r="AG128" s="14" t="n">
        <f aca="false">IF($L128=2013,1,0)</f>
        <v>0</v>
      </c>
      <c r="AH128" s="14" t="n">
        <f aca="false">IF($L128=2014,1,0)</f>
        <v>0</v>
      </c>
      <c r="AI128" s="14" t="n">
        <f aca="false">IF($L128=2015,1,0)</f>
        <v>0</v>
      </c>
      <c r="AJ128" s="14" t="n">
        <f aca="false">IF($L128=2016,1,0)</f>
        <v>1</v>
      </c>
      <c r="AK128" s="14" t="n">
        <f aca="false">IF($L128=2017,1,0)</f>
        <v>0</v>
      </c>
      <c r="AL128" s="14" t="n">
        <f aca="false">IF($H128="Beginner Level",1,0)</f>
        <v>0</v>
      </c>
      <c r="AM128" s="14" t="n">
        <f aca="false">IF($H128="Expert Level",1,0)</f>
        <v>0</v>
      </c>
      <c r="AN128" s="14" t="n">
        <f aca="false">IF($H128="Intermediate Level",1,0)</f>
        <v>0</v>
      </c>
    </row>
    <row r="129" customFormat="false" ht="79.85" hidden="false" customHeight="false" outlineLevel="0" collapsed="false">
      <c r="A129" s="14" t="n">
        <v>566248</v>
      </c>
      <c r="B129" s="14" t="s">
        <v>310</v>
      </c>
      <c r="C129" s="14" t="s">
        <v>311</v>
      </c>
      <c r="D129" s="14" t="n">
        <v>150</v>
      </c>
      <c r="E129" s="14" t="n">
        <v>13882</v>
      </c>
      <c r="F129" s="14" t="n">
        <v>63</v>
      </c>
      <c r="G129" s="14" t="n">
        <v>47</v>
      </c>
      <c r="H129" s="14" t="s">
        <v>52</v>
      </c>
      <c r="I129" s="14" t="n">
        <v>0.74</v>
      </c>
      <c r="J129" s="14" t="n">
        <v>3</v>
      </c>
      <c r="K129" s="14" t="s">
        <v>59</v>
      </c>
      <c r="L129" s="14" t="n">
        <v>2015</v>
      </c>
      <c r="M129" s="14" t="n">
        <v>9.53834831589953</v>
      </c>
      <c r="N129" s="14" t="n">
        <v>5.0107019585408</v>
      </c>
      <c r="P129" s="14" t="n">
        <f aca="false">D129</f>
        <v>150</v>
      </c>
      <c r="Q129" s="14" t="n">
        <f aca="false">G129</f>
        <v>47</v>
      </c>
      <c r="R129" s="14" t="n">
        <f aca="false">J129</f>
        <v>3</v>
      </c>
      <c r="S129" s="14" t="n">
        <f aca="false">IF($L129=2012,1,0)</f>
        <v>0</v>
      </c>
      <c r="T129" s="14" t="n">
        <f aca="false">IF($L129=2013,1,0)</f>
        <v>0</v>
      </c>
      <c r="U129" s="14" t="n">
        <f aca="false">IF($L129=2014,1,0)</f>
        <v>0</v>
      </c>
      <c r="V129" s="14" t="n">
        <f aca="false">IF($L129=2015,1,0)</f>
        <v>1</v>
      </c>
      <c r="W129" s="14" t="n">
        <f aca="false">IF($L129=2016,1,0)</f>
        <v>0</v>
      </c>
      <c r="X129" s="14" t="n">
        <f aca="false">IF($L129=2017,1,0)</f>
        <v>0</v>
      </c>
      <c r="Y129" s="14" t="n">
        <f aca="false">IF($H129="Beginner Level",1,0)</f>
        <v>1</v>
      </c>
      <c r="Z129" s="14" t="n">
        <f aca="false">IF($H129="Expert Level",1,0)</f>
        <v>0</v>
      </c>
      <c r="AA129" s="14" t="n">
        <f aca="false">IF($H129="Intermediate Level",1,0)</f>
        <v>0</v>
      </c>
      <c r="AC129" s="14" t="n">
        <f aca="false">N129</f>
        <v>5.0107019585408</v>
      </c>
      <c r="AD129" s="14" t="n">
        <f aca="false">G129</f>
        <v>47</v>
      </c>
      <c r="AE129" s="14" t="n">
        <f aca="false">J129</f>
        <v>3</v>
      </c>
      <c r="AF129" s="14" t="n">
        <f aca="false">IF($L129=2012,1,0)</f>
        <v>0</v>
      </c>
      <c r="AG129" s="14" t="n">
        <f aca="false">IF($L129=2013,1,0)</f>
        <v>0</v>
      </c>
      <c r="AH129" s="14" t="n">
        <f aca="false">IF($L129=2014,1,0)</f>
        <v>0</v>
      </c>
      <c r="AI129" s="14" t="n">
        <f aca="false">IF($L129=2015,1,0)</f>
        <v>1</v>
      </c>
      <c r="AJ129" s="14" t="n">
        <f aca="false">IF($L129=2016,1,0)</f>
        <v>0</v>
      </c>
      <c r="AK129" s="14" t="n">
        <f aca="false">IF($L129=2017,1,0)</f>
        <v>0</v>
      </c>
      <c r="AL129" s="14" t="n">
        <f aca="false">IF($H129="Beginner Level",1,0)</f>
        <v>1</v>
      </c>
      <c r="AM129" s="14" t="n">
        <f aca="false">IF($H129="Expert Level",1,0)</f>
        <v>0</v>
      </c>
      <c r="AN129" s="14" t="n">
        <f aca="false">IF($H129="Intermediate Level",1,0)</f>
        <v>0</v>
      </c>
    </row>
    <row r="130" customFormat="false" ht="91" hidden="false" customHeight="false" outlineLevel="0" collapsed="false">
      <c r="A130" s="14" t="n">
        <v>881210</v>
      </c>
      <c r="B130" s="14" t="s">
        <v>312</v>
      </c>
      <c r="C130" s="14" t="s">
        <v>313</v>
      </c>
      <c r="D130" s="14" t="n">
        <v>80</v>
      </c>
      <c r="E130" s="14" t="n">
        <v>13708</v>
      </c>
      <c r="F130" s="14" t="n">
        <v>92</v>
      </c>
      <c r="G130" s="14" t="n">
        <v>62</v>
      </c>
      <c r="H130" s="14" t="s">
        <v>62</v>
      </c>
      <c r="I130" s="14" t="n">
        <v>0.78</v>
      </c>
      <c r="J130" s="14" t="n">
        <v>9</v>
      </c>
      <c r="K130" s="14" t="s">
        <v>59</v>
      </c>
      <c r="L130" s="14" t="n">
        <v>2016</v>
      </c>
      <c r="M130" s="14" t="n">
        <v>9.5257348829945</v>
      </c>
      <c r="N130" s="14" t="n">
        <v>4.38215162686203</v>
      </c>
      <c r="P130" s="14" t="n">
        <f aca="false">D130</f>
        <v>80</v>
      </c>
      <c r="Q130" s="14" t="n">
        <f aca="false">G130</f>
        <v>62</v>
      </c>
      <c r="R130" s="14" t="n">
        <f aca="false">J130</f>
        <v>9</v>
      </c>
      <c r="S130" s="14" t="n">
        <f aca="false">IF($L130=2012,1,0)</f>
        <v>0</v>
      </c>
      <c r="T130" s="14" t="n">
        <f aca="false">IF($L130=2013,1,0)</f>
        <v>0</v>
      </c>
      <c r="U130" s="14" t="n">
        <f aca="false">IF($L130=2014,1,0)</f>
        <v>0</v>
      </c>
      <c r="V130" s="14" t="n">
        <f aca="false">IF($L130=2015,1,0)</f>
        <v>0</v>
      </c>
      <c r="W130" s="14" t="n">
        <f aca="false">IF($L130=2016,1,0)</f>
        <v>1</v>
      </c>
      <c r="X130" s="14" t="n">
        <f aca="false">IF($L130=2017,1,0)</f>
        <v>0</v>
      </c>
      <c r="Y130" s="14" t="n">
        <f aca="false">IF($H130="Beginner Level",1,0)</f>
        <v>0</v>
      </c>
      <c r="Z130" s="14" t="n">
        <f aca="false">IF($H130="Expert Level",1,0)</f>
        <v>0</v>
      </c>
      <c r="AA130" s="14" t="n">
        <f aca="false">IF($H130="Intermediate Level",1,0)</f>
        <v>0</v>
      </c>
      <c r="AC130" s="14" t="n">
        <f aca="false">N130</f>
        <v>4.38215162686203</v>
      </c>
      <c r="AD130" s="14" t="n">
        <f aca="false">G130</f>
        <v>62</v>
      </c>
      <c r="AE130" s="14" t="n">
        <f aca="false">J130</f>
        <v>9</v>
      </c>
      <c r="AF130" s="14" t="n">
        <f aca="false">IF($L130=2012,1,0)</f>
        <v>0</v>
      </c>
      <c r="AG130" s="14" t="n">
        <f aca="false">IF($L130=2013,1,0)</f>
        <v>0</v>
      </c>
      <c r="AH130" s="14" t="n">
        <f aca="false">IF($L130=2014,1,0)</f>
        <v>0</v>
      </c>
      <c r="AI130" s="14" t="n">
        <f aca="false">IF($L130=2015,1,0)</f>
        <v>0</v>
      </c>
      <c r="AJ130" s="14" t="n">
        <f aca="false">IF($L130=2016,1,0)</f>
        <v>1</v>
      </c>
      <c r="AK130" s="14" t="n">
        <f aca="false">IF($L130=2017,1,0)</f>
        <v>0</v>
      </c>
      <c r="AL130" s="14" t="n">
        <f aca="false">IF($H130="Beginner Level",1,0)</f>
        <v>0</v>
      </c>
      <c r="AM130" s="14" t="n">
        <f aca="false">IF($H130="Expert Level",1,0)</f>
        <v>0</v>
      </c>
      <c r="AN130" s="14" t="n">
        <f aca="false">IF($H130="Intermediate Level",1,0)</f>
        <v>0</v>
      </c>
    </row>
    <row r="131" customFormat="false" ht="68.65" hidden="false" customHeight="false" outlineLevel="0" collapsed="false">
      <c r="A131" s="14" t="n">
        <v>884946</v>
      </c>
      <c r="B131" s="14" t="s">
        <v>314</v>
      </c>
      <c r="C131" s="14" t="s">
        <v>315</v>
      </c>
      <c r="D131" s="14" t="n">
        <v>0</v>
      </c>
      <c r="E131" s="14" t="n">
        <v>13535</v>
      </c>
      <c r="F131" s="14" t="n">
        <v>473</v>
      </c>
      <c r="G131" s="14" t="n">
        <v>18</v>
      </c>
      <c r="H131" s="14" t="s">
        <v>52</v>
      </c>
      <c r="I131" s="14" t="n">
        <v>0.87</v>
      </c>
      <c r="J131" s="14" t="n">
        <v>1.5</v>
      </c>
      <c r="K131" s="14" t="s">
        <v>53</v>
      </c>
      <c r="L131" s="14" t="n">
        <v>2016</v>
      </c>
      <c r="M131" s="14" t="n">
        <v>9.5130342020484</v>
      </c>
      <c r="N131" s="14" t="n">
        <v>-4.60517018598809</v>
      </c>
      <c r="P131" s="14" t="n">
        <f aca="false">D131</f>
        <v>0</v>
      </c>
      <c r="Q131" s="14" t="n">
        <f aca="false">G131</f>
        <v>18</v>
      </c>
      <c r="R131" s="14" t="n">
        <f aca="false">J131</f>
        <v>1.5</v>
      </c>
      <c r="S131" s="14" t="n">
        <f aca="false">IF($L131=2012,1,0)</f>
        <v>0</v>
      </c>
      <c r="T131" s="14" t="n">
        <f aca="false">IF($L131=2013,1,0)</f>
        <v>0</v>
      </c>
      <c r="U131" s="14" t="n">
        <f aca="false">IF($L131=2014,1,0)</f>
        <v>0</v>
      </c>
      <c r="V131" s="14" t="n">
        <f aca="false">IF($L131=2015,1,0)</f>
        <v>0</v>
      </c>
      <c r="W131" s="14" t="n">
        <f aca="false">IF($L131=2016,1,0)</f>
        <v>1</v>
      </c>
      <c r="X131" s="14" t="n">
        <f aca="false">IF($L131=2017,1,0)</f>
        <v>0</v>
      </c>
      <c r="Y131" s="14" t="n">
        <f aca="false">IF($H131="Beginner Level",1,0)</f>
        <v>1</v>
      </c>
      <c r="Z131" s="14" t="n">
        <f aca="false">IF($H131="Expert Level",1,0)</f>
        <v>0</v>
      </c>
      <c r="AA131" s="14" t="n">
        <f aca="false">IF($H131="Intermediate Level",1,0)</f>
        <v>0</v>
      </c>
      <c r="AC131" s="14" t="n">
        <f aca="false">N131</f>
        <v>-4.60517018598809</v>
      </c>
      <c r="AD131" s="14" t="n">
        <f aca="false">G131</f>
        <v>18</v>
      </c>
      <c r="AE131" s="14" t="n">
        <f aca="false">J131</f>
        <v>1.5</v>
      </c>
      <c r="AF131" s="14" t="n">
        <f aca="false">IF($L131=2012,1,0)</f>
        <v>0</v>
      </c>
      <c r="AG131" s="14" t="n">
        <f aca="false">IF($L131=2013,1,0)</f>
        <v>0</v>
      </c>
      <c r="AH131" s="14" t="n">
        <f aca="false">IF($L131=2014,1,0)</f>
        <v>0</v>
      </c>
      <c r="AI131" s="14" t="n">
        <f aca="false">IF($L131=2015,1,0)</f>
        <v>0</v>
      </c>
      <c r="AJ131" s="14" t="n">
        <f aca="false">IF($L131=2016,1,0)</f>
        <v>1</v>
      </c>
      <c r="AK131" s="14" t="n">
        <f aca="false">IF($L131=2017,1,0)</f>
        <v>0</v>
      </c>
      <c r="AL131" s="14" t="n">
        <f aca="false">IF($H131="Beginner Level",1,0)</f>
        <v>1</v>
      </c>
      <c r="AM131" s="14" t="n">
        <f aca="false">IF($H131="Expert Level",1,0)</f>
        <v>0</v>
      </c>
      <c r="AN131" s="14" t="n">
        <f aca="false">IF($H131="Intermediate Level",1,0)</f>
        <v>0</v>
      </c>
    </row>
    <row r="132" customFormat="false" ht="46.25" hidden="false" customHeight="false" outlineLevel="0" collapsed="false">
      <c r="A132" s="14" t="n">
        <v>1165096</v>
      </c>
      <c r="B132" s="14" t="s">
        <v>316</v>
      </c>
      <c r="C132" s="14" t="s">
        <v>317</v>
      </c>
      <c r="D132" s="14" t="n">
        <v>80</v>
      </c>
      <c r="E132" s="14" t="n">
        <v>13457</v>
      </c>
      <c r="F132" s="14" t="n">
        <v>215</v>
      </c>
      <c r="G132" s="14" t="n">
        <v>69</v>
      </c>
      <c r="H132" s="14" t="s">
        <v>62</v>
      </c>
      <c r="I132" s="14" t="n">
        <v>0.21</v>
      </c>
      <c r="J132" s="14" t="n">
        <v>4.5</v>
      </c>
      <c r="K132" s="14" t="s">
        <v>59</v>
      </c>
      <c r="L132" s="14" t="n">
        <v>2017</v>
      </c>
      <c r="M132" s="14" t="n">
        <v>9.50725469574154</v>
      </c>
      <c r="N132" s="14" t="n">
        <v>4.38215162686203</v>
      </c>
      <c r="P132" s="14" t="n">
        <f aca="false">D132</f>
        <v>80</v>
      </c>
      <c r="Q132" s="14" t="n">
        <f aca="false">G132</f>
        <v>69</v>
      </c>
      <c r="R132" s="14" t="n">
        <f aca="false">J132</f>
        <v>4.5</v>
      </c>
      <c r="S132" s="14" t="n">
        <f aca="false">IF($L132=2012,1,0)</f>
        <v>0</v>
      </c>
      <c r="T132" s="14" t="n">
        <f aca="false">IF($L132=2013,1,0)</f>
        <v>0</v>
      </c>
      <c r="U132" s="14" t="n">
        <f aca="false">IF($L132=2014,1,0)</f>
        <v>0</v>
      </c>
      <c r="V132" s="14" t="n">
        <f aca="false">IF($L132=2015,1,0)</f>
        <v>0</v>
      </c>
      <c r="W132" s="14" t="n">
        <f aca="false">IF($L132=2016,1,0)</f>
        <v>0</v>
      </c>
      <c r="X132" s="14" t="n">
        <f aca="false">IF($L132=2017,1,0)</f>
        <v>1</v>
      </c>
      <c r="Y132" s="14" t="n">
        <f aca="false">IF($H132="Beginner Level",1,0)</f>
        <v>0</v>
      </c>
      <c r="Z132" s="14" t="n">
        <f aca="false">IF($H132="Expert Level",1,0)</f>
        <v>0</v>
      </c>
      <c r="AA132" s="14" t="n">
        <f aca="false">IF($H132="Intermediate Level",1,0)</f>
        <v>0</v>
      </c>
      <c r="AC132" s="14" t="n">
        <f aca="false">N132</f>
        <v>4.38215162686203</v>
      </c>
      <c r="AD132" s="14" t="n">
        <f aca="false">G132</f>
        <v>69</v>
      </c>
      <c r="AE132" s="14" t="n">
        <f aca="false">J132</f>
        <v>4.5</v>
      </c>
      <c r="AF132" s="14" t="n">
        <f aca="false">IF($L132=2012,1,0)</f>
        <v>0</v>
      </c>
      <c r="AG132" s="14" t="n">
        <f aca="false">IF($L132=2013,1,0)</f>
        <v>0</v>
      </c>
      <c r="AH132" s="14" t="n">
        <f aca="false">IF($L132=2014,1,0)</f>
        <v>0</v>
      </c>
      <c r="AI132" s="14" t="n">
        <f aca="false">IF($L132=2015,1,0)</f>
        <v>0</v>
      </c>
      <c r="AJ132" s="14" t="n">
        <f aca="false">IF($L132=2016,1,0)</f>
        <v>0</v>
      </c>
      <c r="AK132" s="14" t="n">
        <f aca="false">IF($L132=2017,1,0)</f>
        <v>1</v>
      </c>
      <c r="AL132" s="14" t="n">
        <f aca="false">IF($H132="Beginner Level",1,0)</f>
        <v>0</v>
      </c>
      <c r="AM132" s="14" t="n">
        <f aca="false">IF($H132="Expert Level",1,0)</f>
        <v>0</v>
      </c>
      <c r="AN132" s="14" t="n">
        <f aca="false">IF($H132="Intermediate Level",1,0)</f>
        <v>0</v>
      </c>
    </row>
    <row r="133" customFormat="false" ht="91" hidden="false" customHeight="false" outlineLevel="0" collapsed="false">
      <c r="A133" s="14" t="n">
        <v>520116</v>
      </c>
      <c r="B133" s="14" t="s">
        <v>318</v>
      </c>
      <c r="C133" s="14" t="s">
        <v>319</v>
      </c>
      <c r="D133" s="14" t="n">
        <v>150</v>
      </c>
      <c r="E133" s="14" t="n">
        <v>13439</v>
      </c>
      <c r="F133" s="14" t="n">
        <v>1981</v>
      </c>
      <c r="G133" s="14" t="n">
        <v>89</v>
      </c>
      <c r="H133" s="14" t="s">
        <v>52</v>
      </c>
      <c r="I133" s="14" t="n">
        <v>0.11</v>
      </c>
      <c r="J133" s="14" t="n">
        <v>20.5</v>
      </c>
      <c r="K133" s="14" t="s">
        <v>59</v>
      </c>
      <c r="L133" s="14" t="n">
        <v>2016</v>
      </c>
      <c r="M133" s="14" t="n">
        <v>9.50591620654707</v>
      </c>
      <c r="N133" s="14" t="n">
        <v>5.0107019585408</v>
      </c>
      <c r="P133" s="14" t="n">
        <f aca="false">D133</f>
        <v>150</v>
      </c>
      <c r="Q133" s="14" t="n">
        <f aca="false">G133</f>
        <v>89</v>
      </c>
      <c r="R133" s="14" t="n">
        <f aca="false">J133</f>
        <v>20.5</v>
      </c>
      <c r="S133" s="14" t="n">
        <f aca="false">IF($L133=2012,1,0)</f>
        <v>0</v>
      </c>
      <c r="T133" s="14" t="n">
        <f aca="false">IF($L133=2013,1,0)</f>
        <v>0</v>
      </c>
      <c r="U133" s="14" t="n">
        <f aca="false">IF($L133=2014,1,0)</f>
        <v>0</v>
      </c>
      <c r="V133" s="14" t="n">
        <f aca="false">IF($L133=2015,1,0)</f>
        <v>0</v>
      </c>
      <c r="W133" s="14" t="n">
        <f aca="false">IF($L133=2016,1,0)</f>
        <v>1</v>
      </c>
      <c r="X133" s="14" t="n">
        <f aca="false">IF($L133=2017,1,0)</f>
        <v>0</v>
      </c>
      <c r="Y133" s="14" t="n">
        <f aca="false">IF($H133="Beginner Level",1,0)</f>
        <v>1</v>
      </c>
      <c r="Z133" s="14" t="n">
        <f aca="false">IF($H133="Expert Level",1,0)</f>
        <v>0</v>
      </c>
      <c r="AA133" s="14" t="n">
        <f aca="false">IF($H133="Intermediate Level",1,0)</f>
        <v>0</v>
      </c>
      <c r="AC133" s="14" t="n">
        <f aca="false">N133</f>
        <v>5.0107019585408</v>
      </c>
      <c r="AD133" s="14" t="n">
        <f aca="false">G133</f>
        <v>89</v>
      </c>
      <c r="AE133" s="14" t="n">
        <f aca="false">J133</f>
        <v>20.5</v>
      </c>
      <c r="AF133" s="14" t="n">
        <f aca="false">IF($L133=2012,1,0)</f>
        <v>0</v>
      </c>
      <c r="AG133" s="14" t="n">
        <f aca="false">IF($L133=2013,1,0)</f>
        <v>0</v>
      </c>
      <c r="AH133" s="14" t="n">
        <f aca="false">IF($L133=2014,1,0)</f>
        <v>0</v>
      </c>
      <c r="AI133" s="14" t="n">
        <f aca="false">IF($L133=2015,1,0)</f>
        <v>0</v>
      </c>
      <c r="AJ133" s="14" t="n">
        <f aca="false">IF($L133=2016,1,0)</f>
        <v>1</v>
      </c>
      <c r="AK133" s="14" t="n">
        <f aca="false">IF($L133=2017,1,0)</f>
        <v>0</v>
      </c>
      <c r="AL133" s="14" t="n">
        <f aca="false">IF($H133="Beginner Level",1,0)</f>
        <v>1</v>
      </c>
      <c r="AM133" s="14" t="n">
        <f aca="false">IF($H133="Expert Level",1,0)</f>
        <v>0</v>
      </c>
      <c r="AN133" s="14" t="n">
        <f aca="false">IF($H133="Intermediate Level",1,0)</f>
        <v>0</v>
      </c>
    </row>
    <row r="134" customFormat="false" ht="79.85" hidden="false" customHeight="false" outlineLevel="0" collapsed="false">
      <c r="A134" s="14" t="n">
        <v>563248</v>
      </c>
      <c r="B134" s="14" t="s">
        <v>320</v>
      </c>
      <c r="C134" s="14" t="s">
        <v>321</v>
      </c>
      <c r="D134" s="14" t="n">
        <v>100</v>
      </c>
      <c r="E134" s="14" t="n">
        <v>13406</v>
      </c>
      <c r="F134" s="14" t="n">
        <v>78</v>
      </c>
      <c r="G134" s="14" t="n">
        <v>44</v>
      </c>
      <c r="H134" s="14" t="s">
        <v>62</v>
      </c>
      <c r="I134" s="14" t="n">
        <v>0.54</v>
      </c>
      <c r="J134" s="14" t="n">
        <v>1.5</v>
      </c>
      <c r="K134" s="14" t="s">
        <v>59</v>
      </c>
      <c r="L134" s="14" t="n">
        <v>2015</v>
      </c>
      <c r="M134" s="14" t="n">
        <v>9.5034576469179</v>
      </c>
      <c r="N134" s="14" t="n">
        <v>4.60527018098843</v>
      </c>
      <c r="P134" s="14" t="n">
        <f aca="false">D134</f>
        <v>100</v>
      </c>
      <c r="Q134" s="14" t="n">
        <f aca="false">G134</f>
        <v>44</v>
      </c>
      <c r="R134" s="14" t="n">
        <f aca="false">J134</f>
        <v>1.5</v>
      </c>
      <c r="S134" s="14" t="n">
        <f aca="false">IF($L134=2012,1,0)</f>
        <v>0</v>
      </c>
      <c r="T134" s="14" t="n">
        <f aca="false">IF($L134=2013,1,0)</f>
        <v>0</v>
      </c>
      <c r="U134" s="14" t="n">
        <f aca="false">IF($L134=2014,1,0)</f>
        <v>0</v>
      </c>
      <c r="V134" s="14" t="n">
        <f aca="false">IF($L134=2015,1,0)</f>
        <v>1</v>
      </c>
      <c r="W134" s="14" t="n">
        <f aca="false">IF($L134=2016,1,0)</f>
        <v>0</v>
      </c>
      <c r="X134" s="14" t="n">
        <f aca="false">IF($L134=2017,1,0)</f>
        <v>0</v>
      </c>
      <c r="Y134" s="14" t="n">
        <f aca="false">IF($H134="Beginner Level",1,0)</f>
        <v>0</v>
      </c>
      <c r="Z134" s="14" t="n">
        <f aca="false">IF($H134="Expert Level",1,0)</f>
        <v>0</v>
      </c>
      <c r="AA134" s="14" t="n">
        <f aca="false">IF($H134="Intermediate Level",1,0)</f>
        <v>0</v>
      </c>
      <c r="AC134" s="14" t="n">
        <f aca="false">N134</f>
        <v>4.60527018098843</v>
      </c>
      <c r="AD134" s="14" t="n">
        <f aca="false">G134</f>
        <v>44</v>
      </c>
      <c r="AE134" s="14" t="n">
        <f aca="false">J134</f>
        <v>1.5</v>
      </c>
      <c r="AF134" s="14" t="n">
        <f aca="false">IF($L134=2012,1,0)</f>
        <v>0</v>
      </c>
      <c r="AG134" s="14" t="n">
        <f aca="false">IF($L134=2013,1,0)</f>
        <v>0</v>
      </c>
      <c r="AH134" s="14" t="n">
        <f aca="false">IF($L134=2014,1,0)</f>
        <v>0</v>
      </c>
      <c r="AI134" s="14" t="n">
        <f aca="false">IF($L134=2015,1,0)</f>
        <v>1</v>
      </c>
      <c r="AJ134" s="14" t="n">
        <f aca="false">IF($L134=2016,1,0)</f>
        <v>0</v>
      </c>
      <c r="AK134" s="14" t="n">
        <f aca="false">IF($L134=2017,1,0)</f>
        <v>0</v>
      </c>
      <c r="AL134" s="14" t="n">
        <f aca="false">IF($H134="Beginner Level",1,0)</f>
        <v>0</v>
      </c>
      <c r="AM134" s="14" t="n">
        <f aca="false">IF($H134="Expert Level",1,0)</f>
        <v>0</v>
      </c>
      <c r="AN134" s="14" t="n">
        <f aca="false">IF($H134="Intermediate Level",1,0)</f>
        <v>0</v>
      </c>
    </row>
    <row r="135" customFormat="false" ht="68.65" hidden="false" customHeight="false" outlineLevel="0" collapsed="false">
      <c r="A135" s="14" t="n">
        <v>226534</v>
      </c>
      <c r="B135" s="14" t="s">
        <v>322</v>
      </c>
      <c r="C135" s="14" t="s">
        <v>323</v>
      </c>
      <c r="D135" s="14" t="n">
        <v>0</v>
      </c>
      <c r="E135" s="14" t="n">
        <v>13242</v>
      </c>
      <c r="F135" s="14" t="n">
        <v>131</v>
      </c>
      <c r="G135" s="14" t="n">
        <v>24</v>
      </c>
      <c r="H135" s="14" t="s">
        <v>62</v>
      </c>
      <c r="I135" s="14" t="n">
        <v>0.74</v>
      </c>
      <c r="J135" s="14" t="n">
        <v>1</v>
      </c>
      <c r="K135" s="14" t="s">
        <v>53</v>
      </c>
      <c r="L135" s="14" t="n">
        <v>2014</v>
      </c>
      <c r="M135" s="14" t="n">
        <v>9.49114887548479</v>
      </c>
      <c r="N135" s="14" t="n">
        <v>-4.60517018598809</v>
      </c>
      <c r="P135" s="14" t="n">
        <f aca="false">D135</f>
        <v>0</v>
      </c>
      <c r="Q135" s="14" t="n">
        <f aca="false">G135</f>
        <v>24</v>
      </c>
      <c r="R135" s="14" t="n">
        <f aca="false">J135</f>
        <v>1</v>
      </c>
      <c r="S135" s="14" t="n">
        <f aca="false">IF($L135=2012,1,0)</f>
        <v>0</v>
      </c>
      <c r="T135" s="14" t="n">
        <f aca="false">IF($L135=2013,1,0)</f>
        <v>0</v>
      </c>
      <c r="U135" s="14" t="n">
        <f aca="false">IF($L135=2014,1,0)</f>
        <v>1</v>
      </c>
      <c r="V135" s="14" t="n">
        <f aca="false">IF($L135=2015,1,0)</f>
        <v>0</v>
      </c>
      <c r="W135" s="14" t="n">
        <f aca="false">IF($L135=2016,1,0)</f>
        <v>0</v>
      </c>
      <c r="X135" s="14" t="n">
        <f aca="false">IF($L135=2017,1,0)</f>
        <v>0</v>
      </c>
      <c r="Y135" s="14" t="n">
        <f aca="false">IF($H135="Beginner Level",1,0)</f>
        <v>0</v>
      </c>
      <c r="Z135" s="14" t="n">
        <f aca="false">IF($H135="Expert Level",1,0)</f>
        <v>0</v>
      </c>
      <c r="AA135" s="14" t="n">
        <f aca="false">IF($H135="Intermediate Level",1,0)</f>
        <v>0</v>
      </c>
      <c r="AC135" s="14" t="n">
        <f aca="false">N135</f>
        <v>-4.60517018598809</v>
      </c>
      <c r="AD135" s="14" t="n">
        <f aca="false">G135</f>
        <v>24</v>
      </c>
      <c r="AE135" s="14" t="n">
        <f aca="false">J135</f>
        <v>1</v>
      </c>
      <c r="AF135" s="14" t="n">
        <f aca="false">IF($L135=2012,1,0)</f>
        <v>0</v>
      </c>
      <c r="AG135" s="14" t="n">
        <f aca="false">IF($L135=2013,1,0)</f>
        <v>0</v>
      </c>
      <c r="AH135" s="14" t="n">
        <f aca="false">IF($L135=2014,1,0)</f>
        <v>1</v>
      </c>
      <c r="AI135" s="14" t="n">
        <f aca="false">IF($L135=2015,1,0)</f>
        <v>0</v>
      </c>
      <c r="AJ135" s="14" t="n">
        <f aca="false">IF($L135=2016,1,0)</f>
        <v>0</v>
      </c>
      <c r="AK135" s="14" t="n">
        <f aca="false">IF($L135=2017,1,0)</f>
        <v>0</v>
      </c>
      <c r="AL135" s="14" t="n">
        <f aca="false">IF($H135="Beginner Level",1,0)</f>
        <v>0</v>
      </c>
      <c r="AM135" s="14" t="n">
        <f aca="false">IF($H135="Expert Level",1,0)</f>
        <v>0</v>
      </c>
      <c r="AN135" s="14" t="n">
        <f aca="false">IF($H135="Intermediate Level",1,0)</f>
        <v>0</v>
      </c>
    </row>
    <row r="136" customFormat="false" ht="57.45" hidden="false" customHeight="false" outlineLevel="0" collapsed="false">
      <c r="A136" s="14" t="n">
        <v>1023062</v>
      </c>
      <c r="B136" s="14" t="s">
        <v>324</v>
      </c>
      <c r="C136" s="14" t="s">
        <v>325</v>
      </c>
      <c r="D136" s="14" t="n">
        <v>0</v>
      </c>
      <c r="E136" s="14" t="n">
        <v>13210</v>
      </c>
      <c r="F136" s="14" t="n">
        <v>978</v>
      </c>
      <c r="G136" s="14" t="n">
        <v>8</v>
      </c>
      <c r="H136" s="14" t="s">
        <v>52</v>
      </c>
      <c r="I136" s="14" t="n">
        <v>0.54</v>
      </c>
      <c r="J136" s="14" t="n">
        <v>0.55</v>
      </c>
      <c r="K136" s="14" t="s">
        <v>53</v>
      </c>
      <c r="L136" s="14" t="n">
        <v>2016</v>
      </c>
      <c r="M136" s="14" t="n">
        <v>9.48872939751637</v>
      </c>
      <c r="N136" s="14" t="n">
        <v>-4.60517018598809</v>
      </c>
      <c r="P136" s="14" t="n">
        <f aca="false">D136</f>
        <v>0</v>
      </c>
      <c r="Q136" s="14" t="n">
        <f aca="false">G136</f>
        <v>8</v>
      </c>
      <c r="R136" s="14" t="n">
        <f aca="false">J136</f>
        <v>0.55</v>
      </c>
      <c r="S136" s="14" t="n">
        <f aca="false">IF($L136=2012,1,0)</f>
        <v>0</v>
      </c>
      <c r="T136" s="14" t="n">
        <f aca="false">IF($L136=2013,1,0)</f>
        <v>0</v>
      </c>
      <c r="U136" s="14" t="n">
        <f aca="false">IF($L136=2014,1,0)</f>
        <v>0</v>
      </c>
      <c r="V136" s="14" t="n">
        <f aca="false">IF($L136=2015,1,0)</f>
        <v>0</v>
      </c>
      <c r="W136" s="14" t="n">
        <f aca="false">IF($L136=2016,1,0)</f>
        <v>1</v>
      </c>
      <c r="X136" s="14" t="n">
        <f aca="false">IF($L136=2017,1,0)</f>
        <v>0</v>
      </c>
      <c r="Y136" s="14" t="n">
        <f aca="false">IF($H136="Beginner Level",1,0)</f>
        <v>1</v>
      </c>
      <c r="Z136" s="14" t="n">
        <f aca="false">IF($H136="Expert Level",1,0)</f>
        <v>0</v>
      </c>
      <c r="AA136" s="14" t="n">
        <f aca="false">IF($H136="Intermediate Level",1,0)</f>
        <v>0</v>
      </c>
      <c r="AC136" s="14" t="n">
        <f aca="false">N136</f>
        <v>-4.60517018598809</v>
      </c>
      <c r="AD136" s="14" t="n">
        <f aca="false">G136</f>
        <v>8</v>
      </c>
      <c r="AE136" s="14" t="n">
        <f aca="false">J136</f>
        <v>0.55</v>
      </c>
      <c r="AF136" s="14" t="n">
        <f aca="false">IF($L136=2012,1,0)</f>
        <v>0</v>
      </c>
      <c r="AG136" s="14" t="n">
        <f aca="false">IF($L136=2013,1,0)</f>
        <v>0</v>
      </c>
      <c r="AH136" s="14" t="n">
        <f aca="false">IF($L136=2014,1,0)</f>
        <v>0</v>
      </c>
      <c r="AI136" s="14" t="n">
        <f aca="false">IF($L136=2015,1,0)</f>
        <v>0</v>
      </c>
      <c r="AJ136" s="14" t="n">
        <f aca="false">IF($L136=2016,1,0)</f>
        <v>1</v>
      </c>
      <c r="AK136" s="14" t="n">
        <f aca="false">IF($L136=2017,1,0)</f>
        <v>0</v>
      </c>
      <c r="AL136" s="14" t="n">
        <f aca="false">IF($H136="Beginner Level",1,0)</f>
        <v>1</v>
      </c>
      <c r="AM136" s="14" t="n">
        <f aca="false">IF($H136="Expert Level",1,0)</f>
        <v>0</v>
      </c>
      <c r="AN136" s="14" t="n">
        <f aca="false">IF($H136="Intermediate Level",1,0)</f>
        <v>0</v>
      </c>
    </row>
    <row r="137" customFormat="false" ht="68.65" hidden="false" customHeight="false" outlineLevel="0" collapsed="false">
      <c r="A137" s="14" t="n">
        <v>778084</v>
      </c>
      <c r="B137" s="14" t="s">
        <v>326</v>
      </c>
      <c r="C137" s="14" t="s">
        <v>327</v>
      </c>
      <c r="D137" s="14" t="n">
        <v>0</v>
      </c>
      <c r="E137" s="14" t="n">
        <v>13130</v>
      </c>
      <c r="F137" s="14" t="n">
        <v>346</v>
      </c>
      <c r="G137" s="14" t="n">
        <v>88</v>
      </c>
      <c r="H137" s="14" t="s">
        <v>52</v>
      </c>
      <c r="I137" s="14" t="n">
        <v>0.62</v>
      </c>
      <c r="J137" s="14" t="n">
        <v>6.5</v>
      </c>
      <c r="K137" s="14" t="s">
        <v>53</v>
      </c>
      <c r="L137" s="14" t="n">
        <v>2016</v>
      </c>
      <c r="M137" s="14" t="n">
        <v>9.48265496729684</v>
      </c>
      <c r="N137" s="14" t="n">
        <v>-4.60517018598809</v>
      </c>
      <c r="P137" s="14" t="n">
        <f aca="false">D137</f>
        <v>0</v>
      </c>
      <c r="Q137" s="14" t="n">
        <f aca="false">G137</f>
        <v>88</v>
      </c>
      <c r="R137" s="14" t="n">
        <f aca="false">J137</f>
        <v>6.5</v>
      </c>
      <c r="S137" s="14" t="n">
        <f aca="false">IF($L137=2012,1,0)</f>
        <v>0</v>
      </c>
      <c r="T137" s="14" t="n">
        <f aca="false">IF($L137=2013,1,0)</f>
        <v>0</v>
      </c>
      <c r="U137" s="14" t="n">
        <f aca="false">IF($L137=2014,1,0)</f>
        <v>0</v>
      </c>
      <c r="V137" s="14" t="n">
        <f aca="false">IF($L137=2015,1,0)</f>
        <v>0</v>
      </c>
      <c r="W137" s="14" t="n">
        <f aca="false">IF($L137=2016,1,0)</f>
        <v>1</v>
      </c>
      <c r="X137" s="14" t="n">
        <f aca="false">IF($L137=2017,1,0)</f>
        <v>0</v>
      </c>
      <c r="Y137" s="14" t="n">
        <f aca="false">IF($H137="Beginner Level",1,0)</f>
        <v>1</v>
      </c>
      <c r="Z137" s="14" t="n">
        <f aca="false">IF($H137="Expert Level",1,0)</f>
        <v>0</v>
      </c>
      <c r="AA137" s="14" t="n">
        <f aca="false">IF($H137="Intermediate Level",1,0)</f>
        <v>0</v>
      </c>
      <c r="AC137" s="14" t="n">
        <f aca="false">N137</f>
        <v>-4.60517018598809</v>
      </c>
      <c r="AD137" s="14" t="n">
        <f aca="false">G137</f>
        <v>88</v>
      </c>
      <c r="AE137" s="14" t="n">
        <f aca="false">J137</f>
        <v>6.5</v>
      </c>
      <c r="AF137" s="14" t="n">
        <f aca="false">IF($L137=2012,1,0)</f>
        <v>0</v>
      </c>
      <c r="AG137" s="14" t="n">
        <f aca="false">IF($L137=2013,1,0)</f>
        <v>0</v>
      </c>
      <c r="AH137" s="14" t="n">
        <f aca="false">IF($L137=2014,1,0)</f>
        <v>0</v>
      </c>
      <c r="AI137" s="14" t="n">
        <f aca="false">IF($L137=2015,1,0)</f>
        <v>0</v>
      </c>
      <c r="AJ137" s="14" t="n">
        <f aca="false">IF($L137=2016,1,0)</f>
        <v>1</v>
      </c>
      <c r="AK137" s="14" t="n">
        <f aca="false">IF($L137=2017,1,0)</f>
        <v>0</v>
      </c>
      <c r="AL137" s="14" t="n">
        <f aca="false">IF($H137="Beginner Level",1,0)</f>
        <v>1</v>
      </c>
      <c r="AM137" s="14" t="n">
        <f aca="false">IF($H137="Expert Level",1,0)</f>
        <v>0</v>
      </c>
      <c r="AN137" s="14" t="n">
        <f aca="false">IF($H137="Intermediate Level",1,0)</f>
        <v>0</v>
      </c>
    </row>
    <row r="138" customFormat="false" ht="91" hidden="false" customHeight="false" outlineLevel="0" collapsed="false">
      <c r="A138" s="14" t="n">
        <v>752706</v>
      </c>
      <c r="B138" s="14" t="s">
        <v>328</v>
      </c>
      <c r="C138" s="14" t="s">
        <v>329</v>
      </c>
      <c r="D138" s="14" t="n">
        <v>0</v>
      </c>
      <c r="E138" s="14" t="n">
        <v>13016</v>
      </c>
      <c r="F138" s="14" t="n">
        <v>286</v>
      </c>
      <c r="G138" s="14" t="n">
        <v>15</v>
      </c>
      <c r="H138" s="14" t="s">
        <v>71</v>
      </c>
      <c r="I138" s="14" t="n">
        <v>0.24</v>
      </c>
      <c r="J138" s="14" t="n">
        <v>1.5</v>
      </c>
      <c r="K138" s="14" t="s">
        <v>53</v>
      </c>
      <c r="L138" s="14" t="n">
        <v>2016</v>
      </c>
      <c r="M138" s="14" t="n">
        <v>9.47393464889887</v>
      </c>
      <c r="N138" s="14" t="n">
        <v>-4.60517018598809</v>
      </c>
      <c r="P138" s="14" t="n">
        <f aca="false">D138</f>
        <v>0</v>
      </c>
      <c r="Q138" s="14" t="n">
        <f aca="false">G138</f>
        <v>15</v>
      </c>
      <c r="R138" s="14" t="n">
        <f aca="false">J138</f>
        <v>1.5</v>
      </c>
      <c r="S138" s="14" t="n">
        <f aca="false">IF($L138=2012,1,0)</f>
        <v>0</v>
      </c>
      <c r="T138" s="14" t="n">
        <f aca="false">IF($L138=2013,1,0)</f>
        <v>0</v>
      </c>
      <c r="U138" s="14" t="n">
        <f aca="false">IF($L138=2014,1,0)</f>
        <v>0</v>
      </c>
      <c r="V138" s="14" t="n">
        <f aca="false">IF($L138=2015,1,0)</f>
        <v>0</v>
      </c>
      <c r="W138" s="14" t="n">
        <f aca="false">IF($L138=2016,1,0)</f>
        <v>1</v>
      </c>
      <c r="X138" s="14" t="n">
        <f aca="false">IF($L138=2017,1,0)</f>
        <v>0</v>
      </c>
      <c r="Y138" s="14" t="n">
        <f aca="false">IF($H138="Beginner Level",1,0)</f>
        <v>0</v>
      </c>
      <c r="Z138" s="14" t="n">
        <f aca="false">IF($H138="Expert Level",1,0)</f>
        <v>0</v>
      </c>
      <c r="AA138" s="14" t="n">
        <f aca="false">IF($H138="Intermediate Level",1,0)</f>
        <v>1</v>
      </c>
      <c r="AC138" s="14" t="n">
        <f aca="false">N138</f>
        <v>-4.60517018598809</v>
      </c>
      <c r="AD138" s="14" t="n">
        <f aca="false">G138</f>
        <v>15</v>
      </c>
      <c r="AE138" s="14" t="n">
        <f aca="false">J138</f>
        <v>1.5</v>
      </c>
      <c r="AF138" s="14" t="n">
        <f aca="false">IF($L138=2012,1,0)</f>
        <v>0</v>
      </c>
      <c r="AG138" s="14" t="n">
        <f aca="false">IF($L138=2013,1,0)</f>
        <v>0</v>
      </c>
      <c r="AH138" s="14" t="n">
        <f aca="false">IF($L138=2014,1,0)</f>
        <v>0</v>
      </c>
      <c r="AI138" s="14" t="n">
        <f aca="false">IF($L138=2015,1,0)</f>
        <v>0</v>
      </c>
      <c r="AJ138" s="14" t="n">
        <f aca="false">IF($L138=2016,1,0)</f>
        <v>1</v>
      </c>
      <c r="AK138" s="14" t="n">
        <f aca="false">IF($L138=2017,1,0)</f>
        <v>0</v>
      </c>
      <c r="AL138" s="14" t="n">
        <f aca="false">IF($H138="Beginner Level",1,0)</f>
        <v>0</v>
      </c>
      <c r="AM138" s="14" t="n">
        <f aca="false">IF($H138="Expert Level",1,0)</f>
        <v>0</v>
      </c>
      <c r="AN138" s="14" t="n">
        <f aca="false">IF($H138="Intermediate Level",1,0)</f>
        <v>1</v>
      </c>
    </row>
    <row r="139" customFormat="false" ht="57.45" hidden="false" customHeight="false" outlineLevel="0" collapsed="false">
      <c r="A139" s="14" t="n">
        <v>861624</v>
      </c>
      <c r="B139" s="14" t="s">
        <v>330</v>
      </c>
      <c r="C139" s="14" t="s">
        <v>331</v>
      </c>
      <c r="D139" s="14" t="n">
        <v>80</v>
      </c>
      <c r="E139" s="14" t="n">
        <v>13010</v>
      </c>
      <c r="F139" s="14" t="n">
        <v>2709</v>
      </c>
      <c r="G139" s="14" t="n">
        <v>68</v>
      </c>
      <c r="H139" s="14" t="s">
        <v>62</v>
      </c>
      <c r="I139" s="14" t="n">
        <v>0.41</v>
      </c>
      <c r="J139" s="14" t="n">
        <v>6.5</v>
      </c>
      <c r="K139" s="14" t="s">
        <v>59</v>
      </c>
      <c r="L139" s="14" t="n">
        <v>2016</v>
      </c>
      <c r="M139" s="14" t="n">
        <v>9.47347357150655</v>
      </c>
      <c r="N139" s="14" t="n">
        <v>4.38215162686203</v>
      </c>
      <c r="P139" s="14" t="n">
        <f aca="false">D139</f>
        <v>80</v>
      </c>
      <c r="Q139" s="14" t="n">
        <f aca="false">G139</f>
        <v>68</v>
      </c>
      <c r="R139" s="14" t="n">
        <f aca="false">J139</f>
        <v>6.5</v>
      </c>
      <c r="S139" s="14" t="n">
        <f aca="false">IF($L139=2012,1,0)</f>
        <v>0</v>
      </c>
      <c r="T139" s="14" t="n">
        <f aca="false">IF($L139=2013,1,0)</f>
        <v>0</v>
      </c>
      <c r="U139" s="14" t="n">
        <f aca="false">IF($L139=2014,1,0)</f>
        <v>0</v>
      </c>
      <c r="V139" s="14" t="n">
        <f aca="false">IF($L139=2015,1,0)</f>
        <v>0</v>
      </c>
      <c r="W139" s="14" t="n">
        <f aca="false">IF($L139=2016,1,0)</f>
        <v>1</v>
      </c>
      <c r="X139" s="14" t="n">
        <f aca="false">IF($L139=2017,1,0)</f>
        <v>0</v>
      </c>
      <c r="Y139" s="14" t="n">
        <f aca="false">IF($H139="Beginner Level",1,0)</f>
        <v>0</v>
      </c>
      <c r="Z139" s="14" t="n">
        <f aca="false">IF($H139="Expert Level",1,0)</f>
        <v>0</v>
      </c>
      <c r="AA139" s="14" t="n">
        <f aca="false">IF($H139="Intermediate Level",1,0)</f>
        <v>0</v>
      </c>
      <c r="AC139" s="14" t="n">
        <f aca="false">N139</f>
        <v>4.38215162686203</v>
      </c>
      <c r="AD139" s="14" t="n">
        <f aca="false">G139</f>
        <v>68</v>
      </c>
      <c r="AE139" s="14" t="n">
        <f aca="false">J139</f>
        <v>6.5</v>
      </c>
      <c r="AF139" s="14" t="n">
        <f aca="false">IF($L139=2012,1,0)</f>
        <v>0</v>
      </c>
      <c r="AG139" s="14" t="n">
        <f aca="false">IF($L139=2013,1,0)</f>
        <v>0</v>
      </c>
      <c r="AH139" s="14" t="n">
        <f aca="false">IF($L139=2014,1,0)</f>
        <v>0</v>
      </c>
      <c r="AI139" s="14" t="n">
        <f aca="false">IF($L139=2015,1,0)</f>
        <v>0</v>
      </c>
      <c r="AJ139" s="14" t="n">
        <f aca="false">IF($L139=2016,1,0)</f>
        <v>1</v>
      </c>
      <c r="AK139" s="14" t="n">
        <f aca="false">IF($L139=2017,1,0)</f>
        <v>0</v>
      </c>
      <c r="AL139" s="14" t="n">
        <f aca="false">IF($H139="Beginner Level",1,0)</f>
        <v>0</v>
      </c>
      <c r="AM139" s="14" t="n">
        <f aca="false">IF($H139="Expert Level",1,0)</f>
        <v>0</v>
      </c>
      <c r="AN139" s="14" t="n">
        <f aca="false">IF($H139="Intermediate Level",1,0)</f>
        <v>0</v>
      </c>
    </row>
    <row r="140" customFormat="false" ht="91" hidden="false" customHeight="false" outlineLevel="0" collapsed="false">
      <c r="A140" s="14" t="n">
        <v>382856</v>
      </c>
      <c r="B140" s="14" t="s">
        <v>332</v>
      </c>
      <c r="C140" s="14" t="s">
        <v>333</v>
      </c>
      <c r="D140" s="14" t="n">
        <v>0</v>
      </c>
      <c r="E140" s="14" t="n">
        <v>12974</v>
      </c>
      <c r="F140" s="14" t="n">
        <v>120</v>
      </c>
      <c r="G140" s="14" t="n">
        <v>13</v>
      </c>
      <c r="H140" s="14" t="s">
        <v>52</v>
      </c>
      <c r="I140" s="14" t="n">
        <v>0.15</v>
      </c>
      <c r="J140" s="14" t="n">
        <v>1</v>
      </c>
      <c r="K140" s="14" t="s">
        <v>53</v>
      </c>
      <c r="L140" s="14" t="n">
        <v>2015</v>
      </c>
      <c r="M140" s="14" t="n">
        <v>9.470702633773</v>
      </c>
      <c r="N140" s="14" t="n">
        <v>-4.60517018598809</v>
      </c>
      <c r="P140" s="14" t="n">
        <f aca="false">D140</f>
        <v>0</v>
      </c>
      <c r="Q140" s="14" t="n">
        <f aca="false">G140</f>
        <v>13</v>
      </c>
      <c r="R140" s="14" t="n">
        <f aca="false">J140</f>
        <v>1</v>
      </c>
      <c r="S140" s="14" t="n">
        <f aca="false">IF($L140=2012,1,0)</f>
        <v>0</v>
      </c>
      <c r="T140" s="14" t="n">
        <f aca="false">IF($L140=2013,1,0)</f>
        <v>0</v>
      </c>
      <c r="U140" s="14" t="n">
        <f aca="false">IF($L140=2014,1,0)</f>
        <v>0</v>
      </c>
      <c r="V140" s="14" t="n">
        <f aca="false">IF($L140=2015,1,0)</f>
        <v>1</v>
      </c>
      <c r="W140" s="14" t="n">
        <f aca="false">IF($L140=2016,1,0)</f>
        <v>0</v>
      </c>
      <c r="X140" s="14" t="n">
        <f aca="false">IF($L140=2017,1,0)</f>
        <v>0</v>
      </c>
      <c r="Y140" s="14" t="n">
        <f aca="false">IF($H140="Beginner Level",1,0)</f>
        <v>1</v>
      </c>
      <c r="Z140" s="14" t="n">
        <f aca="false">IF($H140="Expert Level",1,0)</f>
        <v>0</v>
      </c>
      <c r="AA140" s="14" t="n">
        <f aca="false">IF($H140="Intermediate Level",1,0)</f>
        <v>0</v>
      </c>
      <c r="AC140" s="14" t="n">
        <f aca="false">N140</f>
        <v>-4.60517018598809</v>
      </c>
      <c r="AD140" s="14" t="n">
        <f aca="false">G140</f>
        <v>13</v>
      </c>
      <c r="AE140" s="14" t="n">
        <f aca="false">J140</f>
        <v>1</v>
      </c>
      <c r="AF140" s="14" t="n">
        <f aca="false">IF($L140=2012,1,0)</f>
        <v>0</v>
      </c>
      <c r="AG140" s="14" t="n">
        <f aca="false">IF($L140=2013,1,0)</f>
        <v>0</v>
      </c>
      <c r="AH140" s="14" t="n">
        <f aca="false">IF($L140=2014,1,0)</f>
        <v>0</v>
      </c>
      <c r="AI140" s="14" t="n">
        <f aca="false">IF($L140=2015,1,0)</f>
        <v>1</v>
      </c>
      <c r="AJ140" s="14" t="n">
        <f aca="false">IF($L140=2016,1,0)</f>
        <v>0</v>
      </c>
      <c r="AK140" s="14" t="n">
        <f aca="false">IF($L140=2017,1,0)</f>
        <v>0</v>
      </c>
      <c r="AL140" s="14" t="n">
        <f aca="false">IF($H140="Beginner Level",1,0)</f>
        <v>1</v>
      </c>
      <c r="AM140" s="14" t="n">
        <f aca="false">IF($H140="Expert Level",1,0)</f>
        <v>0</v>
      </c>
      <c r="AN140" s="14" t="n">
        <f aca="false">IF($H140="Intermediate Level",1,0)</f>
        <v>0</v>
      </c>
    </row>
    <row r="141" customFormat="false" ht="57.45" hidden="false" customHeight="false" outlineLevel="0" collapsed="false">
      <c r="A141" s="14" t="n">
        <v>939962</v>
      </c>
      <c r="B141" s="14" t="s">
        <v>334</v>
      </c>
      <c r="C141" s="14" t="s">
        <v>335</v>
      </c>
      <c r="D141" s="14" t="n">
        <v>65</v>
      </c>
      <c r="E141" s="14" t="n">
        <v>12953</v>
      </c>
      <c r="F141" s="14" t="n">
        <v>680</v>
      </c>
      <c r="G141" s="14" t="n">
        <v>22</v>
      </c>
      <c r="H141" s="14" t="s">
        <v>62</v>
      </c>
      <c r="I141" s="14" t="n">
        <v>0.15</v>
      </c>
      <c r="J141" s="14" t="n">
        <v>1.5</v>
      </c>
      <c r="K141" s="14" t="s">
        <v>59</v>
      </c>
      <c r="L141" s="14" t="n">
        <v>2016</v>
      </c>
      <c r="M141" s="14" t="n">
        <v>9.46908270053026</v>
      </c>
      <c r="N141" s="14" t="n">
        <v>4.17454110421638</v>
      </c>
      <c r="P141" s="14" t="n">
        <f aca="false">D141</f>
        <v>65</v>
      </c>
      <c r="Q141" s="14" t="n">
        <f aca="false">G141</f>
        <v>22</v>
      </c>
      <c r="R141" s="14" t="n">
        <f aca="false">J141</f>
        <v>1.5</v>
      </c>
      <c r="S141" s="14" t="n">
        <f aca="false">IF($L141=2012,1,0)</f>
        <v>0</v>
      </c>
      <c r="T141" s="14" t="n">
        <f aca="false">IF($L141=2013,1,0)</f>
        <v>0</v>
      </c>
      <c r="U141" s="14" t="n">
        <f aca="false">IF($L141=2014,1,0)</f>
        <v>0</v>
      </c>
      <c r="V141" s="14" t="n">
        <f aca="false">IF($L141=2015,1,0)</f>
        <v>0</v>
      </c>
      <c r="W141" s="14" t="n">
        <f aca="false">IF($L141=2016,1,0)</f>
        <v>1</v>
      </c>
      <c r="X141" s="14" t="n">
        <f aca="false">IF($L141=2017,1,0)</f>
        <v>0</v>
      </c>
      <c r="Y141" s="14" t="n">
        <f aca="false">IF($H141="Beginner Level",1,0)</f>
        <v>0</v>
      </c>
      <c r="Z141" s="14" t="n">
        <f aca="false">IF($H141="Expert Level",1,0)</f>
        <v>0</v>
      </c>
      <c r="AA141" s="14" t="n">
        <f aca="false">IF($H141="Intermediate Level",1,0)</f>
        <v>0</v>
      </c>
      <c r="AC141" s="14" t="n">
        <f aca="false">N141</f>
        <v>4.17454110421638</v>
      </c>
      <c r="AD141" s="14" t="n">
        <f aca="false">G141</f>
        <v>22</v>
      </c>
      <c r="AE141" s="14" t="n">
        <f aca="false">J141</f>
        <v>1.5</v>
      </c>
      <c r="AF141" s="14" t="n">
        <f aca="false">IF($L141=2012,1,0)</f>
        <v>0</v>
      </c>
      <c r="AG141" s="14" t="n">
        <f aca="false">IF($L141=2013,1,0)</f>
        <v>0</v>
      </c>
      <c r="AH141" s="14" t="n">
        <f aca="false">IF($L141=2014,1,0)</f>
        <v>0</v>
      </c>
      <c r="AI141" s="14" t="n">
        <f aca="false">IF($L141=2015,1,0)</f>
        <v>0</v>
      </c>
      <c r="AJ141" s="14" t="n">
        <f aca="false">IF($L141=2016,1,0)</f>
        <v>1</v>
      </c>
      <c r="AK141" s="14" t="n">
        <f aca="false">IF($L141=2017,1,0)</f>
        <v>0</v>
      </c>
      <c r="AL141" s="14" t="n">
        <f aca="false">IF($H141="Beginner Level",1,0)</f>
        <v>0</v>
      </c>
      <c r="AM141" s="14" t="n">
        <f aca="false">IF($H141="Expert Level",1,0)</f>
        <v>0</v>
      </c>
      <c r="AN141" s="14" t="n">
        <f aca="false">IF($H141="Intermediate Level",1,0)</f>
        <v>0</v>
      </c>
    </row>
    <row r="142" customFormat="false" ht="57.45" hidden="false" customHeight="false" outlineLevel="0" collapsed="false">
      <c r="A142" s="14" t="n">
        <v>646056</v>
      </c>
      <c r="B142" s="14" t="s">
        <v>336</v>
      </c>
      <c r="C142" s="14" t="s">
        <v>337</v>
      </c>
      <c r="D142" s="14" t="n">
        <v>0</v>
      </c>
      <c r="E142" s="14" t="n">
        <v>12952</v>
      </c>
      <c r="F142" s="14" t="n">
        <v>163</v>
      </c>
      <c r="G142" s="14" t="n">
        <v>22</v>
      </c>
      <c r="H142" s="14" t="s">
        <v>62</v>
      </c>
      <c r="I142" s="14" t="n">
        <v>0.24</v>
      </c>
      <c r="J142" s="14" t="n">
        <v>1</v>
      </c>
      <c r="K142" s="14" t="s">
        <v>53</v>
      </c>
      <c r="L142" s="14" t="n">
        <v>2015</v>
      </c>
      <c r="M142" s="14" t="n">
        <v>9.46900549535747</v>
      </c>
      <c r="N142" s="14" t="n">
        <v>-4.60517018598809</v>
      </c>
      <c r="P142" s="14" t="n">
        <f aca="false">D142</f>
        <v>0</v>
      </c>
      <c r="Q142" s="14" t="n">
        <f aca="false">G142</f>
        <v>22</v>
      </c>
      <c r="R142" s="14" t="n">
        <f aca="false">J142</f>
        <v>1</v>
      </c>
      <c r="S142" s="14" t="n">
        <f aca="false">IF($L142=2012,1,0)</f>
        <v>0</v>
      </c>
      <c r="T142" s="14" t="n">
        <f aca="false">IF($L142=2013,1,0)</f>
        <v>0</v>
      </c>
      <c r="U142" s="14" t="n">
        <f aca="false">IF($L142=2014,1,0)</f>
        <v>0</v>
      </c>
      <c r="V142" s="14" t="n">
        <f aca="false">IF($L142=2015,1,0)</f>
        <v>1</v>
      </c>
      <c r="W142" s="14" t="n">
        <f aca="false">IF($L142=2016,1,0)</f>
        <v>0</v>
      </c>
      <c r="X142" s="14" t="n">
        <f aca="false">IF($L142=2017,1,0)</f>
        <v>0</v>
      </c>
      <c r="Y142" s="14" t="n">
        <f aca="false">IF($H142="Beginner Level",1,0)</f>
        <v>0</v>
      </c>
      <c r="Z142" s="14" t="n">
        <f aca="false">IF($H142="Expert Level",1,0)</f>
        <v>0</v>
      </c>
      <c r="AA142" s="14" t="n">
        <f aca="false">IF($H142="Intermediate Level",1,0)</f>
        <v>0</v>
      </c>
      <c r="AC142" s="14" t="n">
        <f aca="false">N142</f>
        <v>-4.60517018598809</v>
      </c>
      <c r="AD142" s="14" t="n">
        <f aca="false">G142</f>
        <v>22</v>
      </c>
      <c r="AE142" s="14" t="n">
        <f aca="false">J142</f>
        <v>1</v>
      </c>
      <c r="AF142" s="14" t="n">
        <f aca="false">IF($L142=2012,1,0)</f>
        <v>0</v>
      </c>
      <c r="AG142" s="14" t="n">
        <f aca="false">IF($L142=2013,1,0)</f>
        <v>0</v>
      </c>
      <c r="AH142" s="14" t="n">
        <f aca="false">IF($L142=2014,1,0)</f>
        <v>0</v>
      </c>
      <c r="AI142" s="14" t="n">
        <f aca="false">IF($L142=2015,1,0)</f>
        <v>1</v>
      </c>
      <c r="AJ142" s="14" t="n">
        <f aca="false">IF($L142=2016,1,0)</f>
        <v>0</v>
      </c>
      <c r="AK142" s="14" t="n">
        <f aca="false">IF($L142=2017,1,0)</f>
        <v>0</v>
      </c>
      <c r="AL142" s="14" t="n">
        <f aca="false">IF($H142="Beginner Level",1,0)</f>
        <v>0</v>
      </c>
      <c r="AM142" s="14" t="n">
        <f aca="false">IF($H142="Expert Level",1,0)</f>
        <v>0</v>
      </c>
      <c r="AN142" s="14" t="n">
        <f aca="false">IF($H142="Intermediate Level",1,0)</f>
        <v>0</v>
      </c>
    </row>
    <row r="143" customFormat="false" ht="79.85" hidden="false" customHeight="false" outlineLevel="0" collapsed="false">
      <c r="A143" s="14" t="n">
        <v>917724</v>
      </c>
      <c r="B143" s="14" t="s">
        <v>338</v>
      </c>
      <c r="C143" s="14" t="s">
        <v>339</v>
      </c>
      <c r="D143" s="14" t="n">
        <v>75</v>
      </c>
      <c r="E143" s="14" t="n">
        <v>12893</v>
      </c>
      <c r="F143" s="14" t="n">
        <v>220</v>
      </c>
      <c r="G143" s="14" t="n">
        <v>95</v>
      </c>
      <c r="H143" s="14" t="s">
        <v>52</v>
      </c>
      <c r="I143" s="14" t="n">
        <v>0.1</v>
      </c>
      <c r="J143" s="14" t="n">
        <v>8.5</v>
      </c>
      <c r="K143" s="14" t="s">
        <v>59</v>
      </c>
      <c r="L143" s="14" t="n">
        <v>2016</v>
      </c>
      <c r="M143" s="14" t="n">
        <v>9.46443980741084</v>
      </c>
      <c r="N143" s="14" t="n">
        <v>4.31762143798155</v>
      </c>
      <c r="P143" s="14" t="n">
        <f aca="false">D143</f>
        <v>75</v>
      </c>
      <c r="Q143" s="14" t="n">
        <f aca="false">G143</f>
        <v>95</v>
      </c>
      <c r="R143" s="14" t="n">
        <f aca="false">J143</f>
        <v>8.5</v>
      </c>
      <c r="S143" s="14" t="n">
        <f aca="false">IF($L143=2012,1,0)</f>
        <v>0</v>
      </c>
      <c r="T143" s="14" t="n">
        <f aca="false">IF($L143=2013,1,0)</f>
        <v>0</v>
      </c>
      <c r="U143" s="14" t="n">
        <f aca="false">IF($L143=2014,1,0)</f>
        <v>0</v>
      </c>
      <c r="V143" s="14" t="n">
        <f aca="false">IF($L143=2015,1,0)</f>
        <v>0</v>
      </c>
      <c r="W143" s="14" t="n">
        <f aca="false">IF($L143=2016,1,0)</f>
        <v>1</v>
      </c>
      <c r="X143" s="14" t="n">
        <f aca="false">IF($L143=2017,1,0)</f>
        <v>0</v>
      </c>
      <c r="Y143" s="14" t="n">
        <f aca="false">IF($H143="Beginner Level",1,0)</f>
        <v>1</v>
      </c>
      <c r="Z143" s="14" t="n">
        <f aca="false">IF($H143="Expert Level",1,0)</f>
        <v>0</v>
      </c>
      <c r="AA143" s="14" t="n">
        <f aca="false">IF($H143="Intermediate Level",1,0)</f>
        <v>0</v>
      </c>
      <c r="AC143" s="14" t="n">
        <f aca="false">N143</f>
        <v>4.31762143798155</v>
      </c>
      <c r="AD143" s="14" t="n">
        <f aca="false">G143</f>
        <v>95</v>
      </c>
      <c r="AE143" s="14" t="n">
        <f aca="false">J143</f>
        <v>8.5</v>
      </c>
      <c r="AF143" s="14" t="n">
        <f aca="false">IF($L143=2012,1,0)</f>
        <v>0</v>
      </c>
      <c r="AG143" s="14" t="n">
        <f aca="false">IF($L143=2013,1,0)</f>
        <v>0</v>
      </c>
      <c r="AH143" s="14" t="n">
        <f aca="false">IF($L143=2014,1,0)</f>
        <v>0</v>
      </c>
      <c r="AI143" s="14" t="n">
        <f aca="false">IF($L143=2015,1,0)</f>
        <v>0</v>
      </c>
      <c r="AJ143" s="14" t="n">
        <f aca="false">IF($L143=2016,1,0)</f>
        <v>1</v>
      </c>
      <c r="AK143" s="14" t="n">
        <f aca="false">IF($L143=2017,1,0)</f>
        <v>0</v>
      </c>
      <c r="AL143" s="14" t="n">
        <f aca="false">IF($H143="Beginner Level",1,0)</f>
        <v>1</v>
      </c>
      <c r="AM143" s="14" t="n">
        <f aca="false">IF($H143="Expert Level",1,0)</f>
        <v>0</v>
      </c>
      <c r="AN143" s="14" t="n">
        <f aca="false">IF($H143="Intermediate Level",1,0)</f>
        <v>0</v>
      </c>
    </row>
    <row r="144" customFormat="false" ht="79.85" hidden="false" customHeight="false" outlineLevel="0" collapsed="false">
      <c r="A144" s="14" t="n">
        <v>682484</v>
      </c>
      <c r="B144" s="14" t="s">
        <v>340</v>
      </c>
      <c r="C144" s="14" t="s">
        <v>341</v>
      </c>
      <c r="D144" s="14" t="n">
        <v>75</v>
      </c>
      <c r="E144" s="14" t="n">
        <v>12882</v>
      </c>
      <c r="F144" s="14" t="n">
        <v>95</v>
      </c>
      <c r="G144" s="14" t="n">
        <v>20</v>
      </c>
      <c r="H144" s="14" t="s">
        <v>62</v>
      </c>
      <c r="I144" s="14" t="n">
        <v>0.74</v>
      </c>
      <c r="J144" s="14" t="n">
        <v>1.5</v>
      </c>
      <c r="K144" s="14" t="s">
        <v>59</v>
      </c>
      <c r="L144" s="14" t="n">
        <v>2015</v>
      </c>
      <c r="M144" s="14" t="n">
        <v>9.46358626710684</v>
      </c>
      <c r="N144" s="14" t="n">
        <v>4.31762143798155</v>
      </c>
      <c r="P144" s="14" t="n">
        <f aca="false">D144</f>
        <v>75</v>
      </c>
      <c r="Q144" s="14" t="n">
        <f aca="false">G144</f>
        <v>20</v>
      </c>
      <c r="R144" s="14" t="n">
        <f aca="false">J144</f>
        <v>1.5</v>
      </c>
      <c r="S144" s="14" t="n">
        <f aca="false">IF($L144=2012,1,0)</f>
        <v>0</v>
      </c>
      <c r="T144" s="14" t="n">
        <f aca="false">IF($L144=2013,1,0)</f>
        <v>0</v>
      </c>
      <c r="U144" s="14" t="n">
        <f aca="false">IF($L144=2014,1,0)</f>
        <v>0</v>
      </c>
      <c r="V144" s="14" t="n">
        <f aca="false">IF($L144=2015,1,0)</f>
        <v>1</v>
      </c>
      <c r="W144" s="14" t="n">
        <f aca="false">IF($L144=2016,1,0)</f>
        <v>0</v>
      </c>
      <c r="X144" s="14" t="n">
        <f aca="false">IF($L144=2017,1,0)</f>
        <v>0</v>
      </c>
      <c r="Y144" s="14" t="n">
        <f aca="false">IF($H144="Beginner Level",1,0)</f>
        <v>0</v>
      </c>
      <c r="Z144" s="14" t="n">
        <f aca="false">IF($H144="Expert Level",1,0)</f>
        <v>0</v>
      </c>
      <c r="AA144" s="14" t="n">
        <f aca="false">IF($H144="Intermediate Level",1,0)</f>
        <v>0</v>
      </c>
      <c r="AC144" s="14" t="n">
        <f aca="false">N144</f>
        <v>4.31762143798155</v>
      </c>
      <c r="AD144" s="14" t="n">
        <f aca="false">G144</f>
        <v>20</v>
      </c>
      <c r="AE144" s="14" t="n">
        <f aca="false">J144</f>
        <v>1.5</v>
      </c>
      <c r="AF144" s="14" t="n">
        <f aca="false">IF($L144=2012,1,0)</f>
        <v>0</v>
      </c>
      <c r="AG144" s="14" t="n">
        <f aca="false">IF($L144=2013,1,0)</f>
        <v>0</v>
      </c>
      <c r="AH144" s="14" t="n">
        <f aca="false">IF($L144=2014,1,0)</f>
        <v>0</v>
      </c>
      <c r="AI144" s="14" t="n">
        <f aca="false">IF($L144=2015,1,0)</f>
        <v>1</v>
      </c>
      <c r="AJ144" s="14" t="n">
        <f aca="false">IF($L144=2016,1,0)</f>
        <v>0</v>
      </c>
      <c r="AK144" s="14" t="n">
        <f aca="false">IF($L144=2017,1,0)</f>
        <v>0</v>
      </c>
      <c r="AL144" s="14" t="n">
        <f aca="false">IF($H144="Beginner Level",1,0)</f>
        <v>0</v>
      </c>
      <c r="AM144" s="14" t="n">
        <f aca="false">IF($H144="Expert Level",1,0)</f>
        <v>0</v>
      </c>
      <c r="AN144" s="14" t="n">
        <f aca="false">IF($H144="Intermediate Level",1,0)</f>
        <v>0</v>
      </c>
    </row>
    <row r="145" customFormat="false" ht="46.25" hidden="false" customHeight="false" outlineLevel="0" collapsed="false">
      <c r="A145" s="14" t="n">
        <v>101864</v>
      </c>
      <c r="B145" s="14" t="s">
        <v>342</v>
      </c>
      <c r="C145" s="14" t="s">
        <v>343</v>
      </c>
      <c r="D145" s="14" t="n">
        <v>200</v>
      </c>
      <c r="E145" s="14" t="n">
        <v>12873</v>
      </c>
      <c r="F145" s="14" t="n">
        <v>106</v>
      </c>
      <c r="G145" s="14" t="n">
        <v>38</v>
      </c>
      <c r="H145" s="14" t="s">
        <v>52</v>
      </c>
      <c r="I145" s="14" t="n">
        <v>0.48</v>
      </c>
      <c r="J145" s="14" t="n">
        <v>2.5</v>
      </c>
      <c r="K145" s="14" t="s">
        <v>59</v>
      </c>
      <c r="L145" s="14" t="n">
        <v>2013</v>
      </c>
      <c r="M145" s="14" t="n">
        <v>9.46288737365964</v>
      </c>
      <c r="N145" s="14" t="n">
        <v>5.29836736529808</v>
      </c>
      <c r="P145" s="14" t="n">
        <f aca="false">D145</f>
        <v>200</v>
      </c>
      <c r="Q145" s="14" t="n">
        <f aca="false">G145</f>
        <v>38</v>
      </c>
      <c r="R145" s="14" t="n">
        <f aca="false">J145</f>
        <v>2.5</v>
      </c>
      <c r="S145" s="14" t="n">
        <f aca="false">IF($L145=2012,1,0)</f>
        <v>0</v>
      </c>
      <c r="T145" s="14" t="n">
        <f aca="false">IF($L145=2013,1,0)</f>
        <v>1</v>
      </c>
      <c r="U145" s="14" t="n">
        <f aca="false">IF($L145=2014,1,0)</f>
        <v>0</v>
      </c>
      <c r="V145" s="14" t="n">
        <f aca="false">IF($L145=2015,1,0)</f>
        <v>0</v>
      </c>
      <c r="W145" s="14" t="n">
        <f aca="false">IF($L145=2016,1,0)</f>
        <v>0</v>
      </c>
      <c r="X145" s="14" t="n">
        <f aca="false">IF($L145=2017,1,0)</f>
        <v>0</v>
      </c>
      <c r="Y145" s="14" t="n">
        <f aca="false">IF($H145="Beginner Level",1,0)</f>
        <v>1</v>
      </c>
      <c r="Z145" s="14" t="n">
        <f aca="false">IF($H145="Expert Level",1,0)</f>
        <v>0</v>
      </c>
      <c r="AA145" s="14" t="n">
        <f aca="false">IF($H145="Intermediate Level",1,0)</f>
        <v>0</v>
      </c>
      <c r="AC145" s="14" t="n">
        <f aca="false">N145</f>
        <v>5.29836736529808</v>
      </c>
      <c r="AD145" s="14" t="n">
        <f aca="false">G145</f>
        <v>38</v>
      </c>
      <c r="AE145" s="14" t="n">
        <f aca="false">J145</f>
        <v>2.5</v>
      </c>
      <c r="AF145" s="14" t="n">
        <f aca="false">IF($L145=2012,1,0)</f>
        <v>0</v>
      </c>
      <c r="AG145" s="14" t="n">
        <f aca="false">IF($L145=2013,1,0)</f>
        <v>1</v>
      </c>
      <c r="AH145" s="14" t="n">
        <f aca="false">IF($L145=2014,1,0)</f>
        <v>0</v>
      </c>
      <c r="AI145" s="14" t="n">
        <f aca="false">IF($L145=2015,1,0)</f>
        <v>0</v>
      </c>
      <c r="AJ145" s="14" t="n">
        <f aca="false">IF($L145=2016,1,0)</f>
        <v>0</v>
      </c>
      <c r="AK145" s="14" t="n">
        <f aca="false">IF($L145=2017,1,0)</f>
        <v>0</v>
      </c>
      <c r="AL145" s="14" t="n">
        <f aca="false">IF($H145="Beginner Level",1,0)</f>
        <v>1</v>
      </c>
      <c r="AM145" s="14" t="n">
        <f aca="false">IF($H145="Expert Level",1,0)</f>
        <v>0</v>
      </c>
      <c r="AN145" s="14" t="n">
        <f aca="false">IF($H145="Intermediate Level",1,0)</f>
        <v>0</v>
      </c>
    </row>
    <row r="146" customFormat="false" ht="46.25" hidden="false" customHeight="false" outlineLevel="0" collapsed="false">
      <c r="A146" s="14" t="n">
        <v>788514</v>
      </c>
      <c r="B146" s="14" t="s">
        <v>344</v>
      </c>
      <c r="C146" s="14" t="s">
        <v>345</v>
      </c>
      <c r="D146" s="14" t="n">
        <v>150</v>
      </c>
      <c r="E146" s="14" t="n">
        <v>12838</v>
      </c>
      <c r="F146" s="14" t="n">
        <v>96</v>
      </c>
      <c r="G146" s="14" t="n">
        <v>22</v>
      </c>
      <c r="H146" s="14" t="s">
        <v>71</v>
      </c>
      <c r="I146" s="14" t="n">
        <v>0.85</v>
      </c>
      <c r="J146" s="14" t="n">
        <v>1.5</v>
      </c>
      <c r="K146" s="14" t="s">
        <v>59</v>
      </c>
      <c r="L146" s="14" t="n">
        <v>2016</v>
      </c>
      <c r="M146" s="14" t="n">
        <v>9.46016480187172</v>
      </c>
      <c r="N146" s="14" t="n">
        <v>5.0107019585408</v>
      </c>
      <c r="P146" s="14" t="n">
        <f aca="false">D146</f>
        <v>150</v>
      </c>
      <c r="Q146" s="14" t="n">
        <f aca="false">G146</f>
        <v>22</v>
      </c>
      <c r="R146" s="14" t="n">
        <f aca="false">J146</f>
        <v>1.5</v>
      </c>
      <c r="S146" s="14" t="n">
        <f aca="false">IF($L146=2012,1,0)</f>
        <v>0</v>
      </c>
      <c r="T146" s="14" t="n">
        <f aca="false">IF($L146=2013,1,0)</f>
        <v>0</v>
      </c>
      <c r="U146" s="14" t="n">
        <f aca="false">IF($L146=2014,1,0)</f>
        <v>0</v>
      </c>
      <c r="V146" s="14" t="n">
        <f aca="false">IF($L146=2015,1,0)</f>
        <v>0</v>
      </c>
      <c r="W146" s="14" t="n">
        <f aca="false">IF($L146=2016,1,0)</f>
        <v>1</v>
      </c>
      <c r="X146" s="14" t="n">
        <f aca="false">IF($L146=2017,1,0)</f>
        <v>0</v>
      </c>
      <c r="Y146" s="14" t="n">
        <f aca="false">IF($H146="Beginner Level",1,0)</f>
        <v>0</v>
      </c>
      <c r="Z146" s="14" t="n">
        <f aca="false">IF($H146="Expert Level",1,0)</f>
        <v>0</v>
      </c>
      <c r="AA146" s="14" t="n">
        <f aca="false">IF($H146="Intermediate Level",1,0)</f>
        <v>1</v>
      </c>
      <c r="AC146" s="14" t="n">
        <f aca="false">N146</f>
        <v>5.0107019585408</v>
      </c>
      <c r="AD146" s="14" t="n">
        <f aca="false">G146</f>
        <v>22</v>
      </c>
      <c r="AE146" s="14" t="n">
        <f aca="false">J146</f>
        <v>1.5</v>
      </c>
      <c r="AF146" s="14" t="n">
        <f aca="false">IF($L146=2012,1,0)</f>
        <v>0</v>
      </c>
      <c r="AG146" s="14" t="n">
        <f aca="false">IF($L146=2013,1,0)</f>
        <v>0</v>
      </c>
      <c r="AH146" s="14" t="n">
        <f aca="false">IF($L146=2014,1,0)</f>
        <v>0</v>
      </c>
      <c r="AI146" s="14" t="n">
        <f aca="false">IF($L146=2015,1,0)</f>
        <v>0</v>
      </c>
      <c r="AJ146" s="14" t="n">
        <f aca="false">IF($L146=2016,1,0)</f>
        <v>1</v>
      </c>
      <c r="AK146" s="14" t="n">
        <f aca="false">IF($L146=2017,1,0)</f>
        <v>0</v>
      </c>
      <c r="AL146" s="14" t="n">
        <f aca="false">IF($H146="Beginner Level",1,0)</f>
        <v>0</v>
      </c>
      <c r="AM146" s="14" t="n">
        <f aca="false">IF($H146="Expert Level",1,0)</f>
        <v>0</v>
      </c>
      <c r="AN146" s="14" t="n">
        <f aca="false">IF($H146="Intermediate Level",1,0)</f>
        <v>1</v>
      </c>
    </row>
    <row r="147" customFormat="false" ht="91" hidden="false" customHeight="false" outlineLevel="0" collapsed="false">
      <c r="A147" s="14" t="n">
        <v>1049092</v>
      </c>
      <c r="B147" s="14" t="s">
        <v>346</v>
      </c>
      <c r="C147" s="14" t="s">
        <v>347</v>
      </c>
      <c r="D147" s="14" t="n">
        <v>175</v>
      </c>
      <c r="E147" s="14" t="n">
        <v>12815</v>
      </c>
      <c r="F147" s="14" t="n">
        <v>262</v>
      </c>
      <c r="G147" s="14" t="n">
        <v>53</v>
      </c>
      <c r="H147" s="14" t="s">
        <v>62</v>
      </c>
      <c r="I147" s="14" t="n">
        <v>0.52</v>
      </c>
      <c r="J147" s="14" t="n">
        <v>8.5</v>
      </c>
      <c r="K147" s="14" t="s">
        <v>59</v>
      </c>
      <c r="L147" s="14" t="n">
        <v>2017</v>
      </c>
      <c r="M147" s="14" t="n">
        <v>9.45837163879817</v>
      </c>
      <c r="N147" s="14" t="n">
        <v>5.16484311514807</v>
      </c>
      <c r="P147" s="14" t="n">
        <f aca="false">D147</f>
        <v>175</v>
      </c>
      <c r="Q147" s="14" t="n">
        <f aca="false">G147</f>
        <v>53</v>
      </c>
      <c r="R147" s="14" t="n">
        <f aca="false">J147</f>
        <v>8.5</v>
      </c>
      <c r="S147" s="14" t="n">
        <f aca="false">IF($L147=2012,1,0)</f>
        <v>0</v>
      </c>
      <c r="T147" s="14" t="n">
        <f aca="false">IF($L147=2013,1,0)</f>
        <v>0</v>
      </c>
      <c r="U147" s="14" t="n">
        <f aca="false">IF($L147=2014,1,0)</f>
        <v>0</v>
      </c>
      <c r="V147" s="14" t="n">
        <f aca="false">IF($L147=2015,1,0)</f>
        <v>0</v>
      </c>
      <c r="W147" s="14" t="n">
        <f aca="false">IF($L147=2016,1,0)</f>
        <v>0</v>
      </c>
      <c r="X147" s="14" t="n">
        <f aca="false">IF($L147=2017,1,0)</f>
        <v>1</v>
      </c>
      <c r="Y147" s="14" t="n">
        <f aca="false">IF($H147="Beginner Level",1,0)</f>
        <v>0</v>
      </c>
      <c r="Z147" s="14" t="n">
        <f aca="false">IF($H147="Expert Level",1,0)</f>
        <v>0</v>
      </c>
      <c r="AA147" s="14" t="n">
        <f aca="false">IF($H147="Intermediate Level",1,0)</f>
        <v>0</v>
      </c>
      <c r="AC147" s="14" t="n">
        <f aca="false">N147</f>
        <v>5.16484311514807</v>
      </c>
      <c r="AD147" s="14" t="n">
        <f aca="false">G147</f>
        <v>53</v>
      </c>
      <c r="AE147" s="14" t="n">
        <f aca="false">J147</f>
        <v>8.5</v>
      </c>
      <c r="AF147" s="14" t="n">
        <f aca="false">IF($L147=2012,1,0)</f>
        <v>0</v>
      </c>
      <c r="AG147" s="14" t="n">
        <f aca="false">IF($L147=2013,1,0)</f>
        <v>0</v>
      </c>
      <c r="AH147" s="14" t="n">
        <f aca="false">IF($L147=2014,1,0)</f>
        <v>0</v>
      </c>
      <c r="AI147" s="14" t="n">
        <f aca="false">IF($L147=2015,1,0)</f>
        <v>0</v>
      </c>
      <c r="AJ147" s="14" t="n">
        <f aca="false">IF($L147=2016,1,0)</f>
        <v>0</v>
      </c>
      <c r="AK147" s="14" t="n">
        <f aca="false">IF($L147=2017,1,0)</f>
        <v>1</v>
      </c>
      <c r="AL147" s="14" t="n">
        <f aca="false">IF($H147="Beginner Level",1,0)</f>
        <v>0</v>
      </c>
      <c r="AM147" s="14" t="n">
        <f aca="false">IF($H147="Expert Level",1,0)</f>
        <v>0</v>
      </c>
      <c r="AN147" s="14" t="n">
        <f aca="false">IF($H147="Intermediate Level",1,0)</f>
        <v>0</v>
      </c>
    </row>
    <row r="148" customFormat="false" ht="91" hidden="false" customHeight="false" outlineLevel="0" collapsed="false">
      <c r="A148" s="14" t="n">
        <v>732556</v>
      </c>
      <c r="B148" s="14" t="s">
        <v>348</v>
      </c>
      <c r="C148" s="14" t="s">
        <v>349</v>
      </c>
      <c r="D148" s="14" t="n">
        <v>20</v>
      </c>
      <c r="E148" s="14" t="n">
        <v>12781</v>
      </c>
      <c r="F148" s="14" t="n">
        <v>145</v>
      </c>
      <c r="G148" s="14" t="n">
        <v>22</v>
      </c>
      <c r="H148" s="14" t="s">
        <v>71</v>
      </c>
      <c r="I148" s="14" t="n">
        <v>0.96</v>
      </c>
      <c r="J148" s="14" t="n">
        <v>2.5</v>
      </c>
      <c r="K148" s="14" t="s">
        <v>59</v>
      </c>
      <c r="L148" s="14" t="n">
        <v>2016</v>
      </c>
      <c r="M148" s="14" t="n">
        <v>9.45571497213171</v>
      </c>
      <c r="N148" s="14" t="n">
        <v>2.99623214859564</v>
      </c>
      <c r="P148" s="14" t="n">
        <f aca="false">D148</f>
        <v>20</v>
      </c>
      <c r="Q148" s="14" t="n">
        <f aca="false">G148</f>
        <v>22</v>
      </c>
      <c r="R148" s="14" t="n">
        <f aca="false">J148</f>
        <v>2.5</v>
      </c>
      <c r="S148" s="14" t="n">
        <f aca="false">IF($L148=2012,1,0)</f>
        <v>0</v>
      </c>
      <c r="T148" s="14" t="n">
        <f aca="false">IF($L148=2013,1,0)</f>
        <v>0</v>
      </c>
      <c r="U148" s="14" t="n">
        <f aca="false">IF($L148=2014,1,0)</f>
        <v>0</v>
      </c>
      <c r="V148" s="14" t="n">
        <f aca="false">IF($L148=2015,1,0)</f>
        <v>0</v>
      </c>
      <c r="W148" s="14" t="n">
        <f aca="false">IF($L148=2016,1,0)</f>
        <v>1</v>
      </c>
      <c r="X148" s="14" t="n">
        <f aca="false">IF($L148=2017,1,0)</f>
        <v>0</v>
      </c>
      <c r="Y148" s="14" t="n">
        <f aca="false">IF($H148="Beginner Level",1,0)</f>
        <v>0</v>
      </c>
      <c r="Z148" s="14" t="n">
        <f aca="false">IF($H148="Expert Level",1,0)</f>
        <v>0</v>
      </c>
      <c r="AA148" s="14" t="n">
        <f aca="false">IF($H148="Intermediate Level",1,0)</f>
        <v>1</v>
      </c>
      <c r="AC148" s="14" t="n">
        <f aca="false">N148</f>
        <v>2.99623214859564</v>
      </c>
      <c r="AD148" s="14" t="n">
        <f aca="false">G148</f>
        <v>22</v>
      </c>
      <c r="AE148" s="14" t="n">
        <f aca="false">J148</f>
        <v>2.5</v>
      </c>
      <c r="AF148" s="14" t="n">
        <f aca="false">IF($L148=2012,1,0)</f>
        <v>0</v>
      </c>
      <c r="AG148" s="14" t="n">
        <f aca="false">IF($L148=2013,1,0)</f>
        <v>0</v>
      </c>
      <c r="AH148" s="14" t="n">
        <f aca="false">IF($L148=2014,1,0)</f>
        <v>0</v>
      </c>
      <c r="AI148" s="14" t="n">
        <f aca="false">IF($L148=2015,1,0)</f>
        <v>0</v>
      </c>
      <c r="AJ148" s="14" t="n">
        <f aca="false">IF($L148=2016,1,0)</f>
        <v>1</v>
      </c>
      <c r="AK148" s="14" t="n">
        <f aca="false">IF($L148=2017,1,0)</f>
        <v>0</v>
      </c>
      <c r="AL148" s="14" t="n">
        <f aca="false">IF($H148="Beginner Level",1,0)</f>
        <v>0</v>
      </c>
      <c r="AM148" s="14" t="n">
        <f aca="false">IF($H148="Expert Level",1,0)</f>
        <v>0</v>
      </c>
      <c r="AN148" s="14" t="n">
        <f aca="false">IF($H148="Intermediate Level",1,0)</f>
        <v>1</v>
      </c>
    </row>
    <row r="149" customFormat="false" ht="68.65" hidden="false" customHeight="false" outlineLevel="0" collapsed="false">
      <c r="A149" s="14" t="n">
        <v>561136</v>
      </c>
      <c r="B149" s="14" t="s">
        <v>350</v>
      </c>
      <c r="C149" s="14" t="s">
        <v>351</v>
      </c>
      <c r="D149" s="14" t="n">
        <v>75</v>
      </c>
      <c r="E149" s="14" t="n">
        <v>12629</v>
      </c>
      <c r="F149" s="14" t="n">
        <v>88</v>
      </c>
      <c r="G149" s="14" t="n">
        <v>36</v>
      </c>
      <c r="H149" s="14" t="s">
        <v>52</v>
      </c>
      <c r="I149" s="14" t="n">
        <v>0.99</v>
      </c>
      <c r="J149" s="14" t="n">
        <v>1.5</v>
      </c>
      <c r="K149" s="14" t="s">
        <v>59</v>
      </c>
      <c r="L149" s="14" t="n">
        <v>2015</v>
      </c>
      <c r="M149" s="14" t="n">
        <v>9.44375103564617</v>
      </c>
      <c r="N149" s="14" t="n">
        <v>4.31762143798155</v>
      </c>
      <c r="P149" s="14" t="n">
        <f aca="false">D149</f>
        <v>75</v>
      </c>
      <c r="Q149" s="14" t="n">
        <f aca="false">G149</f>
        <v>36</v>
      </c>
      <c r="R149" s="14" t="n">
        <f aca="false">J149</f>
        <v>1.5</v>
      </c>
      <c r="S149" s="14" t="n">
        <f aca="false">IF($L149=2012,1,0)</f>
        <v>0</v>
      </c>
      <c r="T149" s="14" t="n">
        <f aca="false">IF($L149=2013,1,0)</f>
        <v>0</v>
      </c>
      <c r="U149" s="14" t="n">
        <f aca="false">IF($L149=2014,1,0)</f>
        <v>0</v>
      </c>
      <c r="V149" s="14" t="n">
        <f aca="false">IF($L149=2015,1,0)</f>
        <v>1</v>
      </c>
      <c r="W149" s="14" t="n">
        <f aca="false">IF($L149=2016,1,0)</f>
        <v>0</v>
      </c>
      <c r="X149" s="14" t="n">
        <f aca="false">IF($L149=2017,1,0)</f>
        <v>0</v>
      </c>
      <c r="Y149" s="14" t="n">
        <f aca="false">IF($H149="Beginner Level",1,0)</f>
        <v>1</v>
      </c>
      <c r="Z149" s="14" t="n">
        <f aca="false">IF($H149="Expert Level",1,0)</f>
        <v>0</v>
      </c>
      <c r="AA149" s="14" t="n">
        <f aca="false">IF($H149="Intermediate Level",1,0)</f>
        <v>0</v>
      </c>
      <c r="AC149" s="14" t="n">
        <f aca="false">N149</f>
        <v>4.31762143798155</v>
      </c>
      <c r="AD149" s="14" t="n">
        <f aca="false">G149</f>
        <v>36</v>
      </c>
      <c r="AE149" s="14" t="n">
        <f aca="false">J149</f>
        <v>1.5</v>
      </c>
      <c r="AF149" s="14" t="n">
        <f aca="false">IF($L149=2012,1,0)</f>
        <v>0</v>
      </c>
      <c r="AG149" s="14" t="n">
        <f aca="false">IF($L149=2013,1,0)</f>
        <v>0</v>
      </c>
      <c r="AH149" s="14" t="n">
        <f aca="false">IF($L149=2014,1,0)</f>
        <v>0</v>
      </c>
      <c r="AI149" s="14" t="n">
        <f aca="false">IF($L149=2015,1,0)</f>
        <v>1</v>
      </c>
      <c r="AJ149" s="14" t="n">
        <f aca="false">IF($L149=2016,1,0)</f>
        <v>0</v>
      </c>
      <c r="AK149" s="14" t="n">
        <f aca="false">IF($L149=2017,1,0)</f>
        <v>0</v>
      </c>
      <c r="AL149" s="14" t="n">
        <f aca="false">IF($H149="Beginner Level",1,0)</f>
        <v>1</v>
      </c>
      <c r="AM149" s="14" t="n">
        <f aca="false">IF($H149="Expert Level",1,0)</f>
        <v>0</v>
      </c>
      <c r="AN149" s="14" t="n">
        <f aca="false">IF($H149="Intermediate Level",1,0)</f>
        <v>0</v>
      </c>
    </row>
    <row r="150" customFormat="false" ht="68.65" hidden="false" customHeight="false" outlineLevel="0" collapsed="false">
      <c r="A150" s="14" t="n">
        <v>188828</v>
      </c>
      <c r="B150" s="14" t="s">
        <v>352</v>
      </c>
      <c r="C150" s="14" t="s">
        <v>353</v>
      </c>
      <c r="D150" s="14" t="n">
        <v>0</v>
      </c>
      <c r="E150" s="14" t="n">
        <v>12563</v>
      </c>
      <c r="F150" s="14" t="n">
        <v>239</v>
      </c>
      <c r="G150" s="14" t="n">
        <v>11</v>
      </c>
      <c r="H150" s="14" t="s">
        <v>62</v>
      </c>
      <c r="I150" s="14" t="n">
        <v>0.18</v>
      </c>
      <c r="J150" s="14" t="n">
        <v>0.56666667</v>
      </c>
      <c r="K150" s="14" t="s">
        <v>53</v>
      </c>
      <c r="L150" s="14" t="n">
        <v>2014</v>
      </c>
      <c r="M150" s="14" t="n">
        <v>9.43851126500442</v>
      </c>
      <c r="N150" s="14" t="n">
        <v>-4.60517018598809</v>
      </c>
      <c r="P150" s="14" t="n">
        <f aca="false">D150</f>
        <v>0</v>
      </c>
      <c r="Q150" s="14" t="n">
        <f aca="false">G150</f>
        <v>11</v>
      </c>
      <c r="R150" s="14" t="n">
        <f aca="false">J150</f>
        <v>0.56666667</v>
      </c>
      <c r="S150" s="14" t="n">
        <f aca="false">IF($L150=2012,1,0)</f>
        <v>0</v>
      </c>
      <c r="T150" s="14" t="n">
        <f aca="false">IF($L150=2013,1,0)</f>
        <v>0</v>
      </c>
      <c r="U150" s="14" t="n">
        <f aca="false">IF($L150=2014,1,0)</f>
        <v>1</v>
      </c>
      <c r="V150" s="14" t="n">
        <f aca="false">IF($L150=2015,1,0)</f>
        <v>0</v>
      </c>
      <c r="W150" s="14" t="n">
        <f aca="false">IF($L150=2016,1,0)</f>
        <v>0</v>
      </c>
      <c r="X150" s="14" t="n">
        <f aca="false">IF($L150=2017,1,0)</f>
        <v>0</v>
      </c>
      <c r="Y150" s="14" t="n">
        <f aca="false">IF($H150="Beginner Level",1,0)</f>
        <v>0</v>
      </c>
      <c r="Z150" s="14" t="n">
        <f aca="false">IF($H150="Expert Level",1,0)</f>
        <v>0</v>
      </c>
      <c r="AA150" s="14" t="n">
        <f aca="false">IF($H150="Intermediate Level",1,0)</f>
        <v>0</v>
      </c>
      <c r="AC150" s="14" t="n">
        <f aca="false">N150</f>
        <v>-4.60517018598809</v>
      </c>
      <c r="AD150" s="14" t="n">
        <f aca="false">G150</f>
        <v>11</v>
      </c>
      <c r="AE150" s="14" t="n">
        <f aca="false">J150</f>
        <v>0.56666667</v>
      </c>
      <c r="AF150" s="14" t="n">
        <f aca="false">IF($L150=2012,1,0)</f>
        <v>0</v>
      </c>
      <c r="AG150" s="14" t="n">
        <f aca="false">IF($L150=2013,1,0)</f>
        <v>0</v>
      </c>
      <c r="AH150" s="14" t="n">
        <f aca="false">IF($L150=2014,1,0)</f>
        <v>1</v>
      </c>
      <c r="AI150" s="14" t="n">
        <f aca="false">IF($L150=2015,1,0)</f>
        <v>0</v>
      </c>
      <c r="AJ150" s="14" t="n">
        <f aca="false">IF($L150=2016,1,0)</f>
        <v>0</v>
      </c>
      <c r="AK150" s="14" t="n">
        <f aca="false">IF($L150=2017,1,0)</f>
        <v>0</v>
      </c>
      <c r="AL150" s="14" t="n">
        <f aca="false">IF($H150="Beginner Level",1,0)</f>
        <v>0</v>
      </c>
      <c r="AM150" s="14" t="n">
        <f aca="false">IF($H150="Expert Level",1,0)</f>
        <v>0</v>
      </c>
      <c r="AN150" s="14" t="n">
        <f aca="false">IF($H150="Intermediate Level",1,0)</f>
        <v>0</v>
      </c>
    </row>
    <row r="151" customFormat="false" ht="35.05" hidden="false" customHeight="false" outlineLevel="0" collapsed="false">
      <c r="A151" s="14" t="n">
        <v>8325</v>
      </c>
      <c r="B151" s="14" t="s">
        <v>354</v>
      </c>
      <c r="C151" s="14" t="s">
        <v>355</v>
      </c>
      <c r="D151" s="14" t="n">
        <v>20</v>
      </c>
      <c r="E151" s="14" t="n">
        <v>12458</v>
      </c>
      <c r="F151" s="14" t="n">
        <v>253</v>
      </c>
      <c r="G151" s="14" t="n">
        <v>82</v>
      </c>
      <c r="H151" s="14" t="s">
        <v>52</v>
      </c>
      <c r="I151" s="14" t="n">
        <v>0.76</v>
      </c>
      <c r="J151" s="14" t="n">
        <v>4</v>
      </c>
      <c r="K151" s="14" t="s">
        <v>59</v>
      </c>
      <c r="L151" s="14" t="n">
        <v>2011</v>
      </c>
      <c r="M151" s="14" t="n">
        <v>9.43011826581409</v>
      </c>
      <c r="N151" s="14" t="n">
        <v>2.99623214859564</v>
      </c>
      <c r="P151" s="14" t="n">
        <f aca="false">D151</f>
        <v>20</v>
      </c>
      <c r="Q151" s="14" t="n">
        <f aca="false">G151</f>
        <v>82</v>
      </c>
      <c r="R151" s="14" t="n">
        <f aca="false">J151</f>
        <v>4</v>
      </c>
      <c r="S151" s="14" t="n">
        <f aca="false">IF($L151=2012,1,0)</f>
        <v>0</v>
      </c>
      <c r="T151" s="14" t="n">
        <f aca="false">IF($L151=2013,1,0)</f>
        <v>0</v>
      </c>
      <c r="U151" s="14" t="n">
        <f aca="false">IF($L151=2014,1,0)</f>
        <v>0</v>
      </c>
      <c r="V151" s="14" t="n">
        <f aca="false">IF($L151=2015,1,0)</f>
        <v>0</v>
      </c>
      <c r="W151" s="14" t="n">
        <f aca="false">IF($L151=2016,1,0)</f>
        <v>0</v>
      </c>
      <c r="X151" s="14" t="n">
        <f aca="false">IF($L151=2017,1,0)</f>
        <v>0</v>
      </c>
      <c r="Y151" s="14" t="n">
        <f aca="false">IF($H151="Beginner Level",1,0)</f>
        <v>1</v>
      </c>
      <c r="Z151" s="14" t="n">
        <f aca="false">IF($H151="Expert Level",1,0)</f>
        <v>0</v>
      </c>
      <c r="AA151" s="14" t="n">
        <f aca="false">IF($H151="Intermediate Level",1,0)</f>
        <v>0</v>
      </c>
      <c r="AC151" s="14" t="n">
        <f aca="false">N151</f>
        <v>2.99623214859564</v>
      </c>
      <c r="AD151" s="14" t="n">
        <f aca="false">G151</f>
        <v>82</v>
      </c>
      <c r="AE151" s="14" t="n">
        <f aca="false">J151</f>
        <v>4</v>
      </c>
      <c r="AF151" s="14" t="n">
        <f aca="false">IF($L151=2012,1,0)</f>
        <v>0</v>
      </c>
      <c r="AG151" s="14" t="n">
        <f aca="false">IF($L151=2013,1,0)</f>
        <v>0</v>
      </c>
      <c r="AH151" s="14" t="n">
        <f aca="false">IF($L151=2014,1,0)</f>
        <v>0</v>
      </c>
      <c r="AI151" s="14" t="n">
        <f aca="false">IF($L151=2015,1,0)</f>
        <v>0</v>
      </c>
      <c r="AJ151" s="14" t="n">
        <f aca="false">IF($L151=2016,1,0)</f>
        <v>0</v>
      </c>
      <c r="AK151" s="14" t="n">
        <f aca="false">IF($L151=2017,1,0)</f>
        <v>0</v>
      </c>
      <c r="AL151" s="14" t="n">
        <f aca="false">IF($H151="Beginner Level",1,0)</f>
        <v>1</v>
      </c>
      <c r="AM151" s="14" t="n">
        <f aca="false">IF($H151="Expert Level",1,0)</f>
        <v>0</v>
      </c>
      <c r="AN151" s="14" t="n">
        <f aca="false">IF($H151="Intermediate Level",1,0)</f>
        <v>0</v>
      </c>
    </row>
    <row r="152" customFormat="false" ht="68.65" hidden="false" customHeight="false" outlineLevel="0" collapsed="false">
      <c r="A152" s="14" t="n">
        <v>657734</v>
      </c>
      <c r="B152" s="14" t="s">
        <v>356</v>
      </c>
      <c r="C152" s="14" t="s">
        <v>357</v>
      </c>
      <c r="D152" s="14" t="n">
        <v>195</v>
      </c>
      <c r="E152" s="14" t="n">
        <v>12368</v>
      </c>
      <c r="F152" s="14" t="n">
        <v>89</v>
      </c>
      <c r="G152" s="14" t="n">
        <v>26</v>
      </c>
      <c r="H152" s="14" t="s">
        <v>71</v>
      </c>
      <c r="I152" s="14" t="n">
        <v>0.14</v>
      </c>
      <c r="J152" s="14" t="n">
        <v>3.5</v>
      </c>
      <c r="K152" s="14" t="s">
        <v>59</v>
      </c>
      <c r="L152" s="14" t="n">
        <v>2015</v>
      </c>
      <c r="M152" s="14" t="n">
        <v>9.4228677708272</v>
      </c>
      <c r="N152" s="14" t="n">
        <v>5.27305083930015</v>
      </c>
      <c r="P152" s="14" t="n">
        <f aca="false">D152</f>
        <v>195</v>
      </c>
      <c r="Q152" s="14" t="n">
        <f aca="false">G152</f>
        <v>26</v>
      </c>
      <c r="R152" s="14" t="n">
        <f aca="false">J152</f>
        <v>3.5</v>
      </c>
      <c r="S152" s="14" t="n">
        <f aca="false">IF($L152=2012,1,0)</f>
        <v>0</v>
      </c>
      <c r="T152" s="14" t="n">
        <f aca="false">IF($L152=2013,1,0)</f>
        <v>0</v>
      </c>
      <c r="U152" s="14" t="n">
        <f aca="false">IF($L152=2014,1,0)</f>
        <v>0</v>
      </c>
      <c r="V152" s="14" t="n">
        <f aca="false">IF($L152=2015,1,0)</f>
        <v>1</v>
      </c>
      <c r="W152" s="14" t="n">
        <f aca="false">IF($L152=2016,1,0)</f>
        <v>0</v>
      </c>
      <c r="X152" s="14" t="n">
        <f aca="false">IF($L152=2017,1,0)</f>
        <v>0</v>
      </c>
      <c r="Y152" s="14" t="n">
        <f aca="false">IF($H152="Beginner Level",1,0)</f>
        <v>0</v>
      </c>
      <c r="Z152" s="14" t="n">
        <f aca="false">IF($H152="Expert Level",1,0)</f>
        <v>0</v>
      </c>
      <c r="AA152" s="14" t="n">
        <f aca="false">IF($H152="Intermediate Level",1,0)</f>
        <v>1</v>
      </c>
      <c r="AC152" s="14" t="n">
        <f aca="false">N152</f>
        <v>5.27305083930015</v>
      </c>
      <c r="AD152" s="14" t="n">
        <f aca="false">G152</f>
        <v>26</v>
      </c>
      <c r="AE152" s="14" t="n">
        <f aca="false">J152</f>
        <v>3.5</v>
      </c>
      <c r="AF152" s="14" t="n">
        <f aca="false">IF($L152=2012,1,0)</f>
        <v>0</v>
      </c>
      <c r="AG152" s="14" t="n">
        <f aca="false">IF($L152=2013,1,0)</f>
        <v>0</v>
      </c>
      <c r="AH152" s="14" t="n">
        <f aca="false">IF($L152=2014,1,0)</f>
        <v>0</v>
      </c>
      <c r="AI152" s="14" t="n">
        <f aca="false">IF($L152=2015,1,0)</f>
        <v>1</v>
      </c>
      <c r="AJ152" s="14" t="n">
        <f aca="false">IF($L152=2016,1,0)</f>
        <v>0</v>
      </c>
      <c r="AK152" s="14" t="n">
        <f aca="false">IF($L152=2017,1,0)</f>
        <v>0</v>
      </c>
      <c r="AL152" s="14" t="n">
        <f aca="false">IF($H152="Beginner Level",1,0)</f>
        <v>0</v>
      </c>
      <c r="AM152" s="14" t="n">
        <f aca="false">IF($H152="Expert Level",1,0)</f>
        <v>0</v>
      </c>
      <c r="AN152" s="14" t="n">
        <f aca="false">IF($H152="Intermediate Level",1,0)</f>
        <v>1</v>
      </c>
    </row>
    <row r="153" customFormat="false" ht="57.45" hidden="false" customHeight="false" outlineLevel="0" collapsed="false">
      <c r="A153" s="14" t="n">
        <v>1247828</v>
      </c>
      <c r="B153" s="14" t="s">
        <v>358</v>
      </c>
      <c r="C153" s="14" t="s">
        <v>359</v>
      </c>
      <c r="D153" s="14" t="n">
        <v>120</v>
      </c>
      <c r="E153" s="14" t="n">
        <v>12366</v>
      </c>
      <c r="F153" s="14" t="n">
        <v>506</v>
      </c>
      <c r="G153" s="14" t="n">
        <v>120</v>
      </c>
      <c r="H153" s="14" t="s">
        <v>52</v>
      </c>
      <c r="I153" s="14" t="n">
        <v>0.2</v>
      </c>
      <c r="J153" s="14" t="n">
        <v>9</v>
      </c>
      <c r="K153" s="14" t="s">
        <v>59</v>
      </c>
      <c r="L153" s="14" t="n">
        <v>2017</v>
      </c>
      <c r="M153" s="14" t="n">
        <v>9.42270605011851</v>
      </c>
      <c r="N153" s="14" t="n">
        <v>4.78757507264335</v>
      </c>
      <c r="P153" s="14" t="n">
        <f aca="false">D153</f>
        <v>120</v>
      </c>
      <c r="Q153" s="14" t="n">
        <f aca="false">G153</f>
        <v>120</v>
      </c>
      <c r="R153" s="14" t="n">
        <f aca="false">J153</f>
        <v>9</v>
      </c>
      <c r="S153" s="14" t="n">
        <f aca="false">IF($L153=2012,1,0)</f>
        <v>0</v>
      </c>
      <c r="T153" s="14" t="n">
        <f aca="false">IF($L153=2013,1,0)</f>
        <v>0</v>
      </c>
      <c r="U153" s="14" t="n">
        <f aca="false">IF($L153=2014,1,0)</f>
        <v>0</v>
      </c>
      <c r="V153" s="14" t="n">
        <f aca="false">IF($L153=2015,1,0)</f>
        <v>0</v>
      </c>
      <c r="W153" s="14" t="n">
        <f aca="false">IF($L153=2016,1,0)</f>
        <v>0</v>
      </c>
      <c r="X153" s="14" t="n">
        <f aca="false">IF($L153=2017,1,0)</f>
        <v>1</v>
      </c>
      <c r="Y153" s="14" t="n">
        <f aca="false">IF($H153="Beginner Level",1,0)</f>
        <v>1</v>
      </c>
      <c r="Z153" s="14" t="n">
        <f aca="false">IF($H153="Expert Level",1,0)</f>
        <v>0</v>
      </c>
      <c r="AA153" s="14" t="n">
        <f aca="false">IF($H153="Intermediate Level",1,0)</f>
        <v>0</v>
      </c>
      <c r="AC153" s="14" t="n">
        <f aca="false">N153</f>
        <v>4.78757507264335</v>
      </c>
      <c r="AD153" s="14" t="n">
        <f aca="false">G153</f>
        <v>120</v>
      </c>
      <c r="AE153" s="14" t="n">
        <f aca="false">J153</f>
        <v>9</v>
      </c>
      <c r="AF153" s="14" t="n">
        <f aca="false">IF($L153=2012,1,0)</f>
        <v>0</v>
      </c>
      <c r="AG153" s="14" t="n">
        <f aca="false">IF($L153=2013,1,0)</f>
        <v>0</v>
      </c>
      <c r="AH153" s="14" t="n">
        <f aca="false">IF($L153=2014,1,0)</f>
        <v>0</v>
      </c>
      <c r="AI153" s="14" t="n">
        <f aca="false">IF($L153=2015,1,0)</f>
        <v>0</v>
      </c>
      <c r="AJ153" s="14" t="n">
        <f aca="false">IF($L153=2016,1,0)</f>
        <v>0</v>
      </c>
      <c r="AK153" s="14" t="n">
        <f aca="false">IF($L153=2017,1,0)</f>
        <v>1</v>
      </c>
      <c r="AL153" s="14" t="n">
        <f aca="false">IF($H153="Beginner Level",1,0)</f>
        <v>1</v>
      </c>
      <c r="AM153" s="14" t="n">
        <f aca="false">IF($H153="Expert Level",1,0)</f>
        <v>0</v>
      </c>
      <c r="AN153" s="14" t="n">
        <f aca="false">IF($H153="Intermediate Level",1,0)</f>
        <v>0</v>
      </c>
    </row>
    <row r="154" customFormat="false" ht="46.25" hidden="false" customHeight="false" outlineLevel="0" collapsed="false">
      <c r="A154" s="14" t="n">
        <v>777654</v>
      </c>
      <c r="B154" s="14" t="s">
        <v>360</v>
      </c>
      <c r="C154" s="14" t="s">
        <v>361</v>
      </c>
      <c r="D154" s="14" t="n">
        <v>0</v>
      </c>
      <c r="E154" s="14" t="n">
        <v>12336</v>
      </c>
      <c r="F154" s="14" t="n">
        <v>271</v>
      </c>
      <c r="G154" s="14" t="n">
        <v>26</v>
      </c>
      <c r="H154" s="14" t="s">
        <v>52</v>
      </c>
      <c r="I154" s="14" t="n">
        <v>0.96</v>
      </c>
      <c r="J154" s="14" t="n">
        <v>3.5</v>
      </c>
      <c r="K154" s="14" t="s">
        <v>53</v>
      </c>
      <c r="L154" s="14" t="n">
        <v>2016</v>
      </c>
      <c r="M154" s="14" t="n">
        <v>9.42027709580311</v>
      </c>
      <c r="N154" s="14" t="n">
        <v>-4.60517018598809</v>
      </c>
      <c r="P154" s="14" t="n">
        <f aca="false">D154</f>
        <v>0</v>
      </c>
      <c r="Q154" s="14" t="n">
        <f aca="false">G154</f>
        <v>26</v>
      </c>
      <c r="R154" s="14" t="n">
        <f aca="false">J154</f>
        <v>3.5</v>
      </c>
      <c r="S154" s="14" t="n">
        <f aca="false">IF($L154=2012,1,0)</f>
        <v>0</v>
      </c>
      <c r="T154" s="14" t="n">
        <f aca="false">IF($L154=2013,1,0)</f>
        <v>0</v>
      </c>
      <c r="U154" s="14" t="n">
        <f aca="false">IF($L154=2014,1,0)</f>
        <v>0</v>
      </c>
      <c r="V154" s="14" t="n">
        <f aca="false">IF($L154=2015,1,0)</f>
        <v>0</v>
      </c>
      <c r="W154" s="14" t="n">
        <f aca="false">IF($L154=2016,1,0)</f>
        <v>1</v>
      </c>
      <c r="X154" s="14" t="n">
        <f aca="false">IF($L154=2017,1,0)</f>
        <v>0</v>
      </c>
      <c r="Y154" s="14" t="n">
        <f aca="false">IF($H154="Beginner Level",1,0)</f>
        <v>1</v>
      </c>
      <c r="Z154" s="14" t="n">
        <f aca="false">IF($H154="Expert Level",1,0)</f>
        <v>0</v>
      </c>
      <c r="AA154" s="14" t="n">
        <f aca="false">IF($H154="Intermediate Level",1,0)</f>
        <v>0</v>
      </c>
      <c r="AC154" s="14" t="n">
        <f aca="false">N154</f>
        <v>-4.60517018598809</v>
      </c>
      <c r="AD154" s="14" t="n">
        <f aca="false">G154</f>
        <v>26</v>
      </c>
      <c r="AE154" s="14" t="n">
        <f aca="false">J154</f>
        <v>3.5</v>
      </c>
      <c r="AF154" s="14" t="n">
        <f aca="false">IF($L154=2012,1,0)</f>
        <v>0</v>
      </c>
      <c r="AG154" s="14" t="n">
        <f aca="false">IF($L154=2013,1,0)</f>
        <v>0</v>
      </c>
      <c r="AH154" s="14" t="n">
        <f aca="false">IF($L154=2014,1,0)</f>
        <v>0</v>
      </c>
      <c r="AI154" s="14" t="n">
        <f aca="false">IF($L154=2015,1,0)</f>
        <v>0</v>
      </c>
      <c r="AJ154" s="14" t="n">
        <f aca="false">IF($L154=2016,1,0)</f>
        <v>1</v>
      </c>
      <c r="AK154" s="14" t="n">
        <f aca="false">IF($L154=2017,1,0)</f>
        <v>0</v>
      </c>
      <c r="AL154" s="14" t="n">
        <f aca="false">IF($H154="Beginner Level",1,0)</f>
        <v>1</v>
      </c>
      <c r="AM154" s="14" t="n">
        <f aca="false">IF($H154="Expert Level",1,0)</f>
        <v>0</v>
      </c>
      <c r="AN154" s="14" t="n">
        <f aca="false">IF($H154="Intermediate Level",1,0)</f>
        <v>0</v>
      </c>
    </row>
    <row r="155" customFormat="false" ht="68.65" hidden="false" customHeight="false" outlineLevel="0" collapsed="false">
      <c r="A155" s="14" t="n">
        <v>217010</v>
      </c>
      <c r="B155" s="14" t="s">
        <v>362</v>
      </c>
      <c r="C155" s="14" t="s">
        <v>363</v>
      </c>
      <c r="D155" s="14" t="n">
        <v>50</v>
      </c>
      <c r="E155" s="14" t="n">
        <v>12328</v>
      </c>
      <c r="F155" s="14" t="n">
        <v>15</v>
      </c>
      <c r="G155" s="14" t="n">
        <v>32</v>
      </c>
      <c r="H155" s="14" t="s">
        <v>62</v>
      </c>
      <c r="I155" s="14" t="n">
        <v>0.89</v>
      </c>
      <c r="J155" s="14" t="n">
        <v>2</v>
      </c>
      <c r="K155" s="14" t="s">
        <v>59</v>
      </c>
      <c r="L155" s="14" t="n">
        <v>2014</v>
      </c>
      <c r="M155" s="14" t="n">
        <v>9.41962837699995</v>
      </c>
      <c r="N155" s="14" t="n">
        <v>3.91222298543081</v>
      </c>
      <c r="P155" s="14" t="n">
        <f aca="false">D155</f>
        <v>50</v>
      </c>
      <c r="Q155" s="14" t="n">
        <f aca="false">G155</f>
        <v>32</v>
      </c>
      <c r="R155" s="14" t="n">
        <f aca="false">J155</f>
        <v>2</v>
      </c>
      <c r="S155" s="14" t="n">
        <f aca="false">IF($L155=2012,1,0)</f>
        <v>0</v>
      </c>
      <c r="T155" s="14" t="n">
        <f aca="false">IF($L155=2013,1,0)</f>
        <v>0</v>
      </c>
      <c r="U155" s="14" t="n">
        <f aca="false">IF($L155=2014,1,0)</f>
        <v>1</v>
      </c>
      <c r="V155" s="14" t="n">
        <f aca="false">IF($L155=2015,1,0)</f>
        <v>0</v>
      </c>
      <c r="W155" s="14" t="n">
        <f aca="false">IF($L155=2016,1,0)</f>
        <v>0</v>
      </c>
      <c r="X155" s="14" t="n">
        <f aca="false">IF($L155=2017,1,0)</f>
        <v>0</v>
      </c>
      <c r="Y155" s="14" t="n">
        <f aca="false">IF($H155="Beginner Level",1,0)</f>
        <v>0</v>
      </c>
      <c r="Z155" s="14" t="n">
        <f aca="false">IF($H155="Expert Level",1,0)</f>
        <v>0</v>
      </c>
      <c r="AA155" s="14" t="n">
        <f aca="false">IF($H155="Intermediate Level",1,0)</f>
        <v>0</v>
      </c>
      <c r="AC155" s="14" t="n">
        <f aca="false">N155</f>
        <v>3.91222298543081</v>
      </c>
      <c r="AD155" s="14" t="n">
        <f aca="false">G155</f>
        <v>32</v>
      </c>
      <c r="AE155" s="14" t="n">
        <f aca="false">J155</f>
        <v>2</v>
      </c>
      <c r="AF155" s="14" t="n">
        <f aca="false">IF($L155=2012,1,0)</f>
        <v>0</v>
      </c>
      <c r="AG155" s="14" t="n">
        <f aca="false">IF($L155=2013,1,0)</f>
        <v>0</v>
      </c>
      <c r="AH155" s="14" t="n">
        <f aca="false">IF($L155=2014,1,0)</f>
        <v>1</v>
      </c>
      <c r="AI155" s="14" t="n">
        <f aca="false">IF($L155=2015,1,0)</f>
        <v>0</v>
      </c>
      <c r="AJ155" s="14" t="n">
        <f aca="false">IF($L155=2016,1,0)</f>
        <v>0</v>
      </c>
      <c r="AK155" s="14" t="n">
        <f aca="false">IF($L155=2017,1,0)</f>
        <v>0</v>
      </c>
      <c r="AL155" s="14" t="n">
        <f aca="false">IF($H155="Beginner Level",1,0)</f>
        <v>0</v>
      </c>
      <c r="AM155" s="14" t="n">
        <f aca="false">IF($H155="Expert Level",1,0)</f>
        <v>0</v>
      </c>
      <c r="AN155" s="14" t="n">
        <f aca="false">IF($H155="Intermediate Level",1,0)</f>
        <v>0</v>
      </c>
    </row>
    <row r="156" customFormat="false" ht="57.45" hidden="false" customHeight="false" outlineLevel="0" collapsed="false">
      <c r="A156" s="14" t="n">
        <v>370752</v>
      </c>
      <c r="B156" s="14" t="s">
        <v>364</v>
      </c>
      <c r="C156" s="14" t="s">
        <v>365</v>
      </c>
      <c r="D156" s="14" t="n">
        <v>0</v>
      </c>
      <c r="E156" s="14" t="n">
        <v>12293</v>
      </c>
      <c r="F156" s="14" t="n">
        <v>235</v>
      </c>
      <c r="G156" s="14" t="n">
        <v>18</v>
      </c>
      <c r="H156" s="14" t="s">
        <v>52</v>
      </c>
      <c r="I156" s="14" t="n">
        <v>0.49</v>
      </c>
      <c r="J156" s="14" t="n">
        <v>3</v>
      </c>
      <c r="K156" s="14" t="s">
        <v>53</v>
      </c>
      <c r="L156" s="14" t="n">
        <v>2015</v>
      </c>
      <c r="M156" s="14" t="n">
        <v>9.41678527366734</v>
      </c>
      <c r="N156" s="14" t="n">
        <v>-4.60517018598809</v>
      </c>
      <c r="P156" s="14" t="n">
        <f aca="false">D156</f>
        <v>0</v>
      </c>
      <c r="Q156" s="14" t="n">
        <f aca="false">G156</f>
        <v>18</v>
      </c>
      <c r="R156" s="14" t="n">
        <f aca="false">J156</f>
        <v>3</v>
      </c>
      <c r="S156" s="14" t="n">
        <f aca="false">IF($L156=2012,1,0)</f>
        <v>0</v>
      </c>
      <c r="T156" s="14" t="n">
        <f aca="false">IF($L156=2013,1,0)</f>
        <v>0</v>
      </c>
      <c r="U156" s="14" t="n">
        <f aca="false">IF($L156=2014,1,0)</f>
        <v>0</v>
      </c>
      <c r="V156" s="14" t="n">
        <f aca="false">IF($L156=2015,1,0)</f>
        <v>1</v>
      </c>
      <c r="W156" s="14" t="n">
        <f aca="false">IF($L156=2016,1,0)</f>
        <v>0</v>
      </c>
      <c r="X156" s="14" t="n">
        <f aca="false">IF($L156=2017,1,0)</f>
        <v>0</v>
      </c>
      <c r="Y156" s="14" t="n">
        <f aca="false">IF($H156="Beginner Level",1,0)</f>
        <v>1</v>
      </c>
      <c r="Z156" s="14" t="n">
        <f aca="false">IF($H156="Expert Level",1,0)</f>
        <v>0</v>
      </c>
      <c r="AA156" s="14" t="n">
        <f aca="false">IF($H156="Intermediate Level",1,0)</f>
        <v>0</v>
      </c>
      <c r="AC156" s="14" t="n">
        <f aca="false">N156</f>
        <v>-4.60517018598809</v>
      </c>
      <c r="AD156" s="14" t="n">
        <f aca="false">G156</f>
        <v>18</v>
      </c>
      <c r="AE156" s="14" t="n">
        <f aca="false">J156</f>
        <v>3</v>
      </c>
      <c r="AF156" s="14" t="n">
        <f aca="false">IF($L156=2012,1,0)</f>
        <v>0</v>
      </c>
      <c r="AG156" s="14" t="n">
        <f aca="false">IF($L156=2013,1,0)</f>
        <v>0</v>
      </c>
      <c r="AH156" s="14" t="n">
        <f aca="false">IF($L156=2014,1,0)</f>
        <v>0</v>
      </c>
      <c r="AI156" s="14" t="n">
        <f aca="false">IF($L156=2015,1,0)</f>
        <v>1</v>
      </c>
      <c r="AJ156" s="14" t="n">
        <f aca="false">IF($L156=2016,1,0)</f>
        <v>0</v>
      </c>
      <c r="AK156" s="14" t="n">
        <f aca="false">IF($L156=2017,1,0)</f>
        <v>0</v>
      </c>
      <c r="AL156" s="14" t="n">
        <f aca="false">IF($H156="Beginner Level",1,0)</f>
        <v>1</v>
      </c>
      <c r="AM156" s="14" t="n">
        <f aca="false">IF($H156="Expert Level",1,0)</f>
        <v>0</v>
      </c>
      <c r="AN156" s="14" t="n">
        <f aca="false">IF($H156="Intermediate Level",1,0)</f>
        <v>0</v>
      </c>
    </row>
    <row r="157" customFormat="false" ht="68.65" hidden="false" customHeight="false" outlineLevel="0" collapsed="false">
      <c r="A157" s="14" t="n">
        <v>890810</v>
      </c>
      <c r="B157" s="14" t="s">
        <v>366</v>
      </c>
      <c r="C157" s="14" t="s">
        <v>367</v>
      </c>
      <c r="D157" s="14" t="n">
        <v>0</v>
      </c>
      <c r="E157" s="14" t="n">
        <v>12201</v>
      </c>
      <c r="F157" s="14" t="n">
        <v>217</v>
      </c>
      <c r="G157" s="14" t="n">
        <v>24</v>
      </c>
      <c r="H157" s="14" t="s">
        <v>62</v>
      </c>
      <c r="I157" s="14" t="n">
        <v>0.81</v>
      </c>
      <c r="J157" s="14" t="n">
        <v>5.5</v>
      </c>
      <c r="K157" s="14" t="s">
        <v>53</v>
      </c>
      <c r="L157" s="14" t="n">
        <v>2016</v>
      </c>
      <c r="M157" s="14" t="n">
        <v>9.40927319457533</v>
      </c>
      <c r="N157" s="14" t="n">
        <v>-4.60517018598809</v>
      </c>
      <c r="P157" s="14" t="n">
        <f aca="false">D157</f>
        <v>0</v>
      </c>
      <c r="Q157" s="14" t="n">
        <f aca="false">G157</f>
        <v>24</v>
      </c>
      <c r="R157" s="14" t="n">
        <f aca="false">J157</f>
        <v>5.5</v>
      </c>
      <c r="S157" s="14" t="n">
        <f aca="false">IF($L157=2012,1,0)</f>
        <v>0</v>
      </c>
      <c r="T157" s="14" t="n">
        <f aca="false">IF($L157=2013,1,0)</f>
        <v>0</v>
      </c>
      <c r="U157" s="14" t="n">
        <f aca="false">IF($L157=2014,1,0)</f>
        <v>0</v>
      </c>
      <c r="V157" s="14" t="n">
        <f aca="false">IF($L157=2015,1,0)</f>
        <v>0</v>
      </c>
      <c r="W157" s="14" t="n">
        <f aca="false">IF($L157=2016,1,0)</f>
        <v>1</v>
      </c>
      <c r="X157" s="14" t="n">
        <f aca="false">IF($L157=2017,1,0)</f>
        <v>0</v>
      </c>
      <c r="Y157" s="14" t="n">
        <f aca="false">IF($H157="Beginner Level",1,0)</f>
        <v>0</v>
      </c>
      <c r="Z157" s="14" t="n">
        <f aca="false">IF($H157="Expert Level",1,0)</f>
        <v>0</v>
      </c>
      <c r="AA157" s="14" t="n">
        <f aca="false">IF($H157="Intermediate Level",1,0)</f>
        <v>0</v>
      </c>
      <c r="AC157" s="14" t="n">
        <f aca="false">N157</f>
        <v>-4.60517018598809</v>
      </c>
      <c r="AD157" s="14" t="n">
        <f aca="false">G157</f>
        <v>24</v>
      </c>
      <c r="AE157" s="14" t="n">
        <f aca="false">J157</f>
        <v>5.5</v>
      </c>
      <c r="AF157" s="14" t="n">
        <f aca="false">IF($L157=2012,1,0)</f>
        <v>0</v>
      </c>
      <c r="AG157" s="14" t="n">
        <f aca="false">IF($L157=2013,1,0)</f>
        <v>0</v>
      </c>
      <c r="AH157" s="14" t="n">
        <f aca="false">IF($L157=2014,1,0)</f>
        <v>0</v>
      </c>
      <c r="AI157" s="14" t="n">
        <f aca="false">IF($L157=2015,1,0)</f>
        <v>0</v>
      </c>
      <c r="AJ157" s="14" t="n">
        <f aca="false">IF($L157=2016,1,0)</f>
        <v>1</v>
      </c>
      <c r="AK157" s="14" t="n">
        <f aca="false">IF($L157=2017,1,0)</f>
        <v>0</v>
      </c>
      <c r="AL157" s="14" t="n">
        <f aca="false">IF($H157="Beginner Level",1,0)</f>
        <v>0</v>
      </c>
      <c r="AM157" s="14" t="n">
        <f aca="false">IF($H157="Expert Level",1,0)</f>
        <v>0</v>
      </c>
      <c r="AN157" s="14" t="n">
        <f aca="false">IF($H157="Intermediate Level",1,0)</f>
        <v>0</v>
      </c>
    </row>
    <row r="158" customFormat="false" ht="91" hidden="false" customHeight="false" outlineLevel="0" collapsed="false">
      <c r="A158" s="14" t="n">
        <v>113706</v>
      </c>
      <c r="B158" s="14" t="s">
        <v>368</v>
      </c>
      <c r="C158" s="14" t="s">
        <v>369</v>
      </c>
      <c r="D158" s="14" t="n">
        <v>35</v>
      </c>
      <c r="E158" s="14" t="n">
        <v>12105</v>
      </c>
      <c r="F158" s="14" t="n">
        <v>144</v>
      </c>
      <c r="G158" s="14" t="n">
        <v>54</v>
      </c>
      <c r="H158" s="14" t="s">
        <v>52</v>
      </c>
      <c r="I158" s="14" t="n">
        <v>0.15</v>
      </c>
      <c r="J158" s="14" t="n">
        <v>7.5</v>
      </c>
      <c r="K158" s="14" t="s">
        <v>59</v>
      </c>
      <c r="L158" s="14" t="n">
        <v>2013</v>
      </c>
      <c r="M158" s="14" t="n">
        <v>9.40137386937216</v>
      </c>
      <c r="N158" s="14" t="n">
        <v>3.55563373496657</v>
      </c>
      <c r="P158" s="14" t="n">
        <f aca="false">D158</f>
        <v>35</v>
      </c>
      <c r="Q158" s="14" t="n">
        <f aca="false">G158</f>
        <v>54</v>
      </c>
      <c r="R158" s="14" t="n">
        <f aca="false">J158</f>
        <v>7.5</v>
      </c>
      <c r="S158" s="14" t="n">
        <f aca="false">IF($L158=2012,1,0)</f>
        <v>0</v>
      </c>
      <c r="T158" s="14" t="n">
        <f aca="false">IF($L158=2013,1,0)</f>
        <v>1</v>
      </c>
      <c r="U158" s="14" t="n">
        <f aca="false">IF($L158=2014,1,0)</f>
        <v>0</v>
      </c>
      <c r="V158" s="14" t="n">
        <f aca="false">IF($L158=2015,1,0)</f>
        <v>0</v>
      </c>
      <c r="W158" s="14" t="n">
        <f aca="false">IF($L158=2016,1,0)</f>
        <v>0</v>
      </c>
      <c r="X158" s="14" t="n">
        <f aca="false">IF($L158=2017,1,0)</f>
        <v>0</v>
      </c>
      <c r="Y158" s="14" t="n">
        <f aca="false">IF($H158="Beginner Level",1,0)</f>
        <v>1</v>
      </c>
      <c r="Z158" s="14" t="n">
        <f aca="false">IF($H158="Expert Level",1,0)</f>
        <v>0</v>
      </c>
      <c r="AA158" s="14" t="n">
        <f aca="false">IF($H158="Intermediate Level",1,0)</f>
        <v>0</v>
      </c>
      <c r="AC158" s="14" t="n">
        <f aca="false">N158</f>
        <v>3.55563373496657</v>
      </c>
      <c r="AD158" s="14" t="n">
        <f aca="false">G158</f>
        <v>54</v>
      </c>
      <c r="AE158" s="14" t="n">
        <f aca="false">J158</f>
        <v>7.5</v>
      </c>
      <c r="AF158" s="14" t="n">
        <f aca="false">IF($L158=2012,1,0)</f>
        <v>0</v>
      </c>
      <c r="AG158" s="14" t="n">
        <f aca="false">IF($L158=2013,1,0)</f>
        <v>1</v>
      </c>
      <c r="AH158" s="14" t="n">
        <f aca="false">IF($L158=2014,1,0)</f>
        <v>0</v>
      </c>
      <c r="AI158" s="14" t="n">
        <f aca="false">IF($L158=2015,1,0)</f>
        <v>0</v>
      </c>
      <c r="AJ158" s="14" t="n">
        <f aca="false">IF($L158=2016,1,0)</f>
        <v>0</v>
      </c>
      <c r="AK158" s="14" t="n">
        <f aca="false">IF($L158=2017,1,0)</f>
        <v>0</v>
      </c>
      <c r="AL158" s="14" t="n">
        <f aca="false">IF($H158="Beginner Level",1,0)</f>
        <v>1</v>
      </c>
      <c r="AM158" s="14" t="n">
        <f aca="false">IF($H158="Expert Level",1,0)</f>
        <v>0</v>
      </c>
      <c r="AN158" s="14" t="n">
        <f aca="false">IF($H158="Intermediate Level",1,0)</f>
        <v>0</v>
      </c>
    </row>
    <row r="159" customFormat="false" ht="68.65" hidden="false" customHeight="false" outlineLevel="0" collapsed="false">
      <c r="A159" s="14" t="n">
        <v>723522</v>
      </c>
      <c r="B159" s="14" t="s">
        <v>370</v>
      </c>
      <c r="C159" s="14" t="s">
        <v>371</v>
      </c>
      <c r="D159" s="14" t="n">
        <v>195</v>
      </c>
      <c r="E159" s="14" t="n">
        <v>12068</v>
      </c>
      <c r="F159" s="14" t="n">
        <v>81</v>
      </c>
      <c r="G159" s="14" t="n">
        <v>12</v>
      </c>
      <c r="H159" s="14" t="s">
        <v>71</v>
      </c>
      <c r="I159" s="14" t="n">
        <v>0.74</v>
      </c>
      <c r="J159" s="14" t="n">
        <v>1.5</v>
      </c>
      <c r="K159" s="14" t="s">
        <v>59</v>
      </c>
      <c r="L159" s="14" t="n">
        <v>2016</v>
      </c>
      <c r="M159" s="14" t="n">
        <v>9.39831260027895</v>
      </c>
      <c r="N159" s="14" t="n">
        <v>5.27305083930015</v>
      </c>
      <c r="P159" s="14" t="n">
        <f aca="false">D159</f>
        <v>195</v>
      </c>
      <c r="Q159" s="14" t="n">
        <f aca="false">G159</f>
        <v>12</v>
      </c>
      <c r="R159" s="14" t="n">
        <f aca="false">J159</f>
        <v>1.5</v>
      </c>
      <c r="S159" s="14" t="n">
        <f aca="false">IF($L159=2012,1,0)</f>
        <v>0</v>
      </c>
      <c r="T159" s="14" t="n">
        <f aca="false">IF($L159=2013,1,0)</f>
        <v>0</v>
      </c>
      <c r="U159" s="14" t="n">
        <f aca="false">IF($L159=2014,1,0)</f>
        <v>0</v>
      </c>
      <c r="V159" s="14" t="n">
        <f aca="false">IF($L159=2015,1,0)</f>
        <v>0</v>
      </c>
      <c r="W159" s="14" t="n">
        <f aca="false">IF($L159=2016,1,0)</f>
        <v>1</v>
      </c>
      <c r="X159" s="14" t="n">
        <f aca="false">IF($L159=2017,1,0)</f>
        <v>0</v>
      </c>
      <c r="Y159" s="14" t="n">
        <f aca="false">IF($H159="Beginner Level",1,0)</f>
        <v>0</v>
      </c>
      <c r="Z159" s="14" t="n">
        <f aca="false">IF($H159="Expert Level",1,0)</f>
        <v>0</v>
      </c>
      <c r="AA159" s="14" t="n">
        <f aca="false">IF($H159="Intermediate Level",1,0)</f>
        <v>1</v>
      </c>
      <c r="AC159" s="14" t="n">
        <f aca="false">N159</f>
        <v>5.27305083930015</v>
      </c>
      <c r="AD159" s="14" t="n">
        <f aca="false">G159</f>
        <v>12</v>
      </c>
      <c r="AE159" s="14" t="n">
        <f aca="false">J159</f>
        <v>1.5</v>
      </c>
      <c r="AF159" s="14" t="n">
        <f aca="false">IF($L159=2012,1,0)</f>
        <v>0</v>
      </c>
      <c r="AG159" s="14" t="n">
        <f aca="false">IF($L159=2013,1,0)</f>
        <v>0</v>
      </c>
      <c r="AH159" s="14" t="n">
        <f aca="false">IF($L159=2014,1,0)</f>
        <v>0</v>
      </c>
      <c r="AI159" s="14" t="n">
        <f aca="false">IF($L159=2015,1,0)</f>
        <v>0</v>
      </c>
      <c r="AJ159" s="14" t="n">
        <f aca="false">IF($L159=2016,1,0)</f>
        <v>1</v>
      </c>
      <c r="AK159" s="14" t="n">
        <f aca="false">IF($L159=2017,1,0)</f>
        <v>0</v>
      </c>
      <c r="AL159" s="14" t="n">
        <f aca="false">IF($H159="Beginner Level",1,0)</f>
        <v>0</v>
      </c>
      <c r="AM159" s="14" t="n">
        <f aca="false">IF($H159="Expert Level",1,0)</f>
        <v>0</v>
      </c>
      <c r="AN159" s="14" t="n">
        <f aca="false">IF($H159="Intermediate Level",1,0)</f>
        <v>1</v>
      </c>
    </row>
    <row r="160" customFormat="false" ht="57.45" hidden="false" customHeight="false" outlineLevel="0" collapsed="false">
      <c r="A160" s="14" t="n">
        <v>746014</v>
      </c>
      <c r="B160" s="14" t="s">
        <v>372</v>
      </c>
      <c r="C160" s="14" t="s">
        <v>373</v>
      </c>
      <c r="D160" s="14" t="n">
        <v>195</v>
      </c>
      <c r="E160" s="14" t="n">
        <v>12021</v>
      </c>
      <c r="F160" s="14" t="n">
        <v>660</v>
      </c>
      <c r="G160" s="14" t="n">
        <v>41</v>
      </c>
      <c r="H160" s="14" t="s">
        <v>62</v>
      </c>
      <c r="I160" s="14" t="n">
        <v>0.3</v>
      </c>
      <c r="J160" s="14" t="n">
        <v>4</v>
      </c>
      <c r="K160" s="14" t="s">
        <v>59</v>
      </c>
      <c r="L160" s="14" t="n">
        <v>2016</v>
      </c>
      <c r="M160" s="14" t="n">
        <v>9.39441039930425</v>
      </c>
      <c r="N160" s="14" t="n">
        <v>5.27305083930015</v>
      </c>
      <c r="P160" s="14" t="n">
        <f aca="false">D160</f>
        <v>195</v>
      </c>
      <c r="Q160" s="14" t="n">
        <f aca="false">G160</f>
        <v>41</v>
      </c>
      <c r="R160" s="14" t="n">
        <f aca="false">J160</f>
        <v>4</v>
      </c>
      <c r="S160" s="14" t="n">
        <f aca="false">IF($L160=2012,1,0)</f>
        <v>0</v>
      </c>
      <c r="T160" s="14" t="n">
        <f aca="false">IF($L160=2013,1,0)</f>
        <v>0</v>
      </c>
      <c r="U160" s="14" t="n">
        <f aca="false">IF($L160=2014,1,0)</f>
        <v>0</v>
      </c>
      <c r="V160" s="14" t="n">
        <f aca="false">IF($L160=2015,1,0)</f>
        <v>0</v>
      </c>
      <c r="W160" s="14" t="n">
        <f aca="false">IF($L160=2016,1,0)</f>
        <v>1</v>
      </c>
      <c r="X160" s="14" t="n">
        <f aca="false">IF($L160=2017,1,0)</f>
        <v>0</v>
      </c>
      <c r="Y160" s="14" t="n">
        <f aca="false">IF($H160="Beginner Level",1,0)</f>
        <v>0</v>
      </c>
      <c r="Z160" s="14" t="n">
        <f aca="false">IF($H160="Expert Level",1,0)</f>
        <v>0</v>
      </c>
      <c r="AA160" s="14" t="n">
        <f aca="false">IF($H160="Intermediate Level",1,0)</f>
        <v>0</v>
      </c>
      <c r="AC160" s="14" t="n">
        <f aca="false">N160</f>
        <v>5.27305083930015</v>
      </c>
      <c r="AD160" s="14" t="n">
        <f aca="false">G160</f>
        <v>41</v>
      </c>
      <c r="AE160" s="14" t="n">
        <f aca="false">J160</f>
        <v>4</v>
      </c>
      <c r="AF160" s="14" t="n">
        <f aca="false">IF($L160=2012,1,0)</f>
        <v>0</v>
      </c>
      <c r="AG160" s="14" t="n">
        <f aca="false">IF($L160=2013,1,0)</f>
        <v>0</v>
      </c>
      <c r="AH160" s="14" t="n">
        <f aca="false">IF($L160=2014,1,0)</f>
        <v>0</v>
      </c>
      <c r="AI160" s="14" t="n">
        <f aca="false">IF($L160=2015,1,0)</f>
        <v>0</v>
      </c>
      <c r="AJ160" s="14" t="n">
        <f aca="false">IF($L160=2016,1,0)</f>
        <v>1</v>
      </c>
      <c r="AK160" s="14" t="n">
        <f aca="false">IF($L160=2017,1,0)</f>
        <v>0</v>
      </c>
      <c r="AL160" s="14" t="n">
        <f aca="false">IF($H160="Beginner Level",1,0)</f>
        <v>0</v>
      </c>
      <c r="AM160" s="14" t="n">
        <f aca="false">IF($H160="Expert Level",1,0)</f>
        <v>0</v>
      </c>
      <c r="AN160" s="14" t="n">
        <f aca="false">IF($H160="Intermediate Level",1,0)</f>
        <v>0</v>
      </c>
    </row>
    <row r="161" customFormat="false" ht="91" hidden="false" customHeight="false" outlineLevel="0" collapsed="false">
      <c r="A161" s="14" t="n">
        <v>560996</v>
      </c>
      <c r="B161" s="14" t="s">
        <v>374</v>
      </c>
      <c r="C161" s="14" t="s">
        <v>375</v>
      </c>
      <c r="D161" s="14" t="n">
        <v>100</v>
      </c>
      <c r="E161" s="14" t="n">
        <v>11892</v>
      </c>
      <c r="F161" s="14" t="n">
        <v>50</v>
      </c>
      <c r="G161" s="14" t="n">
        <v>28</v>
      </c>
      <c r="H161" s="14" t="s">
        <v>71</v>
      </c>
      <c r="I161" s="14" t="n">
        <v>0.82</v>
      </c>
      <c r="J161" s="14" t="n">
        <v>2.5</v>
      </c>
      <c r="K161" s="14" t="s">
        <v>59</v>
      </c>
      <c r="L161" s="14" t="n">
        <v>2015</v>
      </c>
      <c r="M161" s="14" t="n">
        <v>9.38362118411799</v>
      </c>
      <c r="N161" s="14" t="n">
        <v>4.60527018098843</v>
      </c>
      <c r="P161" s="14" t="n">
        <f aca="false">D161</f>
        <v>100</v>
      </c>
      <c r="Q161" s="14" t="n">
        <f aca="false">G161</f>
        <v>28</v>
      </c>
      <c r="R161" s="14" t="n">
        <f aca="false">J161</f>
        <v>2.5</v>
      </c>
      <c r="S161" s="14" t="n">
        <f aca="false">IF($L161=2012,1,0)</f>
        <v>0</v>
      </c>
      <c r="T161" s="14" t="n">
        <f aca="false">IF($L161=2013,1,0)</f>
        <v>0</v>
      </c>
      <c r="U161" s="14" t="n">
        <f aca="false">IF($L161=2014,1,0)</f>
        <v>0</v>
      </c>
      <c r="V161" s="14" t="n">
        <f aca="false">IF($L161=2015,1,0)</f>
        <v>1</v>
      </c>
      <c r="W161" s="14" t="n">
        <f aca="false">IF($L161=2016,1,0)</f>
        <v>0</v>
      </c>
      <c r="X161" s="14" t="n">
        <f aca="false">IF($L161=2017,1,0)</f>
        <v>0</v>
      </c>
      <c r="Y161" s="14" t="n">
        <f aca="false">IF($H161="Beginner Level",1,0)</f>
        <v>0</v>
      </c>
      <c r="Z161" s="14" t="n">
        <f aca="false">IF($H161="Expert Level",1,0)</f>
        <v>0</v>
      </c>
      <c r="AA161" s="14" t="n">
        <f aca="false">IF($H161="Intermediate Level",1,0)</f>
        <v>1</v>
      </c>
      <c r="AC161" s="14" t="n">
        <f aca="false">N161</f>
        <v>4.60527018098843</v>
      </c>
      <c r="AD161" s="14" t="n">
        <f aca="false">G161</f>
        <v>28</v>
      </c>
      <c r="AE161" s="14" t="n">
        <f aca="false">J161</f>
        <v>2.5</v>
      </c>
      <c r="AF161" s="14" t="n">
        <f aca="false">IF($L161=2012,1,0)</f>
        <v>0</v>
      </c>
      <c r="AG161" s="14" t="n">
        <f aca="false">IF($L161=2013,1,0)</f>
        <v>0</v>
      </c>
      <c r="AH161" s="14" t="n">
        <f aca="false">IF($L161=2014,1,0)</f>
        <v>0</v>
      </c>
      <c r="AI161" s="14" t="n">
        <f aca="false">IF($L161=2015,1,0)</f>
        <v>1</v>
      </c>
      <c r="AJ161" s="14" t="n">
        <f aca="false">IF($L161=2016,1,0)</f>
        <v>0</v>
      </c>
      <c r="AK161" s="14" t="n">
        <f aca="false">IF($L161=2017,1,0)</f>
        <v>0</v>
      </c>
      <c r="AL161" s="14" t="n">
        <f aca="false">IF($H161="Beginner Level",1,0)</f>
        <v>0</v>
      </c>
      <c r="AM161" s="14" t="n">
        <f aca="false">IF($H161="Expert Level",1,0)</f>
        <v>0</v>
      </c>
      <c r="AN161" s="14" t="n">
        <f aca="false">IF($H161="Intermediate Level",1,0)</f>
        <v>1</v>
      </c>
    </row>
    <row r="162" customFormat="false" ht="57.45" hidden="false" customHeight="false" outlineLevel="0" collapsed="false">
      <c r="A162" s="14" t="n">
        <v>26845</v>
      </c>
      <c r="B162" s="14" t="s">
        <v>376</v>
      </c>
      <c r="C162" s="14" t="s">
        <v>377</v>
      </c>
      <c r="D162" s="14" t="n">
        <v>50</v>
      </c>
      <c r="E162" s="14" t="n">
        <v>11847</v>
      </c>
      <c r="F162" s="14" t="n">
        <v>57</v>
      </c>
      <c r="G162" s="14" t="n">
        <v>57</v>
      </c>
      <c r="H162" s="14" t="s">
        <v>62</v>
      </c>
      <c r="I162" s="14" t="n">
        <v>0.18</v>
      </c>
      <c r="J162" s="14" t="n">
        <v>7.5</v>
      </c>
      <c r="K162" s="14" t="s">
        <v>59</v>
      </c>
      <c r="L162" s="14" t="n">
        <v>2012</v>
      </c>
      <c r="M162" s="14" t="n">
        <v>9.37982994995476</v>
      </c>
      <c r="N162" s="14" t="n">
        <v>3.91222298543081</v>
      </c>
      <c r="P162" s="14" t="n">
        <f aca="false">D162</f>
        <v>50</v>
      </c>
      <c r="Q162" s="14" t="n">
        <f aca="false">G162</f>
        <v>57</v>
      </c>
      <c r="R162" s="14" t="n">
        <f aca="false">J162</f>
        <v>7.5</v>
      </c>
      <c r="S162" s="14" t="n">
        <f aca="false">IF($L162=2012,1,0)</f>
        <v>1</v>
      </c>
      <c r="T162" s="14" t="n">
        <f aca="false">IF($L162=2013,1,0)</f>
        <v>0</v>
      </c>
      <c r="U162" s="14" t="n">
        <f aca="false">IF($L162=2014,1,0)</f>
        <v>0</v>
      </c>
      <c r="V162" s="14" t="n">
        <f aca="false">IF($L162=2015,1,0)</f>
        <v>0</v>
      </c>
      <c r="W162" s="14" t="n">
        <f aca="false">IF($L162=2016,1,0)</f>
        <v>0</v>
      </c>
      <c r="X162" s="14" t="n">
        <f aca="false">IF($L162=2017,1,0)</f>
        <v>0</v>
      </c>
      <c r="Y162" s="14" t="n">
        <f aca="false">IF($H162="Beginner Level",1,0)</f>
        <v>0</v>
      </c>
      <c r="Z162" s="14" t="n">
        <f aca="false">IF($H162="Expert Level",1,0)</f>
        <v>0</v>
      </c>
      <c r="AA162" s="14" t="n">
        <f aca="false">IF($H162="Intermediate Level",1,0)</f>
        <v>0</v>
      </c>
      <c r="AC162" s="14" t="n">
        <f aca="false">N162</f>
        <v>3.91222298543081</v>
      </c>
      <c r="AD162" s="14" t="n">
        <f aca="false">G162</f>
        <v>57</v>
      </c>
      <c r="AE162" s="14" t="n">
        <f aca="false">J162</f>
        <v>7.5</v>
      </c>
      <c r="AF162" s="14" t="n">
        <f aca="false">IF($L162=2012,1,0)</f>
        <v>1</v>
      </c>
      <c r="AG162" s="14" t="n">
        <f aca="false">IF($L162=2013,1,0)</f>
        <v>0</v>
      </c>
      <c r="AH162" s="14" t="n">
        <f aca="false">IF($L162=2014,1,0)</f>
        <v>0</v>
      </c>
      <c r="AI162" s="14" t="n">
        <f aca="false">IF($L162=2015,1,0)</f>
        <v>0</v>
      </c>
      <c r="AJ162" s="14" t="n">
        <f aca="false">IF($L162=2016,1,0)</f>
        <v>0</v>
      </c>
      <c r="AK162" s="14" t="n">
        <f aca="false">IF($L162=2017,1,0)</f>
        <v>0</v>
      </c>
      <c r="AL162" s="14" t="n">
        <f aca="false">IF($H162="Beginner Level",1,0)</f>
        <v>0</v>
      </c>
      <c r="AM162" s="14" t="n">
        <f aca="false">IF($H162="Expert Level",1,0)</f>
        <v>0</v>
      </c>
      <c r="AN162" s="14" t="n">
        <f aca="false">IF($H162="Intermediate Level",1,0)</f>
        <v>0</v>
      </c>
    </row>
    <row r="163" customFormat="false" ht="79.85" hidden="false" customHeight="false" outlineLevel="0" collapsed="false">
      <c r="A163" s="14" t="n">
        <v>822444</v>
      </c>
      <c r="B163" s="14" t="s">
        <v>378</v>
      </c>
      <c r="C163" s="14" t="s">
        <v>379</v>
      </c>
      <c r="D163" s="14" t="n">
        <v>200</v>
      </c>
      <c r="E163" s="14" t="n">
        <v>11832</v>
      </c>
      <c r="F163" s="14" t="n">
        <v>1883</v>
      </c>
      <c r="G163" s="14" t="n">
        <v>191</v>
      </c>
      <c r="H163" s="14" t="s">
        <v>52</v>
      </c>
      <c r="I163" s="14" t="n">
        <v>0.29</v>
      </c>
      <c r="J163" s="14" t="n">
        <v>31.5</v>
      </c>
      <c r="K163" s="14" t="s">
        <v>59</v>
      </c>
      <c r="L163" s="14" t="n">
        <v>2017</v>
      </c>
      <c r="M163" s="14" t="n">
        <v>9.37856300439064</v>
      </c>
      <c r="N163" s="14" t="n">
        <v>5.29836736529808</v>
      </c>
      <c r="P163" s="14" t="n">
        <f aca="false">D163</f>
        <v>200</v>
      </c>
      <c r="Q163" s="14" t="n">
        <f aca="false">G163</f>
        <v>191</v>
      </c>
      <c r="R163" s="14" t="n">
        <f aca="false">J163</f>
        <v>31.5</v>
      </c>
      <c r="S163" s="14" t="n">
        <f aca="false">IF($L163=2012,1,0)</f>
        <v>0</v>
      </c>
      <c r="T163" s="14" t="n">
        <f aca="false">IF($L163=2013,1,0)</f>
        <v>0</v>
      </c>
      <c r="U163" s="14" t="n">
        <f aca="false">IF($L163=2014,1,0)</f>
        <v>0</v>
      </c>
      <c r="V163" s="14" t="n">
        <f aca="false">IF($L163=2015,1,0)</f>
        <v>0</v>
      </c>
      <c r="W163" s="14" t="n">
        <f aca="false">IF($L163=2016,1,0)</f>
        <v>0</v>
      </c>
      <c r="X163" s="14" t="n">
        <f aca="false">IF($L163=2017,1,0)</f>
        <v>1</v>
      </c>
      <c r="Y163" s="14" t="n">
        <f aca="false">IF($H163="Beginner Level",1,0)</f>
        <v>1</v>
      </c>
      <c r="Z163" s="14" t="n">
        <f aca="false">IF($H163="Expert Level",1,0)</f>
        <v>0</v>
      </c>
      <c r="AA163" s="14" t="n">
        <f aca="false">IF($H163="Intermediate Level",1,0)</f>
        <v>0</v>
      </c>
      <c r="AC163" s="14" t="n">
        <f aca="false">N163</f>
        <v>5.29836736529808</v>
      </c>
      <c r="AD163" s="14" t="n">
        <f aca="false">G163</f>
        <v>191</v>
      </c>
      <c r="AE163" s="14" t="n">
        <f aca="false">J163</f>
        <v>31.5</v>
      </c>
      <c r="AF163" s="14" t="n">
        <f aca="false">IF($L163=2012,1,0)</f>
        <v>0</v>
      </c>
      <c r="AG163" s="14" t="n">
        <f aca="false">IF($L163=2013,1,0)</f>
        <v>0</v>
      </c>
      <c r="AH163" s="14" t="n">
        <f aca="false">IF($L163=2014,1,0)</f>
        <v>0</v>
      </c>
      <c r="AI163" s="14" t="n">
        <f aca="false">IF($L163=2015,1,0)</f>
        <v>0</v>
      </c>
      <c r="AJ163" s="14" t="n">
        <f aca="false">IF($L163=2016,1,0)</f>
        <v>0</v>
      </c>
      <c r="AK163" s="14" t="n">
        <f aca="false">IF($L163=2017,1,0)</f>
        <v>1</v>
      </c>
      <c r="AL163" s="14" t="n">
        <f aca="false">IF($H163="Beginner Level",1,0)</f>
        <v>1</v>
      </c>
      <c r="AM163" s="14" t="n">
        <f aca="false">IF($H163="Expert Level",1,0)</f>
        <v>0</v>
      </c>
      <c r="AN163" s="14" t="n">
        <f aca="false">IF($H163="Intermediate Level",1,0)</f>
        <v>0</v>
      </c>
    </row>
    <row r="164" customFormat="false" ht="79.85" hidden="false" customHeight="false" outlineLevel="0" collapsed="false">
      <c r="A164" s="14" t="n">
        <v>563668</v>
      </c>
      <c r="B164" s="14" t="s">
        <v>380</v>
      </c>
      <c r="C164" s="14" t="s">
        <v>381</v>
      </c>
      <c r="D164" s="14" t="n">
        <v>0</v>
      </c>
      <c r="E164" s="14" t="n">
        <v>11812</v>
      </c>
      <c r="F164" s="14" t="n">
        <v>152</v>
      </c>
      <c r="G164" s="14" t="n">
        <v>19</v>
      </c>
      <c r="H164" s="14" t="s">
        <v>62</v>
      </c>
      <c r="I164" s="14" t="n">
        <v>0.41</v>
      </c>
      <c r="J164" s="14" t="n">
        <v>2</v>
      </c>
      <c r="K164" s="14" t="s">
        <v>53</v>
      </c>
      <c r="L164" s="14" t="n">
        <v>2015</v>
      </c>
      <c r="M164" s="14" t="n">
        <v>9.37687124286381</v>
      </c>
      <c r="N164" s="14" t="n">
        <v>-4.60517018598809</v>
      </c>
      <c r="P164" s="14" t="n">
        <f aca="false">D164</f>
        <v>0</v>
      </c>
      <c r="Q164" s="14" t="n">
        <f aca="false">G164</f>
        <v>19</v>
      </c>
      <c r="R164" s="14" t="n">
        <f aca="false">J164</f>
        <v>2</v>
      </c>
      <c r="S164" s="14" t="n">
        <f aca="false">IF($L164=2012,1,0)</f>
        <v>0</v>
      </c>
      <c r="T164" s="14" t="n">
        <f aca="false">IF($L164=2013,1,0)</f>
        <v>0</v>
      </c>
      <c r="U164" s="14" t="n">
        <f aca="false">IF($L164=2014,1,0)</f>
        <v>0</v>
      </c>
      <c r="V164" s="14" t="n">
        <f aca="false">IF($L164=2015,1,0)</f>
        <v>1</v>
      </c>
      <c r="W164" s="14" t="n">
        <f aca="false">IF($L164=2016,1,0)</f>
        <v>0</v>
      </c>
      <c r="X164" s="14" t="n">
        <f aca="false">IF($L164=2017,1,0)</f>
        <v>0</v>
      </c>
      <c r="Y164" s="14" t="n">
        <f aca="false">IF($H164="Beginner Level",1,0)</f>
        <v>0</v>
      </c>
      <c r="Z164" s="14" t="n">
        <f aca="false">IF($H164="Expert Level",1,0)</f>
        <v>0</v>
      </c>
      <c r="AA164" s="14" t="n">
        <f aca="false">IF($H164="Intermediate Level",1,0)</f>
        <v>0</v>
      </c>
      <c r="AC164" s="14" t="n">
        <f aca="false">N164</f>
        <v>-4.60517018598809</v>
      </c>
      <c r="AD164" s="14" t="n">
        <f aca="false">G164</f>
        <v>19</v>
      </c>
      <c r="AE164" s="14" t="n">
        <f aca="false">J164</f>
        <v>2</v>
      </c>
      <c r="AF164" s="14" t="n">
        <f aca="false">IF($L164=2012,1,0)</f>
        <v>0</v>
      </c>
      <c r="AG164" s="14" t="n">
        <f aca="false">IF($L164=2013,1,0)</f>
        <v>0</v>
      </c>
      <c r="AH164" s="14" t="n">
        <f aca="false">IF($L164=2014,1,0)</f>
        <v>0</v>
      </c>
      <c r="AI164" s="14" t="n">
        <f aca="false">IF($L164=2015,1,0)</f>
        <v>1</v>
      </c>
      <c r="AJ164" s="14" t="n">
        <f aca="false">IF($L164=2016,1,0)</f>
        <v>0</v>
      </c>
      <c r="AK164" s="14" t="n">
        <f aca="false">IF($L164=2017,1,0)</f>
        <v>0</v>
      </c>
      <c r="AL164" s="14" t="n">
        <f aca="false">IF($H164="Beginner Level",1,0)</f>
        <v>0</v>
      </c>
      <c r="AM164" s="14" t="n">
        <f aca="false">IF($H164="Expert Level",1,0)</f>
        <v>0</v>
      </c>
      <c r="AN164" s="14" t="n">
        <f aca="false">IF($H164="Intermediate Level",1,0)</f>
        <v>0</v>
      </c>
    </row>
    <row r="165" customFormat="false" ht="57.45" hidden="false" customHeight="false" outlineLevel="0" collapsed="false">
      <c r="A165" s="14" t="n">
        <v>540724</v>
      </c>
      <c r="B165" s="14" t="s">
        <v>382</v>
      </c>
      <c r="C165" s="14" t="s">
        <v>383</v>
      </c>
      <c r="D165" s="14" t="n">
        <v>0</v>
      </c>
      <c r="E165" s="14" t="n">
        <v>11758</v>
      </c>
      <c r="F165" s="14" t="n">
        <v>242</v>
      </c>
      <c r="G165" s="14" t="n">
        <v>8</v>
      </c>
      <c r="H165" s="14" t="s">
        <v>52</v>
      </c>
      <c r="I165" s="14" t="n">
        <v>0.24</v>
      </c>
      <c r="J165" s="14" t="n">
        <v>1</v>
      </c>
      <c r="K165" s="14" t="s">
        <v>53</v>
      </c>
      <c r="L165" s="14" t="n">
        <v>2015</v>
      </c>
      <c r="M165" s="14" t="n">
        <v>9.3722891389622</v>
      </c>
      <c r="N165" s="14" t="n">
        <v>-4.60517018598809</v>
      </c>
      <c r="P165" s="14" t="n">
        <f aca="false">D165</f>
        <v>0</v>
      </c>
      <c r="Q165" s="14" t="n">
        <f aca="false">G165</f>
        <v>8</v>
      </c>
      <c r="R165" s="14" t="n">
        <f aca="false">J165</f>
        <v>1</v>
      </c>
      <c r="S165" s="14" t="n">
        <f aca="false">IF($L165=2012,1,0)</f>
        <v>0</v>
      </c>
      <c r="T165" s="14" t="n">
        <f aca="false">IF($L165=2013,1,0)</f>
        <v>0</v>
      </c>
      <c r="U165" s="14" t="n">
        <f aca="false">IF($L165=2014,1,0)</f>
        <v>0</v>
      </c>
      <c r="V165" s="14" t="n">
        <f aca="false">IF($L165=2015,1,0)</f>
        <v>1</v>
      </c>
      <c r="W165" s="14" t="n">
        <f aca="false">IF($L165=2016,1,0)</f>
        <v>0</v>
      </c>
      <c r="X165" s="14" t="n">
        <f aca="false">IF($L165=2017,1,0)</f>
        <v>0</v>
      </c>
      <c r="Y165" s="14" t="n">
        <f aca="false">IF($H165="Beginner Level",1,0)</f>
        <v>1</v>
      </c>
      <c r="Z165" s="14" t="n">
        <f aca="false">IF($H165="Expert Level",1,0)</f>
        <v>0</v>
      </c>
      <c r="AA165" s="14" t="n">
        <f aca="false">IF($H165="Intermediate Level",1,0)</f>
        <v>0</v>
      </c>
      <c r="AC165" s="14" t="n">
        <f aca="false">N165</f>
        <v>-4.60517018598809</v>
      </c>
      <c r="AD165" s="14" t="n">
        <f aca="false">G165</f>
        <v>8</v>
      </c>
      <c r="AE165" s="14" t="n">
        <f aca="false">J165</f>
        <v>1</v>
      </c>
      <c r="AF165" s="14" t="n">
        <f aca="false">IF($L165=2012,1,0)</f>
        <v>0</v>
      </c>
      <c r="AG165" s="14" t="n">
        <f aca="false">IF($L165=2013,1,0)</f>
        <v>0</v>
      </c>
      <c r="AH165" s="14" t="n">
        <f aca="false">IF($L165=2014,1,0)</f>
        <v>0</v>
      </c>
      <c r="AI165" s="14" t="n">
        <f aca="false">IF($L165=2015,1,0)</f>
        <v>1</v>
      </c>
      <c r="AJ165" s="14" t="n">
        <f aca="false">IF($L165=2016,1,0)</f>
        <v>0</v>
      </c>
      <c r="AK165" s="14" t="n">
        <f aca="false">IF($L165=2017,1,0)</f>
        <v>0</v>
      </c>
      <c r="AL165" s="14" t="n">
        <f aca="false">IF($H165="Beginner Level",1,0)</f>
        <v>1</v>
      </c>
      <c r="AM165" s="14" t="n">
        <f aca="false">IF($H165="Expert Level",1,0)</f>
        <v>0</v>
      </c>
      <c r="AN165" s="14" t="n">
        <f aca="false">IF($H165="Intermediate Level",1,0)</f>
        <v>0</v>
      </c>
    </row>
    <row r="166" customFormat="false" ht="79.85" hidden="false" customHeight="false" outlineLevel="0" collapsed="false">
      <c r="A166" s="14" t="n">
        <v>596192</v>
      </c>
      <c r="B166" s="14" t="s">
        <v>384</v>
      </c>
      <c r="C166" s="14" t="s">
        <v>385</v>
      </c>
      <c r="D166" s="14" t="n">
        <v>0</v>
      </c>
      <c r="E166" s="14" t="n">
        <v>11666</v>
      </c>
      <c r="F166" s="14" t="n">
        <v>546</v>
      </c>
      <c r="G166" s="14" t="n">
        <v>20</v>
      </c>
      <c r="H166" s="14" t="s">
        <v>62</v>
      </c>
      <c r="I166" s="14" t="n">
        <v>0.55</v>
      </c>
      <c r="J166" s="14" t="n">
        <v>4</v>
      </c>
      <c r="K166" s="14" t="s">
        <v>53</v>
      </c>
      <c r="L166" s="14" t="n">
        <v>2016</v>
      </c>
      <c r="M166" s="14" t="n">
        <v>9.36443390731358</v>
      </c>
      <c r="N166" s="14" t="n">
        <v>-4.60517018598809</v>
      </c>
      <c r="P166" s="14" t="n">
        <f aca="false">D166</f>
        <v>0</v>
      </c>
      <c r="Q166" s="14" t="n">
        <f aca="false">G166</f>
        <v>20</v>
      </c>
      <c r="R166" s="14" t="n">
        <f aca="false">J166</f>
        <v>4</v>
      </c>
      <c r="S166" s="14" t="n">
        <f aca="false">IF($L166=2012,1,0)</f>
        <v>0</v>
      </c>
      <c r="T166" s="14" t="n">
        <f aca="false">IF($L166=2013,1,0)</f>
        <v>0</v>
      </c>
      <c r="U166" s="14" t="n">
        <f aca="false">IF($L166=2014,1,0)</f>
        <v>0</v>
      </c>
      <c r="V166" s="14" t="n">
        <f aca="false">IF($L166=2015,1,0)</f>
        <v>0</v>
      </c>
      <c r="W166" s="14" t="n">
        <f aca="false">IF($L166=2016,1,0)</f>
        <v>1</v>
      </c>
      <c r="X166" s="14" t="n">
        <f aca="false">IF($L166=2017,1,0)</f>
        <v>0</v>
      </c>
      <c r="Y166" s="14" t="n">
        <f aca="false">IF($H166="Beginner Level",1,0)</f>
        <v>0</v>
      </c>
      <c r="Z166" s="14" t="n">
        <f aca="false">IF($H166="Expert Level",1,0)</f>
        <v>0</v>
      </c>
      <c r="AA166" s="14" t="n">
        <f aca="false">IF($H166="Intermediate Level",1,0)</f>
        <v>0</v>
      </c>
      <c r="AC166" s="14" t="n">
        <f aca="false">N166</f>
        <v>-4.60517018598809</v>
      </c>
      <c r="AD166" s="14" t="n">
        <f aca="false">G166</f>
        <v>20</v>
      </c>
      <c r="AE166" s="14" t="n">
        <f aca="false">J166</f>
        <v>4</v>
      </c>
      <c r="AF166" s="14" t="n">
        <f aca="false">IF($L166=2012,1,0)</f>
        <v>0</v>
      </c>
      <c r="AG166" s="14" t="n">
        <f aca="false">IF($L166=2013,1,0)</f>
        <v>0</v>
      </c>
      <c r="AH166" s="14" t="n">
        <f aca="false">IF($L166=2014,1,0)</f>
        <v>0</v>
      </c>
      <c r="AI166" s="14" t="n">
        <f aca="false">IF($L166=2015,1,0)</f>
        <v>0</v>
      </c>
      <c r="AJ166" s="14" t="n">
        <f aca="false">IF($L166=2016,1,0)</f>
        <v>1</v>
      </c>
      <c r="AK166" s="14" t="n">
        <f aca="false">IF($L166=2017,1,0)</f>
        <v>0</v>
      </c>
      <c r="AL166" s="14" t="n">
        <f aca="false">IF($H166="Beginner Level",1,0)</f>
        <v>0</v>
      </c>
      <c r="AM166" s="14" t="n">
        <f aca="false">IF($H166="Expert Level",1,0)</f>
        <v>0</v>
      </c>
      <c r="AN166" s="14" t="n">
        <f aca="false">IF($H166="Intermediate Level",1,0)</f>
        <v>0</v>
      </c>
    </row>
    <row r="167" customFormat="false" ht="46.25" hidden="false" customHeight="false" outlineLevel="0" collapsed="false">
      <c r="A167" s="14" t="n">
        <v>77642</v>
      </c>
      <c r="B167" s="14" t="s">
        <v>386</v>
      </c>
      <c r="C167" s="14" t="s">
        <v>387</v>
      </c>
      <c r="D167" s="14" t="n">
        <v>100</v>
      </c>
      <c r="E167" s="14" t="n">
        <v>11643</v>
      </c>
      <c r="F167" s="14" t="n">
        <v>169</v>
      </c>
      <c r="G167" s="14" t="n">
        <v>21</v>
      </c>
      <c r="H167" s="14" t="s">
        <v>62</v>
      </c>
      <c r="I167" s="14" t="n">
        <v>0.93</v>
      </c>
      <c r="J167" s="14" t="n">
        <v>1</v>
      </c>
      <c r="K167" s="14" t="s">
        <v>59</v>
      </c>
      <c r="L167" s="14" t="n">
        <v>2013</v>
      </c>
      <c r="M167" s="14" t="n">
        <v>9.36246042003702</v>
      </c>
      <c r="N167" s="14" t="n">
        <v>4.60527018098843</v>
      </c>
      <c r="P167" s="14" t="n">
        <f aca="false">D167</f>
        <v>100</v>
      </c>
      <c r="Q167" s="14" t="n">
        <f aca="false">G167</f>
        <v>21</v>
      </c>
      <c r="R167" s="14" t="n">
        <f aca="false">J167</f>
        <v>1</v>
      </c>
      <c r="S167" s="14" t="n">
        <f aca="false">IF($L167=2012,1,0)</f>
        <v>0</v>
      </c>
      <c r="T167" s="14" t="n">
        <f aca="false">IF($L167=2013,1,0)</f>
        <v>1</v>
      </c>
      <c r="U167" s="14" t="n">
        <f aca="false">IF($L167=2014,1,0)</f>
        <v>0</v>
      </c>
      <c r="V167" s="14" t="n">
        <f aca="false">IF($L167=2015,1,0)</f>
        <v>0</v>
      </c>
      <c r="W167" s="14" t="n">
        <f aca="false">IF($L167=2016,1,0)</f>
        <v>0</v>
      </c>
      <c r="X167" s="14" t="n">
        <f aca="false">IF($L167=2017,1,0)</f>
        <v>0</v>
      </c>
      <c r="Y167" s="14" t="n">
        <f aca="false">IF($H167="Beginner Level",1,0)</f>
        <v>0</v>
      </c>
      <c r="Z167" s="14" t="n">
        <f aca="false">IF($H167="Expert Level",1,0)</f>
        <v>0</v>
      </c>
      <c r="AA167" s="14" t="n">
        <f aca="false">IF($H167="Intermediate Level",1,0)</f>
        <v>0</v>
      </c>
      <c r="AC167" s="14" t="n">
        <f aca="false">N167</f>
        <v>4.60527018098843</v>
      </c>
      <c r="AD167" s="14" t="n">
        <f aca="false">G167</f>
        <v>21</v>
      </c>
      <c r="AE167" s="14" t="n">
        <f aca="false">J167</f>
        <v>1</v>
      </c>
      <c r="AF167" s="14" t="n">
        <f aca="false">IF($L167=2012,1,0)</f>
        <v>0</v>
      </c>
      <c r="AG167" s="14" t="n">
        <f aca="false">IF($L167=2013,1,0)</f>
        <v>1</v>
      </c>
      <c r="AH167" s="14" t="n">
        <f aca="false">IF($L167=2014,1,0)</f>
        <v>0</v>
      </c>
      <c r="AI167" s="14" t="n">
        <f aca="false">IF($L167=2015,1,0)</f>
        <v>0</v>
      </c>
      <c r="AJ167" s="14" t="n">
        <f aca="false">IF($L167=2016,1,0)</f>
        <v>0</v>
      </c>
      <c r="AK167" s="14" t="n">
        <f aca="false">IF($L167=2017,1,0)</f>
        <v>0</v>
      </c>
      <c r="AL167" s="14" t="n">
        <f aca="false">IF($H167="Beginner Level",1,0)</f>
        <v>0</v>
      </c>
      <c r="AM167" s="14" t="n">
        <f aca="false">IF($H167="Expert Level",1,0)</f>
        <v>0</v>
      </c>
      <c r="AN167" s="14" t="n">
        <f aca="false">IF($H167="Intermediate Level",1,0)</f>
        <v>0</v>
      </c>
    </row>
    <row r="168" customFormat="false" ht="79.85" hidden="false" customHeight="false" outlineLevel="0" collapsed="false">
      <c r="A168" s="14" t="n">
        <v>696016</v>
      </c>
      <c r="B168" s="14" t="s">
        <v>388</v>
      </c>
      <c r="C168" s="14" t="s">
        <v>389</v>
      </c>
      <c r="D168" s="14" t="n">
        <v>200</v>
      </c>
      <c r="E168" s="14" t="n">
        <v>11574</v>
      </c>
      <c r="F168" s="14" t="n">
        <v>78</v>
      </c>
      <c r="G168" s="14" t="n">
        <v>15</v>
      </c>
      <c r="H168" s="14" t="s">
        <v>62</v>
      </c>
      <c r="I168" s="14" t="n">
        <v>0.7</v>
      </c>
      <c r="J168" s="14" t="n">
        <v>1</v>
      </c>
      <c r="K168" s="14" t="s">
        <v>59</v>
      </c>
      <c r="L168" s="14" t="n">
        <v>2015</v>
      </c>
      <c r="M168" s="14" t="n">
        <v>9.35651648213379</v>
      </c>
      <c r="N168" s="14" t="n">
        <v>5.29836736529808</v>
      </c>
      <c r="P168" s="14" t="n">
        <f aca="false">D168</f>
        <v>200</v>
      </c>
      <c r="Q168" s="14" t="n">
        <f aca="false">G168</f>
        <v>15</v>
      </c>
      <c r="R168" s="14" t="n">
        <f aca="false">J168</f>
        <v>1</v>
      </c>
      <c r="S168" s="14" t="n">
        <f aca="false">IF($L168=2012,1,0)</f>
        <v>0</v>
      </c>
      <c r="T168" s="14" t="n">
        <f aca="false">IF($L168=2013,1,0)</f>
        <v>0</v>
      </c>
      <c r="U168" s="14" t="n">
        <f aca="false">IF($L168=2014,1,0)</f>
        <v>0</v>
      </c>
      <c r="V168" s="14" t="n">
        <f aca="false">IF($L168=2015,1,0)</f>
        <v>1</v>
      </c>
      <c r="W168" s="14" t="n">
        <f aca="false">IF($L168=2016,1,0)</f>
        <v>0</v>
      </c>
      <c r="X168" s="14" t="n">
        <f aca="false">IF($L168=2017,1,0)</f>
        <v>0</v>
      </c>
      <c r="Y168" s="14" t="n">
        <f aca="false">IF($H168="Beginner Level",1,0)</f>
        <v>0</v>
      </c>
      <c r="Z168" s="14" t="n">
        <f aca="false">IF($H168="Expert Level",1,0)</f>
        <v>0</v>
      </c>
      <c r="AA168" s="14" t="n">
        <f aca="false">IF($H168="Intermediate Level",1,0)</f>
        <v>0</v>
      </c>
      <c r="AC168" s="14" t="n">
        <f aca="false">N168</f>
        <v>5.29836736529808</v>
      </c>
      <c r="AD168" s="14" t="n">
        <f aca="false">G168</f>
        <v>15</v>
      </c>
      <c r="AE168" s="14" t="n">
        <f aca="false">J168</f>
        <v>1</v>
      </c>
      <c r="AF168" s="14" t="n">
        <f aca="false">IF($L168=2012,1,0)</f>
        <v>0</v>
      </c>
      <c r="AG168" s="14" t="n">
        <f aca="false">IF($L168=2013,1,0)</f>
        <v>0</v>
      </c>
      <c r="AH168" s="14" t="n">
        <f aca="false">IF($L168=2014,1,0)</f>
        <v>0</v>
      </c>
      <c r="AI168" s="14" t="n">
        <f aca="false">IF($L168=2015,1,0)</f>
        <v>1</v>
      </c>
      <c r="AJ168" s="14" t="n">
        <f aca="false">IF($L168=2016,1,0)</f>
        <v>0</v>
      </c>
      <c r="AK168" s="14" t="n">
        <f aca="false">IF($L168=2017,1,0)</f>
        <v>0</v>
      </c>
      <c r="AL168" s="14" t="n">
        <f aca="false">IF($H168="Beginner Level",1,0)</f>
        <v>0</v>
      </c>
      <c r="AM168" s="14" t="n">
        <f aca="false">IF($H168="Expert Level",1,0)</f>
        <v>0</v>
      </c>
      <c r="AN168" s="14" t="n">
        <f aca="false">IF($H168="Intermediate Level",1,0)</f>
        <v>0</v>
      </c>
    </row>
    <row r="169" customFormat="false" ht="57.45" hidden="false" customHeight="false" outlineLevel="0" collapsed="false">
      <c r="A169" s="14" t="n">
        <v>920544</v>
      </c>
      <c r="B169" s="14" t="s">
        <v>390</v>
      </c>
      <c r="C169" s="14" t="s">
        <v>391</v>
      </c>
      <c r="D169" s="14" t="n">
        <v>20</v>
      </c>
      <c r="E169" s="14" t="n">
        <v>11536</v>
      </c>
      <c r="F169" s="14" t="n">
        <v>876</v>
      </c>
      <c r="G169" s="14" t="n">
        <v>60</v>
      </c>
      <c r="H169" s="14" t="s">
        <v>62</v>
      </c>
      <c r="I169" s="14" t="n">
        <v>0.95</v>
      </c>
      <c r="J169" s="14" t="n">
        <v>6.5</v>
      </c>
      <c r="K169" s="14" t="s">
        <v>59</v>
      </c>
      <c r="L169" s="14" t="n">
        <v>2016</v>
      </c>
      <c r="M169" s="14" t="n">
        <v>9.35322785952473</v>
      </c>
      <c r="N169" s="14" t="n">
        <v>2.99623214859564</v>
      </c>
      <c r="P169" s="14" t="n">
        <f aca="false">D169</f>
        <v>20</v>
      </c>
      <c r="Q169" s="14" t="n">
        <f aca="false">G169</f>
        <v>60</v>
      </c>
      <c r="R169" s="14" t="n">
        <f aca="false">J169</f>
        <v>6.5</v>
      </c>
      <c r="S169" s="14" t="n">
        <f aca="false">IF($L169=2012,1,0)</f>
        <v>0</v>
      </c>
      <c r="T169" s="14" t="n">
        <f aca="false">IF($L169=2013,1,0)</f>
        <v>0</v>
      </c>
      <c r="U169" s="14" t="n">
        <f aca="false">IF($L169=2014,1,0)</f>
        <v>0</v>
      </c>
      <c r="V169" s="14" t="n">
        <f aca="false">IF($L169=2015,1,0)</f>
        <v>0</v>
      </c>
      <c r="W169" s="14" t="n">
        <f aca="false">IF($L169=2016,1,0)</f>
        <v>1</v>
      </c>
      <c r="X169" s="14" t="n">
        <f aca="false">IF($L169=2017,1,0)</f>
        <v>0</v>
      </c>
      <c r="Y169" s="14" t="n">
        <f aca="false">IF($H169="Beginner Level",1,0)</f>
        <v>0</v>
      </c>
      <c r="Z169" s="14" t="n">
        <f aca="false">IF($H169="Expert Level",1,0)</f>
        <v>0</v>
      </c>
      <c r="AA169" s="14" t="n">
        <f aca="false">IF($H169="Intermediate Level",1,0)</f>
        <v>0</v>
      </c>
      <c r="AC169" s="14" t="n">
        <f aca="false">N169</f>
        <v>2.99623214859564</v>
      </c>
      <c r="AD169" s="14" t="n">
        <f aca="false">G169</f>
        <v>60</v>
      </c>
      <c r="AE169" s="14" t="n">
        <f aca="false">J169</f>
        <v>6.5</v>
      </c>
      <c r="AF169" s="14" t="n">
        <f aca="false">IF($L169=2012,1,0)</f>
        <v>0</v>
      </c>
      <c r="AG169" s="14" t="n">
        <f aca="false">IF($L169=2013,1,0)</f>
        <v>0</v>
      </c>
      <c r="AH169" s="14" t="n">
        <f aca="false">IF($L169=2014,1,0)</f>
        <v>0</v>
      </c>
      <c r="AI169" s="14" t="n">
        <f aca="false">IF($L169=2015,1,0)</f>
        <v>0</v>
      </c>
      <c r="AJ169" s="14" t="n">
        <f aca="false">IF($L169=2016,1,0)</f>
        <v>1</v>
      </c>
      <c r="AK169" s="14" t="n">
        <f aca="false">IF($L169=2017,1,0)</f>
        <v>0</v>
      </c>
      <c r="AL169" s="14" t="n">
        <f aca="false">IF($H169="Beginner Level",1,0)</f>
        <v>0</v>
      </c>
      <c r="AM169" s="14" t="n">
        <f aca="false">IF($H169="Expert Level",1,0)</f>
        <v>0</v>
      </c>
      <c r="AN169" s="14" t="n">
        <f aca="false">IF($H169="Intermediate Level",1,0)</f>
        <v>0</v>
      </c>
    </row>
    <row r="170" customFormat="false" ht="57.45" hidden="false" customHeight="false" outlineLevel="0" collapsed="false">
      <c r="A170" s="14" t="n">
        <v>699618</v>
      </c>
      <c r="B170" s="14" t="s">
        <v>392</v>
      </c>
      <c r="C170" s="14" t="s">
        <v>393</v>
      </c>
      <c r="D170" s="14" t="n">
        <v>0</v>
      </c>
      <c r="E170" s="14" t="n">
        <v>11533</v>
      </c>
      <c r="F170" s="14" t="n">
        <v>240</v>
      </c>
      <c r="G170" s="14" t="n">
        <v>18</v>
      </c>
      <c r="H170" s="14" t="s">
        <v>52</v>
      </c>
      <c r="I170" s="14" t="n">
        <v>0.21</v>
      </c>
      <c r="J170" s="14" t="n">
        <v>2</v>
      </c>
      <c r="K170" s="14" t="s">
        <v>53</v>
      </c>
      <c r="L170" s="14" t="n">
        <v>2016</v>
      </c>
      <c r="M170" s="14" t="n">
        <v>9.35296777022594</v>
      </c>
      <c r="N170" s="14" t="n">
        <v>-4.60517018598809</v>
      </c>
      <c r="P170" s="14" t="n">
        <f aca="false">D170</f>
        <v>0</v>
      </c>
      <c r="Q170" s="14" t="n">
        <f aca="false">G170</f>
        <v>18</v>
      </c>
      <c r="R170" s="14" t="n">
        <f aca="false">J170</f>
        <v>2</v>
      </c>
      <c r="S170" s="14" t="n">
        <f aca="false">IF($L170=2012,1,0)</f>
        <v>0</v>
      </c>
      <c r="T170" s="14" t="n">
        <f aca="false">IF($L170=2013,1,0)</f>
        <v>0</v>
      </c>
      <c r="U170" s="14" t="n">
        <f aca="false">IF($L170=2014,1,0)</f>
        <v>0</v>
      </c>
      <c r="V170" s="14" t="n">
        <f aca="false">IF($L170=2015,1,0)</f>
        <v>0</v>
      </c>
      <c r="W170" s="14" t="n">
        <f aca="false">IF($L170=2016,1,0)</f>
        <v>1</v>
      </c>
      <c r="X170" s="14" t="n">
        <f aca="false">IF($L170=2017,1,0)</f>
        <v>0</v>
      </c>
      <c r="Y170" s="14" t="n">
        <f aca="false">IF($H170="Beginner Level",1,0)</f>
        <v>1</v>
      </c>
      <c r="Z170" s="14" t="n">
        <f aca="false">IF($H170="Expert Level",1,0)</f>
        <v>0</v>
      </c>
      <c r="AA170" s="14" t="n">
        <f aca="false">IF($H170="Intermediate Level",1,0)</f>
        <v>0</v>
      </c>
      <c r="AC170" s="14" t="n">
        <f aca="false">N170</f>
        <v>-4.60517018598809</v>
      </c>
      <c r="AD170" s="14" t="n">
        <f aca="false">G170</f>
        <v>18</v>
      </c>
      <c r="AE170" s="14" t="n">
        <f aca="false">J170</f>
        <v>2</v>
      </c>
      <c r="AF170" s="14" t="n">
        <f aca="false">IF($L170=2012,1,0)</f>
        <v>0</v>
      </c>
      <c r="AG170" s="14" t="n">
        <f aca="false">IF($L170=2013,1,0)</f>
        <v>0</v>
      </c>
      <c r="AH170" s="14" t="n">
        <f aca="false">IF($L170=2014,1,0)</f>
        <v>0</v>
      </c>
      <c r="AI170" s="14" t="n">
        <f aca="false">IF($L170=2015,1,0)</f>
        <v>0</v>
      </c>
      <c r="AJ170" s="14" t="n">
        <f aca="false">IF($L170=2016,1,0)</f>
        <v>1</v>
      </c>
      <c r="AK170" s="14" t="n">
        <f aca="false">IF($L170=2017,1,0)</f>
        <v>0</v>
      </c>
      <c r="AL170" s="14" t="n">
        <f aca="false">IF($H170="Beginner Level",1,0)</f>
        <v>1</v>
      </c>
      <c r="AM170" s="14" t="n">
        <f aca="false">IF($H170="Expert Level",1,0)</f>
        <v>0</v>
      </c>
      <c r="AN170" s="14" t="n">
        <f aca="false">IF($H170="Intermediate Level",1,0)</f>
        <v>0</v>
      </c>
    </row>
    <row r="171" customFormat="false" ht="91" hidden="false" customHeight="false" outlineLevel="0" collapsed="false">
      <c r="A171" s="14" t="n">
        <v>789324</v>
      </c>
      <c r="B171" s="14" t="s">
        <v>394</v>
      </c>
      <c r="C171" s="14" t="s">
        <v>395</v>
      </c>
      <c r="D171" s="14" t="n">
        <v>200</v>
      </c>
      <c r="E171" s="14" t="n">
        <v>11492</v>
      </c>
      <c r="F171" s="14" t="n">
        <v>174</v>
      </c>
      <c r="G171" s="14" t="n">
        <v>118</v>
      </c>
      <c r="H171" s="14" t="s">
        <v>62</v>
      </c>
      <c r="I171" s="14" t="n">
        <v>0.35</v>
      </c>
      <c r="J171" s="14" t="n">
        <v>24.5</v>
      </c>
      <c r="K171" s="14" t="s">
        <v>59</v>
      </c>
      <c r="L171" s="14" t="n">
        <v>2016</v>
      </c>
      <c r="M171" s="14" t="n">
        <v>9.34940642009918</v>
      </c>
      <c r="N171" s="14" t="n">
        <v>5.29836736529808</v>
      </c>
      <c r="P171" s="14" t="n">
        <f aca="false">D171</f>
        <v>200</v>
      </c>
      <c r="Q171" s="14" t="n">
        <f aca="false">G171</f>
        <v>118</v>
      </c>
      <c r="R171" s="14" t="n">
        <f aca="false">J171</f>
        <v>24.5</v>
      </c>
      <c r="S171" s="14" t="n">
        <f aca="false">IF($L171=2012,1,0)</f>
        <v>0</v>
      </c>
      <c r="T171" s="14" t="n">
        <f aca="false">IF($L171=2013,1,0)</f>
        <v>0</v>
      </c>
      <c r="U171" s="14" t="n">
        <f aca="false">IF($L171=2014,1,0)</f>
        <v>0</v>
      </c>
      <c r="V171" s="14" t="n">
        <f aca="false">IF($L171=2015,1,0)</f>
        <v>0</v>
      </c>
      <c r="W171" s="14" t="n">
        <f aca="false">IF($L171=2016,1,0)</f>
        <v>1</v>
      </c>
      <c r="X171" s="14" t="n">
        <f aca="false">IF($L171=2017,1,0)</f>
        <v>0</v>
      </c>
      <c r="Y171" s="14" t="n">
        <f aca="false">IF($H171="Beginner Level",1,0)</f>
        <v>0</v>
      </c>
      <c r="Z171" s="14" t="n">
        <f aca="false">IF($H171="Expert Level",1,0)</f>
        <v>0</v>
      </c>
      <c r="AA171" s="14" t="n">
        <f aca="false">IF($H171="Intermediate Level",1,0)</f>
        <v>0</v>
      </c>
      <c r="AC171" s="14" t="n">
        <f aca="false">N171</f>
        <v>5.29836736529808</v>
      </c>
      <c r="AD171" s="14" t="n">
        <f aca="false">G171</f>
        <v>118</v>
      </c>
      <c r="AE171" s="14" t="n">
        <f aca="false">J171</f>
        <v>24.5</v>
      </c>
      <c r="AF171" s="14" t="n">
        <f aca="false">IF($L171=2012,1,0)</f>
        <v>0</v>
      </c>
      <c r="AG171" s="14" t="n">
        <f aca="false">IF($L171=2013,1,0)</f>
        <v>0</v>
      </c>
      <c r="AH171" s="14" t="n">
        <f aca="false">IF($L171=2014,1,0)</f>
        <v>0</v>
      </c>
      <c r="AI171" s="14" t="n">
        <f aca="false">IF($L171=2015,1,0)</f>
        <v>0</v>
      </c>
      <c r="AJ171" s="14" t="n">
        <f aca="false">IF($L171=2016,1,0)</f>
        <v>1</v>
      </c>
      <c r="AK171" s="14" t="n">
        <f aca="false">IF($L171=2017,1,0)</f>
        <v>0</v>
      </c>
      <c r="AL171" s="14" t="n">
        <f aca="false">IF($H171="Beginner Level",1,0)</f>
        <v>0</v>
      </c>
      <c r="AM171" s="14" t="n">
        <f aca="false">IF($H171="Expert Level",1,0)</f>
        <v>0</v>
      </c>
      <c r="AN171" s="14" t="n">
        <f aca="false">IF($H171="Intermediate Level",1,0)</f>
        <v>0</v>
      </c>
    </row>
    <row r="172" customFormat="false" ht="57.45" hidden="false" customHeight="false" outlineLevel="0" collapsed="false">
      <c r="A172" s="14" t="n">
        <v>945978</v>
      </c>
      <c r="B172" s="14" t="s">
        <v>396</v>
      </c>
      <c r="C172" s="14" t="s">
        <v>397</v>
      </c>
      <c r="D172" s="14" t="n">
        <v>50</v>
      </c>
      <c r="E172" s="14" t="n">
        <v>11384</v>
      </c>
      <c r="F172" s="14" t="n">
        <v>1846</v>
      </c>
      <c r="G172" s="14" t="n">
        <v>80</v>
      </c>
      <c r="H172" s="14" t="s">
        <v>52</v>
      </c>
      <c r="I172" s="14" t="n">
        <v>0.22</v>
      </c>
      <c r="J172" s="14" t="n">
        <v>5.5</v>
      </c>
      <c r="K172" s="14" t="s">
        <v>59</v>
      </c>
      <c r="L172" s="14" t="n">
        <v>2016</v>
      </c>
      <c r="M172" s="14" t="n">
        <v>9.33996413976969</v>
      </c>
      <c r="N172" s="14" t="n">
        <v>3.91222298543081</v>
      </c>
      <c r="P172" s="14" t="n">
        <f aca="false">D172</f>
        <v>50</v>
      </c>
      <c r="Q172" s="14" t="n">
        <f aca="false">G172</f>
        <v>80</v>
      </c>
      <c r="R172" s="14" t="n">
        <f aca="false">J172</f>
        <v>5.5</v>
      </c>
      <c r="S172" s="14" t="n">
        <f aca="false">IF($L172=2012,1,0)</f>
        <v>0</v>
      </c>
      <c r="T172" s="14" t="n">
        <f aca="false">IF($L172=2013,1,0)</f>
        <v>0</v>
      </c>
      <c r="U172" s="14" t="n">
        <f aca="false">IF($L172=2014,1,0)</f>
        <v>0</v>
      </c>
      <c r="V172" s="14" t="n">
        <f aca="false">IF($L172=2015,1,0)</f>
        <v>0</v>
      </c>
      <c r="W172" s="14" t="n">
        <f aca="false">IF($L172=2016,1,0)</f>
        <v>1</v>
      </c>
      <c r="X172" s="14" t="n">
        <f aca="false">IF($L172=2017,1,0)</f>
        <v>0</v>
      </c>
      <c r="Y172" s="14" t="n">
        <f aca="false">IF($H172="Beginner Level",1,0)</f>
        <v>1</v>
      </c>
      <c r="Z172" s="14" t="n">
        <f aca="false">IF($H172="Expert Level",1,0)</f>
        <v>0</v>
      </c>
      <c r="AA172" s="14" t="n">
        <f aca="false">IF($H172="Intermediate Level",1,0)</f>
        <v>0</v>
      </c>
      <c r="AC172" s="14" t="n">
        <f aca="false">N172</f>
        <v>3.91222298543081</v>
      </c>
      <c r="AD172" s="14" t="n">
        <f aca="false">G172</f>
        <v>80</v>
      </c>
      <c r="AE172" s="14" t="n">
        <f aca="false">J172</f>
        <v>5.5</v>
      </c>
      <c r="AF172" s="14" t="n">
        <f aca="false">IF($L172=2012,1,0)</f>
        <v>0</v>
      </c>
      <c r="AG172" s="14" t="n">
        <f aca="false">IF($L172=2013,1,0)</f>
        <v>0</v>
      </c>
      <c r="AH172" s="14" t="n">
        <f aca="false">IF($L172=2014,1,0)</f>
        <v>0</v>
      </c>
      <c r="AI172" s="14" t="n">
        <f aca="false">IF($L172=2015,1,0)</f>
        <v>0</v>
      </c>
      <c r="AJ172" s="14" t="n">
        <f aca="false">IF($L172=2016,1,0)</f>
        <v>1</v>
      </c>
      <c r="AK172" s="14" t="n">
        <f aca="false">IF($L172=2017,1,0)</f>
        <v>0</v>
      </c>
      <c r="AL172" s="14" t="n">
        <f aca="false">IF($H172="Beginner Level",1,0)</f>
        <v>1</v>
      </c>
      <c r="AM172" s="14" t="n">
        <f aca="false">IF($H172="Expert Level",1,0)</f>
        <v>0</v>
      </c>
      <c r="AN172" s="14" t="n">
        <f aca="false">IF($H172="Intermediate Level",1,0)</f>
        <v>0</v>
      </c>
    </row>
    <row r="173" customFormat="false" ht="57.45" hidden="false" customHeight="false" outlineLevel="0" collapsed="false">
      <c r="A173" s="14" t="n">
        <v>460056</v>
      </c>
      <c r="B173" s="14" t="s">
        <v>398</v>
      </c>
      <c r="C173" s="14" t="s">
        <v>399</v>
      </c>
      <c r="D173" s="14" t="n">
        <v>55</v>
      </c>
      <c r="E173" s="14" t="n">
        <v>11339</v>
      </c>
      <c r="F173" s="14" t="n">
        <v>43</v>
      </c>
      <c r="G173" s="14" t="n">
        <v>26</v>
      </c>
      <c r="H173" s="14" t="s">
        <v>62</v>
      </c>
      <c r="I173" s="14" t="n">
        <v>0.47</v>
      </c>
      <c r="J173" s="14" t="n">
        <v>3.5</v>
      </c>
      <c r="K173" s="14" t="s">
        <v>59</v>
      </c>
      <c r="L173" s="14" t="n">
        <v>2015</v>
      </c>
      <c r="M173" s="14" t="n">
        <v>9.33600338997184</v>
      </c>
      <c r="N173" s="14" t="n">
        <v>4.00751498688737</v>
      </c>
      <c r="P173" s="14" t="n">
        <f aca="false">D173</f>
        <v>55</v>
      </c>
      <c r="Q173" s="14" t="n">
        <f aca="false">G173</f>
        <v>26</v>
      </c>
      <c r="R173" s="14" t="n">
        <f aca="false">J173</f>
        <v>3.5</v>
      </c>
      <c r="S173" s="14" t="n">
        <f aca="false">IF($L173=2012,1,0)</f>
        <v>0</v>
      </c>
      <c r="T173" s="14" t="n">
        <f aca="false">IF($L173=2013,1,0)</f>
        <v>0</v>
      </c>
      <c r="U173" s="14" t="n">
        <f aca="false">IF($L173=2014,1,0)</f>
        <v>0</v>
      </c>
      <c r="V173" s="14" t="n">
        <f aca="false">IF($L173=2015,1,0)</f>
        <v>1</v>
      </c>
      <c r="W173" s="14" t="n">
        <f aca="false">IF($L173=2016,1,0)</f>
        <v>0</v>
      </c>
      <c r="X173" s="14" t="n">
        <f aca="false">IF($L173=2017,1,0)</f>
        <v>0</v>
      </c>
      <c r="Y173" s="14" t="n">
        <f aca="false">IF($H173="Beginner Level",1,0)</f>
        <v>0</v>
      </c>
      <c r="Z173" s="14" t="n">
        <f aca="false">IF($H173="Expert Level",1,0)</f>
        <v>0</v>
      </c>
      <c r="AA173" s="14" t="n">
        <f aca="false">IF($H173="Intermediate Level",1,0)</f>
        <v>0</v>
      </c>
      <c r="AC173" s="14" t="n">
        <f aca="false">N173</f>
        <v>4.00751498688737</v>
      </c>
      <c r="AD173" s="14" t="n">
        <f aca="false">G173</f>
        <v>26</v>
      </c>
      <c r="AE173" s="14" t="n">
        <f aca="false">J173</f>
        <v>3.5</v>
      </c>
      <c r="AF173" s="14" t="n">
        <f aca="false">IF($L173=2012,1,0)</f>
        <v>0</v>
      </c>
      <c r="AG173" s="14" t="n">
        <f aca="false">IF($L173=2013,1,0)</f>
        <v>0</v>
      </c>
      <c r="AH173" s="14" t="n">
        <f aca="false">IF($L173=2014,1,0)</f>
        <v>0</v>
      </c>
      <c r="AI173" s="14" t="n">
        <f aca="false">IF($L173=2015,1,0)</f>
        <v>1</v>
      </c>
      <c r="AJ173" s="14" t="n">
        <f aca="false">IF($L173=2016,1,0)</f>
        <v>0</v>
      </c>
      <c r="AK173" s="14" t="n">
        <f aca="false">IF($L173=2017,1,0)</f>
        <v>0</v>
      </c>
      <c r="AL173" s="14" t="n">
        <f aca="false">IF($H173="Beginner Level",1,0)</f>
        <v>0</v>
      </c>
      <c r="AM173" s="14" t="n">
        <f aca="false">IF($H173="Expert Level",1,0)</f>
        <v>0</v>
      </c>
      <c r="AN173" s="14" t="n">
        <f aca="false">IF($H173="Intermediate Level",1,0)</f>
        <v>0</v>
      </c>
    </row>
    <row r="174" customFormat="false" ht="57.45" hidden="false" customHeight="false" outlineLevel="0" collapsed="false">
      <c r="A174" s="14" t="n">
        <v>1052304</v>
      </c>
      <c r="B174" s="14" t="s">
        <v>400</v>
      </c>
      <c r="C174" s="14" t="s">
        <v>401</v>
      </c>
      <c r="D174" s="14" t="n">
        <v>195</v>
      </c>
      <c r="E174" s="14" t="n">
        <v>11285</v>
      </c>
      <c r="F174" s="14" t="n">
        <v>102</v>
      </c>
      <c r="G174" s="14" t="n">
        <v>77</v>
      </c>
      <c r="H174" s="14" t="s">
        <v>71</v>
      </c>
      <c r="I174" s="14" t="n">
        <v>0.3</v>
      </c>
      <c r="J174" s="14" t="n">
        <v>5.5</v>
      </c>
      <c r="K174" s="14" t="s">
        <v>59</v>
      </c>
      <c r="L174" s="14" t="n">
        <v>2017</v>
      </c>
      <c r="M174" s="14" t="n">
        <v>9.33122968925164</v>
      </c>
      <c r="N174" s="14" t="n">
        <v>5.27305083930015</v>
      </c>
      <c r="P174" s="14" t="n">
        <f aca="false">D174</f>
        <v>195</v>
      </c>
      <c r="Q174" s="14" t="n">
        <f aca="false">G174</f>
        <v>77</v>
      </c>
      <c r="R174" s="14" t="n">
        <f aca="false">J174</f>
        <v>5.5</v>
      </c>
      <c r="S174" s="14" t="n">
        <f aca="false">IF($L174=2012,1,0)</f>
        <v>0</v>
      </c>
      <c r="T174" s="14" t="n">
        <f aca="false">IF($L174=2013,1,0)</f>
        <v>0</v>
      </c>
      <c r="U174" s="14" t="n">
        <f aca="false">IF($L174=2014,1,0)</f>
        <v>0</v>
      </c>
      <c r="V174" s="14" t="n">
        <f aca="false">IF($L174=2015,1,0)</f>
        <v>0</v>
      </c>
      <c r="W174" s="14" t="n">
        <f aca="false">IF($L174=2016,1,0)</f>
        <v>0</v>
      </c>
      <c r="X174" s="14" t="n">
        <f aca="false">IF($L174=2017,1,0)</f>
        <v>1</v>
      </c>
      <c r="Y174" s="14" t="n">
        <f aca="false">IF($H174="Beginner Level",1,0)</f>
        <v>0</v>
      </c>
      <c r="Z174" s="14" t="n">
        <f aca="false">IF($H174="Expert Level",1,0)</f>
        <v>0</v>
      </c>
      <c r="AA174" s="14" t="n">
        <f aca="false">IF($H174="Intermediate Level",1,0)</f>
        <v>1</v>
      </c>
      <c r="AC174" s="14" t="n">
        <f aca="false">N174</f>
        <v>5.27305083930015</v>
      </c>
      <c r="AD174" s="14" t="n">
        <f aca="false">G174</f>
        <v>77</v>
      </c>
      <c r="AE174" s="14" t="n">
        <f aca="false">J174</f>
        <v>5.5</v>
      </c>
      <c r="AF174" s="14" t="n">
        <f aca="false">IF($L174=2012,1,0)</f>
        <v>0</v>
      </c>
      <c r="AG174" s="14" t="n">
        <f aca="false">IF($L174=2013,1,0)</f>
        <v>0</v>
      </c>
      <c r="AH174" s="14" t="n">
        <f aca="false">IF($L174=2014,1,0)</f>
        <v>0</v>
      </c>
      <c r="AI174" s="14" t="n">
        <f aca="false">IF($L174=2015,1,0)</f>
        <v>0</v>
      </c>
      <c r="AJ174" s="14" t="n">
        <f aca="false">IF($L174=2016,1,0)</f>
        <v>0</v>
      </c>
      <c r="AK174" s="14" t="n">
        <f aca="false">IF($L174=2017,1,0)</f>
        <v>1</v>
      </c>
      <c r="AL174" s="14" t="n">
        <f aca="false">IF($H174="Beginner Level",1,0)</f>
        <v>0</v>
      </c>
      <c r="AM174" s="14" t="n">
        <f aca="false">IF($H174="Expert Level",1,0)</f>
        <v>0</v>
      </c>
      <c r="AN174" s="14" t="n">
        <f aca="false">IF($H174="Intermediate Level",1,0)</f>
        <v>1</v>
      </c>
    </row>
    <row r="175" customFormat="false" ht="57.45" hidden="false" customHeight="false" outlineLevel="0" collapsed="false">
      <c r="A175" s="14" t="n">
        <v>1052304</v>
      </c>
      <c r="B175" s="14" t="s">
        <v>400</v>
      </c>
      <c r="C175" s="14" t="s">
        <v>401</v>
      </c>
      <c r="D175" s="14" t="n">
        <v>195</v>
      </c>
      <c r="E175" s="14" t="n">
        <v>11285</v>
      </c>
      <c r="F175" s="14" t="n">
        <v>102</v>
      </c>
      <c r="G175" s="14" t="n">
        <v>77</v>
      </c>
      <c r="H175" s="14" t="s">
        <v>71</v>
      </c>
      <c r="I175" s="14" t="n">
        <v>0.92</v>
      </c>
      <c r="J175" s="14" t="n">
        <v>5.5</v>
      </c>
      <c r="K175" s="14" t="s">
        <v>59</v>
      </c>
      <c r="L175" s="14" t="n">
        <v>2017</v>
      </c>
      <c r="M175" s="14" t="n">
        <v>9.33122968925164</v>
      </c>
      <c r="N175" s="14" t="n">
        <v>5.27305083930015</v>
      </c>
      <c r="P175" s="14" t="n">
        <f aca="false">D175</f>
        <v>195</v>
      </c>
      <c r="Q175" s="14" t="n">
        <f aca="false">G175</f>
        <v>77</v>
      </c>
      <c r="R175" s="14" t="n">
        <f aca="false">J175</f>
        <v>5.5</v>
      </c>
      <c r="S175" s="14" t="n">
        <f aca="false">IF($L175=2012,1,0)</f>
        <v>0</v>
      </c>
      <c r="T175" s="14" t="n">
        <f aca="false">IF($L175=2013,1,0)</f>
        <v>0</v>
      </c>
      <c r="U175" s="14" t="n">
        <f aca="false">IF($L175=2014,1,0)</f>
        <v>0</v>
      </c>
      <c r="V175" s="14" t="n">
        <f aca="false">IF($L175=2015,1,0)</f>
        <v>0</v>
      </c>
      <c r="W175" s="14" t="n">
        <f aca="false">IF($L175=2016,1,0)</f>
        <v>0</v>
      </c>
      <c r="X175" s="14" t="n">
        <f aca="false">IF($L175=2017,1,0)</f>
        <v>1</v>
      </c>
      <c r="Y175" s="14" t="n">
        <f aca="false">IF($H175="Beginner Level",1,0)</f>
        <v>0</v>
      </c>
      <c r="Z175" s="14" t="n">
        <f aca="false">IF($H175="Expert Level",1,0)</f>
        <v>0</v>
      </c>
      <c r="AA175" s="14" t="n">
        <f aca="false">IF($H175="Intermediate Level",1,0)</f>
        <v>1</v>
      </c>
      <c r="AC175" s="14" t="n">
        <f aca="false">N175</f>
        <v>5.27305083930015</v>
      </c>
      <c r="AD175" s="14" t="n">
        <f aca="false">G175</f>
        <v>77</v>
      </c>
      <c r="AE175" s="14" t="n">
        <f aca="false">J175</f>
        <v>5.5</v>
      </c>
      <c r="AF175" s="14" t="n">
        <f aca="false">IF($L175=2012,1,0)</f>
        <v>0</v>
      </c>
      <c r="AG175" s="14" t="n">
        <f aca="false">IF($L175=2013,1,0)</f>
        <v>0</v>
      </c>
      <c r="AH175" s="14" t="n">
        <f aca="false">IF($L175=2014,1,0)</f>
        <v>0</v>
      </c>
      <c r="AI175" s="14" t="n">
        <f aca="false">IF($L175=2015,1,0)</f>
        <v>0</v>
      </c>
      <c r="AJ175" s="14" t="n">
        <f aca="false">IF($L175=2016,1,0)</f>
        <v>0</v>
      </c>
      <c r="AK175" s="14" t="n">
        <f aca="false">IF($L175=2017,1,0)</f>
        <v>1</v>
      </c>
      <c r="AL175" s="14" t="n">
        <f aca="false">IF($H175="Beginner Level",1,0)</f>
        <v>0</v>
      </c>
      <c r="AM175" s="14" t="n">
        <f aca="false">IF($H175="Expert Level",1,0)</f>
        <v>0</v>
      </c>
      <c r="AN175" s="14" t="n">
        <f aca="false">IF($H175="Intermediate Level",1,0)</f>
        <v>1</v>
      </c>
    </row>
    <row r="176" customFormat="false" ht="46.25" hidden="false" customHeight="false" outlineLevel="0" collapsed="false">
      <c r="A176" s="14" t="n">
        <v>379722</v>
      </c>
      <c r="B176" s="14" t="s">
        <v>402</v>
      </c>
      <c r="C176" s="14" t="s">
        <v>403</v>
      </c>
      <c r="D176" s="14" t="n">
        <v>50</v>
      </c>
      <c r="E176" s="14" t="n">
        <v>11262</v>
      </c>
      <c r="F176" s="14" t="n">
        <v>142</v>
      </c>
      <c r="G176" s="14" t="n">
        <v>18</v>
      </c>
      <c r="H176" s="14" t="s">
        <v>52</v>
      </c>
      <c r="I176" s="14" t="n">
        <v>0.55</v>
      </c>
      <c r="J176" s="14" t="n">
        <v>2</v>
      </c>
      <c r="K176" s="14" t="s">
        <v>59</v>
      </c>
      <c r="L176" s="14" t="n">
        <v>2015</v>
      </c>
      <c r="M176" s="14" t="n">
        <v>9.32918950581456</v>
      </c>
      <c r="N176" s="14" t="n">
        <v>3.91222298543081</v>
      </c>
      <c r="P176" s="14" t="n">
        <f aca="false">D176</f>
        <v>50</v>
      </c>
      <c r="Q176" s="14" t="n">
        <f aca="false">G176</f>
        <v>18</v>
      </c>
      <c r="R176" s="14" t="n">
        <f aca="false">J176</f>
        <v>2</v>
      </c>
      <c r="S176" s="14" t="n">
        <f aca="false">IF($L176=2012,1,0)</f>
        <v>0</v>
      </c>
      <c r="T176" s="14" t="n">
        <f aca="false">IF($L176=2013,1,0)</f>
        <v>0</v>
      </c>
      <c r="U176" s="14" t="n">
        <f aca="false">IF($L176=2014,1,0)</f>
        <v>0</v>
      </c>
      <c r="V176" s="14" t="n">
        <f aca="false">IF($L176=2015,1,0)</f>
        <v>1</v>
      </c>
      <c r="W176" s="14" t="n">
        <f aca="false">IF($L176=2016,1,0)</f>
        <v>0</v>
      </c>
      <c r="X176" s="14" t="n">
        <f aca="false">IF($L176=2017,1,0)</f>
        <v>0</v>
      </c>
      <c r="Y176" s="14" t="n">
        <f aca="false">IF($H176="Beginner Level",1,0)</f>
        <v>1</v>
      </c>
      <c r="Z176" s="14" t="n">
        <f aca="false">IF($H176="Expert Level",1,0)</f>
        <v>0</v>
      </c>
      <c r="AA176" s="14" t="n">
        <f aca="false">IF($H176="Intermediate Level",1,0)</f>
        <v>0</v>
      </c>
      <c r="AC176" s="14" t="n">
        <f aca="false">N176</f>
        <v>3.91222298543081</v>
      </c>
      <c r="AD176" s="14" t="n">
        <f aca="false">G176</f>
        <v>18</v>
      </c>
      <c r="AE176" s="14" t="n">
        <f aca="false">J176</f>
        <v>2</v>
      </c>
      <c r="AF176" s="14" t="n">
        <f aca="false">IF($L176=2012,1,0)</f>
        <v>0</v>
      </c>
      <c r="AG176" s="14" t="n">
        <f aca="false">IF($L176=2013,1,0)</f>
        <v>0</v>
      </c>
      <c r="AH176" s="14" t="n">
        <f aca="false">IF($L176=2014,1,0)</f>
        <v>0</v>
      </c>
      <c r="AI176" s="14" t="n">
        <f aca="false">IF($L176=2015,1,0)</f>
        <v>1</v>
      </c>
      <c r="AJ176" s="14" t="n">
        <f aca="false">IF($L176=2016,1,0)</f>
        <v>0</v>
      </c>
      <c r="AK176" s="14" t="n">
        <f aca="false">IF($L176=2017,1,0)</f>
        <v>0</v>
      </c>
      <c r="AL176" s="14" t="n">
        <f aca="false">IF($H176="Beginner Level",1,0)</f>
        <v>1</v>
      </c>
      <c r="AM176" s="14" t="n">
        <f aca="false">IF($H176="Expert Level",1,0)</f>
        <v>0</v>
      </c>
      <c r="AN176" s="14" t="n">
        <f aca="false">IF($H176="Intermediate Level",1,0)</f>
        <v>0</v>
      </c>
    </row>
    <row r="177" customFormat="false" ht="57.45" hidden="false" customHeight="false" outlineLevel="0" collapsed="false">
      <c r="A177" s="14" t="n">
        <v>736940</v>
      </c>
      <c r="B177" s="14" t="s">
        <v>404</v>
      </c>
      <c r="C177" s="14" t="s">
        <v>405</v>
      </c>
      <c r="D177" s="14" t="n">
        <v>95</v>
      </c>
      <c r="E177" s="14" t="n">
        <v>11170</v>
      </c>
      <c r="F177" s="14" t="n">
        <v>35</v>
      </c>
      <c r="G177" s="14" t="n">
        <v>19</v>
      </c>
      <c r="H177" s="14" t="s">
        <v>52</v>
      </c>
      <c r="I177" s="14" t="n">
        <v>0.11</v>
      </c>
      <c r="J177" s="14" t="n">
        <v>2.5</v>
      </c>
      <c r="K177" s="14" t="s">
        <v>59</v>
      </c>
      <c r="L177" s="14" t="n">
        <v>2016</v>
      </c>
      <c r="M177" s="14" t="n">
        <v>9.32098689206325</v>
      </c>
      <c r="N177" s="14" t="n">
        <v>4.55398214921866</v>
      </c>
      <c r="P177" s="14" t="n">
        <f aca="false">D177</f>
        <v>95</v>
      </c>
      <c r="Q177" s="14" t="n">
        <f aca="false">G177</f>
        <v>19</v>
      </c>
      <c r="R177" s="14" t="n">
        <f aca="false">J177</f>
        <v>2.5</v>
      </c>
      <c r="S177" s="14" t="n">
        <f aca="false">IF($L177=2012,1,0)</f>
        <v>0</v>
      </c>
      <c r="T177" s="14" t="n">
        <f aca="false">IF($L177=2013,1,0)</f>
        <v>0</v>
      </c>
      <c r="U177" s="14" t="n">
        <f aca="false">IF($L177=2014,1,0)</f>
        <v>0</v>
      </c>
      <c r="V177" s="14" t="n">
        <f aca="false">IF($L177=2015,1,0)</f>
        <v>0</v>
      </c>
      <c r="W177" s="14" t="n">
        <f aca="false">IF($L177=2016,1,0)</f>
        <v>1</v>
      </c>
      <c r="X177" s="14" t="n">
        <f aca="false">IF($L177=2017,1,0)</f>
        <v>0</v>
      </c>
      <c r="Y177" s="14" t="n">
        <f aca="false">IF($H177="Beginner Level",1,0)</f>
        <v>1</v>
      </c>
      <c r="Z177" s="14" t="n">
        <f aca="false">IF($H177="Expert Level",1,0)</f>
        <v>0</v>
      </c>
      <c r="AA177" s="14" t="n">
        <f aca="false">IF($H177="Intermediate Level",1,0)</f>
        <v>0</v>
      </c>
      <c r="AC177" s="14" t="n">
        <f aca="false">N177</f>
        <v>4.55398214921866</v>
      </c>
      <c r="AD177" s="14" t="n">
        <f aca="false">G177</f>
        <v>19</v>
      </c>
      <c r="AE177" s="14" t="n">
        <f aca="false">J177</f>
        <v>2.5</v>
      </c>
      <c r="AF177" s="14" t="n">
        <f aca="false">IF($L177=2012,1,0)</f>
        <v>0</v>
      </c>
      <c r="AG177" s="14" t="n">
        <f aca="false">IF($L177=2013,1,0)</f>
        <v>0</v>
      </c>
      <c r="AH177" s="14" t="n">
        <f aca="false">IF($L177=2014,1,0)</f>
        <v>0</v>
      </c>
      <c r="AI177" s="14" t="n">
        <f aca="false">IF($L177=2015,1,0)</f>
        <v>0</v>
      </c>
      <c r="AJ177" s="14" t="n">
        <f aca="false">IF($L177=2016,1,0)</f>
        <v>1</v>
      </c>
      <c r="AK177" s="14" t="n">
        <f aca="false">IF($L177=2017,1,0)</f>
        <v>0</v>
      </c>
      <c r="AL177" s="14" t="n">
        <f aca="false">IF($H177="Beginner Level",1,0)</f>
        <v>1</v>
      </c>
      <c r="AM177" s="14" t="n">
        <f aca="false">IF($H177="Expert Level",1,0)</f>
        <v>0</v>
      </c>
      <c r="AN177" s="14" t="n">
        <f aca="false">IF($H177="Intermediate Level",1,0)</f>
        <v>0</v>
      </c>
    </row>
    <row r="178" customFormat="false" ht="57.45" hidden="false" customHeight="false" outlineLevel="0" collapsed="false">
      <c r="A178" s="14" t="n">
        <v>736940</v>
      </c>
      <c r="B178" s="14" t="s">
        <v>404</v>
      </c>
      <c r="C178" s="14" t="s">
        <v>405</v>
      </c>
      <c r="D178" s="14" t="n">
        <v>95</v>
      </c>
      <c r="E178" s="14" t="n">
        <v>11170</v>
      </c>
      <c r="F178" s="14" t="n">
        <v>35</v>
      </c>
      <c r="G178" s="14" t="n">
        <v>19</v>
      </c>
      <c r="H178" s="14" t="s">
        <v>52</v>
      </c>
      <c r="I178" s="14" t="n">
        <v>0.92</v>
      </c>
      <c r="J178" s="14" t="n">
        <v>2.5</v>
      </c>
      <c r="K178" s="14" t="s">
        <v>59</v>
      </c>
      <c r="L178" s="14" t="n">
        <v>2016</v>
      </c>
      <c r="M178" s="14" t="n">
        <v>9.32098689206325</v>
      </c>
      <c r="N178" s="14" t="n">
        <v>4.55398214921866</v>
      </c>
      <c r="P178" s="14" t="n">
        <f aca="false">D178</f>
        <v>95</v>
      </c>
      <c r="Q178" s="14" t="n">
        <f aca="false">G178</f>
        <v>19</v>
      </c>
      <c r="R178" s="14" t="n">
        <f aca="false">J178</f>
        <v>2.5</v>
      </c>
      <c r="S178" s="14" t="n">
        <f aca="false">IF($L178=2012,1,0)</f>
        <v>0</v>
      </c>
      <c r="T178" s="14" t="n">
        <f aca="false">IF($L178=2013,1,0)</f>
        <v>0</v>
      </c>
      <c r="U178" s="14" t="n">
        <f aca="false">IF($L178=2014,1,0)</f>
        <v>0</v>
      </c>
      <c r="V178" s="14" t="n">
        <f aca="false">IF($L178=2015,1,0)</f>
        <v>0</v>
      </c>
      <c r="W178" s="14" t="n">
        <f aca="false">IF($L178=2016,1,0)</f>
        <v>1</v>
      </c>
      <c r="X178" s="14" t="n">
        <f aca="false">IF($L178=2017,1,0)</f>
        <v>0</v>
      </c>
      <c r="Y178" s="14" t="n">
        <f aca="false">IF($H178="Beginner Level",1,0)</f>
        <v>1</v>
      </c>
      <c r="Z178" s="14" t="n">
        <f aca="false">IF($H178="Expert Level",1,0)</f>
        <v>0</v>
      </c>
      <c r="AA178" s="14" t="n">
        <f aca="false">IF($H178="Intermediate Level",1,0)</f>
        <v>0</v>
      </c>
      <c r="AC178" s="14" t="n">
        <f aca="false">N178</f>
        <v>4.55398214921866</v>
      </c>
      <c r="AD178" s="14" t="n">
        <f aca="false">G178</f>
        <v>19</v>
      </c>
      <c r="AE178" s="14" t="n">
        <f aca="false">J178</f>
        <v>2.5</v>
      </c>
      <c r="AF178" s="14" t="n">
        <f aca="false">IF($L178=2012,1,0)</f>
        <v>0</v>
      </c>
      <c r="AG178" s="14" t="n">
        <f aca="false">IF($L178=2013,1,0)</f>
        <v>0</v>
      </c>
      <c r="AH178" s="14" t="n">
        <f aca="false">IF($L178=2014,1,0)</f>
        <v>0</v>
      </c>
      <c r="AI178" s="14" t="n">
        <f aca="false">IF($L178=2015,1,0)</f>
        <v>0</v>
      </c>
      <c r="AJ178" s="14" t="n">
        <f aca="false">IF($L178=2016,1,0)</f>
        <v>1</v>
      </c>
      <c r="AK178" s="14" t="n">
        <f aca="false">IF($L178=2017,1,0)</f>
        <v>0</v>
      </c>
      <c r="AL178" s="14" t="n">
        <f aca="false">IF($H178="Beginner Level",1,0)</f>
        <v>1</v>
      </c>
      <c r="AM178" s="14" t="n">
        <f aca="false">IF($H178="Expert Level",1,0)</f>
        <v>0</v>
      </c>
      <c r="AN178" s="14" t="n">
        <f aca="false">IF($H178="Intermediate Level",1,0)</f>
        <v>0</v>
      </c>
    </row>
    <row r="179" customFormat="false" ht="79.85" hidden="false" customHeight="false" outlineLevel="0" collapsed="false">
      <c r="A179" s="14" t="n">
        <v>241590</v>
      </c>
      <c r="B179" s="14" t="s">
        <v>406</v>
      </c>
      <c r="C179" s="14" t="s">
        <v>407</v>
      </c>
      <c r="D179" s="14" t="n">
        <v>20</v>
      </c>
      <c r="E179" s="14" t="n">
        <v>11167</v>
      </c>
      <c r="F179" s="14" t="n">
        <v>34</v>
      </c>
      <c r="G179" s="14" t="n">
        <v>13</v>
      </c>
      <c r="H179" s="14" t="s">
        <v>52</v>
      </c>
      <c r="I179" s="14" t="n">
        <v>0.68</v>
      </c>
      <c r="J179" s="14" t="n">
        <v>2</v>
      </c>
      <c r="K179" s="14" t="s">
        <v>59</v>
      </c>
      <c r="L179" s="14" t="n">
        <v>2014</v>
      </c>
      <c r="M179" s="14" t="n">
        <v>9.32071827944579</v>
      </c>
      <c r="N179" s="14" t="n">
        <v>2.99623214859564</v>
      </c>
      <c r="P179" s="14" t="n">
        <f aca="false">D179</f>
        <v>20</v>
      </c>
      <c r="Q179" s="14" t="n">
        <f aca="false">G179</f>
        <v>13</v>
      </c>
      <c r="R179" s="14" t="n">
        <f aca="false">J179</f>
        <v>2</v>
      </c>
      <c r="S179" s="14" t="n">
        <f aca="false">IF($L179=2012,1,0)</f>
        <v>0</v>
      </c>
      <c r="T179" s="14" t="n">
        <f aca="false">IF($L179=2013,1,0)</f>
        <v>0</v>
      </c>
      <c r="U179" s="14" t="n">
        <f aca="false">IF($L179=2014,1,0)</f>
        <v>1</v>
      </c>
      <c r="V179" s="14" t="n">
        <f aca="false">IF($L179=2015,1,0)</f>
        <v>0</v>
      </c>
      <c r="W179" s="14" t="n">
        <f aca="false">IF($L179=2016,1,0)</f>
        <v>0</v>
      </c>
      <c r="X179" s="14" t="n">
        <f aca="false">IF($L179=2017,1,0)</f>
        <v>0</v>
      </c>
      <c r="Y179" s="14" t="n">
        <f aca="false">IF($H179="Beginner Level",1,0)</f>
        <v>1</v>
      </c>
      <c r="Z179" s="14" t="n">
        <f aca="false">IF($H179="Expert Level",1,0)</f>
        <v>0</v>
      </c>
      <c r="AA179" s="14" t="n">
        <f aca="false">IF($H179="Intermediate Level",1,0)</f>
        <v>0</v>
      </c>
      <c r="AC179" s="14" t="n">
        <f aca="false">N179</f>
        <v>2.99623214859564</v>
      </c>
      <c r="AD179" s="14" t="n">
        <f aca="false">G179</f>
        <v>13</v>
      </c>
      <c r="AE179" s="14" t="n">
        <f aca="false">J179</f>
        <v>2</v>
      </c>
      <c r="AF179" s="14" t="n">
        <f aca="false">IF($L179=2012,1,0)</f>
        <v>0</v>
      </c>
      <c r="AG179" s="14" t="n">
        <f aca="false">IF($L179=2013,1,0)</f>
        <v>0</v>
      </c>
      <c r="AH179" s="14" t="n">
        <f aca="false">IF($L179=2014,1,0)</f>
        <v>1</v>
      </c>
      <c r="AI179" s="14" t="n">
        <f aca="false">IF($L179=2015,1,0)</f>
        <v>0</v>
      </c>
      <c r="AJ179" s="14" t="n">
        <f aca="false">IF($L179=2016,1,0)</f>
        <v>0</v>
      </c>
      <c r="AK179" s="14" t="n">
        <f aca="false">IF($L179=2017,1,0)</f>
        <v>0</v>
      </c>
      <c r="AL179" s="14" t="n">
        <f aca="false">IF($H179="Beginner Level",1,0)</f>
        <v>1</v>
      </c>
      <c r="AM179" s="14" t="n">
        <f aca="false">IF($H179="Expert Level",1,0)</f>
        <v>0</v>
      </c>
      <c r="AN179" s="14" t="n">
        <f aca="false">IF($H179="Intermediate Level",1,0)</f>
        <v>0</v>
      </c>
    </row>
    <row r="180" customFormat="false" ht="79.85" hidden="false" customHeight="false" outlineLevel="0" collapsed="false">
      <c r="A180" s="14" t="n">
        <v>241590</v>
      </c>
      <c r="B180" s="14" t="s">
        <v>406</v>
      </c>
      <c r="C180" s="14" t="s">
        <v>407</v>
      </c>
      <c r="D180" s="14" t="n">
        <v>20</v>
      </c>
      <c r="E180" s="14" t="n">
        <v>11167</v>
      </c>
      <c r="F180" s="14" t="n">
        <v>34</v>
      </c>
      <c r="G180" s="14" t="n">
        <v>13</v>
      </c>
      <c r="H180" s="14" t="s">
        <v>52</v>
      </c>
      <c r="I180" s="14" t="n">
        <v>0.92</v>
      </c>
      <c r="J180" s="14" t="n">
        <v>2</v>
      </c>
      <c r="K180" s="14" t="s">
        <v>59</v>
      </c>
      <c r="L180" s="14" t="n">
        <v>2014</v>
      </c>
      <c r="M180" s="14" t="n">
        <v>9.32071827944579</v>
      </c>
      <c r="N180" s="14" t="n">
        <v>2.99623214859564</v>
      </c>
      <c r="P180" s="14" t="n">
        <f aca="false">D180</f>
        <v>20</v>
      </c>
      <c r="Q180" s="14" t="n">
        <f aca="false">G180</f>
        <v>13</v>
      </c>
      <c r="R180" s="14" t="n">
        <f aca="false">J180</f>
        <v>2</v>
      </c>
      <c r="S180" s="14" t="n">
        <f aca="false">IF($L180=2012,1,0)</f>
        <v>0</v>
      </c>
      <c r="T180" s="14" t="n">
        <f aca="false">IF($L180=2013,1,0)</f>
        <v>0</v>
      </c>
      <c r="U180" s="14" t="n">
        <f aca="false">IF($L180=2014,1,0)</f>
        <v>1</v>
      </c>
      <c r="V180" s="14" t="n">
        <f aca="false">IF($L180=2015,1,0)</f>
        <v>0</v>
      </c>
      <c r="W180" s="14" t="n">
        <f aca="false">IF($L180=2016,1,0)</f>
        <v>0</v>
      </c>
      <c r="X180" s="14" t="n">
        <f aca="false">IF($L180=2017,1,0)</f>
        <v>0</v>
      </c>
      <c r="Y180" s="14" t="n">
        <f aca="false">IF($H180="Beginner Level",1,0)</f>
        <v>1</v>
      </c>
      <c r="Z180" s="14" t="n">
        <f aca="false">IF($H180="Expert Level",1,0)</f>
        <v>0</v>
      </c>
      <c r="AA180" s="14" t="n">
        <f aca="false">IF($H180="Intermediate Level",1,0)</f>
        <v>0</v>
      </c>
      <c r="AC180" s="14" t="n">
        <f aca="false">N180</f>
        <v>2.99623214859564</v>
      </c>
      <c r="AD180" s="14" t="n">
        <f aca="false">G180</f>
        <v>13</v>
      </c>
      <c r="AE180" s="14" t="n">
        <f aca="false">J180</f>
        <v>2</v>
      </c>
      <c r="AF180" s="14" t="n">
        <f aca="false">IF($L180=2012,1,0)</f>
        <v>0</v>
      </c>
      <c r="AG180" s="14" t="n">
        <f aca="false">IF($L180=2013,1,0)</f>
        <v>0</v>
      </c>
      <c r="AH180" s="14" t="n">
        <f aca="false">IF($L180=2014,1,0)</f>
        <v>1</v>
      </c>
      <c r="AI180" s="14" t="n">
        <f aca="false">IF($L180=2015,1,0)</f>
        <v>0</v>
      </c>
      <c r="AJ180" s="14" t="n">
        <f aca="false">IF($L180=2016,1,0)</f>
        <v>0</v>
      </c>
      <c r="AK180" s="14" t="n">
        <f aca="false">IF($L180=2017,1,0)</f>
        <v>0</v>
      </c>
      <c r="AL180" s="14" t="n">
        <f aca="false">IF($H180="Beginner Level",1,0)</f>
        <v>1</v>
      </c>
      <c r="AM180" s="14" t="n">
        <f aca="false">IF($H180="Expert Level",1,0)</f>
        <v>0</v>
      </c>
      <c r="AN180" s="14" t="n">
        <f aca="false">IF($H180="Intermediate Level",1,0)</f>
        <v>0</v>
      </c>
    </row>
    <row r="181" customFormat="false" ht="79.85" hidden="false" customHeight="false" outlineLevel="0" collapsed="false">
      <c r="A181" s="14" t="n">
        <v>294408</v>
      </c>
      <c r="B181" s="14" t="s">
        <v>408</v>
      </c>
      <c r="C181" s="14" t="s">
        <v>409</v>
      </c>
      <c r="D181" s="14" t="n">
        <v>0</v>
      </c>
      <c r="E181" s="14" t="n">
        <v>11080</v>
      </c>
      <c r="F181" s="14" t="n">
        <v>165</v>
      </c>
      <c r="G181" s="14" t="n">
        <v>7</v>
      </c>
      <c r="H181" s="14" t="s">
        <v>62</v>
      </c>
      <c r="I181" s="14" t="n">
        <v>0.19</v>
      </c>
      <c r="J181" s="14" t="n">
        <v>1</v>
      </c>
      <c r="K181" s="14" t="s">
        <v>53</v>
      </c>
      <c r="L181" s="14" t="n">
        <v>2014</v>
      </c>
      <c r="M181" s="14" t="n">
        <v>9.31289696030128</v>
      </c>
      <c r="N181" s="14" t="n">
        <v>-4.60517018598809</v>
      </c>
      <c r="P181" s="14" t="n">
        <f aca="false">D181</f>
        <v>0</v>
      </c>
      <c r="Q181" s="14" t="n">
        <f aca="false">G181</f>
        <v>7</v>
      </c>
      <c r="R181" s="14" t="n">
        <f aca="false">J181</f>
        <v>1</v>
      </c>
      <c r="S181" s="14" t="n">
        <f aca="false">IF($L181=2012,1,0)</f>
        <v>0</v>
      </c>
      <c r="T181" s="14" t="n">
        <f aca="false">IF($L181=2013,1,0)</f>
        <v>0</v>
      </c>
      <c r="U181" s="14" t="n">
        <f aca="false">IF($L181=2014,1,0)</f>
        <v>1</v>
      </c>
      <c r="V181" s="14" t="n">
        <f aca="false">IF($L181=2015,1,0)</f>
        <v>0</v>
      </c>
      <c r="W181" s="14" t="n">
        <f aca="false">IF($L181=2016,1,0)</f>
        <v>0</v>
      </c>
      <c r="X181" s="14" t="n">
        <f aca="false">IF($L181=2017,1,0)</f>
        <v>0</v>
      </c>
      <c r="Y181" s="14" t="n">
        <f aca="false">IF($H181="Beginner Level",1,0)</f>
        <v>0</v>
      </c>
      <c r="Z181" s="14" t="n">
        <f aca="false">IF($H181="Expert Level",1,0)</f>
        <v>0</v>
      </c>
      <c r="AA181" s="14" t="n">
        <f aca="false">IF($H181="Intermediate Level",1,0)</f>
        <v>0</v>
      </c>
      <c r="AC181" s="14" t="n">
        <f aca="false">N181</f>
        <v>-4.60517018598809</v>
      </c>
      <c r="AD181" s="14" t="n">
        <f aca="false">G181</f>
        <v>7</v>
      </c>
      <c r="AE181" s="14" t="n">
        <f aca="false">J181</f>
        <v>1</v>
      </c>
      <c r="AF181" s="14" t="n">
        <f aca="false">IF($L181=2012,1,0)</f>
        <v>0</v>
      </c>
      <c r="AG181" s="14" t="n">
        <f aca="false">IF($L181=2013,1,0)</f>
        <v>0</v>
      </c>
      <c r="AH181" s="14" t="n">
        <f aca="false">IF($L181=2014,1,0)</f>
        <v>1</v>
      </c>
      <c r="AI181" s="14" t="n">
        <f aca="false">IF($L181=2015,1,0)</f>
        <v>0</v>
      </c>
      <c r="AJ181" s="14" t="n">
        <f aca="false">IF($L181=2016,1,0)</f>
        <v>0</v>
      </c>
      <c r="AK181" s="14" t="n">
        <f aca="false">IF($L181=2017,1,0)</f>
        <v>0</v>
      </c>
      <c r="AL181" s="14" t="n">
        <f aca="false">IF($H181="Beginner Level",1,0)</f>
        <v>0</v>
      </c>
      <c r="AM181" s="14" t="n">
        <f aca="false">IF($H181="Expert Level",1,0)</f>
        <v>0</v>
      </c>
      <c r="AN181" s="14" t="n">
        <f aca="false">IF($H181="Intermediate Level",1,0)</f>
        <v>0</v>
      </c>
    </row>
    <row r="182" customFormat="false" ht="68.65" hidden="false" customHeight="false" outlineLevel="0" collapsed="false">
      <c r="A182" s="14" t="n">
        <v>142666</v>
      </c>
      <c r="B182" s="14" t="s">
        <v>410</v>
      </c>
      <c r="C182" s="14" t="s">
        <v>411</v>
      </c>
      <c r="D182" s="14" t="n">
        <v>0</v>
      </c>
      <c r="E182" s="14" t="n">
        <v>11026</v>
      </c>
      <c r="F182" s="14" t="n">
        <v>228</v>
      </c>
      <c r="G182" s="14" t="n">
        <v>13</v>
      </c>
      <c r="H182" s="14" t="s">
        <v>52</v>
      </c>
      <c r="I182" s="14" t="n">
        <v>0.8</v>
      </c>
      <c r="J182" s="14" t="n">
        <v>1</v>
      </c>
      <c r="K182" s="14" t="s">
        <v>53</v>
      </c>
      <c r="L182" s="14" t="n">
        <v>2014</v>
      </c>
      <c r="M182" s="14" t="n">
        <v>9.30801139914963</v>
      </c>
      <c r="N182" s="14" t="n">
        <v>-4.60517018598809</v>
      </c>
      <c r="P182" s="14" t="n">
        <f aca="false">D182</f>
        <v>0</v>
      </c>
      <c r="Q182" s="14" t="n">
        <f aca="false">G182</f>
        <v>13</v>
      </c>
      <c r="R182" s="14" t="n">
        <f aca="false">J182</f>
        <v>1</v>
      </c>
      <c r="S182" s="14" t="n">
        <f aca="false">IF($L182=2012,1,0)</f>
        <v>0</v>
      </c>
      <c r="T182" s="14" t="n">
        <f aca="false">IF($L182=2013,1,0)</f>
        <v>0</v>
      </c>
      <c r="U182" s="14" t="n">
        <f aca="false">IF($L182=2014,1,0)</f>
        <v>1</v>
      </c>
      <c r="V182" s="14" t="n">
        <f aca="false">IF($L182=2015,1,0)</f>
        <v>0</v>
      </c>
      <c r="W182" s="14" t="n">
        <f aca="false">IF($L182=2016,1,0)</f>
        <v>0</v>
      </c>
      <c r="X182" s="14" t="n">
        <f aca="false">IF($L182=2017,1,0)</f>
        <v>0</v>
      </c>
      <c r="Y182" s="14" t="n">
        <f aca="false">IF($H182="Beginner Level",1,0)</f>
        <v>1</v>
      </c>
      <c r="Z182" s="14" t="n">
        <f aca="false">IF($H182="Expert Level",1,0)</f>
        <v>0</v>
      </c>
      <c r="AA182" s="14" t="n">
        <f aca="false">IF($H182="Intermediate Level",1,0)</f>
        <v>0</v>
      </c>
      <c r="AC182" s="14" t="n">
        <f aca="false">N182</f>
        <v>-4.60517018598809</v>
      </c>
      <c r="AD182" s="14" t="n">
        <f aca="false">G182</f>
        <v>13</v>
      </c>
      <c r="AE182" s="14" t="n">
        <f aca="false">J182</f>
        <v>1</v>
      </c>
      <c r="AF182" s="14" t="n">
        <f aca="false">IF($L182=2012,1,0)</f>
        <v>0</v>
      </c>
      <c r="AG182" s="14" t="n">
        <f aca="false">IF($L182=2013,1,0)</f>
        <v>0</v>
      </c>
      <c r="AH182" s="14" t="n">
        <f aca="false">IF($L182=2014,1,0)</f>
        <v>1</v>
      </c>
      <c r="AI182" s="14" t="n">
        <f aca="false">IF($L182=2015,1,0)</f>
        <v>0</v>
      </c>
      <c r="AJ182" s="14" t="n">
        <f aca="false">IF($L182=2016,1,0)</f>
        <v>0</v>
      </c>
      <c r="AK182" s="14" t="n">
        <f aca="false">IF($L182=2017,1,0)</f>
        <v>0</v>
      </c>
      <c r="AL182" s="14" t="n">
        <f aca="false">IF($H182="Beginner Level",1,0)</f>
        <v>1</v>
      </c>
      <c r="AM182" s="14" t="n">
        <f aca="false">IF($H182="Expert Level",1,0)</f>
        <v>0</v>
      </c>
      <c r="AN182" s="14" t="n">
        <f aca="false">IF($H182="Intermediate Level",1,0)</f>
        <v>0</v>
      </c>
    </row>
    <row r="183" customFormat="false" ht="68.65" hidden="false" customHeight="false" outlineLevel="0" collapsed="false">
      <c r="A183" s="14" t="n">
        <v>142666</v>
      </c>
      <c r="B183" s="14" t="s">
        <v>410</v>
      </c>
      <c r="C183" s="14" t="s">
        <v>411</v>
      </c>
      <c r="D183" s="14" t="n">
        <v>0</v>
      </c>
      <c r="E183" s="14" t="n">
        <v>11026</v>
      </c>
      <c r="F183" s="14" t="n">
        <v>228</v>
      </c>
      <c r="G183" s="14" t="n">
        <v>13</v>
      </c>
      <c r="H183" s="14" t="s">
        <v>52</v>
      </c>
      <c r="I183" s="14" t="n">
        <v>0.92</v>
      </c>
      <c r="J183" s="14" t="n">
        <v>1</v>
      </c>
      <c r="K183" s="14" t="s">
        <v>53</v>
      </c>
      <c r="L183" s="14" t="n">
        <v>2014</v>
      </c>
      <c r="M183" s="14" t="n">
        <v>9.30801139914963</v>
      </c>
      <c r="N183" s="14" t="n">
        <v>-4.60517018598809</v>
      </c>
      <c r="P183" s="14" t="n">
        <f aca="false">D183</f>
        <v>0</v>
      </c>
      <c r="Q183" s="14" t="n">
        <f aca="false">G183</f>
        <v>13</v>
      </c>
      <c r="R183" s="14" t="n">
        <f aca="false">J183</f>
        <v>1</v>
      </c>
      <c r="S183" s="14" t="n">
        <f aca="false">IF($L183=2012,1,0)</f>
        <v>0</v>
      </c>
      <c r="T183" s="14" t="n">
        <f aca="false">IF($L183=2013,1,0)</f>
        <v>0</v>
      </c>
      <c r="U183" s="14" t="n">
        <f aca="false">IF($L183=2014,1,0)</f>
        <v>1</v>
      </c>
      <c r="V183" s="14" t="n">
        <f aca="false">IF($L183=2015,1,0)</f>
        <v>0</v>
      </c>
      <c r="W183" s="14" t="n">
        <f aca="false">IF($L183=2016,1,0)</f>
        <v>0</v>
      </c>
      <c r="X183" s="14" t="n">
        <f aca="false">IF($L183=2017,1,0)</f>
        <v>0</v>
      </c>
      <c r="Y183" s="14" t="n">
        <f aca="false">IF($H183="Beginner Level",1,0)</f>
        <v>1</v>
      </c>
      <c r="Z183" s="14" t="n">
        <f aca="false">IF($H183="Expert Level",1,0)</f>
        <v>0</v>
      </c>
      <c r="AA183" s="14" t="n">
        <f aca="false">IF($H183="Intermediate Level",1,0)</f>
        <v>0</v>
      </c>
      <c r="AC183" s="14" t="n">
        <f aca="false">N183</f>
        <v>-4.60517018598809</v>
      </c>
      <c r="AD183" s="14" t="n">
        <f aca="false">G183</f>
        <v>13</v>
      </c>
      <c r="AE183" s="14" t="n">
        <f aca="false">J183</f>
        <v>1</v>
      </c>
      <c r="AF183" s="14" t="n">
        <f aca="false">IF($L183=2012,1,0)</f>
        <v>0</v>
      </c>
      <c r="AG183" s="14" t="n">
        <f aca="false">IF($L183=2013,1,0)</f>
        <v>0</v>
      </c>
      <c r="AH183" s="14" t="n">
        <f aca="false">IF($L183=2014,1,0)</f>
        <v>1</v>
      </c>
      <c r="AI183" s="14" t="n">
        <f aca="false">IF($L183=2015,1,0)</f>
        <v>0</v>
      </c>
      <c r="AJ183" s="14" t="n">
        <f aca="false">IF($L183=2016,1,0)</f>
        <v>0</v>
      </c>
      <c r="AK183" s="14" t="n">
        <f aca="false">IF($L183=2017,1,0)</f>
        <v>0</v>
      </c>
      <c r="AL183" s="14" t="n">
        <f aca="false">IF($H183="Beginner Level",1,0)</f>
        <v>1</v>
      </c>
      <c r="AM183" s="14" t="n">
        <f aca="false">IF($H183="Expert Level",1,0)</f>
        <v>0</v>
      </c>
      <c r="AN183" s="14" t="n">
        <f aca="false">IF($H183="Intermediate Level",1,0)</f>
        <v>0</v>
      </c>
    </row>
    <row r="184" customFormat="false" ht="79.85" hidden="false" customHeight="false" outlineLevel="0" collapsed="false">
      <c r="A184" s="14" t="n">
        <v>615106</v>
      </c>
      <c r="B184" s="14" t="s">
        <v>412</v>
      </c>
      <c r="C184" s="14" t="s">
        <v>413</v>
      </c>
      <c r="D184" s="14" t="n">
        <v>200</v>
      </c>
      <c r="E184" s="14" t="n">
        <v>11011</v>
      </c>
      <c r="F184" s="14" t="n">
        <v>13</v>
      </c>
      <c r="G184" s="14" t="n">
        <v>36</v>
      </c>
      <c r="H184" s="14" t="s">
        <v>62</v>
      </c>
      <c r="I184" s="14" t="n">
        <v>0.94</v>
      </c>
      <c r="J184" s="14" t="n">
        <v>2.5</v>
      </c>
      <c r="K184" s="14" t="s">
        <v>59</v>
      </c>
      <c r="L184" s="14" t="n">
        <v>2015</v>
      </c>
      <c r="M184" s="14" t="n">
        <v>9.30665005211359</v>
      </c>
      <c r="N184" s="14" t="n">
        <v>5.29836736529808</v>
      </c>
      <c r="P184" s="14" t="n">
        <f aca="false">D184</f>
        <v>200</v>
      </c>
      <c r="Q184" s="14" t="n">
        <f aca="false">G184</f>
        <v>36</v>
      </c>
      <c r="R184" s="14" t="n">
        <f aca="false">J184</f>
        <v>2.5</v>
      </c>
      <c r="S184" s="14" t="n">
        <f aca="false">IF($L184=2012,1,0)</f>
        <v>0</v>
      </c>
      <c r="T184" s="14" t="n">
        <f aca="false">IF($L184=2013,1,0)</f>
        <v>0</v>
      </c>
      <c r="U184" s="14" t="n">
        <f aca="false">IF($L184=2014,1,0)</f>
        <v>0</v>
      </c>
      <c r="V184" s="14" t="n">
        <f aca="false">IF($L184=2015,1,0)</f>
        <v>1</v>
      </c>
      <c r="W184" s="14" t="n">
        <f aca="false">IF($L184=2016,1,0)</f>
        <v>0</v>
      </c>
      <c r="X184" s="14" t="n">
        <f aca="false">IF($L184=2017,1,0)</f>
        <v>0</v>
      </c>
      <c r="Y184" s="14" t="n">
        <f aca="false">IF($H184="Beginner Level",1,0)</f>
        <v>0</v>
      </c>
      <c r="Z184" s="14" t="n">
        <f aca="false">IF($H184="Expert Level",1,0)</f>
        <v>0</v>
      </c>
      <c r="AA184" s="14" t="n">
        <f aca="false">IF($H184="Intermediate Level",1,0)</f>
        <v>0</v>
      </c>
      <c r="AC184" s="14" t="n">
        <f aca="false">N184</f>
        <v>5.29836736529808</v>
      </c>
      <c r="AD184" s="14" t="n">
        <f aca="false">G184</f>
        <v>36</v>
      </c>
      <c r="AE184" s="14" t="n">
        <f aca="false">J184</f>
        <v>2.5</v>
      </c>
      <c r="AF184" s="14" t="n">
        <f aca="false">IF($L184=2012,1,0)</f>
        <v>0</v>
      </c>
      <c r="AG184" s="14" t="n">
        <f aca="false">IF($L184=2013,1,0)</f>
        <v>0</v>
      </c>
      <c r="AH184" s="14" t="n">
        <f aca="false">IF($L184=2014,1,0)</f>
        <v>0</v>
      </c>
      <c r="AI184" s="14" t="n">
        <f aca="false">IF($L184=2015,1,0)</f>
        <v>1</v>
      </c>
      <c r="AJ184" s="14" t="n">
        <f aca="false">IF($L184=2016,1,0)</f>
        <v>0</v>
      </c>
      <c r="AK184" s="14" t="n">
        <f aca="false">IF($L184=2017,1,0)</f>
        <v>0</v>
      </c>
      <c r="AL184" s="14" t="n">
        <f aca="false">IF($H184="Beginner Level",1,0)</f>
        <v>0</v>
      </c>
      <c r="AM184" s="14" t="n">
        <f aca="false">IF($H184="Expert Level",1,0)</f>
        <v>0</v>
      </c>
      <c r="AN184" s="14" t="n">
        <f aca="false">IF($H184="Intermediate Level",1,0)</f>
        <v>0</v>
      </c>
    </row>
    <row r="185" customFormat="false" ht="79.85" hidden="false" customHeight="false" outlineLevel="0" collapsed="false">
      <c r="A185" s="14" t="n">
        <v>1000574</v>
      </c>
      <c r="B185" s="14" t="s">
        <v>414</v>
      </c>
      <c r="C185" s="14" t="s">
        <v>415</v>
      </c>
      <c r="D185" s="14" t="n">
        <v>150</v>
      </c>
      <c r="E185" s="14" t="n">
        <v>10945</v>
      </c>
      <c r="F185" s="14" t="n">
        <v>1286</v>
      </c>
      <c r="G185" s="14" t="n">
        <v>129</v>
      </c>
      <c r="H185" s="14" t="s">
        <v>62</v>
      </c>
      <c r="I185" s="14" t="n">
        <v>0.16</v>
      </c>
      <c r="J185" s="14" t="n">
        <v>13.5</v>
      </c>
      <c r="K185" s="14" t="s">
        <v>59</v>
      </c>
      <c r="L185" s="14" t="n">
        <v>2016</v>
      </c>
      <c r="M185" s="14" t="n">
        <v>9.30063800995696</v>
      </c>
      <c r="N185" s="14" t="n">
        <v>5.0107019585408</v>
      </c>
      <c r="P185" s="14" t="n">
        <f aca="false">D185</f>
        <v>150</v>
      </c>
      <c r="Q185" s="14" t="n">
        <f aca="false">G185</f>
        <v>129</v>
      </c>
      <c r="R185" s="14" t="n">
        <f aca="false">J185</f>
        <v>13.5</v>
      </c>
      <c r="S185" s="14" t="n">
        <f aca="false">IF($L185=2012,1,0)</f>
        <v>0</v>
      </c>
      <c r="T185" s="14" t="n">
        <f aca="false">IF($L185=2013,1,0)</f>
        <v>0</v>
      </c>
      <c r="U185" s="14" t="n">
        <f aca="false">IF($L185=2014,1,0)</f>
        <v>0</v>
      </c>
      <c r="V185" s="14" t="n">
        <f aca="false">IF($L185=2015,1,0)</f>
        <v>0</v>
      </c>
      <c r="W185" s="14" t="n">
        <f aca="false">IF($L185=2016,1,0)</f>
        <v>1</v>
      </c>
      <c r="X185" s="14" t="n">
        <f aca="false">IF($L185=2017,1,0)</f>
        <v>0</v>
      </c>
      <c r="Y185" s="14" t="n">
        <f aca="false">IF($H185="Beginner Level",1,0)</f>
        <v>0</v>
      </c>
      <c r="Z185" s="14" t="n">
        <f aca="false">IF($H185="Expert Level",1,0)</f>
        <v>0</v>
      </c>
      <c r="AA185" s="14" t="n">
        <f aca="false">IF($H185="Intermediate Level",1,0)</f>
        <v>0</v>
      </c>
      <c r="AC185" s="14" t="n">
        <f aca="false">N185</f>
        <v>5.0107019585408</v>
      </c>
      <c r="AD185" s="14" t="n">
        <f aca="false">G185</f>
        <v>129</v>
      </c>
      <c r="AE185" s="14" t="n">
        <f aca="false">J185</f>
        <v>13.5</v>
      </c>
      <c r="AF185" s="14" t="n">
        <f aca="false">IF($L185=2012,1,0)</f>
        <v>0</v>
      </c>
      <c r="AG185" s="14" t="n">
        <f aca="false">IF($L185=2013,1,0)</f>
        <v>0</v>
      </c>
      <c r="AH185" s="14" t="n">
        <f aca="false">IF($L185=2014,1,0)</f>
        <v>0</v>
      </c>
      <c r="AI185" s="14" t="n">
        <f aca="false">IF($L185=2015,1,0)</f>
        <v>0</v>
      </c>
      <c r="AJ185" s="14" t="n">
        <f aca="false">IF($L185=2016,1,0)</f>
        <v>1</v>
      </c>
      <c r="AK185" s="14" t="n">
        <f aca="false">IF($L185=2017,1,0)</f>
        <v>0</v>
      </c>
      <c r="AL185" s="14" t="n">
        <f aca="false">IF($H185="Beginner Level",1,0)</f>
        <v>0</v>
      </c>
      <c r="AM185" s="14" t="n">
        <f aca="false">IF($H185="Expert Level",1,0)</f>
        <v>0</v>
      </c>
      <c r="AN185" s="14" t="n">
        <f aca="false">IF($H185="Intermediate Level",1,0)</f>
        <v>0</v>
      </c>
    </row>
    <row r="186" customFormat="false" ht="68.65" hidden="false" customHeight="false" outlineLevel="0" collapsed="false">
      <c r="A186" s="14" t="n">
        <v>394832</v>
      </c>
      <c r="B186" s="14" t="s">
        <v>416</v>
      </c>
      <c r="C186" s="14" t="s">
        <v>417</v>
      </c>
      <c r="D186" s="14" t="n">
        <v>0</v>
      </c>
      <c r="E186" s="14" t="n">
        <v>10917</v>
      </c>
      <c r="F186" s="14" t="n">
        <v>319</v>
      </c>
      <c r="G186" s="14" t="n">
        <v>25</v>
      </c>
      <c r="H186" s="14" t="s">
        <v>62</v>
      </c>
      <c r="I186" s="14" t="n">
        <v>0.18</v>
      </c>
      <c r="J186" s="14" t="n">
        <v>2</v>
      </c>
      <c r="K186" s="14" t="s">
        <v>53</v>
      </c>
      <c r="L186" s="14" t="n">
        <v>2015</v>
      </c>
      <c r="M186" s="14" t="n">
        <v>9.29807648628027</v>
      </c>
      <c r="N186" s="14" t="n">
        <v>-4.60517018598809</v>
      </c>
      <c r="P186" s="14" t="n">
        <f aca="false">D186</f>
        <v>0</v>
      </c>
      <c r="Q186" s="14" t="n">
        <f aca="false">G186</f>
        <v>25</v>
      </c>
      <c r="R186" s="14" t="n">
        <f aca="false">J186</f>
        <v>2</v>
      </c>
      <c r="S186" s="14" t="n">
        <f aca="false">IF($L186=2012,1,0)</f>
        <v>0</v>
      </c>
      <c r="T186" s="14" t="n">
        <f aca="false">IF($L186=2013,1,0)</f>
        <v>0</v>
      </c>
      <c r="U186" s="14" t="n">
        <f aca="false">IF($L186=2014,1,0)</f>
        <v>0</v>
      </c>
      <c r="V186" s="14" t="n">
        <f aca="false">IF($L186=2015,1,0)</f>
        <v>1</v>
      </c>
      <c r="W186" s="14" t="n">
        <f aca="false">IF($L186=2016,1,0)</f>
        <v>0</v>
      </c>
      <c r="X186" s="14" t="n">
        <f aca="false">IF($L186=2017,1,0)</f>
        <v>0</v>
      </c>
      <c r="Y186" s="14" t="n">
        <f aca="false">IF($H186="Beginner Level",1,0)</f>
        <v>0</v>
      </c>
      <c r="Z186" s="14" t="n">
        <f aca="false">IF($H186="Expert Level",1,0)</f>
        <v>0</v>
      </c>
      <c r="AA186" s="14" t="n">
        <f aca="false">IF($H186="Intermediate Level",1,0)</f>
        <v>0</v>
      </c>
      <c r="AC186" s="14" t="n">
        <f aca="false">N186</f>
        <v>-4.60517018598809</v>
      </c>
      <c r="AD186" s="14" t="n">
        <f aca="false">G186</f>
        <v>25</v>
      </c>
      <c r="AE186" s="14" t="n">
        <f aca="false">J186</f>
        <v>2</v>
      </c>
      <c r="AF186" s="14" t="n">
        <f aca="false">IF($L186=2012,1,0)</f>
        <v>0</v>
      </c>
      <c r="AG186" s="14" t="n">
        <f aca="false">IF($L186=2013,1,0)</f>
        <v>0</v>
      </c>
      <c r="AH186" s="14" t="n">
        <f aca="false">IF($L186=2014,1,0)</f>
        <v>0</v>
      </c>
      <c r="AI186" s="14" t="n">
        <f aca="false">IF($L186=2015,1,0)</f>
        <v>1</v>
      </c>
      <c r="AJ186" s="14" t="n">
        <f aca="false">IF($L186=2016,1,0)</f>
        <v>0</v>
      </c>
      <c r="AK186" s="14" t="n">
        <f aca="false">IF($L186=2017,1,0)</f>
        <v>0</v>
      </c>
      <c r="AL186" s="14" t="n">
        <f aca="false">IF($H186="Beginner Level",1,0)</f>
        <v>0</v>
      </c>
      <c r="AM186" s="14" t="n">
        <f aca="false">IF($H186="Expert Level",1,0)</f>
        <v>0</v>
      </c>
      <c r="AN186" s="14" t="n">
        <f aca="false">IF($H186="Intermediate Level",1,0)</f>
        <v>0</v>
      </c>
    </row>
    <row r="187" customFormat="false" ht="68.65" hidden="false" customHeight="false" outlineLevel="0" collapsed="false">
      <c r="A187" s="14" t="n">
        <v>113518</v>
      </c>
      <c r="B187" s="14" t="s">
        <v>418</v>
      </c>
      <c r="C187" s="14" t="s">
        <v>419</v>
      </c>
      <c r="D187" s="14" t="n">
        <v>75</v>
      </c>
      <c r="E187" s="14" t="n">
        <v>10890</v>
      </c>
      <c r="F187" s="14" t="n">
        <v>212</v>
      </c>
      <c r="G187" s="14" t="n">
        <v>33</v>
      </c>
      <c r="H187" s="14" t="s">
        <v>62</v>
      </c>
      <c r="I187" s="14" t="n">
        <v>0.1</v>
      </c>
      <c r="J187" s="14" t="n">
        <v>5</v>
      </c>
      <c r="K187" s="14" t="s">
        <v>59</v>
      </c>
      <c r="L187" s="14" t="n">
        <v>2013</v>
      </c>
      <c r="M187" s="14" t="n">
        <v>9.29560021592701</v>
      </c>
      <c r="N187" s="14" t="n">
        <v>4.31762143798155</v>
      </c>
      <c r="P187" s="14" t="n">
        <f aca="false">D187</f>
        <v>75</v>
      </c>
      <c r="Q187" s="14" t="n">
        <f aca="false">G187</f>
        <v>33</v>
      </c>
      <c r="R187" s="14" t="n">
        <f aca="false">J187</f>
        <v>5</v>
      </c>
      <c r="S187" s="14" t="n">
        <f aca="false">IF($L187=2012,1,0)</f>
        <v>0</v>
      </c>
      <c r="T187" s="14" t="n">
        <f aca="false">IF($L187=2013,1,0)</f>
        <v>1</v>
      </c>
      <c r="U187" s="14" t="n">
        <f aca="false">IF($L187=2014,1,0)</f>
        <v>0</v>
      </c>
      <c r="V187" s="14" t="n">
        <f aca="false">IF($L187=2015,1,0)</f>
        <v>0</v>
      </c>
      <c r="W187" s="14" t="n">
        <f aca="false">IF($L187=2016,1,0)</f>
        <v>0</v>
      </c>
      <c r="X187" s="14" t="n">
        <f aca="false">IF($L187=2017,1,0)</f>
        <v>0</v>
      </c>
      <c r="Y187" s="14" t="n">
        <f aca="false">IF($H187="Beginner Level",1,0)</f>
        <v>0</v>
      </c>
      <c r="Z187" s="14" t="n">
        <f aca="false">IF($H187="Expert Level",1,0)</f>
        <v>0</v>
      </c>
      <c r="AA187" s="14" t="n">
        <f aca="false">IF($H187="Intermediate Level",1,0)</f>
        <v>0</v>
      </c>
      <c r="AC187" s="14" t="n">
        <f aca="false">N187</f>
        <v>4.31762143798155</v>
      </c>
      <c r="AD187" s="14" t="n">
        <f aca="false">G187</f>
        <v>33</v>
      </c>
      <c r="AE187" s="14" t="n">
        <f aca="false">J187</f>
        <v>5</v>
      </c>
      <c r="AF187" s="14" t="n">
        <f aca="false">IF($L187=2012,1,0)</f>
        <v>0</v>
      </c>
      <c r="AG187" s="14" t="n">
        <f aca="false">IF($L187=2013,1,0)</f>
        <v>1</v>
      </c>
      <c r="AH187" s="14" t="n">
        <f aca="false">IF($L187=2014,1,0)</f>
        <v>0</v>
      </c>
      <c r="AI187" s="14" t="n">
        <f aca="false">IF($L187=2015,1,0)</f>
        <v>0</v>
      </c>
      <c r="AJ187" s="14" t="n">
        <f aca="false">IF($L187=2016,1,0)</f>
        <v>0</v>
      </c>
      <c r="AK187" s="14" t="n">
        <f aca="false">IF($L187=2017,1,0)</f>
        <v>0</v>
      </c>
      <c r="AL187" s="14" t="n">
        <f aca="false">IF($H187="Beginner Level",1,0)</f>
        <v>0</v>
      </c>
      <c r="AM187" s="14" t="n">
        <f aca="false">IF($H187="Expert Level",1,0)</f>
        <v>0</v>
      </c>
      <c r="AN187" s="14" t="n">
        <f aca="false">IF($H187="Intermediate Level",1,0)</f>
        <v>0</v>
      </c>
    </row>
    <row r="188" customFormat="false" ht="68.65" hidden="false" customHeight="false" outlineLevel="0" collapsed="false">
      <c r="A188" s="14" t="n">
        <v>701570</v>
      </c>
      <c r="B188" s="14" t="s">
        <v>420</v>
      </c>
      <c r="C188" s="14" t="s">
        <v>421</v>
      </c>
      <c r="D188" s="14" t="n">
        <v>195</v>
      </c>
      <c r="E188" s="14" t="n">
        <v>10874</v>
      </c>
      <c r="F188" s="14" t="n">
        <v>114</v>
      </c>
      <c r="G188" s="14" t="n">
        <v>59</v>
      </c>
      <c r="H188" s="14" t="s">
        <v>62</v>
      </c>
      <c r="I188" s="14" t="n">
        <v>0.34</v>
      </c>
      <c r="J188" s="14" t="n">
        <v>7.5</v>
      </c>
      <c r="K188" s="14" t="s">
        <v>59</v>
      </c>
      <c r="L188" s="14" t="n">
        <v>2016</v>
      </c>
      <c r="M188" s="14" t="n">
        <v>9.29412989770587</v>
      </c>
      <c r="N188" s="14" t="n">
        <v>5.27305083930015</v>
      </c>
      <c r="P188" s="14" t="n">
        <f aca="false">D188</f>
        <v>195</v>
      </c>
      <c r="Q188" s="14" t="n">
        <f aca="false">G188</f>
        <v>59</v>
      </c>
      <c r="R188" s="14" t="n">
        <f aca="false">J188</f>
        <v>7.5</v>
      </c>
      <c r="S188" s="14" t="n">
        <f aca="false">IF($L188=2012,1,0)</f>
        <v>0</v>
      </c>
      <c r="T188" s="14" t="n">
        <f aca="false">IF($L188=2013,1,0)</f>
        <v>0</v>
      </c>
      <c r="U188" s="14" t="n">
        <f aca="false">IF($L188=2014,1,0)</f>
        <v>0</v>
      </c>
      <c r="V188" s="14" t="n">
        <f aca="false">IF($L188=2015,1,0)</f>
        <v>0</v>
      </c>
      <c r="W188" s="14" t="n">
        <f aca="false">IF($L188=2016,1,0)</f>
        <v>1</v>
      </c>
      <c r="X188" s="14" t="n">
        <f aca="false">IF($L188=2017,1,0)</f>
        <v>0</v>
      </c>
      <c r="Y188" s="14" t="n">
        <f aca="false">IF($H188="Beginner Level",1,0)</f>
        <v>0</v>
      </c>
      <c r="Z188" s="14" t="n">
        <f aca="false">IF($H188="Expert Level",1,0)</f>
        <v>0</v>
      </c>
      <c r="AA188" s="14" t="n">
        <f aca="false">IF($H188="Intermediate Level",1,0)</f>
        <v>0</v>
      </c>
      <c r="AC188" s="14" t="n">
        <f aca="false">N188</f>
        <v>5.27305083930015</v>
      </c>
      <c r="AD188" s="14" t="n">
        <f aca="false">G188</f>
        <v>59</v>
      </c>
      <c r="AE188" s="14" t="n">
        <f aca="false">J188</f>
        <v>7.5</v>
      </c>
      <c r="AF188" s="14" t="n">
        <f aca="false">IF($L188=2012,1,0)</f>
        <v>0</v>
      </c>
      <c r="AG188" s="14" t="n">
        <f aca="false">IF($L188=2013,1,0)</f>
        <v>0</v>
      </c>
      <c r="AH188" s="14" t="n">
        <f aca="false">IF($L188=2014,1,0)</f>
        <v>0</v>
      </c>
      <c r="AI188" s="14" t="n">
        <f aca="false">IF($L188=2015,1,0)</f>
        <v>0</v>
      </c>
      <c r="AJ188" s="14" t="n">
        <f aca="false">IF($L188=2016,1,0)</f>
        <v>1</v>
      </c>
      <c r="AK188" s="14" t="n">
        <f aca="false">IF($L188=2017,1,0)</f>
        <v>0</v>
      </c>
      <c r="AL188" s="14" t="n">
        <f aca="false">IF($H188="Beginner Level",1,0)</f>
        <v>0</v>
      </c>
      <c r="AM188" s="14" t="n">
        <f aca="false">IF($H188="Expert Level",1,0)</f>
        <v>0</v>
      </c>
      <c r="AN188" s="14" t="n">
        <f aca="false">IF($H188="Intermediate Level",1,0)</f>
        <v>0</v>
      </c>
    </row>
    <row r="189" customFormat="false" ht="57.45" hidden="false" customHeight="false" outlineLevel="0" collapsed="false">
      <c r="A189" s="14" t="n">
        <v>729552</v>
      </c>
      <c r="B189" s="14" t="s">
        <v>422</v>
      </c>
      <c r="C189" s="14" t="s">
        <v>423</v>
      </c>
      <c r="D189" s="14" t="n">
        <v>50</v>
      </c>
      <c r="E189" s="14" t="n">
        <v>10864</v>
      </c>
      <c r="F189" s="14" t="n">
        <v>63</v>
      </c>
      <c r="G189" s="14" t="n">
        <v>26</v>
      </c>
      <c r="H189" s="14" t="s">
        <v>52</v>
      </c>
      <c r="I189" s="14" t="n">
        <v>0.84</v>
      </c>
      <c r="J189" s="14" t="n">
        <v>2</v>
      </c>
      <c r="K189" s="14" t="s">
        <v>59</v>
      </c>
      <c r="L189" s="14" t="n">
        <v>2016</v>
      </c>
      <c r="M189" s="14" t="n">
        <v>9.29320984979848</v>
      </c>
      <c r="N189" s="14" t="n">
        <v>3.91222298543081</v>
      </c>
      <c r="P189" s="14" t="n">
        <f aca="false">D189</f>
        <v>50</v>
      </c>
      <c r="Q189" s="14" t="n">
        <f aca="false">G189</f>
        <v>26</v>
      </c>
      <c r="R189" s="14" t="n">
        <f aca="false">J189</f>
        <v>2</v>
      </c>
      <c r="S189" s="14" t="n">
        <f aca="false">IF($L189=2012,1,0)</f>
        <v>0</v>
      </c>
      <c r="T189" s="14" t="n">
        <f aca="false">IF($L189=2013,1,0)</f>
        <v>0</v>
      </c>
      <c r="U189" s="14" t="n">
        <f aca="false">IF($L189=2014,1,0)</f>
        <v>0</v>
      </c>
      <c r="V189" s="14" t="n">
        <f aca="false">IF($L189=2015,1,0)</f>
        <v>0</v>
      </c>
      <c r="W189" s="14" t="n">
        <f aca="false">IF($L189=2016,1,0)</f>
        <v>1</v>
      </c>
      <c r="X189" s="14" t="n">
        <f aca="false">IF($L189=2017,1,0)</f>
        <v>0</v>
      </c>
      <c r="Y189" s="14" t="n">
        <f aca="false">IF($H189="Beginner Level",1,0)</f>
        <v>1</v>
      </c>
      <c r="Z189" s="14" t="n">
        <f aca="false">IF($H189="Expert Level",1,0)</f>
        <v>0</v>
      </c>
      <c r="AA189" s="14" t="n">
        <f aca="false">IF($H189="Intermediate Level",1,0)</f>
        <v>0</v>
      </c>
      <c r="AC189" s="14" t="n">
        <f aca="false">N189</f>
        <v>3.91222298543081</v>
      </c>
      <c r="AD189" s="14" t="n">
        <f aca="false">G189</f>
        <v>26</v>
      </c>
      <c r="AE189" s="14" t="n">
        <f aca="false">J189</f>
        <v>2</v>
      </c>
      <c r="AF189" s="14" t="n">
        <f aca="false">IF($L189=2012,1,0)</f>
        <v>0</v>
      </c>
      <c r="AG189" s="14" t="n">
        <f aca="false">IF($L189=2013,1,0)</f>
        <v>0</v>
      </c>
      <c r="AH189" s="14" t="n">
        <f aca="false">IF($L189=2014,1,0)</f>
        <v>0</v>
      </c>
      <c r="AI189" s="14" t="n">
        <f aca="false">IF($L189=2015,1,0)</f>
        <v>0</v>
      </c>
      <c r="AJ189" s="14" t="n">
        <f aca="false">IF($L189=2016,1,0)</f>
        <v>1</v>
      </c>
      <c r="AK189" s="14" t="n">
        <f aca="false">IF($L189=2017,1,0)</f>
        <v>0</v>
      </c>
      <c r="AL189" s="14" t="n">
        <f aca="false">IF($H189="Beginner Level",1,0)</f>
        <v>1</v>
      </c>
      <c r="AM189" s="14" t="n">
        <f aca="false">IF($H189="Expert Level",1,0)</f>
        <v>0</v>
      </c>
      <c r="AN189" s="14" t="n">
        <f aca="false">IF($H189="Intermediate Level",1,0)</f>
        <v>0</v>
      </c>
    </row>
    <row r="190" customFormat="false" ht="91" hidden="false" customHeight="false" outlineLevel="0" collapsed="false">
      <c r="A190" s="14" t="n">
        <v>708674</v>
      </c>
      <c r="B190" s="14" t="s">
        <v>424</v>
      </c>
      <c r="C190" s="14" t="s">
        <v>425</v>
      </c>
      <c r="D190" s="14" t="n">
        <v>0</v>
      </c>
      <c r="E190" s="14" t="n">
        <v>10780</v>
      </c>
      <c r="F190" s="14" t="n">
        <v>110</v>
      </c>
      <c r="G190" s="14" t="n">
        <v>19</v>
      </c>
      <c r="H190" s="14" t="s">
        <v>62</v>
      </c>
      <c r="I190" s="14" t="n">
        <v>0.66</v>
      </c>
      <c r="J190" s="14" t="n">
        <v>1</v>
      </c>
      <c r="K190" s="14" t="s">
        <v>53</v>
      </c>
      <c r="L190" s="14" t="n">
        <v>2016</v>
      </c>
      <c r="M190" s="14" t="n">
        <v>9.28544784446299</v>
      </c>
      <c r="N190" s="14" t="n">
        <v>-4.60517018598809</v>
      </c>
      <c r="P190" s="14" t="n">
        <f aca="false">D190</f>
        <v>0</v>
      </c>
      <c r="Q190" s="14" t="n">
        <f aca="false">G190</f>
        <v>19</v>
      </c>
      <c r="R190" s="14" t="n">
        <f aca="false">J190</f>
        <v>1</v>
      </c>
      <c r="S190" s="14" t="n">
        <f aca="false">IF($L190=2012,1,0)</f>
        <v>0</v>
      </c>
      <c r="T190" s="14" t="n">
        <f aca="false">IF($L190=2013,1,0)</f>
        <v>0</v>
      </c>
      <c r="U190" s="14" t="n">
        <f aca="false">IF($L190=2014,1,0)</f>
        <v>0</v>
      </c>
      <c r="V190" s="14" t="n">
        <f aca="false">IF($L190=2015,1,0)</f>
        <v>0</v>
      </c>
      <c r="W190" s="14" t="n">
        <f aca="false">IF($L190=2016,1,0)</f>
        <v>1</v>
      </c>
      <c r="X190" s="14" t="n">
        <f aca="false">IF($L190=2017,1,0)</f>
        <v>0</v>
      </c>
      <c r="Y190" s="14" t="n">
        <f aca="false">IF($H190="Beginner Level",1,0)</f>
        <v>0</v>
      </c>
      <c r="Z190" s="14" t="n">
        <f aca="false">IF($H190="Expert Level",1,0)</f>
        <v>0</v>
      </c>
      <c r="AA190" s="14" t="n">
        <f aca="false">IF($H190="Intermediate Level",1,0)</f>
        <v>0</v>
      </c>
      <c r="AC190" s="14" t="n">
        <f aca="false">N190</f>
        <v>-4.60517018598809</v>
      </c>
      <c r="AD190" s="14" t="n">
        <f aca="false">G190</f>
        <v>19</v>
      </c>
      <c r="AE190" s="14" t="n">
        <f aca="false">J190</f>
        <v>1</v>
      </c>
      <c r="AF190" s="14" t="n">
        <f aca="false">IF($L190=2012,1,0)</f>
        <v>0</v>
      </c>
      <c r="AG190" s="14" t="n">
        <f aca="false">IF($L190=2013,1,0)</f>
        <v>0</v>
      </c>
      <c r="AH190" s="14" t="n">
        <f aca="false">IF($L190=2014,1,0)</f>
        <v>0</v>
      </c>
      <c r="AI190" s="14" t="n">
        <f aca="false">IF($L190=2015,1,0)</f>
        <v>0</v>
      </c>
      <c r="AJ190" s="14" t="n">
        <f aca="false">IF($L190=2016,1,0)</f>
        <v>1</v>
      </c>
      <c r="AK190" s="14" t="n">
        <f aca="false">IF($L190=2017,1,0)</f>
        <v>0</v>
      </c>
      <c r="AL190" s="14" t="n">
        <f aca="false">IF($H190="Beginner Level",1,0)</f>
        <v>0</v>
      </c>
      <c r="AM190" s="14" t="n">
        <f aca="false">IF($H190="Expert Level",1,0)</f>
        <v>0</v>
      </c>
      <c r="AN190" s="14" t="n">
        <f aca="false">IF($H190="Intermediate Level",1,0)</f>
        <v>0</v>
      </c>
    </row>
    <row r="191" customFormat="false" ht="57.45" hidden="false" customHeight="false" outlineLevel="0" collapsed="false">
      <c r="A191" s="14" t="n">
        <v>149042</v>
      </c>
      <c r="B191" s="14" t="s">
        <v>426</v>
      </c>
      <c r="C191" s="14" t="s">
        <v>427</v>
      </c>
      <c r="D191" s="14" t="n">
        <v>20</v>
      </c>
      <c r="E191" s="14" t="n">
        <v>10689</v>
      </c>
      <c r="F191" s="14" t="n">
        <v>394</v>
      </c>
      <c r="G191" s="14" t="n">
        <v>17</v>
      </c>
      <c r="H191" s="14" t="s">
        <v>62</v>
      </c>
      <c r="I191" s="14" t="n">
        <v>0.32</v>
      </c>
      <c r="J191" s="14" t="n">
        <v>2</v>
      </c>
      <c r="K191" s="14" t="s">
        <v>59</v>
      </c>
      <c r="L191" s="14" t="n">
        <v>2014</v>
      </c>
      <c r="M191" s="14" t="n">
        <v>9.27697045427395</v>
      </c>
      <c r="N191" s="14" t="n">
        <v>2.99623214859564</v>
      </c>
      <c r="P191" s="14" t="n">
        <f aca="false">D191</f>
        <v>20</v>
      </c>
      <c r="Q191" s="14" t="n">
        <f aca="false">G191</f>
        <v>17</v>
      </c>
      <c r="R191" s="14" t="n">
        <f aca="false">J191</f>
        <v>2</v>
      </c>
      <c r="S191" s="14" t="n">
        <f aca="false">IF($L191=2012,1,0)</f>
        <v>0</v>
      </c>
      <c r="T191" s="14" t="n">
        <f aca="false">IF($L191=2013,1,0)</f>
        <v>0</v>
      </c>
      <c r="U191" s="14" t="n">
        <f aca="false">IF($L191=2014,1,0)</f>
        <v>1</v>
      </c>
      <c r="V191" s="14" t="n">
        <f aca="false">IF($L191=2015,1,0)</f>
        <v>0</v>
      </c>
      <c r="W191" s="14" t="n">
        <f aca="false">IF($L191=2016,1,0)</f>
        <v>0</v>
      </c>
      <c r="X191" s="14" t="n">
        <f aca="false">IF($L191=2017,1,0)</f>
        <v>0</v>
      </c>
      <c r="Y191" s="14" t="n">
        <f aca="false">IF($H191="Beginner Level",1,0)</f>
        <v>0</v>
      </c>
      <c r="Z191" s="14" t="n">
        <f aca="false">IF($H191="Expert Level",1,0)</f>
        <v>0</v>
      </c>
      <c r="AA191" s="14" t="n">
        <f aca="false">IF($H191="Intermediate Level",1,0)</f>
        <v>0</v>
      </c>
      <c r="AC191" s="14" t="n">
        <f aca="false">N191</f>
        <v>2.99623214859564</v>
      </c>
      <c r="AD191" s="14" t="n">
        <f aca="false">G191</f>
        <v>17</v>
      </c>
      <c r="AE191" s="14" t="n">
        <f aca="false">J191</f>
        <v>2</v>
      </c>
      <c r="AF191" s="14" t="n">
        <f aca="false">IF($L191=2012,1,0)</f>
        <v>0</v>
      </c>
      <c r="AG191" s="14" t="n">
        <f aca="false">IF($L191=2013,1,0)</f>
        <v>0</v>
      </c>
      <c r="AH191" s="14" t="n">
        <f aca="false">IF($L191=2014,1,0)</f>
        <v>1</v>
      </c>
      <c r="AI191" s="14" t="n">
        <f aca="false">IF($L191=2015,1,0)</f>
        <v>0</v>
      </c>
      <c r="AJ191" s="14" t="n">
        <f aca="false">IF($L191=2016,1,0)</f>
        <v>0</v>
      </c>
      <c r="AK191" s="14" t="n">
        <f aca="false">IF($L191=2017,1,0)</f>
        <v>0</v>
      </c>
      <c r="AL191" s="14" t="n">
        <f aca="false">IF($H191="Beginner Level",1,0)</f>
        <v>0</v>
      </c>
      <c r="AM191" s="14" t="n">
        <f aca="false">IF($H191="Expert Level",1,0)</f>
        <v>0</v>
      </c>
      <c r="AN191" s="14" t="n">
        <f aca="false">IF($H191="Intermediate Level",1,0)</f>
        <v>0</v>
      </c>
    </row>
    <row r="192" customFormat="false" ht="46.25" hidden="false" customHeight="false" outlineLevel="0" collapsed="false">
      <c r="A192" s="14" t="n">
        <v>1017116</v>
      </c>
      <c r="B192" s="14" t="s">
        <v>428</v>
      </c>
      <c r="C192" s="14" t="s">
        <v>429</v>
      </c>
      <c r="D192" s="14" t="n">
        <v>200</v>
      </c>
      <c r="E192" s="14" t="n">
        <v>10674</v>
      </c>
      <c r="F192" s="14" t="n">
        <v>102</v>
      </c>
      <c r="G192" s="14" t="n">
        <v>26</v>
      </c>
      <c r="H192" s="14" t="s">
        <v>52</v>
      </c>
      <c r="I192" s="14" t="n">
        <v>0.11</v>
      </c>
      <c r="J192" s="14" t="n">
        <v>2</v>
      </c>
      <c r="K192" s="14" t="s">
        <v>59</v>
      </c>
      <c r="L192" s="14" t="n">
        <v>2016</v>
      </c>
      <c r="M192" s="14" t="n">
        <v>9.27556615689389</v>
      </c>
      <c r="N192" s="14" t="n">
        <v>5.29836736529808</v>
      </c>
      <c r="P192" s="14" t="n">
        <f aca="false">D192</f>
        <v>200</v>
      </c>
      <c r="Q192" s="14" t="n">
        <f aca="false">G192</f>
        <v>26</v>
      </c>
      <c r="R192" s="14" t="n">
        <f aca="false">J192</f>
        <v>2</v>
      </c>
      <c r="S192" s="14" t="n">
        <f aca="false">IF($L192=2012,1,0)</f>
        <v>0</v>
      </c>
      <c r="T192" s="14" t="n">
        <f aca="false">IF($L192=2013,1,0)</f>
        <v>0</v>
      </c>
      <c r="U192" s="14" t="n">
        <f aca="false">IF($L192=2014,1,0)</f>
        <v>0</v>
      </c>
      <c r="V192" s="14" t="n">
        <f aca="false">IF($L192=2015,1,0)</f>
        <v>0</v>
      </c>
      <c r="W192" s="14" t="n">
        <f aca="false">IF($L192=2016,1,0)</f>
        <v>1</v>
      </c>
      <c r="X192" s="14" t="n">
        <f aca="false">IF($L192=2017,1,0)</f>
        <v>0</v>
      </c>
      <c r="Y192" s="14" t="n">
        <f aca="false">IF($H192="Beginner Level",1,0)</f>
        <v>1</v>
      </c>
      <c r="Z192" s="14" t="n">
        <f aca="false">IF($H192="Expert Level",1,0)</f>
        <v>0</v>
      </c>
      <c r="AA192" s="14" t="n">
        <f aca="false">IF($H192="Intermediate Level",1,0)</f>
        <v>0</v>
      </c>
      <c r="AC192" s="14" t="n">
        <f aca="false">N192</f>
        <v>5.29836736529808</v>
      </c>
      <c r="AD192" s="14" t="n">
        <f aca="false">G192</f>
        <v>26</v>
      </c>
      <c r="AE192" s="14" t="n">
        <f aca="false">J192</f>
        <v>2</v>
      </c>
      <c r="AF192" s="14" t="n">
        <f aca="false">IF($L192=2012,1,0)</f>
        <v>0</v>
      </c>
      <c r="AG192" s="14" t="n">
        <f aca="false">IF($L192=2013,1,0)</f>
        <v>0</v>
      </c>
      <c r="AH192" s="14" t="n">
        <f aca="false">IF($L192=2014,1,0)</f>
        <v>0</v>
      </c>
      <c r="AI192" s="14" t="n">
        <f aca="false">IF($L192=2015,1,0)</f>
        <v>0</v>
      </c>
      <c r="AJ192" s="14" t="n">
        <f aca="false">IF($L192=2016,1,0)</f>
        <v>1</v>
      </c>
      <c r="AK192" s="14" t="n">
        <f aca="false">IF($L192=2017,1,0)</f>
        <v>0</v>
      </c>
      <c r="AL192" s="14" t="n">
        <f aca="false">IF($H192="Beginner Level",1,0)</f>
        <v>1</v>
      </c>
      <c r="AM192" s="14" t="n">
        <f aca="false">IF($H192="Expert Level",1,0)</f>
        <v>0</v>
      </c>
      <c r="AN192" s="14" t="n">
        <f aca="false">IF($H192="Intermediate Level",1,0)</f>
        <v>0</v>
      </c>
    </row>
    <row r="193" customFormat="false" ht="46.25" hidden="false" customHeight="false" outlineLevel="0" collapsed="false">
      <c r="A193" s="14" t="n">
        <v>158934</v>
      </c>
      <c r="B193" s="14" t="s">
        <v>430</v>
      </c>
      <c r="C193" s="14" t="s">
        <v>431</v>
      </c>
      <c r="D193" s="14" t="n">
        <v>20</v>
      </c>
      <c r="E193" s="14" t="n">
        <v>10610</v>
      </c>
      <c r="F193" s="14" t="n">
        <v>83</v>
      </c>
      <c r="G193" s="14" t="n">
        <v>10</v>
      </c>
      <c r="H193" s="14" t="s">
        <v>62</v>
      </c>
      <c r="I193" s="14" t="n">
        <v>0.21</v>
      </c>
      <c r="J193" s="14" t="n">
        <v>1</v>
      </c>
      <c r="K193" s="14" t="s">
        <v>59</v>
      </c>
      <c r="L193" s="14" t="n">
        <v>2014</v>
      </c>
      <c r="M193" s="14" t="n">
        <v>9.26955223160803</v>
      </c>
      <c r="N193" s="14" t="n">
        <v>2.99623214859564</v>
      </c>
      <c r="P193" s="14" t="n">
        <f aca="false">D193</f>
        <v>20</v>
      </c>
      <c r="Q193" s="14" t="n">
        <f aca="false">G193</f>
        <v>10</v>
      </c>
      <c r="R193" s="14" t="n">
        <f aca="false">J193</f>
        <v>1</v>
      </c>
      <c r="S193" s="14" t="n">
        <f aca="false">IF($L193=2012,1,0)</f>
        <v>0</v>
      </c>
      <c r="T193" s="14" t="n">
        <f aca="false">IF($L193=2013,1,0)</f>
        <v>0</v>
      </c>
      <c r="U193" s="14" t="n">
        <f aca="false">IF($L193=2014,1,0)</f>
        <v>1</v>
      </c>
      <c r="V193" s="14" t="n">
        <f aca="false">IF($L193=2015,1,0)</f>
        <v>0</v>
      </c>
      <c r="W193" s="14" t="n">
        <f aca="false">IF($L193=2016,1,0)</f>
        <v>0</v>
      </c>
      <c r="X193" s="14" t="n">
        <f aca="false">IF($L193=2017,1,0)</f>
        <v>0</v>
      </c>
      <c r="Y193" s="14" t="n">
        <f aca="false">IF($H193="Beginner Level",1,0)</f>
        <v>0</v>
      </c>
      <c r="Z193" s="14" t="n">
        <f aca="false">IF($H193="Expert Level",1,0)</f>
        <v>0</v>
      </c>
      <c r="AA193" s="14" t="n">
        <f aca="false">IF($H193="Intermediate Level",1,0)</f>
        <v>0</v>
      </c>
      <c r="AC193" s="14" t="n">
        <f aca="false">N193</f>
        <v>2.99623214859564</v>
      </c>
      <c r="AD193" s="14" t="n">
        <f aca="false">G193</f>
        <v>10</v>
      </c>
      <c r="AE193" s="14" t="n">
        <f aca="false">J193</f>
        <v>1</v>
      </c>
      <c r="AF193" s="14" t="n">
        <f aca="false">IF($L193=2012,1,0)</f>
        <v>0</v>
      </c>
      <c r="AG193" s="14" t="n">
        <f aca="false">IF($L193=2013,1,0)</f>
        <v>0</v>
      </c>
      <c r="AH193" s="14" t="n">
        <f aca="false">IF($L193=2014,1,0)</f>
        <v>1</v>
      </c>
      <c r="AI193" s="14" t="n">
        <f aca="false">IF($L193=2015,1,0)</f>
        <v>0</v>
      </c>
      <c r="AJ193" s="14" t="n">
        <f aca="false">IF($L193=2016,1,0)</f>
        <v>0</v>
      </c>
      <c r="AK193" s="14" t="n">
        <f aca="false">IF($L193=2017,1,0)</f>
        <v>0</v>
      </c>
      <c r="AL193" s="14" t="n">
        <f aca="false">IF($H193="Beginner Level",1,0)</f>
        <v>0</v>
      </c>
      <c r="AM193" s="14" t="n">
        <f aca="false">IF($H193="Expert Level",1,0)</f>
        <v>0</v>
      </c>
      <c r="AN193" s="14" t="n">
        <f aca="false">IF($H193="Intermediate Level",1,0)</f>
        <v>0</v>
      </c>
    </row>
    <row r="194" customFormat="false" ht="91" hidden="false" customHeight="false" outlineLevel="0" collapsed="false">
      <c r="A194" s="14" t="n">
        <v>266252</v>
      </c>
      <c r="B194" s="14" t="s">
        <v>432</v>
      </c>
      <c r="C194" s="14" t="s">
        <v>433</v>
      </c>
      <c r="D194" s="14" t="n">
        <v>60</v>
      </c>
      <c r="E194" s="14" t="n">
        <v>10606</v>
      </c>
      <c r="F194" s="14" t="n">
        <v>570</v>
      </c>
      <c r="G194" s="14" t="n">
        <v>88</v>
      </c>
      <c r="H194" s="14" t="s">
        <v>52</v>
      </c>
      <c r="I194" s="14" t="n">
        <v>0.76</v>
      </c>
      <c r="J194" s="14" t="n">
        <v>23</v>
      </c>
      <c r="K194" s="14" t="s">
        <v>59</v>
      </c>
      <c r="L194" s="14" t="n">
        <v>2014</v>
      </c>
      <c r="M194" s="14" t="n">
        <v>9.26917515769708</v>
      </c>
      <c r="N194" s="14" t="n">
        <v>4.09451121500142</v>
      </c>
      <c r="P194" s="14" t="n">
        <f aca="false">D194</f>
        <v>60</v>
      </c>
      <c r="Q194" s="14" t="n">
        <f aca="false">G194</f>
        <v>88</v>
      </c>
      <c r="R194" s="14" t="n">
        <f aca="false">J194</f>
        <v>23</v>
      </c>
      <c r="S194" s="14" t="n">
        <f aca="false">IF($L194=2012,1,0)</f>
        <v>0</v>
      </c>
      <c r="T194" s="14" t="n">
        <f aca="false">IF($L194=2013,1,0)</f>
        <v>0</v>
      </c>
      <c r="U194" s="14" t="n">
        <f aca="false">IF($L194=2014,1,0)</f>
        <v>1</v>
      </c>
      <c r="V194" s="14" t="n">
        <f aca="false">IF($L194=2015,1,0)</f>
        <v>0</v>
      </c>
      <c r="W194" s="14" t="n">
        <f aca="false">IF($L194=2016,1,0)</f>
        <v>0</v>
      </c>
      <c r="X194" s="14" t="n">
        <f aca="false">IF($L194=2017,1,0)</f>
        <v>0</v>
      </c>
      <c r="Y194" s="14" t="n">
        <f aca="false">IF($H194="Beginner Level",1,0)</f>
        <v>1</v>
      </c>
      <c r="Z194" s="14" t="n">
        <f aca="false">IF($H194="Expert Level",1,0)</f>
        <v>0</v>
      </c>
      <c r="AA194" s="14" t="n">
        <f aca="false">IF($H194="Intermediate Level",1,0)</f>
        <v>0</v>
      </c>
      <c r="AC194" s="14" t="n">
        <f aca="false">N194</f>
        <v>4.09451121500142</v>
      </c>
      <c r="AD194" s="14" t="n">
        <f aca="false">G194</f>
        <v>88</v>
      </c>
      <c r="AE194" s="14" t="n">
        <f aca="false">J194</f>
        <v>23</v>
      </c>
      <c r="AF194" s="14" t="n">
        <f aca="false">IF($L194=2012,1,0)</f>
        <v>0</v>
      </c>
      <c r="AG194" s="14" t="n">
        <f aca="false">IF($L194=2013,1,0)</f>
        <v>0</v>
      </c>
      <c r="AH194" s="14" t="n">
        <f aca="false">IF($L194=2014,1,0)</f>
        <v>1</v>
      </c>
      <c r="AI194" s="14" t="n">
        <f aca="false">IF($L194=2015,1,0)</f>
        <v>0</v>
      </c>
      <c r="AJ194" s="14" t="n">
        <f aca="false">IF($L194=2016,1,0)</f>
        <v>0</v>
      </c>
      <c r="AK194" s="14" t="n">
        <f aca="false">IF($L194=2017,1,0)</f>
        <v>0</v>
      </c>
      <c r="AL194" s="14" t="n">
        <f aca="false">IF($H194="Beginner Level",1,0)</f>
        <v>1</v>
      </c>
      <c r="AM194" s="14" t="n">
        <f aca="false">IF($H194="Expert Level",1,0)</f>
        <v>0</v>
      </c>
      <c r="AN194" s="14" t="n">
        <f aca="false">IF($H194="Intermediate Level",1,0)</f>
        <v>0</v>
      </c>
    </row>
    <row r="195" customFormat="false" ht="46.25" hidden="false" customHeight="false" outlineLevel="0" collapsed="false">
      <c r="A195" s="14" t="n">
        <v>609992</v>
      </c>
      <c r="B195" s="14" t="s">
        <v>434</v>
      </c>
      <c r="C195" s="14" t="s">
        <v>435</v>
      </c>
      <c r="D195" s="14" t="n">
        <v>145</v>
      </c>
      <c r="E195" s="14" t="n">
        <v>10576</v>
      </c>
      <c r="F195" s="14" t="n">
        <v>154</v>
      </c>
      <c r="G195" s="14" t="n">
        <v>23</v>
      </c>
      <c r="H195" s="14" t="s">
        <v>52</v>
      </c>
      <c r="I195" s="14" t="n">
        <v>0.75</v>
      </c>
      <c r="J195" s="14" t="n">
        <v>2.5</v>
      </c>
      <c r="K195" s="14" t="s">
        <v>59</v>
      </c>
      <c r="L195" s="14" t="n">
        <v>2015</v>
      </c>
      <c r="M195" s="14" t="n">
        <v>9.26634256209147</v>
      </c>
      <c r="N195" s="14" t="n">
        <v>4.9768027055598</v>
      </c>
      <c r="P195" s="14" t="n">
        <f aca="false">D195</f>
        <v>145</v>
      </c>
      <c r="Q195" s="14" t="n">
        <f aca="false">G195</f>
        <v>23</v>
      </c>
      <c r="R195" s="14" t="n">
        <f aca="false">J195</f>
        <v>2.5</v>
      </c>
      <c r="S195" s="14" t="n">
        <f aca="false">IF($L195=2012,1,0)</f>
        <v>0</v>
      </c>
      <c r="T195" s="14" t="n">
        <f aca="false">IF($L195=2013,1,0)</f>
        <v>0</v>
      </c>
      <c r="U195" s="14" t="n">
        <f aca="false">IF($L195=2014,1,0)</f>
        <v>0</v>
      </c>
      <c r="V195" s="14" t="n">
        <f aca="false">IF($L195=2015,1,0)</f>
        <v>1</v>
      </c>
      <c r="W195" s="14" t="n">
        <f aca="false">IF($L195=2016,1,0)</f>
        <v>0</v>
      </c>
      <c r="X195" s="14" t="n">
        <f aca="false">IF($L195=2017,1,0)</f>
        <v>0</v>
      </c>
      <c r="Y195" s="14" t="n">
        <f aca="false">IF($H195="Beginner Level",1,0)</f>
        <v>1</v>
      </c>
      <c r="Z195" s="14" t="n">
        <f aca="false">IF($H195="Expert Level",1,0)</f>
        <v>0</v>
      </c>
      <c r="AA195" s="14" t="n">
        <f aca="false">IF($H195="Intermediate Level",1,0)</f>
        <v>0</v>
      </c>
      <c r="AC195" s="14" t="n">
        <f aca="false">N195</f>
        <v>4.9768027055598</v>
      </c>
      <c r="AD195" s="14" t="n">
        <f aca="false">G195</f>
        <v>23</v>
      </c>
      <c r="AE195" s="14" t="n">
        <f aca="false">J195</f>
        <v>2.5</v>
      </c>
      <c r="AF195" s="14" t="n">
        <f aca="false">IF($L195=2012,1,0)</f>
        <v>0</v>
      </c>
      <c r="AG195" s="14" t="n">
        <f aca="false">IF($L195=2013,1,0)</f>
        <v>0</v>
      </c>
      <c r="AH195" s="14" t="n">
        <f aca="false">IF($L195=2014,1,0)</f>
        <v>0</v>
      </c>
      <c r="AI195" s="14" t="n">
        <f aca="false">IF($L195=2015,1,0)</f>
        <v>1</v>
      </c>
      <c r="AJ195" s="14" t="n">
        <f aca="false">IF($L195=2016,1,0)</f>
        <v>0</v>
      </c>
      <c r="AK195" s="14" t="n">
        <f aca="false">IF($L195=2017,1,0)</f>
        <v>0</v>
      </c>
      <c r="AL195" s="14" t="n">
        <f aca="false">IF($H195="Beginner Level",1,0)</f>
        <v>1</v>
      </c>
      <c r="AM195" s="14" t="n">
        <f aca="false">IF($H195="Expert Level",1,0)</f>
        <v>0</v>
      </c>
      <c r="AN195" s="14" t="n">
        <f aca="false">IF($H195="Intermediate Level",1,0)</f>
        <v>0</v>
      </c>
    </row>
    <row r="196" customFormat="false" ht="68.65" hidden="false" customHeight="false" outlineLevel="0" collapsed="false">
      <c r="A196" s="14" t="n">
        <v>559512</v>
      </c>
      <c r="B196" s="14" t="s">
        <v>436</v>
      </c>
      <c r="C196" s="14" t="s">
        <v>437</v>
      </c>
      <c r="D196" s="14" t="n">
        <v>195</v>
      </c>
      <c r="E196" s="14" t="n">
        <v>10518</v>
      </c>
      <c r="F196" s="14" t="n">
        <v>129</v>
      </c>
      <c r="G196" s="14" t="n">
        <v>57</v>
      </c>
      <c r="H196" s="14" t="s">
        <v>62</v>
      </c>
      <c r="I196" s="14" t="n">
        <v>0.93</v>
      </c>
      <c r="J196" s="14" t="n">
        <v>4.5</v>
      </c>
      <c r="K196" s="14" t="s">
        <v>59</v>
      </c>
      <c r="L196" s="14" t="n">
        <v>2015</v>
      </c>
      <c r="M196" s="14" t="n">
        <v>9.26084335414929</v>
      </c>
      <c r="N196" s="14" t="n">
        <v>5.27305083930015</v>
      </c>
      <c r="P196" s="14" t="n">
        <f aca="false">D196</f>
        <v>195</v>
      </c>
      <c r="Q196" s="14" t="n">
        <f aca="false">G196</f>
        <v>57</v>
      </c>
      <c r="R196" s="14" t="n">
        <f aca="false">J196</f>
        <v>4.5</v>
      </c>
      <c r="S196" s="14" t="n">
        <f aca="false">IF($L196=2012,1,0)</f>
        <v>0</v>
      </c>
      <c r="T196" s="14" t="n">
        <f aca="false">IF($L196=2013,1,0)</f>
        <v>0</v>
      </c>
      <c r="U196" s="14" t="n">
        <f aca="false">IF($L196=2014,1,0)</f>
        <v>0</v>
      </c>
      <c r="V196" s="14" t="n">
        <f aca="false">IF($L196=2015,1,0)</f>
        <v>1</v>
      </c>
      <c r="W196" s="14" t="n">
        <f aca="false">IF($L196=2016,1,0)</f>
        <v>0</v>
      </c>
      <c r="X196" s="14" t="n">
        <f aca="false">IF($L196=2017,1,0)</f>
        <v>0</v>
      </c>
      <c r="Y196" s="14" t="n">
        <f aca="false">IF($H196="Beginner Level",1,0)</f>
        <v>0</v>
      </c>
      <c r="Z196" s="14" t="n">
        <f aca="false">IF($H196="Expert Level",1,0)</f>
        <v>0</v>
      </c>
      <c r="AA196" s="14" t="n">
        <f aca="false">IF($H196="Intermediate Level",1,0)</f>
        <v>0</v>
      </c>
      <c r="AC196" s="14" t="n">
        <f aca="false">N196</f>
        <v>5.27305083930015</v>
      </c>
      <c r="AD196" s="14" t="n">
        <f aca="false">G196</f>
        <v>57</v>
      </c>
      <c r="AE196" s="14" t="n">
        <f aca="false">J196</f>
        <v>4.5</v>
      </c>
      <c r="AF196" s="14" t="n">
        <f aca="false">IF($L196=2012,1,0)</f>
        <v>0</v>
      </c>
      <c r="AG196" s="14" t="n">
        <f aca="false">IF($L196=2013,1,0)</f>
        <v>0</v>
      </c>
      <c r="AH196" s="14" t="n">
        <f aca="false">IF($L196=2014,1,0)</f>
        <v>0</v>
      </c>
      <c r="AI196" s="14" t="n">
        <f aca="false">IF($L196=2015,1,0)</f>
        <v>1</v>
      </c>
      <c r="AJ196" s="14" t="n">
        <f aca="false">IF($L196=2016,1,0)</f>
        <v>0</v>
      </c>
      <c r="AK196" s="14" t="n">
        <f aca="false">IF($L196=2017,1,0)</f>
        <v>0</v>
      </c>
      <c r="AL196" s="14" t="n">
        <f aca="false">IF($H196="Beginner Level",1,0)</f>
        <v>0</v>
      </c>
      <c r="AM196" s="14" t="n">
        <f aca="false">IF($H196="Expert Level",1,0)</f>
        <v>0</v>
      </c>
      <c r="AN196" s="14" t="n">
        <f aca="false">IF($H196="Intermediate Level",1,0)</f>
        <v>0</v>
      </c>
    </row>
    <row r="197" customFormat="false" ht="79.85" hidden="false" customHeight="false" outlineLevel="0" collapsed="false">
      <c r="A197" s="14" t="n">
        <v>587902</v>
      </c>
      <c r="B197" s="14" t="s">
        <v>438</v>
      </c>
      <c r="C197" s="14" t="s">
        <v>439</v>
      </c>
      <c r="D197" s="14" t="n">
        <v>90</v>
      </c>
      <c r="E197" s="14" t="n">
        <v>10394</v>
      </c>
      <c r="F197" s="14" t="n">
        <v>33</v>
      </c>
      <c r="G197" s="14" t="n">
        <v>34</v>
      </c>
      <c r="H197" s="14" t="s">
        <v>52</v>
      </c>
      <c r="I197" s="14" t="n">
        <v>0.88</v>
      </c>
      <c r="J197" s="14" t="n">
        <v>3.5</v>
      </c>
      <c r="K197" s="14" t="s">
        <v>59</v>
      </c>
      <c r="L197" s="14" t="n">
        <v>2015</v>
      </c>
      <c r="M197" s="14" t="n">
        <v>9.24898399556839</v>
      </c>
      <c r="N197" s="14" t="n">
        <v>4.49992077526899</v>
      </c>
      <c r="P197" s="14" t="n">
        <f aca="false">D197</f>
        <v>90</v>
      </c>
      <c r="Q197" s="14" t="n">
        <f aca="false">G197</f>
        <v>34</v>
      </c>
      <c r="R197" s="14" t="n">
        <f aca="false">J197</f>
        <v>3.5</v>
      </c>
      <c r="S197" s="14" t="n">
        <f aca="false">IF($L197=2012,1,0)</f>
        <v>0</v>
      </c>
      <c r="T197" s="14" t="n">
        <f aca="false">IF($L197=2013,1,0)</f>
        <v>0</v>
      </c>
      <c r="U197" s="14" t="n">
        <f aca="false">IF($L197=2014,1,0)</f>
        <v>0</v>
      </c>
      <c r="V197" s="14" t="n">
        <f aca="false">IF($L197=2015,1,0)</f>
        <v>1</v>
      </c>
      <c r="W197" s="14" t="n">
        <f aca="false">IF($L197=2016,1,0)</f>
        <v>0</v>
      </c>
      <c r="X197" s="14" t="n">
        <f aca="false">IF($L197=2017,1,0)</f>
        <v>0</v>
      </c>
      <c r="Y197" s="14" t="n">
        <f aca="false">IF($H197="Beginner Level",1,0)</f>
        <v>1</v>
      </c>
      <c r="Z197" s="14" t="n">
        <f aca="false">IF($H197="Expert Level",1,0)</f>
        <v>0</v>
      </c>
      <c r="AA197" s="14" t="n">
        <f aca="false">IF($H197="Intermediate Level",1,0)</f>
        <v>0</v>
      </c>
      <c r="AC197" s="14" t="n">
        <f aca="false">N197</f>
        <v>4.49992077526899</v>
      </c>
      <c r="AD197" s="14" t="n">
        <f aca="false">G197</f>
        <v>34</v>
      </c>
      <c r="AE197" s="14" t="n">
        <f aca="false">J197</f>
        <v>3.5</v>
      </c>
      <c r="AF197" s="14" t="n">
        <f aca="false">IF($L197=2012,1,0)</f>
        <v>0</v>
      </c>
      <c r="AG197" s="14" t="n">
        <f aca="false">IF($L197=2013,1,0)</f>
        <v>0</v>
      </c>
      <c r="AH197" s="14" t="n">
        <f aca="false">IF($L197=2014,1,0)</f>
        <v>0</v>
      </c>
      <c r="AI197" s="14" t="n">
        <f aca="false">IF($L197=2015,1,0)</f>
        <v>1</v>
      </c>
      <c r="AJ197" s="14" t="n">
        <f aca="false">IF($L197=2016,1,0)</f>
        <v>0</v>
      </c>
      <c r="AK197" s="14" t="n">
        <f aca="false">IF($L197=2017,1,0)</f>
        <v>0</v>
      </c>
      <c r="AL197" s="14" t="n">
        <f aca="false">IF($H197="Beginner Level",1,0)</f>
        <v>1</v>
      </c>
      <c r="AM197" s="14" t="n">
        <f aca="false">IF($H197="Expert Level",1,0)</f>
        <v>0</v>
      </c>
      <c r="AN197" s="14" t="n">
        <f aca="false">IF($H197="Intermediate Level",1,0)</f>
        <v>0</v>
      </c>
    </row>
    <row r="198" customFormat="false" ht="57.45" hidden="false" customHeight="false" outlineLevel="0" collapsed="false">
      <c r="A198" s="14" t="n">
        <v>176432</v>
      </c>
      <c r="B198" s="14" t="s">
        <v>440</v>
      </c>
      <c r="C198" s="14" t="s">
        <v>441</v>
      </c>
      <c r="D198" s="14" t="n">
        <v>20</v>
      </c>
      <c r="E198" s="14" t="n">
        <v>10247</v>
      </c>
      <c r="F198" s="14" t="n">
        <v>200</v>
      </c>
      <c r="G198" s="14" t="n">
        <v>15</v>
      </c>
      <c r="H198" s="14" t="s">
        <v>52</v>
      </c>
      <c r="I198" s="14" t="n">
        <v>0.24</v>
      </c>
      <c r="J198" s="14" t="n">
        <v>1.5</v>
      </c>
      <c r="K198" s="14" t="s">
        <v>59</v>
      </c>
      <c r="L198" s="14" t="n">
        <v>2014</v>
      </c>
      <c r="M198" s="14" t="n">
        <v>9.23474025879972</v>
      </c>
      <c r="N198" s="14" t="n">
        <v>2.99623214859564</v>
      </c>
      <c r="P198" s="14" t="n">
        <f aca="false">D198</f>
        <v>20</v>
      </c>
      <c r="Q198" s="14" t="n">
        <f aca="false">G198</f>
        <v>15</v>
      </c>
      <c r="R198" s="14" t="n">
        <f aca="false">J198</f>
        <v>1.5</v>
      </c>
      <c r="S198" s="14" t="n">
        <f aca="false">IF($L198=2012,1,0)</f>
        <v>0</v>
      </c>
      <c r="T198" s="14" t="n">
        <f aca="false">IF($L198=2013,1,0)</f>
        <v>0</v>
      </c>
      <c r="U198" s="14" t="n">
        <f aca="false">IF($L198=2014,1,0)</f>
        <v>1</v>
      </c>
      <c r="V198" s="14" t="n">
        <f aca="false">IF($L198=2015,1,0)</f>
        <v>0</v>
      </c>
      <c r="W198" s="14" t="n">
        <f aca="false">IF($L198=2016,1,0)</f>
        <v>0</v>
      </c>
      <c r="X198" s="14" t="n">
        <f aca="false">IF($L198=2017,1,0)</f>
        <v>0</v>
      </c>
      <c r="Y198" s="14" t="n">
        <f aca="false">IF($H198="Beginner Level",1,0)</f>
        <v>1</v>
      </c>
      <c r="Z198" s="14" t="n">
        <f aca="false">IF($H198="Expert Level",1,0)</f>
        <v>0</v>
      </c>
      <c r="AA198" s="14" t="n">
        <f aca="false">IF($H198="Intermediate Level",1,0)</f>
        <v>0</v>
      </c>
      <c r="AC198" s="14" t="n">
        <f aca="false">N198</f>
        <v>2.99623214859564</v>
      </c>
      <c r="AD198" s="14" t="n">
        <f aca="false">G198</f>
        <v>15</v>
      </c>
      <c r="AE198" s="14" t="n">
        <f aca="false">J198</f>
        <v>1.5</v>
      </c>
      <c r="AF198" s="14" t="n">
        <f aca="false">IF($L198=2012,1,0)</f>
        <v>0</v>
      </c>
      <c r="AG198" s="14" t="n">
        <f aca="false">IF($L198=2013,1,0)</f>
        <v>0</v>
      </c>
      <c r="AH198" s="14" t="n">
        <f aca="false">IF($L198=2014,1,0)</f>
        <v>1</v>
      </c>
      <c r="AI198" s="14" t="n">
        <f aca="false">IF($L198=2015,1,0)</f>
        <v>0</v>
      </c>
      <c r="AJ198" s="14" t="n">
        <f aca="false">IF($L198=2016,1,0)</f>
        <v>0</v>
      </c>
      <c r="AK198" s="14" t="n">
        <f aca="false">IF($L198=2017,1,0)</f>
        <v>0</v>
      </c>
      <c r="AL198" s="14" t="n">
        <f aca="false">IF($H198="Beginner Level",1,0)</f>
        <v>1</v>
      </c>
      <c r="AM198" s="14" t="n">
        <f aca="false">IF($H198="Expert Level",1,0)</f>
        <v>0</v>
      </c>
      <c r="AN198" s="14" t="n">
        <f aca="false">IF($H198="Intermediate Level",1,0)</f>
        <v>0</v>
      </c>
    </row>
    <row r="199" customFormat="false" ht="91" hidden="false" customHeight="false" outlineLevel="0" collapsed="false">
      <c r="A199" s="14" t="n">
        <v>763774</v>
      </c>
      <c r="B199" s="14" t="s">
        <v>442</v>
      </c>
      <c r="C199" s="14" t="s">
        <v>443</v>
      </c>
      <c r="D199" s="14" t="n">
        <v>0</v>
      </c>
      <c r="E199" s="14" t="n">
        <v>10179</v>
      </c>
      <c r="F199" s="14" t="n">
        <v>314</v>
      </c>
      <c r="G199" s="14" t="n">
        <v>21</v>
      </c>
      <c r="H199" s="14" t="s">
        <v>62</v>
      </c>
      <c r="I199" s="14" t="n">
        <v>0.15</v>
      </c>
      <c r="J199" s="14" t="n">
        <v>1.5</v>
      </c>
      <c r="K199" s="14" t="s">
        <v>53</v>
      </c>
      <c r="L199" s="14" t="n">
        <v>2016</v>
      </c>
      <c r="M199" s="14" t="n">
        <v>9.22808205345234</v>
      </c>
      <c r="N199" s="14" t="n">
        <v>-4.60517018598809</v>
      </c>
      <c r="P199" s="14" t="n">
        <f aca="false">D199</f>
        <v>0</v>
      </c>
      <c r="Q199" s="14" t="n">
        <f aca="false">G199</f>
        <v>21</v>
      </c>
      <c r="R199" s="14" t="n">
        <f aca="false">J199</f>
        <v>1.5</v>
      </c>
      <c r="S199" s="14" t="n">
        <f aca="false">IF($L199=2012,1,0)</f>
        <v>0</v>
      </c>
      <c r="T199" s="14" t="n">
        <f aca="false">IF($L199=2013,1,0)</f>
        <v>0</v>
      </c>
      <c r="U199" s="14" t="n">
        <f aca="false">IF($L199=2014,1,0)</f>
        <v>0</v>
      </c>
      <c r="V199" s="14" t="n">
        <f aca="false">IF($L199=2015,1,0)</f>
        <v>0</v>
      </c>
      <c r="W199" s="14" t="n">
        <f aca="false">IF($L199=2016,1,0)</f>
        <v>1</v>
      </c>
      <c r="X199" s="14" t="n">
        <f aca="false">IF($L199=2017,1,0)</f>
        <v>0</v>
      </c>
      <c r="Y199" s="14" t="n">
        <f aca="false">IF($H199="Beginner Level",1,0)</f>
        <v>0</v>
      </c>
      <c r="Z199" s="14" t="n">
        <f aca="false">IF($H199="Expert Level",1,0)</f>
        <v>0</v>
      </c>
      <c r="AA199" s="14" t="n">
        <f aca="false">IF($H199="Intermediate Level",1,0)</f>
        <v>0</v>
      </c>
      <c r="AC199" s="14" t="n">
        <f aca="false">N199</f>
        <v>-4.60517018598809</v>
      </c>
      <c r="AD199" s="14" t="n">
        <f aca="false">G199</f>
        <v>21</v>
      </c>
      <c r="AE199" s="14" t="n">
        <f aca="false">J199</f>
        <v>1.5</v>
      </c>
      <c r="AF199" s="14" t="n">
        <f aca="false">IF($L199=2012,1,0)</f>
        <v>0</v>
      </c>
      <c r="AG199" s="14" t="n">
        <f aca="false">IF($L199=2013,1,0)</f>
        <v>0</v>
      </c>
      <c r="AH199" s="14" t="n">
        <f aca="false">IF($L199=2014,1,0)</f>
        <v>0</v>
      </c>
      <c r="AI199" s="14" t="n">
        <f aca="false">IF($L199=2015,1,0)</f>
        <v>0</v>
      </c>
      <c r="AJ199" s="14" t="n">
        <f aca="false">IF($L199=2016,1,0)</f>
        <v>1</v>
      </c>
      <c r="AK199" s="14" t="n">
        <f aca="false">IF($L199=2017,1,0)</f>
        <v>0</v>
      </c>
      <c r="AL199" s="14" t="n">
        <f aca="false">IF($H199="Beginner Level",1,0)</f>
        <v>0</v>
      </c>
      <c r="AM199" s="14" t="n">
        <f aca="false">IF($H199="Expert Level",1,0)</f>
        <v>0</v>
      </c>
      <c r="AN199" s="14" t="n">
        <f aca="false">IF($H199="Intermediate Level",1,0)</f>
        <v>0</v>
      </c>
    </row>
    <row r="200" customFormat="false" ht="68.65" hidden="false" customHeight="false" outlineLevel="0" collapsed="false">
      <c r="A200" s="14" t="n">
        <v>582392</v>
      </c>
      <c r="B200" s="14" t="s">
        <v>444</v>
      </c>
      <c r="C200" s="14" t="s">
        <v>445</v>
      </c>
      <c r="D200" s="14" t="n">
        <v>95</v>
      </c>
      <c r="E200" s="14" t="n">
        <v>10179</v>
      </c>
      <c r="F200" s="14" t="n">
        <v>68</v>
      </c>
      <c r="G200" s="14" t="n">
        <v>17</v>
      </c>
      <c r="H200" s="14" t="s">
        <v>52</v>
      </c>
      <c r="I200" s="14" t="n">
        <v>0.81</v>
      </c>
      <c r="J200" s="14" t="n">
        <v>1.5</v>
      </c>
      <c r="K200" s="14" t="s">
        <v>59</v>
      </c>
      <c r="L200" s="14" t="n">
        <v>2015</v>
      </c>
      <c r="M200" s="14" t="n">
        <v>9.22808205345234</v>
      </c>
      <c r="N200" s="14" t="n">
        <v>4.55398214921866</v>
      </c>
      <c r="P200" s="14" t="n">
        <f aca="false">D200</f>
        <v>95</v>
      </c>
      <c r="Q200" s="14" t="n">
        <f aca="false">G200</f>
        <v>17</v>
      </c>
      <c r="R200" s="14" t="n">
        <f aca="false">J200</f>
        <v>1.5</v>
      </c>
      <c r="S200" s="14" t="n">
        <f aca="false">IF($L200=2012,1,0)</f>
        <v>0</v>
      </c>
      <c r="T200" s="14" t="n">
        <f aca="false">IF($L200=2013,1,0)</f>
        <v>0</v>
      </c>
      <c r="U200" s="14" t="n">
        <f aca="false">IF($L200=2014,1,0)</f>
        <v>0</v>
      </c>
      <c r="V200" s="14" t="n">
        <f aca="false">IF($L200=2015,1,0)</f>
        <v>1</v>
      </c>
      <c r="W200" s="14" t="n">
        <f aca="false">IF($L200=2016,1,0)</f>
        <v>0</v>
      </c>
      <c r="X200" s="14" t="n">
        <f aca="false">IF($L200=2017,1,0)</f>
        <v>0</v>
      </c>
      <c r="Y200" s="14" t="n">
        <f aca="false">IF($H200="Beginner Level",1,0)</f>
        <v>1</v>
      </c>
      <c r="Z200" s="14" t="n">
        <f aca="false">IF($H200="Expert Level",1,0)</f>
        <v>0</v>
      </c>
      <c r="AA200" s="14" t="n">
        <f aca="false">IF($H200="Intermediate Level",1,0)</f>
        <v>0</v>
      </c>
      <c r="AC200" s="14" t="n">
        <f aca="false">N200</f>
        <v>4.55398214921866</v>
      </c>
      <c r="AD200" s="14" t="n">
        <f aca="false">G200</f>
        <v>17</v>
      </c>
      <c r="AE200" s="14" t="n">
        <f aca="false">J200</f>
        <v>1.5</v>
      </c>
      <c r="AF200" s="14" t="n">
        <f aca="false">IF($L200=2012,1,0)</f>
        <v>0</v>
      </c>
      <c r="AG200" s="14" t="n">
        <f aca="false">IF($L200=2013,1,0)</f>
        <v>0</v>
      </c>
      <c r="AH200" s="14" t="n">
        <f aca="false">IF($L200=2014,1,0)</f>
        <v>0</v>
      </c>
      <c r="AI200" s="14" t="n">
        <f aca="false">IF($L200=2015,1,0)</f>
        <v>1</v>
      </c>
      <c r="AJ200" s="14" t="n">
        <f aca="false">IF($L200=2016,1,0)</f>
        <v>0</v>
      </c>
      <c r="AK200" s="14" t="n">
        <f aca="false">IF($L200=2017,1,0)</f>
        <v>0</v>
      </c>
      <c r="AL200" s="14" t="n">
        <f aca="false">IF($H200="Beginner Level",1,0)</f>
        <v>1</v>
      </c>
      <c r="AM200" s="14" t="n">
        <f aca="false">IF($H200="Expert Level",1,0)</f>
        <v>0</v>
      </c>
      <c r="AN200" s="14" t="n">
        <f aca="false">IF($H200="Intermediate Level",1,0)</f>
        <v>0</v>
      </c>
    </row>
    <row r="201" customFormat="false" ht="68.65" hidden="false" customHeight="false" outlineLevel="0" collapsed="false">
      <c r="A201" s="14" t="n">
        <v>481002</v>
      </c>
      <c r="B201" s="14" t="s">
        <v>446</v>
      </c>
      <c r="C201" s="14" t="s">
        <v>447</v>
      </c>
      <c r="D201" s="14" t="n">
        <v>50</v>
      </c>
      <c r="E201" s="14" t="n">
        <v>10150</v>
      </c>
      <c r="F201" s="14" t="n">
        <v>997</v>
      </c>
      <c r="G201" s="14" t="n">
        <v>90</v>
      </c>
      <c r="H201" s="14" t="s">
        <v>52</v>
      </c>
      <c r="I201" s="14" t="n">
        <v>0.5</v>
      </c>
      <c r="J201" s="14" t="n">
        <v>16</v>
      </c>
      <c r="K201" s="14" t="s">
        <v>59</v>
      </c>
      <c r="L201" s="14" t="n">
        <v>2015</v>
      </c>
      <c r="M201" s="14" t="n">
        <v>9.22522898446993</v>
      </c>
      <c r="N201" s="14" t="n">
        <v>3.91222298543081</v>
      </c>
      <c r="P201" s="14" t="n">
        <f aca="false">D201</f>
        <v>50</v>
      </c>
      <c r="Q201" s="14" t="n">
        <f aca="false">G201</f>
        <v>90</v>
      </c>
      <c r="R201" s="14" t="n">
        <f aca="false">J201</f>
        <v>16</v>
      </c>
      <c r="S201" s="14" t="n">
        <f aca="false">IF($L201=2012,1,0)</f>
        <v>0</v>
      </c>
      <c r="T201" s="14" t="n">
        <f aca="false">IF($L201=2013,1,0)</f>
        <v>0</v>
      </c>
      <c r="U201" s="14" t="n">
        <f aca="false">IF($L201=2014,1,0)</f>
        <v>0</v>
      </c>
      <c r="V201" s="14" t="n">
        <f aca="false">IF($L201=2015,1,0)</f>
        <v>1</v>
      </c>
      <c r="W201" s="14" t="n">
        <f aca="false">IF($L201=2016,1,0)</f>
        <v>0</v>
      </c>
      <c r="X201" s="14" t="n">
        <f aca="false">IF($L201=2017,1,0)</f>
        <v>0</v>
      </c>
      <c r="Y201" s="14" t="n">
        <f aca="false">IF($H201="Beginner Level",1,0)</f>
        <v>1</v>
      </c>
      <c r="Z201" s="14" t="n">
        <f aca="false">IF($H201="Expert Level",1,0)</f>
        <v>0</v>
      </c>
      <c r="AA201" s="14" t="n">
        <f aca="false">IF($H201="Intermediate Level",1,0)</f>
        <v>0</v>
      </c>
      <c r="AC201" s="14" t="n">
        <f aca="false">N201</f>
        <v>3.91222298543081</v>
      </c>
      <c r="AD201" s="14" t="n">
        <f aca="false">G201</f>
        <v>90</v>
      </c>
      <c r="AE201" s="14" t="n">
        <f aca="false">J201</f>
        <v>16</v>
      </c>
      <c r="AF201" s="14" t="n">
        <f aca="false">IF($L201=2012,1,0)</f>
        <v>0</v>
      </c>
      <c r="AG201" s="14" t="n">
        <f aca="false">IF($L201=2013,1,0)</f>
        <v>0</v>
      </c>
      <c r="AH201" s="14" t="n">
        <f aca="false">IF($L201=2014,1,0)</f>
        <v>0</v>
      </c>
      <c r="AI201" s="14" t="n">
        <f aca="false">IF($L201=2015,1,0)</f>
        <v>1</v>
      </c>
      <c r="AJ201" s="14" t="n">
        <f aca="false">IF($L201=2016,1,0)</f>
        <v>0</v>
      </c>
      <c r="AK201" s="14" t="n">
        <f aca="false">IF($L201=2017,1,0)</f>
        <v>0</v>
      </c>
      <c r="AL201" s="14" t="n">
        <f aca="false">IF($H201="Beginner Level",1,0)</f>
        <v>1</v>
      </c>
      <c r="AM201" s="14" t="n">
        <f aca="false">IF($H201="Expert Level",1,0)</f>
        <v>0</v>
      </c>
      <c r="AN201" s="14" t="n">
        <f aca="false">IF($H201="Intermediate Level",1,0)</f>
        <v>0</v>
      </c>
    </row>
    <row r="202" customFormat="false" ht="57.45" hidden="false" customHeight="false" outlineLevel="0" collapsed="false">
      <c r="A202" s="14" t="n">
        <v>155640</v>
      </c>
      <c r="B202" s="14" t="s">
        <v>448</v>
      </c>
      <c r="C202" s="14" t="s">
        <v>449</v>
      </c>
      <c r="D202" s="14" t="n">
        <v>0</v>
      </c>
      <c r="E202" s="14" t="n">
        <v>10110</v>
      </c>
      <c r="F202" s="14" t="n">
        <v>379</v>
      </c>
      <c r="G202" s="14" t="n">
        <v>12</v>
      </c>
      <c r="H202" s="14" t="s">
        <v>62</v>
      </c>
      <c r="I202" s="14" t="n">
        <v>0.66</v>
      </c>
      <c r="J202" s="14" t="n">
        <v>2.5</v>
      </c>
      <c r="K202" s="14" t="s">
        <v>53</v>
      </c>
      <c r="L202" s="14" t="n">
        <v>2014</v>
      </c>
      <c r="M202" s="14" t="n">
        <v>9.22128031201452</v>
      </c>
      <c r="N202" s="14" t="n">
        <v>-4.60517018598809</v>
      </c>
      <c r="P202" s="14" t="n">
        <f aca="false">D202</f>
        <v>0</v>
      </c>
      <c r="Q202" s="14" t="n">
        <f aca="false">G202</f>
        <v>12</v>
      </c>
      <c r="R202" s="14" t="n">
        <f aca="false">J202</f>
        <v>2.5</v>
      </c>
      <c r="S202" s="14" t="n">
        <f aca="false">IF($L202=2012,1,0)</f>
        <v>0</v>
      </c>
      <c r="T202" s="14" t="n">
        <f aca="false">IF($L202=2013,1,0)</f>
        <v>0</v>
      </c>
      <c r="U202" s="14" t="n">
        <f aca="false">IF($L202=2014,1,0)</f>
        <v>1</v>
      </c>
      <c r="V202" s="14" t="n">
        <f aca="false">IF($L202=2015,1,0)</f>
        <v>0</v>
      </c>
      <c r="W202" s="14" t="n">
        <f aca="false">IF($L202=2016,1,0)</f>
        <v>0</v>
      </c>
      <c r="X202" s="14" t="n">
        <f aca="false">IF($L202=2017,1,0)</f>
        <v>0</v>
      </c>
      <c r="Y202" s="14" t="n">
        <f aca="false">IF($H202="Beginner Level",1,0)</f>
        <v>0</v>
      </c>
      <c r="Z202" s="14" t="n">
        <f aca="false">IF($H202="Expert Level",1,0)</f>
        <v>0</v>
      </c>
      <c r="AA202" s="14" t="n">
        <f aca="false">IF($H202="Intermediate Level",1,0)</f>
        <v>0</v>
      </c>
      <c r="AC202" s="14" t="n">
        <f aca="false">N202</f>
        <v>-4.60517018598809</v>
      </c>
      <c r="AD202" s="14" t="n">
        <f aca="false">G202</f>
        <v>12</v>
      </c>
      <c r="AE202" s="14" t="n">
        <f aca="false">J202</f>
        <v>2.5</v>
      </c>
      <c r="AF202" s="14" t="n">
        <f aca="false">IF($L202=2012,1,0)</f>
        <v>0</v>
      </c>
      <c r="AG202" s="14" t="n">
        <f aca="false">IF($L202=2013,1,0)</f>
        <v>0</v>
      </c>
      <c r="AH202" s="14" t="n">
        <f aca="false">IF($L202=2014,1,0)</f>
        <v>1</v>
      </c>
      <c r="AI202" s="14" t="n">
        <f aca="false">IF($L202=2015,1,0)</f>
        <v>0</v>
      </c>
      <c r="AJ202" s="14" t="n">
        <f aca="false">IF($L202=2016,1,0)</f>
        <v>0</v>
      </c>
      <c r="AK202" s="14" t="n">
        <f aca="false">IF($L202=2017,1,0)</f>
        <v>0</v>
      </c>
      <c r="AL202" s="14" t="n">
        <f aca="false">IF($H202="Beginner Level",1,0)</f>
        <v>0</v>
      </c>
      <c r="AM202" s="14" t="n">
        <f aca="false">IF($H202="Expert Level",1,0)</f>
        <v>0</v>
      </c>
      <c r="AN202" s="14" t="n">
        <f aca="false">IF($H202="Intermediate Level",1,0)</f>
        <v>0</v>
      </c>
    </row>
    <row r="203" customFormat="false" ht="35.05" hidden="false" customHeight="false" outlineLevel="0" collapsed="false">
      <c r="A203" s="14" t="n">
        <v>752658</v>
      </c>
      <c r="B203" s="14" t="s">
        <v>450</v>
      </c>
      <c r="C203" s="14" t="s">
        <v>451</v>
      </c>
      <c r="D203" s="14" t="n">
        <v>115</v>
      </c>
      <c r="E203" s="14" t="n">
        <v>10103</v>
      </c>
      <c r="F203" s="14" t="n">
        <v>75</v>
      </c>
      <c r="G203" s="14" t="n">
        <v>20</v>
      </c>
      <c r="H203" s="14" t="s">
        <v>62</v>
      </c>
      <c r="I203" s="14" t="n">
        <v>0.93</v>
      </c>
      <c r="J203" s="14" t="n">
        <v>1.5</v>
      </c>
      <c r="K203" s="14" t="s">
        <v>59</v>
      </c>
      <c r="L203" s="14" t="n">
        <v>2016</v>
      </c>
      <c r="M203" s="14" t="n">
        <v>9.22058768842773</v>
      </c>
      <c r="N203" s="14" t="n">
        <v>4.74501908110449</v>
      </c>
      <c r="P203" s="14" t="n">
        <f aca="false">D203</f>
        <v>115</v>
      </c>
      <c r="Q203" s="14" t="n">
        <f aca="false">G203</f>
        <v>20</v>
      </c>
      <c r="R203" s="14" t="n">
        <f aca="false">J203</f>
        <v>1.5</v>
      </c>
      <c r="S203" s="14" t="n">
        <f aca="false">IF($L203=2012,1,0)</f>
        <v>0</v>
      </c>
      <c r="T203" s="14" t="n">
        <f aca="false">IF($L203=2013,1,0)</f>
        <v>0</v>
      </c>
      <c r="U203" s="14" t="n">
        <f aca="false">IF($L203=2014,1,0)</f>
        <v>0</v>
      </c>
      <c r="V203" s="14" t="n">
        <f aca="false">IF($L203=2015,1,0)</f>
        <v>0</v>
      </c>
      <c r="W203" s="14" t="n">
        <f aca="false">IF($L203=2016,1,0)</f>
        <v>1</v>
      </c>
      <c r="X203" s="14" t="n">
        <f aca="false">IF($L203=2017,1,0)</f>
        <v>0</v>
      </c>
      <c r="Y203" s="14" t="n">
        <f aca="false">IF($H203="Beginner Level",1,0)</f>
        <v>0</v>
      </c>
      <c r="Z203" s="14" t="n">
        <f aca="false">IF($H203="Expert Level",1,0)</f>
        <v>0</v>
      </c>
      <c r="AA203" s="14" t="n">
        <f aca="false">IF($H203="Intermediate Level",1,0)</f>
        <v>0</v>
      </c>
      <c r="AC203" s="14" t="n">
        <f aca="false">N203</f>
        <v>4.74501908110449</v>
      </c>
      <c r="AD203" s="14" t="n">
        <f aca="false">G203</f>
        <v>20</v>
      </c>
      <c r="AE203" s="14" t="n">
        <f aca="false">J203</f>
        <v>1.5</v>
      </c>
      <c r="AF203" s="14" t="n">
        <f aca="false">IF($L203=2012,1,0)</f>
        <v>0</v>
      </c>
      <c r="AG203" s="14" t="n">
        <f aca="false">IF($L203=2013,1,0)</f>
        <v>0</v>
      </c>
      <c r="AH203" s="14" t="n">
        <f aca="false">IF($L203=2014,1,0)</f>
        <v>0</v>
      </c>
      <c r="AI203" s="14" t="n">
        <f aca="false">IF($L203=2015,1,0)</f>
        <v>0</v>
      </c>
      <c r="AJ203" s="14" t="n">
        <f aca="false">IF($L203=2016,1,0)</f>
        <v>1</v>
      </c>
      <c r="AK203" s="14" t="n">
        <f aca="false">IF($L203=2017,1,0)</f>
        <v>0</v>
      </c>
      <c r="AL203" s="14" t="n">
        <f aca="false">IF($H203="Beginner Level",1,0)</f>
        <v>0</v>
      </c>
      <c r="AM203" s="14" t="n">
        <f aca="false">IF($H203="Expert Level",1,0)</f>
        <v>0</v>
      </c>
      <c r="AN203" s="14" t="n">
        <f aca="false">IF($H203="Intermediate Level",1,0)</f>
        <v>0</v>
      </c>
    </row>
    <row r="204" customFormat="false" ht="35.05" hidden="false" customHeight="false" outlineLevel="0" collapsed="false">
      <c r="A204" s="14" t="n">
        <v>922600</v>
      </c>
      <c r="B204" s="14" t="s">
        <v>452</v>
      </c>
      <c r="C204" s="14" t="s">
        <v>453</v>
      </c>
      <c r="D204" s="14" t="n">
        <v>20</v>
      </c>
      <c r="E204" s="14" t="n">
        <v>10008</v>
      </c>
      <c r="F204" s="14" t="n">
        <v>53</v>
      </c>
      <c r="G204" s="14" t="n">
        <v>26</v>
      </c>
      <c r="H204" s="14" t="s">
        <v>62</v>
      </c>
      <c r="I204" s="14" t="n">
        <v>0.53</v>
      </c>
      <c r="J204" s="14" t="n">
        <v>2.5</v>
      </c>
      <c r="K204" s="14" t="s">
        <v>59</v>
      </c>
      <c r="L204" s="14" t="n">
        <v>2016</v>
      </c>
      <c r="M204" s="14" t="n">
        <v>9.21114005214675</v>
      </c>
      <c r="N204" s="14" t="n">
        <v>2.99623214859564</v>
      </c>
      <c r="P204" s="14" t="n">
        <f aca="false">D204</f>
        <v>20</v>
      </c>
      <c r="Q204" s="14" t="n">
        <f aca="false">G204</f>
        <v>26</v>
      </c>
      <c r="R204" s="14" t="n">
        <f aca="false">J204</f>
        <v>2.5</v>
      </c>
      <c r="S204" s="14" t="n">
        <f aca="false">IF($L204=2012,1,0)</f>
        <v>0</v>
      </c>
      <c r="T204" s="14" t="n">
        <f aca="false">IF($L204=2013,1,0)</f>
        <v>0</v>
      </c>
      <c r="U204" s="14" t="n">
        <f aca="false">IF($L204=2014,1,0)</f>
        <v>0</v>
      </c>
      <c r="V204" s="14" t="n">
        <f aca="false">IF($L204=2015,1,0)</f>
        <v>0</v>
      </c>
      <c r="W204" s="14" t="n">
        <f aca="false">IF($L204=2016,1,0)</f>
        <v>1</v>
      </c>
      <c r="X204" s="14" t="n">
        <f aca="false">IF($L204=2017,1,0)</f>
        <v>0</v>
      </c>
      <c r="Y204" s="14" t="n">
        <f aca="false">IF($H204="Beginner Level",1,0)</f>
        <v>0</v>
      </c>
      <c r="Z204" s="14" t="n">
        <f aca="false">IF($H204="Expert Level",1,0)</f>
        <v>0</v>
      </c>
      <c r="AA204" s="14" t="n">
        <f aca="false">IF($H204="Intermediate Level",1,0)</f>
        <v>0</v>
      </c>
      <c r="AC204" s="14" t="n">
        <f aca="false">N204</f>
        <v>2.99623214859564</v>
      </c>
      <c r="AD204" s="14" t="n">
        <f aca="false">G204</f>
        <v>26</v>
      </c>
      <c r="AE204" s="14" t="n">
        <f aca="false">J204</f>
        <v>2.5</v>
      </c>
      <c r="AF204" s="14" t="n">
        <f aca="false">IF($L204=2012,1,0)</f>
        <v>0</v>
      </c>
      <c r="AG204" s="14" t="n">
        <f aca="false">IF($L204=2013,1,0)</f>
        <v>0</v>
      </c>
      <c r="AH204" s="14" t="n">
        <f aca="false">IF($L204=2014,1,0)</f>
        <v>0</v>
      </c>
      <c r="AI204" s="14" t="n">
        <f aca="false">IF($L204=2015,1,0)</f>
        <v>0</v>
      </c>
      <c r="AJ204" s="14" t="n">
        <f aca="false">IF($L204=2016,1,0)</f>
        <v>1</v>
      </c>
      <c r="AK204" s="14" t="n">
        <f aca="false">IF($L204=2017,1,0)</f>
        <v>0</v>
      </c>
      <c r="AL204" s="14" t="n">
        <f aca="false">IF($H204="Beginner Level",1,0)</f>
        <v>0</v>
      </c>
      <c r="AM204" s="14" t="n">
        <f aca="false">IF($H204="Expert Level",1,0)</f>
        <v>0</v>
      </c>
      <c r="AN204" s="14" t="n">
        <f aca="false">IF($H204="Intermediate Level",1,0)</f>
        <v>0</v>
      </c>
    </row>
    <row r="205" customFormat="false" ht="91" hidden="false" customHeight="false" outlineLevel="0" collapsed="false">
      <c r="A205" s="14" t="n">
        <v>1093734</v>
      </c>
      <c r="B205" s="14" t="s">
        <v>454</v>
      </c>
      <c r="C205" s="14" t="s">
        <v>455</v>
      </c>
      <c r="D205" s="14" t="n">
        <v>200</v>
      </c>
      <c r="E205" s="14" t="n">
        <v>9945</v>
      </c>
      <c r="F205" s="14" t="n">
        <v>101</v>
      </c>
      <c r="G205" s="14" t="n">
        <v>43</v>
      </c>
      <c r="H205" s="14" t="s">
        <v>71</v>
      </c>
      <c r="I205" s="14" t="n">
        <v>0.76</v>
      </c>
      <c r="J205" s="14" t="n">
        <v>2</v>
      </c>
      <c r="K205" s="14" t="s">
        <v>59</v>
      </c>
      <c r="L205" s="14" t="n">
        <v>2017</v>
      </c>
      <c r="M205" s="14" t="n">
        <v>9.20482519128807</v>
      </c>
      <c r="N205" s="14" t="n">
        <v>5.29836736529808</v>
      </c>
      <c r="P205" s="14" t="n">
        <f aca="false">D205</f>
        <v>200</v>
      </c>
      <c r="Q205" s="14" t="n">
        <f aca="false">G205</f>
        <v>43</v>
      </c>
      <c r="R205" s="14" t="n">
        <f aca="false">J205</f>
        <v>2</v>
      </c>
      <c r="S205" s="14" t="n">
        <f aca="false">IF($L205=2012,1,0)</f>
        <v>0</v>
      </c>
      <c r="T205" s="14" t="n">
        <f aca="false">IF($L205=2013,1,0)</f>
        <v>0</v>
      </c>
      <c r="U205" s="14" t="n">
        <f aca="false">IF($L205=2014,1,0)</f>
        <v>0</v>
      </c>
      <c r="V205" s="14" t="n">
        <f aca="false">IF($L205=2015,1,0)</f>
        <v>0</v>
      </c>
      <c r="W205" s="14" t="n">
        <f aca="false">IF($L205=2016,1,0)</f>
        <v>0</v>
      </c>
      <c r="X205" s="14" t="n">
        <f aca="false">IF($L205=2017,1,0)</f>
        <v>1</v>
      </c>
      <c r="Y205" s="14" t="n">
        <f aca="false">IF($H205="Beginner Level",1,0)</f>
        <v>0</v>
      </c>
      <c r="Z205" s="14" t="n">
        <f aca="false">IF($H205="Expert Level",1,0)</f>
        <v>0</v>
      </c>
      <c r="AA205" s="14" t="n">
        <f aca="false">IF($H205="Intermediate Level",1,0)</f>
        <v>1</v>
      </c>
      <c r="AC205" s="14" t="n">
        <f aca="false">N205</f>
        <v>5.29836736529808</v>
      </c>
      <c r="AD205" s="14" t="n">
        <f aca="false">G205</f>
        <v>43</v>
      </c>
      <c r="AE205" s="14" t="n">
        <f aca="false">J205</f>
        <v>2</v>
      </c>
      <c r="AF205" s="14" t="n">
        <f aca="false">IF($L205=2012,1,0)</f>
        <v>0</v>
      </c>
      <c r="AG205" s="14" t="n">
        <f aca="false">IF($L205=2013,1,0)</f>
        <v>0</v>
      </c>
      <c r="AH205" s="14" t="n">
        <f aca="false">IF($L205=2014,1,0)</f>
        <v>0</v>
      </c>
      <c r="AI205" s="14" t="n">
        <f aca="false">IF($L205=2015,1,0)</f>
        <v>0</v>
      </c>
      <c r="AJ205" s="14" t="n">
        <f aca="false">IF($L205=2016,1,0)</f>
        <v>0</v>
      </c>
      <c r="AK205" s="14" t="n">
        <f aca="false">IF($L205=2017,1,0)</f>
        <v>1</v>
      </c>
      <c r="AL205" s="14" t="n">
        <f aca="false">IF($H205="Beginner Level",1,0)</f>
        <v>0</v>
      </c>
      <c r="AM205" s="14" t="n">
        <f aca="false">IF($H205="Expert Level",1,0)</f>
        <v>0</v>
      </c>
      <c r="AN205" s="14" t="n">
        <f aca="false">IF($H205="Intermediate Level",1,0)</f>
        <v>1</v>
      </c>
    </row>
    <row r="206" customFormat="false" ht="79.85" hidden="false" customHeight="false" outlineLevel="0" collapsed="false">
      <c r="A206" s="14" t="n">
        <v>30240</v>
      </c>
      <c r="B206" s="14" t="s">
        <v>456</v>
      </c>
      <c r="C206" s="14" t="s">
        <v>457</v>
      </c>
      <c r="D206" s="14" t="n">
        <v>50</v>
      </c>
      <c r="E206" s="14" t="n">
        <v>9881</v>
      </c>
      <c r="F206" s="14" t="n">
        <v>329</v>
      </c>
      <c r="G206" s="14" t="n">
        <v>136</v>
      </c>
      <c r="H206" s="14" t="s">
        <v>71</v>
      </c>
      <c r="I206" s="14" t="n">
        <v>0.28</v>
      </c>
      <c r="J206" s="14" t="n">
        <v>12</v>
      </c>
      <c r="K206" s="14" t="s">
        <v>59</v>
      </c>
      <c r="L206" s="14" t="n">
        <v>2013</v>
      </c>
      <c r="M206" s="14" t="n">
        <v>9.19836900019496</v>
      </c>
      <c r="N206" s="14" t="n">
        <v>3.91222298543081</v>
      </c>
      <c r="P206" s="14" t="n">
        <f aca="false">D206</f>
        <v>50</v>
      </c>
      <c r="Q206" s="14" t="n">
        <f aca="false">G206</f>
        <v>136</v>
      </c>
      <c r="R206" s="14" t="n">
        <f aca="false">J206</f>
        <v>12</v>
      </c>
      <c r="S206" s="14" t="n">
        <f aca="false">IF($L206=2012,1,0)</f>
        <v>0</v>
      </c>
      <c r="T206" s="14" t="n">
        <f aca="false">IF($L206=2013,1,0)</f>
        <v>1</v>
      </c>
      <c r="U206" s="14" t="n">
        <f aca="false">IF($L206=2014,1,0)</f>
        <v>0</v>
      </c>
      <c r="V206" s="14" t="n">
        <f aca="false">IF($L206=2015,1,0)</f>
        <v>0</v>
      </c>
      <c r="W206" s="14" t="n">
        <f aca="false">IF($L206=2016,1,0)</f>
        <v>0</v>
      </c>
      <c r="X206" s="14" t="n">
        <f aca="false">IF($L206=2017,1,0)</f>
        <v>0</v>
      </c>
      <c r="Y206" s="14" t="n">
        <f aca="false">IF($H206="Beginner Level",1,0)</f>
        <v>0</v>
      </c>
      <c r="Z206" s="14" t="n">
        <f aca="false">IF($H206="Expert Level",1,0)</f>
        <v>0</v>
      </c>
      <c r="AA206" s="14" t="n">
        <f aca="false">IF($H206="Intermediate Level",1,0)</f>
        <v>1</v>
      </c>
      <c r="AC206" s="14" t="n">
        <f aca="false">N206</f>
        <v>3.91222298543081</v>
      </c>
      <c r="AD206" s="14" t="n">
        <f aca="false">G206</f>
        <v>136</v>
      </c>
      <c r="AE206" s="14" t="n">
        <f aca="false">J206</f>
        <v>12</v>
      </c>
      <c r="AF206" s="14" t="n">
        <f aca="false">IF($L206=2012,1,0)</f>
        <v>0</v>
      </c>
      <c r="AG206" s="14" t="n">
        <f aca="false">IF($L206=2013,1,0)</f>
        <v>1</v>
      </c>
      <c r="AH206" s="14" t="n">
        <f aca="false">IF($L206=2014,1,0)</f>
        <v>0</v>
      </c>
      <c r="AI206" s="14" t="n">
        <f aca="false">IF($L206=2015,1,0)</f>
        <v>0</v>
      </c>
      <c r="AJ206" s="14" t="n">
        <f aca="false">IF($L206=2016,1,0)</f>
        <v>0</v>
      </c>
      <c r="AK206" s="14" t="n">
        <f aca="false">IF($L206=2017,1,0)</f>
        <v>0</v>
      </c>
      <c r="AL206" s="14" t="n">
        <f aca="false">IF($H206="Beginner Level",1,0)</f>
        <v>0</v>
      </c>
      <c r="AM206" s="14" t="n">
        <f aca="false">IF($H206="Expert Level",1,0)</f>
        <v>0</v>
      </c>
      <c r="AN206" s="14" t="n">
        <f aca="false">IF($H206="Intermediate Level",1,0)</f>
        <v>1</v>
      </c>
    </row>
    <row r="207" customFormat="false" ht="68.65" hidden="false" customHeight="false" outlineLevel="0" collapsed="false">
      <c r="A207" s="14" t="n">
        <v>212376</v>
      </c>
      <c r="B207" s="14" t="s">
        <v>458</v>
      </c>
      <c r="C207" s="14" t="s">
        <v>459</v>
      </c>
      <c r="D207" s="14" t="n">
        <v>0</v>
      </c>
      <c r="E207" s="14" t="n">
        <v>9833</v>
      </c>
      <c r="F207" s="14" t="n">
        <v>241</v>
      </c>
      <c r="G207" s="14" t="n">
        <v>15</v>
      </c>
      <c r="H207" s="14" t="s">
        <v>56</v>
      </c>
      <c r="I207" s="14" t="n">
        <v>0.64</v>
      </c>
      <c r="J207" s="14" t="n">
        <v>1</v>
      </c>
      <c r="K207" s="14" t="s">
        <v>53</v>
      </c>
      <c r="L207" s="14" t="n">
        <v>2014</v>
      </c>
      <c r="M207" s="14" t="n">
        <v>9.19349935478016</v>
      </c>
      <c r="N207" s="14" t="n">
        <v>-4.60517018598809</v>
      </c>
      <c r="P207" s="14" t="n">
        <f aca="false">D207</f>
        <v>0</v>
      </c>
      <c r="Q207" s="14" t="n">
        <f aca="false">G207</f>
        <v>15</v>
      </c>
      <c r="R207" s="14" t="n">
        <f aca="false">J207</f>
        <v>1</v>
      </c>
      <c r="S207" s="14" t="n">
        <f aca="false">IF($L207=2012,1,0)</f>
        <v>0</v>
      </c>
      <c r="T207" s="14" t="n">
        <f aca="false">IF($L207=2013,1,0)</f>
        <v>0</v>
      </c>
      <c r="U207" s="14" t="n">
        <f aca="false">IF($L207=2014,1,0)</f>
        <v>1</v>
      </c>
      <c r="V207" s="14" t="n">
        <f aca="false">IF($L207=2015,1,0)</f>
        <v>0</v>
      </c>
      <c r="W207" s="14" t="n">
        <f aca="false">IF($L207=2016,1,0)</f>
        <v>0</v>
      </c>
      <c r="X207" s="14" t="n">
        <f aca="false">IF($L207=2017,1,0)</f>
        <v>0</v>
      </c>
      <c r="Y207" s="14" t="n">
        <f aca="false">IF($H207="Beginner Level",1,0)</f>
        <v>0</v>
      </c>
      <c r="Z207" s="14" t="n">
        <f aca="false">IF($H207="Expert Level",1,0)</f>
        <v>1</v>
      </c>
      <c r="AA207" s="14" t="n">
        <f aca="false">IF($H207="Intermediate Level",1,0)</f>
        <v>0</v>
      </c>
      <c r="AC207" s="14" t="n">
        <f aca="false">N207</f>
        <v>-4.60517018598809</v>
      </c>
      <c r="AD207" s="14" t="n">
        <f aca="false">G207</f>
        <v>15</v>
      </c>
      <c r="AE207" s="14" t="n">
        <f aca="false">J207</f>
        <v>1</v>
      </c>
      <c r="AF207" s="14" t="n">
        <f aca="false">IF($L207=2012,1,0)</f>
        <v>0</v>
      </c>
      <c r="AG207" s="14" t="n">
        <f aca="false">IF($L207=2013,1,0)</f>
        <v>0</v>
      </c>
      <c r="AH207" s="14" t="n">
        <f aca="false">IF($L207=2014,1,0)</f>
        <v>1</v>
      </c>
      <c r="AI207" s="14" t="n">
        <f aca="false">IF($L207=2015,1,0)</f>
        <v>0</v>
      </c>
      <c r="AJ207" s="14" t="n">
        <f aca="false">IF($L207=2016,1,0)</f>
        <v>0</v>
      </c>
      <c r="AK207" s="14" t="n">
        <f aca="false">IF($L207=2017,1,0)</f>
        <v>0</v>
      </c>
      <c r="AL207" s="14" t="n">
        <f aca="false">IF($H207="Beginner Level",1,0)</f>
        <v>0</v>
      </c>
      <c r="AM207" s="14" t="n">
        <f aca="false">IF($H207="Expert Level",1,0)</f>
        <v>1</v>
      </c>
      <c r="AN207" s="14" t="n">
        <f aca="false">IF($H207="Intermediate Level",1,0)</f>
        <v>0</v>
      </c>
    </row>
    <row r="208" customFormat="false" ht="68.65" hidden="false" customHeight="false" outlineLevel="0" collapsed="false">
      <c r="A208" s="14" t="n">
        <v>978852</v>
      </c>
      <c r="B208" s="14" t="s">
        <v>460</v>
      </c>
      <c r="C208" s="14" t="s">
        <v>461</v>
      </c>
      <c r="D208" s="14" t="n">
        <v>95</v>
      </c>
      <c r="E208" s="14" t="n">
        <v>9832</v>
      </c>
      <c r="F208" s="14" t="n">
        <v>71</v>
      </c>
      <c r="G208" s="14" t="n">
        <v>59</v>
      </c>
      <c r="H208" s="14" t="s">
        <v>62</v>
      </c>
      <c r="I208" s="14" t="n">
        <v>0.34</v>
      </c>
      <c r="J208" s="14" t="n">
        <v>2</v>
      </c>
      <c r="K208" s="14" t="s">
        <v>59</v>
      </c>
      <c r="L208" s="14" t="n">
        <v>2017</v>
      </c>
      <c r="M208" s="14" t="n">
        <v>9.19339765124587</v>
      </c>
      <c r="N208" s="14" t="n">
        <v>4.55398214921866</v>
      </c>
      <c r="P208" s="14" t="n">
        <f aca="false">D208</f>
        <v>95</v>
      </c>
      <c r="Q208" s="14" t="n">
        <f aca="false">G208</f>
        <v>59</v>
      </c>
      <c r="R208" s="14" t="n">
        <f aca="false">J208</f>
        <v>2</v>
      </c>
      <c r="S208" s="14" t="n">
        <f aca="false">IF($L208=2012,1,0)</f>
        <v>0</v>
      </c>
      <c r="T208" s="14" t="n">
        <f aca="false">IF($L208=2013,1,0)</f>
        <v>0</v>
      </c>
      <c r="U208" s="14" t="n">
        <f aca="false">IF($L208=2014,1,0)</f>
        <v>0</v>
      </c>
      <c r="V208" s="14" t="n">
        <f aca="false">IF($L208=2015,1,0)</f>
        <v>0</v>
      </c>
      <c r="W208" s="14" t="n">
        <f aca="false">IF($L208=2016,1,0)</f>
        <v>0</v>
      </c>
      <c r="X208" s="14" t="n">
        <f aca="false">IF($L208=2017,1,0)</f>
        <v>1</v>
      </c>
      <c r="Y208" s="14" t="n">
        <f aca="false">IF($H208="Beginner Level",1,0)</f>
        <v>0</v>
      </c>
      <c r="Z208" s="14" t="n">
        <f aca="false">IF($H208="Expert Level",1,0)</f>
        <v>0</v>
      </c>
      <c r="AA208" s="14" t="n">
        <f aca="false">IF($H208="Intermediate Level",1,0)</f>
        <v>0</v>
      </c>
      <c r="AC208" s="14" t="n">
        <f aca="false">N208</f>
        <v>4.55398214921866</v>
      </c>
      <c r="AD208" s="14" t="n">
        <f aca="false">G208</f>
        <v>59</v>
      </c>
      <c r="AE208" s="14" t="n">
        <f aca="false">J208</f>
        <v>2</v>
      </c>
      <c r="AF208" s="14" t="n">
        <f aca="false">IF($L208=2012,1,0)</f>
        <v>0</v>
      </c>
      <c r="AG208" s="14" t="n">
        <f aca="false">IF($L208=2013,1,0)</f>
        <v>0</v>
      </c>
      <c r="AH208" s="14" t="n">
        <f aca="false">IF($L208=2014,1,0)</f>
        <v>0</v>
      </c>
      <c r="AI208" s="14" t="n">
        <f aca="false">IF($L208=2015,1,0)</f>
        <v>0</v>
      </c>
      <c r="AJ208" s="14" t="n">
        <f aca="false">IF($L208=2016,1,0)</f>
        <v>0</v>
      </c>
      <c r="AK208" s="14" t="n">
        <f aca="false">IF($L208=2017,1,0)</f>
        <v>1</v>
      </c>
      <c r="AL208" s="14" t="n">
        <f aca="false">IF($H208="Beginner Level",1,0)</f>
        <v>0</v>
      </c>
      <c r="AM208" s="14" t="n">
        <f aca="false">IF($H208="Expert Level",1,0)</f>
        <v>0</v>
      </c>
      <c r="AN208" s="14" t="n">
        <f aca="false">IF($H208="Intermediate Level",1,0)</f>
        <v>0</v>
      </c>
    </row>
    <row r="209" customFormat="false" ht="57.45" hidden="false" customHeight="false" outlineLevel="0" collapsed="false">
      <c r="A209" s="14" t="n">
        <v>1017568</v>
      </c>
      <c r="B209" s="14" t="s">
        <v>462</v>
      </c>
      <c r="C209" s="14" t="s">
        <v>463</v>
      </c>
      <c r="D209" s="14" t="n">
        <v>195</v>
      </c>
      <c r="E209" s="14" t="n">
        <v>9831</v>
      </c>
      <c r="F209" s="14" t="n">
        <v>56</v>
      </c>
      <c r="G209" s="14" t="n">
        <v>74</v>
      </c>
      <c r="H209" s="14" t="s">
        <v>71</v>
      </c>
      <c r="I209" s="14" t="n">
        <v>1</v>
      </c>
      <c r="J209" s="14" t="n">
        <v>14.5</v>
      </c>
      <c r="K209" s="14" t="s">
        <v>59</v>
      </c>
      <c r="L209" s="14" t="n">
        <v>2017</v>
      </c>
      <c r="M209" s="14" t="n">
        <v>9.19329593736693</v>
      </c>
      <c r="N209" s="14" t="n">
        <v>5.27305083930015</v>
      </c>
      <c r="P209" s="14" t="n">
        <f aca="false">D209</f>
        <v>195</v>
      </c>
      <c r="Q209" s="14" t="n">
        <f aca="false">G209</f>
        <v>74</v>
      </c>
      <c r="R209" s="14" t="n">
        <f aca="false">J209</f>
        <v>14.5</v>
      </c>
      <c r="S209" s="14" t="n">
        <f aca="false">IF($L209=2012,1,0)</f>
        <v>0</v>
      </c>
      <c r="T209" s="14" t="n">
        <f aca="false">IF($L209=2013,1,0)</f>
        <v>0</v>
      </c>
      <c r="U209" s="14" t="n">
        <f aca="false">IF($L209=2014,1,0)</f>
        <v>0</v>
      </c>
      <c r="V209" s="14" t="n">
        <f aca="false">IF($L209=2015,1,0)</f>
        <v>0</v>
      </c>
      <c r="W209" s="14" t="n">
        <f aca="false">IF($L209=2016,1,0)</f>
        <v>0</v>
      </c>
      <c r="X209" s="14" t="n">
        <f aca="false">IF($L209=2017,1,0)</f>
        <v>1</v>
      </c>
      <c r="Y209" s="14" t="n">
        <f aca="false">IF($H209="Beginner Level",1,0)</f>
        <v>0</v>
      </c>
      <c r="Z209" s="14" t="n">
        <f aca="false">IF($H209="Expert Level",1,0)</f>
        <v>0</v>
      </c>
      <c r="AA209" s="14" t="n">
        <f aca="false">IF($H209="Intermediate Level",1,0)</f>
        <v>1</v>
      </c>
      <c r="AC209" s="14" t="n">
        <f aca="false">N209</f>
        <v>5.27305083930015</v>
      </c>
      <c r="AD209" s="14" t="n">
        <f aca="false">G209</f>
        <v>74</v>
      </c>
      <c r="AE209" s="14" t="n">
        <f aca="false">J209</f>
        <v>14.5</v>
      </c>
      <c r="AF209" s="14" t="n">
        <f aca="false">IF($L209=2012,1,0)</f>
        <v>0</v>
      </c>
      <c r="AG209" s="14" t="n">
        <f aca="false">IF($L209=2013,1,0)</f>
        <v>0</v>
      </c>
      <c r="AH209" s="14" t="n">
        <f aca="false">IF($L209=2014,1,0)</f>
        <v>0</v>
      </c>
      <c r="AI209" s="14" t="n">
        <f aca="false">IF($L209=2015,1,0)</f>
        <v>0</v>
      </c>
      <c r="AJ209" s="14" t="n">
        <f aca="false">IF($L209=2016,1,0)</f>
        <v>0</v>
      </c>
      <c r="AK209" s="14" t="n">
        <f aca="false">IF($L209=2017,1,0)</f>
        <v>1</v>
      </c>
      <c r="AL209" s="14" t="n">
        <f aca="false">IF($H209="Beginner Level",1,0)</f>
        <v>0</v>
      </c>
      <c r="AM209" s="14" t="n">
        <f aca="false">IF($H209="Expert Level",1,0)</f>
        <v>0</v>
      </c>
      <c r="AN209" s="14" t="n">
        <f aca="false">IF($H209="Intermediate Level",1,0)</f>
        <v>1</v>
      </c>
    </row>
    <row r="210" customFormat="false" ht="57.45" hidden="false" customHeight="false" outlineLevel="0" collapsed="false">
      <c r="A210" s="14" t="n">
        <v>465870</v>
      </c>
      <c r="B210" s="14" t="s">
        <v>464</v>
      </c>
      <c r="C210" s="14" t="s">
        <v>465</v>
      </c>
      <c r="D210" s="14" t="n">
        <v>0</v>
      </c>
      <c r="E210" s="14" t="n">
        <v>9786</v>
      </c>
      <c r="F210" s="14" t="n">
        <v>989</v>
      </c>
      <c r="G210" s="14" t="n">
        <v>7</v>
      </c>
      <c r="H210" s="14" t="s">
        <v>52</v>
      </c>
      <c r="I210" s="14" t="n">
        <v>0.14</v>
      </c>
      <c r="J210" s="14" t="n">
        <v>0.7</v>
      </c>
      <c r="K210" s="14" t="s">
        <v>53</v>
      </c>
      <c r="L210" s="14" t="n">
        <v>2015</v>
      </c>
      <c r="M210" s="14" t="n">
        <v>9.18870807184907</v>
      </c>
      <c r="N210" s="14" t="n">
        <v>-4.60517018598809</v>
      </c>
      <c r="P210" s="14" t="n">
        <f aca="false">D210</f>
        <v>0</v>
      </c>
      <c r="Q210" s="14" t="n">
        <f aca="false">G210</f>
        <v>7</v>
      </c>
      <c r="R210" s="14" t="n">
        <f aca="false">J210</f>
        <v>0.7</v>
      </c>
      <c r="S210" s="14" t="n">
        <f aca="false">IF($L210=2012,1,0)</f>
        <v>0</v>
      </c>
      <c r="T210" s="14" t="n">
        <f aca="false">IF($L210=2013,1,0)</f>
        <v>0</v>
      </c>
      <c r="U210" s="14" t="n">
        <f aca="false">IF($L210=2014,1,0)</f>
        <v>0</v>
      </c>
      <c r="V210" s="14" t="n">
        <f aca="false">IF($L210=2015,1,0)</f>
        <v>1</v>
      </c>
      <c r="W210" s="14" t="n">
        <f aca="false">IF($L210=2016,1,0)</f>
        <v>0</v>
      </c>
      <c r="X210" s="14" t="n">
        <f aca="false">IF($L210=2017,1,0)</f>
        <v>0</v>
      </c>
      <c r="Y210" s="14" t="n">
        <f aca="false">IF($H210="Beginner Level",1,0)</f>
        <v>1</v>
      </c>
      <c r="Z210" s="14" t="n">
        <f aca="false">IF($H210="Expert Level",1,0)</f>
        <v>0</v>
      </c>
      <c r="AA210" s="14" t="n">
        <f aca="false">IF($H210="Intermediate Level",1,0)</f>
        <v>0</v>
      </c>
      <c r="AC210" s="14" t="n">
        <f aca="false">N210</f>
        <v>-4.60517018598809</v>
      </c>
      <c r="AD210" s="14" t="n">
        <f aca="false">G210</f>
        <v>7</v>
      </c>
      <c r="AE210" s="14" t="n">
        <f aca="false">J210</f>
        <v>0.7</v>
      </c>
      <c r="AF210" s="14" t="n">
        <f aca="false">IF($L210=2012,1,0)</f>
        <v>0</v>
      </c>
      <c r="AG210" s="14" t="n">
        <f aca="false">IF($L210=2013,1,0)</f>
        <v>0</v>
      </c>
      <c r="AH210" s="14" t="n">
        <f aca="false">IF($L210=2014,1,0)</f>
        <v>0</v>
      </c>
      <c r="AI210" s="14" t="n">
        <f aca="false">IF($L210=2015,1,0)</f>
        <v>1</v>
      </c>
      <c r="AJ210" s="14" t="n">
        <f aca="false">IF($L210=2016,1,0)</f>
        <v>0</v>
      </c>
      <c r="AK210" s="14" t="n">
        <f aca="false">IF($L210=2017,1,0)</f>
        <v>0</v>
      </c>
      <c r="AL210" s="14" t="n">
        <f aca="false">IF($H210="Beginner Level",1,0)</f>
        <v>1</v>
      </c>
      <c r="AM210" s="14" t="n">
        <f aca="false">IF($H210="Expert Level",1,0)</f>
        <v>0</v>
      </c>
      <c r="AN210" s="14" t="n">
        <f aca="false">IF($H210="Intermediate Level",1,0)</f>
        <v>0</v>
      </c>
    </row>
    <row r="211" customFormat="false" ht="57.45" hidden="false" customHeight="false" outlineLevel="0" collapsed="false">
      <c r="A211" s="14" t="n">
        <v>991290</v>
      </c>
      <c r="B211" s="14" t="s">
        <v>466</v>
      </c>
      <c r="C211" s="14" t="s">
        <v>467</v>
      </c>
      <c r="D211" s="14" t="n">
        <v>200</v>
      </c>
      <c r="E211" s="14" t="n">
        <v>9773</v>
      </c>
      <c r="F211" s="14" t="n">
        <v>117</v>
      </c>
      <c r="G211" s="14" t="n">
        <v>65</v>
      </c>
      <c r="H211" s="14" t="s">
        <v>52</v>
      </c>
      <c r="I211" s="14" t="n">
        <v>0.47</v>
      </c>
      <c r="J211" s="14" t="n">
        <v>4.5</v>
      </c>
      <c r="K211" s="14" t="s">
        <v>59</v>
      </c>
      <c r="L211" s="14" t="n">
        <v>2016</v>
      </c>
      <c r="M211" s="14" t="n">
        <v>9.18737876033884</v>
      </c>
      <c r="N211" s="14" t="n">
        <v>5.29836736529808</v>
      </c>
      <c r="P211" s="14" t="n">
        <f aca="false">D211</f>
        <v>200</v>
      </c>
      <c r="Q211" s="14" t="n">
        <f aca="false">G211</f>
        <v>65</v>
      </c>
      <c r="R211" s="14" t="n">
        <f aca="false">J211</f>
        <v>4.5</v>
      </c>
      <c r="S211" s="14" t="n">
        <f aca="false">IF($L211=2012,1,0)</f>
        <v>0</v>
      </c>
      <c r="T211" s="14" t="n">
        <f aca="false">IF($L211=2013,1,0)</f>
        <v>0</v>
      </c>
      <c r="U211" s="14" t="n">
        <f aca="false">IF($L211=2014,1,0)</f>
        <v>0</v>
      </c>
      <c r="V211" s="14" t="n">
        <f aca="false">IF($L211=2015,1,0)</f>
        <v>0</v>
      </c>
      <c r="W211" s="14" t="n">
        <f aca="false">IF($L211=2016,1,0)</f>
        <v>1</v>
      </c>
      <c r="X211" s="14" t="n">
        <f aca="false">IF($L211=2017,1,0)</f>
        <v>0</v>
      </c>
      <c r="Y211" s="14" t="n">
        <f aca="false">IF($H211="Beginner Level",1,0)</f>
        <v>1</v>
      </c>
      <c r="Z211" s="14" t="n">
        <f aca="false">IF($H211="Expert Level",1,0)</f>
        <v>0</v>
      </c>
      <c r="AA211" s="14" t="n">
        <f aca="false">IF($H211="Intermediate Level",1,0)</f>
        <v>0</v>
      </c>
      <c r="AC211" s="14" t="n">
        <f aca="false">N211</f>
        <v>5.29836736529808</v>
      </c>
      <c r="AD211" s="14" t="n">
        <f aca="false">G211</f>
        <v>65</v>
      </c>
      <c r="AE211" s="14" t="n">
        <f aca="false">J211</f>
        <v>4.5</v>
      </c>
      <c r="AF211" s="14" t="n">
        <f aca="false">IF($L211=2012,1,0)</f>
        <v>0</v>
      </c>
      <c r="AG211" s="14" t="n">
        <f aca="false">IF($L211=2013,1,0)</f>
        <v>0</v>
      </c>
      <c r="AH211" s="14" t="n">
        <f aca="false">IF($L211=2014,1,0)</f>
        <v>0</v>
      </c>
      <c r="AI211" s="14" t="n">
        <f aca="false">IF($L211=2015,1,0)</f>
        <v>0</v>
      </c>
      <c r="AJ211" s="14" t="n">
        <f aca="false">IF($L211=2016,1,0)</f>
        <v>1</v>
      </c>
      <c r="AK211" s="14" t="n">
        <f aca="false">IF($L211=2017,1,0)</f>
        <v>0</v>
      </c>
      <c r="AL211" s="14" t="n">
        <f aca="false">IF($H211="Beginner Level",1,0)</f>
        <v>1</v>
      </c>
      <c r="AM211" s="14" t="n">
        <f aca="false">IF($H211="Expert Level",1,0)</f>
        <v>0</v>
      </c>
      <c r="AN211" s="14" t="n">
        <f aca="false">IF($H211="Intermediate Level",1,0)</f>
        <v>0</v>
      </c>
    </row>
    <row r="212" customFormat="false" ht="79.85" hidden="false" customHeight="false" outlineLevel="0" collapsed="false">
      <c r="A212" s="14" t="n">
        <v>992114</v>
      </c>
      <c r="B212" s="14" t="s">
        <v>468</v>
      </c>
      <c r="C212" s="14" t="s">
        <v>469</v>
      </c>
      <c r="D212" s="14" t="n">
        <v>20</v>
      </c>
      <c r="E212" s="14" t="n">
        <v>9762</v>
      </c>
      <c r="F212" s="14" t="n">
        <v>94</v>
      </c>
      <c r="G212" s="14" t="n">
        <v>112</v>
      </c>
      <c r="H212" s="14" t="s">
        <v>71</v>
      </c>
      <c r="I212" s="14" t="n">
        <v>0.13</v>
      </c>
      <c r="J212" s="14" t="n">
        <v>13.5</v>
      </c>
      <c r="K212" s="14" t="s">
        <v>59</v>
      </c>
      <c r="L212" s="14" t="n">
        <v>2016</v>
      </c>
      <c r="M212" s="14" t="n">
        <v>9.18625257644709</v>
      </c>
      <c r="N212" s="14" t="n">
        <v>2.99623214859564</v>
      </c>
      <c r="P212" s="14" t="n">
        <f aca="false">D212</f>
        <v>20</v>
      </c>
      <c r="Q212" s="14" t="n">
        <f aca="false">G212</f>
        <v>112</v>
      </c>
      <c r="R212" s="14" t="n">
        <f aca="false">J212</f>
        <v>13.5</v>
      </c>
      <c r="S212" s="14" t="n">
        <f aca="false">IF($L212=2012,1,0)</f>
        <v>0</v>
      </c>
      <c r="T212" s="14" t="n">
        <f aca="false">IF($L212=2013,1,0)</f>
        <v>0</v>
      </c>
      <c r="U212" s="14" t="n">
        <f aca="false">IF($L212=2014,1,0)</f>
        <v>0</v>
      </c>
      <c r="V212" s="14" t="n">
        <f aca="false">IF($L212=2015,1,0)</f>
        <v>0</v>
      </c>
      <c r="W212" s="14" t="n">
        <f aca="false">IF($L212=2016,1,0)</f>
        <v>1</v>
      </c>
      <c r="X212" s="14" t="n">
        <f aca="false">IF($L212=2017,1,0)</f>
        <v>0</v>
      </c>
      <c r="Y212" s="14" t="n">
        <f aca="false">IF($H212="Beginner Level",1,0)</f>
        <v>0</v>
      </c>
      <c r="Z212" s="14" t="n">
        <f aca="false">IF($H212="Expert Level",1,0)</f>
        <v>0</v>
      </c>
      <c r="AA212" s="14" t="n">
        <f aca="false">IF($H212="Intermediate Level",1,0)</f>
        <v>1</v>
      </c>
      <c r="AC212" s="14" t="n">
        <f aca="false">N212</f>
        <v>2.99623214859564</v>
      </c>
      <c r="AD212" s="14" t="n">
        <f aca="false">G212</f>
        <v>112</v>
      </c>
      <c r="AE212" s="14" t="n">
        <f aca="false">J212</f>
        <v>13.5</v>
      </c>
      <c r="AF212" s="14" t="n">
        <f aca="false">IF($L212=2012,1,0)</f>
        <v>0</v>
      </c>
      <c r="AG212" s="14" t="n">
        <f aca="false">IF($L212=2013,1,0)</f>
        <v>0</v>
      </c>
      <c r="AH212" s="14" t="n">
        <f aca="false">IF($L212=2014,1,0)</f>
        <v>0</v>
      </c>
      <c r="AI212" s="14" t="n">
        <f aca="false">IF($L212=2015,1,0)</f>
        <v>0</v>
      </c>
      <c r="AJ212" s="14" t="n">
        <f aca="false">IF($L212=2016,1,0)</f>
        <v>1</v>
      </c>
      <c r="AK212" s="14" t="n">
        <f aca="false">IF($L212=2017,1,0)</f>
        <v>0</v>
      </c>
      <c r="AL212" s="14" t="n">
        <f aca="false">IF($H212="Beginner Level",1,0)</f>
        <v>0</v>
      </c>
      <c r="AM212" s="14" t="n">
        <f aca="false">IF($H212="Expert Level",1,0)</f>
        <v>0</v>
      </c>
      <c r="AN212" s="14" t="n">
        <f aca="false">IF($H212="Intermediate Level",1,0)</f>
        <v>1</v>
      </c>
    </row>
    <row r="213" customFormat="false" ht="68.65" hidden="false" customHeight="false" outlineLevel="0" collapsed="false">
      <c r="A213" s="14" t="n">
        <v>482834</v>
      </c>
      <c r="B213" s="14" t="s">
        <v>470</v>
      </c>
      <c r="C213" s="14" t="s">
        <v>471</v>
      </c>
      <c r="D213" s="14" t="n">
        <v>195</v>
      </c>
      <c r="E213" s="14" t="n">
        <v>9687</v>
      </c>
      <c r="F213" s="14" t="n">
        <v>59</v>
      </c>
      <c r="G213" s="14" t="n">
        <v>59</v>
      </c>
      <c r="H213" s="14" t="s">
        <v>52</v>
      </c>
      <c r="I213" s="14" t="n">
        <v>0.32</v>
      </c>
      <c r="J213" s="14" t="n">
        <v>5</v>
      </c>
      <c r="K213" s="14" t="s">
        <v>59</v>
      </c>
      <c r="L213" s="14" t="n">
        <v>2015</v>
      </c>
      <c r="M213" s="14" t="n">
        <v>9.17854005942639</v>
      </c>
      <c r="N213" s="14" t="n">
        <v>5.27305083930015</v>
      </c>
      <c r="P213" s="14" t="n">
        <f aca="false">D213</f>
        <v>195</v>
      </c>
      <c r="Q213" s="14" t="n">
        <f aca="false">G213</f>
        <v>59</v>
      </c>
      <c r="R213" s="14" t="n">
        <f aca="false">J213</f>
        <v>5</v>
      </c>
      <c r="S213" s="14" t="n">
        <f aca="false">IF($L213=2012,1,0)</f>
        <v>0</v>
      </c>
      <c r="T213" s="14" t="n">
        <f aca="false">IF($L213=2013,1,0)</f>
        <v>0</v>
      </c>
      <c r="U213" s="14" t="n">
        <f aca="false">IF($L213=2014,1,0)</f>
        <v>0</v>
      </c>
      <c r="V213" s="14" t="n">
        <f aca="false">IF($L213=2015,1,0)</f>
        <v>1</v>
      </c>
      <c r="W213" s="14" t="n">
        <f aca="false">IF($L213=2016,1,0)</f>
        <v>0</v>
      </c>
      <c r="X213" s="14" t="n">
        <f aca="false">IF($L213=2017,1,0)</f>
        <v>0</v>
      </c>
      <c r="Y213" s="14" t="n">
        <f aca="false">IF($H213="Beginner Level",1,0)</f>
        <v>1</v>
      </c>
      <c r="Z213" s="14" t="n">
        <f aca="false">IF($H213="Expert Level",1,0)</f>
        <v>0</v>
      </c>
      <c r="AA213" s="14" t="n">
        <f aca="false">IF($H213="Intermediate Level",1,0)</f>
        <v>0</v>
      </c>
      <c r="AC213" s="14" t="n">
        <f aca="false">N213</f>
        <v>5.27305083930015</v>
      </c>
      <c r="AD213" s="14" t="n">
        <f aca="false">G213</f>
        <v>59</v>
      </c>
      <c r="AE213" s="14" t="n">
        <f aca="false">J213</f>
        <v>5</v>
      </c>
      <c r="AF213" s="14" t="n">
        <f aca="false">IF($L213=2012,1,0)</f>
        <v>0</v>
      </c>
      <c r="AG213" s="14" t="n">
        <f aca="false">IF($L213=2013,1,0)</f>
        <v>0</v>
      </c>
      <c r="AH213" s="14" t="n">
        <f aca="false">IF($L213=2014,1,0)</f>
        <v>0</v>
      </c>
      <c r="AI213" s="14" t="n">
        <f aca="false">IF($L213=2015,1,0)</f>
        <v>1</v>
      </c>
      <c r="AJ213" s="14" t="n">
        <f aca="false">IF($L213=2016,1,0)</f>
        <v>0</v>
      </c>
      <c r="AK213" s="14" t="n">
        <f aca="false">IF($L213=2017,1,0)</f>
        <v>0</v>
      </c>
      <c r="AL213" s="14" t="n">
        <f aca="false">IF($H213="Beginner Level",1,0)</f>
        <v>1</v>
      </c>
      <c r="AM213" s="14" t="n">
        <f aca="false">IF($H213="Expert Level",1,0)</f>
        <v>0</v>
      </c>
      <c r="AN213" s="14" t="n">
        <f aca="false">IF($H213="Intermediate Level",1,0)</f>
        <v>0</v>
      </c>
    </row>
    <row r="214" customFormat="false" ht="91" hidden="false" customHeight="false" outlineLevel="0" collapsed="false">
      <c r="A214" s="14" t="n">
        <v>669270</v>
      </c>
      <c r="B214" s="14" t="s">
        <v>472</v>
      </c>
      <c r="C214" s="14" t="s">
        <v>473</v>
      </c>
      <c r="D214" s="14" t="n">
        <v>100</v>
      </c>
      <c r="E214" s="14" t="n">
        <v>9668</v>
      </c>
      <c r="F214" s="14" t="n">
        <v>38</v>
      </c>
      <c r="G214" s="14" t="n">
        <v>52</v>
      </c>
      <c r="H214" s="14" t="s">
        <v>62</v>
      </c>
      <c r="I214" s="14" t="n">
        <v>0.58</v>
      </c>
      <c r="J214" s="14" t="n">
        <v>4</v>
      </c>
      <c r="K214" s="14" t="s">
        <v>59</v>
      </c>
      <c r="L214" s="14" t="n">
        <v>2015</v>
      </c>
      <c r="M214" s="14" t="n">
        <v>9.17657674182337</v>
      </c>
      <c r="N214" s="14" t="n">
        <v>4.60527018098843</v>
      </c>
      <c r="P214" s="14" t="n">
        <f aca="false">D214</f>
        <v>100</v>
      </c>
      <c r="Q214" s="14" t="n">
        <f aca="false">G214</f>
        <v>52</v>
      </c>
      <c r="R214" s="14" t="n">
        <f aca="false">J214</f>
        <v>4</v>
      </c>
      <c r="S214" s="14" t="n">
        <f aca="false">IF($L214=2012,1,0)</f>
        <v>0</v>
      </c>
      <c r="T214" s="14" t="n">
        <f aca="false">IF($L214=2013,1,0)</f>
        <v>0</v>
      </c>
      <c r="U214" s="14" t="n">
        <f aca="false">IF($L214=2014,1,0)</f>
        <v>0</v>
      </c>
      <c r="V214" s="14" t="n">
        <f aca="false">IF($L214=2015,1,0)</f>
        <v>1</v>
      </c>
      <c r="W214" s="14" t="n">
        <f aca="false">IF($L214=2016,1,0)</f>
        <v>0</v>
      </c>
      <c r="X214" s="14" t="n">
        <f aca="false">IF($L214=2017,1,0)</f>
        <v>0</v>
      </c>
      <c r="Y214" s="14" t="n">
        <f aca="false">IF($H214="Beginner Level",1,0)</f>
        <v>0</v>
      </c>
      <c r="Z214" s="14" t="n">
        <f aca="false">IF($H214="Expert Level",1,0)</f>
        <v>0</v>
      </c>
      <c r="AA214" s="14" t="n">
        <f aca="false">IF($H214="Intermediate Level",1,0)</f>
        <v>0</v>
      </c>
      <c r="AC214" s="14" t="n">
        <f aca="false">N214</f>
        <v>4.60527018098843</v>
      </c>
      <c r="AD214" s="14" t="n">
        <f aca="false">G214</f>
        <v>52</v>
      </c>
      <c r="AE214" s="14" t="n">
        <f aca="false">J214</f>
        <v>4</v>
      </c>
      <c r="AF214" s="14" t="n">
        <f aca="false">IF($L214=2012,1,0)</f>
        <v>0</v>
      </c>
      <c r="AG214" s="14" t="n">
        <f aca="false">IF($L214=2013,1,0)</f>
        <v>0</v>
      </c>
      <c r="AH214" s="14" t="n">
        <f aca="false">IF($L214=2014,1,0)</f>
        <v>0</v>
      </c>
      <c r="AI214" s="14" t="n">
        <f aca="false">IF($L214=2015,1,0)</f>
        <v>1</v>
      </c>
      <c r="AJ214" s="14" t="n">
        <f aca="false">IF($L214=2016,1,0)</f>
        <v>0</v>
      </c>
      <c r="AK214" s="14" t="n">
        <f aca="false">IF($L214=2017,1,0)</f>
        <v>0</v>
      </c>
      <c r="AL214" s="14" t="n">
        <f aca="false">IF($H214="Beginner Level",1,0)</f>
        <v>0</v>
      </c>
      <c r="AM214" s="14" t="n">
        <f aca="false">IF($H214="Expert Level",1,0)</f>
        <v>0</v>
      </c>
      <c r="AN214" s="14" t="n">
        <f aca="false">IF($H214="Intermediate Level",1,0)</f>
        <v>0</v>
      </c>
    </row>
    <row r="215" customFormat="false" ht="57.45" hidden="false" customHeight="false" outlineLevel="0" collapsed="false">
      <c r="A215" s="14" t="n">
        <v>991630</v>
      </c>
      <c r="B215" s="14" t="s">
        <v>474</v>
      </c>
      <c r="C215" s="14" t="s">
        <v>475</v>
      </c>
      <c r="D215" s="14" t="n">
        <v>50</v>
      </c>
      <c r="E215" s="14" t="n">
        <v>9607</v>
      </c>
      <c r="F215" s="14" t="n">
        <v>78</v>
      </c>
      <c r="G215" s="14" t="n">
        <v>40</v>
      </c>
      <c r="H215" s="14" t="s">
        <v>62</v>
      </c>
      <c r="I215" s="14" t="n">
        <v>0.17</v>
      </c>
      <c r="J215" s="14" t="n">
        <v>5.5</v>
      </c>
      <c r="K215" s="14" t="s">
        <v>59</v>
      </c>
      <c r="L215" s="14" t="n">
        <v>2016</v>
      </c>
      <c r="M215" s="14" t="n">
        <v>9.17024727840974</v>
      </c>
      <c r="N215" s="14" t="n">
        <v>3.91222298543081</v>
      </c>
      <c r="P215" s="14" t="n">
        <f aca="false">D215</f>
        <v>50</v>
      </c>
      <c r="Q215" s="14" t="n">
        <f aca="false">G215</f>
        <v>40</v>
      </c>
      <c r="R215" s="14" t="n">
        <f aca="false">J215</f>
        <v>5.5</v>
      </c>
      <c r="S215" s="14" t="n">
        <f aca="false">IF($L215=2012,1,0)</f>
        <v>0</v>
      </c>
      <c r="T215" s="14" t="n">
        <f aca="false">IF($L215=2013,1,0)</f>
        <v>0</v>
      </c>
      <c r="U215" s="14" t="n">
        <f aca="false">IF($L215=2014,1,0)</f>
        <v>0</v>
      </c>
      <c r="V215" s="14" t="n">
        <f aca="false">IF($L215=2015,1,0)</f>
        <v>0</v>
      </c>
      <c r="W215" s="14" t="n">
        <f aca="false">IF($L215=2016,1,0)</f>
        <v>1</v>
      </c>
      <c r="X215" s="14" t="n">
        <f aca="false">IF($L215=2017,1,0)</f>
        <v>0</v>
      </c>
      <c r="Y215" s="14" t="n">
        <f aca="false">IF($H215="Beginner Level",1,0)</f>
        <v>0</v>
      </c>
      <c r="Z215" s="14" t="n">
        <f aca="false">IF($H215="Expert Level",1,0)</f>
        <v>0</v>
      </c>
      <c r="AA215" s="14" t="n">
        <f aca="false">IF($H215="Intermediate Level",1,0)</f>
        <v>0</v>
      </c>
      <c r="AC215" s="14" t="n">
        <f aca="false">N215</f>
        <v>3.91222298543081</v>
      </c>
      <c r="AD215" s="14" t="n">
        <f aca="false">G215</f>
        <v>40</v>
      </c>
      <c r="AE215" s="14" t="n">
        <f aca="false">J215</f>
        <v>5.5</v>
      </c>
      <c r="AF215" s="14" t="n">
        <f aca="false">IF($L215=2012,1,0)</f>
        <v>0</v>
      </c>
      <c r="AG215" s="14" t="n">
        <f aca="false">IF($L215=2013,1,0)</f>
        <v>0</v>
      </c>
      <c r="AH215" s="14" t="n">
        <f aca="false">IF($L215=2014,1,0)</f>
        <v>0</v>
      </c>
      <c r="AI215" s="14" t="n">
        <f aca="false">IF($L215=2015,1,0)</f>
        <v>0</v>
      </c>
      <c r="AJ215" s="14" t="n">
        <f aca="false">IF($L215=2016,1,0)</f>
        <v>1</v>
      </c>
      <c r="AK215" s="14" t="n">
        <f aca="false">IF($L215=2017,1,0)</f>
        <v>0</v>
      </c>
      <c r="AL215" s="14" t="n">
        <f aca="false">IF($H215="Beginner Level",1,0)</f>
        <v>0</v>
      </c>
      <c r="AM215" s="14" t="n">
        <f aca="false">IF($H215="Expert Level",1,0)</f>
        <v>0</v>
      </c>
      <c r="AN215" s="14" t="n">
        <f aca="false">IF($H215="Intermediate Level",1,0)</f>
        <v>0</v>
      </c>
    </row>
    <row r="216" customFormat="false" ht="79.85" hidden="false" customHeight="false" outlineLevel="0" collapsed="false">
      <c r="A216" s="14" t="n">
        <v>629088</v>
      </c>
      <c r="B216" s="14" t="s">
        <v>476</v>
      </c>
      <c r="C216" s="14" t="s">
        <v>477</v>
      </c>
      <c r="D216" s="14" t="n">
        <v>20</v>
      </c>
      <c r="E216" s="14" t="n">
        <v>9554</v>
      </c>
      <c r="F216" s="14" t="n">
        <v>368</v>
      </c>
      <c r="G216" s="14" t="n">
        <v>16</v>
      </c>
      <c r="H216" s="14" t="s">
        <v>71</v>
      </c>
      <c r="I216" s="14" t="n">
        <v>0.8</v>
      </c>
      <c r="J216" s="14" t="n">
        <v>1.5</v>
      </c>
      <c r="K216" s="14" t="s">
        <v>59</v>
      </c>
      <c r="L216" s="14" t="n">
        <v>2015</v>
      </c>
      <c r="M216" s="14" t="n">
        <v>9.16471519394991</v>
      </c>
      <c r="N216" s="14" t="n">
        <v>2.99623214859564</v>
      </c>
      <c r="P216" s="14" t="n">
        <f aca="false">D216</f>
        <v>20</v>
      </c>
      <c r="Q216" s="14" t="n">
        <f aca="false">G216</f>
        <v>16</v>
      </c>
      <c r="R216" s="14" t="n">
        <f aca="false">J216</f>
        <v>1.5</v>
      </c>
      <c r="S216" s="14" t="n">
        <f aca="false">IF($L216=2012,1,0)</f>
        <v>0</v>
      </c>
      <c r="T216" s="14" t="n">
        <f aca="false">IF($L216=2013,1,0)</f>
        <v>0</v>
      </c>
      <c r="U216" s="14" t="n">
        <f aca="false">IF($L216=2014,1,0)</f>
        <v>0</v>
      </c>
      <c r="V216" s="14" t="n">
        <f aca="false">IF($L216=2015,1,0)</f>
        <v>1</v>
      </c>
      <c r="W216" s="14" t="n">
        <f aca="false">IF($L216=2016,1,0)</f>
        <v>0</v>
      </c>
      <c r="X216" s="14" t="n">
        <f aca="false">IF($L216=2017,1,0)</f>
        <v>0</v>
      </c>
      <c r="Y216" s="14" t="n">
        <f aca="false">IF($H216="Beginner Level",1,0)</f>
        <v>0</v>
      </c>
      <c r="Z216" s="14" t="n">
        <f aca="false">IF($H216="Expert Level",1,0)</f>
        <v>0</v>
      </c>
      <c r="AA216" s="14" t="n">
        <f aca="false">IF($H216="Intermediate Level",1,0)</f>
        <v>1</v>
      </c>
      <c r="AC216" s="14" t="n">
        <f aca="false">N216</f>
        <v>2.99623214859564</v>
      </c>
      <c r="AD216" s="14" t="n">
        <f aca="false">G216</f>
        <v>16</v>
      </c>
      <c r="AE216" s="14" t="n">
        <f aca="false">J216</f>
        <v>1.5</v>
      </c>
      <c r="AF216" s="14" t="n">
        <f aca="false">IF($L216=2012,1,0)</f>
        <v>0</v>
      </c>
      <c r="AG216" s="14" t="n">
        <f aca="false">IF($L216=2013,1,0)</f>
        <v>0</v>
      </c>
      <c r="AH216" s="14" t="n">
        <f aca="false">IF($L216=2014,1,0)</f>
        <v>0</v>
      </c>
      <c r="AI216" s="14" t="n">
        <f aca="false">IF($L216=2015,1,0)</f>
        <v>1</v>
      </c>
      <c r="AJ216" s="14" t="n">
        <f aca="false">IF($L216=2016,1,0)</f>
        <v>0</v>
      </c>
      <c r="AK216" s="14" t="n">
        <f aca="false">IF($L216=2017,1,0)</f>
        <v>0</v>
      </c>
      <c r="AL216" s="14" t="n">
        <f aca="false">IF($H216="Beginner Level",1,0)</f>
        <v>0</v>
      </c>
      <c r="AM216" s="14" t="n">
        <f aca="false">IF($H216="Expert Level",1,0)</f>
        <v>0</v>
      </c>
      <c r="AN216" s="14" t="n">
        <f aca="false">IF($H216="Intermediate Level",1,0)</f>
        <v>1</v>
      </c>
    </row>
    <row r="217" customFormat="false" ht="68.65" hidden="false" customHeight="false" outlineLevel="0" collapsed="false">
      <c r="A217" s="14" t="n">
        <v>920306</v>
      </c>
      <c r="B217" s="14" t="s">
        <v>478</v>
      </c>
      <c r="C217" s="14" t="s">
        <v>479</v>
      </c>
      <c r="D217" s="14" t="n">
        <v>20</v>
      </c>
      <c r="E217" s="14" t="n">
        <v>9425</v>
      </c>
      <c r="F217" s="14" t="n">
        <v>147</v>
      </c>
      <c r="G217" s="14" t="n">
        <v>14</v>
      </c>
      <c r="H217" s="14" t="s">
        <v>62</v>
      </c>
      <c r="I217" s="14" t="n">
        <v>0.67</v>
      </c>
      <c r="J217" s="14" t="n">
        <v>1.5</v>
      </c>
      <c r="K217" s="14" t="s">
        <v>59</v>
      </c>
      <c r="L217" s="14" t="n">
        <v>2016</v>
      </c>
      <c r="M217" s="14" t="n">
        <v>9.15112101231621</v>
      </c>
      <c r="N217" s="14" t="n">
        <v>2.99623214859564</v>
      </c>
      <c r="P217" s="14" t="n">
        <f aca="false">D217</f>
        <v>20</v>
      </c>
      <c r="Q217" s="14" t="n">
        <f aca="false">G217</f>
        <v>14</v>
      </c>
      <c r="R217" s="14" t="n">
        <f aca="false">J217</f>
        <v>1.5</v>
      </c>
      <c r="S217" s="14" t="n">
        <f aca="false">IF($L217=2012,1,0)</f>
        <v>0</v>
      </c>
      <c r="T217" s="14" t="n">
        <f aca="false">IF($L217=2013,1,0)</f>
        <v>0</v>
      </c>
      <c r="U217" s="14" t="n">
        <f aca="false">IF($L217=2014,1,0)</f>
        <v>0</v>
      </c>
      <c r="V217" s="14" t="n">
        <f aca="false">IF($L217=2015,1,0)</f>
        <v>0</v>
      </c>
      <c r="W217" s="14" t="n">
        <f aca="false">IF($L217=2016,1,0)</f>
        <v>1</v>
      </c>
      <c r="X217" s="14" t="n">
        <f aca="false">IF($L217=2017,1,0)</f>
        <v>0</v>
      </c>
      <c r="Y217" s="14" t="n">
        <f aca="false">IF($H217="Beginner Level",1,0)</f>
        <v>0</v>
      </c>
      <c r="Z217" s="14" t="n">
        <f aca="false">IF($H217="Expert Level",1,0)</f>
        <v>0</v>
      </c>
      <c r="AA217" s="14" t="n">
        <f aca="false">IF($H217="Intermediate Level",1,0)</f>
        <v>0</v>
      </c>
      <c r="AC217" s="14" t="n">
        <f aca="false">N217</f>
        <v>2.99623214859564</v>
      </c>
      <c r="AD217" s="14" t="n">
        <f aca="false">G217</f>
        <v>14</v>
      </c>
      <c r="AE217" s="14" t="n">
        <f aca="false">J217</f>
        <v>1.5</v>
      </c>
      <c r="AF217" s="14" t="n">
        <f aca="false">IF($L217=2012,1,0)</f>
        <v>0</v>
      </c>
      <c r="AG217" s="14" t="n">
        <f aca="false">IF($L217=2013,1,0)</f>
        <v>0</v>
      </c>
      <c r="AH217" s="14" t="n">
        <f aca="false">IF($L217=2014,1,0)</f>
        <v>0</v>
      </c>
      <c r="AI217" s="14" t="n">
        <f aca="false">IF($L217=2015,1,0)</f>
        <v>0</v>
      </c>
      <c r="AJ217" s="14" t="n">
        <f aca="false">IF($L217=2016,1,0)</f>
        <v>1</v>
      </c>
      <c r="AK217" s="14" t="n">
        <f aca="false">IF($L217=2017,1,0)</f>
        <v>0</v>
      </c>
      <c r="AL217" s="14" t="n">
        <f aca="false">IF($H217="Beginner Level",1,0)</f>
        <v>0</v>
      </c>
      <c r="AM217" s="14" t="n">
        <f aca="false">IF($H217="Expert Level",1,0)</f>
        <v>0</v>
      </c>
      <c r="AN217" s="14" t="n">
        <f aca="false">IF($H217="Intermediate Level",1,0)</f>
        <v>0</v>
      </c>
    </row>
    <row r="218" customFormat="false" ht="57.45" hidden="false" customHeight="false" outlineLevel="0" collapsed="false">
      <c r="A218" s="14" t="n">
        <v>575880</v>
      </c>
      <c r="B218" s="14" t="s">
        <v>480</v>
      </c>
      <c r="C218" s="14" t="s">
        <v>481</v>
      </c>
      <c r="D218" s="14" t="n">
        <v>195</v>
      </c>
      <c r="E218" s="14" t="n">
        <v>9421</v>
      </c>
      <c r="F218" s="14" t="n">
        <v>73</v>
      </c>
      <c r="G218" s="14" t="n">
        <v>36</v>
      </c>
      <c r="H218" s="14" t="s">
        <v>52</v>
      </c>
      <c r="I218" s="14" t="n">
        <v>0.34</v>
      </c>
      <c r="J218" s="14" t="n">
        <v>3.5</v>
      </c>
      <c r="K218" s="14" t="s">
        <v>59</v>
      </c>
      <c r="L218" s="14" t="n">
        <v>2015</v>
      </c>
      <c r="M218" s="14" t="n">
        <v>9.15069651904867</v>
      </c>
      <c r="N218" s="14" t="n">
        <v>5.27305083930015</v>
      </c>
      <c r="P218" s="14" t="n">
        <f aca="false">D218</f>
        <v>195</v>
      </c>
      <c r="Q218" s="14" t="n">
        <f aca="false">G218</f>
        <v>36</v>
      </c>
      <c r="R218" s="14" t="n">
        <f aca="false">J218</f>
        <v>3.5</v>
      </c>
      <c r="S218" s="14" t="n">
        <f aca="false">IF($L218=2012,1,0)</f>
        <v>0</v>
      </c>
      <c r="T218" s="14" t="n">
        <f aca="false">IF($L218=2013,1,0)</f>
        <v>0</v>
      </c>
      <c r="U218" s="14" t="n">
        <f aca="false">IF($L218=2014,1,0)</f>
        <v>0</v>
      </c>
      <c r="V218" s="14" t="n">
        <f aca="false">IF($L218=2015,1,0)</f>
        <v>1</v>
      </c>
      <c r="W218" s="14" t="n">
        <f aca="false">IF($L218=2016,1,0)</f>
        <v>0</v>
      </c>
      <c r="X218" s="14" t="n">
        <f aca="false">IF($L218=2017,1,0)</f>
        <v>0</v>
      </c>
      <c r="Y218" s="14" t="n">
        <f aca="false">IF($H218="Beginner Level",1,0)</f>
        <v>1</v>
      </c>
      <c r="Z218" s="14" t="n">
        <f aca="false">IF($H218="Expert Level",1,0)</f>
        <v>0</v>
      </c>
      <c r="AA218" s="14" t="n">
        <f aca="false">IF($H218="Intermediate Level",1,0)</f>
        <v>0</v>
      </c>
      <c r="AC218" s="14" t="n">
        <f aca="false">N218</f>
        <v>5.27305083930015</v>
      </c>
      <c r="AD218" s="14" t="n">
        <f aca="false">G218</f>
        <v>36</v>
      </c>
      <c r="AE218" s="14" t="n">
        <f aca="false">J218</f>
        <v>3.5</v>
      </c>
      <c r="AF218" s="14" t="n">
        <f aca="false">IF($L218=2012,1,0)</f>
        <v>0</v>
      </c>
      <c r="AG218" s="14" t="n">
        <f aca="false">IF($L218=2013,1,0)</f>
        <v>0</v>
      </c>
      <c r="AH218" s="14" t="n">
        <f aca="false">IF($L218=2014,1,0)</f>
        <v>0</v>
      </c>
      <c r="AI218" s="14" t="n">
        <f aca="false">IF($L218=2015,1,0)</f>
        <v>1</v>
      </c>
      <c r="AJ218" s="14" t="n">
        <f aca="false">IF($L218=2016,1,0)</f>
        <v>0</v>
      </c>
      <c r="AK218" s="14" t="n">
        <f aca="false">IF($L218=2017,1,0)</f>
        <v>0</v>
      </c>
      <c r="AL218" s="14" t="n">
        <f aca="false">IF($H218="Beginner Level",1,0)</f>
        <v>1</v>
      </c>
      <c r="AM218" s="14" t="n">
        <f aca="false">IF($H218="Expert Level",1,0)</f>
        <v>0</v>
      </c>
      <c r="AN218" s="14" t="n">
        <f aca="false">IF($H218="Intermediate Level",1,0)</f>
        <v>0</v>
      </c>
    </row>
    <row r="219" customFormat="false" ht="79.85" hidden="false" customHeight="false" outlineLevel="0" collapsed="false">
      <c r="A219" s="14" t="n">
        <v>647442</v>
      </c>
      <c r="B219" s="14" t="s">
        <v>482</v>
      </c>
      <c r="C219" s="14" t="s">
        <v>483</v>
      </c>
      <c r="D219" s="14" t="n">
        <v>150</v>
      </c>
      <c r="E219" s="14" t="n">
        <v>9384</v>
      </c>
      <c r="F219" s="14" t="n">
        <v>21</v>
      </c>
      <c r="G219" s="14" t="n">
        <v>16</v>
      </c>
      <c r="H219" s="14" t="s">
        <v>62</v>
      </c>
      <c r="I219" s="14" t="n">
        <v>0.76</v>
      </c>
      <c r="J219" s="14" t="n">
        <v>1.5</v>
      </c>
      <c r="K219" s="14" t="s">
        <v>59</v>
      </c>
      <c r="L219" s="14" t="n">
        <v>2015</v>
      </c>
      <c r="M219" s="14" t="n">
        <v>9.14676139033331</v>
      </c>
      <c r="N219" s="14" t="n">
        <v>5.0107019585408</v>
      </c>
      <c r="P219" s="14" t="n">
        <f aca="false">D219</f>
        <v>150</v>
      </c>
      <c r="Q219" s="14" t="n">
        <f aca="false">G219</f>
        <v>16</v>
      </c>
      <c r="R219" s="14" t="n">
        <f aca="false">J219</f>
        <v>1.5</v>
      </c>
      <c r="S219" s="14" t="n">
        <f aca="false">IF($L219=2012,1,0)</f>
        <v>0</v>
      </c>
      <c r="T219" s="14" t="n">
        <f aca="false">IF($L219=2013,1,0)</f>
        <v>0</v>
      </c>
      <c r="U219" s="14" t="n">
        <f aca="false">IF($L219=2014,1,0)</f>
        <v>0</v>
      </c>
      <c r="V219" s="14" t="n">
        <f aca="false">IF($L219=2015,1,0)</f>
        <v>1</v>
      </c>
      <c r="W219" s="14" t="n">
        <f aca="false">IF($L219=2016,1,0)</f>
        <v>0</v>
      </c>
      <c r="X219" s="14" t="n">
        <f aca="false">IF($L219=2017,1,0)</f>
        <v>0</v>
      </c>
      <c r="Y219" s="14" t="n">
        <f aca="false">IF($H219="Beginner Level",1,0)</f>
        <v>0</v>
      </c>
      <c r="Z219" s="14" t="n">
        <f aca="false">IF($H219="Expert Level",1,0)</f>
        <v>0</v>
      </c>
      <c r="AA219" s="14" t="n">
        <f aca="false">IF($H219="Intermediate Level",1,0)</f>
        <v>0</v>
      </c>
      <c r="AC219" s="14" t="n">
        <f aca="false">N219</f>
        <v>5.0107019585408</v>
      </c>
      <c r="AD219" s="14" t="n">
        <f aca="false">G219</f>
        <v>16</v>
      </c>
      <c r="AE219" s="14" t="n">
        <f aca="false">J219</f>
        <v>1.5</v>
      </c>
      <c r="AF219" s="14" t="n">
        <f aca="false">IF($L219=2012,1,0)</f>
        <v>0</v>
      </c>
      <c r="AG219" s="14" t="n">
        <f aca="false">IF($L219=2013,1,0)</f>
        <v>0</v>
      </c>
      <c r="AH219" s="14" t="n">
        <f aca="false">IF($L219=2014,1,0)</f>
        <v>0</v>
      </c>
      <c r="AI219" s="14" t="n">
        <f aca="false">IF($L219=2015,1,0)</f>
        <v>1</v>
      </c>
      <c r="AJ219" s="14" t="n">
        <f aca="false">IF($L219=2016,1,0)</f>
        <v>0</v>
      </c>
      <c r="AK219" s="14" t="n">
        <f aca="false">IF($L219=2017,1,0)</f>
        <v>0</v>
      </c>
      <c r="AL219" s="14" t="n">
        <f aca="false">IF($H219="Beginner Level",1,0)</f>
        <v>0</v>
      </c>
      <c r="AM219" s="14" t="n">
        <f aca="false">IF($H219="Expert Level",1,0)</f>
        <v>0</v>
      </c>
      <c r="AN219" s="14" t="n">
        <f aca="false">IF($H219="Intermediate Level",1,0)</f>
        <v>0</v>
      </c>
    </row>
    <row r="220" customFormat="false" ht="68.65" hidden="false" customHeight="false" outlineLevel="0" collapsed="false">
      <c r="A220" s="14" t="n">
        <v>316704</v>
      </c>
      <c r="B220" s="14" t="s">
        <v>484</v>
      </c>
      <c r="C220" s="14" t="s">
        <v>485</v>
      </c>
      <c r="D220" s="14" t="n">
        <v>20</v>
      </c>
      <c r="E220" s="14" t="n">
        <v>9381</v>
      </c>
      <c r="F220" s="14" t="n">
        <v>138</v>
      </c>
      <c r="G220" s="14" t="n">
        <v>131</v>
      </c>
      <c r="H220" s="14" t="s">
        <v>52</v>
      </c>
      <c r="I220" s="14" t="n">
        <v>0.8</v>
      </c>
      <c r="J220" s="14" t="n">
        <v>11</v>
      </c>
      <c r="K220" s="14" t="s">
        <v>59</v>
      </c>
      <c r="L220" s="14" t="n">
        <v>2014</v>
      </c>
      <c r="M220" s="14" t="n">
        <v>9.14644164612595</v>
      </c>
      <c r="N220" s="14" t="n">
        <v>2.99623214859564</v>
      </c>
      <c r="P220" s="14" t="n">
        <f aca="false">D220</f>
        <v>20</v>
      </c>
      <c r="Q220" s="14" t="n">
        <f aca="false">G220</f>
        <v>131</v>
      </c>
      <c r="R220" s="14" t="n">
        <f aca="false">J220</f>
        <v>11</v>
      </c>
      <c r="S220" s="14" t="n">
        <f aca="false">IF($L220=2012,1,0)</f>
        <v>0</v>
      </c>
      <c r="T220" s="14" t="n">
        <f aca="false">IF($L220=2013,1,0)</f>
        <v>0</v>
      </c>
      <c r="U220" s="14" t="n">
        <f aca="false">IF($L220=2014,1,0)</f>
        <v>1</v>
      </c>
      <c r="V220" s="14" t="n">
        <f aca="false">IF($L220=2015,1,0)</f>
        <v>0</v>
      </c>
      <c r="W220" s="14" t="n">
        <f aca="false">IF($L220=2016,1,0)</f>
        <v>0</v>
      </c>
      <c r="X220" s="14" t="n">
        <f aca="false">IF($L220=2017,1,0)</f>
        <v>0</v>
      </c>
      <c r="Y220" s="14" t="n">
        <f aca="false">IF($H220="Beginner Level",1,0)</f>
        <v>1</v>
      </c>
      <c r="Z220" s="14" t="n">
        <f aca="false">IF($H220="Expert Level",1,0)</f>
        <v>0</v>
      </c>
      <c r="AA220" s="14" t="n">
        <f aca="false">IF($H220="Intermediate Level",1,0)</f>
        <v>0</v>
      </c>
      <c r="AC220" s="14" t="n">
        <f aca="false">N220</f>
        <v>2.99623214859564</v>
      </c>
      <c r="AD220" s="14" t="n">
        <f aca="false">G220</f>
        <v>131</v>
      </c>
      <c r="AE220" s="14" t="n">
        <f aca="false">J220</f>
        <v>11</v>
      </c>
      <c r="AF220" s="14" t="n">
        <f aca="false">IF($L220=2012,1,0)</f>
        <v>0</v>
      </c>
      <c r="AG220" s="14" t="n">
        <f aca="false">IF($L220=2013,1,0)</f>
        <v>0</v>
      </c>
      <c r="AH220" s="14" t="n">
        <f aca="false">IF($L220=2014,1,0)</f>
        <v>1</v>
      </c>
      <c r="AI220" s="14" t="n">
        <f aca="false">IF($L220=2015,1,0)</f>
        <v>0</v>
      </c>
      <c r="AJ220" s="14" t="n">
        <f aca="false">IF($L220=2016,1,0)</f>
        <v>0</v>
      </c>
      <c r="AK220" s="14" t="n">
        <f aca="false">IF($L220=2017,1,0)</f>
        <v>0</v>
      </c>
      <c r="AL220" s="14" t="n">
        <f aca="false">IF($H220="Beginner Level",1,0)</f>
        <v>1</v>
      </c>
      <c r="AM220" s="14" t="n">
        <f aca="false">IF($H220="Expert Level",1,0)</f>
        <v>0</v>
      </c>
      <c r="AN220" s="14" t="n">
        <f aca="false">IF($H220="Intermediate Level",1,0)</f>
        <v>0</v>
      </c>
    </row>
    <row r="221" customFormat="false" ht="79.85" hidden="false" customHeight="false" outlineLevel="0" collapsed="false">
      <c r="A221" s="14" t="n">
        <v>134144</v>
      </c>
      <c r="B221" s="14" t="s">
        <v>486</v>
      </c>
      <c r="C221" s="14" t="s">
        <v>487</v>
      </c>
      <c r="D221" s="14" t="n">
        <v>95</v>
      </c>
      <c r="E221" s="14" t="n">
        <v>9375</v>
      </c>
      <c r="F221" s="14" t="n">
        <v>219</v>
      </c>
      <c r="G221" s="14" t="n">
        <v>43</v>
      </c>
      <c r="H221" s="14" t="s">
        <v>71</v>
      </c>
      <c r="I221" s="14" t="n">
        <v>0.38</v>
      </c>
      <c r="J221" s="14" t="n">
        <v>7</v>
      </c>
      <c r="K221" s="14" t="s">
        <v>59</v>
      </c>
      <c r="L221" s="14" t="n">
        <v>2014</v>
      </c>
      <c r="M221" s="14" t="n">
        <v>9.14580185083861</v>
      </c>
      <c r="N221" s="14" t="n">
        <v>4.55398214921866</v>
      </c>
      <c r="P221" s="14" t="n">
        <f aca="false">D221</f>
        <v>95</v>
      </c>
      <c r="Q221" s="14" t="n">
        <f aca="false">G221</f>
        <v>43</v>
      </c>
      <c r="R221" s="14" t="n">
        <f aca="false">J221</f>
        <v>7</v>
      </c>
      <c r="S221" s="14" t="n">
        <f aca="false">IF($L221=2012,1,0)</f>
        <v>0</v>
      </c>
      <c r="T221" s="14" t="n">
        <f aca="false">IF($L221=2013,1,0)</f>
        <v>0</v>
      </c>
      <c r="U221" s="14" t="n">
        <f aca="false">IF($L221=2014,1,0)</f>
        <v>1</v>
      </c>
      <c r="V221" s="14" t="n">
        <f aca="false">IF($L221=2015,1,0)</f>
        <v>0</v>
      </c>
      <c r="W221" s="14" t="n">
        <f aca="false">IF($L221=2016,1,0)</f>
        <v>0</v>
      </c>
      <c r="X221" s="14" t="n">
        <f aca="false">IF($L221=2017,1,0)</f>
        <v>0</v>
      </c>
      <c r="Y221" s="14" t="n">
        <f aca="false">IF($H221="Beginner Level",1,0)</f>
        <v>0</v>
      </c>
      <c r="Z221" s="14" t="n">
        <f aca="false">IF($H221="Expert Level",1,0)</f>
        <v>0</v>
      </c>
      <c r="AA221" s="14" t="n">
        <f aca="false">IF($H221="Intermediate Level",1,0)</f>
        <v>1</v>
      </c>
      <c r="AC221" s="14" t="n">
        <f aca="false">N221</f>
        <v>4.55398214921866</v>
      </c>
      <c r="AD221" s="14" t="n">
        <f aca="false">G221</f>
        <v>43</v>
      </c>
      <c r="AE221" s="14" t="n">
        <f aca="false">J221</f>
        <v>7</v>
      </c>
      <c r="AF221" s="14" t="n">
        <f aca="false">IF($L221=2012,1,0)</f>
        <v>0</v>
      </c>
      <c r="AG221" s="14" t="n">
        <f aca="false">IF($L221=2013,1,0)</f>
        <v>0</v>
      </c>
      <c r="AH221" s="14" t="n">
        <f aca="false">IF($L221=2014,1,0)</f>
        <v>1</v>
      </c>
      <c r="AI221" s="14" t="n">
        <f aca="false">IF($L221=2015,1,0)</f>
        <v>0</v>
      </c>
      <c r="AJ221" s="14" t="n">
        <f aca="false">IF($L221=2016,1,0)</f>
        <v>0</v>
      </c>
      <c r="AK221" s="14" t="n">
        <f aca="false">IF($L221=2017,1,0)</f>
        <v>0</v>
      </c>
      <c r="AL221" s="14" t="n">
        <f aca="false">IF($H221="Beginner Level",1,0)</f>
        <v>0</v>
      </c>
      <c r="AM221" s="14" t="n">
        <f aca="false">IF($H221="Expert Level",1,0)</f>
        <v>0</v>
      </c>
      <c r="AN221" s="14" t="n">
        <f aca="false">IF($H221="Intermediate Level",1,0)</f>
        <v>1</v>
      </c>
    </row>
    <row r="222" customFormat="false" ht="68.65" hidden="false" customHeight="false" outlineLevel="0" collapsed="false">
      <c r="A222" s="14" t="n">
        <v>336938</v>
      </c>
      <c r="B222" s="14" t="s">
        <v>488</v>
      </c>
      <c r="C222" s="14" t="s">
        <v>489</v>
      </c>
      <c r="D222" s="14" t="n">
        <v>0</v>
      </c>
      <c r="E222" s="14" t="n">
        <v>9364</v>
      </c>
      <c r="F222" s="14" t="n">
        <v>311</v>
      </c>
      <c r="G222" s="14" t="n">
        <v>10</v>
      </c>
      <c r="H222" s="14" t="s">
        <v>62</v>
      </c>
      <c r="I222" s="14" t="n">
        <v>0.28</v>
      </c>
      <c r="J222" s="14" t="n">
        <v>0.53333333</v>
      </c>
      <c r="K222" s="14" t="s">
        <v>53</v>
      </c>
      <c r="L222" s="14" t="n">
        <v>2015</v>
      </c>
      <c r="M222" s="14" t="n">
        <v>9.1446278286108</v>
      </c>
      <c r="N222" s="14" t="n">
        <v>-4.60517018598809</v>
      </c>
      <c r="P222" s="14" t="n">
        <f aca="false">D222</f>
        <v>0</v>
      </c>
      <c r="Q222" s="14" t="n">
        <f aca="false">G222</f>
        <v>10</v>
      </c>
      <c r="R222" s="14" t="n">
        <f aca="false">J222</f>
        <v>0.53333333</v>
      </c>
      <c r="S222" s="14" t="n">
        <f aca="false">IF($L222=2012,1,0)</f>
        <v>0</v>
      </c>
      <c r="T222" s="14" t="n">
        <f aca="false">IF($L222=2013,1,0)</f>
        <v>0</v>
      </c>
      <c r="U222" s="14" t="n">
        <f aca="false">IF($L222=2014,1,0)</f>
        <v>0</v>
      </c>
      <c r="V222" s="14" t="n">
        <f aca="false">IF($L222=2015,1,0)</f>
        <v>1</v>
      </c>
      <c r="W222" s="14" t="n">
        <f aca="false">IF($L222=2016,1,0)</f>
        <v>0</v>
      </c>
      <c r="X222" s="14" t="n">
        <f aca="false">IF($L222=2017,1,0)</f>
        <v>0</v>
      </c>
      <c r="Y222" s="14" t="n">
        <f aca="false">IF($H222="Beginner Level",1,0)</f>
        <v>0</v>
      </c>
      <c r="Z222" s="14" t="n">
        <f aca="false">IF($H222="Expert Level",1,0)</f>
        <v>0</v>
      </c>
      <c r="AA222" s="14" t="n">
        <f aca="false">IF($H222="Intermediate Level",1,0)</f>
        <v>0</v>
      </c>
      <c r="AC222" s="14" t="n">
        <f aca="false">N222</f>
        <v>-4.60517018598809</v>
      </c>
      <c r="AD222" s="14" t="n">
        <f aca="false">G222</f>
        <v>10</v>
      </c>
      <c r="AE222" s="14" t="n">
        <f aca="false">J222</f>
        <v>0.53333333</v>
      </c>
      <c r="AF222" s="14" t="n">
        <f aca="false">IF($L222=2012,1,0)</f>
        <v>0</v>
      </c>
      <c r="AG222" s="14" t="n">
        <f aca="false">IF($L222=2013,1,0)</f>
        <v>0</v>
      </c>
      <c r="AH222" s="14" t="n">
        <f aca="false">IF($L222=2014,1,0)</f>
        <v>0</v>
      </c>
      <c r="AI222" s="14" t="n">
        <f aca="false">IF($L222=2015,1,0)</f>
        <v>1</v>
      </c>
      <c r="AJ222" s="14" t="n">
        <f aca="false">IF($L222=2016,1,0)</f>
        <v>0</v>
      </c>
      <c r="AK222" s="14" t="n">
        <f aca="false">IF($L222=2017,1,0)</f>
        <v>0</v>
      </c>
      <c r="AL222" s="14" t="n">
        <f aca="false">IF($H222="Beginner Level",1,0)</f>
        <v>0</v>
      </c>
      <c r="AM222" s="14" t="n">
        <f aca="false">IF($H222="Expert Level",1,0)</f>
        <v>0</v>
      </c>
      <c r="AN222" s="14" t="n">
        <f aca="false">IF($H222="Intermediate Level",1,0)</f>
        <v>0</v>
      </c>
    </row>
    <row r="223" customFormat="false" ht="91" hidden="false" customHeight="false" outlineLevel="0" collapsed="false">
      <c r="A223" s="14" t="n">
        <v>924704</v>
      </c>
      <c r="B223" s="14" t="s">
        <v>490</v>
      </c>
      <c r="C223" s="14" t="s">
        <v>491</v>
      </c>
      <c r="D223" s="14" t="n">
        <v>200</v>
      </c>
      <c r="E223" s="14" t="n">
        <v>9359</v>
      </c>
      <c r="F223" s="14" t="n">
        <v>110</v>
      </c>
      <c r="G223" s="14" t="n">
        <v>402</v>
      </c>
      <c r="H223" s="14" t="s">
        <v>71</v>
      </c>
      <c r="I223" s="14" t="n">
        <v>0.07</v>
      </c>
      <c r="J223" s="14" t="n">
        <v>32.5</v>
      </c>
      <c r="K223" s="14" t="s">
        <v>59</v>
      </c>
      <c r="L223" s="14" t="n">
        <v>2016</v>
      </c>
      <c r="M223" s="14" t="n">
        <v>9.14409372615726</v>
      </c>
      <c r="N223" s="14" t="n">
        <v>5.29836736529808</v>
      </c>
      <c r="P223" s="14" t="n">
        <f aca="false">D223</f>
        <v>200</v>
      </c>
      <c r="Q223" s="14" t="n">
        <f aca="false">G223</f>
        <v>402</v>
      </c>
      <c r="R223" s="14" t="n">
        <f aca="false">J223</f>
        <v>32.5</v>
      </c>
      <c r="S223" s="14" t="n">
        <f aca="false">IF($L223=2012,1,0)</f>
        <v>0</v>
      </c>
      <c r="T223" s="14" t="n">
        <f aca="false">IF($L223=2013,1,0)</f>
        <v>0</v>
      </c>
      <c r="U223" s="14" t="n">
        <f aca="false">IF($L223=2014,1,0)</f>
        <v>0</v>
      </c>
      <c r="V223" s="14" t="n">
        <f aca="false">IF($L223=2015,1,0)</f>
        <v>0</v>
      </c>
      <c r="W223" s="14" t="n">
        <f aca="false">IF($L223=2016,1,0)</f>
        <v>1</v>
      </c>
      <c r="X223" s="14" t="n">
        <f aca="false">IF($L223=2017,1,0)</f>
        <v>0</v>
      </c>
      <c r="Y223" s="14" t="n">
        <f aca="false">IF($H223="Beginner Level",1,0)</f>
        <v>0</v>
      </c>
      <c r="Z223" s="14" t="n">
        <f aca="false">IF($H223="Expert Level",1,0)</f>
        <v>0</v>
      </c>
      <c r="AA223" s="14" t="n">
        <f aca="false">IF($H223="Intermediate Level",1,0)</f>
        <v>1</v>
      </c>
      <c r="AC223" s="14" t="n">
        <f aca="false">N223</f>
        <v>5.29836736529808</v>
      </c>
      <c r="AD223" s="14" t="n">
        <f aca="false">G223</f>
        <v>402</v>
      </c>
      <c r="AE223" s="14" t="n">
        <f aca="false">J223</f>
        <v>32.5</v>
      </c>
      <c r="AF223" s="14" t="n">
        <f aca="false">IF($L223=2012,1,0)</f>
        <v>0</v>
      </c>
      <c r="AG223" s="14" t="n">
        <f aca="false">IF($L223=2013,1,0)</f>
        <v>0</v>
      </c>
      <c r="AH223" s="14" t="n">
        <f aca="false">IF($L223=2014,1,0)</f>
        <v>0</v>
      </c>
      <c r="AI223" s="14" t="n">
        <f aca="false">IF($L223=2015,1,0)</f>
        <v>0</v>
      </c>
      <c r="AJ223" s="14" t="n">
        <f aca="false">IF($L223=2016,1,0)</f>
        <v>1</v>
      </c>
      <c r="AK223" s="14" t="n">
        <f aca="false">IF($L223=2017,1,0)</f>
        <v>0</v>
      </c>
      <c r="AL223" s="14" t="n">
        <f aca="false">IF($H223="Beginner Level",1,0)</f>
        <v>0</v>
      </c>
      <c r="AM223" s="14" t="n">
        <f aca="false">IF($H223="Expert Level",1,0)</f>
        <v>0</v>
      </c>
      <c r="AN223" s="14" t="n">
        <f aca="false">IF($H223="Intermediate Level",1,0)</f>
        <v>1</v>
      </c>
    </row>
    <row r="224" customFormat="false" ht="68.65" hidden="false" customHeight="false" outlineLevel="0" collapsed="false">
      <c r="A224" s="14" t="n">
        <v>260756</v>
      </c>
      <c r="B224" s="14" t="s">
        <v>492</v>
      </c>
      <c r="C224" s="14" t="s">
        <v>493</v>
      </c>
      <c r="D224" s="14" t="n">
        <v>200</v>
      </c>
      <c r="E224" s="14" t="n">
        <v>9355</v>
      </c>
      <c r="F224" s="14" t="n">
        <v>390</v>
      </c>
      <c r="G224" s="14" t="n">
        <v>177</v>
      </c>
      <c r="H224" s="14" t="s">
        <v>62</v>
      </c>
      <c r="I224" s="14" t="n">
        <v>0.94</v>
      </c>
      <c r="J224" s="14" t="n">
        <v>16.5</v>
      </c>
      <c r="K224" s="14" t="s">
        <v>59</v>
      </c>
      <c r="L224" s="14" t="n">
        <v>2015</v>
      </c>
      <c r="M224" s="14" t="n">
        <v>9.14366623870819</v>
      </c>
      <c r="N224" s="14" t="n">
        <v>5.29836736529808</v>
      </c>
      <c r="P224" s="14" t="n">
        <f aca="false">D224</f>
        <v>200</v>
      </c>
      <c r="Q224" s="14" t="n">
        <f aca="false">G224</f>
        <v>177</v>
      </c>
      <c r="R224" s="14" t="n">
        <f aca="false">J224</f>
        <v>16.5</v>
      </c>
      <c r="S224" s="14" t="n">
        <f aca="false">IF($L224=2012,1,0)</f>
        <v>0</v>
      </c>
      <c r="T224" s="14" t="n">
        <f aca="false">IF($L224=2013,1,0)</f>
        <v>0</v>
      </c>
      <c r="U224" s="14" t="n">
        <f aca="false">IF($L224=2014,1,0)</f>
        <v>0</v>
      </c>
      <c r="V224" s="14" t="n">
        <f aca="false">IF($L224=2015,1,0)</f>
        <v>1</v>
      </c>
      <c r="W224" s="14" t="n">
        <f aca="false">IF($L224=2016,1,0)</f>
        <v>0</v>
      </c>
      <c r="X224" s="14" t="n">
        <f aca="false">IF($L224=2017,1,0)</f>
        <v>0</v>
      </c>
      <c r="Y224" s="14" t="n">
        <f aca="false">IF($H224="Beginner Level",1,0)</f>
        <v>0</v>
      </c>
      <c r="Z224" s="14" t="n">
        <f aca="false">IF($H224="Expert Level",1,0)</f>
        <v>0</v>
      </c>
      <c r="AA224" s="14" t="n">
        <f aca="false">IF($H224="Intermediate Level",1,0)</f>
        <v>0</v>
      </c>
      <c r="AC224" s="14" t="n">
        <f aca="false">N224</f>
        <v>5.29836736529808</v>
      </c>
      <c r="AD224" s="14" t="n">
        <f aca="false">G224</f>
        <v>177</v>
      </c>
      <c r="AE224" s="14" t="n">
        <f aca="false">J224</f>
        <v>16.5</v>
      </c>
      <c r="AF224" s="14" t="n">
        <f aca="false">IF($L224=2012,1,0)</f>
        <v>0</v>
      </c>
      <c r="AG224" s="14" t="n">
        <f aca="false">IF($L224=2013,1,0)</f>
        <v>0</v>
      </c>
      <c r="AH224" s="14" t="n">
        <f aca="false">IF($L224=2014,1,0)</f>
        <v>0</v>
      </c>
      <c r="AI224" s="14" t="n">
        <f aca="false">IF($L224=2015,1,0)</f>
        <v>1</v>
      </c>
      <c r="AJ224" s="14" t="n">
        <f aca="false">IF($L224=2016,1,0)</f>
        <v>0</v>
      </c>
      <c r="AK224" s="14" t="n">
        <f aca="false">IF($L224=2017,1,0)</f>
        <v>0</v>
      </c>
      <c r="AL224" s="14" t="n">
        <f aca="false">IF($H224="Beginner Level",1,0)</f>
        <v>0</v>
      </c>
      <c r="AM224" s="14" t="n">
        <f aca="false">IF($H224="Expert Level",1,0)</f>
        <v>0</v>
      </c>
      <c r="AN224" s="14" t="n">
        <f aca="false">IF($H224="Intermediate Level",1,0)</f>
        <v>0</v>
      </c>
    </row>
    <row r="225" customFormat="false" ht="57.45" hidden="false" customHeight="false" outlineLevel="0" collapsed="false">
      <c r="A225" s="14" t="n">
        <v>704732</v>
      </c>
      <c r="B225" s="14" t="s">
        <v>494</v>
      </c>
      <c r="C225" s="14" t="s">
        <v>495</v>
      </c>
      <c r="D225" s="14" t="n">
        <v>20</v>
      </c>
      <c r="E225" s="14" t="n">
        <v>9349</v>
      </c>
      <c r="F225" s="14" t="n">
        <v>206</v>
      </c>
      <c r="G225" s="14" t="n">
        <v>69</v>
      </c>
      <c r="H225" s="14" t="s">
        <v>71</v>
      </c>
      <c r="I225" s="14" t="n">
        <v>0.81</v>
      </c>
      <c r="J225" s="14" t="n">
        <v>4</v>
      </c>
      <c r="K225" s="14" t="s">
        <v>59</v>
      </c>
      <c r="L225" s="14" t="n">
        <v>2016</v>
      </c>
      <c r="M225" s="14" t="n">
        <v>9.14302466469132</v>
      </c>
      <c r="N225" s="14" t="n">
        <v>2.99623214859564</v>
      </c>
      <c r="P225" s="14" t="n">
        <f aca="false">D225</f>
        <v>20</v>
      </c>
      <c r="Q225" s="14" t="n">
        <f aca="false">G225</f>
        <v>69</v>
      </c>
      <c r="R225" s="14" t="n">
        <f aca="false">J225</f>
        <v>4</v>
      </c>
      <c r="S225" s="14" t="n">
        <f aca="false">IF($L225=2012,1,0)</f>
        <v>0</v>
      </c>
      <c r="T225" s="14" t="n">
        <f aca="false">IF($L225=2013,1,0)</f>
        <v>0</v>
      </c>
      <c r="U225" s="14" t="n">
        <f aca="false">IF($L225=2014,1,0)</f>
        <v>0</v>
      </c>
      <c r="V225" s="14" t="n">
        <f aca="false">IF($L225=2015,1,0)</f>
        <v>0</v>
      </c>
      <c r="W225" s="14" t="n">
        <f aca="false">IF($L225=2016,1,0)</f>
        <v>1</v>
      </c>
      <c r="X225" s="14" t="n">
        <f aca="false">IF($L225=2017,1,0)</f>
        <v>0</v>
      </c>
      <c r="Y225" s="14" t="n">
        <f aca="false">IF($H225="Beginner Level",1,0)</f>
        <v>0</v>
      </c>
      <c r="Z225" s="14" t="n">
        <f aca="false">IF($H225="Expert Level",1,0)</f>
        <v>0</v>
      </c>
      <c r="AA225" s="14" t="n">
        <f aca="false">IF($H225="Intermediate Level",1,0)</f>
        <v>1</v>
      </c>
      <c r="AC225" s="14" t="n">
        <f aca="false">N225</f>
        <v>2.99623214859564</v>
      </c>
      <c r="AD225" s="14" t="n">
        <f aca="false">G225</f>
        <v>69</v>
      </c>
      <c r="AE225" s="14" t="n">
        <f aca="false">J225</f>
        <v>4</v>
      </c>
      <c r="AF225" s="14" t="n">
        <f aca="false">IF($L225=2012,1,0)</f>
        <v>0</v>
      </c>
      <c r="AG225" s="14" t="n">
        <f aca="false">IF($L225=2013,1,0)</f>
        <v>0</v>
      </c>
      <c r="AH225" s="14" t="n">
        <f aca="false">IF($L225=2014,1,0)</f>
        <v>0</v>
      </c>
      <c r="AI225" s="14" t="n">
        <f aca="false">IF($L225=2015,1,0)</f>
        <v>0</v>
      </c>
      <c r="AJ225" s="14" t="n">
        <f aca="false">IF($L225=2016,1,0)</f>
        <v>1</v>
      </c>
      <c r="AK225" s="14" t="n">
        <f aca="false">IF($L225=2017,1,0)</f>
        <v>0</v>
      </c>
      <c r="AL225" s="14" t="n">
        <f aca="false">IF($H225="Beginner Level",1,0)</f>
        <v>0</v>
      </c>
      <c r="AM225" s="14" t="n">
        <f aca="false">IF($H225="Expert Level",1,0)</f>
        <v>0</v>
      </c>
      <c r="AN225" s="14" t="n">
        <f aca="false">IF($H225="Intermediate Level",1,0)</f>
        <v>1</v>
      </c>
    </row>
    <row r="226" customFormat="false" ht="57.45" hidden="false" customHeight="false" outlineLevel="0" collapsed="false">
      <c r="A226" s="14" t="n">
        <v>673420</v>
      </c>
      <c r="B226" s="14" t="s">
        <v>496</v>
      </c>
      <c r="C226" s="14" t="s">
        <v>497</v>
      </c>
      <c r="D226" s="14" t="n">
        <v>170</v>
      </c>
      <c r="E226" s="14" t="n">
        <v>9332</v>
      </c>
      <c r="F226" s="14" t="n">
        <v>172</v>
      </c>
      <c r="G226" s="14" t="n">
        <v>33</v>
      </c>
      <c r="H226" s="14" t="s">
        <v>62</v>
      </c>
      <c r="I226" s="14" t="n">
        <v>0.04</v>
      </c>
      <c r="J226" s="14" t="n">
        <v>3.5</v>
      </c>
      <c r="K226" s="14" t="s">
        <v>59</v>
      </c>
      <c r="L226" s="14" t="n">
        <v>2015</v>
      </c>
      <c r="M226" s="14" t="n">
        <v>9.14120463314132</v>
      </c>
      <c r="N226" s="14" t="n">
        <v>5.13585725884964</v>
      </c>
      <c r="P226" s="14" t="n">
        <f aca="false">D226</f>
        <v>170</v>
      </c>
      <c r="Q226" s="14" t="n">
        <f aca="false">G226</f>
        <v>33</v>
      </c>
      <c r="R226" s="14" t="n">
        <f aca="false">J226</f>
        <v>3.5</v>
      </c>
      <c r="S226" s="14" t="n">
        <f aca="false">IF($L226=2012,1,0)</f>
        <v>0</v>
      </c>
      <c r="T226" s="14" t="n">
        <f aca="false">IF($L226=2013,1,0)</f>
        <v>0</v>
      </c>
      <c r="U226" s="14" t="n">
        <f aca="false">IF($L226=2014,1,0)</f>
        <v>0</v>
      </c>
      <c r="V226" s="14" t="n">
        <f aca="false">IF($L226=2015,1,0)</f>
        <v>1</v>
      </c>
      <c r="W226" s="14" t="n">
        <f aca="false">IF($L226=2016,1,0)</f>
        <v>0</v>
      </c>
      <c r="X226" s="14" t="n">
        <f aca="false">IF($L226=2017,1,0)</f>
        <v>0</v>
      </c>
      <c r="Y226" s="14" t="n">
        <f aca="false">IF($H226="Beginner Level",1,0)</f>
        <v>0</v>
      </c>
      <c r="Z226" s="14" t="n">
        <f aca="false">IF($H226="Expert Level",1,0)</f>
        <v>0</v>
      </c>
      <c r="AA226" s="14" t="n">
        <f aca="false">IF($H226="Intermediate Level",1,0)</f>
        <v>0</v>
      </c>
      <c r="AC226" s="14" t="n">
        <f aca="false">N226</f>
        <v>5.13585725884964</v>
      </c>
      <c r="AD226" s="14" t="n">
        <f aca="false">G226</f>
        <v>33</v>
      </c>
      <c r="AE226" s="14" t="n">
        <f aca="false">J226</f>
        <v>3.5</v>
      </c>
      <c r="AF226" s="14" t="n">
        <f aca="false">IF($L226=2012,1,0)</f>
        <v>0</v>
      </c>
      <c r="AG226" s="14" t="n">
        <f aca="false">IF($L226=2013,1,0)</f>
        <v>0</v>
      </c>
      <c r="AH226" s="14" t="n">
        <f aca="false">IF($L226=2014,1,0)</f>
        <v>0</v>
      </c>
      <c r="AI226" s="14" t="n">
        <f aca="false">IF($L226=2015,1,0)</f>
        <v>1</v>
      </c>
      <c r="AJ226" s="14" t="n">
        <f aca="false">IF($L226=2016,1,0)</f>
        <v>0</v>
      </c>
      <c r="AK226" s="14" t="n">
        <f aca="false">IF($L226=2017,1,0)</f>
        <v>0</v>
      </c>
      <c r="AL226" s="14" t="n">
        <f aca="false">IF($H226="Beginner Level",1,0)</f>
        <v>0</v>
      </c>
      <c r="AM226" s="14" t="n">
        <f aca="false">IF($H226="Expert Level",1,0)</f>
        <v>0</v>
      </c>
      <c r="AN226" s="14" t="n">
        <f aca="false">IF($H226="Intermediate Level",1,0)</f>
        <v>0</v>
      </c>
    </row>
    <row r="227" customFormat="false" ht="57.45" hidden="false" customHeight="false" outlineLevel="0" collapsed="false">
      <c r="A227" s="14" t="n">
        <v>947098</v>
      </c>
      <c r="B227" s="14" t="s">
        <v>498</v>
      </c>
      <c r="C227" s="14" t="s">
        <v>499</v>
      </c>
      <c r="D227" s="14" t="n">
        <v>110</v>
      </c>
      <c r="E227" s="14" t="n">
        <v>9132</v>
      </c>
      <c r="F227" s="14" t="n">
        <v>1560</v>
      </c>
      <c r="G227" s="14" t="n">
        <v>137</v>
      </c>
      <c r="H227" s="14" t="s">
        <v>62</v>
      </c>
      <c r="I227" s="14" t="n">
        <v>0.18</v>
      </c>
      <c r="J227" s="14" t="n">
        <v>7</v>
      </c>
      <c r="K227" s="14" t="s">
        <v>59</v>
      </c>
      <c r="L227" s="14" t="n">
        <v>2016</v>
      </c>
      <c r="M227" s="14" t="n">
        <v>9.11954000764969</v>
      </c>
      <c r="N227" s="14" t="n">
        <v>4.70057127075134</v>
      </c>
      <c r="P227" s="14" t="n">
        <f aca="false">D227</f>
        <v>110</v>
      </c>
      <c r="Q227" s="14" t="n">
        <f aca="false">G227</f>
        <v>137</v>
      </c>
      <c r="R227" s="14" t="n">
        <f aca="false">J227</f>
        <v>7</v>
      </c>
      <c r="S227" s="14" t="n">
        <f aca="false">IF($L227=2012,1,0)</f>
        <v>0</v>
      </c>
      <c r="T227" s="14" t="n">
        <f aca="false">IF($L227=2013,1,0)</f>
        <v>0</v>
      </c>
      <c r="U227" s="14" t="n">
        <f aca="false">IF($L227=2014,1,0)</f>
        <v>0</v>
      </c>
      <c r="V227" s="14" t="n">
        <f aca="false">IF($L227=2015,1,0)</f>
        <v>0</v>
      </c>
      <c r="W227" s="14" t="n">
        <f aca="false">IF($L227=2016,1,0)</f>
        <v>1</v>
      </c>
      <c r="X227" s="14" t="n">
        <f aca="false">IF($L227=2017,1,0)</f>
        <v>0</v>
      </c>
      <c r="Y227" s="14" t="n">
        <f aca="false">IF($H227="Beginner Level",1,0)</f>
        <v>0</v>
      </c>
      <c r="Z227" s="14" t="n">
        <f aca="false">IF($H227="Expert Level",1,0)</f>
        <v>0</v>
      </c>
      <c r="AA227" s="14" t="n">
        <f aca="false">IF($H227="Intermediate Level",1,0)</f>
        <v>0</v>
      </c>
      <c r="AC227" s="14" t="n">
        <f aca="false">N227</f>
        <v>4.70057127075134</v>
      </c>
      <c r="AD227" s="14" t="n">
        <f aca="false">G227</f>
        <v>137</v>
      </c>
      <c r="AE227" s="14" t="n">
        <f aca="false">J227</f>
        <v>7</v>
      </c>
      <c r="AF227" s="14" t="n">
        <f aca="false">IF($L227=2012,1,0)</f>
        <v>0</v>
      </c>
      <c r="AG227" s="14" t="n">
        <f aca="false">IF($L227=2013,1,0)</f>
        <v>0</v>
      </c>
      <c r="AH227" s="14" t="n">
        <f aca="false">IF($L227=2014,1,0)</f>
        <v>0</v>
      </c>
      <c r="AI227" s="14" t="n">
        <f aca="false">IF($L227=2015,1,0)</f>
        <v>0</v>
      </c>
      <c r="AJ227" s="14" t="n">
        <f aca="false">IF($L227=2016,1,0)</f>
        <v>1</v>
      </c>
      <c r="AK227" s="14" t="n">
        <f aca="false">IF($L227=2017,1,0)</f>
        <v>0</v>
      </c>
      <c r="AL227" s="14" t="n">
        <f aca="false">IF($H227="Beginner Level",1,0)</f>
        <v>0</v>
      </c>
      <c r="AM227" s="14" t="n">
        <f aca="false">IF($H227="Expert Level",1,0)</f>
        <v>0</v>
      </c>
      <c r="AN227" s="14" t="n">
        <f aca="false">IF($H227="Intermediate Level",1,0)</f>
        <v>0</v>
      </c>
    </row>
    <row r="228" customFormat="false" ht="46.25" hidden="false" customHeight="false" outlineLevel="0" collapsed="false">
      <c r="A228" s="14" t="n">
        <v>295843</v>
      </c>
      <c r="B228" s="14" t="s">
        <v>500</v>
      </c>
      <c r="C228" s="14" t="s">
        <v>501</v>
      </c>
      <c r="D228" s="14" t="n">
        <v>0</v>
      </c>
      <c r="E228" s="14" t="n">
        <v>9110</v>
      </c>
      <c r="F228" s="14" t="n">
        <v>411</v>
      </c>
      <c r="G228" s="14" t="n">
        <v>22</v>
      </c>
      <c r="H228" s="14" t="s">
        <v>62</v>
      </c>
      <c r="I228" s="14" t="n">
        <v>0.73</v>
      </c>
      <c r="J228" s="14" t="n">
        <v>2.5</v>
      </c>
      <c r="K228" s="14" t="s">
        <v>53</v>
      </c>
      <c r="L228" s="14" t="n">
        <v>2014</v>
      </c>
      <c r="M228" s="14" t="n">
        <v>9.117127990254</v>
      </c>
      <c r="N228" s="14" t="n">
        <v>-4.60517018598809</v>
      </c>
      <c r="P228" s="14" t="n">
        <f aca="false">D228</f>
        <v>0</v>
      </c>
      <c r="Q228" s="14" t="n">
        <f aca="false">G228</f>
        <v>22</v>
      </c>
      <c r="R228" s="14" t="n">
        <f aca="false">J228</f>
        <v>2.5</v>
      </c>
      <c r="S228" s="14" t="n">
        <f aca="false">IF($L228=2012,1,0)</f>
        <v>0</v>
      </c>
      <c r="T228" s="14" t="n">
        <f aca="false">IF($L228=2013,1,0)</f>
        <v>0</v>
      </c>
      <c r="U228" s="14" t="n">
        <f aca="false">IF($L228=2014,1,0)</f>
        <v>1</v>
      </c>
      <c r="V228" s="14" t="n">
        <f aca="false">IF($L228=2015,1,0)</f>
        <v>0</v>
      </c>
      <c r="W228" s="14" t="n">
        <f aca="false">IF($L228=2016,1,0)</f>
        <v>0</v>
      </c>
      <c r="X228" s="14" t="n">
        <f aca="false">IF($L228=2017,1,0)</f>
        <v>0</v>
      </c>
      <c r="Y228" s="14" t="n">
        <f aca="false">IF($H228="Beginner Level",1,0)</f>
        <v>0</v>
      </c>
      <c r="Z228" s="14" t="n">
        <f aca="false">IF($H228="Expert Level",1,0)</f>
        <v>0</v>
      </c>
      <c r="AA228" s="14" t="n">
        <f aca="false">IF($H228="Intermediate Level",1,0)</f>
        <v>0</v>
      </c>
      <c r="AC228" s="14" t="n">
        <f aca="false">N228</f>
        <v>-4.60517018598809</v>
      </c>
      <c r="AD228" s="14" t="n">
        <f aca="false">G228</f>
        <v>22</v>
      </c>
      <c r="AE228" s="14" t="n">
        <f aca="false">J228</f>
        <v>2.5</v>
      </c>
      <c r="AF228" s="14" t="n">
        <f aca="false">IF($L228=2012,1,0)</f>
        <v>0</v>
      </c>
      <c r="AG228" s="14" t="n">
        <f aca="false">IF($L228=2013,1,0)</f>
        <v>0</v>
      </c>
      <c r="AH228" s="14" t="n">
        <f aca="false">IF($L228=2014,1,0)</f>
        <v>1</v>
      </c>
      <c r="AI228" s="14" t="n">
        <f aca="false">IF($L228=2015,1,0)</f>
        <v>0</v>
      </c>
      <c r="AJ228" s="14" t="n">
        <f aca="false">IF($L228=2016,1,0)</f>
        <v>0</v>
      </c>
      <c r="AK228" s="14" t="n">
        <f aca="false">IF($L228=2017,1,0)</f>
        <v>0</v>
      </c>
      <c r="AL228" s="14" t="n">
        <f aca="false">IF($H228="Beginner Level",1,0)</f>
        <v>0</v>
      </c>
      <c r="AM228" s="14" t="n">
        <f aca="false">IF($H228="Expert Level",1,0)</f>
        <v>0</v>
      </c>
      <c r="AN228" s="14" t="n">
        <f aca="false">IF($H228="Intermediate Level",1,0)</f>
        <v>0</v>
      </c>
    </row>
    <row r="229" customFormat="false" ht="57.45" hidden="false" customHeight="false" outlineLevel="0" collapsed="false">
      <c r="A229" s="14" t="n">
        <v>318638</v>
      </c>
      <c r="B229" s="14" t="s">
        <v>502</v>
      </c>
      <c r="C229" s="14" t="s">
        <v>503</v>
      </c>
      <c r="D229" s="14" t="n">
        <v>60</v>
      </c>
      <c r="E229" s="14" t="n">
        <v>9109</v>
      </c>
      <c r="F229" s="14" t="n">
        <v>620</v>
      </c>
      <c r="G229" s="14" t="n">
        <v>50</v>
      </c>
      <c r="H229" s="14" t="s">
        <v>62</v>
      </c>
      <c r="I229" s="14" t="n">
        <v>0.28</v>
      </c>
      <c r="J229" s="14" t="n">
        <v>9</v>
      </c>
      <c r="K229" s="14" t="s">
        <v>59</v>
      </c>
      <c r="L229" s="14" t="n">
        <v>2014</v>
      </c>
      <c r="M229" s="14" t="n">
        <v>9.11701821474481</v>
      </c>
      <c r="N229" s="14" t="n">
        <v>4.09451121500142</v>
      </c>
      <c r="P229" s="14" t="n">
        <f aca="false">D229</f>
        <v>60</v>
      </c>
      <c r="Q229" s="14" t="n">
        <f aca="false">G229</f>
        <v>50</v>
      </c>
      <c r="R229" s="14" t="n">
        <f aca="false">J229</f>
        <v>9</v>
      </c>
      <c r="S229" s="14" t="n">
        <f aca="false">IF($L229=2012,1,0)</f>
        <v>0</v>
      </c>
      <c r="T229" s="14" t="n">
        <f aca="false">IF($L229=2013,1,0)</f>
        <v>0</v>
      </c>
      <c r="U229" s="14" t="n">
        <f aca="false">IF($L229=2014,1,0)</f>
        <v>1</v>
      </c>
      <c r="V229" s="14" t="n">
        <f aca="false">IF($L229=2015,1,0)</f>
        <v>0</v>
      </c>
      <c r="W229" s="14" t="n">
        <f aca="false">IF($L229=2016,1,0)</f>
        <v>0</v>
      </c>
      <c r="X229" s="14" t="n">
        <f aca="false">IF($L229=2017,1,0)</f>
        <v>0</v>
      </c>
      <c r="Y229" s="14" t="n">
        <f aca="false">IF($H229="Beginner Level",1,0)</f>
        <v>0</v>
      </c>
      <c r="Z229" s="14" t="n">
        <f aca="false">IF($H229="Expert Level",1,0)</f>
        <v>0</v>
      </c>
      <c r="AA229" s="14" t="n">
        <f aca="false">IF($H229="Intermediate Level",1,0)</f>
        <v>0</v>
      </c>
      <c r="AC229" s="14" t="n">
        <f aca="false">N229</f>
        <v>4.09451121500142</v>
      </c>
      <c r="AD229" s="14" t="n">
        <f aca="false">G229</f>
        <v>50</v>
      </c>
      <c r="AE229" s="14" t="n">
        <f aca="false">J229</f>
        <v>9</v>
      </c>
      <c r="AF229" s="14" t="n">
        <f aca="false">IF($L229=2012,1,0)</f>
        <v>0</v>
      </c>
      <c r="AG229" s="14" t="n">
        <f aca="false">IF($L229=2013,1,0)</f>
        <v>0</v>
      </c>
      <c r="AH229" s="14" t="n">
        <f aca="false">IF($L229=2014,1,0)</f>
        <v>1</v>
      </c>
      <c r="AI229" s="14" t="n">
        <f aca="false">IF($L229=2015,1,0)</f>
        <v>0</v>
      </c>
      <c r="AJ229" s="14" t="n">
        <f aca="false">IF($L229=2016,1,0)</f>
        <v>0</v>
      </c>
      <c r="AK229" s="14" t="n">
        <f aca="false">IF($L229=2017,1,0)</f>
        <v>0</v>
      </c>
      <c r="AL229" s="14" t="n">
        <f aca="false">IF($H229="Beginner Level",1,0)</f>
        <v>0</v>
      </c>
      <c r="AM229" s="14" t="n">
        <f aca="false">IF($H229="Expert Level",1,0)</f>
        <v>0</v>
      </c>
      <c r="AN229" s="14" t="n">
        <f aca="false">IF($H229="Intermediate Level",1,0)</f>
        <v>0</v>
      </c>
    </row>
    <row r="230" customFormat="false" ht="79.85" hidden="false" customHeight="false" outlineLevel="0" collapsed="false">
      <c r="A230" s="14" t="n">
        <v>246154</v>
      </c>
      <c r="B230" s="14" t="s">
        <v>504</v>
      </c>
      <c r="C230" s="14" t="s">
        <v>505</v>
      </c>
      <c r="D230" s="14" t="n">
        <v>100</v>
      </c>
      <c r="E230" s="14" t="n">
        <v>9103</v>
      </c>
      <c r="F230" s="14" t="n">
        <v>1724</v>
      </c>
      <c r="G230" s="14" t="n">
        <v>58</v>
      </c>
      <c r="H230" s="14" t="s">
        <v>52</v>
      </c>
      <c r="I230" s="14" t="n">
        <v>0.23</v>
      </c>
      <c r="J230" s="14" t="n">
        <v>9</v>
      </c>
      <c r="K230" s="14" t="s">
        <v>59</v>
      </c>
      <c r="L230" s="14" t="n">
        <v>2014</v>
      </c>
      <c r="M230" s="14" t="n">
        <v>9.11635930850529</v>
      </c>
      <c r="N230" s="14" t="n">
        <v>4.60527018098843</v>
      </c>
      <c r="P230" s="14" t="n">
        <f aca="false">D230</f>
        <v>100</v>
      </c>
      <c r="Q230" s="14" t="n">
        <f aca="false">G230</f>
        <v>58</v>
      </c>
      <c r="R230" s="14" t="n">
        <f aca="false">J230</f>
        <v>9</v>
      </c>
      <c r="S230" s="14" t="n">
        <f aca="false">IF($L230=2012,1,0)</f>
        <v>0</v>
      </c>
      <c r="T230" s="14" t="n">
        <f aca="false">IF($L230=2013,1,0)</f>
        <v>0</v>
      </c>
      <c r="U230" s="14" t="n">
        <f aca="false">IF($L230=2014,1,0)</f>
        <v>1</v>
      </c>
      <c r="V230" s="14" t="n">
        <f aca="false">IF($L230=2015,1,0)</f>
        <v>0</v>
      </c>
      <c r="W230" s="14" t="n">
        <f aca="false">IF($L230=2016,1,0)</f>
        <v>0</v>
      </c>
      <c r="X230" s="14" t="n">
        <f aca="false">IF($L230=2017,1,0)</f>
        <v>0</v>
      </c>
      <c r="Y230" s="14" t="n">
        <f aca="false">IF($H230="Beginner Level",1,0)</f>
        <v>1</v>
      </c>
      <c r="Z230" s="14" t="n">
        <f aca="false">IF($H230="Expert Level",1,0)</f>
        <v>0</v>
      </c>
      <c r="AA230" s="14" t="n">
        <f aca="false">IF($H230="Intermediate Level",1,0)</f>
        <v>0</v>
      </c>
      <c r="AC230" s="14" t="n">
        <f aca="false">N230</f>
        <v>4.60527018098843</v>
      </c>
      <c r="AD230" s="14" t="n">
        <f aca="false">G230</f>
        <v>58</v>
      </c>
      <c r="AE230" s="14" t="n">
        <f aca="false">J230</f>
        <v>9</v>
      </c>
      <c r="AF230" s="14" t="n">
        <f aca="false">IF($L230=2012,1,0)</f>
        <v>0</v>
      </c>
      <c r="AG230" s="14" t="n">
        <f aca="false">IF($L230=2013,1,0)</f>
        <v>0</v>
      </c>
      <c r="AH230" s="14" t="n">
        <f aca="false">IF($L230=2014,1,0)</f>
        <v>1</v>
      </c>
      <c r="AI230" s="14" t="n">
        <f aca="false">IF($L230=2015,1,0)</f>
        <v>0</v>
      </c>
      <c r="AJ230" s="14" t="n">
        <f aca="false">IF($L230=2016,1,0)</f>
        <v>0</v>
      </c>
      <c r="AK230" s="14" t="n">
        <f aca="false">IF($L230=2017,1,0)</f>
        <v>0</v>
      </c>
      <c r="AL230" s="14" t="n">
        <f aca="false">IF($H230="Beginner Level",1,0)</f>
        <v>1</v>
      </c>
      <c r="AM230" s="14" t="n">
        <f aca="false">IF($H230="Expert Level",1,0)</f>
        <v>0</v>
      </c>
      <c r="AN230" s="14" t="n">
        <f aca="false">IF($H230="Intermediate Level",1,0)</f>
        <v>0</v>
      </c>
    </row>
    <row r="231" customFormat="false" ht="68.65" hidden="false" customHeight="false" outlineLevel="0" collapsed="false">
      <c r="A231" s="14" t="n">
        <v>1073793</v>
      </c>
      <c r="B231" s="14" t="s">
        <v>506</v>
      </c>
      <c r="C231" s="14" t="s">
        <v>507</v>
      </c>
      <c r="D231" s="14" t="n">
        <v>100</v>
      </c>
      <c r="E231" s="14" t="n">
        <v>9067</v>
      </c>
      <c r="F231" s="14" t="n">
        <v>41</v>
      </c>
      <c r="G231" s="14" t="n">
        <v>27</v>
      </c>
      <c r="H231" s="14" t="s">
        <v>62</v>
      </c>
      <c r="I231" s="14" t="n">
        <v>0.89</v>
      </c>
      <c r="J231" s="14" t="n">
        <v>3</v>
      </c>
      <c r="K231" s="14" t="s">
        <v>59</v>
      </c>
      <c r="L231" s="14" t="n">
        <v>2017</v>
      </c>
      <c r="M231" s="14" t="n">
        <v>9.11239672764606</v>
      </c>
      <c r="N231" s="14" t="n">
        <v>4.60527018098843</v>
      </c>
      <c r="P231" s="14" t="n">
        <f aca="false">D231</f>
        <v>100</v>
      </c>
      <c r="Q231" s="14" t="n">
        <f aca="false">G231</f>
        <v>27</v>
      </c>
      <c r="R231" s="14" t="n">
        <f aca="false">J231</f>
        <v>3</v>
      </c>
      <c r="S231" s="14" t="n">
        <f aca="false">IF($L231=2012,1,0)</f>
        <v>0</v>
      </c>
      <c r="T231" s="14" t="n">
        <f aca="false">IF($L231=2013,1,0)</f>
        <v>0</v>
      </c>
      <c r="U231" s="14" t="n">
        <f aca="false">IF($L231=2014,1,0)</f>
        <v>0</v>
      </c>
      <c r="V231" s="14" t="n">
        <f aca="false">IF($L231=2015,1,0)</f>
        <v>0</v>
      </c>
      <c r="W231" s="14" t="n">
        <f aca="false">IF($L231=2016,1,0)</f>
        <v>0</v>
      </c>
      <c r="X231" s="14" t="n">
        <f aca="false">IF($L231=2017,1,0)</f>
        <v>1</v>
      </c>
      <c r="Y231" s="14" t="n">
        <f aca="false">IF($H231="Beginner Level",1,0)</f>
        <v>0</v>
      </c>
      <c r="Z231" s="14" t="n">
        <f aca="false">IF($H231="Expert Level",1,0)</f>
        <v>0</v>
      </c>
      <c r="AA231" s="14" t="n">
        <f aca="false">IF($H231="Intermediate Level",1,0)</f>
        <v>0</v>
      </c>
      <c r="AC231" s="14" t="n">
        <f aca="false">N231</f>
        <v>4.60527018098843</v>
      </c>
      <c r="AD231" s="14" t="n">
        <f aca="false">G231</f>
        <v>27</v>
      </c>
      <c r="AE231" s="14" t="n">
        <f aca="false">J231</f>
        <v>3</v>
      </c>
      <c r="AF231" s="14" t="n">
        <f aca="false">IF($L231=2012,1,0)</f>
        <v>0</v>
      </c>
      <c r="AG231" s="14" t="n">
        <f aca="false">IF($L231=2013,1,0)</f>
        <v>0</v>
      </c>
      <c r="AH231" s="14" t="n">
        <f aca="false">IF($L231=2014,1,0)</f>
        <v>0</v>
      </c>
      <c r="AI231" s="14" t="n">
        <f aca="false">IF($L231=2015,1,0)</f>
        <v>0</v>
      </c>
      <c r="AJ231" s="14" t="n">
        <f aca="false">IF($L231=2016,1,0)</f>
        <v>0</v>
      </c>
      <c r="AK231" s="14" t="n">
        <f aca="false">IF($L231=2017,1,0)</f>
        <v>1</v>
      </c>
      <c r="AL231" s="14" t="n">
        <f aca="false">IF($H231="Beginner Level",1,0)</f>
        <v>0</v>
      </c>
      <c r="AM231" s="14" t="n">
        <f aca="false">IF($H231="Expert Level",1,0)</f>
        <v>0</v>
      </c>
      <c r="AN231" s="14" t="n">
        <f aca="false">IF($H231="Intermediate Level",1,0)</f>
        <v>0</v>
      </c>
    </row>
    <row r="232" customFormat="false" ht="79.85" hidden="false" customHeight="false" outlineLevel="0" collapsed="false">
      <c r="A232" s="14" t="n">
        <v>752432</v>
      </c>
      <c r="B232" s="14" t="s">
        <v>508</v>
      </c>
      <c r="C232" s="14" t="s">
        <v>509</v>
      </c>
      <c r="D232" s="14" t="n">
        <v>195</v>
      </c>
      <c r="E232" s="14" t="n">
        <v>9056</v>
      </c>
      <c r="F232" s="14" t="n">
        <v>96</v>
      </c>
      <c r="G232" s="14" t="n">
        <v>31</v>
      </c>
      <c r="H232" s="14" t="s">
        <v>62</v>
      </c>
      <c r="I232" s="14" t="n">
        <v>0.92</v>
      </c>
      <c r="J232" s="14" t="n">
        <v>1.5</v>
      </c>
      <c r="K232" s="14" t="s">
        <v>59</v>
      </c>
      <c r="L232" s="14" t="n">
        <v>2016</v>
      </c>
      <c r="M232" s="14" t="n">
        <v>9.11118280044297</v>
      </c>
      <c r="N232" s="14" t="n">
        <v>5.27305083930015</v>
      </c>
      <c r="P232" s="14" t="n">
        <f aca="false">D232</f>
        <v>195</v>
      </c>
      <c r="Q232" s="14" t="n">
        <f aca="false">G232</f>
        <v>31</v>
      </c>
      <c r="R232" s="14" t="n">
        <f aca="false">J232</f>
        <v>1.5</v>
      </c>
      <c r="S232" s="14" t="n">
        <f aca="false">IF($L232=2012,1,0)</f>
        <v>0</v>
      </c>
      <c r="T232" s="14" t="n">
        <f aca="false">IF($L232=2013,1,0)</f>
        <v>0</v>
      </c>
      <c r="U232" s="14" t="n">
        <f aca="false">IF($L232=2014,1,0)</f>
        <v>0</v>
      </c>
      <c r="V232" s="14" t="n">
        <f aca="false">IF($L232=2015,1,0)</f>
        <v>0</v>
      </c>
      <c r="W232" s="14" t="n">
        <f aca="false">IF($L232=2016,1,0)</f>
        <v>1</v>
      </c>
      <c r="X232" s="14" t="n">
        <f aca="false">IF($L232=2017,1,0)</f>
        <v>0</v>
      </c>
      <c r="Y232" s="14" t="n">
        <f aca="false">IF($H232="Beginner Level",1,0)</f>
        <v>0</v>
      </c>
      <c r="Z232" s="14" t="n">
        <f aca="false">IF($H232="Expert Level",1,0)</f>
        <v>0</v>
      </c>
      <c r="AA232" s="14" t="n">
        <f aca="false">IF($H232="Intermediate Level",1,0)</f>
        <v>0</v>
      </c>
      <c r="AC232" s="14" t="n">
        <f aca="false">N232</f>
        <v>5.27305083930015</v>
      </c>
      <c r="AD232" s="14" t="n">
        <f aca="false">G232</f>
        <v>31</v>
      </c>
      <c r="AE232" s="14" t="n">
        <f aca="false">J232</f>
        <v>1.5</v>
      </c>
      <c r="AF232" s="14" t="n">
        <f aca="false">IF($L232=2012,1,0)</f>
        <v>0</v>
      </c>
      <c r="AG232" s="14" t="n">
        <f aca="false">IF($L232=2013,1,0)</f>
        <v>0</v>
      </c>
      <c r="AH232" s="14" t="n">
        <f aca="false">IF($L232=2014,1,0)</f>
        <v>0</v>
      </c>
      <c r="AI232" s="14" t="n">
        <f aca="false">IF($L232=2015,1,0)</f>
        <v>0</v>
      </c>
      <c r="AJ232" s="14" t="n">
        <f aca="false">IF($L232=2016,1,0)</f>
        <v>1</v>
      </c>
      <c r="AK232" s="14" t="n">
        <f aca="false">IF($L232=2017,1,0)</f>
        <v>0</v>
      </c>
      <c r="AL232" s="14" t="n">
        <f aca="false">IF($H232="Beginner Level",1,0)</f>
        <v>0</v>
      </c>
      <c r="AM232" s="14" t="n">
        <f aca="false">IF($H232="Expert Level",1,0)</f>
        <v>0</v>
      </c>
      <c r="AN232" s="14" t="n">
        <f aca="false">IF($H232="Intermediate Level",1,0)</f>
        <v>0</v>
      </c>
    </row>
    <row r="233" customFormat="false" ht="68.65" hidden="false" customHeight="false" outlineLevel="0" collapsed="false">
      <c r="A233" s="14" t="n">
        <v>566910</v>
      </c>
      <c r="B233" s="14" t="s">
        <v>510</v>
      </c>
      <c r="C233" s="14" t="s">
        <v>511</v>
      </c>
      <c r="D233" s="14" t="n">
        <v>20</v>
      </c>
      <c r="E233" s="14" t="n">
        <v>9028</v>
      </c>
      <c r="F233" s="14" t="n">
        <v>87</v>
      </c>
      <c r="G233" s="14" t="n">
        <v>12</v>
      </c>
      <c r="H233" s="14" t="s">
        <v>62</v>
      </c>
      <c r="I233" s="14" t="n">
        <v>0.78</v>
      </c>
      <c r="J233" s="14" t="n">
        <v>1.5</v>
      </c>
      <c r="K233" s="14" t="s">
        <v>59</v>
      </c>
      <c r="L233" s="14" t="n">
        <v>2015</v>
      </c>
      <c r="M233" s="14" t="n">
        <v>9.10808613793743</v>
      </c>
      <c r="N233" s="14" t="n">
        <v>2.99623214859564</v>
      </c>
      <c r="P233" s="14" t="n">
        <f aca="false">D233</f>
        <v>20</v>
      </c>
      <c r="Q233" s="14" t="n">
        <f aca="false">G233</f>
        <v>12</v>
      </c>
      <c r="R233" s="14" t="n">
        <f aca="false">J233</f>
        <v>1.5</v>
      </c>
      <c r="S233" s="14" t="n">
        <f aca="false">IF($L233=2012,1,0)</f>
        <v>0</v>
      </c>
      <c r="T233" s="14" t="n">
        <f aca="false">IF($L233=2013,1,0)</f>
        <v>0</v>
      </c>
      <c r="U233" s="14" t="n">
        <f aca="false">IF($L233=2014,1,0)</f>
        <v>0</v>
      </c>
      <c r="V233" s="14" t="n">
        <f aca="false">IF($L233=2015,1,0)</f>
        <v>1</v>
      </c>
      <c r="W233" s="14" t="n">
        <f aca="false">IF($L233=2016,1,0)</f>
        <v>0</v>
      </c>
      <c r="X233" s="14" t="n">
        <f aca="false">IF($L233=2017,1,0)</f>
        <v>0</v>
      </c>
      <c r="Y233" s="14" t="n">
        <f aca="false">IF($H233="Beginner Level",1,0)</f>
        <v>0</v>
      </c>
      <c r="Z233" s="14" t="n">
        <f aca="false">IF($H233="Expert Level",1,0)</f>
        <v>0</v>
      </c>
      <c r="AA233" s="14" t="n">
        <f aca="false">IF($H233="Intermediate Level",1,0)</f>
        <v>0</v>
      </c>
      <c r="AC233" s="14" t="n">
        <f aca="false">N233</f>
        <v>2.99623214859564</v>
      </c>
      <c r="AD233" s="14" t="n">
        <f aca="false">G233</f>
        <v>12</v>
      </c>
      <c r="AE233" s="14" t="n">
        <f aca="false">J233</f>
        <v>1.5</v>
      </c>
      <c r="AF233" s="14" t="n">
        <f aca="false">IF($L233=2012,1,0)</f>
        <v>0</v>
      </c>
      <c r="AG233" s="14" t="n">
        <f aca="false">IF($L233=2013,1,0)</f>
        <v>0</v>
      </c>
      <c r="AH233" s="14" t="n">
        <f aca="false">IF($L233=2014,1,0)</f>
        <v>0</v>
      </c>
      <c r="AI233" s="14" t="n">
        <f aca="false">IF($L233=2015,1,0)</f>
        <v>1</v>
      </c>
      <c r="AJ233" s="14" t="n">
        <f aca="false">IF($L233=2016,1,0)</f>
        <v>0</v>
      </c>
      <c r="AK233" s="14" t="n">
        <f aca="false">IF($L233=2017,1,0)</f>
        <v>0</v>
      </c>
      <c r="AL233" s="14" t="n">
        <f aca="false">IF($H233="Beginner Level",1,0)</f>
        <v>0</v>
      </c>
      <c r="AM233" s="14" t="n">
        <f aca="false">IF($H233="Expert Level",1,0)</f>
        <v>0</v>
      </c>
      <c r="AN233" s="14" t="n">
        <f aca="false">IF($H233="Intermediate Level",1,0)</f>
        <v>0</v>
      </c>
    </row>
    <row r="234" customFormat="false" ht="68.65" hidden="false" customHeight="false" outlineLevel="0" collapsed="false">
      <c r="A234" s="14" t="n">
        <v>778226</v>
      </c>
      <c r="B234" s="14" t="s">
        <v>512</v>
      </c>
      <c r="C234" s="14" t="s">
        <v>513</v>
      </c>
      <c r="D234" s="14" t="n">
        <v>100</v>
      </c>
      <c r="E234" s="14" t="n">
        <v>8968</v>
      </c>
      <c r="F234" s="14" t="n">
        <v>35</v>
      </c>
      <c r="G234" s="14" t="n">
        <v>25</v>
      </c>
      <c r="H234" s="14" t="s">
        <v>52</v>
      </c>
      <c r="I234" s="14" t="n">
        <v>0.78</v>
      </c>
      <c r="J234" s="14" t="n">
        <v>2</v>
      </c>
      <c r="K234" s="14" t="s">
        <v>59</v>
      </c>
      <c r="L234" s="14" t="n">
        <v>2016</v>
      </c>
      <c r="M234" s="14" t="n">
        <v>9.101417964752</v>
      </c>
      <c r="N234" s="14" t="n">
        <v>4.60527018098843</v>
      </c>
      <c r="P234" s="14" t="n">
        <f aca="false">D234</f>
        <v>100</v>
      </c>
      <c r="Q234" s="14" t="n">
        <f aca="false">G234</f>
        <v>25</v>
      </c>
      <c r="R234" s="14" t="n">
        <f aca="false">J234</f>
        <v>2</v>
      </c>
      <c r="S234" s="14" t="n">
        <f aca="false">IF($L234=2012,1,0)</f>
        <v>0</v>
      </c>
      <c r="T234" s="14" t="n">
        <f aca="false">IF($L234=2013,1,0)</f>
        <v>0</v>
      </c>
      <c r="U234" s="14" t="n">
        <f aca="false">IF($L234=2014,1,0)</f>
        <v>0</v>
      </c>
      <c r="V234" s="14" t="n">
        <f aca="false">IF($L234=2015,1,0)</f>
        <v>0</v>
      </c>
      <c r="W234" s="14" t="n">
        <f aca="false">IF($L234=2016,1,0)</f>
        <v>1</v>
      </c>
      <c r="X234" s="14" t="n">
        <f aca="false">IF($L234=2017,1,0)</f>
        <v>0</v>
      </c>
      <c r="Y234" s="14" t="n">
        <f aca="false">IF($H234="Beginner Level",1,0)</f>
        <v>1</v>
      </c>
      <c r="Z234" s="14" t="n">
        <f aca="false">IF($H234="Expert Level",1,0)</f>
        <v>0</v>
      </c>
      <c r="AA234" s="14" t="n">
        <f aca="false">IF($H234="Intermediate Level",1,0)</f>
        <v>0</v>
      </c>
      <c r="AC234" s="14" t="n">
        <f aca="false">N234</f>
        <v>4.60527018098843</v>
      </c>
      <c r="AD234" s="14" t="n">
        <f aca="false">G234</f>
        <v>25</v>
      </c>
      <c r="AE234" s="14" t="n">
        <f aca="false">J234</f>
        <v>2</v>
      </c>
      <c r="AF234" s="14" t="n">
        <f aca="false">IF($L234=2012,1,0)</f>
        <v>0</v>
      </c>
      <c r="AG234" s="14" t="n">
        <f aca="false">IF($L234=2013,1,0)</f>
        <v>0</v>
      </c>
      <c r="AH234" s="14" t="n">
        <f aca="false">IF($L234=2014,1,0)</f>
        <v>0</v>
      </c>
      <c r="AI234" s="14" t="n">
        <f aca="false">IF($L234=2015,1,0)</f>
        <v>0</v>
      </c>
      <c r="AJ234" s="14" t="n">
        <f aca="false">IF($L234=2016,1,0)</f>
        <v>1</v>
      </c>
      <c r="AK234" s="14" t="n">
        <f aca="false">IF($L234=2017,1,0)</f>
        <v>0</v>
      </c>
      <c r="AL234" s="14" t="n">
        <f aca="false">IF($H234="Beginner Level",1,0)</f>
        <v>1</v>
      </c>
      <c r="AM234" s="14" t="n">
        <f aca="false">IF($H234="Expert Level",1,0)</f>
        <v>0</v>
      </c>
      <c r="AN234" s="14" t="n">
        <f aca="false">IF($H234="Intermediate Level",1,0)</f>
        <v>0</v>
      </c>
    </row>
    <row r="235" customFormat="false" ht="68.65" hidden="false" customHeight="false" outlineLevel="0" collapsed="false">
      <c r="A235" s="14" t="n">
        <v>1039062</v>
      </c>
      <c r="B235" s="14" t="s">
        <v>514</v>
      </c>
      <c r="C235" s="14" t="s">
        <v>515</v>
      </c>
      <c r="D235" s="14" t="n">
        <v>75</v>
      </c>
      <c r="E235" s="14" t="n">
        <v>8964</v>
      </c>
      <c r="F235" s="14" t="n">
        <v>1893</v>
      </c>
      <c r="G235" s="14" t="n">
        <v>56</v>
      </c>
      <c r="H235" s="14" t="s">
        <v>52</v>
      </c>
      <c r="I235" s="14" t="n">
        <v>0.58</v>
      </c>
      <c r="J235" s="14" t="n">
        <v>5.5</v>
      </c>
      <c r="K235" s="14" t="s">
        <v>59</v>
      </c>
      <c r="L235" s="14" t="n">
        <v>2017</v>
      </c>
      <c r="M235" s="14" t="n">
        <v>9.10097183492082</v>
      </c>
      <c r="N235" s="14" t="n">
        <v>4.31762143798155</v>
      </c>
      <c r="P235" s="14" t="n">
        <f aca="false">D235</f>
        <v>75</v>
      </c>
      <c r="Q235" s="14" t="n">
        <f aca="false">G235</f>
        <v>56</v>
      </c>
      <c r="R235" s="14" t="n">
        <f aca="false">J235</f>
        <v>5.5</v>
      </c>
      <c r="S235" s="14" t="n">
        <f aca="false">IF($L235=2012,1,0)</f>
        <v>0</v>
      </c>
      <c r="T235" s="14" t="n">
        <f aca="false">IF($L235=2013,1,0)</f>
        <v>0</v>
      </c>
      <c r="U235" s="14" t="n">
        <f aca="false">IF($L235=2014,1,0)</f>
        <v>0</v>
      </c>
      <c r="V235" s="14" t="n">
        <f aca="false">IF($L235=2015,1,0)</f>
        <v>0</v>
      </c>
      <c r="W235" s="14" t="n">
        <f aca="false">IF($L235=2016,1,0)</f>
        <v>0</v>
      </c>
      <c r="X235" s="14" t="n">
        <f aca="false">IF($L235=2017,1,0)</f>
        <v>1</v>
      </c>
      <c r="Y235" s="14" t="n">
        <f aca="false">IF($H235="Beginner Level",1,0)</f>
        <v>1</v>
      </c>
      <c r="Z235" s="14" t="n">
        <f aca="false">IF($H235="Expert Level",1,0)</f>
        <v>0</v>
      </c>
      <c r="AA235" s="14" t="n">
        <f aca="false">IF($H235="Intermediate Level",1,0)</f>
        <v>0</v>
      </c>
      <c r="AC235" s="14" t="n">
        <f aca="false">N235</f>
        <v>4.31762143798155</v>
      </c>
      <c r="AD235" s="14" t="n">
        <f aca="false">G235</f>
        <v>56</v>
      </c>
      <c r="AE235" s="14" t="n">
        <f aca="false">J235</f>
        <v>5.5</v>
      </c>
      <c r="AF235" s="14" t="n">
        <f aca="false">IF($L235=2012,1,0)</f>
        <v>0</v>
      </c>
      <c r="AG235" s="14" t="n">
        <f aca="false">IF($L235=2013,1,0)</f>
        <v>0</v>
      </c>
      <c r="AH235" s="14" t="n">
        <f aca="false">IF($L235=2014,1,0)</f>
        <v>0</v>
      </c>
      <c r="AI235" s="14" t="n">
        <f aca="false">IF($L235=2015,1,0)</f>
        <v>0</v>
      </c>
      <c r="AJ235" s="14" t="n">
        <f aca="false">IF($L235=2016,1,0)</f>
        <v>0</v>
      </c>
      <c r="AK235" s="14" t="n">
        <f aca="false">IF($L235=2017,1,0)</f>
        <v>1</v>
      </c>
      <c r="AL235" s="14" t="n">
        <f aca="false">IF($H235="Beginner Level",1,0)</f>
        <v>1</v>
      </c>
      <c r="AM235" s="14" t="n">
        <f aca="false">IF($H235="Expert Level",1,0)</f>
        <v>0</v>
      </c>
      <c r="AN235" s="14" t="n">
        <f aca="false">IF($H235="Intermediate Level",1,0)</f>
        <v>0</v>
      </c>
    </row>
    <row r="236" customFormat="false" ht="46.25" hidden="false" customHeight="false" outlineLevel="0" collapsed="false">
      <c r="A236" s="14" t="n">
        <v>197836</v>
      </c>
      <c r="B236" s="14" t="s">
        <v>516</v>
      </c>
      <c r="C236" s="14" t="s">
        <v>517</v>
      </c>
      <c r="D236" s="14" t="n">
        <v>60</v>
      </c>
      <c r="E236" s="14" t="n">
        <v>8777</v>
      </c>
      <c r="F236" s="14" t="n">
        <v>206</v>
      </c>
      <c r="G236" s="14" t="n">
        <v>75</v>
      </c>
      <c r="H236" s="14" t="s">
        <v>62</v>
      </c>
      <c r="I236" s="14" t="n">
        <v>0.79</v>
      </c>
      <c r="J236" s="14" t="n">
        <v>15.5</v>
      </c>
      <c r="K236" s="14" t="s">
        <v>59</v>
      </c>
      <c r="L236" s="14" t="n">
        <v>2014</v>
      </c>
      <c r="M236" s="14" t="n">
        <v>9.07988994259212</v>
      </c>
      <c r="N236" s="14" t="n">
        <v>4.09451121500142</v>
      </c>
      <c r="P236" s="14" t="n">
        <f aca="false">D236</f>
        <v>60</v>
      </c>
      <c r="Q236" s="14" t="n">
        <f aca="false">G236</f>
        <v>75</v>
      </c>
      <c r="R236" s="14" t="n">
        <f aca="false">J236</f>
        <v>15.5</v>
      </c>
      <c r="S236" s="14" t="n">
        <f aca="false">IF($L236=2012,1,0)</f>
        <v>0</v>
      </c>
      <c r="T236" s="14" t="n">
        <f aca="false">IF($L236=2013,1,0)</f>
        <v>0</v>
      </c>
      <c r="U236" s="14" t="n">
        <f aca="false">IF($L236=2014,1,0)</f>
        <v>1</v>
      </c>
      <c r="V236" s="14" t="n">
        <f aca="false">IF($L236=2015,1,0)</f>
        <v>0</v>
      </c>
      <c r="W236" s="14" t="n">
        <f aca="false">IF($L236=2016,1,0)</f>
        <v>0</v>
      </c>
      <c r="X236" s="14" t="n">
        <f aca="false">IF($L236=2017,1,0)</f>
        <v>0</v>
      </c>
      <c r="Y236" s="14" t="n">
        <f aca="false">IF($H236="Beginner Level",1,0)</f>
        <v>0</v>
      </c>
      <c r="Z236" s="14" t="n">
        <f aca="false">IF($H236="Expert Level",1,0)</f>
        <v>0</v>
      </c>
      <c r="AA236" s="14" t="n">
        <f aca="false">IF($H236="Intermediate Level",1,0)</f>
        <v>0</v>
      </c>
      <c r="AC236" s="14" t="n">
        <f aca="false">N236</f>
        <v>4.09451121500142</v>
      </c>
      <c r="AD236" s="14" t="n">
        <f aca="false">G236</f>
        <v>75</v>
      </c>
      <c r="AE236" s="14" t="n">
        <f aca="false">J236</f>
        <v>15.5</v>
      </c>
      <c r="AF236" s="14" t="n">
        <f aca="false">IF($L236=2012,1,0)</f>
        <v>0</v>
      </c>
      <c r="AG236" s="14" t="n">
        <f aca="false">IF($L236=2013,1,0)</f>
        <v>0</v>
      </c>
      <c r="AH236" s="14" t="n">
        <f aca="false">IF($L236=2014,1,0)</f>
        <v>1</v>
      </c>
      <c r="AI236" s="14" t="n">
        <f aca="false">IF($L236=2015,1,0)</f>
        <v>0</v>
      </c>
      <c r="AJ236" s="14" t="n">
        <f aca="false">IF($L236=2016,1,0)</f>
        <v>0</v>
      </c>
      <c r="AK236" s="14" t="n">
        <f aca="false">IF($L236=2017,1,0)</f>
        <v>0</v>
      </c>
      <c r="AL236" s="14" t="n">
        <f aca="false">IF($H236="Beginner Level",1,0)</f>
        <v>0</v>
      </c>
      <c r="AM236" s="14" t="n">
        <f aca="false">IF($H236="Expert Level",1,0)</f>
        <v>0</v>
      </c>
      <c r="AN236" s="14" t="n">
        <f aca="false">IF($H236="Intermediate Level",1,0)</f>
        <v>0</v>
      </c>
    </row>
    <row r="237" customFormat="false" ht="102.2" hidden="false" customHeight="false" outlineLevel="0" collapsed="false">
      <c r="A237" s="14" t="n">
        <v>599532</v>
      </c>
      <c r="B237" s="14" t="s">
        <v>518</v>
      </c>
      <c r="C237" s="14" t="s">
        <v>519</v>
      </c>
      <c r="D237" s="14" t="n">
        <v>0</v>
      </c>
      <c r="E237" s="14" t="n">
        <v>8770</v>
      </c>
      <c r="F237" s="14" t="n">
        <v>261</v>
      </c>
      <c r="G237" s="14" t="n">
        <v>13</v>
      </c>
      <c r="H237" s="14" t="s">
        <v>62</v>
      </c>
      <c r="I237" s="14" t="n">
        <v>0.62</v>
      </c>
      <c r="J237" s="14" t="n">
        <v>0.53333333</v>
      </c>
      <c r="K237" s="14" t="s">
        <v>53</v>
      </c>
      <c r="L237" s="14" t="n">
        <v>2015</v>
      </c>
      <c r="M237" s="14" t="n">
        <v>9.07909208536623</v>
      </c>
      <c r="N237" s="14" t="n">
        <v>-4.60517018598809</v>
      </c>
      <c r="P237" s="14" t="n">
        <f aca="false">D237</f>
        <v>0</v>
      </c>
      <c r="Q237" s="14" t="n">
        <f aca="false">G237</f>
        <v>13</v>
      </c>
      <c r="R237" s="14" t="n">
        <f aca="false">J237</f>
        <v>0.53333333</v>
      </c>
      <c r="S237" s="14" t="n">
        <f aca="false">IF($L237=2012,1,0)</f>
        <v>0</v>
      </c>
      <c r="T237" s="14" t="n">
        <f aca="false">IF($L237=2013,1,0)</f>
        <v>0</v>
      </c>
      <c r="U237" s="14" t="n">
        <f aca="false">IF($L237=2014,1,0)</f>
        <v>0</v>
      </c>
      <c r="V237" s="14" t="n">
        <f aca="false">IF($L237=2015,1,0)</f>
        <v>1</v>
      </c>
      <c r="W237" s="14" t="n">
        <f aca="false">IF($L237=2016,1,0)</f>
        <v>0</v>
      </c>
      <c r="X237" s="14" t="n">
        <f aca="false">IF($L237=2017,1,0)</f>
        <v>0</v>
      </c>
      <c r="Y237" s="14" t="n">
        <f aca="false">IF($H237="Beginner Level",1,0)</f>
        <v>0</v>
      </c>
      <c r="Z237" s="14" t="n">
        <f aca="false">IF($H237="Expert Level",1,0)</f>
        <v>0</v>
      </c>
      <c r="AA237" s="14" t="n">
        <f aca="false">IF($H237="Intermediate Level",1,0)</f>
        <v>0</v>
      </c>
      <c r="AC237" s="14" t="n">
        <f aca="false">N237</f>
        <v>-4.60517018598809</v>
      </c>
      <c r="AD237" s="14" t="n">
        <f aca="false">G237</f>
        <v>13</v>
      </c>
      <c r="AE237" s="14" t="n">
        <f aca="false">J237</f>
        <v>0.53333333</v>
      </c>
      <c r="AF237" s="14" t="n">
        <f aca="false">IF($L237=2012,1,0)</f>
        <v>0</v>
      </c>
      <c r="AG237" s="14" t="n">
        <f aca="false">IF($L237=2013,1,0)</f>
        <v>0</v>
      </c>
      <c r="AH237" s="14" t="n">
        <f aca="false">IF($L237=2014,1,0)</f>
        <v>0</v>
      </c>
      <c r="AI237" s="14" t="n">
        <f aca="false">IF($L237=2015,1,0)</f>
        <v>1</v>
      </c>
      <c r="AJ237" s="14" t="n">
        <f aca="false">IF($L237=2016,1,0)</f>
        <v>0</v>
      </c>
      <c r="AK237" s="14" t="n">
        <f aca="false">IF($L237=2017,1,0)</f>
        <v>0</v>
      </c>
      <c r="AL237" s="14" t="n">
        <f aca="false">IF($H237="Beginner Level",1,0)</f>
        <v>0</v>
      </c>
      <c r="AM237" s="14" t="n">
        <f aca="false">IF($H237="Expert Level",1,0)</f>
        <v>0</v>
      </c>
      <c r="AN237" s="14" t="n">
        <f aca="false">IF($H237="Intermediate Level",1,0)</f>
        <v>0</v>
      </c>
    </row>
    <row r="238" customFormat="false" ht="57.45" hidden="false" customHeight="false" outlineLevel="0" collapsed="false">
      <c r="A238" s="14" t="n">
        <v>1033944</v>
      </c>
      <c r="B238" s="14" t="s">
        <v>520</v>
      </c>
      <c r="C238" s="14" t="s">
        <v>521</v>
      </c>
      <c r="D238" s="14" t="n">
        <v>0</v>
      </c>
      <c r="E238" s="14" t="n">
        <v>8768</v>
      </c>
      <c r="F238" s="14" t="n">
        <v>173</v>
      </c>
      <c r="G238" s="14" t="n">
        <v>8</v>
      </c>
      <c r="H238" s="14" t="s">
        <v>62</v>
      </c>
      <c r="I238" s="14" t="n">
        <v>0.87</v>
      </c>
      <c r="J238" s="14" t="n">
        <v>1</v>
      </c>
      <c r="K238" s="14" t="s">
        <v>53</v>
      </c>
      <c r="L238" s="14" t="n">
        <v>2016</v>
      </c>
      <c r="M238" s="14" t="n">
        <v>9.0788640091878</v>
      </c>
      <c r="N238" s="14" t="n">
        <v>-4.60517018598809</v>
      </c>
      <c r="P238" s="14" t="n">
        <f aca="false">D238</f>
        <v>0</v>
      </c>
      <c r="Q238" s="14" t="n">
        <f aca="false">G238</f>
        <v>8</v>
      </c>
      <c r="R238" s="14" t="n">
        <f aca="false">J238</f>
        <v>1</v>
      </c>
      <c r="S238" s="14" t="n">
        <f aca="false">IF($L238=2012,1,0)</f>
        <v>0</v>
      </c>
      <c r="T238" s="14" t="n">
        <f aca="false">IF($L238=2013,1,0)</f>
        <v>0</v>
      </c>
      <c r="U238" s="14" t="n">
        <f aca="false">IF($L238=2014,1,0)</f>
        <v>0</v>
      </c>
      <c r="V238" s="14" t="n">
        <f aca="false">IF($L238=2015,1,0)</f>
        <v>0</v>
      </c>
      <c r="W238" s="14" t="n">
        <f aca="false">IF($L238=2016,1,0)</f>
        <v>1</v>
      </c>
      <c r="X238" s="14" t="n">
        <f aca="false">IF($L238=2017,1,0)</f>
        <v>0</v>
      </c>
      <c r="Y238" s="14" t="n">
        <f aca="false">IF($H238="Beginner Level",1,0)</f>
        <v>0</v>
      </c>
      <c r="Z238" s="14" t="n">
        <f aca="false">IF($H238="Expert Level",1,0)</f>
        <v>0</v>
      </c>
      <c r="AA238" s="14" t="n">
        <f aca="false">IF($H238="Intermediate Level",1,0)</f>
        <v>0</v>
      </c>
      <c r="AC238" s="14" t="n">
        <f aca="false">N238</f>
        <v>-4.60517018598809</v>
      </c>
      <c r="AD238" s="14" t="n">
        <f aca="false">G238</f>
        <v>8</v>
      </c>
      <c r="AE238" s="14" t="n">
        <f aca="false">J238</f>
        <v>1</v>
      </c>
      <c r="AF238" s="14" t="n">
        <f aca="false">IF($L238=2012,1,0)</f>
        <v>0</v>
      </c>
      <c r="AG238" s="14" t="n">
        <f aca="false">IF($L238=2013,1,0)</f>
        <v>0</v>
      </c>
      <c r="AH238" s="14" t="n">
        <f aca="false">IF($L238=2014,1,0)</f>
        <v>0</v>
      </c>
      <c r="AI238" s="14" t="n">
        <f aca="false">IF($L238=2015,1,0)</f>
        <v>0</v>
      </c>
      <c r="AJ238" s="14" t="n">
        <f aca="false">IF($L238=2016,1,0)</f>
        <v>1</v>
      </c>
      <c r="AK238" s="14" t="n">
        <f aca="false">IF($L238=2017,1,0)</f>
        <v>0</v>
      </c>
      <c r="AL238" s="14" t="n">
        <f aca="false">IF($H238="Beginner Level",1,0)</f>
        <v>0</v>
      </c>
      <c r="AM238" s="14" t="n">
        <f aca="false">IF($H238="Expert Level",1,0)</f>
        <v>0</v>
      </c>
      <c r="AN238" s="14" t="n">
        <f aca="false">IF($H238="Intermediate Level",1,0)</f>
        <v>0</v>
      </c>
    </row>
    <row r="239" customFormat="false" ht="46.25" hidden="false" customHeight="false" outlineLevel="0" collapsed="false">
      <c r="A239" s="14" t="n">
        <v>82778</v>
      </c>
      <c r="B239" s="14" t="s">
        <v>522</v>
      </c>
      <c r="C239" s="14" t="s">
        <v>523</v>
      </c>
      <c r="D239" s="14" t="n">
        <v>50</v>
      </c>
      <c r="E239" s="14" t="n">
        <v>8755</v>
      </c>
      <c r="F239" s="14" t="n">
        <v>931</v>
      </c>
      <c r="G239" s="14" t="n">
        <v>133</v>
      </c>
      <c r="H239" s="14" t="s">
        <v>62</v>
      </c>
      <c r="I239" s="14" t="n">
        <v>0.12</v>
      </c>
      <c r="J239" s="14" t="n">
        <v>15.5</v>
      </c>
      <c r="K239" s="14" t="s">
        <v>59</v>
      </c>
      <c r="L239" s="14" t="n">
        <v>2014</v>
      </c>
      <c r="M239" s="14" t="n">
        <v>9.07738024471995</v>
      </c>
      <c r="N239" s="14" t="n">
        <v>3.91222298543081</v>
      </c>
      <c r="P239" s="14" t="n">
        <f aca="false">D239</f>
        <v>50</v>
      </c>
      <c r="Q239" s="14" t="n">
        <f aca="false">G239</f>
        <v>133</v>
      </c>
      <c r="R239" s="14" t="n">
        <f aca="false">J239</f>
        <v>15.5</v>
      </c>
      <c r="S239" s="14" t="n">
        <f aca="false">IF($L239=2012,1,0)</f>
        <v>0</v>
      </c>
      <c r="T239" s="14" t="n">
        <f aca="false">IF($L239=2013,1,0)</f>
        <v>0</v>
      </c>
      <c r="U239" s="14" t="n">
        <f aca="false">IF($L239=2014,1,0)</f>
        <v>1</v>
      </c>
      <c r="V239" s="14" t="n">
        <f aca="false">IF($L239=2015,1,0)</f>
        <v>0</v>
      </c>
      <c r="W239" s="14" t="n">
        <f aca="false">IF($L239=2016,1,0)</f>
        <v>0</v>
      </c>
      <c r="X239" s="14" t="n">
        <f aca="false">IF($L239=2017,1,0)</f>
        <v>0</v>
      </c>
      <c r="Y239" s="14" t="n">
        <f aca="false">IF($H239="Beginner Level",1,0)</f>
        <v>0</v>
      </c>
      <c r="Z239" s="14" t="n">
        <f aca="false">IF($H239="Expert Level",1,0)</f>
        <v>0</v>
      </c>
      <c r="AA239" s="14" t="n">
        <f aca="false">IF($H239="Intermediate Level",1,0)</f>
        <v>0</v>
      </c>
      <c r="AC239" s="14" t="n">
        <f aca="false">N239</f>
        <v>3.91222298543081</v>
      </c>
      <c r="AD239" s="14" t="n">
        <f aca="false">G239</f>
        <v>133</v>
      </c>
      <c r="AE239" s="14" t="n">
        <f aca="false">J239</f>
        <v>15.5</v>
      </c>
      <c r="AF239" s="14" t="n">
        <f aca="false">IF($L239=2012,1,0)</f>
        <v>0</v>
      </c>
      <c r="AG239" s="14" t="n">
        <f aca="false">IF($L239=2013,1,0)</f>
        <v>0</v>
      </c>
      <c r="AH239" s="14" t="n">
        <f aca="false">IF($L239=2014,1,0)</f>
        <v>1</v>
      </c>
      <c r="AI239" s="14" t="n">
        <f aca="false">IF($L239=2015,1,0)</f>
        <v>0</v>
      </c>
      <c r="AJ239" s="14" t="n">
        <f aca="false">IF($L239=2016,1,0)</f>
        <v>0</v>
      </c>
      <c r="AK239" s="14" t="n">
        <f aca="false">IF($L239=2017,1,0)</f>
        <v>0</v>
      </c>
      <c r="AL239" s="14" t="n">
        <f aca="false">IF($H239="Beginner Level",1,0)</f>
        <v>0</v>
      </c>
      <c r="AM239" s="14" t="n">
        <f aca="false">IF($H239="Expert Level",1,0)</f>
        <v>0</v>
      </c>
      <c r="AN239" s="14" t="n">
        <f aca="false">IF($H239="Intermediate Level",1,0)</f>
        <v>0</v>
      </c>
    </row>
    <row r="240" customFormat="false" ht="79.85" hidden="false" customHeight="false" outlineLevel="0" collapsed="false">
      <c r="A240" s="14" t="n">
        <v>629082</v>
      </c>
      <c r="B240" s="14" t="s">
        <v>524</v>
      </c>
      <c r="C240" s="14" t="s">
        <v>525</v>
      </c>
      <c r="D240" s="14" t="n">
        <v>85</v>
      </c>
      <c r="E240" s="14" t="n">
        <v>8711</v>
      </c>
      <c r="F240" s="14" t="n">
        <v>44</v>
      </c>
      <c r="G240" s="14" t="n">
        <v>22</v>
      </c>
      <c r="H240" s="14" t="s">
        <v>62</v>
      </c>
      <c r="I240" s="14" t="n">
        <v>0.04</v>
      </c>
      <c r="J240" s="14" t="n">
        <v>1.5</v>
      </c>
      <c r="K240" s="14" t="s">
        <v>59</v>
      </c>
      <c r="L240" s="14" t="n">
        <v>2015</v>
      </c>
      <c r="M240" s="14" t="n">
        <v>9.07234187381889</v>
      </c>
      <c r="N240" s="14" t="n">
        <v>4.44276889662927</v>
      </c>
      <c r="P240" s="14" t="n">
        <f aca="false">D240</f>
        <v>85</v>
      </c>
      <c r="Q240" s="14" t="n">
        <f aca="false">G240</f>
        <v>22</v>
      </c>
      <c r="R240" s="14" t="n">
        <f aca="false">J240</f>
        <v>1.5</v>
      </c>
      <c r="S240" s="14" t="n">
        <f aca="false">IF($L240=2012,1,0)</f>
        <v>0</v>
      </c>
      <c r="T240" s="14" t="n">
        <f aca="false">IF($L240=2013,1,0)</f>
        <v>0</v>
      </c>
      <c r="U240" s="14" t="n">
        <f aca="false">IF($L240=2014,1,0)</f>
        <v>0</v>
      </c>
      <c r="V240" s="14" t="n">
        <f aca="false">IF($L240=2015,1,0)</f>
        <v>1</v>
      </c>
      <c r="W240" s="14" t="n">
        <f aca="false">IF($L240=2016,1,0)</f>
        <v>0</v>
      </c>
      <c r="X240" s="14" t="n">
        <f aca="false">IF($L240=2017,1,0)</f>
        <v>0</v>
      </c>
      <c r="Y240" s="14" t="n">
        <f aca="false">IF($H240="Beginner Level",1,0)</f>
        <v>0</v>
      </c>
      <c r="Z240" s="14" t="n">
        <f aca="false">IF($H240="Expert Level",1,0)</f>
        <v>0</v>
      </c>
      <c r="AA240" s="14" t="n">
        <f aca="false">IF($H240="Intermediate Level",1,0)</f>
        <v>0</v>
      </c>
      <c r="AC240" s="14" t="n">
        <f aca="false">N240</f>
        <v>4.44276889662927</v>
      </c>
      <c r="AD240" s="14" t="n">
        <f aca="false">G240</f>
        <v>22</v>
      </c>
      <c r="AE240" s="14" t="n">
        <f aca="false">J240</f>
        <v>1.5</v>
      </c>
      <c r="AF240" s="14" t="n">
        <f aca="false">IF($L240=2012,1,0)</f>
        <v>0</v>
      </c>
      <c r="AG240" s="14" t="n">
        <f aca="false">IF($L240=2013,1,0)</f>
        <v>0</v>
      </c>
      <c r="AH240" s="14" t="n">
        <f aca="false">IF($L240=2014,1,0)</f>
        <v>0</v>
      </c>
      <c r="AI240" s="14" t="n">
        <f aca="false">IF($L240=2015,1,0)</f>
        <v>1</v>
      </c>
      <c r="AJ240" s="14" t="n">
        <f aca="false">IF($L240=2016,1,0)</f>
        <v>0</v>
      </c>
      <c r="AK240" s="14" t="n">
        <f aca="false">IF($L240=2017,1,0)</f>
        <v>0</v>
      </c>
      <c r="AL240" s="14" t="n">
        <f aca="false">IF($H240="Beginner Level",1,0)</f>
        <v>0</v>
      </c>
      <c r="AM240" s="14" t="n">
        <f aca="false">IF($H240="Expert Level",1,0)</f>
        <v>0</v>
      </c>
      <c r="AN240" s="14" t="n">
        <f aca="false">IF($H240="Intermediate Level",1,0)</f>
        <v>0</v>
      </c>
    </row>
    <row r="241" customFormat="false" ht="57.45" hidden="false" customHeight="false" outlineLevel="0" collapsed="false">
      <c r="A241" s="14" t="n">
        <v>944906</v>
      </c>
      <c r="B241" s="14" t="s">
        <v>526</v>
      </c>
      <c r="C241" s="14" t="s">
        <v>527</v>
      </c>
      <c r="D241" s="14" t="n">
        <v>40</v>
      </c>
      <c r="E241" s="14" t="n">
        <v>8711</v>
      </c>
      <c r="F241" s="14" t="n">
        <v>29</v>
      </c>
      <c r="G241" s="14" t="n">
        <v>12</v>
      </c>
      <c r="H241" s="14" t="s">
        <v>62</v>
      </c>
      <c r="I241" s="14" t="n">
        <v>0.96</v>
      </c>
      <c r="J241" s="14" t="n">
        <v>1</v>
      </c>
      <c r="K241" s="14" t="s">
        <v>59</v>
      </c>
      <c r="L241" s="14" t="n">
        <v>2016</v>
      </c>
      <c r="M241" s="14" t="n">
        <v>9.07234187381889</v>
      </c>
      <c r="N241" s="14" t="n">
        <v>3.68912942286914</v>
      </c>
      <c r="P241" s="14" t="n">
        <f aca="false">D241</f>
        <v>40</v>
      </c>
      <c r="Q241" s="14" t="n">
        <f aca="false">G241</f>
        <v>12</v>
      </c>
      <c r="R241" s="14" t="n">
        <f aca="false">J241</f>
        <v>1</v>
      </c>
      <c r="S241" s="14" t="n">
        <f aca="false">IF($L241=2012,1,0)</f>
        <v>0</v>
      </c>
      <c r="T241" s="14" t="n">
        <f aca="false">IF($L241=2013,1,0)</f>
        <v>0</v>
      </c>
      <c r="U241" s="14" t="n">
        <f aca="false">IF($L241=2014,1,0)</f>
        <v>0</v>
      </c>
      <c r="V241" s="14" t="n">
        <f aca="false">IF($L241=2015,1,0)</f>
        <v>0</v>
      </c>
      <c r="W241" s="14" t="n">
        <f aca="false">IF($L241=2016,1,0)</f>
        <v>1</v>
      </c>
      <c r="X241" s="14" t="n">
        <f aca="false">IF($L241=2017,1,0)</f>
        <v>0</v>
      </c>
      <c r="Y241" s="14" t="n">
        <f aca="false">IF($H241="Beginner Level",1,0)</f>
        <v>0</v>
      </c>
      <c r="Z241" s="14" t="n">
        <f aca="false">IF($H241="Expert Level",1,0)</f>
        <v>0</v>
      </c>
      <c r="AA241" s="14" t="n">
        <f aca="false">IF($H241="Intermediate Level",1,0)</f>
        <v>0</v>
      </c>
      <c r="AC241" s="14" t="n">
        <f aca="false">N241</f>
        <v>3.68912942286914</v>
      </c>
      <c r="AD241" s="14" t="n">
        <f aca="false">G241</f>
        <v>12</v>
      </c>
      <c r="AE241" s="14" t="n">
        <f aca="false">J241</f>
        <v>1</v>
      </c>
      <c r="AF241" s="14" t="n">
        <f aca="false">IF($L241=2012,1,0)</f>
        <v>0</v>
      </c>
      <c r="AG241" s="14" t="n">
        <f aca="false">IF($L241=2013,1,0)</f>
        <v>0</v>
      </c>
      <c r="AH241" s="14" t="n">
        <f aca="false">IF($L241=2014,1,0)</f>
        <v>0</v>
      </c>
      <c r="AI241" s="14" t="n">
        <f aca="false">IF($L241=2015,1,0)</f>
        <v>0</v>
      </c>
      <c r="AJ241" s="14" t="n">
        <f aca="false">IF($L241=2016,1,0)</f>
        <v>1</v>
      </c>
      <c r="AK241" s="14" t="n">
        <f aca="false">IF($L241=2017,1,0)</f>
        <v>0</v>
      </c>
      <c r="AL241" s="14" t="n">
        <f aca="false">IF($H241="Beginner Level",1,0)</f>
        <v>0</v>
      </c>
      <c r="AM241" s="14" t="n">
        <f aca="false">IF($H241="Expert Level",1,0)</f>
        <v>0</v>
      </c>
      <c r="AN241" s="14" t="n">
        <f aca="false">IF($H241="Intermediate Level",1,0)</f>
        <v>0</v>
      </c>
    </row>
    <row r="242" customFormat="false" ht="57.45" hidden="false" customHeight="false" outlineLevel="0" collapsed="false">
      <c r="A242" s="14" t="n">
        <v>1158572</v>
      </c>
      <c r="B242" s="14" t="s">
        <v>528</v>
      </c>
      <c r="C242" s="14" t="s">
        <v>529</v>
      </c>
      <c r="D242" s="14" t="n">
        <v>0</v>
      </c>
      <c r="E242" s="14" t="n">
        <v>8693</v>
      </c>
      <c r="F242" s="14" t="n">
        <v>522</v>
      </c>
      <c r="G242" s="14" t="n">
        <v>11</v>
      </c>
      <c r="H242" s="14" t="s">
        <v>62</v>
      </c>
      <c r="I242" s="14" t="n">
        <v>0.24</v>
      </c>
      <c r="J242" s="14" t="n">
        <v>1.5</v>
      </c>
      <c r="K242" s="14" t="s">
        <v>53</v>
      </c>
      <c r="L242" s="14" t="n">
        <v>2017</v>
      </c>
      <c r="M242" s="14" t="n">
        <v>9.07027338307906</v>
      </c>
      <c r="N242" s="14" t="n">
        <v>-4.60517018598809</v>
      </c>
      <c r="P242" s="14" t="n">
        <f aca="false">D242</f>
        <v>0</v>
      </c>
      <c r="Q242" s="14" t="n">
        <f aca="false">G242</f>
        <v>11</v>
      </c>
      <c r="R242" s="14" t="n">
        <f aca="false">J242</f>
        <v>1.5</v>
      </c>
      <c r="S242" s="14" t="n">
        <f aca="false">IF($L242=2012,1,0)</f>
        <v>0</v>
      </c>
      <c r="T242" s="14" t="n">
        <f aca="false">IF($L242=2013,1,0)</f>
        <v>0</v>
      </c>
      <c r="U242" s="14" t="n">
        <f aca="false">IF($L242=2014,1,0)</f>
        <v>0</v>
      </c>
      <c r="V242" s="14" t="n">
        <f aca="false">IF($L242=2015,1,0)</f>
        <v>0</v>
      </c>
      <c r="W242" s="14" t="n">
        <f aca="false">IF($L242=2016,1,0)</f>
        <v>0</v>
      </c>
      <c r="X242" s="14" t="n">
        <f aca="false">IF($L242=2017,1,0)</f>
        <v>1</v>
      </c>
      <c r="Y242" s="14" t="n">
        <f aca="false">IF($H242="Beginner Level",1,0)</f>
        <v>0</v>
      </c>
      <c r="Z242" s="14" t="n">
        <f aca="false">IF($H242="Expert Level",1,0)</f>
        <v>0</v>
      </c>
      <c r="AA242" s="14" t="n">
        <f aca="false">IF($H242="Intermediate Level",1,0)</f>
        <v>0</v>
      </c>
      <c r="AC242" s="14" t="n">
        <f aca="false">N242</f>
        <v>-4.60517018598809</v>
      </c>
      <c r="AD242" s="14" t="n">
        <f aca="false">G242</f>
        <v>11</v>
      </c>
      <c r="AE242" s="14" t="n">
        <f aca="false">J242</f>
        <v>1.5</v>
      </c>
      <c r="AF242" s="14" t="n">
        <f aca="false">IF($L242=2012,1,0)</f>
        <v>0</v>
      </c>
      <c r="AG242" s="14" t="n">
        <f aca="false">IF($L242=2013,1,0)</f>
        <v>0</v>
      </c>
      <c r="AH242" s="14" t="n">
        <f aca="false">IF($L242=2014,1,0)</f>
        <v>0</v>
      </c>
      <c r="AI242" s="14" t="n">
        <f aca="false">IF($L242=2015,1,0)</f>
        <v>0</v>
      </c>
      <c r="AJ242" s="14" t="n">
        <f aca="false">IF($L242=2016,1,0)</f>
        <v>0</v>
      </c>
      <c r="AK242" s="14" t="n">
        <f aca="false">IF($L242=2017,1,0)</f>
        <v>1</v>
      </c>
      <c r="AL242" s="14" t="n">
        <f aca="false">IF($H242="Beginner Level",1,0)</f>
        <v>0</v>
      </c>
      <c r="AM242" s="14" t="n">
        <f aca="false">IF($H242="Expert Level",1,0)</f>
        <v>0</v>
      </c>
      <c r="AN242" s="14" t="n">
        <f aca="false">IF($H242="Intermediate Level",1,0)</f>
        <v>0</v>
      </c>
    </row>
    <row r="243" customFormat="false" ht="46.25" hidden="false" customHeight="false" outlineLevel="0" collapsed="false">
      <c r="A243" s="14" t="n">
        <v>671552</v>
      </c>
      <c r="B243" s="14" t="s">
        <v>530</v>
      </c>
      <c r="C243" s="14" t="s">
        <v>531</v>
      </c>
      <c r="D243" s="14" t="n">
        <v>100</v>
      </c>
      <c r="E243" s="14" t="n">
        <v>8691</v>
      </c>
      <c r="F243" s="14" t="n">
        <v>836</v>
      </c>
      <c r="G243" s="14" t="n">
        <v>63</v>
      </c>
      <c r="H243" s="14" t="s">
        <v>62</v>
      </c>
      <c r="I243" s="14" t="n">
        <v>0.69</v>
      </c>
      <c r="J243" s="14" t="n">
        <v>11</v>
      </c>
      <c r="K243" s="14" t="s">
        <v>59</v>
      </c>
      <c r="L243" s="14" t="n">
        <v>2015</v>
      </c>
      <c r="M243" s="14" t="n">
        <v>9.07004328643746</v>
      </c>
      <c r="N243" s="14" t="n">
        <v>4.60527018098843</v>
      </c>
      <c r="P243" s="14" t="n">
        <f aca="false">D243</f>
        <v>100</v>
      </c>
      <c r="Q243" s="14" t="n">
        <f aca="false">G243</f>
        <v>63</v>
      </c>
      <c r="R243" s="14" t="n">
        <f aca="false">J243</f>
        <v>11</v>
      </c>
      <c r="S243" s="14" t="n">
        <f aca="false">IF($L243=2012,1,0)</f>
        <v>0</v>
      </c>
      <c r="T243" s="14" t="n">
        <f aca="false">IF($L243=2013,1,0)</f>
        <v>0</v>
      </c>
      <c r="U243" s="14" t="n">
        <f aca="false">IF($L243=2014,1,0)</f>
        <v>0</v>
      </c>
      <c r="V243" s="14" t="n">
        <f aca="false">IF($L243=2015,1,0)</f>
        <v>1</v>
      </c>
      <c r="W243" s="14" t="n">
        <f aca="false">IF($L243=2016,1,0)</f>
        <v>0</v>
      </c>
      <c r="X243" s="14" t="n">
        <f aca="false">IF($L243=2017,1,0)</f>
        <v>0</v>
      </c>
      <c r="Y243" s="14" t="n">
        <f aca="false">IF($H243="Beginner Level",1,0)</f>
        <v>0</v>
      </c>
      <c r="Z243" s="14" t="n">
        <f aca="false">IF($H243="Expert Level",1,0)</f>
        <v>0</v>
      </c>
      <c r="AA243" s="14" t="n">
        <f aca="false">IF($H243="Intermediate Level",1,0)</f>
        <v>0</v>
      </c>
      <c r="AC243" s="14" t="n">
        <f aca="false">N243</f>
        <v>4.60527018098843</v>
      </c>
      <c r="AD243" s="14" t="n">
        <f aca="false">G243</f>
        <v>63</v>
      </c>
      <c r="AE243" s="14" t="n">
        <f aca="false">J243</f>
        <v>11</v>
      </c>
      <c r="AF243" s="14" t="n">
        <f aca="false">IF($L243=2012,1,0)</f>
        <v>0</v>
      </c>
      <c r="AG243" s="14" t="n">
        <f aca="false">IF($L243=2013,1,0)</f>
        <v>0</v>
      </c>
      <c r="AH243" s="14" t="n">
        <f aca="false">IF($L243=2014,1,0)</f>
        <v>0</v>
      </c>
      <c r="AI243" s="14" t="n">
        <f aca="false">IF($L243=2015,1,0)</f>
        <v>1</v>
      </c>
      <c r="AJ243" s="14" t="n">
        <f aca="false">IF($L243=2016,1,0)</f>
        <v>0</v>
      </c>
      <c r="AK243" s="14" t="n">
        <f aca="false">IF($L243=2017,1,0)</f>
        <v>0</v>
      </c>
      <c r="AL243" s="14" t="n">
        <f aca="false">IF($H243="Beginner Level",1,0)</f>
        <v>0</v>
      </c>
      <c r="AM243" s="14" t="n">
        <f aca="false">IF($H243="Expert Level",1,0)</f>
        <v>0</v>
      </c>
      <c r="AN243" s="14" t="n">
        <f aca="false">IF($H243="Intermediate Level",1,0)</f>
        <v>0</v>
      </c>
    </row>
    <row r="244" customFormat="false" ht="46.25" hidden="false" customHeight="false" outlineLevel="0" collapsed="false">
      <c r="A244" s="14" t="n">
        <v>797038</v>
      </c>
      <c r="B244" s="14" t="s">
        <v>532</v>
      </c>
      <c r="C244" s="14" t="s">
        <v>533</v>
      </c>
      <c r="D244" s="14" t="n">
        <v>170</v>
      </c>
      <c r="E244" s="14" t="n">
        <v>8625</v>
      </c>
      <c r="F244" s="14" t="n">
        <v>94</v>
      </c>
      <c r="G244" s="14" t="n">
        <v>73</v>
      </c>
      <c r="H244" s="14" t="s">
        <v>62</v>
      </c>
      <c r="I244" s="14" t="n">
        <v>0.98</v>
      </c>
      <c r="J244" s="14" t="n">
        <v>5</v>
      </c>
      <c r="K244" s="14" t="s">
        <v>59</v>
      </c>
      <c r="L244" s="14" t="n">
        <v>2016</v>
      </c>
      <c r="M244" s="14" t="n">
        <v>9.06242024189956</v>
      </c>
      <c r="N244" s="14" t="n">
        <v>5.13585725884964</v>
      </c>
      <c r="P244" s="14" t="n">
        <f aca="false">D244</f>
        <v>170</v>
      </c>
      <c r="Q244" s="14" t="n">
        <f aca="false">G244</f>
        <v>73</v>
      </c>
      <c r="R244" s="14" t="n">
        <f aca="false">J244</f>
        <v>5</v>
      </c>
      <c r="S244" s="14" t="n">
        <f aca="false">IF($L244=2012,1,0)</f>
        <v>0</v>
      </c>
      <c r="T244" s="14" t="n">
        <f aca="false">IF($L244=2013,1,0)</f>
        <v>0</v>
      </c>
      <c r="U244" s="14" t="n">
        <f aca="false">IF($L244=2014,1,0)</f>
        <v>0</v>
      </c>
      <c r="V244" s="14" t="n">
        <f aca="false">IF($L244=2015,1,0)</f>
        <v>0</v>
      </c>
      <c r="W244" s="14" t="n">
        <f aca="false">IF($L244=2016,1,0)</f>
        <v>1</v>
      </c>
      <c r="X244" s="14" t="n">
        <f aca="false">IF($L244=2017,1,0)</f>
        <v>0</v>
      </c>
      <c r="Y244" s="14" t="n">
        <f aca="false">IF($H244="Beginner Level",1,0)</f>
        <v>0</v>
      </c>
      <c r="Z244" s="14" t="n">
        <f aca="false">IF($H244="Expert Level",1,0)</f>
        <v>0</v>
      </c>
      <c r="AA244" s="14" t="n">
        <f aca="false">IF($H244="Intermediate Level",1,0)</f>
        <v>0</v>
      </c>
      <c r="AC244" s="14" t="n">
        <f aca="false">N244</f>
        <v>5.13585725884964</v>
      </c>
      <c r="AD244" s="14" t="n">
        <f aca="false">G244</f>
        <v>73</v>
      </c>
      <c r="AE244" s="14" t="n">
        <f aca="false">J244</f>
        <v>5</v>
      </c>
      <c r="AF244" s="14" t="n">
        <f aca="false">IF($L244=2012,1,0)</f>
        <v>0</v>
      </c>
      <c r="AG244" s="14" t="n">
        <f aca="false">IF($L244=2013,1,0)</f>
        <v>0</v>
      </c>
      <c r="AH244" s="14" t="n">
        <f aca="false">IF($L244=2014,1,0)</f>
        <v>0</v>
      </c>
      <c r="AI244" s="14" t="n">
        <f aca="false">IF($L244=2015,1,0)</f>
        <v>0</v>
      </c>
      <c r="AJ244" s="14" t="n">
        <f aca="false">IF($L244=2016,1,0)</f>
        <v>1</v>
      </c>
      <c r="AK244" s="14" t="n">
        <f aca="false">IF($L244=2017,1,0)</f>
        <v>0</v>
      </c>
      <c r="AL244" s="14" t="n">
        <f aca="false">IF($H244="Beginner Level",1,0)</f>
        <v>0</v>
      </c>
      <c r="AM244" s="14" t="n">
        <f aca="false">IF($H244="Expert Level",1,0)</f>
        <v>0</v>
      </c>
      <c r="AN244" s="14" t="n">
        <f aca="false">IF($H244="Intermediate Level",1,0)</f>
        <v>0</v>
      </c>
    </row>
    <row r="245" customFormat="false" ht="79.85" hidden="false" customHeight="false" outlineLevel="0" collapsed="false">
      <c r="A245" s="14" t="n">
        <v>856490</v>
      </c>
      <c r="B245" s="14" t="s">
        <v>534</v>
      </c>
      <c r="C245" s="14" t="s">
        <v>535</v>
      </c>
      <c r="D245" s="14" t="n">
        <v>95</v>
      </c>
      <c r="E245" s="14" t="n">
        <v>8594</v>
      </c>
      <c r="F245" s="14" t="n">
        <v>37</v>
      </c>
      <c r="G245" s="14" t="n">
        <v>18</v>
      </c>
      <c r="H245" s="14" t="s">
        <v>52</v>
      </c>
      <c r="I245" s="14" t="n">
        <v>0.77</v>
      </c>
      <c r="J245" s="14" t="n">
        <v>2</v>
      </c>
      <c r="K245" s="14" t="s">
        <v>59</v>
      </c>
      <c r="L245" s="14" t="n">
        <v>2016</v>
      </c>
      <c r="M245" s="14" t="n">
        <v>9.05881956433494</v>
      </c>
      <c r="N245" s="14" t="n">
        <v>4.55398214921866</v>
      </c>
      <c r="P245" s="14" t="n">
        <f aca="false">D245</f>
        <v>95</v>
      </c>
      <c r="Q245" s="14" t="n">
        <f aca="false">G245</f>
        <v>18</v>
      </c>
      <c r="R245" s="14" t="n">
        <f aca="false">J245</f>
        <v>2</v>
      </c>
      <c r="S245" s="14" t="n">
        <f aca="false">IF($L245=2012,1,0)</f>
        <v>0</v>
      </c>
      <c r="T245" s="14" t="n">
        <f aca="false">IF($L245=2013,1,0)</f>
        <v>0</v>
      </c>
      <c r="U245" s="14" t="n">
        <f aca="false">IF($L245=2014,1,0)</f>
        <v>0</v>
      </c>
      <c r="V245" s="14" t="n">
        <f aca="false">IF($L245=2015,1,0)</f>
        <v>0</v>
      </c>
      <c r="W245" s="14" t="n">
        <f aca="false">IF($L245=2016,1,0)</f>
        <v>1</v>
      </c>
      <c r="X245" s="14" t="n">
        <f aca="false">IF($L245=2017,1,0)</f>
        <v>0</v>
      </c>
      <c r="Y245" s="14" t="n">
        <f aca="false">IF($H245="Beginner Level",1,0)</f>
        <v>1</v>
      </c>
      <c r="Z245" s="14" t="n">
        <f aca="false">IF($H245="Expert Level",1,0)</f>
        <v>0</v>
      </c>
      <c r="AA245" s="14" t="n">
        <f aca="false">IF($H245="Intermediate Level",1,0)</f>
        <v>0</v>
      </c>
      <c r="AC245" s="14" t="n">
        <f aca="false">N245</f>
        <v>4.55398214921866</v>
      </c>
      <c r="AD245" s="14" t="n">
        <f aca="false">G245</f>
        <v>18</v>
      </c>
      <c r="AE245" s="14" t="n">
        <f aca="false">J245</f>
        <v>2</v>
      </c>
      <c r="AF245" s="14" t="n">
        <f aca="false">IF($L245=2012,1,0)</f>
        <v>0</v>
      </c>
      <c r="AG245" s="14" t="n">
        <f aca="false">IF($L245=2013,1,0)</f>
        <v>0</v>
      </c>
      <c r="AH245" s="14" t="n">
        <f aca="false">IF($L245=2014,1,0)</f>
        <v>0</v>
      </c>
      <c r="AI245" s="14" t="n">
        <f aca="false">IF($L245=2015,1,0)</f>
        <v>0</v>
      </c>
      <c r="AJ245" s="14" t="n">
        <f aca="false">IF($L245=2016,1,0)</f>
        <v>1</v>
      </c>
      <c r="AK245" s="14" t="n">
        <f aca="false">IF($L245=2017,1,0)</f>
        <v>0</v>
      </c>
      <c r="AL245" s="14" t="n">
        <f aca="false">IF($H245="Beginner Level",1,0)</f>
        <v>1</v>
      </c>
      <c r="AM245" s="14" t="n">
        <f aca="false">IF($H245="Expert Level",1,0)</f>
        <v>0</v>
      </c>
      <c r="AN245" s="14" t="n">
        <f aca="false">IF($H245="Intermediate Level",1,0)</f>
        <v>0</v>
      </c>
    </row>
    <row r="246" customFormat="false" ht="46.25" hidden="false" customHeight="false" outlineLevel="0" collapsed="false">
      <c r="A246" s="14" t="n">
        <v>59535</v>
      </c>
      <c r="B246" s="14" t="s">
        <v>536</v>
      </c>
      <c r="C246" s="14" t="s">
        <v>537</v>
      </c>
      <c r="D246" s="14" t="n">
        <v>0</v>
      </c>
      <c r="E246" s="14" t="n">
        <v>8592</v>
      </c>
      <c r="F246" s="14" t="n">
        <v>336</v>
      </c>
      <c r="G246" s="14" t="n">
        <v>35</v>
      </c>
      <c r="H246" s="14" t="s">
        <v>52</v>
      </c>
      <c r="I246" s="14" t="n">
        <v>0.8</v>
      </c>
      <c r="J246" s="14" t="n">
        <v>2.5</v>
      </c>
      <c r="K246" s="14" t="s">
        <v>53</v>
      </c>
      <c r="L246" s="14" t="n">
        <v>2013</v>
      </c>
      <c r="M246" s="14" t="n">
        <v>9.05858681674865</v>
      </c>
      <c r="N246" s="14" t="n">
        <v>-4.60517018598809</v>
      </c>
      <c r="P246" s="14" t="n">
        <f aca="false">D246</f>
        <v>0</v>
      </c>
      <c r="Q246" s="14" t="n">
        <f aca="false">G246</f>
        <v>35</v>
      </c>
      <c r="R246" s="14" t="n">
        <f aca="false">J246</f>
        <v>2.5</v>
      </c>
      <c r="S246" s="14" t="n">
        <f aca="false">IF($L246=2012,1,0)</f>
        <v>0</v>
      </c>
      <c r="T246" s="14" t="n">
        <f aca="false">IF($L246=2013,1,0)</f>
        <v>1</v>
      </c>
      <c r="U246" s="14" t="n">
        <f aca="false">IF($L246=2014,1,0)</f>
        <v>0</v>
      </c>
      <c r="V246" s="14" t="n">
        <f aca="false">IF($L246=2015,1,0)</f>
        <v>0</v>
      </c>
      <c r="W246" s="14" t="n">
        <f aca="false">IF($L246=2016,1,0)</f>
        <v>0</v>
      </c>
      <c r="X246" s="14" t="n">
        <f aca="false">IF($L246=2017,1,0)</f>
        <v>0</v>
      </c>
      <c r="Y246" s="14" t="n">
        <f aca="false">IF($H246="Beginner Level",1,0)</f>
        <v>1</v>
      </c>
      <c r="Z246" s="14" t="n">
        <f aca="false">IF($H246="Expert Level",1,0)</f>
        <v>0</v>
      </c>
      <c r="AA246" s="14" t="n">
        <f aca="false">IF($H246="Intermediate Level",1,0)</f>
        <v>0</v>
      </c>
      <c r="AC246" s="14" t="n">
        <f aca="false">N246</f>
        <v>-4.60517018598809</v>
      </c>
      <c r="AD246" s="14" t="n">
        <f aca="false">G246</f>
        <v>35</v>
      </c>
      <c r="AE246" s="14" t="n">
        <f aca="false">J246</f>
        <v>2.5</v>
      </c>
      <c r="AF246" s="14" t="n">
        <f aca="false">IF($L246=2012,1,0)</f>
        <v>0</v>
      </c>
      <c r="AG246" s="14" t="n">
        <f aca="false">IF($L246=2013,1,0)</f>
        <v>1</v>
      </c>
      <c r="AH246" s="14" t="n">
        <f aca="false">IF($L246=2014,1,0)</f>
        <v>0</v>
      </c>
      <c r="AI246" s="14" t="n">
        <f aca="false">IF($L246=2015,1,0)</f>
        <v>0</v>
      </c>
      <c r="AJ246" s="14" t="n">
        <f aca="false">IF($L246=2016,1,0)</f>
        <v>0</v>
      </c>
      <c r="AK246" s="14" t="n">
        <f aca="false">IF($L246=2017,1,0)</f>
        <v>0</v>
      </c>
      <c r="AL246" s="14" t="n">
        <f aca="false">IF($H246="Beginner Level",1,0)</f>
        <v>1</v>
      </c>
      <c r="AM246" s="14" t="n">
        <f aca="false">IF($H246="Expert Level",1,0)</f>
        <v>0</v>
      </c>
      <c r="AN246" s="14" t="n">
        <f aca="false">IF($H246="Intermediate Level",1,0)</f>
        <v>0</v>
      </c>
    </row>
    <row r="247" customFormat="false" ht="79.85" hidden="false" customHeight="false" outlineLevel="0" collapsed="false">
      <c r="A247" s="14" t="n">
        <v>570416</v>
      </c>
      <c r="B247" s="14" t="s">
        <v>538</v>
      </c>
      <c r="C247" s="14" t="s">
        <v>539</v>
      </c>
      <c r="D247" s="14" t="n">
        <v>200</v>
      </c>
      <c r="E247" s="14" t="n">
        <v>8577</v>
      </c>
      <c r="F247" s="14" t="n">
        <v>69</v>
      </c>
      <c r="G247" s="14" t="n">
        <v>31</v>
      </c>
      <c r="H247" s="14" t="s">
        <v>62</v>
      </c>
      <c r="I247" s="14" t="n">
        <v>0.22</v>
      </c>
      <c r="J247" s="14" t="n">
        <v>1.5</v>
      </c>
      <c r="K247" s="14" t="s">
        <v>59</v>
      </c>
      <c r="L247" s="14" t="n">
        <v>2015</v>
      </c>
      <c r="M247" s="14" t="n">
        <v>9.05683948099042</v>
      </c>
      <c r="N247" s="14" t="n">
        <v>5.29836736529808</v>
      </c>
      <c r="P247" s="14" t="n">
        <f aca="false">D247</f>
        <v>200</v>
      </c>
      <c r="Q247" s="14" t="n">
        <f aca="false">G247</f>
        <v>31</v>
      </c>
      <c r="R247" s="14" t="n">
        <f aca="false">J247</f>
        <v>1.5</v>
      </c>
      <c r="S247" s="14" t="n">
        <f aca="false">IF($L247=2012,1,0)</f>
        <v>0</v>
      </c>
      <c r="T247" s="14" t="n">
        <f aca="false">IF($L247=2013,1,0)</f>
        <v>0</v>
      </c>
      <c r="U247" s="14" t="n">
        <f aca="false">IF($L247=2014,1,0)</f>
        <v>0</v>
      </c>
      <c r="V247" s="14" t="n">
        <f aca="false">IF($L247=2015,1,0)</f>
        <v>1</v>
      </c>
      <c r="W247" s="14" t="n">
        <f aca="false">IF($L247=2016,1,0)</f>
        <v>0</v>
      </c>
      <c r="X247" s="14" t="n">
        <f aca="false">IF($L247=2017,1,0)</f>
        <v>0</v>
      </c>
      <c r="Y247" s="14" t="n">
        <f aca="false">IF($H247="Beginner Level",1,0)</f>
        <v>0</v>
      </c>
      <c r="Z247" s="14" t="n">
        <f aca="false">IF($H247="Expert Level",1,0)</f>
        <v>0</v>
      </c>
      <c r="AA247" s="14" t="n">
        <f aca="false">IF($H247="Intermediate Level",1,0)</f>
        <v>0</v>
      </c>
      <c r="AC247" s="14" t="n">
        <f aca="false">N247</f>
        <v>5.29836736529808</v>
      </c>
      <c r="AD247" s="14" t="n">
        <f aca="false">G247</f>
        <v>31</v>
      </c>
      <c r="AE247" s="14" t="n">
        <f aca="false">J247</f>
        <v>1.5</v>
      </c>
      <c r="AF247" s="14" t="n">
        <f aca="false">IF($L247=2012,1,0)</f>
        <v>0</v>
      </c>
      <c r="AG247" s="14" t="n">
        <f aca="false">IF($L247=2013,1,0)</f>
        <v>0</v>
      </c>
      <c r="AH247" s="14" t="n">
        <f aca="false">IF($L247=2014,1,0)</f>
        <v>0</v>
      </c>
      <c r="AI247" s="14" t="n">
        <f aca="false">IF($L247=2015,1,0)</f>
        <v>1</v>
      </c>
      <c r="AJ247" s="14" t="n">
        <f aca="false">IF($L247=2016,1,0)</f>
        <v>0</v>
      </c>
      <c r="AK247" s="14" t="n">
        <f aca="false">IF($L247=2017,1,0)</f>
        <v>0</v>
      </c>
      <c r="AL247" s="14" t="n">
        <f aca="false">IF($H247="Beginner Level",1,0)</f>
        <v>0</v>
      </c>
      <c r="AM247" s="14" t="n">
        <f aca="false">IF($H247="Expert Level",1,0)</f>
        <v>0</v>
      </c>
      <c r="AN247" s="14" t="n">
        <f aca="false">IF($H247="Intermediate Level",1,0)</f>
        <v>0</v>
      </c>
    </row>
    <row r="248" customFormat="false" ht="91" hidden="false" customHeight="false" outlineLevel="0" collapsed="false">
      <c r="A248" s="14" t="n">
        <v>758582</v>
      </c>
      <c r="B248" s="14" t="s">
        <v>540</v>
      </c>
      <c r="C248" s="14" t="s">
        <v>541</v>
      </c>
      <c r="D248" s="14" t="n">
        <v>150</v>
      </c>
      <c r="E248" s="14" t="n">
        <v>8496</v>
      </c>
      <c r="F248" s="14" t="n">
        <v>1838</v>
      </c>
      <c r="G248" s="14" t="n">
        <v>308</v>
      </c>
      <c r="H248" s="14" t="s">
        <v>62</v>
      </c>
      <c r="I248" s="14" t="n">
        <v>0.93</v>
      </c>
      <c r="J248" s="14" t="n">
        <v>29.5</v>
      </c>
      <c r="K248" s="14" t="s">
        <v>59</v>
      </c>
      <c r="L248" s="14" t="n">
        <v>2016</v>
      </c>
      <c r="M248" s="14" t="n">
        <v>9.04735074348172</v>
      </c>
      <c r="N248" s="14" t="n">
        <v>5.0107019585408</v>
      </c>
      <c r="P248" s="14" t="n">
        <f aca="false">D248</f>
        <v>150</v>
      </c>
      <c r="Q248" s="14" t="n">
        <f aca="false">G248</f>
        <v>308</v>
      </c>
      <c r="R248" s="14" t="n">
        <f aca="false">J248</f>
        <v>29.5</v>
      </c>
      <c r="S248" s="14" t="n">
        <f aca="false">IF($L248=2012,1,0)</f>
        <v>0</v>
      </c>
      <c r="T248" s="14" t="n">
        <f aca="false">IF($L248=2013,1,0)</f>
        <v>0</v>
      </c>
      <c r="U248" s="14" t="n">
        <f aca="false">IF($L248=2014,1,0)</f>
        <v>0</v>
      </c>
      <c r="V248" s="14" t="n">
        <f aca="false">IF($L248=2015,1,0)</f>
        <v>0</v>
      </c>
      <c r="W248" s="14" t="n">
        <f aca="false">IF($L248=2016,1,0)</f>
        <v>1</v>
      </c>
      <c r="X248" s="14" t="n">
        <f aca="false">IF($L248=2017,1,0)</f>
        <v>0</v>
      </c>
      <c r="Y248" s="14" t="n">
        <f aca="false">IF($H248="Beginner Level",1,0)</f>
        <v>0</v>
      </c>
      <c r="Z248" s="14" t="n">
        <f aca="false">IF($H248="Expert Level",1,0)</f>
        <v>0</v>
      </c>
      <c r="AA248" s="14" t="n">
        <f aca="false">IF($H248="Intermediate Level",1,0)</f>
        <v>0</v>
      </c>
      <c r="AC248" s="14" t="n">
        <f aca="false">N248</f>
        <v>5.0107019585408</v>
      </c>
      <c r="AD248" s="14" t="n">
        <f aca="false">G248</f>
        <v>308</v>
      </c>
      <c r="AE248" s="14" t="n">
        <f aca="false">J248</f>
        <v>29.5</v>
      </c>
      <c r="AF248" s="14" t="n">
        <f aca="false">IF($L248=2012,1,0)</f>
        <v>0</v>
      </c>
      <c r="AG248" s="14" t="n">
        <f aca="false">IF($L248=2013,1,0)</f>
        <v>0</v>
      </c>
      <c r="AH248" s="14" t="n">
        <f aca="false">IF($L248=2014,1,0)</f>
        <v>0</v>
      </c>
      <c r="AI248" s="14" t="n">
        <f aca="false">IF($L248=2015,1,0)</f>
        <v>0</v>
      </c>
      <c r="AJ248" s="14" t="n">
        <f aca="false">IF($L248=2016,1,0)</f>
        <v>1</v>
      </c>
      <c r="AK248" s="14" t="n">
        <f aca="false">IF($L248=2017,1,0)</f>
        <v>0</v>
      </c>
      <c r="AL248" s="14" t="n">
        <f aca="false">IF($H248="Beginner Level",1,0)</f>
        <v>0</v>
      </c>
      <c r="AM248" s="14" t="n">
        <f aca="false">IF($H248="Expert Level",1,0)</f>
        <v>0</v>
      </c>
      <c r="AN248" s="14" t="n">
        <f aca="false">IF($H248="Intermediate Level",1,0)</f>
        <v>0</v>
      </c>
    </row>
    <row r="249" customFormat="false" ht="57.45" hidden="false" customHeight="false" outlineLevel="0" collapsed="false">
      <c r="A249" s="14" t="n">
        <v>169144</v>
      </c>
      <c r="B249" s="14" t="s">
        <v>542</v>
      </c>
      <c r="C249" s="14" t="s">
        <v>543</v>
      </c>
      <c r="D249" s="14" t="n">
        <v>20</v>
      </c>
      <c r="E249" s="14" t="n">
        <v>8462</v>
      </c>
      <c r="F249" s="14" t="n">
        <v>50</v>
      </c>
      <c r="G249" s="14" t="n">
        <v>21</v>
      </c>
      <c r="H249" s="14" t="s">
        <v>52</v>
      </c>
      <c r="I249" s="14" t="n">
        <v>0.68</v>
      </c>
      <c r="J249" s="14" t="n">
        <v>2</v>
      </c>
      <c r="K249" s="14" t="s">
        <v>59</v>
      </c>
      <c r="L249" s="14" t="n">
        <v>2014</v>
      </c>
      <c r="M249" s="14" t="n">
        <v>9.04334083128001</v>
      </c>
      <c r="N249" s="14" t="n">
        <v>2.99623214859564</v>
      </c>
      <c r="P249" s="14" t="n">
        <f aca="false">D249</f>
        <v>20</v>
      </c>
      <c r="Q249" s="14" t="n">
        <f aca="false">G249</f>
        <v>21</v>
      </c>
      <c r="R249" s="14" t="n">
        <f aca="false">J249</f>
        <v>2</v>
      </c>
      <c r="S249" s="14" t="n">
        <f aca="false">IF($L249=2012,1,0)</f>
        <v>0</v>
      </c>
      <c r="T249" s="14" t="n">
        <f aca="false">IF($L249=2013,1,0)</f>
        <v>0</v>
      </c>
      <c r="U249" s="14" t="n">
        <f aca="false">IF($L249=2014,1,0)</f>
        <v>1</v>
      </c>
      <c r="V249" s="14" t="n">
        <f aca="false">IF($L249=2015,1,0)</f>
        <v>0</v>
      </c>
      <c r="W249" s="14" t="n">
        <f aca="false">IF($L249=2016,1,0)</f>
        <v>0</v>
      </c>
      <c r="X249" s="14" t="n">
        <f aca="false">IF($L249=2017,1,0)</f>
        <v>0</v>
      </c>
      <c r="Y249" s="14" t="n">
        <f aca="false">IF($H249="Beginner Level",1,0)</f>
        <v>1</v>
      </c>
      <c r="Z249" s="14" t="n">
        <f aca="false">IF($H249="Expert Level",1,0)</f>
        <v>0</v>
      </c>
      <c r="AA249" s="14" t="n">
        <f aca="false">IF($H249="Intermediate Level",1,0)</f>
        <v>0</v>
      </c>
      <c r="AC249" s="14" t="n">
        <f aca="false">N249</f>
        <v>2.99623214859564</v>
      </c>
      <c r="AD249" s="14" t="n">
        <f aca="false">G249</f>
        <v>21</v>
      </c>
      <c r="AE249" s="14" t="n">
        <f aca="false">J249</f>
        <v>2</v>
      </c>
      <c r="AF249" s="14" t="n">
        <f aca="false">IF($L249=2012,1,0)</f>
        <v>0</v>
      </c>
      <c r="AG249" s="14" t="n">
        <f aca="false">IF($L249=2013,1,0)</f>
        <v>0</v>
      </c>
      <c r="AH249" s="14" t="n">
        <f aca="false">IF($L249=2014,1,0)</f>
        <v>1</v>
      </c>
      <c r="AI249" s="14" t="n">
        <f aca="false">IF($L249=2015,1,0)</f>
        <v>0</v>
      </c>
      <c r="AJ249" s="14" t="n">
        <f aca="false">IF($L249=2016,1,0)</f>
        <v>0</v>
      </c>
      <c r="AK249" s="14" t="n">
        <f aca="false">IF($L249=2017,1,0)</f>
        <v>0</v>
      </c>
      <c r="AL249" s="14" t="n">
        <f aca="false">IF($H249="Beginner Level",1,0)</f>
        <v>1</v>
      </c>
      <c r="AM249" s="14" t="n">
        <f aca="false">IF($H249="Expert Level",1,0)</f>
        <v>0</v>
      </c>
      <c r="AN249" s="14" t="n">
        <f aca="false">IF($H249="Intermediate Level",1,0)</f>
        <v>0</v>
      </c>
    </row>
    <row r="250" customFormat="false" ht="46.25" hidden="false" customHeight="false" outlineLevel="0" collapsed="false">
      <c r="A250" s="14" t="n">
        <v>264790</v>
      </c>
      <c r="B250" s="14" t="s">
        <v>544</v>
      </c>
      <c r="C250" s="14" t="s">
        <v>545</v>
      </c>
      <c r="D250" s="14" t="n">
        <v>0</v>
      </c>
      <c r="E250" s="14" t="n">
        <v>8415</v>
      </c>
      <c r="F250" s="14" t="n">
        <v>56</v>
      </c>
      <c r="G250" s="14" t="n">
        <v>13</v>
      </c>
      <c r="H250" s="14" t="s">
        <v>62</v>
      </c>
      <c r="I250" s="14" t="n">
        <v>0.66</v>
      </c>
      <c r="J250" s="14" t="n">
        <v>1</v>
      </c>
      <c r="K250" s="14" t="s">
        <v>53</v>
      </c>
      <c r="L250" s="14" t="n">
        <v>2014</v>
      </c>
      <c r="M250" s="14" t="n">
        <v>9.03777110662491</v>
      </c>
      <c r="N250" s="14" t="n">
        <v>-4.60517018598809</v>
      </c>
      <c r="P250" s="14" t="n">
        <f aca="false">D250</f>
        <v>0</v>
      </c>
      <c r="Q250" s="14" t="n">
        <f aca="false">G250</f>
        <v>13</v>
      </c>
      <c r="R250" s="14" t="n">
        <f aca="false">J250</f>
        <v>1</v>
      </c>
      <c r="S250" s="14" t="n">
        <f aca="false">IF($L250=2012,1,0)</f>
        <v>0</v>
      </c>
      <c r="T250" s="14" t="n">
        <f aca="false">IF($L250=2013,1,0)</f>
        <v>0</v>
      </c>
      <c r="U250" s="14" t="n">
        <f aca="false">IF($L250=2014,1,0)</f>
        <v>1</v>
      </c>
      <c r="V250" s="14" t="n">
        <f aca="false">IF($L250=2015,1,0)</f>
        <v>0</v>
      </c>
      <c r="W250" s="14" t="n">
        <f aca="false">IF($L250=2016,1,0)</f>
        <v>0</v>
      </c>
      <c r="X250" s="14" t="n">
        <f aca="false">IF($L250=2017,1,0)</f>
        <v>0</v>
      </c>
      <c r="Y250" s="14" t="n">
        <f aca="false">IF($H250="Beginner Level",1,0)</f>
        <v>0</v>
      </c>
      <c r="Z250" s="14" t="n">
        <f aca="false">IF($H250="Expert Level",1,0)</f>
        <v>0</v>
      </c>
      <c r="AA250" s="14" t="n">
        <f aca="false">IF($H250="Intermediate Level",1,0)</f>
        <v>0</v>
      </c>
      <c r="AC250" s="14" t="n">
        <f aca="false">N250</f>
        <v>-4.60517018598809</v>
      </c>
      <c r="AD250" s="14" t="n">
        <f aca="false">G250</f>
        <v>13</v>
      </c>
      <c r="AE250" s="14" t="n">
        <f aca="false">J250</f>
        <v>1</v>
      </c>
      <c r="AF250" s="14" t="n">
        <f aca="false">IF($L250=2012,1,0)</f>
        <v>0</v>
      </c>
      <c r="AG250" s="14" t="n">
        <f aca="false">IF($L250=2013,1,0)</f>
        <v>0</v>
      </c>
      <c r="AH250" s="14" t="n">
        <f aca="false">IF($L250=2014,1,0)</f>
        <v>1</v>
      </c>
      <c r="AI250" s="14" t="n">
        <f aca="false">IF($L250=2015,1,0)</f>
        <v>0</v>
      </c>
      <c r="AJ250" s="14" t="n">
        <f aca="false">IF($L250=2016,1,0)</f>
        <v>0</v>
      </c>
      <c r="AK250" s="14" t="n">
        <f aca="false">IF($L250=2017,1,0)</f>
        <v>0</v>
      </c>
      <c r="AL250" s="14" t="n">
        <f aca="false">IF($H250="Beginner Level",1,0)</f>
        <v>0</v>
      </c>
      <c r="AM250" s="14" t="n">
        <f aca="false">IF($H250="Expert Level",1,0)</f>
        <v>0</v>
      </c>
      <c r="AN250" s="14" t="n">
        <f aca="false">IF($H250="Intermediate Level",1,0)</f>
        <v>0</v>
      </c>
    </row>
    <row r="251" customFormat="false" ht="46.25" hidden="false" customHeight="false" outlineLevel="0" collapsed="false">
      <c r="A251" s="14" t="n">
        <v>212624</v>
      </c>
      <c r="B251" s="14" t="s">
        <v>546</v>
      </c>
      <c r="C251" s="14" t="s">
        <v>547</v>
      </c>
      <c r="D251" s="14" t="n">
        <v>0</v>
      </c>
      <c r="E251" s="14" t="n">
        <v>8371</v>
      </c>
      <c r="F251" s="14" t="n">
        <v>212</v>
      </c>
      <c r="G251" s="14" t="n">
        <v>18</v>
      </c>
      <c r="H251" s="14" t="s">
        <v>62</v>
      </c>
      <c r="I251" s="14" t="n">
        <v>0.78</v>
      </c>
      <c r="J251" s="14" t="n">
        <v>1.5</v>
      </c>
      <c r="K251" s="14" t="s">
        <v>53</v>
      </c>
      <c r="L251" s="14" t="n">
        <v>2014</v>
      </c>
      <c r="M251" s="14" t="n">
        <v>9.03252863066006</v>
      </c>
      <c r="N251" s="14" t="n">
        <v>-4.60517018598809</v>
      </c>
      <c r="P251" s="14" t="n">
        <f aca="false">D251</f>
        <v>0</v>
      </c>
      <c r="Q251" s="14" t="n">
        <f aca="false">G251</f>
        <v>18</v>
      </c>
      <c r="R251" s="14" t="n">
        <f aca="false">J251</f>
        <v>1.5</v>
      </c>
      <c r="S251" s="14" t="n">
        <f aca="false">IF($L251=2012,1,0)</f>
        <v>0</v>
      </c>
      <c r="T251" s="14" t="n">
        <f aca="false">IF($L251=2013,1,0)</f>
        <v>0</v>
      </c>
      <c r="U251" s="14" t="n">
        <f aca="false">IF($L251=2014,1,0)</f>
        <v>1</v>
      </c>
      <c r="V251" s="14" t="n">
        <f aca="false">IF($L251=2015,1,0)</f>
        <v>0</v>
      </c>
      <c r="W251" s="14" t="n">
        <f aca="false">IF($L251=2016,1,0)</f>
        <v>0</v>
      </c>
      <c r="X251" s="14" t="n">
        <f aca="false">IF($L251=2017,1,0)</f>
        <v>0</v>
      </c>
      <c r="Y251" s="14" t="n">
        <f aca="false">IF($H251="Beginner Level",1,0)</f>
        <v>0</v>
      </c>
      <c r="Z251" s="14" t="n">
        <f aca="false">IF($H251="Expert Level",1,0)</f>
        <v>0</v>
      </c>
      <c r="AA251" s="14" t="n">
        <f aca="false">IF($H251="Intermediate Level",1,0)</f>
        <v>0</v>
      </c>
      <c r="AC251" s="14" t="n">
        <f aca="false">N251</f>
        <v>-4.60517018598809</v>
      </c>
      <c r="AD251" s="14" t="n">
        <f aca="false">G251</f>
        <v>18</v>
      </c>
      <c r="AE251" s="14" t="n">
        <f aca="false">J251</f>
        <v>1.5</v>
      </c>
      <c r="AF251" s="14" t="n">
        <f aca="false">IF($L251=2012,1,0)</f>
        <v>0</v>
      </c>
      <c r="AG251" s="14" t="n">
        <f aca="false">IF($L251=2013,1,0)</f>
        <v>0</v>
      </c>
      <c r="AH251" s="14" t="n">
        <f aca="false">IF($L251=2014,1,0)</f>
        <v>1</v>
      </c>
      <c r="AI251" s="14" t="n">
        <f aca="false">IF($L251=2015,1,0)</f>
        <v>0</v>
      </c>
      <c r="AJ251" s="14" t="n">
        <f aca="false">IF($L251=2016,1,0)</f>
        <v>0</v>
      </c>
      <c r="AK251" s="14" t="n">
        <f aca="false">IF($L251=2017,1,0)</f>
        <v>0</v>
      </c>
      <c r="AL251" s="14" t="n">
        <f aca="false">IF($H251="Beginner Level",1,0)</f>
        <v>0</v>
      </c>
      <c r="AM251" s="14" t="n">
        <f aca="false">IF($H251="Expert Level",1,0)</f>
        <v>0</v>
      </c>
      <c r="AN251" s="14" t="n">
        <f aca="false">IF($H251="Intermediate Level",1,0)</f>
        <v>0</v>
      </c>
    </row>
    <row r="252" customFormat="false" ht="57.45" hidden="false" customHeight="false" outlineLevel="0" collapsed="false">
      <c r="A252" s="14" t="n">
        <v>311538</v>
      </c>
      <c r="B252" s="14" t="s">
        <v>548</v>
      </c>
      <c r="C252" s="14" t="s">
        <v>549</v>
      </c>
      <c r="D252" s="14" t="n">
        <v>0</v>
      </c>
      <c r="E252" s="14" t="n">
        <v>8337</v>
      </c>
      <c r="F252" s="14" t="n">
        <v>300</v>
      </c>
      <c r="G252" s="14" t="n">
        <v>129</v>
      </c>
      <c r="H252" s="14" t="s">
        <v>62</v>
      </c>
      <c r="I252" s="14" t="n">
        <v>0.53</v>
      </c>
      <c r="J252" s="14" t="n">
        <v>20.5</v>
      </c>
      <c r="K252" s="14" t="s">
        <v>53</v>
      </c>
      <c r="L252" s="14" t="n">
        <v>2014</v>
      </c>
      <c r="M252" s="14" t="n">
        <v>9.02845871841061</v>
      </c>
      <c r="N252" s="14" t="n">
        <v>-4.60517018598809</v>
      </c>
      <c r="P252" s="14" t="n">
        <f aca="false">D252</f>
        <v>0</v>
      </c>
      <c r="Q252" s="14" t="n">
        <f aca="false">G252</f>
        <v>129</v>
      </c>
      <c r="R252" s="14" t="n">
        <f aca="false">J252</f>
        <v>20.5</v>
      </c>
      <c r="S252" s="14" t="n">
        <f aca="false">IF($L252=2012,1,0)</f>
        <v>0</v>
      </c>
      <c r="T252" s="14" t="n">
        <f aca="false">IF($L252=2013,1,0)</f>
        <v>0</v>
      </c>
      <c r="U252" s="14" t="n">
        <f aca="false">IF($L252=2014,1,0)</f>
        <v>1</v>
      </c>
      <c r="V252" s="14" t="n">
        <f aca="false">IF($L252=2015,1,0)</f>
        <v>0</v>
      </c>
      <c r="W252" s="14" t="n">
        <f aca="false">IF($L252=2016,1,0)</f>
        <v>0</v>
      </c>
      <c r="X252" s="14" t="n">
        <f aca="false">IF($L252=2017,1,0)</f>
        <v>0</v>
      </c>
      <c r="Y252" s="14" t="n">
        <f aca="false">IF($H252="Beginner Level",1,0)</f>
        <v>0</v>
      </c>
      <c r="Z252" s="14" t="n">
        <f aca="false">IF($H252="Expert Level",1,0)</f>
        <v>0</v>
      </c>
      <c r="AA252" s="14" t="n">
        <f aca="false">IF($H252="Intermediate Level",1,0)</f>
        <v>0</v>
      </c>
      <c r="AC252" s="14" t="n">
        <f aca="false">N252</f>
        <v>-4.60517018598809</v>
      </c>
      <c r="AD252" s="14" t="n">
        <f aca="false">G252</f>
        <v>129</v>
      </c>
      <c r="AE252" s="14" t="n">
        <f aca="false">J252</f>
        <v>20.5</v>
      </c>
      <c r="AF252" s="14" t="n">
        <f aca="false">IF($L252=2012,1,0)</f>
        <v>0</v>
      </c>
      <c r="AG252" s="14" t="n">
        <f aca="false">IF($L252=2013,1,0)</f>
        <v>0</v>
      </c>
      <c r="AH252" s="14" t="n">
        <f aca="false">IF($L252=2014,1,0)</f>
        <v>1</v>
      </c>
      <c r="AI252" s="14" t="n">
        <f aca="false">IF($L252=2015,1,0)</f>
        <v>0</v>
      </c>
      <c r="AJ252" s="14" t="n">
        <f aca="false">IF($L252=2016,1,0)</f>
        <v>0</v>
      </c>
      <c r="AK252" s="14" t="n">
        <f aca="false">IF($L252=2017,1,0)</f>
        <v>0</v>
      </c>
      <c r="AL252" s="14" t="n">
        <f aca="false">IF($H252="Beginner Level",1,0)</f>
        <v>0</v>
      </c>
      <c r="AM252" s="14" t="n">
        <f aca="false">IF($H252="Expert Level",1,0)</f>
        <v>0</v>
      </c>
      <c r="AN252" s="14" t="n">
        <f aca="false">IF($H252="Intermediate Level",1,0)</f>
        <v>0</v>
      </c>
    </row>
    <row r="253" customFormat="false" ht="79.85" hidden="false" customHeight="false" outlineLevel="0" collapsed="false">
      <c r="A253" s="14" t="n">
        <v>639848</v>
      </c>
      <c r="B253" s="14" t="s">
        <v>550</v>
      </c>
      <c r="C253" s="14" t="s">
        <v>551</v>
      </c>
      <c r="D253" s="14" t="n">
        <v>20</v>
      </c>
      <c r="E253" s="14" t="n">
        <v>8320</v>
      </c>
      <c r="F253" s="14" t="n">
        <v>73</v>
      </c>
      <c r="G253" s="14" t="n">
        <v>11</v>
      </c>
      <c r="H253" s="14" t="s">
        <v>62</v>
      </c>
      <c r="I253" s="14" t="n">
        <v>0.3</v>
      </c>
      <c r="J253" s="14" t="n">
        <v>0.71666667</v>
      </c>
      <c r="K253" s="14" t="s">
        <v>59</v>
      </c>
      <c r="L253" s="14" t="n">
        <v>2015</v>
      </c>
      <c r="M253" s="14" t="n">
        <v>9.02641753381525</v>
      </c>
      <c r="N253" s="14" t="n">
        <v>2.99623214859564</v>
      </c>
      <c r="P253" s="14" t="n">
        <f aca="false">D253</f>
        <v>20</v>
      </c>
      <c r="Q253" s="14" t="n">
        <f aca="false">G253</f>
        <v>11</v>
      </c>
      <c r="R253" s="14" t="n">
        <f aca="false">J253</f>
        <v>0.71666667</v>
      </c>
      <c r="S253" s="14" t="n">
        <f aca="false">IF($L253=2012,1,0)</f>
        <v>0</v>
      </c>
      <c r="T253" s="14" t="n">
        <f aca="false">IF($L253=2013,1,0)</f>
        <v>0</v>
      </c>
      <c r="U253" s="14" t="n">
        <f aca="false">IF($L253=2014,1,0)</f>
        <v>0</v>
      </c>
      <c r="V253" s="14" t="n">
        <f aca="false">IF($L253=2015,1,0)</f>
        <v>1</v>
      </c>
      <c r="W253" s="14" t="n">
        <f aca="false">IF($L253=2016,1,0)</f>
        <v>0</v>
      </c>
      <c r="X253" s="14" t="n">
        <f aca="false">IF($L253=2017,1,0)</f>
        <v>0</v>
      </c>
      <c r="Y253" s="14" t="n">
        <f aca="false">IF($H253="Beginner Level",1,0)</f>
        <v>0</v>
      </c>
      <c r="Z253" s="14" t="n">
        <f aca="false">IF($H253="Expert Level",1,0)</f>
        <v>0</v>
      </c>
      <c r="AA253" s="14" t="n">
        <f aca="false">IF($H253="Intermediate Level",1,0)</f>
        <v>0</v>
      </c>
      <c r="AC253" s="14" t="n">
        <f aca="false">N253</f>
        <v>2.99623214859564</v>
      </c>
      <c r="AD253" s="14" t="n">
        <f aca="false">G253</f>
        <v>11</v>
      </c>
      <c r="AE253" s="14" t="n">
        <f aca="false">J253</f>
        <v>0.71666667</v>
      </c>
      <c r="AF253" s="14" t="n">
        <f aca="false">IF($L253=2012,1,0)</f>
        <v>0</v>
      </c>
      <c r="AG253" s="14" t="n">
        <f aca="false">IF($L253=2013,1,0)</f>
        <v>0</v>
      </c>
      <c r="AH253" s="14" t="n">
        <f aca="false">IF($L253=2014,1,0)</f>
        <v>0</v>
      </c>
      <c r="AI253" s="14" t="n">
        <f aca="false">IF($L253=2015,1,0)</f>
        <v>1</v>
      </c>
      <c r="AJ253" s="14" t="n">
        <f aca="false">IF($L253=2016,1,0)</f>
        <v>0</v>
      </c>
      <c r="AK253" s="14" t="n">
        <f aca="false">IF($L253=2017,1,0)</f>
        <v>0</v>
      </c>
      <c r="AL253" s="14" t="n">
        <f aca="false">IF($H253="Beginner Level",1,0)</f>
        <v>0</v>
      </c>
      <c r="AM253" s="14" t="n">
        <f aca="false">IF($H253="Expert Level",1,0)</f>
        <v>0</v>
      </c>
      <c r="AN253" s="14" t="n">
        <f aca="false">IF($H253="Intermediate Level",1,0)</f>
        <v>0</v>
      </c>
    </row>
    <row r="254" customFormat="false" ht="79.85" hidden="false" customHeight="false" outlineLevel="0" collapsed="false">
      <c r="A254" s="14" t="n">
        <v>641868</v>
      </c>
      <c r="B254" s="14" t="s">
        <v>552</v>
      </c>
      <c r="C254" s="14" t="s">
        <v>553</v>
      </c>
      <c r="D254" s="14" t="n">
        <v>25</v>
      </c>
      <c r="E254" s="14" t="n">
        <v>8234</v>
      </c>
      <c r="F254" s="14" t="n">
        <v>1111</v>
      </c>
      <c r="G254" s="14" t="n">
        <v>110</v>
      </c>
      <c r="H254" s="14" t="s">
        <v>62</v>
      </c>
      <c r="I254" s="14" t="n">
        <v>0.78</v>
      </c>
      <c r="J254" s="14" t="n">
        <v>7.5</v>
      </c>
      <c r="K254" s="14" t="s">
        <v>59</v>
      </c>
      <c r="L254" s="14" t="n">
        <v>2015</v>
      </c>
      <c r="M254" s="14" t="n">
        <v>9.01602720232985</v>
      </c>
      <c r="N254" s="14" t="n">
        <v>3.21927574488953</v>
      </c>
      <c r="P254" s="14" t="n">
        <f aca="false">D254</f>
        <v>25</v>
      </c>
      <c r="Q254" s="14" t="n">
        <f aca="false">G254</f>
        <v>110</v>
      </c>
      <c r="R254" s="14" t="n">
        <f aca="false">J254</f>
        <v>7.5</v>
      </c>
      <c r="S254" s="14" t="n">
        <f aca="false">IF($L254=2012,1,0)</f>
        <v>0</v>
      </c>
      <c r="T254" s="14" t="n">
        <f aca="false">IF($L254=2013,1,0)</f>
        <v>0</v>
      </c>
      <c r="U254" s="14" t="n">
        <f aca="false">IF($L254=2014,1,0)</f>
        <v>0</v>
      </c>
      <c r="V254" s="14" t="n">
        <f aca="false">IF($L254=2015,1,0)</f>
        <v>1</v>
      </c>
      <c r="W254" s="14" t="n">
        <f aca="false">IF($L254=2016,1,0)</f>
        <v>0</v>
      </c>
      <c r="X254" s="14" t="n">
        <f aca="false">IF($L254=2017,1,0)</f>
        <v>0</v>
      </c>
      <c r="Y254" s="14" t="n">
        <f aca="false">IF($H254="Beginner Level",1,0)</f>
        <v>0</v>
      </c>
      <c r="Z254" s="14" t="n">
        <f aca="false">IF($H254="Expert Level",1,0)</f>
        <v>0</v>
      </c>
      <c r="AA254" s="14" t="n">
        <f aca="false">IF($H254="Intermediate Level",1,0)</f>
        <v>0</v>
      </c>
      <c r="AC254" s="14" t="n">
        <f aca="false">N254</f>
        <v>3.21927574488953</v>
      </c>
      <c r="AD254" s="14" t="n">
        <f aca="false">G254</f>
        <v>110</v>
      </c>
      <c r="AE254" s="14" t="n">
        <f aca="false">J254</f>
        <v>7.5</v>
      </c>
      <c r="AF254" s="14" t="n">
        <f aca="false">IF($L254=2012,1,0)</f>
        <v>0</v>
      </c>
      <c r="AG254" s="14" t="n">
        <f aca="false">IF($L254=2013,1,0)</f>
        <v>0</v>
      </c>
      <c r="AH254" s="14" t="n">
        <f aca="false">IF($L254=2014,1,0)</f>
        <v>0</v>
      </c>
      <c r="AI254" s="14" t="n">
        <f aca="false">IF($L254=2015,1,0)</f>
        <v>1</v>
      </c>
      <c r="AJ254" s="14" t="n">
        <f aca="false">IF($L254=2016,1,0)</f>
        <v>0</v>
      </c>
      <c r="AK254" s="14" t="n">
        <f aca="false">IF($L254=2017,1,0)</f>
        <v>0</v>
      </c>
      <c r="AL254" s="14" t="n">
        <f aca="false">IF($H254="Beginner Level",1,0)</f>
        <v>0</v>
      </c>
      <c r="AM254" s="14" t="n">
        <f aca="false">IF($H254="Expert Level",1,0)</f>
        <v>0</v>
      </c>
      <c r="AN254" s="14" t="n">
        <f aca="false">IF($H254="Intermediate Level",1,0)</f>
        <v>0</v>
      </c>
    </row>
    <row r="255" customFormat="false" ht="91" hidden="false" customHeight="false" outlineLevel="0" collapsed="false">
      <c r="A255" s="14" t="n">
        <v>674646</v>
      </c>
      <c r="B255" s="14" t="s">
        <v>554</v>
      </c>
      <c r="C255" s="14" t="s">
        <v>555</v>
      </c>
      <c r="D255" s="14" t="n">
        <v>75</v>
      </c>
      <c r="E255" s="14" t="n">
        <v>8067</v>
      </c>
      <c r="F255" s="14" t="n">
        <v>30</v>
      </c>
      <c r="G255" s="14" t="n">
        <v>44</v>
      </c>
      <c r="H255" s="14" t="s">
        <v>62</v>
      </c>
      <c r="I255" s="14" t="n">
        <v>0.24</v>
      </c>
      <c r="J255" s="14" t="n">
        <v>3.5</v>
      </c>
      <c r="K255" s="14" t="s">
        <v>59</v>
      </c>
      <c r="L255" s="14" t="n">
        <v>2015</v>
      </c>
      <c r="M255" s="14" t="n">
        <v>8.99553694493697</v>
      </c>
      <c r="N255" s="14" t="n">
        <v>4.31762143798155</v>
      </c>
      <c r="P255" s="14" t="n">
        <f aca="false">D255</f>
        <v>75</v>
      </c>
      <c r="Q255" s="14" t="n">
        <f aca="false">G255</f>
        <v>44</v>
      </c>
      <c r="R255" s="14" t="n">
        <f aca="false">J255</f>
        <v>3.5</v>
      </c>
      <c r="S255" s="14" t="n">
        <f aca="false">IF($L255=2012,1,0)</f>
        <v>0</v>
      </c>
      <c r="T255" s="14" t="n">
        <f aca="false">IF($L255=2013,1,0)</f>
        <v>0</v>
      </c>
      <c r="U255" s="14" t="n">
        <f aca="false">IF($L255=2014,1,0)</f>
        <v>0</v>
      </c>
      <c r="V255" s="14" t="n">
        <f aca="false">IF($L255=2015,1,0)</f>
        <v>1</v>
      </c>
      <c r="W255" s="14" t="n">
        <f aca="false">IF($L255=2016,1,0)</f>
        <v>0</v>
      </c>
      <c r="X255" s="14" t="n">
        <f aca="false">IF($L255=2017,1,0)</f>
        <v>0</v>
      </c>
      <c r="Y255" s="14" t="n">
        <f aca="false">IF($H255="Beginner Level",1,0)</f>
        <v>0</v>
      </c>
      <c r="Z255" s="14" t="n">
        <f aca="false">IF($H255="Expert Level",1,0)</f>
        <v>0</v>
      </c>
      <c r="AA255" s="14" t="n">
        <f aca="false">IF($H255="Intermediate Level",1,0)</f>
        <v>0</v>
      </c>
      <c r="AC255" s="14" t="n">
        <f aca="false">N255</f>
        <v>4.31762143798155</v>
      </c>
      <c r="AD255" s="14" t="n">
        <f aca="false">G255</f>
        <v>44</v>
      </c>
      <c r="AE255" s="14" t="n">
        <f aca="false">J255</f>
        <v>3.5</v>
      </c>
      <c r="AF255" s="14" t="n">
        <f aca="false">IF($L255=2012,1,0)</f>
        <v>0</v>
      </c>
      <c r="AG255" s="14" t="n">
        <f aca="false">IF($L255=2013,1,0)</f>
        <v>0</v>
      </c>
      <c r="AH255" s="14" t="n">
        <f aca="false">IF($L255=2014,1,0)</f>
        <v>0</v>
      </c>
      <c r="AI255" s="14" t="n">
        <f aca="false">IF($L255=2015,1,0)</f>
        <v>1</v>
      </c>
      <c r="AJ255" s="14" t="n">
        <f aca="false">IF($L255=2016,1,0)</f>
        <v>0</v>
      </c>
      <c r="AK255" s="14" t="n">
        <f aca="false">IF($L255=2017,1,0)</f>
        <v>0</v>
      </c>
      <c r="AL255" s="14" t="n">
        <f aca="false">IF($H255="Beginner Level",1,0)</f>
        <v>0</v>
      </c>
      <c r="AM255" s="14" t="n">
        <f aca="false">IF($H255="Expert Level",1,0)</f>
        <v>0</v>
      </c>
      <c r="AN255" s="14" t="n">
        <f aca="false">IF($H255="Intermediate Level",1,0)</f>
        <v>0</v>
      </c>
    </row>
    <row r="256" customFormat="false" ht="57.45" hidden="false" customHeight="false" outlineLevel="0" collapsed="false">
      <c r="A256" s="14" t="n">
        <v>906700</v>
      </c>
      <c r="B256" s="14" t="s">
        <v>556</v>
      </c>
      <c r="C256" s="14" t="s">
        <v>557</v>
      </c>
      <c r="D256" s="14" t="n">
        <v>40</v>
      </c>
      <c r="E256" s="14" t="n">
        <v>8059</v>
      </c>
      <c r="F256" s="14" t="n">
        <v>231</v>
      </c>
      <c r="G256" s="14" t="n">
        <v>39</v>
      </c>
      <c r="H256" s="14" t="s">
        <v>62</v>
      </c>
      <c r="I256" s="14" t="n">
        <v>0.05</v>
      </c>
      <c r="J256" s="14" t="n">
        <v>2</v>
      </c>
      <c r="K256" s="14" t="s">
        <v>59</v>
      </c>
      <c r="L256" s="14" t="n">
        <v>2016</v>
      </c>
      <c r="M256" s="14" t="n">
        <v>8.99454475832451</v>
      </c>
      <c r="N256" s="14" t="n">
        <v>3.68912942286914</v>
      </c>
      <c r="P256" s="14" t="n">
        <f aca="false">D256</f>
        <v>40</v>
      </c>
      <c r="Q256" s="14" t="n">
        <f aca="false">G256</f>
        <v>39</v>
      </c>
      <c r="R256" s="14" t="n">
        <f aca="false">J256</f>
        <v>2</v>
      </c>
      <c r="S256" s="14" t="n">
        <f aca="false">IF($L256=2012,1,0)</f>
        <v>0</v>
      </c>
      <c r="T256" s="14" t="n">
        <f aca="false">IF($L256=2013,1,0)</f>
        <v>0</v>
      </c>
      <c r="U256" s="14" t="n">
        <f aca="false">IF($L256=2014,1,0)</f>
        <v>0</v>
      </c>
      <c r="V256" s="14" t="n">
        <f aca="false">IF($L256=2015,1,0)</f>
        <v>0</v>
      </c>
      <c r="W256" s="14" t="n">
        <f aca="false">IF($L256=2016,1,0)</f>
        <v>1</v>
      </c>
      <c r="X256" s="14" t="n">
        <f aca="false">IF($L256=2017,1,0)</f>
        <v>0</v>
      </c>
      <c r="Y256" s="14" t="n">
        <f aca="false">IF($H256="Beginner Level",1,0)</f>
        <v>0</v>
      </c>
      <c r="Z256" s="14" t="n">
        <f aca="false">IF($H256="Expert Level",1,0)</f>
        <v>0</v>
      </c>
      <c r="AA256" s="14" t="n">
        <f aca="false">IF($H256="Intermediate Level",1,0)</f>
        <v>0</v>
      </c>
      <c r="AC256" s="14" t="n">
        <f aca="false">N256</f>
        <v>3.68912942286914</v>
      </c>
      <c r="AD256" s="14" t="n">
        <f aca="false">G256</f>
        <v>39</v>
      </c>
      <c r="AE256" s="14" t="n">
        <f aca="false">J256</f>
        <v>2</v>
      </c>
      <c r="AF256" s="14" t="n">
        <f aca="false">IF($L256=2012,1,0)</f>
        <v>0</v>
      </c>
      <c r="AG256" s="14" t="n">
        <f aca="false">IF($L256=2013,1,0)</f>
        <v>0</v>
      </c>
      <c r="AH256" s="14" t="n">
        <f aca="false">IF($L256=2014,1,0)</f>
        <v>0</v>
      </c>
      <c r="AI256" s="14" t="n">
        <f aca="false">IF($L256=2015,1,0)</f>
        <v>0</v>
      </c>
      <c r="AJ256" s="14" t="n">
        <f aca="false">IF($L256=2016,1,0)</f>
        <v>1</v>
      </c>
      <c r="AK256" s="14" t="n">
        <f aca="false">IF($L256=2017,1,0)</f>
        <v>0</v>
      </c>
      <c r="AL256" s="14" t="n">
        <f aca="false">IF($H256="Beginner Level",1,0)</f>
        <v>0</v>
      </c>
      <c r="AM256" s="14" t="n">
        <f aca="false">IF($H256="Expert Level",1,0)</f>
        <v>0</v>
      </c>
      <c r="AN256" s="14" t="n">
        <f aca="false">IF($H256="Intermediate Level",1,0)</f>
        <v>0</v>
      </c>
    </row>
    <row r="257" customFormat="false" ht="91" hidden="false" customHeight="false" outlineLevel="0" collapsed="false">
      <c r="A257" s="14" t="n">
        <v>1090870</v>
      </c>
      <c r="B257" s="14" t="s">
        <v>558</v>
      </c>
      <c r="C257" s="14" t="s">
        <v>559</v>
      </c>
      <c r="D257" s="14" t="n">
        <v>0</v>
      </c>
      <c r="E257" s="14" t="n">
        <v>7922</v>
      </c>
      <c r="F257" s="14" t="n">
        <v>183</v>
      </c>
      <c r="G257" s="14" t="n">
        <v>16</v>
      </c>
      <c r="H257" s="14" t="s">
        <v>52</v>
      </c>
      <c r="I257" s="14" t="n">
        <v>0.69</v>
      </c>
      <c r="J257" s="14" t="n">
        <v>1.5</v>
      </c>
      <c r="K257" s="14" t="s">
        <v>53</v>
      </c>
      <c r="L257" s="14" t="n">
        <v>2017</v>
      </c>
      <c r="M257" s="14" t="n">
        <v>8.97739897818186</v>
      </c>
      <c r="N257" s="14" t="n">
        <v>-4.60517018598809</v>
      </c>
      <c r="P257" s="14" t="n">
        <f aca="false">D257</f>
        <v>0</v>
      </c>
      <c r="Q257" s="14" t="n">
        <f aca="false">G257</f>
        <v>16</v>
      </c>
      <c r="R257" s="14" t="n">
        <f aca="false">J257</f>
        <v>1.5</v>
      </c>
      <c r="S257" s="14" t="n">
        <f aca="false">IF($L257=2012,1,0)</f>
        <v>0</v>
      </c>
      <c r="T257" s="14" t="n">
        <f aca="false">IF($L257=2013,1,0)</f>
        <v>0</v>
      </c>
      <c r="U257" s="14" t="n">
        <f aca="false">IF($L257=2014,1,0)</f>
        <v>0</v>
      </c>
      <c r="V257" s="14" t="n">
        <f aca="false">IF($L257=2015,1,0)</f>
        <v>0</v>
      </c>
      <c r="W257" s="14" t="n">
        <f aca="false">IF($L257=2016,1,0)</f>
        <v>0</v>
      </c>
      <c r="X257" s="14" t="n">
        <f aca="false">IF($L257=2017,1,0)</f>
        <v>1</v>
      </c>
      <c r="Y257" s="14" t="n">
        <f aca="false">IF($H257="Beginner Level",1,0)</f>
        <v>1</v>
      </c>
      <c r="Z257" s="14" t="n">
        <f aca="false">IF($H257="Expert Level",1,0)</f>
        <v>0</v>
      </c>
      <c r="AA257" s="14" t="n">
        <f aca="false">IF($H257="Intermediate Level",1,0)</f>
        <v>0</v>
      </c>
      <c r="AC257" s="14" t="n">
        <f aca="false">N257</f>
        <v>-4.60517018598809</v>
      </c>
      <c r="AD257" s="14" t="n">
        <f aca="false">G257</f>
        <v>16</v>
      </c>
      <c r="AE257" s="14" t="n">
        <f aca="false">J257</f>
        <v>1.5</v>
      </c>
      <c r="AF257" s="14" t="n">
        <f aca="false">IF($L257=2012,1,0)</f>
        <v>0</v>
      </c>
      <c r="AG257" s="14" t="n">
        <f aca="false">IF($L257=2013,1,0)</f>
        <v>0</v>
      </c>
      <c r="AH257" s="14" t="n">
        <f aca="false">IF($L257=2014,1,0)</f>
        <v>0</v>
      </c>
      <c r="AI257" s="14" t="n">
        <f aca="false">IF($L257=2015,1,0)</f>
        <v>0</v>
      </c>
      <c r="AJ257" s="14" t="n">
        <f aca="false">IF($L257=2016,1,0)</f>
        <v>0</v>
      </c>
      <c r="AK257" s="14" t="n">
        <f aca="false">IF($L257=2017,1,0)</f>
        <v>1</v>
      </c>
      <c r="AL257" s="14" t="n">
        <f aca="false">IF($H257="Beginner Level",1,0)</f>
        <v>1</v>
      </c>
      <c r="AM257" s="14" t="n">
        <f aca="false">IF($H257="Expert Level",1,0)</f>
        <v>0</v>
      </c>
      <c r="AN257" s="14" t="n">
        <f aca="false">IF($H257="Intermediate Level",1,0)</f>
        <v>0</v>
      </c>
    </row>
    <row r="258" customFormat="false" ht="57.45" hidden="false" customHeight="false" outlineLevel="0" collapsed="false">
      <c r="A258" s="14" t="n">
        <v>866696</v>
      </c>
      <c r="B258" s="14" t="s">
        <v>560</v>
      </c>
      <c r="C258" s="14" t="s">
        <v>561</v>
      </c>
      <c r="D258" s="14" t="n">
        <v>0</v>
      </c>
      <c r="E258" s="14" t="n">
        <v>7905</v>
      </c>
      <c r="F258" s="14" t="n">
        <v>561</v>
      </c>
      <c r="G258" s="14" t="n">
        <v>5</v>
      </c>
      <c r="H258" s="14" t="s">
        <v>62</v>
      </c>
      <c r="I258" s="14" t="n">
        <v>0.66</v>
      </c>
      <c r="J258" s="14" t="n">
        <v>0.68333333</v>
      </c>
      <c r="K258" s="14" t="s">
        <v>53</v>
      </c>
      <c r="L258" s="14" t="n">
        <v>2016</v>
      </c>
      <c r="M258" s="14" t="n">
        <v>8.97525074964357</v>
      </c>
      <c r="N258" s="14" t="n">
        <v>-4.60517018598809</v>
      </c>
      <c r="P258" s="14" t="n">
        <f aca="false">D258</f>
        <v>0</v>
      </c>
      <c r="Q258" s="14" t="n">
        <f aca="false">G258</f>
        <v>5</v>
      </c>
      <c r="R258" s="14" t="n">
        <f aca="false">J258</f>
        <v>0.68333333</v>
      </c>
      <c r="S258" s="14" t="n">
        <f aca="false">IF($L258=2012,1,0)</f>
        <v>0</v>
      </c>
      <c r="T258" s="14" t="n">
        <f aca="false">IF($L258=2013,1,0)</f>
        <v>0</v>
      </c>
      <c r="U258" s="14" t="n">
        <f aca="false">IF($L258=2014,1,0)</f>
        <v>0</v>
      </c>
      <c r="V258" s="14" t="n">
        <f aca="false">IF($L258=2015,1,0)</f>
        <v>0</v>
      </c>
      <c r="W258" s="14" t="n">
        <f aca="false">IF($L258=2016,1,0)</f>
        <v>1</v>
      </c>
      <c r="X258" s="14" t="n">
        <f aca="false">IF($L258=2017,1,0)</f>
        <v>0</v>
      </c>
      <c r="Y258" s="14" t="n">
        <f aca="false">IF($H258="Beginner Level",1,0)</f>
        <v>0</v>
      </c>
      <c r="Z258" s="14" t="n">
        <f aca="false">IF($H258="Expert Level",1,0)</f>
        <v>0</v>
      </c>
      <c r="AA258" s="14" t="n">
        <f aca="false">IF($H258="Intermediate Level",1,0)</f>
        <v>0</v>
      </c>
      <c r="AC258" s="14" t="n">
        <f aca="false">N258</f>
        <v>-4.60517018598809</v>
      </c>
      <c r="AD258" s="14" t="n">
        <f aca="false">G258</f>
        <v>5</v>
      </c>
      <c r="AE258" s="14" t="n">
        <f aca="false">J258</f>
        <v>0.68333333</v>
      </c>
      <c r="AF258" s="14" t="n">
        <f aca="false">IF($L258=2012,1,0)</f>
        <v>0</v>
      </c>
      <c r="AG258" s="14" t="n">
        <f aca="false">IF($L258=2013,1,0)</f>
        <v>0</v>
      </c>
      <c r="AH258" s="14" t="n">
        <f aca="false">IF($L258=2014,1,0)</f>
        <v>0</v>
      </c>
      <c r="AI258" s="14" t="n">
        <f aca="false">IF($L258=2015,1,0)</f>
        <v>0</v>
      </c>
      <c r="AJ258" s="14" t="n">
        <f aca="false">IF($L258=2016,1,0)</f>
        <v>1</v>
      </c>
      <c r="AK258" s="14" t="n">
        <f aca="false">IF($L258=2017,1,0)</f>
        <v>0</v>
      </c>
      <c r="AL258" s="14" t="n">
        <f aca="false">IF($H258="Beginner Level",1,0)</f>
        <v>0</v>
      </c>
      <c r="AM258" s="14" t="n">
        <f aca="false">IF($H258="Expert Level",1,0)</f>
        <v>0</v>
      </c>
      <c r="AN258" s="14" t="n">
        <f aca="false">IF($H258="Intermediate Level",1,0)</f>
        <v>0</v>
      </c>
    </row>
    <row r="259" customFormat="false" ht="79.85" hidden="false" customHeight="false" outlineLevel="0" collapsed="false">
      <c r="A259" s="14" t="n">
        <v>747552</v>
      </c>
      <c r="B259" s="14" t="s">
        <v>562</v>
      </c>
      <c r="C259" s="14" t="s">
        <v>563</v>
      </c>
      <c r="D259" s="14" t="n">
        <v>150</v>
      </c>
      <c r="E259" s="14" t="n">
        <v>7884</v>
      </c>
      <c r="F259" s="14" t="n">
        <v>44</v>
      </c>
      <c r="G259" s="14" t="n">
        <v>28</v>
      </c>
      <c r="H259" s="14" t="s">
        <v>52</v>
      </c>
      <c r="I259" s="14" t="n">
        <v>0.53</v>
      </c>
      <c r="J259" s="14" t="n">
        <v>2</v>
      </c>
      <c r="K259" s="14" t="s">
        <v>59</v>
      </c>
      <c r="L259" s="14" t="n">
        <v>2016</v>
      </c>
      <c r="M259" s="14" t="n">
        <v>8.97259066827261</v>
      </c>
      <c r="N259" s="14" t="n">
        <v>5.0107019585408</v>
      </c>
      <c r="P259" s="14" t="n">
        <f aca="false">D259</f>
        <v>150</v>
      </c>
      <c r="Q259" s="14" t="n">
        <f aca="false">G259</f>
        <v>28</v>
      </c>
      <c r="R259" s="14" t="n">
        <f aca="false">J259</f>
        <v>2</v>
      </c>
      <c r="S259" s="14" t="n">
        <f aca="false">IF($L259=2012,1,0)</f>
        <v>0</v>
      </c>
      <c r="T259" s="14" t="n">
        <f aca="false">IF($L259=2013,1,0)</f>
        <v>0</v>
      </c>
      <c r="U259" s="14" t="n">
        <f aca="false">IF($L259=2014,1,0)</f>
        <v>0</v>
      </c>
      <c r="V259" s="14" t="n">
        <f aca="false">IF($L259=2015,1,0)</f>
        <v>0</v>
      </c>
      <c r="W259" s="14" t="n">
        <f aca="false">IF($L259=2016,1,0)</f>
        <v>1</v>
      </c>
      <c r="X259" s="14" t="n">
        <f aca="false">IF($L259=2017,1,0)</f>
        <v>0</v>
      </c>
      <c r="Y259" s="14" t="n">
        <f aca="false">IF($H259="Beginner Level",1,0)</f>
        <v>1</v>
      </c>
      <c r="Z259" s="14" t="n">
        <f aca="false">IF($H259="Expert Level",1,0)</f>
        <v>0</v>
      </c>
      <c r="AA259" s="14" t="n">
        <f aca="false">IF($H259="Intermediate Level",1,0)</f>
        <v>0</v>
      </c>
      <c r="AC259" s="14" t="n">
        <f aca="false">N259</f>
        <v>5.0107019585408</v>
      </c>
      <c r="AD259" s="14" t="n">
        <f aca="false">G259</f>
        <v>28</v>
      </c>
      <c r="AE259" s="14" t="n">
        <f aca="false">J259</f>
        <v>2</v>
      </c>
      <c r="AF259" s="14" t="n">
        <f aca="false">IF($L259=2012,1,0)</f>
        <v>0</v>
      </c>
      <c r="AG259" s="14" t="n">
        <f aca="false">IF($L259=2013,1,0)</f>
        <v>0</v>
      </c>
      <c r="AH259" s="14" t="n">
        <f aca="false">IF($L259=2014,1,0)</f>
        <v>0</v>
      </c>
      <c r="AI259" s="14" t="n">
        <f aca="false">IF($L259=2015,1,0)</f>
        <v>0</v>
      </c>
      <c r="AJ259" s="14" t="n">
        <f aca="false">IF($L259=2016,1,0)</f>
        <v>1</v>
      </c>
      <c r="AK259" s="14" t="n">
        <f aca="false">IF($L259=2017,1,0)</f>
        <v>0</v>
      </c>
      <c r="AL259" s="14" t="n">
        <f aca="false">IF($H259="Beginner Level",1,0)</f>
        <v>1</v>
      </c>
      <c r="AM259" s="14" t="n">
        <f aca="false">IF($H259="Expert Level",1,0)</f>
        <v>0</v>
      </c>
      <c r="AN259" s="14" t="n">
        <f aca="false">IF($H259="Intermediate Level",1,0)</f>
        <v>0</v>
      </c>
    </row>
    <row r="260" customFormat="false" ht="46.25" hidden="false" customHeight="false" outlineLevel="0" collapsed="false">
      <c r="A260" s="14" t="n">
        <v>16151</v>
      </c>
      <c r="B260" s="14" t="s">
        <v>564</v>
      </c>
      <c r="C260" s="14" t="s">
        <v>565</v>
      </c>
      <c r="D260" s="14" t="n">
        <v>20</v>
      </c>
      <c r="E260" s="14" t="n">
        <v>7867</v>
      </c>
      <c r="F260" s="14" t="n">
        <v>147</v>
      </c>
      <c r="G260" s="14" t="n">
        <v>23</v>
      </c>
      <c r="H260" s="14" t="s">
        <v>52</v>
      </c>
      <c r="I260" s="14" t="n">
        <v>0.95</v>
      </c>
      <c r="J260" s="14" t="n">
        <v>3</v>
      </c>
      <c r="K260" s="14" t="s">
        <v>59</v>
      </c>
      <c r="L260" s="14" t="n">
        <v>2012</v>
      </c>
      <c r="M260" s="14" t="n">
        <v>8.97043207432924</v>
      </c>
      <c r="N260" s="14" t="n">
        <v>2.99623214859564</v>
      </c>
      <c r="P260" s="14" t="n">
        <f aca="false">D260</f>
        <v>20</v>
      </c>
      <c r="Q260" s="14" t="n">
        <f aca="false">G260</f>
        <v>23</v>
      </c>
      <c r="R260" s="14" t="n">
        <f aca="false">J260</f>
        <v>3</v>
      </c>
      <c r="S260" s="14" t="n">
        <f aca="false">IF($L260=2012,1,0)</f>
        <v>1</v>
      </c>
      <c r="T260" s="14" t="n">
        <f aca="false">IF($L260=2013,1,0)</f>
        <v>0</v>
      </c>
      <c r="U260" s="14" t="n">
        <f aca="false">IF($L260=2014,1,0)</f>
        <v>0</v>
      </c>
      <c r="V260" s="14" t="n">
        <f aca="false">IF($L260=2015,1,0)</f>
        <v>0</v>
      </c>
      <c r="W260" s="14" t="n">
        <f aca="false">IF($L260=2016,1,0)</f>
        <v>0</v>
      </c>
      <c r="X260" s="14" t="n">
        <f aca="false">IF($L260=2017,1,0)</f>
        <v>0</v>
      </c>
      <c r="Y260" s="14" t="n">
        <f aca="false">IF($H260="Beginner Level",1,0)</f>
        <v>1</v>
      </c>
      <c r="Z260" s="14" t="n">
        <f aca="false">IF($H260="Expert Level",1,0)</f>
        <v>0</v>
      </c>
      <c r="AA260" s="14" t="n">
        <f aca="false">IF($H260="Intermediate Level",1,0)</f>
        <v>0</v>
      </c>
      <c r="AC260" s="14" t="n">
        <f aca="false">N260</f>
        <v>2.99623214859564</v>
      </c>
      <c r="AD260" s="14" t="n">
        <f aca="false">G260</f>
        <v>23</v>
      </c>
      <c r="AE260" s="14" t="n">
        <f aca="false">J260</f>
        <v>3</v>
      </c>
      <c r="AF260" s="14" t="n">
        <f aca="false">IF($L260=2012,1,0)</f>
        <v>1</v>
      </c>
      <c r="AG260" s="14" t="n">
        <f aca="false">IF($L260=2013,1,0)</f>
        <v>0</v>
      </c>
      <c r="AH260" s="14" t="n">
        <f aca="false">IF($L260=2014,1,0)</f>
        <v>0</v>
      </c>
      <c r="AI260" s="14" t="n">
        <f aca="false">IF($L260=2015,1,0)</f>
        <v>0</v>
      </c>
      <c r="AJ260" s="14" t="n">
        <f aca="false">IF($L260=2016,1,0)</f>
        <v>0</v>
      </c>
      <c r="AK260" s="14" t="n">
        <f aca="false">IF($L260=2017,1,0)</f>
        <v>0</v>
      </c>
      <c r="AL260" s="14" t="n">
        <f aca="false">IF($H260="Beginner Level",1,0)</f>
        <v>1</v>
      </c>
      <c r="AM260" s="14" t="n">
        <f aca="false">IF($H260="Expert Level",1,0)</f>
        <v>0</v>
      </c>
      <c r="AN260" s="14" t="n">
        <f aca="false">IF($H260="Intermediate Level",1,0)</f>
        <v>0</v>
      </c>
    </row>
    <row r="261" customFormat="false" ht="46.25" hidden="false" customHeight="false" outlineLevel="0" collapsed="false">
      <c r="A261" s="14" t="n">
        <v>1166070</v>
      </c>
      <c r="B261" s="14" t="s">
        <v>566</v>
      </c>
      <c r="C261" s="14" t="s">
        <v>567</v>
      </c>
      <c r="D261" s="14" t="n">
        <v>0</v>
      </c>
      <c r="E261" s="14" t="n">
        <v>7865</v>
      </c>
      <c r="F261" s="14" t="n">
        <v>241</v>
      </c>
      <c r="G261" s="14" t="n">
        <v>36</v>
      </c>
      <c r="H261" s="14" t="s">
        <v>62</v>
      </c>
      <c r="I261" s="14" t="n">
        <v>0.76</v>
      </c>
      <c r="J261" s="14" t="n">
        <v>5</v>
      </c>
      <c r="K261" s="14" t="s">
        <v>53</v>
      </c>
      <c r="L261" s="14" t="n">
        <v>2017</v>
      </c>
      <c r="M261" s="14" t="n">
        <v>8.97017781549238</v>
      </c>
      <c r="N261" s="14" t="n">
        <v>-4.60517018598809</v>
      </c>
      <c r="P261" s="14" t="n">
        <f aca="false">D261</f>
        <v>0</v>
      </c>
      <c r="Q261" s="14" t="n">
        <f aca="false">G261</f>
        <v>36</v>
      </c>
      <c r="R261" s="14" t="n">
        <f aca="false">J261</f>
        <v>5</v>
      </c>
      <c r="S261" s="14" t="n">
        <f aca="false">IF($L261=2012,1,0)</f>
        <v>0</v>
      </c>
      <c r="T261" s="14" t="n">
        <f aca="false">IF($L261=2013,1,0)</f>
        <v>0</v>
      </c>
      <c r="U261" s="14" t="n">
        <f aca="false">IF($L261=2014,1,0)</f>
        <v>0</v>
      </c>
      <c r="V261" s="14" t="n">
        <f aca="false">IF($L261=2015,1,0)</f>
        <v>0</v>
      </c>
      <c r="W261" s="14" t="n">
        <f aca="false">IF($L261=2016,1,0)</f>
        <v>0</v>
      </c>
      <c r="X261" s="14" t="n">
        <f aca="false">IF($L261=2017,1,0)</f>
        <v>1</v>
      </c>
      <c r="Y261" s="14" t="n">
        <f aca="false">IF($H261="Beginner Level",1,0)</f>
        <v>0</v>
      </c>
      <c r="Z261" s="14" t="n">
        <f aca="false">IF($H261="Expert Level",1,0)</f>
        <v>0</v>
      </c>
      <c r="AA261" s="14" t="n">
        <f aca="false">IF($H261="Intermediate Level",1,0)</f>
        <v>0</v>
      </c>
      <c r="AC261" s="14" t="n">
        <f aca="false">N261</f>
        <v>-4.60517018598809</v>
      </c>
      <c r="AD261" s="14" t="n">
        <f aca="false">G261</f>
        <v>36</v>
      </c>
      <c r="AE261" s="14" t="n">
        <f aca="false">J261</f>
        <v>5</v>
      </c>
      <c r="AF261" s="14" t="n">
        <f aca="false">IF($L261=2012,1,0)</f>
        <v>0</v>
      </c>
      <c r="AG261" s="14" t="n">
        <f aca="false">IF($L261=2013,1,0)</f>
        <v>0</v>
      </c>
      <c r="AH261" s="14" t="n">
        <f aca="false">IF($L261=2014,1,0)</f>
        <v>0</v>
      </c>
      <c r="AI261" s="14" t="n">
        <f aca="false">IF($L261=2015,1,0)</f>
        <v>0</v>
      </c>
      <c r="AJ261" s="14" t="n">
        <f aca="false">IF($L261=2016,1,0)</f>
        <v>0</v>
      </c>
      <c r="AK261" s="14" t="n">
        <f aca="false">IF($L261=2017,1,0)</f>
        <v>1</v>
      </c>
      <c r="AL261" s="14" t="n">
        <f aca="false">IF($H261="Beginner Level",1,0)</f>
        <v>0</v>
      </c>
      <c r="AM261" s="14" t="n">
        <f aca="false">IF($H261="Expert Level",1,0)</f>
        <v>0</v>
      </c>
      <c r="AN261" s="14" t="n">
        <f aca="false">IF($H261="Intermediate Level",1,0)</f>
        <v>0</v>
      </c>
    </row>
    <row r="262" customFormat="false" ht="102.2" hidden="false" customHeight="false" outlineLevel="0" collapsed="false">
      <c r="A262" s="14" t="n">
        <v>425910</v>
      </c>
      <c r="B262" s="14" t="s">
        <v>568</v>
      </c>
      <c r="C262" s="14" t="s">
        <v>569</v>
      </c>
      <c r="D262" s="14" t="n">
        <v>125</v>
      </c>
      <c r="E262" s="14" t="n">
        <v>7852</v>
      </c>
      <c r="F262" s="14" t="n">
        <v>46</v>
      </c>
      <c r="G262" s="14" t="n">
        <v>31</v>
      </c>
      <c r="H262" s="14" t="s">
        <v>56</v>
      </c>
      <c r="I262" s="14" t="n">
        <v>0.78</v>
      </c>
      <c r="J262" s="14" t="n">
        <v>3.5</v>
      </c>
      <c r="K262" s="14" t="s">
        <v>59</v>
      </c>
      <c r="L262" s="14" t="n">
        <v>2015</v>
      </c>
      <c r="M262" s="14" t="n">
        <v>8.96852355539635</v>
      </c>
      <c r="N262" s="14" t="n">
        <v>4.82839373410247</v>
      </c>
      <c r="P262" s="14" t="n">
        <f aca="false">D262</f>
        <v>125</v>
      </c>
      <c r="Q262" s="14" t="n">
        <f aca="false">G262</f>
        <v>31</v>
      </c>
      <c r="R262" s="14" t="n">
        <f aca="false">J262</f>
        <v>3.5</v>
      </c>
      <c r="S262" s="14" t="n">
        <f aca="false">IF($L262=2012,1,0)</f>
        <v>0</v>
      </c>
      <c r="T262" s="14" t="n">
        <f aca="false">IF($L262=2013,1,0)</f>
        <v>0</v>
      </c>
      <c r="U262" s="14" t="n">
        <f aca="false">IF($L262=2014,1,0)</f>
        <v>0</v>
      </c>
      <c r="V262" s="14" t="n">
        <f aca="false">IF($L262=2015,1,0)</f>
        <v>1</v>
      </c>
      <c r="W262" s="14" t="n">
        <f aca="false">IF($L262=2016,1,0)</f>
        <v>0</v>
      </c>
      <c r="X262" s="14" t="n">
        <f aca="false">IF($L262=2017,1,0)</f>
        <v>0</v>
      </c>
      <c r="Y262" s="14" t="n">
        <f aca="false">IF($H262="Beginner Level",1,0)</f>
        <v>0</v>
      </c>
      <c r="Z262" s="14" t="n">
        <f aca="false">IF($H262="Expert Level",1,0)</f>
        <v>1</v>
      </c>
      <c r="AA262" s="14" t="n">
        <f aca="false">IF($H262="Intermediate Level",1,0)</f>
        <v>0</v>
      </c>
      <c r="AC262" s="14" t="n">
        <f aca="false">N262</f>
        <v>4.82839373410247</v>
      </c>
      <c r="AD262" s="14" t="n">
        <f aca="false">G262</f>
        <v>31</v>
      </c>
      <c r="AE262" s="14" t="n">
        <f aca="false">J262</f>
        <v>3.5</v>
      </c>
      <c r="AF262" s="14" t="n">
        <f aca="false">IF($L262=2012,1,0)</f>
        <v>0</v>
      </c>
      <c r="AG262" s="14" t="n">
        <f aca="false">IF($L262=2013,1,0)</f>
        <v>0</v>
      </c>
      <c r="AH262" s="14" t="n">
        <f aca="false">IF($L262=2014,1,0)</f>
        <v>0</v>
      </c>
      <c r="AI262" s="14" t="n">
        <f aca="false">IF($L262=2015,1,0)</f>
        <v>1</v>
      </c>
      <c r="AJ262" s="14" t="n">
        <f aca="false">IF($L262=2016,1,0)</f>
        <v>0</v>
      </c>
      <c r="AK262" s="14" t="n">
        <f aca="false">IF($L262=2017,1,0)</f>
        <v>0</v>
      </c>
      <c r="AL262" s="14" t="n">
        <f aca="false">IF($H262="Beginner Level",1,0)</f>
        <v>0</v>
      </c>
      <c r="AM262" s="14" t="n">
        <f aca="false">IF($H262="Expert Level",1,0)</f>
        <v>1</v>
      </c>
      <c r="AN262" s="14" t="n">
        <f aca="false">IF($H262="Intermediate Level",1,0)</f>
        <v>0</v>
      </c>
    </row>
    <row r="263" customFormat="false" ht="79.85" hidden="false" customHeight="false" outlineLevel="0" collapsed="false">
      <c r="A263" s="14" t="n">
        <v>938560</v>
      </c>
      <c r="B263" s="14" t="s">
        <v>570</v>
      </c>
      <c r="C263" s="14" t="s">
        <v>571</v>
      </c>
      <c r="D263" s="14" t="n">
        <v>195</v>
      </c>
      <c r="E263" s="14" t="n">
        <v>7827</v>
      </c>
      <c r="F263" s="14" t="n">
        <v>268</v>
      </c>
      <c r="G263" s="14" t="n">
        <v>66</v>
      </c>
      <c r="H263" s="14" t="s">
        <v>62</v>
      </c>
      <c r="I263" s="14" t="n">
        <v>0.76</v>
      </c>
      <c r="J263" s="14" t="n">
        <v>11</v>
      </c>
      <c r="K263" s="14" t="s">
        <v>59</v>
      </c>
      <c r="L263" s="14" t="n">
        <v>2016</v>
      </c>
      <c r="M263" s="14" t="n">
        <v>8.96533457380484</v>
      </c>
      <c r="N263" s="14" t="n">
        <v>5.27305083930015</v>
      </c>
      <c r="P263" s="14" t="n">
        <f aca="false">D263</f>
        <v>195</v>
      </c>
      <c r="Q263" s="14" t="n">
        <f aca="false">G263</f>
        <v>66</v>
      </c>
      <c r="R263" s="14" t="n">
        <f aca="false">J263</f>
        <v>11</v>
      </c>
      <c r="S263" s="14" t="n">
        <f aca="false">IF($L263=2012,1,0)</f>
        <v>0</v>
      </c>
      <c r="T263" s="14" t="n">
        <f aca="false">IF($L263=2013,1,0)</f>
        <v>0</v>
      </c>
      <c r="U263" s="14" t="n">
        <f aca="false">IF($L263=2014,1,0)</f>
        <v>0</v>
      </c>
      <c r="V263" s="14" t="n">
        <f aca="false">IF($L263=2015,1,0)</f>
        <v>0</v>
      </c>
      <c r="W263" s="14" t="n">
        <f aca="false">IF($L263=2016,1,0)</f>
        <v>1</v>
      </c>
      <c r="X263" s="14" t="n">
        <f aca="false">IF($L263=2017,1,0)</f>
        <v>0</v>
      </c>
      <c r="Y263" s="14" t="n">
        <f aca="false">IF($H263="Beginner Level",1,0)</f>
        <v>0</v>
      </c>
      <c r="Z263" s="14" t="n">
        <f aca="false">IF($H263="Expert Level",1,0)</f>
        <v>0</v>
      </c>
      <c r="AA263" s="14" t="n">
        <f aca="false">IF($H263="Intermediate Level",1,0)</f>
        <v>0</v>
      </c>
      <c r="AC263" s="14" t="n">
        <f aca="false">N263</f>
        <v>5.27305083930015</v>
      </c>
      <c r="AD263" s="14" t="n">
        <f aca="false">G263</f>
        <v>66</v>
      </c>
      <c r="AE263" s="14" t="n">
        <f aca="false">J263</f>
        <v>11</v>
      </c>
      <c r="AF263" s="14" t="n">
        <f aca="false">IF($L263=2012,1,0)</f>
        <v>0</v>
      </c>
      <c r="AG263" s="14" t="n">
        <f aca="false">IF($L263=2013,1,0)</f>
        <v>0</v>
      </c>
      <c r="AH263" s="14" t="n">
        <f aca="false">IF($L263=2014,1,0)</f>
        <v>0</v>
      </c>
      <c r="AI263" s="14" t="n">
        <f aca="false">IF($L263=2015,1,0)</f>
        <v>0</v>
      </c>
      <c r="AJ263" s="14" t="n">
        <f aca="false">IF($L263=2016,1,0)</f>
        <v>1</v>
      </c>
      <c r="AK263" s="14" t="n">
        <f aca="false">IF($L263=2017,1,0)</f>
        <v>0</v>
      </c>
      <c r="AL263" s="14" t="n">
        <f aca="false">IF($H263="Beginner Level",1,0)</f>
        <v>0</v>
      </c>
      <c r="AM263" s="14" t="n">
        <f aca="false">IF($H263="Expert Level",1,0)</f>
        <v>0</v>
      </c>
      <c r="AN263" s="14" t="n">
        <f aca="false">IF($H263="Intermediate Level",1,0)</f>
        <v>0</v>
      </c>
    </row>
    <row r="264" customFormat="false" ht="79.85" hidden="false" customHeight="false" outlineLevel="0" collapsed="false">
      <c r="A264" s="14" t="n">
        <v>607056</v>
      </c>
      <c r="B264" s="14" t="s">
        <v>572</v>
      </c>
      <c r="C264" s="14" t="s">
        <v>573</v>
      </c>
      <c r="D264" s="14" t="n">
        <v>90</v>
      </c>
      <c r="E264" s="14" t="n">
        <v>7789</v>
      </c>
      <c r="F264" s="14" t="n">
        <v>59</v>
      </c>
      <c r="G264" s="14" t="n">
        <v>23</v>
      </c>
      <c r="H264" s="14" t="s">
        <v>71</v>
      </c>
      <c r="I264" s="14" t="n">
        <v>0.15</v>
      </c>
      <c r="J264" s="14" t="n">
        <v>1.5</v>
      </c>
      <c r="K264" s="14" t="s">
        <v>59</v>
      </c>
      <c r="L264" s="14" t="n">
        <v>2015</v>
      </c>
      <c r="M264" s="14" t="n">
        <v>8.96046776091995</v>
      </c>
      <c r="N264" s="14" t="n">
        <v>4.49992077526899</v>
      </c>
      <c r="P264" s="14" t="n">
        <f aca="false">D264</f>
        <v>90</v>
      </c>
      <c r="Q264" s="14" t="n">
        <f aca="false">G264</f>
        <v>23</v>
      </c>
      <c r="R264" s="14" t="n">
        <f aca="false">J264</f>
        <v>1.5</v>
      </c>
      <c r="S264" s="14" t="n">
        <f aca="false">IF($L264=2012,1,0)</f>
        <v>0</v>
      </c>
      <c r="T264" s="14" t="n">
        <f aca="false">IF($L264=2013,1,0)</f>
        <v>0</v>
      </c>
      <c r="U264" s="14" t="n">
        <f aca="false">IF($L264=2014,1,0)</f>
        <v>0</v>
      </c>
      <c r="V264" s="14" t="n">
        <f aca="false">IF($L264=2015,1,0)</f>
        <v>1</v>
      </c>
      <c r="W264" s="14" t="n">
        <f aca="false">IF($L264=2016,1,0)</f>
        <v>0</v>
      </c>
      <c r="X264" s="14" t="n">
        <f aca="false">IF($L264=2017,1,0)</f>
        <v>0</v>
      </c>
      <c r="Y264" s="14" t="n">
        <f aca="false">IF($H264="Beginner Level",1,0)</f>
        <v>0</v>
      </c>
      <c r="Z264" s="14" t="n">
        <f aca="false">IF($H264="Expert Level",1,0)</f>
        <v>0</v>
      </c>
      <c r="AA264" s="14" t="n">
        <f aca="false">IF($H264="Intermediate Level",1,0)</f>
        <v>1</v>
      </c>
      <c r="AC264" s="14" t="n">
        <f aca="false">N264</f>
        <v>4.49992077526899</v>
      </c>
      <c r="AD264" s="14" t="n">
        <f aca="false">G264</f>
        <v>23</v>
      </c>
      <c r="AE264" s="14" t="n">
        <f aca="false">J264</f>
        <v>1.5</v>
      </c>
      <c r="AF264" s="14" t="n">
        <f aca="false">IF($L264=2012,1,0)</f>
        <v>0</v>
      </c>
      <c r="AG264" s="14" t="n">
        <f aca="false">IF($L264=2013,1,0)</f>
        <v>0</v>
      </c>
      <c r="AH264" s="14" t="n">
        <f aca="false">IF($L264=2014,1,0)</f>
        <v>0</v>
      </c>
      <c r="AI264" s="14" t="n">
        <f aca="false">IF($L264=2015,1,0)</f>
        <v>1</v>
      </c>
      <c r="AJ264" s="14" t="n">
        <f aca="false">IF($L264=2016,1,0)</f>
        <v>0</v>
      </c>
      <c r="AK264" s="14" t="n">
        <f aca="false">IF($L264=2017,1,0)</f>
        <v>0</v>
      </c>
      <c r="AL264" s="14" t="n">
        <f aca="false">IF($H264="Beginner Level",1,0)</f>
        <v>0</v>
      </c>
      <c r="AM264" s="14" t="n">
        <f aca="false">IF($H264="Expert Level",1,0)</f>
        <v>0</v>
      </c>
      <c r="AN264" s="14" t="n">
        <f aca="false">IF($H264="Intermediate Level",1,0)</f>
        <v>1</v>
      </c>
    </row>
    <row r="265" customFormat="false" ht="57.45" hidden="false" customHeight="false" outlineLevel="0" collapsed="false">
      <c r="A265" s="14" t="n">
        <v>147908</v>
      </c>
      <c r="B265" s="14" t="s">
        <v>574</v>
      </c>
      <c r="C265" s="14" t="s">
        <v>575</v>
      </c>
      <c r="D265" s="14" t="n">
        <v>75</v>
      </c>
      <c r="E265" s="14" t="n">
        <v>7785</v>
      </c>
      <c r="F265" s="14" t="n">
        <v>416</v>
      </c>
      <c r="G265" s="14" t="n">
        <v>33</v>
      </c>
      <c r="H265" s="14" t="s">
        <v>62</v>
      </c>
      <c r="I265" s="14" t="n">
        <v>0.76</v>
      </c>
      <c r="J265" s="14" t="n">
        <v>4.5</v>
      </c>
      <c r="K265" s="14" t="s">
        <v>59</v>
      </c>
      <c r="L265" s="14" t="n">
        <v>2014</v>
      </c>
      <c r="M265" s="14" t="n">
        <v>8.9599540842681</v>
      </c>
      <c r="N265" s="14" t="n">
        <v>4.31762143798155</v>
      </c>
      <c r="P265" s="14" t="n">
        <f aca="false">D265</f>
        <v>75</v>
      </c>
      <c r="Q265" s="14" t="n">
        <f aca="false">G265</f>
        <v>33</v>
      </c>
      <c r="R265" s="14" t="n">
        <f aca="false">J265</f>
        <v>4.5</v>
      </c>
      <c r="S265" s="14" t="n">
        <f aca="false">IF($L265=2012,1,0)</f>
        <v>0</v>
      </c>
      <c r="T265" s="14" t="n">
        <f aca="false">IF($L265=2013,1,0)</f>
        <v>0</v>
      </c>
      <c r="U265" s="14" t="n">
        <f aca="false">IF($L265=2014,1,0)</f>
        <v>1</v>
      </c>
      <c r="V265" s="14" t="n">
        <f aca="false">IF($L265=2015,1,0)</f>
        <v>0</v>
      </c>
      <c r="W265" s="14" t="n">
        <f aca="false">IF($L265=2016,1,0)</f>
        <v>0</v>
      </c>
      <c r="X265" s="14" t="n">
        <f aca="false">IF($L265=2017,1,0)</f>
        <v>0</v>
      </c>
      <c r="Y265" s="14" t="n">
        <f aca="false">IF($H265="Beginner Level",1,0)</f>
        <v>0</v>
      </c>
      <c r="Z265" s="14" t="n">
        <f aca="false">IF($H265="Expert Level",1,0)</f>
        <v>0</v>
      </c>
      <c r="AA265" s="14" t="n">
        <f aca="false">IF($H265="Intermediate Level",1,0)</f>
        <v>0</v>
      </c>
      <c r="AC265" s="14" t="n">
        <f aca="false">N265</f>
        <v>4.31762143798155</v>
      </c>
      <c r="AD265" s="14" t="n">
        <f aca="false">G265</f>
        <v>33</v>
      </c>
      <c r="AE265" s="14" t="n">
        <f aca="false">J265</f>
        <v>4.5</v>
      </c>
      <c r="AF265" s="14" t="n">
        <f aca="false">IF($L265=2012,1,0)</f>
        <v>0</v>
      </c>
      <c r="AG265" s="14" t="n">
        <f aca="false">IF($L265=2013,1,0)</f>
        <v>0</v>
      </c>
      <c r="AH265" s="14" t="n">
        <f aca="false">IF($L265=2014,1,0)</f>
        <v>1</v>
      </c>
      <c r="AI265" s="14" t="n">
        <f aca="false">IF($L265=2015,1,0)</f>
        <v>0</v>
      </c>
      <c r="AJ265" s="14" t="n">
        <f aca="false">IF($L265=2016,1,0)</f>
        <v>0</v>
      </c>
      <c r="AK265" s="14" t="n">
        <f aca="false">IF($L265=2017,1,0)</f>
        <v>0</v>
      </c>
      <c r="AL265" s="14" t="n">
        <f aca="false">IF($H265="Beginner Level",1,0)</f>
        <v>0</v>
      </c>
      <c r="AM265" s="14" t="n">
        <f aca="false">IF($H265="Expert Level",1,0)</f>
        <v>0</v>
      </c>
      <c r="AN265" s="14" t="n">
        <f aca="false">IF($H265="Intermediate Level",1,0)</f>
        <v>0</v>
      </c>
    </row>
    <row r="266" customFormat="false" ht="57.45" hidden="false" customHeight="false" outlineLevel="0" collapsed="false">
      <c r="A266" s="14" t="n">
        <v>1016536</v>
      </c>
      <c r="B266" s="14" t="s">
        <v>576</v>
      </c>
      <c r="C266" s="14" t="s">
        <v>577</v>
      </c>
      <c r="D266" s="14" t="n">
        <v>140</v>
      </c>
      <c r="E266" s="14" t="n">
        <v>7741</v>
      </c>
      <c r="F266" s="14" t="n">
        <v>9</v>
      </c>
      <c r="G266" s="14" t="n">
        <v>36</v>
      </c>
      <c r="H266" s="14" t="s">
        <v>62</v>
      </c>
      <c r="I266" s="14" t="n">
        <v>0.67</v>
      </c>
      <c r="J266" s="14" t="n">
        <v>2.5</v>
      </c>
      <c r="K266" s="14" t="s">
        <v>59</v>
      </c>
      <c r="L266" s="14" t="n">
        <v>2016</v>
      </c>
      <c r="M266" s="14" t="n">
        <v>8.95428615720471</v>
      </c>
      <c r="N266" s="14" t="n">
        <v>4.94171384862983</v>
      </c>
      <c r="P266" s="14" t="n">
        <f aca="false">D266</f>
        <v>140</v>
      </c>
      <c r="Q266" s="14" t="n">
        <f aca="false">G266</f>
        <v>36</v>
      </c>
      <c r="R266" s="14" t="n">
        <f aca="false">J266</f>
        <v>2.5</v>
      </c>
      <c r="S266" s="14" t="n">
        <f aca="false">IF($L266=2012,1,0)</f>
        <v>0</v>
      </c>
      <c r="T266" s="14" t="n">
        <f aca="false">IF($L266=2013,1,0)</f>
        <v>0</v>
      </c>
      <c r="U266" s="14" t="n">
        <f aca="false">IF($L266=2014,1,0)</f>
        <v>0</v>
      </c>
      <c r="V266" s="14" t="n">
        <f aca="false">IF($L266=2015,1,0)</f>
        <v>0</v>
      </c>
      <c r="W266" s="14" t="n">
        <f aca="false">IF($L266=2016,1,0)</f>
        <v>1</v>
      </c>
      <c r="X266" s="14" t="n">
        <f aca="false">IF($L266=2017,1,0)</f>
        <v>0</v>
      </c>
      <c r="Y266" s="14" t="n">
        <f aca="false">IF($H266="Beginner Level",1,0)</f>
        <v>0</v>
      </c>
      <c r="Z266" s="14" t="n">
        <f aca="false">IF($H266="Expert Level",1,0)</f>
        <v>0</v>
      </c>
      <c r="AA266" s="14" t="n">
        <f aca="false">IF($H266="Intermediate Level",1,0)</f>
        <v>0</v>
      </c>
      <c r="AC266" s="14" t="n">
        <f aca="false">N266</f>
        <v>4.94171384862983</v>
      </c>
      <c r="AD266" s="14" t="n">
        <f aca="false">G266</f>
        <v>36</v>
      </c>
      <c r="AE266" s="14" t="n">
        <f aca="false">J266</f>
        <v>2.5</v>
      </c>
      <c r="AF266" s="14" t="n">
        <f aca="false">IF($L266=2012,1,0)</f>
        <v>0</v>
      </c>
      <c r="AG266" s="14" t="n">
        <f aca="false">IF($L266=2013,1,0)</f>
        <v>0</v>
      </c>
      <c r="AH266" s="14" t="n">
        <f aca="false">IF($L266=2014,1,0)</f>
        <v>0</v>
      </c>
      <c r="AI266" s="14" t="n">
        <f aca="false">IF($L266=2015,1,0)</f>
        <v>0</v>
      </c>
      <c r="AJ266" s="14" t="n">
        <f aca="false">IF($L266=2016,1,0)</f>
        <v>1</v>
      </c>
      <c r="AK266" s="14" t="n">
        <f aca="false">IF($L266=2017,1,0)</f>
        <v>0</v>
      </c>
      <c r="AL266" s="14" t="n">
        <f aca="false">IF($H266="Beginner Level",1,0)</f>
        <v>0</v>
      </c>
      <c r="AM266" s="14" t="n">
        <f aca="false">IF($H266="Expert Level",1,0)</f>
        <v>0</v>
      </c>
      <c r="AN266" s="14" t="n">
        <f aca="false">IF($H266="Intermediate Level",1,0)</f>
        <v>0</v>
      </c>
    </row>
    <row r="267" customFormat="false" ht="68.65" hidden="false" customHeight="false" outlineLevel="0" collapsed="false">
      <c r="A267" s="14" t="n">
        <v>803378</v>
      </c>
      <c r="B267" s="14" t="s">
        <v>578</v>
      </c>
      <c r="C267" s="14" t="s">
        <v>579</v>
      </c>
      <c r="D267" s="14" t="n">
        <v>150</v>
      </c>
      <c r="E267" s="14" t="n">
        <v>7720</v>
      </c>
      <c r="F267" s="14" t="n">
        <v>58</v>
      </c>
      <c r="G267" s="14" t="n">
        <v>17</v>
      </c>
      <c r="H267" s="14" t="s">
        <v>52</v>
      </c>
      <c r="I267" s="14" t="n">
        <v>0.73</v>
      </c>
      <c r="J267" s="14" t="n">
        <v>1.5</v>
      </c>
      <c r="K267" s="14" t="s">
        <v>59</v>
      </c>
      <c r="L267" s="14" t="n">
        <v>2016</v>
      </c>
      <c r="M267" s="14" t="n">
        <v>8.95156964301882</v>
      </c>
      <c r="N267" s="14" t="n">
        <v>5.0107019585408</v>
      </c>
      <c r="P267" s="14" t="n">
        <f aca="false">D267</f>
        <v>150</v>
      </c>
      <c r="Q267" s="14" t="n">
        <f aca="false">G267</f>
        <v>17</v>
      </c>
      <c r="R267" s="14" t="n">
        <f aca="false">J267</f>
        <v>1.5</v>
      </c>
      <c r="S267" s="14" t="n">
        <f aca="false">IF($L267=2012,1,0)</f>
        <v>0</v>
      </c>
      <c r="T267" s="14" t="n">
        <f aca="false">IF($L267=2013,1,0)</f>
        <v>0</v>
      </c>
      <c r="U267" s="14" t="n">
        <f aca="false">IF($L267=2014,1,0)</f>
        <v>0</v>
      </c>
      <c r="V267" s="14" t="n">
        <f aca="false">IF($L267=2015,1,0)</f>
        <v>0</v>
      </c>
      <c r="W267" s="14" t="n">
        <f aca="false">IF($L267=2016,1,0)</f>
        <v>1</v>
      </c>
      <c r="X267" s="14" t="n">
        <f aca="false">IF($L267=2017,1,0)</f>
        <v>0</v>
      </c>
      <c r="Y267" s="14" t="n">
        <f aca="false">IF($H267="Beginner Level",1,0)</f>
        <v>1</v>
      </c>
      <c r="Z267" s="14" t="n">
        <f aca="false">IF($H267="Expert Level",1,0)</f>
        <v>0</v>
      </c>
      <c r="AA267" s="14" t="n">
        <f aca="false">IF($H267="Intermediate Level",1,0)</f>
        <v>0</v>
      </c>
      <c r="AC267" s="14" t="n">
        <f aca="false">N267</f>
        <v>5.0107019585408</v>
      </c>
      <c r="AD267" s="14" t="n">
        <f aca="false">G267</f>
        <v>17</v>
      </c>
      <c r="AE267" s="14" t="n">
        <f aca="false">J267</f>
        <v>1.5</v>
      </c>
      <c r="AF267" s="14" t="n">
        <f aca="false">IF($L267=2012,1,0)</f>
        <v>0</v>
      </c>
      <c r="AG267" s="14" t="n">
        <f aca="false">IF($L267=2013,1,0)</f>
        <v>0</v>
      </c>
      <c r="AH267" s="14" t="n">
        <f aca="false">IF($L267=2014,1,0)</f>
        <v>0</v>
      </c>
      <c r="AI267" s="14" t="n">
        <f aca="false">IF($L267=2015,1,0)</f>
        <v>0</v>
      </c>
      <c r="AJ267" s="14" t="n">
        <f aca="false">IF($L267=2016,1,0)</f>
        <v>1</v>
      </c>
      <c r="AK267" s="14" t="n">
        <f aca="false">IF($L267=2017,1,0)</f>
        <v>0</v>
      </c>
      <c r="AL267" s="14" t="n">
        <f aca="false">IF($H267="Beginner Level",1,0)</f>
        <v>1</v>
      </c>
      <c r="AM267" s="14" t="n">
        <f aca="false">IF($H267="Expert Level",1,0)</f>
        <v>0</v>
      </c>
      <c r="AN267" s="14" t="n">
        <f aca="false">IF($H267="Intermediate Level",1,0)</f>
        <v>0</v>
      </c>
    </row>
    <row r="268" customFormat="false" ht="79.85" hidden="false" customHeight="false" outlineLevel="0" collapsed="false">
      <c r="A268" s="14" t="n">
        <v>30911</v>
      </c>
      <c r="B268" s="14" t="s">
        <v>580</v>
      </c>
      <c r="C268" s="14" t="s">
        <v>581</v>
      </c>
      <c r="D268" s="14" t="n">
        <v>50</v>
      </c>
      <c r="E268" s="14" t="n">
        <v>7706</v>
      </c>
      <c r="F268" s="14" t="n">
        <v>62</v>
      </c>
      <c r="G268" s="14" t="n">
        <v>45</v>
      </c>
      <c r="H268" s="14" t="s">
        <v>62</v>
      </c>
      <c r="I268" s="14" t="n">
        <v>0.12</v>
      </c>
      <c r="J268" s="14" t="n">
        <v>5</v>
      </c>
      <c r="K268" s="14" t="s">
        <v>59</v>
      </c>
      <c r="L268" s="14" t="n">
        <v>2012</v>
      </c>
      <c r="M268" s="14" t="n">
        <v>8.9497545251861</v>
      </c>
      <c r="N268" s="14" t="n">
        <v>3.91222298543081</v>
      </c>
      <c r="P268" s="14" t="n">
        <f aca="false">D268</f>
        <v>50</v>
      </c>
      <c r="Q268" s="14" t="n">
        <f aca="false">G268</f>
        <v>45</v>
      </c>
      <c r="R268" s="14" t="n">
        <f aca="false">J268</f>
        <v>5</v>
      </c>
      <c r="S268" s="14" t="n">
        <f aca="false">IF($L268=2012,1,0)</f>
        <v>1</v>
      </c>
      <c r="T268" s="14" t="n">
        <f aca="false">IF($L268=2013,1,0)</f>
        <v>0</v>
      </c>
      <c r="U268" s="14" t="n">
        <f aca="false">IF($L268=2014,1,0)</f>
        <v>0</v>
      </c>
      <c r="V268" s="14" t="n">
        <f aca="false">IF($L268=2015,1,0)</f>
        <v>0</v>
      </c>
      <c r="W268" s="14" t="n">
        <f aca="false">IF($L268=2016,1,0)</f>
        <v>0</v>
      </c>
      <c r="X268" s="14" t="n">
        <f aca="false">IF($L268=2017,1,0)</f>
        <v>0</v>
      </c>
      <c r="Y268" s="14" t="n">
        <f aca="false">IF($H268="Beginner Level",1,0)</f>
        <v>0</v>
      </c>
      <c r="Z268" s="14" t="n">
        <f aca="false">IF($H268="Expert Level",1,0)</f>
        <v>0</v>
      </c>
      <c r="AA268" s="14" t="n">
        <f aca="false">IF($H268="Intermediate Level",1,0)</f>
        <v>0</v>
      </c>
      <c r="AC268" s="14" t="n">
        <f aca="false">N268</f>
        <v>3.91222298543081</v>
      </c>
      <c r="AD268" s="14" t="n">
        <f aca="false">G268</f>
        <v>45</v>
      </c>
      <c r="AE268" s="14" t="n">
        <f aca="false">J268</f>
        <v>5</v>
      </c>
      <c r="AF268" s="14" t="n">
        <f aca="false">IF($L268=2012,1,0)</f>
        <v>1</v>
      </c>
      <c r="AG268" s="14" t="n">
        <f aca="false">IF($L268=2013,1,0)</f>
        <v>0</v>
      </c>
      <c r="AH268" s="14" t="n">
        <f aca="false">IF($L268=2014,1,0)</f>
        <v>0</v>
      </c>
      <c r="AI268" s="14" t="n">
        <f aca="false">IF($L268=2015,1,0)</f>
        <v>0</v>
      </c>
      <c r="AJ268" s="14" t="n">
        <f aca="false">IF($L268=2016,1,0)</f>
        <v>0</v>
      </c>
      <c r="AK268" s="14" t="n">
        <f aca="false">IF($L268=2017,1,0)</f>
        <v>0</v>
      </c>
      <c r="AL268" s="14" t="n">
        <f aca="false">IF($H268="Beginner Level",1,0)</f>
        <v>0</v>
      </c>
      <c r="AM268" s="14" t="n">
        <f aca="false">IF($H268="Expert Level",1,0)</f>
        <v>0</v>
      </c>
      <c r="AN268" s="14" t="n">
        <f aca="false">IF($H268="Intermediate Level",1,0)</f>
        <v>0</v>
      </c>
    </row>
    <row r="269" customFormat="false" ht="68.65" hidden="false" customHeight="false" outlineLevel="0" collapsed="false">
      <c r="A269" s="14" t="n">
        <v>161986</v>
      </c>
      <c r="B269" s="14" t="s">
        <v>582</v>
      </c>
      <c r="C269" s="14" t="s">
        <v>583</v>
      </c>
      <c r="D269" s="14" t="n">
        <v>50</v>
      </c>
      <c r="E269" s="14" t="n">
        <v>7660</v>
      </c>
      <c r="F269" s="14" t="n">
        <v>7</v>
      </c>
      <c r="G269" s="14" t="n">
        <v>19</v>
      </c>
      <c r="H269" s="14" t="s">
        <v>62</v>
      </c>
      <c r="I269" s="14" t="n">
        <v>0.08</v>
      </c>
      <c r="J269" s="14" t="n">
        <v>2</v>
      </c>
      <c r="K269" s="14" t="s">
        <v>59</v>
      </c>
      <c r="L269" s="14" t="n">
        <v>2014</v>
      </c>
      <c r="M269" s="14" t="n">
        <v>8.94376726273464</v>
      </c>
      <c r="N269" s="14" t="n">
        <v>3.91222298543081</v>
      </c>
      <c r="P269" s="14" t="n">
        <f aca="false">D269</f>
        <v>50</v>
      </c>
      <c r="Q269" s="14" t="n">
        <f aca="false">G269</f>
        <v>19</v>
      </c>
      <c r="R269" s="14" t="n">
        <f aca="false">J269</f>
        <v>2</v>
      </c>
      <c r="S269" s="14" t="n">
        <f aca="false">IF($L269=2012,1,0)</f>
        <v>0</v>
      </c>
      <c r="T269" s="14" t="n">
        <f aca="false">IF($L269=2013,1,0)</f>
        <v>0</v>
      </c>
      <c r="U269" s="14" t="n">
        <f aca="false">IF($L269=2014,1,0)</f>
        <v>1</v>
      </c>
      <c r="V269" s="14" t="n">
        <f aca="false">IF($L269=2015,1,0)</f>
        <v>0</v>
      </c>
      <c r="W269" s="14" t="n">
        <f aca="false">IF($L269=2016,1,0)</f>
        <v>0</v>
      </c>
      <c r="X269" s="14" t="n">
        <f aca="false">IF($L269=2017,1,0)</f>
        <v>0</v>
      </c>
      <c r="Y269" s="14" t="n">
        <f aca="false">IF($H269="Beginner Level",1,0)</f>
        <v>0</v>
      </c>
      <c r="Z269" s="14" t="n">
        <f aca="false">IF($H269="Expert Level",1,0)</f>
        <v>0</v>
      </c>
      <c r="AA269" s="14" t="n">
        <f aca="false">IF($H269="Intermediate Level",1,0)</f>
        <v>0</v>
      </c>
      <c r="AC269" s="14" t="n">
        <f aca="false">N269</f>
        <v>3.91222298543081</v>
      </c>
      <c r="AD269" s="14" t="n">
        <f aca="false">G269</f>
        <v>19</v>
      </c>
      <c r="AE269" s="14" t="n">
        <f aca="false">J269</f>
        <v>2</v>
      </c>
      <c r="AF269" s="14" t="n">
        <f aca="false">IF($L269=2012,1,0)</f>
        <v>0</v>
      </c>
      <c r="AG269" s="14" t="n">
        <f aca="false">IF($L269=2013,1,0)</f>
        <v>0</v>
      </c>
      <c r="AH269" s="14" t="n">
        <f aca="false">IF($L269=2014,1,0)</f>
        <v>1</v>
      </c>
      <c r="AI269" s="14" t="n">
        <f aca="false">IF($L269=2015,1,0)</f>
        <v>0</v>
      </c>
      <c r="AJ269" s="14" t="n">
        <f aca="false">IF($L269=2016,1,0)</f>
        <v>0</v>
      </c>
      <c r="AK269" s="14" t="n">
        <f aca="false">IF($L269=2017,1,0)</f>
        <v>0</v>
      </c>
      <c r="AL269" s="14" t="n">
        <f aca="false">IF($H269="Beginner Level",1,0)</f>
        <v>0</v>
      </c>
      <c r="AM269" s="14" t="n">
        <f aca="false">IF($H269="Expert Level",1,0)</f>
        <v>0</v>
      </c>
      <c r="AN269" s="14" t="n">
        <f aca="false">IF($H269="Intermediate Level",1,0)</f>
        <v>0</v>
      </c>
    </row>
    <row r="270" customFormat="false" ht="79.85" hidden="false" customHeight="false" outlineLevel="0" collapsed="false">
      <c r="A270" s="14" t="n">
        <v>159760</v>
      </c>
      <c r="B270" s="14" t="s">
        <v>584</v>
      </c>
      <c r="C270" s="14" t="s">
        <v>585</v>
      </c>
      <c r="D270" s="14" t="n">
        <v>95</v>
      </c>
      <c r="E270" s="14" t="n">
        <v>7517</v>
      </c>
      <c r="F270" s="14" t="n">
        <v>89</v>
      </c>
      <c r="G270" s="14" t="n">
        <v>47</v>
      </c>
      <c r="H270" s="14" t="s">
        <v>71</v>
      </c>
      <c r="I270" s="14" t="n">
        <v>0.89</v>
      </c>
      <c r="J270" s="14" t="n">
        <v>4.5</v>
      </c>
      <c r="K270" s="14" t="s">
        <v>59</v>
      </c>
      <c r="L270" s="14" t="n">
        <v>2014</v>
      </c>
      <c r="M270" s="14" t="n">
        <v>8.92492240117747</v>
      </c>
      <c r="N270" s="14" t="n">
        <v>4.55398214921866</v>
      </c>
      <c r="P270" s="14" t="n">
        <f aca="false">D270</f>
        <v>95</v>
      </c>
      <c r="Q270" s="14" t="n">
        <f aca="false">G270</f>
        <v>47</v>
      </c>
      <c r="R270" s="14" t="n">
        <f aca="false">J270</f>
        <v>4.5</v>
      </c>
      <c r="S270" s="14" t="n">
        <f aca="false">IF($L270=2012,1,0)</f>
        <v>0</v>
      </c>
      <c r="T270" s="14" t="n">
        <f aca="false">IF($L270=2013,1,0)</f>
        <v>0</v>
      </c>
      <c r="U270" s="14" t="n">
        <f aca="false">IF($L270=2014,1,0)</f>
        <v>1</v>
      </c>
      <c r="V270" s="14" t="n">
        <f aca="false">IF($L270=2015,1,0)</f>
        <v>0</v>
      </c>
      <c r="W270" s="14" t="n">
        <f aca="false">IF($L270=2016,1,0)</f>
        <v>0</v>
      </c>
      <c r="X270" s="14" t="n">
        <f aca="false">IF($L270=2017,1,0)</f>
        <v>0</v>
      </c>
      <c r="Y270" s="14" t="n">
        <f aca="false">IF($H270="Beginner Level",1,0)</f>
        <v>0</v>
      </c>
      <c r="Z270" s="14" t="n">
        <f aca="false">IF($H270="Expert Level",1,0)</f>
        <v>0</v>
      </c>
      <c r="AA270" s="14" t="n">
        <f aca="false">IF($H270="Intermediate Level",1,0)</f>
        <v>1</v>
      </c>
      <c r="AC270" s="14" t="n">
        <f aca="false">N270</f>
        <v>4.55398214921866</v>
      </c>
      <c r="AD270" s="14" t="n">
        <f aca="false">G270</f>
        <v>47</v>
      </c>
      <c r="AE270" s="14" t="n">
        <f aca="false">J270</f>
        <v>4.5</v>
      </c>
      <c r="AF270" s="14" t="n">
        <f aca="false">IF($L270=2012,1,0)</f>
        <v>0</v>
      </c>
      <c r="AG270" s="14" t="n">
        <f aca="false">IF($L270=2013,1,0)</f>
        <v>0</v>
      </c>
      <c r="AH270" s="14" t="n">
        <f aca="false">IF($L270=2014,1,0)</f>
        <v>1</v>
      </c>
      <c r="AI270" s="14" t="n">
        <f aca="false">IF($L270=2015,1,0)</f>
        <v>0</v>
      </c>
      <c r="AJ270" s="14" t="n">
        <f aca="false">IF($L270=2016,1,0)</f>
        <v>0</v>
      </c>
      <c r="AK270" s="14" t="n">
        <f aca="false">IF($L270=2017,1,0)</f>
        <v>0</v>
      </c>
      <c r="AL270" s="14" t="n">
        <f aca="false">IF($H270="Beginner Level",1,0)</f>
        <v>0</v>
      </c>
      <c r="AM270" s="14" t="n">
        <f aca="false">IF($H270="Expert Level",1,0)</f>
        <v>0</v>
      </c>
      <c r="AN270" s="14" t="n">
        <f aca="false">IF($H270="Intermediate Level",1,0)</f>
        <v>1</v>
      </c>
    </row>
    <row r="271" customFormat="false" ht="68.65" hidden="false" customHeight="false" outlineLevel="0" collapsed="false">
      <c r="A271" s="14" t="n">
        <v>548278</v>
      </c>
      <c r="B271" s="14" t="s">
        <v>586</v>
      </c>
      <c r="C271" s="14" t="s">
        <v>587</v>
      </c>
      <c r="D271" s="14" t="n">
        <v>200</v>
      </c>
      <c r="E271" s="14" t="n">
        <v>7501</v>
      </c>
      <c r="F271" s="14" t="n">
        <v>1213</v>
      </c>
      <c r="G271" s="14" t="n">
        <v>384</v>
      </c>
      <c r="H271" s="14" t="s">
        <v>62</v>
      </c>
      <c r="I271" s="14" t="n">
        <v>0.42</v>
      </c>
      <c r="J271" s="14" t="n">
        <v>76.5</v>
      </c>
      <c r="K271" s="14" t="s">
        <v>59</v>
      </c>
      <c r="L271" s="14" t="n">
        <v>2015</v>
      </c>
      <c r="M271" s="14" t="n">
        <v>8.92279162396964</v>
      </c>
      <c r="N271" s="14" t="n">
        <v>5.29836736529808</v>
      </c>
      <c r="P271" s="14" t="n">
        <f aca="false">D271</f>
        <v>200</v>
      </c>
      <c r="Q271" s="14" t="n">
        <f aca="false">G271</f>
        <v>384</v>
      </c>
      <c r="R271" s="14" t="n">
        <f aca="false">J271</f>
        <v>76.5</v>
      </c>
      <c r="S271" s="14" t="n">
        <f aca="false">IF($L271=2012,1,0)</f>
        <v>0</v>
      </c>
      <c r="T271" s="14" t="n">
        <f aca="false">IF($L271=2013,1,0)</f>
        <v>0</v>
      </c>
      <c r="U271" s="14" t="n">
        <f aca="false">IF($L271=2014,1,0)</f>
        <v>0</v>
      </c>
      <c r="V271" s="14" t="n">
        <f aca="false">IF($L271=2015,1,0)</f>
        <v>1</v>
      </c>
      <c r="W271" s="14" t="n">
        <f aca="false">IF($L271=2016,1,0)</f>
        <v>0</v>
      </c>
      <c r="X271" s="14" t="n">
        <f aca="false">IF($L271=2017,1,0)</f>
        <v>0</v>
      </c>
      <c r="Y271" s="14" t="n">
        <f aca="false">IF($H271="Beginner Level",1,0)</f>
        <v>0</v>
      </c>
      <c r="Z271" s="14" t="n">
        <f aca="false">IF($H271="Expert Level",1,0)</f>
        <v>0</v>
      </c>
      <c r="AA271" s="14" t="n">
        <f aca="false">IF($H271="Intermediate Level",1,0)</f>
        <v>0</v>
      </c>
      <c r="AC271" s="14" t="n">
        <f aca="false">N271</f>
        <v>5.29836736529808</v>
      </c>
      <c r="AD271" s="14" t="n">
        <f aca="false">G271</f>
        <v>384</v>
      </c>
      <c r="AE271" s="14" t="n">
        <f aca="false">J271</f>
        <v>76.5</v>
      </c>
      <c r="AF271" s="14" t="n">
        <f aca="false">IF($L271=2012,1,0)</f>
        <v>0</v>
      </c>
      <c r="AG271" s="14" t="n">
        <f aca="false">IF($L271=2013,1,0)</f>
        <v>0</v>
      </c>
      <c r="AH271" s="14" t="n">
        <f aca="false">IF($L271=2014,1,0)</f>
        <v>0</v>
      </c>
      <c r="AI271" s="14" t="n">
        <f aca="false">IF($L271=2015,1,0)</f>
        <v>1</v>
      </c>
      <c r="AJ271" s="14" t="n">
        <f aca="false">IF($L271=2016,1,0)</f>
        <v>0</v>
      </c>
      <c r="AK271" s="14" t="n">
        <f aca="false">IF($L271=2017,1,0)</f>
        <v>0</v>
      </c>
      <c r="AL271" s="14" t="n">
        <f aca="false">IF($H271="Beginner Level",1,0)</f>
        <v>0</v>
      </c>
      <c r="AM271" s="14" t="n">
        <f aca="false">IF($H271="Expert Level",1,0)</f>
        <v>0</v>
      </c>
      <c r="AN271" s="14" t="n">
        <f aca="false">IF($H271="Intermediate Level",1,0)</f>
        <v>0</v>
      </c>
    </row>
    <row r="272" customFormat="false" ht="91" hidden="false" customHeight="false" outlineLevel="0" collapsed="false">
      <c r="A272" s="14" t="n">
        <v>631128</v>
      </c>
      <c r="B272" s="14" t="s">
        <v>588</v>
      </c>
      <c r="C272" s="14" t="s">
        <v>589</v>
      </c>
      <c r="D272" s="14" t="n">
        <v>110</v>
      </c>
      <c r="E272" s="14" t="n">
        <v>7489</v>
      </c>
      <c r="F272" s="14" t="n">
        <v>941</v>
      </c>
      <c r="G272" s="14" t="n">
        <v>173</v>
      </c>
      <c r="H272" s="14" t="s">
        <v>62</v>
      </c>
      <c r="I272" s="14" t="n">
        <v>0.42</v>
      </c>
      <c r="J272" s="14" t="n">
        <v>16</v>
      </c>
      <c r="K272" s="14" t="s">
        <v>59</v>
      </c>
      <c r="L272" s="14" t="n">
        <v>2015</v>
      </c>
      <c r="M272" s="14" t="n">
        <v>8.92119055624937</v>
      </c>
      <c r="N272" s="14" t="n">
        <v>4.70057127075134</v>
      </c>
      <c r="P272" s="14" t="n">
        <f aca="false">D272</f>
        <v>110</v>
      </c>
      <c r="Q272" s="14" t="n">
        <f aca="false">G272</f>
        <v>173</v>
      </c>
      <c r="R272" s="14" t="n">
        <f aca="false">J272</f>
        <v>16</v>
      </c>
      <c r="S272" s="14" t="n">
        <f aca="false">IF($L272=2012,1,0)</f>
        <v>0</v>
      </c>
      <c r="T272" s="14" t="n">
        <f aca="false">IF($L272=2013,1,0)</f>
        <v>0</v>
      </c>
      <c r="U272" s="14" t="n">
        <f aca="false">IF($L272=2014,1,0)</f>
        <v>0</v>
      </c>
      <c r="V272" s="14" t="n">
        <f aca="false">IF($L272=2015,1,0)</f>
        <v>1</v>
      </c>
      <c r="W272" s="14" t="n">
        <f aca="false">IF($L272=2016,1,0)</f>
        <v>0</v>
      </c>
      <c r="X272" s="14" t="n">
        <f aca="false">IF($L272=2017,1,0)</f>
        <v>0</v>
      </c>
      <c r="Y272" s="14" t="n">
        <f aca="false">IF($H272="Beginner Level",1,0)</f>
        <v>0</v>
      </c>
      <c r="Z272" s="14" t="n">
        <f aca="false">IF($H272="Expert Level",1,0)</f>
        <v>0</v>
      </c>
      <c r="AA272" s="14" t="n">
        <f aca="false">IF($H272="Intermediate Level",1,0)</f>
        <v>0</v>
      </c>
      <c r="AC272" s="14" t="n">
        <f aca="false">N272</f>
        <v>4.70057127075134</v>
      </c>
      <c r="AD272" s="14" t="n">
        <f aca="false">G272</f>
        <v>173</v>
      </c>
      <c r="AE272" s="14" t="n">
        <f aca="false">J272</f>
        <v>16</v>
      </c>
      <c r="AF272" s="14" t="n">
        <f aca="false">IF($L272=2012,1,0)</f>
        <v>0</v>
      </c>
      <c r="AG272" s="14" t="n">
        <f aca="false">IF($L272=2013,1,0)</f>
        <v>0</v>
      </c>
      <c r="AH272" s="14" t="n">
        <f aca="false">IF($L272=2014,1,0)</f>
        <v>0</v>
      </c>
      <c r="AI272" s="14" t="n">
        <f aca="false">IF($L272=2015,1,0)</f>
        <v>1</v>
      </c>
      <c r="AJ272" s="14" t="n">
        <f aca="false">IF($L272=2016,1,0)</f>
        <v>0</v>
      </c>
      <c r="AK272" s="14" t="n">
        <f aca="false">IF($L272=2017,1,0)</f>
        <v>0</v>
      </c>
      <c r="AL272" s="14" t="n">
        <f aca="false">IF($H272="Beginner Level",1,0)</f>
        <v>0</v>
      </c>
      <c r="AM272" s="14" t="n">
        <f aca="false">IF($H272="Expert Level",1,0)</f>
        <v>0</v>
      </c>
      <c r="AN272" s="14" t="n">
        <f aca="false">IF($H272="Intermediate Level",1,0)</f>
        <v>0</v>
      </c>
    </row>
    <row r="273" customFormat="false" ht="57.45" hidden="false" customHeight="false" outlineLevel="0" collapsed="false">
      <c r="A273" s="14" t="n">
        <v>436496</v>
      </c>
      <c r="B273" s="14" t="s">
        <v>590</v>
      </c>
      <c r="C273" s="14" t="s">
        <v>591</v>
      </c>
      <c r="D273" s="14" t="n">
        <v>0</v>
      </c>
      <c r="E273" s="14" t="n">
        <v>7484</v>
      </c>
      <c r="F273" s="14" t="n">
        <v>304</v>
      </c>
      <c r="G273" s="14" t="n">
        <v>5</v>
      </c>
      <c r="H273" s="14" t="s">
        <v>52</v>
      </c>
      <c r="I273" s="14" t="n">
        <v>0.24</v>
      </c>
      <c r="J273" s="14" t="n">
        <v>1</v>
      </c>
      <c r="K273" s="14" t="s">
        <v>53</v>
      </c>
      <c r="L273" s="14" t="n">
        <v>2015</v>
      </c>
      <c r="M273" s="14" t="n">
        <v>8.92052268739398</v>
      </c>
      <c r="N273" s="14" t="n">
        <v>-4.60517018598809</v>
      </c>
      <c r="P273" s="14" t="n">
        <f aca="false">D273</f>
        <v>0</v>
      </c>
      <c r="Q273" s="14" t="n">
        <f aca="false">G273</f>
        <v>5</v>
      </c>
      <c r="R273" s="14" t="n">
        <f aca="false">J273</f>
        <v>1</v>
      </c>
      <c r="S273" s="14" t="n">
        <f aca="false">IF($L273=2012,1,0)</f>
        <v>0</v>
      </c>
      <c r="T273" s="14" t="n">
        <f aca="false">IF($L273=2013,1,0)</f>
        <v>0</v>
      </c>
      <c r="U273" s="14" t="n">
        <f aca="false">IF($L273=2014,1,0)</f>
        <v>0</v>
      </c>
      <c r="V273" s="14" t="n">
        <f aca="false">IF($L273=2015,1,0)</f>
        <v>1</v>
      </c>
      <c r="W273" s="14" t="n">
        <f aca="false">IF($L273=2016,1,0)</f>
        <v>0</v>
      </c>
      <c r="X273" s="14" t="n">
        <f aca="false">IF($L273=2017,1,0)</f>
        <v>0</v>
      </c>
      <c r="Y273" s="14" t="n">
        <f aca="false">IF($H273="Beginner Level",1,0)</f>
        <v>1</v>
      </c>
      <c r="Z273" s="14" t="n">
        <f aca="false">IF($H273="Expert Level",1,0)</f>
        <v>0</v>
      </c>
      <c r="AA273" s="14" t="n">
        <f aca="false">IF($H273="Intermediate Level",1,0)</f>
        <v>0</v>
      </c>
      <c r="AC273" s="14" t="n">
        <f aca="false">N273</f>
        <v>-4.60517018598809</v>
      </c>
      <c r="AD273" s="14" t="n">
        <f aca="false">G273</f>
        <v>5</v>
      </c>
      <c r="AE273" s="14" t="n">
        <f aca="false">J273</f>
        <v>1</v>
      </c>
      <c r="AF273" s="14" t="n">
        <f aca="false">IF($L273=2012,1,0)</f>
        <v>0</v>
      </c>
      <c r="AG273" s="14" t="n">
        <f aca="false">IF($L273=2013,1,0)</f>
        <v>0</v>
      </c>
      <c r="AH273" s="14" t="n">
        <f aca="false">IF($L273=2014,1,0)</f>
        <v>0</v>
      </c>
      <c r="AI273" s="14" t="n">
        <f aca="false">IF($L273=2015,1,0)</f>
        <v>1</v>
      </c>
      <c r="AJ273" s="14" t="n">
        <f aca="false">IF($L273=2016,1,0)</f>
        <v>0</v>
      </c>
      <c r="AK273" s="14" t="n">
        <f aca="false">IF($L273=2017,1,0)</f>
        <v>0</v>
      </c>
      <c r="AL273" s="14" t="n">
        <f aca="false">IF($H273="Beginner Level",1,0)</f>
        <v>1</v>
      </c>
      <c r="AM273" s="14" t="n">
        <f aca="false">IF($H273="Expert Level",1,0)</f>
        <v>0</v>
      </c>
      <c r="AN273" s="14" t="n">
        <f aca="false">IF($H273="Intermediate Level",1,0)</f>
        <v>0</v>
      </c>
    </row>
    <row r="274" customFormat="false" ht="79.85" hidden="false" customHeight="false" outlineLevel="0" collapsed="false">
      <c r="A274" s="14" t="n">
        <v>200742</v>
      </c>
      <c r="B274" s="14" t="s">
        <v>592</v>
      </c>
      <c r="C274" s="14" t="s">
        <v>593</v>
      </c>
      <c r="D274" s="14" t="n">
        <v>20</v>
      </c>
      <c r="E274" s="14" t="n">
        <v>7449</v>
      </c>
      <c r="F274" s="14" t="n">
        <v>111</v>
      </c>
      <c r="G274" s="14" t="n">
        <v>13</v>
      </c>
      <c r="H274" s="14" t="s">
        <v>56</v>
      </c>
      <c r="I274" s="14" t="n">
        <v>0.3</v>
      </c>
      <c r="J274" s="14" t="n">
        <v>1</v>
      </c>
      <c r="K274" s="14" t="s">
        <v>59</v>
      </c>
      <c r="L274" s="14" t="n">
        <v>2014</v>
      </c>
      <c r="M274" s="14" t="n">
        <v>8.91583507417628</v>
      </c>
      <c r="N274" s="14" t="n">
        <v>2.99623214859564</v>
      </c>
      <c r="P274" s="14" t="n">
        <f aca="false">D274</f>
        <v>20</v>
      </c>
      <c r="Q274" s="14" t="n">
        <f aca="false">G274</f>
        <v>13</v>
      </c>
      <c r="R274" s="14" t="n">
        <f aca="false">J274</f>
        <v>1</v>
      </c>
      <c r="S274" s="14" t="n">
        <f aca="false">IF($L274=2012,1,0)</f>
        <v>0</v>
      </c>
      <c r="T274" s="14" t="n">
        <f aca="false">IF($L274=2013,1,0)</f>
        <v>0</v>
      </c>
      <c r="U274" s="14" t="n">
        <f aca="false">IF($L274=2014,1,0)</f>
        <v>1</v>
      </c>
      <c r="V274" s="14" t="n">
        <f aca="false">IF($L274=2015,1,0)</f>
        <v>0</v>
      </c>
      <c r="W274" s="14" t="n">
        <f aca="false">IF($L274=2016,1,0)</f>
        <v>0</v>
      </c>
      <c r="X274" s="14" t="n">
        <f aca="false">IF($L274=2017,1,0)</f>
        <v>0</v>
      </c>
      <c r="Y274" s="14" t="n">
        <f aca="false">IF($H274="Beginner Level",1,0)</f>
        <v>0</v>
      </c>
      <c r="Z274" s="14" t="n">
        <f aca="false">IF($H274="Expert Level",1,0)</f>
        <v>1</v>
      </c>
      <c r="AA274" s="14" t="n">
        <f aca="false">IF($H274="Intermediate Level",1,0)</f>
        <v>0</v>
      </c>
      <c r="AC274" s="14" t="n">
        <f aca="false">N274</f>
        <v>2.99623214859564</v>
      </c>
      <c r="AD274" s="14" t="n">
        <f aca="false">G274</f>
        <v>13</v>
      </c>
      <c r="AE274" s="14" t="n">
        <f aca="false">J274</f>
        <v>1</v>
      </c>
      <c r="AF274" s="14" t="n">
        <f aca="false">IF($L274=2012,1,0)</f>
        <v>0</v>
      </c>
      <c r="AG274" s="14" t="n">
        <f aca="false">IF($L274=2013,1,0)</f>
        <v>0</v>
      </c>
      <c r="AH274" s="14" t="n">
        <f aca="false">IF($L274=2014,1,0)</f>
        <v>1</v>
      </c>
      <c r="AI274" s="14" t="n">
        <f aca="false">IF($L274=2015,1,0)</f>
        <v>0</v>
      </c>
      <c r="AJ274" s="14" t="n">
        <f aca="false">IF($L274=2016,1,0)</f>
        <v>0</v>
      </c>
      <c r="AK274" s="14" t="n">
        <f aca="false">IF($L274=2017,1,0)</f>
        <v>0</v>
      </c>
      <c r="AL274" s="14" t="n">
        <f aca="false">IF($H274="Beginner Level",1,0)</f>
        <v>0</v>
      </c>
      <c r="AM274" s="14" t="n">
        <f aca="false">IF($H274="Expert Level",1,0)</f>
        <v>1</v>
      </c>
      <c r="AN274" s="14" t="n">
        <f aca="false">IF($H274="Intermediate Level",1,0)</f>
        <v>0</v>
      </c>
    </row>
    <row r="275" customFormat="false" ht="57.45" hidden="false" customHeight="false" outlineLevel="0" collapsed="false">
      <c r="A275" s="14" t="n">
        <v>513958</v>
      </c>
      <c r="B275" s="14" t="s">
        <v>594</v>
      </c>
      <c r="C275" s="14" t="s">
        <v>595</v>
      </c>
      <c r="D275" s="14" t="n">
        <v>200</v>
      </c>
      <c r="E275" s="14" t="n">
        <v>7449</v>
      </c>
      <c r="F275" s="14" t="n">
        <v>91</v>
      </c>
      <c r="G275" s="14" t="n">
        <v>32</v>
      </c>
      <c r="H275" s="14" t="s">
        <v>52</v>
      </c>
      <c r="I275" s="14" t="n">
        <v>0.38</v>
      </c>
      <c r="J275" s="14" t="n">
        <v>4</v>
      </c>
      <c r="K275" s="14" t="s">
        <v>59</v>
      </c>
      <c r="L275" s="14" t="n">
        <v>2015</v>
      </c>
      <c r="M275" s="14" t="n">
        <v>8.91583507417628</v>
      </c>
      <c r="N275" s="14" t="n">
        <v>5.29836736529808</v>
      </c>
      <c r="P275" s="14" t="n">
        <f aca="false">D275</f>
        <v>200</v>
      </c>
      <c r="Q275" s="14" t="n">
        <f aca="false">G275</f>
        <v>32</v>
      </c>
      <c r="R275" s="14" t="n">
        <f aca="false">J275</f>
        <v>4</v>
      </c>
      <c r="S275" s="14" t="n">
        <f aca="false">IF($L275=2012,1,0)</f>
        <v>0</v>
      </c>
      <c r="T275" s="14" t="n">
        <f aca="false">IF($L275=2013,1,0)</f>
        <v>0</v>
      </c>
      <c r="U275" s="14" t="n">
        <f aca="false">IF($L275=2014,1,0)</f>
        <v>0</v>
      </c>
      <c r="V275" s="14" t="n">
        <f aca="false">IF($L275=2015,1,0)</f>
        <v>1</v>
      </c>
      <c r="W275" s="14" t="n">
        <f aca="false">IF($L275=2016,1,0)</f>
        <v>0</v>
      </c>
      <c r="X275" s="14" t="n">
        <f aca="false">IF($L275=2017,1,0)</f>
        <v>0</v>
      </c>
      <c r="Y275" s="14" t="n">
        <f aca="false">IF($H275="Beginner Level",1,0)</f>
        <v>1</v>
      </c>
      <c r="Z275" s="14" t="n">
        <f aca="false">IF($H275="Expert Level",1,0)</f>
        <v>0</v>
      </c>
      <c r="AA275" s="14" t="n">
        <f aca="false">IF($H275="Intermediate Level",1,0)</f>
        <v>0</v>
      </c>
      <c r="AC275" s="14" t="n">
        <f aca="false">N275</f>
        <v>5.29836736529808</v>
      </c>
      <c r="AD275" s="14" t="n">
        <f aca="false">G275</f>
        <v>32</v>
      </c>
      <c r="AE275" s="14" t="n">
        <f aca="false">J275</f>
        <v>4</v>
      </c>
      <c r="AF275" s="14" t="n">
        <f aca="false">IF($L275=2012,1,0)</f>
        <v>0</v>
      </c>
      <c r="AG275" s="14" t="n">
        <f aca="false">IF($L275=2013,1,0)</f>
        <v>0</v>
      </c>
      <c r="AH275" s="14" t="n">
        <f aca="false">IF($L275=2014,1,0)</f>
        <v>0</v>
      </c>
      <c r="AI275" s="14" t="n">
        <f aca="false">IF($L275=2015,1,0)</f>
        <v>1</v>
      </c>
      <c r="AJ275" s="14" t="n">
        <f aca="false">IF($L275=2016,1,0)</f>
        <v>0</v>
      </c>
      <c r="AK275" s="14" t="n">
        <f aca="false">IF($L275=2017,1,0)</f>
        <v>0</v>
      </c>
      <c r="AL275" s="14" t="n">
        <f aca="false">IF($H275="Beginner Level",1,0)</f>
        <v>1</v>
      </c>
      <c r="AM275" s="14" t="n">
        <f aca="false">IF($H275="Expert Level",1,0)</f>
        <v>0</v>
      </c>
      <c r="AN275" s="14" t="n">
        <f aca="false">IF($H275="Intermediate Level",1,0)</f>
        <v>0</v>
      </c>
    </row>
    <row r="276" customFormat="false" ht="57.45" hidden="false" customHeight="false" outlineLevel="0" collapsed="false">
      <c r="A276" s="14" t="n">
        <v>911318</v>
      </c>
      <c r="B276" s="14" t="s">
        <v>596</v>
      </c>
      <c r="C276" s="14" t="s">
        <v>597</v>
      </c>
      <c r="D276" s="14" t="n">
        <v>0</v>
      </c>
      <c r="E276" s="14" t="n">
        <v>7438</v>
      </c>
      <c r="F276" s="14" t="n">
        <v>441</v>
      </c>
      <c r="G276" s="14" t="n">
        <v>37</v>
      </c>
      <c r="H276" s="14" t="s">
        <v>62</v>
      </c>
      <c r="I276" s="14" t="n">
        <v>0.78</v>
      </c>
      <c r="J276" s="14" t="n">
        <v>2.5</v>
      </c>
      <c r="K276" s="14" t="s">
        <v>53</v>
      </c>
      <c r="L276" s="14" t="n">
        <v>2016</v>
      </c>
      <c r="M276" s="14" t="n">
        <v>8.91435727448502</v>
      </c>
      <c r="N276" s="14" t="n">
        <v>-4.60517018598809</v>
      </c>
      <c r="P276" s="14" t="n">
        <f aca="false">D276</f>
        <v>0</v>
      </c>
      <c r="Q276" s="14" t="n">
        <f aca="false">G276</f>
        <v>37</v>
      </c>
      <c r="R276" s="14" t="n">
        <f aca="false">J276</f>
        <v>2.5</v>
      </c>
      <c r="S276" s="14" t="n">
        <f aca="false">IF($L276=2012,1,0)</f>
        <v>0</v>
      </c>
      <c r="T276" s="14" t="n">
        <f aca="false">IF($L276=2013,1,0)</f>
        <v>0</v>
      </c>
      <c r="U276" s="14" t="n">
        <f aca="false">IF($L276=2014,1,0)</f>
        <v>0</v>
      </c>
      <c r="V276" s="14" t="n">
        <f aca="false">IF($L276=2015,1,0)</f>
        <v>0</v>
      </c>
      <c r="W276" s="14" t="n">
        <f aca="false">IF($L276=2016,1,0)</f>
        <v>1</v>
      </c>
      <c r="X276" s="14" t="n">
        <f aca="false">IF($L276=2017,1,0)</f>
        <v>0</v>
      </c>
      <c r="Y276" s="14" t="n">
        <f aca="false">IF($H276="Beginner Level",1,0)</f>
        <v>0</v>
      </c>
      <c r="Z276" s="14" t="n">
        <f aca="false">IF($H276="Expert Level",1,0)</f>
        <v>0</v>
      </c>
      <c r="AA276" s="14" t="n">
        <f aca="false">IF($H276="Intermediate Level",1,0)</f>
        <v>0</v>
      </c>
      <c r="AC276" s="14" t="n">
        <f aca="false">N276</f>
        <v>-4.60517018598809</v>
      </c>
      <c r="AD276" s="14" t="n">
        <f aca="false">G276</f>
        <v>37</v>
      </c>
      <c r="AE276" s="14" t="n">
        <f aca="false">J276</f>
        <v>2.5</v>
      </c>
      <c r="AF276" s="14" t="n">
        <f aca="false">IF($L276=2012,1,0)</f>
        <v>0</v>
      </c>
      <c r="AG276" s="14" t="n">
        <f aca="false">IF($L276=2013,1,0)</f>
        <v>0</v>
      </c>
      <c r="AH276" s="14" t="n">
        <f aca="false">IF($L276=2014,1,0)</f>
        <v>0</v>
      </c>
      <c r="AI276" s="14" t="n">
        <f aca="false">IF($L276=2015,1,0)</f>
        <v>0</v>
      </c>
      <c r="AJ276" s="14" t="n">
        <f aca="false">IF($L276=2016,1,0)</f>
        <v>1</v>
      </c>
      <c r="AK276" s="14" t="n">
        <f aca="false">IF($L276=2017,1,0)</f>
        <v>0</v>
      </c>
      <c r="AL276" s="14" t="n">
        <f aca="false">IF($H276="Beginner Level",1,0)</f>
        <v>0</v>
      </c>
      <c r="AM276" s="14" t="n">
        <f aca="false">IF($H276="Expert Level",1,0)</f>
        <v>0</v>
      </c>
      <c r="AN276" s="14" t="n">
        <f aca="false">IF($H276="Intermediate Level",1,0)</f>
        <v>0</v>
      </c>
    </row>
    <row r="277" customFormat="false" ht="79.85" hidden="false" customHeight="false" outlineLevel="0" collapsed="false">
      <c r="A277" s="14" t="n">
        <v>515188</v>
      </c>
      <c r="B277" s="14" t="s">
        <v>598</v>
      </c>
      <c r="C277" s="14" t="s">
        <v>599</v>
      </c>
      <c r="D277" s="14" t="n">
        <v>20</v>
      </c>
      <c r="E277" s="14" t="n">
        <v>7416</v>
      </c>
      <c r="F277" s="14" t="n">
        <v>65</v>
      </c>
      <c r="G277" s="14" t="n">
        <v>14</v>
      </c>
      <c r="H277" s="14" t="s">
        <v>62</v>
      </c>
      <c r="I277" s="14" t="n">
        <v>0.96</v>
      </c>
      <c r="J277" s="14" t="n">
        <v>0.65</v>
      </c>
      <c r="K277" s="14" t="s">
        <v>59</v>
      </c>
      <c r="L277" s="14" t="n">
        <v>2015</v>
      </c>
      <c r="M277" s="14" t="n">
        <v>8.91139510724569</v>
      </c>
      <c r="N277" s="14" t="n">
        <v>2.99623214859564</v>
      </c>
      <c r="P277" s="14" t="n">
        <f aca="false">D277</f>
        <v>20</v>
      </c>
      <c r="Q277" s="14" t="n">
        <f aca="false">G277</f>
        <v>14</v>
      </c>
      <c r="R277" s="14" t="n">
        <f aca="false">J277</f>
        <v>0.65</v>
      </c>
      <c r="S277" s="14" t="n">
        <f aca="false">IF($L277=2012,1,0)</f>
        <v>0</v>
      </c>
      <c r="T277" s="14" t="n">
        <f aca="false">IF($L277=2013,1,0)</f>
        <v>0</v>
      </c>
      <c r="U277" s="14" t="n">
        <f aca="false">IF($L277=2014,1,0)</f>
        <v>0</v>
      </c>
      <c r="V277" s="14" t="n">
        <f aca="false">IF($L277=2015,1,0)</f>
        <v>1</v>
      </c>
      <c r="W277" s="14" t="n">
        <f aca="false">IF($L277=2016,1,0)</f>
        <v>0</v>
      </c>
      <c r="X277" s="14" t="n">
        <f aca="false">IF($L277=2017,1,0)</f>
        <v>0</v>
      </c>
      <c r="Y277" s="14" t="n">
        <f aca="false">IF($H277="Beginner Level",1,0)</f>
        <v>0</v>
      </c>
      <c r="Z277" s="14" t="n">
        <f aca="false">IF($H277="Expert Level",1,0)</f>
        <v>0</v>
      </c>
      <c r="AA277" s="14" t="n">
        <f aca="false">IF($H277="Intermediate Level",1,0)</f>
        <v>0</v>
      </c>
      <c r="AC277" s="14" t="n">
        <f aca="false">N277</f>
        <v>2.99623214859564</v>
      </c>
      <c r="AD277" s="14" t="n">
        <f aca="false">G277</f>
        <v>14</v>
      </c>
      <c r="AE277" s="14" t="n">
        <f aca="false">J277</f>
        <v>0.65</v>
      </c>
      <c r="AF277" s="14" t="n">
        <f aca="false">IF($L277=2012,1,0)</f>
        <v>0</v>
      </c>
      <c r="AG277" s="14" t="n">
        <f aca="false">IF($L277=2013,1,0)</f>
        <v>0</v>
      </c>
      <c r="AH277" s="14" t="n">
        <f aca="false">IF($L277=2014,1,0)</f>
        <v>0</v>
      </c>
      <c r="AI277" s="14" t="n">
        <f aca="false">IF($L277=2015,1,0)</f>
        <v>1</v>
      </c>
      <c r="AJ277" s="14" t="n">
        <f aca="false">IF($L277=2016,1,0)</f>
        <v>0</v>
      </c>
      <c r="AK277" s="14" t="n">
        <f aca="false">IF($L277=2017,1,0)</f>
        <v>0</v>
      </c>
      <c r="AL277" s="14" t="n">
        <f aca="false">IF($H277="Beginner Level",1,0)</f>
        <v>0</v>
      </c>
      <c r="AM277" s="14" t="n">
        <f aca="false">IF($H277="Expert Level",1,0)</f>
        <v>0</v>
      </c>
      <c r="AN277" s="14" t="n">
        <f aca="false">IF($H277="Intermediate Level",1,0)</f>
        <v>0</v>
      </c>
    </row>
    <row r="278" customFormat="false" ht="57.45" hidden="false" customHeight="false" outlineLevel="0" collapsed="false">
      <c r="A278" s="14" t="n">
        <v>76052</v>
      </c>
      <c r="B278" s="14" t="s">
        <v>600</v>
      </c>
      <c r="C278" s="14" t="s">
        <v>601</v>
      </c>
      <c r="D278" s="14" t="n">
        <v>50</v>
      </c>
      <c r="E278" s="14" t="n">
        <v>7407</v>
      </c>
      <c r="F278" s="14" t="n">
        <v>172</v>
      </c>
      <c r="G278" s="14" t="n">
        <v>147</v>
      </c>
      <c r="H278" s="14" t="s">
        <v>52</v>
      </c>
      <c r="I278" s="14" t="n">
        <v>0.68</v>
      </c>
      <c r="J278" s="14" t="n">
        <v>20</v>
      </c>
      <c r="K278" s="14" t="s">
        <v>59</v>
      </c>
      <c r="L278" s="14" t="n">
        <v>2014</v>
      </c>
      <c r="M278" s="14" t="n">
        <v>8.91018077801329</v>
      </c>
      <c r="N278" s="14" t="n">
        <v>3.91222298543081</v>
      </c>
      <c r="P278" s="14" t="n">
        <f aca="false">D278</f>
        <v>50</v>
      </c>
      <c r="Q278" s="14" t="n">
        <f aca="false">G278</f>
        <v>147</v>
      </c>
      <c r="R278" s="14" t="n">
        <f aca="false">J278</f>
        <v>20</v>
      </c>
      <c r="S278" s="14" t="n">
        <f aca="false">IF($L278=2012,1,0)</f>
        <v>0</v>
      </c>
      <c r="T278" s="14" t="n">
        <f aca="false">IF($L278=2013,1,0)</f>
        <v>0</v>
      </c>
      <c r="U278" s="14" t="n">
        <f aca="false">IF($L278=2014,1,0)</f>
        <v>1</v>
      </c>
      <c r="V278" s="14" t="n">
        <f aca="false">IF($L278=2015,1,0)</f>
        <v>0</v>
      </c>
      <c r="W278" s="14" t="n">
        <f aca="false">IF($L278=2016,1,0)</f>
        <v>0</v>
      </c>
      <c r="X278" s="14" t="n">
        <f aca="false">IF($L278=2017,1,0)</f>
        <v>0</v>
      </c>
      <c r="Y278" s="14" t="n">
        <f aca="false">IF($H278="Beginner Level",1,0)</f>
        <v>1</v>
      </c>
      <c r="Z278" s="14" t="n">
        <f aca="false">IF($H278="Expert Level",1,0)</f>
        <v>0</v>
      </c>
      <c r="AA278" s="14" t="n">
        <f aca="false">IF($H278="Intermediate Level",1,0)</f>
        <v>0</v>
      </c>
      <c r="AC278" s="14" t="n">
        <f aca="false">N278</f>
        <v>3.91222298543081</v>
      </c>
      <c r="AD278" s="14" t="n">
        <f aca="false">G278</f>
        <v>147</v>
      </c>
      <c r="AE278" s="14" t="n">
        <f aca="false">J278</f>
        <v>20</v>
      </c>
      <c r="AF278" s="14" t="n">
        <f aca="false">IF($L278=2012,1,0)</f>
        <v>0</v>
      </c>
      <c r="AG278" s="14" t="n">
        <f aca="false">IF($L278=2013,1,0)</f>
        <v>0</v>
      </c>
      <c r="AH278" s="14" t="n">
        <f aca="false">IF($L278=2014,1,0)</f>
        <v>1</v>
      </c>
      <c r="AI278" s="14" t="n">
        <f aca="false">IF($L278=2015,1,0)</f>
        <v>0</v>
      </c>
      <c r="AJ278" s="14" t="n">
        <f aca="false">IF($L278=2016,1,0)</f>
        <v>0</v>
      </c>
      <c r="AK278" s="14" t="n">
        <f aca="false">IF($L278=2017,1,0)</f>
        <v>0</v>
      </c>
      <c r="AL278" s="14" t="n">
        <f aca="false">IF($H278="Beginner Level",1,0)</f>
        <v>1</v>
      </c>
      <c r="AM278" s="14" t="n">
        <f aca="false">IF($H278="Expert Level",1,0)</f>
        <v>0</v>
      </c>
      <c r="AN278" s="14" t="n">
        <f aca="false">IF($H278="Intermediate Level",1,0)</f>
        <v>0</v>
      </c>
    </row>
    <row r="279" customFormat="false" ht="91" hidden="false" customHeight="false" outlineLevel="0" collapsed="false">
      <c r="A279" s="14" t="n">
        <v>560990</v>
      </c>
      <c r="B279" s="14" t="s">
        <v>602</v>
      </c>
      <c r="C279" s="14" t="s">
        <v>603</v>
      </c>
      <c r="D279" s="14" t="n">
        <v>75</v>
      </c>
      <c r="E279" s="14" t="n">
        <v>7380</v>
      </c>
      <c r="F279" s="14" t="n">
        <v>43</v>
      </c>
      <c r="G279" s="14" t="n">
        <v>59</v>
      </c>
      <c r="H279" s="14" t="s">
        <v>62</v>
      </c>
      <c r="I279" s="14" t="n">
        <v>0.68</v>
      </c>
      <c r="J279" s="14" t="n">
        <v>2.5</v>
      </c>
      <c r="K279" s="14" t="s">
        <v>59</v>
      </c>
      <c r="L279" s="14" t="n">
        <v>2015</v>
      </c>
      <c r="M279" s="14" t="n">
        <v>8.90652891759452</v>
      </c>
      <c r="N279" s="14" t="n">
        <v>4.31762143798155</v>
      </c>
      <c r="P279" s="14" t="n">
        <f aca="false">D279</f>
        <v>75</v>
      </c>
      <c r="Q279" s="14" t="n">
        <f aca="false">G279</f>
        <v>59</v>
      </c>
      <c r="R279" s="14" t="n">
        <f aca="false">J279</f>
        <v>2.5</v>
      </c>
      <c r="S279" s="14" t="n">
        <f aca="false">IF($L279=2012,1,0)</f>
        <v>0</v>
      </c>
      <c r="T279" s="14" t="n">
        <f aca="false">IF($L279=2013,1,0)</f>
        <v>0</v>
      </c>
      <c r="U279" s="14" t="n">
        <f aca="false">IF($L279=2014,1,0)</f>
        <v>0</v>
      </c>
      <c r="V279" s="14" t="n">
        <f aca="false">IF($L279=2015,1,0)</f>
        <v>1</v>
      </c>
      <c r="W279" s="14" t="n">
        <f aca="false">IF($L279=2016,1,0)</f>
        <v>0</v>
      </c>
      <c r="X279" s="14" t="n">
        <f aca="false">IF($L279=2017,1,0)</f>
        <v>0</v>
      </c>
      <c r="Y279" s="14" t="n">
        <f aca="false">IF($H279="Beginner Level",1,0)</f>
        <v>0</v>
      </c>
      <c r="Z279" s="14" t="n">
        <f aca="false">IF($H279="Expert Level",1,0)</f>
        <v>0</v>
      </c>
      <c r="AA279" s="14" t="n">
        <f aca="false">IF($H279="Intermediate Level",1,0)</f>
        <v>0</v>
      </c>
      <c r="AC279" s="14" t="n">
        <f aca="false">N279</f>
        <v>4.31762143798155</v>
      </c>
      <c r="AD279" s="14" t="n">
        <f aca="false">G279</f>
        <v>59</v>
      </c>
      <c r="AE279" s="14" t="n">
        <f aca="false">J279</f>
        <v>2.5</v>
      </c>
      <c r="AF279" s="14" t="n">
        <f aca="false">IF($L279=2012,1,0)</f>
        <v>0</v>
      </c>
      <c r="AG279" s="14" t="n">
        <f aca="false">IF($L279=2013,1,0)</f>
        <v>0</v>
      </c>
      <c r="AH279" s="14" t="n">
        <f aca="false">IF($L279=2014,1,0)</f>
        <v>0</v>
      </c>
      <c r="AI279" s="14" t="n">
        <f aca="false">IF($L279=2015,1,0)</f>
        <v>1</v>
      </c>
      <c r="AJ279" s="14" t="n">
        <f aca="false">IF($L279=2016,1,0)</f>
        <v>0</v>
      </c>
      <c r="AK279" s="14" t="n">
        <f aca="false">IF($L279=2017,1,0)</f>
        <v>0</v>
      </c>
      <c r="AL279" s="14" t="n">
        <f aca="false">IF($H279="Beginner Level",1,0)</f>
        <v>0</v>
      </c>
      <c r="AM279" s="14" t="n">
        <f aca="false">IF($H279="Expert Level",1,0)</f>
        <v>0</v>
      </c>
      <c r="AN279" s="14" t="n">
        <f aca="false">IF($H279="Intermediate Level",1,0)</f>
        <v>0</v>
      </c>
    </row>
    <row r="280" customFormat="false" ht="46.25" hidden="false" customHeight="false" outlineLevel="0" collapsed="false">
      <c r="A280" s="14" t="n">
        <v>783158</v>
      </c>
      <c r="B280" s="14" t="s">
        <v>604</v>
      </c>
      <c r="C280" s="14" t="s">
        <v>605</v>
      </c>
      <c r="D280" s="14" t="n">
        <v>40</v>
      </c>
      <c r="E280" s="14" t="n">
        <v>7375</v>
      </c>
      <c r="F280" s="14" t="n">
        <v>52</v>
      </c>
      <c r="G280" s="14" t="n">
        <v>17</v>
      </c>
      <c r="H280" s="14" t="s">
        <v>52</v>
      </c>
      <c r="I280" s="14" t="n">
        <v>0.24</v>
      </c>
      <c r="J280" s="14" t="n">
        <v>1.5</v>
      </c>
      <c r="K280" s="14" t="s">
        <v>59</v>
      </c>
      <c r="L280" s="14" t="n">
        <v>2016</v>
      </c>
      <c r="M280" s="14" t="n">
        <v>8.90585118120802</v>
      </c>
      <c r="N280" s="14" t="n">
        <v>3.68912942286914</v>
      </c>
      <c r="P280" s="14" t="n">
        <f aca="false">D280</f>
        <v>40</v>
      </c>
      <c r="Q280" s="14" t="n">
        <f aca="false">G280</f>
        <v>17</v>
      </c>
      <c r="R280" s="14" t="n">
        <f aca="false">J280</f>
        <v>1.5</v>
      </c>
      <c r="S280" s="14" t="n">
        <f aca="false">IF($L280=2012,1,0)</f>
        <v>0</v>
      </c>
      <c r="T280" s="14" t="n">
        <f aca="false">IF($L280=2013,1,0)</f>
        <v>0</v>
      </c>
      <c r="U280" s="14" t="n">
        <f aca="false">IF($L280=2014,1,0)</f>
        <v>0</v>
      </c>
      <c r="V280" s="14" t="n">
        <f aca="false">IF($L280=2015,1,0)</f>
        <v>0</v>
      </c>
      <c r="W280" s="14" t="n">
        <f aca="false">IF($L280=2016,1,0)</f>
        <v>1</v>
      </c>
      <c r="X280" s="14" t="n">
        <f aca="false">IF($L280=2017,1,0)</f>
        <v>0</v>
      </c>
      <c r="Y280" s="14" t="n">
        <f aca="false">IF($H280="Beginner Level",1,0)</f>
        <v>1</v>
      </c>
      <c r="Z280" s="14" t="n">
        <f aca="false">IF($H280="Expert Level",1,0)</f>
        <v>0</v>
      </c>
      <c r="AA280" s="14" t="n">
        <f aca="false">IF($H280="Intermediate Level",1,0)</f>
        <v>0</v>
      </c>
      <c r="AC280" s="14" t="n">
        <f aca="false">N280</f>
        <v>3.68912942286914</v>
      </c>
      <c r="AD280" s="14" t="n">
        <f aca="false">G280</f>
        <v>17</v>
      </c>
      <c r="AE280" s="14" t="n">
        <f aca="false">J280</f>
        <v>1.5</v>
      </c>
      <c r="AF280" s="14" t="n">
        <f aca="false">IF($L280=2012,1,0)</f>
        <v>0</v>
      </c>
      <c r="AG280" s="14" t="n">
        <f aca="false">IF($L280=2013,1,0)</f>
        <v>0</v>
      </c>
      <c r="AH280" s="14" t="n">
        <f aca="false">IF($L280=2014,1,0)</f>
        <v>0</v>
      </c>
      <c r="AI280" s="14" t="n">
        <f aca="false">IF($L280=2015,1,0)</f>
        <v>0</v>
      </c>
      <c r="AJ280" s="14" t="n">
        <f aca="false">IF($L280=2016,1,0)</f>
        <v>1</v>
      </c>
      <c r="AK280" s="14" t="n">
        <f aca="false">IF($L280=2017,1,0)</f>
        <v>0</v>
      </c>
      <c r="AL280" s="14" t="n">
        <f aca="false">IF($H280="Beginner Level",1,0)</f>
        <v>1</v>
      </c>
      <c r="AM280" s="14" t="n">
        <f aca="false">IF($H280="Expert Level",1,0)</f>
        <v>0</v>
      </c>
      <c r="AN280" s="14" t="n">
        <f aca="false">IF($H280="Intermediate Level",1,0)</f>
        <v>0</v>
      </c>
    </row>
    <row r="281" customFormat="false" ht="79.85" hidden="false" customHeight="false" outlineLevel="0" collapsed="false">
      <c r="A281" s="14" t="n">
        <v>92760</v>
      </c>
      <c r="B281" s="14" t="s">
        <v>606</v>
      </c>
      <c r="C281" s="14" t="s">
        <v>607</v>
      </c>
      <c r="D281" s="14" t="n">
        <v>20</v>
      </c>
      <c r="E281" s="14" t="n">
        <v>7368</v>
      </c>
      <c r="F281" s="14" t="n">
        <v>216</v>
      </c>
      <c r="G281" s="14" t="n">
        <v>52</v>
      </c>
      <c r="H281" s="14" t="s">
        <v>62</v>
      </c>
      <c r="I281" s="14" t="n">
        <v>0.61</v>
      </c>
      <c r="J281" s="14" t="n">
        <v>2</v>
      </c>
      <c r="K281" s="14" t="s">
        <v>59</v>
      </c>
      <c r="L281" s="14" t="n">
        <v>2013</v>
      </c>
      <c r="M281" s="14" t="n">
        <v>8.90490157793514</v>
      </c>
      <c r="N281" s="14" t="n">
        <v>2.99623214859564</v>
      </c>
      <c r="P281" s="14" t="n">
        <f aca="false">D281</f>
        <v>20</v>
      </c>
      <c r="Q281" s="14" t="n">
        <f aca="false">G281</f>
        <v>52</v>
      </c>
      <c r="R281" s="14" t="n">
        <f aca="false">J281</f>
        <v>2</v>
      </c>
      <c r="S281" s="14" t="n">
        <f aca="false">IF($L281=2012,1,0)</f>
        <v>0</v>
      </c>
      <c r="T281" s="14" t="n">
        <f aca="false">IF($L281=2013,1,0)</f>
        <v>1</v>
      </c>
      <c r="U281" s="14" t="n">
        <f aca="false">IF($L281=2014,1,0)</f>
        <v>0</v>
      </c>
      <c r="V281" s="14" t="n">
        <f aca="false">IF($L281=2015,1,0)</f>
        <v>0</v>
      </c>
      <c r="W281" s="14" t="n">
        <f aca="false">IF($L281=2016,1,0)</f>
        <v>0</v>
      </c>
      <c r="X281" s="14" t="n">
        <f aca="false">IF($L281=2017,1,0)</f>
        <v>0</v>
      </c>
      <c r="Y281" s="14" t="n">
        <f aca="false">IF($H281="Beginner Level",1,0)</f>
        <v>0</v>
      </c>
      <c r="Z281" s="14" t="n">
        <f aca="false">IF($H281="Expert Level",1,0)</f>
        <v>0</v>
      </c>
      <c r="AA281" s="14" t="n">
        <f aca="false">IF($H281="Intermediate Level",1,0)</f>
        <v>0</v>
      </c>
      <c r="AC281" s="14" t="n">
        <f aca="false">N281</f>
        <v>2.99623214859564</v>
      </c>
      <c r="AD281" s="14" t="n">
        <f aca="false">G281</f>
        <v>52</v>
      </c>
      <c r="AE281" s="14" t="n">
        <f aca="false">J281</f>
        <v>2</v>
      </c>
      <c r="AF281" s="14" t="n">
        <f aca="false">IF($L281=2012,1,0)</f>
        <v>0</v>
      </c>
      <c r="AG281" s="14" t="n">
        <f aca="false">IF($L281=2013,1,0)</f>
        <v>1</v>
      </c>
      <c r="AH281" s="14" t="n">
        <f aca="false">IF($L281=2014,1,0)</f>
        <v>0</v>
      </c>
      <c r="AI281" s="14" t="n">
        <f aca="false">IF($L281=2015,1,0)</f>
        <v>0</v>
      </c>
      <c r="AJ281" s="14" t="n">
        <f aca="false">IF($L281=2016,1,0)</f>
        <v>0</v>
      </c>
      <c r="AK281" s="14" t="n">
        <f aca="false">IF($L281=2017,1,0)</f>
        <v>0</v>
      </c>
      <c r="AL281" s="14" t="n">
        <f aca="false">IF($H281="Beginner Level",1,0)</f>
        <v>0</v>
      </c>
      <c r="AM281" s="14" t="n">
        <f aca="false">IF($H281="Expert Level",1,0)</f>
        <v>0</v>
      </c>
      <c r="AN281" s="14" t="n">
        <f aca="false">IF($H281="Intermediate Level",1,0)</f>
        <v>0</v>
      </c>
    </row>
    <row r="282" customFormat="false" ht="46.25" hidden="false" customHeight="false" outlineLevel="0" collapsed="false">
      <c r="A282" s="14" t="n">
        <v>1109736</v>
      </c>
      <c r="B282" s="14" t="s">
        <v>608</v>
      </c>
      <c r="C282" s="14" t="s">
        <v>609</v>
      </c>
      <c r="D282" s="14" t="n">
        <v>200</v>
      </c>
      <c r="E282" s="14" t="n">
        <v>7331</v>
      </c>
      <c r="F282" s="14" t="n">
        <v>55</v>
      </c>
      <c r="G282" s="14" t="n">
        <v>18</v>
      </c>
      <c r="H282" s="14" t="s">
        <v>62</v>
      </c>
      <c r="I282" s="14" t="n">
        <v>0.12</v>
      </c>
      <c r="J282" s="14" t="n">
        <v>1.5</v>
      </c>
      <c r="K282" s="14" t="s">
        <v>59</v>
      </c>
      <c r="L282" s="14" t="n">
        <v>2017</v>
      </c>
      <c r="M282" s="14" t="n">
        <v>8.89986721122359</v>
      </c>
      <c r="N282" s="14" t="n">
        <v>5.29836736529808</v>
      </c>
      <c r="P282" s="14" t="n">
        <f aca="false">D282</f>
        <v>200</v>
      </c>
      <c r="Q282" s="14" t="n">
        <f aca="false">G282</f>
        <v>18</v>
      </c>
      <c r="R282" s="14" t="n">
        <f aca="false">J282</f>
        <v>1.5</v>
      </c>
      <c r="S282" s="14" t="n">
        <f aca="false">IF($L282=2012,1,0)</f>
        <v>0</v>
      </c>
      <c r="T282" s="14" t="n">
        <f aca="false">IF($L282=2013,1,0)</f>
        <v>0</v>
      </c>
      <c r="U282" s="14" t="n">
        <f aca="false">IF($L282=2014,1,0)</f>
        <v>0</v>
      </c>
      <c r="V282" s="14" t="n">
        <f aca="false">IF($L282=2015,1,0)</f>
        <v>0</v>
      </c>
      <c r="W282" s="14" t="n">
        <f aca="false">IF($L282=2016,1,0)</f>
        <v>0</v>
      </c>
      <c r="X282" s="14" t="n">
        <f aca="false">IF($L282=2017,1,0)</f>
        <v>1</v>
      </c>
      <c r="Y282" s="14" t="n">
        <f aca="false">IF($H282="Beginner Level",1,0)</f>
        <v>0</v>
      </c>
      <c r="Z282" s="14" t="n">
        <f aca="false">IF($H282="Expert Level",1,0)</f>
        <v>0</v>
      </c>
      <c r="AA282" s="14" t="n">
        <f aca="false">IF($H282="Intermediate Level",1,0)</f>
        <v>0</v>
      </c>
      <c r="AC282" s="14" t="n">
        <f aca="false">N282</f>
        <v>5.29836736529808</v>
      </c>
      <c r="AD282" s="14" t="n">
        <f aca="false">G282</f>
        <v>18</v>
      </c>
      <c r="AE282" s="14" t="n">
        <f aca="false">J282</f>
        <v>1.5</v>
      </c>
      <c r="AF282" s="14" t="n">
        <f aca="false">IF($L282=2012,1,0)</f>
        <v>0</v>
      </c>
      <c r="AG282" s="14" t="n">
        <f aca="false">IF($L282=2013,1,0)</f>
        <v>0</v>
      </c>
      <c r="AH282" s="14" t="n">
        <f aca="false">IF($L282=2014,1,0)</f>
        <v>0</v>
      </c>
      <c r="AI282" s="14" t="n">
        <f aca="false">IF($L282=2015,1,0)</f>
        <v>0</v>
      </c>
      <c r="AJ282" s="14" t="n">
        <f aca="false">IF($L282=2016,1,0)</f>
        <v>0</v>
      </c>
      <c r="AK282" s="14" t="n">
        <f aca="false">IF($L282=2017,1,0)</f>
        <v>1</v>
      </c>
      <c r="AL282" s="14" t="n">
        <f aca="false">IF($H282="Beginner Level",1,0)</f>
        <v>0</v>
      </c>
      <c r="AM282" s="14" t="n">
        <f aca="false">IF($H282="Expert Level",1,0)</f>
        <v>0</v>
      </c>
      <c r="AN282" s="14" t="n">
        <f aca="false">IF($H282="Intermediate Level",1,0)</f>
        <v>0</v>
      </c>
    </row>
    <row r="283" customFormat="false" ht="46.25" hidden="false" customHeight="false" outlineLevel="0" collapsed="false">
      <c r="A283" s="14" t="n">
        <v>270976</v>
      </c>
      <c r="B283" s="14" t="s">
        <v>610</v>
      </c>
      <c r="C283" s="14" t="s">
        <v>611</v>
      </c>
      <c r="D283" s="14" t="n">
        <v>0</v>
      </c>
      <c r="E283" s="14" t="n">
        <v>7318</v>
      </c>
      <c r="F283" s="14" t="n">
        <v>205</v>
      </c>
      <c r="G283" s="14" t="n">
        <v>8</v>
      </c>
      <c r="H283" s="14" t="s">
        <v>52</v>
      </c>
      <c r="I283" s="14" t="n">
        <v>0.23</v>
      </c>
      <c r="J283" s="14" t="n">
        <v>0.58333333</v>
      </c>
      <c r="K283" s="14" t="s">
        <v>53</v>
      </c>
      <c r="L283" s="14" t="n">
        <v>2014</v>
      </c>
      <c r="M283" s="14" t="n">
        <v>8.89809234557915</v>
      </c>
      <c r="N283" s="14" t="n">
        <v>-4.60517018598809</v>
      </c>
      <c r="P283" s="14" t="n">
        <f aca="false">D283</f>
        <v>0</v>
      </c>
      <c r="Q283" s="14" t="n">
        <f aca="false">G283</f>
        <v>8</v>
      </c>
      <c r="R283" s="14" t="n">
        <f aca="false">J283</f>
        <v>0.58333333</v>
      </c>
      <c r="S283" s="14" t="n">
        <f aca="false">IF($L283=2012,1,0)</f>
        <v>0</v>
      </c>
      <c r="T283" s="14" t="n">
        <f aca="false">IF($L283=2013,1,0)</f>
        <v>0</v>
      </c>
      <c r="U283" s="14" t="n">
        <f aca="false">IF($L283=2014,1,0)</f>
        <v>1</v>
      </c>
      <c r="V283" s="14" t="n">
        <f aca="false">IF($L283=2015,1,0)</f>
        <v>0</v>
      </c>
      <c r="W283" s="14" t="n">
        <f aca="false">IF($L283=2016,1,0)</f>
        <v>0</v>
      </c>
      <c r="X283" s="14" t="n">
        <f aca="false">IF($L283=2017,1,0)</f>
        <v>0</v>
      </c>
      <c r="Y283" s="14" t="n">
        <f aca="false">IF($H283="Beginner Level",1,0)</f>
        <v>1</v>
      </c>
      <c r="Z283" s="14" t="n">
        <f aca="false">IF($H283="Expert Level",1,0)</f>
        <v>0</v>
      </c>
      <c r="AA283" s="14" t="n">
        <f aca="false">IF($H283="Intermediate Level",1,0)</f>
        <v>0</v>
      </c>
      <c r="AC283" s="14" t="n">
        <f aca="false">N283</f>
        <v>-4.60517018598809</v>
      </c>
      <c r="AD283" s="14" t="n">
        <f aca="false">G283</f>
        <v>8</v>
      </c>
      <c r="AE283" s="14" t="n">
        <f aca="false">J283</f>
        <v>0.58333333</v>
      </c>
      <c r="AF283" s="14" t="n">
        <f aca="false">IF($L283=2012,1,0)</f>
        <v>0</v>
      </c>
      <c r="AG283" s="14" t="n">
        <f aca="false">IF($L283=2013,1,0)</f>
        <v>0</v>
      </c>
      <c r="AH283" s="14" t="n">
        <f aca="false">IF($L283=2014,1,0)</f>
        <v>1</v>
      </c>
      <c r="AI283" s="14" t="n">
        <f aca="false">IF($L283=2015,1,0)</f>
        <v>0</v>
      </c>
      <c r="AJ283" s="14" t="n">
        <f aca="false">IF($L283=2016,1,0)</f>
        <v>0</v>
      </c>
      <c r="AK283" s="14" t="n">
        <f aca="false">IF($L283=2017,1,0)</f>
        <v>0</v>
      </c>
      <c r="AL283" s="14" t="n">
        <f aca="false">IF($H283="Beginner Level",1,0)</f>
        <v>1</v>
      </c>
      <c r="AM283" s="14" t="n">
        <f aca="false">IF($H283="Expert Level",1,0)</f>
        <v>0</v>
      </c>
      <c r="AN283" s="14" t="n">
        <f aca="false">IF($H283="Intermediate Level",1,0)</f>
        <v>0</v>
      </c>
    </row>
    <row r="284" customFormat="false" ht="79.85" hidden="false" customHeight="false" outlineLevel="0" collapsed="false">
      <c r="A284" s="14" t="n">
        <v>784544</v>
      </c>
      <c r="B284" s="14" t="s">
        <v>612</v>
      </c>
      <c r="C284" s="14" t="s">
        <v>613</v>
      </c>
      <c r="D284" s="14" t="n">
        <v>0</v>
      </c>
      <c r="E284" s="14" t="n">
        <v>7304</v>
      </c>
      <c r="F284" s="14" t="n">
        <v>368</v>
      </c>
      <c r="G284" s="14" t="n">
        <v>28</v>
      </c>
      <c r="H284" s="14" t="s">
        <v>52</v>
      </c>
      <c r="I284" s="14" t="n">
        <v>0.64</v>
      </c>
      <c r="J284" s="14" t="n">
        <v>2</v>
      </c>
      <c r="K284" s="14" t="s">
        <v>53</v>
      </c>
      <c r="L284" s="14" t="n">
        <v>2016</v>
      </c>
      <c r="M284" s="14" t="n">
        <v>8.89617742227481</v>
      </c>
      <c r="N284" s="14" t="n">
        <v>-4.60517018598809</v>
      </c>
      <c r="P284" s="14" t="n">
        <f aca="false">D284</f>
        <v>0</v>
      </c>
      <c r="Q284" s="14" t="n">
        <f aca="false">G284</f>
        <v>28</v>
      </c>
      <c r="R284" s="14" t="n">
        <f aca="false">J284</f>
        <v>2</v>
      </c>
      <c r="S284" s="14" t="n">
        <f aca="false">IF($L284=2012,1,0)</f>
        <v>0</v>
      </c>
      <c r="T284" s="14" t="n">
        <f aca="false">IF($L284=2013,1,0)</f>
        <v>0</v>
      </c>
      <c r="U284" s="14" t="n">
        <f aca="false">IF($L284=2014,1,0)</f>
        <v>0</v>
      </c>
      <c r="V284" s="14" t="n">
        <f aca="false">IF($L284=2015,1,0)</f>
        <v>0</v>
      </c>
      <c r="W284" s="14" t="n">
        <f aca="false">IF($L284=2016,1,0)</f>
        <v>1</v>
      </c>
      <c r="X284" s="14" t="n">
        <f aca="false">IF($L284=2017,1,0)</f>
        <v>0</v>
      </c>
      <c r="Y284" s="14" t="n">
        <f aca="false">IF($H284="Beginner Level",1,0)</f>
        <v>1</v>
      </c>
      <c r="Z284" s="14" t="n">
        <f aca="false">IF($H284="Expert Level",1,0)</f>
        <v>0</v>
      </c>
      <c r="AA284" s="14" t="n">
        <f aca="false">IF($H284="Intermediate Level",1,0)</f>
        <v>0</v>
      </c>
      <c r="AC284" s="14" t="n">
        <f aca="false">N284</f>
        <v>-4.60517018598809</v>
      </c>
      <c r="AD284" s="14" t="n">
        <f aca="false">G284</f>
        <v>28</v>
      </c>
      <c r="AE284" s="14" t="n">
        <f aca="false">J284</f>
        <v>2</v>
      </c>
      <c r="AF284" s="14" t="n">
        <f aca="false">IF($L284=2012,1,0)</f>
        <v>0</v>
      </c>
      <c r="AG284" s="14" t="n">
        <f aca="false">IF($L284=2013,1,0)</f>
        <v>0</v>
      </c>
      <c r="AH284" s="14" t="n">
        <f aca="false">IF($L284=2014,1,0)</f>
        <v>0</v>
      </c>
      <c r="AI284" s="14" t="n">
        <f aca="false">IF($L284=2015,1,0)</f>
        <v>0</v>
      </c>
      <c r="AJ284" s="14" t="n">
        <f aca="false">IF($L284=2016,1,0)</f>
        <v>1</v>
      </c>
      <c r="AK284" s="14" t="n">
        <f aca="false">IF($L284=2017,1,0)</f>
        <v>0</v>
      </c>
      <c r="AL284" s="14" t="n">
        <f aca="false">IF($H284="Beginner Level",1,0)</f>
        <v>1</v>
      </c>
      <c r="AM284" s="14" t="n">
        <f aca="false">IF($H284="Expert Level",1,0)</f>
        <v>0</v>
      </c>
      <c r="AN284" s="14" t="n">
        <f aca="false">IF($H284="Intermediate Level",1,0)</f>
        <v>0</v>
      </c>
    </row>
    <row r="285" customFormat="false" ht="79.85" hidden="false" customHeight="false" outlineLevel="0" collapsed="false">
      <c r="A285" s="14" t="n">
        <v>718426</v>
      </c>
      <c r="B285" s="14" t="s">
        <v>614</v>
      </c>
      <c r="C285" s="14" t="s">
        <v>615</v>
      </c>
      <c r="D285" s="14" t="n">
        <v>100</v>
      </c>
      <c r="E285" s="14" t="n">
        <v>7213</v>
      </c>
      <c r="F285" s="14" t="n">
        <v>50</v>
      </c>
      <c r="G285" s="14" t="n">
        <v>38</v>
      </c>
      <c r="H285" s="14" t="s">
        <v>62</v>
      </c>
      <c r="I285" s="14" t="n">
        <v>0.73</v>
      </c>
      <c r="J285" s="14" t="n">
        <v>3</v>
      </c>
      <c r="K285" s="14" t="s">
        <v>59</v>
      </c>
      <c r="L285" s="14" t="n">
        <v>2016</v>
      </c>
      <c r="M285" s="14" t="n">
        <v>8.88364023250367</v>
      </c>
      <c r="N285" s="14" t="n">
        <v>4.60527018098843</v>
      </c>
      <c r="P285" s="14" t="n">
        <f aca="false">D285</f>
        <v>100</v>
      </c>
      <c r="Q285" s="14" t="n">
        <f aca="false">G285</f>
        <v>38</v>
      </c>
      <c r="R285" s="14" t="n">
        <f aca="false">J285</f>
        <v>3</v>
      </c>
      <c r="S285" s="14" t="n">
        <f aca="false">IF($L285=2012,1,0)</f>
        <v>0</v>
      </c>
      <c r="T285" s="14" t="n">
        <f aca="false">IF($L285=2013,1,0)</f>
        <v>0</v>
      </c>
      <c r="U285" s="14" t="n">
        <f aca="false">IF($L285=2014,1,0)</f>
        <v>0</v>
      </c>
      <c r="V285" s="14" t="n">
        <f aca="false">IF($L285=2015,1,0)</f>
        <v>0</v>
      </c>
      <c r="W285" s="14" t="n">
        <f aca="false">IF($L285=2016,1,0)</f>
        <v>1</v>
      </c>
      <c r="X285" s="14" t="n">
        <f aca="false">IF($L285=2017,1,0)</f>
        <v>0</v>
      </c>
      <c r="Y285" s="14" t="n">
        <f aca="false">IF($H285="Beginner Level",1,0)</f>
        <v>0</v>
      </c>
      <c r="Z285" s="14" t="n">
        <f aca="false">IF($H285="Expert Level",1,0)</f>
        <v>0</v>
      </c>
      <c r="AA285" s="14" t="n">
        <f aca="false">IF($H285="Intermediate Level",1,0)</f>
        <v>0</v>
      </c>
      <c r="AC285" s="14" t="n">
        <f aca="false">N285</f>
        <v>4.60527018098843</v>
      </c>
      <c r="AD285" s="14" t="n">
        <f aca="false">G285</f>
        <v>38</v>
      </c>
      <c r="AE285" s="14" t="n">
        <f aca="false">J285</f>
        <v>3</v>
      </c>
      <c r="AF285" s="14" t="n">
        <f aca="false">IF($L285=2012,1,0)</f>
        <v>0</v>
      </c>
      <c r="AG285" s="14" t="n">
        <f aca="false">IF($L285=2013,1,0)</f>
        <v>0</v>
      </c>
      <c r="AH285" s="14" t="n">
        <f aca="false">IF($L285=2014,1,0)</f>
        <v>0</v>
      </c>
      <c r="AI285" s="14" t="n">
        <f aca="false">IF($L285=2015,1,0)</f>
        <v>0</v>
      </c>
      <c r="AJ285" s="14" t="n">
        <f aca="false">IF($L285=2016,1,0)</f>
        <v>1</v>
      </c>
      <c r="AK285" s="14" t="n">
        <f aca="false">IF($L285=2017,1,0)</f>
        <v>0</v>
      </c>
      <c r="AL285" s="14" t="n">
        <f aca="false">IF($H285="Beginner Level",1,0)</f>
        <v>0</v>
      </c>
      <c r="AM285" s="14" t="n">
        <f aca="false">IF($H285="Expert Level",1,0)</f>
        <v>0</v>
      </c>
      <c r="AN285" s="14" t="n">
        <f aca="false">IF($H285="Intermediate Level",1,0)</f>
        <v>0</v>
      </c>
    </row>
    <row r="286" customFormat="false" ht="79.85" hidden="false" customHeight="false" outlineLevel="0" collapsed="false">
      <c r="A286" s="14" t="n">
        <v>481696</v>
      </c>
      <c r="B286" s="14" t="s">
        <v>616</v>
      </c>
      <c r="C286" s="14" t="s">
        <v>617</v>
      </c>
      <c r="D286" s="14" t="n">
        <v>200</v>
      </c>
      <c r="E286" s="14" t="n">
        <v>7211</v>
      </c>
      <c r="F286" s="14" t="n">
        <v>52</v>
      </c>
      <c r="G286" s="14" t="n">
        <v>491</v>
      </c>
      <c r="H286" s="14" t="s">
        <v>62</v>
      </c>
      <c r="I286" s="14" t="n">
        <v>0.29</v>
      </c>
      <c r="J286" s="14" t="n">
        <v>57</v>
      </c>
      <c r="K286" s="14" t="s">
        <v>59</v>
      </c>
      <c r="L286" s="14" t="n">
        <v>2016</v>
      </c>
      <c r="M286" s="14" t="n">
        <v>8.88336291691676</v>
      </c>
      <c r="N286" s="14" t="n">
        <v>5.29836736529808</v>
      </c>
      <c r="P286" s="14" t="n">
        <f aca="false">D286</f>
        <v>200</v>
      </c>
      <c r="Q286" s="14" t="n">
        <f aca="false">G286</f>
        <v>491</v>
      </c>
      <c r="R286" s="14" t="n">
        <f aca="false">J286</f>
        <v>57</v>
      </c>
      <c r="S286" s="14" t="n">
        <f aca="false">IF($L286=2012,1,0)</f>
        <v>0</v>
      </c>
      <c r="T286" s="14" t="n">
        <f aca="false">IF($L286=2013,1,0)</f>
        <v>0</v>
      </c>
      <c r="U286" s="14" t="n">
        <f aca="false">IF($L286=2014,1,0)</f>
        <v>0</v>
      </c>
      <c r="V286" s="14" t="n">
        <f aca="false">IF($L286=2015,1,0)</f>
        <v>0</v>
      </c>
      <c r="W286" s="14" t="n">
        <f aca="false">IF($L286=2016,1,0)</f>
        <v>1</v>
      </c>
      <c r="X286" s="14" t="n">
        <f aca="false">IF($L286=2017,1,0)</f>
        <v>0</v>
      </c>
      <c r="Y286" s="14" t="n">
        <f aca="false">IF($H286="Beginner Level",1,0)</f>
        <v>0</v>
      </c>
      <c r="Z286" s="14" t="n">
        <f aca="false">IF($H286="Expert Level",1,0)</f>
        <v>0</v>
      </c>
      <c r="AA286" s="14" t="n">
        <f aca="false">IF($H286="Intermediate Level",1,0)</f>
        <v>0</v>
      </c>
      <c r="AC286" s="14" t="n">
        <f aca="false">N286</f>
        <v>5.29836736529808</v>
      </c>
      <c r="AD286" s="14" t="n">
        <f aca="false">G286</f>
        <v>491</v>
      </c>
      <c r="AE286" s="14" t="n">
        <f aca="false">J286</f>
        <v>57</v>
      </c>
      <c r="AF286" s="14" t="n">
        <f aca="false">IF($L286=2012,1,0)</f>
        <v>0</v>
      </c>
      <c r="AG286" s="14" t="n">
        <f aca="false">IF($L286=2013,1,0)</f>
        <v>0</v>
      </c>
      <c r="AH286" s="14" t="n">
        <f aca="false">IF($L286=2014,1,0)</f>
        <v>0</v>
      </c>
      <c r="AI286" s="14" t="n">
        <f aca="false">IF($L286=2015,1,0)</f>
        <v>0</v>
      </c>
      <c r="AJ286" s="14" t="n">
        <f aca="false">IF($L286=2016,1,0)</f>
        <v>1</v>
      </c>
      <c r="AK286" s="14" t="n">
        <f aca="false">IF($L286=2017,1,0)</f>
        <v>0</v>
      </c>
      <c r="AL286" s="14" t="n">
        <f aca="false">IF($H286="Beginner Level",1,0)</f>
        <v>0</v>
      </c>
      <c r="AM286" s="14" t="n">
        <f aca="false">IF($H286="Expert Level",1,0)</f>
        <v>0</v>
      </c>
      <c r="AN286" s="14" t="n">
        <f aca="false">IF($H286="Intermediate Level",1,0)</f>
        <v>0</v>
      </c>
    </row>
    <row r="287" customFormat="false" ht="91" hidden="false" customHeight="false" outlineLevel="0" collapsed="false">
      <c r="A287" s="14" t="n">
        <v>1241518</v>
      </c>
      <c r="B287" s="14" t="s">
        <v>618</v>
      </c>
      <c r="C287" s="14" t="s">
        <v>619</v>
      </c>
      <c r="D287" s="14" t="n">
        <v>30</v>
      </c>
      <c r="E287" s="14" t="n">
        <v>7196</v>
      </c>
      <c r="F287" s="14" t="n">
        <v>8</v>
      </c>
      <c r="G287" s="14" t="n">
        <v>38</v>
      </c>
      <c r="H287" s="14" t="s">
        <v>62</v>
      </c>
      <c r="I287" s="14" t="n">
        <v>0.47</v>
      </c>
      <c r="J287" s="14" t="n">
        <v>6.5</v>
      </c>
      <c r="K287" s="14" t="s">
        <v>59</v>
      </c>
      <c r="L287" s="14" t="n">
        <v>2017</v>
      </c>
      <c r="M287" s="14" t="n">
        <v>8.88128059507042</v>
      </c>
      <c r="N287" s="14" t="n">
        <v>3.40153065945228</v>
      </c>
      <c r="P287" s="14" t="n">
        <f aca="false">D287</f>
        <v>30</v>
      </c>
      <c r="Q287" s="14" t="n">
        <f aca="false">G287</f>
        <v>38</v>
      </c>
      <c r="R287" s="14" t="n">
        <f aca="false">J287</f>
        <v>6.5</v>
      </c>
      <c r="S287" s="14" t="n">
        <f aca="false">IF($L287=2012,1,0)</f>
        <v>0</v>
      </c>
      <c r="T287" s="14" t="n">
        <f aca="false">IF($L287=2013,1,0)</f>
        <v>0</v>
      </c>
      <c r="U287" s="14" t="n">
        <f aca="false">IF($L287=2014,1,0)</f>
        <v>0</v>
      </c>
      <c r="V287" s="14" t="n">
        <f aca="false">IF($L287=2015,1,0)</f>
        <v>0</v>
      </c>
      <c r="W287" s="14" t="n">
        <f aca="false">IF($L287=2016,1,0)</f>
        <v>0</v>
      </c>
      <c r="X287" s="14" t="n">
        <f aca="false">IF($L287=2017,1,0)</f>
        <v>1</v>
      </c>
      <c r="Y287" s="14" t="n">
        <f aca="false">IF($H287="Beginner Level",1,0)</f>
        <v>0</v>
      </c>
      <c r="Z287" s="14" t="n">
        <f aca="false">IF($H287="Expert Level",1,0)</f>
        <v>0</v>
      </c>
      <c r="AA287" s="14" t="n">
        <f aca="false">IF($H287="Intermediate Level",1,0)</f>
        <v>0</v>
      </c>
      <c r="AC287" s="14" t="n">
        <f aca="false">N287</f>
        <v>3.40153065945228</v>
      </c>
      <c r="AD287" s="14" t="n">
        <f aca="false">G287</f>
        <v>38</v>
      </c>
      <c r="AE287" s="14" t="n">
        <f aca="false">J287</f>
        <v>6.5</v>
      </c>
      <c r="AF287" s="14" t="n">
        <f aca="false">IF($L287=2012,1,0)</f>
        <v>0</v>
      </c>
      <c r="AG287" s="14" t="n">
        <f aca="false">IF($L287=2013,1,0)</f>
        <v>0</v>
      </c>
      <c r="AH287" s="14" t="n">
        <f aca="false">IF($L287=2014,1,0)</f>
        <v>0</v>
      </c>
      <c r="AI287" s="14" t="n">
        <f aca="false">IF($L287=2015,1,0)</f>
        <v>0</v>
      </c>
      <c r="AJ287" s="14" t="n">
        <f aca="false">IF($L287=2016,1,0)</f>
        <v>0</v>
      </c>
      <c r="AK287" s="14" t="n">
        <f aca="false">IF($L287=2017,1,0)</f>
        <v>1</v>
      </c>
      <c r="AL287" s="14" t="n">
        <f aca="false">IF($H287="Beginner Level",1,0)</f>
        <v>0</v>
      </c>
      <c r="AM287" s="14" t="n">
        <f aca="false">IF($H287="Expert Level",1,0)</f>
        <v>0</v>
      </c>
      <c r="AN287" s="14" t="n">
        <f aca="false">IF($H287="Intermediate Level",1,0)</f>
        <v>0</v>
      </c>
    </row>
    <row r="288" customFormat="false" ht="79.85" hidden="false" customHeight="false" outlineLevel="0" collapsed="false">
      <c r="A288" s="14" t="n">
        <v>928858</v>
      </c>
      <c r="B288" s="14" t="s">
        <v>620</v>
      </c>
      <c r="C288" s="14" t="s">
        <v>621</v>
      </c>
      <c r="D288" s="14" t="n">
        <v>70</v>
      </c>
      <c r="E288" s="14" t="n">
        <v>7184</v>
      </c>
      <c r="F288" s="14" t="n">
        <v>22</v>
      </c>
      <c r="G288" s="14" t="n">
        <v>29</v>
      </c>
      <c r="H288" s="14" t="s">
        <v>62</v>
      </c>
      <c r="I288" s="14" t="n">
        <v>0.34</v>
      </c>
      <c r="J288" s="14" t="n">
        <v>4</v>
      </c>
      <c r="K288" s="14" t="s">
        <v>59</v>
      </c>
      <c r="L288" s="14" t="n">
        <v>2016</v>
      </c>
      <c r="M288" s="14" t="n">
        <v>8.87961160998204</v>
      </c>
      <c r="N288" s="14" t="n">
        <v>4.24863808898911</v>
      </c>
      <c r="P288" s="14" t="n">
        <f aca="false">D288</f>
        <v>70</v>
      </c>
      <c r="Q288" s="14" t="n">
        <f aca="false">G288</f>
        <v>29</v>
      </c>
      <c r="R288" s="14" t="n">
        <f aca="false">J288</f>
        <v>4</v>
      </c>
      <c r="S288" s="14" t="n">
        <f aca="false">IF($L288=2012,1,0)</f>
        <v>0</v>
      </c>
      <c r="T288" s="14" t="n">
        <f aca="false">IF($L288=2013,1,0)</f>
        <v>0</v>
      </c>
      <c r="U288" s="14" t="n">
        <f aca="false">IF($L288=2014,1,0)</f>
        <v>0</v>
      </c>
      <c r="V288" s="14" t="n">
        <f aca="false">IF($L288=2015,1,0)</f>
        <v>0</v>
      </c>
      <c r="W288" s="14" t="n">
        <f aca="false">IF($L288=2016,1,0)</f>
        <v>1</v>
      </c>
      <c r="X288" s="14" t="n">
        <f aca="false">IF($L288=2017,1,0)</f>
        <v>0</v>
      </c>
      <c r="Y288" s="14" t="n">
        <f aca="false">IF($H288="Beginner Level",1,0)</f>
        <v>0</v>
      </c>
      <c r="Z288" s="14" t="n">
        <f aca="false">IF($H288="Expert Level",1,0)</f>
        <v>0</v>
      </c>
      <c r="AA288" s="14" t="n">
        <f aca="false">IF($H288="Intermediate Level",1,0)</f>
        <v>0</v>
      </c>
      <c r="AC288" s="14" t="n">
        <f aca="false">N288</f>
        <v>4.24863808898911</v>
      </c>
      <c r="AD288" s="14" t="n">
        <f aca="false">G288</f>
        <v>29</v>
      </c>
      <c r="AE288" s="14" t="n">
        <f aca="false">J288</f>
        <v>4</v>
      </c>
      <c r="AF288" s="14" t="n">
        <f aca="false">IF($L288=2012,1,0)</f>
        <v>0</v>
      </c>
      <c r="AG288" s="14" t="n">
        <f aca="false">IF($L288=2013,1,0)</f>
        <v>0</v>
      </c>
      <c r="AH288" s="14" t="n">
        <f aca="false">IF($L288=2014,1,0)</f>
        <v>0</v>
      </c>
      <c r="AI288" s="14" t="n">
        <f aca="false">IF($L288=2015,1,0)</f>
        <v>0</v>
      </c>
      <c r="AJ288" s="14" t="n">
        <f aca="false">IF($L288=2016,1,0)</f>
        <v>1</v>
      </c>
      <c r="AK288" s="14" t="n">
        <f aca="false">IF($L288=2017,1,0)</f>
        <v>0</v>
      </c>
      <c r="AL288" s="14" t="n">
        <f aca="false">IF($H288="Beginner Level",1,0)</f>
        <v>0</v>
      </c>
      <c r="AM288" s="14" t="n">
        <f aca="false">IF($H288="Expert Level",1,0)</f>
        <v>0</v>
      </c>
      <c r="AN288" s="14" t="n">
        <f aca="false">IF($H288="Intermediate Level",1,0)</f>
        <v>0</v>
      </c>
    </row>
    <row r="289" customFormat="false" ht="79.85" hidden="false" customHeight="false" outlineLevel="0" collapsed="false">
      <c r="A289" s="14" t="n">
        <v>989452</v>
      </c>
      <c r="B289" s="14" t="s">
        <v>622</v>
      </c>
      <c r="C289" s="14" t="s">
        <v>623</v>
      </c>
      <c r="D289" s="14" t="n">
        <v>80</v>
      </c>
      <c r="E289" s="14" t="n">
        <v>7169</v>
      </c>
      <c r="F289" s="14" t="n">
        <v>277</v>
      </c>
      <c r="G289" s="14" t="n">
        <v>20</v>
      </c>
      <c r="H289" s="14" t="s">
        <v>62</v>
      </c>
      <c r="I289" s="14" t="n">
        <v>0.16</v>
      </c>
      <c r="J289" s="14" t="n">
        <v>1</v>
      </c>
      <c r="K289" s="14" t="s">
        <v>59</v>
      </c>
      <c r="L289" s="14" t="n">
        <v>2016</v>
      </c>
      <c r="M289" s="14" t="n">
        <v>8.87752145385287</v>
      </c>
      <c r="N289" s="14" t="n">
        <v>4.38215162686203</v>
      </c>
      <c r="P289" s="14" t="n">
        <f aca="false">D289</f>
        <v>80</v>
      </c>
      <c r="Q289" s="14" t="n">
        <f aca="false">G289</f>
        <v>20</v>
      </c>
      <c r="R289" s="14" t="n">
        <f aca="false">J289</f>
        <v>1</v>
      </c>
      <c r="S289" s="14" t="n">
        <f aca="false">IF($L289=2012,1,0)</f>
        <v>0</v>
      </c>
      <c r="T289" s="14" t="n">
        <f aca="false">IF($L289=2013,1,0)</f>
        <v>0</v>
      </c>
      <c r="U289" s="14" t="n">
        <f aca="false">IF($L289=2014,1,0)</f>
        <v>0</v>
      </c>
      <c r="V289" s="14" t="n">
        <f aca="false">IF($L289=2015,1,0)</f>
        <v>0</v>
      </c>
      <c r="W289" s="14" t="n">
        <f aca="false">IF($L289=2016,1,0)</f>
        <v>1</v>
      </c>
      <c r="X289" s="14" t="n">
        <f aca="false">IF($L289=2017,1,0)</f>
        <v>0</v>
      </c>
      <c r="Y289" s="14" t="n">
        <f aca="false">IF($H289="Beginner Level",1,0)</f>
        <v>0</v>
      </c>
      <c r="Z289" s="14" t="n">
        <f aca="false">IF($H289="Expert Level",1,0)</f>
        <v>0</v>
      </c>
      <c r="AA289" s="14" t="n">
        <f aca="false">IF($H289="Intermediate Level",1,0)</f>
        <v>0</v>
      </c>
      <c r="AC289" s="14" t="n">
        <f aca="false">N289</f>
        <v>4.38215162686203</v>
      </c>
      <c r="AD289" s="14" t="n">
        <f aca="false">G289</f>
        <v>20</v>
      </c>
      <c r="AE289" s="14" t="n">
        <f aca="false">J289</f>
        <v>1</v>
      </c>
      <c r="AF289" s="14" t="n">
        <f aca="false">IF($L289=2012,1,0)</f>
        <v>0</v>
      </c>
      <c r="AG289" s="14" t="n">
        <f aca="false">IF($L289=2013,1,0)</f>
        <v>0</v>
      </c>
      <c r="AH289" s="14" t="n">
        <f aca="false">IF($L289=2014,1,0)</f>
        <v>0</v>
      </c>
      <c r="AI289" s="14" t="n">
        <f aca="false">IF($L289=2015,1,0)</f>
        <v>0</v>
      </c>
      <c r="AJ289" s="14" t="n">
        <f aca="false">IF($L289=2016,1,0)</f>
        <v>1</v>
      </c>
      <c r="AK289" s="14" t="n">
        <f aca="false">IF($L289=2017,1,0)</f>
        <v>0</v>
      </c>
      <c r="AL289" s="14" t="n">
        <f aca="false">IF($H289="Beginner Level",1,0)</f>
        <v>0</v>
      </c>
      <c r="AM289" s="14" t="n">
        <f aca="false">IF($H289="Expert Level",1,0)</f>
        <v>0</v>
      </c>
      <c r="AN289" s="14" t="n">
        <f aca="false">IF($H289="Intermediate Level",1,0)</f>
        <v>0</v>
      </c>
    </row>
    <row r="290" customFormat="false" ht="57.45" hidden="false" customHeight="false" outlineLevel="0" collapsed="false">
      <c r="A290" s="14" t="n">
        <v>531954</v>
      </c>
      <c r="B290" s="14" t="s">
        <v>624</v>
      </c>
      <c r="C290" s="14" t="s">
        <v>625</v>
      </c>
      <c r="D290" s="14" t="n">
        <v>40</v>
      </c>
      <c r="E290" s="14" t="n">
        <v>7146</v>
      </c>
      <c r="F290" s="14" t="n">
        <v>629</v>
      </c>
      <c r="G290" s="14" t="n">
        <v>77</v>
      </c>
      <c r="H290" s="14" t="s">
        <v>52</v>
      </c>
      <c r="I290" s="14" t="n">
        <v>0.89</v>
      </c>
      <c r="J290" s="14" t="n">
        <v>14.5</v>
      </c>
      <c r="K290" s="14" t="s">
        <v>59</v>
      </c>
      <c r="L290" s="14" t="n">
        <v>2015</v>
      </c>
      <c r="M290" s="14" t="n">
        <v>8.87430803858335</v>
      </c>
      <c r="N290" s="14" t="n">
        <v>3.68912942286914</v>
      </c>
      <c r="P290" s="14" t="n">
        <f aca="false">D290</f>
        <v>40</v>
      </c>
      <c r="Q290" s="14" t="n">
        <f aca="false">G290</f>
        <v>77</v>
      </c>
      <c r="R290" s="14" t="n">
        <f aca="false">J290</f>
        <v>14.5</v>
      </c>
      <c r="S290" s="14" t="n">
        <f aca="false">IF($L290=2012,1,0)</f>
        <v>0</v>
      </c>
      <c r="T290" s="14" t="n">
        <f aca="false">IF($L290=2013,1,0)</f>
        <v>0</v>
      </c>
      <c r="U290" s="14" t="n">
        <f aca="false">IF($L290=2014,1,0)</f>
        <v>0</v>
      </c>
      <c r="V290" s="14" t="n">
        <f aca="false">IF($L290=2015,1,0)</f>
        <v>1</v>
      </c>
      <c r="W290" s="14" t="n">
        <f aca="false">IF($L290=2016,1,0)</f>
        <v>0</v>
      </c>
      <c r="X290" s="14" t="n">
        <f aca="false">IF($L290=2017,1,0)</f>
        <v>0</v>
      </c>
      <c r="Y290" s="14" t="n">
        <f aca="false">IF($H290="Beginner Level",1,0)</f>
        <v>1</v>
      </c>
      <c r="Z290" s="14" t="n">
        <f aca="false">IF($H290="Expert Level",1,0)</f>
        <v>0</v>
      </c>
      <c r="AA290" s="14" t="n">
        <f aca="false">IF($H290="Intermediate Level",1,0)</f>
        <v>0</v>
      </c>
      <c r="AC290" s="14" t="n">
        <f aca="false">N290</f>
        <v>3.68912942286914</v>
      </c>
      <c r="AD290" s="14" t="n">
        <f aca="false">G290</f>
        <v>77</v>
      </c>
      <c r="AE290" s="14" t="n">
        <f aca="false">J290</f>
        <v>14.5</v>
      </c>
      <c r="AF290" s="14" t="n">
        <f aca="false">IF($L290=2012,1,0)</f>
        <v>0</v>
      </c>
      <c r="AG290" s="14" t="n">
        <f aca="false">IF($L290=2013,1,0)</f>
        <v>0</v>
      </c>
      <c r="AH290" s="14" t="n">
        <f aca="false">IF($L290=2014,1,0)</f>
        <v>0</v>
      </c>
      <c r="AI290" s="14" t="n">
        <f aca="false">IF($L290=2015,1,0)</f>
        <v>1</v>
      </c>
      <c r="AJ290" s="14" t="n">
        <f aca="false">IF($L290=2016,1,0)</f>
        <v>0</v>
      </c>
      <c r="AK290" s="14" t="n">
        <f aca="false">IF($L290=2017,1,0)</f>
        <v>0</v>
      </c>
      <c r="AL290" s="14" t="n">
        <f aca="false">IF($H290="Beginner Level",1,0)</f>
        <v>1</v>
      </c>
      <c r="AM290" s="14" t="n">
        <f aca="false">IF($H290="Expert Level",1,0)</f>
        <v>0</v>
      </c>
      <c r="AN290" s="14" t="n">
        <f aca="false">IF($H290="Intermediate Level",1,0)</f>
        <v>0</v>
      </c>
    </row>
    <row r="291" customFormat="false" ht="79.85" hidden="false" customHeight="false" outlineLevel="0" collapsed="false">
      <c r="A291" s="14" t="n">
        <v>716310</v>
      </c>
      <c r="B291" s="14" t="s">
        <v>626</v>
      </c>
      <c r="C291" s="14" t="s">
        <v>627</v>
      </c>
      <c r="D291" s="14" t="n">
        <v>0</v>
      </c>
      <c r="E291" s="14" t="n">
        <v>7142</v>
      </c>
      <c r="F291" s="14" t="n">
        <v>41</v>
      </c>
      <c r="G291" s="14" t="n">
        <v>25</v>
      </c>
      <c r="H291" s="14" t="s">
        <v>62</v>
      </c>
      <c r="I291" s="14" t="n">
        <v>0.18</v>
      </c>
      <c r="J291" s="14" t="n">
        <v>4</v>
      </c>
      <c r="K291" s="14" t="s">
        <v>53</v>
      </c>
      <c r="L291" s="14" t="n">
        <v>2016</v>
      </c>
      <c r="M291" s="14" t="n">
        <v>8.8737481281544</v>
      </c>
      <c r="N291" s="14" t="n">
        <v>-4.60517018598809</v>
      </c>
      <c r="P291" s="14" t="n">
        <f aca="false">D291</f>
        <v>0</v>
      </c>
      <c r="Q291" s="14" t="n">
        <f aca="false">G291</f>
        <v>25</v>
      </c>
      <c r="R291" s="14" t="n">
        <f aca="false">J291</f>
        <v>4</v>
      </c>
      <c r="S291" s="14" t="n">
        <f aca="false">IF($L291=2012,1,0)</f>
        <v>0</v>
      </c>
      <c r="T291" s="14" t="n">
        <f aca="false">IF($L291=2013,1,0)</f>
        <v>0</v>
      </c>
      <c r="U291" s="14" t="n">
        <f aca="false">IF($L291=2014,1,0)</f>
        <v>0</v>
      </c>
      <c r="V291" s="14" t="n">
        <f aca="false">IF($L291=2015,1,0)</f>
        <v>0</v>
      </c>
      <c r="W291" s="14" t="n">
        <f aca="false">IF($L291=2016,1,0)</f>
        <v>1</v>
      </c>
      <c r="X291" s="14" t="n">
        <f aca="false">IF($L291=2017,1,0)</f>
        <v>0</v>
      </c>
      <c r="Y291" s="14" t="n">
        <f aca="false">IF($H291="Beginner Level",1,0)</f>
        <v>0</v>
      </c>
      <c r="Z291" s="14" t="n">
        <f aca="false">IF($H291="Expert Level",1,0)</f>
        <v>0</v>
      </c>
      <c r="AA291" s="14" t="n">
        <f aca="false">IF($H291="Intermediate Level",1,0)</f>
        <v>0</v>
      </c>
      <c r="AC291" s="14" t="n">
        <f aca="false">N291</f>
        <v>-4.60517018598809</v>
      </c>
      <c r="AD291" s="14" t="n">
        <f aca="false">G291</f>
        <v>25</v>
      </c>
      <c r="AE291" s="14" t="n">
        <f aca="false">J291</f>
        <v>4</v>
      </c>
      <c r="AF291" s="14" t="n">
        <f aca="false">IF($L291=2012,1,0)</f>
        <v>0</v>
      </c>
      <c r="AG291" s="14" t="n">
        <f aca="false">IF($L291=2013,1,0)</f>
        <v>0</v>
      </c>
      <c r="AH291" s="14" t="n">
        <f aca="false">IF($L291=2014,1,0)</f>
        <v>0</v>
      </c>
      <c r="AI291" s="14" t="n">
        <f aca="false">IF($L291=2015,1,0)</f>
        <v>0</v>
      </c>
      <c r="AJ291" s="14" t="n">
        <f aca="false">IF($L291=2016,1,0)</f>
        <v>1</v>
      </c>
      <c r="AK291" s="14" t="n">
        <f aca="false">IF($L291=2017,1,0)</f>
        <v>0</v>
      </c>
      <c r="AL291" s="14" t="n">
        <f aca="false">IF($H291="Beginner Level",1,0)</f>
        <v>0</v>
      </c>
      <c r="AM291" s="14" t="n">
        <f aca="false">IF($H291="Expert Level",1,0)</f>
        <v>0</v>
      </c>
      <c r="AN291" s="14" t="n">
        <f aca="false">IF($H291="Intermediate Level",1,0)</f>
        <v>0</v>
      </c>
    </row>
    <row r="292" customFormat="false" ht="46.25" hidden="false" customHeight="false" outlineLevel="0" collapsed="false">
      <c r="A292" s="14" t="n">
        <v>65493</v>
      </c>
      <c r="B292" s="14" t="s">
        <v>628</v>
      </c>
      <c r="C292" s="14" t="s">
        <v>629</v>
      </c>
      <c r="D292" s="14" t="n">
        <v>100</v>
      </c>
      <c r="E292" s="14" t="n">
        <v>7130</v>
      </c>
      <c r="F292" s="14" t="n">
        <v>30</v>
      </c>
      <c r="G292" s="14" t="n">
        <v>17</v>
      </c>
      <c r="H292" s="14" t="s">
        <v>71</v>
      </c>
      <c r="I292" s="14" t="n">
        <v>0.8</v>
      </c>
      <c r="J292" s="14" t="n">
        <v>1</v>
      </c>
      <c r="K292" s="14" t="s">
        <v>59</v>
      </c>
      <c r="L292" s="14" t="n">
        <v>2013</v>
      </c>
      <c r="M292" s="14" t="n">
        <v>8.87206651340834</v>
      </c>
      <c r="N292" s="14" t="n">
        <v>4.60527018098843</v>
      </c>
      <c r="P292" s="14" t="n">
        <f aca="false">D292</f>
        <v>100</v>
      </c>
      <c r="Q292" s="14" t="n">
        <f aca="false">G292</f>
        <v>17</v>
      </c>
      <c r="R292" s="14" t="n">
        <f aca="false">J292</f>
        <v>1</v>
      </c>
      <c r="S292" s="14" t="n">
        <f aca="false">IF($L292=2012,1,0)</f>
        <v>0</v>
      </c>
      <c r="T292" s="14" t="n">
        <f aca="false">IF($L292=2013,1,0)</f>
        <v>1</v>
      </c>
      <c r="U292" s="14" t="n">
        <f aca="false">IF($L292=2014,1,0)</f>
        <v>0</v>
      </c>
      <c r="V292" s="14" t="n">
        <f aca="false">IF($L292=2015,1,0)</f>
        <v>0</v>
      </c>
      <c r="W292" s="14" t="n">
        <f aca="false">IF($L292=2016,1,0)</f>
        <v>0</v>
      </c>
      <c r="X292" s="14" t="n">
        <f aca="false">IF($L292=2017,1,0)</f>
        <v>0</v>
      </c>
      <c r="Y292" s="14" t="n">
        <f aca="false">IF($H292="Beginner Level",1,0)</f>
        <v>0</v>
      </c>
      <c r="Z292" s="14" t="n">
        <f aca="false">IF($H292="Expert Level",1,0)</f>
        <v>0</v>
      </c>
      <c r="AA292" s="14" t="n">
        <f aca="false">IF($H292="Intermediate Level",1,0)</f>
        <v>1</v>
      </c>
      <c r="AC292" s="14" t="n">
        <f aca="false">N292</f>
        <v>4.60527018098843</v>
      </c>
      <c r="AD292" s="14" t="n">
        <f aca="false">G292</f>
        <v>17</v>
      </c>
      <c r="AE292" s="14" t="n">
        <f aca="false">J292</f>
        <v>1</v>
      </c>
      <c r="AF292" s="14" t="n">
        <f aca="false">IF($L292=2012,1,0)</f>
        <v>0</v>
      </c>
      <c r="AG292" s="14" t="n">
        <f aca="false">IF($L292=2013,1,0)</f>
        <v>1</v>
      </c>
      <c r="AH292" s="14" t="n">
        <f aca="false">IF($L292=2014,1,0)</f>
        <v>0</v>
      </c>
      <c r="AI292" s="14" t="n">
        <f aca="false">IF($L292=2015,1,0)</f>
        <v>0</v>
      </c>
      <c r="AJ292" s="14" t="n">
        <f aca="false">IF($L292=2016,1,0)</f>
        <v>0</v>
      </c>
      <c r="AK292" s="14" t="n">
        <f aca="false">IF($L292=2017,1,0)</f>
        <v>0</v>
      </c>
      <c r="AL292" s="14" t="n">
        <f aca="false">IF($H292="Beginner Level",1,0)</f>
        <v>0</v>
      </c>
      <c r="AM292" s="14" t="n">
        <f aca="false">IF($H292="Expert Level",1,0)</f>
        <v>0</v>
      </c>
      <c r="AN292" s="14" t="n">
        <f aca="false">IF($H292="Intermediate Level",1,0)</f>
        <v>1</v>
      </c>
    </row>
    <row r="293" customFormat="false" ht="68.65" hidden="false" customHeight="false" outlineLevel="0" collapsed="false">
      <c r="A293" s="14" t="n">
        <v>584786</v>
      </c>
      <c r="B293" s="14" t="s">
        <v>630</v>
      </c>
      <c r="C293" s="14" t="s">
        <v>631</v>
      </c>
      <c r="D293" s="14" t="n">
        <v>95</v>
      </c>
      <c r="E293" s="14" t="n">
        <v>7130</v>
      </c>
      <c r="F293" s="14" t="n">
        <v>39</v>
      </c>
      <c r="G293" s="14" t="n">
        <v>24</v>
      </c>
      <c r="H293" s="14" t="s">
        <v>71</v>
      </c>
      <c r="I293" s="14" t="n">
        <v>0.3</v>
      </c>
      <c r="J293" s="14" t="n">
        <v>2</v>
      </c>
      <c r="K293" s="14" t="s">
        <v>59</v>
      </c>
      <c r="L293" s="14" t="n">
        <v>2015</v>
      </c>
      <c r="M293" s="14" t="n">
        <v>8.87206651340834</v>
      </c>
      <c r="N293" s="14" t="n">
        <v>4.55398214921866</v>
      </c>
      <c r="P293" s="14" t="n">
        <f aca="false">D293</f>
        <v>95</v>
      </c>
      <c r="Q293" s="14" t="n">
        <f aca="false">G293</f>
        <v>24</v>
      </c>
      <c r="R293" s="14" t="n">
        <f aca="false">J293</f>
        <v>2</v>
      </c>
      <c r="S293" s="14" t="n">
        <f aca="false">IF($L293=2012,1,0)</f>
        <v>0</v>
      </c>
      <c r="T293" s="14" t="n">
        <f aca="false">IF($L293=2013,1,0)</f>
        <v>0</v>
      </c>
      <c r="U293" s="14" t="n">
        <f aca="false">IF($L293=2014,1,0)</f>
        <v>0</v>
      </c>
      <c r="V293" s="14" t="n">
        <f aca="false">IF($L293=2015,1,0)</f>
        <v>1</v>
      </c>
      <c r="W293" s="14" t="n">
        <f aca="false">IF($L293=2016,1,0)</f>
        <v>0</v>
      </c>
      <c r="X293" s="14" t="n">
        <f aca="false">IF($L293=2017,1,0)</f>
        <v>0</v>
      </c>
      <c r="Y293" s="14" t="n">
        <f aca="false">IF($H293="Beginner Level",1,0)</f>
        <v>0</v>
      </c>
      <c r="Z293" s="14" t="n">
        <f aca="false">IF($H293="Expert Level",1,0)</f>
        <v>0</v>
      </c>
      <c r="AA293" s="14" t="n">
        <f aca="false">IF($H293="Intermediate Level",1,0)</f>
        <v>1</v>
      </c>
      <c r="AC293" s="14" t="n">
        <f aca="false">N293</f>
        <v>4.55398214921866</v>
      </c>
      <c r="AD293" s="14" t="n">
        <f aca="false">G293</f>
        <v>24</v>
      </c>
      <c r="AE293" s="14" t="n">
        <f aca="false">J293</f>
        <v>2</v>
      </c>
      <c r="AF293" s="14" t="n">
        <f aca="false">IF($L293=2012,1,0)</f>
        <v>0</v>
      </c>
      <c r="AG293" s="14" t="n">
        <f aca="false">IF($L293=2013,1,0)</f>
        <v>0</v>
      </c>
      <c r="AH293" s="14" t="n">
        <f aca="false">IF($L293=2014,1,0)</f>
        <v>0</v>
      </c>
      <c r="AI293" s="14" t="n">
        <f aca="false">IF($L293=2015,1,0)</f>
        <v>1</v>
      </c>
      <c r="AJ293" s="14" t="n">
        <f aca="false">IF($L293=2016,1,0)</f>
        <v>0</v>
      </c>
      <c r="AK293" s="14" t="n">
        <f aca="false">IF($L293=2017,1,0)</f>
        <v>0</v>
      </c>
      <c r="AL293" s="14" t="n">
        <f aca="false">IF($H293="Beginner Level",1,0)</f>
        <v>0</v>
      </c>
      <c r="AM293" s="14" t="n">
        <f aca="false">IF($H293="Expert Level",1,0)</f>
        <v>0</v>
      </c>
      <c r="AN293" s="14" t="n">
        <f aca="false">IF($H293="Intermediate Level",1,0)</f>
        <v>1</v>
      </c>
    </row>
    <row r="294" customFormat="false" ht="68.65" hidden="false" customHeight="false" outlineLevel="0" collapsed="false">
      <c r="A294" s="14" t="n">
        <v>106178</v>
      </c>
      <c r="B294" s="14" t="s">
        <v>632</v>
      </c>
      <c r="C294" s="14" t="s">
        <v>633</v>
      </c>
      <c r="D294" s="14" t="n">
        <v>50</v>
      </c>
      <c r="E294" s="14" t="n">
        <v>7090</v>
      </c>
      <c r="F294" s="14" t="n">
        <v>52</v>
      </c>
      <c r="G294" s="14" t="n">
        <v>30</v>
      </c>
      <c r="H294" s="14" t="s">
        <v>62</v>
      </c>
      <c r="I294" s="14" t="n">
        <v>0.78</v>
      </c>
      <c r="J294" s="14" t="n">
        <v>8.5</v>
      </c>
      <c r="K294" s="14" t="s">
        <v>59</v>
      </c>
      <c r="L294" s="14" t="n">
        <v>2014</v>
      </c>
      <c r="M294" s="14" t="n">
        <v>8.86644061952617</v>
      </c>
      <c r="N294" s="14" t="n">
        <v>3.91222298543081</v>
      </c>
      <c r="P294" s="14" t="n">
        <f aca="false">D294</f>
        <v>50</v>
      </c>
      <c r="Q294" s="14" t="n">
        <f aca="false">G294</f>
        <v>30</v>
      </c>
      <c r="R294" s="14" t="n">
        <f aca="false">J294</f>
        <v>8.5</v>
      </c>
      <c r="S294" s="14" t="n">
        <f aca="false">IF($L294=2012,1,0)</f>
        <v>0</v>
      </c>
      <c r="T294" s="14" t="n">
        <f aca="false">IF($L294=2013,1,0)</f>
        <v>0</v>
      </c>
      <c r="U294" s="14" t="n">
        <f aca="false">IF($L294=2014,1,0)</f>
        <v>1</v>
      </c>
      <c r="V294" s="14" t="n">
        <f aca="false">IF($L294=2015,1,0)</f>
        <v>0</v>
      </c>
      <c r="W294" s="14" t="n">
        <f aca="false">IF($L294=2016,1,0)</f>
        <v>0</v>
      </c>
      <c r="X294" s="14" t="n">
        <f aca="false">IF($L294=2017,1,0)</f>
        <v>0</v>
      </c>
      <c r="Y294" s="14" t="n">
        <f aca="false">IF($H294="Beginner Level",1,0)</f>
        <v>0</v>
      </c>
      <c r="Z294" s="14" t="n">
        <f aca="false">IF($H294="Expert Level",1,0)</f>
        <v>0</v>
      </c>
      <c r="AA294" s="14" t="n">
        <f aca="false">IF($H294="Intermediate Level",1,0)</f>
        <v>0</v>
      </c>
      <c r="AC294" s="14" t="n">
        <f aca="false">N294</f>
        <v>3.91222298543081</v>
      </c>
      <c r="AD294" s="14" t="n">
        <f aca="false">G294</f>
        <v>30</v>
      </c>
      <c r="AE294" s="14" t="n">
        <f aca="false">J294</f>
        <v>8.5</v>
      </c>
      <c r="AF294" s="14" t="n">
        <f aca="false">IF($L294=2012,1,0)</f>
        <v>0</v>
      </c>
      <c r="AG294" s="14" t="n">
        <f aca="false">IF($L294=2013,1,0)</f>
        <v>0</v>
      </c>
      <c r="AH294" s="14" t="n">
        <f aca="false">IF($L294=2014,1,0)</f>
        <v>1</v>
      </c>
      <c r="AI294" s="14" t="n">
        <f aca="false">IF($L294=2015,1,0)</f>
        <v>0</v>
      </c>
      <c r="AJ294" s="14" t="n">
        <f aca="false">IF($L294=2016,1,0)</f>
        <v>0</v>
      </c>
      <c r="AK294" s="14" t="n">
        <f aca="false">IF($L294=2017,1,0)</f>
        <v>0</v>
      </c>
      <c r="AL294" s="14" t="n">
        <f aca="false">IF($H294="Beginner Level",1,0)</f>
        <v>0</v>
      </c>
      <c r="AM294" s="14" t="n">
        <f aca="false">IF($H294="Expert Level",1,0)</f>
        <v>0</v>
      </c>
      <c r="AN294" s="14" t="n">
        <f aca="false">IF($H294="Intermediate Level",1,0)</f>
        <v>0</v>
      </c>
    </row>
    <row r="295" customFormat="false" ht="79.85" hidden="false" customHeight="false" outlineLevel="0" collapsed="false">
      <c r="A295" s="14" t="n">
        <v>1217948</v>
      </c>
      <c r="B295" s="14" t="s">
        <v>634</v>
      </c>
      <c r="C295" s="14" t="s">
        <v>635</v>
      </c>
      <c r="D295" s="14" t="n">
        <v>200</v>
      </c>
      <c r="E295" s="14" t="n">
        <v>7062</v>
      </c>
      <c r="F295" s="14" t="n">
        <v>72</v>
      </c>
      <c r="G295" s="14" t="n">
        <v>172</v>
      </c>
      <c r="H295" s="14" t="s">
        <v>52</v>
      </c>
      <c r="I295" s="14" t="n">
        <v>0.61</v>
      </c>
      <c r="J295" s="14" t="n">
        <v>11</v>
      </c>
      <c r="K295" s="14" t="s">
        <v>59</v>
      </c>
      <c r="L295" s="14" t="n">
        <v>2017</v>
      </c>
      <c r="M295" s="14" t="n">
        <v>8.86248357648833</v>
      </c>
      <c r="N295" s="14" t="n">
        <v>5.29836736529808</v>
      </c>
      <c r="P295" s="14" t="n">
        <f aca="false">D295</f>
        <v>200</v>
      </c>
      <c r="Q295" s="14" t="n">
        <f aca="false">G295</f>
        <v>172</v>
      </c>
      <c r="R295" s="14" t="n">
        <f aca="false">J295</f>
        <v>11</v>
      </c>
      <c r="S295" s="14" t="n">
        <f aca="false">IF($L295=2012,1,0)</f>
        <v>0</v>
      </c>
      <c r="T295" s="14" t="n">
        <f aca="false">IF($L295=2013,1,0)</f>
        <v>0</v>
      </c>
      <c r="U295" s="14" t="n">
        <f aca="false">IF($L295=2014,1,0)</f>
        <v>0</v>
      </c>
      <c r="V295" s="14" t="n">
        <f aca="false">IF($L295=2015,1,0)</f>
        <v>0</v>
      </c>
      <c r="W295" s="14" t="n">
        <f aca="false">IF($L295=2016,1,0)</f>
        <v>0</v>
      </c>
      <c r="X295" s="14" t="n">
        <f aca="false">IF($L295=2017,1,0)</f>
        <v>1</v>
      </c>
      <c r="Y295" s="14" t="n">
        <f aca="false">IF($H295="Beginner Level",1,0)</f>
        <v>1</v>
      </c>
      <c r="Z295" s="14" t="n">
        <f aca="false">IF($H295="Expert Level",1,0)</f>
        <v>0</v>
      </c>
      <c r="AA295" s="14" t="n">
        <f aca="false">IF($H295="Intermediate Level",1,0)</f>
        <v>0</v>
      </c>
      <c r="AC295" s="14" t="n">
        <f aca="false">N295</f>
        <v>5.29836736529808</v>
      </c>
      <c r="AD295" s="14" t="n">
        <f aca="false">G295</f>
        <v>172</v>
      </c>
      <c r="AE295" s="14" t="n">
        <f aca="false">J295</f>
        <v>11</v>
      </c>
      <c r="AF295" s="14" t="n">
        <f aca="false">IF($L295=2012,1,0)</f>
        <v>0</v>
      </c>
      <c r="AG295" s="14" t="n">
        <f aca="false">IF($L295=2013,1,0)</f>
        <v>0</v>
      </c>
      <c r="AH295" s="14" t="n">
        <f aca="false">IF($L295=2014,1,0)</f>
        <v>0</v>
      </c>
      <c r="AI295" s="14" t="n">
        <f aca="false">IF($L295=2015,1,0)</f>
        <v>0</v>
      </c>
      <c r="AJ295" s="14" t="n">
        <f aca="false">IF($L295=2016,1,0)</f>
        <v>0</v>
      </c>
      <c r="AK295" s="14" t="n">
        <f aca="false">IF($L295=2017,1,0)</f>
        <v>1</v>
      </c>
      <c r="AL295" s="14" t="n">
        <f aca="false">IF($H295="Beginner Level",1,0)</f>
        <v>1</v>
      </c>
      <c r="AM295" s="14" t="n">
        <f aca="false">IF($H295="Expert Level",1,0)</f>
        <v>0</v>
      </c>
      <c r="AN295" s="14" t="n">
        <f aca="false">IF($H295="Intermediate Level",1,0)</f>
        <v>0</v>
      </c>
    </row>
    <row r="296" customFormat="false" ht="57.45" hidden="false" customHeight="false" outlineLevel="0" collapsed="false">
      <c r="A296" s="14" t="n">
        <v>1252630</v>
      </c>
      <c r="B296" s="14" t="s">
        <v>636</v>
      </c>
      <c r="C296" s="14" t="s">
        <v>637</v>
      </c>
      <c r="D296" s="14" t="n">
        <v>100</v>
      </c>
      <c r="E296" s="14" t="n">
        <v>7059</v>
      </c>
      <c r="F296" s="14" t="n">
        <v>116</v>
      </c>
      <c r="G296" s="14" t="n">
        <v>58</v>
      </c>
      <c r="H296" s="14" t="s">
        <v>52</v>
      </c>
      <c r="I296" s="14" t="n">
        <v>0.75</v>
      </c>
      <c r="J296" s="14" t="n">
        <v>5</v>
      </c>
      <c r="K296" s="14" t="s">
        <v>59</v>
      </c>
      <c r="L296" s="14" t="n">
        <v>2017</v>
      </c>
      <c r="M296" s="14" t="n">
        <v>8.86205867739547</v>
      </c>
      <c r="N296" s="14" t="n">
        <v>4.60527018098843</v>
      </c>
      <c r="P296" s="14" t="n">
        <f aca="false">D296</f>
        <v>100</v>
      </c>
      <c r="Q296" s="14" t="n">
        <f aca="false">G296</f>
        <v>58</v>
      </c>
      <c r="R296" s="14" t="n">
        <f aca="false">J296</f>
        <v>5</v>
      </c>
      <c r="S296" s="14" t="n">
        <f aca="false">IF($L296=2012,1,0)</f>
        <v>0</v>
      </c>
      <c r="T296" s="14" t="n">
        <f aca="false">IF($L296=2013,1,0)</f>
        <v>0</v>
      </c>
      <c r="U296" s="14" t="n">
        <f aca="false">IF($L296=2014,1,0)</f>
        <v>0</v>
      </c>
      <c r="V296" s="14" t="n">
        <f aca="false">IF($L296=2015,1,0)</f>
        <v>0</v>
      </c>
      <c r="W296" s="14" t="n">
        <f aca="false">IF($L296=2016,1,0)</f>
        <v>0</v>
      </c>
      <c r="X296" s="14" t="n">
        <f aca="false">IF($L296=2017,1,0)</f>
        <v>1</v>
      </c>
      <c r="Y296" s="14" t="n">
        <f aca="false">IF($H296="Beginner Level",1,0)</f>
        <v>1</v>
      </c>
      <c r="Z296" s="14" t="n">
        <f aca="false">IF($H296="Expert Level",1,0)</f>
        <v>0</v>
      </c>
      <c r="AA296" s="14" t="n">
        <f aca="false">IF($H296="Intermediate Level",1,0)</f>
        <v>0</v>
      </c>
      <c r="AC296" s="14" t="n">
        <f aca="false">N296</f>
        <v>4.60527018098843</v>
      </c>
      <c r="AD296" s="14" t="n">
        <f aca="false">G296</f>
        <v>58</v>
      </c>
      <c r="AE296" s="14" t="n">
        <f aca="false">J296</f>
        <v>5</v>
      </c>
      <c r="AF296" s="14" t="n">
        <f aca="false">IF($L296=2012,1,0)</f>
        <v>0</v>
      </c>
      <c r="AG296" s="14" t="n">
        <f aca="false">IF($L296=2013,1,0)</f>
        <v>0</v>
      </c>
      <c r="AH296" s="14" t="n">
        <f aca="false">IF($L296=2014,1,0)</f>
        <v>0</v>
      </c>
      <c r="AI296" s="14" t="n">
        <f aca="false">IF($L296=2015,1,0)</f>
        <v>0</v>
      </c>
      <c r="AJ296" s="14" t="n">
        <f aca="false">IF($L296=2016,1,0)</f>
        <v>0</v>
      </c>
      <c r="AK296" s="14" t="n">
        <f aca="false">IF($L296=2017,1,0)</f>
        <v>1</v>
      </c>
      <c r="AL296" s="14" t="n">
        <f aca="false">IF($H296="Beginner Level",1,0)</f>
        <v>1</v>
      </c>
      <c r="AM296" s="14" t="n">
        <f aca="false">IF($H296="Expert Level",1,0)</f>
        <v>0</v>
      </c>
      <c r="AN296" s="14" t="n">
        <f aca="false">IF($H296="Intermediate Level",1,0)</f>
        <v>0</v>
      </c>
    </row>
    <row r="297" customFormat="false" ht="57.45" hidden="false" customHeight="false" outlineLevel="0" collapsed="false">
      <c r="A297" s="14" t="n">
        <v>1009254</v>
      </c>
      <c r="B297" s="14" t="s">
        <v>638</v>
      </c>
      <c r="C297" s="14" t="s">
        <v>639</v>
      </c>
      <c r="D297" s="14" t="n">
        <v>165</v>
      </c>
      <c r="E297" s="14" t="n">
        <v>7057</v>
      </c>
      <c r="F297" s="14" t="n">
        <v>655</v>
      </c>
      <c r="G297" s="14" t="n">
        <v>65</v>
      </c>
      <c r="H297" s="14" t="s">
        <v>52</v>
      </c>
      <c r="I297" s="14" t="n">
        <v>0.74</v>
      </c>
      <c r="J297" s="14" t="n">
        <v>18.5</v>
      </c>
      <c r="K297" s="14" t="s">
        <v>59</v>
      </c>
      <c r="L297" s="14" t="n">
        <v>2016</v>
      </c>
      <c r="M297" s="14" t="n">
        <v>8.86177531100083</v>
      </c>
      <c r="N297" s="14" t="n">
        <v>5.10600607812471</v>
      </c>
      <c r="P297" s="14" t="n">
        <f aca="false">D297</f>
        <v>165</v>
      </c>
      <c r="Q297" s="14" t="n">
        <f aca="false">G297</f>
        <v>65</v>
      </c>
      <c r="R297" s="14" t="n">
        <f aca="false">J297</f>
        <v>18.5</v>
      </c>
      <c r="S297" s="14" t="n">
        <f aca="false">IF($L297=2012,1,0)</f>
        <v>0</v>
      </c>
      <c r="T297" s="14" t="n">
        <f aca="false">IF($L297=2013,1,0)</f>
        <v>0</v>
      </c>
      <c r="U297" s="14" t="n">
        <f aca="false">IF($L297=2014,1,0)</f>
        <v>0</v>
      </c>
      <c r="V297" s="14" t="n">
        <f aca="false">IF($L297=2015,1,0)</f>
        <v>0</v>
      </c>
      <c r="W297" s="14" t="n">
        <f aca="false">IF($L297=2016,1,0)</f>
        <v>1</v>
      </c>
      <c r="X297" s="14" t="n">
        <f aca="false">IF($L297=2017,1,0)</f>
        <v>0</v>
      </c>
      <c r="Y297" s="14" t="n">
        <f aca="false">IF($H297="Beginner Level",1,0)</f>
        <v>1</v>
      </c>
      <c r="Z297" s="14" t="n">
        <f aca="false">IF($H297="Expert Level",1,0)</f>
        <v>0</v>
      </c>
      <c r="AA297" s="14" t="n">
        <f aca="false">IF($H297="Intermediate Level",1,0)</f>
        <v>0</v>
      </c>
      <c r="AC297" s="14" t="n">
        <f aca="false">N297</f>
        <v>5.10600607812471</v>
      </c>
      <c r="AD297" s="14" t="n">
        <f aca="false">G297</f>
        <v>65</v>
      </c>
      <c r="AE297" s="14" t="n">
        <f aca="false">J297</f>
        <v>18.5</v>
      </c>
      <c r="AF297" s="14" t="n">
        <f aca="false">IF($L297=2012,1,0)</f>
        <v>0</v>
      </c>
      <c r="AG297" s="14" t="n">
        <f aca="false">IF($L297=2013,1,0)</f>
        <v>0</v>
      </c>
      <c r="AH297" s="14" t="n">
        <f aca="false">IF($L297=2014,1,0)</f>
        <v>0</v>
      </c>
      <c r="AI297" s="14" t="n">
        <f aca="false">IF($L297=2015,1,0)</f>
        <v>0</v>
      </c>
      <c r="AJ297" s="14" t="n">
        <f aca="false">IF($L297=2016,1,0)</f>
        <v>1</v>
      </c>
      <c r="AK297" s="14" t="n">
        <f aca="false">IF($L297=2017,1,0)</f>
        <v>0</v>
      </c>
      <c r="AL297" s="14" t="n">
        <f aca="false">IF($H297="Beginner Level",1,0)</f>
        <v>1</v>
      </c>
      <c r="AM297" s="14" t="n">
        <f aca="false">IF($H297="Expert Level",1,0)</f>
        <v>0</v>
      </c>
      <c r="AN297" s="14" t="n">
        <f aca="false">IF($H297="Intermediate Level",1,0)</f>
        <v>0</v>
      </c>
    </row>
    <row r="298" customFormat="false" ht="79.85" hidden="false" customHeight="false" outlineLevel="0" collapsed="false">
      <c r="A298" s="14" t="n">
        <v>1041426</v>
      </c>
      <c r="B298" s="14" t="s">
        <v>640</v>
      </c>
      <c r="C298" s="14" t="s">
        <v>641</v>
      </c>
      <c r="D298" s="14" t="n">
        <v>0</v>
      </c>
      <c r="E298" s="14" t="n">
        <v>7055</v>
      </c>
      <c r="F298" s="14" t="n">
        <v>166</v>
      </c>
      <c r="G298" s="14" t="n">
        <v>24</v>
      </c>
      <c r="H298" s="14" t="s">
        <v>62</v>
      </c>
      <c r="I298" s="14" t="n">
        <v>0.96</v>
      </c>
      <c r="J298" s="14" t="n">
        <v>2</v>
      </c>
      <c r="K298" s="14" t="s">
        <v>53</v>
      </c>
      <c r="L298" s="14" t="n">
        <v>2017</v>
      </c>
      <c r="M298" s="14" t="n">
        <v>8.86149186428692</v>
      </c>
      <c r="N298" s="14" t="n">
        <v>-4.60517018598809</v>
      </c>
      <c r="P298" s="14" t="n">
        <f aca="false">D298</f>
        <v>0</v>
      </c>
      <c r="Q298" s="14" t="n">
        <f aca="false">G298</f>
        <v>24</v>
      </c>
      <c r="R298" s="14" t="n">
        <f aca="false">J298</f>
        <v>2</v>
      </c>
      <c r="S298" s="14" t="n">
        <f aca="false">IF($L298=2012,1,0)</f>
        <v>0</v>
      </c>
      <c r="T298" s="14" t="n">
        <f aca="false">IF($L298=2013,1,0)</f>
        <v>0</v>
      </c>
      <c r="U298" s="14" t="n">
        <f aca="false">IF($L298=2014,1,0)</f>
        <v>0</v>
      </c>
      <c r="V298" s="14" t="n">
        <f aca="false">IF($L298=2015,1,0)</f>
        <v>0</v>
      </c>
      <c r="W298" s="14" t="n">
        <f aca="false">IF($L298=2016,1,0)</f>
        <v>0</v>
      </c>
      <c r="X298" s="14" t="n">
        <f aca="false">IF($L298=2017,1,0)</f>
        <v>1</v>
      </c>
      <c r="Y298" s="14" t="n">
        <f aca="false">IF($H298="Beginner Level",1,0)</f>
        <v>0</v>
      </c>
      <c r="Z298" s="14" t="n">
        <f aca="false">IF($H298="Expert Level",1,0)</f>
        <v>0</v>
      </c>
      <c r="AA298" s="14" t="n">
        <f aca="false">IF($H298="Intermediate Level",1,0)</f>
        <v>0</v>
      </c>
      <c r="AC298" s="14" t="n">
        <f aca="false">N298</f>
        <v>-4.60517018598809</v>
      </c>
      <c r="AD298" s="14" t="n">
        <f aca="false">G298</f>
        <v>24</v>
      </c>
      <c r="AE298" s="14" t="n">
        <f aca="false">J298</f>
        <v>2</v>
      </c>
      <c r="AF298" s="14" t="n">
        <f aca="false">IF($L298=2012,1,0)</f>
        <v>0</v>
      </c>
      <c r="AG298" s="14" t="n">
        <f aca="false">IF($L298=2013,1,0)</f>
        <v>0</v>
      </c>
      <c r="AH298" s="14" t="n">
        <f aca="false">IF($L298=2014,1,0)</f>
        <v>0</v>
      </c>
      <c r="AI298" s="14" t="n">
        <f aca="false">IF($L298=2015,1,0)</f>
        <v>0</v>
      </c>
      <c r="AJ298" s="14" t="n">
        <f aca="false">IF($L298=2016,1,0)</f>
        <v>0</v>
      </c>
      <c r="AK298" s="14" t="n">
        <f aca="false">IF($L298=2017,1,0)</f>
        <v>1</v>
      </c>
      <c r="AL298" s="14" t="n">
        <f aca="false">IF($H298="Beginner Level",1,0)</f>
        <v>0</v>
      </c>
      <c r="AM298" s="14" t="n">
        <f aca="false">IF($H298="Expert Level",1,0)</f>
        <v>0</v>
      </c>
      <c r="AN298" s="14" t="n">
        <f aca="false">IF($H298="Intermediate Level",1,0)</f>
        <v>0</v>
      </c>
    </row>
    <row r="299" customFormat="false" ht="91" hidden="false" customHeight="false" outlineLevel="0" collapsed="false">
      <c r="A299" s="14" t="n">
        <v>389018</v>
      </c>
      <c r="B299" s="14" t="s">
        <v>642</v>
      </c>
      <c r="C299" s="14" t="s">
        <v>643</v>
      </c>
      <c r="D299" s="14" t="n">
        <v>20</v>
      </c>
      <c r="E299" s="14" t="n">
        <v>7018</v>
      </c>
      <c r="F299" s="14" t="n">
        <v>28</v>
      </c>
      <c r="G299" s="14" t="n">
        <v>38</v>
      </c>
      <c r="H299" s="14" t="s">
        <v>62</v>
      </c>
      <c r="I299" s="14" t="n">
        <v>0.16</v>
      </c>
      <c r="J299" s="14" t="n">
        <v>3</v>
      </c>
      <c r="K299" s="14" t="s">
        <v>59</v>
      </c>
      <c r="L299" s="14" t="n">
        <v>2015</v>
      </c>
      <c r="M299" s="14" t="n">
        <v>8.85623355614316</v>
      </c>
      <c r="N299" s="14" t="n">
        <v>2.99623214859564</v>
      </c>
      <c r="P299" s="14" t="n">
        <f aca="false">D299</f>
        <v>20</v>
      </c>
      <c r="Q299" s="14" t="n">
        <f aca="false">G299</f>
        <v>38</v>
      </c>
      <c r="R299" s="14" t="n">
        <f aca="false">J299</f>
        <v>3</v>
      </c>
      <c r="S299" s="14" t="n">
        <f aca="false">IF($L299=2012,1,0)</f>
        <v>0</v>
      </c>
      <c r="T299" s="14" t="n">
        <f aca="false">IF($L299=2013,1,0)</f>
        <v>0</v>
      </c>
      <c r="U299" s="14" t="n">
        <f aca="false">IF($L299=2014,1,0)</f>
        <v>0</v>
      </c>
      <c r="V299" s="14" t="n">
        <f aca="false">IF($L299=2015,1,0)</f>
        <v>1</v>
      </c>
      <c r="W299" s="14" t="n">
        <f aca="false">IF($L299=2016,1,0)</f>
        <v>0</v>
      </c>
      <c r="X299" s="14" t="n">
        <f aca="false">IF($L299=2017,1,0)</f>
        <v>0</v>
      </c>
      <c r="Y299" s="14" t="n">
        <f aca="false">IF($H299="Beginner Level",1,0)</f>
        <v>0</v>
      </c>
      <c r="Z299" s="14" t="n">
        <f aca="false">IF($H299="Expert Level",1,0)</f>
        <v>0</v>
      </c>
      <c r="AA299" s="14" t="n">
        <f aca="false">IF($H299="Intermediate Level",1,0)</f>
        <v>0</v>
      </c>
      <c r="AC299" s="14" t="n">
        <f aca="false">N299</f>
        <v>2.99623214859564</v>
      </c>
      <c r="AD299" s="14" t="n">
        <f aca="false">G299</f>
        <v>38</v>
      </c>
      <c r="AE299" s="14" t="n">
        <f aca="false">J299</f>
        <v>3</v>
      </c>
      <c r="AF299" s="14" t="n">
        <f aca="false">IF($L299=2012,1,0)</f>
        <v>0</v>
      </c>
      <c r="AG299" s="14" t="n">
        <f aca="false">IF($L299=2013,1,0)</f>
        <v>0</v>
      </c>
      <c r="AH299" s="14" t="n">
        <f aca="false">IF($L299=2014,1,0)</f>
        <v>0</v>
      </c>
      <c r="AI299" s="14" t="n">
        <f aca="false">IF($L299=2015,1,0)</f>
        <v>1</v>
      </c>
      <c r="AJ299" s="14" t="n">
        <f aca="false">IF($L299=2016,1,0)</f>
        <v>0</v>
      </c>
      <c r="AK299" s="14" t="n">
        <f aca="false">IF($L299=2017,1,0)</f>
        <v>0</v>
      </c>
      <c r="AL299" s="14" t="n">
        <f aca="false">IF($H299="Beginner Level",1,0)</f>
        <v>0</v>
      </c>
      <c r="AM299" s="14" t="n">
        <f aca="false">IF($H299="Expert Level",1,0)</f>
        <v>0</v>
      </c>
      <c r="AN299" s="14" t="n">
        <f aca="false">IF($H299="Intermediate Level",1,0)</f>
        <v>0</v>
      </c>
    </row>
    <row r="300" customFormat="false" ht="79.85" hidden="false" customHeight="false" outlineLevel="0" collapsed="false">
      <c r="A300" s="14" t="n">
        <v>462668</v>
      </c>
      <c r="B300" s="14" t="s">
        <v>644</v>
      </c>
      <c r="C300" s="14" t="s">
        <v>645</v>
      </c>
      <c r="D300" s="14" t="n">
        <v>20</v>
      </c>
      <c r="E300" s="14" t="n">
        <v>7017</v>
      </c>
      <c r="F300" s="14" t="n">
        <v>37</v>
      </c>
      <c r="G300" s="14" t="n">
        <v>28</v>
      </c>
      <c r="H300" s="14" t="s">
        <v>71</v>
      </c>
      <c r="I300" s="14" t="n">
        <v>0.71</v>
      </c>
      <c r="J300" s="14" t="n">
        <v>3.5</v>
      </c>
      <c r="K300" s="14" t="s">
        <v>59</v>
      </c>
      <c r="L300" s="14" t="n">
        <v>2015</v>
      </c>
      <c r="M300" s="14" t="n">
        <v>8.85609105525229</v>
      </c>
      <c r="N300" s="14" t="n">
        <v>2.99623214859564</v>
      </c>
      <c r="P300" s="14" t="n">
        <f aca="false">D300</f>
        <v>20</v>
      </c>
      <c r="Q300" s="14" t="n">
        <f aca="false">G300</f>
        <v>28</v>
      </c>
      <c r="R300" s="14" t="n">
        <f aca="false">J300</f>
        <v>3.5</v>
      </c>
      <c r="S300" s="14" t="n">
        <f aca="false">IF($L300=2012,1,0)</f>
        <v>0</v>
      </c>
      <c r="T300" s="14" t="n">
        <f aca="false">IF($L300=2013,1,0)</f>
        <v>0</v>
      </c>
      <c r="U300" s="14" t="n">
        <f aca="false">IF($L300=2014,1,0)</f>
        <v>0</v>
      </c>
      <c r="V300" s="14" t="n">
        <f aca="false">IF($L300=2015,1,0)</f>
        <v>1</v>
      </c>
      <c r="W300" s="14" t="n">
        <f aca="false">IF($L300=2016,1,0)</f>
        <v>0</v>
      </c>
      <c r="X300" s="14" t="n">
        <f aca="false">IF($L300=2017,1,0)</f>
        <v>0</v>
      </c>
      <c r="Y300" s="14" t="n">
        <f aca="false">IF($H300="Beginner Level",1,0)</f>
        <v>0</v>
      </c>
      <c r="Z300" s="14" t="n">
        <f aca="false">IF($H300="Expert Level",1,0)</f>
        <v>0</v>
      </c>
      <c r="AA300" s="14" t="n">
        <f aca="false">IF($H300="Intermediate Level",1,0)</f>
        <v>1</v>
      </c>
      <c r="AC300" s="14" t="n">
        <f aca="false">N300</f>
        <v>2.99623214859564</v>
      </c>
      <c r="AD300" s="14" t="n">
        <f aca="false">G300</f>
        <v>28</v>
      </c>
      <c r="AE300" s="14" t="n">
        <f aca="false">J300</f>
        <v>3.5</v>
      </c>
      <c r="AF300" s="14" t="n">
        <f aca="false">IF($L300=2012,1,0)</f>
        <v>0</v>
      </c>
      <c r="AG300" s="14" t="n">
        <f aca="false">IF($L300=2013,1,0)</f>
        <v>0</v>
      </c>
      <c r="AH300" s="14" t="n">
        <f aca="false">IF($L300=2014,1,0)</f>
        <v>0</v>
      </c>
      <c r="AI300" s="14" t="n">
        <f aca="false">IF($L300=2015,1,0)</f>
        <v>1</v>
      </c>
      <c r="AJ300" s="14" t="n">
        <f aca="false">IF($L300=2016,1,0)</f>
        <v>0</v>
      </c>
      <c r="AK300" s="14" t="n">
        <f aca="false">IF($L300=2017,1,0)</f>
        <v>0</v>
      </c>
      <c r="AL300" s="14" t="n">
        <f aca="false">IF($H300="Beginner Level",1,0)</f>
        <v>0</v>
      </c>
      <c r="AM300" s="14" t="n">
        <f aca="false">IF($H300="Expert Level",1,0)</f>
        <v>0</v>
      </c>
      <c r="AN300" s="14" t="n">
        <f aca="false">IF($H300="Intermediate Level",1,0)</f>
        <v>1</v>
      </c>
    </row>
    <row r="301" customFormat="false" ht="46.25" hidden="false" customHeight="false" outlineLevel="0" collapsed="false">
      <c r="A301" s="14" t="n">
        <v>11153</v>
      </c>
      <c r="B301" s="14" t="s">
        <v>646</v>
      </c>
      <c r="C301" s="14" t="s">
        <v>647</v>
      </c>
      <c r="D301" s="14" t="n">
        <v>50</v>
      </c>
      <c r="E301" s="14" t="n">
        <v>7014</v>
      </c>
      <c r="F301" s="14" t="n">
        <v>95</v>
      </c>
      <c r="G301" s="14" t="n">
        <v>62</v>
      </c>
      <c r="H301" s="14" t="s">
        <v>62</v>
      </c>
      <c r="I301" s="14" t="n">
        <v>0.54</v>
      </c>
      <c r="J301" s="14" t="n">
        <v>4.5</v>
      </c>
      <c r="K301" s="14" t="s">
        <v>59</v>
      </c>
      <c r="L301" s="14" t="n">
        <v>2011</v>
      </c>
      <c r="M301" s="14" t="n">
        <v>8.85566343070012</v>
      </c>
      <c r="N301" s="14" t="n">
        <v>3.91222298543081</v>
      </c>
      <c r="P301" s="14" t="n">
        <f aca="false">D301</f>
        <v>50</v>
      </c>
      <c r="Q301" s="14" t="n">
        <f aca="false">G301</f>
        <v>62</v>
      </c>
      <c r="R301" s="14" t="n">
        <f aca="false">J301</f>
        <v>4.5</v>
      </c>
      <c r="S301" s="14" t="n">
        <f aca="false">IF($L301=2012,1,0)</f>
        <v>0</v>
      </c>
      <c r="T301" s="14" t="n">
        <f aca="false">IF($L301=2013,1,0)</f>
        <v>0</v>
      </c>
      <c r="U301" s="14" t="n">
        <f aca="false">IF($L301=2014,1,0)</f>
        <v>0</v>
      </c>
      <c r="V301" s="14" t="n">
        <f aca="false">IF($L301=2015,1,0)</f>
        <v>0</v>
      </c>
      <c r="W301" s="14" t="n">
        <f aca="false">IF($L301=2016,1,0)</f>
        <v>0</v>
      </c>
      <c r="X301" s="14" t="n">
        <f aca="false">IF($L301=2017,1,0)</f>
        <v>0</v>
      </c>
      <c r="Y301" s="14" t="n">
        <f aca="false">IF($H301="Beginner Level",1,0)</f>
        <v>0</v>
      </c>
      <c r="Z301" s="14" t="n">
        <f aca="false">IF($H301="Expert Level",1,0)</f>
        <v>0</v>
      </c>
      <c r="AA301" s="14" t="n">
        <f aca="false">IF($H301="Intermediate Level",1,0)</f>
        <v>0</v>
      </c>
      <c r="AC301" s="14" t="n">
        <f aca="false">N301</f>
        <v>3.91222298543081</v>
      </c>
      <c r="AD301" s="14" t="n">
        <f aca="false">G301</f>
        <v>62</v>
      </c>
      <c r="AE301" s="14" t="n">
        <f aca="false">J301</f>
        <v>4.5</v>
      </c>
      <c r="AF301" s="14" t="n">
        <f aca="false">IF($L301=2012,1,0)</f>
        <v>0</v>
      </c>
      <c r="AG301" s="14" t="n">
        <f aca="false">IF($L301=2013,1,0)</f>
        <v>0</v>
      </c>
      <c r="AH301" s="14" t="n">
        <f aca="false">IF($L301=2014,1,0)</f>
        <v>0</v>
      </c>
      <c r="AI301" s="14" t="n">
        <f aca="false">IF($L301=2015,1,0)</f>
        <v>0</v>
      </c>
      <c r="AJ301" s="14" t="n">
        <f aca="false">IF($L301=2016,1,0)</f>
        <v>0</v>
      </c>
      <c r="AK301" s="14" t="n">
        <f aca="false">IF($L301=2017,1,0)</f>
        <v>0</v>
      </c>
      <c r="AL301" s="14" t="n">
        <f aca="false">IF($H301="Beginner Level",1,0)</f>
        <v>0</v>
      </c>
      <c r="AM301" s="14" t="n">
        <f aca="false">IF($H301="Expert Level",1,0)</f>
        <v>0</v>
      </c>
      <c r="AN301" s="14" t="n">
        <f aca="false">IF($H301="Intermediate Level",1,0)</f>
        <v>0</v>
      </c>
    </row>
    <row r="302" customFormat="false" ht="68.65" hidden="false" customHeight="false" outlineLevel="0" collapsed="false">
      <c r="A302" s="14" t="n">
        <v>1227322</v>
      </c>
      <c r="B302" s="14" t="s">
        <v>648</v>
      </c>
      <c r="C302" s="14" t="s">
        <v>649</v>
      </c>
      <c r="D302" s="14" t="n">
        <v>0</v>
      </c>
      <c r="E302" s="14" t="n">
        <v>6958</v>
      </c>
      <c r="F302" s="14" t="n">
        <v>132</v>
      </c>
      <c r="G302" s="14" t="n">
        <v>30</v>
      </c>
      <c r="H302" s="14" t="s">
        <v>62</v>
      </c>
      <c r="I302" s="14" t="n">
        <v>0.53</v>
      </c>
      <c r="J302" s="14" t="n">
        <v>3.5</v>
      </c>
      <c r="K302" s="14" t="s">
        <v>53</v>
      </c>
      <c r="L302" s="14" t="n">
        <v>2017</v>
      </c>
      <c r="M302" s="14" t="n">
        <v>8.84764735571189</v>
      </c>
      <c r="N302" s="14" t="n">
        <v>-4.60517018598809</v>
      </c>
      <c r="P302" s="14" t="n">
        <f aca="false">D302</f>
        <v>0</v>
      </c>
      <c r="Q302" s="14" t="n">
        <f aca="false">G302</f>
        <v>30</v>
      </c>
      <c r="R302" s="14" t="n">
        <f aca="false">J302</f>
        <v>3.5</v>
      </c>
      <c r="S302" s="14" t="n">
        <f aca="false">IF($L302=2012,1,0)</f>
        <v>0</v>
      </c>
      <c r="T302" s="14" t="n">
        <f aca="false">IF($L302=2013,1,0)</f>
        <v>0</v>
      </c>
      <c r="U302" s="14" t="n">
        <f aca="false">IF($L302=2014,1,0)</f>
        <v>0</v>
      </c>
      <c r="V302" s="14" t="n">
        <f aca="false">IF($L302=2015,1,0)</f>
        <v>0</v>
      </c>
      <c r="W302" s="14" t="n">
        <f aca="false">IF($L302=2016,1,0)</f>
        <v>0</v>
      </c>
      <c r="X302" s="14" t="n">
        <f aca="false">IF($L302=2017,1,0)</f>
        <v>1</v>
      </c>
      <c r="Y302" s="14" t="n">
        <f aca="false">IF($H302="Beginner Level",1,0)</f>
        <v>0</v>
      </c>
      <c r="Z302" s="14" t="n">
        <f aca="false">IF($H302="Expert Level",1,0)</f>
        <v>0</v>
      </c>
      <c r="AA302" s="14" t="n">
        <f aca="false">IF($H302="Intermediate Level",1,0)</f>
        <v>0</v>
      </c>
      <c r="AC302" s="14" t="n">
        <f aca="false">N302</f>
        <v>-4.60517018598809</v>
      </c>
      <c r="AD302" s="14" t="n">
        <f aca="false">G302</f>
        <v>30</v>
      </c>
      <c r="AE302" s="14" t="n">
        <f aca="false">J302</f>
        <v>3.5</v>
      </c>
      <c r="AF302" s="14" t="n">
        <f aca="false">IF($L302=2012,1,0)</f>
        <v>0</v>
      </c>
      <c r="AG302" s="14" t="n">
        <f aca="false">IF($L302=2013,1,0)</f>
        <v>0</v>
      </c>
      <c r="AH302" s="14" t="n">
        <f aca="false">IF($L302=2014,1,0)</f>
        <v>0</v>
      </c>
      <c r="AI302" s="14" t="n">
        <f aca="false">IF($L302=2015,1,0)</f>
        <v>0</v>
      </c>
      <c r="AJ302" s="14" t="n">
        <f aca="false">IF($L302=2016,1,0)</f>
        <v>0</v>
      </c>
      <c r="AK302" s="14" t="n">
        <f aca="false">IF($L302=2017,1,0)</f>
        <v>1</v>
      </c>
      <c r="AL302" s="14" t="n">
        <f aca="false">IF($H302="Beginner Level",1,0)</f>
        <v>0</v>
      </c>
      <c r="AM302" s="14" t="n">
        <f aca="false">IF($H302="Expert Level",1,0)</f>
        <v>0</v>
      </c>
      <c r="AN302" s="14" t="n">
        <f aca="false">IF($H302="Intermediate Level",1,0)</f>
        <v>0</v>
      </c>
    </row>
    <row r="303" customFormat="false" ht="68.65" hidden="false" customHeight="false" outlineLevel="0" collapsed="false">
      <c r="A303" s="14" t="n">
        <v>451938</v>
      </c>
      <c r="B303" s="14" t="s">
        <v>650</v>
      </c>
      <c r="C303" s="14" t="s">
        <v>651</v>
      </c>
      <c r="D303" s="14" t="n">
        <v>25</v>
      </c>
      <c r="E303" s="14" t="n">
        <v>6937</v>
      </c>
      <c r="F303" s="14" t="n">
        <v>22</v>
      </c>
      <c r="G303" s="14" t="n">
        <v>7</v>
      </c>
      <c r="H303" s="14" t="s">
        <v>52</v>
      </c>
      <c r="I303" s="14" t="n">
        <v>0.76</v>
      </c>
      <c r="J303" s="14" t="n">
        <v>1</v>
      </c>
      <c r="K303" s="14" t="s">
        <v>59</v>
      </c>
      <c r="L303" s="14" t="n">
        <v>2015</v>
      </c>
      <c r="M303" s="14" t="n">
        <v>8.8446246833853</v>
      </c>
      <c r="N303" s="14" t="n">
        <v>3.21927574488953</v>
      </c>
      <c r="P303" s="14" t="n">
        <f aca="false">D303</f>
        <v>25</v>
      </c>
      <c r="Q303" s="14" t="n">
        <f aca="false">G303</f>
        <v>7</v>
      </c>
      <c r="R303" s="14" t="n">
        <f aca="false">J303</f>
        <v>1</v>
      </c>
      <c r="S303" s="14" t="n">
        <f aca="false">IF($L303=2012,1,0)</f>
        <v>0</v>
      </c>
      <c r="T303" s="14" t="n">
        <f aca="false">IF($L303=2013,1,0)</f>
        <v>0</v>
      </c>
      <c r="U303" s="14" t="n">
        <f aca="false">IF($L303=2014,1,0)</f>
        <v>0</v>
      </c>
      <c r="V303" s="14" t="n">
        <f aca="false">IF($L303=2015,1,0)</f>
        <v>1</v>
      </c>
      <c r="W303" s="14" t="n">
        <f aca="false">IF($L303=2016,1,0)</f>
        <v>0</v>
      </c>
      <c r="X303" s="14" t="n">
        <f aca="false">IF($L303=2017,1,0)</f>
        <v>0</v>
      </c>
      <c r="Y303" s="14" t="n">
        <f aca="false">IF($H303="Beginner Level",1,0)</f>
        <v>1</v>
      </c>
      <c r="Z303" s="14" t="n">
        <f aca="false">IF($H303="Expert Level",1,0)</f>
        <v>0</v>
      </c>
      <c r="AA303" s="14" t="n">
        <f aca="false">IF($H303="Intermediate Level",1,0)</f>
        <v>0</v>
      </c>
      <c r="AC303" s="14" t="n">
        <f aca="false">N303</f>
        <v>3.21927574488953</v>
      </c>
      <c r="AD303" s="14" t="n">
        <f aca="false">G303</f>
        <v>7</v>
      </c>
      <c r="AE303" s="14" t="n">
        <f aca="false">J303</f>
        <v>1</v>
      </c>
      <c r="AF303" s="14" t="n">
        <f aca="false">IF($L303=2012,1,0)</f>
        <v>0</v>
      </c>
      <c r="AG303" s="14" t="n">
        <f aca="false">IF($L303=2013,1,0)</f>
        <v>0</v>
      </c>
      <c r="AH303" s="14" t="n">
        <f aca="false">IF($L303=2014,1,0)</f>
        <v>0</v>
      </c>
      <c r="AI303" s="14" t="n">
        <f aca="false">IF($L303=2015,1,0)</f>
        <v>1</v>
      </c>
      <c r="AJ303" s="14" t="n">
        <f aca="false">IF($L303=2016,1,0)</f>
        <v>0</v>
      </c>
      <c r="AK303" s="14" t="n">
        <f aca="false">IF($L303=2017,1,0)</f>
        <v>0</v>
      </c>
      <c r="AL303" s="14" t="n">
        <f aca="false">IF($H303="Beginner Level",1,0)</f>
        <v>1</v>
      </c>
      <c r="AM303" s="14" t="n">
        <f aca="false">IF($H303="Expert Level",1,0)</f>
        <v>0</v>
      </c>
      <c r="AN303" s="14" t="n">
        <f aca="false">IF($H303="Intermediate Level",1,0)</f>
        <v>0</v>
      </c>
    </row>
    <row r="304" customFormat="false" ht="57.45" hidden="false" customHeight="false" outlineLevel="0" collapsed="false">
      <c r="A304" s="14" t="n">
        <v>1191946</v>
      </c>
      <c r="B304" s="14" t="s">
        <v>652</v>
      </c>
      <c r="C304" s="14" t="s">
        <v>653</v>
      </c>
      <c r="D304" s="14" t="n">
        <v>0</v>
      </c>
      <c r="E304" s="14" t="n">
        <v>6909</v>
      </c>
      <c r="F304" s="14" t="n">
        <v>401</v>
      </c>
      <c r="G304" s="14" t="n">
        <v>14</v>
      </c>
      <c r="H304" s="14" t="s">
        <v>52</v>
      </c>
      <c r="I304" s="14" t="n">
        <v>0.78</v>
      </c>
      <c r="J304" s="14" t="n">
        <v>2</v>
      </c>
      <c r="K304" s="14" t="s">
        <v>53</v>
      </c>
      <c r="L304" s="14" t="n">
        <v>2017</v>
      </c>
      <c r="M304" s="14" t="n">
        <v>8.8405801884888</v>
      </c>
      <c r="N304" s="14" t="n">
        <v>-4.60517018598809</v>
      </c>
      <c r="P304" s="14" t="n">
        <f aca="false">D304</f>
        <v>0</v>
      </c>
      <c r="Q304" s="14" t="n">
        <f aca="false">G304</f>
        <v>14</v>
      </c>
      <c r="R304" s="14" t="n">
        <f aca="false">J304</f>
        <v>2</v>
      </c>
      <c r="S304" s="14" t="n">
        <f aca="false">IF($L304=2012,1,0)</f>
        <v>0</v>
      </c>
      <c r="T304" s="14" t="n">
        <f aca="false">IF($L304=2013,1,0)</f>
        <v>0</v>
      </c>
      <c r="U304" s="14" t="n">
        <f aca="false">IF($L304=2014,1,0)</f>
        <v>0</v>
      </c>
      <c r="V304" s="14" t="n">
        <f aca="false">IF($L304=2015,1,0)</f>
        <v>0</v>
      </c>
      <c r="W304" s="14" t="n">
        <f aca="false">IF($L304=2016,1,0)</f>
        <v>0</v>
      </c>
      <c r="X304" s="14" t="n">
        <f aca="false">IF($L304=2017,1,0)</f>
        <v>1</v>
      </c>
      <c r="Y304" s="14" t="n">
        <f aca="false">IF($H304="Beginner Level",1,0)</f>
        <v>1</v>
      </c>
      <c r="Z304" s="14" t="n">
        <f aca="false">IF($H304="Expert Level",1,0)</f>
        <v>0</v>
      </c>
      <c r="AA304" s="14" t="n">
        <f aca="false">IF($H304="Intermediate Level",1,0)</f>
        <v>0</v>
      </c>
      <c r="AC304" s="14" t="n">
        <f aca="false">N304</f>
        <v>-4.60517018598809</v>
      </c>
      <c r="AD304" s="14" t="n">
        <f aca="false">G304</f>
        <v>14</v>
      </c>
      <c r="AE304" s="14" t="n">
        <f aca="false">J304</f>
        <v>2</v>
      </c>
      <c r="AF304" s="14" t="n">
        <f aca="false">IF($L304=2012,1,0)</f>
        <v>0</v>
      </c>
      <c r="AG304" s="14" t="n">
        <f aca="false">IF($L304=2013,1,0)</f>
        <v>0</v>
      </c>
      <c r="AH304" s="14" t="n">
        <f aca="false">IF($L304=2014,1,0)</f>
        <v>0</v>
      </c>
      <c r="AI304" s="14" t="n">
        <f aca="false">IF($L304=2015,1,0)</f>
        <v>0</v>
      </c>
      <c r="AJ304" s="14" t="n">
        <f aca="false">IF($L304=2016,1,0)</f>
        <v>0</v>
      </c>
      <c r="AK304" s="14" t="n">
        <f aca="false">IF($L304=2017,1,0)</f>
        <v>1</v>
      </c>
      <c r="AL304" s="14" t="n">
        <f aca="false">IF($H304="Beginner Level",1,0)</f>
        <v>1</v>
      </c>
      <c r="AM304" s="14" t="n">
        <f aca="false">IF($H304="Expert Level",1,0)</f>
        <v>0</v>
      </c>
      <c r="AN304" s="14" t="n">
        <f aca="false">IF($H304="Intermediate Level",1,0)</f>
        <v>0</v>
      </c>
    </row>
    <row r="305" customFormat="false" ht="68.65" hidden="false" customHeight="false" outlineLevel="0" collapsed="false">
      <c r="A305" s="14" t="n">
        <v>511838</v>
      </c>
      <c r="B305" s="14" t="s">
        <v>654</v>
      </c>
      <c r="C305" s="14" t="s">
        <v>655</v>
      </c>
      <c r="D305" s="14" t="n">
        <v>100</v>
      </c>
      <c r="E305" s="14" t="n">
        <v>6890</v>
      </c>
      <c r="F305" s="14" t="n">
        <v>99</v>
      </c>
      <c r="G305" s="14" t="n">
        <v>90</v>
      </c>
      <c r="H305" s="14" t="s">
        <v>52</v>
      </c>
      <c r="I305" s="14" t="n">
        <v>0.96</v>
      </c>
      <c r="J305" s="14" t="n">
        <v>10.5</v>
      </c>
      <c r="K305" s="14" t="s">
        <v>59</v>
      </c>
      <c r="L305" s="14" t="n">
        <v>2015</v>
      </c>
      <c r="M305" s="14" t="n">
        <v>8.8378263640077</v>
      </c>
      <c r="N305" s="14" t="n">
        <v>4.60527018098843</v>
      </c>
      <c r="P305" s="14" t="n">
        <f aca="false">D305</f>
        <v>100</v>
      </c>
      <c r="Q305" s="14" t="n">
        <f aca="false">G305</f>
        <v>90</v>
      </c>
      <c r="R305" s="14" t="n">
        <f aca="false">J305</f>
        <v>10.5</v>
      </c>
      <c r="S305" s="14" t="n">
        <f aca="false">IF($L305=2012,1,0)</f>
        <v>0</v>
      </c>
      <c r="T305" s="14" t="n">
        <f aca="false">IF($L305=2013,1,0)</f>
        <v>0</v>
      </c>
      <c r="U305" s="14" t="n">
        <f aca="false">IF($L305=2014,1,0)</f>
        <v>0</v>
      </c>
      <c r="V305" s="14" t="n">
        <f aca="false">IF($L305=2015,1,0)</f>
        <v>1</v>
      </c>
      <c r="W305" s="14" t="n">
        <f aca="false">IF($L305=2016,1,0)</f>
        <v>0</v>
      </c>
      <c r="X305" s="14" t="n">
        <f aca="false">IF($L305=2017,1,0)</f>
        <v>0</v>
      </c>
      <c r="Y305" s="14" t="n">
        <f aca="false">IF($H305="Beginner Level",1,0)</f>
        <v>1</v>
      </c>
      <c r="Z305" s="14" t="n">
        <f aca="false">IF($H305="Expert Level",1,0)</f>
        <v>0</v>
      </c>
      <c r="AA305" s="14" t="n">
        <f aca="false">IF($H305="Intermediate Level",1,0)</f>
        <v>0</v>
      </c>
      <c r="AC305" s="14" t="n">
        <f aca="false">N305</f>
        <v>4.60527018098843</v>
      </c>
      <c r="AD305" s="14" t="n">
        <f aca="false">G305</f>
        <v>90</v>
      </c>
      <c r="AE305" s="14" t="n">
        <f aca="false">J305</f>
        <v>10.5</v>
      </c>
      <c r="AF305" s="14" t="n">
        <f aca="false">IF($L305=2012,1,0)</f>
        <v>0</v>
      </c>
      <c r="AG305" s="14" t="n">
        <f aca="false">IF($L305=2013,1,0)</f>
        <v>0</v>
      </c>
      <c r="AH305" s="14" t="n">
        <f aca="false">IF($L305=2014,1,0)</f>
        <v>0</v>
      </c>
      <c r="AI305" s="14" t="n">
        <f aca="false">IF($L305=2015,1,0)</f>
        <v>1</v>
      </c>
      <c r="AJ305" s="14" t="n">
        <f aca="false">IF($L305=2016,1,0)</f>
        <v>0</v>
      </c>
      <c r="AK305" s="14" t="n">
        <f aca="false">IF($L305=2017,1,0)</f>
        <v>0</v>
      </c>
      <c r="AL305" s="14" t="n">
        <f aca="false">IF($H305="Beginner Level",1,0)</f>
        <v>1</v>
      </c>
      <c r="AM305" s="14" t="n">
        <f aca="false">IF($H305="Expert Level",1,0)</f>
        <v>0</v>
      </c>
      <c r="AN305" s="14" t="n">
        <f aca="false">IF($H305="Intermediate Level",1,0)</f>
        <v>0</v>
      </c>
    </row>
    <row r="306" customFormat="false" ht="102.2" hidden="false" customHeight="false" outlineLevel="0" collapsed="false">
      <c r="A306" s="14" t="n">
        <v>1024888</v>
      </c>
      <c r="B306" s="14" t="s">
        <v>656</v>
      </c>
      <c r="C306" s="14" t="s">
        <v>657</v>
      </c>
      <c r="D306" s="14" t="n">
        <v>0</v>
      </c>
      <c r="E306" s="14" t="n">
        <v>6856</v>
      </c>
      <c r="F306" s="14" t="n">
        <v>137</v>
      </c>
      <c r="G306" s="14" t="n">
        <v>19</v>
      </c>
      <c r="H306" s="14" t="s">
        <v>62</v>
      </c>
      <c r="I306" s="14" t="n">
        <v>0.62</v>
      </c>
      <c r="J306" s="14" t="n">
        <v>2</v>
      </c>
      <c r="K306" s="14" t="s">
        <v>53</v>
      </c>
      <c r="L306" s="14" t="n">
        <v>2016</v>
      </c>
      <c r="M306" s="14" t="n">
        <v>8.83287946027762</v>
      </c>
      <c r="N306" s="14" t="n">
        <v>-4.60517018598809</v>
      </c>
      <c r="P306" s="14" t="n">
        <f aca="false">D306</f>
        <v>0</v>
      </c>
      <c r="Q306" s="14" t="n">
        <f aca="false">G306</f>
        <v>19</v>
      </c>
      <c r="R306" s="14" t="n">
        <f aca="false">J306</f>
        <v>2</v>
      </c>
      <c r="S306" s="14" t="n">
        <f aca="false">IF($L306=2012,1,0)</f>
        <v>0</v>
      </c>
      <c r="T306" s="14" t="n">
        <f aca="false">IF($L306=2013,1,0)</f>
        <v>0</v>
      </c>
      <c r="U306" s="14" t="n">
        <f aca="false">IF($L306=2014,1,0)</f>
        <v>0</v>
      </c>
      <c r="V306" s="14" t="n">
        <f aca="false">IF($L306=2015,1,0)</f>
        <v>0</v>
      </c>
      <c r="W306" s="14" t="n">
        <f aca="false">IF($L306=2016,1,0)</f>
        <v>1</v>
      </c>
      <c r="X306" s="14" t="n">
        <f aca="false">IF($L306=2017,1,0)</f>
        <v>0</v>
      </c>
      <c r="Y306" s="14" t="n">
        <f aca="false">IF($H306="Beginner Level",1,0)</f>
        <v>0</v>
      </c>
      <c r="Z306" s="14" t="n">
        <f aca="false">IF($H306="Expert Level",1,0)</f>
        <v>0</v>
      </c>
      <c r="AA306" s="14" t="n">
        <f aca="false">IF($H306="Intermediate Level",1,0)</f>
        <v>0</v>
      </c>
      <c r="AC306" s="14" t="n">
        <f aca="false">N306</f>
        <v>-4.60517018598809</v>
      </c>
      <c r="AD306" s="14" t="n">
        <f aca="false">G306</f>
        <v>19</v>
      </c>
      <c r="AE306" s="14" t="n">
        <f aca="false">J306</f>
        <v>2</v>
      </c>
      <c r="AF306" s="14" t="n">
        <f aca="false">IF($L306=2012,1,0)</f>
        <v>0</v>
      </c>
      <c r="AG306" s="14" t="n">
        <f aca="false">IF($L306=2013,1,0)</f>
        <v>0</v>
      </c>
      <c r="AH306" s="14" t="n">
        <f aca="false">IF($L306=2014,1,0)</f>
        <v>0</v>
      </c>
      <c r="AI306" s="14" t="n">
        <f aca="false">IF($L306=2015,1,0)</f>
        <v>0</v>
      </c>
      <c r="AJ306" s="14" t="n">
        <f aca="false">IF($L306=2016,1,0)</f>
        <v>1</v>
      </c>
      <c r="AK306" s="14" t="n">
        <f aca="false">IF($L306=2017,1,0)</f>
        <v>0</v>
      </c>
      <c r="AL306" s="14" t="n">
        <f aca="false">IF($H306="Beginner Level",1,0)</f>
        <v>0</v>
      </c>
      <c r="AM306" s="14" t="n">
        <f aca="false">IF($H306="Expert Level",1,0)</f>
        <v>0</v>
      </c>
      <c r="AN306" s="14" t="n">
        <f aca="false">IF($H306="Intermediate Level",1,0)</f>
        <v>0</v>
      </c>
    </row>
    <row r="307" customFormat="false" ht="57.45" hidden="false" customHeight="false" outlineLevel="0" collapsed="false">
      <c r="A307" s="14" t="n">
        <v>140238</v>
      </c>
      <c r="B307" s="14" t="s">
        <v>658</v>
      </c>
      <c r="C307" s="14" t="s">
        <v>659</v>
      </c>
      <c r="D307" s="14" t="n">
        <v>200</v>
      </c>
      <c r="E307" s="14" t="n">
        <v>6851</v>
      </c>
      <c r="F307" s="14" t="n">
        <v>276</v>
      </c>
      <c r="G307" s="14" t="n">
        <v>454</v>
      </c>
      <c r="H307" s="14" t="s">
        <v>62</v>
      </c>
      <c r="I307" s="14" t="n">
        <v>0.94</v>
      </c>
      <c r="J307" s="14" t="n">
        <v>60</v>
      </c>
      <c r="K307" s="14" t="s">
        <v>59</v>
      </c>
      <c r="L307" s="14" t="n">
        <v>2014</v>
      </c>
      <c r="M307" s="14" t="n">
        <v>8.8321499060029</v>
      </c>
      <c r="N307" s="14" t="n">
        <v>5.29836736529808</v>
      </c>
      <c r="P307" s="14" t="n">
        <f aca="false">D307</f>
        <v>200</v>
      </c>
      <c r="Q307" s="14" t="n">
        <f aca="false">G307</f>
        <v>454</v>
      </c>
      <c r="R307" s="14" t="n">
        <f aca="false">J307</f>
        <v>60</v>
      </c>
      <c r="S307" s="14" t="n">
        <f aca="false">IF($L307=2012,1,0)</f>
        <v>0</v>
      </c>
      <c r="T307" s="14" t="n">
        <f aca="false">IF($L307=2013,1,0)</f>
        <v>0</v>
      </c>
      <c r="U307" s="14" t="n">
        <f aca="false">IF($L307=2014,1,0)</f>
        <v>1</v>
      </c>
      <c r="V307" s="14" t="n">
        <f aca="false">IF($L307=2015,1,0)</f>
        <v>0</v>
      </c>
      <c r="W307" s="14" t="n">
        <f aca="false">IF($L307=2016,1,0)</f>
        <v>0</v>
      </c>
      <c r="X307" s="14" t="n">
        <f aca="false">IF($L307=2017,1,0)</f>
        <v>0</v>
      </c>
      <c r="Y307" s="14" t="n">
        <f aca="false">IF($H307="Beginner Level",1,0)</f>
        <v>0</v>
      </c>
      <c r="Z307" s="14" t="n">
        <f aca="false">IF($H307="Expert Level",1,0)</f>
        <v>0</v>
      </c>
      <c r="AA307" s="14" t="n">
        <f aca="false">IF($H307="Intermediate Level",1,0)</f>
        <v>0</v>
      </c>
      <c r="AC307" s="14" t="n">
        <f aca="false">N307</f>
        <v>5.29836736529808</v>
      </c>
      <c r="AD307" s="14" t="n">
        <f aca="false">G307</f>
        <v>454</v>
      </c>
      <c r="AE307" s="14" t="n">
        <f aca="false">J307</f>
        <v>60</v>
      </c>
      <c r="AF307" s="14" t="n">
        <f aca="false">IF($L307=2012,1,0)</f>
        <v>0</v>
      </c>
      <c r="AG307" s="14" t="n">
        <f aca="false">IF($L307=2013,1,0)</f>
        <v>0</v>
      </c>
      <c r="AH307" s="14" t="n">
        <f aca="false">IF($L307=2014,1,0)</f>
        <v>1</v>
      </c>
      <c r="AI307" s="14" t="n">
        <f aca="false">IF($L307=2015,1,0)</f>
        <v>0</v>
      </c>
      <c r="AJ307" s="14" t="n">
        <f aca="false">IF($L307=2016,1,0)</f>
        <v>0</v>
      </c>
      <c r="AK307" s="14" t="n">
        <f aca="false">IF($L307=2017,1,0)</f>
        <v>0</v>
      </c>
      <c r="AL307" s="14" t="n">
        <f aca="false">IF($H307="Beginner Level",1,0)</f>
        <v>0</v>
      </c>
      <c r="AM307" s="14" t="n">
        <f aca="false">IF($H307="Expert Level",1,0)</f>
        <v>0</v>
      </c>
      <c r="AN307" s="14" t="n">
        <f aca="false">IF($H307="Intermediate Level",1,0)</f>
        <v>0</v>
      </c>
    </row>
    <row r="308" customFormat="false" ht="68.65" hidden="false" customHeight="false" outlineLevel="0" collapsed="false">
      <c r="A308" s="14" t="n">
        <v>125806</v>
      </c>
      <c r="B308" s="14" t="s">
        <v>660</v>
      </c>
      <c r="C308" s="14" t="s">
        <v>661</v>
      </c>
      <c r="D308" s="14" t="n">
        <v>20</v>
      </c>
      <c r="E308" s="14" t="n">
        <v>6760</v>
      </c>
      <c r="F308" s="14" t="n">
        <v>84</v>
      </c>
      <c r="G308" s="14" t="n">
        <v>27</v>
      </c>
      <c r="H308" s="14" t="s">
        <v>52</v>
      </c>
      <c r="I308" s="14" t="n">
        <v>0.47</v>
      </c>
      <c r="J308" s="14" t="n">
        <v>3</v>
      </c>
      <c r="K308" s="14" t="s">
        <v>59</v>
      </c>
      <c r="L308" s="14" t="n">
        <v>2013</v>
      </c>
      <c r="M308" s="14" t="n">
        <v>8.81877816903701</v>
      </c>
      <c r="N308" s="14" t="n">
        <v>2.99623214859564</v>
      </c>
      <c r="P308" s="14" t="n">
        <f aca="false">D308</f>
        <v>20</v>
      </c>
      <c r="Q308" s="14" t="n">
        <f aca="false">G308</f>
        <v>27</v>
      </c>
      <c r="R308" s="14" t="n">
        <f aca="false">J308</f>
        <v>3</v>
      </c>
      <c r="S308" s="14" t="n">
        <f aca="false">IF($L308=2012,1,0)</f>
        <v>0</v>
      </c>
      <c r="T308" s="14" t="n">
        <f aca="false">IF($L308=2013,1,0)</f>
        <v>1</v>
      </c>
      <c r="U308" s="14" t="n">
        <f aca="false">IF($L308=2014,1,0)</f>
        <v>0</v>
      </c>
      <c r="V308" s="14" t="n">
        <f aca="false">IF($L308=2015,1,0)</f>
        <v>0</v>
      </c>
      <c r="W308" s="14" t="n">
        <f aca="false">IF($L308=2016,1,0)</f>
        <v>0</v>
      </c>
      <c r="X308" s="14" t="n">
        <f aca="false">IF($L308=2017,1,0)</f>
        <v>0</v>
      </c>
      <c r="Y308" s="14" t="n">
        <f aca="false">IF($H308="Beginner Level",1,0)</f>
        <v>1</v>
      </c>
      <c r="Z308" s="14" t="n">
        <f aca="false">IF($H308="Expert Level",1,0)</f>
        <v>0</v>
      </c>
      <c r="AA308" s="14" t="n">
        <f aca="false">IF($H308="Intermediate Level",1,0)</f>
        <v>0</v>
      </c>
      <c r="AC308" s="14" t="n">
        <f aca="false">N308</f>
        <v>2.99623214859564</v>
      </c>
      <c r="AD308" s="14" t="n">
        <f aca="false">G308</f>
        <v>27</v>
      </c>
      <c r="AE308" s="14" t="n">
        <f aca="false">J308</f>
        <v>3</v>
      </c>
      <c r="AF308" s="14" t="n">
        <f aca="false">IF($L308=2012,1,0)</f>
        <v>0</v>
      </c>
      <c r="AG308" s="14" t="n">
        <f aca="false">IF($L308=2013,1,0)</f>
        <v>1</v>
      </c>
      <c r="AH308" s="14" t="n">
        <f aca="false">IF($L308=2014,1,0)</f>
        <v>0</v>
      </c>
      <c r="AI308" s="14" t="n">
        <f aca="false">IF($L308=2015,1,0)</f>
        <v>0</v>
      </c>
      <c r="AJ308" s="14" t="n">
        <f aca="false">IF($L308=2016,1,0)</f>
        <v>0</v>
      </c>
      <c r="AK308" s="14" t="n">
        <f aca="false">IF($L308=2017,1,0)</f>
        <v>0</v>
      </c>
      <c r="AL308" s="14" t="n">
        <f aca="false">IF($H308="Beginner Level",1,0)</f>
        <v>1</v>
      </c>
      <c r="AM308" s="14" t="n">
        <f aca="false">IF($H308="Expert Level",1,0)</f>
        <v>0</v>
      </c>
      <c r="AN308" s="14" t="n">
        <f aca="false">IF($H308="Intermediate Level",1,0)</f>
        <v>0</v>
      </c>
    </row>
    <row r="309" customFormat="false" ht="57.45" hidden="false" customHeight="false" outlineLevel="0" collapsed="false">
      <c r="A309" s="14" t="n">
        <v>288466</v>
      </c>
      <c r="B309" s="14" t="s">
        <v>662</v>
      </c>
      <c r="C309" s="14" t="s">
        <v>663</v>
      </c>
      <c r="D309" s="14" t="n">
        <v>200</v>
      </c>
      <c r="E309" s="14" t="n">
        <v>6751</v>
      </c>
      <c r="F309" s="14" t="n">
        <v>44</v>
      </c>
      <c r="G309" s="14" t="n">
        <v>353</v>
      </c>
      <c r="H309" s="14" t="s">
        <v>71</v>
      </c>
      <c r="I309" s="14" t="n">
        <v>0.17</v>
      </c>
      <c r="J309" s="14" t="n">
        <v>48.5</v>
      </c>
      <c r="K309" s="14" t="s">
        <v>59</v>
      </c>
      <c r="L309" s="14" t="n">
        <v>2014</v>
      </c>
      <c r="M309" s="14" t="n">
        <v>8.81744592104187</v>
      </c>
      <c r="N309" s="14" t="n">
        <v>5.29836736529808</v>
      </c>
      <c r="P309" s="14" t="n">
        <f aca="false">D309</f>
        <v>200</v>
      </c>
      <c r="Q309" s="14" t="n">
        <f aca="false">G309</f>
        <v>353</v>
      </c>
      <c r="R309" s="14" t="n">
        <f aca="false">J309</f>
        <v>48.5</v>
      </c>
      <c r="S309" s="14" t="n">
        <f aca="false">IF($L309=2012,1,0)</f>
        <v>0</v>
      </c>
      <c r="T309" s="14" t="n">
        <f aca="false">IF($L309=2013,1,0)</f>
        <v>0</v>
      </c>
      <c r="U309" s="14" t="n">
        <f aca="false">IF($L309=2014,1,0)</f>
        <v>1</v>
      </c>
      <c r="V309" s="14" t="n">
        <f aca="false">IF($L309=2015,1,0)</f>
        <v>0</v>
      </c>
      <c r="W309" s="14" t="n">
        <f aca="false">IF($L309=2016,1,0)</f>
        <v>0</v>
      </c>
      <c r="X309" s="14" t="n">
        <f aca="false">IF($L309=2017,1,0)</f>
        <v>0</v>
      </c>
      <c r="Y309" s="14" t="n">
        <f aca="false">IF($H309="Beginner Level",1,0)</f>
        <v>0</v>
      </c>
      <c r="Z309" s="14" t="n">
        <f aca="false">IF($H309="Expert Level",1,0)</f>
        <v>0</v>
      </c>
      <c r="AA309" s="14" t="n">
        <f aca="false">IF($H309="Intermediate Level",1,0)</f>
        <v>1</v>
      </c>
      <c r="AC309" s="14" t="n">
        <f aca="false">N309</f>
        <v>5.29836736529808</v>
      </c>
      <c r="AD309" s="14" t="n">
        <f aca="false">G309</f>
        <v>353</v>
      </c>
      <c r="AE309" s="14" t="n">
        <f aca="false">J309</f>
        <v>48.5</v>
      </c>
      <c r="AF309" s="14" t="n">
        <f aca="false">IF($L309=2012,1,0)</f>
        <v>0</v>
      </c>
      <c r="AG309" s="14" t="n">
        <f aca="false">IF($L309=2013,1,0)</f>
        <v>0</v>
      </c>
      <c r="AH309" s="14" t="n">
        <f aca="false">IF($L309=2014,1,0)</f>
        <v>1</v>
      </c>
      <c r="AI309" s="14" t="n">
        <f aca="false">IF($L309=2015,1,0)</f>
        <v>0</v>
      </c>
      <c r="AJ309" s="14" t="n">
        <f aca="false">IF($L309=2016,1,0)</f>
        <v>0</v>
      </c>
      <c r="AK309" s="14" t="n">
        <f aca="false">IF($L309=2017,1,0)</f>
        <v>0</v>
      </c>
      <c r="AL309" s="14" t="n">
        <f aca="false">IF($H309="Beginner Level",1,0)</f>
        <v>0</v>
      </c>
      <c r="AM309" s="14" t="n">
        <f aca="false">IF($H309="Expert Level",1,0)</f>
        <v>0</v>
      </c>
      <c r="AN309" s="14" t="n">
        <f aca="false">IF($H309="Intermediate Level",1,0)</f>
        <v>1</v>
      </c>
    </row>
    <row r="310" customFormat="false" ht="46.25" hidden="false" customHeight="false" outlineLevel="0" collapsed="false">
      <c r="A310" s="14" t="n">
        <v>730542</v>
      </c>
      <c r="B310" s="14" t="s">
        <v>664</v>
      </c>
      <c r="C310" s="14" t="s">
        <v>665</v>
      </c>
      <c r="D310" s="14" t="n">
        <v>0</v>
      </c>
      <c r="E310" s="14" t="n">
        <v>6742</v>
      </c>
      <c r="F310" s="14" t="n">
        <v>1036</v>
      </c>
      <c r="G310" s="14" t="n">
        <v>6</v>
      </c>
      <c r="H310" s="14" t="s">
        <v>52</v>
      </c>
      <c r="I310" s="14" t="n">
        <v>0.63</v>
      </c>
      <c r="J310" s="14" t="n">
        <v>0.68333333</v>
      </c>
      <c r="K310" s="14" t="s">
        <v>53</v>
      </c>
      <c r="L310" s="14" t="n">
        <v>2016</v>
      </c>
      <c r="M310" s="14" t="n">
        <v>8.81611189579401</v>
      </c>
      <c r="N310" s="14" t="n">
        <v>-4.60517018598809</v>
      </c>
      <c r="P310" s="14" t="n">
        <f aca="false">D310</f>
        <v>0</v>
      </c>
      <c r="Q310" s="14" t="n">
        <f aca="false">G310</f>
        <v>6</v>
      </c>
      <c r="R310" s="14" t="n">
        <f aca="false">J310</f>
        <v>0.68333333</v>
      </c>
      <c r="S310" s="14" t="n">
        <f aca="false">IF($L310=2012,1,0)</f>
        <v>0</v>
      </c>
      <c r="T310" s="14" t="n">
        <f aca="false">IF($L310=2013,1,0)</f>
        <v>0</v>
      </c>
      <c r="U310" s="14" t="n">
        <f aca="false">IF($L310=2014,1,0)</f>
        <v>0</v>
      </c>
      <c r="V310" s="14" t="n">
        <f aca="false">IF($L310=2015,1,0)</f>
        <v>0</v>
      </c>
      <c r="W310" s="14" t="n">
        <f aca="false">IF($L310=2016,1,0)</f>
        <v>1</v>
      </c>
      <c r="X310" s="14" t="n">
        <f aca="false">IF($L310=2017,1,0)</f>
        <v>0</v>
      </c>
      <c r="Y310" s="14" t="n">
        <f aca="false">IF($H310="Beginner Level",1,0)</f>
        <v>1</v>
      </c>
      <c r="Z310" s="14" t="n">
        <f aca="false">IF($H310="Expert Level",1,0)</f>
        <v>0</v>
      </c>
      <c r="AA310" s="14" t="n">
        <f aca="false">IF($H310="Intermediate Level",1,0)</f>
        <v>0</v>
      </c>
      <c r="AC310" s="14" t="n">
        <f aca="false">N310</f>
        <v>-4.60517018598809</v>
      </c>
      <c r="AD310" s="14" t="n">
        <f aca="false">G310</f>
        <v>6</v>
      </c>
      <c r="AE310" s="14" t="n">
        <f aca="false">J310</f>
        <v>0.68333333</v>
      </c>
      <c r="AF310" s="14" t="n">
        <f aca="false">IF($L310=2012,1,0)</f>
        <v>0</v>
      </c>
      <c r="AG310" s="14" t="n">
        <f aca="false">IF($L310=2013,1,0)</f>
        <v>0</v>
      </c>
      <c r="AH310" s="14" t="n">
        <f aca="false">IF($L310=2014,1,0)</f>
        <v>0</v>
      </c>
      <c r="AI310" s="14" t="n">
        <f aca="false">IF($L310=2015,1,0)</f>
        <v>0</v>
      </c>
      <c r="AJ310" s="14" t="n">
        <f aca="false">IF($L310=2016,1,0)</f>
        <v>1</v>
      </c>
      <c r="AK310" s="14" t="n">
        <f aca="false">IF($L310=2017,1,0)</f>
        <v>0</v>
      </c>
      <c r="AL310" s="14" t="n">
        <f aca="false">IF($H310="Beginner Level",1,0)</f>
        <v>1</v>
      </c>
      <c r="AM310" s="14" t="n">
        <f aca="false">IF($H310="Expert Level",1,0)</f>
        <v>0</v>
      </c>
      <c r="AN310" s="14" t="n">
        <f aca="false">IF($H310="Intermediate Level",1,0)</f>
        <v>0</v>
      </c>
    </row>
    <row r="311" customFormat="false" ht="57.45" hidden="false" customHeight="false" outlineLevel="0" collapsed="false">
      <c r="A311" s="14" t="n">
        <v>1105778</v>
      </c>
      <c r="B311" s="14" t="s">
        <v>666</v>
      </c>
      <c r="C311" s="14" t="s">
        <v>667</v>
      </c>
      <c r="D311" s="14" t="n">
        <v>40</v>
      </c>
      <c r="E311" s="14" t="n">
        <v>6648</v>
      </c>
      <c r="F311" s="14" t="n">
        <v>16</v>
      </c>
      <c r="G311" s="14" t="n">
        <v>22</v>
      </c>
      <c r="H311" s="14" t="s">
        <v>62</v>
      </c>
      <c r="I311" s="14" t="n">
        <v>0.15</v>
      </c>
      <c r="J311" s="14" t="n">
        <v>1.5</v>
      </c>
      <c r="K311" s="14" t="s">
        <v>59</v>
      </c>
      <c r="L311" s="14" t="n">
        <v>2017</v>
      </c>
      <c r="M311" s="14" t="n">
        <v>8.80207133653529</v>
      </c>
      <c r="N311" s="14" t="n">
        <v>3.68912942286914</v>
      </c>
      <c r="P311" s="14" t="n">
        <f aca="false">D311</f>
        <v>40</v>
      </c>
      <c r="Q311" s="14" t="n">
        <f aca="false">G311</f>
        <v>22</v>
      </c>
      <c r="R311" s="14" t="n">
        <f aca="false">J311</f>
        <v>1.5</v>
      </c>
      <c r="S311" s="14" t="n">
        <f aca="false">IF($L311=2012,1,0)</f>
        <v>0</v>
      </c>
      <c r="T311" s="14" t="n">
        <f aca="false">IF($L311=2013,1,0)</f>
        <v>0</v>
      </c>
      <c r="U311" s="14" t="n">
        <f aca="false">IF($L311=2014,1,0)</f>
        <v>0</v>
      </c>
      <c r="V311" s="14" t="n">
        <f aca="false">IF($L311=2015,1,0)</f>
        <v>0</v>
      </c>
      <c r="W311" s="14" t="n">
        <f aca="false">IF($L311=2016,1,0)</f>
        <v>0</v>
      </c>
      <c r="X311" s="14" t="n">
        <f aca="false">IF($L311=2017,1,0)</f>
        <v>1</v>
      </c>
      <c r="Y311" s="14" t="n">
        <f aca="false">IF($H311="Beginner Level",1,0)</f>
        <v>0</v>
      </c>
      <c r="Z311" s="14" t="n">
        <f aca="false">IF($H311="Expert Level",1,0)</f>
        <v>0</v>
      </c>
      <c r="AA311" s="14" t="n">
        <f aca="false">IF($H311="Intermediate Level",1,0)</f>
        <v>0</v>
      </c>
      <c r="AC311" s="14" t="n">
        <f aca="false">N311</f>
        <v>3.68912942286914</v>
      </c>
      <c r="AD311" s="14" t="n">
        <f aca="false">G311</f>
        <v>22</v>
      </c>
      <c r="AE311" s="14" t="n">
        <f aca="false">J311</f>
        <v>1.5</v>
      </c>
      <c r="AF311" s="14" t="n">
        <f aca="false">IF($L311=2012,1,0)</f>
        <v>0</v>
      </c>
      <c r="AG311" s="14" t="n">
        <f aca="false">IF($L311=2013,1,0)</f>
        <v>0</v>
      </c>
      <c r="AH311" s="14" t="n">
        <f aca="false">IF($L311=2014,1,0)</f>
        <v>0</v>
      </c>
      <c r="AI311" s="14" t="n">
        <f aca="false">IF($L311=2015,1,0)</f>
        <v>0</v>
      </c>
      <c r="AJ311" s="14" t="n">
        <f aca="false">IF($L311=2016,1,0)</f>
        <v>0</v>
      </c>
      <c r="AK311" s="14" t="n">
        <f aca="false">IF($L311=2017,1,0)</f>
        <v>1</v>
      </c>
      <c r="AL311" s="14" t="n">
        <f aca="false">IF($H311="Beginner Level",1,0)</f>
        <v>0</v>
      </c>
      <c r="AM311" s="14" t="n">
        <f aca="false">IF($H311="Expert Level",1,0)</f>
        <v>0</v>
      </c>
      <c r="AN311" s="14" t="n">
        <f aca="false">IF($H311="Intermediate Level",1,0)</f>
        <v>0</v>
      </c>
    </row>
    <row r="312" customFormat="false" ht="46.25" hidden="false" customHeight="false" outlineLevel="0" collapsed="false">
      <c r="A312" s="14" t="n">
        <v>812588</v>
      </c>
      <c r="B312" s="14" t="s">
        <v>668</v>
      </c>
      <c r="C312" s="14" t="s">
        <v>669</v>
      </c>
      <c r="D312" s="14" t="n">
        <v>195</v>
      </c>
      <c r="E312" s="14" t="n">
        <v>6636</v>
      </c>
      <c r="F312" s="14" t="n">
        <v>302</v>
      </c>
      <c r="G312" s="14" t="n">
        <v>50</v>
      </c>
      <c r="H312" s="14" t="s">
        <v>62</v>
      </c>
      <c r="I312" s="14" t="n">
        <v>0.66</v>
      </c>
      <c r="J312" s="14" t="n">
        <v>6</v>
      </c>
      <c r="K312" s="14" t="s">
        <v>59</v>
      </c>
      <c r="L312" s="14" t="n">
        <v>2016</v>
      </c>
      <c r="M312" s="14" t="n">
        <v>8.80026465131034</v>
      </c>
      <c r="N312" s="14" t="n">
        <v>5.27305083930015</v>
      </c>
      <c r="P312" s="14" t="n">
        <f aca="false">D312</f>
        <v>195</v>
      </c>
      <c r="Q312" s="14" t="n">
        <f aca="false">G312</f>
        <v>50</v>
      </c>
      <c r="R312" s="14" t="n">
        <f aca="false">J312</f>
        <v>6</v>
      </c>
      <c r="S312" s="14" t="n">
        <f aca="false">IF($L312=2012,1,0)</f>
        <v>0</v>
      </c>
      <c r="T312" s="14" t="n">
        <f aca="false">IF($L312=2013,1,0)</f>
        <v>0</v>
      </c>
      <c r="U312" s="14" t="n">
        <f aca="false">IF($L312=2014,1,0)</f>
        <v>0</v>
      </c>
      <c r="V312" s="14" t="n">
        <f aca="false">IF($L312=2015,1,0)</f>
        <v>0</v>
      </c>
      <c r="W312" s="14" t="n">
        <f aca="false">IF($L312=2016,1,0)</f>
        <v>1</v>
      </c>
      <c r="X312" s="14" t="n">
        <f aca="false">IF($L312=2017,1,0)</f>
        <v>0</v>
      </c>
      <c r="Y312" s="14" t="n">
        <f aca="false">IF($H312="Beginner Level",1,0)</f>
        <v>0</v>
      </c>
      <c r="Z312" s="14" t="n">
        <f aca="false">IF($H312="Expert Level",1,0)</f>
        <v>0</v>
      </c>
      <c r="AA312" s="14" t="n">
        <f aca="false">IF($H312="Intermediate Level",1,0)</f>
        <v>0</v>
      </c>
      <c r="AC312" s="14" t="n">
        <f aca="false">N312</f>
        <v>5.27305083930015</v>
      </c>
      <c r="AD312" s="14" t="n">
        <f aca="false">G312</f>
        <v>50</v>
      </c>
      <c r="AE312" s="14" t="n">
        <f aca="false">J312</f>
        <v>6</v>
      </c>
      <c r="AF312" s="14" t="n">
        <f aca="false">IF($L312=2012,1,0)</f>
        <v>0</v>
      </c>
      <c r="AG312" s="14" t="n">
        <f aca="false">IF($L312=2013,1,0)</f>
        <v>0</v>
      </c>
      <c r="AH312" s="14" t="n">
        <f aca="false">IF($L312=2014,1,0)</f>
        <v>0</v>
      </c>
      <c r="AI312" s="14" t="n">
        <f aca="false">IF($L312=2015,1,0)</f>
        <v>0</v>
      </c>
      <c r="AJ312" s="14" t="n">
        <f aca="false">IF($L312=2016,1,0)</f>
        <v>1</v>
      </c>
      <c r="AK312" s="14" t="n">
        <f aca="false">IF($L312=2017,1,0)</f>
        <v>0</v>
      </c>
      <c r="AL312" s="14" t="n">
        <f aca="false">IF($H312="Beginner Level",1,0)</f>
        <v>0</v>
      </c>
      <c r="AM312" s="14" t="n">
        <f aca="false">IF($H312="Expert Level",1,0)</f>
        <v>0</v>
      </c>
      <c r="AN312" s="14" t="n">
        <f aca="false">IF($H312="Intermediate Level",1,0)</f>
        <v>0</v>
      </c>
    </row>
    <row r="313" customFormat="false" ht="46.25" hidden="false" customHeight="false" outlineLevel="0" collapsed="false">
      <c r="A313" s="14" t="n">
        <v>65492</v>
      </c>
      <c r="B313" s="14" t="s">
        <v>670</v>
      </c>
      <c r="C313" s="14" t="s">
        <v>671</v>
      </c>
      <c r="D313" s="14" t="n">
        <v>20</v>
      </c>
      <c r="E313" s="14" t="n">
        <v>6628</v>
      </c>
      <c r="F313" s="14" t="n">
        <v>53</v>
      </c>
      <c r="G313" s="14" t="n">
        <v>19</v>
      </c>
      <c r="H313" s="14" t="s">
        <v>52</v>
      </c>
      <c r="I313" s="14" t="n">
        <v>0.82</v>
      </c>
      <c r="J313" s="14" t="n">
        <v>1</v>
      </c>
      <c r="K313" s="14" t="s">
        <v>59</v>
      </c>
      <c r="L313" s="14" t="n">
        <v>2013</v>
      </c>
      <c r="M313" s="14" t="n">
        <v>8.79905837854645</v>
      </c>
      <c r="N313" s="14" t="n">
        <v>2.99623214859564</v>
      </c>
      <c r="P313" s="14" t="n">
        <f aca="false">D313</f>
        <v>20</v>
      </c>
      <c r="Q313" s="14" t="n">
        <f aca="false">G313</f>
        <v>19</v>
      </c>
      <c r="R313" s="14" t="n">
        <f aca="false">J313</f>
        <v>1</v>
      </c>
      <c r="S313" s="14" t="n">
        <f aca="false">IF($L313=2012,1,0)</f>
        <v>0</v>
      </c>
      <c r="T313" s="14" t="n">
        <f aca="false">IF($L313=2013,1,0)</f>
        <v>1</v>
      </c>
      <c r="U313" s="14" t="n">
        <f aca="false">IF($L313=2014,1,0)</f>
        <v>0</v>
      </c>
      <c r="V313" s="14" t="n">
        <f aca="false">IF($L313=2015,1,0)</f>
        <v>0</v>
      </c>
      <c r="W313" s="14" t="n">
        <f aca="false">IF($L313=2016,1,0)</f>
        <v>0</v>
      </c>
      <c r="X313" s="14" t="n">
        <f aca="false">IF($L313=2017,1,0)</f>
        <v>0</v>
      </c>
      <c r="Y313" s="14" t="n">
        <f aca="false">IF($H313="Beginner Level",1,0)</f>
        <v>1</v>
      </c>
      <c r="Z313" s="14" t="n">
        <f aca="false">IF($H313="Expert Level",1,0)</f>
        <v>0</v>
      </c>
      <c r="AA313" s="14" t="n">
        <f aca="false">IF($H313="Intermediate Level",1,0)</f>
        <v>0</v>
      </c>
      <c r="AC313" s="14" t="n">
        <f aca="false">N313</f>
        <v>2.99623214859564</v>
      </c>
      <c r="AD313" s="14" t="n">
        <f aca="false">G313</f>
        <v>19</v>
      </c>
      <c r="AE313" s="14" t="n">
        <f aca="false">J313</f>
        <v>1</v>
      </c>
      <c r="AF313" s="14" t="n">
        <f aca="false">IF($L313=2012,1,0)</f>
        <v>0</v>
      </c>
      <c r="AG313" s="14" t="n">
        <f aca="false">IF($L313=2013,1,0)</f>
        <v>1</v>
      </c>
      <c r="AH313" s="14" t="n">
        <f aca="false">IF($L313=2014,1,0)</f>
        <v>0</v>
      </c>
      <c r="AI313" s="14" t="n">
        <f aca="false">IF($L313=2015,1,0)</f>
        <v>0</v>
      </c>
      <c r="AJ313" s="14" t="n">
        <f aca="false">IF($L313=2016,1,0)</f>
        <v>0</v>
      </c>
      <c r="AK313" s="14" t="n">
        <f aca="false">IF($L313=2017,1,0)</f>
        <v>0</v>
      </c>
      <c r="AL313" s="14" t="n">
        <f aca="false">IF($H313="Beginner Level",1,0)</f>
        <v>1</v>
      </c>
      <c r="AM313" s="14" t="n">
        <f aca="false">IF($H313="Expert Level",1,0)</f>
        <v>0</v>
      </c>
      <c r="AN313" s="14" t="n">
        <f aca="false">IF($H313="Intermediate Level",1,0)</f>
        <v>0</v>
      </c>
    </row>
    <row r="314" customFormat="false" ht="79.85" hidden="false" customHeight="false" outlineLevel="0" collapsed="false">
      <c r="A314" s="14" t="n">
        <v>670034</v>
      </c>
      <c r="B314" s="14" t="s">
        <v>672</v>
      </c>
      <c r="C314" s="14" t="s">
        <v>673</v>
      </c>
      <c r="D314" s="14" t="n">
        <v>200</v>
      </c>
      <c r="E314" s="14" t="n">
        <v>6601</v>
      </c>
      <c r="F314" s="14" t="n">
        <v>1304</v>
      </c>
      <c r="G314" s="14" t="n">
        <v>26</v>
      </c>
      <c r="H314" s="14" t="s">
        <v>52</v>
      </c>
      <c r="I314" s="14" t="n">
        <v>0.15</v>
      </c>
      <c r="J314" s="14" t="n">
        <v>3.5</v>
      </c>
      <c r="K314" s="14" t="s">
        <v>59</v>
      </c>
      <c r="L314" s="14" t="n">
        <v>2015</v>
      </c>
      <c r="M314" s="14" t="n">
        <v>8.79497643168877</v>
      </c>
      <c r="N314" s="14" t="n">
        <v>5.29836736529808</v>
      </c>
      <c r="P314" s="14" t="n">
        <f aca="false">D314</f>
        <v>200</v>
      </c>
      <c r="Q314" s="14" t="n">
        <f aca="false">G314</f>
        <v>26</v>
      </c>
      <c r="R314" s="14" t="n">
        <f aca="false">J314</f>
        <v>3.5</v>
      </c>
      <c r="S314" s="14" t="n">
        <f aca="false">IF($L314=2012,1,0)</f>
        <v>0</v>
      </c>
      <c r="T314" s="14" t="n">
        <f aca="false">IF($L314=2013,1,0)</f>
        <v>0</v>
      </c>
      <c r="U314" s="14" t="n">
        <f aca="false">IF($L314=2014,1,0)</f>
        <v>0</v>
      </c>
      <c r="V314" s="14" t="n">
        <f aca="false">IF($L314=2015,1,0)</f>
        <v>1</v>
      </c>
      <c r="W314" s="14" t="n">
        <f aca="false">IF($L314=2016,1,0)</f>
        <v>0</v>
      </c>
      <c r="X314" s="14" t="n">
        <f aca="false">IF($L314=2017,1,0)</f>
        <v>0</v>
      </c>
      <c r="Y314" s="14" t="n">
        <f aca="false">IF($H314="Beginner Level",1,0)</f>
        <v>1</v>
      </c>
      <c r="Z314" s="14" t="n">
        <f aca="false">IF($H314="Expert Level",1,0)</f>
        <v>0</v>
      </c>
      <c r="AA314" s="14" t="n">
        <f aca="false">IF($H314="Intermediate Level",1,0)</f>
        <v>0</v>
      </c>
      <c r="AC314" s="14" t="n">
        <f aca="false">N314</f>
        <v>5.29836736529808</v>
      </c>
      <c r="AD314" s="14" t="n">
        <f aca="false">G314</f>
        <v>26</v>
      </c>
      <c r="AE314" s="14" t="n">
        <f aca="false">J314</f>
        <v>3.5</v>
      </c>
      <c r="AF314" s="14" t="n">
        <f aca="false">IF($L314=2012,1,0)</f>
        <v>0</v>
      </c>
      <c r="AG314" s="14" t="n">
        <f aca="false">IF($L314=2013,1,0)</f>
        <v>0</v>
      </c>
      <c r="AH314" s="14" t="n">
        <f aca="false">IF($L314=2014,1,0)</f>
        <v>0</v>
      </c>
      <c r="AI314" s="14" t="n">
        <f aca="false">IF($L314=2015,1,0)</f>
        <v>1</v>
      </c>
      <c r="AJ314" s="14" t="n">
        <f aca="false">IF($L314=2016,1,0)</f>
        <v>0</v>
      </c>
      <c r="AK314" s="14" t="n">
        <f aca="false">IF($L314=2017,1,0)</f>
        <v>0</v>
      </c>
      <c r="AL314" s="14" t="n">
        <f aca="false">IF($H314="Beginner Level",1,0)</f>
        <v>1</v>
      </c>
      <c r="AM314" s="14" t="n">
        <f aca="false">IF($H314="Expert Level",1,0)</f>
        <v>0</v>
      </c>
      <c r="AN314" s="14" t="n">
        <f aca="false">IF($H314="Intermediate Level",1,0)</f>
        <v>0</v>
      </c>
    </row>
    <row r="315" customFormat="false" ht="68.65" hidden="false" customHeight="false" outlineLevel="0" collapsed="false">
      <c r="A315" s="14" t="n">
        <v>242574</v>
      </c>
      <c r="B315" s="14" t="s">
        <v>674</v>
      </c>
      <c r="C315" s="14" t="s">
        <v>675</v>
      </c>
      <c r="D315" s="14" t="n">
        <v>20</v>
      </c>
      <c r="E315" s="14" t="n">
        <v>6588</v>
      </c>
      <c r="F315" s="14" t="n">
        <v>721</v>
      </c>
      <c r="G315" s="14" t="n">
        <v>36</v>
      </c>
      <c r="H315" s="14" t="s">
        <v>52</v>
      </c>
      <c r="I315" s="14" t="n">
        <v>0.43</v>
      </c>
      <c r="J315" s="14" t="n">
        <v>2</v>
      </c>
      <c r="K315" s="14" t="s">
        <v>59</v>
      </c>
      <c r="L315" s="14" t="n">
        <v>2014</v>
      </c>
      <c r="M315" s="14" t="n">
        <v>8.79300509129753</v>
      </c>
      <c r="N315" s="14" t="n">
        <v>2.99623214859564</v>
      </c>
      <c r="P315" s="14" t="n">
        <f aca="false">D315</f>
        <v>20</v>
      </c>
      <c r="Q315" s="14" t="n">
        <f aca="false">G315</f>
        <v>36</v>
      </c>
      <c r="R315" s="14" t="n">
        <f aca="false">J315</f>
        <v>2</v>
      </c>
      <c r="S315" s="14" t="n">
        <f aca="false">IF($L315=2012,1,0)</f>
        <v>0</v>
      </c>
      <c r="T315" s="14" t="n">
        <f aca="false">IF($L315=2013,1,0)</f>
        <v>0</v>
      </c>
      <c r="U315" s="14" t="n">
        <f aca="false">IF($L315=2014,1,0)</f>
        <v>1</v>
      </c>
      <c r="V315" s="14" t="n">
        <f aca="false">IF($L315=2015,1,0)</f>
        <v>0</v>
      </c>
      <c r="W315" s="14" t="n">
        <f aca="false">IF($L315=2016,1,0)</f>
        <v>0</v>
      </c>
      <c r="X315" s="14" t="n">
        <f aca="false">IF($L315=2017,1,0)</f>
        <v>0</v>
      </c>
      <c r="Y315" s="14" t="n">
        <f aca="false">IF($H315="Beginner Level",1,0)</f>
        <v>1</v>
      </c>
      <c r="Z315" s="14" t="n">
        <f aca="false">IF($H315="Expert Level",1,0)</f>
        <v>0</v>
      </c>
      <c r="AA315" s="14" t="n">
        <f aca="false">IF($H315="Intermediate Level",1,0)</f>
        <v>0</v>
      </c>
      <c r="AC315" s="14" t="n">
        <f aca="false">N315</f>
        <v>2.99623214859564</v>
      </c>
      <c r="AD315" s="14" t="n">
        <f aca="false">G315</f>
        <v>36</v>
      </c>
      <c r="AE315" s="14" t="n">
        <f aca="false">J315</f>
        <v>2</v>
      </c>
      <c r="AF315" s="14" t="n">
        <f aca="false">IF($L315=2012,1,0)</f>
        <v>0</v>
      </c>
      <c r="AG315" s="14" t="n">
        <f aca="false">IF($L315=2013,1,0)</f>
        <v>0</v>
      </c>
      <c r="AH315" s="14" t="n">
        <f aca="false">IF($L315=2014,1,0)</f>
        <v>1</v>
      </c>
      <c r="AI315" s="14" t="n">
        <f aca="false">IF($L315=2015,1,0)</f>
        <v>0</v>
      </c>
      <c r="AJ315" s="14" t="n">
        <f aca="false">IF($L315=2016,1,0)</f>
        <v>0</v>
      </c>
      <c r="AK315" s="14" t="n">
        <f aca="false">IF($L315=2017,1,0)</f>
        <v>0</v>
      </c>
      <c r="AL315" s="14" t="n">
        <f aca="false">IF($H315="Beginner Level",1,0)</f>
        <v>1</v>
      </c>
      <c r="AM315" s="14" t="n">
        <f aca="false">IF($H315="Expert Level",1,0)</f>
        <v>0</v>
      </c>
      <c r="AN315" s="14" t="n">
        <f aca="false">IF($H315="Intermediate Level",1,0)</f>
        <v>0</v>
      </c>
    </row>
    <row r="316" customFormat="false" ht="91" hidden="false" customHeight="false" outlineLevel="0" collapsed="false">
      <c r="A316" s="14" t="n">
        <v>1027812</v>
      </c>
      <c r="B316" s="14" t="s">
        <v>676</v>
      </c>
      <c r="C316" s="14" t="s">
        <v>677</v>
      </c>
      <c r="D316" s="14" t="n">
        <v>20</v>
      </c>
      <c r="E316" s="14" t="n">
        <v>6548</v>
      </c>
      <c r="F316" s="14" t="n">
        <v>44</v>
      </c>
      <c r="G316" s="14" t="n">
        <v>38</v>
      </c>
      <c r="H316" s="14" t="s">
        <v>62</v>
      </c>
      <c r="I316" s="14" t="n">
        <v>0.79</v>
      </c>
      <c r="J316" s="14" t="n">
        <v>4</v>
      </c>
      <c r="K316" s="14" t="s">
        <v>59</v>
      </c>
      <c r="L316" s="14" t="n">
        <v>2016</v>
      </c>
      <c r="M316" s="14" t="n">
        <v>8.78691493849103</v>
      </c>
      <c r="N316" s="14" t="n">
        <v>2.99623214859564</v>
      </c>
      <c r="P316" s="14" t="n">
        <f aca="false">D316</f>
        <v>20</v>
      </c>
      <c r="Q316" s="14" t="n">
        <f aca="false">G316</f>
        <v>38</v>
      </c>
      <c r="R316" s="14" t="n">
        <f aca="false">J316</f>
        <v>4</v>
      </c>
      <c r="S316" s="14" t="n">
        <f aca="false">IF($L316=2012,1,0)</f>
        <v>0</v>
      </c>
      <c r="T316" s="14" t="n">
        <f aca="false">IF($L316=2013,1,0)</f>
        <v>0</v>
      </c>
      <c r="U316" s="14" t="n">
        <f aca="false">IF($L316=2014,1,0)</f>
        <v>0</v>
      </c>
      <c r="V316" s="14" t="n">
        <f aca="false">IF($L316=2015,1,0)</f>
        <v>0</v>
      </c>
      <c r="W316" s="14" t="n">
        <f aca="false">IF($L316=2016,1,0)</f>
        <v>1</v>
      </c>
      <c r="X316" s="14" t="n">
        <f aca="false">IF($L316=2017,1,0)</f>
        <v>0</v>
      </c>
      <c r="Y316" s="14" t="n">
        <f aca="false">IF($H316="Beginner Level",1,0)</f>
        <v>0</v>
      </c>
      <c r="Z316" s="14" t="n">
        <f aca="false">IF($H316="Expert Level",1,0)</f>
        <v>0</v>
      </c>
      <c r="AA316" s="14" t="n">
        <f aca="false">IF($H316="Intermediate Level",1,0)</f>
        <v>0</v>
      </c>
      <c r="AC316" s="14" t="n">
        <f aca="false">N316</f>
        <v>2.99623214859564</v>
      </c>
      <c r="AD316" s="14" t="n">
        <f aca="false">G316</f>
        <v>38</v>
      </c>
      <c r="AE316" s="14" t="n">
        <f aca="false">J316</f>
        <v>4</v>
      </c>
      <c r="AF316" s="14" t="n">
        <f aca="false">IF($L316=2012,1,0)</f>
        <v>0</v>
      </c>
      <c r="AG316" s="14" t="n">
        <f aca="false">IF($L316=2013,1,0)</f>
        <v>0</v>
      </c>
      <c r="AH316" s="14" t="n">
        <f aca="false">IF($L316=2014,1,0)</f>
        <v>0</v>
      </c>
      <c r="AI316" s="14" t="n">
        <f aca="false">IF($L316=2015,1,0)</f>
        <v>0</v>
      </c>
      <c r="AJ316" s="14" t="n">
        <f aca="false">IF($L316=2016,1,0)</f>
        <v>1</v>
      </c>
      <c r="AK316" s="14" t="n">
        <f aca="false">IF($L316=2017,1,0)</f>
        <v>0</v>
      </c>
      <c r="AL316" s="14" t="n">
        <f aca="false">IF($H316="Beginner Level",1,0)</f>
        <v>0</v>
      </c>
      <c r="AM316" s="14" t="n">
        <f aca="false">IF($H316="Expert Level",1,0)</f>
        <v>0</v>
      </c>
      <c r="AN316" s="14" t="n">
        <f aca="false">IF($H316="Intermediate Level",1,0)</f>
        <v>0</v>
      </c>
    </row>
    <row r="317" customFormat="false" ht="46.25" hidden="false" customHeight="false" outlineLevel="0" collapsed="false">
      <c r="A317" s="14" t="n">
        <v>832862</v>
      </c>
      <c r="B317" s="14" t="s">
        <v>678</v>
      </c>
      <c r="C317" s="14" t="s">
        <v>679</v>
      </c>
      <c r="D317" s="14" t="n">
        <v>140</v>
      </c>
      <c r="E317" s="14" t="n">
        <v>6527</v>
      </c>
      <c r="F317" s="14" t="n">
        <v>1384</v>
      </c>
      <c r="G317" s="14" t="n">
        <v>111</v>
      </c>
      <c r="H317" s="14" t="s">
        <v>62</v>
      </c>
      <c r="I317" s="14" t="n">
        <v>0.24</v>
      </c>
      <c r="J317" s="14" t="n">
        <v>9</v>
      </c>
      <c r="K317" s="14" t="s">
        <v>59</v>
      </c>
      <c r="L317" s="14" t="n">
        <v>2016</v>
      </c>
      <c r="M317" s="14" t="n">
        <v>8.78370269863522</v>
      </c>
      <c r="N317" s="14" t="n">
        <v>4.94171384862983</v>
      </c>
      <c r="P317" s="14" t="n">
        <f aca="false">D317</f>
        <v>140</v>
      </c>
      <c r="Q317" s="14" t="n">
        <f aca="false">G317</f>
        <v>111</v>
      </c>
      <c r="R317" s="14" t="n">
        <f aca="false">J317</f>
        <v>9</v>
      </c>
      <c r="S317" s="14" t="n">
        <f aca="false">IF($L317=2012,1,0)</f>
        <v>0</v>
      </c>
      <c r="T317" s="14" t="n">
        <f aca="false">IF($L317=2013,1,0)</f>
        <v>0</v>
      </c>
      <c r="U317" s="14" t="n">
        <f aca="false">IF($L317=2014,1,0)</f>
        <v>0</v>
      </c>
      <c r="V317" s="14" t="n">
        <f aca="false">IF($L317=2015,1,0)</f>
        <v>0</v>
      </c>
      <c r="W317" s="14" t="n">
        <f aca="false">IF($L317=2016,1,0)</f>
        <v>1</v>
      </c>
      <c r="X317" s="14" t="n">
        <f aca="false">IF($L317=2017,1,0)</f>
        <v>0</v>
      </c>
      <c r="Y317" s="14" t="n">
        <f aca="false">IF($H317="Beginner Level",1,0)</f>
        <v>0</v>
      </c>
      <c r="Z317" s="14" t="n">
        <f aca="false">IF($H317="Expert Level",1,0)</f>
        <v>0</v>
      </c>
      <c r="AA317" s="14" t="n">
        <f aca="false">IF($H317="Intermediate Level",1,0)</f>
        <v>0</v>
      </c>
      <c r="AC317" s="14" t="n">
        <f aca="false">N317</f>
        <v>4.94171384862983</v>
      </c>
      <c r="AD317" s="14" t="n">
        <f aca="false">G317</f>
        <v>111</v>
      </c>
      <c r="AE317" s="14" t="n">
        <f aca="false">J317</f>
        <v>9</v>
      </c>
      <c r="AF317" s="14" t="n">
        <f aca="false">IF($L317=2012,1,0)</f>
        <v>0</v>
      </c>
      <c r="AG317" s="14" t="n">
        <f aca="false">IF($L317=2013,1,0)</f>
        <v>0</v>
      </c>
      <c r="AH317" s="14" t="n">
        <f aca="false">IF($L317=2014,1,0)</f>
        <v>0</v>
      </c>
      <c r="AI317" s="14" t="n">
        <f aca="false">IF($L317=2015,1,0)</f>
        <v>0</v>
      </c>
      <c r="AJ317" s="14" t="n">
        <f aca="false">IF($L317=2016,1,0)</f>
        <v>1</v>
      </c>
      <c r="AK317" s="14" t="n">
        <f aca="false">IF($L317=2017,1,0)</f>
        <v>0</v>
      </c>
      <c r="AL317" s="14" t="n">
        <f aca="false">IF($H317="Beginner Level",1,0)</f>
        <v>0</v>
      </c>
      <c r="AM317" s="14" t="n">
        <f aca="false">IF($H317="Expert Level",1,0)</f>
        <v>0</v>
      </c>
      <c r="AN317" s="14" t="n">
        <f aca="false">IF($H317="Intermediate Level",1,0)</f>
        <v>0</v>
      </c>
    </row>
    <row r="318" customFormat="false" ht="68.65" hidden="false" customHeight="false" outlineLevel="0" collapsed="false">
      <c r="A318" s="14" t="n">
        <v>565282</v>
      </c>
      <c r="B318" s="14" t="s">
        <v>680</v>
      </c>
      <c r="C318" s="14" t="s">
        <v>681</v>
      </c>
      <c r="D318" s="14" t="n">
        <v>195</v>
      </c>
      <c r="E318" s="14" t="n">
        <v>6510</v>
      </c>
      <c r="F318" s="14" t="n">
        <v>45</v>
      </c>
      <c r="G318" s="14" t="n">
        <v>22</v>
      </c>
      <c r="H318" s="14" t="s">
        <v>62</v>
      </c>
      <c r="I318" s="14" t="n">
        <v>0.27</v>
      </c>
      <c r="J318" s="14" t="n">
        <v>2</v>
      </c>
      <c r="K318" s="14" t="s">
        <v>59</v>
      </c>
      <c r="L318" s="14" t="n">
        <v>2015</v>
      </c>
      <c r="M318" s="14" t="n">
        <v>8.78109473520262</v>
      </c>
      <c r="N318" s="14" t="n">
        <v>5.27305083930015</v>
      </c>
      <c r="P318" s="14" t="n">
        <f aca="false">D318</f>
        <v>195</v>
      </c>
      <c r="Q318" s="14" t="n">
        <f aca="false">G318</f>
        <v>22</v>
      </c>
      <c r="R318" s="14" t="n">
        <f aca="false">J318</f>
        <v>2</v>
      </c>
      <c r="S318" s="14" t="n">
        <f aca="false">IF($L318=2012,1,0)</f>
        <v>0</v>
      </c>
      <c r="T318" s="14" t="n">
        <f aca="false">IF($L318=2013,1,0)</f>
        <v>0</v>
      </c>
      <c r="U318" s="14" t="n">
        <f aca="false">IF($L318=2014,1,0)</f>
        <v>0</v>
      </c>
      <c r="V318" s="14" t="n">
        <f aca="false">IF($L318=2015,1,0)</f>
        <v>1</v>
      </c>
      <c r="W318" s="14" t="n">
        <f aca="false">IF($L318=2016,1,0)</f>
        <v>0</v>
      </c>
      <c r="X318" s="14" t="n">
        <f aca="false">IF($L318=2017,1,0)</f>
        <v>0</v>
      </c>
      <c r="Y318" s="14" t="n">
        <f aca="false">IF($H318="Beginner Level",1,0)</f>
        <v>0</v>
      </c>
      <c r="Z318" s="14" t="n">
        <f aca="false">IF($H318="Expert Level",1,0)</f>
        <v>0</v>
      </c>
      <c r="AA318" s="14" t="n">
        <f aca="false">IF($H318="Intermediate Level",1,0)</f>
        <v>0</v>
      </c>
      <c r="AC318" s="14" t="n">
        <f aca="false">N318</f>
        <v>5.27305083930015</v>
      </c>
      <c r="AD318" s="14" t="n">
        <f aca="false">G318</f>
        <v>22</v>
      </c>
      <c r="AE318" s="14" t="n">
        <f aca="false">J318</f>
        <v>2</v>
      </c>
      <c r="AF318" s="14" t="n">
        <f aca="false">IF($L318=2012,1,0)</f>
        <v>0</v>
      </c>
      <c r="AG318" s="14" t="n">
        <f aca="false">IF($L318=2013,1,0)</f>
        <v>0</v>
      </c>
      <c r="AH318" s="14" t="n">
        <f aca="false">IF($L318=2014,1,0)</f>
        <v>0</v>
      </c>
      <c r="AI318" s="14" t="n">
        <f aca="false">IF($L318=2015,1,0)</f>
        <v>1</v>
      </c>
      <c r="AJ318" s="14" t="n">
        <f aca="false">IF($L318=2016,1,0)</f>
        <v>0</v>
      </c>
      <c r="AK318" s="14" t="n">
        <f aca="false">IF($L318=2017,1,0)</f>
        <v>0</v>
      </c>
      <c r="AL318" s="14" t="n">
        <f aca="false">IF($H318="Beginner Level",1,0)</f>
        <v>0</v>
      </c>
      <c r="AM318" s="14" t="n">
        <f aca="false">IF($H318="Expert Level",1,0)</f>
        <v>0</v>
      </c>
      <c r="AN318" s="14" t="n">
        <f aca="false">IF($H318="Intermediate Level",1,0)</f>
        <v>0</v>
      </c>
    </row>
    <row r="319" customFormat="false" ht="79.85" hidden="false" customHeight="false" outlineLevel="0" collapsed="false">
      <c r="A319" s="14" t="n">
        <v>611308</v>
      </c>
      <c r="B319" s="14" t="s">
        <v>682</v>
      </c>
      <c r="C319" s="14" t="s">
        <v>683</v>
      </c>
      <c r="D319" s="14" t="n">
        <v>200</v>
      </c>
      <c r="E319" s="14" t="n">
        <v>6508</v>
      </c>
      <c r="F319" s="14" t="n">
        <v>137</v>
      </c>
      <c r="G319" s="14" t="n">
        <v>90</v>
      </c>
      <c r="H319" s="14" t="s">
        <v>52</v>
      </c>
      <c r="I319" s="14" t="n">
        <v>0.87</v>
      </c>
      <c r="J319" s="14" t="n">
        <v>6.5</v>
      </c>
      <c r="K319" s="14" t="s">
        <v>59</v>
      </c>
      <c r="L319" s="14" t="n">
        <v>2015</v>
      </c>
      <c r="M319" s="14" t="n">
        <v>8.78078746833893</v>
      </c>
      <c r="N319" s="14" t="n">
        <v>5.29836736529808</v>
      </c>
      <c r="P319" s="14" t="n">
        <f aca="false">D319</f>
        <v>200</v>
      </c>
      <c r="Q319" s="14" t="n">
        <f aca="false">G319</f>
        <v>90</v>
      </c>
      <c r="R319" s="14" t="n">
        <f aca="false">J319</f>
        <v>6.5</v>
      </c>
      <c r="S319" s="14" t="n">
        <f aca="false">IF($L319=2012,1,0)</f>
        <v>0</v>
      </c>
      <c r="T319" s="14" t="n">
        <f aca="false">IF($L319=2013,1,0)</f>
        <v>0</v>
      </c>
      <c r="U319" s="14" t="n">
        <f aca="false">IF($L319=2014,1,0)</f>
        <v>0</v>
      </c>
      <c r="V319" s="14" t="n">
        <f aca="false">IF($L319=2015,1,0)</f>
        <v>1</v>
      </c>
      <c r="W319" s="14" t="n">
        <f aca="false">IF($L319=2016,1,0)</f>
        <v>0</v>
      </c>
      <c r="X319" s="14" t="n">
        <f aca="false">IF($L319=2017,1,0)</f>
        <v>0</v>
      </c>
      <c r="Y319" s="14" t="n">
        <f aca="false">IF($H319="Beginner Level",1,0)</f>
        <v>1</v>
      </c>
      <c r="Z319" s="14" t="n">
        <f aca="false">IF($H319="Expert Level",1,0)</f>
        <v>0</v>
      </c>
      <c r="AA319" s="14" t="n">
        <f aca="false">IF($H319="Intermediate Level",1,0)</f>
        <v>0</v>
      </c>
      <c r="AC319" s="14" t="n">
        <f aca="false">N319</f>
        <v>5.29836736529808</v>
      </c>
      <c r="AD319" s="14" t="n">
        <f aca="false">G319</f>
        <v>90</v>
      </c>
      <c r="AE319" s="14" t="n">
        <f aca="false">J319</f>
        <v>6.5</v>
      </c>
      <c r="AF319" s="14" t="n">
        <f aca="false">IF($L319=2012,1,0)</f>
        <v>0</v>
      </c>
      <c r="AG319" s="14" t="n">
        <f aca="false">IF($L319=2013,1,0)</f>
        <v>0</v>
      </c>
      <c r="AH319" s="14" t="n">
        <f aca="false">IF($L319=2014,1,0)</f>
        <v>0</v>
      </c>
      <c r="AI319" s="14" t="n">
        <f aca="false">IF($L319=2015,1,0)</f>
        <v>1</v>
      </c>
      <c r="AJ319" s="14" t="n">
        <f aca="false">IF($L319=2016,1,0)</f>
        <v>0</v>
      </c>
      <c r="AK319" s="14" t="n">
        <f aca="false">IF($L319=2017,1,0)</f>
        <v>0</v>
      </c>
      <c r="AL319" s="14" t="n">
        <f aca="false">IF($H319="Beginner Level",1,0)</f>
        <v>1</v>
      </c>
      <c r="AM319" s="14" t="n">
        <f aca="false">IF($H319="Expert Level",1,0)</f>
        <v>0</v>
      </c>
      <c r="AN319" s="14" t="n">
        <f aca="false">IF($H319="Intermediate Level",1,0)</f>
        <v>0</v>
      </c>
    </row>
    <row r="320" customFormat="false" ht="91" hidden="false" customHeight="false" outlineLevel="0" collapsed="false">
      <c r="A320" s="14" t="n">
        <v>473548</v>
      </c>
      <c r="B320" s="14" t="s">
        <v>684</v>
      </c>
      <c r="C320" s="14" t="s">
        <v>685</v>
      </c>
      <c r="D320" s="14" t="n">
        <v>200</v>
      </c>
      <c r="E320" s="14" t="n">
        <v>6497</v>
      </c>
      <c r="F320" s="14" t="n">
        <v>901</v>
      </c>
      <c r="G320" s="14" t="n">
        <v>221</v>
      </c>
      <c r="H320" s="14" t="s">
        <v>71</v>
      </c>
      <c r="I320" s="14" t="n">
        <v>0.11</v>
      </c>
      <c r="J320" s="14" t="n">
        <v>18</v>
      </c>
      <c r="K320" s="14" t="s">
        <v>59</v>
      </c>
      <c r="L320" s="14" t="n">
        <v>2015</v>
      </c>
      <c r="M320" s="14" t="n">
        <v>8.77909581088053</v>
      </c>
      <c r="N320" s="14" t="n">
        <v>5.29836736529808</v>
      </c>
      <c r="P320" s="14" t="n">
        <f aca="false">D320</f>
        <v>200</v>
      </c>
      <c r="Q320" s="14" t="n">
        <f aca="false">G320</f>
        <v>221</v>
      </c>
      <c r="R320" s="14" t="n">
        <f aca="false">J320</f>
        <v>18</v>
      </c>
      <c r="S320" s="14" t="n">
        <f aca="false">IF($L320=2012,1,0)</f>
        <v>0</v>
      </c>
      <c r="T320" s="14" t="n">
        <f aca="false">IF($L320=2013,1,0)</f>
        <v>0</v>
      </c>
      <c r="U320" s="14" t="n">
        <f aca="false">IF($L320=2014,1,0)</f>
        <v>0</v>
      </c>
      <c r="V320" s="14" t="n">
        <f aca="false">IF($L320=2015,1,0)</f>
        <v>1</v>
      </c>
      <c r="W320" s="14" t="n">
        <f aca="false">IF($L320=2016,1,0)</f>
        <v>0</v>
      </c>
      <c r="X320" s="14" t="n">
        <f aca="false">IF($L320=2017,1,0)</f>
        <v>0</v>
      </c>
      <c r="Y320" s="14" t="n">
        <f aca="false">IF($H320="Beginner Level",1,0)</f>
        <v>0</v>
      </c>
      <c r="Z320" s="14" t="n">
        <f aca="false">IF($H320="Expert Level",1,0)</f>
        <v>0</v>
      </c>
      <c r="AA320" s="14" t="n">
        <f aca="false">IF($H320="Intermediate Level",1,0)</f>
        <v>1</v>
      </c>
      <c r="AC320" s="14" t="n">
        <f aca="false">N320</f>
        <v>5.29836736529808</v>
      </c>
      <c r="AD320" s="14" t="n">
        <f aca="false">G320</f>
        <v>221</v>
      </c>
      <c r="AE320" s="14" t="n">
        <f aca="false">J320</f>
        <v>18</v>
      </c>
      <c r="AF320" s="14" t="n">
        <f aca="false">IF($L320=2012,1,0)</f>
        <v>0</v>
      </c>
      <c r="AG320" s="14" t="n">
        <f aca="false">IF($L320=2013,1,0)</f>
        <v>0</v>
      </c>
      <c r="AH320" s="14" t="n">
        <f aca="false">IF($L320=2014,1,0)</f>
        <v>0</v>
      </c>
      <c r="AI320" s="14" t="n">
        <f aca="false">IF($L320=2015,1,0)</f>
        <v>1</v>
      </c>
      <c r="AJ320" s="14" t="n">
        <f aca="false">IF($L320=2016,1,0)</f>
        <v>0</v>
      </c>
      <c r="AK320" s="14" t="n">
        <f aca="false">IF($L320=2017,1,0)</f>
        <v>0</v>
      </c>
      <c r="AL320" s="14" t="n">
        <f aca="false">IF($H320="Beginner Level",1,0)</f>
        <v>0</v>
      </c>
      <c r="AM320" s="14" t="n">
        <f aca="false">IF($H320="Expert Level",1,0)</f>
        <v>0</v>
      </c>
      <c r="AN320" s="14" t="n">
        <f aca="false">IF($H320="Intermediate Level",1,0)</f>
        <v>1</v>
      </c>
    </row>
    <row r="321" customFormat="false" ht="57.45" hidden="false" customHeight="false" outlineLevel="0" collapsed="false">
      <c r="A321" s="14" t="n">
        <v>552598</v>
      </c>
      <c r="B321" s="14" t="s">
        <v>686</v>
      </c>
      <c r="C321" s="14" t="s">
        <v>687</v>
      </c>
      <c r="D321" s="14" t="n">
        <v>0</v>
      </c>
      <c r="E321" s="14" t="n">
        <v>6474</v>
      </c>
      <c r="F321" s="14" t="n">
        <v>86</v>
      </c>
      <c r="G321" s="14" t="n">
        <v>15</v>
      </c>
      <c r="H321" s="14" t="s">
        <v>52</v>
      </c>
      <c r="I321" s="14" t="n">
        <v>0.05</v>
      </c>
      <c r="J321" s="14" t="n">
        <v>1</v>
      </c>
      <c r="K321" s="14" t="s">
        <v>53</v>
      </c>
      <c r="L321" s="14" t="n">
        <v>2015</v>
      </c>
      <c r="M321" s="14" t="n">
        <v>8.77554943448619</v>
      </c>
      <c r="N321" s="14" t="n">
        <v>-4.60517018598809</v>
      </c>
      <c r="P321" s="14" t="n">
        <f aca="false">D321</f>
        <v>0</v>
      </c>
      <c r="Q321" s="14" t="n">
        <f aca="false">G321</f>
        <v>15</v>
      </c>
      <c r="R321" s="14" t="n">
        <f aca="false">J321</f>
        <v>1</v>
      </c>
      <c r="S321" s="14" t="n">
        <f aca="false">IF($L321=2012,1,0)</f>
        <v>0</v>
      </c>
      <c r="T321" s="14" t="n">
        <f aca="false">IF($L321=2013,1,0)</f>
        <v>0</v>
      </c>
      <c r="U321" s="14" t="n">
        <f aca="false">IF($L321=2014,1,0)</f>
        <v>0</v>
      </c>
      <c r="V321" s="14" t="n">
        <f aca="false">IF($L321=2015,1,0)</f>
        <v>1</v>
      </c>
      <c r="W321" s="14" t="n">
        <f aca="false">IF($L321=2016,1,0)</f>
        <v>0</v>
      </c>
      <c r="X321" s="14" t="n">
        <f aca="false">IF($L321=2017,1,0)</f>
        <v>0</v>
      </c>
      <c r="Y321" s="14" t="n">
        <f aca="false">IF($H321="Beginner Level",1,0)</f>
        <v>1</v>
      </c>
      <c r="Z321" s="14" t="n">
        <f aca="false">IF($H321="Expert Level",1,0)</f>
        <v>0</v>
      </c>
      <c r="AA321" s="14" t="n">
        <f aca="false">IF($H321="Intermediate Level",1,0)</f>
        <v>0</v>
      </c>
      <c r="AC321" s="14" t="n">
        <f aca="false">N321</f>
        <v>-4.60517018598809</v>
      </c>
      <c r="AD321" s="14" t="n">
        <f aca="false">G321</f>
        <v>15</v>
      </c>
      <c r="AE321" s="14" t="n">
        <f aca="false">J321</f>
        <v>1</v>
      </c>
      <c r="AF321" s="14" t="n">
        <f aca="false">IF($L321=2012,1,0)</f>
        <v>0</v>
      </c>
      <c r="AG321" s="14" t="n">
        <f aca="false">IF($L321=2013,1,0)</f>
        <v>0</v>
      </c>
      <c r="AH321" s="14" t="n">
        <f aca="false">IF($L321=2014,1,0)</f>
        <v>0</v>
      </c>
      <c r="AI321" s="14" t="n">
        <f aca="false">IF($L321=2015,1,0)</f>
        <v>1</v>
      </c>
      <c r="AJ321" s="14" t="n">
        <f aca="false">IF($L321=2016,1,0)</f>
        <v>0</v>
      </c>
      <c r="AK321" s="14" t="n">
        <f aca="false">IF($L321=2017,1,0)</f>
        <v>0</v>
      </c>
      <c r="AL321" s="14" t="n">
        <f aca="false">IF($H321="Beginner Level",1,0)</f>
        <v>1</v>
      </c>
      <c r="AM321" s="14" t="n">
        <f aca="false">IF($H321="Expert Level",1,0)</f>
        <v>0</v>
      </c>
      <c r="AN321" s="14" t="n">
        <f aca="false">IF($H321="Intermediate Level",1,0)</f>
        <v>0</v>
      </c>
    </row>
    <row r="322" customFormat="false" ht="79.85" hidden="false" customHeight="false" outlineLevel="0" collapsed="false">
      <c r="A322" s="14" t="n">
        <v>1161118</v>
      </c>
      <c r="B322" s="14" t="s">
        <v>688</v>
      </c>
      <c r="C322" s="14" t="s">
        <v>689</v>
      </c>
      <c r="D322" s="14" t="n">
        <v>0</v>
      </c>
      <c r="E322" s="14" t="n">
        <v>6437</v>
      </c>
      <c r="F322" s="14" t="n">
        <v>313</v>
      </c>
      <c r="G322" s="14" t="n">
        <v>22</v>
      </c>
      <c r="H322" s="14" t="s">
        <v>62</v>
      </c>
      <c r="I322" s="14" t="n">
        <v>0.34</v>
      </c>
      <c r="J322" s="14" t="n">
        <v>1.5</v>
      </c>
      <c r="K322" s="14" t="s">
        <v>53</v>
      </c>
      <c r="L322" s="14" t="n">
        <v>2017</v>
      </c>
      <c r="M322" s="14" t="n">
        <v>8.76981787205262</v>
      </c>
      <c r="N322" s="14" t="n">
        <v>-4.60517018598809</v>
      </c>
      <c r="P322" s="14" t="n">
        <f aca="false">D322</f>
        <v>0</v>
      </c>
      <c r="Q322" s="14" t="n">
        <f aca="false">G322</f>
        <v>22</v>
      </c>
      <c r="R322" s="14" t="n">
        <f aca="false">J322</f>
        <v>1.5</v>
      </c>
      <c r="S322" s="14" t="n">
        <f aca="false">IF($L322=2012,1,0)</f>
        <v>0</v>
      </c>
      <c r="T322" s="14" t="n">
        <f aca="false">IF($L322=2013,1,0)</f>
        <v>0</v>
      </c>
      <c r="U322" s="14" t="n">
        <f aca="false">IF($L322=2014,1,0)</f>
        <v>0</v>
      </c>
      <c r="V322" s="14" t="n">
        <f aca="false">IF($L322=2015,1,0)</f>
        <v>0</v>
      </c>
      <c r="W322" s="14" t="n">
        <f aca="false">IF($L322=2016,1,0)</f>
        <v>0</v>
      </c>
      <c r="X322" s="14" t="n">
        <f aca="false">IF($L322=2017,1,0)</f>
        <v>1</v>
      </c>
      <c r="Y322" s="14" t="n">
        <f aca="false">IF($H322="Beginner Level",1,0)</f>
        <v>0</v>
      </c>
      <c r="Z322" s="14" t="n">
        <f aca="false">IF($H322="Expert Level",1,0)</f>
        <v>0</v>
      </c>
      <c r="AA322" s="14" t="n">
        <f aca="false">IF($H322="Intermediate Level",1,0)</f>
        <v>0</v>
      </c>
      <c r="AC322" s="14" t="n">
        <f aca="false">N322</f>
        <v>-4.60517018598809</v>
      </c>
      <c r="AD322" s="14" t="n">
        <f aca="false">G322</f>
        <v>22</v>
      </c>
      <c r="AE322" s="14" t="n">
        <f aca="false">J322</f>
        <v>1.5</v>
      </c>
      <c r="AF322" s="14" t="n">
        <f aca="false">IF($L322=2012,1,0)</f>
        <v>0</v>
      </c>
      <c r="AG322" s="14" t="n">
        <f aca="false">IF($L322=2013,1,0)</f>
        <v>0</v>
      </c>
      <c r="AH322" s="14" t="n">
        <f aca="false">IF($L322=2014,1,0)</f>
        <v>0</v>
      </c>
      <c r="AI322" s="14" t="n">
        <f aca="false">IF($L322=2015,1,0)</f>
        <v>0</v>
      </c>
      <c r="AJ322" s="14" t="n">
        <f aca="false">IF($L322=2016,1,0)</f>
        <v>0</v>
      </c>
      <c r="AK322" s="14" t="n">
        <f aca="false">IF($L322=2017,1,0)</f>
        <v>1</v>
      </c>
      <c r="AL322" s="14" t="n">
        <f aca="false">IF($H322="Beginner Level",1,0)</f>
        <v>0</v>
      </c>
      <c r="AM322" s="14" t="n">
        <f aca="false">IF($H322="Expert Level",1,0)</f>
        <v>0</v>
      </c>
      <c r="AN322" s="14" t="n">
        <f aca="false">IF($H322="Intermediate Level",1,0)</f>
        <v>0</v>
      </c>
    </row>
    <row r="323" customFormat="false" ht="91" hidden="false" customHeight="false" outlineLevel="0" collapsed="false">
      <c r="A323" s="14" t="n">
        <v>877124</v>
      </c>
      <c r="B323" s="14" t="s">
        <v>690</v>
      </c>
      <c r="C323" s="14" t="s">
        <v>691</v>
      </c>
      <c r="D323" s="14" t="n">
        <v>200</v>
      </c>
      <c r="E323" s="14" t="n">
        <v>6420</v>
      </c>
      <c r="F323" s="14" t="n">
        <v>134</v>
      </c>
      <c r="G323" s="14" t="n">
        <v>188</v>
      </c>
      <c r="H323" s="14" t="s">
        <v>62</v>
      </c>
      <c r="I323" s="14" t="n">
        <v>0.75</v>
      </c>
      <c r="J323" s="14" t="n">
        <v>22.5</v>
      </c>
      <c r="K323" s="14" t="s">
        <v>59</v>
      </c>
      <c r="L323" s="14" t="n">
        <v>2016</v>
      </c>
      <c r="M323" s="14" t="n">
        <v>8.76717339668401</v>
      </c>
      <c r="N323" s="14" t="n">
        <v>5.29836736529808</v>
      </c>
      <c r="P323" s="14" t="n">
        <f aca="false">D323</f>
        <v>200</v>
      </c>
      <c r="Q323" s="14" t="n">
        <f aca="false">G323</f>
        <v>188</v>
      </c>
      <c r="R323" s="14" t="n">
        <f aca="false">J323</f>
        <v>22.5</v>
      </c>
      <c r="S323" s="14" t="n">
        <f aca="false">IF($L323=2012,1,0)</f>
        <v>0</v>
      </c>
      <c r="T323" s="14" t="n">
        <f aca="false">IF($L323=2013,1,0)</f>
        <v>0</v>
      </c>
      <c r="U323" s="14" t="n">
        <f aca="false">IF($L323=2014,1,0)</f>
        <v>0</v>
      </c>
      <c r="V323" s="14" t="n">
        <f aca="false">IF($L323=2015,1,0)</f>
        <v>0</v>
      </c>
      <c r="W323" s="14" t="n">
        <f aca="false">IF($L323=2016,1,0)</f>
        <v>1</v>
      </c>
      <c r="X323" s="14" t="n">
        <f aca="false">IF($L323=2017,1,0)</f>
        <v>0</v>
      </c>
      <c r="Y323" s="14" t="n">
        <f aca="false">IF($H323="Beginner Level",1,0)</f>
        <v>0</v>
      </c>
      <c r="Z323" s="14" t="n">
        <f aca="false">IF($H323="Expert Level",1,0)</f>
        <v>0</v>
      </c>
      <c r="AA323" s="14" t="n">
        <f aca="false">IF($H323="Intermediate Level",1,0)</f>
        <v>0</v>
      </c>
      <c r="AC323" s="14" t="n">
        <f aca="false">N323</f>
        <v>5.29836736529808</v>
      </c>
      <c r="AD323" s="14" t="n">
        <f aca="false">G323</f>
        <v>188</v>
      </c>
      <c r="AE323" s="14" t="n">
        <f aca="false">J323</f>
        <v>22.5</v>
      </c>
      <c r="AF323" s="14" t="n">
        <f aca="false">IF($L323=2012,1,0)</f>
        <v>0</v>
      </c>
      <c r="AG323" s="14" t="n">
        <f aca="false">IF($L323=2013,1,0)</f>
        <v>0</v>
      </c>
      <c r="AH323" s="14" t="n">
        <f aca="false">IF($L323=2014,1,0)</f>
        <v>0</v>
      </c>
      <c r="AI323" s="14" t="n">
        <f aca="false">IF($L323=2015,1,0)</f>
        <v>0</v>
      </c>
      <c r="AJ323" s="14" t="n">
        <f aca="false">IF($L323=2016,1,0)</f>
        <v>1</v>
      </c>
      <c r="AK323" s="14" t="n">
        <f aca="false">IF($L323=2017,1,0)</f>
        <v>0</v>
      </c>
      <c r="AL323" s="14" t="n">
        <f aca="false">IF($H323="Beginner Level",1,0)</f>
        <v>0</v>
      </c>
      <c r="AM323" s="14" t="n">
        <f aca="false">IF($H323="Expert Level",1,0)</f>
        <v>0</v>
      </c>
      <c r="AN323" s="14" t="n">
        <f aca="false">IF($H323="Intermediate Level",1,0)</f>
        <v>0</v>
      </c>
    </row>
    <row r="324" customFormat="false" ht="79.85" hidden="false" customHeight="false" outlineLevel="0" collapsed="false">
      <c r="A324" s="14" t="n">
        <v>389240</v>
      </c>
      <c r="B324" s="14" t="s">
        <v>692</v>
      </c>
      <c r="C324" s="14" t="s">
        <v>693</v>
      </c>
      <c r="D324" s="14" t="n">
        <v>30</v>
      </c>
      <c r="E324" s="14" t="n">
        <v>6413</v>
      </c>
      <c r="F324" s="14" t="n">
        <v>107</v>
      </c>
      <c r="G324" s="14" t="n">
        <v>123</v>
      </c>
      <c r="H324" s="14" t="s">
        <v>62</v>
      </c>
      <c r="I324" s="14" t="n">
        <v>0.31</v>
      </c>
      <c r="J324" s="14" t="n">
        <v>9</v>
      </c>
      <c r="K324" s="14" t="s">
        <v>59</v>
      </c>
      <c r="L324" s="14" t="n">
        <v>2015</v>
      </c>
      <c r="M324" s="14" t="n">
        <v>8.76608245914886</v>
      </c>
      <c r="N324" s="14" t="n">
        <v>3.40153065945228</v>
      </c>
      <c r="P324" s="14" t="n">
        <f aca="false">D324</f>
        <v>30</v>
      </c>
      <c r="Q324" s="14" t="n">
        <f aca="false">G324</f>
        <v>123</v>
      </c>
      <c r="R324" s="14" t="n">
        <f aca="false">J324</f>
        <v>9</v>
      </c>
      <c r="S324" s="14" t="n">
        <f aca="false">IF($L324=2012,1,0)</f>
        <v>0</v>
      </c>
      <c r="T324" s="14" t="n">
        <f aca="false">IF($L324=2013,1,0)</f>
        <v>0</v>
      </c>
      <c r="U324" s="14" t="n">
        <f aca="false">IF($L324=2014,1,0)</f>
        <v>0</v>
      </c>
      <c r="V324" s="14" t="n">
        <f aca="false">IF($L324=2015,1,0)</f>
        <v>1</v>
      </c>
      <c r="W324" s="14" t="n">
        <f aca="false">IF($L324=2016,1,0)</f>
        <v>0</v>
      </c>
      <c r="X324" s="14" t="n">
        <f aca="false">IF($L324=2017,1,0)</f>
        <v>0</v>
      </c>
      <c r="Y324" s="14" t="n">
        <f aca="false">IF($H324="Beginner Level",1,0)</f>
        <v>0</v>
      </c>
      <c r="Z324" s="14" t="n">
        <f aca="false">IF($H324="Expert Level",1,0)</f>
        <v>0</v>
      </c>
      <c r="AA324" s="14" t="n">
        <f aca="false">IF($H324="Intermediate Level",1,0)</f>
        <v>0</v>
      </c>
      <c r="AC324" s="14" t="n">
        <f aca="false">N324</f>
        <v>3.40153065945228</v>
      </c>
      <c r="AD324" s="14" t="n">
        <f aca="false">G324</f>
        <v>123</v>
      </c>
      <c r="AE324" s="14" t="n">
        <f aca="false">J324</f>
        <v>9</v>
      </c>
      <c r="AF324" s="14" t="n">
        <f aca="false">IF($L324=2012,1,0)</f>
        <v>0</v>
      </c>
      <c r="AG324" s="14" t="n">
        <f aca="false">IF($L324=2013,1,0)</f>
        <v>0</v>
      </c>
      <c r="AH324" s="14" t="n">
        <f aca="false">IF($L324=2014,1,0)</f>
        <v>0</v>
      </c>
      <c r="AI324" s="14" t="n">
        <f aca="false">IF($L324=2015,1,0)</f>
        <v>1</v>
      </c>
      <c r="AJ324" s="14" t="n">
        <f aca="false">IF($L324=2016,1,0)</f>
        <v>0</v>
      </c>
      <c r="AK324" s="14" t="n">
        <f aca="false">IF($L324=2017,1,0)</f>
        <v>0</v>
      </c>
      <c r="AL324" s="14" t="n">
        <f aca="false">IF($H324="Beginner Level",1,0)</f>
        <v>0</v>
      </c>
      <c r="AM324" s="14" t="n">
        <f aca="false">IF($H324="Expert Level",1,0)</f>
        <v>0</v>
      </c>
      <c r="AN324" s="14" t="n">
        <f aca="false">IF($H324="Intermediate Level",1,0)</f>
        <v>0</v>
      </c>
    </row>
    <row r="325" customFormat="false" ht="57.45" hidden="false" customHeight="false" outlineLevel="0" collapsed="false">
      <c r="A325" s="14" t="n">
        <v>1109926</v>
      </c>
      <c r="B325" s="14" t="s">
        <v>694</v>
      </c>
      <c r="C325" s="14" t="s">
        <v>695</v>
      </c>
      <c r="D325" s="14" t="n">
        <v>150</v>
      </c>
      <c r="E325" s="14" t="n">
        <v>6412</v>
      </c>
      <c r="F325" s="14" t="n">
        <v>987</v>
      </c>
      <c r="G325" s="14" t="n">
        <v>114</v>
      </c>
      <c r="H325" s="14" t="s">
        <v>52</v>
      </c>
      <c r="I325" s="14" t="n">
        <v>0.77</v>
      </c>
      <c r="J325" s="14" t="n">
        <v>13</v>
      </c>
      <c r="K325" s="14" t="s">
        <v>59</v>
      </c>
      <c r="L325" s="14" t="n">
        <v>2017</v>
      </c>
      <c r="M325" s="14" t="n">
        <v>8.76592651372944</v>
      </c>
      <c r="N325" s="14" t="n">
        <v>5.0107019585408</v>
      </c>
      <c r="P325" s="14" t="n">
        <f aca="false">D325</f>
        <v>150</v>
      </c>
      <c r="Q325" s="14" t="n">
        <f aca="false">G325</f>
        <v>114</v>
      </c>
      <c r="R325" s="14" t="n">
        <f aca="false">J325</f>
        <v>13</v>
      </c>
      <c r="S325" s="14" t="n">
        <f aca="false">IF($L325=2012,1,0)</f>
        <v>0</v>
      </c>
      <c r="T325" s="14" t="n">
        <f aca="false">IF($L325=2013,1,0)</f>
        <v>0</v>
      </c>
      <c r="U325" s="14" t="n">
        <f aca="false">IF($L325=2014,1,0)</f>
        <v>0</v>
      </c>
      <c r="V325" s="14" t="n">
        <f aca="false">IF($L325=2015,1,0)</f>
        <v>0</v>
      </c>
      <c r="W325" s="14" t="n">
        <f aca="false">IF($L325=2016,1,0)</f>
        <v>0</v>
      </c>
      <c r="X325" s="14" t="n">
        <f aca="false">IF($L325=2017,1,0)</f>
        <v>1</v>
      </c>
      <c r="Y325" s="14" t="n">
        <f aca="false">IF($H325="Beginner Level",1,0)</f>
        <v>1</v>
      </c>
      <c r="Z325" s="14" t="n">
        <f aca="false">IF($H325="Expert Level",1,0)</f>
        <v>0</v>
      </c>
      <c r="AA325" s="14" t="n">
        <f aca="false">IF($H325="Intermediate Level",1,0)</f>
        <v>0</v>
      </c>
      <c r="AC325" s="14" t="n">
        <f aca="false">N325</f>
        <v>5.0107019585408</v>
      </c>
      <c r="AD325" s="14" t="n">
        <f aca="false">G325</f>
        <v>114</v>
      </c>
      <c r="AE325" s="14" t="n">
        <f aca="false">J325</f>
        <v>13</v>
      </c>
      <c r="AF325" s="14" t="n">
        <f aca="false">IF($L325=2012,1,0)</f>
        <v>0</v>
      </c>
      <c r="AG325" s="14" t="n">
        <f aca="false">IF($L325=2013,1,0)</f>
        <v>0</v>
      </c>
      <c r="AH325" s="14" t="n">
        <f aca="false">IF($L325=2014,1,0)</f>
        <v>0</v>
      </c>
      <c r="AI325" s="14" t="n">
        <f aca="false">IF($L325=2015,1,0)</f>
        <v>0</v>
      </c>
      <c r="AJ325" s="14" t="n">
        <f aca="false">IF($L325=2016,1,0)</f>
        <v>0</v>
      </c>
      <c r="AK325" s="14" t="n">
        <f aca="false">IF($L325=2017,1,0)</f>
        <v>1</v>
      </c>
      <c r="AL325" s="14" t="n">
        <f aca="false">IF($H325="Beginner Level",1,0)</f>
        <v>1</v>
      </c>
      <c r="AM325" s="14" t="n">
        <f aca="false">IF($H325="Expert Level",1,0)</f>
        <v>0</v>
      </c>
      <c r="AN325" s="14" t="n">
        <f aca="false">IF($H325="Intermediate Level",1,0)</f>
        <v>0</v>
      </c>
    </row>
    <row r="326" customFormat="false" ht="79.85" hidden="false" customHeight="false" outlineLevel="0" collapsed="false">
      <c r="A326" s="14" t="n">
        <v>883706</v>
      </c>
      <c r="B326" s="14" t="s">
        <v>696</v>
      </c>
      <c r="C326" s="14" t="s">
        <v>697</v>
      </c>
      <c r="D326" s="14" t="n">
        <v>0</v>
      </c>
      <c r="E326" s="14" t="n">
        <v>6402</v>
      </c>
      <c r="F326" s="14" t="n">
        <v>104</v>
      </c>
      <c r="G326" s="14" t="n">
        <v>23</v>
      </c>
      <c r="H326" s="14" t="s">
        <v>52</v>
      </c>
      <c r="I326" s="14" t="n">
        <v>0.5</v>
      </c>
      <c r="J326" s="14" t="n">
        <v>1.5</v>
      </c>
      <c r="K326" s="14" t="s">
        <v>53</v>
      </c>
      <c r="L326" s="14" t="n">
        <v>2016</v>
      </c>
      <c r="M326" s="14" t="n">
        <v>8.76436572052981</v>
      </c>
      <c r="N326" s="14" t="n">
        <v>-4.60517018598809</v>
      </c>
      <c r="P326" s="14" t="n">
        <f aca="false">D326</f>
        <v>0</v>
      </c>
      <c r="Q326" s="14" t="n">
        <f aca="false">G326</f>
        <v>23</v>
      </c>
      <c r="R326" s="14" t="n">
        <f aca="false">J326</f>
        <v>1.5</v>
      </c>
      <c r="S326" s="14" t="n">
        <f aca="false">IF($L326=2012,1,0)</f>
        <v>0</v>
      </c>
      <c r="T326" s="14" t="n">
        <f aca="false">IF($L326=2013,1,0)</f>
        <v>0</v>
      </c>
      <c r="U326" s="14" t="n">
        <f aca="false">IF($L326=2014,1,0)</f>
        <v>0</v>
      </c>
      <c r="V326" s="14" t="n">
        <f aca="false">IF($L326=2015,1,0)</f>
        <v>0</v>
      </c>
      <c r="W326" s="14" t="n">
        <f aca="false">IF($L326=2016,1,0)</f>
        <v>1</v>
      </c>
      <c r="X326" s="14" t="n">
        <f aca="false">IF($L326=2017,1,0)</f>
        <v>0</v>
      </c>
      <c r="Y326" s="14" t="n">
        <f aca="false">IF($H326="Beginner Level",1,0)</f>
        <v>1</v>
      </c>
      <c r="Z326" s="14" t="n">
        <f aca="false">IF($H326="Expert Level",1,0)</f>
        <v>0</v>
      </c>
      <c r="AA326" s="14" t="n">
        <f aca="false">IF($H326="Intermediate Level",1,0)</f>
        <v>0</v>
      </c>
      <c r="AC326" s="14" t="n">
        <f aca="false">N326</f>
        <v>-4.60517018598809</v>
      </c>
      <c r="AD326" s="14" t="n">
        <f aca="false">G326</f>
        <v>23</v>
      </c>
      <c r="AE326" s="14" t="n">
        <f aca="false">J326</f>
        <v>1.5</v>
      </c>
      <c r="AF326" s="14" t="n">
        <f aca="false">IF($L326=2012,1,0)</f>
        <v>0</v>
      </c>
      <c r="AG326" s="14" t="n">
        <f aca="false">IF($L326=2013,1,0)</f>
        <v>0</v>
      </c>
      <c r="AH326" s="14" t="n">
        <f aca="false">IF($L326=2014,1,0)</f>
        <v>0</v>
      </c>
      <c r="AI326" s="14" t="n">
        <f aca="false">IF($L326=2015,1,0)</f>
        <v>0</v>
      </c>
      <c r="AJ326" s="14" t="n">
        <f aca="false">IF($L326=2016,1,0)</f>
        <v>1</v>
      </c>
      <c r="AK326" s="14" t="n">
        <f aca="false">IF($L326=2017,1,0)</f>
        <v>0</v>
      </c>
      <c r="AL326" s="14" t="n">
        <f aca="false">IF($H326="Beginner Level",1,0)</f>
        <v>1</v>
      </c>
      <c r="AM326" s="14" t="n">
        <f aca="false">IF($H326="Expert Level",1,0)</f>
        <v>0</v>
      </c>
      <c r="AN326" s="14" t="n">
        <f aca="false">IF($H326="Intermediate Level",1,0)</f>
        <v>0</v>
      </c>
    </row>
    <row r="327" customFormat="false" ht="79.85" hidden="false" customHeight="false" outlineLevel="0" collapsed="false">
      <c r="A327" s="14" t="n">
        <v>366720</v>
      </c>
      <c r="B327" s="14" t="s">
        <v>698</v>
      </c>
      <c r="C327" s="14" t="s">
        <v>699</v>
      </c>
      <c r="D327" s="14" t="n">
        <v>0</v>
      </c>
      <c r="E327" s="14" t="n">
        <v>6315</v>
      </c>
      <c r="F327" s="14" t="n">
        <v>53</v>
      </c>
      <c r="G327" s="14" t="n">
        <v>16</v>
      </c>
      <c r="H327" s="14" t="s">
        <v>62</v>
      </c>
      <c r="I327" s="14" t="n">
        <v>0.06</v>
      </c>
      <c r="J327" s="14" t="n">
        <v>1.5</v>
      </c>
      <c r="K327" s="14" t="s">
        <v>53</v>
      </c>
      <c r="L327" s="14" t="n">
        <v>2014</v>
      </c>
      <c r="M327" s="14" t="n">
        <v>8.75068303478459</v>
      </c>
      <c r="N327" s="14" t="n">
        <v>-4.60517018598809</v>
      </c>
      <c r="P327" s="14" t="n">
        <f aca="false">D327</f>
        <v>0</v>
      </c>
      <c r="Q327" s="14" t="n">
        <f aca="false">G327</f>
        <v>16</v>
      </c>
      <c r="R327" s="14" t="n">
        <f aca="false">J327</f>
        <v>1.5</v>
      </c>
      <c r="S327" s="14" t="n">
        <f aca="false">IF($L327=2012,1,0)</f>
        <v>0</v>
      </c>
      <c r="T327" s="14" t="n">
        <f aca="false">IF($L327=2013,1,0)</f>
        <v>0</v>
      </c>
      <c r="U327" s="14" t="n">
        <f aca="false">IF($L327=2014,1,0)</f>
        <v>1</v>
      </c>
      <c r="V327" s="14" t="n">
        <f aca="false">IF($L327=2015,1,0)</f>
        <v>0</v>
      </c>
      <c r="W327" s="14" t="n">
        <f aca="false">IF($L327=2016,1,0)</f>
        <v>0</v>
      </c>
      <c r="X327" s="14" t="n">
        <f aca="false">IF($L327=2017,1,0)</f>
        <v>0</v>
      </c>
      <c r="Y327" s="14" t="n">
        <f aca="false">IF($H327="Beginner Level",1,0)</f>
        <v>0</v>
      </c>
      <c r="Z327" s="14" t="n">
        <f aca="false">IF($H327="Expert Level",1,0)</f>
        <v>0</v>
      </c>
      <c r="AA327" s="14" t="n">
        <f aca="false">IF($H327="Intermediate Level",1,0)</f>
        <v>0</v>
      </c>
      <c r="AC327" s="14" t="n">
        <f aca="false">N327</f>
        <v>-4.60517018598809</v>
      </c>
      <c r="AD327" s="14" t="n">
        <f aca="false">G327</f>
        <v>16</v>
      </c>
      <c r="AE327" s="14" t="n">
        <f aca="false">J327</f>
        <v>1.5</v>
      </c>
      <c r="AF327" s="14" t="n">
        <f aca="false">IF($L327=2012,1,0)</f>
        <v>0</v>
      </c>
      <c r="AG327" s="14" t="n">
        <f aca="false">IF($L327=2013,1,0)</f>
        <v>0</v>
      </c>
      <c r="AH327" s="14" t="n">
        <f aca="false">IF($L327=2014,1,0)</f>
        <v>1</v>
      </c>
      <c r="AI327" s="14" t="n">
        <f aca="false">IF($L327=2015,1,0)</f>
        <v>0</v>
      </c>
      <c r="AJ327" s="14" t="n">
        <f aca="false">IF($L327=2016,1,0)</f>
        <v>0</v>
      </c>
      <c r="AK327" s="14" t="n">
        <f aca="false">IF($L327=2017,1,0)</f>
        <v>0</v>
      </c>
      <c r="AL327" s="14" t="n">
        <f aca="false">IF($H327="Beginner Level",1,0)</f>
        <v>0</v>
      </c>
      <c r="AM327" s="14" t="n">
        <f aca="false">IF($H327="Expert Level",1,0)</f>
        <v>0</v>
      </c>
      <c r="AN327" s="14" t="n">
        <f aca="false">IF($H327="Intermediate Level",1,0)</f>
        <v>0</v>
      </c>
    </row>
    <row r="328" customFormat="false" ht="68.65" hidden="false" customHeight="false" outlineLevel="0" collapsed="false">
      <c r="A328" s="14" t="n">
        <v>651780</v>
      </c>
      <c r="B328" s="14" t="s">
        <v>700</v>
      </c>
      <c r="C328" s="14" t="s">
        <v>701</v>
      </c>
      <c r="D328" s="14" t="n">
        <v>65</v>
      </c>
      <c r="E328" s="14" t="n">
        <v>6293</v>
      </c>
      <c r="F328" s="14" t="n">
        <v>165</v>
      </c>
      <c r="G328" s="14" t="n">
        <v>8</v>
      </c>
      <c r="H328" s="14" t="s">
        <v>52</v>
      </c>
      <c r="I328" s="14" t="n">
        <v>0.6</v>
      </c>
      <c r="J328" s="14" t="n">
        <v>1</v>
      </c>
      <c r="K328" s="14" t="s">
        <v>59</v>
      </c>
      <c r="L328" s="14" t="n">
        <v>2015</v>
      </c>
      <c r="M328" s="14" t="n">
        <v>8.74719318352693</v>
      </c>
      <c r="N328" s="14" t="n">
        <v>4.17454110421638</v>
      </c>
      <c r="P328" s="14" t="n">
        <f aca="false">D328</f>
        <v>65</v>
      </c>
      <c r="Q328" s="14" t="n">
        <f aca="false">G328</f>
        <v>8</v>
      </c>
      <c r="R328" s="14" t="n">
        <f aca="false">J328</f>
        <v>1</v>
      </c>
      <c r="S328" s="14" t="n">
        <f aca="false">IF($L328=2012,1,0)</f>
        <v>0</v>
      </c>
      <c r="T328" s="14" t="n">
        <f aca="false">IF($L328=2013,1,0)</f>
        <v>0</v>
      </c>
      <c r="U328" s="14" t="n">
        <f aca="false">IF($L328=2014,1,0)</f>
        <v>0</v>
      </c>
      <c r="V328" s="14" t="n">
        <f aca="false">IF($L328=2015,1,0)</f>
        <v>1</v>
      </c>
      <c r="W328" s="14" t="n">
        <f aca="false">IF($L328=2016,1,0)</f>
        <v>0</v>
      </c>
      <c r="X328" s="14" t="n">
        <f aca="false">IF($L328=2017,1,0)</f>
        <v>0</v>
      </c>
      <c r="Y328" s="14" t="n">
        <f aca="false">IF($H328="Beginner Level",1,0)</f>
        <v>1</v>
      </c>
      <c r="Z328" s="14" t="n">
        <f aca="false">IF($H328="Expert Level",1,0)</f>
        <v>0</v>
      </c>
      <c r="AA328" s="14" t="n">
        <f aca="false">IF($H328="Intermediate Level",1,0)</f>
        <v>0</v>
      </c>
      <c r="AC328" s="14" t="n">
        <f aca="false">N328</f>
        <v>4.17454110421638</v>
      </c>
      <c r="AD328" s="14" t="n">
        <f aca="false">G328</f>
        <v>8</v>
      </c>
      <c r="AE328" s="14" t="n">
        <f aca="false">J328</f>
        <v>1</v>
      </c>
      <c r="AF328" s="14" t="n">
        <f aca="false">IF($L328=2012,1,0)</f>
        <v>0</v>
      </c>
      <c r="AG328" s="14" t="n">
        <f aca="false">IF($L328=2013,1,0)</f>
        <v>0</v>
      </c>
      <c r="AH328" s="14" t="n">
        <f aca="false">IF($L328=2014,1,0)</f>
        <v>0</v>
      </c>
      <c r="AI328" s="14" t="n">
        <f aca="false">IF($L328=2015,1,0)</f>
        <v>1</v>
      </c>
      <c r="AJ328" s="14" t="n">
        <f aca="false">IF($L328=2016,1,0)</f>
        <v>0</v>
      </c>
      <c r="AK328" s="14" t="n">
        <f aca="false">IF($L328=2017,1,0)</f>
        <v>0</v>
      </c>
      <c r="AL328" s="14" t="n">
        <f aca="false">IF($H328="Beginner Level",1,0)</f>
        <v>1</v>
      </c>
      <c r="AM328" s="14" t="n">
        <f aca="false">IF($H328="Expert Level",1,0)</f>
        <v>0</v>
      </c>
      <c r="AN328" s="14" t="n">
        <f aca="false">IF($H328="Intermediate Level",1,0)</f>
        <v>0</v>
      </c>
    </row>
    <row r="329" customFormat="false" ht="79.85" hidden="false" customHeight="false" outlineLevel="0" collapsed="false">
      <c r="A329" s="14" t="n">
        <v>73080</v>
      </c>
      <c r="B329" s="14" t="s">
        <v>702</v>
      </c>
      <c r="C329" s="14" t="s">
        <v>703</v>
      </c>
      <c r="D329" s="14" t="n">
        <v>120</v>
      </c>
      <c r="E329" s="14" t="n">
        <v>6162</v>
      </c>
      <c r="F329" s="14" t="n">
        <v>324</v>
      </c>
      <c r="G329" s="14" t="n">
        <v>43</v>
      </c>
      <c r="H329" s="14" t="s">
        <v>56</v>
      </c>
      <c r="I329" s="14" t="n">
        <v>0</v>
      </c>
      <c r="J329" s="14" t="n">
        <v>4</v>
      </c>
      <c r="K329" s="14" t="s">
        <v>59</v>
      </c>
      <c r="L329" s="14" t="n">
        <v>2013</v>
      </c>
      <c r="M329" s="14" t="n">
        <v>8.72615667915661</v>
      </c>
      <c r="N329" s="14" t="n">
        <v>4.78757507264335</v>
      </c>
      <c r="P329" s="14" t="n">
        <f aca="false">D329</f>
        <v>120</v>
      </c>
      <c r="Q329" s="14" t="n">
        <f aca="false">G329</f>
        <v>43</v>
      </c>
      <c r="R329" s="14" t="n">
        <f aca="false">J329</f>
        <v>4</v>
      </c>
      <c r="S329" s="14" t="n">
        <f aca="false">IF($L329=2012,1,0)</f>
        <v>0</v>
      </c>
      <c r="T329" s="14" t="n">
        <f aca="false">IF($L329=2013,1,0)</f>
        <v>1</v>
      </c>
      <c r="U329" s="14" t="n">
        <f aca="false">IF($L329=2014,1,0)</f>
        <v>0</v>
      </c>
      <c r="V329" s="14" t="n">
        <f aca="false">IF($L329=2015,1,0)</f>
        <v>0</v>
      </c>
      <c r="W329" s="14" t="n">
        <f aca="false">IF($L329=2016,1,0)</f>
        <v>0</v>
      </c>
      <c r="X329" s="14" t="n">
        <f aca="false">IF($L329=2017,1,0)</f>
        <v>0</v>
      </c>
      <c r="Y329" s="14" t="n">
        <f aca="false">IF($H329="Beginner Level",1,0)</f>
        <v>0</v>
      </c>
      <c r="Z329" s="14" t="n">
        <f aca="false">IF($H329="Expert Level",1,0)</f>
        <v>1</v>
      </c>
      <c r="AA329" s="14" t="n">
        <f aca="false">IF($H329="Intermediate Level",1,0)</f>
        <v>0</v>
      </c>
      <c r="AC329" s="14" t="n">
        <f aca="false">N329</f>
        <v>4.78757507264335</v>
      </c>
      <c r="AD329" s="14" t="n">
        <f aca="false">G329</f>
        <v>43</v>
      </c>
      <c r="AE329" s="14" t="n">
        <f aca="false">J329</f>
        <v>4</v>
      </c>
      <c r="AF329" s="14" t="n">
        <f aca="false">IF($L329=2012,1,0)</f>
        <v>0</v>
      </c>
      <c r="AG329" s="14" t="n">
        <f aca="false">IF($L329=2013,1,0)</f>
        <v>1</v>
      </c>
      <c r="AH329" s="14" t="n">
        <f aca="false">IF($L329=2014,1,0)</f>
        <v>0</v>
      </c>
      <c r="AI329" s="14" t="n">
        <f aca="false">IF($L329=2015,1,0)</f>
        <v>0</v>
      </c>
      <c r="AJ329" s="14" t="n">
        <f aca="false">IF($L329=2016,1,0)</f>
        <v>0</v>
      </c>
      <c r="AK329" s="14" t="n">
        <f aca="false">IF($L329=2017,1,0)</f>
        <v>0</v>
      </c>
      <c r="AL329" s="14" t="n">
        <f aca="false">IF($H329="Beginner Level",1,0)</f>
        <v>0</v>
      </c>
      <c r="AM329" s="14" t="n">
        <f aca="false">IF($H329="Expert Level",1,0)</f>
        <v>1</v>
      </c>
      <c r="AN329" s="14" t="n">
        <f aca="false">IF($H329="Intermediate Level",1,0)</f>
        <v>0</v>
      </c>
    </row>
    <row r="330" customFormat="false" ht="68.65" hidden="false" customHeight="false" outlineLevel="0" collapsed="false">
      <c r="A330" s="14" t="n">
        <v>477702</v>
      </c>
      <c r="B330" s="14" t="s">
        <v>704</v>
      </c>
      <c r="C330" s="14" t="s">
        <v>705</v>
      </c>
      <c r="D330" s="14" t="n">
        <v>150</v>
      </c>
      <c r="E330" s="14" t="n">
        <v>6153</v>
      </c>
      <c r="F330" s="14" t="n">
        <v>125</v>
      </c>
      <c r="G330" s="14" t="n">
        <v>84</v>
      </c>
      <c r="H330" s="14" t="s">
        <v>62</v>
      </c>
      <c r="I330" s="14" t="n">
        <v>0</v>
      </c>
      <c r="J330" s="14" t="n">
        <v>5</v>
      </c>
      <c r="K330" s="14" t="s">
        <v>59</v>
      </c>
      <c r="L330" s="14" t="n">
        <v>2015</v>
      </c>
      <c r="M330" s="14" t="n">
        <v>8.72469504674049</v>
      </c>
      <c r="N330" s="14" t="n">
        <v>5.0107019585408</v>
      </c>
      <c r="P330" s="14" t="n">
        <f aca="false">D330</f>
        <v>150</v>
      </c>
      <c r="Q330" s="14" t="n">
        <f aca="false">G330</f>
        <v>84</v>
      </c>
      <c r="R330" s="14" t="n">
        <f aca="false">J330</f>
        <v>5</v>
      </c>
      <c r="S330" s="14" t="n">
        <f aca="false">IF($L330=2012,1,0)</f>
        <v>0</v>
      </c>
      <c r="T330" s="14" t="n">
        <f aca="false">IF($L330=2013,1,0)</f>
        <v>0</v>
      </c>
      <c r="U330" s="14" t="n">
        <f aca="false">IF($L330=2014,1,0)</f>
        <v>0</v>
      </c>
      <c r="V330" s="14" t="n">
        <f aca="false">IF($L330=2015,1,0)</f>
        <v>1</v>
      </c>
      <c r="W330" s="14" t="n">
        <f aca="false">IF($L330=2016,1,0)</f>
        <v>0</v>
      </c>
      <c r="X330" s="14" t="n">
        <f aca="false">IF($L330=2017,1,0)</f>
        <v>0</v>
      </c>
      <c r="Y330" s="14" t="n">
        <f aca="false">IF($H330="Beginner Level",1,0)</f>
        <v>0</v>
      </c>
      <c r="Z330" s="14" t="n">
        <f aca="false">IF($H330="Expert Level",1,0)</f>
        <v>0</v>
      </c>
      <c r="AA330" s="14" t="n">
        <f aca="false">IF($H330="Intermediate Level",1,0)</f>
        <v>0</v>
      </c>
      <c r="AC330" s="14" t="n">
        <f aca="false">N330</f>
        <v>5.0107019585408</v>
      </c>
      <c r="AD330" s="14" t="n">
        <f aca="false">G330</f>
        <v>84</v>
      </c>
      <c r="AE330" s="14" t="n">
        <f aca="false">J330</f>
        <v>5</v>
      </c>
      <c r="AF330" s="14" t="n">
        <f aca="false">IF($L330=2012,1,0)</f>
        <v>0</v>
      </c>
      <c r="AG330" s="14" t="n">
        <f aca="false">IF($L330=2013,1,0)</f>
        <v>0</v>
      </c>
      <c r="AH330" s="14" t="n">
        <f aca="false">IF($L330=2014,1,0)</f>
        <v>0</v>
      </c>
      <c r="AI330" s="14" t="n">
        <f aca="false">IF($L330=2015,1,0)</f>
        <v>1</v>
      </c>
      <c r="AJ330" s="14" t="n">
        <f aca="false">IF($L330=2016,1,0)</f>
        <v>0</v>
      </c>
      <c r="AK330" s="14" t="n">
        <f aca="false">IF($L330=2017,1,0)</f>
        <v>0</v>
      </c>
      <c r="AL330" s="14" t="n">
        <f aca="false">IF($H330="Beginner Level",1,0)</f>
        <v>0</v>
      </c>
      <c r="AM330" s="14" t="n">
        <f aca="false">IF($H330="Expert Level",1,0)</f>
        <v>0</v>
      </c>
      <c r="AN330" s="14" t="n">
        <f aca="false">IF($H330="Intermediate Level",1,0)</f>
        <v>0</v>
      </c>
    </row>
    <row r="331" customFormat="false" ht="68.65" hidden="false" customHeight="false" outlineLevel="0" collapsed="false">
      <c r="A331" s="14" t="n">
        <v>823996</v>
      </c>
      <c r="B331" s="14" t="s">
        <v>706</v>
      </c>
      <c r="C331" s="14" t="s">
        <v>707</v>
      </c>
      <c r="D331" s="14" t="n">
        <v>50</v>
      </c>
      <c r="E331" s="14" t="n">
        <v>6134</v>
      </c>
      <c r="F331" s="14" t="n">
        <v>93</v>
      </c>
      <c r="G331" s="14" t="n">
        <v>15</v>
      </c>
      <c r="H331" s="14" t="s">
        <v>52</v>
      </c>
      <c r="I331" s="14" t="n">
        <v>0.98</v>
      </c>
      <c r="J331" s="14" t="n">
        <v>2</v>
      </c>
      <c r="K331" s="14" t="s">
        <v>59</v>
      </c>
      <c r="L331" s="14" t="n">
        <v>2016</v>
      </c>
      <c r="M331" s="14" t="n">
        <v>8.7216023446742</v>
      </c>
      <c r="N331" s="14" t="n">
        <v>3.91222298543081</v>
      </c>
      <c r="P331" s="14" t="n">
        <f aca="false">D331</f>
        <v>50</v>
      </c>
      <c r="Q331" s="14" t="n">
        <f aca="false">G331</f>
        <v>15</v>
      </c>
      <c r="R331" s="14" t="n">
        <f aca="false">J331</f>
        <v>2</v>
      </c>
      <c r="S331" s="14" t="n">
        <f aca="false">IF($L331=2012,1,0)</f>
        <v>0</v>
      </c>
      <c r="T331" s="14" t="n">
        <f aca="false">IF($L331=2013,1,0)</f>
        <v>0</v>
      </c>
      <c r="U331" s="14" t="n">
        <f aca="false">IF($L331=2014,1,0)</f>
        <v>0</v>
      </c>
      <c r="V331" s="14" t="n">
        <f aca="false">IF($L331=2015,1,0)</f>
        <v>0</v>
      </c>
      <c r="W331" s="14" t="n">
        <f aca="false">IF($L331=2016,1,0)</f>
        <v>1</v>
      </c>
      <c r="X331" s="14" t="n">
        <f aca="false">IF($L331=2017,1,0)</f>
        <v>0</v>
      </c>
      <c r="Y331" s="14" t="n">
        <f aca="false">IF($H331="Beginner Level",1,0)</f>
        <v>1</v>
      </c>
      <c r="Z331" s="14" t="n">
        <f aca="false">IF($H331="Expert Level",1,0)</f>
        <v>0</v>
      </c>
      <c r="AA331" s="14" t="n">
        <f aca="false">IF($H331="Intermediate Level",1,0)</f>
        <v>0</v>
      </c>
      <c r="AC331" s="14" t="n">
        <f aca="false">N331</f>
        <v>3.91222298543081</v>
      </c>
      <c r="AD331" s="14" t="n">
        <f aca="false">G331</f>
        <v>15</v>
      </c>
      <c r="AE331" s="14" t="n">
        <f aca="false">J331</f>
        <v>2</v>
      </c>
      <c r="AF331" s="14" t="n">
        <f aca="false">IF($L331=2012,1,0)</f>
        <v>0</v>
      </c>
      <c r="AG331" s="14" t="n">
        <f aca="false">IF($L331=2013,1,0)</f>
        <v>0</v>
      </c>
      <c r="AH331" s="14" t="n">
        <f aca="false">IF($L331=2014,1,0)</f>
        <v>0</v>
      </c>
      <c r="AI331" s="14" t="n">
        <f aca="false">IF($L331=2015,1,0)</f>
        <v>0</v>
      </c>
      <c r="AJ331" s="14" t="n">
        <f aca="false">IF($L331=2016,1,0)</f>
        <v>1</v>
      </c>
      <c r="AK331" s="14" t="n">
        <f aca="false">IF($L331=2017,1,0)</f>
        <v>0</v>
      </c>
      <c r="AL331" s="14" t="n">
        <f aca="false">IF($H331="Beginner Level",1,0)</f>
        <v>1</v>
      </c>
      <c r="AM331" s="14" t="n">
        <f aca="false">IF($H331="Expert Level",1,0)</f>
        <v>0</v>
      </c>
      <c r="AN331" s="14" t="n">
        <f aca="false">IF($H331="Intermediate Level",1,0)</f>
        <v>0</v>
      </c>
    </row>
    <row r="332" customFormat="false" ht="68.65" hidden="false" customHeight="false" outlineLevel="0" collapsed="false">
      <c r="A332" s="14" t="n">
        <v>959586</v>
      </c>
      <c r="B332" s="14" t="s">
        <v>708</v>
      </c>
      <c r="C332" s="14" t="s">
        <v>709</v>
      </c>
      <c r="D332" s="14" t="n">
        <v>195</v>
      </c>
      <c r="E332" s="14" t="n">
        <v>6134</v>
      </c>
      <c r="F332" s="14" t="n">
        <v>160</v>
      </c>
      <c r="G332" s="14" t="n">
        <v>50</v>
      </c>
      <c r="H332" s="14" t="s">
        <v>62</v>
      </c>
      <c r="I332" s="14" t="n">
        <v>0.14</v>
      </c>
      <c r="J332" s="14" t="n">
        <v>6.5</v>
      </c>
      <c r="K332" s="14" t="s">
        <v>59</v>
      </c>
      <c r="L332" s="14" t="n">
        <v>2016</v>
      </c>
      <c r="M332" s="14" t="n">
        <v>8.7216023446742</v>
      </c>
      <c r="N332" s="14" t="n">
        <v>5.27305083930015</v>
      </c>
      <c r="P332" s="14" t="n">
        <f aca="false">D332</f>
        <v>195</v>
      </c>
      <c r="Q332" s="14" t="n">
        <f aca="false">G332</f>
        <v>50</v>
      </c>
      <c r="R332" s="14" t="n">
        <f aca="false">J332</f>
        <v>6.5</v>
      </c>
      <c r="S332" s="14" t="n">
        <f aca="false">IF($L332=2012,1,0)</f>
        <v>0</v>
      </c>
      <c r="T332" s="14" t="n">
        <f aca="false">IF($L332=2013,1,0)</f>
        <v>0</v>
      </c>
      <c r="U332" s="14" t="n">
        <f aca="false">IF($L332=2014,1,0)</f>
        <v>0</v>
      </c>
      <c r="V332" s="14" t="n">
        <f aca="false">IF($L332=2015,1,0)</f>
        <v>0</v>
      </c>
      <c r="W332" s="14" t="n">
        <f aca="false">IF($L332=2016,1,0)</f>
        <v>1</v>
      </c>
      <c r="X332" s="14" t="n">
        <f aca="false">IF($L332=2017,1,0)</f>
        <v>0</v>
      </c>
      <c r="Y332" s="14" t="n">
        <f aca="false">IF($H332="Beginner Level",1,0)</f>
        <v>0</v>
      </c>
      <c r="Z332" s="14" t="n">
        <f aca="false">IF($H332="Expert Level",1,0)</f>
        <v>0</v>
      </c>
      <c r="AA332" s="14" t="n">
        <f aca="false">IF($H332="Intermediate Level",1,0)</f>
        <v>0</v>
      </c>
      <c r="AC332" s="14" t="n">
        <f aca="false">N332</f>
        <v>5.27305083930015</v>
      </c>
      <c r="AD332" s="14" t="n">
        <f aca="false">G332</f>
        <v>50</v>
      </c>
      <c r="AE332" s="14" t="n">
        <f aca="false">J332</f>
        <v>6.5</v>
      </c>
      <c r="AF332" s="14" t="n">
        <f aca="false">IF($L332=2012,1,0)</f>
        <v>0</v>
      </c>
      <c r="AG332" s="14" t="n">
        <f aca="false">IF($L332=2013,1,0)</f>
        <v>0</v>
      </c>
      <c r="AH332" s="14" t="n">
        <f aca="false">IF($L332=2014,1,0)</f>
        <v>0</v>
      </c>
      <c r="AI332" s="14" t="n">
        <f aca="false">IF($L332=2015,1,0)</f>
        <v>0</v>
      </c>
      <c r="AJ332" s="14" t="n">
        <f aca="false">IF($L332=2016,1,0)</f>
        <v>1</v>
      </c>
      <c r="AK332" s="14" t="n">
        <f aca="false">IF($L332=2017,1,0)</f>
        <v>0</v>
      </c>
      <c r="AL332" s="14" t="n">
        <f aca="false">IF($H332="Beginner Level",1,0)</f>
        <v>0</v>
      </c>
      <c r="AM332" s="14" t="n">
        <f aca="false">IF($H332="Expert Level",1,0)</f>
        <v>0</v>
      </c>
      <c r="AN332" s="14" t="n">
        <f aca="false">IF($H332="Intermediate Level",1,0)</f>
        <v>0</v>
      </c>
    </row>
    <row r="333" customFormat="false" ht="79.85" hidden="false" customHeight="false" outlineLevel="0" collapsed="false">
      <c r="A333" s="14" t="n">
        <v>326244</v>
      </c>
      <c r="B333" s="14" t="s">
        <v>710</v>
      </c>
      <c r="C333" s="14" t="s">
        <v>711</v>
      </c>
      <c r="D333" s="14" t="n">
        <v>45</v>
      </c>
      <c r="E333" s="14" t="n">
        <v>6117</v>
      </c>
      <c r="F333" s="14" t="n">
        <v>188</v>
      </c>
      <c r="G333" s="14" t="n">
        <v>28</v>
      </c>
      <c r="H333" s="14" t="s">
        <v>62</v>
      </c>
      <c r="I333" s="14" t="n">
        <v>0.76</v>
      </c>
      <c r="J333" s="14" t="n">
        <v>2.5</v>
      </c>
      <c r="K333" s="14" t="s">
        <v>59</v>
      </c>
      <c r="L333" s="14" t="n">
        <v>2014</v>
      </c>
      <c r="M333" s="14" t="n">
        <v>8.71882705924257</v>
      </c>
      <c r="N333" s="14" t="n">
        <v>3.80688468730484</v>
      </c>
      <c r="P333" s="14" t="n">
        <f aca="false">D333</f>
        <v>45</v>
      </c>
      <c r="Q333" s="14" t="n">
        <f aca="false">G333</f>
        <v>28</v>
      </c>
      <c r="R333" s="14" t="n">
        <f aca="false">J333</f>
        <v>2.5</v>
      </c>
      <c r="S333" s="14" t="n">
        <f aca="false">IF($L333=2012,1,0)</f>
        <v>0</v>
      </c>
      <c r="T333" s="14" t="n">
        <f aca="false">IF($L333=2013,1,0)</f>
        <v>0</v>
      </c>
      <c r="U333" s="14" t="n">
        <f aca="false">IF($L333=2014,1,0)</f>
        <v>1</v>
      </c>
      <c r="V333" s="14" t="n">
        <f aca="false">IF($L333=2015,1,0)</f>
        <v>0</v>
      </c>
      <c r="W333" s="14" t="n">
        <f aca="false">IF($L333=2016,1,0)</f>
        <v>0</v>
      </c>
      <c r="X333" s="14" t="n">
        <f aca="false">IF($L333=2017,1,0)</f>
        <v>0</v>
      </c>
      <c r="Y333" s="14" t="n">
        <f aca="false">IF($H333="Beginner Level",1,0)</f>
        <v>0</v>
      </c>
      <c r="Z333" s="14" t="n">
        <f aca="false">IF($H333="Expert Level",1,0)</f>
        <v>0</v>
      </c>
      <c r="AA333" s="14" t="n">
        <f aca="false">IF($H333="Intermediate Level",1,0)</f>
        <v>0</v>
      </c>
      <c r="AC333" s="14" t="n">
        <f aca="false">N333</f>
        <v>3.80688468730484</v>
      </c>
      <c r="AD333" s="14" t="n">
        <f aca="false">G333</f>
        <v>28</v>
      </c>
      <c r="AE333" s="14" t="n">
        <f aca="false">J333</f>
        <v>2.5</v>
      </c>
      <c r="AF333" s="14" t="n">
        <f aca="false">IF($L333=2012,1,0)</f>
        <v>0</v>
      </c>
      <c r="AG333" s="14" t="n">
        <f aca="false">IF($L333=2013,1,0)</f>
        <v>0</v>
      </c>
      <c r="AH333" s="14" t="n">
        <f aca="false">IF($L333=2014,1,0)</f>
        <v>1</v>
      </c>
      <c r="AI333" s="14" t="n">
        <f aca="false">IF($L333=2015,1,0)</f>
        <v>0</v>
      </c>
      <c r="AJ333" s="14" t="n">
        <f aca="false">IF($L333=2016,1,0)</f>
        <v>0</v>
      </c>
      <c r="AK333" s="14" t="n">
        <f aca="false">IF($L333=2017,1,0)</f>
        <v>0</v>
      </c>
      <c r="AL333" s="14" t="n">
        <f aca="false">IF($H333="Beginner Level",1,0)</f>
        <v>0</v>
      </c>
      <c r="AM333" s="14" t="n">
        <f aca="false">IF($H333="Expert Level",1,0)</f>
        <v>0</v>
      </c>
      <c r="AN333" s="14" t="n">
        <f aca="false">IF($H333="Intermediate Level",1,0)</f>
        <v>0</v>
      </c>
    </row>
    <row r="334" customFormat="false" ht="57.45" hidden="false" customHeight="false" outlineLevel="0" collapsed="false">
      <c r="A334" s="14" t="n">
        <v>1009452</v>
      </c>
      <c r="B334" s="14" t="s">
        <v>712</v>
      </c>
      <c r="C334" s="14" t="s">
        <v>713</v>
      </c>
      <c r="D334" s="14" t="n">
        <v>190</v>
      </c>
      <c r="E334" s="14" t="n">
        <v>6082</v>
      </c>
      <c r="F334" s="14" t="n">
        <v>848</v>
      </c>
      <c r="G334" s="14" t="n">
        <v>135</v>
      </c>
      <c r="H334" s="14" t="s">
        <v>52</v>
      </c>
      <c r="I334" s="14" t="n">
        <v>0.3</v>
      </c>
      <c r="J334" s="14" t="n">
        <v>9.5</v>
      </c>
      <c r="K334" s="14" t="s">
        <v>59</v>
      </c>
      <c r="L334" s="14" t="n">
        <v>2016</v>
      </c>
      <c r="M334" s="14" t="n">
        <v>8.71308886823731</v>
      </c>
      <c r="N334" s="14" t="n">
        <v>5.24707670235444</v>
      </c>
      <c r="P334" s="14" t="n">
        <f aca="false">D334</f>
        <v>190</v>
      </c>
      <c r="Q334" s="14" t="n">
        <f aca="false">G334</f>
        <v>135</v>
      </c>
      <c r="R334" s="14" t="n">
        <f aca="false">J334</f>
        <v>9.5</v>
      </c>
      <c r="S334" s="14" t="n">
        <f aca="false">IF($L334=2012,1,0)</f>
        <v>0</v>
      </c>
      <c r="T334" s="14" t="n">
        <f aca="false">IF($L334=2013,1,0)</f>
        <v>0</v>
      </c>
      <c r="U334" s="14" t="n">
        <f aca="false">IF($L334=2014,1,0)</f>
        <v>0</v>
      </c>
      <c r="V334" s="14" t="n">
        <f aca="false">IF($L334=2015,1,0)</f>
        <v>0</v>
      </c>
      <c r="W334" s="14" t="n">
        <f aca="false">IF($L334=2016,1,0)</f>
        <v>1</v>
      </c>
      <c r="X334" s="14" t="n">
        <f aca="false">IF($L334=2017,1,0)</f>
        <v>0</v>
      </c>
      <c r="Y334" s="14" t="n">
        <f aca="false">IF($H334="Beginner Level",1,0)</f>
        <v>1</v>
      </c>
      <c r="Z334" s="14" t="n">
        <f aca="false">IF($H334="Expert Level",1,0)</f>
        <v>0</v>
      </c>
      <c r="AA334" s="14" t="n">
        <f aca="false">IF($H334="Intermediate Level",1,0)</f>
        <v>0</v>
      </c>
      <c r="AC334" s="14" t="n">
        <f aca="false">N334</f>
        <v>5.24707670235444</v>
      </c>
      <c r="AD334" s="14" t="n">
        <f aca="false">G334</f>
        <v>135</v>
      </c>
      <c r="AE334" s="14" t="n">
        <f aca="false">J334</f>
        <v>9.5</v>
      </c>
      <c r="AF334" s="14" t="n">
        <f aca="false">IF($L334=2012,1,0)</f>
        <v>0</v>
      </c>
      <c r="AG334" s="14" t="n">
        <f aca="false">IF($L334=2013,1,0)</f>
        <v>0</v>
      </c>
      <c r="AH334" s="14" t="n">
        <f aca="false">IF($L334=2014,1,0)</f>
        <v>0</v>
      </c>
      <c r="AI334" s="14" t="n">
        <f aca="false">IF($L334=2015,1,0)</f>
        <v>0</v>
      </c>
      <c r="AJ334" s="14" t="n">
        <f aca="false">IF($L334=2016,1,0)</f>
        <v>1</v>
      </c>
      <c r="AK334" s="14" t="n">
        <f aca="false">IF($L334=2017,1,0)</f>
        <v>0</v>
      </c>
      <c r="AL334" s="14" t="n">
        <f aca="false">IF($H334="Beginner Level",1,0)</f>
        <v>1</v>
      </c>
      <c r="AM334" s="14" t="n">
        <f aca="false">IF($H334="Expert Level",1,0)</f>
        <v>0</v>
      </c>
      <c r="AN334" s="14" t="n">
        <f aca="false">IF($H334="Intermediate Level",1,0)</f>
        <v>0</v>
      </c>
    </row>
    <row r="335" customFormat="false" ht="79.85" hidden="false" customHeight="false" outlineLevel="0" collapsed="false">
      <c r="A335" s="14" t="n">
        <v>328476</v>
      </c>
      <c r="B335" s="14" t="s">
        <v>714</v>
      </c>
      <c r="C335" s="14" t="s">
        <v>715</v>
      </c>
      <c r="D335" s="14" t="n">
        <v>195</v>
      </c>
      <c r="E335" s="14" t="n">
        <v>6073</v>
      </c>
      <c r="F335" s="14" t="n">
        <v>627</v>
      </c>
      <c r="G335" s="14" t="n">
        <v>66</v>
      </c>
      <c r="H335" s="14" t="s">
        <v>62</v>
      </c>
      <c r="I335" s="14" t="n">
        <v>0.51</v>
      </c>
      <c r="J335" s="14" t="n">
        <v>9</v>
      </c>
      <c r="K335" s="14" t="s">
        <v>59</v>
      </c>
      <c r="L335" s="14" t="n">
        <v>2014</v>
      </c>
      <c r="M335" s="14" t="n">
        <v>8.71160799589758</v>
      </c>
      <c r="N335" s="14" t="n">
        <v>5.27305083930015</v>
      </c>
      <c r="P335" s="14" t="n">
        <f aca="false">D335</f>
        <v>195</v>
      </c>
      <c r="Q335" s="14" t="n">
        <f aca="false">G335</f>
        <v>66</v>
      </c>
      <c r="R335" s="14" t="n">
        <f aca="false">J335</f>
        <v>9</v>
      </c>
      <c r="S335" s="14" t="n">
        <f aca="false">IF($L335=2012,1,0)</f>
        <v>0</v>
      </c>
      <c r="T335" s="14" t="n">
        <f aca="false">IF($L335=2013,1,0)</f>
        <v>0</v>
      </c>
      <c r="U335" s="14" t="n">
        <f aca="false">IF($L335=2014,1,0)</f>
        <v>1</v>
      </c>
      <c r="V335" s="14" t="n">
        <f aca="false">IF($L335=2015,1,0)</f>
        <v>0</v>
      </c>
      <c r="W335" s="14" t="n">
        <f aca="false">IF($L335=2016,1,0)</f>
        <v>0</v>
      </c>
      <c r="X335" s="14" t="n">
        <f aca="false">IF($L335=2017,1,0)</f>
        <v>0</v>
      </c>
      <c r="Y335" s="14" t="n">
        <f aca="false">IF($H335="Beginner Level",1,0)</f>
        <v>0</v>
      </c>
      <c r="Z335" s="14" t="n">
        <f aca="false">IF($H335="Expert Level",1,0)</f>
        <v>0</v>
      </c>
      <c r="AA335" s="14" t="n">
        <f aca="false">IF($H335="Intermediate Level",1,0)</f>
        <v>0</v>
      </c>
      <c r="AC335" s="14" t="n">
        <f aca="false">N335</f>
        <v>5.27305083930015</v>
      </c>
      <c r="AD335" s="14" t="n">
        <f aca="false">G335</f>
        <v>66</v>
      </c>
      <c r="AE335" s="14" t="n">
        <f aca="false">J335</f>
        <v>9</v>
      </c>
      <c r="AF335" s="14" t="n">
        <f aca="false">IF($L335=2012,1,0)</f>
        <v>0</v>
      </c>
      <c r="AG335" s="14" t="n">
        <f aca="false">IF($L335=2013,1,0)</f>
        <v>0</v>
      </c>
      <c r="AH335" s="14" t="n">
        <f aca="false">IF($L335=2014,1,0)</f>
        <v>1</v>
      </c>
      <c r="AI335" s="14" t="n">
        <f aca="false">IF($L335=2015,1,0)</f>
        <v>0</v>
      </c>
      <c r="AJ335" s="14" t="n">
        <f aca="false">IF($L335=2016,1,0)</f>
        <v>0</v>
      </c>
      <c r="AK335" s="14" t="n">
        <f aca="false">IF($L335=2017,1,0)</f>
        <v>0</v>
      </c>
      <c r="AL335" s="14" t="n">
        <f aca="false">IF($H335="Beginner Level",1,0)</f>
        <v>0</v>
      </c>
      <c r="AM335" s="14" t="n">
        <f aca="false">IF($H335="Expert Level",1,0)</f>
        <v>0</v>
      </c>
      <c r="AN335" s="14" t="n">
        <f aca="false">IF($H335="Intermediate Level",1,0)</f>
        <v>0</v>
      </c>
    </row>
    <row r="336" customFormat="false" ht="57.45" hidden="false" customHeight="false" outlineLevel="0" collapsed="false">
      <c r="A336" s="14" t="n">
        <v>399640</v>
      </c>
      <c r="B336" s="14" t="s">
        <v>716</v>
      </c>
      <c r="C336" s="14" t="s">
        <v>717</v>
      </c>
      <c r="D336" s="14" t="n">
        <v>20</v>
      </c>
      <c r="E336" s="14" t="n">
        <v>6008</v>
      </c>
      <c r="F336" s="14" t="n">
        <v>203</v>
      </c>
      <c r="G336" s="14" t="n">
        <v>35</v>
      </c>
      <c r="H336" s="14" t="s">
        <v>62</v>
      </c>
      <c r="I336" s="14" t="n">
        <v>0.76</v>
      </c>
      <c r="J336" s="14" t="n">
        <v>4</v>
      </c>
      <c r="K336" s="14" t="s">
        <v>59</v>
      </c>
      <c r="L336" s="14" t="n">
        <v>2015</v>
      </c>
      <c r="M336" s="14" t="n">
        <v>8.70084719344397</v>
      </c>
      <c r="N336" s="14" t="n">
        <v>2.99623214859564</v>
      </c>
      <c r="P336" s="14" t="n">
        <f aca="false">D336</f>
        <v>20</v>
      </c>
      <c r="Q336" s="14" t="n">
        <f aca="false">G336</f>
        <v>35</v>
      </c>
      <c r="R336" s="14" t="n">
        <f aca="false">J336</f>
        <v>4</v>
      </c>
      <c r="S336" s="14" t="n">
        <f aca="false">IF($L336=2012,1,0)</f>
        <v>0</v>
      </c>
      <c r="T336" s="14" t="n">
        <f aca="false">IF($L336=2013,1,0)</f>
        <v>0</v>
      </c>
      <c r="U336" s="14" t="n">
        <f aca="false">IF($L336=2014,1,0)</f>
        <v>0</v>
      </c>
      <c r="V336" s="14" t="n">
        <f aca="false">IF($L336=2015,1,0)</f>
        <v>1</v>
      </c>
      <c r="W336" s="14" t="n">
        <f aca="false">IF($L336=2016,1,0)</f>
        <v>0</v>
      </c>
      <c r="X336" s="14" t="n">
        <f aca="false">IF($L336=2017,1,0)</f>
        <v>0</v>
      </c>
      <c r="Y336" s="14" t="n">
        <f aca="false">IF($H336="Beginner Level",1,0)</f>
        <v>0</v>
      </c>
      <c r="Z336" s="14" t="n">
        <f aca="false">IF($H336="Expert Level",1,0)</f>
        <v>0</v>
      </c>
      <c r="AA336" s="14" t="n">
        <f aca="false">IF($H336="Intermediate Level",1,0)</f>
        <v>0</v>
      </c>
      <c r="AC336" s="14" t="n">
        <f aca="false">N336</f>
        <v>2.99623214859564</v>
      </c>
      <c r="AD336" s="14" t="n">
        <f aca="false">G336</f>
        <v>35</v>
      </c>
      <c r="AE336" s="14" t="n">
        <f aca="false">J336</f>
        <v>4</v>
      </c>
      <c r="AF336" s="14" t="n">
        <f aca="false">IF($L336=2012,1,0)</f>
        <v>0</v>
      </c>
      <c r="AG336" s="14" t="n">
        <f aca="false">IF($L336=2013,1,0)</f>
        <v>0</v>
      </c>
      <c r="AH336" s="14" t="n">
        <f aca="false">IF($L336=2014,1,0)</f>
        <v>0</v>
      </c>
      <c r="AI336" s="14" t="n">
        <f aca="false">IF($L336=2015,1,0)</f>
        <v>1</v>
      </c>
      <c r="AJ336" s="14" t="n">
        <f aca="false">IF($L336=2016,1,0)</f>
        <v>0</v>
      </c>
      <c r="AK336" s="14" t="n">
        <f aca="false">IF($L336=2017,1,0)</f>
        <v>0</v>
      </c>
      <c r="AL336" s="14" t="n">
        <f aca="false">IF($H336="Beginner Level",1,0)</f>
        <v>0</v>
      </c>
      <c r="AM336" s="14" t="n">
        <f aca="false">IF($H336="Expert Level",1,0)</f>
        <v>0</v>
      </c>
      <c r="AN336" s="14" t="n">
        <f aca="false">IF($H336="Intermediate Level",1,0)</f>
        <v>0</v>
      </c>
    </row>
    <row r="337" customFormat="false" ht="79.85" hidden="false" customHeight="false" outlineLevel="0" collapsed="false">
      <c r="A337" s="14" t="n">
        <v>628430</v>
      </c>
      <c r="B337" s="14" t="s">
        <v>718</v>
      </c>
      <c r="C337" s="14" t="s">
        <v>719</v>
      </c>
      <c r="D337" s="14" t="n">
        <v>95</v>
      </c>
      <c r="E337" s="14" t="n">
        <v>6000</v>
      </c>
      <c r="F337" s="14" t="n">
        <v>21</v>
      </c>
      <c r="G337" s="14" t="n">
        <v>25</v>
      </c>
      <c r="H337" s="14" t="s">
        <v>62</v>
      </c>
      <c r="I337" s="14" t="n">
        <v>0.2</v>
      </c>
      <c r="J337" s="14" t="n">
        <v>1.5</v>
      </c>
      <c r="K337" s="14" t="s">
        <v>59</v>
      </c>
      <c r="L337" s="14" t="n">
        <v>2015</v>
      </c>
      <c r="M337" s="14" t="n">
        <v>8.69951474821019</v>
      </c>
      <c r="N337" s="14" t="n">
        <v>4.55398214921866</v>
      </c>
      <c r="P337" s="14" t="n">
        <f aca="false">D337</f>
        <v>95</v>
      </c>
      <c r="Q337" s="14" t="n">
        <f aca="false">G337</f>
        <v>25</v>
      </c>
      <c r="R337" s="14" t="n">
        <f aca="false">J337</f>
        <v>1.5</v>
      </c>
      <c r="S337" s="14" t="n">
        <f aca="false">IF($L337=2012,1,0)</f>
        <v>0</v>
      </c>
      <c r="T337" s="14" t="n">
        <f aca="false">IF($L337=2013,1,0)</f>
        <v>0</v>
      </c>
      <c r="U337" s="14" t="n">
        <f aca="false">IF($L337=2014,1,0)</f>
        <v>0</v>
      </c>
      <c r="V337" s="14" t="n">
        <f aca="false">IF($L337=2015,1,0)</f>
        <v>1</v>
      </c>
      <c r="W337" s="14" t="n">
        <f aca="false">IF($L337=2016,1,0)</f>
        <v>0</v>
      </c>
      <c r="X337" s="14" t="n">
        <f aca="false">IF($L337=2017,1,0)</f>
        <v>0</v>
      </c>
      <c r="Y337" s="14" t="n">
        <f aca="false">IF($H337="Beginner Level",1,0)</f>
        <v>0</v>
      </c>
      <c r="Z337" s="14" t="n">
        <f aca="false">IF($H337="Expert Level",1,0)</f>
        <v>0</v>
      </c>
      <c r="AA337" s="14" t="n">
        <f aca="false">IF($H337="Intermediate Level",1,0)</f>
        <v>0</v>
      </c>
      <c r="AC337" s="14" t="n">
        <f aca="false">N337</f>
        <v>4.55398214921866</v>
      </c>
      <c r="AD337" s="14" t="n">
        <f aca="false">G337</f>
        <v>25</v>
      </c>
      <c r="AE337" s="14" t="n">
        <f aca="false">J337</f>
        <v>1.5</v>
      </c>
      <c r="AF337" s="14" t="n">
        <f aca="false">IF($L337=2012,1,0)</f>
        <v>0</v>
      </c>
      <c r="AG337" s="14" t="n">
        <f aca="false">IF($L337=2013,1,0)</f>
        <v>0</v>
      </c>
      <c r="AH337" s="14" t="n">
        <f aca="false">IF($L337=2014,1,0)</f>
        <v>0</v>
      </c>
      <c r="AI337" s="14" t="n">
        <f aca="false">IF($L337=2015,1,0)</f>
        <v>1</v>
      </c>
      <c r="AJ337" s="14" t="n">
        <f aca="false">IF($L337=2016,1,0)</f>
        <v>0</v>
      </c>
      <c r="AK337" s="14" t="n">
        <f aca="false">IF($L337=2017,1,0)</f>
        <v>0</v>
      </c>
      <c r="AL337" s="14" t="n">
        <f aca="false">IF($H337="Beginner Level",1,0)</f>
        <v>0</v>
      </c>
      <c r="AM337" s="14" t="n">
        <f aca="false">IF($H337="Expert Level",1,0)</f>
        <v>0</v>
      </c>
      <c r="AN337" s="14" t="n">
        <f aca="false">IF($H337="Intermediate Level",1,0)</f>
        <v>0</v>
      </c>
    </row>
    <row r="338" customFormat="false" ht="68.65" hidden="false" customHeight="false" outlineLevel="0" collapsed="false">
      <c r="A338" s="14" t="n">
        <v>665042</v>
      </c>
      <c r="B338" s="14" t="s">
        <v>720</v>
      </c>
      <c r="C338" s="14" t="s">
        <v>721</v>
      </c>
      <c r="D338" s="14" t="n">
        <v>100</v>
      </c>
      <c r="E338" s="14" t="n">
        <v>5962</v>
      </c>
      <c r="F338" s="14" t="n">
        <v>466</v>
      </c>
      <c r="G338" s="14" t="n">
        <v>132</v>
      </c>
      <c r="H338" s="14" t="s">
        <v>52</v>
      </c>
      <c r="I338" s="14" t="n">
        <v>1</v>
      </c>
      <c r="J338" s="14" t="n">
        <v>16</v>
      </c>
      <c r="K338" s="14" t="s">
        <v>59</v>
      </c>
      <c r="L338" s="14" t="n">
        <v>2016</v>
      </c>
      <c r="M338" s="14" t="n">
        <v>8.69316127423802</v>
      </c>
      <c r="N338" s="14" t="n">
        <v>4.60527018098843</v>
      </c>
      <c r="P338" s="14" t="n">
        <f aca="false">D338</f>
        <v>100</v>
      </c>
      <c r="Q338" s="14" t="n">
        <f aca="false">G338</f>
        <v>132</v>
      </c>
      <c r="R338" s="14" t="n">
        <f aca="false">J338</f>
        <v>16</v>
      </c>
      <c r="S338" s="14" t="n">
        <f aca="false">IF($L338=2012,1,0)</f>
        <v>0</v>
      </c>
      <c r="T338" s="14" t="n">
        <f aca="false">IF($L338=2013,1,0)</f>
        <v>0</v>
      </c>
      <c r="U338" s="14" t="n">
        <f aca="false">IF($L338=2014,1,0)</f>
        <v>0</v>
      </c>
      <c r="V338" s="14" t="n">
        <f aca="false">IF($L338=2015,1,0)</f>
        <v>0</v>
      </c>
      <c r="W338" s="14" t="n">
        <f aca="false">IF($L338=2016,1,0)</f>
        <v>1</v>
      </c>
      <c r="X338" s="14" t="n">
        <f aca="false">IF($L338=2017,1,0)</f>
        <v>0</v>
      </c>
      <c r="Y338" s="14" t="n">
        <f aca="false">IF($H338="Beginner Level",1,0)</f>
        <v>1</v>
      </c>
      <c r="Z338" s="14" t="n">
        <f aca="false">IF($H338="Expert Level",1,0)</f>
        <v>0</v>
      </c>
      <c r="AA338" s="14" t="n">
        <f aca="false">IF($H338="Intermediate Level",1,0)</f>
        <v>0</v>
      </c>
      <c r="AC338" s="14" t="n">
        <f aca="false">N338</f>
        <v>4.60527018098843</v>
      </c>
      <c r="AD338" s="14" t="n">
        <f aca="false">G338</f>
        <v>132</v>
      </c>
      <c r="AE338" s="14" t="n">
        <f aca="false">J338</f>
        <v>16</v>
      </c>
      <c r="AF338" s="14" t="n">
        <f aca="false">IF($L338=2012,1,0)</f>
        <v>0</v>
      </c>
      <c r="AG338" s="14" t="n">
        <f aca="false">IF($L338=2013,1,0)</f>
        <v>0</v>
      </c>
      <c r="AH338" s="14" t="n">
        <f aca="false">IF($L338=2014,1,0)</f>
        <v>0</v>
      </c>
      <c r="AI338" s="14" t="n">
        <f aca="false">IF($L338=2015,1,0)</f>
        <v>0</v>
      </c>
      <c r="AJ338" s="14" t="n">
        <f aca="false">IF($L338=2016,1,0)</f>
        <v>1</v>
      </c>
      <c r="AK338" s="14" t="n">
        <f aca="false">IF($L338=2017,1,0)</f>
        <v>0</v>
      </c>
      <c r="AL338" s="14" t="n">
        <f aca="false">IF($H338="Beginner Level",1,0)</f>
        <v>1</v>
      </c>
      <c r="AM338" s="14" t="n">
        <f aca="false">IF($H338="Expert Level",1,0)</f>
        <v>0</v>
      </c>
      <c r="AN338" s="14" t="n">
        <f aca="false">IF($H338="Intermediate Level",1,0)</f>
        <v>0</v>
      </c>
    </row>
    <row r="339" customFormat="false" ht="57.45" hidden="false" customHeight="false" outlineLevel="0" collapsed="false">
      <c r="A339" s="14" t="n">
        <v>178640</v>
      </c>
      <c r="B339" s="14" t="s">
        <v>218</v>
      </c>
      <c r="C339" s="14" t="s">
        <v>722</v>
      </c>
      <c r="D339" s="14" t="n">
        <v>50</v>
      </c>
      <c r="E339" s="14" t="n">
        <v>5921</v>
      </c>
      <c r="F339" s="14" t="n">
        <v>35</v>
      </c>
      <c r="G339" s="14" t="n">
        <v>42</v>
      </c>
      <c r="H339" s="14" t="s">
        <v>62</v>
      </c>
      <c r="I339" s="14" t="n">
        <v>0.01</v>
      </c>
      <c r="J339" s="14" t="n">
        <v>4.5</v>
      </c>
      <c r="K339" s="14" t="s">
        <v>59</v>
      </c>
      <c r="L339" s="14" t="n">
        <v>2014</v>
      </c>
      <c r="M339" s="14" t="n">
        <v>8.68626063253178</v>
      </c>
      <c r="N339" s="14" t="n">
        <v>3.91222298543081</v>
      </c>
      <c r="P339" s="14" t="n">
        <f aca="false">D339</f>
        <v>50</v>
      </c>
      <c r="Q339" s="14" t="n">
        <f aca="false">G339</f>
        <v>42</v>
      </c>
      <c r="R339" s="14" t="n">
        <f aca="false">J339</f>
        <v>4.5</v>
      </c>
      <c r="S339" s="14" t="n">
        <f aca="false">IF($L339=2012,1,0)</f>
        <v>0</v>
      </c>
      <c r="T339" s="14" t="n">
        <f aca="false">IF($L339=2013,1,0)</f>
        <v>0</v>
      </c>
      <c r="U339" s="14" t="n">
        <f aca="false">IF($L339=2014,1,0)</f>
        <v>1</v>
      </c>
      <c r="V339" s="14" t="n">
        <f aca="false">IF($L339=2015,1,0)</f>
        <v>0</v>
      </c>
      <c r="W339" s="14" t="n">
        <f aca="false">IF($L339=2016,1,0)</f>
        <v>0</v>
      </c>
      <c r="X339" s="14" t="n">
        <f aca="false">IF($L339=2017,1,0)</f>
        <v>0</v>
      </c>
      <c r="Y339" s="14" t="n">
        <f aca="false">IF($H339="Beginner Level",1,0)</f>
        <v>0</v>
      </c>
      <c r="Z339" s="14" t="n">
        <f aca="false">IF($H339="Expert Level",1,0)</f>
        <v>0</v>
      </c>
      <c r="AA339" s="14" t="n">
        <f aca="false">IF($H339="Intermediate Level",1,0)</f>
        <v>0</v>
      </c>
      <c r="AC339" s="14" t="n">
        <f aca="false">N339</f>
        <v>3.91222298543081</v>
      </c>
      <c r="AD339" s="14" t="n">
        <f aca="false">G339</f>
        <v>42</v>
      </c>
      <c r="AE339" s="14" t="n">
        <f aca="false">J339</f>
        <v>4.5</v>
      </c>
      <c r="AF339" s="14" t="n">
        <f aca="false">IF($L339=2012,1,0)</f>
        <v>0</v>
      </c>
      <c r="AG339" s="14" t="n">
        <f aca="false">IF($L339=2013,1,0)</f>
        <v>0</v>
      </c>
      <c r="AH339" s="14" t="n">
        <f aca="false">IF($L339=2014,1,0)</f>
        <v>1</v>
      </c>
      <c r="AI339" s="14" t="n">
        <f aca="false">IF($L339=2015,1,0)</f>
        <v>0</v>
      </c>
      <c r="AJ339" s="14" t="n">
        <f aca="false">IF($L339=2016,1,0)</f>
        <v>0</v>
      </c>
      <c r="AK339" s="14" t="n">
        <f aca="false">IF($L339=2017,1,0)</f>
        <v>0</v>
      </c>
      <c r="AL339" s="14" t="n">
        <f aca="false">IF($H339="Beginner Level",1,0)</f>
        <v>0</v>
      </c>
      <c r="AM339" s="14" t="n">
        <f aca="false">IF($H339="Expert Level",1,0)</f>
        <v>0</v>
      </c>
      <c r="AN339" s="14" t="n">
        <f aca="false">IF($H339="Intermediate Level",1,0)</f>
        <v>0</v>
      </c>
    </row>
    <row r="340" customFormat="false" ht="79.85" hidden="false" customHeight="false" outlineLevel="0" collapsed="false">
      <c r="A340" s="14" t="n">
        <v>886614</v>
      </c>
      <c r="B340" s="14" t="s">
        <v>723</v>
      </c>
      <c r="C340" s="14" t="s">
        <v>724</v>
      </c>
      <c r="D340" s="14" t="n">
        <v>110</v>
      </c>
      <c r="E340" s="14" t="n">
        <v>5811</v>
      </c>
      <c r="F340" s="14" t="n">
        <v>850</v>
      </c>
      <c r="G340" s="14" t="n">
        <v>114</v>
      </c>
      <c r="H340" s="14" t="s">
        <v>62</v>
      </c>
      <c r="I340" s="14" t="n">
        <v>0.76</v>
      </c>
      <c r="J340" s="14" t="n">
        <v>6</v>
      </c>
      <c r="K340" s="14" t="s">
        <v>59</v>
      </c>
      <c r="L340" s="14" t="n">
        <v>2016</v>
      </c>
      <c r="M340" s="14" t="n">
        <v>8.66750795207511</v>
      </c>
      <c r="N340" s="14" t="n">
        <v>4.70057127075134</v>
      </c>
      <c r="P340" s="14" t="n">
        <f aca="false">D340</f>
        <v>110</v>
      </c>
      <c r="Q340" s="14" t="n">
        <f aca="false">G340</f>
        <v>114</v>
      </c>
      <c r="R340" s="14" t="n">
        <f aca="false">J340</f>
        <v>6</v>
      </c>
      <c r="S340" s="14" t="n">
        <f aca="false">IF($L340=2012,1,0)</f>
        <v>0</v>
      </c>
      <c r="T340" s="14" t="n">
        <f aca="false">IF($L340=2013,1,0)</f>
        <v>0</v>
      </c>
      <c r="U340" s="14" t="n">
        <f aca="false">IF($L340=2014,1,0)</f>
        <v>0</v>
      </c>
      <c r="V340" s="14" t="n">
        <f aca="false">IF($L340=2015,1,0)</f>
        <v>0</v>
      </c>
      <c r="W340" s="14" t="n">
        <f aca="false">IF($L340=2016,1,0)</f>
        <v>1</v>
      </c>
      <c r="X340" s="14" t="n">
        <f aca="false">IF($L340=2017,1,0)</f>
        <v>0</v>
      </c>
      <c r="Y340" s="14" t="n">
        <f aca="false">IF($H340="Beginner Level",1,0)</f>
        <v>0</v>
      </c>
      <c r="Z340" s="14" t="n">
        <f aca="false">IF($H340="Expert Level",1,0)</f>
        <v>0</v>
      </c>
      <c r="AA340" s="14" t="n">
        <f aca="false">IF($H340="Intermediate Level",1,0)</f>
        <v>0</v>
      </c>
      <c r="AC340" s="14" t="n">
        <f aca="false">N340</f>
        <v>4.70057127075134</v>
      </c>
      <c r="AD340" s="14" t="n">
        <f aca="false">G340</f>
        <v>114</v>
      </c>
      <c r="AE340" s="14" t="n">
        <f aca="false">J340</f>
        <v>6</v>
      </c>
      <c r="AF340" s="14" t="n">
        <f aca="false">IF($L340=2012,1,0)</f>
        <v>0</v>
      </c>
      <c r="AG340" s="14" t="n">
        <f aca="false">IF($L340=2013,1,0)</f>
        <v>0</v>
      </c>
      <c r="AH340" s="14" t="n">
        <f aca="false">IF($L340=2014,1,0)</f>
        <v>0</v>
      </c>
      <c r="AI340" s="14" t="n">
        <f aca="false">IF($L340=2015,1,0)</f>
        <v>0</v>
      </c>
      <c r="AJ340" s="14" t="n">
        <f aca="false">IF($L340=2016,1,0)</f>
        <v>1</v>
      </c>
      <c r="AK340" s="14" t="n">
        <f aca="false">IF($L340=2017,1,0)</f>
        <v>0</v>
      </c>
      <c r="AL340" s="14" t="n">
        <f aca="false">IF($H340="Beginner Level",1,0)</f>
        <v>0</v>
      </c>
      <c r="AM340" s="14" t="n">
        <f aca="false">IF($H340="Expert Level",1,0)</f>
        <v>0</v>
      </c>
      <c r="AN340" s="14" t="n">
        <f aca="false">IF($H340="Intermediate Level",1,0)</f>
        <v>0</v>
      </c>
    </row>
    <row r="341" customFormat="false" ht="79.85" hidden="false" customHeight="false" outlineLevel="0" collapsed="false">
      <c r="A341" s="14" t="n">
        <v>818990</v>
      </c>
      <c r="B341" s="14" t="s">
        <v>725</v>
      </c>
      <c r="C341" s="14" t="s">
        <v>726</v>
      </c>
      <c r="D341" s="14" t="n">
        <v>200</v>
      </c>
      <c r="E341" s="14" t="n">
        <v>5809</v>
      </c>
      <c r="F341" s="14" t="n">
        <v>1445</v>
      </c>
      <c r="G341" s="14" t="n">
        <v>61</v>
      </c>
      <c r="H341" s="14" t="s">
        <v>62</v>
      </c>
      <c r="I341" s="14" t="n">
        <v>0.36</v>
      </c>
      <c r="J341" s="14" t="n">
        <v>15</v>
      </c>
      <c r="K341" s="14" t="s">
        <v>59</v>
      </c>
      <c r="L341" s="14" t="n">
        <v>2016</v>
      </c>
      <c r="M341" s="14" t="n">
        <v>8.66716371799253</v>
      </c>
      <c r="N341" s="14" t="n">
        <v>5.29836736529808</v>
      </c>
      <c r="P341" s="14" t="n">
        <f aca="false">D341</f>
        <v>200</v>
      </c>
      <c r="Q341" s="14" t="n">
        <f aca="false">G341</f>
        <v>61</v>
      </c>
      <c r="R341" s="14" t="n">
        <f aca="false">J341</f>
        <v>15</v>
      </c>
      <c r="S341" s="14" t="n">
        <f aca="false">IF($L341=2012,1,0)</f>
        <v>0</v>
      </c>
      <c r="T341" s="14" t="n">
        <f aca="false">IF($L341=2013,1,0)</f>
        <v>0</v>
      </c>
      <c r="U341" s="14" t="n">
        <f aca="false">IF($L341=2014,1,0)</f>
        <v>0</v>
      </c>
      <c r="V341" s="14" t="n">
        <f aca="false">IF($L341=2015,1,0)</f>
        <v>0</v>
      </c>
      <c r="W341" s="14" t="n">
        <f aca="false">IF($L341=2016,1,0)</f>
        <v>1</v>
      </c>
      <c r="X341" s="14" t="n">
        <f aca="false">IF($L341=2017,1,0)</f>
        <v>0</v>
      </c>
      <c r="Y341" s="14" t="n">
        <f aca="false">IF($H341="Beginner Level",1,0)</f>
        <v>0</v>
      </c>
      <c r="Z341" s="14" t="n">
        <f aca="false">IF($H341="Expert Level",1,0)</f>
        <v>0</v>
      </c>
      <c r="AA341" s="14" t="n">
        <f aca="false">IF($H341="Intermediate Level",1,0)</f>
        <v>0</v>
      </c>
      <c r="AC341" s="14" t="n">
        <f aca="false">N341</f>
        <v>5.29836736529808</v>
      </c>
      <c r="AD341" s="14" t="n">
        <f aca="false">G341</f>
        <v>61</v>
      </c>
      <c r="AE341" s="14" t="n">
        <f aca="false">J341</f>
        <v>15</v>
      </c>
      <c r="AF341" s="14" t="n">
        <f aca="false">IF($L341=2012,1,0)</f>
        <v>0</v>
      </c>
      <c r="AG341" s="14" t="n">
        <f aca="false">IF($L341=2013,1,0)</f>
        <v>0</v>
      </c>
      <c r="AH341" s="14" t="n">
        <f aca="false">IF($L341=2014,1,0)</f>
        <v>0</v>
      </c>
      <c r="AI341" s="14" t="n">
        <f aca="false">IF($L341=2015,1,0)</f>
        <v>0</v>
      </c>
      <c r="AJ341" s="14" t="n">
        <f aca="false">IF($L341=2016,1,0)</f>
        <v>1</v>
      </c>
      <c r="AK341" s="14" t="n">
        <f aca="false">IF($L341=2017,1,0)</f>
        <v>0</v>
      </c>
      <c r="AL341" s="14" t="n">
        <f aca="false">IF($H341="Beginner Level",1,0)</f>
        <v>0</v>
      </c>
      <c r="AM341" s="14" t="n">
        <f aca="false">IF($H341="Expert Level",1,0)</f>
        <v>0</v>
      </c>
      <c r="AN341" s="14" t="n">
        <f aca="false">IF($H341="Intermediate Level",1,0)</f>
        <v>0</v>
      </c>
    </row>
    <row r="342" customFormat="false" ht="68.65" hidden="false" customHeight="false" outlineLevel="0" collapsed="false">
      <c r="A342" s="14" t="n">
        <v>537008</v>
      </c>
      <c r="B342" s="14" t="s">
        <v>727</v>
      </c>
      <c r="C342" s="14" t="s">
        <v>728</v>
      </c>
      <c r="D342" s="14" t="n">
        <v>100</v>
      </c>
      <c r="E342" s="14" t="n">
        <v>5800</v>
      </c>
      <c r="F342" s="14" t="n">
        <v>185</v>
      </c>
      <c r="G342" s="14" t="n">
        <v>32</v>
      </c>
      <c r="H342" s="14" t="s">
        <v>71</v>
      </c>
      <c r="I342" s="14" t="n">
        <v>0.88</v>
      </c>
      <c r="J342" s="14" t="n">
        <v>3.5</v>
      </c>
      <c r="K342" s="14" t="s">
        <v>59</v>
      </c>
      <c r="L342" s="14" t="n">
        <v>2015</v>
      </c>
      <c r="M342" s="14" t="n">
        <v>8.66561319653451</v>
      </c>
      <c r="N342" s="14" t="n">
        <v>4.60527018098843</v>
      </c>
      <c r="P342" s="14" t="n">
        <f aca="false">D342</f>
        <v>100</v>
      </c>
      <c r="Q342" s="14" t="n">
        <f aca="false">G342</f>
        <v>32</v>
      </c>
      <c r="R342" s="14" t="n">
        <f aca="false">J342</f>
        <v>3.5</v>
      </c>
      <c r="S342" s="14" t="n">
        <f aca="false">IF($L342=2012,1,0)</f>
        <v>0</v>
      </c>
      <c r="T342" s="14" t="n">
        <f aca="false">IF($L342=2013,1,0)</f>
        <v>0</v>
      </c>
      <c r="U342" s="14" t="n">
        <f aca="false">IF($L342=2014,1,0)</f>
        <v>0</v>
      </c>
      <c r="V342" s="14" t="n">
        <f aca="false">IF($L342=2015,1,0)</f>
        <v>1</v>
      </c>
      <c r="W342" s="14" t="n">
        <f aca="false">IF($L342=2016,1,0)</f>
        <v>0</v>
      </c>
      <c r="X342" s="14" t="n">
        <f aca="false">IF($L342=2017,1,0)</f>
        <v>0</v>
      </c>
      <c r="Y342" s="14" t="n">
        <f aca="false">IF($H342="Beginner Level",1,0)</f>
        <v>0</v>
      </c>
      <c r="Z342" s="14" t="n">
        <f aca="false">IF($H342="Expert Level",1,0)</f>
        <v>0</v>
      </c>
      <c r="AA342" s="14" t="n">
        <f aca="false">IF($H342="Intermediate Level",1,0)</f>
        <v>1</v>
      </c>
      <c r="AC342" s="14" t="n">
        <f aca="false">N342</f>
        <v>4.60527018098843</v>
      </c>
      <c r="AD342" s="14" t="n">
        <f aca="false">G342</f>
        <v>32</v>
      </c>
      <c r="AE342" s="14" t="n">
        <f aca="false">J342</f>
        <v>3.5</v>
      </c>
      <c r="AF342" s="14" t="n">
        <f aca="false">IF($L342=2012,1,0)</f>
        <v>0</v>
      </c>
      <c r="AG342" s="14" t="n">
        <f aca="false">IF($L342=2013,1,0)</f>
        <v>0</v>
      </c>
      <c r="AH342" s="14" t="n">
        <f aca="false">IF($L342=2014,1,0)</f>
        <v>0</v>
      </c>
      <c r="AI342" s="14" t="n">
        <f aca="false">IF($L342=2015,1,0)</f>
        <v>1</v>
      </c>
      <c r="AJ342" s="14" t="n">
        <f aca="false">IF($L342=2016,1,0)</f>
        <v>0</v>
      </c>
      <c r="AK342" s="14" t="n">
        <f aca="false">IF($L342=2017,1,0)</f>
        <v>0</v>
      </c>
      <c r="AL342" s="14" t="n">
        <f aca="false">IF($H342="Beginner Level",1,0)</f>
        <v>0</v>
      </c>
      <c r="AM342" s="14" t="n">
        <f aca="false">IF($H342="Expert Level",1,0)</f>
        <v>0</v>
      </c>
      <c r="AN342" s="14" t="n">
        <f aca="false">IF($H342="Intermediate Level",1,0)</f>
        <v>1</v>
      </c>
    </row>
    <row r="343" customFormat="false" ht="46.25" hidden="false" customHeight="false" outlineLevel="0" collapsed="false">
      <c r="A343" s="14" t="n">
        <v>98140</v>
      </c>
      <c r="B343" s="14" t="s">
        <v>729</v>
      </c>
      <c r="C343" s="14" t="s">
        <v>730</v>
      </c>
      <c r="D343" s="14" t="n">
        <v>20</v>
      </c>
      <c r="E343" s="14" t="n">
        <v>5795</v>
      </c>
      <c r="F343" s="14" t="n">
        <v>79</v>
      </c>
      <c r="G343" s="14" t="n">
        <v>29</v>
      </c>
      <c r="H343" s="14" t="s">
        <v>62</v>
      </c>
      <c r="I343" s="14" t="n">
        <v>0</v>
      </c>
      <c r="J343" s="14" t="n">
        <v>2.5</v>
      </c>
      <c r="K343" s="14" t="s">
        <v>59</v>
      </c>
      <c r="L343" s="14" t="n">
        <v>2013</v>
      </c>
      <c r="M343" s="14" t="n">
        <v>8.66475075577385</v>
      </c>
      <c r="N343" s="14" t="n">
        <v>2.99623214859564</v>
      </c>
      <c r="P343" s="14" t="n">
        <f aca="false">D343</f>
        <v>20</v>
      </c>
      <c r="Q343" s="14" t="n">
        <f aca="false">G343</f>
        <v>29</v>
      </c>
      <c r="R343" s="14" t="n">
        <f aca="false">J343</f>
        <v>2.5</v>
      </c>
      <c r="S343" s="14" t="n">
        <f aca="false">IF($L343=2012,1,0)</f>
        <v>0</v>
      </c>
      <c r="T343" s="14" t="n">
        <f aca="false">IF($L343=2013,1,0)</f>
        <v>1</v>
      </c>
      <c r="U343" s="14" t="n">
        <f aca="false">IF($L343=2014,1,0)</f>
        <v>0</v>
      </c>
      <c r="V343" s="14" t="n">
        <f aca="false">IF($L343=2015,1,0)</f>
        <v>0</v>
      </c>
      <c r="W343" s="14" t="n">
        <f aca="false">IF($L343=2016,1,0)</f>
        <v>0</v>
      </c>
      <c r="X343" s="14" t="n">
        <f aca="false">IF($L343=2017,1,0)</f>
        <v>0</v>
      </c>
      <c r="Y343" s="14" t="n">
        <f aca="false">IF($H343="Beginner Level",1,0)</f>
        <v>0</v>
      </c>
      <c r="Z343" s="14" t="n">
        <f aca="false">IF($H343="Expert Level",1,0)</f>
        <v>0</v>
      </c>
      <c r="AA343" s="14" t="n">
        <f aca="false">IF($H343="Intermediate Level",1,0)</f>
        <v>0</v>
      </c>
      <c r="AC343" s="14" t="n">
        <f aca="false">N343</f>
        <v>2.99623214859564</v>
      </c>
      <c r="AD343" s="14" t="n">
        <f aca="false">G343</f>
        <v>29</v>
      </c>
      <c r="AE343" s="14" t="n">
        <f aca="false">J343</f>
        <v>2.5</v>
      </c>
      <c r="AF343" s="14" t="n">
        <f aca="false">IF($L343=2012,1,0)</f>
        <v>0</v>
      </c>
      <c r="AG343" s="14" t="n">
        <f aca="false">IF($L343=2013,1,0)</f>
        <v>1</v>
      </c>
      <c r="AH343" s="14" t="n">
        <f aca="false">IF($L343=2014,1,0)</f>
        <v>0</v>
      </c>
      <c r="AI343" s="14" t="n">
        <f aca="false">IF($L343=2015,1,0)</f>
        <v>0</v>
      </c>
      <c r="AJ343" s="14" t="n">
        <f aca="false">IF($L343=2016,1,0)</f>
        <v>0</v>
      </c>
      <c r="AK343" s="14" t="n">
        <f aca="false">IF($L343=2017,1,0)</f>
        <v>0</v>
      </c>
      <c r="AL343" s="14" t="n">
        <f aca="false">IF($H343="Beginner Level",1,0)</f>
        <v>0</v>
      </c>
      <c r="AM343" s="14" t="n">
        <f aca="false">IF($H343="Expert Level",1,0)</f>
        <v>0</v>
      </c>
      <c r="AN343" s="14" t="n">
        <f aca="false">IF($H343="Intermediate Level",1,0)</f>
        <v>0</v>
      </c>
    </row>
    <row r="344" customFormat="false" ht="68.65" hidden="false" customHeight="false" outlineLevel="0" collapsed="false">
      <c r="A344" s="14" t="n">
        <v>1140532</v>
      </c>
      <c r="B344" s="14" t="s">
        <v>731</v>
      </c>
      <c r="C344" s="14" t="s">
        <v>732</v>
      </c>
      <c r="D344" s="14" t="n">
        <v>200</v>
      </c>
      <c r="E344" s="14" t="n">
        <v>5739</v>
      </c>
      <c r="F344" s="14" t="n">
        <v>26</v>
      </c>
      <c r="G344" s="14" t="n">
        <v>29</v>
      </c>
      <c r="H344" s="14" t="s">
        <v>52</v>
      </c>
      <c r="I344" s="14" t="n">
        <v>0.94</v>
      </c>
      <c r="J344" s="14" t="n">
        <v>2.5</v>
      </c>
      <c r="K344" s="14" t="s">
        <v>59</v>
      </c>
      <c r="L344" s="14" t="n">
        <v>2017</v>
      </c>
      <c r="M344" s="14" t="n">
        <v>8.65504025810836</v>
      </c>
      <c r="N344" s="14" t="n">
        <v>5.29836736529808</v>
      </c>
      <c r="P344" s="14" t="n">
        <f aca="false">D344</f>
        <v>200</v>
      </c>
      <c r="Q344" s="14" t="n">
        <f aca="false">G344</f>
        <v>29</v>
      </c>
      <c r="R344" s="14" t="n">
        <f aca="false">J344</f>
        <v>2.5</v>
      </c>
      <c r="S344" s="14" t="n">
        <f aca="false">IF($L344=2012,1,0)</f>
        <v>0</v>
      </c>
      <c r="T344" s="14" t="n">
        <f aca="false">IF($L344=2013,1,0)</f>
        <v>0</v>
      </c>
      <c r="U344" s="14" t="n">
        <f aca="false">IF($L344=2014,1,0)</f>
        <v>0</v>
      </c>
      <c r="V344" s="14" t="n">
        <f aca="false">IF($L344=2015,1,0)</f>
        <v>0</v>
      </c>
      <c r="W344" s="14" t="n">
        <f aca="false">IF($L344=2016,1,0)</f>
        <v>0</v>
      </c>
      <c r="X344" s="14" t="n">
        <f aca="false">IF($L344=2017,1,0)</f>
        <v>1</v>
      </c>
      <c r="Y344" s="14" t="n">
        <f aca="false">IF($H344="Beginner Level",1,0)</f>
        <v>1</v>
      </c>
      <c r="Z344" s="14" t="n">
        <f aca="false">IF($H344="Expert Level",1,0)</f>
        <v>0</v>
      </c>
      <c r="AA344" s="14" t="n">
        <f aca="false">IF($H344="Intermediate Level",1,0)</f>
        <v>0</v>
      </c>
      <c r="AC344" s="14" t="n">
        <f aca="false">N344</f>
        <v>5.29836736529808</v>
      </c>
      <c r="AD344" s="14" t="n">
        <f aca="false">G344</f>
        <v>29</v>
      </c>
      <c r="AE344" s="14" t="n">
        <f aca="false">J344</f>
        <v>2.5</v>
      </c>
      <c r="AF344" s="14" t="n">
        <f aca="false">IF($L344=2012,1,0)</f>
        <v>0</v>
      </c>
      <c r="AG344" s="14" t="n">
        <f aca="false">IF($L344=2013,1,0)</f>
        <v>0</v>
      </c>
      <c r="AH344" s="14" t="n">
        <f aca="false">IF($L344=2014,1,0)</f>
        <v>0</v>
      </c>
      <c r="AI344" s="14" t="n">
        <f aca="false">IF($L344=2015,1,0)</f>
        <v>0</v>
      </c>
      <c r="AJ344" s="14" t="n">
        <f aca="false">IF($L344=2016,1,0)</f>
        <v>0</v>
      </c>
      <c r="AK344" s="14" t="n">
        <f aca="false">IF($L344=2017,1,0)</f>
        <v>1</v>
      </c>
      <c r="AL344" s="14" t="n">
        <f aca="false">IF($H344="Beginner Level",1,0)</f>
        <v>1</v>
      </c>
      <c r="AM344" s="14" t="n">
        <f aca="false">IF($H344="Expert Level",1,0)</f>
        <v>0</v>
      </c>
      <c r="AN344" s="14" t="n">
        <f aca="false">IF($H344="Intermediate Level",1,0)</f>
        <v>0</v>
      </c>
    </row>
    <row r="345" customFormat="false" ht="68.65" hidden="false" customHeight="false" outlineLevel="0" collapsed="false">
      <c r="A345" s="14" t="n">
        <v>1254172</v>
      </c>
      <c r="B345" s="14" t="s">
        <v>733</v>
      </c>
      <c r="C345" s="14" t="s">
        <v>734</v>
      </c>
      <c r="D345" s="14" t="n">
        <v>95</v>
      </c>
      <c r="E345" s="14" t="n">
        <v>5738</v>
      </c>
      <c r="F345" s="14" t="n">
        <v>9</v>
      </c>
      <c r="G345" s="14" t="n">
        <v>35</v>
      </c>
      <c r="H345" s="14" t="s">
        <v>62</v>
      </c>
      <c r="I345" s="14" t="n">
        <v>0.5</v>
      </c>
      <c r="J345" s="14" t="n">
        <v>4</v>
      </c>
      <c r="K345" s="14" t="s">
        <v>59</v>
      </c>
      <c r="L345" s="14" t="n">
        <v>2017</v>
      </c>
      <c r="M345" s="14" t="n">
        <v>8.65486599654131</v>
      </c>
      <c r="N345" s="14" t="n">
        <v>4.55398214921866</v>
      </c>
      <c r="P345" s="14" t="n">
        <f aca="false">D345</f>
        <v>95</v>
      </c>
      <c r="Q345" s="14" t="n">
        <f aca="false">G345</f>
        <v>35</v>
      </c>
      <c r="R345" s="14" t="n">
        <f aca="false">J345</f>
        <v>4</v>
      </c>
      <c r="S345" s="14" t="n">
        <f aca="false">IF($L345=2012,1,0)</f>
        <v>0</v>
      </c>
      <c r="T345" s="14" t="n">
        <f aca="false">IF($L345=2013,1,0)</f>
        <v>0</v>
      </c>
      <c r="U345" s="14" t="n">
        <f aca="false">IF($L345=2014,1,0)</f>
        <v>0</v>
      </c>
      <c r="V345" s="14" t="n">
        <f aca="false">IF($L345=2015,1,0)</f>
        <v>0</v>
      </c>
      <c r="W345" s="14" t="n">
        <f aca="false">IF($L345=2016,1,0)</f>
        <v>0</v>
      </c>
      <c r="X345" s="14" t="n">
        <f aca="false">IF($L345=2017,1,0)</f>
        <v>1</v>
      </c>
      <c r="Y345" s="14" t="n">
        <f aca="false">IF($H345="Beginner Level",1,0)</f>
        <v>0</v>
      </c>
      <c r="Z345" s="14" t="n">
        <f aca="false">IF($H345="Expert Level",1,0)</f>
        <v>0</v>
      </c>
      <c r="AA345" s="14" t="n">
        <f aca="false">IF($H345="Intermediate Level",1,0)</f>
        <v>0</v>
      </c>
      <c r="AC345" s="14" t="n">
        <f aca="false">N345</f>
        <v>4.55398214921866</v>
      </c>
      <c r="AD345" s="14" t="n">
        <f aca="false">G345</f>
        <v>35</v>
      </c>
      <c r="AE345" s="14" t="n">
        <f aca="false">J345</f>
        <v>4</v>
      </c>
      <c r="AF345" s="14" t="n">
        <f aca="false">IF($L345=2012,1,0)</f>
        <v>0</v>
      </c>
      <c r="AG345" s="14" t="n">
        <f aca="false">IF($L345=2013,1,0)</f>
        <v>0</v>
      </c>
      <c r="AH345" s="14" t="n">
        <f aca="false">IF($L345=2014,1,0)</f>
        <v>0</v>
      </c>
      <c r="AI345" s="14" t="n">
        <f aca="false">IF($L345=2015,1,0)</f>
        <v>0</v>
      </c>
      <c r="AJ345" s="14" t="n">
        <f aca="false">IF($L345=2016,1,0)</f>
        <v>0</v>
      </c>
      <c r="AK345" s="14" t="n">
        <f aca="false">IF($L345=2017,1,0)</f>
        <v>1</v>
      </c>
      <c r="AL345" s="14" t="n">
        <f aca="false">IF($H345="Beginner Level",1,0)</f>
        <v>0</v>
      </c>
      <c r="AM345" s="14" t="n">
        <f aca="false">IF($H345="Expert Level",1,0)</f>
        <v>0</v>
      </c>
      <c r="AN345" s="14" t="n">
        <f aca="false">IF($H345="Intermediate Level",1,0)</f>
        <v>0</v>
      </c>
    </row>
    <row r="346" customFormat="false" ht="68.65" hidden="false" customHeight="false" outlineLevel="0" collapsed="false">
      <c r="A346" s="14" t="n">
        <v>476408</v>
      </c>
      <c r="B346" s="14" t="s">
        <v>735</v>
      </c>
      <c r="C346" s="14" t="s">
        <v>736</v>
      </c>
      <c r="D346" s="14" t="n">
        <v>100</v>
      </c>
      <c r="E346" s="14" t="n">
        <v>5715</v>
      </c>
      <c r="F346" s="14" t="n">
        <v>52</v>
      </c>
      <c r="G346" s="14" t="n">
        <v>31</v>
      </c>
      <c r="H346" s="14" t="s">
        <v>71</v>
      </c>
      <c r="I346" s="14" t="n">
        <v>0.89</v>
      </c>
      <c r="J346" s="14" t="n">
        <v>3</v>
      </c>
      <c r="K346" s="14" t="s">
        <v>59</v>
      </c>
      <c r="L346" s="14" t="n">
        <v>2015</v>
      </c>
      <c r="M346" s="14" t="n">
        <v>8.65084957622891</v>
      </c>
      <c r="N346" s="14" t="n">
        <v>4.60527018098843</v>
      </c>
      <c r="P346" s="14" t="n">
        <f aca="false">D346</f>
        <v>100</v>
      </c>
      <c r="Q346" s="14" t="n">
        <f aca="false">G346</f>
        <v>31</v>
      </c>
      <c r="R346" s="14" t="n">
        <f aca="false">J346</f>
        <v>3</v>
      </c>
      <c r="S346" s="14" t="n">
        <f aca="false">IF($L346=2012,1,0)</f>
        <v>0</v>
      </c>
      <c r="T346" s="14" t="n">
        <f aca="false">IF($L346=2013,1,0)</f>
        <v>0</v>
      </c>
      <c r="U346" s="14" t="n">
        <f aca="false">IF($L346=2014,1,0)</f>
        <v>0</v>
      </c>
      <c r="V346" s="14" t="n">
        <f aca="false">IF($L346=2015,1,0)</f>
        <v>1</v>
      </c>
      <c r="W346" s="14" t="n">
        <f aca="false">IF($L346=2016,1,0)</f>
        <v>0</v>
      </c>
      <c r="X346" s="14" t="n">
        <f aca="false">IF($L346=2017,1,0)</f>
        <v>0</v>
      </c>
      <c r="Y346" s="14" t="n">
        <f aca="false">IF($H346="Beginner Level",1,0)</f>
        <v>0</v>
      </c>
      <c r="Z346" s="14" t="n">
        <f aca="false">IF($H346="Expert Level",1,0)</f>
        <v>0</v>
      </c>
      <c r="AA346" s="14" t="n">
        <f aca="false">IF($H346="Intermediate Level",1,0)</f>
        <v>1</v>
      </c>
      <c r="AC346" s="14" t="n">
        <f aca="false">N346</f>
        <v>4.60527018098843</v>
      </c>
      <c r="AD346" s="14" t="n">
        <f aca="false">G346</f>
        <v>31</v>
      </c>
      <c r="AE346" s="14" t="n">
        <f aca="false">J346</f>
        <v>3</v>
      </c>
      <c r="AF346" s="14" t="n">
        <f aca="false">IF($L346=2012,1,0)</f>
        <v>0</v>
      </c>
      <c r="AG346" s="14" t="n">
        <f aca="false">IF($L346=2013,1,0)</f>
        <v>0</v>
      </c>
      <c r="AH346" s="14" t="n">
        <f aca="false">IF($L346=2014,1,0)</f>
        <v>0</v>
      </c>
      <c r="AI346" s="14" t="n">
        <f aca="false">IF($L346=2015,1,0)</f>
        <v>1</v>
      </c>
      <c r="AJ346" s="14" t="n">
        <f aca="false">IF($L346=2016,1,0)</f>
        <v>0</v>
      </c>
      <c r="AK346" s="14" t="n">
        <f aca="false">IF($L346=2017,1,0)</f>
        <v>0</v>
      </c>
      <c r="AL346" s="14" t="n">
        <f aca="false">IF($H346="Beginner Level",1,0)</f>
        <v>0</v>
      </c>
      <c r="AM346" s="14" t="n">
        <f aca="false">IF($H346="Expert Level",1,0)</f>
        <v>0</v>
      </c>
      <c r="AN346" s="14" t="n">
        <f aca="false">IF($H346="Intermediate Level",1,0)</f>
        <v>1</v>
      </c>
    </row>
    <row r="347" customFormat="false" ht="68.65" hidden="false" customHeight="false" outlineLevel="0" collapsed="false">
      <c r="A347" s="14" t="n">
        <v>945602</v>
      </c>
      <c r="B347" s="14" t="s">
        <v>737</v>
      </c>
      <c r="C347" s="14" t="s">
        <v>738</v>
      </c>
      <c r="D347" s="14" t="n">
        <v>200</v>
      </c>
      <c r="E347" s="14" t="n">
        <v>5603</v>
      </c>
      <c r="F347" s="14" t="n">
        <v>46</v>
      </c>
      <c r="G347" s="14" t="n">
        <v>47</v>
      </c>
      <c r="H347" s="14" t="s">
        <v>52</v>
      </c>
      <c r="I347" s="14" t="n">
        <v>0.76</v>
      </c>
      <c r="J347" s="14" t="n">
        <v>4</v>
      </c>
      <c r="K347" s="14" t="s">
        <v>59</v>
      </c>
      <c r="L347" s="14" t="n">
        <v>2016</v>
      </c>
      <c r="M347" s="14" t="n">
        <v>8.63105744756529</v>
      </c>
      <c r="N347" s="14" t="n">
        <v>5.29836736529808</v>
      </c>
      <c r="P347" s="14" t="n">
        <f aca="false">D347</f>
        <v>200</v>
      </c>
      <c r="Q347" s="14" t="n">
        <f aca="false">G347</f>
        <v>47</v>
      </c>
      <c r="R347" s="14" t="n">
        <f aca="false">J347</f>
        <v>4</v>
      </c>
      <c r="S347" s="14" t="n">
        <f aca="false">IF($L347=2012,1,0)</f>
        <v>0</v>
      </c>
      <c r="T347" s="14" t="n">
        <f aca="false">IF($L347=2013,1,0)</f>
        <v>0</v>
      </c>
      <c r="U347" s="14" t="n">
        <f aca="false">IF($L347=2014,1,0)</f>
        <v>0</v>
      </c>
      <c r="V347" s="14" t="n">
        <f aca="false">IF($L347=2015,1,0)</f>
        <v>0</v>
      </c>
      <c r="W347" s="14" t="n">
        <f aca="false">IF($L347=2016,1,0)</f>
        <v>1</v>
      </c>
      <c r="X347" s="14" t="n">
        <f aca="false">IF($L347=2017,1,0)</f>
        <v>0</v>
      </c>
      <c r="Y347" s="14" t="n">
        <f aca="false">IF($H347="Beginner Level",1,0)</f>
        <v>1</v>
      </c>
      <c r="Z347" s="14" t="n">
        <f aca="false">IF($H347="Expert Level",1,0)</f>
        <v>0</v>
      </c>
      <c r="AA347" s="14" t="n">
        <f aca="false">IF($H347="Intermediate Level",1,0)</f>
        <v>0</v>
      </c>
      <c r="AC347" s="14" t="n">
        <f aca="false">N347</f>
        <v>5.29836736529808</v>
      </c>
      <c r="AD347" s="14" t="n">
        <f aca="false">G347</f>
        <v>47</v>
      </c>
      <c r="AE347" s="14" t="n">
        <f aca="false">J347</f>
        <v>4</v>
      </c>
      <c r="AF347" s="14" t="n">
        <f aca="false">IF($L347=2012,1,0)</f>
        <v>0</v>
      </c>
      <c r="AG347" s="14" t="n">
        <f aca="false">IF($L347=2013,1,0)</f>
        <v>0</v>
      </c>
      <c r="AH347" s="14" t="n">
        <f aca="false">IF($L347=2014,1,0)</f>
        <v>0</v>
      </c>
      <c r="AI347" s="14" t="n">
        <f aca="false">IF($L347=2015,1,0)</f>
        <v>0</v>
      </c>
      <c r="AJ347" s="14" t="n">
        <f aca="false">IF($L347=2016,1,0)</f>
        <v>1</v>
      </c>
      <c r="AK347" s="14" t="n">
        <f aca="false">IF($L347=2017,1,0)</f>
        <v>0</v>
      </c>
      <c r="AL347" s="14" t="n">
        <f aca="false">IF($H347="Beginner Level",1,0)</f>
        <v>1</v>
      </c>
      <c r="AM347" s="14" t="n">
        <f aca="false">IF($H347="Expert Level",1,0)</f>
        <v>0</v>
      </c>
      <c r="AN347" s="14" t="n">
        <f aca="false">IF($H347="Intermediate Level",1,0)</f>
        <v>0</v>
      </c>
    </row>
    <row r="348" customFormat="false" ht="57.45" hidden="false" customHeight="false" outlineLevel="0" collapsed="false">
      <c r="A348" s="14" t="n">
        <v>1181900</v>
      </c>
      <c r="B348" s="14" t="s">
        <v>739</v>
      </c>
      <c r="C348" s="14" t="s">
        <v>740</v>
      </c>
      <c r="D348" s="14" t="n">
        <v>200</v>
      </c>
      <c r="E348" s="14" t="n">
        <v>5559</v>
      </c>
      <c r="F348" s="14" t="n">
        <v>35</v>
      </c>
      <c r="G348" s="14" t="n">
        <v>21</v>
      </c>
      <c r="H348" s="14" t="s">
        <v>62</v>
      </c>
      <c r="I348" s="14" t="n">
        <v>0.88</v>
      </c>
      <c r="J348" s="14" t="n">
        <v>2</v>
      </c>
      <c r="K348" s="14" t="s">
        <v>59</v>
      </c>
      <c r="L348" s="14" t="n">
        <v>2017</v>
      </c>
      <c r="M348" s="14" t="n">
        <v>8.62317351495347</v>
      </c>
      <c r="N348" s="14" t="n">
        <v>5.29836736529808</v>
      </c>
      <c r="P348" s="14" t="n">
        <f aca="false">D348</f>
        <v>200</v>
      </c>
      <c r="Q348" s="14" t="n">
        <f aca="false">G348</f>
        <v>21</v>
      </c>
      <c r="R348" s="14" t="n">
        <f aca="false">J348</f>
        <v>2</v>
      </c>
      <c r="S348" s="14" t="n">
        <f aca="false">IF($L348=2012,1,0)</f>
        <v>0</v>
      </c>
      <c r="T348" s="14" t="n">
        <f aca="false">IF($L348=2013,1,0)</f>
        <v>0</v>
      </c>
      <c r="U348" s="14" t="n">
        <f aca="false">IF($L348=2014,1,0)</f>
        <v>0</v>
      </c>
      <c r="V348" s="14" t="n">
        <f aca="false">IF($L348=2015,1,0)</f>
        <v>0</v>
      </c>
      <c r="W348" s="14" t="n">
        <f aca="false">IF($L348=2016,1,0)</f>
        <v>0</v>
      </c>
      <c r="X348" s="14" t="n">
        <f aca="false">IF($L348=2017,1,0)</f>
        <v>1</v>
      </c>
      <c r="Y348" s="14" t="n">
        <f aca="false">IF($H348="Beginner Level",1,0)</f>
        <v>0</v>
      </c>
      <c r="Z348" s="14" t="n">
        <f aca="false">IF($H348="Expert Level",1,0)</f>
        <v>0</v>
      </c>
      <c r="AA348" s="14" t="n">
        <f aca="false">IF($H348="Intermediate Level",1,0)</f>
        <v>0</v>
      </c>
      <c r="AC348" s="14" t="n">
        <f aca="false">N348</f>
        <v>5.29836736529808</v>
      </c>
      <c r="AD348" s="14" t="n">
        <f aca="false">G348</f>
        <v>21</v>
      </c>
      <c r="AE348" s="14" t="n">
        <f aca="false">J348</f>
        <v>2</v>
      </c>
      <c r="AF348" s="14" t="n">
        <f aca="false">IF($L348=2012,1,0)</f>
        <v>0</v>
      </c>
      <c r="AG348" s="14" t="n">
        <f aca="false">IF($L348=2013,1,0)</f>
        <v>0</v>
      </c>
      <c r="AH348" s="14" t="n">
        <f aca="false">IF($L348=2014,1,0)</f>
        <v>0</v>
      </c>
      <c r="AI348" s="14" t="n">
        <f aca="false">IF($L348=2015,1,0)</f>
        <v>0</v>
      </c>
      <c r="AJ348" s="14" t="n">
        <f aca="false">IF($L348=2016,1,0)</f>
        <v>0</v>
      </c>
      <c r="AK348" s="14" t="n">
        <f aca="false">IF($L348=2017,1,0)</f>
        <v>1</v>
      </c>
      <c r="AL348" s="14" t="n">
        <f aca="false">IF($H348="Beginner Level",1,0)</f>
        <v>0</v>
      </c>
      <c r="AM348" s="14" t="n">
        <f aca="false">IF($H348="Expert Level",1,0)</f>
        <v>0</v>
      </c>
      <c r="AN348" s="14" t="n">
        <f aca="false">IF($H348="Intermediate Level",1,0)</f>
        <v>0</v>
      </c>
    </row>
    <row r="349" customFormat="false" ht="79.85" hidden="false" customHeight="false" outlineLevel="0" collapsed="false">
      <c r="A349" s="14" t="n">
        <v>32649</v>
      </c>
      <c r="B349" s="14" t="s">
        <v>741</v>
      </c>
      <c r="C349" s="14" t="s">
        <v>742</v>
      </c>
      <c r="D349" s="14" t="n">
        <v>50</v>
      </c>
      <c r="E349" s="14" t="n">
        <v>5549</v>
      </c>
      <c r="F349" s="14" t="n">
        <v>92</v>
      </c>
      <c r="G349" s="14" t="n">
        <v>143</v>
      </c>
      <c r="H349" s="14" t="s">
        <v>62</v>
      </c>
      <c r="I349" s="14" t="n">
        <v>0.76</v>
      </c>
      <c r="J349" s="14" t="n">
        <v>15.5</v>
      </c>
      <c r="K349" s="14" t="s">
        <v>59</v>
      </c>
      <c r="L349" s="14" t="n">
        <v>2012</v>
      </c>
      <c r="M349" s="14" t="n">
        <v>8.6213730103259</v>
      </c>
      <c r="N349" s="14" t="n">
        <v>3.91222298543081</v>
      </c>
      <c r="P349" s="14" t="n">
        <f aca="false">D349</f>
        <v>50</v>
      </c>
      <c r="Q349" s="14" t="n">
        <f aca="false">G349</f>
        <v>143</v>
      </c>
      <c r="R349" s="14" t="n">
        <f aca="false">J349</f>
        <v>15.5</v>
      </c>
      <c r="S349" s="14" t="n">
        <f aca="false">IF($L349=2012,1,0)</f>
        <v>1</v>
      </c>
      <c r="T349" s="14" t="n">
        <f aca="false">IF($L349=2013,1,0)</f>
        <v>0</v>
      </c>
      <c r="U349" s="14" t="n">
        <f aca="false">IF($L349=2014,1,0)</f>
        <v>0</v>
      </c>
      <c r="V349" s="14" t="n">
        <f aca="false">IF($L349=2015,1,0)</f>
        <v>0</v>
      </c>
      <c r="W349" s="14" t="n">
        <f aca="false">IF($L349=2016,1,0)</f>
        <v>0</v>
      </c>
      <c r="X349" s="14" t="n">
        <f aca="false">IF($L349=2017,1,0)</f>
        <v>0</v>
      </c>
      <c r="Y349" s="14" t="n">
        <f aca="false">IF($H349="Beginner Level",1,0)</f>
        <v>0</v>
      </c>
      <c r="Z349" s="14" t="n">
        <f aca="false">IF($H349="Expert Level",1,0)</f>
        <v>0</v>
      </c>
      <c r="AA349" s="14" t="n">
        <f aca="false">IF($H349="Intermediate Level",1,0)</f>
        <v>0</v>
      </c>
      <c r="AC349" s="14" t="n">
        <f aca="false">N349</f>
        <v>3.91222298543081</v>
      </c>
      <c r="AD349" s="14" t="n">
        <f aca="false">G349</f>
        <v>143</v>
      </c>
      <c r="AE349" s="14" t="n">
        <f aca="false">J349</f>
        <v>15.5</v>
      </c>
      <c r="AF349" s="14" t="n">
        <f aca="false">IF($L349=2012,1,0)</f>
        <v>1</v>
      </c>
      <c r="AG349" s="14" t="n">
        <f aca="false">IF($L349=2013,1,0)</f>
        <v>0</v>
      </c>
      <c r="AH349" s="14" t="n">
        <f aca="false">IF($L349=2014,1,0)</f>
        <v>0</v>
      </c>
      <c r="AI349" s="14" t="n">
        <f aca="false">IF($L349=2015,1,0)</f>
        <v>0</v>
      </c>
      <c r="AJ349" s="14" t="n">
        <f aca="false">IF($L349=2016,1,0)</f>
        <v>0</v>
      </c>
      <c r="AK349" s="14" t="n">
        <f aca="false">IF($L349=2017,1,0)</f>
        <v>0</v>
      </c>
      <c r="AL349" s="14" t="n">
        <f aca="false">IF($H349="Beginner Level",1,0)</f>
        <v>0</v>
      </c>
      <c r="AM349" s="14" t="n">
        <f aca="false">IF($H349="Expert Level",1,0)</f>
        <v>0</v>
      </c>
      <c r="AN349" s="14" t="n">
        <f aca="false">IF($H349="Intermediate Level",1,0)</f>
        <v>0</v>
      </c>
    </row>
    <row r="350" customFormat="false" ht="57.45" hidden="false" customHeight="false" outlineLevel="0" collapsed="false">
      <c r="A350" s="14" t="n">
        <v>309370</v>
      </c>
      <c r="B350" s="14" t="s">
        <v>743</v>
      </c>
      <c r="C350" s="14" t="s">
        <v>744</v>
      </c>
      <c r="D350" s="14" t="n">
        <v>40</v>
      </c>
      <c r="E350" s="14" t="n">
        <v>5547</v>
      </c>
      <c r="F350" s="14" t="n">
        <v>80</v>
      </c>
      <c r="G350" s="14" t="n">
        <v>40</v>
      </c>
      <c r="H350" s="14" t="s">
        <v>62</v>
      </c>
      <c r="I350" s="14" t="n">
        <v>0.8</v>
      </c>
      <c r="J350" s="14" t="n">
        <v>3.5</v>
      </c>
      <c r="K350" s="14" t="s">
        <v>59</v>
      </c>
      <c r="L350" s="14" t="n">
        <v>2014</v>
      </c>
      <c r="M350" s="14" t="n">
        <v>8.62101252005524</v>
      </c>
      <c r="N350" s="14" t="n">
        <v>3.68912942286914</v>
      </c>
      <c r="P350" s="14" t="n">
        <f aca="false">D350</f>
        <v>40</v>
      </c>
      <c r="Q350" s="14" t="n">
        <f aca="false">G350</f>
        <v>40</v>
      </c>
      <c r="R350" s="14" t="n">
        <f aca="false">J350</f>
        <v>3.5</v>
      </c>
      <c r="S350" s="14" t="n">
        <f aca="false">IF($L350=2012,1,0)</f>
        <v>0</v>
      </c>
      <c r="T350" s="14" t="n">
        <f aca="false">IF($L350=2013,1,0)</f>
        <v>0</v>
      </c>
      <c r="U350" s="14" t="n">
        <f aca="false">IF($L350=2014,1,0)</f>
        <v>1</v>
      </c>
      <c r="V350" s="14" t="n">
        <f aca="false">IF($L350=2015,1,0)</f>
        <v>0</v>
      </c>
      <c r="W350" s="14" t="n">
        <f aca="false">IF($L350=2016,1,0)</f>
        <v>0</v>
      </c>
      <c r="X350" s="14" t="n">
        <f aca="false">IF($L350=2017,1,0)</f>
        <v>0</v>
      </c>
      <c r="Y350" s="14" t="n">
        <f aca="false">IF($H350="Beginner Level",1,0)</f>
        <v>0</v>
      </c>
      <c r="Z350" s="14" t="n">
        <f aca="false">IF($H350="Expert Level",1,0)</f>
        <v>0</v>
      </c>
      <c r="AA350" s="14" t="n">
        <f aca="false">IF($H350="Intermediate Level",1,0)</f>
        <v>0</v>
      </c>
      <c r="AC350" s="14" t="n">
        <f aca="false">N350</f>
        <v>3.68912942286914</v>
      </c>
      <c r="AD350" s="14" t="n">
        <f aca="false">G350</f>
        <v>40</v>
      </c>
      <c r="AE350" s="14" t="n">
        <f aca="false">J350</f>
        <v>3.5</v>
      </c>
      <c r="AF350" s="14" t="n">
        <f aca="false">IF($L350=2012,1,0)</f>
        <v>0</v>
      </c>
      <c r="AG350" s="14" t="n">
        <f aca="false">IF($L350=2013,1,0)</f>
        <v>0</v>
      </c>
      <c r="AH350" s="14" t="n">
        <f aca="false">IF($L350=2014,1,0)</f>
        <v>1</v>
      </c>
      <c r="AI350" s="14" t="n">
        <f aca="false">IF($L350=2015,1,0)</f>
        <v>0</v>
      </c>
      <c r="AJ350" s="14" t="n">
        <f aca="false">IF($L350=2016,1,0)</f>
        <v>0</v>
      </c>
      <c r="AK350" s="14" t="n">
        <f aca="false">IF($L350=2017,1,0)</f>
        <v>0</v>
      </c>
      <c r="AL350" s="14" t="n">
        <f aca="false">IF($H350="Beginner Level",1,0)</f>
        <v>0</v>
      </c>
      <c r="AM350" s="14" t="n">
        <f aca="false">IF($H350="Expert Level",1,0)</f>
        <v>0</v>
      </c>
      <c r="AN350" s="14" t="n">
        <f aca="false">IF($H350="Intermediate Level",1,0)</f>
        <v>0</v>
      </c>
    </row>
    <row r="351" customFormat="false" ht="57.45" hidden="false" customHeight="false" outlineLevel="0" collapsed="false">
      <c r="A351" s="14" t="n">
        <v>1248974</v>
      </c>
      <c r="B351" s="14" t="s">
        <v>745</v>
      </c>
      <c r="C351" s="14" t="s">
        <v>746</v>
      </c>
      <c r="D351" s="14" t="n">
        <v>0</v>
      </c>
      <c r="E351" s="14" t="n">
        <v>5542</v>
      </c>
      <c r="F351" s="14" t="n">
        <v>54</v>
      </c>
      <c r="G351" s="14" t="n">
        <v>9</v>
      </c>
      <c r="H351" s="14" t="s">
        <v>62</v>
      </c>
      <c r="I351" s="14" t="n">
        <v>0.18</v>
      </c>
      <c r="J351" s="14" t="n">
        <v>1</v>
      </c>
      <c r="K351" s="14" t="s">
        <v>53</v>
      </c>
      <c r="L351" s="14" t="n">
        <v>2017</v>
      </c>
      <c r="M351" s="14" t="n">
        <v>8.62011072542292</v>
      </c>
      <c r="N351" s="14" t="n">
        <v>-4.60517018598809</v>
      </c>
      <c r="P351" s="14" t="n">
        <f aca="false">D351</f>
        <v>0</v>
      </c>
      <c r="Q351" s="14" t="n">
        <f aca="false">G351</f>
        <v>9</v>
      </c>
      <c r="R351" s="14" t="n">
        <f aca="false">J351</f>
        <v>1</v>
      </c>
      <c r="S351" s="14" t="n">
        <f aca="false">IF($L351=2012,1,0)</f>
        <v>0</v>
      </c>
      <c r="T351" s="14" t="n">
        <f aca="false">IF($L351=2013,1,0)</f>
        <v>0</v>
      </c>
      <c r="U351" s="14" t="n">
        <f aca="false">IF($L351=2014,1,0)</f>
        <v>0</v>
      </c>
      <c r="V351" s="14" t="n">
        <f aca="false">IF($L351=2015,1,0)</f>
        <v>0</v>
      </c>
      <c r="W351" s="14" t="n">
        <f aca="false">IF($L351=2016,1,0)</f>
        <v>0</v>
      </c>
      <c r="X351" s="14" t="n">
        <f aca="false">IF($L351=2017,1,0)</f>
        <v>1</v>
      </c>
      <c r="Y351" s="14" t="n">
        <f aca="false">IF($H351="Beginner Level",1,0)</f>
        <v>0</v>
      </c>
      <c r="Z351" s="14" t="n">
        <f aca="false">IF($H351="Expert Level",1,0)</f>
        <v>0</v>
      </c>
      <c r="AA351" s="14" t="n">
        <f aca="false">IF($H351="Intermediate Level",1,0)</f>
        <v>0</v>
      </c>
      <c r="AC351" s="14" t="n">
        <f aca="false">N351</f>
        <v>-4.60517018598809</v>
      </c>
      <c r="AD351" s="14" t="n">
        <f aca="false">G351</f>
        <v>9</v>
      </c>
      <c r="AE351" s="14" t="n">
        <f aca="false">J351</f>
        <v>1</v>
      </c>
      <c r="AF351" s="14" t="n">
        <f aca="false">IF($L351=2012,1,0)</f>
        <v>0</v>
      </c>
      <c r="AG351" s="14" t="n">
        <f aca="false">IF($L351=2013,1,0)</f>
        <v>0</v>
      </c>
      <c r="AH351" s="14" t="n">
        <f aca="false">IF($L351=2014,1,0)</f>
        <v>0</v>
      </c>
      <c r="AI351" s="14" t="n">
        <f aca="false">IF($L351=2015,1,0)</f>
        <v>0</v>
      </c>
      <c r="AJ351" s="14" t="n">
        <f aca="false">IF($L351=2016,1,0)</f>
        <v>0</v>
      </c>
      <c r="AK351" s="14" t="n">
        <f aca="false">IF($L351=2017,1,0)</f>
        <v>1</v>
      </c>
      <c r="AL351" s="14" t="n">
        <f aca="false">IF($H351="Beginner Level",1,0)</f>
        <v>0</v>
      </c>
      <c r="AM351" s="14" t="n">
        <f aca="false">IF($H351="Expert Level",1,0)</f>
        <v>0</v>
      </c>
      <c r="AN351" s="14" t="n">
        <f aca="false">IF($H351="Intermediate Level",1,0)</f>
        <v>0</v>
      </c>
    </row>
    <row r="352" customFormat="false" ht="57.45" hidden="false" customHeight="false" outlineLevel="0" collapsed="false">
      <c r="A352" s="14" t="n">
        <v>380178</v>
      </c>
      <c r="B352" s="14" t="s">
        <v>747</v>
      </c>
      <c r="C352" s="14" t="s">
        <v>748</v>
      </c>
      <c r="D352" s="14" t="n">
        <v>0</v>
      </c>
      <c r="E352" s="14" t="n">
        <v>5533</v>
      </c>
      <c r="F352" s="14" t="n">
        <v>137</v>
      </c>
      <c r="G352" s="14" t="n">
        <v>11</v>
      </c>
      <c r="H352" s="14" t="s">
        <v>52</v>
      </c>
      <c r="I352" s="14" t="n">
        <v>0.14</v>
      </c>
      <c r="J352" s="14" t="n">
        <v>1</v>
      </c>
      <c r="K352" s="14" t="s">
        <v>53</v>
      </c>
      <c r="L352" s="14" t="n">
        <v>2015</v>
      </c>
      <c r="M352" s="14" t="n">
        <v>8.61848544289811</v>
      </c>
      <c r="N352" s="14" t="n">
        <v>-4.60517018598809</v>
      </c>
      <c r="P352" s="14" t="n">
        <f aca="false">D352</f>
        <v>0</v>
      </c>
      <c r="Q352" s="14" t="n">
        <f aca="false">G352</f>
        <v>11</v>
      </c>
      <c r="R352" s="14" t="n">
        <f aca="false">J352</f>
        <v>1</v>
      </c>
      <c r="S352" s="14" t="n">
        <f aca="false">IF($L352=2012,1,0)</f>
        <v>0</v>
      </c>
      <c r="T352" s="14" t="n">
        <f aca="false">IF($L352=2013,1,0)</f>
        <v>0</v>
      </c>
      <c r="U352" s="14" t="n">
        <f aca="false">IF($L352=2014,1,0)</f>
        <v>0</v>
      </c>
      <c r="V352" s="14" t="n">
        <f aca="false">IF($L352=2015,1,0)</f>
        <v>1</v>
      </c>
      <c r="W352" s="14" t="n">
        <f aca="false">IF($L352=2016,1,0)</f>
        <v>0</v>
      </c>
      <c r="X352" s="14" t="n">
        <f aca="false">IF($L352=2017,1,0)</f>
        <v>0</v>
      </c>
      <c r="Y352" s="14" t="n">
        <f aca="false">IF($H352="Beginner Level",1,0)</f>
        <v>1</v>
      </c>
      <c r="Z352" s="14" t="n">
        <f aca="false">IF($H352="Expert Level",1,0)</f>
        <v>0</v>
      </c>
      <c r="AA352" s="14" t="n">
        <f aca="false">IF($H352="Intermediate Level",1,0)</f>
        <v>0</v>
      </c>
      <c r="AC352" s="14" t="n">
        <f aca="false">N352</f>
        <v>-4.60517018598809</v>
      </c>
      <c r="AD352" s="14" t="n">
        <f aca="false">G352</f>
        <v>11</v>
      </c>
      <c r="AE352" s="14" t="n">
        <f aca="false">J352</f>
        <v>1</v>
      </c>
      <c r="AF352" s="14" t="n">
        <f aca="false">IF($L352=2012,1,0)</f>
        <v>0</v>
      </c>
      <c r="AG352" s="14" t="n">
        <f aca="false">IF($L352=2013,1,0)</f>
        <v>0</v>
      </c>
      <c r="AH352" s="14" t="n">
        <f aca="false">IF($L352=2014,1,0)</f>
        <v>0</v>
      </c>
      <c r="AI352" s="14" t="n">
        <f aca="false">IF($L352=2015,1,0)</f>
        <v>1</v>
      </c>
      <c r="AJ352" s="14" t="n">
        <f aca="false">IF($L352=2016,1,0)</f>
        <v>0</v>
      </c>
      <c r="AK352" s="14" t="n">
        <f aca="false">IF($L352=2017,1,0)</f>
        <v>0</v>
      </c>
      <c r="AL352" s="14" t="n">
        <f aca="false">IF($H352="Beginner Level",1,0)</f>
        <v>1</v>
      </c>
      <c r="AM352" s="14" t="n">
        <f aca="false">IF($H352="Expert Level",1,0)</f>
        <v>0</v>
      </c>
      <c r="AN352" s="14" t="n">
        <f aca="false">IF($H352="Intermediate Level",1,0)</f>
        <v>0</v>
      </c>
    </row>
    <row r="353" customFormat="false" ht="79.85" hidden="false" customHeight="false" outlineLevel="0" collapsed="false">
      <c r="A353" s="14" t="n">
        <v>760752</v>
      </c>
      <c r="B353" s="14" t="s">
        <v>749</v>
      </c>
      <c r="C353" s="14" t="s">
        <v>750</v>
      </c>
      <c r="D353" s="14" t="n">
        <v>150</v>
      </c>
      <c r="E353" s="14" t="n">
        <v>5495</v>
      </c>
      <c r="F353" s="14" t="n">
        <v>52</v>
      </c>
      <c r="G353" s="14" t="n">
        <v>18</v>
      </c>
      <c r="H353" s="14" t="s">
        <v>52</v>
      </c>
      <c r="I353" s="14" t="n">
        <v>0.89</v>
      </c>
      <c r="J353" s="14" t="n">
        <v>1.5</v>
      </c>
      <c r="K353" s="14" t="s">
        <v>59</v>
      </c>
      <c r="L353" s="14" t="n">
        <v>2016</v>
      </c>
      <c r="M353" s="14" t="n">
        <v>8.61159386683772</v>
      </c>
      <c r="N353" s="14" t="n">
        <v>5.0107019585408</v>
      </c>
      <c r="P353" s="14" t="n">
        <f aca="false">D353</f>
        <v>150</v>
      </c>
      <c r="Q353" s="14" t="n">
        <f aca="false">G353</f>
        <v>18</v>
      </c>
      <c r="R353" s="14" t="n">
        <f aca="false">J353</f>
        <v>1.5</v>
      </c>
      <c r="S353" s="14" t="n">
        <f aca="false">IF($L353=2012,1,0)</f>
        <v>0</v>
      </c>
      <c r="T353" s="14" t="n">
        <f aca="false">IF($L353=2013,1,0)</f>
        <v>0</v>
      </c>
      <c r="U353" s="14" t="n">
        <f aca="false">IF($L353=2014,1,0)</f>
        <v>0</v>
      </c>
      <c r="V353" s="14" t="n">
        <f aca="false">IF($L353=2015,1,0)</f>
        <v>0</v>
      </c>
      <c r="W353" s="14" t="n">
        <f aca="false">IF($L353=2016,1,0)</f>
        <v>1</v>
      </c>
      <c r="X353" s="14" t="n">
        <f aca="false">IF($L353=2017,1,0)</f>
        <v>0</v>
      </c>
      <c r="Y353" s="14" t="n">
        <f aca="false">IF($H353="Beginner Level",1,0)</f>
        <v>1</v>
      </c>
      <c r="Z353" s="14" t="n">
        <f aca="false">IF($H353="Expert Level",1,0)</f>
        <v>0</v>
      </c>
      <c r="AA353" s="14" t="n">
        <f aca="false">IF($H353="Intermediate Level",1,0)</f>
        <v>0</v>
      </c>
      <c r="AC353" s="14" t="n">
        <f aca="false">N353</f>
        <v>5.0107019585408</v>
      </c>
      <c r="AD353" s="14" t="n">
        <f aca="false">G353</f>
        <v>18</v>
      </c>
      <c r="AE353" s="14" t="n">
        <f aca="false">J353</f>
        <v>1.5</v>
      </c>
      <c r="AF353" s="14" t="n">
        <f aca="false">IF($L353=2012,1,0)</f>
        <v>0</v>
      </c>
      <c r="AG353" s="14" t="n">
        <f aca="false">IF($L353=2013,1,0)</f>
        <v>0</v>
      </c>
      <c r="AH353" s="14" t="n">
        <f aca="false">IF($L353=2014,1,0)</f>
        <v>0</v>
      </c>
      <c r="AI353" s="14" t="n">
        <f aca="false">IF($L353=2015,1,0)</f>
        <v>0</v>
      </c>
      <c r="AJ353" s="14" t="n">
        <f aca="false">IF($L353=2016,1,0)</f>
        <v>1</v>
      </c>
      <c r="AK353" s="14" t="n">
        <f aca="false">IF($L353=2017,1,0)</f>
        <v>0</v>
      </c>
      <c r="AL353" s="14" t="n">
        <f aca="false">IF($H353="Beginner Level",1,0)</f>
        <v>1</v>
      </c>
      <c r="AM353" s="14" t="n">
        <f aca="false">IF($H353="Expert Level",1,0)</f>
        <v>0</v>
      </c>
      <c r="AN353" s="14" t="n">
        <f aca="false">IF($H353="Intermediate Level",1,0)</f>
        <v>0</v>
      </c>
    </row>
    <row r="354" customFormat="false" ht="68.65" hidden="false" customHeight="false" outlineLevel="0" collapsed="false">
      <c r="A354" s="14" t="n">
        <v>426196</v>
      </c>
      <c r="B354" s="14" t="s">
        <v>751</v>
      </c>
      <c r="C354" s="14" t="s">
        <v>752</v>
      </c>
      <c r="D354" s="14" t="n">
        <v>125</v>
      </c>
      <c r="E354" s="14" t="n">
        <v>5484</v>
      </c>
      <c r="F354" s="14" t="n">
        <v>439</v>
      </c>
      <c r="G354" s="14" t="n">
        <v>92</v>
      </c>
      <c r="H354" s="14" t="s">
        <v>62</v>
      </c>
      <c r="I354" s="14" t="n">
        <v>0.67</v>
      </c>
      <c r="J354" s="14" t="n">
        <v>12.5</v>
      </c>
      <c r="K354" s="14" t="s">
        <v>59</v>
      </c>
      <c r="L354" s="14" t="n">
        <v>2015</v>
      </c>
      <c r="M354" s="14" t="n">
        <v>8.60959004068221</v>
      </c>
      <c r="N354" s="14" t="n">
        <v>4.82839373410247</v>
      </c>
      <c r="P354" s="14" t="n">
        <f aca="false">D354</f>
        <v>125</v>
      </c>
      <c r="Q354" s="14" t="n">
        <f aca="false">G354</f>
        <v>92</v>
      </c>
      <c r="R354" s="14" t="n">
        <f aca="false">J354</f>
        <v>12.5</v>
      </c>
      <c r="S354" s="14" t="n">
        <f aca="false">IF($L354=2012,1,0)</f>
        <v>0</v>
      </c>
      <c r="T354" s="14" t="n">
        <f aca="false">IF($L354=2013,1,0)</f>
        <v>0</v>
      </c>
      <c r="U354" s="14" t="n">
        <f aca="false">IF($L354=2014,1,0)</f>
        <v>0</v>
      </c>
      <c r="V354" s="14" t="n">
        <f aca="false">IF($L354=2015,1,0)</f>
        <v>1</v>
      </c>
      <c r="W354" s="14" t="n">
        <f aca="false">IF($L354=2016,1,0)</f>
        <v>0</v>
      </c>
      <c r="X354" s="14" t="n">
        <f aca="false">IF($L354=2017,1,0)</f>
        <v>0</v>
      </c>
      <c r="Y354" s="14" t="n">
        <f aca="false">IF($H354="Beginner Level",1,0)</f>
        <v>0</v>
      </c>
      <c r="Z354" s="14" t="n">
        <f aca="false">IF($H354="Expert Level",1,0)</f>
        <v>0</v>
      </c>
      <c r="AA354" s="14" t="n">
        <f aca="false">IF($H354="Intermediate Level",1,0)</f>
        <v>0</v>
      </c>
      <c r="AC354" s="14" t="n">
        <f aca="false">N354</f>
        <v>4.82839373410247</v>
      </c>
      <c r="AD354" s="14" t="n">
        <f aca="false">G354</f>
        <v>92</v>
      </c>
      <c r="AE354" s="14" t="n">
        <f aca="false">J354</f>
        <v>12.5</v>
      </c>
      <c r="AF354" s="14" t="n">
        <f aca="false">IF($L354=2012,1,0)</f>
        <v>0</v>
      </c>
      <c r="AG354" s="14" t="n">
        <f aca="false">IF($L354=2013,1,0)</f>
        <v>0</v>
      </c>
      <c r="AH354" s="14" t="n">
        <f aca="false">IF($L354=2014,1,0)</f>
        <v>0</v>
      </c>
      <c r="AI354" s="14" t="n">
        <f aca="false">IF($L354=2015,1,0)</f>
        <v>1</v>
      </c>
      <c r="AJ354" s="14" t="n">
        <f aca="false">IF($L354=2016,1,0)</f>
        <v>0</v>
      </c>
      <c r="AK354" s="14" t="n">
        <f aca="false">IF($L354=2017,1,0)</f>
        <v>0</v>
      </c>
      <c r="AL354" s="14" t="n">
        <f aca="false">IF($H354="Beginner Level",1,0)</f>
        <v>0</v>
      </c>
      <c r="AM354" s="14" t="n">
        <f aca="false">IF($H354="Expert Level",1,0)</f>
        <v>0</v>
      </c>
      <c r="AN354" s="14" t="n">
        <f aca="false">IF($H354="Intermediate Level",1,0)</f>
        <v>0</v>
      </c>
    </row>
    <row r="355" customFormat="false" ht="46.25" hidden="false" customHeight="false" outlineLevel="0" collapsed="false">
      <c r="A355" s="14" t="n">
        <v>72262</v>
      </c>
      <c r="B355" s="14" t="s">
        <v>753</v>
      </c>
      <c r="C355" s="14" t="s">
        <v>754</v>
      </c>
      <c r="D355" s="14" t="n">
        <v>100</v>
      </c>
      <c r="E355" s="14" t="n">
        <v>5456</v>
      </c>
      <c r="F355" s="14" t="n">
        <v>133</v>
      </c>
      <c r="G355" s="14" t="n">
        <v>25</v>
      </c>
      <c r="H355" s="14" t="s">
        <v>52</v>
      </c>
      <c r="I355" s="14" t="n">
        <v>0.8</v>
      </c>
      <c r="J355" s="14" t="n">
        <v>1</v>
      </c>
      <c r="K355" s="14" t="s">
        <v>59</v>
      </c>
      <c r="L355" s="14" t="n">
        <v>2013</v>
      </c>
      <c r="M355" s="14" t="n">
        <v>8.6044711995233</v>
      </c>
      <c r="N355" s="14" t="n">
        <v>4.60527018098843</v>
      </c>
      <c r="P355" s="14" t="n">
        <f aca="false">D355</f>
        <v>100</v>
      </c>
      <c r="Q355" s="14" t="n">
        <f aca="false">G355</f>
        <v>25</v>
      </c>
      <c r="R355" s="14" t="n">
        <f aca="false">J355</f>
        <v>1</v>
      </c>
      <c r="S355" s="14" t="n">
        <f aca="false">IF($L355=2012,1,0)</f>
        <v>0</v>
      </c>
      <c r="T355" s="14" t="n">
        <f aca="false">IF($L355=2013,1,0)</f>
        <v>1</v>
      </c>
      <c r="U355" s="14" t="n">
        <f aca="false">IF($L355=2014,1,0)</f>
        <v>0</v>
      </c>
      <c r="V355" s="14" t="n">
        <f aca="false">IF($L355=2015,1,0)</f>
        <v>0</v>
      </c>
      <c r="W355" s="14" t="n">
        <f aca="false">IF($L355=2016,1,0)</f>
        <v>0</v>
      </c>
      <c r="X355" s="14" t="n">
        <f aca="false">IF($L355=2017,1,0)</f>
        <v>0</v>
      </c>
      <c r="Y355" s="14" t="n">
        <f aca="false">IF($H355="Beginner Level",1,0)</f>
        <v>1</v>
      </c>
      <c r="Z355" s="14" t="n">
        <f aca="false">IF($H355="Expert Level",1,0)</f>
        <v>0</v>
      </c>
      <c r="AA355" s="14" t="n">
        <f aca="false">IF($H355="Intermediate Level",1,0)</f>
        <v>0</v>
      </c>
      <c r="AC355" s="14" t="n">
        <f aca="false">N355</f>
        <v>4.60527018098843</v>
      </c>
      <c r="AD355" s="14" t="n">
        <f aca="false">G355</f>
        <v>25</v>
      </c>
      <c r="AE355" s="14" t="n">
        <f aca="false">J355</f>
        <v>1</v>
      </c>
      <c r="AF355" s="14" t="n">
        <f aca="false">IF($L355=2012,1,0)</f>
        <v>0</v>
      </c>
      <c r="AG355" s="14" t="n">
        <f aca="false">IF($L355=2013,1,0)</f>
        <v>1</v>
      </c>
      <c r="AH355" s="14" t="n">
        <f aca="false">IF($L355=2014,1,0)</f>
        <v>0</v>
      </c>
      <c r="AI355" s="14" t="n">
        <f aca="false">IF($L355=2015,1,0)</f>
        <v>0</v>
      </c>
      <c r="AJ355" s="14" t="n">
        <f aca="false">IF($L355=2016,1,0)</f>
        <v>0</v>
      </c>
      <c r="AK355" s="14" t="n">
        <f aca="false">IF($L355=2017,1,0)</f>
        <v>0</v>
      </c>
      <c r="AL355" s="14" t="n">
        <f aca="false">IF($H355="Beginner Level",1,0)</f>
        <v>1</v>
      </c>
      <c r="AM355" s="14" t="n">
        <f aca="false">IF($H355="Expert Level",1,0)</f>
        <v>0</v>
      </c>
      <c r="AN355" s="14" t="n">
        <f aca="false">IF($H355="Intermediate Level",1,0)</f>
        <v>0</v>
      </c>
    </row>
    <row r="356" customFormat="false" ht="68.65" hidden="false" customHeight="false" outlineLevel="0" collapsed="false">
      <c r="A356" s="14" t="n">
        <v>1229274</v>
      </c>
      <c r="B356" s="14" t="s">
        <v>755</v>
      </c>
      <c r="C356" s="14" t="s">
        <v>756</v>
      </c>
      <c r="D356" s="14" t="n">
        <v>200</v>
      </c>
      <c r="E356" s="14" t="n">
        <v>5439</v>
      </c>
      <c r="F356" s="14" t="n">
        <v>22</v>
      </c>
      <c r="G356" s="14" t="n">
        <v>24</v>
      </c>
      <c r="H356" s="14" t="s">
        <v>52</v>
      </c>
      <c r="I356" s="14" t="n">
        <v>0.94</v>
      </c>
      <c r="J356" s="14" t="n">
        <v>4</v>
      </c>
      <c r="K356" s="14" t="s">
        <v>59</v>
      </c>
      <c r="L356" s="14" t="n">
        <v>2017</v>
      </c>
      <c r="M356" s="14" t="n">
        <v>8.60135049942296</v>
      </c>
      <c r="N356" s="14" t="n">
        <v>5.29836736529808</v>
      </c>
      <c r="P356" s="14" t="n">
        <f aca="false">D356</f>
        <v>200</v>
      </c>
      <c r="Q356" s="14" t="n">
        <f aca="false">G356</f>
        <v>24</v>
      </c>
      <c r="R356" s="14" t="n">
        <f aca="false">J356</f>
        <v>4</v>
      </c>
      <c r="S356" s="14" t="n">
        <f aca="false">IF($L356=2012,1,0)</f>
        <v>0</v>
      </c>
      <c r="T356" s="14" t="n">
        <f aca="false">IF($L356=2013,1,0)</f>
        <v>0</v>
      </c>
      <c r="U356" s="14" t="n">
        <f aca="false">IF($L356=2014,1,0)</f>
        <v>0</v>
      </c>
      <c r="V356" s="14" t="n">
        <f aca="false">IF($L356=2015,1,0)</f>
        <v>0</v>
      </c>
      <c r="W356" s="14" t="n">
        <f aca="false">IF($L356=2016,1,0)</f>
        <v>0</v>
      </c>
      <c r="X356" s="14" t="n">
        <f aca="false">IF($L356=2017,1,0)</f>
        <v>1</v>
      </c>
      <c r="Y356" s="14" t="n">
        <f aca="false">IF($H356="Beginner Level",1,0)</f>
        <v>1</v>
      </c>
      <c r="Z356" s="14" t="n">
        <f aca="false">IF($H356="Expert Level",1,0)</f>
        <v>0</v>
      </c>
      <c r="AA356" s="14" t="n">
        <f aca="false">IF($H356="Intermediate Level",1,0)</f>
        <v>0</v>
      </c>
      <c r="AC356" s="14" t="n">
        <f aca="false">N356</f>
        <v>5.29836736529808</v>
      </c>
      <c r="AD356" s="14" t="n">
        <f aca="false">G356</f>
        <v>24</v>
      </c>
      <c r="AE356" s="14" t="n">
        <f aca="false">J356</f>
        <v>4</v>
      </c>
      <c r="AF356" s="14" t="n">
        <f aca="false">IF($L356=2012,1,0)</f>
        <v>0</v>
      </c>
      <c r="AG356" s="14" t="n">
        <f aca="false">IF($L356=2013,1,0)</f>
        <v>0</v>
      </c>
      <c r="AH356" s="14" t="n">
        <f aca="false">IF($L356=2014,1,0)</f>
        <v>0</v>
      </c>
      <c r="AI356" s="14" t="n">
        <f aca="false">IF($L356=2015,1,0)</f>
        <v>0</v>
      </c>
      <c r="AJ356" s="14" t="n">
        <f aca="false">IF($L356=2016,1,0)</f>
        <v>0</v>
      </c>
      <c r="AK356" s="14" t="n">
        <f aca="false">IF($L356=2017,1,0)</f>
        <v>1</v>
      </c>
      <c r="AL356" s="14" t="n">
        <f aca="false">IF($H356="Beginner Level",1,0)</f>
        <v>1</v>
      </c>
      <c r="AM356" s="14" t="n">
        <f aca="false">IF($H356="Expert Level",1,0)</f>
        <v>0</v>
      </c>
      <c r="AN356" s="14" t="n">
        <f aca="false">IF($H356="Intermediate Level",1,0)</f>
        <v>0</v>
      </c>
    </row>
    <row r="357" customFormat="false" ht="68.65" hidden="false" customHeight="false" outlineLevel="0" collapsed="false">
      <c r="A357" s="14" t="n">
        <v>374590</v>
      </c>
      <c r="B357" s="14" t="s">
        <v>757</v>
      </c>
      <c r="C357" s="14" t="s">
        <v>758</v>
      </c>
      <c r="D357" s="14" t="n">
        <v>0</v>
      </c>
      <c r="E357" s="14" t="n">
        <v>5421</v>
      </c>
      <c r="F357" s="14" t="n">
        <v>93</v>
      </c>
      <c r="G357" s="14" t="n">
        <v>20</v>
      </c>
      <c r="H357" s="14" t="s">
        <v>52</v>
      </c>
      <c r="I357" s="14" t="n">
        <v>0.34</v>
      </c>
      <c r="J357" s="14" t="n">
        <v>1.5</v>
      </c>
      <c r="K357" s="14" t="s">
        <v>53</v>
      </c>
      <c r="L357" s="14" t="n">
        <v>2015</v>
      </c>
      <c r="M357" s="14" t="n">
        <v>8.59803557926034</v>
      </c>
      <c r="N357" s="14" t="n">
        <v>-4.60517018598809</v>
      </c>
      <c r="P357" s="14" t="n">
        <f aca="false">D357</f>
        <v>0</v>
      </c>
      <c r="Q357" s="14" t="n">
        <f aca="false">G357</f>
        <v>20</v>
      </c>
      <c r="R357" s="14" t="n">
        <f aca="false">J357</f>
        <v>1.5</v>
      </c>
      <c r="S357" s="14" t="n">
        <f aca="false">IF($L357=2012,1,0)</f>
        <v>0</v>
      </c>
      <c r="T357" s="14" t="n">
        <f aca="false">IF($L357=2013,1,0)</f>
        <v>0</v>
      </c>
      <c r="U357" s="14" t="n">
        <f aca="false">IF($L357=2014,1,0)</f>
        <v>0</v>
      </c>
      <c r="V357" s="14" t="n">
        <f aca="false">IF($L357=2015,1,0)</f>
        <v>1</v>
      </c>
      <c r="W357" s="14" t="n">
        <f aca="false">IF($L357=2016,1,0)</f>
        <v>0</v>
      </c>
      <c r="X357" s="14" t="n">
        <f aca="false">IF($L357=2017,1,0)</f>
        <v>0</v>
      </c>
      <c r="Y357" s="14" t="n">
        <f aca="false">IF($H357="Beginner Level",1,0)</f>
        <v>1</v>
      </c>
      <c r="Z357" s="14" t="n">
        <f aca="false">IF($H357="Expert Level",1,0)</f>
        <v>0</v>
      </c>
      <c r="AA357" s="14" t="n">
        <f aca="false">IF($H357="Intermediate Level",1,0)</f>
        <v>0</v>
      </c>
      <c r="AC357" s="14" t="n">
        <f aca="false">N357</f>
        <v>-4.60517018598809</v>
      </c>
      <c r="AD357" s="14" t="n">
        <f aca="false">G357</f>
        <v>20</v>
      </c>
      <c r="AE357" s="14" t="n">
        <f aca="false">J357</f>
        <v>1.5</v>
      </c>
      <c r="AF357" s="14" t="n">
        <f aca="false">IF($L357=2012,1,0)</f>
        <v>0</v>
      </c>
      <c r="AG357" s="14" t="n">
        <f aca="false">IF($L357=2013,1,0)</f>
        <v>0</v>
      </c>
      <c r="AH357" s="14" t="n">
        <f aca="false">IF($L357=2014,1,0)</f>
        <v>0</v>
      </c>
      <c r="AI357" s="14" t="n">
        <f aca="false">IF($L357=2015,1,0)</f>
        <v>1</v>
      </c>
      <c r="AJ357" s="14" t="n">
        <f aca="false">IF($L357=2016,1,0)</f>
        <v>0</v>
      </c>
      <c r="AK357" s="14" t="n">
        <f aca="false">IF($L357=2017,1,0)</f>
        <v>0</v>
      </c>
      <c r="AL357" s="14" t="n">
        <f aca="false">IF($H357="Beginner Level",1,0)</f>
        <v>1</v>
      </c>
      <c r="AM357" s="14" t="n">
        <f aca="false">IF($H357="Expert Level",1,0)</f>
        <v>0</v>
      </c>
      <c r="AN357" s="14" t="n">
        <f aca="false">IF($H357="Intermediate Level",1,0)</f>
        <v>0</v>
      </c>
    </row>
    <row r="358" customFormat="false" ht="57.45" hidden="false" customHeight="false" outlineLevel="0" collapsed="false">
      <c r="A358" s="14" t="n">
        <v>297044</v>
      </c>
      <c r="B358" s="14" t="s">
        <v>759</v>
      </c>
      <c r="C358" s="14" t="s">
        <v>760</v>
      </c>
      <c r="D358" s="14" t="n">
        <v>50</v>
      </c>
      <c r="E358" s="14" t="n">
        <v>5398</v>
      </c>
      <c r="F358" s="14" t="n">
        <v>358</v>
      </c>
      <c r="G358" s="14" t="n">
        <v>83</v>
      </c>
      <c r="H358" s="14" t="s">
        <v>52</v>
      </c>
      <c r="I358" s="14" t="n">
        <v>0.58</v>
      </c>
      <c r="J358" s="14" t="n">
        <v>10.5</v>
      </c>
      <c r="K358" s="14" t="s">
        <v>59</v>
      </c>
      <c r="L358" s="14" t="n">
        <v>2014</v>
      </c>
      <c r="M358" s="14" t="n">
        <v>8.59378379357795</v>
      </c>
      <c r="N358" s="14" t="n">
        <v>3.91222298543081</v>
      </c>
      <c r="P358" s="14" t="n">
        <f aca="false">D358</f>
        <v>50</v>
      </c>
      <c r="Q358" s="14" t="n">
        <f aca="false">G358</f>
        <v>83</v>
      </c>
      <c r="R358" s="14" t="n">
        <f aca="false">J358</f>
        <v>10.5</v>
      </c>
      <c r="S358" s="14" t="n">
        <f aca="false">IF($L358=2012,1,0)</f>
        <v>0</v>
      </c>
      <c r="T358" s="14" t="n">
        <f aca="false">IF($L358=2013,1,0)</f>
        <v>0</v>
      </c>
      <c r="U358" s="14" t="n">
        <f aca="false">IF($L358=2014,1,0)</f>
        <v>1</v>
      </c>
      <c r="V358" s="14" t="n">
        <f aca="false">IF($L358=2015,1,0)</f>
        <v>0</v>
      </c>
      <c r="W358" s="14" t="n">
        <f aca="false">IF($L358=2016,1,0)</f>
        <v>0</v>
      </c>
      <c r="X358" s="14" t="n">
        <f aca="false">IF($L358=2017,1,0)</f>
        <v>0</v>
      </c>
      <c r="Y358" s="14" t="n">
        <f aca="false">IF($H358="Beginner Level",1,0)</f>
        <v>1</v>
      </c>
      <c r="Z358" s="14" t="n">
        <f aca="false">IF($H358="Expert Level",1,0)</f>
        <v>0</v>
      </c>
      <c r="AA358" s="14" t="n">
        <f aca="false">IF($H358="Intermediate Level",1,0)</f>
        <v>0</v>
      </c>
      <c r="AC358" s="14" t="n">
        <f aca="false">N358</f>
        <v>3.91222298543081</v>
      </c>
      <c r="AD358" s="14" t="n">
        <f aca="false">G358</f>
        <v>83</v>
      </c>
      <c r="AE358" s="14" t="n">
        <f aca="false">J358</f>
        <v>10.5</v>
      </c>
      <c r="AF358" s="14" t="n">
        <f aca="false">IF($L358=2012,1,0)</f>
        <v>0</v>
      </c>
      <c r="AG358" s="14" t="n">
        <f aca="false">IF($L358=2013,1,0)</f>
        <v>0</v>
      </c>
      <c r="AH358" s="14" t="n">
        <f aca="false">IF($L358=2014,1,0)</f>
        <v>1</v>
      </c>
      <c r="AI358" s="14" t="n">
        <f aca="false">IF($L358=2015,1,0)</f>
        <v>0</v>
      </c>
      <c r="AJ358" s="14" t="n">
        <f aca="false">IF($L358=2016,1,0)</f>
        <v>0</v>
      </c>
      <c r="AK358" s="14" t="n">
        <f aca="false">IF($L358=2017,1,0)</f>
        <v>0</v>
      </c>
      <c r="AL358" s="14" t="n">
        <f aca="false">IF($H358="Beginner Level",1,0)</f>
        <v>1</v>
      </c>
      <c r="AM358" s="14" t="n">
        <f aca="false">IF($H358="Expert Level",1,0)</f>
        <v>0</v>
      </c>
      <c r="AN358" s="14" t="n">
        <f aca="false">IF($H358="Intermediate Level",1,0)</f>
        <v>0</v>
      </c>
    </row>
    <row r="359" customFormat="false" ht="57.45" hidden="false" customHeight="false" outlineLevel="0" collapsed="false">
      <c r="A359" s="14" t="n">
        <v>1127988</v>
      </c>
      <c r="B359" s="14" t="s">
        <v>761</v>
      </c>
      <c r="C359" s="14" t="s">
        <v>762</v>
      </c>
      <c r="D359" s="14" t="n">
        <v>0</v>
      </c>
      <c r="E359" s="14" t="n">
        <v>5397</v>
      </c>
      <c r="F359" s="14" t="n">
        <v>112</v>
      </c>
      <c r="G359" s="14" t="n">
        <v>36</v>
      </c>
      <c r="H359" s="14" t="s">
        <v>62</v>
      </c>
      <c r="I359" s="14" t="n">
        <v>0.14</v>
      </c>
      <c r="J359" s="14" t="n">
        <v>2.5</v>
      </c>
      <c r="K359" s="14" t="s">
        <v>53</v>
      </c>
      <c r="L359" s="14" t="n">
        <v>2017</v>
      </c>
      <c r="M359" s="14" t="n">
        <v>8.59359852261864</v>
      </c>
      <c r="N359" s="14" t="n">
        <v>-4.60517018598809</v>
      </c>
      <c r="P359" s="14" t="n">
        <f aca="false">D359</f>
        <v>0</v>
      </c>
      <c r="Q359" s="14" t="n">
        <f aca="false">G359</f>
        <v>36</v>
      </c>
      <c r="R359" s="14" t="n">
        <f aca="false">J359</f>
        <v>2.5</v>
      </c>
      <c r="S359" s="14" t="n">
        <f aca="false">IF($L359=2012,1,0)</f>
        <v>0</v>
      </c>
      <c r="T359" s="14" t="n">
        <f aca="false">IF($L359=2013,1,0)</f>
        <v>0</v>
      </c>
      <c r="U359" s="14" t="n">
        <f aca="false">IF($L359=2014,1,0)</f>
        <v>0</v>
      </c>
      <c r="V359" s="14" t="n">
        <f aca="false">IF($L359=2015,1,0)</f>
        <v>0</v>
      </c>
      <c r="W359" s="14" t="n">
        <f aca="false">IF($L359=2016,1,0)</f>
        <v>0</v>
      </c>
      <c r="X359" s="14" t="n">
        <f aca="false">IF($L359=2017,1,0)</f>
        <v>1</v>
      </c>
      <c r="Y359" s="14" t="n">
        <f aca="false">IF($H359="Beginner Level",1,0)</f>
        <v>0</v>
      </c>
      <c r="Z359" s="14" t="n">
        <f aca="false">IF($H359="Expert Level",1,0)</f>
        <v>0</v>
      </c>
      <c r="AA359" s="14" t="n">
        <f aca="false">IF($H359="Intermediate Level",1,0)</f>
        <v>0</v>
      </c>
      <c r="AC359" s="14" t="n">
        <f aca="false">N359</f>
        <v>-4.60517018598809</v>
      </c>
      <c r="AD359" s="14" t="n">
        <f aca="false">G359</f>
        <v>36</v>
      </c>
      <c r="AE359" s="14" t="n">
        <f aca="false">J359</f>
        <v>2.5</v>
      </c>
      <c r="AF359" s="14" t="n">
        <f aca="false">IF($L359=2012,1,0)</f>
        <v>0</v>
      </c>
      <c r="AG359" s="14" t="n">
        <f aca="false">IF($L359=2013,1,0)</f>
        <v>0</v>
      </c>
      <c r="AH359" s="14" t="n">
        <f aca="false">IF($L359=2014,1,0)</f>
        <v>0</v>
      </c>
      <c r="AI359" s="14" t="n">
        <f aca="false">IF($L359=2015,1,0)</f>
        <v>0</v>
      </c>
      <c r="AJ359" s="14" t="n">
        <f aca="false">IF($L359=2016,1,0)</f>
        <v>0</v>
      </c>
      <c r="AK359" s="14" t="n">
        <f aca="false">IF($L359=2017,1,0)</f>
        <v>1</v>
      </c>
      <c r="AL359" s="14" t="n">
        <f aca="false">IF($H359="Beginner Level",1,0)</f>
        <v>0</v>
      </c>
      <c r="AM359" s="14" t="n">
        <f aca="false">IF($H359="Expert Level",1,0)</f>
        <v>0</v>
      </c>
      <c r="AN359" s="14" t="n">
        <f aca="false">IF($H359="Intermediate Level",1,0)</f>
        <v>0</v>
      </c>
    </row>
    <row r="360" customFormat="false" ht="46.25" hidden="false" customHeight="false" outlineLevel="0" collapsed="false">
      <c r="A360" s="14" t="n">
        <v>342084</v>
      </c>
      <c r="B360" s="14" t="s">
        <v>763</v>
      </c>
      <c r="C360" s="14" t="s">
        <v>764</v>
      </c>
      <c r="D360" s="14" t="n">
        <v>40</v>
      </c>
      <c r="E360" s="14" t="n">
        <v>5387</v>
      </c>
      <c r="F360" s="14" t="n">
        <v>38</v>
      </c>
      <c r="G360" s="14" t="n">
        <v>15</v>
      </c>
      <c r="H360" s="14" t="s">
        <v>62</v>
      </c>
      <c r="I360" s="14" t="n">
        <v>0.96</v>
      </c>
      <c r="J360" s="14" t="n">
        <v>1</v>
      </c>
      <c r="K360" s="14" t="s">
        <v>59</v>
      </c>
      <c r="L360" s="14" t="n">
        <v>2015</v>
      </c>
      <c r="M360" s="14" t="n">
        <v>8.59174392268053</v>
      </c>
      <c r="N360" s="14" t="n">
        <v>3.68912942286914</v>
      </c>
      <c r="P360" s="14" t="n">
        <f aca="false">D360</f>
        <v>40</v>
      </c>
      <c r="Q360" s="14" t="n">
        <f aca="false">G360</f>
        <v>15</v>
      </c>
      <c r="R360" s="14" t="n">
        <f aca="false">J360</f>
        <v>1</v>
      </c>
      <c r="S360" s="14" t="n">
        <f aca="false">IF($L360=2012,1,0)</f>
        <v>0</v>
      </c>
      <c r="T360" s="14" t="n">
        <f aca="false">IF($L360=2013,1,0)</f>
        <v>0</v>
      </c>
      <c r="U360" s="14" t="n">
        <f aca="false">IF($L360=2014,1,0)</f>
        <v>0</v>
      </c>
      <c r="V360" s="14" t="n">
        <f aca="false">IF($L360=2015,1,0)</f>
        <v>1</v>
      </c>
      <c r="W360" s="14" t="n">
        <f aca="false">IF($L360=2016,1,0)</f>
        <v>0</v>
      </c>
      <c r="X360" s="14" t="n">
        <f aca="false">IF($L360=2017,1,0)</f>
        <v>0</v>
      </c>
      <c r="Y360" s="14" t="n">
        <f aca="false">IF($H360="Beginner Level",1,0)</f>
        <v>0</v>
      </c>
      <c r="Z360" s="14" t="n">
        <f aca="false">IF($H360="Expert Level",1,0)</f>
        <v>0</v>
      </c>
      <c r="AA360" s="14" t="n">
        <f aca="false">IF($H360="Intermediate Level",1,0)</f>
        <v>0</v>
      </c>
      <c r="AC360" s="14" t="n">
        <f aca="false">N360</f>
        <v>3.68912942286914</v>
      </c>
      <c r="AD360" s="14" t="n">
        <f aca="false">G360</f>
        <v>15</v>
      </c>
      <c r="AE360" s="14" t="n">
        <f aca="false">J360</f>
        <v>1</v>
      </c>
      <c r="AF360" s="14" t="n">
        <f aca="false">IF($L360=2012,1,0)</f>
        <v>0</v>
      </c>
      <c r="AG360" s="14" t="n">
        <f aca="false">IF($L360=2013,1,0)</f>
        <v>0</v>
      </c>
      <c r="AH360" s="14" t="n">
        <f aca="false">IF($L360=2014,1,0)</f>
        <v>0</v>
      </c>
      <c r="AI360" s="14" t="n">
        <f aca="false">IF($L360=2015,1,0)</f>
        <v>1</v>
      </c>
      <c r="AJ360" s="14" t="n">
        <f aca="false">IF($L360=2016,1,0)</f>
        <v>0</v>
      </c>
      <c r="AK360" s="14" t="n">
        <f aca="false">IF($L360=2017,1,0)</f>
        <v>0</v>
      </c>
      <c r="AL360" s="14" t="n">
        <f aca="false">IF($H360="Beginner Level",1,0)</f>
        <v>0</v>
      </c>
      <c r="AM360" s="14" t="n">
        <f aca="false">IF($H360="Expert Level",1,0)</f>
        <v>0</v>
      </c>
      <c r="AN360" s="14" t="n">
        <f aca="false">IF($H360="Intermediate Level",1,0)</f>
        <v>0</v>
      </c>
    </row>
    <row r="361" customFormat="false" ht="68.65" hidden="false" customHeight="false" outlineLevel="0" collapsed="false">
      <c r="A361" s="14" t="n">
        <v>573716</v>
      </c>
      <c r="B361" s="14" t="s">
        <v>765</v>
      </c>
      <c r="C361" s="14" t="s">
        <v>766</v>
      </c>
      <c r="D361" s="14" t="n">
        <v>35</v>
      </c>
      <c r="E361" s="14" t="n">
        <v>5368</v>
      </c>
      <c r="F361" s="14" t="n">
        <v>78</v>
      </c>
      <c r="G361" s="14" t="n">
        <v>20</v>
      </c>
      <c r="H361" s="14" t="s">
        <v>62</v>
      </c>
      <c r="I361" s="14" t="n">
        <v>0.32</v>
      </c>
      <c r="J361" s="14" t="n">
        <v>2</v>
      </c>
      <c r="K361" s="14" t="s">
        <v>59</v>
      </c>
      <c r="L361" s="14" t="n">
        <v>2015</v>
      </c>
      <c r="M361" s="14" t="n">
        <v>8.58821067865152</v>
      </c>
      <c r="N361" s="14" t="n">
        <v>3.55563373496657</v>
      </c>
      <c r="P361" s="14" t="n">
        <f aca="false">D361</f>
        <v>35</v>
      </c>
      <c r="Q361" s="14" t="n">
        <f aca="false">G361</f>
        <v>20</v>
      </c>
      <c r="R361" s="14" t="n">
        <f aca="false">J361</f>
        <v>2</v>
      </c>
      <c r="S361" s="14" t="n">
        <f aca="false">IF($L361=2012,1,0)</f>
        <v>0</v>
      </c>
      <c r="T361" s="14" t="n">
        <f aca="false">IF($L361=2013,1,0)</f>
        <v>0</v>
      </c>
      <c r="U361" s="14" t="n">
        <f aca="false">IF($L361=2014,1,0)</f>
        <v>0</v>
      </c>
      <c r="V361" s="14" t="n">
        <f aca="false">IF($L361=2015,1,0)</f>
        <v>1</v>
      </c>
      <c r="W361" s="14" t="n">
        <f aca="false">IF($L361=2016,1,0)</f>
        <v>0</v>
      </c>
      <c r="X361" s="14" t="n">
        <f aca="false">IF($L361=2017,1,0)</f>
        <v>0</v>
      </c>
      <c r="Y361" s="14" t="n">
        <f aca="false">IF($H361="Beginner Level",1,0)</f>
        <v>0</v>
      </c>
      <c r="Z361" s="14" t="n">
        <f aca="false">IF($H361="Expert Level",1,0)</f>
        <v>0</v>
      </c>
      <c r="AA361" s="14" t="n">
        <f aca="false">IF($H361="Intermediate Level",1,0)</f>
        <v>0</v>
      </c>
      <c r="AC361" s="14" t="n">
        <f aca="false">N361</f>
        <v>3.55563373496657</v>
      </c>
      <c r="AD361" s="14" t="n">
        <f aca="false">G361</f>
        <v>20</v>
      </c>
      <c r="AE361" s="14" t="n">
        <f aca="false">J361</f>
        <v>2</v>
      </c>
      <c r="AF361" s="14" t="n">
        <f aca="false">IF($L361=2012,1,0)</f>
        <v>0</v>
      </c>
      <c r="AG361" s="14" t="n">
        <f aca="false">IF($L361=2013,1,0)</f>
        <v>0</v>
      </c>
      <c r="AH361" s="14" t="n">
        <f aca="false">IF($L361=2014,1,0)</f>
        <v>0</v>
      </c>
      <c r="AI361" s="14" t="n">
        <f aca="false">IF($L361=2015,1,0)</f>
        <v>1</v>
      </c>
      <c r="AJ361" s="14" t="n">
        <f aca="false">IF($L361=2016,1,0)</f>
        <v>0</v>
      </c>
      <c r="AK361" s="14" t="n">
        <f aca="false">IF($L361=2017,1,0)</f>
        <v>0</v>
      </c>
      <c r="AL361" s="14" t="n">
        <f aca="false">IF($H361="Beginner Level",1,0)</f>
        <v>0</v>
      </c>
      <c r="AM361" s="14" t="n">
        <f aca="false">IF($H361="Expert Level",1,0)</f>
        <v>0</v>
      </c>
      <c r="AN361" s="14" t="n">
        <f aca="false">IF($H361="Intermediate Level",1,0)</f>
        <v>0</v>
      </c>
    </row>
    <row r="362" customFormat="false" ht="46.25" hidden="false" customHeight="false" outlineLevel="0" collapsed="false">
      <c r="A362" s="14" t="n">
        <v>846210</v>
      </c>
      <c r="B362" s="14" t="s">
        <v>767</v>
      </c>
      <c r="C362" s="14" t="s">
        <v>768</v>
      </c>
      <c r="D362" s="14" t="n">
        <v>0</v>
      </c>
      <c r="E362" s="14" t="n">
        <v>5351</v>
      </c>
      <c r="F362" s="14" t="n">
        <v>235</v>
      </c>
      <c r="G362" s="14" t="n">
        <v>13</v>
      </c>
      <c r="H362" s="14" t="s">
        <v>71</v>
      </c>
      <c r="I362" s="14" t="n">
        <v>0.76</v>
      </c>
      <c r="J362" s="14" t="n">
        <v>1.5</v>
      </c>
      <c r="K362" s="14" t="s">
        <v>53</v>
      </c>
      <c r="L362" s="14" t="n">
        <v>2016</v>
      </c>
      <c r="M362" s="14" t="n">
        <v>8.5850387383113</v>
      </c>
      <c r="N362" s="14" t="n">
        <v>-4.60517018598809</v>
      </c>
      <c r="P362" s="14" t="n">
        <f aca="false">D362</f>
        <v>0</v>
      </c>
      <c r="Q362" s="14" t="n">
        <f aca="false">G362</f>
        <v>13</v>
      </c>
      <c r="R362" s="14" t="n">
        <f aca="false">J362</f>
        <v>1.5</v>
      </c>
      <c r="S362" s="14" t="n">
        <f aca="false">IF($L362=2012,1,0)</f>
        <v>0</v>
      </c>
      <c r="T362" s="14" t="n">
        <f aca="false">IF($L362=2013,1,0)</f>
        <v>0</v>
      </c>
      <c r="U362" s="14" t="n">
        <f aca="false">IF($L362=2014,1,0)</f>
        <v>0</v>
      </c>
      <c r="V362" s="14" t="n">
        <f aca="false">IF($L362=2015,1,0)</f>
        <v>0</v>
      </c>
      <c r="W362" s="14" t="n">
        <f aca="false">IF($L362=2016,1,0)</f>
        <v>1</v>
      </c>
      <c r="X362" s="14" t="n">
        <f aca="false">IF($L362=2017,1,0)</f>
        <v>0</v>
      </c>
      <c r="Y362" s="14" t="n">
        <f aca="false">IF($H362="Beginner Level",1,0)</f>
        <v>0</v>
      </c>
      <c r="Z362" s="14" t="n">
        <f aca="false">IF($H362="Expert Level",1,0)</f>
        <v>0</v>
      </c>
      <c r="AA362" s="14" t="n">
        <f aca="false">IF($H362="Intermediate Level",1,0)</f>
        <v>1</v>
      </c>
      <c r="AC362" s="14" t="n">
        <f aca="false">N362</f>
        <v>-4.60517018598809</v>
      </c>
      <c r="AD362" s="14" t="n">
        <f aca="false">G362</f>
        <v>13</v>
      </c>
      <c r="AE362" s="14" t="n">
        <f aca="false">J362</f>
        <v>1.5</v>
      </c>
      <c r="AF362" s="14" t="n">
        <f aca="false">IF($L362=2012,1,0)</f>
        <v>0</v>
      </c>
      <c r="AG362" s="14" t="n">
        <f aca="false">IF($L362=2013,1,0)</f>
        <v>0</v>
      </c>
      <c r="AH362" s="14" t="n">
        <f aca="false">IF($L362=2014,1,0)</f>
        <v>0</v>
      </c>
      <c r="AI362" s="14" t="n">
        <f aca="false">IF($L362=2015,1,0)</f>
        <v>0</v>
      </c>
      <c r="AJ362" s="14" t="n">
        <f aca="false">IF($L362=2016,1,0)</f>
        <v>1</v>
      </c>
      <c r="AK362" s="14" t="n">
        <f aca="false">IF($L362=2017,1,0)</f>
        <v>0</v>
      </c>
      <c r="AL362" s="14" t="n">
        <f aca="false">IF($H362="Beginner Level",1,0)</f>
        <v>0</v>
      </c>
      <c r="AM362" s="14" t="n">
        <f aca="false">IF($H362="Expert Level",1,0)</f>
        <v>0</v>
      </c>
      <c r="AN362" s="14" t="n">
        <f aca="false">IF($H362="Intermediate Level",1,0)</f>
        <v>1</v>
      </c>
    </row>
    <row r="363" customFormat="false" ht="102.2" hidden="false" customHeight="false" outlineLevel="0" collapsed="false">
      <c r="A363" s="14" t="n">
        <v>921474</v>
      </c>
      <c r="B363" s="14" t="s">
        <v>769</v>
      </c>
      <c r="C363" s="14" t="s">
        <v>770</v>
      </c>
      <c r="D363" s="14" t="n">
        <v>195</v>
      </c>
      <c r="E363" s="14" t="n">
        <v>5335</v>
      </c>
      <c r="F363" s="14" t="n">
        <v>105</v>
      </c>
      <c r="G363" s="14" t="n">
        <v>117</v>
      </c>
      <c r="H363" s="14" t="s">
        <v>62</v>
      </c>
      <c r="I363" s="14" t="n">
        <v>0.7</v>
      </c>
      <c r="J363" s="14" t="n">
        <v>14</v>
      </c>
      <c r="K363" s="14" t="s">
        <v>59</v>
      </c>
      <c r="L363" s="14" t="n">
        <v>2016</v>
      </c>
      <c r="M363" s="14" t="n">
        <v>8.58204416373585</v>
      </c>
      <c r="N363" s="14" t="n">
        <v>5.27305083930015</v>
      </c>
      <c r="P363" s="14" t="n">
        <f aca="false">D363</f>
        <v>195</v>
      </c>
      <c r="Q363" s="14" t="n">
        <f aca="false">G363</f>
        <v>117</v>
      </c>
      <c r="R363" s="14" t="n">
        <f aca="false">J363</f>
        <v>14</v>
      </c>
      <c r="S363" s="14" t="n">
        <f aca="false">IF($L363=2012,1,0)</f>
        <v>0</v>
      </c>
      <c r="T363" s="14" t="n">
        <f aca="false">IF($L363=2013,1,0)</f>
        <v>0</v>
      </c>
      <c r="U363" s="14" t="n">
        <f aca="false">IF($L363=2014,1,0)</f>
        <v>0</v>
      </c>
      <c r="V363" s="14" t="n">
        <f aca="false">IF($L363=2015,1,0)</f>
        <v>0</v>
      </c>
      <c r="W363" s="14" t="n">
        <f aca="false">IF($L363=2016,1,0)</f>
        <v>1</v>
      </c>
      <c r="X363" s="14" t="n">
        <f aca="false">IF($L363=2017,1,0)</f>
        <v>0</v>
      </c>
      <c r="Y363" s="14" t="n">
        <f aca="false">IF($H363="Beginner Level",1,0)</f>
        <v>0</v>
      </c>
      <c r="Z363" s="14" t="n">
        <f aca="false">IF($H363="Expert Level",1,0)</f>
        <v>0</v>
      </c>
      <c r="AA363" s="14" t="n">
        <f aca="false">IF($H363="Intermediate Level",1,0)</f>
        <v>0</v>
      </c>
      <c r="AC363" s="14" t="n">
        <f aca="false">N363</f>
        <v>5.27305083930015</v>
      </c>
      <c r="AD363" s="14" t="n">
        <f aca="false">G363</f>
        <v>117</v>
      </c>
      <c r="AE363" s="14" t="n">
        <f aca="false">J363</f>
        <v>14</v>
      </c>
      <c r="AF363" s="14" t="n">
        <f aca="false">IF($L363=2012,1,0)</f>
        <v>0</v>
      </c>
      <c r="AG363" s="14" t="n">
        <f aca="false">IF($L363=2013,1,0)</f>
        <v>0</v>
      </c>
      <c r="AH363" s="14" t="n">
        <f aca="false">IF($L363=2014,1,0)</f>
        <v>0</v>
      </c>
      <c r="AI363" s="14" t="n">
        <f aca="false">IF($L363=2015,1,0)</f>
        <v>0</v>
      </c>
      <c r="AJ363" s="14" t="n">
        <f aca="false">IF($L363=2016,1,0)</f>
        <v>1</v>
      </c>
      <c r="AK363" s="14" t="n">
        <f aca="false">IF($L363=2017,1,0)</f>
        <v>0</v>
      </c>
      <c r="AL363" s="14" t="n">
        <f aca="false">IF($H363="Beginner Level",1,0)</f>
        <v>0</v>
      </c>
      <c r="AM363" s="14" t="n">
        <f aca="false">IF($H363="Expert Level",1,0)</f>
        <v>0</v>
      </c>
      <c r="AN363" s="14" t="n">
        <f aca="false">IF($H363="Intermediate Level",1,0)</f>
        <v>0</v>
      </c>
    </row>
    <row r="364" customFormat="false" ht="57.45" hidden="false" customHeight="false" outlineLevel="0" collapsed="false">
      <c r="A364" s="14" t="n">
        <v>1144726</v>
      </c>
      <c r="B364" s="14" t="s">
        <v>771</v>
      </c>
      <c r="C364" s="14" t="s">
        <v>772</v>
      </c>
      <c r="D364" s="14" t="n">
        <v>190</v>
      </c>
      <c r="E364" s="14" t="n">
        <v>5332</v>
      </c>
      <c r="F364" s="14" t="n">
        <v>828</v>
      </c>
      <c r="G364" s="14" t="n">
        <v>160</v>
      </c>
      <c r="H364" s="14" t="s">
        <v>52</v>
      </c>
      <c r="I364" s="14" t="n">
        <v>0.52</v>
      </c>
      <c r="J364" s="14" t="n">
        <v>10.5</v>
      </c>
      <c r="K364" s="14" t="s">
        <v>59</v>
      </c>
      <c r="L364" s="14" t="n">
        <v>2017</v>
      </c>
      <c r="M364" s="14" t="n">
        <v>8.5814816812986</v>
      </c>
      <c r="N364" s="14" t="n">
        <v>5.24707670235444</v>
      </c>
      <c r="P364" s="14" t="n">
        <f aca="false">D364</f>
        <v>190</v>
      </c>
      <c r="Q364" s="14" t="n">
        <f aca="false">G364</f>
        <v>160</v>
      </c>
      <c r="R364" s="14" t="n">
        <f aca="false">J364</f>
        <v>10.5</v>
      </c>
      <c r="S364" s="14" t="n">
        <f aca="false">IF($L364=2012,1,0)</f>
        <v>0</v>
      </c>
      <c r="T364" s="14" t="n">
        <f aca="false">IF($L364=2013,1,0)</f>
        <v>0</v>
      </c>
      <c r="U364" s="14" t="n">
        <f aca="false">IF($L364=2014,1,0)</f>
        <v>0</v>
      </c>
      <c r="V364" s="14" t="n">
        <f aca="false">IF($L364=2015,1,0)</f>
        <v>0</v>
      </c>
      <c r="W364" s="14" t="n">
        <f aca="false">IF($L364=2016,1,0)</f>
        <v>0</v>
      </c>
      <c r="X364" s="14" t="n">
        <f aca="false">IF($L364=2017,1,0)</f>
        <v>1</v>
      </c>
      <c r="Y364" s="14" t="n">
        <f aca="false">IF($H364="Beginner Level",1,0)</f>
        <v>1</v>
      </c>
      <c r="Z364" s="14" t="n">
        <f aca="false">IF($H364="Expert Level",1,0)</f>
        <v>0</v>
      </c>
      <c r="AA364" s="14" t="n">
        <f aca="false">IF($H364="Intermediate Level",1,0)</f>
        <v>0</v>
      </c>
      <c r="AC364" s="14" t="n">
        <f aca="false">N364</f>
        <v>5.24707670235444</v>
      </c>
      <c r="AD364" s="14" t="n">
        <f aca="false">G364</f>
        <v>160</v>
      </c>
      <c r="AE364" s="14" t="n">
        <f aca="false">J364</f>
        <v>10.5</v>
      </c>
      <c r="AF364" s="14" t="n">
        <f aca="false">IF($L364=2012,1,0)</f>
        <v>0</v>
      </c>
      <c r="AG364" s="14" t="n">
        <f aca="false">IF($L364=2013,1,0)</f>
        <v>0</v>
      </c>
      <c r="AH364" s="14" t="n">
        <f aca="false">IF($L364=2014,1,0)</f>
        <v>0</v>
      </c>
      <c r="AI364" s="14" t="n">
        <f aca="false">IF($L364=2015,1,0)</f>
        <v>0</v>
      </c>
      <c r="AJ364" s="14" t="n">
        <f aca="false">IF($L364=2016,1,0)</f>
        <v>0</v>
      </c>
      <c r="AK364" s="14" t="n">
        <f aca="false">IF($L364=2017,1,0)</f>
        <v>1</v>
      </c>
      <c r="AL364" s="14" t="n">
        <f aca="false">IF($H364="Beginner Level",1,0)</f>
        <v>1</v>
      </c>
      <c r="AM364" s="14" t="n">
        <f aca="false">IF($H364="Expert Level",1,0)</f>
        <v>0</v>
      </c>
      <c r="AN364" s="14" t="n">
        <f aca="false">IF($H364="Intermediate Level",1,0)</f>
        <v>0</v>
      </c>
    </row>
    <row r="365" customFormat="false" ht="68.65" hidden="false" customHeight="false" outlineLevel="0" collapsed="false">
      <c r="A365" s="14" t="n">
        <v>629044</v>
      </c>
      <c r="B365" s="14" t="s">
        <v>773</v>
      </c>
      <c r="C365" s="14" t="s">
        <v>774</v>
      </c>
      <c r="D365" s="14" t="n">
        <v>20</v>
      </c>
      <c r="E365" s="14" t="n">
        <v>5328</v>
      </c>
      <c r="F365" s="14" t="n">
        <v>47</v>
      </c>
      <c r="G365" s="14" t="n">
        <v>28</v>
      </c>
      <c r="H365" s="14" t="s">
        <v>52</v>
      </c>
      <c r="I365" s="14" t="n">
        <v>0.78</v>
      </c>
      <c r="J365" s="14" t="n">
        <v>3.5</v>
      </c>
      <c r="K365" s="14" t="s">
        <v>59</v>
      </c>
      <c r="L365" s="14" t="n">
        <v>2016</v>
      </c>
      <c r="M365" s="14" t="n">
        <v>8.58073121222023</v>
      </c>
      <c r="N365" s="14" t="n">
        <v>2.99623214859564</v>
      </c>
      <c r="P365" s="14" t="n">
        <f aca="false">D365</f>
        <v>20</v>
      </c>
      <c r="Q365" s="14" t="n">
        <f aca="false">G365</f>
        <v>28</v>
      </c>
      <c r="R365" s="14" t="n">
        <f aca="false">J365</f>
        <v>3.5</v>
      </c>
      <c r="S365" s="14" t="n">
        <f aca="false">IF($L365=2012,1,0)</f>
        <v>0</v>
      </c>
      <c r="T365" s="14" t="n">
        <f aca="false">IF($L365=2013,1,0)</f>
        <v>0</v>
      </c>
      <c r="U365" s="14" t="n">
        <f aca="false">IF($L365=2014,1,0)</f>
        <v>0</v>
      </c>
      <c r="V365" s="14" t="n">
        <f aca="false">IF($L365=2015,1,0)</f>
        <v>0</v>
      </c>
      <c r="W365" s="14" t="n">
        <f aca="false">IF($L365=2016,1,0)</f>
        <v>1</v>
      </c>
      <c r="X365" s="14" t="n">
        <f aca="false">IF($L365=2017,1,0)</f>
        <v>0</v>
      </c>
      <c r="Y365" s="14" t="n">
        <f aca="false">IF($H365="Beginner Level",1,0)</f>
        <v>1</v>
      </c>
      <c r="Z365" s="14" t="n">
        <f aca="false">IF($H365="Expert Level",1,0)</f>
        <v>0</v>
      </c>
      <c r="AA365" s="14" t="n">
        <f aca="false">IF($H365="Intermediate Level",1,0)</f>
        <v>0</v>
      </c>
      <c r="AC365" s="14" t="n">
        <f aca="false">N365</f>
        <v>2.99623214859564</v>
      </c>
      <c r="AD365" s="14" t="n">
        <f aca="false">G365</f>
        <v>28</v>
      </c>
      <c r="AE365" s="14" t="n">
        <f aca="false">J365</f>
        <v>3.5</v>
      </c>
      <c r="AF365" s="14" t="n">
        <f aca="false">IF($L365=2012,1,0)</f>
        <v>0</v>
      </c>
      <c r="AG365" s="14" t="n">
        <f aca="false">IF($L365=2013,1,0)</f>
        <v>0</v>
      </c>
      <c r="AH365" s="14" t="n">
        <f aca="false">IF($L365=2014,1,0)</f>
        <v>0</v>
      </c>
      <c r="AI365" s="14" t="n">
        <f aca="false">IF($L365=2015,1,0)</f>
        <v>0</v>
      </c>
      <c r="AJ365" s="14" t="n">
        <f aca="false">IF($L365=2016,1,0)</f>
        <v>1</v>
      </c>
      <c r="AK365" s="14" t="n">
        <f aca="false">IF($L365=2017,1,0)</f>
        <v>0</v>
      </c>
      <c r="AL365" s="14" t="n">
        <f aca="false">IF($H365="Beginner Level",1,0)</f>
        <v>1</v>
      </c>
      <c r="AM365" s="14" t="n">
        <f aca="false">IF($H365="Expert Level",1,0)</f>
        <v>0</v>
      </c>
      <c r="AN365" s="14" t="n">
        <f aca="false">IF($H365="Intermediate Level",1,0)</f>
        <v>0</v>
      </c>
    </row>
    <row r="366" customFormat="false" ht="79.85" hidden="false" customHeight="false" outlineLevel="0" collapsed="false">
      <c r="A366" s="14" t="n">
        <v>1103448</v>
      </c>
      <c r="B366" s="14" t="s">
        <v>775</v>
      </c>
      <c r="C366" s="14" t="s">
        <v>776</v>
      </c>
      <c r="D366" s="14" t="n">
        <v>30</v>
      </c>
      <c r="E366" s="14" t="n">
        <v>5324</v>
      </c>
      <c r="F366" s="14" t="n">
        <v>52</v>
      </c>
      <c r="G366" s="14" t="n">
        <v>14</v>
      </c>
      <c r="H366" s="14" t="s">
        <v>62</v>
      </c>
      <c r="I366" s="14" t="n">
        <v>0.47</v>
      </c>
      <c r="J366" s="14" t="n">
        <v>2.5</v>
      </c>
      <c r="K366" s="14" t="s">
        <v>59</v>
      </c>
      <c r="L366" s="14" t="n">
        <v>2017</v>
      </c>
      <c r="M366" s="14" t="n">
        <v>8.579980179515</v>
      </c>
      <c r="N366" s="14" t="n">
        <v>3.40153065945228</v>
      </c>
      <c r="P366" s="14" t="n">
        <f aca="false">D366</f>
        <v>30</v>
      </c>
      <c r="Q366" s="14" t="n">
        <f aca="false">G366</f>
        <v>14</v>
      </c>
      <c r="R366" s="14" t="n">
        <f aca="false">J366</f>
        <v>2.5</v>
      </c>
      <c r="S366" s="14" t="n">
        <f aca="false">IF($L366=2012,1,0)</f>
        <v>0</v>
      </c>
      <c r="T366" s="14" t="n">
        <f aca="false">IF($L366=2013,1,0)</f>
        <v>0</v>
      </c>
      <c r="U366" s="14" t="n">
        <f aca="false">IF($L366=2014,1,0)</f>
        <v>0</v>
      </c>
      <c r="V366" s="14" t="n">
        <f aca="false">IF($L366=2015,1,0)</f>
        <v>0</v>
      </c>
      <c r="W366" s="14" t="n">
        <f aca="false">IF($L366=2016,1,0)</f>
        <v>0</v>
      </c>
      <c r="X366" s="14" t="n">
        <f aca="false">IF($L366=2017,1,0)</f>
        <v>1</v>
      </c>
      <c r="Y366" s="14" t="n">
        <f aca="false">IF($H366="Beginner Level",1,0)</f>
        <v>0</v>
      </c>
      <c r="Z366" s="14" t="n">
        <f aca="false">IF($H366="Expert Level",1,0)</f>
        <v>0</v>
      </c>
      <c r="AA366" s="14" t="n">
        <f aca="false">IF($H366="Intermediate Level",1,0)</f>
        <v>0</v>
      </c>
      <c r="AC366" s="14" t="n">
        <f aca="false">N366</f>
        <v>3.40153065945228</v>
      </c>
      <c r="AD366" s="14" t="n">
        <f aca="false">G366</f>
        <v>14</v>
      </c>
      <c r="AE366" s="14" t="n">
        <f aca="false">J366</f>
        <v>2.5</v>
      </c>
      <c r="AF366" s="14" t="n">
        <f aca="false">IF($L366=2012,1,0)</f>
        <v>0</v>
      </c>
      <c r="AG366" s="14" t="n">
        <f aca="false">IF($L366=2013,1,0)</f>
        <v>0</v>
      </c>
      <c r="AH366" s="14" t="n">
        <f aca="false">IF($L366=2014,1,0)</f>
        <v>0</v>
      </c>
      <c r="AI366" s="14" t="n">
        <f aca="false">IF($L366=2015,1,0)</f>
        <v>0</v>
      </c>
      <c r="AJ366" s="14" t="n">
        <f aca="false">IF($L366=2016,1,0)</f>
        <v>0</v>
      </c>
      <c r="AK366" s="14" t="n">
        <f aca="false">IF($L366=2017,1,0)</f>
        <v>1</v>
      </c>
      <c r="AL366" s="14" t="n">
        <f aca="false">IF($H366="Beginner Level",1,0)</f>
        <v>0</v>
      </c>
      <c r="AM366" s="14" t="n">
        <f aca="false">IF($H366="Expert Level",1,0)</f>
        <v>0</v>
      </c>
      <c r="AN366" s="14" t="n">
        <f aca="false">IF($H366="Intermediate Level",1,0)</f>
        <v>0</v>
      </c>
    </row>
    <row r="367" customFormat="false" ht="57.45" hidden="false" customHeight="false" outlineLevel="0" collapsed="false">
      <c r="A367" s="14" t="n">
        <v>504316</v>
      </c>
      <c r="B367" s="14" t="s">
        <v>777</v>
      </c>
      <c r="C367" s="14" t="s">
        <v>778</v>
      </c>
      <c r="D367" s="14" t="n">
        <v>20</v>
      </c>
      <c r="E367" s="14" t="n">
        <v>5318</v>
      </c>
      <c r="F367" s="14" t="n">
        <v>56</v>
      </c>
      <c r="G367" s="14" t="n">
        <v>13</v>
      </c>
      <c r="H367" s="14" t="s">
        <v>62</v>
      </c>
      <c r="I367" s="14" t="n">
        <v>0.78</v>
      </c>
      <c r="J367" s="14" t="n">
        <v>1.5</v>
      </c>
      <c r="K367" s="14" t="s">
        <v>59</v>
      </c>
      <c r="L367" s="14" t="n">
        <v>2015</v>
      </c>
      <c r="M367" s="14" t="n">
        <v>8.57885257180297</v>
      </c>
      <c r="N367" s="14" t="n">
        <v>2.99623214859564</v>
      </c>
      <c r="P367" s="14" t="n">
        <f aca="false">D367</f>
        <v>20</v>
      </c>
      <c r="Q367" s="14" t="n">
        <f aca="false">G367</f>
        <v>13</v>
      </c>
      <c r="R367" s="14" t="n">
        <f aca="false">J367</f>
        <v>1.5</v>
      </c>
      <c r="S367" s="14" t="n">
        <f aca="false">IF($L367=2012,1,0)</f>
        <v>0</v>
      </c>
      <c r="T367" s="14" t="n">
        <f aca="false">IF($L367=2013,1,0)</f>
        <v>0</v>
      </c>
      <c r="U367" s="14" t="n">
        <f aca="false">IF($L367=2014,1,0)</f>
        <v>0</v>
      </c>
      <c r="V367" s="14" t="n">
        <f aca="false">IF($L367=2015,1,0)</f>
        <v>1</v>
      </c>
      <c r="W367" s="14" t="n">
        <f aca="false">IF($L367=2016,1,0)</f>
        <v>0</v>
      </c>
      <c r="X367" s="14" t="n">
        <f aca="false">IF($L367=2017,1,0)</f>
        <v>0</v>
      </c>
      <c r="Y367" s="14" t="n">
        <f aca="false">IF($H367="Beginner Level",1,0)</f>
        <v>0</v>
      </c>
      <c r="Z367" s="14" t="n">
        <f aca="false">IF($H367="Expert Level",1,0)</f>
        <v>0</v>
      </c>
      <c r="AA367" s="14" t="n">
        <f aca="false">IF($H367="Intermediate Level",1,0)</f>
        <v>0</v>
      </c>
      <c r="AC367" s="14" t="n">
        <f aca="false">N367</f>
        <v>2.99623214859564</v>
      </c>
      <c r="AD367" s="14" t="n">
        <f aca="false">G367</f>
        <v>13</v>
      </c>
      <c r="AE367" s="14" t="n">
        <f aca="false">J367</f>
        <v>1.5</v>
      </c>
      <c r="AF367" s="14" t="n">
        <f aca="false">IF($L367=2012,1,0)</f>
        <v>0</v>
      </c>
      <c r="AG367" s="14" t="n">
        <f aca="false">IF($L367=2013,1,0)</f>
        <v>0</v>
      </c>
      <c r="AH367" s="14" t="n">
        <f aca="false">IF($L367=2014,1,0)</f>
        <v>0</v>
      </c>
      <c r="AI367" s="14" t="n">
        <f aca="false">IF($L367=2015,1,0)</f>
        <v>1</v>
      </c>
      <c r="AJ367" s="14" t="n">
        <f aca="false">IF($L367=2016,1,0)</f>
        <v>0</v>
      </c>
      <c r="AK367" s="14" t="n">
        <f aca="false">IF($L367=2017,1,0)</f>
        <v>0</v>
      </c>
      <c r="AL367" s="14" t="n">
        <f aca="false">IF($H367="Beginner Level",1,0)</f>
        <v>0</v>
      </c>
      <c r="AM367" s="14" t="n">
        <f aca="false">IF($H367="Expert Level",1,0)</f>
        <v>0</v>
      </c>
      <c r="AN367" s="14" t="n">
        <f aca="false">IF($H367="Intermediate Level",1,0)</f>
        <v>0</v>
      </c>
    </row>
    <row r="368" customFormat="false" ht="79.85" hidden="false" customHeight="false" outlineLevel="0" collapsed="false">
      <c r="A368" s="14" t="n">
        <v>1054814</v>
      </c>
      <c r="B368" s="14" t="s">
        <v>779</v>
      </c>
      <c r="C368" s="14" t="s">
        <v>780</v>
      </c>
      <c r="D368" s="14" t="n">
        <v>0</v>
      </c>
      <c r="E368" s="14" t="n">
        <v>5301</v>
      </c>
      <c r="F368" s="14" t="n">
        <v>174</v>
      </c>
      <c r="G368" s="14" t="n">
        <v>6</v>
      </c>
      <c r="H368" s="14" t="s">
        <v>52</v>
      </c>
      <c r="I368" s="14" t="n">
        <v>0.58</v>
      </c>
      <c r="J368" s="14" t="n">
        <v>0.5</v>
      </c>
      <c r="K368" s="14" t="s">
        <v>53</v>
      </c>
      <c r="L368" s="14" t="n">
        <v>2017</v>
      </c>
      <c r="M368" s="14" t="n">
        <v>8.57565076098781</v>
      </c>
      <c r="N368" s="14" t="n">
        <v>-4.60517018598809</v>
      </c>
      <c r="P368" s="14" t="n">
        <f aca="false">D368</f>
        <v>0</v>
      </c>
      <c r="Q368" s="14" t="n">
        <f aca="false">G368</f>
        <v>6</v>
      </c>
      <c r="R368" s="14" t="n">
        <f aca="false">J368</f>
        <v>0.5</v>
      </c>
      <c r="S368" s="14" t="n">
        <f aca="false">IF($L368=2012,1,0)</f>
        <v>0</v>
      </c>
      <c r="T368" s="14" t="n">
        <f aca="false">IF($L368=2013,1,0)</f>
        <v>0</v>
      </c>
      <c r="U368" s="14" t="n">
        <f aca="false">IF($L368=2014,1,0)</f>
        <v>0</v>
      </c>
      <c r="V368" s="14" t="n">
        <f aca="false">IF($L368=2015,1,0)</f>
        <v>0</v>
      </c>
      <c r="W368" s="14" t="n">
        <f aca="false">IF($L368=2016,1,0)</f>
        <v>0</v>
      </c>
      <c r="X368" s="14" t="n">
        <f aca="false">IF($L368=2017,1,0)</f>
        <v>1</v>
      </c>
      <c r="Y368" s="14" t="n">
        <f aca="false">IF($H368="Beginner Level",1,0)</f>
        <v>1</v>
      </c>
      <c r="Z368" s="14" t="n">
        <f aca="false">IF($H368="Expert Level",1,0)</f>
        <v>0</v>
      </c>
      <c r="AA368" s="14" t="n">
        <f aca="false">IF($H368="Intermediate Level",1,0)</f>
        <v>0</v>
      </c>
      <c r="AC368" s="14" t="n">
        <f aca="false">N368</f>
        <v>-4.60517018598809</v>
      </c>
      <c r="AD368" s="14" t="n">
        <f aca="false">G368</f>
        <v>6</v>
      </c>
      <c r="AE368" s="14" t="n">
        <f aca="false">J368</f>
        <v>0.5</v>
      </c>
      <c r="AF368" s="14" t="n">
        <f aca="false">IF($L368=2012,1,0)</f>
        <v>0</v>
      </c>
      <c r="AG368" s="14" t="n">
        <f aca="false">IF($L368=2013,1,0)</f>
        <v>0</v>
      </c>
      <c r="AH368" s="14" t="n">
        <f aca="false">IF($L368=2014,1,0)</f>
        <v>0</v>
      </c>
      <c r="AI368" s="14" t="n">
        <f aca="false">IF($L368=2015,1,0)</f>
        <v>0</v>
      </c>
      <c r="AJ368" s="14" t="n">
        <f aca="false">IF($L368=2016,1,0)</f>
        <v>0</v>
      </c>
      <c r="AK368" s="14" t="n">
        <f aca="false">IF($L368=2017,1,0)</f>
        <v>1</v>
      </c>
      <c r="AL368" s="14" t="n">
        <f aca="false">IF($H368="Beginner Level",1,0)</f>
        <v>1</v>
      </c>
      <c r="AM368" s="14" t="n">
        <f aca="false">IF($H368="Expert Level",1,0)</f>
        <v>0</v>
      </c>
      <c r="AN368" s="14" t="n">
        <f aca="false">IF($H368="Intermediate Level",1,0)</f>
        <v>0</v>
      </c>
    </row>
    <row r="369" customFormat="false" ht="79.85" hidden="false" customHeight="false" outlineLevel="0" collapsed="false">
      <c r="A369" s="14" t="n">
        <v>904462</v>
      </c>
      <c r="B369" s="14" t="s">
        <v>781</v>
      </c>
      <c r="C369" s="14" t="s">
        <v>782</v>
      </c>
      <c r="D369" s="14" t="n">
        <v>50</v>
      </c>
      <c r="E369" s="14" t="n">
        <v>5279</v>
      </c>
      <c r="F369" s="14" t="n">
        <v>1375</v>
      </c>
      <c r="G369" s="14" t="n">
        <v>123</v>
      </c>
      <c r="H369" s="14" t="s">
        <v>52</v>
      </c>
      <c r="I369" s="14" t="n">
        <v>0.33</v>
      </c>
      <c r="J369" s="14" t="n">
        <v>14.5</v>
      </c>
      <c r="K369" s="14" t="s">
        <v>59</v>
      </c>
      <c r="L369" s="14" t="n">
        <v>2016</v>
      </c>
      <c r="M369" s="14" t="n">
        <v>8.57149196482362</v>
      </c>
      <c r="N369" s="14" t="n">
        <v>3.91222298543081</v>
      </c>
      <c r="P369" s="14" t="n">
        <f aca="false">D369</f>
        <v>50</v>
      </c>
      <c r="Q369" s="14" t="n">
        <f aca="false">G369</f>
        <v>123</v>
      </c>
      <c r="R369" s="14" t="n">
        <f aca="false">J369</f>
        <v>14.5</v>
      </c>
      <c r="S369" s="14" t="n">
        <f aca="false">IF($L369=2012,1,0)</f>
        <v>0</v>
      </c>
      <c r="T369" s="14" t="n">
        <f aca="false">IF($L369=2013,1,0)</f>
        <v>0</v>
      </c>
      <c r="U369" s="14" t="n">
        <f aca="false">IF($L369=2014,1,0)</f>
        <v>0</v>
      </c>
      <c r="V369" s="14" t="n">
        <f aca="false">IF($L369=2015,1,0)</f>
        <v>0</v>
      </c>
      <c r="W369" s="14" t="n">
        <f aca="false">IF($L369=2016,1,0)</f>
        <v>1</v>
      </c>
      <c r="X369" s="14" t="n">
        <f aca="false">IF($L369=2017,1,0)</f>
        <v>0</v>
      </c>
      <c r="Y369" s="14" t="n">
        <f aca="false">IF($H369="Beginner Level",1,0)</f>
        <v>1</v>
      </c>
      <c r="Z369" s="14" t="n">
        <f aca="false">IF($H369="Expert Level",1,0)</f>
        <v>0</v>
      </c>
      <c r="AA369" s="14" t="n">
        <f aca="false">IF($H369="Intermediate Level",1,0)</f>
        <v>0</v>
      </c>
      <c r="AC369" s="14" t="n">
        <f aca="false">N369</f>
        <v>3.91222298543081</v>
      </c>
      <c r="AD369" s="14" t="n">
        <f aca="false">G369</f>
        <v>123</v>
      </c>
      <c r="AE369" s="14" t="n">
        <f aca="false">J369</f>
        <v>14.5</v>
      </c>
      <c r="AF369" s="14" t="n">
        <f aca="false">IF($L369=2012,1,0)</f>
        <v>0</v>
      </c>
      <c r="AG369" s="14" t="n">
        <f aca="false">IF($L369=2013,1,0)</f>
        <v>0</v>
      </c>
      <c r="AH369" s="14" t="n">
        <f aca="false">IF($L369=2014,1,0)</f>
        <v>0</v>
      </c>
      <c r="AI369" s="14" t="n">
        <f aca="false">IF($L369=2015,1,0)</f>
        <v>0</v>
      </c>
      <c r="AJ369" s="14" t="n">
        <f aca="false">IF($L369=2016,1,0)</f>
        <v>1</v>
      </c>
      <c r="AK369" s="14" t="n">
        <f aca="false">IF($L369=2017,1,0)</f>
        <v>0</v>
      </c>
      <c r="AL369" s="14" t="n">
        <f aca="false">IF($H369="Beginner Level",1,0)</f>
        <v>1</v>
      </c>
      <c r="AM369" s="14" t="n">
        <f aca="false">IF($H369="Expert Level",1,0)</f>
        <v>0</v>
      </c>
      <c r="AN369" s="14" t="n">
        <f aca="false">IF($H369="Intermediate Level",1,0)</f>
        <v>0</v>
      </c>
    </row>
    <row r="370" customFormat="false" ht="79.85" hidden="false" customHeight="false" outlineLevel="0" collapsed="false">
      <c r="A370" s="14" t="n">
        <v>554570</v>
      </c>
      <c r="B370" s="14" t="s">
        <v>783</v>
      </c>
      <c r="C370" s="14" t="s">
        <v>784</v>
      </c>
      <c r="D370" s="14" t="n">
        <v>20</v>
      </c>
      <c r="E370" s="14" t="n">
        <v>5272</v>
      </c>
      <c r="F370" s="14" t="n">
        <v>111</v>
      </c>
      <c r="G370" s="14" t="n">
        <v>24</v>
      </c>
      <c r="H370" s="14" t="s">
        <v>52</v>
      </c>
      <c r="I370" s="14" t="n">
        <v>0.47</v>
      </c>
      <c r="J370" s="14" t="n">
        <v>2</v>
      </c>
      <c r="K370" s="14" t="s">
        <v>59</v>
      </c>
      <c r="L370" s="14" t="n">
        <v>2015</v>
      </c>
      <c r="M370" s="14" t="n">
        <v>8.57016507618234</v>
      </c>
      <c r="N370" s="14" t="n">
        <v>2.99623214859564</v>
      </c>
      <c r="P370" s="14" t="n">
        <f aca="false">D370</f>
        <v>20</v>
      </c>
      <c r="Q370" s="14" t="n">
        <f aca="false">G370</f>
        <v>24</v>
      </c>
      <c r="R370" s="14" t="n">
        <f aca="false">J370</f>
        <v>2</v>
      </c>
      <c r="S370" s="14" t="n">
        <f aca="false">IF($L370=2012,1,0)</f>
        <v>0</v>
      </c>
      <c r="T370" s="14" t="n">
        <f aca="false">IF($L370=2013,1,0)</f>
        <v>0</v>
      </c>
      <c r="U370" s="14" t="n">
        <f aca="false">IF($L370=2014,1,0)</f>
        <v>0</v>
      </c>
      <c r="V370" s="14" t="n">
        <f aca="false">IF($L370=2015,1,0)</f>
        <v>1</v>
      </c>
      <c r="W370" s="14" t="n">
        <f aca="false">IF($L370=2016,1,0)</f>
        <v>0</v>
      </c>
      <c r="X370" s="14" t="n">
        <f aca="false">IF($L370=2017,1,0)</f>
        <v>0</v>
      </c>
      <c r="Y370" s="14" t="n">
        <f aca="false">IF($H370="Beginner Level",1,0)</f>
        <v>1</v>
      </c>
      <c r="Z370" s="14" t="n">
        <f aca="false">IF($H370="Expert Level",1,0)</f>
        <v>0</v>
      </c>
      <c r="AA370" s="14" t="n">
        <f aca="false">IF($H370="Intermediate Level",1,0)</f>
        <v>0</v>
      </c>
      <c r="AC370" s="14" t="n">
        <f aca="false">N370</f>
        <v>2.99623214859564</v>
      </c>
      <c r="AD370" s="14" t="n">
        <f aca="false">G370</f>
        <v>24</v>
      </c>
      <c r="AE370" s="14" t="n">
        <f aca="false">J370</f>
        <v>2</v>
      </c>
      <c r="AF370" s="14" t="n">
        <f aca="false">IF($L370=2012,1,0)</f>
        <v>0</v>
      </c>
      <c r="AG370" s="14" t="n">
        <f aca="false">IF($L370=2013,1,0)</f>
        <v>0</v>
      </c>
      <c r="AH370" s="14" t="n">
        <f aca="false">IF($L370=2014,1,0)</f>
        <v>0</v>
      </c>
      <c r="AI370" s="14" t="n">
        <f aca="false">IF($L370=2015,1,0)</f>
        <v>1</v>
      </c>
      <c r="AJ370" s="14" t="n">
        <f aca="false">IF($L370=2016,1,0)</f>
        <v>0</v>
      </c>
      <c r="AK370" s="14" t="n">
        <f aca="false">IF($L370=2017,1,0)</f>
        <v>0</v>
      </c>
      <c r="AL370" s="14" t="n">
        <f aca="false">IF($H370="Beginner Level",1,0)</f>
        <v>1</v>
      </c>
      <c r="AM370" s="14" t="n">
        <f aca="false">IF($H370="Expert Level",1,0)</f>
        <v>0</v>
      </c>
      <c r="AN370" s="14" t="n">
        <f aca="false">IF($H370="Intermediate Level",1,0)</f>
        <v>0</v>
      </c>
    </row>
    <row r="371" customFormat="false" ht="68.65" hidden="false" customHeight="false" outlineLevel="0" collapsed="false">
      <c r="A371" s="14" t="n">
        <v>951060</v>
      </c>
      <c r="B371" s="14" t="s">
        <v>785</v>
      </c>
      <c r="C371" s="14" t="s">
        <v>786</v>
      </c>
      <c r="D371" s="14" t="n">
        <v>75</v>
      </c>
      <c r="E371" s="14" t="n">
        <v>5263</v>
      </c>
      <c r="F371" s="14" t="n">
        <v>29</v>
      </c>
      <c r="G371" s="14" t="n">
        <v>29</v>
      </c>
      <c r="H371" s="14" t="s">
        <v>62</v>
      </c>
      <c r="I371" s="14" t="n">
        <v>0.14</v>
      </c>
      <c r="J371" s="14" t="n">
        <v>2</v>
      </c>
      <c r="K371" s="14" t="s">
        <v>59</v>
      </c>
      <c r="L371" s="14" t="n">
        <v>2016</v>
      </c>
      <c r="M371" s="14" t="n">
        <v>8.56845648535378</v>
      </c>
      <c r="N371" s="14" t="n">
        <v>4.31762143798155</v>
      </c>
      <c r="P371" s="14" t="n">
        <f aca="false">D371</f>
        <v>75</v>
      </c>
      <c r="Q371" s="14" t="n">
        <f aca="false">G371</f>
        <v>29</v>
      </c>
      <c r="R371" s="14" t="n">
        <f aca="false">J371</f>
        <v>2</v>
      </c>
      <c r="S371" s="14" t="n">
        <f aca="false">IF($L371=2012,1,0)</f>
        <v>0</v>
      </c>
      <c r="T371" s="14" t="n">
        <f aca="false">IF($L371=2013,1,0)</f>
        <v>0</v>
      </c>
      <c r="U371" s="14" t="n">
        <f aca="false">IF($L371=2014,1,0)</f>
        <v>0</v>
      </c>
      <c r="V371" s="14" t="n">
        <f aca="false">IF($L371=2015,1,0)</f>
        <v>0</v>
      </c>
      <c r="W371" s="14" t="n">
        <f aca="false">IF($L371=2016,1,0)</f>
        <v>1</v>
      </c>
      <c r="X371" s="14" t="n">
        <f aca="false">IF($L371=2017,1,0)</f>
        <v>0</v>
      </c>
      <c r="Y371" s="14" t="n">
        <f aca="false">IF($H371="Beginner Level",1,0)</f>
        <v>0</v>
      </c>
      <c r="Z371" s="14" t="n">
        <f aca="false">IF($H371="Expert Level",1,0)</f>
        <v>0</v>
      </c>
      <c r="AA371" s="14" t="n">
        <f aca="false">IF($H371="Intermediate Level",1,0)</f>
        <v>0</v>
      </c>
      <c r="AC371" s="14" t="n">
        <f aca="false">N371</f>
        <v>4.31762143798155</v>
      </c>
      <c r="AD371" s="14" t="n">
        <f aca="false">G371</f>
        <v>29</v>
      </c>
      <c r="AE371" s="14" t="n">
        <f aca="false">J371</f>
        <v>2</v>
      </c>
      <c r="AF371" s="14" t="n">
        <f aca="false">IF($L371=2012,1,0)</f>
        <v>0</v>
      </c>
      <c r="AG371" s="14" t="n">
        <f aca="false">IF($L371=2013,1,0)</f>
        <v>0</v>
      </c>
      <c r="AH371" s="14" t="n">
        <f aca="false">IF($L371=2014,1,0)</f>
        <v>0</v>
      </c>
      <c r="AI371" s="14" t="n">
        <f aca="false">IF($L371=2015,1,0)</f>
        <v>0</v>
      </c>
      <c r="AJ371" s="14" t="n">
        <f aca="false">IF($L371=2016,1,0)</f>
        <v>1</v>
      </c>
      <c r="AK371" s="14" t="n">
        <f aca="false">IF($L371=2017,1,0)</f>
        <v>0</v>
      </c>
      <c r="AL371" s="14" t="n">
        <f aca="false">IF($H371="Beginner Level",1,0)</f>
        <v>0</v>
      </c>
      <c r="AM371" s="14" t="n">
        <f aca="false">IF($H371="Expert Level",1,0)</f>
        <v>0</v>
      </c>
      <c r="AN371" s="14" t="n">
        <f aca="false">IF($H371="Intermediate Level",1,0)</f>
        <v>0</v>
      </c>
    </row>
    <row r="372" customFormat="false" ht="68.65" hidden="false" customHeight="false" outlineLevel="0" collapsed="false">
      <c r="A372" s="14" t="n">
        <v>581256</v>
      </c>
      <c r="B372" s="14" t="s">
        <v>787</v>
      </c>
      <c r="C372" s="14" t="s">
        <v>788</v>
      </c>
      <c r="D372" s="14" t="n">
        <v>20</v>
      </c>
      <c r="E372" s="14" t="n">
        <v>5228</v>
      </c>
      <c r="F372" s="14" t="n">
        <v>180</v>
      </c>
      <c r="G372" s="14" t="n">
        <v>27</v>
      </c>
      <c r="H372" s="14" t="s">
        <v>62</v>
      </c>
      <c r="I372" s="14" t="n">
        <v>0.3</v>
      </c>
      <c r="J372" s="14" t="n">
        <v>2.5</v>
      </c>
      <c r="K372" s="14" t="s">
        <v>59</v>
      </c>
      <c r="L372" s="14" t="n">
        <v>2015</v>
      </c>
      <c r="M372" s="14" t="n">
        <v>8.56178407474411</v>
      </c>
      <c r="N372" s="14" t="n">
        <v>2.99623214859564</v>
      </c>
      <c r="P372" s="14" t="n">
        <f aca="false">D372</f>
        <v>20</v>
      </c>
      <c r="Q372" s="14" t="n">
        <f aca="false">G372</f>
        <v>27</v>
      </c>
      <c r="R372" s="14" t="n">
        <f aca="false">J372</f>
        <v>2.5</v>
      </c>
      <c r="S372" s="14" t="n">
        <f aca="false">IF($L372=2012,1,0)</f>
        <v>0</v>
      </c>
      <c r="T372" s="14" t="n">
        <f aca="false">IF($L372=2013,1,0)</f>
        <v>0</v>
      </c>
      <c r="U372" s="14" t="n">
        <f aca="false">IF($L372=2014,1,0)</f>
        <v>0</v>
      </c>
      <c r="V372" s="14" t="n">
        <f aca="false">IF($L372=2015,1,0)</f>
        <v>1</v>
      </c>
      <c r="W372" s="14" t="n">
        <f aca="false">IF($L372=2016,1,0)</f>
        <v>0</v>
      </c>
      <c r="X372" s="14" t="n">
        <f aca="false">IF($L372=2017,1,0)</f>
        <v>0</v>
      </c>
      <c r="Y372" s="14" t="n">
        <f aca="false">IF($H372="Beginner Level",1,0)</f>
        <v>0</v>
      </c>
      <c r="Z372" s="14" t="n">
        <f aca="false">IF($H372="Expert Level",1,0)</f>
        <v>0</v>
      </c>
      <c r="AA372" s="14" t="n">
        <f aca="false">IF($H372="Intermediate Level",1,0)</f>
        <v>0</v>
      </c>
      <c r="AC372" s="14" t="n">
        <f aca="false">N372</f>
        <v>2.99623214859564</v>
      </c>
      <c r="AD372" s="14" t="n">
        <f aca="false">G372</f>
        <v>27</v>
      </c>
      <c r="AE372" s="14" t="n">
        <f aca="false">J372</f>
        <v>2.5</v>
      </c>
      <c r="AF372" s="14" t="n">
        <f aca="false">IF($L372=2012,1,0)</f>
        <v>0</v>
      </c>
      <c r="AG372" s="14" t="n">
        <f aca="false">IF($L372=2013,1,0)</f>
        <v>0</v>
      </c>
      <c r="AH372" s="14" t="n">
        <f aca="false">IF($L372=2014,1,0)</f>
        <v>0</v>
      </c>
      <c r="AI372" s="14" t="n">
        <f aca="false">IF($L372=2015,1,0)</f>
        <v>1</v>
      </c>
      <c r="AJ372" s="14" t="n">
        <f aca="false">IF($L372=2016,1,0)</f>
        <v>0</v>
      </c>
      <c r="AK372" s="14" t="n">
        <f aca="false">IF($L372=2017,1,0)</f>
        <v>0</v>
      </c>
      <c r="AL372" s="14" t="n">
        <f aca="false">IF($H372="Beginner Level",1,0)</f>
        <v>0</v>
      </c>
      <c r="AM372" s="14" t="n">
        <f aca="false">IF($H372="Expert Level",1,0)</f>
        <v>0</v>
      </c>
      <c r="AN372" s="14" t="n">
        <f aca="false">IF($H372="Intermediate Level",1,0)</f>
        <v>0</v>
      </c>
    </row>
    <row r="373" customFormat="false" ht="46.25" hidden="false" customHeight="false" outlineLevel="0" collapsed="false">
      <c r="A373" s="14" t="n">
        <v>997814</v>
      </c>
      <c r="B373" s="14" t="s">
        <v>789</v>
      </c>
      <c r="C373" s="14" t="s">
        <v>790</v>
      </c>
      <c r="D373" s="14" t="n">
        <v>200</v>
      </c>
      <c r="E373" s="14" t="n">
        <v>5211</v>
      </c>
      <c r="F373" s="14" t="n">
        <v>414</v>
      </c>
      <c r="G373" s="14" t="n">
        <v>133</v>
      </c>
      <c r="H373" s="14" t="s">
        <v>62</v>
      </c>
      <c r="I373" s="14" t="n">
        <v>0.46</v>
      </c>
      <c r="J373" s="14" t="n">
        <v>19.5</v>
      </c>
      <c r="K373" s="14" t="s">
        <v>59</v>
      </c>
      <c r="L373" s="14" t="n">
        <v>2016</v>
      </c>
      <c r="M373" s="14" t="n">
        <v>8.55852705490922</v>
      </c>
      <c r="N373" s="14" t="n">
        <v>5.29836736529808</v>
      </c>
      <c r="P373" s="14" t="n">
        <f aca="false">D373</f>
        <v>200</v>
      </c>
      <c r="Q373" s="14" t="n">
        <f aca="false">G373</f>
        <v>133</v>
      </c>
      <c r="R373" s="14" t="n">
        <f aca="false">J373</f>
        <v>19.5</v>
      </c>
      <c r="S373" s="14" t="n">
        <f aca="false">IF($L373=2012,1,0)</f>
        <v>0</v>
      </c>
      <c r="T373" s="14" t="n">
        <f aca="false">IF($L373=2013,1,0)</f>
        <v>0</v>
      </c>
      <c r="U373" s="14" t="n">
        <f aca="false">IF($L373=2014,1,0)</f>
        <v>0</v>
      </c>
      <c r="V373" s="14" t="n">
        <f aca="false">IF($L373=2015,1,0)</f>
        <v>0</v>
      </c>
      <c r="W373" s="14" t="n">
        <f aca="false">IF($L373=2016,1,0)</f>
        <v>1</v>
      </c>
      <c r="X373" s="14" t="n">
        <f aca="false">IF($L373=2017,1,0)</f>
        <v>0</v>
      </c>
      <c r="Y373" s="14" t="n">
        <f aca="false">IF($H373="Beginner Level",1,0)</f>
        <v>0</v>
      </c>
      <c r="Z373" s="14" t="n">
        <f aca="false">IF($H373="Expert Level",1,0)</f>
        <v>0</v>
      </c>
      <c r="AA373" s="14" t="n">
        <f aca="false">IF($H373="Intermediate Level",1,0)</f>
        <v>0</v>
      </c>
      <c r="AC373" s="14" t="n">
        <f aca="false">N373</f>
        <v>5.29836736529808</v>
      </c>
      <c r="AD373" s="14" t="n">
        <f aca="false">G373</f>
        <v>133</v>
      </c>
      <c r="AE373" s="14" t="n">
        <f aca="false">J373</f>
        <v>19.5</v>
      </c>
      <c r="AF373" s="14" t="n">
        <f aca="false">IF($L373=2012,1,0)</f>
        <v>0</v>
      </c>
      <c r="AG373" s="14" t="n">
        <f aca="false">IF($L373=2013,1,0)</f>
        <v>0</v>
      </c>
      <c r="AH373" s="14" t="n">
        <f aca="false">IF($L373=2014,1,0)</f>
        <v>0</v>
      </c>
      <c r="AI373" s="14" t="n">
        <f aca="false">IF($L373=2015,1,0)</f>
        <v>0</v>
      </c>
      <c r="AJ373" s="14" t="n">
        <f aca="false">IF($L373=2016,1,0)</f>
        <v>1</v>
      </c>
      <c r="AK373" s="14" t="n">
        <f aca="false">IF($L373=2017,1,0)</f>
        <v>0</v>
      </c>
      <c r="AL373" s="14" t="n">
        <f aca="false">IF($H373="Beginner Level",1,0)</f>
        <v>0</v>
      </c>
      <c r="AM373" s="14" t="n">
        <f aca="false">IF($H373="Expert Level",1,0)</f>
        <v>0</v>
      </c>
      <c r="AN373" s="14" t="n">
        <f aca="false">IF($H373="Intermediate Level",1,0)</f>
        <v>0</v>
      </c>
    </row>
    <row r="374" customFormat="false" ht="57.45" hidden="false" customHeight="false" outlineLevel="0" collapsed="false">
      <c r="A374" s="14" t="n">
        <v>1068590</v>
      </c>
      <c r="B374" s="14" t="s">
        <v>791</v>
      </c>
      <c r="C374" s="14" t="s">
        <v>792</v>
      </c>
      <c r="D374" s="14" t="n">
        <v>0</v>
      </c>
      <c r="E374" s="14" t="n">
        <v>5181</v>
      </c>
      <c r="F374" s="14" t="n">
        <v>64</v>
      </c>
      <c r="G374" s="14" t="n">
        <v>22</v>
      </c>
      <c r="H374" s="14" t="s">
        <v>52</v>
      </c>
      <c r="I374" s="14" t="n">
        <v>0.37</v>
      </c>
      <c r="J374" s="14" t="n">
        <v>2.5</v>
      </c>
      <c r="K374" s="14" t="s">
        <v>53</v>
      </c>
      <c r="L374" s="14" t="n">
        <v>2017</v>
      </c>
      <c r="M374" s="14" t="n">
        <v>8.55275336681479</v>
      </c>
      <c r="N374" s="14" t="n">
        <v>-4.60517018598809</v>
      </c>
      <c r="P374" s="14" t="n">
        <f aca="false">D374</f>
        <v>0</v>
      </c>
      <c r="Q374" s="14" t="n">
        <f aca="false">G374</f>
        <v>22</v>
      </c>
      <c r="R374" s="14" t="n">
        <f aca="false">J374</f>
        <v>2.5</v>
      </c>
      <c r="S374" s="14" t="n">
        <f aca="false">IF($L374=2012,1,0)</f>
        <v>0</v>
      </c>
      <c r="T374" s="14" t="n">
        <f aca="false">IF($L374=2013,1,0)</f>
        <v>0</v>
      </c>
      <c r="U374" s="14" t="n">
        <f aca="false">IF($L374=2014,1,0)</f>
        <v>0</v>
      </c>
      <c r="V374" s="14" t="n">
        <f aca="false">IF($L374=2015,1,0)</f>
        <v>0</v>
      </c>
      <c r="W374" s="14" t="n">
        <f aca="false">IF($L374=2016,1,0)</f>
        <v>0</v>
      </c>
      <c r="X374" s="14" t="n">
        <f aca="false">IF($L374=2017,1,0)</f>
        <v>1</v>
      </c>
      <c r="Y374" s="14" t="n">
        <f aca="false">IF($H374="Beginner Level",1,0)</f>
        <v>1</v>
      </c>
      <c r="Z374" s="14" t="n">
        <f aca="false">IF($H374="Expert Level",1,0)</f>
        <v>0</v>
      </c>
      <c r="AA374" s="14" t="n">
        <f aca="false">IF($H374="Intermediate Level",1,0)</f>
        <v>0</v>
      </c>
      <c r="AC374" s="14" t="n">
        <f aca="false">N374</f>
        <v>-4.60517018598809</v>
      </c>
      <c r="AD374" s="14" t="n">
        <f aca="false">G374</f>
        <v>22</v>
      </c>
      <c r="AE374" s="14" t="n">
        <f aca="false">J374</f>
        <v>2.5</v>
      </c>
      <c r="AF374" s="14" t="n">
        <f aca="false">IF($L374=2012,1,0)</f>
        <v>0</v>
      </c>
      <c r="AG374" s="14" t="n">
        <f aca="false">IF($L374=2013,1,0)</f>
        <v>0</v>
      </c>
      <c r="AH374" s="14" t="n">
        <f aca="false">IF($L374=2014,1,0)</f>
        <v>0</v>
      </c>
      <c r="AI374" s="14" t="n">
        <f aca="false">IF($L374=2015,1,0)</f>
        <v>0</v>
      </c>
      <c r="AJ374" s="14" t="n">
        <f aca="false">IF($L374=2016,1,0)</f>
        <v>0</v>
      </c>
      <c r="AK374" s="14" t="n">
        <f aca="false">IF($L374=2017,1,0)</f>
        <v>1</v>
      </c>
      <c r="AL374" s="14" t="n">
        <f aca="false">IF($H374="Beginner Level",1,0)</f>
        <v>1</v>
      </c>
      <c r="AM374" s="14" t="n">
        <f aca="false">IF($H374="Expert Level",1,0)</f>
        <v>0</v>
      </c>
      <c r="AN374" s="14" t="n">
        <f aca="false">IF($H374="Intermediate Level",1,0)</f>
        <v>0</v>
      </c>
    </row>
    <row r="375" customFormat="false" ht="91" hidden="false" customHeight="false" outlineLevel="0" collapsed="false">
      <c r="A375" s="14" t="n">
        <v>554384</v>
      </c>
      <c r="B375" s="14" t="s">
        <v>793</v>
      </c>
      <c r="C375" s="14" t="s">
        <v>794</v>
      </c>
      <c r="D375" s="14" t="n">
        <v>95</v>
      </c>
      <c r="E375" s="14" t="n">
        <v>5177</v>
      </c>
      <c r="F375" s="14" t="n">
        <v>318</v>
      </c>
      <c r="G375" s="14" t="n">
        <v>70</v>
      </c>
      <c r="H375" s="14" t="s">
        <v>52</v>
      </c>
      <c r="I375" s="14" t="n">
        <v>0.67</v>
      </c>
      <c r="J375" s="14" t="n">
        <v>13.5</v>
      </c>
      <c r="K375" s="14" t="s">
        <v>59</v>
      </c>
      <c r="L375" s="14" t="n">
        <v>2015</v>
      </c>
      <c r="M375" s="14" t="n">
        <v>8.5519810169019</v>
      </c>
      <c r="N375" s="14" t="n">
        <v>4.55398214921866</v>
      </c>
      <c r="P375" s="14" t="n">
        <f aca="false">D375</f>
        <v>95</v>
      </c>
      <c r="Q375" s="14" t="n">
        <f aca="false">G375</f>
        <v>70</v>
      </c>
      <c r="R375" s="14" t="n">
        <f aca="false">J375</f>
        <v>13.5</v>
      </c>
      <c r="S375" s="14" t="n">
        <f aca="false">IF($L375=2012,1,0)</f>
        <v>0</v>
      </c>
      <c r="T375" s="14" t="n">
        <f aca="false">IF($L375=2013,1,0)</f>
        <v>0</v>
      </c>
      <c r="U375" s="14" t="n">
        <f aca="false">IF($L375=2014,1,0)</f>
        <v>0</v>
      </c>
      <c r="V375" s="14" t="n">
        <f aca="false">IF($L375=2015,1,0)</f>
        <v>1</v>
      </c>
      <c r="W375" s="14" t="n">
        <f aca="false">IF($L375=2016,1,0)</f>
        <v>0</v>
      </c>
      <c r="X375" s="14" t="n">
        <f aca="false">IF($L375=2017,1,0)</f>
        <v>0</v>
      </c>
      <c r="Y375" s="14" t="n">
        <f aca="false">IF($H375="Beginner Level",1,0)</f>
        <v>1</v>
      </c>
      <c r="Z375" s="14" t="n">
        <f aca="false">IF($H375="Expert Level",1,0)</f>
        <v>0</v>
      </c>
      <c r="AA375" s="14" t="n">
        <f aca="false">IF($H375="Intermediate Level",1,0)</f>
        <v>0</v>
      </c>
      <c r="AC375" s="14" t="n">
        <f aca="false">N375</f>
        <v>4.55398214921866</v>
      </c>
      <c r="AD375" s="14" t="n">
        <f aca="false">G375</f>
        <v>70</v>
      </c>
      <c r="AE375" s="14" t="n">
        <f aca="false">J375</f>
        <v>13.5</v>
      </c>
      <c r="AF375" s="14" t="n">
        <f aca="false">IF($L375=2012,1,0)</f>
        <v>0</v>
      </c>
      <c r="AG375" s="14" t="n">
        <f aca="false">IF($L375=2013,1,0)</f>
        <v>0</v>
      </c>
      <c r="AH375" s="14" t="n">
        <f aca="false">IF($L375=2014,1,0)</f>
        <v>0</v>
      </c>
      <c r="AI375" s="14" t="n">
        <f aca="false">IF($L375=2015,1,0)</f>
        <v>1</v>
      </c>
      <c r="AJ375" s="14" t="n">
        <f aca="false">IF($L375=2016,1,0)</f>
        <v>0</v>
      </c>
      <c r="AK375" s="14" t="n">
        <f aca="false">IF($L375=2017,1,0)</f>
        <v>0</v>
      </c>
      <c r="AL375" s="14" t="n">
        <f aca="false">IF($H375="Beginner Level",1,0)</f>
        <v>1</v>
      </c>
      <c r="AM375" s="14" t="n">
        <f aca="false">IF($H375="Expert Level",1,0)</f>
        <v>0</v>
      </c>
      <c r="AN375" s="14" t="n">
        <f aca="false">IF($H375="Intermediate Level",1,0)</f>
        <v>0</v>
      </c>
    </row>
    <row r="376" customFormat="false" ht="57.45" hidden="false" customHeight="false" outlineLevel="0" collapsed="false">
      <c r="A376" s="14" t="n">
        <v>970600</v>
      </c>
      <c r="B376" s="14" t="s">
        <v>795</v>
      </c>
      <c r="C376" s="14" t="s">
        <v>796</v>
      </c>
      <c r="D376" s="14" t="n">
        <v>110</v>
      </c>
      <c r="E376" s="14" t="n">
        <v>5151</v>
      </c>
      <c r="F376" s="14" t="n">
        <v>737</v>
      </c>
      <c r="G376" s="14" t="n">
        <v>115</v>
      </c>
      <c r="H376" s="14" t="s">
        <v>62</v>
      </c>
      <c r="I376" s="14" t="n">
        <v>0.14</v>
      </c>
      <c r="J376" s="14" t="n">
        <v>12.5</v>
      </c>
      <c r="K376" s="14" t="s">
        <v>59</v>
      </c>
      <c r="L376" s="14" t="n">
        <v>2016</v>
      </c>
      <c r="M376" s="14" t="n">
        <v>8.54694614956559</v>
      </c>
      <c r="N376" s="14" t="n">
        <v>4.70057127075134</v>
      </c>
      <c r="P376" s="14" t="n">
        <f aca="false">D376</f>
        <v>110</v>
      </c>
      <c r="Q376" s="14" t="n">
        <f aca="false">G376</f>
        <v>115</v>
      </c>
      <c r="R376" s="14" t="n">
        <f aca="false">J376</f>
        <v>12.5</v>
      </c>
      <c r="S376" s="14" t="n">
        <f aca="false">IF($L376=2012,1,0)</f>
        <v>0</v>
      </c>
      <c r="T376" s="14" t="n">
        <f aca="false">IF($L376=2013,1,0)</f>
        <v>0</v>
      </c>
      <c r="U376" s="14" t="n">
        <f aca="false">IF($L376=2014,1,0)</f>
        <v>0</v>
      </c>
      <c r="V376" s="14" t="n">
        <f aca="false">IF($L376=2015,1,0)</f>
        <v>0</v>
      </c>
      <c r="W376" s="14" t="n">
        <f aca="false">IF($L376=2016,1,0)</f>
        <v>1</v>
      </c>
      <c r="X376" s="14" t="n">
        <f aca="false">IF($L376=2017,1,0)</f>
        <v>0</v>
      </c>
      <c r="Y376" s="14" t="n">
        <f aca="false">IF($H376="Beginner Level",1,0)</f>
        <v>0</v>
      </c>
      <c r="Z376" s="14" t="n">
        <f aca="false">IF($H376="Expert Level",1,0)</f>
        <v>0</v>
      </c>
      <c r="AA376" s="14" t="n">
        <f aca="false">IF($H376="Intermediate Level",1,0)</f>
        <v>0</v>
      </c>
      <c r="AC376" s="14" t="n">
        <f aca="false">N376</f>
        <v>4.70057127075134</v>
      </c>
      <c r="AD376" s="14" t="n">
        <f aca="false">G376</f>
        <v>115</v>
      </c>
      <c r="AE376" s="14" t="n">
        <f aca="false">J376</f>
        <v>12.5</v>
      </c>
      <c r="AF376" s="14" t="n">
        <f aca="false">IF($L376=2012,1,0)</f>
        <v>0</v>
      </c>
      <c r="AG376" s="14" t="n">
        <f aca="false">IF($L376=2013,1,0)</f>
        <v>0</v>
      </c>
      <c r="AH376" s="14" t="n">
        <f aca="false">IF($L376=2014,1,0)</f>
        <v>0</v>
      </c>
      <c r="AI376" s="14" t="n">
        <f aca="false">IF($L376=2015,1,0)</f>
        <v>0</v>
      </c>
      <c r="AJ376" s="14" t="n">
        <f aca="false">IF($L376=2016,1,0)</f>
        <v>1</v>
      </c>
      <c r="AK376" s="14" t="n">
        <f aca="false">IF($L376=2017,1,0)</f>
        <v>0</v>
      </c>
      <c r="AL376" s="14" t="n">
        <f aca="false">IF($H376="Beginner Level",1,0)</f>
        <v>0</v>
      </c>
      <c r="AM376" s="14" t="n">
        <f aca="false">IF($H376="Expert Level",1,0)</f>
        <v>0</v>
      </c>
      <c r="AN376" s="14" t="n">
        <f aca="false">IF($H376="Intermediate Level",1,0)</f>
        <v>0</v>
      </c>
    </row>
    <row r="377" customFormat="false" ht="79.85" hidden="false" customHeight="false" outlineLevel="0" collapsed="false">
      <c r="A377" s="14" t="n">
        <v>883002</v>
      </c>
      <c r="B377" s="14" t="s">
        <v>797</v>
      </c>
      <c r="C377" s="14" t="s">
        <v>798</v>
      </c>
      <c r="D377" s="14" t="n">
        <v>50</v>
      </c>
      <c r="E377" s="14" t="n">
        <v>5143</v>
      </c>
      <c r="F377" s="14" t="n">
        <v>941</v>
      </c>
      <c r="G377" s="14" t="n">
        <v>80</v>
      </c>
      <c r="H377" s="14" t="s">
        <v>52</v>
      </c>
      <c r="I377" s="14" t="n">
        <v>0.66</v>
      </c>
      <c r="J377" s="14" t="n">
        <v>12</v>
      </c>
      <c r="K377" s="14" t="s">
        <v>59</v>
      </c>
      <c r="L377" s="14" t="n">
        <v>2016</v>
      </c>
      <c r="M377" s="14" t="n">
        <v>8.54539184577492</v>
      </c>
      <c r="N377" s="14" t="n">
        <v>3.91222298543081</v>
      </c>
      <c r="P377" s="14" t="n">
        <f aca="false">D377</f>
        <v>50</v>
      </c>
      <c r="Q377" s="14" t="n">
        <f aca="false">G377</f>
        <v>80</v>
      </c>
      <c r="R377" s="14" t="n">
        <f aca="false">J377</f>
        <v>12</v>
      </c>
      <c r="S377" s="14" t="n">
        <f aca="false">IF($L377=2012,1,0)</f>
        <v>0</v>
      </c>
      <c r="T377" s="14" t="n">
        <f aca="false">IF($L377=2013,1,0)</f>
        <v>0</v>
      </c>
      <c r="U377" s="14" t="n">
        <f aca="false">IF($L377=2014,1,0)</f>
        <v>0</v>
      </c>
      <c r="V377" s="14" t="n">
        <f aca="false">IF($L377=2015,1,0)</f>
        <v>0</v>
      </c>
      <c r="W377" s="14" t="n">
        <f aca="false">IF($L377=2016,1,0)</f>
        <v>1</v>
      </c>
      <c r="X377" s="14" t="n">
        <f aca="false">IF($L377=2017,1,0)</f>
        <v>0</v>
      </c>
      <c r="Y377" s="14" t="n">
        <f aca="false">IF($H377="Beginner Level",1,0)</f>
        <v>1</v>
      </c>
      <c r="Z377" s="14" t="n">
        <f aca="false">IF($H377="Expert Level",1,0)</f>
        <v>0</v>
      </c>
      <c r="AA377" s="14" t="n">
        <f aca="false">IF($H377="Intermediate Level",1,0)</f>
        <v>0</v>
      </c>
      <c r="AC377" s="14" t="n">
        <f aca="false">N377</f>
        <v>3.91222298543081</v>
      </c>
      <c r="AD377" s="14" t="n">
        <f aca="false">G377</f>
        <v>80</v>
      </c>
      <c r="AE377" s="14" t="n">
        <f aca="false">J377</f>
        <v>12</v>
      </c>
      <c r="AF377" s="14" t="n">
        <f aca="false">IF($L377=2012,1,0)</f>
        <v>0</v>
      </c>
      <c r="AG377" s="14" t="n">
        <f aca="false">IF($L377=2013,1,0)</f>
        <v>0</v>
      </c>
      <c r="AH377" s="14" t="n">
        <f aca="false">IF($L377=2014,1,0)</f>
        <v>0</v>
      </c>
      <c r="AI377" s="14" t="n">
        <f aca="false">IF($L377=2015,1,0)</f>
        <v>0</v>
      </c>
      <c r="AJ377" s="14" t="n">
        <f aca="false">IF($L377=2016,1,0)</f>
        <v>1</v>
      </c>
      <c r="AK377" s="14" t="n">
        <f aca="false">IF($L377=2017,1,0)</f>
        <v>0</v>
      </c>
      <c r="AL377" s="14" t="n">
        <f aca="false">IF($H377="Beginner Level",1,0)</f>
        <v>1</v>
      </c>
      <c r="AM377" s="14" t="n">
        <f aca="false">IF($H377="Expert Level",1,0)</f>
        <v>0</v>
      </c>
      <c r="AN377" s="14" t="n">
        <f aca="false">IF($H377="Intermediate Level",1,0)</f>
        <v>0</v>
      </c>
    </row>
    <row r="378" customFormat="false" ht="68.65" hidden="false" customHeight="false" outlineLevel="0" collapsed="false">
      <c r="A378" s="14" t="n">
        <v>507992</v>
      </c>
      <c r="B378" s="14" t="s">
        <v>799</v>
      </c>
      <c r="C378" s="14" t="s">
        <v>800</v>
      </c>
      <c r="D378" s="14" t="n">
        <v>200</v>
      </c>
      <c r="E378" s="14" t="n">
        <v>5129</v>
      </c>
      <c r="F378" s="14" t="n">
        <v>183</v>
      </c>
      <c r="G378" s="14" t="n">
        <v>35</v>
      </c>
      <c r="H378" s="14" t="s">
        <v>52</v>
      </c>
      <c r="I378" s="14" t="n">
        <v>0.68</v>
      </c>
      <c r="J378" s="14" t="n">
        <v>1.5</v>
      </c>
      <c r="K378" s="14" t="s">
        <v>59</v>
      </c>
      <c r="L378" s="14" t="n">
        <v>2015</v>
      </c>
      <c r="M378" s="14" t="n">
        <v>8.54266598738927</v>
      </c>
      <c r="N378" s="14" t="n">
        <v>5.29836736529808</v>
      </c>
      <c r="P378" s="14" t="n">
        <f aca="false">D378</f>
        <v>200</v>
      </c>
      <c r="Q378" s="14" t="n">
        <f aca="false">G378</f>
        <v>35</v>
      </c>
      <c r="R378" s="14" t="n">
        <f aca="false">J378</f>
        <v>1.5</v>
      </c>
      <c r="S378" s="14" t="n">
        <f aca="false">IF($L378=2012,1,0)</f>
        <v>0</v>
      </c>
      <c r="T378" s="14" t="n">
        <f aca="false">IF($L378=2013,1,0)</f>
        <v>0</v>
      </c>
      <c r="U378" s="14" t="n">
        <f aca="false">IF($L378=2014,1,0)</f>
        <v>0</v>
      </c>
      <c r="V378" s="14" t="n">
        <f aca="false">IF($L378=2015,1,0)</f>
        <v>1</v>
      </c>
      <c r="W378" s="14" t="n">
        <f aca="false">IF($L378=2016,1,0)</f>
        <v>0</v>
      </c>
      <c r="X378" s="14" t="n">
        <f aca="false">IF($L378=2017,1,0)</f>
        <v>0</v>
      </c>
      <c r="Y378" s="14" t="n">
        <f aca="false">IF($H378="Beginner Level",1,0)</f>
        <v>1</v>
      </c>
      <c r="Z378" s="14" t="n">
        <f aca="false">IF($H378="Expert Level",1,0)</f>
        <v>0</v>
      </c>
      <c r="AA378" s="14" t="n">
        <f aca="false">IF($H378="Intermediate Level",1,0)</f>
        <v>0</v>
      </c>
      <c r="AC378" s="14" t="n">
        <f aca="false">N378</f>
        <v>5.29836736529808</v>
      </c>
      <c r="AD378" s="14" t="n">
        <f aca="false">G378</f>
        <v>35</v>
      </c>
      <c r="AE378" s="14" t="n">
        <f aca="false">J378</f>
        <v>1.5</v>
      </c>
      <c r="AF378" s="14" t="n">
        <f aca="false">IF($L378=2012,1,0)</f>
        <v>0</v>
      </c>
      <c r="AG378" s="14" t="n">
        <f aca="false">IF($L378=2013,1,0)</f>
        <v>0</v>
      </c>
      <c r="AH378" s="14" t="n">
        <f aca="false">IF($L378=2014,1,0)</f>
        <v>0</v>
      </c>
      <c r="AI378" s="14" t="n">
        <f aca="false">IF($L378=2015,1,0)</f>
        <v>1</v>
      </c>
      <c r="AJ378" s="14" t="n">
        <f aca="false">IF($L378=2016,1,0)</f>
        <v>0</v>
      </c>
      <c r="AK378" s="14" t="n">
        <f aca="false">IF($L378=2017,1,0)</f>
        <v>0</v>
      </c>
      <c r="AL378" s="14" t="n">
        <f aca="false">IF($H378="Beginner Level",1,0)</f>
        <v>1</v>
      </c>
      <c r="AM378" s="14" t="n">
        <f aca="false">IF($H378="Expert Level",1,0)</f>
        <v>0</v>
      </c>
      <c r="AN378" s="14" t="n">
        <f aca="false">IF($H378="Intermediate Level",1,0)</f>
        <v>0</v>
      </c>
    </row>
    <row r="379" customFormat="false" ht="91" hidden="false" customHeight="false" outlineLevel="0" collapsed="false">
      <c r="A379" s="14" t="n">
        <v>874960</v>
      </c>
      <c r="B379" s="14" t="s">
        <v>801</v>
      </c>
      <c r="C379" s="14" t="s">
        <v>802</v>
      </c>
      <c r="D379" s="14" t="n">
        <v>20</v>
      </c>
      <c r="E379" s="14" t="n">
        <v>5125</v>
      </c>
      <c r="F379" s="14" t="n">
        <v>395</v>
      </c>
      <c r="G379" s="14" t="n">
        <v>53</v>
      </c>
      <c r="H379" s="14" t="s">
        <v>56</v>
      </c>
      <c r="I379" s="14" t="n">
        <v>0.74</v>
      </c>
      <c r="J379" s="14" t="n">
        <v>7</v>
      </c>
      <c r="K379" s="14" t="s">
        <v>59</v>
      </c>
      <c r="L379" s="14" t="n">
        <v>2016</v>
      </c>
      <c r="M379" s="14" t="n">
        <v>8.54188580400661</v>
      </c>
      <c r="N379" s="14" t="n">
        <v>2.99623214859564</v>
      </c>
      <c r="P379" s="14" t="n">
        <f aca="false">D379</f>
        <v>20</v>
      </c>
      <c r="Q379" s="14" t="n">
        <f aca="false">G379</f>
        <v>53</v>
      </c>
      <c r="R379" s="14" t="n">
        <f aca="false">J379</f>
        <v>7</v>
      </c>
      <c r="S379" s="14" t="n">
        <f aca="false">IF($L379=2012,1,0)</f>
        <v>0</v>
      </c>
      <c r="T379" s="14" t="n">
        <f aca="false">IF($L379=2013,1,0)</f>
        <v>0</v>
      </c>
      <c r="U379" s="14" t="n">
        <f aca="false">IF($L379=2014,1,0)</f>
        <v>0</v>
      </c>
      <c r="V379" s="14" t="n">
        <f aca="false">IF($L379=2015,1,0)</f>
        <v>0</v>
      </c>
      <c r="W379" s="14" t="n">
        <f aca="false">IF($L379=2016,1,0)</f>
        <v>1</v>
      </c>
      <c r="X379" s="14" t="n">
        <f aca="false">IF($L379=2017,1,0)</f>
        <v>0</v>
      </c>
      <c r="Y379" s="14" t="n">
        <f aca="false">IF($H379="Beginner Level",1,0)</f>
        <v>0</v>
      </c>
      <c r="Z379" s="14" t="n">
        <f aca="false">IF($H379="Expert Level",1,0)</f>
        <v>1</v>
      </c>
      <c r="AA379" s="14" t="n">
        <f aca="false">IF($H379="Intermediate Level",1,0)</f>
        <v>0</v>
      </c>
      <c r="AC379" s="14" t="n">
        <f aca="false">N379</f>
        <v>2.99623214859564</v>
      </c>
      <c r="AD379" s="14" t="n">
        <f aca="false">G379</f>
        <v>53</v>
      </c>
      <c r="AE379" s="14" t="n">
        <f aca="false">J379</f>
        <v>7</v>
      </c>
      <c r="AF379" s="14" t="n">
        <f aca="false">IF($L379=2012,1,0)</f>
        <v>0</v>
      </c>
      <c r="AG379" s="14" t="n">
        <f aca="false">IF($L379=2013,1,0)</f>
        <v>0</v>
      </c>
      <c r="AH379" s="14" t="n">
        <f aca="false">IF($L379=2014,1,0)</f>
        <v>0</v>
      </c>
      <c r="AI379" s="14" t="n">
        <f aca="false">IF($L379=2015,1,0)</f>
        <v>0</v>
      </c>
      <c r="AJ379" s="14" t="n">
        <f aca="false">IF($L379=2016,1,0)</f>
        <v>1</v>
      </c>
      <c r="AK379" s="14" t="n">
        <f aca="false">IF($L379=2017,1,0)</f>
        <v>0</v>
      </c>
      <c r="AL379" s="14" t="n">
        <f aca="false">IF($H379="Beginner Level",1,0)</f>
        <v>0</v>
      </c>
      <c r="AM379" s="14" t="n">
        <f aca="false">IF($H379="Expert Level",1,0)</f>
        <v>1</v>
      </c>
      <c r="AN379" s="14" t="n">
        <f aca="false">IF($H379="Intermediate Level",1,0)</f>
        <v>0</v>
      </c>
    </row>
    <row r="380" customFormat="false" ht="79.85" hidden="false" customHeight="false" outlineLevel="0" collapsed="false">
      <c r="A380" s="14" t="n">
        <v>527952</v>
      </c>
      <c r="B380" s="14" t="s">
        <v>803</v>
      </c>
      <c r="C380" s="14" t="s">
        <v>804</v>
      </c>
      <c r="D380" s="14" t="n">
        <v>100</v>
      </c>
      <c r="E380" s="14" t="n">
        <v>5117</v>
      </c>
      <c r="F380" s="14" t="n">
        <v>463</v>
      </c>
      <c r="G380" s="14" t="n">
        <v>138</v>
      </c>
      <c r="H380" s="14" t="s">
        <v>52</v>
      </c>
      <c r="I380" s="14" t="n">
        <v>0.53</v>
      </c>
      <c r="J380" s="14" t="n">
        <v>14.5</v>
      </c>
      <c r="K380" s="14" t="s">
        <v>59</v>
      </c>
      <c r="L380" s="14" t="n">
        <v>2015</v>
      </c>
      <c r="M380" s="14" t="n">
        <v>8.54032360880509</v>
      </c>
      <c r="N380" s="14" t="n">
        <v>4.60527018098843</v>
      </c>
      <c r="P380" s="14" t="n">
        <f aca="false">D380</f>
        <v>100</v>
      </c>
      <c r="Q380" s="14" t="n">
        <f aca="false">G380</f>
        <v>138</v>
      </c>
      <c r="R380" s="14" t="n">
        <f aca="false">J380</f>
        <v>14.5</v>
      </c>
      <c r="S380" s="14" t="n">
        <f aca="false">IF($L380=2012,1,0)</f>
        <v>0</v>
      </c>
      <c r="T380" s="14" t="n">
        <f aca="false">IF($L380=2013,1,0)</f>
        <v>0</v>
      </c>
      <c r="U380" s="14" t="n">
        <f aca="false">IF($L380=2014,1,0)</f>
        <v>0</v>
      </c>
      <c r="V380" s="14" t="n">
        <f aca="false">IF($L380=2015,1,0)</f>
        <v>1</v>
      </c>
      <c r="W380" s="14" t="n">
        <f aca="false">IF($L380=2016,1,0)</f>
        <v>0</v>
      </c>
      <c r="X380" s="14" t="n">
        <f aca="false">IF($L380=2017,1,0)</f>
        <v>0</v>
      </c>
      <c r="Y380" s="14" t="n">
        <f aca="false">IF($H380="Beginner Level",1,0)</f>
        <v>1</v>
      </c>
      <c r="Z380" s="14" t="n">
        <f aca="false">IF($H380="Expert Level",1,0)</f>
        <v>0</v>
      </c>
      <c r="AA380" s="14" t="n">
        <f aca="false">IF($H380="Intermediate Level",1,0)</f>
        <v>0</v>
      </c>
      <c r="AC380" s="14" t="n">
        <f aca="false">N380</f>
        <v>4.60527018098843</v>
      </c>
      <c r="AD380" s="14" t="n">
        <f aca="false">G380</f>
        <v>138</v>
      </c>
      <c r="AE380" s="14" t="n">
        <f aca="false">J380</f>
        <v>14.5</v>
      </c>
      <c r="AF380" s="14" t="n">
        <f aca="false">IF($L380=2012,1,0)</f>
        <v>0</v>
      </c>
      <c r="AG380" s="14" t="n">
        <f aca="false">IF($L380=2013,1,0)</f>
        <v>0</v>
      </c>
      <c r="AH380" s="14" t="n">
        <f aca="false">IF($L380=2014,1,0)</f>
        <v>0</v>
      </c>
      <c r="AI380" s="14" t="n">
        <f aca="false">IF($L380=2015,1,0)</f>
        <v>1</v>
      </c>
      <c r="AJ380" s="14" t="n">
        <f aca="false">IF($L380=2016,1,0)</f>
        <v>0</v>
      </c>
      <c r="AK380" s="14" t="n">
        <f aca="false">IF($L380=2017,1,0)</f>
        <v>0</v>
      </c>
      <c r="AL380" s="14" t="n">
        <f aca="false">IF($H380="Beginner Level",1,0)</f>
        <v>1</v>
      </c>
      <c r="AM380" s="14" t="n">
        <f aca="false">IF($H380="Expert Level",1,0)</f>
        <v>0</v>
      </c>
      <c r="AN380" s="14" t="n">
        <f aca="false">IF($H380="Intermediate Level",1,0)</f>
        <v>0</v>
      </c>
    </row>
    <row r="381" customFormat="false" ht="68.65" hidden="false" customHeight="false" outlineLevel="0" collapsed="false">
      <c r="A381" s="14" t="n">
        <v>780056</v>
      </c>
      <c r="B381" s="14" t="s">
        <v>805</v>
      </c>
      <c r="C381" s="14" t="s">
        <v>806</v>
      </c>
      <c r="D381" s="14" t="n">
        <v>100</v>
      </c>
      <c r="E381" s="14" t="n">
        <v>5097</v>
      </c>
      <c r="F381" s="14" t="n">
        <v>196</v>
      </c>
      <c r="G381" s="14" t="n">
        <v>37</v>
      </c>
      <c r="H381" s="14" t="s">
        <v>52</v>
      </c>
      <c r="I381" s="14" t="n">
        <v>0.56</v>
      </c>
      <c r="J381" s="14" t="n">
        <v>2</v>
      </c>
      <c r="K381" s="14" t="s">
        <v>59</v>
      </c>
      <c r="L381" s="14" t="n">
        <v>2016</v>
      </c>
      <c r="M381" s="14" t="n">
        <v>8.53640741034004</v>
      </c>
      <c r="N381" s="14" t="n">
        <v>4.60527018098843</v>
      </c>
      <c r="P381" s="14" t="n">
        <f aca="false">D381</f>
        <v>100</v>
      </c>
      <c r="Q381" s="14" t="n">
        <f aca="false">G381</f>
        <v>37</v>
      </c>
      <c r="R381" s="14" t="n">
        <f aca="false">J381</f>
        <v>2</v>
      </c>
      <c r="S381" s="14" t="n">
        <f aca="false">IF($L381=2012,1,0)</f>
        <v>0</v>
      </c>
      <c r="T381" s="14" t="n">
        <f aca="false">IF($L381=2013,1,0)</f>
        <v>0</v>
      </c>
      <c r="U381" s="14" t="n">
        <f aca="false">IF($L381=2014,1,0)</f>
        <v>0</v>
      </c>
      <c r="V381" s="14" t="n">
        <f aca="false">IF($L381=2015,1,0)</f>
        <v>0</v>
      </c>
      <c r="W381" s="14" t="n">
        <f aca="false">IF($L381=2016,1,0)</f>
        <v>1</v>
      </c>
      <c r="X381" s="14" t="n">
        <f aca="false">IF($L381=2017,1,0)</f>
        <v>0</v>
      </c>
      <c r="Y381" s="14" t="n">
        <f aca="false">IF($H381="Beginner Level",1,0)</f>
        <v>1</v>
      </c>
      <c r="Z381" s="14" t="n">
        <f aca="false">IF($H381="Expert Level",1,0)</f>
        <v>0</v>
      </c>
      <c r="AA381" s="14" t="n">
        <f aca="false">IF($H381="Intermediate Level",1,0)</f>
        <v>0</v>
      </c>
      <c r="AC381" s="14" t="n">
        <f aca="false">N381</f>
        <v>4.60527018098843</v>
      </c>
      <c r="AD381" s="14" t="n">
        <f aca="false">G381</f>
        <v>37</v>
      </c>
      <c r="AE381" s="14" t="n">
        <f aca="false">J381</f>
        <v>2</v>
      </c>
      <c r="AF381" s="14" t="n">
        <f aca="false">IF($L381=2012,1,0)</f>
        <v>0</v>
      </c>
      <c r="AG381" s="14" t="n">
        <f aca="false">IF($L381=2013,1,0)</f>
        <v>0</v>
      </c>
      <c r="AH381" s="14" t="n">
        <f aca="false">IF($L381=2014,1,0)</f>
        <v>0</v>
      </c>
      <c r="AI381" s="14" t="n">
        <f aca="false">IF($L381=2015,1,0)</f>
        <v>0</v>
      </c>
      <c r="AJ381" s="14" t="n">
        <f aca="false">IF($L381=2016,1,0)</f>
        <v>1</v>
      </c>
      <c r="AK381" s="14" t="n">
        <f aca="false">IF($L381=2017,1,0)</f>
        <v>0</v>
      </c>
      <c r="AL381" s="14" t="n">
        <f aca="false">IF($H381="Beginner Level",1,0)</f>
        <v>1</v>
      </c>
      <c r="AM381" s="14" t="n">
        <f aca="false">IF($H381="Expert Level",1,0)</f>
        <v>0</v>
      </c>
      <c r="AN381" s="14" t="n">
        <f aca="false">IF($H381="Intermediate Level",1,0)</f>
        <v>0</v>
      </c>
    </row>
    <row r="382" customFormat="false" ht="68.65" hidden="false" customHeight="false" outlineLevel="0" collapsed="false">
      <c r="A382" s="14" t="n">
        <v>405818</v>
      </c>
      <c r="B382" s="14" t="s">
        <v>807</v>
      </c>
      <c r="C382" s="14" t="s">
        <v>808</v>
      </c>
      <c r="D382" s="14" t="n">
        <v>100</v>
      </c>
      <c r="E382" s="14" t="n">
        <v>5089</v>
      </c>
      <c r="F382" s="14" t="n">
        <v>685</v>
      </c>
      <c r="G382" s="14" t="n">
        <v>29</v>
      </c>
      <c r="H382" s="14" t="s">
        <v>62</v>
      </c>
      <c r="I382" s="14" t="n">
        <v>0.74</v>
      </c>
      <c r="J382" s="14" t="n">
        <v>3.5</v>
      </c>
      <c r="K382" s="14" t="s">
        <v>59</v>
      </c>
      <c r="L382" s="14" t="n">
        <v>2015</v>
      </c>
      <c r="M382" s="14" t="n">
        <v>8.53483662658883</v>
      </c>
      <c r="N382" s="14" t="n">
        <v>4.60527018098843</v>
      </c>
      <c r="P382" s="14" t="n">
        <f aca="false">D382</f>
        <v>100</v>
      </c>
      <c r="Q382" s="14" t="n">
        <f aca="false">G382</f>
        <v>29</v>
      </c>
      <c r="R382" s="14" t="n">
        <f aca="false">J382</f>
        <v>3.5</v>
      </c>
      <c r="S382" s="14" t="n">
        <f aca="false">IF($L382=2012,1,0)</f>
        <v>0</v>
      </c>
      <c r="T382" s="14" t="n">
        <f aca="false">IF($L382=2013,1,0)</f>
        <v>0</v>
      </c>
      <c r="U382" s="14" t="n">
        <f aca="false">IF($L382=2014,1,0)</f>
        <v>0</v>
      </c>
      <c r="V382" s="14" t="n">
        <f aca="false">IF($L382=2015,1,0)</f>
        <v>1</v>
      </c>
      <c r="W382" s="14" t="n">
        <f aca="false">IF($L382=2016,1,0)</f>
        <v>0</v>
      </c>
      <c r="X382" s="14" t="n">
        <f aca="false">IF($L382=2017,1,0)</f>
        <v>0</v>
      </c>
      <c r="Y382" s="14" t="n">
        <f aca="false">IF($H382="Beginner Level",1,0)</f>
        <v>0</v>
      </c>
      <c r="Z382" s="14" t="n">
        <f aca="false">IF($H382="Expert Level",1,0)</f>
        <v>0</v>
      </c>
      <c r="AA382" s="14" t="n">
        <f aca="false">IF($H382="Intermediate Level",1,0)</f>
        <v>0</v>
      </c>
      <c r="AC382" s="14" t="n">
        <f aca="false">N382</f>
        <v>4.60527018098843</v>
      </c>
      <c r="AD382" s="14" t="n">
        <f aca="false">G382</f>
        <v>29</v>
      </c>
      <c r="AE382" s="14" t="n">
        <f aca="false">J382</f>
        <v>3.5</v>
      </c>
      <c r="AF382" s="14" t="n">
        <f aca="false">IF($L382=2012,1,0)</f>
        <v>0</v>
      </c>
      <c r="AG382" s="14" t="n">
        <f aca="false">IF($L382=2013,1,0)</f>
        <v>0</v>
      </c>
      <c r="AH382" s="14" t="n">
        <f aca="false">IF($L382=2014,1,0)</f>
        <v>0</v>
      </c>
      <c r="AI382" s="14" t="n">
        <f aca="false">IF($L382=2015,1,0)</f>
        <v>1</v>
      </c>
      <c r="AJ382" s="14" t="n">
        <f aca="false">IF($L382=2016,1,0)</f>
        <v>0</v>
      </c>
      <c r="AK382" s="14" t="n">
        <f aca="false">IF($L382=2017,1,0)</f>
        <v>0</v>
      </c>
      <c r="AL382" s="14" t="n">
        <f aca="false">IF($H382="Beginner Level",1,0)</f>
        <v>0</v>
      </c>
      <c r="AM382" s="14" t="n">
        <f aca="false">IF($H382="Expert Level",1,0)</f>
        <v>0</v>
      </c>
      <c r="AN382" s="14" t="n">
        <f aca="false">IF($H382="Intermediate Level",1,0)</f>
        <v>0</v>
      </c>
    </row>
    <row r="383" customFormat="false" ht="57.45" hidden="false" customHeight="false" outlineLevel="0" collapsed="false">
      <c r="A383" s="14" t="n">
        <v>151956</v>
      </c>
      <c r="B383" s="14" t="s">
        <v>809</v>
      </c>
      <c r="C383" s="14" t="s">
        <v>810</v>
      </c>
      <c r="D383" s="14" t="n">
        <v>195</v>
      </c>
      <c r="E383" s="14" t="n">
        <v>5085</v>
      </c>
      <c r="F383" s="14" t="n">
        <v>106</v>
      </c>
      <c r="G383" s="14" t="n">
        <v>27</v>
      </c>
      <c r="H383" s="14" t="s">
        <v>62</v>
      </c>
      <c r="I383" s="14" t="n">
        <v>0.64</v>
      </c>
      <c r="J383" s="14" t="n">
        <v>6.5</v>
      </c>
      <c r="K383" s="14" t="s">
        <v>59</v>
      </c>
      <c r="L383" s="14" t="n">
        <v>2014</v>
      </c>
      <c r="M383" s="14" t="n">
        <v>8.53405030848266</v>
      </c>
      <c r="N383" s="14" t="n">
        <v>5.27305083930015</v>
      </c>
      <c r="P383" s="14" t="n">
        <f aca="false">D383</f>
        <v>195</v>
      </c>
      <c r="Q383" s="14" t="n">
        <f aca="false">G383</f>
        <v>27</v>
      </c>
      <c r="R383" s="14" t="n">
        <f aca="false">J383</f>
        <v>6.5</v>
      </c>
      <c r="S383" s="14" t="n">
        <f aca="false">IF($L383=2012,1,0)</f>
        <v>0</v>
      </c>
      <c r="T383" s="14" t="n">
        <f aca="false">IF($L383=2013,1,0)</f>
        <v>0</v>
      </c>
      <c r="U383" s="14" t="n">
        <f aca="false">IF($L383=2014,1,0)</f>
        <v>1</v>
      </c>
      <c r="V383" s="14" t="n">
        <f aca="false">IF($L383=2015,1,0)</f>
        <v>0</v>
      </c>
      <c r="W383" s="14" t="n">
        <f aca="false">IF($L383=2016,1,0)</f>
        <v>0</v>
      </c>
      <c r="X383" s="14" t="n">
        <f aca="false">IF($L383=2017,1,0)</f>
        <v>0</v>
      </c>
      <c r="Y383" s="14" t="n">
        <f aca="false">IF($H383="Beginner Level",1,0)</f>
        <v>0</v>
      </c>
      <c r="Z383" s="14" t="n">
        <f aca="false">IF($H383="Expert Level",1,0)</f>
        <v>0</v>
      </c>
      <c r="AA383" s="14" t="n">
        <f aca="false">IF($H383="Intermediate Level",1,0)</f>
        <v>0</v>
      </c>
      <c r="AC383" s="14" t="n">
        <f aca="false">N383</f>
        <v>5.27305083930015</v>
      </c>
      <c r="AD383" s="14" t="n">
        <f aca="false">G383</f>
        <v>27</v>
      </c>
      <c r="AE383" s="14" t="n">
        <f aca="false">J383</f>
        <v>6.5</v>
      </c>
      <c r="AF383" s="14" t="n">
        <f aca="false">IF($L383=2012,1,0)</f>
        <v>0</v>
      </c>
      <c r="AG383" s="14" t="n">
        <f aca="false">IF($L383=2013,1,0)</f>
        <v>0</v>
      </c>
      <c r="AH383" s="14" t="n">
        <f aca="false">IF($L383=2014,1,0)</f>
        <v>1</v>
      </c>
      <c r="AI383" s="14" t="n">
        <f aca="false">IF($L383=2015,1,0)</f>
        <v>0</v>
      </c>
      <c r="AJ383" s="14" t="n">
        <f aca="false">IF($L383=2016,1,0)</f>
        <v>0</v>
      </c>
      <c r="AK383" s="14" t="n">
        <f aca="false">IF($L383=2017,1,0)</f>
        <v>0</v>
      </c>
      <c r="AL383" s="14" t="n">
        <f aca="false">IF($H383="Beginner Level",1,0)</f>
        <v>0</v>
      </c>
      <c r="AM383" s="14" t="n">
        <f aca="false">IF($H383="Expert Level",1,0)</f>
        <v>0</v>
      </c>
      <c r="AN383" s="14" t="n">
        <f aca="false">IF($H383="Intermediate Level",1,0)</f>
        <v>0</v>
      </c>
    </row>
    <row r="384" customFormat="false" ht="46.25" hidden="false" customHeight="false" outlineLevel="0" collapsed="false">
      <c r="A384" s="14" t="n">
        <v>543090</v>
      </c>
      <c r="B384" s="14" t="s">
        <v>811</v>
      </c>
      <c r="C384" s="14" t="s">
        <v>812</v>
      </c>
      <c r="D384" s="14" t="n">
        <v>45</v>
      </c>
      <c r="E384" s="14" t="n">
        <v>5077</v>
      </c>
      <c r="F384" s="14" t="n">
        <v>126</v>
      </c>
      <c r="G384" s="14" t="n">
        <v>66</v>
      </c>
      <c r="H384" s="14" t="s">
        <v>62</v>
      </c>
      <c r="I384" s="14" t="n">
        <v>0.99</v>
      </c>
      <c r="J384" s="14" t="n">
        <v>3.5</v>
      </c>
      <c r="K384" s="14" t="s">
        <v>59</v>
      </c>
      <c r="L384" s="14" t="n">
        <v>2015</v>
      </c>
      <c r="M384" s="14" t="n">
        <v>8.5324758149474</v>
      </c>
      <c r="N384" s="14" t="n">
        <v>3.80688468730484</v>
      </c>
      <c r="P384" s="14" t="n">
        <f aca="false">D384</f>
        <v>45</v>
      </c>
      <c r="Q384" s="14" t="n">
        <f aca="false">G384</f>
        <v>66</v>
      </c>
      <c r="R384" s="14" t="n">
        <f aca="false">J384</f>
        <v>3.5</v>
      </c>
      <c r="S384" s="14" t="n">
        <f aca="false">IF($L384=2012,1,0)</f>
        <v>0</v>
      </c>
      <c r="T384" s="14" t="n">
        <f aca="false">IF($L384=2013,1,0)</f>
        <v>0</v>
      </c>
      <c r="U384" s="14" t="n">
        <f aca="false">IF($L384=2014,1,0)</f>
        <v>0</v>
      </c>
      <c r="V384" s="14" t="n">
        <f aca="false">IF($L384=2015,1,0)</f>
        <v>1</v>
      </c>
      <c r="W384" s="14" t="n">
        <f aca="false">IF($L384=2016,1,0)</f>
        <v>0</v>
      </c>
      <c r="X384" s="14" t="n">
        <f aca="false">IF($L384=2017,1,0)</f>
        <v>0</v>
      </c>
      <c r="Y384" s="14" t="n">
        <f aca="false">IF($H384="Beginner Level",1,0)</f>
        <v>0</v>
      </c>
      <c r="Z384" s="14" t="n">
        <f aca="false">IF($H384="Expert Level",1,0)</f>
        <v>0</v>
      </c>
      <c r="AA384" s="14" t="n">
        <f aca="false">IF($H384="Intermediate Level",1,0)</f>
        <v>0</v>
      </c>
      <c r="AC384" s="14" t="n">
        <f aca="false">N384</f>
        <v>3.80688468730484</v>
      </c>
      <c r="AD384" s="14" t="n">
        <f aca="false">G384</f>
        <v>66</v>
      </c>
      <c r="AE384" s="14" t="n">
        <f aca="false">J384</f>
        <v>3.5</v>
      </c>
      <c r="AF384" s="14" t="n">
        <f aca="false">IF($L384=2012,1,0)</f>
        <v>0</v>
      </c>
      <c r="AG384" s="14" t="n">
        <f aca="false">IF($L384=2013,1,0)</f>
        <v>0</v>
      </c>
      <c r="AH384" s="14" t="n">
        <f aca="false">IF($L384=2014,1,0)</f>
        <v>0</v>
      </c>
      <c r="AI384" s="14" t="n">
        <f aca="false">IF($L384=2015,1,0)</f>
        <v>1</v>
      </c>
      <c r="AJ384" s="14" t="n">
        <f aca="false">IF($L384=2016,1,0)</f>
        <v>0</v>
      </c>
      <c r="AK384" s="14" t="n">
        <f aca="false">IF($L384=2017,1,0)</f>
        <v>0</v>
      </c>
      <c r="AL384" s="14" t="n">
        <f aca="false">IF($H384="Beginner Level",1,0)</f>
        <v>0</v>
      </c>
      <c r="AM384" s="14" t="n">
        <f aca="false">IF($H384="Expert Level",1,0)</f>
        <v>0</v>
      </c>
      <c r="AN384" s="14" t="n">
        <f aca="false">IF($H384="Intermediate Level",1,0)</f>
        <v>0</v>
      </c>
    </row>
    <row r="385" customFormat="false" ht="46.25" hidden="false" customHeight="false" outlineLevel="0" collapsed="false">
      <c r="A385" s="14" t="n">
        <v>642696</v>
      </c>
      <c r="B385" s="14" t="s">
        <v>813</v>
      </c>
      <c r="C385" s="14" t="s">
        <v>814</v>
      </c>
      <c r="D385" s="14" t="n">
        <v>95</v>
      </c>
      <c r="E385" s="14" t="n">
        <v>5065</v>
      </c>
      <c r="F385" s="14" t="n">
        <v>40</v>
      </c>
      <c r="G385" s="14" t="n">
        <v>12</v>
      </c>
      <c r="H385" s="14" t="s">
        <v>62</v>
      </c>
      <c r="I385" s="14" t="n">
        <v>0.99</v>
      </c>
      <c r="J385" s="14" t="n">
        <v>0.53333333</v>
      </c>
      <c r="K385" s="14" t="s">
        <v>59</v>
      </c>
      <c r="L385" s="14" t="n">
        <v>2015</v>
      </c>
      <c r="M385" s="14" t="n">
        <v>8.53010941668278</v>
      </c>
      <c r="N385" s="14" t="n">
        <v>4.55398214921866</v>
      </c>
      <c r="P385" s="14" t="n">
        <f aca="false">D385</f>
        <v>95</v>
      </c>
      <c r="Q385" s="14" t="n">
        <f aca="false">G385</f>
        <v>12</v>
      </c>
      <c r="R385" s="14" t="n">
        <f aca="false">J385</f>
        <v>0.53333333</v>
      </c>
      <c r="S385" s="14" t="n">
        <f aca="false">IF($L385=2012,1,0)</f>
        <v>0</v>
      </c>
      <c r="T385" s="14" t="n">
        <f aca="false">IF($L385=2013,1,0)</f>
        <v>0</v>
      </c>
      <c r="U385" s="14" t="n">
        <f aca="false">IF($L385=2014,1,0)</f>
        <v>0</v>
      </c>
      <c r="V385" s="14" t="n">
        <f aca="false">IF($L385=2015,1,0)</f>
        <v>1</v>
      </c>
      <c r="W385" s="14" t="n">
        <f aca="false">IF($L385=2016,1,0)</f>
        <v>0</v>
      </c>
      <c r="X385" s="14" t="n">
        <f aca="false">IF($L385=2017,1,0)</f>
        <v>0</v>
      </c>
      <c r="Y385" s="14" t="n">
        <f aca="false">IF($H385="Beginner Level",1,0)</f>
        <v>0</v>
      </c>
      <c r="Z385" s="14" t="n">
        <f aca="false">IF($H385="Expert Level",1,0)</f>
        <v>0</v>
      </c>
      <c r="AA385" s="14" t="n">
        <f aca="false">IF($H385="Intermediate Level",1,0)</f>
        <v>0</v>
      </c>
      <c r="AC385" s="14" t="n">
        <f aca="false">N385</f>
        <v>4.55398214921866</v>
      </c>
      <c r="AD385" s="14" t="n">
        <f aca="false">G385</f>
        <v>12</v>
      </c>
      <c r="AE385" s="14" t="n">
        <f aca="false">J385</f>
        <v>0.53333333</v>
      </c>
      <c r="AF385" s="14" t="n">
        <f aca="false">IF($L385=2012,1,0)</f>
        <v>0</v>
      </c>
      <c r="AG385" s="14" t="n">
        <f aca="false">IF($L385=2013,1,0)</f>
        <v>0</v>
      </c>
      <c r="AH385" s="14" t="n">
        <f aca="false">IF($L385=2014,1,0)</f>
        <v>0</v>
      </c>
      <c r="AI385" s="14" t="n">
        <f aca="false">IF($L385=2015,1,0)</f>
        <v>1</v>
      </c>
      <c r="AJ385" s="14" t="n">
        <f aca="false">IF($L385=2016,1,0)</f>
        <v>0</v>
      </c>
      <c r="AK385" s="14" t="n">
        <f aca="false">IF($L385=2017,1,0)</f>
        <v>0</v>
      </c>
      <c r="AL385" s="14" t="n">
        <f aca="false">IF($H385="Beginner Level",1,0)</f>
        <v>0</v>
      </c>
      <c r="AM385" s="14" t="n">
        <f aca="false">IF($H385="Expert Level",1,0)</f>
        <v>0</v>
      </c>
      <c r="AN385" s="14" t="n">
        <f aca="false">IF($H385="Intermediate Level",1,0)</f>
        <v>0</v>
      </c>
    </row>
    <row r="386" customFormat="false" ht="68.65" hidden="false" customHeight="false" outlineLevel="0" collapsed="false">
      <c r="A386" s="14" t="n">
        <v>358508</v>
      </c>
      <c r="B386" s="14" t="s">
        <v>815</v>
      </c>
      <c r="C386" s="14" t="s">
        <v>816</v>
      </c>
      <c r="D386" s="14" t="n">
        <v>20</v>
      </c>
      <c r="E386" s="14" t="n">
        <v>5056</v>
      </c>
      <c r="F386" s="14" t="n">
        <v>74</v>
      </c>
      <c r="G386" s="14" t="n">
        <v>11</v>
      </c>
      <c r="H386" s="14" t="s">
        <v>62</v>
      </c>
      <c r="I386" s="14" t="n">
        <v>0.99</v>
      </c>
      <c r="J386" s="14" t="n">
        <v>2</v>
      </c>
      <c r="K386" s="14" t="s">
        <v>59</v>
      </c>
      <c r="L386" s="14" t="n">
        <v>2014</v>
      </c>
      <c r="M386" s="14" t="n">
        <v>8.52833093582669</v>
      </c>
      <c r="N386" s="14" t="n">
        <v>2.99623214859564</v>
      </c>
      <c r="P386" s="14" t="n">
        <f aca="false">D386</f>
        <v>20</v>
      </c>
      <c r="Q386" s="14" t="n">
        <f aca="false">G386</f>
        <v>11</v>
      </c>
      <c r="R386" s="14" t="n">
        <f aca="false">J386</f>
        <v>2</v>
      </c>
      <c r="S386" s="14" t="n">
        <f aca="false">IF($L386=2012,1,0)</f>
        <v>0</v>
      </c>
      <c r="T386" s="14" t="n">
        <f aca="false">IF($L386=2013,1,0)</f>
        <v>0</v>
      </c>
      <c r="U386" s="14" t="n">
        <f aca="false">IF($L386=2014,1,0)</f>
        <v>1</v>
      </c>
      <c r="V386" s="14" t="n">
        <f aca="false">IF($L386=2015,1,0)</f>
        <v>0</v>
      </c>
      <c r="W386" s="14" t="n">
        <f aca="false">IF($L386=2016,1,0)</f>
        <v>0</v>
      </c>
      <c r="X386" s="14" t="n">
        <f aca="false">IF($L386=2017,1,0)</f>
        <v>0</v>
      </c>
      <c r="Y386" s="14" t="n">
        <f aca="false">IF($H386="Beginner Level",1,0)</f>
        <v>0</v>
      </c>
      <c r="Z386" s="14" t="n">
        <f aca="false">IF($H386="Expert Level",1,0)</f>
        <v>0</v>
      </c>
      <c r="AA386" s="14" t="n">
        <f aca="false">IF($H386="Intermediate Level",1,0)</f>
        <v>0</v>
      </c>
      <c r="AC386" s="14" t="n">
        <f aca="false">N386</f>
        <v>2.99623214859564</v>
      </c>
      <c r="AD386" s="14" t="n">
        <f aca="false">G386</f>
        <v>11</v>
      </c>
      <c r="AE386" s="14" t="n">
        <f aca="false">J386</f>
        <v>2</v>
      </c>
      <c r="AF386" s="14" t="n">
        <f aca="false">IF($L386=2012,1,0)</f>
        <v>0</v>
      </c>
      <c r="AG386" s="14" t="n">
        <f aca="false">IF($L386=2013,1,0)</f>
        <v>0</v>
      </c>
      <c r="AH386" s="14" t="n">
        <f aca="false">IF($L386=2014,1,0)</f>
        <v>1</v>
      </c>
      <c r="AI386" s="14" t="n">
        <f aca="false">IF($L386=2015,1,0)</f>
        <v>0</v>
      </c>
      <c r="AJ386" s="14" t="n">
        <f aca="false">IF($L386=2016,1,0)</f>
        <v>0</v>
      </c>
      <c r="AK386" s="14" t="n">
        <f aca="false">IF($L386=2017,1,0)</f>
        <v>0</v>
      </c>
      <c r="AL386" s="14" t="n">
        <f aca="false">IF($H386="Beginner Level",1,0)</f>
        <v>0</v>
      </c>
      <c r="AM386" s="14" t="n">
        <f aca="false">IF($H386="Expert Level",1,0)</f>
        <v>0</v>
      </c>
      <c r="AN386" s="14" t="n">
        <f aca="false">IF($H386="Intermediate Level",1,0)</f>
        <v>0</v>
      </c>
    </row>
    <row r="387" customFormat="false" ht="91" hidden="false" customHeight="false" outlineLevel="0" collapsed="false">
      <c r="A387" s="14" t="n">
        <v>375136</v>
      </c>
      <c r="B387" s="14" t="s">
        <v>817</v>
      </c>
      <c r="C387" s="14" t="s">
        <v>818</v>
      </c>
      <c r="D387" s="14" t="n">
        <v>0</v>
      </c>
      <c r="E387" s="14" t="n">
        <v>5052</v>
      </c>
      <c r="F387" s="14" t="n">
        <v>92</v>
      </c>
      <c r="G387" s="14" t="n">
        <v>23</v>
      </c>
      <c r="H387" s="14" t="s">
        <v>71</v>
      </c>
      <c r="I387" s="14" t="n">
        <v>0.99</v>
      </c>
      <c r="J387" s="14" t="n">
        <v>1.5</v>
      </c>
      <c r="K387" s="14" t="s">
        <v>53</v>
      </c>
      <c r="L387" s="14" t="n">
        <v>2014</v>
      </c>
      <c r="M387" s="14" t="n">
        <v>8.52753948347038</v>
      </c>
      <c r="N387" s="14" t="n">
        <v>-4.60517018598809</v>
      </c>
      <c r="P387" s="14" t="n">
        <f aca="false">D387</f>
        <v>0</v>
      </c>
      <c r="Q387" s="14" t="n">
        <f aca="false">G387</f>
        <v>23</v>
      </c>
      <c r="R387" s="14" t="n">
        <f aca="false">J387</f>
        <v>1.5</v>
      </c>
      <c r="S387" s="14" t="n">
        <f aca="false">IF($L387=2012,1,0)</f>
        <v>0</v>
      </c>
      <c r="T387" s="14" t="n">
        <f aca="false">IF($L387=2013,1,0)</f>
        <v>0</v>
      </c>
      <c r="U387" s="14" t="n">
        <f aca="false">IF($L387=2014,1,0)</f>
        <v>1</v>
      </c>
      <c r="V387" s="14" t="n">
        <f aca="false">IF($L387=2015,1,0)</f>
        <v>0</v>
      </c>
      <c r="W387" s="14" t="n">
        <f aca="false">IF($L387=2016,1,0)</f>
        <v>0</v>
      </c>
      <c r="X387" s="14" t="n">
        <f aca="false">IF($L387=2017,1,0)</f>
        <v>0</v>
      </c>
      <c r="Y387" s="14" t="n">
        <f aca="false">IF($H387="Beginner Level",1,0)</f>
        <v>0</v>
      </c>
      <c r="Z387" s="14" t="n">
        <f aca="false">IF($H387="Expert Level",1,0)</f>
        <v>0</v>
      </c>
      <c r="AA387" s="14" t="n">
        <f aca="false">IF($H387="Intermediate Level",1,0)</f>
        <v>1</v>
      </c>
      <c r="AC387" s="14" t="n">
        <f aca="false">N387</f>
        <v>-4.60517018598809</v>
      </c>
      <c r="AD387" s="14" t="n">
        <f aca="false">G387</f>
        <v>23</v>
      </c>
      <c r="AE387" s="14" t="n">
        <f aca="false">J387</f>
        <v>1.5</v>
      </c>
      <c r="AF387" s="14" t="n">
        <f aca="false">IF($L387=2012,1,0)</f>
        <v>0</v>
      </c>
      <c r="AG387" s="14" t="n">
        <f aca="false">IF($L387=2013,1,0)</f>
        <v>0</v>
      </c>
      <c r="AH387" s="14" t="n">
        <f aca="false">IF($L387=2014,1,0)</f>
        <v>1</v>
      </c>
      <c r="AI387" s="14" t="n">
        <f aca="false">IF($L387=2015,1,0)</f>
        <v>0</v>
      </c>
      <c r="AJ387" s="14" t="n">
        <f aca="false">IF($L387=2016,1,0)</f>
        <v>0</v>
      </c>
      <c r="AK387" s="14" t="n">
        <f aca="false">IF($L387=2017,1,0)</f>
        <v>0</v>
      </c>
      <c r="AL387" s="14" t="n">
        <f aca="false">IF($H387="Beginner Level",1,0)</f>
        <v>0</v>
      </c>
      <c r="AM387" s="14" t="n">
        <f aca="false">IF($H387="Expert Level",1,0)</f>
        <v>0</v>
      </c>
      <c r="AN387" s="14" t="n">
        <f aca="false">IF($H387="Intermediate Level",1,0)</f>
        <v>1</v>
      </c>
    </row>
    <row r="388" customFormat="false" ht="35.05" hidden="false" customHeight="false" outlineLevel="0" collapsed="false">
      <c r="A388" s="14" t="n">
        <v>1218130</v>
      </c>
      <c r="B388" s="14" t="s">
        <v>819</v>
      </c>
      <c r="C388" s="14" t="s">
        <v>820</v>
      </c>
      <c r="D388" s="14" t="n">
        <v>80</v>
      </c>
      <c r="E388" s="14" t="n">
        <v>5026</v>
      </c>
      <c r="F388" s="14" t="n">
        <v>72</v>
      </c>
      <c r="G388" s="14" t="n">
        <v>43</v>
      </c>
      <c r="H388" s="14" t="s">
        <v>71</v>
      </c>
      <c r="I388" s="14" t="n">
        <v>0.99</v>
      </c>
      <c r="J388" s="14" t="n">
        <v>3</v>
      </c>
      <c r="K388" s="14" t="s">
        <v>59</v>
      </c>
      <c r="L388" s="14" t="n">
        <v>2017</v>
      </c>
      <c r="M388" s="14" t="n">
        <v>8.52237971810354</v>
      </c>
      <c r="N388" s="14" t="n">
        <v>4.38215162686203</v>
      </c>
      <c r="P388" s="14" t="n">
        <f aca="false">D388</f>
        <v>80</v>
      </c>
      <c r="Q388" s="14" t="n">
        <f aca="false">G388</f>
        <v>43</v>
      </c>
      <c r="R388" s="14" t="n">
        <f aca="false">J388</f>
        <v>3</v>
      </c>
      <c r="S388" s="14" t="n">
        <f aca="false">IF($L388=2012,1,0)</f>
        <v>0</v>
      </c>
      <c r="T388" s="14" t="n">
        <f aca="false">IF($L388=2013,1,0)</f>
        <v>0</v>
      </c>
      <c r="U388" s="14" t="n">
        <f aca="false">IF($L388=2014,1,0)</f>
        <v>0</v>
      </c>
      <c r="V388" s="14" t="n">
        <f aca="false">IF($L388=2015,1,0)</f>
        <v>0</v>
      </c>
      <c r="W388" s="14" t="n">
        <f aca="false">IF($L388=2016,1,0)</f>
        <v>0</v>
      </c>
      <c r="X388" s="14" t="n">
        <f aca="false">IF($L388=2017,1,0)</f>
        <v>1</v>
      </c>
      <c r="Y388" s="14" t="n">
        <f aca="false">IF($H388="Beginner Level",1,0)</f>
        <v>0</v>
      </c>
      <c r="Z388" s="14" t="n">
        <f aca="false">IF($H388="Expert Level",1,0)</f>
        <v>0</v>
      </c>
      <c r="AA388" s="14" t="n">
        <f aca="false">IF($H388="Intermediate Level",1,0)</f>
        <v>1</v>
      </c>
      <c r="AC388" s="14" t="n">
        <f aca="false">N388</f>
        <v>4.38215162686203</v>
      </c>
      <c r="AD388" s="14" t="n">
        <f aca="false">G388</f>
        <v>43</v>
      </c>
      <c r="AE388" s="14" t="n">
        <f aca="false">J388</f>
        <v>3</v>
      </c>
      <c r="AF388" s="14" t="n">
        <f aca="false">IF($L388=2012,1,0)</f>
        <v>0</v>
      </c>
      <c r="AG388" s="14" t="n">
        <f aca="false">IF($L388=2013,1,0)</f>
        <v>0</v>
      </c>
      <c r="AH388" s="14" t="n">
        <f aca="false">IF($L388=2014,1,0)</f>
        <v>0</v>
      </c>
      <c r="AI388" s="14" t="n">
        <f aca="false">IF($L388=2015,1,0)</f>
        <v>0</v>
      </c>
      <c r="AJ388" s="14" t="n">
        <f aca="false">IF($L388=2016,1,0)</f>
        <v>0</v>
      </c>
      <c r="AK388" s="14" t="n">
        <f aca="false">IF($L388=2017,1,0)</f>
        <v>1</v>
      </c>
      <c r="AL388" s="14" t="n">
        <f aca="false">IF($H388="Beginner Level",1,0)</f>
        <v>0</v>
      </c>
      <c r="AM388" s="14" t="n">
        <f aca="false">IF($H388="Expert Level",1,0)</f>
        <v>0</v>
      </c>
      <c r="AN388" s="14" t="n">
        <f aca="false">IF($H388="Intermediate Level",1,0)</f>
        <v>1</v>
      </c>
    </row>
    <row r="389" customFormat="false" ht="68.65" hidden="false" customHeight="false" outlineLevel="0" collapsed="false">
      <c r="A389" s="14" t="n">
        <v>861122</v>
      </c>
      <c r="B389" s="14" t="s">
        <v>821</v>
      </c>
      <c r="C389" s="14" t="s">
        <v>822</v>
      </c>
      <c r="D389" s="14" t="n">
        <v>75</v>
      </c>
      <c r="E389" s="14" t="n">
        <v>5022</v>
      </c>
      <c r="F389" s="14" t="n">
        <v>38</v>
      </c>
      <c r="G389" s="14" t="n">
        <v>13</v>
      </c>
      <c r="H389" s="14" t="s">
        <v>52</v>
      </c>
      <c r="I389" s="14" t="n">
        <v>0.99</v>
      </c>
      <c r="J389" s="14" t="n">
        <v>1</v>
      </c>
      <c r="K389" s="14" t="s">
        <v>59</v>
      </c>
      <c r="L389" s="14" t="n">
        <v>2016</v>
      </c>
      <c r="M389" s="14" t="n">
        <v>8.52158353971753</v>
      </c>
      <c r="N389" s="14" t="n">
        <v>4.31762143798155</v>
      </c>
      <c r="P389" s="14" t="n">
        <f aca="false">D389</f>
        <v>75</v>
      </c>
      <c r="Q389" s="14" t="n">
        <f aca="false">G389</f>
        <v>13</v>
      </c>
      <c r="R389" s="14" t="n">
        <f aca="false">J389</f>
        <v>1</v>
      </c>
      <c r="S389" s="14" t="n">
        <f aca="false">IF($L389=2012,1,0)</f>
        <v>0</v>
      </c>
      <c r="T389" s="14" t="n">
        <f aca="false">IF($L389=2013,1,0)</f>
        <v>0</v>
      </c>
      <c r="U389" s="14" t="n">
        <f aca="false">IF($L389=2014,1,0)</f>
        <v>0</v>
      </c>
      <c r="V389" s="14" t="n">
        <f aca="false">IF($L389=2015,1,0)</f>
        <v>0</v>
      </c>
      <c r="W389" s="14" t="n">
        <f aca="false">IF($L389=2016,1,0)</f>
        <v>1</v>
      </c>
      <c r="X389" s="14" t="n">
        <f aca="false">IF($L389=2017,1,0)</f>
        <v>0</v>
      </c>
      <c r="Y389" s="14" t="n">
        <f aca="false">IF($H389="Beginner Level",1,0)</f>
        <v>1</v>
      </c>
      <c r="Z389" s="14" t="n">
        <f aca="false">IF($H389="Expert Level",1,0)</f>
        <v>0</v>
      </c>
      <c r="AA389" s="14" t="n">
        <f aca="false">IF($H389="Intermediate Level",1,0)</f>
        <v>0</v>
      </c>
      <c r="AC389" s="14" t="n">
        <f aca="false">N389</f>
        <v>4.31762143798155</v>
      </c>
      <c r="AD389" s="14" t="n">
        <f aca="false">G389</f>
        <v>13</v>
      </c>
      <c r="AE389" s="14" t="n">
        <f aca="false">J389</f>
        <v>1</v>
      </c>
      <c r="AF389" s="14" t="n">
        <f aca="false">IF($L389=2012,1,0)</f>
        <v>0</v>
      </c>
      <c r="AG389" s="14" t="n">
        <f aca="false">IF($L389=2013,1,0)</f>
        <v>0</v>
      </c>
      <c r="AH389" s="14" t="n">
        <f aca="false">IF($L389=2014,1,0)</f>
        <v>0</v>
      </c>
      <c r="AI389" s="14" t="n">
        <f aca="false">IF($L389=2015,1,0)</f>
        <v>0</v>
      </c>
      <c r="AJ389" s="14" t="n">
        <f aca="false">IF($L389=2016,1,0)</f>
        <v>1</v>
      </c>
      <c r="AK389" s="14" t="n">
        <f aca="false">IF($L389=2017,1,0)</f>
        <v>0</v>
      </c>
      <c r="AL389" s="14" t="n">
        <f aca="false">IF($H389="Beginner Level",1,0)</f>
        <v>1</v>
      </c>
      <c r="AM389" s="14" t="n">
        <f aca="false">IF($H389="Expert Level",1,0)</f>
        <v>0</v>
      </c>
      <c r="AN389" s="14" t="n">
        <f aca="false">IF($H389="Intermediate Level",1,0)</f>
        <v>0</v>
      </c>
    </row>
    <row r="390" customFormat="false" ht="57.45" hidden="false" customHeight="false" outlineLevel="0" collapsed="false">
      <c r="A390" s="14" t="n">
        <v>576722</v>
      </c>
      <c r="B390" s="14" t="s">
        <v>823</v>
      </c>
      <c r="C390" s="14" t="s">
        <v>824</v>
      </c>
      <c r="D390" s="14" t="n">
        <v>0</v>
      </c>
      <c r="E390" s="14" t="n">
        <v>5014</v>
      </c>
      <c r="F390" s="14" t="n">
        <v>196</v>
      </c>
      <c r="G390" s="14" t="n">
        <v>32</v>
      </c>
      <c r="H390" s="14" t="s">
        <v>71</v>
      </c>
      <c r="I390" s="14" t="n">
        <v>0.99</v>
      </c>
      <c r="J390" s="14" t="n">
        <v>3</v>
      </c>
      <c r="K390" s="14" t="s">
        <v>53</v>
      </c>
      <c r="L390" s="14" t="n">
        <v>2015</v>
      </c>
      <c r="M390" s="14" t="n">
        <v>8.51998927871824</v>
      </c>
      <c r="N390" s="14" t="n">
        <v>-4.60517018598809</v>
      </c>
      <c r="P390" s="14" t="n">
        <f aca="false">D390</f>
        <v>0</v>
      </c>
      <c r="Q390" s="14" t="n">
        <f aca="false">G390</f>
        <v>32</v>
      </c>
      <c r="R390" s="14" t="n">
        <f aca="false">J390</f>
        <v>3</v>
      </c>
      <c r="S390" s="14" t="n">
        <f aca="false">IF($L390=2012,1,0)</f>
        <v>0</v>
      </c>
      <c r="T390" s="14" t="n">
        <f aca="false">IF($L390=2013,1,0)</f>
        <v>0</v>
      </c>
      <c r="U390" s="14" t="n">
        <f aca="false">IF($L390=2014,1,0)</f>
        <v>0</v>
      </c>
      <c r="V390" s="14" t="n">
        <f aca="false">IF($L390=2015,1,0)</f>
        <v>1</v>
      </c>
      <c r="W390" s="14" t="n">
        <f aca="false">IF($L390=2016,1,0)</f>
        <v>0</v>
      </c>
      <c r="X390" s="14" t="n">
        <f aca="false">IF($L390=2017,1,0)</f>
        <v>0</v>
      </c>
      <c r="Y390" s="14" t="n">
        <f aca="false">IF($H390="Beginner Level",1,0)</f>
        <v>0</v>
      </c>
      <c r="Z390" s="14" t="n">
        <f aca="false">IF($H390="Expert Level",1,0)</f>
        <v>0</v>
      </c>
      <c r="AA390" s="14" t="n">
        <f aca="false">IF($H390="Intermediate Level",1,0)</f>
        <v>1</v>
      </c>
      <c r="AC390" s="14" t="n">
        <f aca="false">N390</f>
        <v>-4.60517018598809</v>
      </c>
      <c r="AD390" s="14" t="n">
        <f aca="false">G390</f>
        <v>32</v>
      </c>
      <c r="AE390" s="14" t="n">
        <f aca="false">J390</f>
        <v>3</v>
      </c>
      <c r="AF390" s="14" t="n">
        <f aca="false">IF($L390=2012,1,0)</f>
        <v>0</v>
      </c>
      <c r="AG390" s="14" t="n">
        <f aca="false">IF($L390=2013,1,0)</f>
        <v>0</v>
      </c>
      <c r="AH390" s="14" t="n">
        <f aca="false">IF($L390=2014,1,0)</f>
        <v>0</v>
      </c>
      <c r="AI390" s="14" t="n">
        <f aca="false">IF($L390=2015,1,0)</f>
        <v>1</v>
      </c>
      <c r="AJ390" s="14" t="n">
        <f aca="false">IF($L390=2016,1,0)</f>
        <v>0</v>
      </c>
      <c r="AK390" s="14" t="n">
        <f aca="false">IF($L390=2017,1,0)</f>
        <v>0</v>
      </c>
      <c r="AL390" s="14" t="n">
        <f aca="false">IF($H390="Beginner Level",1,0)</f>
        <v>0</v>
      </c>
      <c r="AM390" s="14" t="n">
        <f aca="false">IF($H390="Expert Level",1,0)</f>
        <v>0</v>
      </c>
      <c r="AN390" s="14" t="n">
        <f aca="false">IF($H390="Intermediate Level",1,0)</f>
        <v>1</v>
      </c>
    </row>
    <row r="391" customFormat="false" ht="46.25" hidden="false" customHeight="false" outlineLevel="0" collapsed="false">
      <c r="A391" s="14" t="n">
        <v>708558</v>
      </c>
      <c r="B391" s="14" t="s">
        <v>825</v>
      </c>
      <c r="C391" s="14" t="s">
        <v>826</v>
      </c>
      <c r="D391" s="14" t="n">
        <v>0</v>
      </c>
      <c r="E391" s="14" t="n">
        <v>5004</v>
      </c>
      <c r="F391" s="14" t="n">
        <v>52</v>
      </c>
      <c r="G391" s="14" t="n">
        <v>21</v>
      </c>
      <c r="H391" s="14" t="s">
        <v>62</v>
      </c>
      <c r="I391" s="14" t="n">
        <v>0.99</v>
      </c>
      <c r="J391" s="14" t="n">
        <v>3</v>
      </c>
      <c r="K391" s="14" t="s">
        <v>53</v>
      </c>
      <c r="L391" s="14" t="n">
        <v>2015</v>
      </c>
      <c r="M391" s="14" t="n">
        <v>8.5179928715868</v>
      </c>
      <c r="N391" s="14" t="n">
        <v>-4.60517018598809</v>
      </c>
      <c r="P391" s="14" t="n">
        <f aca="false">D391</f>
        <v>0</v>
      </c>
      <c r="Q391" s="14" t="n">
        <f aca="false">G391</f>
        <v>21</v>
      </c>
      <c r="R391" s="14" t="n">
        <f aca="false">J391</f>
        <v>3</v>
      </c>
      <c r="S391" s="14" t="n">
        <f aca="false">IF($L391=2012,1,0)</f>
        <v>0</v>
      </c>
      <c r="T391" s="14" t="n">
        <f aca="false">IF($L391=2013,1,0)</f>
        <v>0</v>
      </c>
      <c r="U391" s="14" t="n">
        <f aca="false">IF($L391=2014,1,0)</f>
        <v>0</v>
      </c>
      <c r="V391" s="14" t="n">
        <f aca="false">IF($L391=2015,1,0)</f>
        <v>1</v>
      </c>
      <c r="W391" s="14" t="n">
        <f aca="false">IF($L391=2016,1,0)</f>
        <v>0</v>
      </c>
      <c r="X391" s="14" t="n">
        <f aca="false">IF($L391=2017,1,0)</f>
        <v>0</v>
      </c>
      <c r="Y391" s="14" t="n">
        <f aca="false">IF($H391="Beginner Level",1,0)</f>
        <v>0</v>
      </c>
      <c r="Z391" s="14" t="n">
        <f aca="false">IF($H391="Expert Level",1,0)</f>
        <v>0</v>
      </c>
      <c r="AA391" s="14" t="n">
        <f aca="false">IF($H391="Intermediate Level",1,0)</f>
        <v>0</v>
      </c>
      <c r="AC391" s="14" t="n">
        <f aca="false">N391</f>
        <v>-4.60517018598809</v>
      </c>
      <c r="AD391" s="14" t="n">
        <f aca="false">G391</f>
        <v>21</v>
      </c>
      <c r="AE391" s="14" t="n">
        <f aca="false">J391</f>
        <v>3</v>
      </c>
      <c r="AF391" s="14" t="n">
        <f aca="false">IF($L391=2012,1,0)</f>
        <v>0</v>
      </c>
      <c r="AG391" s="14" t="n">
        <f aca="false">IF($L391=2013,1,0)</f>
        <v>0</v>
      </c>
      <c r="AH391" s="14" t="n">
        <f aca="false">IF($L391=2014,1,0)</f>
        <v>0</v>
      </c>
      <c r="AI391" s="14" t="n">
        <f aca="false">IF($L391=2015,1,0)</f>
        <v>1</v>
      </c>
      <c r="AJ391" s="14" t="n">
        <f aca="false">IF($L391=2016,1,0)</f>
        <v>0</v>
      </c>
      <c r="AK391" s="14" t="n">
        <f aca="false">IF($L391=2017,1,0)</f>
        <v>0</v>
      </c>
      <c r="AL391" s="14" t="n">
        <f aca="false">IF($H391="Beginner Level",1,0)</f>
        <v>0</v>
      </c>
      <c r="AM391" s="14" t="n">
        <f aca="false">IF($H391="Expert Level",1,0)</f>
        <v>0</v>
      </c>
      <c r="AN391" s="14" t="n">
        <f aca="false">IF($H391="Intermediate Level",1,0)</f>
        <v>0</v>
      </c>
    </row>
    <row r="392" customFormat="false" ht="46.25" hidden="false" customHeight="false" outlineLevel="0" collapsed="false">
      <c r="A392" s="14" t="n">
        <v>306556</v>
      </c>
      <c r="B392" s="14" t="s">
        <v>827</v>
      </c>
      <c r="C392" s="14" t="s">
        <v>828</v>
      </c>
      <c r="D392" s="14" t="n">
        <v>90</v>
      </c>
      <c r="E392" s="14" t="n">
        <v>4957</v>
      </c>
      <c r="F392" s="14" t="n">
        <v>634</v>
      </c>
      <c r="G392" s="14" t="n">
        <v>60</v>
      </c>
      <c r="H392" s="14" t="s">
        <v>52</v>
      </c>
      <c r="I392" s="14" t="n">
        <v>0.99</v>
      </c>
      <c r="J392" s="14" t="n">
        <v>5.5</v>
      </c>
      <c r="K392" s="14" t="s">
        <v>59</v>
      </c>
      <c r="L392" s="14" t="n">
        <v>2014</v>
      </c>
      <c r="M392" s="14" t="n">
        <v>8.50855599802057</v>
      </c>
      <c r="N392" s="14" t="n">
        <v>4.49992077526899</v>
      </c>
      <c r="P392" s="14" t="n">
        <f aca="false">D392</f>
        <v>90</v>
      </c>
      <c r="Q392" s="14" t="n">
        <f aca="false">G392</f>
        <v>60</v>
      </c>
      <c r="R392" s="14" t="n">
        <f aca="false">J392</f>
        <v>5.5</v>
      </c>
      <c r="S392" s="14" t="n">
        <f aca="false">IF($L392=2012,1,0)</f>
        <v>0</v>
      </c>
      <c r="T392" s="14" t="n">
        <f aca="false">IF($L392=2013,1,0)</f>
        <v>0</v>
      </c>
      <c r="U392" s="14" t="n">
        <f aca="false">IF($L392=2014,1,0)</f>
        <v>1</v>
      </c>
      <c r="V392" s="14" t="n">
        <f aca="false">IF($L392=2015,1,0)</f>
        <v>0</v>
      </c>
      <c r="W392" s="14" t="n">
        <f aca="false">IF($L392=2016,1,0)</f>
        <v>0</v>
      </c>
      <c r="X392" s="14" t="n">
        <f aca="false">IF($L392=2017,1,0)</f>
        <v>0</v>
      </c>
      <c r="Y392" s="14" t="n">
        <f aca="false">IF($H392="Beginner Level",1,0)</f>
        <v>1</v>
      </c>
      <c r="Z392" s="14" t="n">
        <f aca="false">IF($H392="Expert Level",1,0)</f>
        <v>0</v>
      </c>
      <c r="AA392" s="14" t="n">
        <f aca="false">IF($H392="Intermediate Level",1,0)</f>
        <v>0</v>
      </c>
      <c r="AC392" s="14" t="n">
        <f aca="false">N392</f>
        <v>4.49992077526899</v>
      </c>
      <c r="AD392" s="14" t="n">
        <f aca="false">G392</f>
        <v>60</v>
      </c>
      <c r="AE392" s="14" t="n">
        <f aca="false">J392</f>
        <v>5.5</v>
      </c>
      <c r="AF392" s="14" t="n">
        <f aca="false">IF($L392=2012,1,0)</f>
        <v>0</v>
      </c>
      <c r="AG392" s="14" t="n">
        <f aca="false">IF($L392=2013,1,0)</f>
        <v>0</v>
      </c>
      <c r="AH392" s="14" t="n">
        <f aca="false">IF($L392=2014,1,0)</f>
        <v>1</v>
      </c>
      <c r="AI392" s="14" t="n">
        <f aca="false">IF($L392=2015,1,0)</f>
        <v>0</v>
      </c>
      <c r="AJ392" s="14" t="n">
        <f aca="false">IF($L392=2016,1,0)</f>
        <v>0</v>
      </c>
      <c r="AK392" s="14" t="n">
        <f aca="false">IF($L392=2017,1,0)</f>
        <v>0</v>
      </c>
      <c r="AL392" s="14" t="n">
        <f aca="false">IF($H392="Beginner Level",1,0)</f>
        <v>1</v>
      </c>
      <c r="AM392" s="14" t="n">
        <f aca="false">IF($H392="Expert Level",1,0)</f>
        <v>0</v>
      </c>
      <c r="AN392" s="14" t="n">
        <f aca="false">IF($H392="Intermediate Level",1,0)</f>
        <v>0</v>
      </c>
    </row>
    <row r="393" customFormat="false" ht="68.65" hidden="false" customHeight="false" outlineLevel="0" collapsed="false">
      <c r="A393" s="14" t="n">
        <v>988982</v>
      </c>
      <c r="B393" s="14" t="s">
        <v>829</v>
      </c>
      <c r="C393" s="14" t="s">
        <v>830</v>
      </c>
      <c r="D393" s="14" t="n">
        <v>0</v>
      </c>
      <c r="E393" s="14" t="n">
        <v>4905</v>
      </c>
      <c r="F393" s="14" t="n">
        <v>101</v>
      </c>
      <c r="G393" s="14" t="n">
        <v>13</v>
      </c>
      <c r="H393" s="14" t="s">
        <v>52</v>
      </c>
      <c r="I393" s="14" t="n">
        <v>0.99</v>
      </c>
      <c r="J393" s="14" t="n">
        <v>1</v>
      </c>
      <c r="K393" s="14" t="s">
        <v>53</v>
      </c>
      <c r="L393" s="14" t="n">
        <v>2016</v>
      </c>
      <c r="M393" s="14" t="n">
        <v>8.49801037199946</v>
      </c>
      <c r="N393" s="14" t="n">
        <v>-4.60517018598809</v>
      </c>
      <c r="P393" s="14" t="n">
        <f aca="false">D393</f>
        <v>0</v>
      </c>
      <c r="Q393" s="14" t="n">
        <f aca="false">G393</f>
        <v>13</v>
      </c>
      <c r="R393" s="14" t="n">
        <f aca="false">J393</f>
        <v>1</v>
      </c>
      <c r="S393" s="14" t="n">
        <f aca="false">IF($L393=2012,1,0)</f>
        <v>0</v>
      </c>
      <c r="T393" s="14" t="n">
        <f aca="false">IF($L393=2013,1,0)</f>
        <v>0</v>
      </c>
      <c r="U393" s="14" t="n">
        <f aca="false">IF($L393=2014,1,0)</f>
        <v>0</v>
      </c>
      <c r="V393" s="14" t="n">
        <f aca="false">IF($L393=2015,1,0)</f>
        <v>0</v>
      </c>
      <c r="W393" s="14" t="n">
        <f aca="false">IF($L393=2016,1,0)</f>
        <v>1</v>
      </c>
      <c r="X393" s="14" t="n">
        <f aca="false">IF($L393=2017,1,0)</f>
        <v>0</v>
      </c>
      <c r="Y393" s="14" t="n">
        <f aca="false">IF($H393="Beginner Level",1,0)</f>
        <v>1</v>
      </c>
      <c r="Z393" s="14" t="n">
        <f aca="false">IF($H393="Expert Level",1,0)</f>
        <v>0</v>
      </c>
      <c r="AA393" s="14" t="n">
        <f aca="false">IF($H393="Intermediate Level",1,0)</f>
        <v>0</v>
      </c>
      <c r="AC393" s="14" t="n">
        <f aca="false">N393</f>
        <v>-4.60517018598809</v>
      </c>
      <c r="AD393" s="14" t="n">
        <f aca="false">G393</f>
        <v>13</v>
      </c>
      <c r="AE393" s="14" t="n">
        <f aca="false">J393</f>
        <v>1</v>
      </c>
      <c r="AF393" s="14" t="n">
        <f aca="false">IF($L393=2012,1,0)</f>
        <v>0</v>
      </c>
      <c r="AG393" s="14" t="n">
        <f aca="false">IF($L393=2013,1,0)</f>
        <v>0</v>
      </c>
      <c r="AH393" s="14" t="n">
        <f aca="false">IF($L393=2014,1,0)</f>
        <v>0</v>
      </c>
      <c r="AI393" s="14" t="n">
        <f aca="false">IF($L393=2015,1,0)</f>
        <v>0</v>
      </c>
      <c r="AJ393" s="14" t="n">
        <f aca="false">IF($L393=2016,1,0)</f>
        <v>1</v>
      </c>
      <c r="AK393" s="14" t="n">
        <f aca="false">IF($L393=2017,1,0)</f>
        <v>0</v>
      </c>
      <c r="AL393" s="14" t="n">
        <f aca="false">IF($H393="Beginner Level",1,0)</f>
        <v>1</v>
      </c>
      <c r="AM393" s="14" t="n">
        <f aca="false">IF($H393="Expert Level",1,0)</f>
        <v>0</v>
      </c>
      <c r="AN393" s="14" t="n">
        <f aca="false">IF($H393="Intermediate Level",1,0)</f>
        <v>0</v>
      </c>
    </row>
    <row r="394" customFormat="false" ht="68.65" hidden="false" customHeight="false" outlineLevel="0" collapsed="false">
      <c r="A394" s="14" t="n">
        <v>918870</v>
      </c>
      <c r="B394" s="14" t="s">
        <v>831</v>
      </c>
      <c r="C394" s="14" t="s">
        <v>832</v>
      </c>
      <c r="D394" s="14" t="n">
        <v>50</v>
      </c>
      <c r="E394" s="14" t="n">
        <v>4892</v>
      </c>
      <c r="F394" s="14" t="n">
        <v>49</v>
      </c>
      <c r="G394" s="14" t="n">
        <v>32</v>
      </c>
      <c r="H394" s="14" t="s">
        <v>52</v>
      </c>
      <c r="I394" s="14" t="n">
        <v>0.99</v>
      </c>
      <c r="J394" s="14" t="n">
        <v>2</v>
      </c>
      <c r="K394" s="14" t="s">
        <v>59</v>
      </c>
      <c r="L394" s="14" t="n">
        <v>2016</v>
      </c>
      <c r="M394" s="14" t="n">
        <v>8.49535649680706</v>
      </c>
      <c r="N394" s="14" t="n">
        <v>3.91222298543081</v>
      </c>
      <c r="P394" s="14" t="n">
        <f aca="false">D394</f>
        <v>50</v>
      </c>
      <c r="Q394" s="14" t="n">
        <f aca="false">G394</f>
        <v>32</v>
      </c>
      <c r="R394" s="14" t="n">
        <f aca="false">J394</f>
        <v>2</v>
      </c>
      <c r="S394" s="14" t="n">
        <f aca="false">IF($L394=2012,1,0)</f>
        <v>0</v>
      </c>
      <c r="T394" s="14" t="n">
        <f aca="false">IF($L394=2013,1,0)</f>
        <v>0</v>
      </c>
      <c r="U394" s="14" t="n">
        <f aca="false">IF($L394=2014,1,0)</f>
        <v>0</v>
      </c>
      <c r="V394" s="14" t="n">
        <f aca="false">IF($L394=2015,1,0)</f>
        <v>0</v>
      </c>
      <c r="W394" s="14" t="n">
        <f aca="false">IF($L394=2016,1,0)</f>
        <v>1</v>
      </c>
      <c r="X394" s="14" t="n">
        <f aca="false">IF($L394=2017,1,0)</f>
        <v>0</v>
      </c>
      <c r="Y394" s="14" t="n">
        <f aca="false">IF($H394="Beginner Level",1,0)</f>
        <v>1</v>
      </c>
      <c r="Z394" s="14" t="n">
        <f aca="false">IF($H394="Expert Level",1,0)</f>
        <v>0</v>
      </c>
      <c r="AA394" s="14" t="n">
        <f aca="false">IF($H394="Intermediate Level",1,0)</f>
        <v>0</v>
      </c>
      <c r="AC394" s="14" t="n">
        <f aca="false">N394</f>
        <v>3.91222298543081</v>
      </c>
      <c r="AD394" s="14" t="n">
        <f aca="false">G394</f>
        <v>32</v>
      </c>
      <c r="AE394" s="14" t="n">
        <f aca="false">J394</f>
        <v>2</v>
      </c>
      <c r="AF394" s="14" t="n">
        <f aca="false">IF($L394=2012,1,0)</f>
        <v>0</v>
      </c>
      <c r="AG394" s="14" t="n">
        <f aca="false">IF($L394=2013,1,0)</f>
        <v>0</v>
      </c>
      <c r="AH394" s="14" t="n">
        <f aca="false">IF($L394=2014,1,0)</f>
        <v>0</v>
      </c>
      <c r="AI394" s="14" t="n">
        <f aca="false">IF($L394=2015,1,0)</f>
        <v>0</v>
      </c>
      <c r="AJ394" s="14" t="n">
        <f aca="false">IF($L394=2016,1,0)</f>
        <v>1</v>
      </c>
      <c r="AK394" s="14" t="n">
        <f aca="false">IF($L394=2017,1,0)</f>
        <v>0</v>
      </c>
      <c r="AL394" s="14" t="n">
        <f aca="false">IF($H394="Beginner Level",1,0)</f>
        <v>1</v>
      </c>
      <c r="AM394" s="14" t="n">
        <f aca="false">IF($H394="Expert Level",1,0)</f>
        <v>0</v>
      </c>
      <c r="AN394" s="14" t="n">
        <f aca="false">IF($H394="Intermediate Level",1,0)</f>
        <v>0</v>
      </c>
    </row>
    <row r="395" customFormat="false" ht="79.85" hidden="false" customHeight="false" outlineLevel="0" collapsed="false">
      <c r="A395" s="14" t="n">
        <v>1002030</v>
      </c>
      <c r="B395" s="14" t="s">
        <v>833</v>
      </c>
      <c r="C395" s="14" t="s">
        <v>834</v>
      </c>
      <c r="D395" s="14" t="n">
        <v>65</v>
      </c>
      <c r="E395" s="14" t="n">
        <v>4872</v>
      </c>
      <c r="F395" s="14" t="n">
        <v>662</v>
      </c>
      <c r="G395" s="14" t="n">
        <v>171</v>
      </c>
      <c r="H395" s="14" t="s">
        <v>62</v>
      </c>
      <c r="I395" s="14" t="n">
        <v>0.99</v>
      </c>
      <c r="J395" s="14" t="n">
        <v>19</v>
      </c>
      <c r="K395" s="14" t="s">
        <v>59</v>
      </c>
      <c r="L395" s="14" t="n">
        <v>2017</v>
      </c>
      <c r="M395" s="14" t="n">
        <v>8.49125980938973</v>
      </c>
      <c r="N395" s="14" t="n">
        <v>4.17454110421638</v>
      </c>
      <c r="P395" s="14" t="n">
        <f aca="false">D395</f>
        <v>65</v>
      </c>
      <c r="Q395" s="14" t="n">
        <f aca="false">G395</f>
        <v>171</v>
      </c>
      <c r="R395" s="14" t="n">
        <f aca="false">J395</f>
        <v>19</v>
      </c>
      <c r="S395" s="14" t="n">
        <f aca="false">IF($L395=2012,1,0)</f>
        <v>0</v>
      </c>
      <c r="T395" s="14" t="n">
        <f aca="false">IF($L395=2013,1,0)</f>
        <v>0</v>
      </c>
      <c r="U395" s="14" t="n">
        <f aca="false">IF($L395=2014,1,0)</f>
        <v>0</v>
      </c>
      <c r="V395" s="14" t="n">
        <f aca="false">IF($L395=2015,1,0)</f>
        <v>0</v>
      </c>
      <c r="W395" s="14" t="n">
        <f aca="false">IF($L395=2016,1,0)</f>
        <v>0</v>
      </c>
      <c r="X395" s="14" t="n">
        <f aca="false">IF($L395=2017,1,0)</f>
        <v>1</v>
      </c>
      <c r="Y395" s="14" t="n">
        <f aca="false">IF($H395="Beginner Level",1,0)</f>
        <v>0</v>
      </c>
      <c r="Z395" s="14" t="n">
        <f aca="false">IF($H395="Expert Level",1,0)</f>
        <v>0</v>
      </c>
      <c r="AA395" s="14" t="n">
        <f aca="false">IF($H395="Intermediate Level",1,0)</f>
        <v>0</v>
      </c>
      <c r="AC395" s="14" t="n">
        <f aca="false">N395</f>
        <v>4.17454110421638</v>
      </c>
      <c r="AD395" s="14" t="n">
        <f aca="false">G395</f>
        <v>171</v>
      </c>
      <c r="AE395" s="14" t="n">
        <f aca="false">J395</f>
        <v>19</v>
      </c>
      <c r="AF395" s="14" t="n">
        <f aca="false">IF($L395=2012,1,0)</f>
        <v>0</v>
      </c>
      <c r="AG395" s="14" t="n">
        <f aca="false">IF($L395=2013,1,0)</f>
        <v>0</v>
      </c>
      <c r="AH395" s="14" t="n">
        <f aca="false">IF($L395=2014,1,0)</f>
        <v>0</v>
      </c>
      <c r="AI395" s="14" t="n">
        <f aca="false">IF($L395=2015,1,0)</f>
        <v>0</v>
      </c>
      <c r="AJ395" s="14" t="n">
        <f aca="false">IF($L395=2016,1,0)</f>
        <v>0</v>
      </c>
      <c r="AK395" s="14" t="n">
        <f aca="false">IF($L395=2017,1,0)</f>
        <v>1</v>
      </c>
      <c r="AL395" s="14" t="n">
        <f aca="false">IF($H395="Beginner Level",1,0)</f>
        <v>0</v>
      </c>
      <c r="AM395" s="14" t="n">
        <f aca="false">IF($H395="Expert Level",1,0)</f>
        <v>0</v>
      </c>
      <c r="AN395" s="14" t="n">
        <f aca="false">IF($H395="Intermediate Level",1,0)</f>
        <v>0</v>
      </c>
    </row>
    <row r="396" customFormat="false" ht="57.45" hidden="false" customHeight="false" outlineLevel="0" collapsed="false">
      <c r="A396" s="14" t="n">
        <v>806020</v>
      </c>
      <c r="B396" s="14" t="s">
        <v>835</v>
      </c>
      <c r="C396" s="14" t="s">
        <v>836</v>
      </c>
      <c r="D396" s="14" t="n">
        <v>20</v>
      </c>
      <c r="E396" s="14" t="n">
        <v>4867</v>
      </c>
      <c r="F396" s="14" t="n">
        <v>128</v>
      </c>
      <c r="G396" s="14" t="n">
        <v>12</v>
      </c>
      <c r="H396" s="14" t="s">
        <v>62</v>
      </c>
      <c r="I396" s="14" t="n">
        <v>0.99</v>
      </c>
      <c r="J396" s="14" t="n">
        <v>1</v>
      </c>
      <c r="K396" s="14" t="s">
        <v>59</v>
      </c>
      <c r="L396" s="14" t="n">
        <v>2016</v>
      </c>
      <c r="M396" s="14" t="n">
        <v>8.49023300983346</v>
      </c>
      <c r="N396" s="14" t="n">
        <v>2.99623214859564</v>
      </c>
      <c r="P396" s="14" t="n">
        <f aca="false">D396</f>
        <v>20</v>
      </c>
      <c r="Q396" s="14" t="n">
        <f aca="false">G396</f>
        <v>12</v>
      </c>
      <c r="R396" s="14" t="n">
        <f aca="false">J396</f>
        <v>1</v>
      </c>
      <c r="S396" s="14" t="n">
        <f aca="false">IF($L396=2012,1,0)</f>
        <v>0</v>
      </c>
      <c r="T396" s="14" t="n">
        <f aca="false">IF($L396=2013,1,0)</f>
        <v>0</v>
      </c>
      <c r="U396" s="14" t="n">
        <f aca="false">IF($L396=2014,1,0)</f>
        <v>0</v>
      </c>
      <c r="V396" s="14" t="n">
        <f aca="false">IF($L396=2015,1,0)</f>
        <v>0</v>
      </c>
      <c r="W396" s="14" t="n">
        <f aca="false">IF($L396=2016,1,0)</f>
        <v>1</v>
      </c>
      <c r="X396" s="14" t="n">
        <f aca="false">IF($L396=2017,1,0)</f>
        <v>0</v>
      </c>
      <c r="Y396" s="14" t="n">
        <f aca="false">IF($H396="Beginner Level",1,0)</f>
        <v>0</v>
      </c>
      <c r="Z396" s="14" t="n">
        <f aca="false">IF($H396="Expert Level",1,0)</f>
        <v>0</v>
      </c>
      <c r="AA396" s="14" t="n">
        <f aca="false">IF($H396="Intermediate Level",1,0)</f>
        <v>0</v>
      </c>
      <c r="AC396" s="14" t="n">
        <f aca="false">N396</f>
        <v>2.99623214859564</v>
      </c>
      <c r="AD396" s="14" t="n">
        <f aca="false">G396</f>
        <v>12</v>
      </c>
      <c r="AE396" s="14" t="n">
        <f aca="false">J396</f>
        <v>1</v>
      </c>
      <c r="AF396" s="14" t="n">
        <f aca="false">IF($L396=2012,1,0)</f>
        <v>0</v>
      </c>
      <c r="AG396" s="14" t="n">
        <f aca="false">IF($L396=2013,1,0)</f>
        <v>0</v>
      </c>
      <c r="AH396" s="14" t="n">
        <f aca="false">IF($L396=2014,1,0)</f>
        <v>0</v>
      </c>
      <c r="AI396" s="14" t="n">
        <f aca="false">IF($L396=2015,1,0)</f>
        <v>0</v>
      </c>
      <c r="AJ396" s="14" t="n">
        <f aca="false">IF($L396=2016,1,0)</f>
        <v>1</v>
      </c>
      <c r="AK396" s="14" t="n">
        <f aca="false">IF($L396=2017,1,0)</f>
        <v>0</v>
      </c>
      <c r="AL396" s="14" t="n">
        <f aca="false">IF($H396="Beginner Level",1,0)</f>
        <v>0</v>
      </c>
      <c r="AM396" s="14" t="n">
        <f aca="false">IF($H396="Expert Level",1,0)</f>
        <v>0</v>
      </c>
      <c r="AN396" s="14" t="n">
        <f aca="false">IF($H396="Intermediate Level",1,0)</f>
        <v>0</v>
      </c>
    </row>
    <row r="397" customFormat="false" ht="46.25" hidden="false" customHeight="false" outlineLevel="0" collapsed="false">
      <c r="A397" s="14" t="n">
        <v>903526</v>
      </c>
      <c r="B397" s="14" t="s">
        <v>837</v>
      </c>
      <c r="C397" s="14" t="s">
        <v>838</v>
      </c>
      <c r="D397" s="14" t="n">
        <v>20</v>
      </c>
      <c r="E397" s="14" t="n">
        <v>4848</v>
      </c>
      <c r="F397" s="14" t="n">
        <v>33</v>
      </c>
      <c r="G397" s="14" t="n">
        <v>17</v>
      </c>
      <c r="H397" s="14" t="s">
        <v>52</v>
      </c>
      <c r="I397" s="14" t="n">
        <v>0.99</v>
      </c>
      <c r="J397" s="14" t="n">
        <v>1.5</v>
      </c>
      <c r="K397" s="14" t="s">
        <v>59</v>
      </c>
      <c r="L397" s="14" t="n">
        <v>2016</v>
      </c>
      <c r="M397" s="14" t="n">
        <v>8.48632152774915</v>
      </c>
      <c r="N397" s="14" t="n">
        <v>2.99623214859564</v>
      </c>
      <c r="P397" s="14" t="n">
        <f aca="false">D397</f>
        <v>20</v>
      </c>
      <c r="Q397" s="14" t="n">
        <f aca="false">G397</f>
        <v>17</v>
      </c>
      <c r="R397" s="14" t="n">
        <f aca="false">J397</f>
        <v>1.5</v>
      </c>
      <c r="S397" s="14" t="n">
        <f aca="false">IF($L397=2012,1,0)</f>
        <v>0</v>
      </c>
      <c r="T397" s="14" t="n">
        <f aca="false">IF($L397=2013,1,0)</f>
        <v>0</v>
      </c>
      <c r="U397" s="14" t="n">
        <f aca="false">IF($L397=2014,1,0)</f>
        <v>0</v>
      </c>
      <c r="V397" s="14" t="n">
        <f aca="false">IF($L397=2015,1,0)</f>
        <v>0</v>
      </c>
      <c r="W397" s="14" t="n">
        <f aca="false">IF($L397=2016,1,0)</f>
        <v>1</v>
      </c>
      <c r="X397" s="14" t="n">
        <f aca="false">IF($L397=2017,1,0)</f>
        <v>0</v>
      </c>
      <c r="Y397" s="14" t="n">
        <f aca="false">IF($H397="Beginner Level",1,0)</f>
        <v>1</v>
      </c>
      <c r="Z397" s="14" t="n">
        <f aca="false">IF($H397="Expert Level",1,0)</f>
        <v>0</v>
      </c>
      <c r="AA397" s="14" t="n">
        <f aca="false">IF($H397="Intermediate Level",1,0)</f>
        <v>0</v>
      </c>
      <c r="AC397" s="14" t="n">
        <f aca="false">N397</f>
        <v>2.99623214859564</v>
      </c>
      <c r="AD397" s="14" t="n">
        <f aca="false">G397</f>
        <v>17</v>
      </c>
      <c r="AE397" s="14" t="n">
        <f aca="false">J397</f>
        <v>1.5</v>
      </c>
      <c r="AF397" s="14" t="n">
        <f aca="false">IF($L397=2012,1,0)</f>
        <v>0</v>
      </c>
      <c r="AG397" s="14" t="n">
        <f aca="false">IF($L397=2013,1,0)</f>
        <v>0</v>
      </c>
      <c r="AH397" s="14" t="n">
        <f aca="false">IF($L397=2014,1,0)</f>
        <v>0</v>
      </c>
      <c r="AI397" s="14" t="n">
        <f aca="false">IF($L397=2015,1,0)</f>
        <v>0</v>
      </c>
      <c r="AJ397" s="14" t="n">
        <f aca="false">IF($L397=2016,1,0)</f>
        <v>1</v>
      </c>
      <c r="AK397" s="14" t="n">
        <f aca="false">IF($L397=2017,1,0)</f>
        <v>0</v>
      </c>
      <c r="AL397" s="14" t="n">
        <f aca="false">IF($H397="Beginner Level",1,0)</f>
        <v>1</v>
      </c>
      <c r="AM397" s="14" t="n">
        <f aca="false">IF($H397="Expert Level",1,0)</f>
        <v>0</v>
      </c>
      <c r="AN397" s="14" t="n">
        <f aca="false">IF($H397="Intermediate Level",1,0)</f>
        <v>0</v>
      </c>
    </row>
    <row r="398" customFormat="false" ht="68.65" hidden="false" customHeight="false" outlineLevel="0" collapsed="false">
      <c r="A398" s="14" t="n">
        <v>1115222</v>
      </c>
      <c r="B398" s="14" t="s">
        <v>839</v>
      </c>
      <c r="C398" s="14" t="s">
        <v>840</v>
      </c>
      <c r="D398" s="14" t="n">
        <v>30</v>
      </c>
      <c r="E398" s="14" t="n">
        <v>4848</v>
      </c>
      <c r="F398" s="14" t="n">
        <v>105</v>
      </c>
      <c r="G398" s="14" t="n">
        <v>123</v>
      </c>
      <c r="H398" s="14" t="s">
        <v>62</v>
      </c>
      <c r="I398" s="14" t="n">
        <v>0.99</v>
      </c>
      <c r="J398" s="14" t="n">
        <v>16.5</v>
      </c>
      <c r="K398" s="14" t="s">
        <v>59</v>
      </c>
      <c r="L398" s="14" t="n">
        <v>2017</v>
      </c>
      <c r="M398" s="14" t="n">
        <v>8.48632152774915</v>
      </c>
      <c r="N398" s="14" t="n">
        <v>3.40153065945228</v>
      </c>
      <c r="P398" s="14" t="n">
        <f aca="false">D398</f>
        <v>30</v>
      </c>
      <c r="Q398" s="14" t="n">
        <f aca="false">G398</f>
        <v>123</v>
      </c>
      <c r="R398" s="14" t="n">
        <f aca="false">J398</f>
        <v>16.5</v>
      </c>
      <c r="S398" s="14" t="n">
        <f aca="false">IF($L398=2012,1,0)</f>
        <v>0</v>
      </c>
      <c r="T398" s="14" t="n">
        <f aca="false">IF($L398=2013,1,0)</f>
        <v>0</v>
      </c>
      <c r="U398" s="14" t="n">
        <f aca="false">IF($L398=2014,1,0)</f>
        <v>0</v>
      </c>
      <c r="V398" s="14" t="n">
        <f aca="false">IF($L398=2015,1,0)</f>
        <v>0</v>
      </c>
      <c r="W398" s="14" t="n">
        <f aca="false">IF($L398=2016,1,0)</f>
        <v>0</v>
      </c>
      <c r="X398" s="14" t="n">
        <f aca="false">IF($L398=2017,1,0)</f>
        <v>1</v>
      </c>
      <c r="Y398" s="14" t="n">
        <f aca="false">IF($H398="Beginner Level",1,0)</f>
        <v>0</v>
      </c>
      <c r="Z398" s="14" t="n">
        <f aca="false">IF($H398="Expert Level",1,0)</f>
        <v>0</v>
      </c>
      <c r="AA398" s="14" t="n">
        <f aca="false">IF($H398="Intermediate Level",1,0)</f>
        <v>0</v>
      </c>
      <c r="AC398" s="14" t="n">
        <f aca="false">N398</f>
        <v>3.40153065945228</v>
      </c>
      <c r="AD398" s="14" t="n">
        <f aca="false">G398</f>
        <v>123</v>
      </c>
      <c r="AE398" s="14" t="n">
        <f aca="false">J398</f>
        <v>16.5</v>
      </c>
      <c r="AF398" s="14" t="n">
        <f aca="false">IF($L398=2012,1,0)</f>
        <v>0</v>
      </c>
      <c r="AG398" s="14" t="n">
        <f aca="false">IF($L398=2013,1,0)</f>
        <v>0</v>
      </c>
      <c r="AH398" s="14" t="n">
        <f aca="false">IF($L398=2014,1,0)</f>
        <v>0</v>
      </c>
      <c r="AI398" s="14" t="n">
        <f aca="false">IF($L398=2015,1,0)</f>
        <v>0</v>
      </c>
      <c r="AJ398" s="14" t="n">
        <f aca="false">IF($L398=2016,1,0)</f>
        <v>0</v>
      </c>
      <c r="AK398" s="14" t="n">
        <f aca="false">IF($L398=2017,1,0)</f>
        <v>1</v>
      </c>
      <c r="AL398" s="14" t="n">
        <f aca="false">IF($H398="Beginner Level",1,0)</f>
        <v>0</v>
      </c>
      <c r="AM398" s="14" t="n">
        <f aca="false">IF($H398="Expert Level",1,0)</f>
        <v>0</v>
      </c>
      <c r="AN398" s="14" t="n">
        <f aca="false">IF($H398="Intermediate Level",1,0)</f>
        <v>0</v>
      </c>
    </row>
    <row r="399" customFormat="false" ht="68.65" hidden="false" customHeight="false" outlineLevel="0" collapsed="false">
      <c r="A399" s="14" t="n">
        <v>657710</v>
      </c>
      <c r="B399" s="14" t="s">
        <v>841</v>
      </c>
      <c r="C399" s="14" t="s">
        <v>842</v>
      </c>
      <c r="D399" s="14" t="n">
        <v>35</v>
      </c>
      <c r="E399" s="14" t="n">
        <v>4839</v>
      </c>
      <c r="F399" s="14" t="n">
        <v>129</v>
      </c>
      <c r="G399" s="14" t="n">
        <v>84</v>
      </c>
      <c r="H399" s="14" t="s">
        <v>52</v>
      </c>
      <c r="I399" s="14" t="n">
        <v>0.99</v>
      </c>
      <c r="J399" s="14" t="n">
        <v>4</v>
      </c>
      <c r="K399" s="14" t="s">
        <v>59</v>
      </c>
      <c r="L399" s="14" t="n">
        <v>2015</v>
      </c>
      <c r="M399" s="14" t="n">
        <v>8.48446336679332</v>
      </c>
      <c r="N399" s="14" t="n">
        <v>3.55563373496657</v>
      </c>
      <c r="P399" s="14" t="n">
        <f aca="false">D399</f>
        <v>35</v>
      </c>
      <c r="Q399" s="14" t="n">
        <f aca="false">G399</f>
        <v>84</v>
      </c>
      <c r="R399" s="14" t="n">
        <f aca="false">J399</f>
        <v>4</v>
      </c>
      <c r="S399" s="14" t="n">
        <f aca="false">IF($L399=2012,1,0)</f>
        <v>0</v>
      </c>
      <c r="T399" s="14" t="n">
        <f aca="false">IF($L399=2013,1,0)</f>
        <v>0</v>
      </c>
      <c r="U399" s="14" t="n">
        <f aca="false">IF($L399=2014,1,0)</f>
        <v>0</v>
      </c>
      <c r="V399" s="14" t="n">
        <f aca="false">IF($L399=2015,1,0)</f>
        <v>1</v>
      </c>
      <c r="W399" s="14" t="n">
        <f aca="false">IF($L399=2016,1,0)</f>
        <v>0</v>
      </c>
      <c r="X399" s="14" t="n">
        <f aca="false">IF($L399=2017,1,0)</f>
        <v>0</v>
      </c>
      <c r="Y399" s="14" t="n">
        <f aca="false">IF($H399="Beginner Level",1,0)</f>
        <v>1</v>
      </c>
      <c r="Z399" s="14" t="n">
        <f aca="false">IF($H399="Expert Level",1,0)</f>
        <v>0</v>
      </c>
      <c r="AA399" s="14" t="n">
        <f aca="false">IF($H399="Intermediate Level",1,0)</f>
        <v>0</v>
      </c>
      <c r="AC399" s="14" t="n">
        <f aca="false">N399</f>
        <v>3.55563373496657</v>
      </c>
      <c r="AD399" s="14" t="n">
        <f aca="false">G399</f>
        <v>84</v>
      </c>
      <c r="AE399" s="14" t="n">
        <f aca="false">J399</f>
        <v>4</v>
      </c>
      <c r="AF399" s="14" t="n">
        <f aca="false">IF($L399=2012,1,0)</f>
        <v>0</v>
      </c>
      <c r="AG399" s="14" t="n">
        <f aca="false">IF($L399=2013,1,0)</f>
        <v>0</v>
      </c>
      <c r="AH399" s="14" t="n">
        <f aca="false">IF($L399=2014,1,0)</f>
        <v>0</v>
      </c>
      <c r="AI399" s="14" t="n">
        <f aca="false">IF($L399=2015,1,0)</f>
        <v>1</v>
      </c>
      <c r="AJ399" s="14" t="n">
        <f aca="false">IF($L399=2016,1,0)</f>
        <v>0</v>
      </c>
      <c r="AK399" s="14" t="n">
        <f aca="false">IF($L399=2017,1,0)</f>
        <v>0</v>
      </c>
      <c r="AL399" s="14" t="n">
        <f aca="false">IF($H399="Beginner Level",1,0)</f>
        <v>1</v>
      </c>
      <c r="AM399" s="14" t="n">
        <f aca="false">IF($H399="Expert Level",1,0)</f>
        <v>0</v>
      </c>
      <c r="AN399" s="14" t="n">
        <f aca="false">IF($H399="Intermediate Level",1,0)</f>
        <v>0</v>
      </c>
    </row>
    <row r="400" customFormat="false" ht="68.65" hidden="false" customHeight="false" outlineLevel="0" collapsed="false">
      <c r="A400" s="14" t="n">
        <v>575644</v>
      </c>
      <c r="B400" s="14" t="s">
        <v>843</v>
      </c>
      <c r="C400" s="14" t="s">
        <v>844</v>
      </c>
      <c r="D400" s="14" t="n">
        <v>0</v>
      </c>
      <c r="E400" s="14" t="n">
        <v>4830</v>
      </c>
      <c r="F400" s="14" t="n">
        <v>38</v>
      </c>
      <c r="G400" s="14" t="n">
        <v>7</v>
      </c>
      <c r="H400" s="14" t="s">
        <v>52</v>
      </c>
      <c r="I400" s="14" t="n">
        <v>0.99</v>
      </c>
      <c r="J400" s="14" t="n">
        <v>0.53333333</v>
      </c>
      <c r="K400" s="14" t="s">
        <v>53</v>
      </c>
      <c r="L400" s="14" t="n">
        <v>2015</v>
      </c>
      <c r="M400" s="14" t="n">
        <v>8.48260174664662</v>
      </c>
      <c r="N400" s="14" t="n">
        <v>-4.60517018598809</v>
      </c>
      <c r="P400" s="14" t="n">
        <f aca="false">D400</f>
        <v>0</v>
      </c>
      <c r="Q400" s="14" t="n">
        <f aca="false">G400</f>
        <v>7</v>
      </c>
      <c r="R400" s="14" t="n">
        <f aca="false">J400</f>
        <v>0.53333333</v>
      </c>
      <c r="S400" s="14" t="n">
        <f aca="false">IF($L400=2012,1,0)</f>
        <v>0</v>
      </c>
      <c r="T400" s="14" t="n">
        <f aca="false">IF($L400=2013,1,0)</f>
        <v>0</v>
      </c>
      <c r="U400" s="14" t="n">
        <f aca="false">IF($L400=2014,1,0)</f>
        <v>0</v>
      </c>
      <c r="V400" s="14" t="n">
        <f aca="false">IF($L400=2015,1,0)</f>
        <v>1</v>
      </c>
      <c r="W400" s="14" t="n">
        <f aca="false">IF($L400=2016,1,0)</f>
        <v>0</v>
      </c>
      <c r="X400" s="14" t="n">
        <f aca="false">IF($L400=2017,1,0)</f>
        <v>0</v>
      </c>
      <c r="Y400" s="14" t="n">
        <f aca="false">IF($H400="Beginner Level",1,0)</f>
        <v>1</v>
      </c>
      <c r="Z400" s="14" t="n">
        <f aca="false">IF($H400="Expert Level",1,0)</f>
        <v>0</v>
      </c>
      <c r="AA400" s="14" t="n">
        <f aca="false">IF($H400="Intermediate Level",1,0)</f>
        <v>0</v>
      </c>
      <c r="AC400" s="14" t="n">
        <f aca="false">N400</f>
        <v>-4.60517018598809</v>
      </c>
      <c r="AD400" s="14" t="n">
        <f aca="false">G400</f>
        <v>7</v>
      </c>
      <c r="AE400" s="14" t="n">
        <f aca="false">J400</f>
        <v>0.53333333</v>
      </c>
      <c r="AF400" s="14" t="n">
        <f aca="false">IF($L400=2012,1,0)</f>
        <v>0</v>
      </c>
      <c r="AG400" s="14" t="n">
        <f aca="false">IF($L400=2013,1,0)</f>
        <v>0</v>
      </c>
      <c r="AH400" s="14" t="n">
        <f aca="false">IF($L400=2014,1,0)</f>
        <v>0</v>
      </c>
      <c r="AI400" s="14" t="n">
        <f aca="false">IF($L400=2015,1,0)</f>
        <v>1</v>
      </c>
      <c r="AJ400" s="14" t="n">
        <f aca="false">IF($L400=2016,1,0)</f>
        <v>0</v>
      </c>
      <c r="AK400" s="14" t="n">
        <f aca="false">IF($L400=2017,1,0)</f>
        <v>0</v>
      </c>
      <c r="AL400" s="14" t="n">
        <f aca="false">IF($H400="Beginner Level",1,0)</f>
        <v>1</v>
      </c>
      <c r="AM400" s="14" t="n">
        <f aca="false">IF($H400="Expert Level",1,0)</f>
        <v>0</v>
      </c>
      <c r="AN400" s="14" t="n">
        <f aca="false">IF($H400="Intermediate Level",1,0)</f>
        <v>0</v>
      </c>
    </row>
    <row r="401" customFormat="false" ht="91" hidden="false" customHeight="false" outlineLevel="0" collapsed="false">
      <c r="A401" s="14" t="n">
        <v>687466</v>
      </c>
      <c r="B401" s="14" t="s">
        <v>845</v>
      </c>
      <c r="C401" s="14" t="s">
        <v>846</v>
      </c>
      <c r="D401" s="14" t="n">
        <v>75</v>
      </c>
      <c r="E401" s="14" t="n">
        <v>4820</v>
      </c>
      <c r="F401" s="14" t="n">
        <v>983</v>
      </c>
      <c r="G401" s="14" t="n">
        <v>53</v>
      </c>
      <c r="H401" s="14" t="s">
        <v>62</v>
      </c>
      <c r="I401" s="14" t="n">
        <v>0.99</v>
      </c>
      <c r="J401" s="14" t="n">
        <v>11.5</v>
      </c>
      <c r="K401" s="14" t="s">
        <v>59</v>
      </c>
      <c r="L401" s="14" t="n">
        <v>2015</v>
      </c>
      <c r="M401" s="14" t="n">
        <v>8.48052920704465</v>
      </c>
      <c r="N401" s="14" t="n">
        <v>4.31762143798155</v>
      </c>
      <c r="P401" s="14" t="n">
        <f aca="false">D401</f>
        <v>75</v>
      </c>
      <c r="Q401" s="14" t="n">
        <f aca="false">G401</f>
        <v>53</v>
      </c>
      <c r="R401" s="14" t="n">
        <f aca="false">J401</f>
        <v>11.5</v>
      </c>
      <c r="S401" s="14" t="n">
        <f aca="false">IF($L401=2012,1,0)</f>
        <v>0</v>
      </c>
      <c r="T401" s="14" t="n">
        <f aca="false">IF($L401=2013,1,0)</f>
        <v>0</v>
      </c>
      <c r="U401" s="14" t="n">
        <f aca="false">IF($L401=2014,1,0)</f>
        <v>0</v>
      </c>
      <c r="V401" s="14" t="n">
        <f aca="false">IF($L401=2015,1,0)</f>
        <v>1</v>
      </c>
      <c r="W401" s="14" t="n">
        <f aca="false">IF($L401=2016,1,0)</f>
        <v>0</v>
      </c>
      <c r="X401" s="14" t="n">
        <f aca="false">IF($L401=2017,1,0)</f>
        <v>0</v>
      </c>
      <c r="Y401" s="14" t="n">
        <f aca="false">IF($H401="Beginner Level",1,0)</f>
        <v>0</v>
      </c>
      <c r="Z401" s="14" t="n">
        <f aca="false">IF($H401="Expert Level",1,0)</f>
        <v>0</v>
      </c>
      <c r="AA401" s="14" t="n">
        <f aca="false">IF($H401="Intermediate Level",1,0)</f>
        <v>0</v>
      </c>
      <c r="AC401" s="14" t="n">
        <f aca="false">N401</f>
        <v>4.31762143798155</v>
      </c>
      <c r="AD401" s="14" t="n">
        <f aca="false">G401</f>
        <v>53</v>
      </c>
      <c r="AE401" s="14" t="n">
        <f aca="false">J401</f>
        <v>11.5</v>
      </c>
      <c r="AF401" s="14" t="n">
        <f aca="false">IF($L401=2012,1,0)</f>
        <v>0</v>
      </c>
      <c r="AG401" s="14" t="n">
        <f aca="false">IF($L401=2013,1,0)</f>
        <v>0</v>
      </c>
      <c r="AH401" s="14" t="n">
        <f aca="false">IF($L401=2014,1,0)</f>
        <v>0</v>
      </c>
      <c r="AI401" s="14" t="n">
        <f aca="false">IF($L401=2015,1,0)</f>
        <v>1</v>
      </c>
      <c r="AJ401" s="14" t="n">
        <f aca="false">IF($L401=2016,1,0)</f>
        <v>0</v>
      </c>
      <c r="AK401" s="14" t="n">
        <f aca="false">IF($L401=2017,1,0)</f>
        <v>0</v>
      </c>
      <c r="AL401" s="14" t="n">
        <f aca="false">IF($H401="Beginner Level",1,0)</f>
        <v>0</v>
      </c>
      <c r="AM401" s="14" t="n">
        <f aca="false">IF($H401="Expert Level",1,0)</f>
        <v>0</v>
      </c>
      <c r="AN401" s="14" t="n">
        <f aca="false">IF($H401="Intermediate Level",1,0)</f>
        <v>0</v>
      </c>
    </row>
    <row r="402" customFormat="false" ht="68.65" hidden="false" customHeight="false" outlineLevel="0" collapsed="false">
      <c r="A402" s="14" t="n">
        <v>653754</v>
      </c>
      <c r="B402" s="14" t="s">
        <v>847</v>
      </c>
      <c r="C402" s="14" t="s">
        <v>848</v>
      </c>
      <c r="D402" s="14" t="n">
        <v>65</v>
      </c>
      <c r="E402" s="14" t="n">
        <v>4797</v>
      </c>
      <c r="F402" s="14" t="n">
        <v>97</v>
      </c>
      <c r="G402" s="14" t="n">
        <v>11</v>
      </c>
      <c r="H402" s="14" t="s">
        <v>62</v>
      </c>
      <c r="I402" s="14" t="n">
        <v>0.99</v>
      </c>
      <c r="J402" s="14" t="n">
        <v>1</v>
      </c>
      <c r="K402" s="14" t="s">
        <v>59</v>
      </c>
      <c r="L402" s="14" t="n">
        <v>2015</v>
      </c>
      <c r="M402" s="14" t="n">
        <v>8.47574600150206</v>
      </c>
      <c r="N402" s="14" t="n">
        <v>4.17454110421638</v>
      </c>
      <c r="P402" s="14" t="n">
        <f aca="false">D402</f>
        <v>65</v>
      </c>
      <c r="Q402" s="14" t="n">
        <f aca="false">G402</f>
        <v>11</v>
      </c>
      <c r="R402" s="14" t="n">
        <f aca="false">J402</f>
        <v>1</v>
      </c>
      <c r="S402" s="14" t="n">
        <f aca="false">IF($L402=2012,1,0)</f>
        <v>0</v>
      </c>
      <c r="T402" s="14" t="n">
        <f aca="false">IF($L402=2013,1,0)</f>
        <v>0</v>
      </c>
      <c r="U402" s="14" t="n">
        <f aca="false">IF($L402=2014,1,0)</f>
        <v>0</v>
      </c>
      <c r="V402" s="14" t="n">
        <f aca="false">IF($L402=2015,1,0)</f>
        <v>1</v>
      </c>
      <c r="W402" s="14" t="n">
        <f aca="false">IF($L402=2016,1,0)</f>
        <v>0</v>
      </c>
      <c r="X402" s="14" t="n">
        <f aca="false">IF($L402=2017,1,0)</f>
        <v>0</v>
      </c>
      <c r="Y402" s="14" t="n">
        <f aca="false">IF($H402="Beginner Level",1,0)</f>
        <v>0</v>
      </c>
      <c r="Z402" s="14" t="n">
        <f aca="false">IF($H402="Expert Level",1,0)</f>
        <v>0</v>
      </c>
      <c r="AA402" s="14" t="n">
        <f aca="false">IF($H402="Intermediate Level",1,0)</f>
        <v>0</v>
      </c>
      <c r="AC402" s="14" t="n">
        <f aca="false">N402</f>
        <v>4.17454110421638</v>
      </c>
      <c r="AD402" s="14" t="n">
        <f aca="false">G402</f>
        <v>11</v>
      </c>
      <c r="AE402" s="14" t="n">
        <f aca="false">J402</f>
        <v>1</v>
      </c>
      <c r="AF402" s="14" t="n">
        <f aca="false">IF($L402=2012,1,0)</f>
        <v>0</v>
      </c>
      <c r="AG402" s="14" t="n">
        <f aca="false">IF($L402=2013,1,0)</f>
        <v>0</v>
      </c>
      <c r="AH402" s="14" t="n">
        <f aca="false">IF($L402=2014,1,0)</f>
        <v>0</v>
      </c>
      <c r="AI402" s="14" t="n">
        <f aca="false">IF($L402=2015,1,0)</f>
        <v>1</v>
      </c>
      <c r="AJ402" s="14" t="n">
        <f aca="false">IF($L402=2016,1,0)</f>
        <v>0</v>
      </c>
      <c r="AK402" s="14" t="n">
        <f aca="false">IF($L402=2017,1,0)</f>
        <v>0</v>
      </c>
      <c r="AL402" s="14" t="n">
        <f aca="false">IF($H402="Beginner Level",1,0)</f>
        <v>0</v>
      </c>
      <c r="AM402" s="14" t="n">
        <f aca="false">IF($H402="Expert Level",1,0)</f>
        <v>0</v>
      </c>
      <c r="AN402" s="14" t="n">
        <f aca="false">IF($H402="Intermediate Level",1,0)</f>
        <v>0</v>
      </c>
    </row>
    <row r="403" customFormat="false" ht="91" hidden="false" customHeight="false" outlineLevel="0" collapsed="false">
      <c r="A403" s="14" t="n">
        <v>1124970</v>
      </c>
      <c r="B403" s="14" t="s">
        <v>849</v>
      </c>
      <c r="C403" s="14" t="s">
        <v>850</v>
      </c>
      <c r="D403" s="14" t="n">
        <v>175</v>
      </c>
      <c r="E403" s="14" t="n">
        <v>4783</v>
      </c>
      <c r="F403" s="14" t="n">
        <v>41</v>
      </c>
      <c r="G403" s="14" t="n">
        <v>48</v>
      </c>
      <c r="H403" s="14" t="s">
        <v>62</v>
      </c>
      <c r="I403" s="14" t="n">
        <v>0.99</v>
      </c>
      <c r="J403" s="14" t="n">
        <v>7</v>
      </c>
      <c r="K403" s="14" t="s">
        <v>59</v>
      </c>
      <c r="L403" s="14" t="n">
        <v>2017</v>
      </c>
      <c r="M403" s="14" t="n">
        <v>8.4728232436803</v>
      </c>
      <c r="N403" s="14" t="n">
        <v>5.16484311514807</v>
      </c>
      <c r="P403" s="14" t="n">
        <f aca="false">D403</f>
        <v>175</v>
      </c>
      <c r="Q403" s="14" t="n">
        <f aca="false">G403</f>
        <v>48</v>
      </c>
      <c r="R403" s="14" t="n">
        <f aca="false">J403</f>
        <v>7</v>
      </c>
      <c r="S403" s="14" t="n">
        <f aca="false">IF($L403=2012,1,0)</f>
        <v>0</v>
      </c>
      <c r="T403" s="14" t="n">
        <f aca="false">IF($L403=2013,1,0)</f>
        <v>0</v>
      </c>
      <c r="U403" s="14" t="n">
        <f aca="false">IF($L403=2014,1,0)</f>
        <v>0</v>
      </c>
      <c r="V403" s="14" t="n">
        <f aca="false">IF($L403=2015,1,0)</f>
        <v>0</v>
      </c>
      <c r="W403" s="14" t="n">
        <f aca="false">IF($L403=2016,1,0)</f>
        <v>0</v>
      </c>
      <c r="X403" s="14" t="n">
        <f aca="false">IF($L403=2017,1,0)</f>
        <v>1</v>
      </c>
      <c r="Y403" s="14" t="n">
        <f aca="false">IF($H403="Beginner Level",1,0)</f>
        <v>0</v>
      </c>
      <c r="Z403" s="14" t="n">
        <f aca="false">IF($H403="Expert Level",1,0)</f>
        <v>0</v>
      </c>
      <c r="AA403" s="14" t="n">
        <f aca="false">IF($H403="Intermediate Level",1,0)</f>
        <v>0</v>
      </c>
      <c r="AC403" s="14" t="n">
        <f aca="false">N403</f>
        <v>5.16484311514807</v>
      </c>
      <c r="AD403" s="14" t="n">
        <f aca="false">G403</f>
        <v>48</v>
      </c>
      <c r="AE403" s="14" t="n">
        <f aca="false">J403</f>
        <v>7</v>
      </c>
      <c r="AF403" s="14" t="n">
        <f aca="false">IF($L403=2012,1,0)</f>
        <v>0</v>
      </c>
      <c r="AG403" s="14" t="n">
        <f aca="false">IF($L403=2013,1,0)</f>
        <v>0</v>
      </c>
      <c r="AH403" s="14" t="n">
        <f aca="false">IF($L403=2014,1,0)</f>
        <v>0</v>
      </c>
      <c r="AI403" s="14" t="n">
        <f aca="false">IF($L403=2015,1,0)</f>
        <v>0</v>
      </c>
      <c r="AJ403" s="14" t="n">
        <f aca="false">IF($L403=2016,1,0)</f>
        <v>0</v>
      </c>
      <c r="AK403" s="14" t="n">
        <f aca="false">IF($L403=2017,1,0)</f>
        <v>1</v>
      </c>
      <c r="AL403" s="14" t="n">
        <f aca="false">IF($H403="Beginner Level",1,0)</f>
        <v>0</v>
      </c>
      <c r="AM403" s="14" t="n">
        <f aca="false">IF($H403="Expert Level",1,0)</f>
        <v>0</v>
      </c>
      <c r="AN403" s="14" t="n">
        <f aca="false">IF($H403="Intermediate Level",1,0)</f>
        <v>0</v>
      </c>
    </row>
    <row r="404" customFormat="false" ht="68.65" hidden="false" customHeight="false" outlineLevel="0" collapsed="false">
      <c r="A404" s="14" t="n">
        <v>53256</v>
      </c>
      <c r="B404" s="14" t="s">
        <v>851</v>
      </c>
      <c r="C404" s="14" t="s">
        <v>852</v>
      </c>
      <c r="D404" s="14" t="n">
        <v>75</v>
      </c>
      <c r="E404" s="14" t="n">
        <v>4743</v>
      </c>
      <c r="F404" s="14" t="n">
        <v>393</v>
      </c>
      <c r="G404" s="14" t="n">
        <v>28</v>
      </c>
      <c r="H404" s="14" t="s">
        <v>62</v>
      </c>
      <c r="I404" s="14" t="n">
        <v>0.99</v>
      </c>
      <c r="J404" s="14" t="n">
        <v>3</v>
      </c>
      <c r="K404" s="14" t="s">
        <v>59</v>
      </c>
      <c r="L404" s="14" t="n">
        <v>2013</v>
      </c>
      <c r="M404" s="14" t="n">
        <v>8.46442512587758</v>
      </c>
      <c r="N404" s="14" t="n">
        <v>4.31762143798155</v>
      </c>
      <c r="P404" s="14" t="n">
        <f aca="false">D404</f>
        <v>75</v>
      </c>
      <c r="Q404" s="14" t="n">
        <f aca="false">G404</f>
        <v>28</v>
      </c>
      <c r="R404" s="14" t="n">
        <f aca="false">J404</f>
        <v>3</v>
      </c>
      <c r="S404" s="14" t="n">
        <f aca="false">IF($L404=2012,1,0)</f>
        <v>0</v>
      </c>
      <c r="T404" s="14" t="n">
        <f aca="false">IF($L404=2013,1,0)</f>
        <v>1</v>
      </c>
      <c r="U404" s="14" t="n">
        <f aca="false">IF($L404=2014,1,0)</f>
        <v>0</v>
      </c>
      <c r="V404" s="14" t="n">
        <f aca="false">IF($L404=2015,1,0)</f>
        <v>0</v>
      </c>
      <c r="W404" s="14" t="n">
        <f aca="false">IF($L404=2016,1,0)</f>
        <v>0</v>
      </c>
      <c r="X404" s="14" t="n">
        <f aca="false">IF($L404=2017,1,0)</f>
        <v>0</v>
      </c>
      <c r="Y404" s="14" t="n">
        <f aca="false">IF($H404="Beginner Level",1,0)</f>
        <v>0</v>
      </c>
      <c r="Z404" s="14" t="n">
        <f aca="false">IF($H404="Expert Level",1,0)</f>
        <v>0</v>
      </c>
      <c r="AA404" s="14" t="n">
        <f aca="false">IF($H404="Intermediate Level",1,0)</f>
        <v>0</v>
      </c>
      <c r="AC404" s="14" t="n">
        <f aca="false">N404</f>
        <v>4.31762143798155</v>
      </c>
      <c r="AD404" s="14" t="n">
        <f aca="false">G404</f>
        <v>28</v>
      </c>
      <c r="AE404" s="14" t="n">
        <f aca="false">J404</f>
        <v>3</v>
      </c>
      <c r="AF404" s="14" t="n">
        <f aca="false">IF($L404=2012,1,0)</f>
        <v>0</v>
      </c>
      <c r="AG404" s="14" t="n">
        <f aca="false">IF($L404=2013,1,0)</f>
        <v>1</v>
      </c>
      <c r="AH404" s="14" t="n">
        <f aca="false">IF($L404=2014,1,0)</f>
        <v>0</v>
      </c>
      <c r="AI404" s="14" t="n">
        <f aca="false">IF($L404=2015,1,0)</f>
        <v>0</v>
      </c>
      <c r="AJ404" s="14" t="n">
        <f aca="false">IF($L404=2016,1,0)</f>
        <v>0</v>
      </c>
      <c r="AK404" s="14" t="n">
        <f aca="false">IF($L404=2017,1,0)</f>
        <v>0</v>
      </c>
      <c r="AL404" s="14" t="n">
        <f aca="false">IF($H404="Beginner Level",1,0)</f>
        <v>0</v>
      </c>
      <c r="AM404" s="14" t="n">
        <f aca="false">IF($H404="Expert Level",1,0)</f>
        <v>0</v>
      </c>
      <c r="AN404" s="14" t="n">
        <f aca="false">IF($H404="Intermediate Level",1,0)</f>
        <v>0</v>
      </c>
    </row>
    <row r="405" customFormat="false" ht="68.65" hidden="false" customHeight="false" outlineLevel="0" collapsed="false">
      <c r="A405" s="14" t="n">
        <v>837950</v>
      </c>
      <c r="B405" s="14" t="s">
        <v>853</v>
      </c>
      <c r="C405" s="14" t="s">
        <v>854</v>
      </c>
      <c r="D405" s="14" t="n">
        <v>0</v>
      </c>
      <c r="E405" s="14" t="n">
        <v>4735</v>
      </c>
      <c r="F405" s="14" t="n">
        <v>81</v>
      </c>
      <c r="G405" s="14" t="n">
        <v>69</v>
      </c>
      <c r="H405" s="14" t="s">
        <v>71</v>
      </c>
      <c r="I405" s="14" t="n">
        <v>0.99</v>
      </c>
      <c r="J405" s="14" t="n">
        <v>5</v>
      </c>
      <c r="K405" s="14" t="s">
        <v>53</v>
      </c>
      <c r="L405" s="14" t="n">
        <v>2016</v>
      </c>
      <c r="M405" s="14" t="n">
        <v>8.46273700562018</v>
      </c>
      <c r="N405" s="14" t="n">
        <v>-4.60517018598809</v>
      </c>
      <c r="P405" s="14" t="n">
        <f aca="false">D405</f>
        <v>0</v>
      </c>
      <c r="Q405" s="14" t="n">
        <f aca="false">G405</f>
        <v>69</v>
      </c>
      <c r="R405" s="14" t="n">
        <f aca="false">J405</f>
        <v>5</v>
      </c>
      <c r="S405" s="14" t="n">
        <f aca="false">IF($L405=2012,1,0)</f>
        <v>0</v>
      </c>
      <c r="T405" s="14" t="n">
        <f aca="false">IF($L405=2013,1,0)</f>
        <v>0</v>
      </c>
      <c r="U405" s="14" t="n">
        <f aca="false">IF($L405=2014,1,0)</f>
        <v>0</v>
      </c>
      <c r="V405" s="14" t="n">
        <f aca="false">IF($L405=2015,1,0)</f>
        <v>0</v>
      </c>
      <c r="W405" s="14" t="n">
        <f aca="false">IF($L405=2016,1,0)</f>
        <v>1</v>
      </c>
      <c r="X405" s="14" t="n">
        <f aca="false">IF($L405=2017,1,0)</f>
        <v>0</v>
      </c>
      <c r="Y405" s="14" t="n">
        <f aca="false">IF($H405="Beginner Level",1,0)</f>
        <v>0</v>
      </c>
      <c r="Z405" s="14" t="n">
        <f aca="false">IF($H405="Expert Level",1,0)</f>
        <v>0</v>
      </c>
      <c r="AA405" s="14" t="n">
        <f aca="false">IF($H405="Intermediate Level",1,0)</f>
        <v>1</v>
      </c>
      <c r="AC405" s="14" t="n">
        <f aca="false">N405</f>
        <v>-4.60517018598809</v>
      </c>
      <c r="AD405" s="14" t="n">
        <f aca="false">G405</f>
        <v>69</v>
      </c>
      <c r="AE405" s="14" t="n">
        <f aca="false">J405</f>
        <v>5</v>
      </c>
      <c r="AF405" s="14" t="n">
        <f aca="false">IF($L405=2012,1,0)</f>
        <v>0</v>
      </c>
      <c r="AG405" s="14" t="n">
        <f aca="false">IF($L405=2013,1,0)</f>
        <v>0</v>
      </c>
      <c r="AH405" s="14" t="n">
        <f aca="false">IF($L405=2014,1,0)</f>
        <v>0</v>
      </c>
      <c r="AI405" s="14" t="n">
        <f aca="false">IF($L405=2015,1,0)</f>
        <v>0</v>
      </c>
      <c r="AJ405" s="14" t="n">
        <f aca="false">IF($L405=2016,1,0)</f>
        <v>1</v>
      </c>
      <c r="AK405" s="14" t="n">
        <f aca="false">IF($L405=2017,1,0)</f>
        <v>0</v>
      </c>
      <c r="AL405" s="14" t="n">
        <f aca="false">IF($H405="Beginner Level",1,0)</f>
        <v>0</v>
      </c>
      <c r="AM405" s="14" t="n">
        <f aca="false">IF($H405="Expert Level",1,0)</f>
        <v>0</v>
      </c>
      <c r="AN405" s="14" t="n">
        <f aca="false">IF($H405="Intermediate Level",1,0)</f>
        <v>1</v>
      </c>
    </row>
    <row r="406" customFormat="false" ht="57.45" hidden="false" customHeight="false" outlineLevel="0" collapsed="false">
      <c r="A406" s="14" t="n">
        <v>484872</v>
      </c>
      <c r="B406" s="14" t="s">
        <v>855</v>
      </c>
      <c r="C406" s="14" t="s">
        <v>856</v>
      </c>
      <c r="D406" s="14" t="n">
        <v>50</v>
      </c>
      <c r="E406" s="14" t="n">
        <v>4732</v>
      </c>
      <c r="F406" s="14" t="n">
        <v>5</v>
      </c>
      <c r="G406" s="14" t="n">
        <v>14</v>
      </c>
      <c r="H406" s="14" t="s">
        <v>62</v>
      </c>
      <c r="I406" s="14" t="n">
        <v>0.99</v>
      </c>
      <c r="J406" s="14" t="n">
        <v>2</v>
      </c>
      <c r="K406" s="14" t="s">
        <v>59</v>
      </c>
      <c r="L406" s="14" t="n">
        <v>2015</v>
      </c>
      <c r="M406" s="14" t="n">
        <v>8.46210322509828</v>
      </c>
      <c r="N406" s="14" t="n">
        <v>3.91222298543081</v>
      </c>
      <c r="P406" s="14" t="n">
        <f aca="false">D406</f>
        <v>50</v>
      </c>
      <c r="Q406" s="14" t="n">
        <f aca="false">G406</f>
        <v>14</v>
      </c>
      <c r="R406" s="14" t="n">
        <f aca="false">J406</f>
        <v>2</v>
      </c>
      <c r="S406" s="14" t="n">
        <f aca="false">IF($L406=2012,1,0)</f>
        <v>0</v>
      </c>
      <c r="T406" s="14" t="n">
        <f aca="false">IF($L406=2013,1,0)</f>
        <v>0</v>
      </c>
      <c r="U406" s="14" t="n">
        <f aca="false">IF($L406=2014,1,0)</f>
        <v>0</v>
      </c>
      <c r="V406" s="14" t="n">
        <f aca="false">IF($L406=2015,1,0)</f>
        <v>1</v>
      </c>
      <c r="W406" s="14" t="n">
        <f aca="false">IF($L406=2016,1,0)</f>
        <v>0</v>
      </c>
      <c r="X406" s="14" t="n">
        <f aca="false">IF($L406=2017,1,0)</f>
        <v>0</v>
      </c>
      <c r="Y406" s="14" t="n">
        <f aca="false">IF($H406="Beginner Level",1,0)</f>
        <v>0</v>
      </c>
      <c r="Z406" s="14" t="n">
        <f aca="false">IF($H406="Expert Level",1,0)</f>
        <v>0</v>
      </c>
      <c r="AA406" s="14" t="n">
        <f aca="false">IF($H406="Intermediate Level",1,0)</f>
        <v>0</v>
      </c>
      <c r="AC406" s="14" t="n">
        <f aca="false">N406</f>
        <v>3.91222298543081</v>
      </c>
      <c r="AD406" s="14" t="n">
        <f aca="false">G406</f>
        <v>14</v>
      </c>
      <c r="AE406" s="14" t="n">
        <f aca="false">J406</f>
        <v>2</v>
      </c>
      <c r="AF406" s="14" t="n">
        <f aca="false">IF($L406=2012,1,0)</f>
        <v>0</v>
      </c>
      <c r="AG406" s="14" t="n">
        <f aca="false">IF($L406=2013,1,0)</f>
        <v>0</v>
      </c>
      <c r="AH406" s="14" t="n">
        <f aca="false">IF($L406=2014,1,0)</f>
        <v>0</v>
      </c>
      <c r="AI406" s="14" t="n">
        <f aca="false">IF($L406=2015,1,0)</f>
        <v>1</v>
      </c>
      <c r="AJ406" s="14" t="n">
        <f aca="false">IF($L406=2016,1,0)</f>
        <v>0</v>
      </c>
      <c r="AK406" s="14" t="n">
        <f aca="false">IF($L406=2017,1,0)</f>
        <v>0</v>
      </c>
      <c r="AL406" s="14" t="n">
        <f aca="false">IF($H406="Beginner Level",1,0)</f>
        <v>0</v>
      </c>
      <c r="AM406" s="14" t="n">
        <f aca="false">IF($H406="Expert Level",1,0)</f>
        <v>0</v>
      </c>
      <c r="AN406" s="14" t="n">
        <f aca="false">IF($H406="Intermediate Level",1,0)</f>
        <v>0</v>
      </c>
    </row>
    <row r="407" customFormat="false" ht="57.45" hidden="false" customHeight="false" outlineLevel="0" collapsed="false">
      <c r="A407" s="14" t="n">
        <v>886300</v>
      </c>
      <c r="B407" s="14" t="s">
        <v>857</v>
      </c>
      <c r="C407" s="14" t="s">
        <v>858</v>
      </c>
      <c r="D407" s="14" t="n">
        <v>110</v>
      </c>
      <c r="E407" s="14" t="n">
        <v>4720</v>
      </c>
      <c r="F407" s="14" t="n">
        <v>1017</v>
      </c>
      <c r="G407" s="14" t="n">
        <v>126</v>
      </c>
      <c r="H407" s="14" t="s">
        <v>52</v>
      </c>
      <c r="I407" s="14" t="n">
        <v>0.99</v>
      </c>
      <c r="J407" s="14" t="n">
        <v>7.5</v>
      </c>
      <c r="K407" s="14" t="s">
        <v>59</v>
      </c>
      <c r="L407" s="14" t="n">
        <v>2016</v>
      </c>
      <c r="M407" s="14" t="n">
        <v>8.4595640785796</v>
      </c>
      <c r="N407" s="14" t="n">
        <v>4.70057127075134</v>
      </c>
      <c r="P407" s="14" t="n">
        <f aca="false">D407</f>
        <v>110</v>
      </c>
      <c r="Q407" s="14" t="n">
        <f aca="false">G407</f>
        <v>126</v>
      </c>
      <c r="R407" s="14" t="n">
        <f aca="false">J407</f>
        <v>7.5</v>
      </c>
      <c r="S407" s="14" t="n">
        <f aca="false">IF($L407=2012,1,0)</f>
        <v>0</v>
      </c>
      <c r="T407" s="14" t="n">
        <f aca="false">IF($L407=2013,1,0)</f>
        <v>0</v>
      </c>
      <c r="U407" s="14" t="n">
        <f aca="false">IF($L407=2014,1,0)</f>
        <v>0</v>
      </c>
      <c r="V407" s="14" t="n">
        <f aca="false">IF($L407=2015,1,0)</f>
        <v>0</v>
      </c>
      <c r="W407" s="14" t="n">
        <f aca="false">IF($L407=2016,1,0)</f>
        <v>1</v>
      </c>
      <c r="X407" s="14" t="n">
        <f aca="false">IF($L407=2017,1,0)</f>
        <v>0</v>
      </c>
      <c r="Y407" s="14" t="n">
        <f aca="false">IF($H407="Beginner Level",1,0)</f>
        <v>1</v>
      </c>
      <c r="Z407" s="14" t="n">
        <f aca="false">IF($H407="Expert Level",1,0)</f>
        <v>0</v>
      </c>
      <c r="AA407" s="14" t="n">
        <f aca="false">IF($H407="Intermediate Level",1,0)</f>
        <v>0</v>
      </c>
      <c r="AC407" s="14" t="n">
        <f aca="false">N407</f>
        <v>4.70057127075134</v>
      </c>
      <c r="AD407" s="14" t="n">
        <f aca="false">G407</f>
        <v>126</v>
      </c>
      <c r="AE407" s="14" t="n">
        <f aca="false">J407</f>
        <v>7.5</v>
      </c>
      <c r="AF407" s="14" t="n">
        <f aca="false">IF($L407=2012,1,0)</f>
        <v>0</v>
      </c>
      <c r="AG407" s="14" t="n">
        <f aca="false">IF($L407=2013,1,0)</f>
        <v>0</v>
      </c>
      <c r="AH407" s="14" t="n">
        <f aca="false">IF($L407=2014,1,0)</f>
        <v>0</v>
      </c>
      <c r="AI407" s="14" t="n">
        <f aca="false">IF($L407=2015,1,0)</f>
        <v>0</v>
      </c>
      <c r="AJ407" s="14" t="n">
        <f aca="false">IF($L407=2016,1,0)</f>
        <v>1</v>
      </c>
      <c r="AK407" s="14" t="n">
        <f aca="false">IF($L407=2017,1,0)</f>
        <v>0</v>
      </c>
      <c r="AL407" s="14" t="n">
        <f aca="false">IF($H407="Beginner Level",1,0)</f>
        <v>1</v>
      </c>
      <c r="AM407" s="14" t="n">
        <f aca="false">IF($H407="Expert Level",1,0)</f>
        <v>0</v>
      </c>
      <c r="AN407" s="14" t="n">
        <f aca="false">IF($H407="Intermediate Level",1,0)</f>
        <v>0</v>
      </c>
    </row>
    <row r="408" customFormat="false" ht="79.85" hidden="false" customHeight="false" outlineLevel="0" collapsed="false">
      <c r="A408" s="14" t="n">
        <v>552198</v>
      </c>
      <c r="B408" s="14" t="s">
        <v>859</v>
      </c>
      <c r="C408" s="14" t="s">
        <v>860</v>
      </c>
      <c r="D408" s="14" t="n">
        <v>200</v>
      </c>
      <c r="E408" s="14" t="n">
        <v>4714</v>
      </c>
      <c r="F408" s="14" t="n">
        <v>149</v>
      </c>
      <c r="G408" s="14" t="n">
        <v>28</v>
      </c>
      <c r="H408" s="14" t="s">
        <v>52</v>
      </c>
      <c r="I408" s="14" t="n">
        <v>0.99</v>
      </c>
      <c r="J408" s="14" t="n">
        <v>4</v>
      </c>
      <c r="K408" s="14" t="s">
        <v>59</v>
      </c>
      <c r="L408" s="14" t="n">
        <v>2015</v>
      </c>
      <c r="M408" s="14" t="n">
        <v>8.45829208349608</v>
      </c>
      <c r="N408" s="14" t="n">
        <v>5.29836736529808</v>
      </c>
      <c r="P408" s="14" t="n">
        <f aca="false">D408</f>
        <v>200</v>
      </c>
      <c r="Q408" s="14" t="n">
        <f aca="false">G408</f>
        <v>28</v>
      </c>
      <c r="R408" s="14" t="n">
        <f aca="false">J408</f>
        <v>4</v>
      </c>
      <c r="S408" s="14" t="n">
        <f aca="false">IF($L408=2012,1,0)</f>
        <v>0</v>
      </c>
      <c r="T408" s="14" t="n">
        <f aca="false">IF($L408=2013,1,0)</f>
        <v>0</v>
      </c>
      <c r="U408" s="14" t="n">
        <f aca="false">IF($L408=2014,1,0)</f>
        <v>0</v>
      </c>
      <c r="V408" s="14" t="n">
        <f aca="false">IF($L408=2015,1,0)</f>
        <v>1</v>
      </c>
      <c r="W408" s="14" t="n">
        <f aca="false">IF($L408=2016,1,0)</f>
        <v>0</v>
      </c>
      <c r="X408" s="14" t="n">
        <f aca="false">IF($L408=2017,1,0)</f>
        <v>0</v>
      </c>
      <c r="Y408" s="14" t="n">
        <f aca="false">IF($H408="Beginner Level",1,0)</f>
        <v>1</v>
      </c>
      <c r="Z408" s="14" t="n">
        <f aca="false">IF($H408="Expert Level",1,0)</f>
        <v>0</v>
      </c>
      <c r="AA408" s="14" t="n">
        <f aca="false">IF($H408="Intermediate Level",1,0)</f>
        <v>0</v>
      </c>
      <c r="AC408" s="14" t="n">
        <f aca="false">N408</f>
        <v>5.29836736529808</v>
      </c>
      <c r="AD408" s="14" t="n">
        <f aca="false">G408</f>
        <v>28</v>
      </c>
      <c r="AE408" s="14" t="n">
        <f aca="false">J408</f>
        <v>4</v>
      </c>
      <c r="AF408" s="14" t="n">
        <f aca="false">IF($L408=2012,1,0)</f>
        <v>0</v>
      </c>
      <c r="AG408" s="14" t="n">
        <f aca="false">IF($L408=2013,1,0)</f>
        <v>0</v>
      </c>
      <c r="AH408" s="14" t="n">
        <f aca="false">IF($L408=2014,1,0)</f>
        <v>0</v>
      </c>
      <c r="AI408" s="14" t="n">
        <f aca="false">IF($L408=2015,1,0)</f>
        <v>1</v>
      </c>
      <c r="AJ408" s="14" t="n">
        <f aca="false">IF($L408=2016,1,0)</f>
        <v>0</v>
      </c>
      <c r="AK408" s="14" t="n">
        <f aca="false">IF($L408=2017,1,0)</f>
        <v>0</v>
      </c>
      <c r="AL408" s="14" t="n">
        <f aca="false">IF($H408="Beginner Level",1,0)</f>
        <v>1</v>
      </c>
      <c r="AM408" s="14" t="n">
        <f aca="false">IF($H408="Expert Level",1,0)</f>
        <v>0</v>
      </c>
      <c r="AN408" s="14" t="n">
        <f aca="false">IF($H408="Intermediate Level",1,0)</f>
        <v>0</v>
      </c>
    </row>
    <row r="409" customFormat="false" ht="79.85" hidden="false" customHeight="false" outlineLevel="0" collapsed="false">
      <c r="A409" s="14" t="n">
        <v>970874</v>
      </c>
      <c r="B409" s="14" t="s">
        <v>861</v>
      </c>
      <c r="C409" s="14" t="s">
        <v>862</v>
      </c>
      <c r="D409" s="14" t="n">
        <v>195</v>
      </c>
      <c r="E409" s="14" t="n">
        <v>4708</v>
      </c>
      <c r="F409" s="14" t="n">
        <v>111</v>
      </c>
      <c r="G409" s="14" t="n">
        <v>18</v>
      </c>
      <c r="H409" s="14" t="s">
        <v>52</v>
      </c>
      <c r="I409" s="14" t="n">
        <v>0.21</v>
      </c>
      <c r="J409" s="14" t="n">
        <v>2.5</v>
      </c>
      <c r="K409" s="14" t="s">
        <v>59</v>
      </c>
      <c r="L409" s="14" t="n">
        <v>2016</v>
      </c>
      <c r="M409" s="14" t="n">
        <v>8.45701846838017</v>
      </c>
      <c r="N409" s="14" t="n">
        <v>5.27305083930015</v>
      </c>
      <c r="P409" s="14" t="n">
        <f aca="false">D409</f>
        <v>195</v>
      </c>
      <c r="Q409" s="14" t="n">
        <f aca="false">G409</f>
        <v>18</v>
      </c>
      <c r="R409" s="14" t="n">
        <f aca="false">J409</f>
        <v>2.5</v>
      </c>
      <c r="S409" s="14" t="n">
        <f aca="false">IF($L409=2012,1,0)</f>
        <v>0</v>
      </c>
      <c r="T409" s="14" t="n">
        <f aca="false">IF($L409=2013,1,0)</f>
        <v>0</v>
      </c>
      <c r="U409" s="14" t="n">
        <f aca="false">IF($L409=2014,1,0)</f>
        <v>0</v>
      </c>
      <c r="V409" s="14" t="n">
        <f aca="false">IF($L409=2015,1,0)</f>
        <v>0</v>
      </c>
      <c r="W409" s="14" t="n">
        <f aca="false">IF($L409=2016,1,0)</f>
        <v>1</v>
      </c>
      <c r="X409" s="14" t="n">
        <f aca="false">IF($L409=2017,1,0)</f>
        <v>0</v>
      </c>
      <c r="Y409" s="14" t="n">
        <f aca="false">IF($H409="Beginner Level",1,0)</f>
        <v>1</v>
      </c>
      <c r="Z409" s="14" t="n">
        <f aca="false">IF($H409="Expert Level",1,0)</f>
        <v>0</v>
      </c>
      <c r="AA409" s="14" t="n">
        <f aca="false">IF($H409="Intermediate Level",1,0)</f>
        <v>0</v>
      </c>
      <c r="AC409" s="14" t="n">
        <f aca="false">N409</f>
        <v>5.27305083930015</v>
      </c>
      <c r="AD409" s="14" t="n">
        <f aca="false">G409</f>
        <v>18</v>
      </c>
      <c r="AE409" s="14" t="n">
        <f aca="false">J409</f>
        <v>2.5</v>
      </c>
      <c r="AF409" s="14" t="n">
        <f aca="false">IF($L409=2012,1,0)</f>
        <v>0</v>
      </c>
      <c r="AG409" s="14" t="n">
        <f aca="false">IF($L409=2013,1,0)</f>
        <v>0</v>
      </c>
      <c r="AH409" s="14" t="n">
        <f aca="false">IF($L409=2014,1,0)</f>
        <v>0</v>
      </c>
      <c r="AI409" s="14" t="n">
        <f aca="false">IF($L409=2015,1,0)</f>
        <v>0</v>
      </c>
      <c r="AJ409" s="14" t="n">
        <f aca="false">IF($L409=2016,1,0)</f>
        <v>1</v>
      </c>
      <c r="AK409" s="14" t="n">
        <f aca="false">IF($L409=2017,1,0)</f>
        <v>0</v>
      </c>
      <c r="AL409" s="14" t="n">
        <f aca="false">IF($H409="Beginner Level",1,0)</f>
        <v>1</v>
      </c>
      <c r="AM409" s="14" t="n">
        <f aca="false">IF($H409="Expert Level",1,0)</f>
        <v>0</v>
      </c>
      <c r="AN409" s="14" t="n">
        <f aca="false">IF($H409="Intermediate Level",1,0)</f>
        <v>0</v>
      </c>
    </row>
    <row r="410" customFormat="false" ht="46.25" hidden="false" customHeight="false" outlineLevel="0" collapsed="false">
      <c r="A410" s="14" t="n">
        <v>303514</v>
      </c>
      <c r="B410" s="14" t="s">
        <v>863</v>
      </c>
      <c r="C410" s="14" t="s">
        <v>864</v>
      </c>
      <c r="D410" s="14" t="n">
        <v>60</v>
      </c>
      <c r="E410" s="14" t="n">
        <v>4689</v>
      </c>
      <c r="F410" s="14" t="n">
        <v>216</v>
      </c>
      <c r="G410" s="14" t="n">
        <v>54</v>
      </c>
      <c r="H410" s="14" t="s">
        <v>52</v>
      </c>
      <c r="I410" s="14" t="n">
        <v>0.52</v>
      </c>
      <c r="J410" s="14" t="n">
        <v>10</v>
      </c>
      <c r="K410" s="14" t="s">
        <v>59</v>
      </c>
      <c r="L410" s="14" t="n">
        <v>2014</v>
      </c>
      <c r="M410" s="14" t="n">
        <v>8.45297461908959</v>
      </c>
      <c r="N410" s="14" t="n">
        <v>4.09451121500142</v>
      </c>
      <c r="P410" s="14" t="n">
        <f aca="false">D410</f>
        <v>60</v>
      </c>
      <c r="Q410" s="14" t="n">
        <f aca="false">G410</f>
        <v>54</v>
      </c>
      <c r="R410" s="14" t="n">
        <f aca="false">J410</f>
        <v>10</v>
      </c>
      <c r="S410" s="14" t="n">
        <f aca="false">IF($L410=2012,1,0)</f>
        <v>0</v>
      </c>
      <c r="T410" s="14" t="n">
        <f aca="false">IF($L410=2013,1,0)</f>
        <v>0</v>
      </c>
      <c r="U410" s="14" t="n">
        <f aca="false">IF($L410=2014,1,0)</f>
        <v>1</v>
      </c>
      <c r="V410" s="14" t="n">
        <f aca="false">IF($L410=2015,1,0)</f>
        <v>0</v>
      </c>
      <c r="W410" s="14" t="n">
        <f aca="false">IF($L410=2016,1,0)</f>
        <v>0</v>
      </c>
      <c r="X410" s="14" t="n">
        <f aca="false">IF($L410=2017,1,0)</f>
        <v>0</v>
      </c>
      <c r="Y410" s="14" t="n">
        <f aca="false">IF($H410="Beginner Level",1,0)</f>
        <v>1</v>
      </c>
      <c r="Z410" s="14" t="n">
        <f aca="false">IF($H410="Expert Level",1,0)</f>
        <v>0</v>
      </c>
      <c r="AA410" s="14" t="n">
        <f aca="false">IF($H410="Intermediate Level",1,0)</f>
        <v>0</v>
      </c>
      <c r="AC410" s="14" t="n">
        <f aca="false">N410</f>
        <v>4.09451121500142</v>
      </c>
      <c r="AD410" s="14" t="n">
        <f aca="false">G410</f>
        <v>54</v>
      </c>
      <c r="AE410" s="14" t="n">
        <f aca="false">J410</f>
        <v>10</v>
      </c>
      <c r="AF410" s="14" t="n">
        <f aca="false">IF($L410=2012,1,0)</f>
        <v>0</v>
      </c>
      <c r="AG410" s="14" t="n">
        <f aca="false">IF($L410=2013,1,0)</f>
        <v>0</v>
      </c>
      <c r="AH410" s="14" t="n">
        <f aca="false">IF($L410=2014,1,0)</f>
        <v>1</v>
      </c>
      <c r="AI410" s="14" t="n">
        <f aca="false">IF($L410=2015,1,0)</f>
        <v>0</v>
      </c>
      <c r="AJ410" s="14" t="n">
        <f aca="false">IF($L410=2016,1,0)</f>
        <v>0</v>
      </c>
      <c r="AK410" s="14" t="n">
        <f aca="false">IF($L410=2017,1,0)</f>
        <v>0</v>
      </c>
      <c r="AL410" s="14" t="n">
        <f aca="false">IF($H410="Beginner Level",1,0)</f>
        <v>1</v>
      </c>
      <c r="AM410" s="14" t="n">
        <f aca="false">IF($H410="Expert Level",1,0)</f>
        <v>0</v>
      </c>
      <c r="AN410" s="14" t="n">
        <f aca="false">IF($H410="Intermediate Level",1,0)</f>
        <v>0</v>
      </c>
    </row>
    <row r="411" customFormat="false" ht="46.25" hidden="false" customHeight="false" outlineLevel="0" collapsed="false">
      <c r="A411" s="14" t="n">
        <v>959604</v>
      </c>
      <c r="B411" s="14" t="s">
        <v>865</v>
      </c>
      <c r="C411" s="14" t="s">
        <v>866</v>
      </c>
      <c r="D411" s="14" t="n">
        <v>195</v>
      </c>
      <c r="E411" s="14" t="n">
        <v>4687</v>
      </c>
      <c r="F411" s="14" t="n">
        <v>99</v>
      </c>
      <c r="G411" s="14" t="n">
        <v>24</v>
      </c>
      <c r="H411" s="14" t="s">
        <v>62</v>
      </c>
      <c r="I411" s="14" t="n">
        <v>0.14</v>
      </c>
      <c r="J411" s="14" t="n">
        <v>4</v>
      </c>
      <c r="K411" s="14" t="s">
        <v>59</v>
      </c>
      <c r="L411" s="14" t="n">
        <v>2017</v>
      </c>
      <c r="M411" s="14" t="n">
        <v>8.45254799792271</v>
      </c>
      <c r="N411" s="14" t="n">
        <v>5.27305083930015</v>
      </c>
      <c r="P411" s="14" t="n">
        <f aca="false">D411</f>
        <v>195</v>
      </c>
      <c r="Q411" s="14" t="n">
        <f aca="false">G411</f>
        <v>24</v>
      </c>
      <c r="R411" s="14" t="n">
        <f aca="false">J411</f>
        <v>4</v>
      </c>
      <c r="S411" s="14" t="n">
        <f aca="false">IF($L411=2012,1,0)</f>
        <v>0</v>
      </c>
      <c r="T411" s="14" t="n">
        <f aca="false">IF($L411=2013,1,0)</f>
        <v>0</v>
      </c>
      <c r="U411" s="14" t="n">
        <f aca="false">IF($L411=2014,1,0)</f>
        <v>0</v>
      </c>
      <c r="V411" s="14" t="n">
        <f aca="false">IF($L411=2015,1,0)</f>
        <v>0</v>
      </c>
      <c r="W411" s="14" t="n">
        <f aca="false">IF($L411=2016,1,0)</f>
        <v>0</v>
      </c>
      <c r="X411" s="14" t="n">
        <f aca="false">IF($L411=2017,1,0)</f>
        <v>1</v>
      </c>
      <c r="Y411" s="14" t="n">
        <f aca="false">IF($H411="Beginner Level",1,0)</f>
        <v>0</v>
      </c>
      <c r="Z411" s="14" t="n">
        <f aca="false">IF($H411="Expert Level",1,0)</f>
        <v>0</v>
      </c>
      <c r="AA411" s="14" t="n">
        <f aca="false">IF($H411="Intermediate Level",1,0)</f>
        <v>0</v>
      </c>
      <c r="AC411" s="14" t="n">
        <f aca="false">N411</f>
        <v>5.27305083930015</v>
      </c>
      <c r="AD411" s="14" t="n">
        <f aca="false">G411</f>
        <v>24</v>
      </c>
      <c r="AE411" s="14" t="n">
        <f aca="false">J411</f>
        <v>4</v>
      </c>
      <c r="AF411" s="14" t="n">
        <f aca="false">IF($L411=2012,1,0)</f>
        <v>0</v>
      </c>
      <c r="AG411" s="14" t="n">
        <f aca="false">IF($L411=2013,1,0)</f>
        <v>0</v>
      </c>
      <c r="AH411" s="14" t="n">
        <f aca="false">IF($L411=2014,1,0)</f>
        <v>0</v>
      </c>
      <c r="AI411" s="14" t="n">
        <f aca="false">IF($L411=2015,1,0)</f>
        <v>0</v>
      </c>
      <c r="AJ411" s="14" t="n">
        <f aca="false">IF($L411=2016,1,0)</f>
        <v>0</v>
      </c>
      <c r="AK411" s="14" t="n">
        <f aca="false">IF($L411=2017,1,0)</f>
        <v>1</v>
      </c>
      <c r="AL411" s="14" t="n">
        <f aca="false">IF($H411="Beginner Level",1,0)</f>
        <v>0</v>
      </c>
      <c r="AM411" s="14" t="n">
        <f aca="false">IF($H411="Expert Level",1,0)</f>
        <v>0</v>
      </c>
      <c r="AN411" s="14" t="n">
        <f aca="false">IF($H411="Intermediate Level",1,0)</f>
        <v>0</v>
      </c>
    </row>
    <row r="412" customFormat="false" ht="91" hidden="false" customHeight="false" outlineLevel="0" collapsed="false">
      <c r="A412" s="14" t="n">
        <v>416282</v>
      </c>
      <c r="B412" s="14" t="s">
        <v>867</v>
      </c>
      <c r="C412" s="14" t="s">
        <v>868</v>
      </c>
      <c r="D412" s="14" t="n">
        <v>95</v>
      </c>
      <c r="E412" s="14" t="n">
        <v>4675</v>
      </c>
      <c r="F412" s="14" t="n">
        <v>15</v>
      </c>
      <c r="G412" s="14" t="n">
        <v>56</v>
      </c>
      <c r="H412" s="14" t="s">
        <v>52</v>
      </c>
      <c r="I412" s="14" t="n">
        <v>0.15</v>
      </c>
      <c r="J412" s="14" t="n">
        <v>6</v>
      </c>
      <c r="K412" s="14" t="s">
        <v>59</v>
      </c>
      <c r="L412" s="14" t="n">
        <v>2015</v>
      </c>
      <c r="M412" s="14" t="n">
        <v>8.44998444172279</v>
      </c>
      <c r="N412" s="14" t="n">
        <v>4.55398214921866</v>
      </c>
      <c r="P412" s="14" t="n">
        <f aca="false">D412</f>
        <v>95</v>
      </c>
      <c r="Q412" s="14" t="n">
        <f aca="false">G412</f>
        <v>56</v>
      </c>
      <c r="R412" s="14" t="n">
        <f aca="false">J412</f>
        <v>6</v>
      </c>
      <c r="S412" s="14" t="n">
        <f aca="false">IF($L412=2012,1,0)</f>
        <v>0</v>
      </c>
      <c r="T412" s="14" t="n">
        <f aca="false">IF($L412=2013,1,0)</f>
        <v>0</v>
      </c>
      <c r="U412" s="14" t="n">
        <f aca="false">IF($L412=2014,1,0)</f>
        <v>0</v>
      </c>
      <c r="V412" s="14" t="n">
        <f aca="false">IF($L412=2015,1,0)</f>
        <v>1</v>
      </c>
      <c r="W412" s="14" t="n">
        <f aca="false">IF($L412=2016,1,0)</f>
        <v>0</v>
      </c>
      <c r="X412" s="14" t="n">
        <f aca="false">IF($L412=2017,1,0)</f>
        <v>0</v>
      </c>
      <c r="Y412" s="14" t="n">
        <f aca="false">IF($H412="Beginner Level",1,0)</f>
        <v>1</v>
      </c>
      <c r="Z412" s="14" t="n">
        <f aca="false">IF($H412="Expert Level",1,0)</f>
        <v>0</v>
      </c>
      <c r="AA412" s="14" t="n">
        <f aca="false">IF($H412="Intermediate Level",1,0)</f>
        <v>0</v>
      </c>
      <c r="AC412" s="14" t="n">
        <f aca="false">N412</f>
        <v>4.55398214921866</v>
      </c>
      <c r="AD412" s="14" t="n">
        <f aca="false">G412</f>
        <v>56</v>
      </c>
      <c r="AE412" s="14" t="n">
        <f aca="false">J412</f>
        <v>6</v>
      </c>
      <c r="AF412" s="14" t="n">
        <f aca="false">IF($L412=2012,1,0)</f>
        <v>0</v>
      </c>
      <c r="AG412" s="14" t="n">
        <f aca="false">IF($L412=2013,1,0)</f>
        <v>0</v>
      </c>
      <c r="AH412" s="14" t="n">
        <f aca="false">IF($L412=2014,1,0)</f>
        <v>0</v>
      </c>
      <c r="AI412" s="14" t="n">
        <f aca="false">IF($L412=2015,1,0)</f>
        <v>1</v>
      </c>
      <c r="AJ412" s="14" t="n">
        <f aca="false">IF($L412=2016,1,0)</f>
        <v>0</v>
      </c>
      <c r="AK412" s="14" t="n">
        <f aca="false">IF($L412=2017,1,0)</f>
        <v>0</v>
      </c>
      <c r="AL412" s="14" t="n">
        <f aca="false">IF($H412="Beginner Level",1,0)</f>
        <v>1</v>
      </c>
      <c r="AM412" s="14" t="n">
        <f aca="false">IF($H412="Expert Level",1,0)</f>
        <v>0</v>
      </c>
      <c r="AN412" s="14" t="n">
        <f aca="false">IF($H412="Intermediate Level",1,0)</f>
        <v>0</v>
      </c>
    </row>
    <row r="413" customFormat="false" ht="57.45" hidden="false" customHeight="false" outlineLevel="0" collapsed="false">
      <c r="A413" s="14" t="n">
        <v>1114060</v>
      </c>
      <c r="B413" s="14" t="s">
        <v>869</v>
      </c>
      <c r="C413" s="14" t="s">
        <v>870</v>
      </c>
      <c r="D413" s="14" t="n">
        <v>0</v>
      </c>
      <c r="E413" s="14" t="n">
        <v>4645</v>
      </c>
      <c r="F413" s="14" t="n">
        <v>171</v>
      </c>
      <c r="G413" s="14" t="n">
        <v>19</v>
      </c>
      <c r="H413" s="14" t="s">
        <v>62</v>
      </c>
      <c r="I413" s="14" t="n">
        <v>0.96</v>
      </c>
      <c r="J413" s="14" t="n">
        <v>2</v>
      </c>
      <c r="K413" s="14" t="s">
        <v>53</v>
      </c>
      <c r="L413" s="14" t="n">
        <v>2017</v>
      </c>
      <c r="M413" s="14" t="n">
        <v>8.44354665124794</v>
      </c>
      <c r="N413" s="14" t="n">
        <v>-4.60517018598809</v>
      </c>
      <c r="P413" s="14" t="n">
        <f aca="false">D413</f>
        <v>0</v>
      </c>
      <c r="Q413" s="14" t="n">
        <f aca="false">G413</f>
        <v>19</v>
      </c>
      <c r="R413" s="14" t="n">
        <f aca="false">J413</f>
        <v>2</v>
      </c>
      <c r="S413" s="14" t="n">
        <f aca="false">IF($L413=2012,1,0)</f>
        <v>0</v>
      </c>
      <c r="T413" s="14" t="n">
        <f aca="false">IF($L413=2013,1,0)</f>
        <v>0</v>
      </c>
      <c r="U413" s="14" t="n">
        <f aca="false">IF($L413=2014,1,0)</f>
        <v>0</v>
      </c>
      <c r="V413" s="14" t="n">
        <f aca="false">IF($L413=2015,1,0)</f>
        <v>0</v>
      </c>
      <c r="W413" s="14" t="n">
        <f aca="false">IF($L413=2016,1,0)</f>
        <v>0</v>
      </c>
      <c r="X413" s="14" t="n">
        <f aca="false">IF($L413=2017,1,0)</f>
        <v>1</v>
      </c>
      <c r="Y413" s="14" t="n">
        <f aca="false">IF($H413="Beginner Level",1,0)</f>
        <v>0</v>
      </c>
      <c r="Z413" s="14" t="n">
        <f aca="false">IF($H413="Expert Level",1,0)</f>
        <v>0</v>
      </c>
      <c r="AA413" s="14" t="n">
        <f aca="false">IF($H413="Intermediate Level",1,0)</f>
        <v>0</v>
      </c>
      <c r="AC413" s="14" t="n">
        <f aca="false">N413</f>
        <v>-4.60517018598809</v>
      </c>
      <c r="AD413" s="14" t="n">
        <f aca="false">G413</f>
        <v>19</v>
      </c>
      <c r="AE413" s="14" t="n">
        <f aca="false">J413</f>
        <v>2</v>
      </c>
      <c r="AF413" s="14" t="n">
        <f aca="false">IF($L413=2012,1,0)</f>
        <v>0</v>
      </c>
      <c r="AG413" s="14" t="n">
        <f aca="false">IF($L413=2013,1,0)</f>
        <v>0</v>
      </c>
      <c r="AH413" s="14" t="n">
        <f aca="false">IF($L413=2014,1,0)</f>
        <v>0</v>
      </c>
      <c r="AI413" s="14" t="n">
        <f aca="false">IF($L413=2015,1,0)</f>
        <v>0</v>
      </c>
      <c r="AJ413" s="14" t="n">
        <f aca="false">IF($L413=2016,1,0)</f>
        <v>0</v>
      </c>
      <c r="AK413" s="14" t="n">
        <f aca="false">IF($L413=2017,1,0)</f>
        <v>1</v>
      </c>
      <c r="AL413" s="14" t="n">
        <f aca="false">IF($H413="Beginner Level",1,0)</f>
        <v>0</v>
      </c>
      <c r="AM413" s="14" t="n">
        <f aca="false">IF($H413="Expert Level",1,0)</f>
        <v>0</v>
      </c>
      <c r="AN413" s="14" t="n">
        <f aca="false">IF($H413="Intermediate Level",1,0)</f>
        <v>0</v>
      </c>
    </row>
    <row r="414" customFormat="false" ht="68.65" hidden="false" customHeight="false" outlineLevel="0" collapsed="false">
      <c r="A414" s="14" t="n">
        <v>621022</v>
      </c>
      <c r="B414" s="14" t="s">
        <v>871</v>
      </c>
      <c r="C414" s="14" t="s">
        <v>872</v>
      </c>
      <c r="D414" s="14" t="n">
        <v>50</v>
      </c>
      <c r="E414" s="14" t="n">
        <v>4628</v>
      </c>
      <c r="F414" s="14" t="n">
        <v>247</v>
      </c>
      <c r="G414" s="14" t="n">
        <v>93</v>
      </c>
      <c r="H414" s="14" t="s">
        <v>71</v>
      </c>
      <c r="I414" s="14" t="n">
        <v>0.2</v>
      </c>
      <c r="J414" s="14" t="n">
        <v>12</v>
      </c>
      <c r="K414" s="14" t="s">
        <v>59</v>
      </c>
      <c r="L414" s="14" t="n">
        <v>2015</v>
      </c>
      <c r="M414" s="14" t="n">
        <v>8.43988008831357</v>
      </c>
      <c r="N414" s="14" t="n">
        <v>3.91222298543081</v>
      </c>
      <c r="P414" s="14" t="n">
        <f aca="false">D414</f>
        <v>50</v>
      </c>
      <c r="Q414" s="14" t="n">
        <f aca="false">G414</f>
        <v>93</v>
      </c>
      <c r="R414" s="14" t="n">
        <f aca="false">J414</f>
        <v>12</v>
      </c>
      <c r="S414" s="14" t="n">
        <f aca="false">IF($L414=2012,1,0)</f>
        <v>0</v>
      </c>
      <c r="T414" s="14" t="n">
        <f aca="false">IF($L414=2013,1,0)</f>
        <v>0</v>
      </c>
      <c r="U414" s="14" t="n">
        <f aca="false">IF($L414=2014,1,0)</f>
        <v>0</v>
      </c>
      <c r="V414" s="14" t="n">
        <f aca="false">IF($L414=2015,1,0)</f>
        <v>1</v>
      </c>
      <c r="W414" s="14" t="n">
        <f aca="false">IF($L414=2016,1,0)</f>
        <v>0</v>
      </c>
      <c r="X414" s="14" t="n">
        <f aca="false">IF($L414=2017,1,0)</f>
        <v>0</v>
      </c>
      <c r="Y414" s="14" t="n">
        <f aca="false">IF($H414="Beginner Level",1,0)</f>
        <v>0</v>
      </c>
      <c r="Z414" s="14" t="n">
        <f aca="false">IF($H414="Expert Level",1,0)</f>
        <v>0</v>
      </c>
      <c r="AA414" s="14" t="n">
        <f aca="false">IF($H414="Intermediate Level",1,0)</f>
        <v>1</v>
      </c>
      <c r="AC414" s="14" t="n">
        <f aca="false">N414</f>
        <v>3.91222298543081</v>
      </c>
      <c r="AD414" s="14" t="n">
        <f aca="false">G414</f>
        <v>93</v>
      </c>
      <c r="AE414" s="14" t="n">
        <f aca="false">J414</f>
        <v>12</v>
      </c>
      <c r="AF414" s="14" t="n">
        <f aca="false">IF($L414=2012,1,0)</f>
        <v>0</v>
      </c>
      <c r="AG414" s="14" t="n">
        <f aca="false">IF($L414=2013,1,0)</f>
        <v>0</v>
      </c>
      <c r="AH414" s="14" t="n">
        <f aca="false">IF($L414=2014,1,0)</f>
        <v>0</v>
      </c>
      <c r="AI414" s="14" t="n">
        <f aca="false">IF($L414=2015,1,0)</f>
        <v>1</v>
      </c>
      <c r="AJ414" s="14" t="n">
        <f aca="false">IF($L414=2016,1,0)</f>
        <v>0</v>
      </c>
      <c r="AK414" s="14" t="n">
        <f aca="false">IF($L414=2017,1,0)</f>
        <v>0</v>
      </c>
      <c r="AL414" s="14" t="n">
        <f aca="false">IF($H414="Beginner Level",1,0)</f>
        <v>0</v>
      </c>
      <c r="AM414" s="14" t="n">
        <f aca="false">IF($H414="Expert Level",1,0)</f>
        <v>0</v>
      </c>
      <c r="AN414" s="14" t="n">
        <f aca="false">IF($H414="Intermediate Level",1,0)</f>
        <v>1</v>
      </c>
    </row>
    <row r="415" customFormat="false" ht="68.65" hidden="false" customHeight="false" outlineLevel="0" collapsed="false">
      <c r="A415" s="14" t="n">
        <v>1023070</v>
      </c>
      <c r="B415" s="14" t="s">
        <v>873</v>
      </c>
      <c r="C415" s="14" t="s">
        <v>874</v>
      </c>
      <c r="D415" s="14" t="n">
        <v>80</v>
      </c>
      <c r="E415" s="14" t="n">
        <v>4616</v>
      </c>
      <c r="F415" s="14" t="n">
        <v>20</v>
      </c>
      <c r="G415" s="14" t="n">
        <v>19</v>
      </c>
      <c r="H415" s="14" t="s">
        <v>62</v>
      </c>
      <c r="I415" s="14" t="n">
        <v>0.45</v>
      </c>
      <c r="J415" s="14" t="n">
        <v>2</v>
      </c>
      <c r="K415" s="14" t="s">
        <v>59</v>
      </c>
      <c r="L415" s="14" t="n">
        <v>2016</v>
      </c>
      <c r="M415" s="14" t="n">
        <v>8.43728380818794</v>
      </c>
      <c r="N415" s="14" t="n">
        <v>4.38215162686203</v>
      </c>
      <c r="P415" s="14" t="n">
        <f aca="false">D415</f>
        <v>80</v>
      </c>
      <c r="Q415" s="14" t="n">
        <f aca="false">G415</f>
        <v>19</v>
      </c>
      <c r="R415" s="14" t="n">
        <f aca="false">J415</f>
        <v>2</v>
      </c>
      <c r="S415" s="14" t="n">
        <f aca="false">IF($L415=2012,1,0)</f>
        <v>0</v>
      </c>
      <c r="T415" s="14" t="n">
        <f aca="false">IF($L415=2013,1,0)</f>
        <v>0</v>
      </c>
      <c r="U415" s="14" t="n">
        <f aca="false">IF($L415=2014,1,0)</f>
        <v>0</v>
      </c>
      <c r="V415" s="14" t="n">
        <f aca="false">IF($L415=2015,1,0)</f>
        <v>0</v>
      </c>
      <c r="W415" s="14" t="n">
        <f aca="false">IF($L415=2016,1,0)</f>
        <v>1</v>
      </c>
      <c r="X415" s="14" t="n">
        <f aca="false">IF($L415=2017,1,0)</f>
        <v>0</v>
      </c>
      <c r="Y415" s="14" t="n">
        <f aca="false">IF($H415="Beginner Level",1,0)</f>
        <v>0</v>
      </c>
      <c r="Z415" s="14" t="n">
        <f aca="false">IF($H415="Expert Level",1,0)</f>
        <v>0</v>
      </c>
      <c r="AA415" s="14" t="n">
        <f aca="false">IF($H415="Intermediate Level",1,0)</f>
        <v>0</v>
      </c>
      <c r="AC415" s="14" t="n">
        <f aca="false">N415</f>
        <v>4.38215162686203</v>
      </c>
      <c r="AD415" s="14" t="n">
        <f aca="false">G415</f>
        <v>19</v>
      </c>
      <c r="AE415" s="14" t="n">
        <f aca="false">J415</f>
        <v>2</v>
      </c>
      <c r="AF415" s="14" t="n">
        <f aca="false">IF($L415=2012,1,0)</f>
        <v>0</v>
      </c>
      <c r="AG415" s="14" t="n">
        <f aca="false">IF($L415=2013,1,0)</f>
        <v>0</v>
      </c>
      <c r="AH415" s="14" t="n">
        <f aca="false">IF($L415=2014,1,0)</f>
        <v>0</v>
      </c>
      <c r="AI415" s="14" t="n">
        <f aca="false">IF($L415=2015,1,0)</f>
        <v>0</v>
      </c>
      <c r="AJ415" s="14" t="n">
        <f aca="false">IF($L415=2016,1,0)</f>
        <v>1</v>
      </c>
      <c r="AK415" s="14" t="n">
        <f aca="false">IF($L415=2017,1,0)</f>
        <v>0</v>
      </c>
      <c r="AL415" s="14" t="n">
        <f aca="false">IF($H415="Beginner Level",1,0)</f>
        <v>0</v>
      </c>
      <c r="AM415" s="14" t="n">
        <f aca="false">IF($H415="Expert Level",1,0)</f>
        <v>0</v>
      </c>
      <c r="AN415" s="14" t="n">
        <f aca="false">IF($H415="Intermediate Level",1,0)</f>
        <v>0</v>
      </c>
    </row>
    <row r="416" customFormat="false" ht="68.65" hidden="false" customHeight="false" outlineLevel="0" collapsed="false">
      <c r="A416" s="14" t="n">
        <v>495484</v>
      </c>
      <c r="B416" s="14" t="s">
        <v>875</v>
      </c>
      <c r="C416" s="14" t="s">
        <v>876</v>
      </c>
      <c r="D416" s="14" t="n">
        <v>195</v>
      </c>
      <c r="E416" s="14" t="n">
        <v>4587</v>
      </c>
      <c r="F416" s="14" t="n">
        <v>46</v>
      </c>
      <c r="G416" s="14" t="n">
        <v>49</v>
      </c>
      <c r="H416" s="14" t="s">
        <v>52</v>
      </c>
      <c r="I416" s="14" t="n">
        <v>0.14</v>
      </c>
      <c r="J416" s="14" t="n">
        <v>4</v>
      </c>
      <c r="K416" s="14" t="s">
        <v>59</v>
      </c>
      <c r="L416" s="14" t="n">
        <v>2015</v>
      </c>
      <c r="M416" s="14" t="n">
        <v>8.43098149459717</v>
      </c>
      <c r="N416" s="14" t="n">
        <v>5.27305083930015</v>
      </c>
      <c r="P416" s="14" t="n">
        <f aca="false">D416</f>
        <v>195</v>
      </c>
      <c r="Q416" s="14" t="n">
        <f aca="false">G416</f>
        <v>49</v>
      </c>
      <c r="R416" s="14" t="n">
        <f aca="false">J416</f>
        <v>4</v>
      </c>
      <c r="S416" s="14" t="n">
        <f aca="false">IF($L416=2012,1,0)</f>
        <v>0</v>
      </c>
      <c r="T416" s="14" t="n">
        <f aca="false">IF($L416=2013,1,0)</f>
        <v>0</v>
      </c>
      <c r="U416" s="14" t="n">
        <f aca="false">IF($L416=2014,1,0)</f>
        <v>0</v>
      </c>
      <c r="V416" s="14" t="n">
        <f aca="false">IF($L416=2015,1,0)</f>
        <v>1</v>
      </c>
      <c r="W416" s="14" t="n">
        <f aca="false">IF($L416=2016,1,0)</f>
        <v>0</v>
      </c>
      <c r="X416" s="14" t="n">
        <f aca="false">IF($L416=2017,1,0)</f>
        <v>0</v>
      </c>
      <c r="Y416" s="14" t="n">
        <f aca="false">IF($H416="Beginner Level",1,0)</f>
        <v>1</v>
      </c>
      <c r="Z416" s="14" t="n">
        <f aca="false">IF($H416="Expert Level",1,0)</f>
        <v>0</v>
      </c>
      <c r="AA416" s="14" t="n">
        <f aca="false">IF($H416="Intermediate Level",1,0)</f>
        <v>0</v>
      </c>
      <c r="AC416" s="14" t="n">
        <f aca="false">N416</f>
        <v>5.27305083930015</v>
      </c>
      <c r="AD416" s="14" t="n">
        <f aca="false">G416</f>
        <v>49</v>
      </c>
      <c r="AE416" s="14" t="n">
        <f aca="false">J416</f>
        <v>4</v>
      </c>
      <c r="AF416" s="14" t="n">
        <f aca="false">IF($L416=2012,1,0)</f>
        <v>0</v>
      </c>
      <c r="AG416" s="14" t="n">
        <f aca="false">IF($L416=2013,1,0)</f>
        <v>0</v>
      </c>
      <c r="AH416" s="14" t="n">
        <f aca="false">IF($L416=2014,1,0)</f>
        <v>0</v>
      </c>
      <c r="AI416" s="14" t="n">
        <f aca="false">IF($L416=2015,1,0)</f>
        <v>1</v>
      </c>
      <c r="AJ416" s="14" t="n">
        <f aca="false">IF($L416=2016,1,0)</f>
        <v>0</v>
      </c>
      <c r="AK416" s="14" t="n">
        <f aca="false">IF($L416=2017,1,0)</f>
        <v>0</v>
      </c>
      <c r="AL416" s="14" t="n">
        <f aca="false">IF($H416="Beginner Level",1,0)</f>
        <v>1</v>
      </c>
      <c r="AM416" s="14" t="n">
        <f aca="false">IF($H416="Expert Level",1,0)</f>
        <v>0</v>
      </c>
      <c r="AN416" s="14" t="n">
        <f aca="false">IF($H416="Intermediate Level",1,0)</f>
        <v>0</v>
      </c>
    </row>
    <row r="417" customFormat="false" ht="91" hidden="false" customHeight="false" outlineLevel="0" collapsed="false">
      <c r="A417" s="14" t="n">
        <v>1178394</v>
      </c>
      <c r="B417" s="14" t="s">
        <v>877</v>
      </c>
      <c r="C417" s="14" t="s">
        <v>878</v>
      </c>
      <c r="D417" s="14" t="n">
        <v>0</v>
      </c>
      <c r="E417" s="14" t="n">
        <v>4569</v>
      </c>
      <c r="F417" s="14" t="n">
        <v>108</v>
      </c>
      <c r="G417" s="14" t="n">
        <v>18</v>
      </c>
      <c r="H417" s="14" t="s">
        <v>62</v>
      </c>
      <c r="I417" s="14" t="n">
        <v>0.11</v>
      </c>
      <c r="J417" s="14" t="n">
        <v>1</v>
      </c>
      <c r="K417" s="14" t="s">
        <v>53</v>
      </c>
      <c r="L417" s="14" t="n">
        <v>2017</v>
      </c>
      <c r="M417" s="14" t="n">
        <v>8.42704964156327</v>
      </c>
      <c r="N417" s="14" t="n">
        <v>-4.60517018598809</v>
      </c>
      <c r="P417" s="14" t="n">
        <f aca="false">D417</f>
        <v>0</v>
      </c>
      <c r="Q417" s="14" t="n">
        <f aca="false">G417</f>
        <v>18</v>
      </c>
      <c r="R417" s="14" t="n">
        <f aca="false">J417</f>
        <v>1</v>
      </c>
      <c r="S417" s="14" t="n">
        <f aca="false">IF($L417=2012,1,0)</f>
        <v>0</v>
      </c>
      <c r="T417" s="14" t="n">
        <f aca="false">IF($L417=2013,1,0)</f>
        <v>0</v>
      </c>
      <c r="U417" s="14" t="n">
        <f aca="false">IF($L417=2014,1,0)</f>
        <v>0</v>
      </c>
      <c r="V417" s="14" t="n">
        <f aca="false">IF($L417=2015,1,0)</f>
        <v>0</v>
      </c>
      <c r="W417" s="14" t="n">
        <f aca="false">IF($L417=2016,1,0)</f>
        <v>0</v>
      </c>
      <c r="X417" s="14" t="n">
        <f aca="false">IF($L417=2017,1,0)</f>
        <v>1</v>
      </c>
      <c r="Y417" s="14" t="n">
        <f aca="false">IF($H417="Beginner Level",1,0)</f>
        <v>0</v>
      </c>
      <c r="Z417" s="14" t="n">
        <f aca="false">IF($H417="Expert Level",1,0)</f>
        <v>0</v>
      </c>
      <c r="AA417" s="14" t="n">
        <f aca="false">IF($H417="Intermediate Level",1,0)</f>
        <v>0</v>
      </c>
      <c r="AC417" s="14" t="n">
        <f aca="false">N417</f>
        <v>-4.60517018598809</v>
      </c>
      <c r="AD417" s="14" t="n">
        <f aca="false">G417</f>
        <v>18</v>
      </c>
      <c r="AE417" s="14" t="n">
        <f aca="false">J417</f>
        <v>1</v>
      </c>
      <c r="AF417" s="14" t="n">
        <f aca="false">IF($L417=2012,1,0)</f>
        <v>0</v>
      </c>
      <c r="AG417" s="14" t="n">
        <f aca="false">IF($L417=2013,1,0)</f>
        <v>0</v>
      </c>
      <c r="AH417" s="14" t="n">
        <f aca="false">IF($L417=2014,1,0)</f>
        <v>0</v>
      </c>
      <c r="AI417" s="14" t="n">
        <f aca="false">IF($L417=2015,1,0)</f>
        <v>0</v>
      </c>
      <c r="AJ417" s="14" t="n">
        <f aca="false">IF($L417=2016,1,0)</f>
        <v>0</v>
      </c>
      <c r="AK417" s="14" t="n">
        <f aca="false">IF($L417=2017,1,0)</f>
        <v>1</v>
      </c>
      <c r="AL417" s="14" t="n">
        <f aca="false">IF($H417="Beginner Level",1,0)</f>
        <v>0</v>
      </c>
      <c r="AM417" s="14" t="n">
        <f aca="false">IF($H417="Expert Level",1,0)</f>
        <v>0</v>
      </c>
      <c r="AN417" s="14" t="n">
        <f aca="false">IF($H417="Intermediate Level",1,0)</f>
        <v>0</v>
      </c>
    </row>
    <row r="418" customFormat="false" ht="79.85" hidden="false" customHeight="false" outlineLevel="0" collapsed="false">
      <c r="A418" s="14" t="n">
        <v>669536</v>
      </c>
      <c r="B418" s="14" t="s">
        <v>879</v>
      </c>
      <c r="C418" s="14" t="s">
        <v>880</v>
      </c>
      <c r="D418" s="14" t="n">
        <v>100</v>
      </c>
      <c r="E418" s="14" t="n">
        <v>4563</v>
      </c>
      <c r="F418" s="14" t="n">
        <v>49</v>
      </c>
      <c r="G418" s="14" t="n">
        <v>13</v>
      </c>
      <c r="H418" s="14" t="s">
        <v>52</v>
      </c>
      <c r="I418" s="14" t="n">
        <v>0.89</v>
      </c>
      <c r="J418" s="14" t="n">
        <v>1.5</v>
      </c>
      <c r="K418" s="14" t="s">
        <v>59</v>
      </c>
      <c r="L418" s="14" t="n">
        <v>2015</v>
      </c>
      <c r="M418" s="14" t="n">
        <v>8.4257355809274</v>
      </c>
      <c r="N418" s="14" t="n">
        <v>4.60527018098843</v>
      </c>
      <c r="P418" s="14" t="n">
        <f aca="false">D418</f>
        <v>100</v>
      </c>
      <c r="Q418" s="14" t="n">
        <f aca="false">G418</f>
        <v>13</v>
      </c>
      <c r="R418" s="14" t="n">
        <f aca="false">J418</f>
        <v>1.5</v>
      </c>
      <c r="S418" s="14" t="n">
        <f aca="false">IF($L418=2012,1,0)</f>
        <v>0</v>
      </c>
      <c r="T418" s="14" t="n">
        <f aca="false">IF($L418=2013,1,0)</f>
        <v>0</v>
      </c>
      <c r="U418" s="14" t="n">
        <f aca="false">IF($L418=2014,1,0)</f>
        <v>0</v>
      </c>
      <c r="V418" s="14" t="n">
        <f aca="false">IF($L418=2015,1,0)</f>
        <v>1</v>
      </c>
      <c r="W418" s="14" t="n">
        <f aca="false">IF($L418=2016,1,0)</f>
        <v>0</v>
      </c>
      <c r="X418" s="14" t="n">
        <f aca="false">IF($L418=2017,1,0)</f>
        <v>0</v>
      </c>
      <c r="Y418" s="14" t="n">
        <f aca="false">IF($H418="Beginner Level",1,0)</f>
        <v>1</v>
      </c>
      <c r="Z418" s="14" t="n">
        <f aca="false">IF($H418="Expert Level",1,0)</f>
        <v>0</v>
      </c>
      <c r="AA418" s="14" t="n">
        <f aca="false">IF($H418="Intermediate Level",1,0)</f>
        <v>0</v>
      </c>
      <c r="AC418" s="14" t="n">
        <f aca="false">N418</f>
        <v>4.60527018098843</v>
      </c>
      <c r="AD418" s="14" t="n">
        <f aca="false">G418</f>
        <v>13</v>
      </c>
      <c r="AE418" s="14" t="n">
        <f aca="false">J418</f>
        <v>1.5</v>
      </c>
      <c r="AF418" s="14" t="n">
        <f aca="false">IF($L418=2012,1,0)</f>
        <v>0</v>
      </c>
      <c r="AG418" s="14" t="n">
        <f aca="false">IF($L418=2013,1,0)</f>
        <v>0</v>
      </c>
      <c r="AH418" s="14" t="n">
        <f aca="false">IF($L418=2014,1,0)</f>
        <v>0</v>
      </c>
      <c r="AI418" s="14" t="n">
        <f aca="false">IF($L418=2015,1,0)</f>
        <v>1</v>
      </c>
      <c r="AJ418" s="14" t="n">
        <f aca="false">IF($L418=2016,1,0)</f>
        <v>0</v>
      </c>
      <c r="AK418" s="14" t="n">
        <f aca="false">IF($L418=2017,1,0)</f>
        <v>0</v>
      </c>
      <c r="AL418" s="14" t="n">
        <f aca="false">IF($H418="Beginner Level",1,0)</f>
        <v>1</v>
      </c>
      <c r="AM418" s="14" t="n">
        <f aca="false">IF($H418="Expert Level",1,0)</f>
        <v>0</v>
      </c>
      <c r="AN418" s="14" t="n">
        <f aca="false">IF($H418="Intermediate Level",1,0)</f>
        <v>0</v>
      </c>
    </row>
    <row r="419" customFormat="false" ht="46.25" hidden="false" customHeight="false" outlineLevel="0" collapsed="false">
      <c r="A419" s="14" t="n">
        <v>576694</v>
      </c>
      <c r="B419" s="14" t="s">
        <v>881</v>
      </c>
      <c r="C419" s="14" t="s">
        <v>882</v>
      </c>
      <c r="D419" s="14" t="n">
        <v>100</v>
      </c>
      <c r="E419" s="14" t="n">
        <v>4537</v>
      </c>
      <c r="F419" s="14" t="n">
        <v>415</v>
      </c>
      <c r="G419" s="14" t="n">
        <v>49</v>
      </c>
      <c r="H419" s="14" t="s">
        <v>52</v>
      </c>
      <c r="I419" s="14" t="n">
        <v>0.89</v>
      </c>
      <c r="J419" s="14" t="n">
        <v>9</v>
      </c>
      <c r="K419" s="14" t="s">
        <v>59</v>
      </c>
      <c r="L419" s="14" t="n">
        <v>2015</v>
      </c>
      <c r="M419" s="14" t="n">
        <v>8.42002127966396</v>
      </c>
      <c r="N419" s="14" t="n">
        <v>4.60527018098843</v>
      </c>
      <c r="P419" s="14" t="n">
        <f aca="false">D419</f>
        <v>100</v>
      </c>
      <c r="Q419" s="14" t="n">
        <f aca="false">G419</f>
        <v>49</v>
      </c>
      <c r="R419" s="14" t="n">
        <f aca="false">J419</f>
        <v>9</v>
      </c>
      <c r="S419" s="14" t="n">
        <f aca="false">IF($L419=2012,1,0)</f>
        <v>0</v>
      </c>
      <c r="T419" s="14" t="n">
        <f aca="false">IF($L419=2013,1,0)</f>
        <v>0</v>
      </c>
      <c r="U419" s="14" t="n">
        <f aca="false">IF($L419=2014,1,0)</f>
        <v>0</v>
      </c>
      <c r="V419" s="14" t="n">
        <f aca="false">IF($L419=2015,1,0)</f>
        <v>1</v>
      </c>
      <c r="W419" s="14" t="n">
        <f aca="false">IF($L419=2016,1,0)</f>
        <v>0</v>
      </c>
      <c r="X419" s="14" t="n">
        <f aca="false">IF($L419=2017,1,0)</f>
        <v>0</v>
      </c>
      <c r="Y419" s="14" t="n">
        <f aca="false">IF($H419="Beginner Level",1,0)</f>
        <v>1</v>
      </c>
      <c r="Z419" s="14" t="n">
        <f aca="false">IF($H419="Expert Level",1,0)</f>
        <v>0</v>
      </c>
      <c r="AA419" s="14" t="n">
        <f aca="false">IF($H419="Intermediate Level",1,0)</f>
        <v>0</v>
      </c>
      <c r="AC419" s="14" t="n">
        <f aca="false">N419</f>
        <v>4.60527018098843</v>
      </c>
      <c r="AD419" s="14" t="n">
        <f aca="false">G419</f>
        <v>49</v>
      </c>
      <c r="AE419" s="14" t="n">
        <f aca="false">J419</f>
        <v>9</v>
      </c>
      <c r="AF419" s="14" t="n">
        <f aca="false">IF($L419=2012,1,0)</f>
        <v>0</v>
      </c>
      <c r="AG419" s="14" t="n">
        <f aca="false">IF($L419=2013,1,0)</f>
        <v>0</v>
      </c>
      <c r="AH419" s="14" t="n">
        <f aca="false">IF($L419=2014,1,0)</f>
        <v>0</v>
      </c>
      <c r="AI419" s="14" t="n">
        <f aca="false">IF($L419=2015,1,0)</f>
        <v>1</v>
      </c>
      <c r="AJ419" s="14" t="n">
        <f aca="false">IF($L419=2016,1,0)</f>
        <v>0</v>
      </c>
      <c r="AK419" s="14" t="n">
        <f aca="false">IF($L419=2017,1,0)</f>
        <v>0</v>
      </c>
      <c r="AL419" s="14" t="n">
        <f aca="false">IF($H419="Beginner Level",1,0)</f>
        <v>1</v>
      </c>
      <c r="AM419" s="14" t="n">
        <f aca="false">IF($H419="Expert Level",1,0)</f>
        <v>0</v>
      </c>
      <c r="AN419" s="14" t="n">
        <f aca="false">IF($H419="Intermediate Level",1,0)</f>
        <v>0</v>
      </c>
    </row>
    <row r="420" customFormat="false" ht="91" hidden="false" customHeight="false" outlineLevel="0" collapsed="false">
      <c r="A420" s="14" t="n">
        <v>681514</v>
      </c>
      <c r="B420" s="14" t="s">
        <v>883</v>
      </c>
      <c r="C420" s="14" t="s">
        <v>884</v>
      </c>
      <c r="D420" s="14" t="n">
        <v>200</v>
      </c>
      <c r="E420" s="14" t="n">
        <v>4529</v>
      </c>
      <c r="F420" s="14" t="n">
        <v>54</v>
      </c>
      <c r="G420" s="14" t="n">
        <v>29</v>
      </c>
      <c r="H420" s="14" t="s">
        <v>62</v>
      </c>
      <c r="I420" s="14" t="n">
        <v>0.89</v>
      </c>
      <c r="J420" s="14" t="n">
        <v>2</v>
      </c>
      <c r="K420" s="14" t="s">
        <v>59</v>
      </c>
      <c r="L420" s="14" t="n">
        <v>2015</v>
      </c>
      <c r="M420" s="14" t="n">
        <v>8.41825644355621</v>
      </c>
      <c r="N420" s="14" t="n">
        <v>5.29836736529808</v>
      </c>
      <c r="P420" s="14" t="n">
        <f aca="false">D420</f>
        <v>200</v>
      </c>
      <c r="Q420" s="14" t="n">
        <f aca="false">G420</f>
        <v>29</v>
      </c>
      <c r="R420" s="14" t="n">
        <f aca="false">J420</f>
        <v>2</v>
      </c>
      <c r="S420" s="14" t="n">
        <f aca="false">IF($L420=2012,1,0)</f>
        <v>0</v>
      </c>
      <c r="T420" s="14" t="n">
        <f aca="false">IF($L420=2013,1,0)</f>
        <v>0</v>
      </c>
      <c r="U420" s="14" t="n">
        <f aca="false">IF($L420=2014,1,0)</f>
        <v>0</v>
      </c>
      <c r="V420" s="14" t="n">
        <f aca="false">IF($L420=2015,1,0)</f>
        <v>1</v>
      </c>
      <c r="W420" s="14" t="n">
        <f aca="false">IF($L420=2016,1,0)</f>
        <v>0</v>
      </c>
      <c r="X420" s="14" t="n">
        <f aca="false">IF($L420=2017,1,0)</f>
        <v>0</v>
      </c>
      <c r="Y420" s="14" t="n">
        <f aca="false">IF($H420="Beginner Level",1,0)</f>
        <v>0</v>
      </c>
      <c r="Z420" s="14" t="n">
        <f aca="false">IF($H420="Expert Level",1,0)</f>
        <v>0</v>
      </c>
      <c r="AA420" s="14" t="n">
        <f aca="false">IF($H420="Intermediate Level",1,0)</f>
        <v>0</v>
      </c>
      <c r="AC420" s="14" t="n">
        <f aca="false">N420</f>
        <v>5.29836736529808</v>
      </c>
      <c r="AD420" s="14" t="n">
        <f aca="false">G420</f>
        <v>29</v>
      </c>
      <c r="AE420" s="14" t="n">
        <f aca="false">J420</f>
        <v>2</v>
      </c>
      <c r="AF420" s="14" t="n">
        <f aca="false">IF($L420=2012,1,0)</f>
        <v>0</v>
      </c>
      <c r="AG420" s="14" t="n">
        <f aca="false">IF($L420=2013,1,0)</f>
        <v>0</v>
      </c>
      <c r="AH420" s="14" t="n">
        <f aca="false">IF($L420=2014,1,0)</f>
        <v>0</v>
      </c>
      <c r="AI420" s="14" t="n">
        <f aca="false">IF($L420=2015,1,0)</f>
        <v>1</v>
      </c>
      <c r="AJ420" s="14" t="n">
        <f aca="false">IF($L420=2016,1,0)</f>
        <v>0</v>
      </c>
      <c r="AK420" s="14" t="n">
        <f aca="false">IF($L420=2017,1,0)</f>
        <v>0</v>
      </c>
      <c r="AL420" s="14" t="n">
        <f aca="false">IF($H420="Beginner Level",1,0)</f>
        <v>0</v>
      </c>
      <c r="AM420" s="14" t="n">
        <f aca="false">IF($H420="Expert Level",1,0)</f>
        <v>0</v>
      </c>
      <c r="AN420" s="14" t="n">
        <f aca="false">IF($H420="Intermediate Level",1,0)</f>
        <v>0</v>
      </c>
    </row>
    <row r="421" customFormat="false" ht="68.65" hidden="false" customHeight="false" outlineLevel="0" collapsed="false">
      <c r="A421" s="14" t="n">
        <v>764076</v>
      </c>
      <c r="B421" s="14" t="s">
        <v>885</v>
      </c>
      <c r="C421" s="14" t="s">
        <v>886</v>
      </c>
      <c r="D421" s="14" t="n">
        <v>0</v>
      </c>
      <c r="E421" s="14" t="n">
        <v>4503</v>
      </c>
      <c r="F421" s="14" t="n">
        <v>146</v>
      </c>
      <c r="G421" s="14" t="n">
        <v>122</v>
      </c>
      <c r="H421" s="14" t="s">
        <v>62</v>
      </c>
      <c r="I421" s="14" t="n">
        <v>0.89</v>
      </c>
      <c r="J421" s="14" t="n">
        <v>21</v>
      </c>
      <c r="K421" s="14" t="s">
        <v>53</v>
      </c>
      <c r="L421" s="14" t="n">
        <v>2016</v>
      </c>
      <c r="M421" s="14" t="n">
        <v>8.41249912030157</v>
      </c>
      <c r="N421" s="14" t="n">
        <v>-4.60517018598809</v>
      </c>
      <c r="P421" s="14" t="n">
        <f aca="false">D421</f>
        <v>0</v>
      </c>
      <c r="Q421" s="14" t="n">
        <f aca="false">G421</f>
        <v>122</v>
      </c>
      <c r="R421" s="14" t="n">
        <f aca="false">J421</f>
        <v>21</v>
      </c>
      <c r="S421" s="14" t="n">
        <f aca="false">IF($L421=2012,1,0)</f>
        <v>0</v>
      </c>
      <c r="T421" s="14" t="n">
        <f aca="false">IF($L421=2013,1,0)</f>
        <v>0</v>
      </c>
      <c r="U421" s="14" t="n">
        <f aca="false">IF($L421=2014,1,0)</f>
        <v>0</v>
      </c>
      <c r="V421" s="14" t="n">
        <f aca="false">IF($L421=2015,1,0)</f>
        <v>0</v>
      </c>
      <c r="W421" s="14" t="n">
        <f aca="false">IF($L421=2016,1,0)</f>
        <v>1</v>
      </c>
      <c r="X421" s="14" t="n">
        <f aca="false">IF($L421=2017,1,0)</f>
        <v>0</v>
      </c>
      <c r="Y421" s="14" t="n">
        <f aca="false">IF($H421="Beginner Level",1,0)</f>
        <v>0</v>
      </c>
      <c r="Z421" s="14" t="n">
        <f aca="false">IF($H421="Expert Level",1,0)</f>
        <v>0</v>
      </c>
      <c r="AA421" s="14" t="n">
        <f aca="false">IF($H421="Intermediate Level",1,0)</f>
        <v>0</v>
      </c>
      <c r="AC421" s="14" t="n">
        <f aca="false">N421</f>
        <v>-4.60517018598809</v>
      </c>
      <c r="AD421" s="14" t="n">
        <f aca="false">G421</f>
        <v>122</v>
      </c>
      <c r="AE421" s="14" t="n">
        <f aca="false">J421</f>
        <v>21</v>
      </c>
      <c r="AF421" s="14" t="n">
        <f aca="false">IF($L421=2012,1,0)</f>
        <v>0</v>
      </c>
      <c r="AG421" s="14" t="n">
        <f aca="false">IF($L421=2013,1,0)</f>
        <v>0</v>
      </c>
      <c r="AH421" s="14" t="n">
        <f aca="false">IF($L421=2014,1,0)</f>
        <v>0</v>
      </c>
      <c r="AI421" s="14" t="n">
        <f aca="false">IF($L421=2015,1,0)</f>
        <v>0</v>
      </c>
      <c r="AJ421" s="14" t="n">
        <f aca="false">IF($L421=2016,1,0)</f>
        <v>1</v>
      </c>
      <c r="AK421" s="14" t="n">
        <f aca="false">IF($L421=2017,1,0)</f>
        <v>0</v>
      </c>
      <c r="AL421" s="14" t="n">
        <f aca="false">IF($H421="Beginner Level",1,0)</f>
        <v>0</v>
      </c>
      <c r="AM421" s="14" t="n">
        <f aca="false">IF($H421="Expert Level",1,0)</f>
        <v>0</v>
      </c>
      <c r="AN421" s="14" t="n">
        <f aca="false">IF($H421="Intermediate Level",1,0)</f>
        <v>0</v>
      </c>
    </row>
    <row r="422" customFormat="false" ht="46.25" hidden="false" customHeight="false" outlineLevel="0" collapsed="false">
      <c r="A422" s="14" t="n">
        <v>1106646</v>
      </c>
      <c r="B422" s="14" t="s">
        <v>887</v>
      </c>
      <c r="C422" s="14" t="s">
        <v>888</v>
      </c>
      <c r="D422" s="14" t="n">
        <v>0</v>
      </c>
      <c r="E422" s="14" t="n">
        <v>4499</v>
      </c>
      <c r="F422" s="14" t="n">
        <v>138</v>
      </c>
      <c r="G422" s="14" t="n">
        <v>20</v>
      </c>
      <c r="H422" s="14" t="s">
        <v>52</v>
      </c>
      <c r="I422" s="14" t="n">
        <v>0.89</v>
      </c>
      <c r="J422" s="14" t="n">
        <v>2</v>
      </c>
      <c r="K422" s="14" t="s">
        <v>53</v>
      </c>
      <c r="L422" s="14" t="n">
        <v>2017</v>
      </c>
      <c r="M422" s="14" t="n">
        <v>8.41161042884117</v>
      </c>
      <c r="N422" s="14" t="n">
        <v>-4.60517018598809</v>
      </c>
      <c r="P422" s="14" t="n">
        <f aca="false">D422</f>
        <v>0</v>
      </c>
      <c r="Q422" s="14" t="n">
        <f aca="false">G422</f>
        <v>20</v>
      </c>
      <c r="R422" s="14" t="n">
        <f aca="false">J422</f>
        <v>2</v>
      </c>
      <c r="S422" s="14" t="n">
        <f aca="false">IF($L422=2012,1,0)</f>
        <v>0</v>
      </c>
      <c r="T422" s="14" t="n">
        <f aca="false">IF($L422=2013,1,0)</f>
        <v>0</v>
      </c>
      <c r="U422" s="14" t="n">
        <f aca="false">IF($L422=2014,1,0)</f>
        <v>0</v>
      </c>
      <c r="V422" s="14" t="n">
        <f aca="false">IF($L422=2015,1,0)</f>
        <v>0</v>
      </c>
      <c r="W422" s="14" t="n">
        <f aca="false">IF($L422=2016,1,0)</f>
        <v>0</v>
      </c>
      <c r="X422" s="14" t="n">
        <f aca="false">IF($L422=2017,1,0)</f>
        <v>1</v>
      </c>
      <c r="Y422" s="14" t="n">
        <f aca="false">IF($H422="Beginner Level",1,0)</f>
        <v>1</v>
      </c>
      <c r="Z422" s="14" t="n">
        <f aca="false">IF($H422="Expert Level",1,0)</f>
        <v>0</v>
      </c>
      <c r="AA422" s="14" t="n">
        <f aca="false">IF($H422="Intermediate Level",1,0)</f>
        <v>0</v>
      </c>
      <c r="AC422" s="14" t="n">
        <f aca="false">N422</f>
        <v>-4.60517018598809</v>
      </c>
      <c r="AD422" s="14" t="n">
        <f aca="false">G422</f>
        <v>20</v>
      </c>
      <c r="AE422" s="14" t="n">
        <f aca="false">J422</f>
        <v>2</v>
      </c>
      <c r="AF422" s="14" t="n">
        <f aca="false">IF($L422=2012,1,0)</f>
        <v>0</v>
      </c>
      <c r="AG422" s="14" t="n">
        <f aca="false">IF($L422=2013,1,0)</f>
        <v>0</v>
      </c>
      <c r="AH422" s="14" t="n">
        <f aca="false">IF($L422=2014,1,0)</f>
        <v>0</v>
      </c>
      <c r="AI422" s="14" t="n">
        <f aca="false">IF($L422=2015,1,0)</f>
        <v>0</v>
      </c>
      <c r="AJ422" s="14" t="n">
        <f aca="false">IF($L422=2016,1,0)</f>
        <v>0</v>
      </c>
      <c r="AK422" s="14" t="n">
        <f aca="false">IF($L422=2017,1,0)</f>
        <v>1</v>
      </c>
      <c r="AL422" s="14" t="n">
        <f aca="false">IF($H422="Beginner Level",1,0)</f>
        <v>1</v>
      </c>
      <c r="AM422" s="14" t="n">
        <f aca="false">IF($H422="Expert Level",1,0)</f>
        <v>0</v>
      </c>
      <c r="AN422" s="14" t="n">
        <f aca="false">IF($H422="Intermediate Level",1,0)</f>
        <v>0</v>
      </c>
    </row>
    <row r="423" customFormat="false" ht="46.25" hidden="false" customHeight="false" outlineLevel="0" collapsed="false">
      <c r="A423" s="14" t="n">
        <v>982860</v>
      </c>
      <c r="B423" s="14" t="s">
        <v>889</v>
      </c>
      <c r="C423" s="14" t="s">
        <v>890</v>
      </c>
      <c r="D423" s="14" t="n">
        <v>95</v>
      </c>
      <c r="E423" s="14" t="n">
        <v>4463</v>
      </c>
      <c r="F423" s="14" t="n">
        <v>59</v>
      </c>
      <c r="G423" s="14" t="n">
        <v>36</v>
      </c>
      <c r="H423" s="14" t="s">
        <v>52</v>
      </c>
      <c r="I423" s="14" t="n">
        <v>0.89</v>
      </c>
      <c r="J423" s="14" t="n">
        <v>5.5</v>
      </c>
      <c r="K423" s="14" t="s">
        <v>59</v>
      </c>
      <c r="L423" s="14" t="n">
        <v>2016</v>
      </c>
      <c r="M423" s="14" t="n">
        <v>8.40357646462927</v>
      </c>
      <c r="N423" s="14" t="n">
        <v>4.55398214921866</v>
      </c>
      <c r="P423" s="14" t="n">
        <f aca="false">D423</f>
        <v>95</v>
      </c>
      <c r="Q423" s="14" t="n">
        <f aca="false">G423</f>
        <v>36</v>
      </c>
      <c r="R423" s="14" t="n">
        <f aca="false">J423</f>
        <v>5.5</v>
      </c>
      <c r="S423" s="14" t="n">
        <f aca="false">IF($L423=2012,1,0)</f>
        <v>0</v>
      </c>
      <c r="T423" s="14" t="n">
        <f aca="false">IF($L423=2013,1,0)</f>
        <v>0</v>
      </c>
      <c r="U423" s="14" t="n">
        <f aca="false">IF($L423=2014,1,0)</f>
        <v>0</v>
      </c>
      <c r="V423" s="14" t="n">
        <f aca="false">IF($L423=2015,1,0)</f>
        <v>0</v>
      </c>
      <c r="W423" s="14" t="n">
        <f aca="false">IF($L423=2016,1,0)</f>
        <v>1</v>
      </c>
      <c r="X423" s="14" t="n">
        <f aca="false">IF($L423=2017,1,0)</f>
        <v>0</v>
      </c>
      <c r="Y423" s="14" t="n">
        <f aca="false">IF($H423="Beginner Level",1,0)</f>
        <v>1</v>
      </c>
      <c r="Z423" s="14" t="n">
        <f aca="false">IF($H423="Expert Level",1,0)</f>
        <v>0</v>
      </c>
      <c r="AA423" s="14" t="n">
        <f aca="false">IF($H423="Intermediate Level",1,0)</f>
        <v>0</v>
      </c>
      <c r="AC423" s="14" t="n">
        <f aca="false">N423</f>
        <v>4.55398214921866</v>
      </c>
      <c r="AD423" s="14" t="n">
        <f aca="false">G423</f>
        <v>36</v>
      </c>
      <c r="AE423" s="14" t="n">
        <f aca="false">J423</f>
        <v>5.5</v>
      </c>
      <c r="AF423" s="14" t="n">
        <f aca="false">IF($L423=2012,1,0)</f>
        <v>0</v>
      </c>
      <c r="AG423" s="14" t="n">
        <f aca="false">IF($L423=2013,1,0)</f>
        <v>0</v>
      </c>
      <c r="AH423" s="14" t="n">
        <f aca="false">IF($L423=2014,1,0)</f>
        <v>0</v>
      </c>
      <c r="AI423" s="14" t="n">
        <f aca="false">IF($L423=2015,1,0)</f>
        <v>0</v>
      </c>
      <c r="AJ423" s="14" t="n">
        <f aca="false">IF($L423=2016,1,0)</f>
        <v>1</v>
      </c>
      <c r="AK423" s="14" t="n">
        <f aca="false">IF($L423=2017,1,0)</f>
        <v>0</v>
      </c>
      <c r="AL423" s="14" t="n">
        <f aca="false">IF($H423="Beginner Level",1,0)</f>
        <v>1</v>
      </c>
      <c r="AM423" s="14" t="n">
        <f aca="false">IF($H423="Expert Level",1,0)</f>
        <v>0</v>
      </c>
      <c r="AN423" s="14" t="n">
        <f aca="false">IF($H423="Intermediate Level",1,0)</f>
        <v>0</v>
      </c>
    </row>
    <row r="424" customFormat="false" ht="57.45" hidden="false" customHeight="false" outlineLevel="0" collapsed="false">
      <c r="A424" s="14" t="n">
        <v>825354</v>
      </c>
      <c r="B424" s="14" t="s">
        <v>891</v>
      </c>
      <c r="C424" s="14" t="s">
        <v>892</v>
      </c>
      <c r="D424" s="14" t="n">
        <v>50</v>
      </c>
      <c r="E424" s="14" t="n">
        <v>4447</v>
      </c>
      <c r="F424" s="14" t="n">
        <v>76</v>
      </c>
      <c r="G424" s="14" t="n">
        <v>24</v>
      </c>
      <c r="H424" s="14" t="s">
        <v>52</v>
      </c>
      <c r="I424" s="14" t="n">
        <v>0.89</v>
      </c>
      <c r="J424" s="14" t="n">
        <v>4</v>
      </c>
      <c r="K424" s="14" t="s">
        <v>59</v>
      </c>
      <c r="L424" s="14" t="n">
        <v>2016</v>
      </c>
      <c r="M424" s="14" t="n">
        <v>8.3999849905107</v>
      </c>
      <c r="N424" s="14" t="n">
        <v>3.91222298543081</v>
      </c>
      <c r="P424" s="14" t="n">
        <f aca="false">D424</f>
        <v>50</v>
      </c>
      <c r="Q424" s="14" t="n">
        <f aca="false">G424</f>
        <v>24</v>
      </c>
      <c r="R424" s="14" t="n">
        <f aca="false">J424</f>
        <v>4</v>
      </c>
      <c r="S424" s="14" t="n">
        <f aca="false">IF($L424=2012,1,0)</f>
        <v>0</v>
      </c>
      <c r="T424" s="14" t="n">
        <f aca="false">IF($L424=2013,1,0)</f>
        <v>0</v>
      </c>
      <c r="U424" s="14" t="n">
        <f aca="false">IF($L424=2014,1,0)</f>
        <v>0</v>
      </c>
      <c r="V424" s="14" t="n">
        <f aca="false">IF($L424=2015,1,0)</f>
        <v>0</v>
      </c>
      <c r="W424" s="14" t="n">
        <f aca="false">IF($L424=2016,1,0)</f>
        <v>1</v>
      </c>
      <c r="X424" s="14" t="n">
        <f aca="false">IF($L424=2017,1,0)</f>
        <v>0</v>
      </c>
      <c r="Y424" s="14" t="n">
        <f aca="false">IF($H424="Beginner Level",1,0)</f>
        <v>1</v>
      </c>
      <c r="Z424" s="14" t="n">
        <f aca="false">IF($H424="Expert Level",1,0)</f>
        <v>0</v>
      </c>
      <c r="AA424" s="14" t="n">
        <f aca="false">IF($H424="Intermediate Level",1,0)</f>
        <v>0</v>
      </c>
      <c r="AC424" s="14" t="n">
        <f aca="false">N424</f>
        <v>3.91222298543081</v>
      </c>
      <c r="AD424" s="14" t="n">
        <f aca="false">G424</f>
        <v>24</v>
      </c>
      <c r="AE424" s="14" t="n">
        <f aca="false">J424</f>
        <v>4</v>
      </c>
      <c r="AF424" s="14" t="n">
        <f aca="false">IF($L424=2012,1,0)</f>
        <v>0</v>
      </c>
      <c r="AG424" s="14" t="n">
        <f aca="false">IF($L424=2013,1,0)</f>
        <v>0</v>
      </c>
      <c r="AH424" s="14" t="n">
        <f aca="false">IF($L424=2014,1,0)</f>
        <v>0</v>
      </c>
      <c r="AI424" s="14" t="n">
        <f aca="false">IF($L424=2015,1,0)</f>
        <v>0</v>
      </c>
      <c r="AJ424" s="14" t="n">
        <f aca="false">IF($L424=2016,1,0)</f>
        <v>1</v>
      </c>
      <c r="AK424" s="14" t="n">
        <f aca="false">IF($L424=2017,1,0)</f>
        <v>0</v>
      </c>
      <c r="AL424" s="14" t="n">
        <f aca="false">IF($H424="Beginner Level",1,0)</f>
        <v>1</v>
      </c>
      <c r="AM424" s="14" t="n">
        <f aca="false">IF($H424="Expert Level",1,0)</f>
        <v>0</v>
      </c>
      <c r="AN424" s="14" t="n">
        <f aca="false">IF($H424="Intermediate Level",1,0)</f>
        <v>0</v>
      </c>
    </row>
    <row r="425" customFormat="false" ht="57.45" hidden="false" customHeight="false" outlineLevel="0" collapsed="false">
      <c r="A425" s="14" t="n">
        <v>791030</v>
      </c>
      <c r="B425" s="14" t="s">
        <v>893</v>
      </c>
      <c r="C425" s="14" t="s">
        <v>894</v>
      </c>
      <c r="D425" s="14" t="n">
        <v>100</v>
      </c>
      <c r="E425" s="14" t="n">
        <v>4442</v>
      </c>
      <c r="F425" s="14" t="n">
        <v>23</v>
      </c>
      <c r="G425" s="14" t="n">
        <v>28</v>
      </c>
      <c r="H425" s="14" t="s">
        <v>52</v>
      </c>
      <c r="I425" s="14" t="n">
        <v>0.89</v>
      </c>
      <c r="J425" s="14" t="n">
        <v>2</v>
      </c>
      <c r="K425" s="14" t="s">
        <v>59</v>
      </c>
      <c r="L425" s="14" t="n">
        <v>2016</v>
      </c>
      <c r="M425" s="14" t="n">
        <v>8.39886000445437</v>
      </c>
      <c r="N425" s="14" t="n">
        <v>4.60527018098843</v>
      </c>
      <c r="P425" s="14" t="n">
        <f aca="false">D425</f>
        <v>100</v>
      </c>
      <c r="Q425" s="14" t="n">
        <f aca="false">G425</f>
        <v>28</v>
      </c>
      <c r="R425" s="14" t="n">
        <f aca="false">J425</f>
        <v>2</v>
      </c>
      <c r="S425" s="14" t="n">
        <f aca="false">IF($L425=2012,1,0)</f>
        <v>0</v>
      </c>
      <c r="T425" s="14" t="n">
        <f aca="false">IF($L425=2013,1,0)</f>
        <v>0</v>
      </c>
      <c r="U425" s="14" t="n">
        <f aca="false">IF($L425=2014,1,0)</f>
        <v>0</v>
      </c>
      <c r="V425" s="14" t="n">
        <f aca="false">IF($L425=2015,1,0)</f>
        <v>0</v>
      </c>
      <c r="W425" s="14" t="n">
        <f aca="false">IF($L425=2016,1,0)</f>
        <v>1</v>
      </c>
      <c r="X425" s="14" t="n">
        <f aca="false">IF($L425=2017,1,0)</f>
        <v>0</v>
      </c>
      <c r="Y425" s="14" t="n">
        <f aca="false">IF($H425="Beginner Level",1,0)</f>
        <v>1</v>
      </c>
      <c r="Z425" s="14" t="n">
        <f aca="false">IF($H425="Expert Level",1,0)</f>
        <v>0</v>
      </c>
      <c r="AA425" s="14" t="n">
        <f aca="false">IF($H425="Intermediate Level",1,0)</f>
        <v>0</v>
      </c>
      <c r="AC425" s="14" t="n">
        <f aca="false">N425</f>
        <v>4.60527018098843</v>
      </c>
      <c r="AD425" s="14" t="n">
        <f aca="false">G425</f>
        <v>28</v>
      </c>
      <c r="AE425" s="14" t="n">
        <f aca="false">J425</f>
        <v>2</v>
      </c>
      <c r="AF425" s="14" t="n">
        <f aca="false">IF($L425=2012,1,0)</f>
        <v>0</v>
      </c>
      <c r="AG425" s="14" t="n">
        <f aca="false">IF($L425=2013,1,0)</f>
        <v>0</v>
      </c>
      <c r="AH425" s="14" t="n">
        <f aca="false">IF($L425=2014,1,0)</f>
        <v>0</v>
      </c>
      <c r="AI425" s="14" t="n">
        <f aca="false">IF($L425=2015,1,0)</f>
        <v>0</v>
      </c>
      <c r="AJ425" s="14" t="n">
        <f aca="false">IF($L425=2016,1,0)</f>
        <v>1</v>
      </c>
      <c r="AK425" s="14" t="n">
        <f aca="false">IF($L425=2017,1,0)</f>
        <v>0</v>
      </c>
      <c r="AL425" s="14" t="n">
        <f aca="false">IF($H425="Beginner Level",1,0)</f>
        <v>1</v>
      </c>
      <c r="AM425" s="14" t="n">
        <f aca="false">IF($H425="Expert Level",1,0)</f>
        <v>0</v>
      </c>
      <c r="AN425" s="14" t="n">
        <f aca="false">IF($H425="Intermediate Level",1,0)</f>
        <v>0</v>
      </c>
    </row>
    <row r="426" customFormat="false" ht="79.85" hidden="false" customHeight="false" outlineLevel="0" collapsed="false">
      <c r="A426" s="14" t="n">
        <v>1079624</v>
      </c>
      <c r="B426" s="14" t="s">
        <v>895</v>
      </c>
      <c r="C426" s="14" t="s">
        <v>896</v>
      </c>
      <c r="D426" s="14" t="n">
        <v>0</v>
      </c>
      <c r="E426" s="14" t="n">
        <v>4410</v>
      </c>
      <c r="F426" s="14" t="n">
        <v>52</v>
      </c>
      <c r="G426" s="14" t="n">
        <v>26</v>
      </c>
      <c r="H426" s="14" t="s">
        <v>52</v>
      </c>
      <c r="I426" s="14" t="n">
        <v>0.89</v>
      </c>
      <c r="J426" s="14" t="n">
        <v>3</v>
      </c>
      <c r="K426" s="14" t="s">
        <v>53</v>
      </c>
      <c r="L426" s="14" t="n">
        <v>2017</v>
      </c>
      <c r="M426" s="14" t="n">
        <v>8.39162996844089</v>
      </c>
      <c r="N426" s="14" t="n">
        <v>-4.60517018598809</v>
      </c>
      <c r="P426" s="14" t="n">
        <f aca="false">D426</f>
        <v>0</v>
      </c>
      <c r="Q426" s="14" t="n">
        <f aca="false">G426</f>
        <v>26</v>
      </c>
      <c r="R426" s="14" t="n">
        <f aca="false">J426</f>
        <v>3</v>
      </c>
      <c r="S426" s="14" t="n">
        <f aca="false">IF($L426=2012,1,0)</f>
        <v>0</v>
      </c>
      <c r="T426" s="14" t="n">
        <f aca="false">IF($L426=2013,1,0)</f>
        <v>0</v>
      </c>
      <c r="U426" s="14" t="n">
        <f aca="false">IF($L426=2014,1,0)</f>
        <v>0</v>
      </c>
      <c r="V426" s="14" t="n">
        <f aca="false">IF($L426=2015,1,0)</f>
        <v>0</v>
      </c>
      <c r="W426" s="14" t="n">
        <f aca="false">IF($L426=2016,1,0)</f>
        <v>0</v>
      </c>
      <c r="X426" s="14" t="n">
        <f aca="false">IF($L426=2017,1,0)</f>
        <v>1</v>
      </c>
      <c r="Y426" s="14" t="n">
        <f aca="false">IF($H426="Beginner Level",1,0)</f>
        <v>1</v>
      </c>
      <c r="Z426" s="14" t="n">
        <f aca="false">IF($H426="Expert Level",1,0)</f>
        <v>0</v>
      </c>
      <c r="AA426" s="14" t="n">
        <f aca="false">IF($H426="Intermediate Level",1,0)</f>
        <v>0</v>
      </c>
      <c r="AC426" s="14" t="n">
        <f aca="false">N426</f>
        <v>-4.60517018598809</v>
      </c>
      <c r="AD426" s="14" t="n">
        <f aca="false">G426</f>
        <v>26</v>
      </c>
      <c r="AE426" s="14" t="n">
        <f aca="false">J426</f>
        <v>3</v>
      </c>
      <c r="AF426" s="14" t="n">
        <f aca="false">IF($L426=2012,1,0)</f>
        <v>0</v>
      </c>
      <c r="AG426" s="14" t="n">
        <f aca="false">IF($L426=2013,1,0)</f>
        <v>0</v>
      </c>
      <c r="AH426" s="14" t="n">
        <f aca="false">IF($L426=2014,1,0)</f>
        <v>0</v>
      </c>
      <c r="AI426" s="14" t="n">
        <f aca="false">IF($L426=2015,1,0)</f>
        <v>0</v>
      </c>
      <c r="AJ426" s="14" t="n">
        <f aca="false">IF($L426=2016,1,0)</f>
        <v>0</v>
      </c>
      <c r="AK426" s="14" t="n">
        <f aca="false">IF($L426=2017,1,0)</f>
        <v>1</v>
      </c>
      <c r="AL426" s="14" t="n">
        <f aca="false">IF($H426="Beginner Level",1,0)</f>
        <v>1</v>
      </c>
      <c r="AM426" s="14" t="n">
        <f aca="false">IF($H426="Expert Level",1,0)</f>
        <v>0</v>
      </c>
      <c r="AN426" s="14" t="n">
        <f aca="false">IF($H426="Intermediate Level",1,0)</f>
        <v>0</v>
      </c>
    </row>
    <row r="427" customFormat="false" ht="57.45" hidden="false" customHeight="false" outlineLevel="0" collapsed="false">
      <c r="A427" s="14" t="n">
        <v>548068</v>
      </c>
      <c r="B427" s="14" t="s">
        <v>897</v>
      </c>
      <c r="C427" s="14" t="s">
        <v>898</v>
      </c>
      <c r="D427" s="14" t="n">
        <v>0</v>
      </c>
      <c r="E427" s="14" t="n">
        <v>4409</v>
      </c>
      <c r="F427" s="14" t="n">
        <v>71</v>
      </c>
      <c r="G427" s="14" t="n">
        <v>100</v>
      </c>
      <c r="H427" s="14" t="s">
        <v>62</v>
      </c>
      <c r="I427" s="14" t="n">
        <v>0.89</v>
      </c>
      <c r="J427" s="14" t="n">
        <v>5</v>
      </c>
      <c r="K427" s="14" t="s">
        <v>53</v>
      </c>
      <c r="L427" s="14" t="n">
        <v>2016</v>
      </c>
      <c r="M427" s="14" t="n">
        <v>8.39140318535794</v>
      </c>
      <c r="N427" s="14" t="n">
        <v>-4.60517018598809</v>
      </c>
      <c r="P427" s="14" t="n">
        <f aca="false">D427</f>
        <v>0</v>
      </c>
      <c r="Q427" s="14" t="n">
        <f aca="false">G427</f>
        <v>100</v>
      </c>
      <c r="R427" s="14" t="n">
        <f aca="false">J427</f>
        <v>5</v>
      </c>
      <c r="S427" s="14" t="n">
        <f aca="false">IF($L427=2012,1,0)</f>
        <v>0</v>
      </c>
      <c r="T427" s="14" t="n">
        <f aca="false">IF($L427=2013,1,0)</f>
        <v>0</v>
      </c>
      <c r="U427" s="14" t="n">
        <f aca="false">IF($L427=2014,1,0)</f>
        <v>0</v>
      </c>
      <c r="V427" s="14" t="n">
        <f aca="false">IF($L427=2015,1,0)</f>
        <v>0</v>
      </c>
      <c r="W427" s="14" t="n">
        <f aca="false">IF($L427=2016,1,0)</f>
        <v>1</v>
      </c>
      <c r="X427" s="14" t="n">
        <f aca="false">IF($L427=2017,1,0)</f>
        <v>0</v>
      </c>
      <c r="Y427" s="14" t="n">
        <f aca="false">IF($H427="Beginner Level",1,0)</f>
        <v>0</v>
      </c>
      <c r="Z427" s="14" t="n">
        <f aca="false">IF($H427="Expert Level",1,0)</f>
        <v>0</v>
      </c>
      <c r="AA427" s="14" t="n">
        <f aca="false">IF($H427="Intermediate Level",1,0)</f>
        <v>0</v>
      </c>
      <c r="AC427" s="14" t="n">
        <f aca="false">N427</f>
        <v>-4.60517018598809</v>
      </c>
      <c r="AD427" s="14" t="n">
        <f aca="false">G427</f>
        <v>100</v>
      </c>
      <c r="AE427" s="14" t="n">
        <f aca="false">J427</f>
        <v>5</v>
      </c>
      <c r="AF427" s="14" t="n">
        <f aca="false">IF($L427=2012,1,0)</f>
        <v>0</v>
      </c>
      <c r="AG427" s="14" t="n">
        <f aca="false">IF($L427=2013,1,0)</f>
        <v>0</v>
      </c>
      <c r="AH427" s="14" t="n">
        <f aca="false">IF($L427=2014,1,0)</f>
        <v>0</v>
      </c>
      <c r="AI427" s="14" t="n">
        <f aca="false">IF($L427=2015,1,0)</f>
        <v>0</v>
      </c>
      <c r="AJ427" s="14" t="n">
        <f aca="false">IF($L427=2016,1,0)</f>
        <v>1</v>
      </c>
      <c r="AK427" s="14" t="n">
        <f aca="false">IF($L427=2017,1,0)</f>
        <v>0</v>
      </c>
      <c r="AL427" s="14" t="n">
        <f aca="false">IF($H427="Beginner Level",1,0)</f>
        <v>0</v>
      </c>
      <c r="AM427" s="14" t="n">
        <f aca="false">IF($H427="Expert Level",1,0)</f>
        <v>0</v>
      </c>
      <c r="AN427" s="14" t="n">
        <f aca="false">IF($H427="Intermediate Level",1,0)</f>
        <v>0</v>
      </c>
    </row>
    <row r="428" customFormat="false" ht="91" hidden="false" customHeight="false" outlineLevel="0" collapsed="false">
      <c r="A428" s="14" t="n">
        <v>688092</v>
      </c>
      <c r="B428" s="14" t="s">
        <v>899</v>
      </c>
      <c r="C428" s="14" t="s">
        <v>900</v>
      </c>
      <c r="D428" s="14" t="n">
        <v>50</v>
      </c>
      <c r="E428" s="14" t="n">
        <v>4407</v>
      </c>
      <c r="F428" s="14" t="n">
        <v>17</v>
      </c>
      <c r="G428" s="14" t="n">
        <v>29</v>
      </c>
      <c r="H428" s="14" t="s">
        <v>62</v>
      </c>
      <c r="I428" s="14" t="n">
        <v>0.89</v>
      </c>
      <c r="J428" s="14" t="n">
        <v>2.5</v>
      </c>
      <c r="K428" s="14" t="s">
        <v>59</v>
      </c>
      <c r="L428" s="14" t="n">
        <v>2015</v>
      </c>
      <c r="M428" s="14" t="n">
        <v>8.39094946484199</v>
      </c>
      <c r="N428" s="14" t="n">
        <v>3.91222298543081</v>
      </c>
      <c r="P428" s="14" t="n">
        <f aca="false">D428</f>
        <v>50</v>
      </c>
      <c r="Q428" s="14" t="n">
        <f aca="false">G428</f>
        <v>29</v>
      </c>
      <c r="R428" s="14" t="n">
        <f aca="false">J428</f>
        <v>2.5</v>
      </c>
      <c r="S428" s="14" t="n">
        <f aca="false">IF($L428=2012,1,0)</f>
        <v>0</v>
      </c>
      <c r="T428" s="14" t="n">
        <f aca="false">IF($L428=2013,1,0)</f>
        <v>0</v>
      </c>
      <c r="U428" s="14" t="n">
        <f aca="false">IF($L428=2014,1,0)</f>
        <v>0</v>
      </c>
      <c r="V428" s="14" t="n">
        <f aca="false">IF($L428=2015,1,0)</f>
        <v>1</v>
      </c>
      <c r="W428" s="14" t="n">
        <f aca="false">IF($L428=2016,1,0)</f>
        <v>0</v>
      </c>
      <c r="X428" s="14" t="n">
        <f aca="false">IF($L428=2017,1,0)</f>
        <v>0</v>
      </c>
      <c r="Y428" s="14" t="n">
        <f aca="false">IF($H428="Beginner Level",1,0)</f>
        <v>0</v>
      </c>
      <c r="Z428" s="14" t="n">
        <f aca="false">IF($H428="Expert Level",1,0)</f>
        <v>0</v>
      </c>
      <c r="AA428" s="14" t="n">
        <f aca="false">IF($H428="Intermediate Level",1,0)</f>
        <v>0</v>
      </c>
      <c r="AC428" s="14" t="n">
        <f aca="false">N428</f>
        <v>3.91222298543081</v>
      </c>
      <c r="AD428" s="14" t="n">
        <f aca="false">G428</f>
        <v>29</v>
      </c>
      <c r="AE428" s="14" t="n">
        <f aca="false">J428</f>
        <v>2.5</v>
      </c>
      <c r="AF428" s="14" t="n">
        <f aca="false">IF($L428=2012,1,0)</f>
        <v>0</v>
      </c>
      <c r="AG428" s="14" t="n">
        <f aca="false">IF($L428=2013,1,0)</f>
        <v>0</v>
      </c>
      <c r="AH428" s="14" t="n">
        <f aca="false">IF($L428=2014,1,0)</f>
        <v>0</v>
      </c>
      <c r="AI428" s="14" t="n">
        <f aca="false">IF($L428=2015,1,0)</f>
        <v>1</v>
      </c>
      <c r="AJ428" s="14" t="n">
        <f aca="false">IF($L428=2016,1,0)</f>
        <v>0</v>
      </c>
      <c r="AK428" s="14" t="n">
        <f aca="false">IF($L428=2017,1,0)</f>
        <v>0</v>
      </c>
      <c r="AL428" s="14" t="n">
        <f aca="false">IF($H428="Beginner Level",1,0)</f>
        <v>0</v>
      </c>
      <c r="AM428" s="14" t="n">
        <f aca="false">IF($H428="Expert Level",1,0)</f>
        <v>0</v>
      </c>
      <c r="AN428" s="14" t="n">
        <f aca="false">IF($H428="Intermediate Level",1,0)</f>
        <v>0</v>
      </c>
    </row>
    <row r="429" customFormat="false" ht="57.45" hidden="false" customHeight="false" outlineLevel="0" collapsed="false">
      <c r="A429" s="14" t="n">
        <v>1201054</v>
      </c>
      <c r="B429" s="14" t="s">
        <v>901</v>
      </c>
      <c r="C429" s="14" t="s">
        <v>902</v>
      </c>
      <c r="D429" s="14" t="n">
        <v>0</v>
      </c>
      <c r="E429" s="14" t="n">
        <v>4405</v>
      </c>
      <c r="F429" s="14" t="n">
        <v>71</v>
      </c>
      <c r="G429" s="14" t="n">
        <v>12</v>
      </c>
      <c r="H429" s="14" t="s">
        <v>52</v>
      </c>
      <c r="I429" s="14" t="n">
        <v>0.89</v>
      </c>
      <c r="J429" s="14" t="n">
        <v>1.5</v>
      </c>
      <c r="K429" s="14" t="s">
        <v>53</v>
      </c>
      <c r="L429" s="14" t="n">
        <v>2017</v>
      </c>
      <c r="M429" s="14" t="n">
        <v>8.39049553837028</v>
      </c>
      <c r="N429" s="14" t="n">
        <v>-4.60517018598809</v>
      </c>
      <c r="P429" s="14" t="n">
        <f aca="false">D429</f>
        <v>0</v>
      </c>
      <c r="Q429" s="14" t="n">
        <f aca="false">G429</f>
        <v>12</v>
      </c>
      <c r="R429" s="14" t="n">
        <f aca="false">J429</f>
        <v>1.5</v>
      </c>
      <c r="S429" s="14" t="n">
        <f aca="false">IF($L429=2012,1,0)</f>
        <v>0</v>
      </c>
      <c r="T429" s="14" t="n">
        <f aca="false">IF($L429=2013,1,0)</f>
        <v>0</v>
      </c>
      <c r="U429" s="14" t="n">
        <f aca="false">IF($L429=2014,1,0)</f>
        <v>0</v>
      </c>
      <c r="V429" s="14" t="n">
        <f aca="false">IF($L429=2015,1,0)</f>
        <v>0</v>
      </c>
      <c r="W429" s="14" t="n">
        <f aca="false">IF($L429=2016,1,0)</f>
        <v>0</v>
      </c>
      <c r="X429" s="14" t="n">
        <f aca="false">IF($L429=2017,1,0)</f>
        <v>1</v>
      </c>
      <c r="Y429" s="14" t="n">
        <f aca="false">IF($H429="Beginner Level",1,0)</f>
        <v>1</v>
      </c>
      <c r="Z429" s="14" t="n">
        <f aca="false">IF($H429="Expert Level",1,0)</f>
        <v>0</v>
      </c>
      <c r="AA429" s="14" t="n">
        <f aca="false">IF($H429="Intermediate Level",1,0)</f>
        <v>0</v>
      </c>
      <c r="AC429" s="14" t="n">
        <f aca="false">N429</f>
        <v>-4.60517018598809</v>
      </c>
      <c r="AD429" s="14" t="n">
        <f aca="false">G429</f>
        <v>12</v>
      </c>
      <c r="AE429" s="14" t="n">
        <f aca="false">J429</f>
        <v>1.5</v>
      </c>
      <c r="AF429" s="14" t="n">
        <f aca="false">IF($L429=2012,1,0)</f>
        <v>0</v>
      </c>
      <c r="AG429" s="14" t="n">
        <f aca="false">IF($L429=2013,1,0)</f>
        <v>0</v>
      </c>
      <c r="AH429" s="14" t="n">
        <f aca="false">IF($L429=2014,1,0)</f>
        <v>0</v>
      </c>
      <c r="AI429" s="14" t="n">
        <f aca="false">IF($L429=2015,1,0)</f>
        <v>0</v>
      </c>
      <c r="AJ429" s="14" t="n">
        <f aca="false">IF($L429=2016,1,0)</f>
        <v>0</v>
      </c>
      <c r="AK429" s="14" t="n">
        <f aca="false">IF($L429=2017,1,0)</f>
        <v>1</v>
      </c>
      <c r="AL429" s="14" t="n">
        <f aca="false">IF($H429="Beginner Level",1,0)</f>
        <v>1</v>
      </c>
      <c r="AM429" s="14" t="n">
        <f aca="false">IF($H429="Expert Level",1,0)</f>
        <v>0</v>
      </c>
      <c r="AN429" s="14" t="n">
        <f aca="false">IF($H429="Intermediate Level",1,0)</f>
        <v>0</v>
      </c>
    </row>
    <row r="430" customFormat="false" ht="57.45" hidden="false" customHeight="false" outlineLevel="0" collapsed="false">
      <c r="A430" s="14" t="n">
        <v>929130</v>
      </c>
      <c r="B430" s="14" t="s">
        <v>903</v>
      </c>
      <c r="C430" s="14" t="s">
        <v>904</v>
      </c>
      <c r="D430" s="14" t="n">
        <v>200</v>
      </c>
      <c r="E430" s="14" t="n">
        <v>4375</v>
      </c>
      <c r="F430" s="14" t="n">
        <v>622</v>
      </c>
      <c r="G430" s="14" t="n">
        <v>129</v>
      </c>
      <c r="H430" s="14" t="s">
        <v>52</v>
      </c>
      <c r="I430" s="14" t="n">
        <v>0.89</v>
      </c>
      <c r="J430" s="14" t="n">
        <v>15.5</v>
      </c>
      <c r="K430" s="14" t="s">
        <v>59</v>
      </c>
      <c r="L430" s="14" t="n">
        <v>2016</v>
      </c>
      <c r="M430" s="14" t="n">
        <v>8.38366179879172</v>
      </c>
      <c r="N430" s="14" t="n">
        <v>5.29836736529808</v>
      </c>
      <c r="P430" s="14" t="n">
        <f aca="false">D430</f>
        <v>200</v>
      </c>
      <c r="Q430" s="14" t="n">
        <f aca="false">G430</f>
        <v>129</v>
      </c>
      <c r="R430" s="14" t="n">
        <f aca="false">J430</f>
        <v>15.5</v>
      </c>
      <c r="S430" s="14" t="n">
        <f aca="false">IF($L430=2012,1,0)</f>
        <v>0</v>
      </c>
      <c r="T430" s="14" t="n">
        <f aca="false">IF($L430=2013,1,0)</f>
        <v>0</v>
      </c>
      <c r="U430" s="14" t="n">
        <f aca="false">IF($L430=2014,1,0)</f>
        <v>0</v>
      </c>
      <c r="V430" s="14" t="n">
        <f aca="false">IF($L430=2015,1,0)</f>
        <v>0</v>
      </c>
      <c r="W430" s="14" t="n">
        <f aca="false">IF($L430=2016,1,0)</f>
        <v>1</v>
      </c>
      <c r="X430" s="14" t="n">
        <f aca="false">IF($L430=2017,1,0)</f>
        <v>0</v>
      </c>
      <c r="Y430" s="14" t="n">
        <f aca="false">IF($H430="Beginner Level",1,0)</f>
        <v>1</v>
      </c>
      <c r="Z430" s="14" t="n">
        <f aca="false">IF($H430="Expert Level",1,0)</f>
        <v>0</v>
      </c>
      <c r="AA430" s="14" t="n">
        <f aca="false">IF($H430="Intermediate Level",1,0)</f>
        <v>0</v>
      </c>
      <c r="AC430" s="14" t="n">
        <f aca="false">N430</f>
        <v>5.29836736529808</v>
      </c>
      <c r="AD430" s="14" t="n">
        <f aca="false">G430</f>
        <v>129</v>
      </c>
      <c r="AE430" s="14" t="n">
        <f aca="false">J430</f>
        <v>15.5</v>
      </c>
      <c r="AF430" s="14" t="n">
        <f aca="false">IF($L430=2012,1,0)</f>
        <v>0</v>
      </c>
      <c r="AG430" s="14" t="n">
        <f aca="false">IF($L430=2013,1,0)</f>
        <v>0</v>
      </c>
      <c r="AH430" s="14" t="n">
        <f aca="false">IF($L430=2014,1,0)</f>
        <v>0</v>
      </c>
      <c r="AI430" s="14" t="n">
        <f aca="false">IF($L430=2015,1,0)</f>
        <v>0</v>
      </c>
      <c r="AJ430" s="14" t="n">
        <f aca="false">IF($L430=2016,1,0)</f>
        <v>1</v>
      </c>
      <c r="AK430" s="14" t="n">
        <f aca="false">IF($L430=2017,1,0)</f>
        <v>0</v>
      </c>
      <c r="AL430" s="14" t="n">
        <f aca="false">IF($H430="Beginner Level",1,0)</f>
        <v>1</v>
      </c>
      <c r="AM430" s="14" t="n">
        <f aca="false">IF($H430="Expert Level",1,0)</f>
        <v>0</v>
      </c>
      <c r="AN430" s="14" t="n">
        <f aca="false">IF($H430="Intermediate Level",1,0)</f>
        <v>0</v>
      </c>
    </row>
    <row r="431" customFormat="false" ht="68.65" hidden="false" customHeight="false" outlineLevel="0" collapsed="false">
      <c r="A431" s="14" t="n">
        <v>320798</v>
      </c>
      <c r="B431" s="14" t="s">
        <v>905</v>
      </c>
      <c r="C431" s="14" t="s">
        <v>906</v>
      </c>
      <c r="D431" s="14" t="n">
        <v>20</v>
      </c>
      <c r="E431" s="14" t="n">
        <v>4333</v>
      </c>
      <c r="F431" s="14" t="n">
        <v>16</v>
      </c>
      <c r="G431" s="14" t="n">
        <v>17</v>
      </c>
      <c r="H431" s="14" t="s">
        <v>62</v>
      </c>
      <c r="I431" s="14" t="n">
        <v>0.89</v>
      </c>
      <c r="J431" s="14" t="n">
        <v>1</v>
      </c>
      <c r="K431" s="14" t="s">
        <v>59</v>
      </c>
      <c r="L431" s="14" t="n">
        <v>2014</v>
      </c>
      <c r="M431" s="14" t="n">
        <v>8.37401542173991</v>
      </c>
      <c r="N431" s="14" t="n">
        <v>2.99623214859564</v>
      </c>
      <c r="P431" s="14" t="n">
        <f aca="false">D431</f>
        <v>20</v>
      </c>
      <c r="Q431" s="14" t="n">
        <f aca="false">G431</f>
        <v>17</v>
      </c>
      <c r="R431" s="14" t="n">
        <f aca="false">J431</f>
        <v>1</v>
      </c>
      <c r="S431" s="14" t="n">
        <f aca="false">IF($L431=2012,1,0)</f>
        <v>0</v>
      </c>
      <c r="T431" s="14" t="n">
        <f aca="false">IF($L431=2013,1,0)</f>
        <v>0</v>
      </c>
      <c r="U431" s="14" t="n">
        <f aca="false">IF($L431=2014,1,0)</f>
        <v>1</v>
      </c>
      <c r="V431" s="14" t="n">
        <f aca="false">IF($L431=2015,1,0)</f>
        <v>0</v>
      </c>
      <c r="W431" s="14" t="n">
        <f aca="false">IF($L431=2016,1,0)</f>
        <v>0</v>
      </c>
      <c r="X431" s="14" t="n">
        <f aca="false">IF($L431=2017,1,0)</f>
        <v>0</v>
      </c>
      <c r="Y431" s="14" t="n">
        <f aca="false">IF($H431="Beginner Level",1,0)</f>
        <v>0</v>
      </c>
      <c r="Z431" s="14" t="n">
        <f aca="false">IF($H431="Expert Level",1,0)</f>
        <v>0</v>
      </c>
      <c r="AA431" s="14" t="n">
        <f aca="false">IF($H431="Intermediate Level",1,0)</f>
        <v>0</v>
      </c>
      <c r="AC431" s="14" t="n">
        <f aca="false">N431</f>
        <v>2.99623214859564</v>
      </c>
      <c r="AD431" s="14" t="n">
        <f aca="false">G431</f>
        <v>17</v>
      </c>
      <c r="AE431" s="14" t="n">
        <f aca="false">J431</f>
        <v>1</v>
      </c>
      <c r="AF431" s="14" t="n">
        <f aca="false">IF($L431=2012,1,0)</f>
        <v>0</v>
      </c>
      <c r="AG431" s="14" t="n">
        <f aca="false">IF($L431=2013,1,0)</f>
        <v>0</v>
      </c>
      <c r="AH431" s="14" t="n">
        <f aca="false">IF($L431=2014,1,0)</f>
        <v>1</v>
      </c>
      <c r="AI431" s="14" t="n">
        <f aca="false">IF($L431=2015,1,0)</f>
        <v>0</v>
      </c>
      <c r="AJ431" s="14" t="n">
        <f aca="false">IF($L431=2016,1,0)</f>
        <v>0</v>
      </c>
      <c r="AK431" s="14" t="n">
        <f aca="false">IF($L431=2017,1,0)</f>
        <v>0</v>
      </c>
      <c r="AL431" s="14" t="n">
        <f aca="false">IF($H431="Beginner Level",1,0)</f>
        <v>0</v>
      </c>
      <c r="AM431" s="14" t="n">
        <f aca="false">IF($H431="Expert Level",1,0)</f>
        <v>0</v>
      </c>
      <c r="AN431" s="14" t="n">
        <f aca="false">IF($H431="Intermediate Level",1,0)</f>
        <v>0</v>
      </c>
    </row>
    <row r="432" customFormat="false" ht="68.65" hidden="false" customHeight="false" outlineLevel="0" collapsed="false">
      <c r="A432" s="14" t="n">
        <v>737468</v>
      </c>
      <c r="B432" s="14" t="s">
        <v>907</v>
      </c>
      <c r="C432" s="14" t="s">
        <v>908</v>
      </c>
      <c r="D432" s="14" t="n">
        <v>0</v>
      </c>
      <c r="E432" s="14" t="n">
        <v>4306</v>
      </c>
      <c r="F432" s="14" t="n">
        <v>163</v>
      </c>
      <c r="G432" s="14" t="n">
        <v>12</v>
      </c>
      <c r="H432" s="14" t="s">
        <v>52</v>
      </c>
      <c r="I432" s="14" t="n">
        <v>0.89</v>
      </c>
      <c r="J432" s="14" t="n">
        <v>0.51666667</v>
      </c>
      <c r="K432" s="14" t="s">
        <v>53</v>
      </c>
      <c r="L432" s="14" t="n">
        <v>2016</v>
      </c>
      <c r="M432" s="14" t="n">
        <v>8.36776467792431</v>
      </c>
      <c r="N432" s="14" t="n">
        <v>-4.60517018598809</v>
      </c>
      <c r="P432" s="14" t="n">
        <f aca="false">D432</f>
        <v>0</v>
      </c>
      <c r="Q432" s="14" t="n">
        <f aca="false">G432</f>
        <v>12</v>
      </c>
      <c r="R432" s="14" t="n">
        <f aca="false">J432</f>
        <v>0.51666667</v>
      </c>
      <c r="S432" s="14" t="n">
        <f aca="false">IF($L432=2012,1,0)</f>
        <v>0</v>
      </c>
      <c r="T432" s="14" t="n">
        <f aca="false">IF($L432=2013,1,0)</f>
        <v>0</v>
      </c>
      <c r="U432" s="14" t="n">
        <f aca="false">IF($L432=2014,1,0)</f>
        <v>0</v>
      </c>
      <c r="V432" s="14" t="n">
        <f aca="false">IF($L432=2015,1,0)</f>
        <v>0</v>
      </c>
      <c r="W432" s="14" t="n">
        <f aca="false">IF($L432=2016,1,0)</f>
        <v>1</v>
      </c>
      <c r="X432" s="14" t="n">
        <f aca="false">IF($L432=2017,1,0)</f>
        <v>0</v>
      </c>
      <c r="Y432" s="14" t="n">
        <f aca="false">IF($H432="Beginner Level",1,0)</f>
        <v>1</v>
      </c>
      <c r="Z432" s="14" t="n">
        <f aca="false">IF($H432="Expert Level",1,0)</f>
        <v>0</v>
      </c>
      <c r="AA432" s="14" t="n">
        <f aca="false">IF($H432="Intermediate Level",1,0)</f>
        <v>0</v>
      </c>
      <c r="AC432" s="14" t="n">
        <f aca="false">N432</f>
        <v>-4.60517018598809</v>
      </c>
      <c r="AD432" s="14" t="n">
        <f aca="false">G432</f>
        <v>12</v>
      </c>
      <c r="AE432" s="14" t="n">
        <f aca="false">J432</f>
        <v>0.51666667</v>
      </c>
      <c r="AF432" s="14" t="n">
        <f aca="false">IF($L432=2012,1,0)</f>
        <v>0</v>
      </c>
      <c r="AG432" s="14" t="n">
        <f aca="false">IF($L432=2013,1,0)</f>
        <v>0</v>
      </c>
      <c r="AH432" s="14" t="n">
        <f aca="false">IF($L432=2014,1,0)</f>
        <v>0</v>
      </c>
      <c r="AI432" s="14" t="n">
        <f aca="false">IF($L432=2015,1,0)</f>
        <v>0</v>
      </c>
      <c r="AJ432" s="14" t="n">
        <f aca="false">IF($L432=2016,1,0)</f>
        <v>1</v>
      </c>
      <c r="AK432" s="14" t="n">
        <f aca="false">IF($L432=2017,1,0)</f>
        <v>0</v>
      </c>
      <c r="AL432" s="14" t="n">
        <f aca="false">IF($H432="Beginner Level",1,0)</f>
        <v>1</v>
      </c>
      <c r="AM432" s="14" t="n">
        <f aca="false">IF($H432="Expert Level",1,0)</f>
        <v>0</v>
      </c>
      <c r="AN432" s="14" t="n">
        <f aca="false">IF($H432="Intermediate Level",1,0)</f>
        <v>0</v>
      </c>
    </row>
    <row r="433" customFormat="false" ht="46.25" hidden="false" customHeight="false" outlineLevel="0" collapsed="false">
      <c r="A433" s="14" t="n">
        <v>593128</v>
      </c>
      <c r="B433" s="14" t="s">
        <v>909</v>
      </c>
      <c r="C433" s="14" t="s">
        <v>910</v>
      </c>
      <c r="D433" s="14" t="n">
        <v>0</v>
      </c>
      <c r="E433" s="14" t="n">
        <v>4290</v>
      </c>
      <c r="F433" s="14" t="n">
        <v>150</v>
      </c>
      <c r="G433" s="14" t="n">
        <v>15</v>
      </c>
      <c r="H433" s="14" t="s">
        <v>62</v>
      </c>
      <c r="I433" s="14" t="n">
        <v>0.89</v>
      </c>
      <c r="J433" s="14" t="n">
        <v>0.61666667</v>
      </c>
      <c r="K433" s="14" t="s">
        <v>53</v>
      </c>
      <c r="L433" s="14" t="n">
        <v>2015</v>
      </c>
      <c r="M433" s="14" t="n">
        <v>8.36404201192206</v>
      </c>
      <c r="N433" s="14" t="n">
        <v>-4.60517018598809</v>
      </c>
      <c r="P433" s="14" t="n">
        <f aca="false">D433</f>
        <v>0</v>
      </c>
      <c r="Q433" s="14" t="n">
        <f aca="false">G433</f>
        <v>15</v>
      </c>
      <c r="R433" s="14" t="n">
        <f aca="false">J433</f>
        <v>0.61666667</v>
      </c>
      <c r="S433" s="14" t="n">
        <f aca="false">IF($L433=2012,1,0)</f>
        <v>0</v>
      </c>
      <c r="T433" s="14" t="n">
        <f aca="false">IF($L433=2013,1,0)</f>
        <v>0</v>
      </c>
      <c r="U433" s="14" t="n">
        <f aca="false">IF($L433=2014,1,0)</f>
        <v>0</v>
      </c>
      <c r="V433" s="14" t="n">
        <f aca="false">IF($L433=2015,1,0)</f>
        <v>1</v>
      </c>
      <c r="W433" s="14" t="n">
        <f aca="false">IF($L433=2016,1,0)</f>
        <v>0</v>
      </c>
      <c r="X433" s="14" t="n">
        <f aca="false">IF($L433=2017,1,0)</f>
        <v>0</v>
      </c>
      <c r="Y433" s="14" t="n">
        <f aca="false">IF($H433="Beginner Level",1,0)</f>
        <v>0</v>
      </c>
      <c r="Z433" s="14" t="n">
        <f aca="false">IF($H433="Expert Level",1,0)</f>
        <v>0</v>
      </c>
      <c r="AA433" s="14" t="n">
        <f aca="false">IF($H433="Intermediate Level",1,0)</f>
        <v>0</v>
      </c>
      <c r="AC433" s="14" t="n">
        <f aca="false">N433</f>
        <v>-4.60517018598809</v>
      </c>
      <c r="AD433" s="14" t="n">
        <f aca="false">G433</f>
        <v>15</v>
      </c>
      <c r="AE433" s="14" t="n">
        <f aca="false">J433</f>
        <v>0.61666667</v>
      </c>
      <c r="AF433" s="14" t="n">
        <f aca="false">IF($L433=2012,1,0)</f>
        <v>0</v>
      </c>
      <c r="AG433" s="14" t="n">
        <f aca="false">IF($L433=2013,1,0)</f>
        <v>0</v>
      </c>
      <c r="AH433" s="14" t="n">
        <f aca="false">IF($L433=2014,1,0)</f>
        <v>0</v>
      </c>
      <c r="AI433" s="14" t="n">
        <f aca="false">IF($L433=2015,1,0)</f>
        <v>1</v>
      </c>
      <c r="AJ433" s="14" t="n">
        <f aca="false">IF($L433=2016,1,0)</f>
        <v>0</v>
      </c>
      <c r="AK433" s="14" t="n">
        <f aca="false">IF($L433=2017,1,0)</f>
        <v>0</v>
      </c>
      <c r="AL433" s="14" t="n">
        <f aca="false">IF($H433="Beginner Level",1,0)</f>
        <v>0</v>
      </c>
      <c r="AM433" s="14" t="n">
        <f aca="false">IF($H433="Expert Level",1,0)</f>
        <v>0</v>
      </c>
      <c r="AN433" s="14" t="n">
        <f aca="false">IF($H433="Intermediate Level",1,0)</f>
        <v>0</v>
      </c>
    </row>
    <row r="434" customFormat="false" ht="79.85" hidden="false" customHeight="false" outlineLevel="0" collapsed="false">
      <c r="A434" s="14" t="n">
        <v>810550</v>
      </c>
      <c r="B434" s="14" t="s">
        <v>911</v>
      </c>
      <c r="C434" s="14" t="s">
        <v>912</v>
      </c>
      <c r="D434" s="14" t="n">
        <v>20</v>
      </c>
      <c r="E434" s="14" t="n">
        <v>4259</v>
      </c>
      <c r="F434" s="14" t="n">
        <v>0</v>
      </c>
      <c r="G434" s="14" t="n">
        <v>11</v>
      </c>
      <c r="H434" s="14" t="s">
        <v>62</v>
      </c>
      <c r="I434" s="14" t="n">
        <v>0.89</v>
      </c>
      <c r="J434" s="14" t="n">
        <v>1</v>
      </c>
      <c r="K434" s="14" t="s">
        <v>59</v>
      </c>
      <c r="L434" s="14" t="n">
        <v>2016</v>
      </c>
      <c r="M434" s="14" t="n">
        <v>8.35678966992321</v>
      </c>
      <c r="N434" s="14" t="n">
        <v>2.99623214859564</v>
      </c>
      <c r="P434" s="14" t="n">
        <f aca="false">D434</f>
        <v>20</v>
      </c>
      <c r="Q434" s="14" t="n">
        <f aca="false">G434</f>
        <v>11</v>
      </c>
      <c r="R434" s="14" t="n">
        <f aca="false">J434</f>
        <v>1</v>
      </c>
      <c r="S434" s="14" t="n">
        <f aca="false">IF($L434=2012,1,0)</f>
        <v>0</v>
      </c>
      <c r="T434" s="14" t="n">
        <f aca="false">IF($L434=2013,1,0)</f>
        <v>0</v>
      </c>
      <c r="U434" s="14" t="n">
        <f aca="false">IF($L434=2014,1,0)</f>
        <v>0</v>
      </c>
      <c r="V434" s="14" t="n">
        <f aca="false">IF($L434=2015,1,0)</f>
        <v>0</v>
      </c>
      <c r="W434" s="14" t="n">
        <f aca="false">IF($L434=2016,1,0)</f>
        <v>1</v>
      </c>
      <c r="X434" s="14" t="n">
        <f aca="false">IF($L434=2017,1,0)</f>
        <v>0</v>
      </c>
      <c r="Y434" s="14" t="n">
        <f aca="false">IF($H434="Beginner Level",1,0)</f>
        <v>0</v>
      </c>
      <c r="Z434" s="14" t="n">
        <f aca="false">IF($H434="Expert Level",1,0)</f>
        <v>0</v>
      </c>
      <c r="AA434" s="14" t="n">
        <f aca="false">IF($H434="Intermediate Level",1,0)</f>
        <v>0</v>
      </c>
      <c r="AC434" s="14" t="n">
        <f aca="false">N434</f>
        <v>2.99623214859564</v>
      </c>
      <c r="AD434" s="14" t="n">
        <f aca="false">G434</f>
        <v>11</v>
      </c>
      <c r="AE434" s="14" t="n">
        <f aca="false">J434</f>
        <v>1</v>
      </c>
      <c r="AF434" s="14" t="n">
        <f aca="false">IF($L434=2012,1,0)</f>
        <v>0</v>
      </c>
      <c r="AG434" s="14" t="n">
        <f aca="false">IF($L434=2013,1,0)</f>
        <v>0</v>
      </c>
      <c r="AH434" s="14" t="n">
        <f aca="false">IF($L434=2014,1,0)</f>
        <v>0</v>
      </c>
      <c r="AI434" s="14" t="n">
        <f aca="false">IF($L434=2015,1,0)</f>
        <v>0</v>
      </c>
      <c r="AJ434" s="14" t="n">
        <f aca="false">IF($L434=2016,1,0)</f>
        <v>1</v>
      </c>
      <c r="AK434" s="14" t="n">
        <f aca="false">IF($L434=2017,1,0)</f>
        <v>0</v>
      </c>
      <c r="AL434" s="14" t="n">
        <f aca="false">IF($H434="Beginner Level",1,0)</f>
        <v>0</v>
      </c>
      <c r="AM434" s="14" t="n">
        <f aca="false">IF($H434="Expert Level",1,0)</f>
        <v>0</v>
      </c>
      <c r="AN434" s="14" t="n">
        <f aca="false">IF($H434="Intermediate Level",1,0)</f>
        <v>0</v>
      </c>
    </row>
    <row r="435" customFormat="false" ht="68.65" hidden="false" customHeight="false" outlineLevel="0" collapsed="false">
      <c r="A435" s="14" t="n">
        <v>70640</v>
      </c>
      <c r="B435" s="14" t="s">
        <v>913</v>
      </c>
      <c r="C435" s="14" t="s">
        <v>914</v>
      </c>
      <c r="D435" s="14" t="n">
        <v>195</v>
      </c>
      <c r="E435" s="14" t="n">
        <v>4198</v>
      </c>
      <c r="F435" s="14" t="n">
        <v>145</v>
      </c>
      <c r="G435" s="14" t="n">
        <v>161</v>
      </c>
      <c r="H435" s="14" t="s">
        <v>62</v>
      </c>
      <c r="I435" s="14" t="n">
        <v>0.89</v>
      </c>
      <c r="J435" s="14" t="n">
        <v>26</v>
      </c>
      <c r="K435" s="14" t="s">
        <v>59</v>
      </c>
      <c r="L435" s="14" t="n">
        <v>2013</v>
      </c>
      <c r="M435" s="14" t="n">
        <v>8.34236350038058</v>
      </c>
      <c r="N435" s="14" t="n">
        <v>5.27305083930015</v>
      </c>
      <c r="P435" s="14" t="n">
        <f aca="false">D435</f>
        <v>195</v>
      </c>
      <c r="Q435" s="14" t="n">
        <f aca="false">G435</f>
        <v>161</v>
      </c>
      <c r="R435" s="14" t="n">
        <f aca="false">J435</f>
        <v>26</v>
      </c>
      <c r="S435" s="14" t="n">
        <f aca="false">IF($L435=2012,1,0)</f>
        <v>0</v>
      </c>
      <c r="T435" s="14" t="n">
        <f aca="false">IF($L435=2013,1,0)</f>
        <v>1</v>
      </c>
      <c r="U435" s="14" t="n">
        <f aca="false">IF($L435=2014,1,0)</f>
        <v>0</v>
      </c>
      <c r="V435" s="14" t="n">
        <f aca="false">IF($L435=2015,1,0)</f>
        <v>0</v>
      </c>
      <c r="W435" s="14" t="n">
        <f aca="false">IF($L435=2016,1,0)</f>
        <v>0</v>
      </c>
      <c r="X435" s="14" t="n">
        <f aca="false">IF($L435=2017,1,0)</f>
        <v>0</v>
      </c>
      <c r="Y435" s="14" t="n">
        <f aca="false">IF($H435="Beginner Level",1,0)</f>
        <v>0</v>
      </c>
      <c r="Z435" s="14" t="n">
        <f aca="false">IF($H435="Expert Level",1,0)</f>
        <v>0</v>
      </c>
      <c r="AA435" s="14" t="n">
        <f aca="false">IF($H435="Intermediate Level",1,0)</f>
        <v>0</v>
      </c>
      <c r="AC435" s="14" t="n">
        <f aca="false">N435</f>
        <v>5.27305083930015</v>
      </c>
      <c r="AD435" s="14" t="n">
        <f aca="false">G435</f>
        <v>161</v>
      </c>
      <c r="AE435" s="14" t="n">
        <f aca="false">J435</f>
        <v>26</v>
      </c>
      <c r="AF435" s="14" t="n">
        <f aca="false">IF($L435=2012,1,0)</f>
        <v>0</v>
      </c>
      <c r="AG435" s="14" t="n">
        <f aca="false">IF($L435=2013,1,0)</f>
        <v>1</v>
      </c>
      <c r="AH435" s="14" t="n">
        <f aca="false">IF($L435=2014,1,0)</f>
        <v>0</v>
      </c>
      <c r="AI435" s="14" t="n">
        <f aca="false">IF($L435=2015,1,0)</f>
        <v>0</v>
      </c>
      <c r="AJ435" s="14" t="n">
        <f aca="false">IF($L435=2016,1,0)</f>
        <v>0</v>
      </c>
      <c r="AK435" s="14" t="n">
        <f aca="false">IF($L435=2017,1,0)</f>
        <v>0</v>
      </c>
      <c r="AL435" s="14" t="n">
        <f aca="false">IF($H435="Beginner Level",1,0)</f>
        <v>0</v>
      </c>
      <c r="AM435" s="14" t="n">
        <f aca="false">IF($H435="Expert Level",1,0)</f>
        <v>0</v>
      </c>
      <c r="AN435" s="14" t="n">
        <f aca="false">IF($H435="Intermediate Level",1,0)</f>
        <v>0</v>
      </c>
    </row>
    <row r="436" customFormat="false" ht="57.45" hidden="false" customHeight="false" outlineLevel="0" collapsed="false">
      <c r="A436" s="14" t="n">
        <v>553582</v>
      </c>
      <c r="B436" s="14" t="s">
        <v>915</v>
      </c>
      <c r="C436" s="14" t="s">
        <v>916</v>
      </c>
      <c r="D436" s="14" t="n">
        <v>20</v>
      </c>
      <c r="E436" s="14" t="n">
        <v>4193</v>
      </c>
      <c r="F436" s="14" t="n">
        <v>92</v>
      </c>
      <c r="G436" s="14" t="n">
        <v>44</v>
      </c>
      <c r="H436" s="14" t="s">
        <v>52</v>
      </c>
      <c r="I436" s="14" t="n">
        <v>0.89</v>
      </c>
      <c r="J436" s="14" t="n">
        <v>2.5</v>
      </c>
      <c r="K436" s="14" t="s">
        <v>59</v>
      </c>
      <c r="L436" s="14" t="n">
        <v>2015</v>
      </c>
      <c r="M436" s="14" t="n">
        <v>8.34117174717076</v>
      </c>
      <c r="N436" s="14" t="n">
        <v>2.99623214859564</v>
      </c>
      <c r="P436" s="14" t="n">
        <f aca="false">D436</f>
        <v>20</v>
      </c>
      <c r="Q436" s="14" t="n">
        <f aca="false">G436</f>
        <v>44</v>
      </c>
      <c r="R436" s="14" t="n">
        <f aca="false">J436</f>
        <v>2.5</v>
      </c>
      <c r="S436" s="14" t="n">
        <f aca="false">IF($L436=2012,1,0)</f>
        <v>0</v>
      </c>
      <c r="T436" s="14" t="n">
        <f aca="false">IF($L436=2013,1,0)</f>
        <v>0</v>
      </c>
      <c r="U436" s="14" t="n">
        <f aca="false">IF($L436=2014,1,0)</f>
        <v>0</v>
      </c>
      <c r="V436" s="14" t="n">
        <f aca="false">IF($L436=2015,1,0)</f>
        <v>1</v>
      </c>
      <c r="W436" s="14" t="n">
        <f aca="false">IF($L436=2016,1,0)</f>
        <v>0</v>
      </c>
      <c r="X436" s="14" t="n">
        <f aca="false">IF($L436=2017,1,0)</f>
        <v>0</v>
      </c>
      <c r="Y436" s="14" t="n">
        <f aca="false">IF($H436="Beginner Level",1,0)</f>
        <v>1</v>
      </c>
      <c r="Z436" s="14" t="n">
        <f aca="false">IF($H436="Expert Level",1,0)</f>
        <v>0</v>
      </c>
      <c r="AA436" s="14" t="n">
        <f aca="false">IF($H436="Intermediate Level",1,0)</f>
        <v>0</v>
      </c>
      <c r="AC436" s="14" t="n">
        <f aca="false">N436</f>
        <v>2.99623214859564</v>
      </c>
      <c r="AD436" s="14" t="n">
        <f aca="false">G436</f>
        <v>44</v>
      </c>
      <c r="AE436" s="14" t="n">
        <f aca="false">J436</f>
        <v>2.5</v>
      </c>
      <c r="AF436" s="14" t="n">
        <f aca="false">IF($L436=2012,1,0)</f>
        <v>0</v>
      </c>
      <c r="AG436" s="14" t="n">
        <f aca="false">IF($L436=2013,1,0)</f>
        <v>0</v>
      </c>
      <c r="AH436" s="14" t="n">
        <f aca="false">IF($L436=2014,1,0)</f>
        <v>0</v>
      </c>
      <c r="AI436" s="14" t="n">
        <f aca="false">IF($L436=2015,1,0)</f>
        <v>1</v>
      </c>
      <c r="AJ436" s="14" t="n">
        <f aca="false">IF($L436=2016,1,0)</f>
        <v>0</v>
      </c>
      <c r="AK436" s="14" t="n">
        <f aca="false">IF($L436=2017,1,0)</f>
        <v>0</v>
      </c>
      <c r="AL436" s="14" t="n">
        <f aca="false">IF($H436="Beginner Level",1,0)</f>
        <v>1</v>
      </c>
      <c r="AM436" s="14" t="n">
        <f aca="false">IF($H436="Expert Level",1,0)</f>
        <v>0</v>
      </c>
      <c r="AN436" s="14" t="n">
        <f aca="false">IF($H436="Intermediate Level",1,0)</f>
        <v>0</v>
      </c>
    </row>
    <row r="437" customFormat="false" ht="57.45" hidden="false" customHeight="false" outlineLevel="0" collapsed="false">
      <c r="A437" s="14" t="n">
        <v>304490</v>
      </c>
      <c r="B437" s="14" t="s">
        <v>917</v>
      </c>
      <c r="C437" s="14" t="s">
        <v>918</v>
      </c>
      <c r="D437" s="14" t="n">
        <v>35</v>
      </c>
      <c r="E437" s="14" t="n">
        <v>4183</v>
      </c>
      <c r="F437" s="14" t="n">
        <v>231</v>
      </c>
      <c r="G437" s="14" t="n">
        <v>86</v>
      </c>
      <c r="H437" s="14" t="s">
        <v>52</v>
      </c>
      <c r="I437" s="14" t="n">
        <v>0.89</v>
      </c>
      <c r="J437" s="14" t="n">
        <v>14</v>
      </c>
      <c r="K437" s="14" t="s">
        <v>59</v>
      </c>
      <c r="L437" s="14" t="n">
        <v>2014</v>
      </c>
      <c r="M437" s="14" t="n">
        <v>8.3387839714422</v>
      </c>
      <c r="N437" s="14" t="n">
        <v>3.55563373496657</v>
      </c>
      <c r="P437" s="14" t="n">
        <f aca="false">D437</f>
        <v>35</v>
      </c>
      <c r="Q437" s="14" t="n">
        <f aca="false">G437</f>
        <v>86</v>
      </c>
      <c r="R437" s="14" t="n">
        <f aca="false">J437</f>
        <v>14</v>
      </c>
      <c r="S437" s="14" t="n">
        <f aca="false">IF($L437=2012,1,0)</f>
        <v>0</v>
      </c>
      <c r="T437" s="14" t="n">
        <f aca="false">IF($L437=2013,1,0)</f>
        <v>0</v>
      </c>
      <c r="U437" s="14" t="n">
        <f aca="false">IF($L437=2014,1,0)</f>
        <v>1</v>
      </c>
      <c r="V437" s="14" t="n">
        <f aca="false">IF($L437=2015,1,0)</f>
        <v>0</v>
      </c>
      <c r="W437" s="14" t="n">
        <f aca="false">IF($L437=2016,1,0)</f>
        <v>0</v>
      </c>
      <c r="X437" s="14" t="n">
        <f aca="false">IF($L437=2017,1,0)</f>
        <v>0</v>
      </c>
      <c r="Y437" s="14" t="n">
        <f aca="false">IF($H437="Beginner Level",1,0)</f>
        <v>1</v>
      </c>
      <c r="Z437" s="14" t="n">
        <f aca="false">IF($H437="Expert Level",1,0)</f>
        <v>0</v>
      </c>
      <c r="AA437" s="14" t="n">
        <f aca="false">IF($H437="Intermediate Level",1,0)</f>
        <v>0</v>
      </c>
      <c r="AC437" s="14" t="n">
        <f aca="false">N437</f>
        <v>3.55563373496657</v>
      </c>
      <c r="AD437" s="14" t="n">
        <f aca="false">G437</f>
        <v>86</v>
      </c>
      <c r="AE437" s="14" t="n">
        <f aca="false">J437</f>
        <v>14</v>
      </c>
      <c r="AF437" s="14" t="n">
        <f aca="false">IF($L437=2012,1,0)</f>
        <v>0</v>
      </c>
      <c r="AG437" s="14" t="n">
        <f aca="false">IF($L437=2013,1,0)</f>
        <v>0</v>
      </c>
      <c r="AH437" s="14" t="n">
        <f aca="false">IF($L437=2014,1,0)</f>
        <v>1</v>
      </c>
      <c r="AI437" s="14" t="n">
        <f aca="false">IF($L437=2015,1,0)</f>
        <v>0</v>
      </c>
      <c r="AJ437" s="14" t="n">
        <f aca="false">IF($L437=2016,1,0)</f>
        <v>0</v>
      </c>
      <c r="AK437" s="14" t="n">
        <f aca="false">IF($L437=2017,1,0)</f>
        <v>0</v>
      </c>
      <c r="AL437" s="14" t="n">
        <f aca="false">IF($H437="Beginner Level",1,0)</f>
        <v>1</v>
      </c>
      <c r="AM437" s="14" t="n">
        <f aca="false">IF($H437="Expert Level",1,0)</f>
        <v>0</v>
      </c>
      <c r="AN437" s="14" t="n">
        <f aca="false">IF($H437="Intermediate Level",1,0)</f>
        <v>0</v>
      </c>
    </row>
    <row r="438" customFormat="false" ht="68.65" hidden="false" customHeight="false" outlineLevel="0" collapsed="false">
      <c r="A438" s="14" t="n">
        <v>446608</v>
      </c>
      <c r="B438" s="14" t="s">
        <v>919</v>
      </c>
      <c r="C438" s="14" t="s">
        <v>920</v>
      </c>
      <c r="D438" s="14" t="n">
        <v>70</v>
      </c>
      <c r="E438" s="14" t="n">
        <v>4183</v>
      </c>
      <c r="F438" s="14" t="n">
        <v>292</v>
      </c>
      <c r="G438" s="14" t="n">
        <v>38</v>
      </c>
      <c r="H438" s="14" t="s">
        <v>62</v>
      </c>
      <c r="I438" s="14" t="n">
        <v>0.1</v>
      </c>
      <c r="J438" s="14" t="n">
        <v>3.5</v>
      </c>
      <c r="K438" s="14" t="s">
        <v>59</v>
      </c>
      <c r="L438" s="14" t="n">
        <v>2015</v>
      </c>
      <c r="M438" s="14" t="n">
        <v>8.3387839714422</v>
      </c>
      <c r="N438" s="14" t="n">
        <v>4.24863808898911</v>
      </c>
      <c r="P438" s="14" t="n">
        <f aca="false">D438</f>
        <v>70</v>
      </c>
      <c r="Q438" s="14" t="n">
        <f aca="false">G438</f>
        <v>38</v>
      </c>
      <c r="R438" s="14" t="n">
        <f aca="false">J438</f>
        <v>3.5</v>
      </c>
      <c r="S438" s="14" t="n">
        <f aca="false">IF($L438=2012,1,0)</f>
        <v>0</v>
      </c>
      <c r="T438" s="14" t="n">
        <f aca="false">IF($L438=2013,1,0)</f>
        <v>0</v>
      </c>
      <c r="U438" s="14" t="n">
        <f aca="false">IF($L438=2014,1,0)</f>
        <v>0</v>
      </c>
      <c r="V438" s="14" t="n">
        <f aca="false">IF($L438=2015,1,0)</f>
        <v>1</v>
      </c>
      <c r="W438" s="14" t="n">
        <f aca="false">IF($L438=2016,1,0)</f>
        <v>0</v>
      </c>
      <c r="X438" s="14" t="n">
        <f aca="false">IF($L438=2017,1,0)</f>
        <v>0</v>
      </c>
      <c r="Y438" s="14" t="n">
        <f aca="false">IF($H438="Beginner Level",1,0)</f>
        <v>0</v>
      </c>
      <c r="Z438" s="14" t="n">
        <f aca="false">IF($H438="Expert Level",1,0)</f>
        <v>0</v>
      </c>
      <c r="AA438" s="14" t="n">
        <f aca="false">IF($H438="Intermediate Level",1,0)</f>
        <v>0</v>
      </c>
      <c r="AC438" s="14" t="n">
        <f aca="false">N438</f>
        <v>4.24863808898911</v>
      </c>
      <c r="AD438" s="14" t="n">
        <f aca="false">G438</f>
        <v>38</v>
      </c>
      <c r="AE438" s="14" t="n">
        <f aca="false">J438</f>
        <v>3.5</v>
      </c>
      <c r="AF438" s="14" t="n">
        <f aca="false">IF($L438=2012,1,0)</f>
        <v>0</v>
      </c>
      <c r="AG438" s="14" t="n">
        <f aca="false">IF($L438=2013,1,0)</f>
        <v>0</v>
      </c>
      <c r="AH438" s="14" t="n">
        <f aca="false">IF($L438=2014,1,0)</f>
        <v>0</v>
      </c>
      <c r="AI438" s="14" t="n">
        <f aca="false">IF($L438=2015,1,0)</f>
        <v>1</v>
      </c>
      <c r="AJ438" s="14" t="n">
        <f aca="false">IF($L438=2016,1,0)</f>
        <v>0</v>
      </c>
      <c r="AK438" s="14" t="n">
        <f aca="false">IF($L438=2017,1,0)</f>
        <v>0</v>
      </c>
      <c r="AL438" s="14" t="n">
        <f aca="false">IF($H438="Beginner Level",1,0)</f>
        <v>0</v>
      </c>
      <c r="AM438" s="14" t="n">
        <f aca="false">IF($H438="Expert Level",1,0)</f>
        <v>0</v>
      </c>
      <c r="AN438" s="14" t="n">
        <f aca="false">IF($H438="Intermediate Level",1,0)</f>
        <v>0</v>
      </c>
    </row>
    <row r="439" customFormat="false" ht="68.65" hidden="false" customHeight="false" outlineLevel="0" collapsed="false">
      <c r="A439" s="14" t="n">
        <v>769390</v>
      </c>
      <c r="B439" s="14" t="s">
        <v>921</v>
      </c>
      <c r="C439" s="14" t="s">
        <v>922</v>
      </c>
      <c r="D439" s="14" t="n">
        <v>30</v>
      </c>
      <c r="E439" s="14" t="n">
        <v>4157</v>
      </c>
      <c r="F439" s="14" t="n">
        <v>206</v>
      </c>
      <c r="G439" s="14" t="n">
        <v>80</v>
      </c>
      <c r="H439" s="14" t="s">
        <v>52</v>
      </c>
      <c r="I439" s="14" t="n">
        <v>0.78</v>
      </c>
      <c r="J439" s="14" t="n">
        <v>9.5</v>
      </c>
      <c r="K439" s="14" t="s">
        <v>59</v>
      </c>
      <c r="L439" s="14" t="n">
        <v>2016</v>
      </c>
      <c r="M439" s="14" t="n">
        <v>8.33254893925264</v>
      </c>
      <c r="N439" s="14" t="n">
        <v>3.40153065945228</v>
      </c>
      <c r="P439" s="14" t="n">
        <f aca="false">D439</f>
        <v>30</v>
      </c>
      <c r="Q439" s="14" t="n">
        <f aca="false">G439</f>
        <v>80</v>
      </c>
      <c r="R439" s="14" t="n">
        <f aca="false">J439</f>
        <v>9.5</v>
      </c>
      <c r="S439" s="14" t="n">
        <f aca="false">IF($L439=2012,1,0)</f>
        <v>0</v>
      </c>
      <c r="T439" s="14" t="n">
        <f aca="false">IF($L439=2013,1,0)</f>
        <v>0</v>
      </c>
      <c r="U439" s="14" t="n">
        <f aca="false">IF($L439=2014,1,0)</f>
        <v>0</v>
      </c>
      <c r="V439" s="14" t="n">
        <f aca="false">IF($L439=2015,1,0)</f>
        <v>0</v>
      </c>
      <c r="W439" s="14" t="n">
        <f aca="false">IF($L439=2016,1,0)</f>
        <v>1</v>
      </c>
      <c r="X439" s="14" t="n">
        <f aca="false">IF($L439=2017,1,0)</f>
        <v>0</v>
      </c>
      <c r="Y439" s="14" t="n">
        <f aca="false">IF($H439="Beginner Level",1,0)</f>
        <v>1</v>
      </c>
      <c r="Z439" s="14" t="n">
        <f aca="false">IF($H439="Expert Level",1,0)</f>
        <v>0</v>
      </c>
      <c r="AA439" s="14" t="n">
        <f aca="false">IF($H439="Intermediate Level",1,0)</f>
        <v>0</v>
      </c>
      <c r="AC439" s="14" t="n">
        <f aca="false">N439</f>
        <v>3.40153065945228</v>
      </c>
      <c r="AD439" s="14" t="n">
        <f aca="false">G439</f>
        <v>80</v>
      </c>
      <c r="AE439" s="14" t="n">
        <f aca="false">J439</f>
        <v>9.5</v>
      </c>
      <c r="AF439" s="14" t="n">
        <f aca="false">IF($L439=2012,1,0)</f>
        <v>0</v>
      </c>
      <c r="AG439" s="14" t="n">
        <f aca="false">IF($L439=2013,1,0)</f>
        <v>0</v>
      </c>
      <c r="AH439" s="14" t="n">
        <f aca="false">IF($L439=2014,1,0)</f>
        <v>0</v>
      </c>
      <c r="AI439" s="14" t="n">
        <f aca="false">IF($L439=2015,1,0)</f>
        <v>0</v>
      </c>
      <c r="AJ439" s="14" t="n">
        <f aca="false">IF($L439=2016,1,0)</f>
        <v>1</v>
      </c>
      <c r="AK439" s="14" t="n">
        <f aca="false">IF($L439=2017,1,0)</f>
        <v>0</v>
      </c>
      <c r="AL439" s="14" t="n">
        <f aca="false">IF($H439="Beginner Level",1,0)</f>
        <v>1</v>
      </c>
      <c r="AM439" s="14" t="n">
        <f aca="false">IF($H439="Expert Level",1,0)</f>
        <v>0</v>
      </c>
      <c r="AN439" s="14" t="n">
        <f aca="false">IF($H439="Intermediate Level",1,0)</f>
        <v>0</v>
      </c>
    </row>
    <row r="440" customFormat="false" ht="91" hidden="false" customHeight="false" outlineLevel="0" collapsed="false">
      <c r="A440" s="14" t="n">
        <v>907386</v>
      </c>
      <c r="B440" s="14" t="s">
        <v>923</v>
      </c>
      <c r="C440" s="14" t="s">
        <v>924</v>
      </c>
      <c r="D440" s="14" t="n">
        <v>40</v>
      </c>
      <c r="E440" s="14" t="n">
        <v>4144</v>
      </c>
      <c r="F440" s="14" t="n">
        <v>383</v>
      </c>
      <c r="G440" s="14" t="n">
        <v>43</v>
      </c>
      <c r="H440" s="14" t="s">
        <v>62</v>
      </c>
      <c r="I440" s="14" t="n">
        <v>0.96</v>
      </c>
      <c r="J440" s="14" t="n">
        <v>5.5</v>
      </c>
      <c r="K440" s="14" t="s">
        <v>59</v>
      </c>
      <c r="L440" s="14" t="n">
        <v>2016</v>
      </c>
      <c r="M440" s="14" t="n">
        <v>8.32941678393932</v>
      </c>
      <c r="N440" s="14" t="n">
        <v>3.68912942286914</v>
      </c>
      <c r="P440" s="14" t="n">
        <f aca="false">D440</f>
        <v>40</v>
      </c>
      <c r="Q440" s="14" t="n">
        <f aca="false">G440</f>
        <v>43</v>
      </c>
      <c r="R440" s="14" t="n">
        <f aca="false">J440</f>
        <v>5.5</v>
      </c>
      <c r="S440" s="14" t="n">
        <f aca="false">IF($L440=2012,1,0)</f>
        <v>0</v>
      </c>
      <c r="T440" s="14" t="n">
        <f aca="false">IF($L440=2013,1,0)</f>
        <v>0</v>
      </c>
      <c r="U440" s="14" t="n">
        <f aca="false">IF($L440=2014,1,0)</f>
        <v>0</v>
      </c>
      <c r="V440" s="14" t="n">
        <f aca="false">IF($L440=2015,1,0)</f>
        <v>0</v>
      </c>
      <c r="W440" s="14" t="n">
        <f aca="false">IF($L440=2016,1,0)</f>
        <v>1</v>
      </c>
      <c r="X440" s="14" t="n">
        <f aca="false">IF($L440=2017,1,0)</f>
        <v>0</v>
      </c>
      <c r="Y440" s="14" t="n">
        <f aca="false">IF($H440="Beginner Level",1,0)</f>
        <v>0</v>
      </c>
      <c r="Z440" s="14" t="n">
        <f aca="false">IF($H440="Expert Level",1,0)</f>
        <v>0</v>
      </c>
      <c r="AA440" s="14" t="n">
        <f aca="false">IF($H440="Intermediate Level",1,0)</f>
        <v>0</v>
      </c>
      <c r="AC440" s="14" t="n">
        <f aca="false">N440</f>
        <v>3.68912942286914</v>
      </c>
      <c r="AD440" s="14" t="n">
        <f aca="false">G440</f>
        <v>43</v>
      </c>
      <c r="AE440" s="14" t="n">
        <f aca="false">J440</f>
        <v>5.5</v>
      </c>
      <c r="AF440" s="14" t="n">
        <f aca="false">IF($L440=2012,1,0)</f>
        <v>0</v>
      </c>
      <c r="AG440" s="14" t="n">
        <f aca="false">IF($L440=2013,1,0)</f>
        <v>0</v>
      </c>
      <c r="AH440" s="14" t="n">
        <f aca="false">IF($L440=2014,1,0)</f>
        <v>0</v>
      </c>
      <c r="AI440" s="14" t="n">
        <f aca="false">IF($L440=2015,1,0)</f>
        <v>0</v>
      </c>
      <c r="AJ440" s="14" t="n">
        <f aca="false">IF($L440=2016,1,0)</f>
        <v>1</v>
      </c>
      <c r="AK440" s="14" t="n">
        <f aca="false">IF($L440=2017,1,0)</f>
        <v>0</v>
      </c>
      <c r="AL440" s="14" t="n">
        <f aca="false">IF($H440="Beginner Level",1,0)</f>
        <v>0</v>
      </c>
      <c r="AM440" s="14" t="n">
        <f aca="false">IF($H440="Expert Level",1,0)</f>
        <v>0</v>
      </c>
      <c r="AN440" s="14" t="n">
        <f aca="false">IF($H440="Intermediate Level",1,0)</f>
        <v>0</v>
      </c>
    </row>
    <row r="441" customFormat="false" ht="79.85" hidden="false" customHeight="false" outlineLevel="0" collapsed="false">
      <c r="A441" s="14" t="n">
        <v>1145430</v>
      </c>
      <c r="B441" s="14" t="s">
        <v>925</v>
      </c>
      <c r="C441" s="14" t="s">
        <v>926</v>
      </c>
      <c r="D441" s="14" t="n">
        <v>120</v>
      </c>
      <c r="E441" s="14" t="n">
        <v>4138</v>
      </c>
      <c r="F441" s="14" t="n">
        <v>307</v>
      </c>
      <c r="G441" s="14" t="n">
        <v>107</v>
      </c>
      <c r="H441" s="14" t="s">
        <v>52</v>
      </c>
      <c r="I441" s="14" t="n">
        <v>0.24</v>
      </c>
      <c r="J441" s="14" t="n">
        <v>6</v>
      </c>
      <c r="K441" s="14" t="s">
        <v>59</v>
      </c>
      <c r="L441" s="14" t="n">
        <v>2017</v>
      </c>
      <c r="M441" s="14" t="n">
        <v>8.32796785830549</v>
      </c>
      <c r="N441" s="14" t="n">
        <v>4.78757507264335</v>
      </c>
      <c r="P441" s="14" t="n">
        <f aca="false">D441</f>
        <v>120</v>
      </c>
      <c r="Q441" s="14" t="n">
        <f aca="false">G441</f>
        <v>107</v>
      </c>
      <c r="R441" s="14" t="n">
        <f aca="false">J441</f>
        <v>6</v>
      </c>
      <c r="S441" s="14" t="n">
        <f aca="false">IF($L441=2012,1,0)</f>
        <v>0</v>
      </c>
      <c r="T441" s="14" t="n">
        <f aca="false">IF($L441=2013,1,0)</f>
        <v>0</v>
      </c>
      <c r="U441" s="14" t="n">
        <f aca="false">IF($L441=2014,1,0)</f>
        <v>0</v>
      </c>
      <c r="V441" s="14" t="n">
        <f aca="false">IF($L441=2015,1,0)</f>
        <v>0</v>
      </c>
      <c r="W441" s="14" t="n">
        <f aca="false">IF($L441=2016,1,0)</f>
        <v>0</v>
      </c>
      <c r="X441" s="14" t="n">
        <f aca="false">IF($L441=2017,1,0)</f>
        <v>1</v>
      </c>
      <c r="Y441" s="14" t="n">
        <f aca="false">IF($H441="Beginner Level",1,0)</f>
        <v>1</v>
      </c>
      <c r="Z441" s="14" t="n">
        <f aca="false">IF($H441="Expert Level",1,0)</f>
        <v>0</v>
      </c>
      <c r="AA441" s="14" t="n">
        <f aca="false">IF($H441="Intermediate Level",1,0)</f>
        <v>0</v>
      </c>
      <c r="AC441" s="14" t="n">
        <f aca="false">N441</f>
        <v>4.78757507264335</v>
      </c>
      <c r="AD441" s="14" t="n">
        <f aca="false">G441</f>
        <v>107</v>
      </c>
      <c r="AE441" s="14" t="n">
        <f aca="false">J441</f>
        <v>6</v>
      </c>
      <c r="AF441" s="14" t="n">
        <f aca="false">IF($L441=2012,1,0)</f>
        <v>0</v>
      </c>
      <c r="AG441" s="14" t="n">
        <f aca="false">IF($L441=2013,1,0)</f>
        <v>0</v>
      </c>
      <c r="AH441" s="14" t="n">
        <f aca="false">IF($L441=2014,1,0)</f>
        <v>0</v>
      </c>
      <c r="AI441" s="14" t="n">
        <f aca="false">IF($L441=2015,1,0)</f>
        <v>0</v>
      </c>
      <c r="AJ441" s="14" t="n">
        <f aca="false">IF($L441=2016,1,0)</f>
        <v>0</v>
      </c>
      <c r="AK441" s="14" t="n">
        <f aca="false">IF($L441=2017,1,0)</f>
        <v>1</v>
      </c>
      <c r="AL441" s="14" t="n">
        <f aca="false">IF($H441="Beginner Level",1,0)</f>
        <v>1</v>
      </c>
      <c r="AM441" s="14" t="n">
        <f aca="false">IF($H441="Expert Level",1,0)</f>
        <v>0</v>
      </c>
      <c r="AN441" s="14" t="n">
        <f aca="false">IF($H441="Intermediate Level",1,0)</f>
        <v>0</v>
      </c>
    </row>
    <row r="442" customFormat="false" ht="57.45" hidden="false" customHeight="false" outlineLevel="0" collapsed="false">
      <c r="A442" s="14" t="n">
        <v>420652</v>
      </c>
      <c r="B442" s="14" t="s">
        <v>927</v>
      </c>
      <c r="C442" s="14" t="s">
        <v>928</v>
      </c>
      <c r="D442" s="14" t="n">
        <v>75</v>
      </c>
      <c r="E442" s="14" t="n">
        <v>4128</v>
      </c>
      <c r="F442" s="14" t="n">
        <v>434</v>
      </c>
      <c r="G442" s="14" t="n">
        <v>61</v>
      </c>
      <c r="H442" s="14" t="s">
        <v>52</v>
      </c>
      <c r="I442" s="14" t="n">
        <v>0.8</v>
      </c>
      <c r="J442" s="14" t="n">
        <v>6</v>
      </c>
      <c r="K442" s="14" t="s">
        <v>59</v>
      </c>
      <c r="L442" s="14" t="n">
        <v>2015</v>
      </c>
      <c r="M442" s="14" t="n">
        <v>8.3255483071614</v>
      </c>
      <c r="N442" s="14" t="n">
        <v>4.31762143798155</v>
      </c>
      <c r="P442" s="14" t="n">
        <f aca="false">D442</f>
        <v>75</v>
      </c>
      <c r="Q442" s="14" t="n">
        <f aca="false">G442</f>
        <v>61</v>
      </c>
      <c r="R442" s="14" t="n">
        <f aca="false">J442</f>
        <v>6</v>
      </c>
      <c r="S442" s="14" t="n">
        <f aca="false">IF($L442=2012,1,0)</f>
        <v>0</v>
      </c>
      <c r="T442" s="14" t="n">
        <f aca="false">IF($L442=2013,1,0)</f>
        <v>0</v>
      </c>
      <c r="U442" s="14" t="n">
        <f aca="false">IF($L442=2014,1,0)</f>
        <v>0</v>
      </c>
      <c r="V442" s="14" t="n">
        <f aca="false">IF($L442=2015,1,0)</f>
        <v>1</v>
      </c>
      <c r="W442" s="14" t="n">
        <f aca="false">IF($L442=2016,1,0)</f>
        <v>0</v>
      </c>
      <c r="X442" s="14" t="n">
        <f aca="false">IF($L442=2017,1,0)</f>
        <v>0</v>
      </c>
      <c r="Y442" s="14" t="n">
        <f aca="false">IF($H442="Beginner Level",1,0)</f>
        <v>1</v>
      </c>
      <c r="Z442" s="14" t="n">
        <f aca="false">IF($H442="Expert Level",1,0)</f>
        <v>0</v>
      </c>
      <c r="AA442" s="14" t="n">
        <f aca="false">IF($H442="Intermediate Level",1,0)</f>
        <v>0</v>
      </c>
      <c r="AC442" s="14" t="n">
        <f aca="false">N442</f>
        <v>4.31762143798155</v>
      </c>
      <c r="AD442" s="14" t="n">
        <f aca="false">G442</f>
        <v>61</v>
      </c>
      <c r="AE442" s="14" t="n">
        <f aca="false">J442</f>
        <v>6</v>
      </c>
      <c r="AF442" s="14" t="n">
        <f aca="false">IF($L442=2012,1,0)</f>
        <v>0</v>
      </c>
      <c r="AG442" s="14" t="n">
        <f aca="false">IF($L442=2013,1,0)</f>
        <v>0</v>
      </c>
      <c r="AH442" s="14" t="n">
        <f aca="false">IF($L442=2014,1,0)</f>
        <v>0</v>
      </c>
      <c r="AI442" s="14" t="n">
        <f aca="false">IF($L442=2015,1,0)</f>
        <v>1</v>
      </c>
      <c r="AJ442" s="14" t="n">
        <f aca="false">IF($L442=2016,1,0)</f>
        <v>0</v>
      </c>
      <c r="AK442" s="14" t="n">
        <f aca="false">IF($L442=2017,1,0)</f>
        <v>0</v>
      </c>
      <c r="AL442" s="14" t="n">
        <f aca="false">IF($H442="Beginner Level",1,0)</f>
        <v>1</v>
      </c>
      <c r="AM442" s="14" t="n">
        <f aca="false">IF($H442="Expert Level",1,0)</f>
        <v>0</v>
      </c>
      <c r="AN442" s="14" t="n">
        <f aca="false">IF($H442="Intermediate Level",1,0)</f>
        <v>0</v>
      </c>
    </row>
    <row r="443" customFormat="false" ht="57.45" hidden="false" customHeight="false" outlineLevel="0" collapsed="false">
      <c r="A443" s="14" t="n">
        <v>125162</v>
      </c>
      <c r="B443" s="14" t="s">
        <v>929</v>
      </c>
      <c r="C443" s="14" t="s">
        <v>930</v>
      </c>
      <c r="D443" s="14" t="n">
        <v>50</v>
      </c>
      <c r="E443" s="14" t="n">
        <v>4123</v>
      </c>
      <c r="F443" s="14" t="n">
        <v>23</v>
      </c>
      <c r="G443" s="14" t="n">
        <v>34</v>
      </c>
      <c r="H443" s="14" t="s">
        <v>62</v>
      </c>
      <c r="I443" s="14" t="n">
        <v>0.84</v>
      </c>
      <c r="J443" s="14" t="n">
        <v>3.5</v>
      </c>
      <c r="K443" s="14" t="s">
        <v>59</v>
      </c>
      <c r="L443" s="14" t="n">
        <v>2013</v>
      </c>
      <c r="M443" s="14" t="n">
        <v>8.3243363327069</v>
      </c>
      <c r="N443" s="14" t="n">
        <v>3.91222298543081</v>
      </c>
      <c r="P443" s="14" t="n">
        <f aca="false">D443</f>
        <v>50</v>
      </c>
      <c r="Q443" s="14" t="n">
        <f aca="false">G443</f>
        <v>34</v>
      </c>
      <c r="R443" s="14" t="n">
        <f aca="false">J443</f>
        <v>3.5</v>
      </c>
      <c r="S443" s="14" t="n">
        <f aca="false">IF($L443=2012,1,0)</f>
        <v>0</v>
      </c>
      <c r="T443" s="14" t="n">
        <f aca="false">IF($L443=2013,1,0)</f>
        <v>1</v>
      </c>
      <c r="U443" s="14" t="n">
        <f aca="false">IF($L443=2014,1,0)</f>
        <v>0</v>
      </c>
      <c r="V443" s="14" t="n">
        <f aca="false">IF($L443=2015,1,0)</f>
        <v>0</v>
      </c>
      <c r="W443" s="14" t="n">
        <f aca="false">IF($L443=2016,1,0)</f>
        <v>0</v>
      </c>
      <c r="X443" s="14" t="n">
        <f aca="false">IF($L443=2017,1,0)</f>
        <v>0</v>
      </c>
      <c r="Y443" s="14" t="n">
        <f aca="false">IF($H443="Beginner Level",1,0)</f>
        <v>0</v>
      </c>
      <c r="Z443" s="14" t="n">
        <f aca="false">IF($H443="Expert Level",1,0)</f>
        <v>0</v>
      </c>
      <c r="AA443" s="14" t="n">
        <f aca="false">IF($H443="Intermediate Level",1,0)</f>
        <v>0</v>
      </c>
      <c r="AC443" s="14" t="n">
        <f aca="false">N443</f>
        <v>3.91222298543081</v>
      </c>
      <c r="AD443" s="14" t="n">
        <f aca="false">G443</f>
        <v>34</v>
      </c>
      <c r="AE443" s="14" t="n">
        <f aca="false">J443</f>
        <v>3.5</v>
      </c>
      <c r="AF443" s="14" t="n">
        <f aca="false">IF($L443=2012,1,0)</f>
        <v>0</v>
      </c>
      <c r="AG443" s="14" t="n">
        <f aca="false">IF($L443=2013,1,0)</f>
        <v>1</v>
      </c>
      <c r="AH443" s="14" t="n">
        <f aca="false">IF($L443=2014,1,0)</f>
        <v>0</v>
      </c>
      <c r="AI443" s="14" t="n">
        <f aca="false">IF($L443=2015,1,0)</f>
        <v>0</v>
      </c>
      <c r="AJ443" s="14" t="n">
        <f aca="false">IF($L443=2016,1,0)</f>
        <v>0</v>
      </c>
      <c r="AK443" s="14" t="n">
        <f aca="false">IF($L443=2017,1,0)</f>
        <v>0</v>
      </c>
      <c r="AL443" s="14" t="n">
        <f aca="false">IF($H443="Beginner Level",1,0)</f>
        <v>0</v>
      </c>
      <c r="AM443" s="14" t="n">
        <f aca="false">IF($H443="Expert Level",1,0)</f>
        <v>0</v>
      </c>
      <c r="AN443" s="14" t="n">
        <f aca="false">IF($H443="Intermediate Level",1,0)</f>
        <v>0</v>
      </c>
    </row>
    <row r="444" customFormat="false" ht="68.65" hidden="false" customHeight="false" outlineLevel="0" collapsed="false">
      <c r="A444" s="14" t="n">
        <v>200854</v>
      </c>
      <c r="B444" s="14" t="s">
        <v>931</v>
      </c>
      <c r="C444" s="14" t="s">
        <v>932</v>
      </c>
      <c r="D444" s="14" t="n">
        <v>50</v>
      </c>
      <c r="E444" s="14" t="n">
        <v>4123</v>
      </c>
      <c r="F444" s="14" t="n">
        <v>46</v>
      </c>
      <c r="G444" s="14" t="n">
        <v>31</v>
      </c>
      <c r="H444" s="14" t="s">
        <v>52</v>
      </c>
      <c r="I444" s="14" t="n">
        <v>0.55</v>
      </c>
      <c r="J444" s="14" t="n">
        <v>4.5</v>
      </c>
      <c r="K444" s="14" t="s">
        <v>59</v>
      </c>
      <c r="L444" s="14" t="n">
        <v>2014</v>
      </c>
      <c r="M444" s="14" t="n">
        <v>8.3243363327069</v>
      </c>
      <c r="N444" s="14" t="n">
        <v>3.91222298543081</v>
      </c>
      <c r="P444" s="14" t="n">
        <f aca="false">D444</f>
        <v>50</v>
      </c>
      <c r="Q444" s="14" t="n">
        <f aca="false">G444</f>
        <v>31</v>
      </c>
      <c r="R444" s="14" t="n">
        <f aca="false">J444</f>
        <v>4.5</v>
      </c>
      <c r="S444" s="14" t="n">
        <f aca="false">IF($L444=2012,1,0)</f>
        <v>0</v>
      </c>
      <c r="T444" s="14" t="n">
        <f aca="false">IF($L444=2013,1,0)</f>
        <v>0</v>
      </c>
      <c r="U444" s="14" t="n">
        <f aca="false">IF($L444=2014,1,0)</f>
        <v>1</v>
      </c>
      <c r="V444" s="14" t="n">
        <f aca="false">IF($L444=2015,1,0)</f>
        <v>0</v>
      </c>
      <c r="W444" s="14" t="n">
        <f aca="false">IF($L444=2016,1,0)</f>
        <v>0</v>
      </c>
      <c r="X444" s="14" t="n">
        <f aca="false">IF($L444=2017,1,0)</f>
        <v>0</v>
      </c>
      <c r="Y444" s="14" t="n">
        <f aca="false">IF($H444="Beginner Level",1,0)</f>
        <v>1</v>
      </c>
      <c r="Z444" s="14" t="n">
        <f aca="false">IF($H444="Expert Level",1,0)</f>
        <v>0</v>
      </c>
      <c r="AA444" s="14" t="n">
        <f aca="false">IF($H444="Intermediate Level",1,0)</f>
        <v>0</v>
      </c>
      <c r="AC444" s="14" t="n">
        <f aca="false">N444</f>
        <v>3.91222298543081</v>
      </c>
      <c r="AD444" s="14" t="n">
        <f aca="false">G444</f>
        <v>31</v>
      </c>
      <c r="AE444" s="14" t="n">
        <f aca="false">J444</f>
        <v>4.5</v>
      </c>
      <c r="AF444" s="14" t="n">
        <f aca="false">IF($L444=2012,1,0)</f>
        <v>0</v>
      </c>
      <c r="AG444" s="14" t="n">
        <f aca="false">IF($L444=2013,1,0)</f>
        <v>0</v>
      </c>
      <c r="AH444" s="14" t="n">
        <f aca="false">IF($L444=2014,1,0)</f>
        <v>1</v>
      </c>
      <c r="AI444" s="14" t="n">
        <f aca="false">IF($L444=2015,1,0)</f>
        <v>0</v>
      </c>
      <c r="AJ444" s="14" t="n">
        <f aca="false">IF($L444=2016,1,0)</f>
        <v>0</v>
      </c>
      <c r="AK444" s="14" t="n">
        <f aca="false">IF($L444=2017,1,0)</f>
        <v>0</v>
      </c>
      <c r="AL444" s="14" t="n">
        <f aca="false">IF($H444="Beginner Level",1,0)</f>
        <v>1</v>
      </c>
      <c r="AM444" s="14" t="n">
        <f aca="false">IF($H444="Expert Level",1,0)</f>
        <v>0</v>
      </c>
      <c r="AN444" s="14" t="n">
        <f aca="false">IF($H444="Intermediate Level",1,0)</f>
        <v>0</v>
      </c>
    </row>
    <row r="445" customFormat="false" ht="46.25" hidden="false" customHeight="false" outlineLevel="0" collapsed="false">
      <c r="A445" s="14" t="n">
        <v>1113036</v>
      </c>
      <c r="B445" s="14" t="s">
        <v>933</v>
      </c>
      <c r="C445" s="14" t="s">
        <v>934</v>
      </c>
      <c r="D445" s="14" t="n">
        <v>0</v>
      </c>
      <c r="E445" s="14" t="n">
        <v>4115</v>
      </c>
      <c r="F445" s="14" t="n">
        <v>63</v>
      </c>
      <c r="G445" s="14" t="n">
        <v>13</v>
      </c>
      <c r="H445" s="14" t="s">
        <v>62</v>
      </c>
      <c r="I445" s="14" t="n">
        <v>0.67</v>
      </c>
      <c r="J445" s="14" t="n">
        <v>2</v>
      </c>
      <c r="K445" s="14" t="s">
        <v>53</v>
      </c>
      <c r="L445" s="14" t="n">
        <v>2017</v>
      </c>
      <c r="M445" s="14" t="n">
        <v>8.32239411311117</v>
      </c>
      <c r="N445" s="14" t="n">
        <v>-4.60517018598809</v>
      </c>
      <c r="P445" s="14" t="n">
        <f aca="false">D445</f>
        <v>0</v>
      </c>
      <c r="Q445" s="14" t="n">
        <f aca="false">G445</f>
        <v>13</v>
      </c>
      <c r="R445" s="14" t="n">
        <f aca="false">J445</f>
        <v>2</v>
      </c>
      <c r="S445" s="14" t="n">
        <f aca="false">IF($L445=2012,1,0)</f>
        <v>0</v>
      </c>
      <c r="T445" s="14" t="n">
        <f aca="false">IF($L445=2013,1,0)</f>
        <v>0</v>
      </c>
      <c r="U445" s="14" t="n">
        <f aca="false">IF($L445=2014,1,0)</f>
        <v>0</v>
      </c>
      <c r="V445" s="14" t="n">
        <f aca="false">IF($L445=2015,1,0)</f>
        <v>0</v>
      </c>
      <c r="W445" s="14" t="n">
        <f aca="false">IF($L445=2016,1,0)</f>
        <v>0</v>
      </c>
      <c r="X445" s="14" t="n">
        <f aca="false">IF($L445=2017,1,0)</f>
        <v>1</v>
      </c>
      <c r="Y445" s="14" t="n">
        <f aca="false">IF($H445="Beginner Level",1,0)</f>
        <v>0</v>
      </c>
      <c r="Z445" s="14" t="n">
        <f aca="false">IF($H445="Expert Level",1,0)</f>
        <v>0</v>
      </c>
      <c r="AA445" s="14" t="n">
        <f aca="false">IF($H445="Intermediate Level",1,0)</f>
        <v>0</v>
      </c>
      <c r="AC445" s="14" t="n">
        <f aca="false">N445</f>
        <v>-4.60517018598809</v>
      </c>
      <c r="AD445" s="14" t="n">
        <f aca="false">G445</f>
        <v>13</v>
      </c>
      <c r="AE445" s="14" t="n">
        <f aca="false">J445</f>
        <v>2</v>
      </c>
      <c r="AF445" s="14" t="n">
        <f aca="false">IF($L445=2012,1,0)</f>
        <v>0</v>
      </c>
      <c r="AG445" s="14" t="n">
        <f aca="false">IF($L445=2013,1,0)</f>
        <v>0</v>
      </c>
      <c r="AH445" s="14" t="n">
        <f aca="false">IF($L445=2014,1,0)</f>
        <v>0</v>
      </c>
      <c r="AI445" s="14" t="n">
        <f aca="false">IF($L445=2015,1,0)</f>
        <v>0</v>
      </c>
      <c r="AJ445" s="14" t="n">
        <f aca="false">IF($L445=2016,1,0)</f>
        <v>0</v>
      </c>
      <c r="AK445" s="14" t="n">
        <f aca="false">IF($L445=2017,1,0)</f>
        <v>1</v>
      </c>
      <c r="AL445" s="14" t="n">
        <f aca="false">IF($H445="Beginner Level",1,0)</f>
        <v>0</v>
      </c>
      <c r="AM445" s="14" t="n">
        <f aca="false">IF($H445="Expert Level",1,0)</f>
        <v>0</v>
      </c>
      <c r="AN445" s="14" t="n">
        <f aca="false">IF($H445="Intermediate Level",1,0)</f>
        <v>0</v>
      </c>
    </row>
    <row r="446" customFormat="false" ht="57.45" hidden="false" customHeight="false" outlineLevel="0" collapsed="false">
      <c r="A446" s="14" t="n">
        <v>942366</v>
      </c>
      <c r="B446" s="14" t="s">
        <v>935</v>
      </c>
      <c r="C446" s="14" t="s">
        <v>936</v>
      </c>
      <c r="D446" s="14" t="n">
        <v>50</v>
      </c>
      <c r="E446" s="14" t="n">
        <v>4106</v>
      </c>
      <c r="F446" s="14" t="n">
        <v>112</v>
      </c>
      <c r="G446" s="14" t="n">
        <v>15</v>
      </c>
      <c r="H446" s="14" t="s">
        <v>71</v>
      </c>
      <c r="I446" s="14" t="n">
        <v>0.38</v>
      </c>
      <c r="J446" s="14" t="n">
        <v>1</v>
      </c>
      <c r="K446" s="14" t="s">
        <v>59</v>
      </c>
      <c r="L446" s="14" t="n">
        <v>2016</v>
      </c>
      <c r="M446" s="14" t="n">
        <v>8.32020459757888</v>
      </c>
      <c r="N446" s="14" t="n">
        <v>3.91222298543081</v>
      </c>
      <c r="P446" s="14" t="n">
        <f aca="false">D446</f>
        <v>50</v>
      </c>
      <c r="Q446" s="14" t="n">
        <f aca="false">G446</f>
        <v>15</v>
      </c>
      <c r="R446" s="14" t="n">
        <f aca="false">J446</f>
        <v>1</v>
      </c>
      <c r="S446" s="14" t="n">
        <f aca="false">IF($L446=2012,1,0)</f>
        <v>0</v>
      </c>
      <c r="T446" s="14" t="n">
        <f aca="false">IF($L446=2013,1,0)</f>
        <v>0</v>
      </c>
      <c r="U446" s="14" t="n">
        <f aca="false">IF($L446=2014,1,0)</f>
        <v>0</v>
      </c>
      <c r="V446" s="14" t="n">
        <f aca="false">IF($L446=2015,1,0)</f>
        <v>0</v>
      </c>
      <c r="W446" s="14" t="n">
        <f aca="false">IF($L446=2016,1,0)</f>
        <v>1</v>
      </c>
      <c r="X446" s="14" t="n">
        <f aca="false">IF($L446=2017,1,0)</f>
        <v>0</v>
      </c>
      <c r="Y446" s="14" t="n">
        <f aca="false">IF($H446="Beginner Level",1,0)</f>
        <v>0</v>
      </c>
      <c r="Z446" s="14" t="n">
        <f aca="false">IF($H446="Expert Level",1,0)</f>
        <v>0</v>
      </c>
      <c r="AA446" s="14" t="n">
        <f aca="false">IF($H446="Intermediate Level",1,0)</f>
        <v>1</v>
      </c>
      <c r="AC446" s="14" t="n">
        <f aca="false">N446</f>
        <v>3.91222298543081</v>
      </c>
      <c r="AD446" s="14" t="n">
        <f aca="false">G446</f>
        <v>15</v>
      </c>
      <c r="AE446" s="14" t="n">
        <f aca="false">J446</f>
        <v>1</v>
      </c>
      <c r="AF446" s="14" t="n">
        <f aca="false">IF($L446=2012,1,0)</f>
        <v>0</v>
      </c>
      <c r="AG446" s="14" t="n">
        <f aca="false">IF($L446=2013,1,0)</f>
        <v>0</v>
      </c>
      <c r="AH446" s="14" t="n">
        <f aca="false">IF($L446=2014,1,0)</f>
        <v>0</v>
      </c>
      <c r="AI446" s="14" t="n">
        <f aca="false">IF($L446=2015,1,0)</f>
        <v>0</v>
      </c>
      <c r="AJ446" s="14" t="n">
        <f aca="false">IF($L446=2016,1,0)</f>
        <v>1</v>
      </c>
      <c r="AK446" s="14" t="n">
        <f aca="false">IF($L446=2017,1,0)</f>
        <v>0</v>
      </c>
      <c r="AL446" s="14" t="n">
        <f aca="false">IF($H446="Beginner Level",1,0)</f>
        <v>0</v>
      </c>
      <c r="AM446" s="14" t="n">
        <f aca="false">IF($H446="Expert Level",1,0)</f>
        <v>0</v>
      </c>
      <c r="AN446" s="14" t="n">
        <f aca="false">IF($H446="Intermediate Level",1,0)</f>
        <v>1</v>
      </c>
    </row>
    <row r="447" customFormat="false" ht="91" hidden="false" customHeight="false" outlineLevel="0" collapsed="false">
      <c r="A447" s="14" t="n">
        <v>965528</v>
      </c>
      <c r="B447" s="14" t="s">
        <v>937</v>
      </c>
      <c r="C447" s="14" t="s">
        <v>938</v>
      </c>
      <c r="D447" s="14" t="n">
        <v>200</v>
      </c>
      <c r="E447" s="14" t="n">
        <v>4090</v>
      </c>
      <c r="F447" s="14" t="n">
        <v>178</v>
      </c>
      <c r="G447" s="14" t="n">
        <v>348</v>
      </c>
      <c r="H447" s="14" t="s">
        <v>62</v>
      </c>
      <c r="I447" s="14" t="n">
        <v>0.92</v>
      </c>
      <c r="J447" s="14" t="n">
        <v>19.5</v>
      </c>
      <c r="K447" s="14" t="s">
        <v>59</v>
      </c>
      <c r="L447" s="14" t="n">
        <v>2016</v>
      </c>
      <c r="M447" s="14" t="n">
        <v>8.31630024903685</v>
      </c>
      <c r="N447" s="14" t="n">
        <v>5.29836736529808</v>
      </c>
      <c r="P447" s="14" t="n">
        <f aca="false">D447</f>
        <v>200</v>
      </c>
      <c r="Q447" s="14" t="n">
        <f aca="false">G447</f>
        <v>348</v>
      </c>
      <c r="R447" s="14" t="n">
        <f aca="false">J447</f>
        <v>19.5</v>
      </c>
      <c r="S447" s="14" t="n">
        <f aca="false">IF($L447=2012,1,0)</f>
        <v>0</v>
      </c>
      <c r="T447" s="14" t="n">
        <f aca="false">IF($L447=2013,1,0)</f>
        <v>0</v>
      </c>
      <c r="U447" s="14" t="n">
        <f aca="false">IF($L447=2014,1,0)</f>
        <v>0</v>
      </c>
      <c r="V447" s="14" t="n">
        <f aca="false">IF($L447=2015,1,0)</f>
        <v>0</v>
      </c>
      <c r="W447" s="14" t="n">
        <f aca="false">IF($L447=2016,1,0)</f>
        <v>1</v>
      </c>
      <c r="X447" s="14" t="n">
        <f aca="false">IF($L447=2017,1,0)</f>
        <v>0</v>
      </c>
      <c r="Y447" s="14" t="n">
        <f aca="false">IF($H447="Beginner Level",1,0)</f>
        <v>0</v>
      </c>
      <c r="Z447" s="14" t="n">
        <f aca="false">IF($H447="Expert Level",1,0)</f>
        <v>0</v>
      </c>
      <c r="AA447" s="14" t="n">
        <f aca="false">IF($H447="Intermediate Level",1,0)</f>
        <v>0</v>
      </c>
      <c r="AC447" s="14" t="n">
        <f aca="false">N447</f>
        <v>5.29836736529808</v>
      </c>
      <c r="AD447" s="14" t="n">
        <f aca="false">G447</f>
        <v>348</v>
      </c>
      <c r="AE447" s="14" t="n">
        <f aca="false">J447</f>
        <v>19.5</v>
      </c>
      <c r="AF447" s="14" t="n">
        <f aca="false">IF($L447=2012,1,0)</f>
        <v>0</v>
      </c>
      <c r="AG447" s="14" t="n">
        <f aca="false">IF($L447=2013,1,0)</f>
        <v>0</v>
      </c>
      <c r="AH447" s="14" t="n">
        <f aca="false">IF($L447=2014,1,0)</f>
        <v>0</v>
      </c>
      <c r="AI447" s="14" t="n">
        <f aca="false">IF($L447=2015,1,0)</f>
        <v>0</v>
      </c>
      <c r="AJ447" s="14" t="n">
        <f aca="false">IF($L447=2016,1,0)</f>
        <v>1</v>
      </c>
      <c r="AK447" s="14" t="n">
        <f aca="false">IF($L447=2017,1,0)</f>
        <v>0</v>
      </c>
      <c r="AL447" s="14" t="n">
        <f aca="false">IF($H447="Beginner Level",1,0)</f>
        <v>0</v>
      </c>
      <c r="AM447" s="14" t="n">
        <f aca="false">IF($H447="Expert Level",1,0)</f>
        <v>0</v>
      </c>
      <c r="AN447" s="14" t="n">
        <f aca="false">IF($H447="Intermediate Level",1,0)</f>
        <v>0</v>
      </c>
    </row>
    <row r="448" customFormat="false" ht="68.65" hidden="false" customHeight="false" outlineLevel="0" collapsed="false">
      <c r="A448" s="14" t="n">
        <v>311916</v>
      </c>
      <c r="B448" s="14" t="s">
        <v>939</v>
      </c>
      <c r="C448" s="14" t="s">
        <v>940</v>
      </c>
      <c r="D448" s="14" t="n">
        <v>50</v>
      </c>
      <c r="E448" s="14" t="n">
        <v>4076</v>
      </c>
      <c r="F448" s="14" t="n">
        <v>39</v>
      </c>
      <c r="G448" s="14" t="n">
        <v>22</v>
      </c>
      <c r="H448" s="14" t="s">
        <v>52</v>
      </c>
      <c r="I448" s="14" t="n">
        <v>0.92</v>
      </c>
      <c r="J448" s="14" t="n">
        <v>3</v>
      </c>
      <c r="K448" s="14" t="s">
        <v>59</v>
      </c>
      <c r="L448" s="14" t="n">
        <v>2014</v>
      </c>
      <c r="M448" s="14" t="n">
        <v>8.31287139434262</v>
      </c>
      <c r="N448" s="14" t="n">
        <v>3.91222298543081</v>
      </c>
      <c r="P448" s="14" t="n">
        <f aca="false">D448</f>
        <v>50</v>
      </c>
      <c r="Q448" s="14" t="n">
        <f aca="false">G448</f>
        <v>22</v>
      </c>
      <c r="R448" s="14" t="n">
        <f aca="false">J448</f>
        <v>3</v>
      </c>
      <c r="S448" s="14" t="n">
        <f aca="false">IF($L448=2012,1,0)</f>
        <v>0</v>
      </c>
      <c r="T448" s="14" t="n">
        <f aca="false">IF($L448=2013,1,0)</f>
        <v>0</v>
      </c>
      <c r="U448" s="14" t="n">
        <f aca="false">IF($L448=2014,1,0)</f>
        <v>1</v>
      </c>
      <c r="V448" s="14" t="n">
        <f aca="false">IF($L448=2015,1,0)</f>
        <v>0</v>
      </c>
      <c r="W448" s="14" t="n">
        <f aca="false">IF($L448=2016,1,0)</f>
        <v>0</v>
      </c>
      <c r="X448" s="14" t="n">
        <f aca="false">IF($L448=2017,1,0)</f>
        <v>0</v>
      </c>
      <c r="Y448" s="14" t="n">
        <f aca="false">IF($H448="Beginner Level",1,0)</f>
        <v>1</v>
      </c>
      <c r="Z448" s="14" t="n">
        <f aca="false">IF($H448="Expert Level",1,0)</f>
        <v>0</v>
      </c>
      <c r="AA448" s="14" t="n">
        <f aca="false">IF($H448="Intermediate Level",1,0)</f>
        <v>0</v>
      </c>
      <c r="AC448" s="14" t="n">
        <f aca="false">N448</f>
        <v>3.91222298543081</v>
      </c>
      <c r="AD448" s="14" t="n">
        <f aca="false">G448</f>
        <v>22</v>
      </c>
      <c r="AE448" s="14" t="n">
        <f aca="false">J448</f>
        <v>3</v>
      </c>
      <c r="AF448" s="14" t="n">
        <f aca="false">IF($L448=2012,1,0)</f>
        <v>0</v>
      </c>
      <c r="AG448" s="14" t="n">
        <f aca="false">IF($L448=2013,1,0)</f>
        <v>0</v>
      </c>
      <c r="AH448" s="14" t="n">
        <f aca="false">IF($L448=2014,1,0)</f>
        <v>1</v>
      </c>
      <c r="AI448" s="14" t="n">
        <f aca="false">IF($L448=2015,1,0)</f>
        <v>0</v>
      </c>
      <c r="AJ448" s="14" t="n">
        <f aca="false">IF($L448=2016,1,0)</f>
        <v>0</v>
      </c>
      <c r="AK448" s="14" t="n">
        <f aca="false">IF($L448=2017,1,0)</f>
        <v>0</v>
      </c>
      <c r="AL448" s="14" t="n">
        <f aca="false">IF($H448="Beginner Level",1,0)</f>
        <v>1</v>
      </c>
      <c r="AM448" s="14" t="n">
        <f aca="false">IF($H448="Expert Level",1,0)</f>
        <v>0</v>
      </c>
      <c r="AN448" s="14" t="n">
        <f aca="false">IF($H448="Intermediate Level",1,0)</f>
        <v>0</v>
      </c>
    </row>
    <row r="449" customFormat="false" ht="91" hidden="false" customHeight="false" outlineLevel="0" collapsed="false">
      <c r="A449" s="14" t="n">
        <v>833398</v>
      </c>
      <c r="B449" s="14" t="s">
        <v>941</v>
      </c>
      <c r="C449" s="14" t="s">
        <v>942</v>
      </c>
      <c r="D449" s="14" t="n">
        <v>150</v>
      </c>
      <c r="E449" s="14" t="n">
        <v>4057</v>
      </c>
      <c r="F449" s="14" t="n">
        <v>359</v>
      </c>
      <c r="G449" s="14" t="n">
        <v>99</v>
      </c>
      <c r="H449" s="14" t="s">
        <v>62</v>
      </c>
      <c r="I449" s="14" t="n">
        <v>0.92</v>
      </c>
      <c r="J449" s="14" t="n">
        <v>6.5</v>
      </c>
      <c r="K449" s="14" t="s">
        <v>59</v>
      </c>
      <c r="L449" s="14" t="n">
        <v>2016</v>
      </c>
      <c r="M449" s="14" t="n">
        <v>8.30819906320645</v>
      </c>
      <c r="N449" s="14" t="n">
        <v>5.0107019585408</v>
      </c>
      <c r="P449" s="14" t="n">
        <f aca="false">D449</f>
        <v>150</v>
      </c>
      <c r="Q449" s="14" t="n">
        <f aca="false">G449</f>
        <v>99</v>
      </c>
      <c r="R449" s="14" t="n">
        <f aca="false">J449</f>
        <v>6.5</v>
      </c>
      <c r="S449" s="14" t="n">
        <f aca="false">IF($L449=2012,1,0)</f>
        <v>0</v>
      </c>
      <c r="T449" s="14" t="n">
        <f aca="false">IF($L449=2013,1,0)</f>
        <v>0</v>
      </c>
      <c r="U449" s="14" t="n">
        <f aca="false">IF($L449=2014,1,0)</f>
        <v>0</v>
      </c>
      <c r="V449" s="14" t="n">
        <f aca="false">IF($L449=2015,1,0)</f>
        <v>0</v>
      </c>
      <c r="W449" s="14" t="n">
        <f aca="false">IF($L449=2016,1,0)</f>
        <v>1</v>
      </c>
      <c r="X449" s="14" t="n">
        <f aca="false">IF($L449=2017,1,0)</f>
        <v>0</v>
      </c>
      <c r="Y449" s="14" t="n">
        <f aca="false">IF($H449="Beginner Level",1,0)</f>
        <v>0</v>
      </c>
      <c r="Z449" s="14" t="n">
        <f aca="false">IF($H449="Expert Level",1,0)</f>
        <v>0</v>
      </c>
      <c r="AA449" s="14" t="n">
        <f aca="false">IF($H449="Intermediate Level",1,0)</f>
        <v>0</v>
      </c>
      <c r="AC449" s="14" t="n">
        <f aca="false">N449</f>
        <v>5.0107019585408</v>
      </c>
      <c r="AD449" s="14" t="n">
        <f aca="false">G449</f>
        <v>99</v>
      </c>
      <c r="AE449" s="14" t="n">
        <f aca="false">J449</f>
        <v>6.5</v>
      </c>
      <c r="AF449" s="14" t="n">
        <f aca="false">IF($L449=2012,1,0)</f>
        <v>0</v>
      </c>
      <c r="AG449" s="14" t="n">
        <f aca="false">IF($L449=2013,1,0)</f>
        <v>0</v>
      </c>
      <c r="AH449" s="14" t="n">
        <f aca="false">IF($L449=2014,1,0)</f>
        <v>0</v>
      </c>
      <c r="AI449" s="14" t="n">
        <f aca="false">IF($L449=2015,1,0)</f>
        <v>0</v>
      </c>
      <c r="AJ449" s="14" t="n">
        <f aca="false">IF($L449=2016,1,0)</f>
        <v>1</v>
      </c>
      <c r="AK449" s="14" t="n">
        <f aca="false">IF($L449=2017,1,0)</f>
        <v>0</v>
      </c>
      <c r="AL449" s="14" t="n">
        <f aca="false">IF($H449="Beginner Level",1,0)</f>
        <v>0</v>
      </c>
      <c r="AM449" s="14" t="n">
        <f aca="false">IF($H449="Expert Level",1,0)</f>
        <v>0</v>
      </c>
      <c r="AN449" s="14" t="n">
        <f aca="false">IF($H449="Intermediate Level",1,0)</f>
        <v>0</v>
      </c>
    </row>
    <row r="450" customFormat="false" ht="57.45" hidden="false" customHeight="false" outlineLevel="0" collapsed="false">
      <c r="A450" s="14" t="n">
        <v>82412</v>
      </c>
      <c r="B450" s="14" t="s">
        <v>943</v>
      </c>
      <c r="C450" s="14" t="s">
        <v>944</v>
      </c>
      <c r="D450" s="14" t="n">
        <v>200</v>
      </c>
      <c r="E450" s="14" t="n">
        <v>4040</v>
      </c>
      <c r="F450" s="14" t="n">
        <v>72</v>
      </c>
      <c r="G450" s="14" t="n">
        <v>20</v>
      </c>
      <c r="H450" s="14" t="s">
        <v>52</v>
      </c>
      <c r="I450" s="14" t="n">
        <v>0.92</v>
      </c>
      <c r="J450" s="14" t="n">
        <v>1.5</v>
      </c>
      <c r="K450" s="14" t="s">
        <v>59</v>
      </c>
      <c r="L450" s="14" t="n">
        <v>2013</v>
      </c>
      <c r="M450" s="14" t="n">
        <v>8.3039999709552</v>
      </c>
      <c r="N450" s="14" t="n">
        <v>5.29836736529808</v>
      </c>
      <c r="P450" s="14" t="n">
        <f aca="false">D450</f>
        <v>200</v>
      </c>
      <c r="Q450" s="14" t="n">
        <f aca="false">G450</f>
        <v>20</v>
      </c>
      <c r="R450" s="14" t="n">
        <f aca="false">J450</f>
        <v>1.5</v>
      </c>
      <c r="S450" s="14" t="n">
        <f aca="false">IF($L450=2012,1,0)</f>
        <v>0</v>
      </c>
      <c r="T450" s="14" t="n">
        <f aca="false">IF($L450=2013,1,0)</f>
        <v>1</v>
      </c>
      <c r="U450" s="14" t="n">
        <f aca="false">IF($L450=2014,1,0)</f>
        <v>0</v>
      </c>
      <c r="V450" s="14" t="n">
        <f aca="false">IF($L450=2015,1,0)</f>
        <v>0</v>
      </c>
      <c r="W450" s="14" t="n">
        <f aca="false">IF($L450=2016,1,0)</f>
        <v>0</v>
      </c>
      <c r="X450" s="14" t="n">
        <f aca="false">IF($L450=2017,1,0)</f>
        <v>0</v>
      </c>
      <c r="Y450" s="14" t="n">
        <f aca="false">IF($H450="Beginner Level",1,0)</f>
        <v>1</v>
      </c>
      <c r="Z450" s="14" t="n">
        <f aca="false">IF($H450="Expert Level",1,0)</f>
        <v>0</v>
      </c>
      <c r="AA450" s="14" t="n">
        <f aca="false">IF($H450="Intermediate Level",1,0)</f>
        <v>0</v>
      </c>
      <c r="AC450" s="14" t="n">
        <f aca="false">N450</f>
        <v>5.29836736529808</v>
      </c>
      <c r="AD450" s="14" t="n">
        <f aca="false">G450</f>
        <v>20</v>
      </c>
      <c r="AE450" s="14" t="n">
        <f aca="false">J450</f>
        <v>1.5</v>
      </c>
      <c r="AF450" s="14" t="n">
        <f aca="false">IF($L450=2012,1,0)</f>
        <v>0</v>
      </c>
      <c r="AG450" s="14" t="n">
        <f aca="false">IF($L450=2013,1,0)</f>
        <v>1</v>
      </c>
      <c r="AH450" s="14" t="n">
        <f aca="false">IF($L450=2014,1,0)</f>
        <v>0</v>
      </c>
      <c r="AI450" s="14" t="n">
        <f aca="false">IF($L450=2015,1,0)</f>
        <v>0</v>
      </c>
      <c r="AJ450" s="14" t="n">
        <f aca="false">IF($L450=2016,1,0)</f>
        <v>0</v>
      </c>
      <c r="AK450" s="14" t="n">
        <f aca="false">IF($L450=2017,1,0)</f>
        <v>0</v>
      </c>
      <c r="AL450" s="14" t="n">
        <f aca="false">IF($H450="Beginner Level",1,0)</f>
        <v>1</v>
      </c>
      <c r="AM450" s="14" t="n">
        <f aca="false">IF($H450="Expert Level",1,0)</f>
        <v>0</v>
      </c>
      <c r="AN450" s="14" t="n">
        <f aca="false">IF($H450="Intermediate Level",1,0)</f>
        <v>0</v>
      </c>
    </row>
    <row r="451" customFormat="false" ht="68.65" hidden="false" customHeight="false" outlineLevel="0" collapsed="false">
      <c r="A451" s="14" t="n">
        <v>761768</v>
      </c>
      <c r="B451" s="14" t="s">
        <v>945</v>
      </c>
      <c r="C451" s="14" t="s">
        <v>946</v>
      </c>
      <c r="D451" s="14" t="n">
        <v>200</v>
      </c>
      <c r="E451" s="14" t="n">
        <v>4033</v>
      </c>
      <c r="F451" s="14" t="n">
        <v>40</v>
      </c>
      <c r="G451" s="14" t="n">
        <v>25</v>
      </c>
      <c r="H451" s="14" t="s">
        <v>71</v>
      </c>
      <c r="I451" s="14" t="n">
        <v>0.92</v>
      </c>
      <c r="J451" s="14" t="n">
        <v>3</v>
      </c>
      <c r="K451" s="14" t="s">
        <v>59</v>
      </c>
      <c r="L451" s="14" t="n">
        <v>2016</v>
      </c>
      <c r="M451" s="14" t="n">
        <v>8.30226579487337</v>
      </c>
      <c r="N451" s="14" t="n">
        <v>5.29836736529808</v>
      </c>
      <c r="P451" s="14" t="n">
        <f aca="false">D451</f>
        <v>200</v>
      </c>
      <c r="Q451" s="14" t="n">
        <f aca="false">G451</f>
        <v>25</v>
      </c>
      <c r="R451" s="14" t="n">
        <f aca="false">J451</f>
        <v>3</v>
      </c>
      <c r="S451" s="14" t="n">
        <f aca="false">IF($L451=2012,1,0)</f>
        <v>0</v>
      </c>
      <c r="T451" s="14" t="n">
        <f aca="false">IF($L451=2013,1,0)</f>
        <v>0</v>
      </c>
      <c r="U451" s="14" t="n">
        <f aca="false">IF($L451=2014,1,0)</f>
        <v>0</v>
      </c>
      <c r="V451" s="14" t="n">
        <f aca="false">IF($L451=2015,1,0)</f>
        <v>0</v>
      </c>
      <c r="W451" s="14" t="n">
        <f aca="false">IF($L451=2016,1,0)</f>
        <v>1</v>
      </c>
      <c r="X451" s="14" t="n">
        <f aca="false">IF($L451=2017,1,0)</f>
        <v>0</v>
      </c>
      <c r="Y451" s="14" t="n">
        <f aca="false">IF($H451="Beginner Level",1,0)</f>
        <v>0</v>
      </c>
      <c r="Z451" s="14" t="n">
        <f aca="false">IF($H451="Expert Level",1,0)</f>
        <v>0</v>
      </c>
      <c r="AA451" s="14" t="n">
        <f aca="false">IF($H451="Intermediate Level",1,0)</f>
        <v>1</v>
      </c>
      <c r="AC451" s="14" t="n">
        <f aca="false">N451</f>
        <v>5.29836736529808</v>
      </c>
      <c r="AD451" s="14" t="n">
        <f aca="false">G451</f>
        <v>25</v>
      </c>
      <c r="AE451" s="14" t="n">
        <f aca="false">J451</f>
        <v>3</v>
      </c>
      <c r="AF451" s="14" t="n">
        <f aca="false">IF($L451=2012,1,0)</f>
        <v>0</v>
      </c>
      <c r="AG451" s="14" t="n">
        <f aca="false">IF($L451=2013,1,0)</f>
        <v>0</v>
      </c>
      <c r="AH451" s="14" t="n">
        <f aca="false">IF($L451=2014,1,0)</f>
        <v>0</v>
      </c>
      <c r="AI451" s="14" t="n">
        <f aca="false">IF($L451=2015,1,0)</f>
        <v>0</v>
      </c>
      <c r="AJ451" s="14" t="n">
        <f aca="false">IF($L451=2016,1,0)</f>
        <v>1</v>
      </c>
      <c r="AK451" s="14" t="n">
        <f aca="false">IF($L451=2017,1,0)</f>
        <v>0</v>
      </c>
      <c r="AL451" s="14" t="n">
        <f aca="false">IF($H451="Beginner Level",1,0)</f>
        <v>0</v>
      </c>
      <c r="AM451" s="14" t="n">
        <f aca="false">IF($H451="Expert Level",1,0)</f>
        <v>0</v>
      </c>
      <c r="AN451" s="14" t="n">
        <f aca="false">IF($H451="Intermediate Level",1,0)</f>
        <v>1</v>
      </c>
    </row>
    <row r="452" customFormat="false" ht="57.45" hidden="false" customHeight="false" outlineLevel="0" collapsed="false">
      <c r="A452" s="14" t="n">
        <v>720144</v>
      </c>
      <c r="B452" s="14" t="s">
        <v>947</v>
      </c>
      <c r="C452" s="14" t="s">
        <v>948</v>
      </c>
      <c r="D452" s="14" t="n">
        <v>30</v>
      </c>
      <c r="E452" s="14" t="n">
        <v>4030</v>
      </c>
      <c r="F452" s="14" t="n">
        <v>92</v>
      </c>
      <c r="G452" s="14" t="n">
        <v>46</v>
      </c>
      <c r="H452" s="14" t="s">
        <v>62</v>
      </c>
      <c r="I452" s="14" t="n">
        <v>0.92</v>
      </c>
      <c r="J452" s="14" t="n">
        <v>9</v>
      </c>
      <c r="K452" s="14" t="s">
        <v>59</v>
      </c>
      <c r="L452" s="14" t="n">
        <v>2016</v>
      </c>
      <c r="M452" s="14" t="n">
        <v>8.30152165494073</v>
      </c>
      <c r="N452" s="14" t="n">
        <v>3.40153065945228</v>
      </c>
      <c r="P452" s="14" t="n">
        <f aca="false">D452</f>
        <v>30</v>
      </c>
      <c r="Q452" s="14" t="n">
        <f aca="false">G452</f>
        <v>46</v>
      </c>
      <c r="R452" s="14" t="n">
        <f aca="false">J452</f>
        <v>9</v>
      </c>
      <c r="S452" s="14" t="n">
        <f aca="false">IF($L452=2012,1,0)</f>
        <v>0</v>
      </c>
      <c r="T452" s="14" t="n">
        <f aca="false">IF($L452=2013,1,0)</f>
        <v>0</v>
      </c>
      <c r="U452" s="14" t="n">
        <f aca="false">IF($L452=2014,1,0)</f>
        <v>0</v>
      </c>
      <c r="V452" s="14" t="n">
        <f aca="false">IF($L452=2015,1,0)</f>
        <v>0</v>
      </c>
      <c r="W452" s="14" t="n">
        <f aca="false">IF($L452=2016,1,0)</f>
        <v>1</v>
      </c>
      <c r="X452" s="14" t="n">
        <f aca="false">IF($L452=2017,1,0)</f>
        <v>0</v>
      </c>
      <c r="Y452" s="14" t="n">
        <f aca="false">IF($H452="Beginner Level",1,0)</f>
        <v>0</v>
      </c>
      <c r="Z452" s="14" t="n">
        <f aca="false">IF($H452="Expert Level",1,0)</f>
        <v>0</v>
      </c>
      <c r="AA452" s="14" t="n">
        <f aca="false">IF($H452="Intermediate Level",1,0)</f>
        <v>0</v>
      </c>
      <c r="AC452" s="14" t="n">
        <f aca="false">N452</f>
        <v>3.40153065945228</v>
      </c>
      <c r="AD452" s="14" t="n">
        <f aca="false">G452</f>
        <v>46</v>
      </c>
      <c r="AE452" s="14" t="n">
        <f aca="false">J452</f>
        <v>9</v>
      </c>
      <c r="AF452" s="14" t="n">
        <f aca="false">IF($L452=2012,1,0)</f>
        <v>0</v>
      </c>
      <c r="AG452" s="14" t="n">
        <f aca="false">IF($L452=2013,1,0)</f>
        <v>0</v>
      </c>
      <c r="AH452" s="14" t="n">
        <f aca="false">IF($L452=2014,1,0)</f>
        <v>0</v>
      </c>
      <c r="AI452" s="14" t="n">
        <f aca="false">IF($L452=2015,1,0)</f>
        <v>0</v>
      </c>
      <c r="AJ452" s="14" t="n">
        <f aca="false">IF($L452=2016,1,0)</f>
        <v>1</v>
      </c>
      <c r="AK452" s="14" t="n">
        <f aca="false">IF($L452=2017,1,0)</f>
        <v>0</v>
      </c>
      <c r="AL452" s="14" t="n">
        <f aca="false">IF($H452="Beginner Level",1,0)</f>
        <v>0</v>
      </c>
      <c r="AM452" s="14" t="n">
        <f aca="false">IF($H452="Expert Level",1,0)</f>
        <v>0</v>
      </c>
      <c r="AN452" s="14" t="n">
        <f aca="false">IF($H452="Intermediate Level",1,0)</f>
        <v>0</v>
      </c>
    </row>
    <row r="453" customFormat="false" ht="57.45" hidden="false" customHeight="false" outlineLevel="0" collapsed="false">
      <c r="A453" s="14" t="n">
        <v>860812</v>
      </c>
      <c r="B453" s="14" t="s">
        <v>949</v>
      </c>
      <c r="C453" s="14" t="s">
        <v>950</v>
      </c>
      <c r="D453" s="14" t="n">
        <v>120</v>
      </c>
      <c r="E453" s="14" t="n">
        <v>4028</v>
      </c>
      <c r="F453" s="14" t="n">
        <v>674</v>
      </c>
      <c r="G453" s="14" t="n">
        <v>93</v>
      </c>
      <c r="H453" s="14" t="s">
        <v>71</v>
      </c>
      <c r="I453" s="14" t="n">
        <v>0.92</v>
      </c>
      <c r="J453" s="14" t="n">
        <v>9</v>
      </c>
      <c r="K453" s="14" t="s">
        <v>59</v>
      </c>
      <c r="L453" s="14" t="n">
        <v>2016</v>
      </c>
      <c r="M453" s="14" t="n">
        <v>8.30102525383845</v>
      </c>
      <c r="N453" s="14" t="n">
        <v>4.78757507264335</v>
      </c>
      <c r="P453" s="14" t="n">
        <f aca="false">D453</f>
        <v>120</v>
      </c>
      <c r="Q453" s="14" t="n">
        <f aca="false">G453</f>
        <v>93</v>
      </c>
      <c r="R453" s="14" t="n">
        <f aca="false">J453</f>
        <v>9</v>
      </c>
      <c r="S453" s="14" t="n">
        <f aca="false">IF($L453=2012,1,0)</f>
        <v>0</v>
      </c>
      <c r="T453" s="14" t="n">
        <f aca="false">IF($L453=2013,1,0)</f>
        <v>0</v>
      </c>
      <c r="U453" s="14" t="n">
        <f aca="false">IF($L453=2014,1,0)</f>
        <v>0</v>
      </c>
      <c r="V453" s="14" t="n">
        <f aca="false">IF($L453=2015,1,0)</f>
        <v>0</v>
      </c>
      <c r="W453" s="14" t="n">
        <f aca="false">IF($L453=2016,1,0)</f>
        <v>1</v>
      </c>
      <c r="X453" s="14" t="n">
        <f aca="false">IF($L453=2017,1,0)</f>
        <v>0</v>
      </c>
      <c r="Y453" s="14" t="n">
        <f aca="false">IF($H453="Beginner Level",1,0)</f>
        <v>0</v>
      </c>
      <c r="Z453" s="14" t="n">
        <f aca="false">IF($H453="Expert Level",1,0)</f>
        <v>0</v>
      </c>
      <c r="AA453" s="14" t="n">
        <f aca="false">IF($H453="Intermediate Level",1,0)</f>
        <v>1</v>
      </c>
      <c r="AC453" s="14" t="n">
        <f aca="false">N453</f>
        <v>4.78757507264335</v>
      </c>
      <c r="AD453" s="14" t="n">
        <f aca="false">G453</f>
        <v>93</v>
      </c>
      <c r="AE453" s="14" t="n">
        <f aca="false">J453</f>
        <v>9</v>
      </c>
      <c r="AF453" s="14" t="n">
        <f aca="false">IF($L453=2012,1,0)</f>
        <v>0</v>
      </c>
      <c r="AG453" s="14" t="n">
        <f aca="false">IF($L453=2013,1,0)</f>
        <v>0</v>
      </c>
      <c r="AH453" s="14" t="n">
        <f aca="false">IF($L453=2014,1,0)</f>
        <v>0</v>
      </c>
      <c r="AI453" s="14" t="n">
        <f aca="false">IF($L453=2015,1,0)</f>
        <v>0</v>
      </c>
      <c r="AJ453" s="14" t="n">
        <f aca="false">IF($L453=2016,1,0)</f>
        <v>1</v>
      </c>
      <c r="AK453" s="14" t="n">
        <f aca="false">IF($L453=2017,1,0)</f>
        <v>0</v>
      </c>
      <c r="AL453" s="14" t="n">
        <f aca="false">IF($H453="Beginner Level",1,0)</f>
        <v>0</v>
      </c>
      <c r="AM453" s="14" t="n">
        <f aca="false">IF($H453="Expert Level",1,0)</f>
        <v>0</v>
      </c>
      <c r="AN453" s="14" t="n">
        <f aca="false">IF($H453="Intermediate Level",1,0)</f>
        <v>1</v>
      </c>
    </row>
    <row r="454" customFormat="false" ht="46.25" hidden="false" customHeight="false" outlineLevel="0" collapsed="false">
      <c r="A454" s="14" t="n">
        <v>365816</v>
      </c>
      <c r="B454" s="14" t="s">
        <v>951</v>
      </c>
      <c r="C454" s="14" t="s">
        <v>952</v>
      </c>
      <c r="D454" s="14" t="n">
        <v>145</v>
      </c>
      <c r="E454" s="14" t="n">
        <v>4020</v>
      </c>
      <c r="F454" s="14" t="n">
        <v>95</v>
      </c>
      <c r="G454" s="14" t="n">
        <v>52</v>
      </c>
      <c r="H454" s="14" t="s">
        <v>71</v>
      </c>
      <c r="I454" s="14" t="n">
        <v>0.92</v>
      </c>
      <c r="J454" s="14" t="n">
        <v>3.5</v>
      </c>
      <c r="K454" s="14" t="s">
        <v>59</v>
      </c>
      <c r="L454" s="14" t="n">
        <v>2015</v>
      </c>
      <c r="M454" s="14" t="n">
        <v>8.29903718161307</v>
      </c>
      <c r="N454" s="14" t="n">
        <v>4.9768027055598</v>
      </c>
      <c r="P454" s="14" t="n">
        <f aca="false">D454</f>
        <v>145</v>
      </c>
      <c r="Q454" s="14" t="n">
        <f aca="false">G454</f>
        <v>52</v>
      </c>
      <c r="R454" s="14" t="n">
        <f aca="false">J454</f>
        <v>3.5</v>
      </c>
      <c r="S454" s="14" t="n">
        <f aca="false">IF($L454=2012,1,0)</f>
        <v>0</v>
      </c>
      <c r="T454" s="14" t="n">
        <f aca="false">IF($L454=2013,1,0)</f>
        <v>0</v>
      </c>
      <c r="U454" s="14" t="n">
        <f aca="false">IF($L454=2014,1,0)</f>
        <v>0</v>
      </c>
      <c r="V454" s="14" t="n">
        <f aca="false">IF($L454=2015,1,0)</f>
        <v>1</v>
      </c>
      <c r="W454" s="14" t="n">
        <f aca="false">IF($L454=2016,1,0)</f>
        <v>0</v>
      </c>
      <c r="X454" s="14" t="n">
        <f aca="false">IF($L454=2017,1,0)</f>
        <v>0</v>
      </c>
      <c r="Y454" s="14" t="n">
        <f aca="false">IF($H454="Beginner Level",1,0)</f>
        <v>0</v>
      </c>
      <c r="Z454" s="14" t="n">
        <f aca="false">IF($H454="Expert Level",1,0)</f>
        <v>0</v>
      </c>
      <c r="AA454" s="14" t="n">
        <f aca="false">IF($H454="Intermediate Level",1,0)</f>
        <v>1</v>
      </c>
      <c r="AC454" s="14" t="n">
        <f aca="false">N454</f>
        <v>4.9768027055598</v>
      </c>
      <c r="AD454" s="14" t="n">
        <f aca="false">G454</f>
        <v>52</v>
      </c>
      <c r="AE454" s="14" t="n">
        <f aca="false">J454</f>
        <v>3.5</v>
      </c>
      <c r="AF454" s="14" t="n">
        <f aca="false">IF($L454=2012,1,0)</f>
        <v>0</v>
      </c>
      <c r="AG454" s="14" t="n">
        <f aca="false">IF($L454=2013,1,0)</f>
        <v>0</v>
      </c>
      <c r="AH454" s="14" t="n">
        <f aca="false">IF($L454=2014,1,0)</f>
        <v>0</v>
      </c>
      <c r="AI454" s="14" t="n">
        <f aca="false">IF($L454=2015,1,0)</f>
        <v>1</v>
      </c>
      <c r="AJ454" s="14" t="n">
        <f aca="false">IF($L454=2016,1,0)</f>
        <v>0</v>
      </c>
      <c r="AK454" s="14" t="n">
        <f aca="false">IF($L454=2017,1,0)</f>
        <v>0</v>
      </c>
      <c r="AL454" s="14" t="n">
        <f aca="false">IF($H454="Beginner Level",1,0)</f>
        <v>0</v>
      </c>
      <c r="AM454" s="14" t="n">
        <f aca="false">IF($H454="Expert Level",1,0)</f>
        <v>0</v>
      </c>
      <c r="AN454" s="14" t="n">
        <f aca="false">IF($H454="Intermediate Level",1,0)</f>
        <v>1</v>
      </c>
    </row>
    <row r="455" customFormat="false" ht="46.25" hidden="false" customHeight="false" outlineLevel="0" collapsed="false">
      <c r="A455" s="14" t="n">
        <v>384078</v>
      </c>
      <c r="B455" s="14" t="s">
        <v>953</v>
      </c>
      <c r="C455" s="14" t="s">
        <v>954</v>
      </c>
      <c r="D455" s="14" t="n">
        <v>20</v>
      </c>
      <c r="E455" s="14" t="n">
        <v>4011</v>
      </c>
      <c r="F455" s="14" t="n">
        <v>24</v>
      </c>
      <c r="G455" s="14" t="n">
        <v>17</v>
      </c>
      <c r="H455" s="14" t="s">
        <v>71</v>
      </c>
      <c r="I455" s="14" t="n">
        <v>0.92</v>
      </c>
      <c r="J455" s="14" t="n">
        <v>1.5</v>
      </c>
      <c r="K455" s="14" t="s">
        <v>59</v>
      </c>
      <c r="L455" s="14" t="n">
        <v>2015</v>
      </c>
      <c r="M455" s="14" t="n">
        <v>8.29679586577005</v>
      </c>
      <c r="N455" s="14" t="n">
        <v>2.99623214859564</v>
      </c>
      <c r="P455" s="14" t="n">
        <f aca="false">D455</f>
        <v>20</v>
      </c>
      <c r="Q455" s="14" t="n">
        <f aca="false">G455</f>
        <v>17</v>
      </c>
      <c r="R455" s="14" t="n">
        <f aca="false">J455</f>
        <v>1.5</v>
      </c>
      <c r="S455" s="14" t="n">
        <f aca="false">IF($L455=2012,1,0)</f>
        <v>0</v>
      </c>
      <c r="T455" s="14" t="n">
        <f aca="false">IF($L455=2013,1,0)</f>
        <v>0</v>
      </c>
      <c r="U455" s="14" t="n">
        <f aca="false">IF($L455=2014,1,0)</f>
        <v>0</v>
      </c>
      <c r="V455" s="14" t="n">
        <f aca="false">IF($L455=2015,1,0)</f>
        <v>1</v>
      </c>
      <c r="W455" s="14" t="n">
        <f aca="false">IF($L455=2016,1,0)</f>
        <v>0</v>
      </c>
      <c r="X455" s="14" t="n">
        <f aca="false">IF($L455=2017,1,0)</f>
        <v>0</v>
      </c>
      <c r="Y455" s="14" t="n">
        <f aca="false">IF($H455="Beginner Level",1,0)</f>
        <v>0</v>
      </c>
      <c r="Z455" s="14" t="n">
        <f aca="false">IF($H455="Expert Level",1,0)</f>
        <v>0</v>
      </c>
      <c r="AA455" s="14" t="n">
        <f aca="false">IF($H455="Intermediate Level",1,0)</f>
        <v>1</v>
      </c>
      <c r="AC455" s="14" t="n">
        <f aca="false">N455</f>
        <v>2.99623214859564</v>
      </c>
      <c r="AD455" s="14" t="n">
        <f aca="false">G455</f>
        <v>17</v>
      </c>
      <c r="AE455" s="14" t="n">
        <f aca="false">J455</f>
        <v>1.5</v>
      </c>
      <c r="AF455" s="14" t="n">
        <f aca="false">IF($L455=2012,1,0)</f>
        <v>0</v>
      </c>
      <c r="AG455" s="14" t="n">
        <f aca="false">IF($L455=2013,1,0)</f>
        <v>0</v>
      </c>
      <c r="AH455" s="14" t="n">
        <f aca="false">IF($L455=2014,1,0)</f>
        <v>0</v>
      </c>
      <c r="AI455" s="14" t="n">
        <f aca="false">IF($L455=2015,1,0)</f>
        <v>1</v>
      </c>
      <c r="AJ455" s="14" t="n">
        <f aca="false">IF($L455=2016,1,0)</f>
        <v>0</v>
      </c>
      <c r="AK455" s="14" t="n">
        <f aca="false">IF($L455=2017,1,0)</f>
        <v>0</v>
      </c>
      <c r="AL455" s="14" t="n">
        <f aca="false">IF($H455="Beginner Level",1,0)</f>
        <v>0</v>
      </c>
      <c r="AM455" s="14" t="n">
        <f aca="false">IF($H455="Expert Level",1,0)</f>
        <v>0</v>
      </c>
      <c r="AN455" s="14" t="n">
        <f aca="false">IF($H455="Intermediate Level",1,0)</f>
        <v>1</v>
      </c>
    </row>
    <row r="456" customFormat="false" ht="57.45" hidden="false" customHeight="false" outlineLevel="0" collapsed="false">
      <c r="A456" s="14" t="n">
        <v>875882</v>
      </c>
      <c r="B456" s="14" t="s">
        <v>955</v>
      </c>
      <c r="C456" s="14" t="s">
        <v>956</v>
      </c>
      <c r="D456" s="14" t="n">
        <v>25</v>
      </c>
      <c r="E456" s="14" t="n">
        <v>4010</v>
      </c>
      <c r="F456" s="14" t="n">
        <v>17</v>
      </c>
      <c r="G456" s="14" t="n">
        <v>12</v>
      </c>
      <c r="H456" s="14" t="s">
        <v>62</v>
      </c>
      <c r="I456" s="14" t="n">
        <v>0.92</v>
      </c>
      <c r="J456" s="14" t="n">
        <v>1</v>
      </c>
      <c r="K456" s="14" t="s">
        <v>59</v>
      </c>
      <c r="L456" s="14" t="n">
        <v>2016</v>
      </c>
      <c r="M456" s="14" t="n">
        <v>8.29654652030061</v>
      </c>
      <c r="N456" s="14" t="n">
        <v>3.21927574488953</v>
      </c>
      <c r="P456" s="14" t="n">
        <f aca="false">D456</f>
        <v>25</v>
      </c>
      <c r="Q456" s="14" t="n">
        <f aca="false">G456</f>
        <v>12</v>
      </c>
      <c r="R456" s="14" t="n">
        <f aca="false">J456</f>
        <v>1</v>
      </c>
      <c r="S456" s="14" t="n">
        <f aca="false">IF($L456=2012,1,0)</f>
        <v>0</v>
      </c>
      <c r="T456" s="14" t="n">
        <f aca="false">IF($L456=2013,1,0)</f>
        <v>0</v>
      </c>
      <c r="U456" s="14" t="n">
        <f aca="false">IF($L456=2014,1,0)</f>
        <v>0</v>
      </c>
      <c r="V456" s="14" t="n">
        <f aca="false">IF($L456=2015,1,0)</f>
        <v>0</v>
      </c>
      <c r="W456" s="14" t="n">
        <f aca="false">IF($L456=2016,1,0)</f>
        <v>1</v>
      </c>
      <c r="X456" s="14" t="n">
        <f aca="false">IF($L456=2017,1,0)</f>
        <v>0</v>
      </c>
      <c r="Y456" s="14" t="n">
        <f aca="false">IF($H456="Beginner Level",1,0)</f>
        <v>0</v>
      </c>
      <c r="Z456" s="14" t="n">
        <f aca="false">IF($H456="Expert Level",1,0)</f>
        <v>0</v>
      </c>
      <c r="AA456" s="14" t="n">
        <f aca="false">IF($H456="Intermediate Level",1,0)</f>
        <v>0</v>
      </c>
      <c r="AC456" s="14" t="n">
        <f aca="false">N456</f>
        <v>3.21927574488953</v>
      </c>
      <c r="AD456" s="14" t="n">
        <f aca="false">G456</f>
        <v>12</v>
      </c>
      <c r="AE456" s="14" t="n">
        <f aca="false">J456</f>
        <v>1</v>
      </c>
      <c r="AF456" s="14" t="n">
        <f aca="false">IF($L456=2012,1,0)</f>
        <v>0</v>
      </c>
      <c r="AG456" s="14" t="n">
        <f aca="false">IF($L456=2013,1,0)</f>
        <v>0</v>
      </c>
      <c r="AH456" s="14" t="n">
        <f aca="false">IF($L456=2014,1,0)</f>
        <v>0</v>
      </c>
      <c r="AI456" s="14" t="n">
        <f aca="false">IF($L456=2015,1,0)</f>
        <v>0</v>
      </c>
      <c r="AJ456" s="14" t="n">
        <f aca="false">IF($L456=2016,1,0)</f>
        <v>1</v>
      </c>
      <c r="AK456" s="14" t="n">
        <f aca="false">IF($L456=2017,1,0)</f>
        <v>0</v>
      </c>
      <c r="AL456" s="14" t="n">
        <f aca="false">IF($H456="Beginner Level",1,0)</f>
        <v>0</v>
      </c>
      <c r="AM456" s="14" t="n">
        <f aca="false">IF($H456="Expert Level",1,0)</f>
        <v>0</v>
      </c>
      <c r="AN456" s="14" t="n">
        <f aca="false">IF($H456="Intermediate Level",1,0)</f>
        <v>0</v>
      </c>
    </row>
    <row r="457" customFormat="false" ht="79.85" hidden="false" customHeight="false" outlineLevel="0" collapsed="false">
      <c r="A457" s="14" t="n">
        <v>1200874</v>
      </c>
      <c r="B457" s="14" t="s">
        <v>957</v>
      </c>
      <c r="C457" s="14" t="s">
        <v>958</v>
      </c>
      <c r="D457" s="14" t="n">
        <v>195</v>
      </c>
      <c r="E457" s="14" t="n">
        <v>4001</v>
      </c>
      <c r="F457" s="14" t="n">
        <v>8</v>
      </c>
      <c r="G457" s="14" t="n">
        <v>37</v>
      </c>
      <c r="H457" s="14" t="s">
        <v>62</v>
      </c>
      <c r="I457" s="14" t="n">
        <v>0.92</v>
      </c>
      <c r="J457" s="14" t="n">
        <v>4</v>
      </c>
      <c r="K457" s="14" t="s">
        <v>59</v>
      </c>
      <c r="L457" s="14" t="n">
        <v>2017</v>
      </c>
      <c r="M457" s="14" t="n">
        <v>8.29429960885724</v>
      </c>
      <c r="N457" s="14" t="n">
        <v>5.27305083930015</v>
      </c>
      <c r="P457" s="14" t="n">
        <f aca="false">D457</f>
        <v>195</v>
      </c>
      <c r="Q457" s="14" t="n">
        <f aca="false">G457</f>
        <v>37</v>
      </c>
      <c r="R457" s="14" t="n">
        <f aca="false">J457</f>
        <v>4</v>
      </c>
      <c r="S457" s="14" t="n">
        <f aca="false">IF($L457=2012,1,0)</f>
        <v>0</v>
      </c>
      <c r="T457" s="14" t="n">
        <f aca="false">IF($L457=2013,1,0)</f>
        <v>0</v>
      </c>
      <c r="U457" s="14" t="n">
        <f aca="false">IF($L457=2014,1,0)</f>
        <v>0</v>
      </c>
      <c r="V457" s="14" t="n">
        <f aca="false">IF($L457=2015,1,0)</f>
        <v>0</v>
      </c>
      <c r="W457" s="14" t="n">
        <f aca="false">IF($L457=2016,1,0)</f>
        <v>0</v>
      </c>
      <c r="X457" s="14" t="n">
        <f aca="false">IF($L457=2017,1,0)</f>
        <v>1</v>
      </c>
      <c r="Y457" s="14" t="n">
        <f aca="false">IF($H457="Beginner Level",1,0)</f>
        <v>0</v>
      </c>
      <c r="Z457" s="14" t="n">
        <f aca="false">IF($H457="Expert Level",1,0)</f>
        <v>0</v>
      </c>
      <c r="AA457" s="14" t="n">
        <f aca="false">IF($H457="Intermediate Level",1,0)</f>
        <v>0</v>
      </c>
      <c r="AC457" s="14" t="n">
        <f aca="false">N457</f>
        <v>5.27305083930015</v>
      </c>
      <c r="AD457" s="14" t="n">
        <f aca="false">G457</f>
        <v>37</v>
      </c>
      <c r="AE457" s="14" t="n">
        <f aca="false">J457</f>
        <v>4</v>
      </c>
      <c r="AF457" s="14" t="n">
        <f aca="false">IF($L457=2012,1,0)</f>
        <v>0</v>
      </c>
      <c r="AG457" s="14" t="n">
        <f aca="false">IF($L457=2013,1,0)</f>
        <v>0</v>
      </c>
      <c r="AH457" s="14" t="n">
        <f aca="false">IF($L457=2014,1,0)</f>
        <v>0</v>
      </c>
      <c r="AI457" s="14" t="n">
        <f aca="false">IF($L457=2015,1,0)</f>
        <v>0</v>
      </c>
      <c r="AJ457" s="14" t="n">
        <f aca="false">IF($L457=2016,1,0)</f>
        <v>0</v>
      </c>
      <c r="AK457" s="14" t="n">
        <f aca="false">IF($L457=2017,1,0)</f>
        <v>1</v>
      </c>
      <c r="AL457" s="14" t="n">
        <f aca="false">IF($H457="Beginner Level",1,0)</f>
        <v>0</v>
      </c>
      <c r="AM457" s="14" t="n">
        <f aca="false">IF($H457="Expert Level",1,0)</f>
        <v>0</v>
      </c>
      <c r="AN457" s="14" t="n">
        <f aca="false">IF($H457="Intermediate Level",1,0)</f>
        <v>0</v>
      </c>
    </row>
    <row r="458" customFormat="false" ht="68.65" hidden="false" customHeight="false" outlineLevel="0" collapsed="false">
      <c r="A458" s="14" t="n">
        <v>912996</v>
      </c>
      <c r="B458" s="14" t="s">
        <v>959</v>
      </c>
      <c r="C458" s="14" t="s">
        <v>960</v>
      </c>
      <c r="D458" s="14" t="n">
        <v>30</v>
      </c>
      <c r="E458" s="14" t="n">
        <v>3960</v>
      </c>
      <c r="F458" s="14" t="n">
        <v>220</v>
      </c>
      <c r="G458" s="14" t="n">
        <v>47</v>
      </c>
      <c r="H458" s="14" t="s">
        <v>52</v>
      </c>
      <c r="I458" s="14" t="n">
        <v>0.92</v>
      </c>
      <c r="J458" s="14" t="n">
        <v>4.5</v>
      </c>
      <c r="K458" s="14" t="s">
        <v>59</v>
      </c>
      <c r="L458" s="14" t="n">
        <v>2016</v>
      </c>
      <c r="M458" s="14" t="n">
        <v>8.28399930424853</v>
      </c>
      <c r="N458" s="14" t="n">
        <v>3.40153065945228</v>
      </c>
      <c r="P458" s="14" t="n">
        <f aca="false">D458</f>
        <v>30</v>
      </c>
      <c r="Q458" s="14" t="n">
        <f aca="false">G458</f>
        <v>47</v>
      </c>
      <c r="R458" s="14" t="n">
        <f aca="false">J458</f>
        <v>4.5</v>
      </c>
      <c r="S458" s="14" t="n">
        <f aca="false">IF($L458=2012,1,0)</f>
        <v>0</v>
      </c>
      <c r="T458" s="14" t="n">
        <f aca="false">IF($L458=2013,1,0)</f>
        <v>0</v>
      </c>
      <c r="U458" s="14" t="n">
        <f aca="false">IF($L458=2014,1,0)</f>
        <v>0</v>
      </c>
      <c r="V458" s="14" t="n">
        <f aca="false">IF($L458=2015,1,0)</f>
        <v>0</v>
      </c>
      <c r="W458" s="14" t="n">
        <f aca="false">IF($L458=2016,1,0)</f>
        <v>1</v>
      </c>
      <c r="X458" s="14" t="n">
        <f aca="false">IF($L458=2017,1,0)</f>
        <v>0</v>
      </c>
      <c r="Y458" s="14" t="n">
        <f aca="false">IF($H458="Beginner Level",1,0)</f>
        <v>1</v>
      </c>
      <c r="Z458" s="14" t="n">
        <f aca="false">IF($H458="Expert Level",1,0)</f>
        <v>0</v>
      </c>
      <c r="AA458" s="14" t="n">
        <f aca="false">IF($H458="Intermediate Level",1,0)</f>
        <v>0</v>
      </c>
      <c r="AC458" s="14" t="n">
        <f aca="false">N458</f>
        <v>3.40153065945228</v>
      </c>
      <c r="AD458" s="14" t="n">
        <f aca="false">G458</f>
        <v>47</v>
      </c>
      <c r="AE458" s="14" t="n">
        <f aca="false">J458</f>
        <v>4.5</v>
      </c>
      <c r="AF458" s="14" t="n">
        <f aca="false">IF($L458=2012,1,0)</f>
        <v>0</v>
      </c>
      <c r="AG458" s="14" t="n">
        <f aca="false">IF($L458=2013,1,0)</f>
        <v>0</v>
      </c>
      <c r="AH458" s="14" t="n">
        <f aca="false">IF($L458=2014,1,0)</f>
        <v>0</v>
      </c>
      <c r="AI458" s="14" t="n">
        <f aca="false">IF($L458=2015,1,0)</f>
        <v>0</v>
      </c>
      <c r="AJ458" s="14" t="n">
        <f aca="false">IF($L458=2016,1,0)</f>
        <v>1</v>
      </c>
      <c r="AK458" s="14" t="n">
        <f aca="false">IF($L458=2017,1,0)</f>
        <v>0</v>
      </c>
      <c r="AL458" s="14" t="n">
        <f aca="false">IF($H458="Beginner Level",1,0)</f>
        <v>1</v>
      </c>
      <c r="AM458" s="14" t="n">
        <f aca="false">IF($H458="Expert Level",1,0)</f>
        <v>0</v>
      </c>
      <c r="AN458" s="14" t="n">
        <f aca="false">IF($H458="Intermediate Level",1,0)</f>
        <v>0</v>
      </c>
    </row>
    <row r="459" customFormat="false" ht="57.45" hidden="false" customHeight="false" outlineLevel="0" collapsed="false">
      <c r="A459" s="14" t="n">
        <v>1176686</v>
      </c>
      <c r="B459" s="14" t="s">
        <v>961</v>
      </c>
      <c r="C459" s="14" t="s">
        <v>962</v>
      </c>
      <c r="D459" s="14" t="n">
        <v>0</v>
      </c>
      <c r="E459" s="14" t="n">
        <v>3933</v>
      </c>
      <c r="F459" s="14" t="n">
        <v>23</v>
      </c>
      <c r="G459" s="14" t="n">
        <v>14</v>
      </c>
      <c r="H459" s="14" t="s">
        <v>62</v>
      </c>
      <c r="I459" s="14" t="n">
        <v>0.92</v>
      </c>
      <c r="J459" s="14" t="n">
        <v>3</v>
      </c>
      <c r="K459" s="14" t="s">
        <v>53</v>
      </c>
      <c r="L459" s="14" t="n">
        <v>2017</v>
      </c>
      <c r="M459" s="14" t="n">
        <v>8.27715777243181</v>
      </c>
      <c r="N459" s="14" t="n">
        <v>-4.60517018598809</v>
      </c>
      <c r="P459" s="14" t="n">
        <f aca="false">D459</f>
        <v>0</v>
      </c>
      <c r="Q459" s="14" t="n">
        <f aca="false">G459</f>
        <v>14</v>
      </c>
      <c r="R459" s="14" t="n">
        <f aca="false">J459</f>
        <v>3</v>
      </c>
      <c r="S459" s="14" t="n">
        <f aca="false">IF($L459=2012,1,0)</f>
        <v>0</v>
      </c>
      <c r="T459" s="14" t="n">
        <f aca="false">IF($L459=2013,1,0)</f>
        <v>0</v>
      </c>
      <c r="U459" s="14" t="n">
        <f aca="false">IF($L459=2014,1,0)</f>
        <v>0</v>
      </c>
      <c r="V459" s="14" t="n">
        <f aca="false">IF($L459=2015,1,0)</f>
        <v>0</v>
      </c>
      <c r="W459" s="14" t="n">
        <f aca="false">IF($L459=2016,1,0)</f>
        <v>0</v>
      </c>
      <c r="X459" s="14" t="n">
        <f aca="false">IF($L459=2017,1,0)</f>
        <v>1</v>
      </c>
      <c r="Y459" s="14" t="n">
        <f aca="false">IF($H459="Beginner Level",1,0)</f>
        <v>0</v>
      </c>
      <c r="Z459" s="14" t="n">
        <f aca="false">IF($H459="Expert Level",1,0)</f>
        <v>0</v>
      </c>
      <c r="AA459" s="14" t="n">
        <f aca="false">IF($H459="Intermediate Level",1,0)</f>
        <v>0</v>
      </c>
      <c r="AC459" s="14" t="n">
        <f aca="false">N459</f>
        <v>-4.60517018598809</v>
      </c>
      <c r="AD459" s="14" t="n">
        <f aca="false">G459</f>
        <v>14</v>
      </c>
      <c r="AE459" s="14" t="n">
        <f aca="false">J459</f>
        <v>3</v>
      </c>
      <c r="AF459" s="14" t="n">
        <f aca="false">IF($L459=2012,1,0)</f>
        <v>0</v>
      </c>
      <c r="AG459" s="14" t="n">
        <f aca="false">IF($L459=2013,1,0)</f>
        <v>0</v>
      </c>
      <c r="AH459" s="14" t="n">
        <f aca="false">IF($L459=2014,1,0)</f>
        <v>0</v>
      </c>
      <c r="AI459" s="14" t="n">
        <f aca="false">IF($L459=2015,1,0)</f>
        <v>0</v>
      </c>
      <c r="AJ459" s="14" t="n">
        <f aca="false">IF($L459=2016,1,0)</f>
        <v>0</v>
      </c>
      <c r="AK459" s="14" t="n">
        <f aca="false">IF($L459=2017,1,0)</f>
        <v>1</v>
      </c>
      <c r="AL459" s="14" t="n">
        <f aca="false">IF($H459="Beginner Level",1,0)</f>
        <v>0</v>
      </c>
      <c r="AM459" s="14" t="n">
        <f aca="false">IF($H459="Expert Level",1,0)</f>
        <v>0</v>
      </c>
      <c r="AN459" s="14" t="n">
        <f aca="false">IF($H459="Intermediate Level",1,0)</f>
        <v>0</v>
      </c>
    </row>
    <row r="460" customFormat="false" ht="79.85" hidden="false" customHeight="false" outlineLevel="0" collapsed="false">
      <c r="A460" s="14" t="n">
        <v>1260288</v>
      </c>
      <c r="B460" s="14" t="s">
        <v>963</v>
      </c>
      <c r="C460" s="14" t="s">
        <v>964</v>
      </c>
      <c r="D460" s="14" t="n">
        <v>20</v>
      </c>
      <c r="E460" s="14" t="n">
        <v>3903</v>
      </c>
      <c r="F460" s="14" t="n">
        <v>53</v>
      </c>
      <c r="G460" s="14" t="n">
        <v>107</v>
      </c>
      <c r="H460" s="14" t="s">
        <v>52</v>
      </c>
      <c r="I460" s="14" t="n">
        <v>0.58</v>
      </c>
      <c r="J460" s="14" t="n">
        <v>10.5</v>
      </c>
      <c r="K460" s="14" t="s">
        <v>59</v>
      </c>
      <c r="L460" s="14" t="n">
        <v>2017</v>
      </c>
      <c r="M460" s="14" t="n">
        <v>8.26950076718062</v>
      </c>
      <c r="N460" s="14" t="n">
        <v>2.99623214859564</v>
      </c>
      <c r="P460" s="14" t="n">
        <f aca="false">D460</f>
        <v>20</v>
      </c>
      <c r="Q460" s="14" t="n">
        <f aca="false">G460</f>
        <v>107</v>
      </c>
      <c r="R460" s="14" t="n">
        <f aca="false">J460</f>
        <v>10.5</v>
      </c>
      <c r="S460" s="14" t="n">
        <f aca="false">IF($L460=2012,1,0)</f>
        <v>0</v>
      </c>
      <c r="T460" s="14" t="n">
        <f aca="false">IF($L460=2013,1,0)</f>
        <v>0</v>
      </c>
      <c r="U460" s="14" t="n">
        <f aca="false">IF($L460=2014,1,0)</f>
        <v>0</v>
      </c>
      <c r="V460" s="14" t="n">
        <f aca="false">IF($L460=2015,1,0)</f>
        <v>0</v>
      </c>
      <c r="W460" s="14" t="n">
        <f aca="false">IF($L460=2016,1,0)</f>
        <v>0</v>
      </c>
      <c r="X460" s="14" t="n">
        <f aca="false">IF($L460=2017,1,0)</f>
        <v>1</v>
      </c>
      <c r="Y460" s="14" t="n">
        <f aca="false">IF($H460="Beginner Level",1,0)</f>
        <v>1</v>
      </c>
      <c r="Z460" s="14" t="n">
        <f aca="false">IF($H460="Expert Level",1,0)</f>
        <v>0</v>
      </c>
      <c r="AA460" s="14" t="n">
        <f aca="false">IF($H460="Intermediate Level",1,0)</f>
        <v>0</v>
      </c>
      <c r="AC460" s="14" t="n">
        <f aca="false">N460</f>
        <v>2.99623214859564</v>
      </c>
      <c r="AD460" s="14" t="n">
        <f aca="false">G460</f>
        <v>107</v>
      </c>
      <c r="AE460" s="14" t="n">
        <f aca="false">J460</f>
        <v>10.5</v>
      </c>
      <c r="AF460" s="14" t="n">
        <f aca="false">IF($L460=2012,1,0)</f>
        <v>0</v>
      </c>
      <c r="AG460" s="14" t="n">
        <f aca="false">IF($L460=2013,1,0)</f>
        <v>0</v>
      </c>
      <c r="AH460" s="14" t="n">
        <f aca="false">IF($L460=2014,1,0)</f>
        <v>0</v>
      </c>
      <c r="AI460" s="14" t="n">
        <f aca="false">IF($L460=2015,1,0)</f>
        <v>0</v>
      </c>
      <c r="AJ460" s="14" t="n">
        <f aca="false">IF($L460=2016,1,0)</f>
        <v>0</v>
      </c>
      <c r="AK460" s="14" t="n">
        <f aca="false">IF($L460=2017,1,0)</f>
        <v>1</v>
      </c>
      <c r="AL460" s="14" t="n">
        <f aca="false">IF($H460="Beginner Level",1,0)</f>
        <v>1</v>
      </c>
      <c r="AM460" s="14" t="n">
        <f aca="false">IF($H460="Expert Level",1,0)</f>
        <v>0</v>
      </c>
      <c r="AN460" s="14" t="n">
        <f aca="false">IF($H460="Intermediate Level",1,0)</f>
        <v>0</v>
      </c>
    </row>
    <row r="461" customFormat="false" ht="68.65" hidden="false" customHeight="false" outlineLevel="0" collapsed="false">
      <c r="A461" s="14" t="n">
        <v>615084</v>
      </c>
      <c r="B461" s="14" t="s">
        <v>965</v>
      </c>
      <c r="C461" s="14" t="s">
        <v>966</v>
      </c>
      <c r="D461" s="14" t="n">
        <v>20</v>
      </c>
      <c r="E461" s="14" t="n">
        <v>3898</v>
      </c>
      <c r="F461" s="14" t="n">
        <v>95</v>
      </c>
      <c r="G461" s="14" t="n">
        <v>32</v>
      </c>
      <c r="H461" s="14" t="s">
        <v>71</v>
      </c>
      <c r="I461" s="14" t="n">
        <v>0.22</v>
      </c>
      <c r="J461" s="14" t="n">
        <v>3</v>
      </c>
      <c r="K461" s="14" t="s">
        <v>59</v>
      </c>
      <c r="L461" s="14" t="n">
        <v>2015</v>
      </c>
      <c r="M461" s="14" t="n">
        <v>8.26821888006751</v>
      </c>
      <c r="N461" s="14" t="n">
        <v>2.99623214859564</v>
      </c>
      <c r="P461" s="14" t="n">
        <f aca="false">D461</f>
        <v>20</v>
      </c>
      <c r="Q461" s="14" t="n">
        <f aca="false">G461</f>
        <v>32</v>
      </c>
      <c r="R461" s="14" t="n">
        <f aca="false">J461</f>
        <v>3</v>
      </c>
      <c r="S461" s="14" t="n">
        <f aca="false">IF($L461=2012,1,0)</f>
        <v>0</v>
      </c>
      <c r="T461" s="14" t="n">
        <f aca="false">IF($L461=2013,1,0)</f>
        <v>0</v>
      </c>
      <c r="U461" s="14" t="n">
        <f aca="false">IF($L461=2014,1,0)</f>
        <v>0</v>
      </c>
      <c r="V461" s="14" t="n">
        <f aca="false">IF($L461=2015,1,0)</f>
        <v>1</v>
      </c>
      <c r="W461" s="14" t="n">
        <f aca="false">IF($L461=2016,1,0)</f>
        <v>0</v>
      </c>
      <c r="X461" s="14" t="n">
        <f aca="false">IF($L461=2017,1,0)</f>
        <v>0</v>
      </c>
      <c r="Y461" s="14" t="n">
        <f aca="false">IF($H461="Beginner Level",1,0)</f>
        <v>0</v>
      </c>
      <c r="Z461" s="14" t="n">
        <f aca="false">IF($H461="Expert Level",1,0)</f>
        <v>0</v>
      </c>
      <c r="AA461" s="14" t="n">
        <f aca="false">IF($H461="Intermediate Level",1,0)</f>
        <v>1</v>
      </c>
      <c r="AC461" s="14" t="n">
        <f aca="false">N461</f>
        <v>2.99623214859564</v>
      </c>
      <c r="AD461" s="14" t="n">
        <f aca="false">G461</f>
        <v>32</v>
      </c>
      <c r="AE461" s="14" t="n">
        <f aca="false">J461</f>
        <v>3</v>
      </c>
      <c r="AF461" s="14" t="n">
        <f aca="false">IF($L461=2012,1,0)</f>
        <v>0</v>
      </c>
      <c r="AG461" s="14" t="n">
        <f aca="false">IF($L461=2013,1,0)</f>
        <v>0</v>
      </c>
      <c r="AH461" s="14" t="n">
        <f aca="false">IF($L461=2014,1,0)</f>
        <v>0</v>
      </c>
      <c r="AI461" s="14" t="n">
        <f aca="false">IF($L461=2015,1,0)</f>
        <v>1</v>
      </c>
      <c r="AJ461" s="14" t="n">
        <f aca="false">IF($L461=2016,1,0)</f>
        <v>0</v>
      </c>
      <c r="AK461" s="14" t="n">
        <f aca="false">IF($L461=2017,1,0)</f>
        <v>0</v>
      </c>
      <c r="AL461" s="14" t="n">
        <f aca="false">IF($H461="Beginner Level",1,0)</f>
        <v>0</v>
      </c>
      <c r="AM461" s="14" t="n">
        <f aca="false">IF($H461="Expert Level",1,0)</f>
        <v>0</v>
      </c>
      <c r="AN461" s="14" t="n">
        <f aca="false">IF($H461="Intermediate Level",1,0)</f>
        <v>1</v>
      </c>
    </row>
    <row r="462" customFormat="false" ht="68.65" hidden="false" customHeight="false" outlineLevel="0" collapsed="false">
      <c r="A462" s="14" t="n">
        <v>857270</v>
      </c>
      <c r="B462" s="14" t="s">
        <v>967</v>
      </c>
      <c r="C462" s="14" t="s">
        <v>968</v>
      </c>
      <c r="D462" s="14" t="n">
        <v>0</v>
      </c>
      <c r="E462" s="14" t="n">
        <v>3894</v>
      </c>
      <c r="F462" s="14" t="n">
        <v>91</v>
      </c>
      <c r="G462" s="14" t="n">
        <v>29</v>
      </c>
      <c r="H462" s="14" t="s">
        <v>62</v>
      </c>
      <c r="I462" s="14" t="n">
        <v>0.97</v>
      </c>
      <c r="J462" s="14" t="n">
        <v>2</v>
      </c>
      <c r="K462" s="14" t="s">
        <v>53</v>
      </c>
      <c r="L462" s="14" t="n">
        <v>2016</v>
      </c>
      <c r="M462" s="14" t="n">
        <v>8.26719218593215</v>
      </c>
      <c r="N462" s="14" t="n">
        <v>-4.60517018598809</v>
      </c>
      <c r="P462" s="14" t="n">
        <f aca="false">D462</f>
        <v>0</v>
      </c>
      <c r="Q462" s="14" t="n">
        <f aca="false">G462</f>
        <v>29</v>
      </c>
      <c r="R462" s="14" t="n">
        <f aca="false">J462</f>
        <v>2</v>
      </c>
      <c r="S462" s="14" t="n">
        <f aca="false">IF($L462=2012,1,0)</f>
        <v>0</v>
      </c>
      <c r="T462" s="14" t="n">
        <f aca="false">IF($L462=2013,1,0)</f>
        <v>0</v>
      </c>
      <c r="U462" s="14" t="n">
        <f aca="false">IF($L462=2014,1,0)</f>
        <v>0</v>
      </c>
      <c r="V462" s="14" t="n">
        <f aca="false">IF($L462=2015,1,0)</f>
        <v>0</v>
      </c>
      <c r="W462" s="14" t="n">
        <f aca="false">IF($L462=2016,1,0)</f>
        <v>1</v>
      </c>
      <c r="X462" s="14" t="n">
        <f aca="false">IF($L462=2017,1,0)</f>
        <v>0</v>
      </c>
      <c r="Y462" s="14" t="n">
        <f aca="false">IF($H462="Beginner Level",1,0)</f>
        <v>0</v>
      </c>
      <c r="Z462" s="14" t="n">
        <f aca="false">IF($H462="Expert Level",1,0)</f>
        <v>0</v>
      </c>
      <c r="AA462" s="14" t="n">
        <f aca="false">IF($H462="Intermediate Level",1,0)</f>
        <v>0</v>
      </c>
      <c r="AC462" s="14" t="n">
        <f aca="false">N462</f>
        <v>-4.60517018598809</v>
      </c>
      <c r="AD462" s="14" t="n">
        <f aca="false">G462</f>
        <v>29</v>
      </c>
      <c r="AE462" s="14" t="n">
        <f aca="false">J462</f>
        <v>2</v>
      </c>
      <c r="AF462" s="14" t="n">
        <f aca="false">IF($L462=2012,1,0)</f>
        <v>0</v>
      </c>
      <c r="AG462" s="14" t="n">
        <f aca="false">IF($L462=2013,1,0)</f>
        <v>0</v>
      </c>
      <c r="AH462" s="14" t="n">
        <f aca="false">IF($L462=2014,1,0)</f>
        <v>0</v>
      </c>
      <c r="AI462" s="14" t="n">
        <f aca="false">IF($L462=2015,1,0)</f>
        <v>0</v>
      </c>
      <c r="AJ462" s="14" t="n">
        <f aca="false">IF($L462=2016,1,0)</f>
        <v>1</v>
      </c>
      <c r="AK462" s="14" t="n">
        <f aca="false">IF($L462=2017,1,0)</f>
        <v>0</v>
      </c>
      <c r="AL462" s="14" t="n">
        <f aca="false">IF($H462="Beginner Level",1,0)</f>
        <v>0</v>
      </c>
      <c r="AM462" s="14" t="n">
        <f aca="false">IF($H462="Expert Level",1,0)</f>
        <v>0</v>
      </c>
      <c r="AN462" s="14" t="n">
        <f aca="false">IF($H462="Intermediate Level",1,0)</f>
        <v>0</v>
      </c>
    </row>
    <row r="463" customFormat="false" ht="79.85" hidden="false" customHeight="false" outlineLevel="0" collapsed="false">
      <c r="A463" s="14" t="n">
        <v>595728</v>
      </c>
      <c r="B463" s="14" t="s">
        <v>969</v>
      </c>
      <c r="C463" s="14" t="s">
        <v>970</v>
      </c>
      <c r="D463" s="14" t="n">
        <v>200</v>
      </c>
      <c r="E463" s="14" t="n">
        <v>3887</v>
      </c>
      <c r="F463" s="14" t="n">
        <v>81</v>
      </c>
      <c r="G463" s="14" t="n">
        <v>94</v>
      </c>
      <c r="H463" s="14" t="s">
        <v>62</v>
      </c>
      <c r="I463" s="14" t="n">
        <v>0.71</v>
      </c>
      <c r="J463" s="14" t="n">
        <v>8.5</v>
      </c>
      <c r="K463" s="14" t="s">
        <v>59</v>
      </c>
      <c r="L463" s="14" t="n">
        <v>2015</v>
      </c>
      <c r="M463" s="14" t="n">
        <v>8.26539293085222</v>
      </c>
      <c r="N463" s="14" t="n">
        <v>5.29836736529808</v>
      </c>
      <c r="P463" s="14" t="n">
        <f aca="false">D463</f>
        <v>200</v>
      </c>
      <c r="Q463" s="14" t="n">
        <f aca="false">G463</f>
        <v>94</v>
      </c>
      <c r="R463" s="14" t="n">
        <f aca="false">J463</f>
        <v>8.5</v>
      </c>
      <c r="S463" s="14" t="n">
        <f aca="false">IF($L463=2012,1,0)</f>
        <v>0</v>
      </c>
      <c r="T463" s="14" t="n">
        <f aca="false">IF($L463=2013,1,0)</f>
        <v>0</v>
      </c>
      <c r="U463" s="14" t="n">
        <f aca="false">IF($L463=2014,1,0)</f>
        <v>0</v>
      </c>
      <c r="V463" s="14" t="n">
        <f aca="false">IF($L463=2015,1,0)</f>
        <v>1</v>
      </c>
      <c r="W463" s="14" t="n">
        <f aca="false">IF($L463=2016,1,0)</f>
        <v>0</v>
      </c>
      <c r="X463" s="14" t="n">
        <f aca="false">IF($L463=2017,1,0)</f>
        <v>0</v>
      </c>
      <c r="Y463" s="14" t="n">
        <f aca="false">IF($H463="Beginner Level",1,0)</f>
        <v>0</v>
      </c>
      <c r="Z463" s="14" t="n">
        <f aca="false">IF($H463="Expert Level",1,0)</f>
        <v>0</v>
      </c>
      <c r="AA463" s="14" t="n">
        <f aca="false">IF($H463="Intermediate Level",1,0)</f>
        <v>0</v>
      </c>
      <c r="AC463" s="14" t="n">
        <f aca="false">N463</f>
        <v>5.29836736529808</v>
      </c>
      <c r="AD463" s="14" t="n">
        <f aca="false">G463</f>
        <v>94</v>
      </c>
      <c r="AE463" s="14" t="n">
        <f aca="false">J463</f>
        <v>8.5</v>
      </c>
      <c r="AF463" s="14" t="n">
        <f aca="false">IF($L463=2012,1,0)</f>
        <v>0</v>
      </c>
      <c r="AG463" s="14" t="n">
        <f aca="false">IF($L463=2013,1,0)</f>
        <v>0</v>
      </c>
      <c r="AH463" s="14" t="n">
        <f aca="false">IF($L463=2014,1,0)</f>
        <v>0</v>
      </c>
      <c r="AI463" s="14" t="n">
        <f aca="false">IF($L463=2015,1,0)</f>
        <v>1</v>
      </c>
      <c r="AJ463" s="14" t="n">
        <f aca="false">IF($L463=2016,1,0)</f>
        <v>0</v>
      </c>
      <c r="AK463" s="14" t="n">
        <f aca="false">IF($L463=2017,1,0)</f>
        <v>0</v>
      </c>
      <c r="AL463" s="14" t="n">
        <f aca="false">IF($H463="Beginner Level",1,0)</f>
        <v>0</v>
      </c>
      <c r="AM463" s="14" t="n">
        <f aca="false">IF($H463="Expert Level",1,0)</f>
        <v>0</v>
      </c>
      <c r="AN463" s="14" t="n">
        <f aca="false">IF($H463="Intermediate Level",1,0)</f>
        <v>0</v>
      </c>
    </row>
    <row r="464" customFormat="false" ht="46.25" hidden="false" customHeight="false" outlineLevel="0" collapsed="false">
      <c r="A464" s="14" t="n">
        <v>678150</v>
      </c>
      <c r="B464" s="14" t="s">
        <v>971</v>
      </c>
      <c r="C464" s="14" t="s">
        <v>972</v>
      </c>
      <c r="D464" s="14" t="n">
        <v>0</v>
      </c>
      <c r="E464" s="14" t="n">
        <v>3883</v>
      </c>
      <c r="F464" s="14" t="n">
        <v>110</v>
      </c>
      <c r="G464" s="14" t="n">
        <v>9</v>
      </c>
      <c r="H464" s="14" t="s">
        <v>52</v>
      </c>
      <c r="I464" s="14" t="n">
        <v>0.89</v>
      </c>
      <c r="J464" s="14" t="n">
        <v>1</v>
      </c>
      <c r="K464" s="14" t="s">
        <v>53</v>
      </c>
      <c r="L464" s="14" t="n">
        <v>2016</v>
      </c>
      <c r="M464" s="14" t="n">
        <v>8.26436332973167</v>
      </c>
      <c r="N464" s="14" t="n">
        <v>-4.60517018598809</v>
      </c>
      <c r="P464" s="14" t="n">
        <f aca="false">D464</f>
        <v>0</v>
      </c>
      <c r="Q464" s="14" t="n">
        <f aca="false">G464</f>
        <v>9</v>
      </c>
      <c r="R464" s="14" t="n">
        <f aca="false">J464</f>
        <v>1</v>
      </c>
      <c r="S464" s="14" t="n">
        <f aca="false">IF($L464=2012,1,0)</f>
        <v>0</v>
      </c>
      <c r="T464" s="14" t="n">
        <f aca="false">IF($L464=2013,1,0)</f>
        <v>0</v>
      </c>
      <c r="U464" s="14" t="n">
        <f aca="false">IF($L464=2014,1,0)</f>
        <v>0</v>
      </c>
      <c r="V464" s="14" t="n">
        <f aca="false">IF($L464=2015,1,0)</f>
        <v>0</v>
      </c>
      <c r="W464" s="14" t="n">
        <f aca="false">IF($L464=2016,1,0)</f>
        <v>1</v>
      </c>
      <c r="X464" s="14" t="n">
        <f aca="false">IF($L464=2017,1,0)</f>
        <v>0</v>
      </c>
      <c r="Y464" s="14" t="n">
        <f aca="false">IF($H464="Beginner Level",1,0)</f>
        <v>1</v>
      </c>
      <c r="Z464" s="14" t="n">
        <f aca="false">IF($H464="Expert Level",1,0)</f>
        <v>0</v>
      </c>
      <c r="AA464" s="14" t="n">
        <f aca="false">IF($H464="Intermediate Level",1,0)</f>
        <v>0</v>
      </c>
      <c r="AC464" s="14" t="n">
        <f aca="false">N464</f>
        <v>-4.60517018598809</v>
      </c>
      <c r="AD464" s="14" t="n">
        <f aca="false">G464</f>
        <v>9</v>
      </c>
      <c r="AE464" s="14" t="n">
        <f aca="false">J464</f>
        <v>1</v>
      </c>
      <c r="AF464" s="14" t="n">
        <f aca="false">IF($L464=2012,1,0)</f>
        <v>0</v>
      </c>
      <c r="AG464" s="14" t="n">
        <f aca="false">IF($L464=2013,1,0)</f>
        <v>0</v>
      </c>
      <c r="AH464" s="14" t="n">
        <f aca="false">IF($L464=2014,1,0)</f>
        <v>0</v>
      </c>
      <c r="AI464" s="14" t="n">
        <f aca="false">IF($L464=2015,1,0)</f>
        <v>0</v>
      </c>
      <c r="AJ464" s="14" t="n">
        <f aca="false">IF($L464=2016,1,0)</f>
        <v>1</v>
      </c>
      <c r="AK464" s="14" t="n">
        <f aca="false">IF($L464=2017,1,0)</f>
        <v>0</v>
      </c>
      <c r="AL464" s="14" t="n">
        <f aca="false">IF($H464="Beginner Level",1,0)</f>
        <v>1</v>
      </c>
      <c r="AM464" s="14" t="n">
        <f aca="false">IF($H464="Expert Level",1,0)</f>
        <v>0</v>
      </c>
      <c r="AN464" s="14" t="n">
        <f aca="false">IF($H464="Intermediate Level",1,0)</f>
        <v>0</v>
      </c>
    </row>
    <row r="465" customFormat="false" ht="57.45" hidden="false" customHeight="false" outlineLevel="0" collapsed="false">
      <c r="A465" s="14" t="n">
        <v>604044</v>
      </c>
      <c r="B465" s="14" t="s">
        <v>973</v>
      </c>
      <c r="C465" s="14" t="s">
        <v>974</v>
      </c>
      <c r="D465" s="14" t="n">
        <v>20</v>
      </c>
      <c r="E465" s="14" t="n">
        <v>3877</v>
      </c>
      <c r="F465" s="14" t="n">
        <v>92</v>
      </c>
      <c r="G465" s="14" t="n">
        <v>15</v>
      </c>
      <c r="H465" s="14" t="s">
        <v>52</v>
      </c>
      <c r="I465" s="14" t="n">
        <v>0.55</v>
      </c>
      <c r="J465" s="14" t="n">
        <v>1.5</v>
      </c>
      <c r="K465" s="14" t="s">
        <v>59</v>
      </c>
      <c r="L465" s="14" t="n">
        <v>2015</v>
      </c>
      <c r="M465" s="14" t="n">
        <v>8.26281693767093</v>
      </c>
      <c r="N465" s="14" t="n">
        <v>2.99623214859564</v>
      </c>
      <c r="P465" s="14" t="n">
        <f aca="false">D465</f>
        <v>20</v>
      </c>
      <c r="Q465" s="14" t="n">
        <f aca="false">G465</f>
        <v>15</v>
      </c>
      <c r="R465" s="14" t="n">
        <f aca="false">J465</f>
        <v>1.5</v>
      </c>
      <c r="S465" s="14" t="n">
        <f aca="false">IF($L465=2012,1,0)</f>
        <v>0</v>
      </c>
      <c r="T465" s="14" t="n">
        <f aca="false">IF($L465=2013,1,0)</f>
        <v>0</v>
      </c>
      <c r="U465" s="14" t="n">
        <f aca="false">IF($L465=2014,1,0)</f>
        <v>0</v>
      </c>
      <c r="V465" s="14" t="n">
        <f aca="false">IF($L465=2015,1,0)</f>
        <v>1</v>
      </c>
      <c r="W465" s="14" t="n">
        <f aca="false">IF($L465=2016,1,0)</f>
        <v>0</v>
      </c>
      <c r="X465" s="14" t="n">
        <f aca="false">IF($L465=2017,1,0)</f>
        <v>0</v>
      </c>
      <c r="Y465" s="14" t="n">
        <f aca="false">IF($H465="Beginner Level",1,0)</f>
        <v>1</v>
      </c>
      <c r="Z465" s="14" t="n">
        <f aca="false">IF($H465="Expert Level",1,0)</f>
        <v>0</v>
      </c>
      <c r="AA465" s="14" t="n">
        <f aca="false">IF($H465="Intermediate Level",1,0)</f>
        <v>0</v>
      </c>
      <c r="AC465" s="14" t="n">
        <f aca="false">N465</f>
        <v>2.99623214859564</v>
      </c>
      <c r="AD465" s="14" t="n">
        <f aca="false">G465</f>
        <v>15</v>
      </c>
      <c r="AE465" s="14" t="n">
        <f aca="false">J465</f>
        <v>1.5</v>
      </c>
      <c r="AF465" s="14" t="n">
        <f aca="false">IF($L465=2012,1,0)</f>
        <v>0</v>
      </c>
      <c r="AG465" s="14" t="n">
        <f aca="false">IF($L465=2013,1,0)</f>
        <v>0</v>
      </c>
      <c r="AH465" s="14" t="n">
        <f aca="false">IF($L465=2014,1,0)</f>
        <v>0</v>
      </c>
      <c r="AI465" s="14" t="n">
        <f aca="false">IF($L465=2015,1,0)</f>
        <v>1</v>
      </c>
      <c r="AJ465" s="14" t="n">
        <f aca="false">IF($L465=2016,1,0)</f>
        <v>0</v>
      </c>
      <c r="AK465" s="14" t="n">
        <f aca="false">IF($L465=2017,1,0)</f>
        <v>0</v>
      </c>
      <c r="AL465" s="14" t="n">
        <f aca="false">IF($H465="Beginner Level",1,0)</f>
        <v>1</v>
      </c>
      <c r="AM465" s="14" t="n">
        <f aca="false">IF($H465="Expert Level",1,0)</f>
        <v>0</v>
      </c>
      <c r="AN465" s="14" t="n">
        <f aca="false">IF($H465="Intermediate Level",1,0)</f>
        <v>0</v>
      </c>
    </row>
    <row r="466" customFormat="false" ht="68.65" hidden="false" customHeight="false" outlineLevel="0" collapsed="false">
      <c r="A466" s="14" t="n">
        <v>745306</v>
      </c>
      <c r="B466" s="14" t="s">
        <v>975</v>
      </c>
      <c r="C466" s="14" t="s">
        <v>976</v>
      </c>
      <c r="D466" s="14" t="n">
        <v>60</v>
      </c>
      <c r="E466" s="14" t="n">
        <v>3854</v>
      </c>
      <c r="F466" s="14" t="n">
        <v>482</v>
      </c>
      <c r="G466" s="14" t="n">
        <v>48</v>
      </c>
      <c r="H466" s="14" t="s">
        <v>52</v>
      </c>
      <c r="I466" s="14" t="n">
        <v>0.72</v>
      </c>
      <c r="J466" s="14" t="n">
        <v>3</v>
      </c>
      <c r="K466" s="14" t="s">
        <v>59</v>
      </c>
      <c r="L466" s="14" t="n">
        <v>2016</v>
      </c>
      <c r="M466" s="14" t="n">
        <v>8.25686684897431</v>
      </c>
      <c r="N466" s="14" t="n">
        <v>4.09451121500142</v>
      </c>
      <c r="P466" s="14" t="n">
        <f aca="false">D466</f>
        <v>60</v>
      </c>
      <c r="Q466" s="14" t="n">
        <f aca="false">G466</f>
        <v>48</v>
      </c>
      <c r="R466" s="14" t="n">
        <f aca="false">J466</f>
        <v>3</v>
      </c>
      <c r="S466" s="14" t="n">
        <f aca="false">IF($L466=2012,1,0)</f>
        <v>0</v>
      </c>
      <c r="T466" s="14" t="n">
        <f aca="false">IF($L466=2013,1,0)</f>
        <v>0</v>
      </c>
      <c r="U466" s="14" t="n">
        <f aca="false">IF($L466=2014,1,0)</f>
        <v>0</v>
      </c>
      <c r="V466" s="14" t="n">
        <f aca="false">IF($L466=2015,1,0)</f>
        <v>0</v>
      </c>
      <c r="W466" s="14" t="n">
        <f aca="false">IF($L466=2016,1,0)</f>
        <v>1</v>
      </c>
      <c r="X466" s="14" t="n">
        <f aca="false">IF($L466=2017,1,0)</f>
        <v>0</v>
      </c>
      <c r="Y466" s="14" t="n">
        <f aca="false">IF($H466="Beginner Level",1,0)</f>
        <v>1</v>
      </c>
      <c r="Z466" s="14" t="n">
        <f aca="false">IF($H466="Expert Level",1,0)</f>
        <v>0</v>
      </c>
      <c r="AA466" s="14" t="n">
        <f aca="false">IF($H466="Intermediate Level",1,0)</f>
        <v>0</v>
      </c>
      <c r="AC466" s="14" t="n">
        <f aca="false">N466</f>
        <v>4.09451121500142</v>
      </c>
      <c r="AD466" s="14" t="n">
        <f aca="false">G466</f>
        <v>48</v>
      </c>
      <c r="AE466" s="14" t="n">
        <f aca="false">J466</f>
        <v>3</v>
      </c>
      <c r="AF466" s="14" t="n">
        <f aca="false">IF($L466=2012,1,0)</f>
        <v>0</v>
      </c>
      <c r="AG466" s="14" t="n">
        <f aca="false">IF($L466=2013,1,0)</f>
        <v>0</v>
      </c>
      <c r="AH466" s="14" t="n">
        <f aca="false">IF($L466=2014,1,0)</f>
        <v>0</v>
      </c>
      <c r="AI466" s="14" t="n">
        <f aca="false">IF($L466=2015,1,0)</f>
        <v>0</v>
      </c>
      <c r="AJ466" s="14" t="n">
        <f aca="false">IF($L466=2016,1,0)</f>
        <v>1</v>
      </c>
      <c r="AK466" s="14" t="n">
        <f aca="false">IF($L466=2017,1,0)</f>
        <v>0</v>
      </c>
      <c r="AL466" s="14" t="n">
        <f aca="false">IF($H466="Beginner Level",1,0)</f>
        <v>1</v>
      </c>
      <c r="AM466" s="14" t="n">
        <f aca="false">IF($H466="Expert Level",1,0)</f>
        <v>0</v>
      </c>
      <c r="AN466" s="14" t="n">
        <f aca="false">IF($H466="Intermediate Level",1,0)</f>
        <v>0</v>
      </c>
    </row>
    <row r="467" customFormat="false" ht="57.45" hidden="false" customHeight="false" outlineLevel="0" collapsed="false">
      <c r="A467" s="14" t="n">
        <v>482404</v>
      </c>
      <c r="B467" s="14" t="s">
        <v>977</v>
      </c>
      <c r="C467" s="14" t="s">
        <v>978</v>
      </c>
      <c r="D467" s="14" t="n">
        <v>195</v>
      </c>
      <c r="E467" s="14" t="n">
        <v>3831</v>
      </c>
      <c r="F467" s="14" t="n">
        <v>15</v>
      </c>
      <c r="G467" s="14" t="n">
        <v>25</v>
      </c>
      <c r="H467" s="14" t="s">
        <v>71</v>
      </c>
      <c r="I467" s="14" t="n">
        <v>0.5</v>
      </c>
      <c r="J467" s="14" t="n">
        <v>1.5</v>
      </c>
      <c r="K467" s="14" t="s">
        <v>59</v>
      </c>
      <c r="L467" s="14" t="n">
        <v>2015</v>
      </c>
      <c r="M467" s="14" t="n">
        <v>8.25088114470065</v>
      </c>
      <c r="N467" s="14" t="n">
        <v>5.27305083930015</v>
      </c>
      <c r="P467" s="14" t="n">
        <f aca="false">D467</f>
        <v>195</v>
      </c>
      <c r="Q467" s="14" t="n">
        <f aca="false">G467</f>
        <v>25</v>
      </c>
      <c r="R467" s="14" t="n">
        <f aca="false">J467</f>
        <v>1.5</v>
      </c>
      <c r="S467" s="14" t="n">
        <f aca="false">IF($L467=2012,1,0)</f>
        <v>0</v>
      </c>
      <c r="T467" s="14" t="n">
        <f aca="false">IF($L467=2013,1,0)</f>
        <v>0</v>
      </c>
      <c r="U467" s="14" t="n">
        <f aca="false">IF($L467=2014,1,0)</f>
        <v>0</v>
      </c>
      <c r="V467" s="14" t="n">
        <f aca="false">IF($L467=2015,1,0)</f>
        <v>1</v>
      </c>
      <c r="W467" s="14" t="n">
        <f aca="false">IF($L467=2016,1,0)</f>
        <v>0</v>
      </c>
      <c r="X467" s="14" t="n">
        <f aca="false">IF($L467=2017,1,0)</f>
        <v>0</v>
      </c>
      <c r="Y467" s="14" t="n">
        <f aca="false">IF($H467="Beginner Level",1,0)</f>
        <v>0</v>
      </c>
      <c r="Z467" s="14" t="n">
        <f aca="false">IF($H467="Expert Level",1,0)</f>
        <v>0</v>
      </c>
      <c r="AA467" s="14" t="n">
        <f aca="false">IF($H467="Intermediate Level",1,0)</f>
        <v>1</v>
      </c>
      <c r="AC467" s="14" t="n">
        <f aca="false">N467</f>
        <v>5.27305083930015</v>
      </c>
      <c r="AD467" s="14" t="n">
        <f aca="false">G467</f>
        <v>25</v>
      </c>
      <c r="AE467" s="14" t="n">
        <f aca="false">J467</f>
        <v>1.5</v>
      </c>
      <c r="AF467" s="14" t="n">
        <f aca="false">IF($L467=2012,1,0)</f>
        <v>0</v>
      </c>
      <c r="AG467" s="14" t="n">
        <f aca="false">IF($L467=2013,1,0)</f>
        <v>0</v>
      </c>
      <c r="AH467" s="14" t="n">
        <f aca="false">IF($L467=2014,1,0)</f>
        <v>0</v>
      </c>
      <c r="AI467" s="14" t="n">
        <f aca="false">IF($L467=2015,1,0)</f>
        <v>1</v>
      </c>
      <c r="AJ467" s="14" t="n">
        <f aca="false">IF($L467=2016,1,0)</f>
        <v>0</v>
      </c>
      <c r="AK467" s="14" t="n">
        <f aca="false">IF($L467=2017,1,0)</f>
        <v>0</v>
      </c>
      <c r="AL467" s="14" t="n">
        <f aca="false">IF($H467="Beginner Level",1,0)</f>
        <v>0</v>
      </c>
      <c r="AM467" s="14" t="n">
        <f aca="false">IF($H467="Expert Level",1,0)</f>
        <v>0</v>
      </c>
      <c r="AN467" s="14" t="n">
        <f aca="false">IF($H467="Intermediate Level",1,0)</f>
        <v>1</v>
      </c>
    </row>
    <row r="468" customFormat="false" ht="79.85" hidden="false" customHeight="false" outlineLevel="0" collapsed="false">
      <c r="A468" s="14" t="n">
        <v>1033686</v>
      </c>
      <c r="B468" s="14" t="s">
        <v>979</v>
      </c>
      <c r="C468" s="14" t="s">
        <v>980</v>
      </c>
      <c r="D468" s="14" t="n">
        <v>55</v>
      </c>
      <c r="E468" s="14" t="n">
        <v>3801</v>
      </c>
      <c r="F468" s="14" t="n">
        <v>43</v>
      </c>
      <c r="G468" s="14" t="n">
        <v>12</v>
      </c>
      <c r="H468" s="14" t="s">
        <v>62</v>
      </c>
      <c r="I468" s="14" t="n">
        <v>0.37</v>
      </c>
      <c r="J468" s="14" t="n">
        <v>1</v>
      </c>
      <c r="K468" s="14" t="s">
        <v>59</v>
      </c>
      <c r="L468" s="14" t="n">
        <v>2017</v>
      </c>
      <c r="M468" s="14" t="n">
        <v>8.24301946898925</v>
      </c>
      <c r="N468" s="14" t="n">
        <v>4.00751498688737</v>
      </c>
      <c r="P468" s="14" t="n">
        <f aca="false">D468</f>
        <v>55</v>
      </c>
      <c r="Q468" s="14" t="n">
        <f aca="false">G468</f>
        <v>12</v>
      </c>
      <c r="R468" s="14" t="n">
        <f aca="false">J468</f>
        <v>1</v>
      </c>
      <c r="S468" s="14" t="n">
        <f aca="false">IF($L468=2012,1,0)</f>
        <v>0</v>
      </c>
      <c r="T468" s="14" t="n">
        <f aca="false">IF($L468=2013,1,0)</f>
        <v>0</v>
      </c>
      <c r="U468" s="14" t="n">
        <f aca="false">IF($L468=2014,1,0)</f>
        <v>0</v>
      </c>
      <c r="V468" s="14" t="n">
        <f aca="false">IF($L468=2015,1,0)</f>
        <v>0</v>
      </c>
      <c r="W468" s="14" t="n">
        <f aca="false">IF($L468=2016,1,0)</f>
        <v>0</v>
      </c>
      <c r="X468" s="14" t="n">
        <f aca="false">IF($L468=2017,1,0)</f>
        <v>1</v>
      </c>
      <c r="Y468" s="14" t="n">
        <f aca="false">IF($H468="Beginner Level",1,0)</f>
        <v>0</v>
      </c>
      <c r="Z468" s="14" t="n">
        <f aca="false">IF($H468="Expert Level",1,0)</f>
        <v>0</v>
      </c>
      <c r="AA468" s="14" t="n">
        <f aca="false">IF($H468="Intermediate Level",1,0)</f>
        <v>0</v>
      </c>
      <c r="AC468" s="14" t="n">
        <f aca="false">N468</f>
        <v>4.00751498688737</v>
      </c>
      <c r="AD468" s="14" t="n">
        <f aca="false">G468</f>
        <v>12</v>
      </c>
      <c r="AE468" s="14" t="n">
        <f aca="false">J468</f>
        <v>1</v>
      </c>
      <c r="AF468" s="14" t="n">
        <f aca="false">IF($L468=2012,1,0)</f>
        <v>0</v>
      </c>
      <c r="AG468" s="14" t="n">
        <f aca="false">IF($L468=2013,1,0)</f>
        <v>0</v>
      </c>
      <c r="AH468" s="14" t="n">
        <f aca="false">IF($L468=2014,1,0)</f>
        <v>0</v>
      </c>
      <c r="AI468" s="14" t="n">
        <f aca="false">IF($L468=2015,1,0)</f>
        <v>0</v>
      </c>
      <c r="AJ468" s="14" t="n">
        <f aca="false">IF($L468=2016,1,0)</f>
        <v>0</v>
      </c>
      <c r="AK468" s="14" t="n">
        <f aca="false">IF($L468=2017,1,0)</f>
        <v>1</v>
      </c>
      <c r="AL468" s="14" t="n">
        <f aca="false">IF($H468="Beginner Level",1,0)</f>
        <v>0</v>
      </c>
      <c r="AM468" s="14" t="n">
        <f aca="false">IF($H468="Expert Level",1,0)</f>
        <v>0</v>
      </c>
      <c r="AN468" s="14" t="n">
        <f aca="false">IF($H468="Intermediate Level",1,0)</f>
        <v>0</v>
      </c>
    </row>
    <row r="469" customFormat="false" ht="79.85" hidden="false" customHeight="false" outlineLevel="0" collapsed="false">
      <c r="A469" s="14" t="n">
        <v>1049344</v>
      </c>
      <c r="B469" s="14" t="s">
        <v>981</v>
      </c>
      <c r="C469" s="14" t="s">
        <v>982</v>
      </c>
      <c r="D469" s="14" t="n">
        <v>0</v>
      </c>
      <c r="E469" s="14" t="n">
        <v>3784</v>
      </c>
      <c r="F469" s="14" t="n">
        <v>85</v>
      </c>
      <c r="G469" s="14" t="n">
        <v>32</v>
      </c>
      <c r="H469" s="14" t="s">
        <v>71</v>
      </c>
      <c r="I469" s="14" t="n">
        <v>0.13</v>
      </c>
      <c r="J469" s="14" t="n">
        <v>2</v>
      </c>
      <c r="K469" s="14" t="s">
        <v>53</v>
      </c>
      <c r="L469" s="14" t="n">
        <v>2017</v>
      </c>
      <c r="M469" s="14" t="n">
        <v>8.23853693017177</v>
      </c>
      <c r="N469" s="14" t="n">
        <v>-4.60517018598809</v>
      </c>
      <c r="P469" s="14" t="n">
        <f aca="false">D469</f>
        <v>0</v>
      </c>
      <c r="Q469" s="14" t="n">
        <f aca="false">G469</f>
        <v>32</v>
      </c>
      <c r="R469" s="14" t="n">
        <f aca="false">J469</f>
        <v>2</v>
      </c>
      <c r="S469" s="14" t="n">
        <f aca="false">IF($L469=2012,1,0)</f>
        <v>0</v>
      </c>
      <c r="T469" s="14" t="n">
        <f aca="false">IF($L469=2013,1,0)</f>
        <v>0</v>
      </c>
      <c r="U469" s="14" t="n">
        <f aca="false">IF($L469=2014,1,0)</f>
        <v>0</v>
      </c>
      <c r="V469" s="14" t="n">
        <f aca="false">IF($L469=2015,1,0)</f>
        <v>0</v>
      </c>
      <c r="W469" s="14" t="n">
        <f aca="false">IF($L469=2016,1,0)</f>
        <v>0</v>
      </c>
      <c r="X469" s="14" t="n">
        <f aca="false">IF($L469=2017,1,0)</f>
        <v>1</v>
      </c>
      <c r="Y469" s="14" t="n">
        <f aca="false">IF($H469="Beginner Level",1,0)</f>
        <v>0</v>
      </c>
      <c r="Z469" s="14" t="n">
        <f aca="false">IF($H469="Expert Level",1,0)</f>
        <v>0</v>
      </c>
      <c r="AA469" s="14" t="n">
        <f aca="false">IF($H469="Intermediate Level",1,0)</f>
        <v>1</v>
      </c>
      <c r="AC469" s="14" t="n">
        <f aca="false">N469</f>
        <v>-4.60517018598809</v>
      </c>
      <c r="AD469" s="14" t="n">
        <f aca="false">G469</f>
        <v>32</v>
      </c>
      <c r="AE469" s="14" t="n">
        <f aca="false">J469</f>
        <v>2</v>
      </c>
      <c r="AF469" s="14" t="n">
        <f aca="false">IF($L469=2012,1,0)</f>
        <v>0</v>
      </c>
      <c r="AG469" s="14" t="n">
        <f aca="false">IF($L469=2013,1,0)</f>
        <v>0</v>
      </c>
      <c r="AH469" s="14" t="n">
        <f aca="false">IF($L469=2014,1,0)</f>
        <v>0</v>
      </c>
      <c r="AI469" s="14" t="n">
        <f aca="false">IF($L469=2015,1,0)</f>
        <v>0</v>
      </c>
      <c r="AJ469" s="14" t="n">
        <f aca="false">IF($L469=2016,1,0)</f>
        <v>0</v>
      </c>
      <c r="AK469" s="14" t="n">
        <f aca="false">IF($L469=2017,1,0)</f>
        <v>1</v>
      </c>
      <c r="AL469" s="14" t="n">
        <f aca="false">IF($H469="Beginner Level",1,0)</f>
        <v>0</v>
      </c>
      <c r="AM469" s="14" t="n">
        <f aca="false">IF($H469="Expert Level",1,0)</f>
        <v>0</v>
      </c>
      <c r="AN469" s="14" t="n">
        <f aca="false">IF($H469="Intermediate Level",1,0)</f>
        <v>1</v>
      </c>
    </row>
    <row r="470" customFormat="false" ht="91" hidden="false" customHeight="false" outlineLevel="0" collapsed="false">
      <c r="A470" s="14" t="n">
        <v>1239022</v>
      </c>
      <c r="B470" s="14" t="s">
        <v>983</v>
      </c>
      <c r="C470" s="14" t="s">
        <v>984</v>
      </c>
      <c r="D470" s="14" t="n">
        <v>0</v>
      </c>
      <c r="E470" s="14" t="n">
        <v>3782</v>
      </c>
      <c r="F470" s="14" t="n">
        <v>32</v>
      </c>
      <c r="G470" s="14" t="n">
        <v>11</v>
      </c>
      <c r="H470" s="14" t="s">
        <v>52</v>
      </c>
      <c r="I470" s="14" t="n">
        <v>0.57</v>
      </c>
      <c r="J470" s="14" t="n">
        <v>1.5</v>
      </c>
      <c r="K470" s="14" t="s">
        <v>53</v>
      </c>
      <c r="L470" s="14" t="n">
        <v>2017</v>
      </c>
      <c r="M470" s="14" t="n">
        <v>8.2380082492184</v>
      </c>
      <c r="N470" s="14" t="n">
        <v>-4.60517018598809</v>
      </c>
      <c r="P470" s="14" t="n">
        <f aca="false">D470</f>
        <v>0</v>
      </c>
      <c r="Q470" s="14" t="n">
        <f aca="false">G470</f>
        <v>11</v>
      </c>
      <c r="R470" s="14" t="n">
        <f aca="false">J470</f>
        <v>1.5</v>
      </c>
      <c r="S470" s="14" t="n">
        <f aca="false">IF($L470=2012,1,0)</f>
        <v>0</v>
      </c>
      <c r="T470" s="14" t="n">
        <f aca="false">IF($L470=2013,1,0)</f>
        <v>0</v>
      </c>
      <c r="U470" s="14" t="n">
        <f aca="false">IF($L470=2014,1,0)</f>
        <v>0</v>
      </c>
      <c r="V470" s="14" t="n">
        <f aca="false">IF($L470=2015,1,0)</f>
        <v>0</v>
      </c>
      <c r="W470" s="14" t="n">
        <f aca="false">IF($L470=2016,1,0)</f>
        <v>0</v>
      </c>
      <c r="X470" s="14" t="n">
        <f aca="false">IF($L470=2017,1,0)</f>
        <v>1</v>
      </c>
      <c r="Y470" s="14" t="n">
        <f aca="false">IF($H470="Beginner Level",1,0)</f>
        <v>1</v>
      </c>
      <c r="Z470" s="14" t="n">
        <f aca="false">IF($H470="Expert Level",1,0)</f>
        <v>0</v>
      </c>
      <c r="AA470" s="14" t="n">
        <f aca="false">IF($H470="Intermediate Level",1,0)</f>
        <v>0</v>
      </c>
      <c r="AC470" s="14" t="n">
        <f aca="false">N470</f>
        <v>-4.60517018598809</v>
      </c>
      <c r="AD470" s="14" t="n">
        <f aca="false">G470</f>
        <v>11</v>
      </c>
      <c r="AE470" s="14" t="n">
        <f aca="false">J470</f>
        <v>1.5</v>
      </c>
      <c r="AF470" s="14" t="n">
        <f aca="false">IF($L470=2012,1,0)</f>
        <v>0</v>
      </c>
      <c r="AG470" s="14" t="n">
        <f aca="false">IF($L470=2013,1,0)</f>
        <v>0</v>
      </c>
      <c r="AH470" s="14" t="n">
        <f aca="false">IF($L470=2014,1,0)</f>
        <v>0</v>
      </c>
      <c r="AI470" s="14" t="n">
        <f aca="false">IF($L470=2015,1,0)</f>
        <v>0</v>
      </c>
      <c r="AJ470" s="14" t="n">
        <f aca="false">IF($L470=2016,1,0)</f>
        <v>0</v>
      </c>
      <c r="AK470" s="14" t="n">
        <f aca="false">IF($L470=2017,1,0)</f>
        <v>1</v>
      </c>
      <c r="AL470" s="14" t="n">
        <f aca="false">IF($H470="Beginner Level",1,0)</f>
        <v>1</v>
      </c>
      <c r="AM470" s="14" t="n">
        <f aca="false">IF($H470="Expert Level",1,0)</f>
        <v>0</v>
      </c>
      <c r="AN470" s="14" t="n">
        <f aca="false">IF($H470="Intermediate Level",1,0)</f>
        <v>0</v>
      </c>
    </row>
    <row r="471" customFormat="false" ht="79.85" hidden="false" customHeight="false" outlineLevel="0" collapsed="false">
      <c r="A471" s="14" t="n">
        <v>529028</v>
      </c>
      <c r="B471" s="14" t="s">
        <v>985</v>
      </c>
      <c r="C471" s="14" t="s">
        <v>986</v>
      </c>
      <c r="D471" s="14" t="n">
        <v>50</v>
      </c>
      <c r="E471" s="14" t="n">
        <v>3770</v>
      </c>
      <c r="F471" s="14" t="n">
        <v>108</v>
      </c>
      <c r="G471" s="14" t="n">
        <v>72</v>
      </c>
      <c r="H471" s="14" t="s">
        <v>62</v>
      </c>
      <c r="I471" s="14" t="n">
        <v>0.73</v>
      </c>
      <c r="J471" s="14" t="n">
        <v>7</v>
      </c>
      <c r="K471" s="14" t="s">
        <v>59</v>
      </c>
      <c r="L471" s="14" t="n">
        <v>2015</v>
      </c>
      <c r="M471" s="14" t="n">
        <v>8.23483028044206</v>
      </c>
      <c r="N471" s="14" t="n">
        <v>3.91222298543081</v>
      </c>
      <c r="P471" s="14" t="n">
        <f aca="false">D471</f>
        <v>50</v>
      </c>
      <c r="Q471" s="14" t="n">
        <f aca="false">G471</f>
        <v>72</v>
      </c>
      <c r="R471" s="14" t="n">
        <f aca="false">J471</f>
        <v>7</v>
      </c>
      <c r="S471" s="14" t="n">
        <f aca="false">IF($L471=2012,1,0)</f>
        <v>0</v>
      </c>
      <c r="T471" s="14" t="n">
        <f aca="false">IF($L471=2013,1,0)</f>
        <v>0</v>
      </c>
      <c r="U471" s="14" t="n">
        <f aca="false">IF($L471=2014,1,0)</f>
        <v>0</v>
      </c>
      <c r="V471" s="14" t="n">
        <f aca="false">IF($L471=2015,1,0)</f>
        <v>1</v>
      </c>
      <c r="W471" s="14" t="n">
        <f aca="false">IF($L471=2016,1,0)</f>
        <v>0</v>
      </c>
      <c r="X471" s="14" t="n">
        <f aca="false">IF($L471=2017,1,0)</f>
        <v>0</v>
      </c>
      <c r="Y471" s="14" t="n">
        <f aca="false">IF($H471="Beginner Level",1,0)</f>
        <v>0</v>
      </c>
      <c r="Z471" s="14" t="n">
        <f aca="false">IF($H471="Expert Level",1,0)</f>
        <v>0</v>
      </c>
      <c r="AA471" s="14" t="n">
        <f aca="false">IF($H471="Intermediate Level",1,0)</f>
        <v>0</v>
      </c>
      <c r="AC471" s="14" t="n">
        <f aca="false">N471</f>
        <v>3.91222298543081</v>
      </c>
      <c r="AD471" s="14" t="n">
        <f aca="false">G471</f>
        <v>72</v>
      </c>
      <c r="AE471" s="14" t="n">
        <f aca="false">J471</f>
        <v>7</v>
      </c>
      <c r="AF471" s="14" t="n">
        <f aca="false">IF($L471=2012,1,0)</f>
        <v>0</v>
      </c>
      <c r="AG471" s="14" t="n">
        <f aca="false">IF($L471=2013,1,0)</f>
        <v>0</v>
      </c>
      <c r="AH471" s="14" t="n">
        <f aca="false">IF($L471=2014,1,0)</f>
        <v>0</v>
      </c>
      <c r="AI471" s="14" t="n">
        <f aca="false">IF($L471=2015,1,0)</f>
        <v>1</v>
      </c>
      <c r="AJ471" s="14" t="n">
        <f aca="false">IF($L471=2016,1,0)</f>
        <v>0</v>
      </c>
      <c r="AK471" s="14" t="n">
        <f aca="false">IF($L471=2017,1,0)</f>
        <v>0</v>
      </c>
      <c r="AL471" s="14" t="n">
        <f aca="false">IF($H471="Beginner Level",1,0)</f>
        <v>0</v>
      </c>
      <c r="AM471" s="14" t="n">
        <f aca="false">IF($H471="Expert Level",1,0)</f>
        <v>0</v>
      </c>
      <c r="AN471" s="14" t="n">
        <f aca="false">IF($H471="Intermediate Level",1,0)</f>
        <v>0</v>
      </c>
    </row>
    <row r="472" customFormat="false" ht="79.85" hidden="false" customHeight="false" outlineLevel="0" collapsed="false">
      <c r="A472" s="14" t="n">
        <v>1102962</v>
      </c>
      <c r="B472" s="14" t="s">
        <v>987</v>
      </c>
      <c r="C472" s="14" t="s">
        <v>988</v>
      </c>
      <c r="D472" s="14" t="n">
        <v>0</v>
      </c>
      <c r="E472" s="14" t="n">
        <v>3766</v>
      </c>
      <c r="F472" s="14" t="n">
        <v>135</v>
      </c>
      <c r="G472" s="14" t="n">
        <v>14</v>
      </c>
      <c r="H472" s="14" t="s">
        <v>62</v>
      </c>
      <c r="I472" s="14" t="n">
        <v>0.66</v>
      </c>
      <c r="J472" s="14" t="n">
        <v>0.7</v>
      </c>
      <c r="K472" s="14" t="s">
        <v>53</v>
      </c>
      <c r="L472" s="14" t="n">
        <v>2017</v>
      </c>
      <c r="M472" s="14" t="n">
        <v>8.2337687092171</v>
      </c>
      <c r="N472" s="14" t="n">
        <v>-4.60517018598809</v>
      </c>
      <c r="P472" s="14" t="n">
        <f aca="false">D472</f>
        <v>0</v>
      </c>
      <c r="Q472" s="14" t="n">
        <f aca="false">G472</f>
        <v>14</v>
      </c>
      <c r="R472" s="14" t="n">
        <f aca="false">J472</f>
        <v>0.7</v>
      </c>
      <c r="S472" s="14" t="n">
        <f aca="false">IF($L472=2012,1,0)</f>
        <v>0</v>
      </c>
      <c r="T472" s="14" t="n">
        <f aca="false">IF($L472=2013,1,0)</f>
        <v>0</v>
      </c>
      <c r="U472" s="14" t="n">
        <f aca="false">IF($L472=2014,1,0)</f>
        <v>0</v>
      </c>
      <c r="V472" s="14" t="n">
        <f aca="false">IF($L472=2015,1,0)</f>
        <v>0</v>
      </c>
      <c r="W472" s="14" t="n">
        <f aca="false">IF($L472=2016,1,0)</f>
        <v>0</v>
      </c>
      <c r="X472" s="14" t="n">
        <f aca="false">IF($L472=2017,1,0)</f>
        <v>1</v>
      </c>
      <c r="Y472" s="14" t="n">
        <f aca="false">IF($H472="Beginner Level",1,0)</f>
        <v>0</v>
      </c>
      <c r="Z472" s="14" t="n">
        <f aca="false">IF($H472="Expert Level",1,0)</f>
        <v>0</v>
      </c>
      <c r="AA472" s="14" t="n">
        <f aca="false">IF($H472="Intermediate Level",1,0)</f>
        <v>0</v>
      </c>
      <c r="AC472" s="14" t="n">
        <f aca="false">N472</f>
        <v>-4.60517018598809</v>
      </c>
      <c r="AD472" s="14" t="n">
        <f aca="false">G472</f>
        <v>14</v>
      </c>
      <c r="AE472" s="14" t="n">
        <f aca="false">J472</f>
        <v>0.7</v>
      </c>
      <c r="AF472" s="14" t="n">
        <f aca="false">IF($L472=2012,1,0)</f>
        <v>0</v>
      </c>
      <c r="AG472" s="14" t="n">
        <f aca="false">IF($L472=2013,1,0)</f>
        <v>0</v>
      </c>
      <c r="AH472" s="14" t="n">
        <f aca="false">IF($L472=2014,1,0)</f>
        <v>0</v>
      </c>
      <c r="AI472" s="14" t="n">
        <f aca="false">IF($L472=2015,1,0)</f>
        <v>0</v>
      </c>
      <c r="AJ472" s="14" t="n">
        <f aca="false">IF($L472=2016,1,0)</f>
        <v>0</v>
      </c>
      <c r="AK472" s="14" t="n">
        <f aca="false">IF($L472=2017,1,0)</f>
        <v>1</v>
      </c>
      <c r="AL472" s="14" t="n">
        <f aca="false">IF($H472="Beginner Level",1,0)</f>
        <v>0</v>
      </c>
      <c r="AM472" s="14" t="n">
        <f aca="false">IF($H472="Expert Level",1,0)</f>
        <v>0</v>
      </c>
      <c r="AN472" s="14" t="n">
        <f aca="false">IF($H472="Intermediate Level",1,0)</f>
        <v>0</v>
      </c>
    </row>
    <row r="473" customFormat="false" ht="79.85" hidden="false" customHeight="false" outlineLevel="0" collapsed="false">
      <c r="A473" s="14" t="n">
        <v>821526</v>
      </c>
      <c r="B473" s="14" t="s">
        <v>989</v>
      </c>
      <c r="C473" s="14" t="s">
        <v>990</v>
      </c>
      <c r="D473" s="14" t="n">
        <v>20</v>
      </c>
      <c r="E473" s="14" t="n">
        <v>3759</v>
      </c>
      <c r="F473" s="14" t="n">
        <v>24</v>
      </c>
      <c r="G473" s="14" t="n">
        <v>25</v>
      </c>
      <c r="H473" s="14" t="s">
        <v>62</v>
      </c>
      <c r="I473" s="14" t="n">
        <v>0.94</v>
      </c>
      <c r="J473" s="14" t="n">
        <v>4</v>
      </c>
      <c r="K473" s="14" t="s">
        <v>59</v>
      </c>
      <c r="L473" s="14" t="n">
        <v>2016</v>
      </c>
      <c r="M473" s="14" t="n">
        <v>8.23190824356418</v>
      </c>
      <c r="N473" s="14" t="n">
        <v>2.99623214859564</v>
      </c>
      <c r="P473" s="14" t="n">
        <f aca="false">D473</f>
        <v>20</v>
      </c>
      <c r="Q473" s="14" t="n">
        <f aca="false">G473</f>
        <v>25</v>
      </c>
      <c r="R473" s="14" t="n">
        <f aca="false">J473</f>
        <v>4</v>
      </c>
      <c r="S473" s="14" t="n">
        <f aca="false">IF($L473=2012,1,0)</f>
        <v>0</v>
      </c>
      <c r="T473" s="14" t="n">
        <f aca="false">IF($L473=2013,1,0)</f>
        <v>0</v>
      </c>
      <c r="U473" s="14" t="n">
        <f aca="false">IF($L473=2014,1,0)</f>
        <v>0</v>
      </c>
      <c r="V473" s="14" t="n">
        <f aca="false">IF($L473=2015,1,0)</f>
        <v>0</v>
      </c>
      <c r="W473" s="14" t="n">
        <f aca="false">IF($L473=2016,1,0)</f>
        <v>1</v>
      </c>
      <c r="X473" s="14" t="n">
        <f aca="false">IF($L473=2017,1,0)</f>
        <v>0</v>
      </c>
      <c r="Y473" s="14" t="n">
        <f aca="false">IF($H473="Beginner Level",1,0)</f>
        <v>0</v>
      </c>
      <c r="Z473" s="14" t="n">
        <f aca="false">IF($H473="Expert Level",1,0)</f>
        <v>0</v>
      </c>
      <c r="AA473" s="14" t="n">
        <f aca="false">IF($H473="Intermediate Level",1,0)</f>
        <v>0</v>
      </c>
      <c r="AC473" s="14" t="n">
        <f aca="false">N473</f>
        <v>2.99623214859564</v>
      </c>
      <c r="AD473" s="14" t="n">
        <f aca="false">G473</f>
        <v>25</v>
      </c>
      <c r="AE473" s="14" t="n">
        <f aca="false">J473</f>
        <v>4</v>
      </c>
      <c r="AF473" s="14" t="n">
        <f aca="false">IF($L473=2012,1,0)</f>
        <v>0</v>
      </c>
      <c r="AG473" s="14" t="n">
        <f aca="false">IF($L473=2013,1,0)</f>
        <v>0</v>
      </c>
      <c r="AH473" s="14" t="n">
        <f aca="false">IF($L473=2014,1,0)</f>
        <v>0</v>
      </c>
      <c r="AI473" s="14" t="n">
        <f aca="false">IF($L473=2015,1,0)</f>
        <v>0</v>
      </c>
      <c r="AJ473" s="14" t="n">
        <f aca="false">IF($L473=2016,1,0)</f>
        <v>1</v>
      </c>
      <c r="AK473" s="14" t="n">
        <f aca="false">IF($L473=2017,1,0)</f>
        <v>0</v>
      </c>
      <c r="AL473" s="14" t="n">
        <f aca="false">IF($H473="Beginner Level",1,0)</f>
        <v>0</v>
      </c>
      <c r="AM473" s="14" t="n">
        <f aca="false">IF($H473="Expert Level",1,0)</f>
        <v>0</v>
      </c>
      <c r="AN473" s="14" t="n">
        <f aca="false">IF($H473="Intermediate Level",1,0)</f>
        <v>0</v>
      </c>
    </row>
    <row r="474" customFormat="false" ht="57.45" hidden="false" customHeight="false" outlineLevel="0" collapsed="false">
      <c r="A474" s="14" t="n">
        <v>511378</v>
      </c>
      <c r="B474" s="14" t="s">
        <v>991</v>
      </c>
      <c r="C474" s="14" t="s">
        <v>992</v>
      </c>
      <c r="D474" s="14" t="n">
        <v>100</v>
      </c>
      <c r="E474" s="14" t="n">
        <v>3757</v>
      </c>
      <c r="F474" s="14" t="n">
        <v>28</v>
      </c>
      <c r="G474" s="14" t="n">
        <v>20</v>
      </c>
      <c r="H474" s="14" t="s">
        <v>52</v>
      </c>
      <c r="I474" s="14" t="n">
        <v>0.2</v>
      </c>
      <c r="J474" s="14" t="n">
        <v>1</v>
      </c>
      <c r="K474" s="14" t="s">
        <v>59</v>
      </c>
      <c r="L474" s="14" t="n">
        <v>2015</v>
      </c>
      <c r="M474" s="14" t="n">
        <v>8.23137604557397</v>
      </c>
      <c r="N474" s="14" t="n">
        <v>4.60527018098843</v>
      </c>
      <c r="P474" s="14" t="n">
        <f aca="false">D474</f>
        <v>100</v>
      </c>
      <c r="Q474" s="14" t="n">
        <f aca="false">G474</f>
        <v>20</v>
      </c>
      <c r="R474" s="14" t="n">
        <f aca="false">J474</f>
        <v>1</v>
      </c>
      <c r="S474" s="14" t="n">
        <f aca="false">IF($L474=2012,1,0)</f>
        <v>0</v>
      </c>
      <c r="T474" s="14" t="n">
        <f aca="false">IF($L474=2013,1,0)</f>
        <v>0</v>
      </c>
      <c r="U474" s="14" t="n">
        <f aca="false">IF($L474=2014,1,0)</f>
        <v>0</v>
      </c>
      <c r="V474" s="14" t="n">
        <f aca="false">IF($L474=2015,1,0)</f>
        <v>1</v>
      </c>
      <c r="W474" s="14" t="n">
        <f aca="false">IF($L474=2016,1,0)</f>
        <v>0</v>
      </c>
      <c r="X474" s="14" t="n">
        <f aca="false">IF($L474=2017,1,0)</f>
        <v>0</v>
      </c>
      <c r="Y474" s="14" t="n">
        <f aca="false">IF($H474="Beginner Level",1,0)</f>
        <v>1</v>
      </c>
      <c r="Z474" s="14" t="n">
        <f aca="false">IF($H474="Expert Level",1,0)</f>
        <v>0</v>
      </c>
      <c r="AA474" s="14" t="n">
        <f aca="false">IF($H474="Intermediate Level",1,0)</f>
        <v>0</v>
      </c>
      <c r="AC474" s="14" t="n">
        <f aca="false">N474</f>
        <v>4.60527018098843</v>
      </c>
      <c r="AD474" s="14" t="n">
        <f aca="false">G474</f>
        <v>20</v>
      </c>
      <c r="AE474" s="14" t="n">
        <f aca="false">J474</f>
        <v>1</v>
      </c>
      <c r="AF474" s="14" t="n">
        <f aca="false">IF($L474=2012,1,0)</f>
        <v>0</v>
      </c>
      <c r="AG474" s="14" t="n">
        <f aca="false">IF($L474=2013,1,0)</f>
        <v>0</v>
      </c>
      <c r="AH474" s="14" t="n">
        <f aca="false">IF($L474=2014,1,0)</f>
        <v>0</v>
      </c>
      <c r="AI474" s="14" t="n">
        <f aca="false">IF($L474=2015,1,0)</f>
        <v>1</v>
      </c>
      <c r="AJ474" s="14" t="n">
        <f aca="false">IF($L474=2016,1,0)</f>
        <v>0</v>
      </c>
      <c r="AK474" s="14" t="n">
        <f aca="false">IF($L474=2017,1,0)</f>
        <v>0</v>
      </c>
      <c r="AL474" s="14" t="n">
        <f aca="false">IF($H474="Beginner Level",1,0)</f>
        <v>1</v>
      </c>
      <c r="AM474" s="14" t="n">
        <f aca="false">IF($H474="Expert Level",1,0)</f>
        <v>0</v>
      </c>
      <c r="AN474" s="14" t="n">
        <f aca="false">IF($H474="Intermediate Level",1,0)</f>
        <v>0</v>
      </c>
    </row>
    <row r="475" customFormat="false" ht="57.45" hidden="false" customHeight="false" outlineLevel="0" collapsed="false">
      <c r="A475" s="14" t="n">
        <v>219838</v>
      </c>
      <c r="B475" s="14" t="s">
        <v>993</v>
      </c>
      <c r="C475" s="14" t="s">
        <v>994</v>
      </c>
      <c r="D475" s="14" t="n">
        <v>50</v>
      </c>
      <c r="E475" s="14" t="n">
        <v>3704</v>
      </c>
      <c r="F475" s="14" t="n">
        <v>111</v>
      </c>
      <c r="G475" s="14" t="n">
        <v>18</v>
      </c>
      <c r="H475" s="14" t="s">
        <v>62</v>
      </c>
      <c r="I475" s="14" t="n">
        <v>0.72</v>
      </c>
      <c r="J475" s="14" t="n">
        <v>2</v>
      </c>
      <c r="K475" s="14" t="s">
        <v>59</v>
      </c>
      <c r="L475" s="14" t="n">
        <v>2014</v>
      </c>
      <c r="M475" s="14" t="n">
        <v>8.21716859576607</v>
      </c>
      <c r="N475" s="14" t="n">
        <v>3.91222298543081</v>
      </c>
      <c r="P475" s="14" t="n">
        <f aca="false">D475</f>
        <v>50</v>
      </c>
      <c r="Q475" s="14" t="n">
        <f aca="false">G475</f>
        <v>18</v>
      </c>
      <c r="R475" s="14" t="n">
        <f aca="false">J475</f>
        <v>2</v>
      </c>
      <c r="S475" s="14" t="n">
        <f aca="false">IF($L475=2012,1,0)</f>
        <v>0</v>
      </c>
      <c r="T475" s="14" t="n">
        <f aca="false">IF($L475=2013,1,0)</f>
        <v>0</v>
      </c>
      <c r="U475" s="14" t="n">
        <f aca="false">IF($L475=2014,1,0)</f>
        <v>1</v>
      </c>
      <c r="V475" s="14" t="n">
        <f aca="false">IF($L475=2015,1,0)</f>
        <v>0</v>
      </c>
      <c r="W475" s="14" t="n">
        <f aca="false">IF($L475=2016,1,0)</f>
        <v>0</v>
      </c>
      <c r="X475" s="14" t="n">
        <f aca="false">IF($L475=2017,1,0)</f>
        <v>0</v>
      </c>
      <c r="Y475" s="14" t="n">
        <f aca="false">IF($H475="Beginner Level",1,0)</f>
        <v>0</v>
      </c>
      <c r="Z475" s="14" t="n">
        <f aca="false">IF($H475="Expert Level",1,0)</f>
        <v>0</v>
      </c>
      <c r="AA475" s="14" t="n">
        <f aca="false">IF($H475="Intermediate Level",1,0)</f>
        <v>0</v>
      </c>
      <c r="AC475" s="14" t="n">
        <f aca="false">N475</f>
        <v>3.91222298543081</v>
      </c>
      <c r="AD475" s="14" t="n">
        <f aca="false">G475</f>
        <v>18</v>
      </c>
      <c r="AE475" s="14" t="n">
        <f aca="false">J475</f>
        <v>2</v>
      </c>
      <c r="AF475" s="14" t="n">
        <f aca="false">IF($L475=2012,1,0)</f>
        <v>0</v>
      </c>
      <c r="AG475" s="14" t="n">
        <f aca="false">IF($L475=2013,1,0)</f>
        <v>0</v>
      </c>
      <c r="AH475" s="14" t="n">
        <f aca="false">IF($L475=2014,1,0)</f>
        <v>1</v>
      </c>
      <c r="AI475" s="14" t="n">
        <f aca="false">IF($L475=2015,1,0)</f>
        <v>0</v>
      </c>
      <c r="AJ475" s="14" t="n">
        <f aca="false">IF($L475=2016,1,0)</f>
        <v>0</v>
      </c>
      <c r="AK475" s="14" t="n">
        <f aca="false">IF($L475=2017,1,0)</f>
        <v>0</v>
      </c>
      <c r="AL475" s="14" t="n">
        <f aca="false">IF($H475="Beginner Level",1,0)</f>
        <v>0</v>
      </c>
      <c r="AM475" s="14" t="n">
        <f aca="false">IF($H475="Expert Level",1,0)</f>
        <v>0</v>
      </c>
      <c r="AN475" s="14" t="n">
        <f aca="false">IF($H475="Intermediate Level",1,0)</f>
        <v>0</v>
      </c>
    </row>
    <row r="476" customFormat="false" ht="91" hidden="false" customHeight="false" outlineLevel="0" collapsed="false">
      <c r="A476" s="14" t="n">
        <v>593544</v>
      </c>
      <c r="B476" s="14" t="s">
        <v>995</v>
      </c>
      <c r="C476" s="14" t="s">
        <v>996</v>
      </c>
      <c r="D476" s="14" t="n">
        <v>100</v>
      </c>
      <c r="E476" s="14" t="n">
        <v>3701</v>
      </c>
      <c r="F476" s="14" t="n">
        <v>508</v>
      </c>
      <c r="G476" s="14" t="n">
        <v>125</v>
      </c>
      <c r="H476" s="14" t="s">
        <v>71</v>
      </c>
      <c r="I476" s="14" t="n">
        <v>0.34</v>
      </c>
      <c r="J476" s="14" t="n">
        <v>10.5</v>
      </c>
      <c r="K476" s="14" t="s">
        <v>59</v>
      </c>
      <c r="L476" s="14" t="n">
        <v>2015</v>
      </c>
      <c r="M476" s="14" t="n">
        <v>8.21635833238616</v>
      </c>
      <c r="N476" s="14" t="n">
        <v>4.60527018098843</v>
      </c>
      <c r="P476" s="14" t="n">
        <f aca="false">D476</f>
        <v>100</v>
      </c>
      <c r="Q476" s="14" t="n">
        <f aca="false">G476</f>
        <v>125</v>
      </c>
      <c r="R476" s="14" t="n">
        <f aca="false">J476</f>
        <v>10.5</v>
      </c>
      <c r="S476" s="14" t="n">
        <f aca="false">IF($L476=2012,1,0)</f>
        <v>0</v>
      </c>
      <c r="T476" s="14" t="n">
        <f aca="false">IF($L476=2013,1,0)</f>
        <v>0</v>
      </c>
      <c r="U476" s="14" t="n">
        <f aca="false">IF($L476=2014,1,0)</f>
        <v>0</v>
      </c>
      <c r="V476" s="14" t="n">
        <f aca="false">IF($L476=2015,1,0)</f>
        <v>1</v>
      </c>
      <c r="W476" s="14" t="n">
        <f aca="false">IF($L476=2016,1,0)</f>
        <v>0</v>
      </c>
      <c r="X476" s="14" t="n">
        <f aca="false">IF($L476=2017,1,0)</f>
        <v>0</v>
      </c>
      <c r="Y476" s="14" t="n">
        <f aca="false">IF($H476="Beginner Level",1,0)</f>
        <v>0</v>
      </c>
      <c r="Z476" s="14" t="n">
        <f aca="false">IF($H476="Expert Level",1,0)</f>
        <v>0</v>
      </c>
      <c r="AA476" s="14" t="n">
        <f aca="false">IF($H476="Intermediate Level",1,0)</f>
        <v>1</v>
      </c>
      <c r="AC476" s="14" t="n">
        <f aca="false">N476</f>
        <v>4.60527018098843</v>
      </c>
      <c r="AD476" s="14" t="n">
        <f aca="false">G476</f>
        <v>125</v>
      </c>
      <c r="AE476" s="14" t="n">
        <f aca="false">J476</f>
        <v>10.5</v>
      </c>
      <c r="AF476" s="14" t="n">
        <f aca="false">IF($L476=2012,1,0)</f>
        <v>0</v>
      </c>
      <c r="AG476" s="14" t="n">
        <f aca="false">IF($L476=2013,1,0)</f>
        <v>0</v>
      </c>
      <c r="AH476" s="14" t="n">
        <f aca="false">IF($L476=2014,1,0)</f>
        <v>0</v>
      </c>
      <c r="AI476" s="14" t="n">
        <f aca="false">IF($L476=2015,1,0)</f>
        <v>1</v>
      </c>
      <c r="AJ476" s="14" t="n">
        <f aca="false">IF($L476=2016,1,0)</f>
        <v>0</v>
      </c>
      <c r="AK476" s="14" t="n">
        <f aca="false">IF($L476=2017,1,0)</f>
        <v>0</v>
      </c>
      <c r="AL476" s="14" t="n">
        <f aca="false">IF($H476="Beginner Level",1,0)</f>
        <v>0</v>
      </c>
      <c r="AM476" s="14" t="n">
        <f aca="false">IF($H476="Expert Level",1,0)</f>
        <v>0</v>
      </c>
      <c r="AN476" s="14" t="n">
        <f aca="false">IF($H476="Intermediate Level",1,0)</f>
        <v>1</v>
      </c>
    </row>
    <row r="477" customFormat="false" ht="57.45" hidden="false" customHeight="false" outlineLevel="0" collapsed="false">
      <c r="A477" s="14" t="n">
        <v>796010</v>
      </c>
      <c r="B477" s="14" t="s">
        <v>997</v>
      </c>
      <c r="C477" s="14" t="s">
        <v>998</v>
      </c>
      <c r="D477" s="14" t="n">
        <v>20</v>
      </c>
      <c r="E477" s="14" t="n">
        <v>3699</v>
      </c>
      <c r="F477" s="14" t="n">
        <v>201</v>
      </c>
      <c r="G477" s="14" t="n">
        <v>11</v>
      </c>
      <c r="H477" s="14" t="s">
        <v>71</v>
      </c>
      <c r="I477" s="14" t="n">
        <v>0.92</v>
      </c>
      <c r="J477" s="14" t="n">
        <v>1</v>
      </c>
      <c r="K477" s="14" t="s">
        <v>59</v>
      </c>
      <c r="L477" s="14" t="n">
        <v>2016</v>
      </c>
      <c r="M477" s="14" t="n">
        <v>8.21581779183245</v>
      </c>
      <c r="N477" s="14" t="n">
        <v>2.99623214859564</v>
      </c>
      <c r="P477" s="14" t="n">
        <f aca="false">D477</f>
        <v>20</v>
      </c>
      <c r="Q477" s="14" t="n">
        <f aca="false">G477</f>
        <v>11</v>
      </c>
      <c r="R477" s="14" t="n">
        <f aca="false">J477</f>
        <v>1</v>
      </c>
      <c r="S477" s="14" t="n">
        <f aca="false">IF($L477=2012,1,0)</f>
        <v>0</v>
      </c>
      <c r="T477" s="14" t="n">
        <f aca="false">IF($L477=2013,1,0)</f>
        <v>0</v>
      </c>
      <c r="U477" s="14" t="n">
        <f aca="false">IF($L477=2014,1,0)</f>
        <v>0</v>
      </c>
      <c r="V477" s="14" t="n">
        <f aca="false">IF($L477=2015,1,0)</f>
        <v>0</v>
      </c>
      <c r="W477" s="14" t="n">
        <f aca="false">IF($L477=2016,1,0)</f>
        <v>1</v>
      </c>
      <c r="X477" s="14" t="n">
        <f aca="false">IF($L477=2017,1,0)</f>
        <v>0</v>
      </c>
      <c r="Y477" s="14" t="n">
        <f aca="false">IF($H477="Beginner Level",1,0)</f>
        <v>0</v>
      </c>
      <c r="Z477" s="14" t="n">
        <f aca="false">IF($H477="Expert Level",1,0)</f>
        <v>0</v>
      </c>
      <c r="AA477" s="14" t="n">
        <f aca="false">IF($H477="Intermediate Level",1,0)</f>
        <v>1</v>
      </c>
      <c r="AC477" s="14" t="n">
        <f aca="false">N477</f>
        <v>2.99623214859564</v>
      </c>
      <c r="AD477" s="14" t="n">
        <f aca="false">G477</f>
        <v>11</v>
      </c>
      <c r="AE477" s="14" t="n">
        <f aca="false">J477</f>
        <v>1</v>
      </c>
      <c r="AF477" s="14" t="n">
        <f aca="false">IF($L477=2012,1,0)</f>
        <v>0</v>
      </c>
      <c r="AG477" s="14" t="n">
        <f aca="false">IF($L477=2013,1,0)</f>
        <v>0</v>
      </c>
      <c r="AH477" s="14" t="n">
        <f aca="false">IF($L477=2014,1,0)</f>
        <v>0</v>
      </c>
      <c r="AI477" s="14" t="n">
        <f aca="false">IF($L477=2015,1,0)</f>
        <v>0</v>
      </c>
      <c r="AJ477" s="14" t="n">
        <f aca="false">IF($L477=2016,1,0)</f>
        <v>1</v>
      </c>
      <c r="AK477" s="14" t="n">
        <f aca="false">IF($L477=2017,1,0)</f>
        <v>0</v>
      </c>
      <c r="AL477" s="14" t="n">
        <f aca="false">IF($H477="Beginner Level",1,0)</f>
        <v>0</v>
      </c>
      <c r="AM477" s="14" t="n">
        <f aca="false">IF($H477="Expert Level",1,0)</f>
        <v>0</v>
      </c>
      <c r="AN477" s="14" t="n">
        <f aca="false">IF($H477="Intermediate Level",1,0)</f>
        <v>1</v>
      </c>
    </row>
    <row r="478" customFormat="false" ht="46.25" hidden="false" customHeight="false" outlineLevel="0" collapsed="false">
      <c r="A478" s="14" t="n">
        <v>8324</v>
      </c>
      <c r="B478" s="14" t="s">
        <v>999</v>
      </c>
      <c r="C478" s="14" t="s">
        <v>1000</v>
      </c>
      <c r="D478" s="14" t="n">
        <v>20</v>
      </c>
      <c r="E478" s="14" t="n">
        <v>3697</v>
      </c>
      <c r="F478" s="14" t="n">
        <v>195</v>
      </c>
      <c r="G478" s="14" t="n">
        <v>48</v>
      </c>
      <c r="H478" s="14" t="s">
        <v>62</v>
      </c>
      <c r="I478" s="14" t="n">
        <v>0.11</v>
      </c>
      <c r="J478" s="14" t="n">
        <v>3</v>
      </c>
      <c r="K478" s="14" t="s">
        <v>59</v>
      </c>
      <c r="L478" s="14" t="n">
        <v>2011</v>
      </c>
      <c r="M478" s="14" t="n">
        <v>8.21527695893663</v>
      </c>
      <c r="N478" s="14" t="n">
        <v>2.99623214859564</v>
      </c>
      <c r="P478" s="14" t="n">
        <f aca="false">D478</f>
        <v>20</v>
      </c>
      <c r="Q478" s="14" t="n">
        <f aca="false">G478</f>
        <v>48</v>
      </c>
      <c r="R478" s="14" t="n">
        <f aca="false">J478</f>
        <v>3</v>
      </c>
      <c r="S478" s="14" t="n">
        <f aca="false">IF($L478=2012,1,0)</f>
        <v>0</v>
      </c>
      <c r="T478" s="14" t="n">
        <f aca="false">IF($L478=2013,1,0)</f>
        <v>0</v>
      </c>
      <c r="U478" s="14" t="n">
        <f aca="false">IF($L478=2014,1,0)</f>
        <v>0</v>
      </c>
      <c r="V478" s="14" t="n">
        <f aca="false">IF($L478=2015,1,0)</f>
        <v>0</v>
      </c>
      <c r="W478" s="14" t="n">
        <f aca="false">IF($L478=2016,1,0)</f>
        <v>0</v>
      </c>
      <c r="X478" s="14" t="n">
        <f aca="false">IF($L478=2017,1,0)</f>
        <v>0</v>
      </c>
      <c r="Y478" s="14" t="n">
        <f aca="false">IF($H478="Beginner Level",1,0)</f>
        <v>0</v>
      </c>
      <c r="Z478" s="14" t="n">
        <f aca="false">IF($H478="Expert Level",1,0)</f>
        <v>0</v>
      </c>
      <c r="AA478" s="14" t="n">
        <f aca="false">IF($H478="Intermediate Level",1,0)</f>
        <v>0</v>
      </c>
      <c r="AC478" s="14" t="n">
        <f aca="false">N478</f>
        <v>2.99623214859564</v>
      </c>
      <c r="AD478" s="14" t="n">
        <f aca="false">G478</f>
        <v>48</v>
      </c>
      <c r="AE478" s="14" t="n">
        <f aca="false">J478</f>
        <v>3</v>
      </c>
      <c r="AF478" s="14" t="n">
        <f aca="false">IF($L478=2012,1,0)</f>
        <v>0</v>
      </c>
      <c r="AG478" s="14" t="n">
        <f aca="false">IF($L478=2013,1,0)</f>
        <v>0</v>
      </c>
      <c r="AH478" s="14" t="n">
        <f aca="false">IF($L478=2014,1,0)</f>
        <v>0</v>
      </c>
      <c r="AI478" s="14" t="n">
        <f aca="false">IF($L478=2015,1,0)</f>
        <v>0</v>
      </c>
      <c r="AJ478" s="14" t="n">
        <f aca="false">IF($L478=2016,1,0)</f>
        <v>0</v>
      </c>
      <c r="AK478" s="14" t="n">
        <f aca="false">IF($L478=2017,1,0)</f>
        <v>0</v>
      </c>
      <c r="AL478" s="14" t="n">
        <f aca="false">IF($H478="Beginner Level",1,0)</f>
        <v>0</v>
      </c>
      <c r="AM478" s="14" t="n">
        <f aca="false">IF($H478="Expert Level",1,0)</f>
        <v>0</v>
      </c>
      <c r="AN478" s="14" t="n">
        <f aca="false">IF($H478="Intermediate Level",1,0)</f>
        <v>0</v>
      </c>
    </row>
    <row r="479" customFormat="false" ht="79.85" hidden="false" customHeight="false" outlineLevel="0" collapsed="false">
      <c r="A479" s="14" t="n">
        <v>566920</v>
      </c>
      <c r="B479" s="14" t="s">
        <v>1001</v>
      </c>
      <c r="C479" s="14" t="s">
        <v>1002</v>
      </c>
      <c r="D479" s="14" t="n">
        <v>20</v>
      </c>
      <c r="E479" s="14" t="n">
        <v>3694</v>
      </c>
      <c r="F479" s="14" t="n">
        <v>48</v>
      </c>
      <c r="G479" s="14" t="n">
        <v>39</v>
      </c>
      <c r="H479" s="14" t="s">
        <v>52</v>
      </c>
      <c r="I479" s="14" t="n">
        <v>0.11</v>
      </c>
      <c r="J479" s="14" t="n">
        <v>4</v>
      </c>
      <c r="K479" s="14" t="s">
        <v>59</v>
      </c>
      <c r="L479" s="14" t="n">
        <v>2015</v>
      </c>
      <c r="M479" s="14" t="n">
        <v>8.21446516075919</v>
      </c>
      <c r="N479" s="14" t="n">
        <v>2.99623214859564</v>
      </c>
      <c r="P479" s="14" t="n">
        <f aca="false">D479</f>
        <v>20</v>
      </c>
      <c r="Q479" s="14" t="n">
        <f aca="false">G479</f>
        <v>39</v>
      </c>
      <c r="R479" s="14" t="n">
        <f aca="false">J479</f>
        <v>4</v>
      </c>
      <c r="S479" s="14" t="n">
        <f aca="false">IF($L479=2012,1,0)</f>
        <v>0</v>
      </c>
      <c r="T479" s="14" t="n">
        <f aca="false">IF($L479=2013,1,0)</f>
        <v>0</v>
      </c>
      <c r="U479" s="14" t="n">
        <f aca="false">IF($L479=2014,1,0)</f>
        <v>0</v>
      </c>
      <c r="V479" s="14" t="n">
        <f aca="false">IF($L479=2015,1,0)</f>
        <v>1</v>
      </c>
      <c r="W479" s="14" t="n">
        <f aca="false">IF($L479=2016,1,0)</f>
        <v>0</v>
      </c>
      <c r="X479" s="14" t="n">
        <f aca="false">IF($L479=2017,1,0)</f>
        <v>0</v>
      </c>
      <c r="Y479" s="14" t="n">
        <f aca="false">IF($H479="Beginner Level",1,0)</f>
        <v>1</v>
      </c>
      <c r="Z479" s="14" t="n">
        <f aca="false">IF($H479="Expert Level",1,0)</f>
        <v>0</v>
      </c>
      <c r="AA479" s="14" t="n">
        <f aca="false">IF($H479="Intermediate Level",1,0)</f>
        <v>0</v>
      </c>
      <c r="AC479" s="14" t="n">
        <f aca="false">N479</f>
        <v>2.99623214859564</v>
      </c>
      <c r="AD479" s="14" t="n">
        <f aca="false">G479</f>
        <v>39</v>
      </c>
      <c r="AE479" s="14" t="n">
        <f aca="false">J479</f>
        <v>4</v>
      </c>
      <c r="AF479" s="14" t="n">
        <f aca="false">IF($L479=2012,1,0)</f>
        <v>0</v>
      </c>
      <c r="AG479" s="14" t="n">
        <f aca="false">IF($L479=2013,1,0)</f>
        <v>0</v>
      </c>
      <c r="AH479" s="14" t="n">
        <f aca="false">IF($L479=2014,1,0)</f>
        <v>0</v>
      </c>
      <c r="AI479" s="14" t="n">
        <f aca="false">IF($L479=2015,1,0)</f>
        <v>1</v>
      </c>
      <c r="AJ479" s="14" t="n">
        <f aca="false">IF($L479=2016,1,0)</f>
        <v>0</v>
      </c>
      <c r="AK479" s="14" t="n">
        <f aca="false">IF($L479=2017,1,0)</f>
        <v>0</v>
      </c>
      <c r="AL479" s="14" t="n">
        <f aca="false">IF($H479="Beginner Level",1,0)</f>
        <v>1</v>
      </c>
      <c r="AM479" s="14" t="n">
        <f aca="false">IF($H479="Expert Level",1,0)</f>
        <v>0</v>
      </c>
      <c r="AN479" s="14" t="n">
        <f aca="false">IF($H479="Intermediate Level",1,0)</f>
        <v>0</v>
      </c>
    </row>
    <row r="480" customFormat="false" ht="79.85" hidden="false" customHeight="false" outlineLevel="0" collapsed="false">
      <c r="A480" s="14" t="n">
        <v>1169848</v>
      </c>
      <c r="B480" s="14" t="s">
        <v>1003</v>
      </c>
      <c r="C480" s="14" t="s">
        <v>1004</v>
      </c>
      <c r="D480" s="14" t="n">
        <v>50</v>
      </c>
      <c r="E480" s="14" t="n">
        <v>3688</v>
      </c>
      <c r="F480" s="14" t="n">
        <v>49</v>
      </c>
      <c r="G480" s="14" t="n">
        <v>11</v>
      </c>
      <c r="H480" s="14" t="s">
        <v>62</v>
      </c>
      <c r="I480" s="14" t="n">
        <v>0.62</v>
      </c>
      <c r="J480" s="14" t="n">
        <v>1</v>
      </c>
      <c r="K480" s="14" t="s">
        <v>59</v>
      </c>
      <c r="L480" s="14" t="n">
        <v>2017</v>
      </c>
      <c r="M480" s="14" t="n">
        <v>8.21283958467648</v>
      </c>
      <c r="N480" s="14" t="n">
        <v>3.91222298543081</v>
      </c>
      <c r="P480" s="14" t="n">
        <f aca="false">D480</f>
        <v>50</v>
      </c>
      <c r="Q480" s="14" t="n">
        <f aca="false">G480</f>
        <v>11</v>
      </c>
      <c r="R480" s="14" t="n">
        <f aca="false">J480</f>
        <v>1</v>
      </c>
      <c r="S480" s="14" t="n">
        <f aca="false">IF($L480=2012,1,0)</f>
        <v>0</v>
      </c>
      <c r="T480" s="14" t="n">
        <f aca="false">IF($L480=2013,1,0)</f>
        <v>0</v>
      </c>
      <c r="U480" s="14" t="n">
        <f aca="false">IF($L480=2014,1,0)</f>
        <v>0</v>
      </c>
      <c r="V480" s="14" t="n">
        <f aca="false">IF($L480=2015,1,0)</f>
        <v>0</v>
      </c>
      <c r="W480" s="14" t="n">
        <f aca="false">IF($L480=2016,1,0)</f>
        <v>0</v>
      </c>
      <c r="X480" s="14" t="n">
        <f aca="false">IF($L480=2017,1,0)</f>
        <v>1</v>
      </c>
      <c r="Y480" s="14" t="n">
        <f aca="false">IF($H480="Beginner Level",1,0)</f>
        <v>0</v>
      </c>
      <c r="Z480" s="14" t="n">
        <f aca="false">IF($H480="Expert Level",1,0)</f>
        <v>0</v>
      </c>
      <c r="AA480" s="14" t="n">
        <f aca="false">IF($H480="Intermediate Level",1,0)</f>
        <v>0</v>
      </c>
      <c r="AC480" s="14" t="n">
        <f aca="false">N480</f>
        <v>3.91222298543081</v>
      </c>
      <c r="AD480" s="14" t="n">
        <f aca="false">G480</f>
        <v>11</v>
      </c>
      <c r="AE480" s="14" t="n">
        <f aca="false">J480</f>
        <v>1</v>
      </c>
      <c r="AF480" s="14" t="n">
        <f aca="false">IF($L480=2012,1,0)</f>
        <v>0</v>
      </c>
      <c r="AG480" s="14" t="n">
        <f aca="false">IF($L480=2013,1,0)</f>
        <v>0</v>
      </c>
      <c r="AH480" s="14" t="n">
        <f aca="false">IF($L480=2014,1,0)</f>
        <v>0</v>
      </c>
      <c r="AI480" s="14" t="n">
        <f aca="false">IF($L480=2015,1,0)</f>
        <v>0</v>
      </c>
      <c r="AJ480" s="14" t="n">
        <f aca="false">IF($L480=2016,1,0)</f>
        <v>0</v>
      </c>
      <c r="AK480" s="14" t="n">
        <f aca="false">IF($L480=2017,1,0)</f>
        <v>1</v>
      </c>
      <c r="AL480" s="14" t="n">
        <f aca="false">IF($H480="Beginner Level",1,0)</f>
        <v>0</v>
      </c>
      <c r="AM480" s="14" t="n">
        <f aca="false">IF($H480="Expert Level",1,0)</f>
        <v>0</v>
      </c>
      <c r="AN480" s="14" t="n">
        <f aca="false">IF($H480="Intermediate Level",1,0)</f>
        <v>0</v>
      </c>
    </row>
    <row r="481" customFormat="false" ht="68.65" hidden="false" customHeight="false" outlineLevel="0" collapsed="false">
      <c r="A481" s="14" t="n">
        <v>1084894</v>
      </c>
      <c r="B481" s="14" t="s">
        <v>1005</v>
      </c>
      <c r="C481" s="14" t="s">
        <v>1006</v>
      </c>
      <c r="D481" s="14" t="n">
        <v>0</v>
      </c>
      <c r="E481" s="14" t="n">
        <v>3655</v>
      </c>
      <c r="F481" s="14" t="n">
        <v>85</v>
      </c>
      <c r="G481" s="14" t="n">
        <v>44</v>
      </c>
      <c r="H481" s="14" t="s">
        <v>52</v>
      </c>
      <c r="I481" s="14" t="n">
        <v>0.94</v>
      </c>
      <c r="J481" s="14" t="n">
        <v>2</v>
      </c>
      <c r="K481" s="14" t="s">
        <v>53</v>
      </c>
      <c r="L481" s="14" t="n">
        <v>2017</v>
      </c>
      <c r="M481" s="14" t="n">
        <v>8.20385137218388</v>
      </c>
      <c r="N481" s="14" t="n">
        <v>-4.60517018598809</v>
      </c>
      <c r="P481" s="14" t="n">
        <f aca="false">D481</f>
        <v>0</v>
      </c>
      <c r="Q481" s="14" t="n">
        <f aca="false">G481</f>
        <v>44</v>
      </c>
      <c r="R481" s="14" t="n">
        <f aca="false">J481</f>
        <v>2</v>
      </c>
      <c r="S481" s="14" t="n">
        <f aca="false">IF($L481=2012,1,0)</f>
        <v>0</v>
      </c>
      <c r="T481" s="14" t="n">
        <f aca="false">IF($L481=2013,1,0)</f>
        <v>0</v>
      </c>
      <c r="U481" s="14" t="n">
        <f aca="false">IF($L481=2014,1,0)</f>
        <v>0</v>
      </c>
      <c r="V481" s="14" t="n">
        <f aca="false">IF($L481=2015,1,0)</f>
        <v>0</v>
      </c>
      <c r="W481" s="14" t="n">
        <f aca="false">IF($L481=2016,1,0)</f>
        <v>0</v>
      </c>
      <c r="X481" s="14" t="n">
        <f aca="false">IF($L481=2017,1,0)</f>
        <v>1</v>
      </c>
      <c r="Y481" s="14" t="n">
        <f aca="false">IF($H481="Beginner Level",1,0)</f>
        <v>1</v>
      </c>
      <c r="Z481" s="14" t="n">
        <f aca="false">IF($H481="Expert Level",1,0)</f>
        <v>0</v>
      </c>
      <c r="AA481" s="14" t="n">
        <f aca="false">IF($H481="Intermediate Level",1,0)</f>
        <v>0</v>
      </c>
      <c r="AC481" s="14" t="n">
        <f aca="false">N481</f>
        <v>-4.60517018598809</v>
      </c>
      <c r="AD481" s="14" t="n">
        <f aca="false">G481</f>
        <v>44</v>
      </c>
      <c r="AE481" s="14" t="n">
        <f aca="false">J481</f>
        <v>2</v>
      </c>
      <c r="AF481" s="14" t="n">
        <f aca="false">IF($L481=2012,1,0)</f>
        <v>0</v>
      </c>
      <c r="AG481" s="14" t="n">
        <f aca="false">IF($L481=2013,1,0)</f>
        <v>0</v>
      </c>
      <c r="AH481" s="14" t="n">
        <f aca="false">IF($L481=2014,1,0)</f>
        <v>0</v>
      </c>
      <c r="AI481" s="14" t="n">
        <f aca="false">IF($L481=2015,1,0)</f>
        <v>0</v>
      </c>
      <c r="AJ481" s="14" t="n">
        <f aca="false">IF($L481=2016,1,0)</f>
        <v>0</v>
      </c>
      <c r="AK481" s="14" t="n">
        <f aca="false">IF($L481=2017,1,0)</f>
        <v>1</v>
      </c>
      <c r="AL481" s="14" t="n">
        <f aca="false">IF($H481="Beginner Level",1,0)</f>
        <v>1</v>
      </c>
      <c r="AM481" s="14" t="n">
        <f aca="false">IF($H481="Expert Level",1,0)</f>
        <v>0</v>
      </c>
      <c r="AN481" s="14" t="n">
        <f aca="false">IF($H481="Intermediate Level",1,0)</f>
        <v>0</v>
      </c>
    </row>
    <row r="482" customFormat="false" ht="57.45" hidden="false" customHeight="false" outlineLevel="0" collapsed="false">
      <c r="A482" s="14" t="n">
        <v>834924</v>
      </c>
      <c r="B482" s="14" t="s">
        <v>1007</v>
      </c>
      <c r="C482" s="14" t="s">
        <v>1008</v>
      </c>
      <c r="D482" s="14" t="n">
        <v>30</v>
      </c>
      <c r="E482" s="14" t="n">
        <v>3652</v>
      </c>
      <c r="F482" s="14" t="n">
        <v>60</v>
      </c>
      <c r="G482" s="14" t="n">
        <v>7</v>
      </c>
      <c r="H482" s="14" t="s">
        <v>62</v>
      </c>
      <c r="I482" s="14" t="n">
        <v>0.94</v>
      </c>
      <c r="J482" s="14" t="n">
        <v>0.66666667</v>
      </c>
      <c r="K482" s="14" t="s">
        <v>59</v>
      </c>
      <c r="L482" s="14" t="n">
        <v>2016</v>
      </c>
      <c r="M482" s="14" t="n">
        <v>8.20303024171486</v>
      </c>
      <c r="N482" s="14" t="n">
        <v>3.40153065945228</v>
      </c>
      <c r="P482" s="14" t="n">
        <f aca="false">D482</f>
        <v>30</v>
      </c>
      <c r="Q482" s="14" t="n">
        <f aca="false">G482</f>
        <v>7</v>
      </c>
      <c r="R482" s="14" t="n">
        <f aca="false">J482</f>
        <v>0.66666667</v>
      </c>
      <c r="S482" s="14" t="n">
        <f aca="false">IF($L482=2012,1,0)</f>
        <v>0</v>
      </c>
      <c r="T482" s="14" t="n">
        <f aca="false">IF($L482=2013,1,0)</f>
        <v>0</v>
      </c>
      <c r="U482" s="14" t="n">
        <f aca="false">IF($L482=2014,1,0)</f>
        <v>0</v>
      </c>
      <c r="V482" s="14" t="n">
        <f aca="false">IF($L482=2015,1,0)</f>
        <v>0</v>
      </c>
      <c r="W482" s="14" t="n">
        <f aca="false">IF($L482=2016,1,0)</f>
        <v>1</v>
      </c>
      <c r="X482" s="14" t="n">
        <f aca="false">IF($L482=2017,1,0)</f>
        <v>0</v>
      </c>
      <c r="Y482" s="14" t="n">
        <f aca="false">IF($H482="Beginner Level",1,0)</f>
        <v>0</v>
      </c>
      <c r="Z482" s="14" t="n">
        <f aca="false">IF($H482="Expert Level",1,0)</f>
        <v>0</v>
      </c>
      <c r="AA482" s="14" t="n">
        <f aca="false">IF($H482="Intermediate Level",1,0)</f>
        <v>0</v>
      </c>
      <c r="AC482" s="14" t="n">
        <f aca="false">N482</f>
        <v>3.40153065945228</v>
      </c>
      <c r="AD482" s="14" t="n">
        <f aca="false">G482</f>
        <v>7</v>
      </c>
      <c r="AE482" s="14" t="n">
        <f aca="false">J482</f>
        <v>0.66666667</v>
      </c>
      <c r="AF482" s="14" t="n">
        <f aca="false">IF($L482=2012,1,0)</f>
        <v>0</v>
      </c>
      <c r="AG482" s="14" t="n">
        <f aca="false">IF($L482=2013,1,0)</f>
        <v>0</v>
      </c>
      <c r="AH482" s="14" t="n">
        <f aca="false">IF($L482=2014,1,0)</f>
        <v>0</v>
      </c>
      <c r="AI482" s="14" t="n">
        <f aca="false">IF($L482=2015,1,0)</f>
        <v>0</v>
      </c>
      <c r="AJ482" s="14" t="n">
        <f aca="false">IF($L482=2016,1,0)</f>
        <v>1</v>
      </c>
      <c r="AK482" s="14" t="n">
        <f aca="false">IF($L482=2017,1,0)</f>
        <v>0</v>
      </c>
      <c r="AL482" s="14" t="n">
        <f aca="false">IF($H482="Beginner Level",1,0)</f>
        <v>0</v>
      </c>
      <c r="AM482" s="14" t="n">
        <f aca="false">IF($H482="Expert Level",1,0)</f>
        <v>0</v>
      </c>
      <c r="AN482" s="14" t="n">
        <f aca="false">IF($H482="Intermediate Level",1,0)</f>
        <v>0</v>
      </c>
    </row>
    <row r="483" customFormat="false" ht="79.85" hidden="false" customHeight="false" outlineLevel="0" collapsed="false">
      <c r="A483" s="14" t="n">
        <v>900434</v>
      </c>
      <c r="B483" s="14" t="s">
        <v>1009</v>
      </c>
      <c r="C483" s="14" t="s">
        <v>1010</v>
      </c>
      <c r="D483" s="14" t="n">
        <v>200</v>
      </c>
      <c r="E483" s="14" t="n">
        <v>3632</v>
      </c>
      <c r="F483" s="14" t="n">
        <v>28</v>
      </c>
      <c r="G483" s="14" t="n">
        <v>31</v>
      </c>
      <c r="H483" s="14" t="s">
        <v>52</v>
      </c>
      <c r="I483" s="14" t="n">
        <v>0.94</v>
      </c>
      <c r="J483" s="14" t="n">
        <v>2</v>
      </c>
      <c r="K483" s="14" t="s">
        <v>59</v>
      </c>
      <c r="L483" s="14" t="n">
        <v>2016</v>
      </c>
      <c r="M483" s="14" t="n">
        <v>8.19753873972118</v>
      </c>
      <c r="N483" s="14" t="n">
        <v>5.29836736529808</v>
      </c>
      <c r="P483" s="14" t="n">
        <f aca="false">D483</f>
        <v>200</v>
      </c>
      <c r="Q483" s="14" t="n">
        <f aca="false">G483</f>
        <v>31</v>
      </c>
      <c r="R483" s="14" t="n">
        <f aca="false">J483</f>
        <v>2</v>
      </c>
      <c r="S483" s="14" t="n">
        <f aca="false">IF($L483=2012,1,0)</f>
        <v>0</v>
      </c>
      <c r="T483" s="14" t="n">
        <f aca="false">IF($L483=2013,1,0)</f>
        <v>0</v>
      </c>
      <c r="U483" s="14" t="n">
        <f aca="false">IF($L483=2014,1,0)</f>
        <v>0</v>
      </c>
      <c r="V483" s="14" t="n">
        <f aca="false">IF($L483=2015,1,0)</f>
        <v>0</v>
      </c>
      <c r="W483" s="14" t="n">
        <f aca="false">IF($L483=2016,1,0)</f>
        <v>1</v>
      </c>
      <c r="X483" s="14" t="n">
        <f aca="false">IF($L483=2017,1,0)</f>
        <v>0</v>
      </c>
      <c r="Y483" s="14" t="n">
        <f aca="false">IF($H483="Beginner Level",1,0)</f>
        <v>1</v>
      </c>
      <c r="Z483" s="14" t="n">
        <f aca="false">IF($H483="Expert Level",1,0)</f>
        <v>0</v>
      </c>
      <c r="AA483" s="14" t="n">
        <f aca="false">IF($H483="Intermediate Level",1,0)</f>
        <v>0</v>
      </c>
      <c r="AC483" s="14" t="n">
        <f aca="false">N483</f>
        <v>5.29836736529808</v>
      </c>
      <c r="AD483" s="14" t="n">
        <f aca="false">G483</f>
        <v>31</v>
      </c>
      <c r="AE483" s="14" t="n">
        <f aca="false">J483</f>
        <v>2</v>
      </c>
      <c r="AF483" s="14" t="n">
        <f aca="false">IF($L483=2012,1,0)</f>
        <v>0</v>
      </c>
      <c r="AG483" s="14" t="n">
        <f aca="false">IF($L483=2013,1,0)</f>
        <v>0</v>
      </c>
      <c r="AH483" s="14" t="n">
        <f aca="false">IF($L483=2014,1,0)</f>
        <v>0</v>
      </c>
      <c r="AI483" s="14" t="n">
        <f aca="false">IF($L483=2015,1,0)</f>
        <v>0</v>
      </c>
      <c r="AJ483" s="14" t="n">
        <f aca="false">IF($L483=2016,1,0)</f>
        <v>1</v>
      </c>
      <c r="AK483" s="14" t="n">
        <f aca="false">IF($L483=2017,1,0)</f>
        <v>0</v>
      </c>
      <c r="AL483" s="14" t="n">
        <f aca="false">IF($H483="Beginner Level",1,0)</f>
        <v>1</v>
      </c>
      <c r="AM483" s="14" t="n">
        <f aca="false">IF($H483="Expert Level",1,0)</f>
        <v>0</v>
      </c>
      <c r="AN483" s="14" t="n">
        <f aca="false">IF($H483="Intermediate Level",1,0)</f>
        <v>0</v>
      </c>
    </row>
    <row r="484" customFormat="false" ht="46.25" hidden="false" customHeight="false" outlineLevel="0" collapsed="false">
      <c r="A484" s="14" t="n">
        <v>993146</v>
      </c>
      <c r="B484" s="14" t="s">
        <v>1011</v>
      </c>
      <c r="C484" s="14" t="s">
        <v>1012</v>
      </c>
      <c r="D484" s="14" t="n">
        <v>95</v>
      </c>
      <c r="E484" s="14" t="n">
        <v>3619</v>
      </c>
      <c r="F484" s="14" t="n">
        <v>93</v>
      </c>
      <c r="G484" s="14" t="n">
        <v>19</v>
      </c>
      <c r="H484" s="14" t="s">
        <v>52</v>
      </c>
      <c r="I484" s="14" t="n">
        <v>0.94</v>
      </c>
      <c r="J484" s="14" t="n">
        <v>1</v>
      </c>
      <c r="K484" s="14" t="s">
        <v>59</v>
      </c>
      <c r="L484" s="14" t="n">
        <v>2016</v>
      </c>
      <c r="M484" s="14" t="n">
        <v>8.19395302356374</v>
      </c>
      <c r="N484" s="14" t="n">
        <v>4.55398214921866</v>
      </c>
      <c r="P484" s="14" t="n">
        <f aca="false">D484</f>
        <v>95</v>
      </c>
      <c r="Q484" s="14" t="n">
        <f aca="false">G484</f>
        <v>19</v>
      </c>
      <c r="R484" s="14" t="n">
        <f aca="false">J484</f>
        <v>1</v>
      </c>
      <c r="S484" s="14" t="n">
        <f aca="false">IF($L484=2012,1,0)</f>
        <v>0</v>
      </c>
      <c r="T484" s="14" t="n">
        <f aca="false">IF($L484=2013,1,0)</f>
        <v>0</v>
      </c>
      <c r="U484" s="14" t="n">
        <f aca="false">IF($L484=2014,1,0)</f>
        <v>0</v>
      </c>
      <c r="V484" s="14" t="n">
        <f aca="false">IF($L484=2015,1,0)</f>
        <v>0</v>
      </c>
      <c r="W484" s="14" t="n">
        <f aca="false">IF($L484=2016,1,0)</f>
        <v>1</v>
      </c>
      <c r="X484" s="14" t="n">
        <f aca="false">IF($L484=2017,1,0)</f>
        <v>0</v>
      </c>
      <c r="Y484" s="14" t="n">
        <f aca="false">IF($H484="Beginner Level",1,0)</f>
        <v>1</v>
      </c>
      <c r="Z484" s="14" t="n">
        <f aca="false">IF($H484="Expert Level",1,0)</f>
        <v>0</v>
      </c>
      <c r="AA484" s="14" t="n">
        <f aca="false">IF($H484="Intermediate Level",1,0)</f>
        <v>0</v>
      </c>
      <c r="AC484" s="14" t="n">
        <f aca="false">N484</f>
        <v>4.55398214921866</v>
      </c>
      <c r="AD484" s="14" t="n">
        <f aca="false">G484</f>
        <v>19</v>
      </c>
      <c r="AE484" s="14" t="n">
        <f aca="false">J484</f>
        <v>1</v>
      </c>
      <c r="AF484" s="14" t="n">
        <f aca="false">IF($L484=2012,1,0)</f>
        <v>0</v>
      </c>
      <c r="AG484" s="14" t="n">
        <f aca="false">IF($L484=2013,1,0)</f>
        <v>0</v>
      </c>
      <c r="AH484" s="14" t="n">
        <f aca="false">IF($L484=2014,1,0)</f>
        <v>0</v>
      </c>
      <c r="AI484" s="14" t="n">
        <f aca="false">IF($L484=2015,1,0)</f>
        <v>0</v>
      </c>
      <c r="AJ484" s="14" t="n">
        <f aca="false">IF($L484=2016,1,0)</f>
        <v>1</v>
      </c>
      <c r="AK484" s="14" t="n">
        <f aca="false">IF($L484=2017,1,0)</f>
        <v>0</v>
      </c>
      <c r="AL484" s="14" t="n">
        <f aca="false">IF($H484="Beginner Level",1,0)</f>
        <v>1</v>
      </c>
      <c r="AM484" s="14" t="n">
        <f aca="false">IF($H484="Expert Level",1,0)</f>
        <v>0</v>
      </c>
      <c r="AN484" s="14" t="n">
        <f aca="false">IF($H484="Intermediate Level",1,0)</f>
        <v>0</v>
      </c>
    </row>
    <row r="485" customFormat="false" ht="68.65" hidden="false" customHeight="false" outlineLevel="0" collapsed="false">
      <c r="A485" s="14" t="n">
        <v>947498</v>
      </c>
      <c r="B485" s="14" t="s">
        <v>1013</v>
      </c>
      <c r="C485" s="14" t="s">
        <v>1014</v>
      </c>
      <c r="D485" s="14" t="n">
        <v>50</v>
      </c>
      <c r="E485" s="14" t="n">
        <v>3601</v>
      </c>
      <c r="F485" s="14" t="n">
        <v>28</v>
      </c>
      <c r="G485" s="14" t="n">
        <v>22</v>
      </c>
      <c r="H485" s="14" t="s">
        <v>62</v>
      </c>
      <c r="I485" s="14" t="n">
        <v>0.94</v>
      </c>
      <c r="J485" s="14" t="n">
        <v>2</v>
      </c>
      <c r="K485" s="14" t="s">
        <v>59</v>
      </c>
      <c r="L485" s="14" t="n">
        <v>2016</v>
      </c>
      <c r="M485" s="14" t="n">
        <v>8.18896686364888</v>
      </c>
      <c r="N485" s="14" t="n">
        <v>3.91222298543081</v>
      </c>
      <c r="P485" s="14" t="n">
        <f aca="false">D485</f>
        <v>50</v>
      </c>
      <c r="Q485" s="14" t="n">
        <f aca="false">G485</f>
        <v>22</v>
      </c>
      <c r="R485" s="14" t="n">
        <f aca="false">J485</f>
        <v>2</v>
      </c>
      <c r="S485" s="14" t="n">
        <f aca="false">IF($L485=2012,1,0)</f>
        <v>0</v>
      </c>
      <c r="T485" s="14" t="n">
        <f aca="false">IF($L485=2013,1,0)</f>
        <v>0</v>
      </c>
      <c r="U485" s="14" t="n">
        <f aca="false">IF($L485=2014,1,0)</f>
        <v>0</v>
      </c>
      <c r="V485" s="14" t="n">
        <f aca="false">IF($L485=2015,1,0)</f>
        <v>0</v>
      </c>
      <c r="W485" s="14" t="n">
        <f aca="false">IF($L485=2016,1,0)</f>
        <v>1</v>
      </c>
      <c r="X485" s="14" t="n">
        <f aca="false">IF($L485=2017,1,0)</f>
        <v>0</v>
      </c>
      <c r="Y485" s="14" t="n">
        <f aca="false">IF($H485="Beginner Level",1,0)</f>
        <v>0</v>
      </c>
      <c r="Z485" s="14" t="n">
        <f aca="false">IF($H485="Expert Level",1,0)</f>
        <v>0</v>
      </c>
      <c r="AA485" s="14" t="n">
        <f aca="false">IF($H485="Intermediate Level",1,0)</f>
        <v>0</v>
      </c>
      <c r="AC485" s="14" t="n">
        <f aca="false">N485</f>
        <v>3.91222298543081</v>
      </c>
      <c r="AD485" s="14" t="n">
        <f aca="false">G485</f>
        <v>22</v>
      </c>
      <c r="AE485" s="14" t="n">
        <f aca="false">J485</f>
        <v>2</v>
      </c>
      <c r="AF485" s="14" t="n">
        <f aca="false">IF($L485=2012,1,0)</f>
        <v>0</v>
      </c>
      <c r="AG485" s="14" t="n">
        <f aca="false">IF($L485=2013,1,0)</f>
        <v>0</v>
      </c>
      <c r="AH485" s="14" t="n">
        <f aca="false">IF($L485=2014,1,0)</f>
        <v>0</v>
      </c>
      <c r="AI485" s="14" t="n">
        <f aca="false">IF($L485=2015,1,0)</f>
        <v>0</v>
      </c>
      <c r="AJ485" s="14" t="n">
        <f aca="false">IF($L485=2016,1,0)</f>
        <v>1</v>
      </c>
      <c r="AK485" s="14" t="n">
        <f aca="false">IF($L485=2017,1,0)</f>
        <v>0</v>
      </c>
      <c r="AL485" s="14" t="n">
        <f aca="false">IF($H485="Beginner Level",1,0)</f>
        <v>0</v>
      </c>
      <c r="AM485" s="14" t="n">
        <f aca="false">IF($H485="Expert Level",1,0)</f>
        <v>0</v>
      </c>
      <c r="AN485" s="14" t="n">
        <f aca="false">IF($H485="Intermediate Level",1,0)</f>
        <v>0</v>
      </c>
    </row>
    <row r="486" customFormat="false" ht="79.85" hidden="false" customHeight="false" outlineLevel="0" collapsed="false">
      <c r="A486" s="14" t="n">
        <v>739090</v>
      </c>
      <c r="B486" s="14" t="s">
        <v>1015</v>
      </c>
      <c r="C486" s="14" t="s">
        <v>1016</v>
      </c>
      <c r="D486" s="14" t="n">
        <v>110</v>
      </c>
      <c r="E486" s="14" t="n">
        <v>3590</v>
      </c>
      <c r="F486" s="14" t="n">
        <v>36</v>
      </c>
      <c r="G486" s="14" t="n">
        <v>104</v>
      </c>
      <c r="H486" s="14" t="s">
        <v>71</v>
      </c>
      <c r="I486" s="14" t="n">
        <v>0.94</v>
      </c>
      <c r="J486" s="14" t="n">
        <v>14</v>
      </c>
      <c r="K486" s="14" t="s">
        <v>59</v>
      </c>
      <c r="L486" s="14" t="n">
        <v>2016</v>
      </c>
      <c r="M486" s="14" t="n">
        <v>8.18590748148232</v>
      </c>
      <c r="N486" s="14" t="n">
        <v>4.70057127075134</v>
      </c>
      <c r="P486" s="14" t="n">
        <f aca="false">D486</f>
        <v>110</v>
      </c>
      <c r="Q486" s="14" t="n">
        <f aca="false">G486</f>
        <v>104</v>
      </c>
      <c r="R486" s="14" t="n">
        <f aca="false">J486</f>
        <v>14</v>
      </c>
      <c r="S486" s="14" t="n">
        <f aca="false">IF($L486=2012,1,0)</f>
        <v>0</v>
      </c>
      <c r="T486" s="14" t="n">
        <f aca="false">IF($L486=2013,1,0)</f>
        <v>0</v>
      </c>
      <c r="U486" s="14" t="n">
        <f aca="false">IF($L486=2014,1,0)</f>
        <v>0</v>
      </c>
      <c r="V486" s="14" t="n">
        <f aca="false">IF($L486=2015,1,0)</f>
        <v>0</v>
      </c>
      <c r="W486" s="14" t="n">
        <f aca="false">IF($L486=2016,1,0)</f>
        <v>1</v>
      </c>
      <c r="X486" s="14" t="n">
        <f aca="false">IF($L486=2017,1,0)</f>
        <v>0</v>
      </c>
      <c r="Y486" s="14" t="n">
        <f aca="false">IF($H486="Beginner Level",1,0)</f>
        <v>0</v>
      </c>
      <c r="Z486" s="14" t="n">
        <f aca="false">IF($H486="Expert Level",1,0)</f>
        <v>0</v>
      </c>
      <c r="AA486" s="14" t="n">
        <f aca="false">IF($H486="Intermediate Level",1,0)</f>
        <v>1</v>
      </c>
      <c r="AC486" s="14" t="n">
        <f aca="false">N486</f>
        <v>4.70057127075134</v>
      </c>
      <c r="AD486" s="14" t="n">
        <f aca="false">G486</f>
        <v>104</v>
      </c>
      <c r="AE486" s="14" t="n">
        <f aca="false">J486</f>
        <v>14</v>
      </c>
      <c r="AF486" s="14" t="n">
        <f aca="false">IF($L486=2012,1,0)</f>
        <v>0</v>
      </c>
      <c r="AG486" s="14" t="n">
        <f aca="false">IF($L486=2013,1,0)</f>
        <v>0</v>
      </c>
      <c r="AH486" s="14" t="n">
        <f aca="false">IF($L486=2014,1,0)</f>
        <v>0</v>
      </c>
      <c r="AI486" s="14" t="n">
        <f aca="false">IF($L486=2015,1,0)</f>
        <v>0</v>
      </c>
      <c r="AJ486" s="14" t="n">
        <f aca="false">IF($L486=2016,1,0)</f>
        <v>1</v>
      </c>
      <c r="AK486" s="14" t="n">
        <f aca="false">IF($L486=2017,1,0)</f>
        <v>0</v>
      </c>
      <c r="AL486" s="14" t="n">
        <f aca="false">IF($H486="Beginner Level",1,0)</f>
        <v>0</v>
      </c>
      <c r="AM486" s="14" t="n">
        <f aca="false">IF($H486="Expert Level",1,0)</f>
        <v>0</v>
      </c>
      <c r="AN486" s="14" t="n">
        <f aca="false">IF($H486="Intermediate Level",1,0)</f>
        <v>1</v>
      </c>
    </row>
    <row r="487" customFormat="false" ht="57.45" hidden="false" customHeight="false" outlineLevel="0" collapsed="false">
      <c r="A487" s="14" t="n">
        <v>1246622</v>
      </c>
      <c r="B487" s="14" t="s">
        <v>1017</v>
      </c>
      <c r="C487" s="14" t="s">
        <v>1018</v>
      </c>
      <c r="D487" s="14" t="n">
        <v>0</v>
      </c>
      <c r="E487" s="14" t="n">
        <v>3571</v>
      </c>
      <c r="F487" s="14" t="n">
        <v>18</v>
      </c>
      <c r="G487" s="14" t="n">
        <v>8</v>
      </c>
      <c r="H487" s="14" t="s">
        <v>52</v>
      </c>
      <c r="I487" s="14" t="n">
        <v>0.94</v>
      </c>
      <c r="J487" s="14" t="n">
        <v>1</v>
      </c>
      <c r="K487" s="14" t="s">
        <v>53</v>
      </c>
      <c r="L487" s="14" t="n">
        <v>2017</v>
      </c>
      <c r="M487" s="14" t="n">
        <v>8.18060094759445</v>
      </c>
      <c r="N487" s="14" t="n">
        <v>-4.60517018598809</v>
      </c>
      <c r="P487" s="14" t="n">
        <f aca="false">D487</f>
        <v>0</v>
      </c>
      <c r="Q487" s="14" t="n">
        <f aca="false">G487</f>
        <v>8</v>
      </c>
      <c r="R487" s="14" t="n">
        <f aca="false">J487</f>
        <v>1</v>
      </c>
      <c r="S487" s="14" t="n">
        <f aca="false">IF($L487=2012,1,0)</f>
        <v>0</v>
      </c>
      <c r="T487" s="14" t="n">
        <f aca="false">IF($L487=2013,1,0)</f>
        <v>0</v>
      </c>
      <c r="U487" s="14" t="n">
        <f aca="false">IF($L487=2014,1,0)</f>
        <v>0</v>
      </c>
      <c r="V487" s="14" t="n">
        <f aca="false">IF($L487=2015,1,0)</f>
        <v>0</v>
      </c>
      <c r="W487" s="14" t="n">
        <f aca="false">IF($L487=2016,1,0)</f>
        <v>0</v>
      </c>
      <c r="X487" s="14" t="n">
        <f aca="false">IF($L487=2017,1,0)</f>
        <v>1</v>
      </c>
      <c r="Y487" s="14" t="n">
        <f aca="false">IF($H487="Beginner Level",1,0)</f>
        <v>1</v>
      </c>
      <c r="Z487" s="14" t="n">
        <f aca="false">IF($H487="Expert Level",1,0)</f>
        <v>0</v>
      </c>
      <c r="AA487" s="14" t="n">
        <f aca="false">IF($H487="Intermediate Level",1,0)</f>
        <v>0</v>
      </c>
      <c r="AC487" s="14" t="n">
        <f aca="false">N487</f>
        <v>-4.60517018598809</v>
      </c>
      <c r="AD487" s="14" t="n">
        <f aca="false">G487</f>
        <v>8</v>
      </c>
      <c r="AE487" s="14" t="n">
        <f aca="false">J487</f>
        <v>1</v>
      </c>
      <c r="AF487" s="14" t="n">
        <f aca="false">IF($L487=2012,1,0)</f>
        <v>0</v>
      </c>
      <c r="AG487" s="14" t="n">
        <f aca="false">IF($L487=2013,1,0)</f>
        <v>0</v>
      </c>
      <c r="AH487" s="14" t="n">
        <f aca="false">IF($L487=2014,1,0)</f>
        <v>0</v>
      </c>
      <c r="AI487" s="14" t="n">
        <f aca="false">IF($L487=2015,1,0)</f>
        <v>0</v>
      </c>
      <c r="AJ487" s="14" t="n">
        <f aca="false">IF($L487=2016,1,0)</f>
        <v>0</v>
      </c>
      <c r="AK487" s="14" t="n">
        <f aca="false">IF($L487=2017,1,0)</f>
        <v>1</v>
      </c>
      <c r="AL487" s="14" t="n">
        <f aca="false">IF($H487="Beginner Level",1,0)</f>
        <v>1</v>
      </c>
      <c r="AM487" s="14" t="n">
        <f aca="false">IF($H487="Expert Level",1,0)</f>
        <v>0</v>
      </c>
      <c r="AN487" s="14" t="n">
        <f aca="false">IF($H487="Intermediate Level",1,0)</f>
        <v>0</v>
      </c>
    </row>
    <row r="488" customFormat="false" ht="68.65" hidden="false" customHeight="false" outlineLevel="0" collapsed="false">
      <c r="A488" s="14" t="n">
        <v>1249968</v>
      </c>
      <c r="B488" s="14" t="s">
        <v>1019</v>
      </c>
      <c r="C488" s="14" t="s">
        <v>1020</v>
      </c>
      <c r="D488" s="14" t="n">
        <v>100</v>
      </c>
      <c r="E488" s="14" t="n">
        <v>3559</v>
      </c>
      <c r="F488" s="14" t="n">
        <v>24</v>
      </c>
      <c r="G488" s="14" t="n">
        <v>18</v>
      </c>
      <c r="H488" s="14" t="s">
        <v>71</v>
      </c>
      <c r="I488" s="14" t="n">
        <v>0.94</v>
      </c>
      <c r="J488" s="14" t="n">
        <v>1</v>
      </c>
      <c r="K488" s="14" t="s">
        <v>59</v>
      </c>
      <c r="L488" s="14" t="n">
        <v>2017</v>
      </c>
      <c r="M488" s="14" t="n">
        <v>8.17723488551019</v>
      </c>
      <c r="N488" s="14" t="n">
        <v>4.60527018098843</v>
      </c>
      <c r="P488" s="14" t="n">
        <f aca="false">D488</f>
        <v>100</v>
      </c>
      <c r="Q488" s="14" t="n">
        <f aca="false">G488</f>
        <v>18</v>
      </c>
      <c r="R488" s="14" t="n">
        <f aca="false">J488</f>
        <v>1</v>
      </c>
      <c r="S488" s="14" t="n">
        <f aca="false">IF($L488=2012,1,0)</f>
        <v>0</v>
      </c>
      <c r="T488" s="14" t="n">
        <f aca="false">IF($L488=2013,1,0)</f>
        <v>0</v>
      </c>
      <c r="U488" s="14" t="n">
        <f aca="false">IF($L488=2014,1,0)</f>
        <v>0</v>
      </c>
      <c r="V488" s="14" t="n">
        <f aca="false">IF($L488=2015,1,0)</f>
        <v>0</v>
      </c>
      <c r="W488" s="14" t="n">
        <f aca="false">IF($L488=2016,1,0)</f>
        <v>0</v>
      </c>
      <c r="X488" s="14" t="n">
        <f aca="false">IF($L488=2017,1,0)</f>
        <v>1</v>
      </c>
      <c r="Y488" s="14" t="n">
        <f aca="false">IF($H488="Beginner Level",1,0)</f>
        <v>0</v>
      </c>
      <c r="Z488" s="14" t="n">
        <f aca="false">IF($H488="Expert Level",1,0)</f>
        <v>0</v>
      </c>
      <c r="AA488" s="14" t="n">
        <f aca="false">IF($H488="Intermediate Level",1,0)</f>
        <v>1</v>
      </c>
      <c r="AC488" s="14" t="n">
        <f aca="false">N488</f>
        <v>4.60527018098843</v>
      </c>
      <c r="AD488" s="14" t="n">
        <f aca="false">G488</f>
        <v>18</v>
      </c>
      <c r="AE488" s="14" t="n">
        <f aca="false">J488</f>
        <v>1</v>
      </c>
      <c r="AF488" s="14" t="n">
        <f aca="false">IF($L488=2012,1,0)</f>
        <v>0</v>
      </c>
      <c r="AG488" s="14" t="n">
        <f aca="false">IF($L488=2013,1,0)</f>
        <v>0</v>
      </c>
      <c r="AH488" s="14" t="n">
        <f aca="false">IF($L488=2014,1,0)</f>
        <v>0</v>
      </c>
      <c r="AI488" s="14" t="n">
        <f aca="false">IF($L488=2015,1,0)</f>
        <v>0</v>
      </c>
      <c r="AJ488" s="14" t="n">
        <f aca="false">IF($L488=2016,1,0)</f>
        <v>0</v>
      </c>
      <c r="AK488" s="14" t="n">
        <f aca="false">IF($L488=2017,1,0)</f>
        <v>1</v>
      </c>
      <c r="AL488" s="14" t="n">
        <f aca="false">IF($H488="Beginner Level",1,0)</f>
        <v>0</v>
      </c>
      <c r="AM488" s="14" t="n">
        <f aca="false">IF($H488="Expert Level",1,0)</f>
        <v>0</v>
      </c>
      <c r="AN488" s="14" t="n">
        <f aca="false">IF($H488="Intermediate Level",1,0)</f>
        <v>1</v>
      </c>
    </row>
    <row r="489" customFormat="false" ht="91" hidden="false" customHeight="false" outlineLevel="0" collapsed="false">
      <c r="A489" s="14" t="n">
        <v>1086834</v>
      </c>
      <c r="B489" s="14" t="s">
        <v>1021</v>
      </c>
      <c r="C489" s="14" t="s">
        <v>1022</v>
      </c>
      <c r="D489" s="14" t="n">
        <v>40</v>
      </c>
      <c r="E489" s="14" t="n">
        <v>3541</v>
      </c>
      <c r="F489" s="14" t="n">
        <v>202</v>
      </c>
      <c r="G489" s="14" t="n">
        <v>37</v>
      </c>
      <c r="H489" s="14" t="s">
        <v>52</v>
      </c>
      <c r="I489" s="14" t="n">
        <v>0.94</v>
      </c>
      <c r="J489" s="14" t="n">
        <v>4</v>
      </c>
      <c r="K489" s="14" t="s">
        <v>59</v>
      </c>
      <c r="L489" s="14" t="n">
        <v>2017</v>
      </c>
      <c r="M489" s="14" t="n">
        <v>8.1721644521119</v>
      </c>
      <c r="N489" s="14" t="n">
        <v>3.68912942286914</v>
      </c>
      <c r="P489" s="14" t="n">
        <f aca="false">D489</f>
        <v>40</v>
      </c>
      <c r="Q489" s="14" t="n">
        <f aca="false">G489</f>
        <v>37</v>
      </c>
      <c r="R489" s="14" t="n">
        <f aca="false">J489</f>
        <v>4</v>
      </c>
      <c r="S489" s="14" t="n">
        <f aca="false">IF($L489=2012,1,0)</f>
        <v>0</v>
      </c>
      <c r="T489" s="14" t="n">
        <f aca="false">IF($L489=2013,1,0)</f>
        <v>0</v>
      </c>
      <c r="U489" s="14" t="n">
        <f aca="false">IF($L489=2014,1,0)</f>
        <v>0</v>
      </c>
      <c r="V489" s="14" t="n">
        <f aca="false">IF($L489=2015,1,0)</f>
        <v>0</v>
      </c>
      <c r="W489" s="14" t="n">
        <f aca="false">IF($L489=2016,1,0)</f>
        <v>0</v>
      </c>
      <c r="X489" s="14" t="n">
        <f aca="false">IF($L489=2017,1,0)</f>
        <v>1</v>
      </c>
      <c r="Y489" s="14" t="n">
        <f aca="false">IF($H489="Beginner Level",1,0)</f>
        <v>1</v>
      </c>
      <c r="Z489" s="14" t="n">
        <f aca="false">IF($H489="Expert Level",1,0)</f>
        <v>0</v>
      </c>
      <c r="AA489" s="14" t="n">
        <f aca="false">IF($H489="Intermediate Level",1,0)</f>
        <v>0</v>
      </c>
      <c r="AC489" s="14" t="n">
        <f aca="false">N489</f>
        <v>3.68912942286914</v>
      </c>
      <c r="AD489" s="14" t="n">
        <f aca="false">G489</f>
        <v>37</v>
      </c>
      <c r="AE489" s="14" t="n">
        <f aca="false">J489</f>
        <v>4</v>
      </c>
      <c r="AF489" s="14" t="n">
        <f aca="false">IF($L489=2012,1,0)</f>
        <v>0</v>
      </c>
      <c r="AG489" s="14" t="n">
        <f aca="false">IF($L489=2013,1,0)</f>
        <v>0</v>
      </c>
      <c r="AH489" s="14" t="n">
        <f aca="false">IF($L489=2014,1,0)</f>
        <v>0</v>
      </c>
      <c r="AI489" s="14" t="n">
        <f aca="false">IF($L489=2015,1,0)</f>
        <v>0</v>
      </c>
      <c r="AJ489" s="14" t="n">
        <f aca="false">IF($L489=2016,1,0)</f>
        <v>0</v>
      </c>
      <c r="AK489" s="14" t="n">
        <f aca="false">IF($L489=2017,1,0)</f>
        <v>1</v>
      </c>
      <c r="AL489" s="14" t="n">
        <f aca="false">IF($H489="Beginner Level",1,0)</f>
        <v>1</v>
      </c>
      <c r="AM489" s="14" t="n">
        <f aca="false">IF($H489="Expert Level",1,0)</f>
        <v>0</v>
      </c>
      <c r="AN489" s="14" t="n">
        <f aca="false">IF($H489="Intermediate Level",1,0)</f>
        <v>0</v>
      </c>
    </row>
    <row r="490" customFormat="false" ht="91" hidden="false" customHeight="false" outlineLevel="0" collapsed="false">
      <c r="A490" s="14" t="n">
        <v>1174446</v>
      </c>
      <c r="B490" s="14" t="s">
        <v>1023</v>
      </c>
      <c r="C490" s="14" t="s">
        <v>1024</v>
      </c>
      <c r="D490" s="14" t="n">
        <v>35</v>
      </c>
      <c r="E490" s="14" t="n">
        <v>3539</v>
      </c>
      <c r="F490" s="14" t="n">
        <v>43</v>
      </c>
      <c r="G490" s="14" t="n">
        <v>20</v>
      </c>
      <c r="H490" s="14" t="s">
        <v>62</v>
      </c>
      <c r="I490" s="14" t="n">
        <v>0.94</v>
      </c>
      <c r="J490" s="14" t="n">
        <v>1</v>
      </c>
      <c r="K490" s="14" t="s">
        <v>59</v>
      </c>
      <c r="L490" s="14" t="n">
        <v>2017</v>
      </c>
      <c r="M490" s="14" t="n">
        <v>8.17159948034546</v>
      </c>
      <c r="N490" s="14" t="n">
        <v>3.55563373496657</v>
      </c>
      <c r="P490" s="14" t="n">
        <f aca="false">D490</f>
        <v>35</v>
      </c>
      <c r="Q490" s="14" t="n">
        <f aca="false">G490</f>
        <v>20</v>
      </c>
      <c r="R490" s="14" t="n">
        <f aca="false">J490</f>
        <v>1</v>
      </c>
      <c r="S490" s="14" t="n">
        <f aca="false">IF($L490=2012,1,0)</f>
        <v>0</v>
      </c>
      <c r="T490" s="14" t="n">
        <f aca="false">IF($L490=2013,1,0)</f>
        <v>0</v>
      </c>
      <c r="U490" s="14" t="n">
        <f aca="false">IF($L490=2014,1,0)</f>
        <v>0</v>
      </c>
      <c r="V490" s="14" t="n">
        <f aca="false">IF($L490=2015,1,0)</f>
        <v>0</v>
      </c>
      <c r="W490" s="14" t="n">
        <f aca="false">IF($L490=2016,1,0)</f>
        <v>0</v>
      </c>
      <c r="X490" s="14" t="n">
        <f aca="false">IF($L490=2017,1,0)</f>
        <v>1</v>
      </c>
      <c r="Y490" s="14" t="n">
        <f aca="false">IF($H490="Beginner Level",1,0)</f>
        <v>0</v>
      </c>
      <c r="Z490" s="14" t="n">
        <f aca="false">IF($H490="Expert Level",1,0)</f>
        <v>0</v>
      </c>
      <c r="AA490" s="14" t="n">
        <f aca="false">IF($H490="Intermediate Level",1,0)</f>
        <v>0</v>
      </c>
      <c r="AC490" s="14" t="n">
        <f aca="false">N490</f>
        <v>3.55563373496657</v>
      </c>
      <c r="AD490" s="14" t="n">
        <f aca="false">G490</f>
        <v>20</v>
      </c>
      <c r="AE490" s="14" t="n">
        <f aca="false">J490</f>
        <v>1</v>
      </c>
      <c r="AF490" s="14" t="n">
        <f aca="false">IF($L490=2012,1,0)</f>
        <v>0</v>
      </c>
      <c r="AG490" s="14" t="n">
        <f aca="false">IF($L490=2013,1,0)</f>
        <v>0</v>
      </c>
      <c r="AH490" s="14" t="n">
        <f aca="false">IF($L490=2014,1,0)</f>
        <v>0</v>
      </c>
      <c r="AI490" s="14" t="n">
        <f aca="false">IF($L490=2015,1,0)</f>
        <v>0</v>
      </c>
      <c r="AJ490" s="14" t="n">
        <f aca="false">IF($L490=2016,1,0)</f>
        <v>0</v>
      </c>
      <c r="AK490" s="14" t="n">
        <f aca="false">IF($L490=2017,1,0)</f>
        <v>1</v>
      </c>
      <c r="AL490" s="14" t="n">
        <f aca="false">IF($H490="Beginner Level",1,0)</f>
        <v>0</v>
      </c>
      <c r="AM490" s="14" t="n">
        <f aca="false">IF($H490="Expert Level",1,0)</f>
        <v>0</v>
      </c>
      <c r="AN490" s="14" t="n">
        <f aca="false">IF($H490="Intermediate Level",1,0)</f>
        <v>0</v>
      </c>
    </row>
    <row r="491" customFormat="false" ht="91" hidden="false" customHeight="false" outlineLevel="0" collapsed="false">
      <c r="A491" s="14" t="n">
        <v>994740</v>
      </c>
      <c r="B491" s="14" t="s">
        <v>1025</v>
      </c>
      <c r="C491" s="14" t="s">
        <v>1026</v>
      </c>
      <c r="D491" s="14" t="n">
        <v>30</v>
      </c>
      <c r="E491" s="14" t="n">
        <v>3503</v>
      </c>
      <c r="F491" s="14" t="n">
        <v>123</v>
      </c>
      <c r="G491" s="14" t="n">
        <v>41</v>
      </c>
      <c r="H491" s="14" t="s">
        <v>62</v>
      </c>
      <c r="I491" s="14" t="n">
        <v>0.94</v>
      </c>
      <c r="J491" s="14" t="n">
        <v>4</v>
      </c>
      <c r="K491" s="14" t="s">
        <v>59</v>
      </c>
      <c r="L491" s="14" t="n">
        <v>2016</v>
      </c>
      <c r="M491" s="14" t="n">
        <v>8.16137502319749</v>
      </c>
      <c r="N491" s="14" t="n">
        <v>3.40153065945228</v>
      </c>
      <c r="P491" s="14" t="n">
        <f aca="false">D491</f>
        <v>30</v>
      </c>
      <c r="Q491" s="14" t="n">
        <f aca="false">G491</f>
        <v>41</v>
      </c>
      <c r="R491" s="14" t="n">
        <f aca="false">J491</f>
        <v>4</v>
      </c>
      <c r="S491" s="14" t="n">
        <f aca="false">IF($L491=2012,1,0)</f>
        <v>0</v>
      </c>
      <c r="T491" s="14" t="n">
        <f aca="false">IF($L491=2013,1,0)</f>
        <v>0</v>
      </c>
      <c r="U491" s="14" t="n">
        <f aca="false">IF($L491=2014,1,0)</f>
        <v>0</v>
      </c>
      <c r="V491" s="14" t="n">
        <f aca="false">IF($L491=2015,1,0)</f>
        <v>0</v>
      </c>
      <c r="W491" s="14" t="n">
        <f aca="false">IF($L491=2016,1,0)</f>
        <v>1</v>
      </c>
      <c r="X491" s="14" t="n">
        <f aca="false">IF($L491=2017,1,0)</f>
        <v>0</v>
      </c>
      <c r="Y491" s="14" t="n">
        <f aca="false">IF($H491="Beginner Level",1,0)</f>
        <v>0</v>
      </c>
      <c r="Z491" s="14" t="n">
        <f aca="false">IF($H491="Expert Level",1,0)</f>
        <v>0</v>
      </c>
      <c r="AA491" s="14" t="n">
        <f aca="false">IF($H491="Intermediate Level",1,0)</f>
        <v>0</v>
      </c>
      <c r="AC491" s="14" t="n">
        <f aca="false">N491</f>
        <v>3.40153065945228</v>
      </c>
      <c r="AD491" s="14" t="n">
        <f aca="false">G491</f>
        <v>41</v>
      </c>
      <c r="AE491" s="14" t="n">
        <f aca="false">J491</f>
        <v>4</v>
      </c>
      <c r="AF491" s="14" t="n">
        <f aca="false">IF($L491=2012,1,0)</f>
        <v>0</v>
      </c>
      <c r="AG491" s="14" t="n">
        <f aca="false">IF($L491=2013,1,0)</f>
        <v>0</v>
      </c>
      <c r="AH491" s="14" t="n">
        <f aca="false">IF($L491=2014,1,0)</f>
        <v>0</v>
      </c>
      <c r="AI491" s="14" t="n">
        <f aca="false">IF($L491=2015,1,0)</f>
        <v>0</v>
      </c>
      <c r="AJ491" s="14" t="n">
        <f aca="false">IF($L491=2016,1,0)</f>
        <v>1</v>
      </c>
      <c r="AK491" s="14" t="n">
        <f aca="false">IF($L491=2017,1,0)</f>
        <v>0</v>
      </c>
      <c r="AL491" s="14" t="n">
        <f aca="false">IF($H491="Beginner Level",1,0)</f>
        <v>0</v>
      </c>
      <c r="AM491" s="14" t="n">
        <f aca="false">IF($H491="Expert Level",1,0)</f>
        <v>0</v>
      </c>
      <c r="AN491" s="14" t="n">
        <f aca="false">IF($H491="Intermediate Level",1,0)</f>
        <v>0</v>
      </c>
    </row>
    <row r="492" customFormat="false" ht="91" hidden="false" customHeight="false" outlineLevel="0" collapsed="false">
      <c r="A492" s="14" t="n">
        <v>1203894</v>
      </c>
      <c r="B492" s="14" t="s">
        <v>1027</v>
      </c>
      <c r="C492" s="14" t="s">
        <v>1028</v>
      </c>
      <c r="D492" s="14" t="n">
        <v>0</v>
      </c>
      <c r="E492" s="14" t="n">
        <v>3493</v>
      </c>
      <c r="F492" s="14" t="n">
        <v>43</v>
      </c>
      <c r="G492" s="14" t="n">
        <v>26</v>
      </c>
      <c r="H492" s="14" t="s">
        <v>71</v>
      </c>
      <c r="I492" s="14" t="n">
        <v>0.94</v>
      </c>
      <c r="J492" s="14" t="n">
        <v>4.5</v>
      </c>
      <c r="K492" s="14" t="s">
        <v>53</v>
      </c>
      <c r="L492" s="14" t="n">
        <v>2017</v>
      </c>
      <c r="M492" s="14" t="n">
        <v>8.15851624480683</v>
      </c>
      <c r="N492" s="14" t="n">
        <v>-4.60517018598809</v>
      </c>
      <c r="P492" s="14" t="n">
        <f aca="false">D492</f>
        <v>0</v>
      </c>
      <c r="Q492" s="14" t="n">
        <f aca="false">G492</f>
        <v>26</v>
      </c>
      <c r="R492" s="14" t="n">
        <f aca="false">J492</f>
        <v>4.5</v>
      </c>
      <c r="S492" s="14" t="n">
        <f aca="false">IF($L492=2012,1,0)</f>
        <v>0</v>
      </c>
      <c r="T492" s="14" t="n">
        <f aca="false">IF($L492=2013,1,0)</f>
        <v>0</v>
      </c>
      <c r="U492" s="14" t="n">
        <f aca="false">IF($L492=2014,1,0)</f>
        <v>0</v>
      </c>
      <c r="V492" s="14" t="n">
        <f aca="false">IF($L492=2015,1,0)</f>
        <v>0</v>
      </c>
      <c r="W492" s="14" t="n">
        <f aca="false">IF($L492=2016,1,0)</f>
        <v>0</v>
      </c>
      <c r="X492" s="14" t="n">
        <f aca="false">IF($L492=2017,1,0)</f>
        <v>1</v>
      </c>
      <c r="Y492" s="14" t="n">
        <f aca="false">IF($H492="Beginner Level",1,0)</f>
        <v>0</v>
      </c>
      <c r="Z492" s="14" t="n">
        <f aca="false">IF($H492="Expert Level",1,0)</f>
        <v>0</v>
      </c>
      <c r="AA492" s="14" t="n">
        <f aca="false">IF($H492="Intermediate Level",1,0)</f>
        <v>1</v>
      </c>
      <c r="AC492" s="14" t="n">
        <f aca="false">N492</f>
        <v>-4.60517018598809</v>
      </c>
      <c r="AD492" s="14" t="n">
        <f aca="false">G492</f>
        <v>26</v>
      </c>
      <c r="AE492" s="14" t="n">
        <f aca="false">J492</f>
        <v>4.5</v>
      </c>
      <c r="AF492" s="14" t="n">
        <f aca="false">IF($L492=2012,1,0)</f>
        <v>0</v>
      </c>
      <c r="AG492" s="14" t="n">
        <f aca="false">IF($L492=2013,1,0)</f>
        <v>0</v>
      </c>
      <c r="AH492" s="14" t="n">
        <f aca="false">IF($L492=2014,1,0)</f>
        <v>0</v>
      </c>
      <c r="AI492" s="14" t="n">
        <f aca="false">IF($L492=2015,1,0)</f>
        <v>0</v>
      </c>
      <c r="AJ492" s="14" t="n">
        <f aca="false">IF($L492=2016,1,0)</f>
        <v>0</v>
      </c>
      <c r="AK492" s="14" t="n">
        <f aca="false">IF($L492=2017,1,0)</f>
        <v>1</v>
      </c>
      <c r="AL492" s="14" t="n">
        <f aca="false">IF($H492="Beginner Level",1,0)</f>
        <v>0</v>
      </c>
      <c r="AM492" s="14" t="n">
        <f aca="false">IF($H492="Expert Level",1,0)</f>
        <v>0</v>
      </c>
      <c r="AN492" s="14" t="n">
        <f aca="false">IF($H492="Intermediate Level",1,0)</f>
        <v>1</v>
      </c>
    </row>
    <row r="493" customFormat="false" ht="68.65" hidden="false" customHeight="false" outlineLevel="0" collapsed="false">
      <c r="A493" s="14" t="n">
        <v>1023196</v>
      </c>
      <c r="B493" s="14" t="s">
        <v>1029</v>
      </c>
      <c r="C493" s="14" t="s">
        <v>1030</v>
      </c>
      <c r="D493" s="14" t="n">
        <v>25</v>
      </c>
      <c r="E493" s="14" t="n">
        <v>3492</v>
      </c>
      <c r="F493" s="14" t="n">
        <v>61</v>
      </c>
      <c r="G493" s="14" t="n">
        <v>12</v>
      </c>
      <c r="H493" s="14" t="s">
        <v>62</v>
      </c>
      <c r="I493" s="14" t="n">
        <v>0.94</v>
      </c>
      <c r="J493" s="14" t="n">
        <v>1.5</v>
      </c>
      <c r="K493" s="14" t="s">
        <v>59</v>
      </c>
      <c r="L493" s="14" t="n">
        <v>2016</v>
      </c>
      <c r="M493" s="14" t="n">
        <v>8.15822991695949</v>
      </c>
      <c r="N493" s="14" t="n">
        <v>3.21927574488953</v>
      </c>
      <c r="P493" s="14" t="n">
        <f aca="false">D493</f>
        <v>25</v>
      </c>
      <c r="Q493" s="14" t="n">
        <f aca="false">G493</f>
        <v>12</v>
      </c>
      <c r="R493" s="14" t="n">
        <f aca="false">J493</f>
        <v>1.5</v>
      </c>
      <c r="S493" s="14" t="n">
        <f aca="false">IF($L493=2012,1,0)</f>
        <v>0</v>
      </c>
      <c r="T493" s="14" t="n">
        <f aca="false">IF($L493=2013,1,0)</f>
        <v>0</v>
      </c>
      <c r="U493" s="14" t="n">
        <f aca="false">IF($L493=2014,1,0)</f>
        <v>0</v>
      </c>
      <c r="V493" s="14" t="n">
        <f aca="false">IF($L493=2015,1,0)</f>
        <v>0</v>
      </c>
      <c r="W493" s="14" t="n">
        <f aca="false">IF($L493=2016,1,0)</f>
        <v>1</v>
      </c>
      <c r="X493" s="14" t="n">
        <f aca="false">IF($L493=2017,1,0)</f>
        <v>0</v>
      </c>
      <c r="Y493" s="14" t="n">
        <f aca="false">IF($H493="Beginner Level",1,0)</f>
        <v>0</v>
      </c>
      <c r="Z493" s="14" t="n">
        <f aca="false">IF($H493="Expert Level",1,0)</f>
        <v>0</v>
      </c>
      <c r="AA493" s="14" t="n">
        <f aca="false">IF($H493="Intermediate Level",1,0)</f>
        <v>0</v>
      </c>
      <c r="AC493" s="14" t="n">
        <f aca="false">N493</f>
        <v>3.21927574488953</v>
      </c>
      <c r="AD493" s="14" t="n">
        <f aca="false">G493</f>
        <v>12</v>
      </c>
      <c r="AE493" s="14" t="n">
        <f aca="false">J493</f>
        <v>1.5</v>
      </c>
      <c r="AF493" s="14" t="n">
        <f aca="false">IF($L493=2012,1,0)</f>
        <v>0</v>
      </c>
      <c r="AG493" s="14" t="n">
        <f aca="false">IF($L493=2013,1,0)</f>
        <v>0</v>
      </c>
      <c r="AH493" s="14" t="n">
        <f aca="false">IF($L493=2014,1,0)</f>
        <v>0</v>
      </c>
      <c r="AI493" s="14" t="n">
        <f aca="false">IF($L493=2015,1,0)</f>
        <v>0</v>
      </c>
      <c r="AJ493" s="14" t="n">
        <f aca="false">IF($L493=2016,1,0)</f>
        <v>1</v>
      </c>
      <c r="AK493" s="14" t="n">
        <f aca="false">IF($L493=2017,1,0)</f>
        <v>0</v>
      </c>
      <c r="AL493" s="14" t="n">
        <f aca="false">IF($H493="Beginner Level",1,0)</f>
        <v>0</v>
      </c>
      <c r="AM493" s="14" t="n">
        <f aca="false">IF($H493="Expert Level",1,0)</f>
        <v>0</v>
      </c>
      <c r="AN493" s="14" t="n">
        <f aca="false">IF($H493="Intermediate Level",1,0)</f>
        <v>0</v>
      </c>
    </row>
    <row r="494" customFormat="false" ht="57.45" hidden="false" customHeight="false" outlineLevel="0" collapsed="false">
      <c r="A494" s="14" t="n">
        <v>597256</v>
      </c>
      <c r="B494" s="14" t="s">
        <v>1031</v>
      </c>
      <c r="C494" s="14" t="s">
        <v>1032</v>
      </c>
      <c r="D494" s="14" t="n">
        <v>35</v>
      </c>
      <c r="E494" s="14" t="n">
        <v>3485</v>
      </c>
      <c r="F494" s="14" t="n">
        <v>22</v>
      </c>
      <c r="G494" s="14" t="n">
        <v>19</v>
      </c>
      <c r="H494" s="14" t="s">
        <v>71</v>
      </c>
      <c r="I494" s="14" t="n">
        <v>0.55</v>
      </c>
      <c r="J494" s="14" t="n">
        <v>2</v>
      </c>
      <c r="K494" s="14" t="s">
        <v>59</v>
      </c>
      <c r="L494" s="14" t="n">
        <v>2015</v>
      </c>
      <c r="M494" s="14" t="n">
        <v>8.15622332319462</v>
      </c>
      <c r="N494" s="14" t="n">
        <v>3.55563373496657</v>
      </c>
      <c r="P494" s="14" t="n">
        <f aca="false">D494</f>
        <v>35</v>
      </c>
      <c r="Q494" s="14" t="n">
        <f aca="false">G494</f>
        <v>19</v>
      </c>
      <c r="R494" s="14" t="n">
        <f aca="false">J494</f>
        <v>2</v>
      </c>
      <c r="S494" s="14" t="n">
        <f aca="false">IF($L494=2012,1,0)</f>
        <v>0</v>
      </c>
      <c r="T494" s="14" t="n">
        <f aca="false">IF($L494=2013,1,0)</f>
        <v>0</v>
      </c>
      <c r="U494" s="14" t="n">
        <f aca="false">IF($L494=2014,1,0)</f>
        <v>0</v>
      </c>
      <c r="V494" s="14" t="n">
        <f aca="false">IF($L494=2015,1,0)</f>
        <v>1</v>
      </c>
      <c r="W494" s="14" t="n">
        <f aca="false">IF($L494=2016,1,0)</f>
        <v>0</v>
      </c>
      <c r="X494" s="14" t="n">
        <f aca="false">IF($L494=2017,1,0)</f>
        <v>0</v>
      </c>
      <c r="Y494" s="14" t="n">
        <f aca="false">IF($H494="Beginner Level",1,0)</f>
        <v>0</v>
      </c>
      <c r="Z494" s="14" t="n">
        <f aca="false">IF($H494="Expert Level",1,0)</f>
        <v>0</v>
      </c>
      <c r="AA494" s="14" t="n">
        <f aca="false">IF($H494="Intermediate Level",1,0)</f>
        <v>1</v>
      </c>
      <c r="AC494" s="14" t="n">
        <f aca="false">N494</f>
        <v>3.55563373496657</v>
      </c>
      <c r="AD494" s="14" t="n">
        <f aca="false">G494</f>
        <v>19</v>
      </c>
      <c r="AE494" s="14" t="n">
        <f aca="false">J494</f>
        <v>2</v>
      </c>
      <c r="AF494" s="14" t="n">
        <f aca="false">IF($L494=2012,1,0)</f>
        <v>0</v>
      </c>
      <c r="AG494" s="14" t="n">
        <f aca="false">IF($L494=2013,1,0)</f>
        <v>0</v>
      </c>
      <c r="AH494" s="14" t="n">
        <f aca="false">IF($L494=2014,1,0)</f>
        <v>0</v>
      </c>
      <c r="AI494" s="14" t="n">
        <f aca="false">IF($L494=2015,1,0)</f>
        <v>1</v>
      </c>
      <c r="AJ494" s="14" t="n">
        <f aca="false">IF($L494=2016,1,0)</f>
        <v>0</v>
      </c>
      <c r="AK494" s="14" t="n">
        <f aca="false">IF($L494=2017,1,0)</f>
        <v>0</v>
      </c>
      <c r="AL494" s="14" t="n">
        <f aca="false">IF($H494="Beginner Level",1,0)</f>
        <v>0</v>
      </c>
      <c r="AM494" s="14" t="n">
        <f aca="false">IF($H494="Expert Level",1,0)</f>
        <v>0</v>
      </c>
      <c r="AN494" s="14" t="n">
        <f aca="false">IF($H494="Intermediate Level",1,0)</f>
        <v>1</v>
      </c>
    </row>
    <row r="495" customFormat="false" ht="57.45" hidden="false" customHeight="false" outlineLevel="0" collapsed="false">
      <c r="A495" s="14" t="n">
        <v>683394</v>
      </c>
      <c r="B495" s="14" t="s">
        <v>1033</v>
      </c>
      <c r="C495" s="14" t="s">
        <v>1034</v>
      </c>
      <c r="D495" s="14" t="n">
        <v>20</v>
      </c>
      <c r="E495" s="14" t="n">
        <v>3461</v>
      </c>
      <c r="F495" s="14" t="n">
        <v>11</v>
      </c>
      <c r="G495" s="14" t="n">
        <v>23</v>
      </c>
      <c r="H495" s="14" t="s">
        <v>62</v>
      </c>
      <c r="I495" s="14" t="n">
        <v>0.43</v>
      </c>
      <c r="J495" s="14" t="n">
        <v>1.5</v>
      </c>
      <c r="K495" s="14" t="s">
        <v>59</v>
      </c>
      <c r="L495" s="14" t="n">
        <v>2015</v>
      </c>
      <c r="M495" s="14" t="n">
        <v>8.14931284363535</v>
      </c>
      <c r="N495" s="14" t="n">
        <v>2.99623214859564</v>
      </c>
      <c r="P495" s="14" t="n">
        <f aca="false">D495</f>
        <v>20</v>
      </c>
      <c r="Q495" s="14" t="n">
        <f aca="false">G495</f>
        <v>23</v>
      </c>
      <c r="R495" s="14" t="n">
        <f aca="false">J495</f>
        <v>1.5</v>
      </c>
      <c r="S495" s="14" t="n">
        <f aca="false">IF($L495=2012,1,0)</f>
        <v>0</v>
      </c>
      <c r="T495" s="14" t="n">
        <f aca="false">IF($L495=2013,1,0)</f>
        <v>0</v>
      </c>
      <c r="U495" s="14" t="n">
        <f aca="false">IF($L495=2014,1,0)</f>
        <v>0</v>
      </c>
      <c r="V495" s="14" t="n">
        <f aca="false">IF($L495=2015,1,0)</f>
        <v>1</v>
      </c>
      <c r="W495" s="14" t="n">
        <f aca="false">IF($L495=2016,1,0)</f>
        <v>0</v>
      </c>
      <c r="X495" s="14" t="n">
        <f aca="false">IF($L495=2017,1,0)</f>
        <v>0</v>
      </c>
      <c r="Y495" s="14" t="n">
        <f aca="false">IF($H495="Beginner Level",1,0)</f>
        <v>0</v>
      </c>
      <c r="Z495" s="14" t="n">
        <f aca="false">IF($H495="Expert Level",1,0)</f>
        <v>0</v>
      </c>
      <c r="AA495" s="14" t="n">
        <f aca="false">IF($H495="Intermediate Level",1,0)</f>
        <v>0</v>
      </c>
      <c r="AC495" s="14" t="n">
        <f aca="false">N495</f>
        <v>2.99623214859564</v>
      </c>
      <c r="AD495" s="14" t="n">
        <f aca="false">G495</f>
        <v>23</v>
      </c>
      <c r="AE495" s="14" t="n">
        <f aca="false">J495</f>
        <v>1.5</v>
      </c>
      <c r="AF495" s="14" t="n">
        <f aca="false">IF($L495=2012,1,0)</f>
        <v>0</v>
      </c>
      <c r="AG495" s="14" t="n">
        <f aca="false">IF($L495=2013,1,0)</f>
        <v>0</v>
      </c>
      <c r="AH495" s="14" t="n">
        <f aca="false">IF($L495=2014,1,0)</f>
        <v>0</v>
      </c>
      <c r="AI495" s="14" t="n">
        <f aca="false">IF($L495=2015,1,0)</f>
        <v>1</v>
      </c>
      <c r="AJ495" s="14" t="n">
        <f aca="false">IF($L495=2016,1,0)</f>
        <v>0</v>
      </c>
      <c r="AK495" s="14" t="n">
        <f aca="false">IF($L495=2017,1,0)</f>
        <v>0</v>
      </c>
      <c r="AL495" s="14" t="n">
        <f aca="false">IF($H495="Beginner Level",1,0)</f>
        <v>0</v>
      </c>
      <c r="AM495" s="14" t="n">
        <f aca="false">IF($H495="Expert Level",1,0)</f>
        <v>0</v>
      </c>
      <c r="AN495" s="14" t="n">
        <f aca="false">IF($H495="Intermediate Level",1,0)</f>
        <v>0</v>
      </c>
    </row>
    <row r="496" customFormat="false" ht="57.45" hidden="false" customHeight="false" outlineLevel="0" collapsed="false">
      <c r="A496" s="14" t="n">
        <v>1090194</v>
      </c>
      <c r="B496" s="14" t="s">
        <v>1035</v>
      </c>
      <c r="C496" s="14" t="s">
        <v>1036</v>
      </c>
      <c r="D496" s="14" t="n">
        <v>20</v>
      </c>
      <c r="E496" s="14" t="n">
        <v>3444</v>
      </c>
      <c r="F496" s="14" t="n">
        <v>35</v>
      </c>
      <c r="G496" s="14" t="n">
        <v>16</v>
      </c>
      <c r="H496" s="14" t="s">
        <v>62</v>
      </c>
      <c r="I496" s="14" t="n">
        <v>0.34</v>
      </c>
      <c r="J496" s="14" t="n">
        <v>3</v>
      </c>
      <c r="K496" s="14" t="s">
        <v>59</v>
      </c>
      <c r="L496" s="14" t="n">
        <v>2017</v>
      </c>
      <c r="M496" s="14" t="n">
        <v>8.14438886554762</v>
      </c>
      <c r="N496" s="14" t="n">
        <v>2.99623214859564</v>
      </c>
      <c r="P496" s="14" t="n">
        <f aca="false">D496</f>
        <v>20</v>
      </c>
      <c r="Q496" s="14" t="n">
        <f aca="false">G496</f>
        <v>16</v>
      </c>
      <c r="R496" s="14" t="n">
        <f aca="false">J496</f>
        <v>3</v>
      </c>
      <c r="S496" s="14" t="n">
        <f aca="false">IF($L496=2012,1,0)</f>
        <v>0</v>
      </c>
      <c r="T496" s="14" t="n">
        <f aca="false">IF($L496=2013,1,0)</f>
        <v>0</v>
      </c>
      <c r="U496" s="14" t="n">
        <f aca="false">IF($L496=2014,1,0)</f>
        <v>0</v>
      </c>
      <c r="V496" s="14" t="n">
        <f aca="false">IF($L496=2015,1,0)</f>
        <v>0</v>
      </c>
      <c r="W496" s="14" t="n">
        <f aca="false">IF($L496=2016,1,0)</f>
        <v>0</v>
      </c>
      <c r="X496" s="14" t="n">
        <f aca="false">IF($L496=2017,1,0)</f>
        <v>1</v>
      </c>
      <c r="Y496" s="14" t="n">
        <f aca="false">IF($H496="Beginner Level",1,0)</f>
        <v>0</v>
      </c>
      <c r="Z496" s="14" t="n">
        <f aca="false">IF($H496="Expert Level",1,0)</f>
        <v>0</v>
      </c>
      <c r="AA496" s="14" t="n">
        <f aca="false">IF($H496="Intermediate Level",1,0)</f>
        <v>0</v>
      </c>
      <c r="AC496" s="14" t="n">
        <f aca="false">N496</f>
        <v>2.99623214859564</v>
      </c>
      <c r="AD496" s="14" t="n">
        <f aca="false">G496</f>
        <v>16</v>
      </c>
      <c r="AE496" s="14" t="n">
        <f aca="false">J496</f>
        <v>3</v>
      </c>
      <c r="AF496" s="14" t="n">
        <f aca="false">IF($L496=2012,1,0)</f>
        <v>0</v>
      </c>
      <c r="AG496" s="14" t="n">
        <f aca="false">IF($L496=2013,1,0)</f>
        <v>0</v>
      </c>
      <c r="AH496" s="14" t="n">
        <f aca="false">IF($L496=2014,1,0)</f>
        <v>0</v>
      </c>
      <c r="AI496" s="14" t="n">
        <f aca="false">IF($L496=2015,1,0)</f>
        <v>0</v>
      </c>
      <c r="AJ496" s="14" t="n">
        <f aca="false">IF($L496=2016,1,0)</f>
        <v>0</v>
      </c>
      <c r="AK496" s="14" t="n">
        <f aca="false">IF($L496=2017,1,0)</f>
        <v>1</v>
      </c>
      <c r="AL496" s="14" t="n">
        <f aca="false">IF($H496="Beginner Level",1,0)</f>
        <v>0</v>
      </c>
      <c r="AM496" s="14" t="n">
        <f aca="false">IF($H496="Expert Level",1,0)</f>
        <v>0</v>
      </c>
      <c r="AN496" s="14" t="n">
        <f aca="false">IF($H496="Intermediate Level",1,0)</f>
        <v>0</v>
      </c>
    </row>
    <row r="497" customFormat="false" ht="46.25" hidden="false" customHeight="false" outlineLevel="0" collapsed="false">
      <c r="A497" s="14" t="n">
        <v>368340</v>
      </c>
      <c r="B497" s="14" t="s">
        <v>1037</v>
      </c>
      <c r="C497" s="14" t="s">
        <v>1038</v>
      </c>
      <c r="D497" s="14" t="n">
        <v>120</v>
      </c>
      <c r="E497" s="14" t="n">
        <v>3420</v>
      </c>
      <c r="F497" s="14" t="n">
        <v>489</v>
      </c>
      <c r="G497" s="14" t="n">
        <v>102</v>
      </c>
      <c r="H497" s="14" t="s">
        <v>62</v>
      </c>
      <c r="I497" s="14" t="n">
        <v>0.18</v>
      </c>
      <c r="J497" s="14" t="n">
        <v>14.5</v>
      </c>
      <c r="K497" s="14" t="s">
        <v>59</v>
      </c>
      <c r="L497" s="14" t="n">
        <v>2015</v>
      </c>
      <c r="M497" s="14" t="n">
        <v>8.13739583005665</v>
      </c>
      <c r="N497" s="14" t="n">
        <v>4.78757507264335</v>
      </c>
      <c r="P497" s="14" t="n">
        <f aca="false">D497</f>
        <v>120</v>
      </c>
      <c r="Q497" s="14" t="n">
        <f aca="false">G497</f>
        <v>102</v>
      </c>
      <c r="R497" s="14" t="n">
        <f aca="false">J497</f>
        <v>14.5</v>
      </c>
      <c r="S497" s="14" t="n">
        <f aca="false">IF($L497=2012,1,0)</f>
        <v>0</v>
      </c>
      <c r="T497" s="14" t="n">
        <f aca="false">IF($L497=2013,1,0)</f>
        <v>0</v>
      </c>
      <c r="U497" s="14" t="n">
        <f aca="false">IF($L497=2014,1,0)</f>
        <v>0</v>
      </c>
      <c r="V497" s="14" t="n">
        <f aca="false">IF($L497=2015,1,0)</f>
        <v>1</v>
      </c>
      <c r="W497" s="14" t="n">
        <f aca="false">IF($L497=2016,1,0)</f>
        <v>0</v>
      </c>
      <c r="X497" s="14" t="n">
        <f aca="false">IF($L497=2017,1,0)</f>
        <v>0</v>
      </c>
      <c r="Y497" s="14" t="n">
        <f aca="false">IF($H497="Beginner Level",1,0)</f>
        <v>0</v>
      </c>
      <c r="Z497" s="14" t="n">
        <f aca="false">IF($H497="Expert Level",1,0)</f>
        <v>0</v>
      </c>
      <c r="AA497" s="14" t="n">
        <f aca="false">IF($H497="Intermediate Level",1,0)</f>
        <v>0</v>
      </c>
      <c r="AC497" s="14" t="n">
        <f aca="false">N497</f>
        <v>4.78757507264335</v>
      </c>
      <c r="AD497" s="14" t="n">
        <f aca="false">G497</f>
        <v>102</v>
      </c>
      <c r="AE497" s="14" t="n">
        <f aca="false">J497</f>
        <v>14.5</v>
      </c>
      <c r="AF497" s="14" t="n">
        <f aca="false">IF($L497=2012,1,0)</f>
        <v>0</v>
      </c>
      <c r="AG497" s="14" t="n">
        <f aca="false">IF($L497=2013,1,0)</f>
        <v>0</v>
      </c>
      <c r="AH497" s="14" t="n">
        <f aca="false">IF($L497=2014,1,0)</f>
        <v>0</v>
      </c>
      <c r="AI497" s="14" t="n">
        <f aca="false">IF($L497=2015,1,0)</f>
        <v>1</v>
      </c>
      <c r="AJ497" s="14" t="n">
        <f aca="false">IF($L497=2016,1,0)</f>
        <v>0</v>
      </c>
      <c r="AK497" s="14" t="n">
        <f aca="false">IF($L497=2017,1,0)</f>
        <v>0</v>
      </c>
      <c r="AL497" s="14" t="n">
        <f aca="false">IF($H497="Beginner Level",1,0)</f>
        <v>0</v>
      </c>
      <c r="AM497" s="14" t="n">
        <f aca="false">IF($H497="Expert Level",1,0)</f>
        <v>0</v>
      </c>
      <c r="AN497" s="14" t="n">
        <f aca="false">IF($H497="Intermediate Level",1,0)</f>
        <v>0</v>
      </c>
    </row>
    <row r="498" customFormat="false" ht="91" hidden="false" customHeight="false" outlineLevel="0" collapsed="false">
      <c r="A498" s="14" t="n">
        <v>883000</v>
      </c>
      <c r="B498" s="14" t="s">
        <v>1039</v>
      </c>
      <c r="C498" s="14" t="s">
        <v>1040</v>
      </c>
      <c r="D498" s="14" t="n">
        <v>150</v>
      </c>
      <c r="E498" s="14" t="n">
        <v>3415</v>
      </c>
      <c r="F498" s="14" t="n">
        <v>312</v>
      </c>
      <c r="G498" s="14" t="n">
        <v>160</v>
      </c>
      <c r="H498" s="14" t="s">
        <v>62</v>
      </c>
      <c r="I498" s="14" t="n">
        <v>0.88</v>
      </c>
      <c r="J498" s="14" t="n">
        <v>25</v>
      </c>
      <c r="K498" s="14" t="s">
        <v>59</v>
      </c>
      <c r="L498" s="14" t="n">
        <v>2016</v>
      </c>
      <c r="M498" s="14" t="n">
        <v>8.13593277200489</v>
      </c>
      <c r="N498" s="14" t="n">
        <v>5.0107019585408</v>
      </c>
      <c r="P498" s="14" t="n">
        <f aca="false">D498</f>
        <v>150</v>
      </c>
      <c r="Q498" s="14" t="n">
        <f aca="false">G498</f>
        <v>160</v>
      </c>
      <c r="R498" s="14" t="n">
        <f aca="false">J498</f>
        <v>25</v>
      </c>
      <c r="S498" s="14" t="n">
        <f aca="false">IF($L498=2012,1,0)</f>
        <v>0</v>
      </c>
      <c r="T498" s="14" t="n">
        <f aca="false">IF($L498=2013,1,0)</f>
        <v>0</v>
      </c>
      <c r="U498" s="14" t="n">
        <f aca="false">IF($L498=2014,1,0)</f>
        <v>0</v>
      </c>
      <c r="V498" s="14" t="n">
        <f aca="false">IF($L498=2015,1,0)</f>
        <v>0</v>
      </c>
      <c r="W498" s="14" t="n">
        <f aca="false">IF($L498=2016,1,0)</f>
        <v>1</v>
      </c>
      <c r="X498" s="14" t="n">
        <f aca="false">IF($L498=2017,1,0)</f>
        <v>0</v>
      </c>
      <c r="Y498" s="14" t="n">
        <f aca="false">IF($H498="Beginner Level",1,0)</f>
        <v>0</v>
      </c>
      <c r="Z498" s="14" t="n">
        <f aca="false">IF($H498="Expert Level",1,0)</f>
        <v>0</v>
      </c>
      <c r="AA498" s="14" t="n">
        <f aca="false">IF($H498="Intermediate Level",1,0)</f>
        <v>0</v>
      </c>
      <c r="AC498" s="14" t="n">
        <f aca="false">N498</f>
        <v>5.0107019585408</v>
      </c>
      <c r="AD498" s="14" t="n">
        <f aca="false">G498</f>
        <v>160</v>
      </c>
      <c r="AE498" s="14" t="n">
        <f aca="false">J498</f>
        <v>25</v>
      </c>
      <c r="AF498" s="14" t="n">
        <f aca="false">IF($L498=2012,1,0)</f>
        <v>0</v>
      </c>
      <c r="AG498" s="14" t="n">
        <f aca="false">IF($L498=2013,1,0)</f>
        <v>0</v>
      </c>
      <c r="AH498" s="14" t="n">
        <f aca="false">IF($L498=2014,1,0)</f>
        <v>0</v>
      </c>
      <c r="AI498" s="14" t="n">
        <f aca="false">IF($L498=2015,1,0)</f>
        <v>0</v>
      </c>
      <c r="AJ498" s="14" t="n">
        <f aca="false">IF($L498=2016,1,0)</f>
        <v>1</v>
      </c>
      <c r="AK498" s="14" t="n">
        <f aca="false">IF($L498=2017,1,0)</f>
        <v>0</v>
      </c>
      <c r="AL498" s="14" t="n">
        <f aca="false">IF($H498="Beginner Level",1,0)</f>
        <v>0</v>
      </c>
      <c r="AM498" s="14" t="n">
        <f aca="false">IF($H498="Expert Level",1,0)</f>
        <v>0</v>
      </c>
      <c r="AN498" s="14" t="n">
        <f aca="false">IF($H498="Intermediate Level",1,0)</f>
        <v>0</v>
      </c>
    </row>
    <row r="499" customFormat="false" ht="79.85" hidden="false" customHeight="false" outlineLevel="0" collapsed="false">
      <c r="A499" s="14" t="n">
        <v>92194</v>
      </c>
      <c r="B499" s="14" t="s">
        <v>1041</v>
      </c>
      <c r="C499" s="14" t="s">
        <v>1042</v>
      </c>
      <c r="D499" s="14" t="n">
        <v>50</v>
      </c>
      <c r="E499" s="14" t="n">
        <v>3411</v>
      </c>
      <c r="F499" s="14" t="n">
        <v>84</v>
      </c>
      <c r="G499" s="14" t="n">
        <v>22</v>
      </c>
      <c r="H499" s="14" t="s">
        <v>71</v>
      </c>
      <c r="I499" s="14" t="n">
        <v>0.21</v>
      </c>
      <c r="J499" s="14" t="n">
        <v>1</v>
      </c>
      <c r="K499" s="14" t="s">
        <v>59</v>
      </c>
      <c r="L499" s="14" t="n">
        <v>2013</v>
      </c>
      <c r="M499" s="14" t="n">
        <v>8.13476078241865</v>
      </c>
      <c r="N499" s="14" t="n">
        <v>3.91222298543081</v>
      </c>
      <c r="P499" s="14" t="n">
        <f aca="false">D499</f>
        <v>50</v>
      </c>
      <c r="Q499" s="14" t="n">
        <f aca="false">G499</f>
        <v>22</v>
      </c>
      <c r="R499" s="14" t="n">
        <f aca="false">J499</f>
        <v>1</v>
      </c>
      <c r="S499" s="14" t="n">
        <f aca="false">IF($L499=2012,1,0)</f>
        <v>0</v>
      </c>
      <c r="T499" s="14" t="n">
        <f aca="false">IF($L499=2013,1,0)</f>
        <v>1</v>
      </c>
      <c r="U499" s="14" t="n">
        <f aca="false">IF($L499=2014,1,0)</f>
        <v>0</v>
      </c>
      <c r="V499" s="14" t="n">
        <f aca="false">IF($L499=2015,1,0)</f>
        <v>0</v>
      </c>
      <c r="W499" s="14" t="n">
        <f aca="false">IF($L499=2016,1,0)</f>
        <v>0</v>
      </c>
      <c r="X499" s="14" t="n">
        <f aca="false">IF($L499=2017,1,0)</f>
        <v>0</v>
      </c>
      <c r="Y499" s="14" t="n">
        <f aca="false">IF($H499="Beginner Level",1,0)</f>
        <v>0</v>
      </c>
      <c r="Z499" s="14" t="n">
        <f aca="false">IF($H499="Expert Level",1,0)</f>
        <v>0</v>
      </c>
      <c r="AA499" s="14" t="n">
        <f aca="false">IF($H499="Intermediate Level",1,0)</f>
        <v>1</v>
      </c>
      <c r="AC499" s="14" t="n">
        <f aca="false">N499</f>
        <v>3.91222298543081</v>
      </c>
      <c r="AD499" s="14" t="n">
        <f aca="false">G499</f>
        <v>22</v>
      </c>
      <c r="AE499" s="14" t="n">
        <f aca="false">J499</f>
        <v>1</v>
      </c>
      <c r="AF499" s="14" t="n">
        <f aca="false">IF($L499=2012,1,0)</f>
        <v>0</v>
      </c>
      <c r="AG499" s="14" t="n">
        <f aca="false">IF($L499=2013,1,0)</f>
        <v>1</v>
      </c>
      <c r="AH499" s="14" t="n">
        <f aca="false">IF($L499=2014,1,0)</f>
        <v>0</v>
      </c>
      <c r="AI499" s="14" t="n">
        <f aca="false">IF($L499=2015,1,0)</f>
        <v>0</v>
      </c>
      <c r="AJ499" s="14" t="n">
        <f aca="false">IF($L499=2016,1,0)</f>
        <v>0</v>
      </c>
      <c r="AK499" s="14" t="n">
        <f aca="false">IF($L499=2017,1,0)</f>
        <v>0</v>
      </c>
      <c r="AL499" s="14" t="n">
        <f aca="false">IF($H499="Beginner Level",1,0)</f>
        <v>0</v>
      </c>
      <c r="AM499" s="14" t="n">
        <f aca="false">IF($H499="Expert Level",1,0)</f>
        <v>0</v>
      </c>
      <c r="AN499" s="14" t="n">
        <f aca="false">IF($H499="Intermediate Level",1,0)</f>
        <v>1</v>
      </c>
    </row>
    <row r="500" customFormat="false" ht="68.65" hidden="false" customHeight="false" outlineLevel="0" collapsed="false">
      <c r="A500" s="14" t="n">
        <v>564366</v>
      </c>
      <c r="B500" s="14" t="s">
        <v>1043</v>
      </c>
      <c r="C500" s="14" t="s">
        <v>1044</v>
      </c>
      <c r="D500" s="14" t="n">
        <v>200</v>
      </c>
      <c r="E500" s="14" t="n">
        <v>3399</v>
      </c>
      <c r="F500" s="14" t="n">
        <v>85</v>
      </c>
      <c r="G500" s="14" t="n">
        <v>15</v>
      </c>
      <c r="H500" s="14" t="s">
        <v>62</v>
      </c>
      <c r="I500" s="14" t="n">
        <v>0.76</v>
      </c>
      <c r="J500" s="14" t="n">
        <v>1.5</v>
      </c>
      <c r="K500" s="14" t="s">
        <v>59</v>
      </c>
      <c r="L500" s="14" t="n">
        <v>2015</v>
      </c>
      <c r="M500" s="14" t="n">
        <v>8.13123654969612</v>
      </c>
      <c r="N500" s="14" t="n">
        <v>5.29836736529808</v>
      </c>
      <c r="P500" s="14" t="n">
        <f aca="false">D500</f>
        <v>200</v>
      </c>
      <c r="Q500" s="14" t="n">
        <f aca="false">G500</f>
        <v>15</v>
      </c>
      <c r="R500" s="14" t="n">
        <f aca="false">J500</f>
        <v>1.5</v>
      </c>
      <c r="S500" s="14" t="n">
        <f aca="false">IF($L500=2012,1,0)</f>
        <v>0</v>
      </c>
      <c r="T500" s="14" t="n">
        <f aca="false">IF($L500=2013,1,0)</f>
        <v>0</v>
      </c>
      <c r="U500" s="14" t="n">
        <f aca="false">IF($L500=2014,1,0)</f>
        <v>0</v>
      </c>
      <c r="V500" s="14" t="n">
        <f aca="false">IF($L500=2015,1,0)</f>
        <v>1</v>
      </c>
      <c r="W500" s="14" t="n">
        <f aca="false">IF($L500=2016,1,0)</f>
        <v>0</v>
      </c>
      <c r="X500" s="14" t="n">
        <f aca="false">IF($L500=2017,1,0)</f>
        <v>0</v>
      </c>
      <c r="Y500" s="14" t="n">
        <f aca="false">IF($H500="Beginner Level",1,0)</f>
        <v>0</v>
      </c>
      <c r="Z500" s="14" t="n">
        <f aca="false">IF($H500="Expert Level",1,0)</f>
        <v>0</v>
      </c>
      <c r="AA500" s="14" t="n">
        <f aca="false">IF($H500="Intermediate Level",1,0)</f>
        <v>0</v>
      </c>
      <c r="AC500" s="14" t="n">
        <f aca="false">N500</f>
        <v>5.29836736529808</v>
      </c>
      <c r="AD500" s="14" t="n">
        <f aca="false">G500</f>
        <v>15</v>
      </c>
      <c r="AE500" s="14" t="n">
        <f aca="false">J500</f>
        <v>1.5</v>
      </c>
      <c r="AF500" s="14" t="n">
        <f aca="false">IF($L500=2012,1,0)</f>
        <v>0</v>
      </c>
      <c r="AG500" s="14" t="n">
        <f aca="false">IF($L500=2013,1,0)</f>
        <v>0</v>
      </c>
      <c r="AH500" s="14" t="n">
        <f aca="false">IF($L500=2014,1,0)</f>
        <v>0</v>
      </c>
      <c r="AI500" s="14" t="n">
        <f aca="false">IF($L500=2015,1,0)</f>
        <v>1</v>
      </c>
      <c r="AJ500" s="14" t="n">
        <f aca="false">IF($L500=2016,1,0)</f>
        <v>0</v>
      </c>
      <c r="AK500" s="14" t="n">
        <f aca="false">IF($L500=2017,1,0)</f>
        <v>0</v>
      </c>
      <c r="AL500" s="14" t="n">
        <f aca="false">IF($H500="Beginner Level",1,0)</f>
        <v>0</v>
      </c>
      <c r="AM500" s="14" t="n">
        <f aca="false">IF($H500="Expert Level",1,0)</f>
        <v>0</v>
      </c>
      <c r="AN500" s="14" t="n">
        <f aca="false">IF($H500="Intermediate Level",1,0)</f>
        <v>0</v>
      </c>
    </row>
    <row r="501" customFormat="false" ht="57.45" hidden="false" customHeight="false" outlineLevel="0" collapsed="false">
      <c r="A501" s="14" t="n">
        <v>467426</v>
      </c>
      <c r="B501" s="14" t="s">
        <v>1045</v>
      </c>
      <c r="C501" s="14" t="s">
        <v>1046</v>
      </c>
      <c r="D501" s="14" t="n">
        <v>200</v>
      </c>
      <c r="E501" s="14" t="n">
        <v>3397</v>
      </c>
      <c r="F501" s="14" t="n">
        <v>12</v>
      </c>
      <c r="G501" s="14" t="n">
        <v>85</v>
      </c>
      <c r="H501" s="14" t="s">
        <v>62</v>
      </c>
      <c r="I501" s="14" t="n">
        <v>0.9</v>
      </c>
      <c r="J501" s="14" t="n">
        <v>8</v>
      </c>
      <c r="K501" s="14" t="s">
        <v>59</v>
      </c>
      <c r="L501" s="14" t="n">
        <v>2015</v>
      </c>
      <c r="M501" s="14" t="n">
        <v>8.13064796816058</v>
      </c>
      <c r="N501" s="14" t="n">
        <v>5.29836736529808</v>
      </c>
      <c r="P501" s="14" t="n">
        <f aca="false">D501</f>
        <v>200</v>
      </c>
      <c r="Q501" s="14" t="n">
        <f aca="false">G501</f>
        <v>85</v>
      </c>
      <c r="R501" s="14" t="n">
        <f aca="false">J501</f>
        <v>8</v>
      </c>
      <c r="S501" s="14" t="n">
        <f aca="false">IF($L501=2012,1,0)</f>
        <v>0</v>
      </c>
      <c r="T501" s="14" t="n">
        <f aca="false">IF($L501=2013,1,0)</f>
        <v>0</v>
      </c>
      <c r="U501" s="14" t="n">
        <f aca="false">IF($L501=2014,1,0)</f>
        <v>0</v>
      </c>
      <c r="V501" s="14" t="n">
        <f aca="false">IF($L501=2015,1,0)</f>
        <v>1</v>
      </c>
      <c r="W501" s="14" t="n">
        <f aca="false">IF($L501=2016,1,0)</f>
        <v>0</v>
      </c>
      <c r="X501" s="14" t="n">
        <f aca="false">IF($L501=2017,1,0)</f>
        <v>0</v>
      </c>
      <c r="Y501" s="14" t="n">
        <f aca="false">IF($H501="Beginner Level",1,0)</f>
        <v>0</v>
      </c>
      <c r="Z501" s="14" t="n">
        <f aca="false">IF($H501="Expert Level",1,0)</f>
        <v>0</v>
      </c>
      <c r="AA501" s="14" t="n">
        <f aca="false">IF($H501="Intermediate Level",1,0)</f>
        <v>0</v>
      </c>
      <c r="AC501" s="14" t="n">
        <f aca="false">N501</f>
        <v>5.29836736529808</v>
      </c>
      <c r="AD501" s="14" t="n">
        <f aca="false">G501</f>
        <v>85</v>
      </c>
      <c r="AE501" s="14" t="n">
        <f aca="false">J501</f>
        <v>8</v>
      </c>
      <c r="AF501" s="14" t="n">
        <f aca="false">IF($L501=2012,1,0)</f>
        <v>0</v>
      </c>
      <c r="AG501" s="14" t="n">
        <f aca="false">IF($L501=2013,1,0)</f>
        <v>0</v>
      </c>
      <c r="AH501" s="14" t="n">
        <f aca="false">IF($L501=2014,1,0)</f>
        <v>0</v>
      </c>
      <c r="AI501" s="14" t="n">
        <f aca="false">IF($L501=2015,1,0)</f>
        <v>1</v>
      </c>
      <c r="AJ501" s="14" t="n">
        <f aca="false">IF($L501=2016,1,0)</f>
        <v>0</v>
      </c>
      <c r="AK501" s="14" t="n">
        <f aca="false">IF($L501=2017,1,0)</f>
        <v>0</v>
      </c>
      <c r="AL501" s="14" t="n">
        <f aca="false">IF($H501="Beginner Level",1,0)</f>
        <v>0</v>
      </c>
      <c r="AM501" s="14" t="n">
        <f aca="false">IF($H501="Expert Level",1,0)</f>
        <v>0</v>
      </c>
      <c r="AN501" s="14" t="n">
        <f aca="false">IF($H501="Intermediate Level",1,0)</f>
        <v>0</v>
      </c>
    </row>
    <row r="502" customFormat="false" ht="68.65" hidden="false" customHeight="false" outlineLevel="0" collapsed="false">
      <c r="A502" s="14" t="n">
        <v>976598</v>
      </c>
      <c r="B502" s="14" t="s">
        <v>1047</v>
      </c>
      <c r="C502" s="14" t="s">
        <v>1048</v>
      </c>
      <c r="D502" s="14" t="n">
        <v>200</v>
      </c>
      <c r="E502" s="14" t="n">
        <v>3392</v>
      </c>
      <c r="F502" s="14" t="n">
        <v>29</v>
      </c>
      <c r="G502" s="14" t="n">
        <v>19</v>
      </c>
      <c r="H502" s="14" t="s">
        <v>62</v>
      </c>
      <c r="I502" s="14" t="n">
        <v>0.93</v>
      </c>
      <c r="J502" s="14" t="n">
        <v>1.5</v>
      </c>
      <c r="K502" s="14" t="s">
        <v>59</v>
      </c>
      <c r="L502" s="14" t="n">
        <v>2016</v>
      </c>
      <c r="M502" s="14" t="n">
        <v>8.12917499691179</v>
      </c>
      <c r="N502" s="14" t="n">
        <v>5.29836736529808</v>
      </c>
      <c r="P502" s="14" t="n">
        <f aca="false">D502</f>
        <v>200</v>
      </c>
      <c r="Q502" s="14" t="n">
        <f aca="false">G502</f>
        <v>19</v>
      </c>
      <c r="R502" s="14" t="n">
        <f aca="false">J502</f>
        <v>1.5</v>
      </c>
      <c r="S502" s="14" t="n">
        <f aca="false">IF($L502=2012,1,0)</f>
        <v>0</v>
      </c>
      <c r="T502" s="14" t="n">
        <f aca="false">IF($L502=2013,1,0)</f>
        <v>0</v>
      </c>
      <c r="U502" s="14" t="n">
        <f aca="false">IF($L502=2014,1,0)</f>
        <v>0</v>
      </c>
      <c r="V502" s="14" t="n">
        <f aca="false">IF($L502=2015,1,0)</f>
        <v>0</v>
      </c>
      <c r="W502" s="14" t="n">
        <f aca="false">IF($L502=2016,1,0)</f>
        <v>1</v>
      </c>
      <c r="X502" s="14" t="n">
        <f aca="false">IF($L502=2017,1,0)</f>
        <v>0</v>
      </c>
      <c r="Y502" s="14" t="n">
        <f aca="false">IF($H502="Beginner Level",1,0)</f>
        <v>0</v>
      </c>
      <c r="Z502" s="14" t="n">
        <f aca="false">IF($H502="Expert Level",1,0)</f>
        <v>0</v>
      </c>
      <c r="AA502" s="14" t="n">
        <f aca="false">IF($H502="Intermediate Level",1,0)</f>
        <v>0</v>
      </c>
      <c r="AC502" s="14" t="n">
        <f aca="false">N502</f>
        <v>5.29836736529808</v>
      </c>
      <c r="AD502" s="14" t="n">
        <f aca="false">G502</f>
        <v>19</v>
      </c>
      <c r="AE502" s="14" t="n">
        <f aca="false">J502</f>
        <v>1.5</v>
      </c>
      <c r="AF502" s="14" t="n">
        <f aca="false">IF($L502=2012,1,0)</f>
        <v>0</v>
      </c>
      <c r="AG502" s="14" t="n">
        <f aca="false">IF($L502=2013,1,0)</f>
        <v>0</v>
      </c>
      <c r="AH502" s="14" t="n">
        <f aca="false">IF($L502=2014,1,0)</f>
        <v>0</v>
      </c>
      <c r="AI502" s="14" t="n">
        <f aca="false">IF($L502=2015,1,0)</f>
        <v>0</v>
      </c>
      <c r="AJ502" s="14" t="n">
        <f aca="false">IF($L502=2016,1,0)</f>
        <v>1</v>
      </c>
      <c r="AK502" s="14" t="n">
        <f aca="false">IF($L502=2017,1,0)</f>
        <v>0</v>
      </c>
      <c r="AL502" s="14" t="n">
        <f aca="false">IF($H502="Beginner Level",1,0)</f>
        <v>0</v>
      </c>
      <c r="AM502" s="14" t="n">
        <f aca="false">IF($H502="Expert Level",1,0)</f>
        <v>0</v>
      </c>
      <c r="AN502" s="14" t="n">
        <f aca="false">IF($H502="Intermediate Level",1,0)</f>
        <v>0</v>
      </c>
    </row>
    <row r="503" customFormat="false" ht="68.65" hidden="false" customHeight="false" outlineLevel="0" collapsed="false">
      <c r="A503" s="14" t="n">
        <v>830834</v>
      </c>
      <c r="B503" s="14" t="s">
        <v>1049</v>
      </c>
      <c r="C503" s="14" t="s">
        <v>1050</v>
      </c>
      <c r="D503" s="14" t="n">
        <v>150</v>
      </c>
      <c r="E503" s="14" t="n">
        <v>3388</v>
      </c>
      <c r="F503" s="14" t="n">
        <v>67</v>
      </c>
      <c r="G503" s="14" t="n">
        <v>39</v>
      </c>
      <c r="H503" s="14" t="s">
        <v>52</v>
      </c>
      <c r="I503" s="14" t="n">
        <v>0.73</v>
      </c>
      <c r="J503" s="14" t="n">
        <v>3</v>
      </c>
      <c r="K503" s="14" t="s">
        <v>59</v>
      </c>
      <c r="L503" s="14" t="n">
        <v>2016</v>
      </c>
      <c r="M503" s="14" t="n">
        <v>8.12799505577195</v>
      </c>
      <c r="N503" s="14" t="n">
        <v>5.0107019585408</v>
      </c>
      <c r="P503" s="14" t="n">
        <f aca="false">D503</f>
        <v>150</v>
      </c>
      <c r="Q503" s="14" t="n">
        <f aca="false">G503</f>
        <v>39</v>
      </c>
      <c r="R503" s="14" t="n">
        <f aca="false">J503</f>
        <v>3</v>
      </c>
      <c r="S503" s="14" t="n">
        <f aca="false">IF($L503=2012,1,0)</f>
        <v>0</v>
      </c>
      <c r="T503" s="14" t="n">
        <f aca="false">IF($L503=2013,1,0)</f>
        <v>0</v>
      </c>
      <c r="U503" s="14" t="n">
        <f aca="false">IF($L503=2014,1,0)</f>
        <v>0</v>
      </c>
      <c r="V503" s="14" t="n">
        <f aca="false">IF($L503=2015,1,0)</f>
        <v>0</v>
      </c>
      <c r="W503" s="14" t="n">
        <f aca="false">IF($L503=2016,1,0)</f>
        <v>1</v>
      </c>
      <c r="X503" s="14" t="n">
        <f aca="false">IF($L503=2017,1,0)</f>
        <v>0</v>
      </c>
      <c r="Y503" s="14" t="n">
        <f aca="false">IF($H503="Beginner Level",1,0)</f>
        <v>1</v>
      </c>
      <c r="Z503" s="14" t="n">
        <f aca="false">IF($H503="Expert Level",1,0)</f>
        <v>0</v>
      </c>
      <c r="AA503" s="14" t="n">
        <f aca="false">IF($H503="Intermediate Level",1,0)</f>
        <v>0</v>
      </c>
      <c r="AC503" s="14" t="n">
        <f aca="false">N503</f>
        <v>5.0107019585408</v>
      </c>
      <c r="AD503" s="14" t="n">
        <f aca="false">G503</f>
        <v>39</v>
      </c>
      <c r="AE503" s="14" t="n">
        <f aca="false">J503</f>
        <v>3</v>
      </c>
      <c r="AF503" s="14" t="n">
        <f aca="false">IF($L503=2012,1,0)</f>
        <v>0</v>
      </c>
      <c r="AG503" s="14" t="n">
        <f aca="false">IF($L503=2013,1,0)</f>
        <v>0</v>
      </c>
      <c r="AH503" s="14" t="n">
        <f aca="false">IF($L503=2014,1,0)</f>
        <v>0</v>
      </c>
      <c r="AI503" s="14" t="n">
        <f aca="false">IF($L503=2015,1,0)</f>
        <v>0</v>
      </c>
      <c r="AJ503" s="14" t="n">
        <f aca="false">IF($L503=2016,1,0)</f>
        <v>1</v>
      </c>
      <c r="AK503" s="14" t="n">
        <f aca="false">IF($L503=2017,1,0)</f>
        <v>0</v>
      </c>
      <c r="AL503" s="14" t="n">
        <f aca="false">IF($H503="Beginner Level",1,0)</f>
        <v>1</v>
      </c>
      <c r="AM503" s="14" t="n">
        <f aca="false">IF($H503="Expert Level",1,0)</f>
        <v>0</v>
      </c>
      <c r="AN503" s="14" t="n">
        <f aca="false">IF($H503="Intermediate Level",1,0)</f>
        <v>0</v>
      </c>
    </row>
    <row r="504" customFormat="false" ht="79.85" hidden="false" customHeight="false" outlineLevel="0" collapsed="false">
      <c r="A504" s="14" t="n">
        <v>634754</v>
      </c>
      <c r="B504" s="14" t="s">
        <v>1051</v>
      </c>
      <c r="C504" s="14" t="s">
        <v>1052</v>
      </c>
      <c r="D504" s="14" t="n">
        <v>65</v>
      </c>
      <c r="E504" s="14" t="n">
        <v>3380</v>
      </c>
      <c r="F504" s="14" t="n">
        <v>50</v>
      </c>
      <c r="G504" s="14" t="n">
        <v>16</v>
      </c>
      <c r="H504" s="14" t="s">
        <v>52</v>
      </c>
      <c r="I504" s="14" t="n">
        <v>0.15</v>
      </c>
      <c r="J504" s="14" t="n">
        <v>2</v>
      </c>
      <c r="K504" s="14" t="s">
        <v>59</v>
      </c>
      <c r="L504" s="14" t="n">
        <v>2015</v>
      </c>
      <c r="M504" s="14" t="n">
        <v>8.12563098847707</v>
      </c>
      <c r="N504" s="14" t="n">
        <v>4.17454110421638</v>
      </c>
      <c r="P504" s="14" t="n">
        <f aca="false">D504</f>
        <v>65</v>
      </c>
      <c r="Q504" s="14" t="n">
        <f aca="false">G504</f>
        <v>16</v>
      </c>
      <c r="R504" s="14" t="n">
        <f aca="false">J504</f>
        <v>2</v>
      </c>
      <c r="S504" s="14" t="n">
        <f aca="false">IF($L504=2012,1,0)</f>
        <v>0</v>
      </c>
      <c r="T504" s="14" t="n">
        <f aca="false">IF($L504=2013,1,0)</f>
        <v>0</v>
      </c>
      <c r="U504" s="14" t="n">
        <f aca="false">IF($L504=2014,1,0)</f>
        <v>0</v>
      </c>
      <c r="V504" s="14" t="n">
        <f aca="false">IF($L504=2015,1,0)</f>
        <v>1</v>
      </c>
      <c r="W504" s="14" t="n">
        <f aca="false">IF($L504=2016,1,0)</f>
        <v>0</v>
      </c>
      <c r="X504" s="14" t="n">
        <f aca="false">IF($L504=2017,1,0)</f>
        <v>0</v>
      </c>
      <c r="Y504" s="14" t="n">
        <f aca="false">IF($H504="Beginner Level",1,0)</f>
        <v>1</v>
      </c>
      <c r="Z504" s="14" t="n">
        <f aca="false">IF($H504="Expert Level",1,0)</f>
        <v>0</v>
      </c>
      <c r="AA504" s="14" t="n">
        <f aca="false">IF($H504="Intermediate Level",1,0)</f>
        <v>0</v>
      </c>
      <c r="AC504" s="14" t="n">
        <f aca="false">N504</f>
        <v>4.17454110421638</v>
      </c>
      <c r="AD504" s="14" t="n">
        <f aca="false">G504</f>
        <v>16</v>
      </c>
      <c r="AE504" s="14" t="n">
        <f aca="false">J504</f>
        <v>2</v>
      </c>
      <c r="AF504" s="14" t="n">
        <f aca="false">IF($L504=2012,1,0)</f>
        <v>0</v>
      </c>
      <c r="AG504" s="14" t="n">
        <f aca="false">IF($L504=2013,1,0)</f>
        <v>0</v>
      </c>
      <c r="AH504" s="14" t="n">
        <f aca="false">IF($L504=2014,1,0)</f>
        <v>0</v>
      </c>
      <c r="AI504" s="14" t="n">
        <f aca="false">IF($L504=2015,1,0)</f>
        <v>1</v>
      </c>
      <c r="AJ504" s="14" t="n">
        <f aca="false">IF($L504=2016,1,0)</f>
        <v>0</v>
      </c>
      <c r="AK504" s="14" t="n">
        <f aca="false">IF($L504=2017,1,0)</f>
        <v>0</v>
      </c>
      <c r="AL504" s="14" t="n">
        <f aca="false">IF($H504="Beginner Level",1,0)</f>
        <v>1</v>
      </c>
      <c r="AM504" s="14" t="n">
        <f aca="false">IF($H504="Expert Level",1,0)</f>
        <v>0</v>
      </c>
      <c r="AN504" s="14" t="n">
        <f aca="false">IF($H504="Intermediate Level",1,0)</f>
        <v>0</v>
      </c>
    </row>
    <row r="505" customFormat="false" ht="57.45" hidden="false" customHeight="false" outlineLevel="0" collapsed="false">
      <c r="A505" s="14" t="n">
        <v>98066</v>
      </c>
      <c r="B505" s="14" t="s">
        <v>1053</v>
      </c>
      <c r="C505" s="14" t="s">
        <v>1054</v>
      </c>
      <c r="D505" s="14" t="n">
        <v>20</v>
      </c>
      <c r="E505" s="14" t="n">
        <v>3357</v>
      </c>
      <c r="F505" s="14" t="n">
        <v>82</v>
      </c>
      <c r="G505" s="14" t="n">
        <v>48</v>
      </c>
      <c r="H505" s="14" t="s">
        <v>71</v>
      </c>
      <c r="I505" s="14" t="n">
        <v>0.55</v>
      </c>
      <c r="J505" s="14" t="n">
        <v>12.5</v>
      </c>
      <c r="K505" s="14" t="s">
        <v>59</v>
      </c>
      <c r="L505" s="14" t="n">
        <v>2014</v>
      </c>
      <c r="M505" s="14" t="n">
        <v>8.11880299698004</v>
      </c>
      <c r="N505" s="14" t="n">
        <v>2.99623214859564</v>
      </c>
      <c r="P505" s="14" t="n">
        <f aca="false">D505</f>
        <v>20</v>
      </c>
      <c r="Q505" s="14" t="n">
        <f aca="false">G505</f>
        <v>48</v>
      </c>
      <c r="R505" s="14" t="n">
        <f aca="false">J505</f>
        <v>12.5</v>
      </c>
      <c r="S505" s="14" t="n">
        <f aca="false">IF($L505=2012,1,0)</f>
        <v>0</v>
      </c>
      <c r="T505" s="14" t="n">
        <f aca="false">IF($L505=2013,1,0)</f>
        <v>0</v>
      </c>
      <c r="U505" s="14" t="n">
        <f aca="false">IF($L505=2014,1,0)</f>
        <v>1</v>
      </c>
      <c r="V505" s="14" t="n">
        <f aca="false">IF($L505=2015,1,0)</f>
        <v>0</v>
      </c>
      <c r="W505" s="14" t="n">
        <f aca="false">IF($L505=2016,1,0)</f>
        <v>0</v>
      </c>
      <c r="X505" s="14" t="n">
        <f aca="false">IF($L505=2017,1,0)</f>
        <v>0</v>
      </c>
      <c r="Y505" s="14" t="n">
        <f aca="false">IF($H505="Beginner Level",1,0)</f>
        <v>0</v>
      </c>
      <c r="Z505" s="14" t="n">
        <f aca="false">IF($H505="Expert Level",1,0)</f>
        <v>0</v>
      </c>
      <c r="AA505" s="14" t="n">
        <f aca="false">IF($H505="Intermediate Level",1,0)</f>
        <v>1</v>
      </c>
      <c r="AC505" s="14" t="n">
        <f aca="false">N505</f>
        <v>2.99623214859564</v>
      </c>
      <c r="AD505" s="14" t="n">
        <f aca="false">G505</f>
        <v>48</v>
      </c>
      <c r="AE505" s="14" t="n">
        <f aca="false">J505</f>
        <v>12.5</v>
      </c>
      <c r="AF505" s="14" t="n">
        <f aca="false">IF($L505=2012,1,0)</f>
        <v>0</v>
      </c>
      <c r="AG505" s="14" t="n">
        <f aca="false">IF($L505=2013,1,0)</f>
        <v>0</v>
      </c>
      <c r="AH505" s="14" t="n">
        <f aca="false">IF($L505=2014,1,0)</f>
        <v>1</v>
      </c>
      <c r="AI505" s="14" t="n">
        <f aca="false">IF($L505=2015,1,0)</f>
        <v>0</v>
      </c>
      <c r="AJ505" s="14" t="n">
        <f aca="false">IF($L505=2016,1,0)</f>
        <v>0</v>
      </c>
      <c r="AK505" s="14" t="n">
        <f aca="false">IF($L505=2017,1,0)</f>
        <v>0</v>
      </c>
      <c r="AL505" s="14" t="n">
        <f aca="false">IF($H505="Beginner Level",1,0)</f>
        <v>0</v>
      </c>
      <c r="AM505" s="14" t="n">
        <f aca="false">IF($H505="Expert Level",1,0)</f>
        <v>0</v>
      </c>
      <c r="AN505" s="14" t="n">
        <f aca="false">IF($H505="Intermediate Level",1,0)</f>
        <v>1</v>
      </c>
    </row>
    <row r="506" customFormat="false" ht="57.45" hidden="false" customHeight="false" outlineLevel="0" collapsed="false">
      <c r="A506" s="14" t="n">
        <v>1121650</v>
      </c>
      <c r="B506" s="14" t="s">
        <v>1055</v>
      </c>
      <c r="C506" s="14" t="s">
        <v>1056</v>
      </c>
      <c r="D506" s="14" t="n">
        <v>0</v>
      </c>
      <c r="E506" s="14" t="n">
        <v>3357</v>
      </c>
      <c r="F506" s="14" t="n">
        <v>84</v>
      </c>
      <c r="G506" s="14" t="n">
        <v>13</v>
      </c>
      <c r="H506" s="14" t="s">
        <v>62</v>
      </c>
      <c r="I506" s="14" t="n">
        <v>0.61</v>
      </c>
      <c r="J506" s="14" t="n">
        <v>0.61666667</v>
      </c>
      <c r="K506" s="14" t="s">
        <v>53</v>
      </c>
      <c r="L506" s="14" t="n">
        <v>2017</v>
      </c>
      <c r="M506" s="14" t="n">
        <v>8.11880299698004</v>
      </c>
      <c r="N506" s="14" t="n">
        <v>-4.60517018598809</v>
      </c>
      <c r="P506" s="14" t="n">
        <f aca="false">D506</f>
        <v>0</v>
      </c>
      <c r="Q506" s="14" t="n">
        <f aca="false">G506</f>
        <v>13</v>
      </c>
      <c r="R506" s="14" t="n">
        <f aca="false">J506</f>
        <v>0.61666667</v>
      </c>
      <c r="S506" s="14" t="n">
        <f aca="false">IF($L506=2012,1,0)</f>
        <v>0</v>
      </c>
      <c r="T506" s="14" t="n">
        <f aca="false">IF($L506=2013,1,0)</f>
        <v>0</v>
      </c>
      <c r="U506" s="14" t="n">
        <f aca="false">IF($L506=2014,1,0)</f>
        <v>0</v>
      </c>
      <c r="V506" s="14" t="n">
        <f aca="false">IF($L506=2015,1,0)</f>
        <v>0</v>
      </c>
      <c r="W506" s="14" t="n">
        <f aca="false">IF($L506=2016,1,0)</f>
        <v>0</v>
      </c>
      <c r="X506" s="14" t="n">
        <f aca="false">IF($L506=2017,1,0)</f>
        <v>1</v>
      </c>
      <c r="Y506" s="14" t="n">
        <f aca="false">IF($H506="Beginner Level",1,0)</f>
        <v>0</v>
      </c>
      <c r="Z506" s="14" t="n">
        <f aca="false">IF($H506="Expert Level",1,0)</f>
        <v>0</v>
      </c>
      <c r="AA506" s="14" t="n">
        <f aca="false">IF($H506="Intermediate Level",1,0)</f>
        <v>0</v>
      </c>
      <c r="AC506" s="14" t="n">
        <f aca="false">N506</f>
        <v>-4.60517018598809</v>
      </c>
      <c r="AD506" s="14" t="n">
        <f aca="false">G506</f>
        <v>13</v>
      </c>
      <c r="AE506" s="14" t="n">
        <f aca="false">J506</f>
        <v>0.61666667</v>
      </c>
      <c r="AF506" s="14" t="n">
        <f aca="false">IF($L506=2012,1,0)</f>
        <v>0</v>
      </c>
      <c r="AG506" s="14" t="n">
        <f aca="false">IF($L506=2013,1,0)</f>
        <v>0</v>
      </c>
      <c r="AH506" s="14" t="n">
        <f aca="false">IF($L506=2014,1,0)</f>
        <v>0</v>
      </c>
      <c r="AI506" s="14" t="n">
        <f aca="false">IF($L506=2015,1,0)</f>
        <v>0</v>
      </c>
      <c r="AJ506" s="14" t="n">
        <f aca="false">IF($L506=2016,1,0)</f>
        <v>0</v>
      </c>
      <c r="AK506" s="14" t="n">
        <f aca="false">IF($L506=2017,1,0)</f>
        <v>1</v>
      </c>
      <c r="AL506" s="14" t="n">
        <f aca="false">IF($H506="Beginner Level",1,0)</f>
        <v>0</v>
      </c>
      <c r="AM506" s="14" t="n">
        <f aca="false">IF($H506="Expert Level",1,0)</f>
        <v>0</v>
      </c>
      <c r="AN506" s="14" t="n">
        <f aca="false">IF($H506="Intermediate Level",1,0)</f>
        <v>0</v>
      </c>
    </row>
    <row r="507" customFormat="false" ht="57.45" hidden="false" customHeight="false" outlineLevel="0" collapsed="false">
      <c r="A507" s="14" t="n">
        <v>1065250</v>
      </c>
      <c r="B507" s="14" t="s">
        <v>1057</v>
      </c>
      <c r="C507" s="14" t="s">
        <v>1058</v>
      </c>
      <c r="D507" s="14" t="n">
        <v>0</v>
      </c>
      <c r="E507" s="14" t="n">
        <v>3324</v>
      </c>
      <c r="F507" s="14" t="n">
        <v>138</v>
      </c>
      <c r="G507" s="14" t="n">
        <v>19</v>
      </c>
      <c r="H507" s="14" t="s">
        <v>52</v>
      </c>
      <c r="I507" s="14" t="n">
        <v>0.2</v>
      </c>
      <c r="J507" s="14" t="n">
        <v>5</v>
      </c>
      <c r="K507" s="14" t="s">
        <v>53</v>
      </c>
      <c r="L507" s="14" t="n">
        <v>2017</v>
      </c>
      <c r="M507" s="14" t="n">
        <v>8.10892415597534</v>
      </c>
      <c r="N507" s="14" t="n">
        <v>-4.60517018598809</v>
      </c>
      <c r="P507" s="14" t="n">
        <f aca="false">D507</f>
        <v>0</v>
      </c>
      <c r="Q507" s="14" t="n">
        <f aca="false">G507</f>
        <v>19</v>
      </c>
      <c r="R507" s="14" t="n">
        <f aca="false">J507</f>
        <v>5</v>
      </c>
      <c r="S507" s="14" t="n">
        <f aca="false">IF($L507=2012,1,0)</f>
        <v>0</v>
      </c>
      <c r="T507" s="14" t="n">
        <f aca="false">IF($L507=2013,1,0)</f>
        <v>0</v>
      </c>
      <c r="U507" s="14" t="n">
        <f aca="false">IF($L507=2014,1,0)</f>
        <v>0</v>
      </c>
      <c r="V507" s="14" t="n">
        <f aca="false">IF($L507=2015,1,0)</f>
        <v>0</v>
      </c>
      <c r="W507" s="14" t="n">
        <f aca="false">IF($L507=2016,1,0)</f>
        <v>0</v>
      </c>
      <c r="X507" s="14" t="n">
        <f aca="false">IF($L507=2017,1,0)</f>
        <v>1</v>
      </c>
      <c r="Y507" s="14" t="n">
        <f aca="false">IF($H507="Beginner Level",1,0)</f>
        <v>1</v>
      </c>
      <c r="Z507" s="14" t="n">
        <f aca="false">IF($H507="Expert Level",1,0)</f>
        <v>0</v>
      </c>
      <c r="AA507" s="14" t="n">
        <f aca="false">IF($H507="Intermediate Level",1,0)</f>
        <v>0</v>
      </c>
      <c r="AC507" s="14" t="n">
        <f aca="false">N507</f>
        <v>-4.60517018598809</v>
      </c>
      <c r="AD507" s="14" t="n">
        <f aca="false">G507</f>
        <v>19</v>
      </c>
      <c r="AE507" s="14" t="n">
        <f aca="false">J507</f>
        <v>5</v>
      </c>
      <c r="AF507" s="14" t="n">
        <f aca="false">IF($L507=2012,1,0)</f>
        <v>0</v>
      </c>
      <c r="AG507" s="14" t="n">
        <f aca="false">IF($L507=2013,1,0)</f>
        <v>0</v>
      </c>
      <c r="AH507" s="14" t="n">
        <f aca="false">IF($L507=2014,1,0)</f>
        <v>0</v>
      </c>
      <c r="AI507" s="14" t="n">
        <f aca="false">IF($L507=2015,1,0)</f>
        <v>0</v>
      </c>
      <c r="AJ507" s="14" t="n">
        <f aca="false">IF($L507=2016,1,0)</f>
        <v>0</v>
      </c>
      <c r="AK507" s="14" t="n">
        <f aca="false">IF($L507=2017,1,0)</f>
        <v>1</v>
      </c>
      <c r="AL507" s="14" t="n">
        <f aca="false">IF($H507="Beginner Level",1,0)</f>
        <v>1</v>
      </c>
      <c r="AM507" s="14" t="n">
        <f aca="false">IF($H507="Expert Level",1,0)</f>
        <v>0</v>
      </c>
      <c r="AN507" s="14" t="n">
        <f aca="false">IF($H507="Intermediate Level",1,0)</f>
        <v>0</v>
      </c>
    </row>
    <row r="508" customFormat="false" ht="79.85" hidden="false" customHeight="false" outlineLevel="0" collapsed="false">
      <c r="A508" s="14" t="n">
        <v>1075808</v>
      </c>
      <c r="B508" s="14" t="s">
        <v>1059</v>
      </c>
      <c r="C508" s="14" t="s">
        <v>1060</v>
      </c>
      <c r="D508" s="14" t="n">
        <v>45</v>
      </c>
      <c r="E508" s="14" t="n">
        <v>3323</v>
      </c>
      <c r="F508" s="14" t="n">
        <v>90</v>
      </c>
      <c r="G508" s="14" t="n">
        <v>7</v>
      </c>
      <c r="H508" s="14" t="s">
        <v>52</v>
      </c>
      <c r="I508" s="14" t="n">
        <v>0.88</v>
      </c>
      <c r="J508" s="14" t="n">
        <v>0.63333333</v>
      </c>
      <c r="K508" s="14" t="s">
        <v>59</v>
      </c>
      <c r="L508" s="14" t="n">
        <v>2017</v>
      </c>
      <c r="M508" s="14" t="n">
        <v>8.1086232683546</v>
      </c>
      <c r="N508" s="14" t="n">
        <v>3.80688468730484</v>
      </c>
      <c r="P508" s="14" t="n">
        <f aca="false">D508</f>
        <v>45</v>
      </c>
      <c r="Q508" s="14" t="n">
        <f aca="false">G508</f>
        <v>7</v>
      </c>
      <c r="R508" s="14" t="n">
        <f aca="false">J508</f>
        <v>0.63333333</v>
      </c>
      <c r="S508" s="14" t="n">
        <f aca="false">IF($L508=2012,1,0)</f>
        <v>0</v>
      </c>
      <c r="T508" s="14" t="n">
        <f aca="false">IF($L508=2013,1,0)</f>
        <v>0</v>
      </c>
      <c r="U508" s="14" t="n">
        <f aca="false">IF($L508=2014,1,0)</f>
        <v>0</v>
      </c>
      <c r="V508" s="14" t="n">
        <f aca="false">IF($L508=2015,1,0)</f>
        <v>0</v>
      </c>
      <c r="W508" s="14" t="n">
        <f aca="false">IF($L508=2016,1,0)</f>
        <v>0</v>
      </c>
      <c r="X508" s="14" t="n">
        <f aca="false">IF($L508=2017,1,0)</f>
        <v>1</v>
      </c>
      <c r="Y508" s="14" t="n">
        <f aca="false">IF($H508="Beginner Level",1,0)</f>
        <v>1</v>
      </c>
      <c r="Z508" s="14" t="n">
        <f aca="false">IF($H508="Expert Level",1,0)</f>
        <v>0</v>
      </c>
      <c r="AA508" s="14" t="n">
        <f aca="false">IF($H508="Intermediate Level",1,0)</f>
        <v>0</v>
      </c>
      <c r="AC508" s="14" t="n">
        <f aca="false">N508</f>
        <v>3.80688468730484</v>
      </c>
      <c r="AD508" s="14" t="n">
        <f aca="false">G508</f>
        <v>7</v>
      </c>
      <c r="AE508" s="14" t="n">
        <f aca="false">J508</f>
        <v>0.63333333</v>
      </c>
      <c r="AF508" s="14" t="n">
        <f aca="false">IF($L508=2012,1,0)</f>
        <v>0</v>
      </c>
      <c r="AG508" s="14" t="n">
        <f aca="false">IF($L508=2013,1,0)</f>
        <v>0</v>
      </c>
      <c r="AH508" s="14" t="n">
        <f aca="false">IF($L508=2014,1,0)</f>
        <v>0</v>
      </c>
      <c r="AI508" s="14" t="n">
        <f aca="false">IF($L508=2015,1,0)</f>
        <v>0</v>
      </c>
      <c r="AJ508" s="14" t="n">
        <f aca="false">IF($L508=2016,1,0)</f>
        <v>0</v>
      </c>
      <c r="AK508" s="14" t="n">
        <f aca="false">IF($L508=2017,1,0)</f>
        <v>1</v>
      </c>
      <c r="AL508" s="14" t="n">
        <f aca="false">IF($H508="Beginner Level",1,0)</f>
        <v>1</v>
      </c>
      <c r="AM508" s="14" t="n">
        <f aca="false">IF($H508="Expert Level",1,0)</f>
        <v>0</v>
      </c>
      <c r="AN508" s="14" t="n">
        <f aca="false">IF($H508="Intermediate Level",1,0)</f>
        <v>0</v>
      </c>
    </row>
    <row r="509" customFormat="false" ht="57.45" hidden="false" customHeight="false" outlineLevel="0" collapsed="false">
      <c r="A509" s="14" t="n">
        <v>409618</v>
      </c>
      <c r="B509" s="14" t="s">
        <v>1061</v>
      </c>
      <c r="C509" s="14" t="s">
        <v>1062</v>
      </c>
      <c r="D509" s="14" t="n">
        <v>20</v>
      </c>
      <c r="E509" s="14" t="n">
        <v>3299</v>
      </c>
      <c r="F509" s="14" t="n">
        <v>166</v>
      </c>
      <c r="G509" s="14" t="n">
        <v>34</v>
      </c>
      <c r="H509" s="14" t="s">
        <v>52</v>
      </c>
      <c r="I509" s="14" t="n">
        <v>0.21</v>
      </c>
      <c r="J509" s="14" t="n">
        <v>4</v>
      </c>
      <c r="K509" s="14" t="s">
        <v>59</v>
      </c>
      <c r="L509" s="14" t="n">
        <v>2015</v>
      </c>
      <c r="M509" s="14" t="n">
        <v>8.10137467122858</v>
      </c>
      <c r="N509" s="14" t="n">
        <v>2.99623214859564</v>
      </c>
      <c r="P509" s="14" t="n">
        <f aca="false">D509</f>
        <v>20</v>
      </c>
      <c r="Q509" s="14" t="n">
        <f aca="false">G509</f>
        <v>34</v>
      </c>
      <c r="R509" s="14" t="n">
        <f aca="false">J509</f>
        <v>4</v>
      </c>
      <c r="S509" s="14" t="n">
        <f aca="false">IF($L509=2012,1,0)</f>
        <v>0</v>
      </c>
      <c r="T509" s="14" t="n">
        <f aca="false">IF($L509=2013,1,0)</f>
        <v>0</v>
      </c>
      <c r="U509" s="14" t="n">
        <f aca="false">IF($L509=2014,1,0)</f>
        <v>0</v>
      </c>
      <c r="V509" s="14" t="n">
        <f aca="false">IF($L509=2015,1,0)</f>
        <v>1</v>
      </c>
      <c r="W509" s="14" t="n">
        <f aca="false">IF($L509=2016,1,0)</f>
        <v>0</v>
      </c>
      <c r="X509" s="14" t="n">
        <f aca="false">IF($L509=2017,1,0)</f>
        <v>0</v>
      </c>
      <c r="Y509" s="14" t="n">
        <f aca="false">IF($H509="Beginner Level",1,0)</f>
        <v>1</v>
      </c>
      <c r="Z509" s="14" t="n">
        <f aca="false">IF($H509="Expert Level",1,0)</f>
        <v>0</v>
      </c>
      <c r="AA509" s="14" t="n">
        <f aca="false">IF($H509="Intermediate Level",1,0)</f>
        <v>0</v>
      </c>
      <c r="AC509" s="14" t="n">
        <f aca="false">N509</f>
        <v>2.99623214859564</v>
      </c>
      <c r="AD509" s="14" t="n">
        <f aca="false">G509</f>
        <v>34</v>
      </c>
      <c r="AE509" s="14" t="n">
        <f aca="false">J509</f>
        <v>4</v>
      </c>
      <c r="AF509" s="14" t="n">
        <f aca="false">IF($L509=2012,1,0)</f>
        <v>0</v>
      </c>
      <c r="AG509" s="14" t="n">
        <f aca="false">IF($L509=2013,1,0)</f>
        <v>0</v>
      </c>
      <c r="AH509" s="14" t="n">
        <f aca="false">IF($L509=2014,1,0)</f>
        <v>0</v>
      </c>
      <c r="AI509" s="14" t="n">
        <f aca="false">IF($L509=2015,1,0)</f>
        <v>1</v>
      </c>
      <c r="AJ509" s="14" t="n">
        <f aca="false">IF($L509=2016,1,0)</f>
        <v>0</v>
      </c>
      <c r="AK509" s="14" t="n">
        <f aca="false">IF($L509=2017,1,0)</f>
        <v>0</v>
      </c>
      <c r="AL509" s="14" t="n">
        <f aca="false">IF($H509="Beginner Level",1,0)</f>
        <v>1</v>
      </c>
      <c r="AM509" s="14" t="n">
        <f aca="false">IF($H509="Expert Level",1,0)</f>
        <v>0</v>
      </c>
      <c r="AN509" s="14" t="n">
        <f aca="false">IF($H509="Intermediate Level",1,0)</f>
        <v>0</v>
      </c>
    </row>
    <row r="510" customFormat="false" ht="46.25" hidden="false" customHeight="false" outlineLevel="0" collapsed="false">
      <c r="A510" s="14" t="n">
        <v>1014776</v>
      </c>
      <c r="B510" s="14" t="s">
        <v>1063</v>
      </c>
      <c r="C510" s="14" t="s">
        <v>1064</v>
      </c>
      <c r="D510" s="14" t="n">
        <v>85</v>
      </c>
      <c r="E510" s="14" t="n">
        <v>3295</v>
      </c>
      <c r="F510" s="14" t="n">
        <v>531</v>
      </c>
      <c r="G510" s="14" t="n">
        <v>162</v>
      </c>
      <c r="H510" s="14" t="s">
        <v>52</v>
      </c>
      <c r="I510" s="14" t="n">
        <v>0.92</v>
      </c>
      <c r="J510" s="14" t="n">
        <v>31.5</v>
      </c>
      <c r="K510" s="14" t="s">
        <v>59</v>
      </c>
      <c r="L510" s="14" t="n">
        <v>2016</v>
      </c>
      <c r="M510" s="14" t="n">
        <v>8.10016144693661</v>
      </c>
      <c r="N510" s="14" t="n">
        <v>4.44276889662927</v>
      </c>
      <c r="P510" s="14" t="n">
        <f aca="false">D510</f>
        <v>85</v>
      </c>
      <c r="Q510" s="14" t="n">
        <f aca="false">G510</f>
        <v>162</v>
      </c>
      <c r="R510" s="14" t="n">
        <f aca="false">J510</f>
        <v>31.5</v>
      </c>
      <c r="S510" s="14" t="n">
        <f aca="false">IF($L510=2012,1,0)</f>
        <v>0</v>
      </c>
      <c r="T510" s="14" t="n">
        <f aca="false">IF($L510=2013,1,0)</f>
        <v>0</v>
      </c>
      <c r="U510" s="14" t="n">
        <f aca="false">IF($L510=2014,1,0)</f>
        <v>0</v>
      </c>
      <c r="V510" s="14" t="n">
        <f aca="false">IF($L510=2015,1,0)</f>
        <v>0</v>
      </c>
      <c r="W510" s="14" t="n">
        <f aca="false">IF($L510=2016,1,0)</f>
        <v>1</v>
      </c>
      <c r="X510" s="14" t="n">
        <f aca="false">IF($L510=2017,1,0)</f>
        <v>0</v>
      </c>
      <c r="Y510" s="14" t="n">
        <f aca="false">IF($H510="Beginner Level",1,0)</f>
        <v>1</v>
      </c>
      <c r="Z510" s="14" t="n">
        <f aca="false">IF($H510="Expert Level",1,0)</f>
        <v>0</v>
      </c>
      <c r="AA510" s="14" t="n">
        <f aca="false">IF($H510="Intermediate Level",1,0)</f>
        <v>0</v>
      </c>
      <c r="AC510" s="14" t="n">
        <f aca="false">N510</f>
        <v>4.44276889662927</v>
      </c>
      <c r="AD510" s="14" t="n">
        <f aca="false">G510</f>
        <v>162</v>
      </c>
      <c r="AE510" s="14" t="n">
        <f aca="false">J510</f>
        <v>31.5</v>
      </c>
      <c r="AF510" s="14" t="n">
        <f aca="false">IF($L510=2012,1,0)</f>
        <v>0</v>
      </c>
      <c r="AG510" s="14" t="n">
        <f aca="false">IF($L510=2013,1,0)</f>
        <v>0</v>
      </c>
      <c r="AH510" s="14" t="n">
        <f aca="false">IF($L510=2014,1,0)</f>
        <v>0</v>
      </c>
      <c r="AI510" s="14" t="n">
        <f aca="false">IF($L510=2015,1,0)</f>
        <v>0</v>
      </c>
      <c r="AJ510" s="14" t="n">
        <f aca="false">IF($L510=2016,1,0)</f>
        <v>1</v>
      </c>
      <c r="AK510" s="14" t="n">
        <f aca="false">IF($L510=2017,1,0)</f>
        <v>0</v>
      </c>
      <c r="AL510" s="14" t="n">
        <f aca="false">IF($H510="Beginner Level",1,0)</f>
        <v>1</v>
      </c>
      <c r="AM510" s="14" t="n">
        <f aca="false">IF($H510="Expert Level",1,0)</f>
        <v>0</v>
      </c>
      <c r="AN510" s="14" t="n">
        <f aca="false">IF($H510="Intermediate Level",1,0)</f>
        <v>0</v>
      </c>
    </row>
    <row r="511" customFormat="false" ht="57.45" hidden="false" customHeight="false" outlineLevel="0" collapsed="false">
      <c r="A511" s="14" t="n">
        <v>584758</v>
      </c>
      <c r="B511" s="14" t="s">
        <v>1065</v>
      </c>
      <c r="C511" s="14" t="s">
        <v>1066</v>
      </c>
      <c r="D511" s="14" t="n">
        <v>20</v>
      </c>
      <c r="E511" s="14" t="n">
        <v>3271</v>
      </c>
      <c r="F511" s="14" t="n">
        <v>278</v>
      </c>
      <c r="G511" s="14" t="n">
        <v>54</v>
      </c>
      <c r="H511" s="14" t="s">
        <v>52</v>
      </c>
      <c r="I511" s="14" t="n">
        <v>0.92</v>
      </c>
      <c r="J511" s="14" t="n">
        <v>2.5</v>
      </c>
      <c r="K511" s="14" t="s">
        <v>59</v>
      </c>
      <c r="L511" s="14" t="n">
        <v>2015</v>
      </c>
      <c r="M511" s="14" t="n">
        <v>8.09285102753838</v>
      </c>
      <c r="N511" s="14" t="n">
        <v>2.99623214859564</v>
      </c>
      <c r="P511" s="14" t="n">
        <f aca="false">D511</f>
        <v>20</v>
      </c>
      <c r="Q511" s="14" t="n">
        <f aca="false">G511</f>
        <v>54</v>
      </c>
      <c r="R511" s="14" t="n">
        <f aca="false">J511</f>
        <v>2.5</v>
      </c>
      <c r="S511" s="14" t="n">
        <f aca="false">IF($L511=2012,1,0)</f>
        <v>0</v>
      </c>
      <c r="T511" s="14" t="n">
        <f aca="false">IF($L511=2013,1,0)</f>
        <v>0</v>
      </c>
      <c r="U511" s="14" t="n">
        <f aca="false">IF($L511=2014,1,0)</f>
        <v>0</v>
      </c>
      <c r="V511" s="14" t="n">
        <f aca="false">IF($L511=2015,1,0)</f>
        <v>1</v>
      </c>
      <c r="W511" s="14" t="n">
        <f aca="false">IF($L511=2016,1,0)</f>
        <v>0</v>
      </c>
      <c r="X511" s="14" t="n">
        <f aca="false">IF($L511=2017,1,0)</f>
        <v>0</v>
      </c>
      <c r="Y511" s="14" t="n">
        <f aca="false">IF($H511="Beginner Level",1,0)</f>
        <v>1</v>
      </c>
      <c r="Z511" s="14" t="n">
        <f aca="false">IF($H511="Expert Level",1,0)</f>
        <v>0</v>
      </c>
      <c r="AA511" s="14" t="n">
        <f aca="false">IF($H511="Intermediate Level",1,0)</f>
        <v>0</v>
      </c>
      <c r="AC511" s="14" t="n">
        <f aca="false">N511</f>
        <v>2.99623214859564</v>
      </c>
      <c r="AD511" s="14" t="n">
        <f aca="false">G511</f>
        <v>54</v>
      </c>
      <c r="AE511" s="14" t="n">
        <f aca="false">J511</f>
        <v>2.5</v>
      </c>
      <c r="AF511" s="14" t="n">
        <f aca="false">IF($L511=2012,1,0)</f>
        <v>0</v>
      </c>
      <c r="AG511" s="14" t="n">
        <f aca="false">IF($L511=2013,1,0)</f>
        <v>0</v>
      </c>
      <c r="AH511" s="14" t="n">
        <f aca="false">IF($L511=2014,1,0)</f>
        <v>0</v>
      </c>
      <c r="AI511" s="14" t="n">
        <f aca="false">IF($L511=2015,1,0)</f>
        <v>1</v>
      </c>
      <c r="AJ511" s="14" t="n">
        <f aca="false">IF($L511=2016,1,0)</f>
        <v>0</v>
      </c>
      <c r="AK511" s="14" t="n">
        <f aca="false">IF($L511=2017,1,0)</f>
        <v>0</v>
      </c>
      <c r="AL511" s="14" t="n">
        <f aca="false">IF($H511="Beginner Level",1,0)</f>
        <v>1</v>
      </c>
      <c r="AM511" s="14" t="n">
        <f aca="false">IF($H511="Expert Level",1,0)</f>
        <v>0</v>
      </c>
      <c r="AN511" s="14" t="n">
        <f aca="false">IF($H511="Intermediate Level",1,0)</f>
        <v>0</v>
      </c>
    </row>
    <row r="512" customFormat="false" ht="46.25" hidden="false" customHeight="false" outlineLevel="0" collapsed="false">
      <c r="A512" s="14" t="n">
        <v>803074</v>
      </c>
      <c r="B512" s="14" t="s">
        <v>1067</v>
      </c>
      <c r="C512" s="14" t="s">
        <v>1068</v>
      </c>
      <c r="D512" s="14" t="n">
        <v>20</v>
      </c>
      <c r="E512" s="14" t="n">
        <v>3258</v>
      </c>
      <c r="F512" s="14" t="n">
        <v>32</v>
      </c>
      <c r="G512" s="14" t="n">
        <v>16</v>
      </c>
      <c r="H512" s="14" t="s">
        <v>56</v>
      </c>
      <c r="I512" s="14" t="n">
        <v>0.92</v>
      </c>
      <c r="J512" s="14" t="n">
        <v>2</v>
      </c>
      <c r="K512" s="14" t="s">
        <v>59</v>
      </c>
      <c r="L512" s="14" t="n">
        <v>2016</v>
      </c>
      <c r="M512" s="14" t="n">
        <v>8.08886878916199</v>
      </c>
      <c r="N512" s="14" t="n">
        <v>2.99623214859564</v>
      </c>
      <c r="P512" s="14" t="n">
        <f aca="false">D512</f>
        <v>20</v>
      </c>
      <c r="Q512" s="14" t="n">
        <f aca="false">G512</f>
        <v>16</v>
      </c>
      <c r="R512" s="14" t="n">
        <f aca="false">J512</f>
        <v>2</v>
      </c>
      <c r="S512" s="14" t="n">
        <f aca="false">IF($L512=2012,1,0)</f>
        <v>0</v>
      </c>
      <c r="T512" s="14" t="n">
        <f aca="false">IF($L512=2013,1,0)</f>
        <v>0</v>
      </c>
      <c r="U512" s="14" t="n">
        <f aca="false">IF($L512=2014,1,0)</f>
        <v>0</v>
      </c>
      <c r="V512" s="14" t="n">
        <f aca="false">IF($L512=2015,1,0)</f>
        <v>0</v>
      </c>
      <c r="W512" s="14" t="n">
        <f aca="false">IF($L512=2016,1,0)</f>
        <v>1</v>
      </c>
      <c r="X512" s="14" t="n">
        <f aca="false">IF($L512=2017,1,0)</f>
        <v>0</v>
      </c>
      <c r="Y512" s="14" t="n">
        <f aca="false">IF($H512="Beginner Level",1,0)</f>
        <v>0</v>
      </c>
      <c r="Z512" s="14" t="n">
        <f aca="false">IF($H512="Expert Level",1,0)</f>
        <v>1</v>
      </c>
      <c r="AA512" s="14" t="n">
        <f aca="false">IF($H512="Intermediate Level",1,0)</f>
        <v>0</v>
      </c>
      <c r="AC512" s="14" t="n">
        <f aca="false">N512</f>
        <v>2.99623214859564</v>
      </c>
      <c r="AD512" s="14" t="n">
        <f aca="false">G512</f>
        <v>16</v>
      </c>
      <c r="AE512" s="14" t="n">
        <f aca="false">J512</f>
        <v>2</v>
      </c>
      <c r="AF512" s="14" t="n">
        <f aca="false">IF($L512=2012,1,0)</f>
        <v>0</v>
      </c>
      <c r="AG512" s="14" t="n">
        <f aca="false">IF($L512=2013,1,0)</f>
        <v>0</v>
      </c>
      <c r="AH512" s="14" t="n">
        <f aca="false">IF($L512=2014,1,0)</f>
        <v>0</v>
      </c>
      <c r="AI512" s="14" t="n">
        <f aca="false">IF($L512=2015,1,0)</f>
        <v>0</v>
      </c>
      <c r="AJ512" s="14" t="n">
        <f aca="false">IF($L512=2016,1,0)</f>
        <v>1</v>
      </c>
      <c r="AK512" s="14" t="n">
        <f aca="false">IF($L512=2017,1,0)</f>
        <v>0</v>
      </c>
      <c r="AL512" s="14" t="n">
        <f aca="false">IF($H512="Beginner Level",1,0)</f>
        <v>0</v>
      </c>
      <c r="AM512" s="14" t="n">
        <f aca="false">IF($H512="Expert Level",1,0)</f>
        <v>1</v>
      </c>
      <c r="AN512" s="14" t="n">
        <f aca="false">IF($H512="Intermediate Level",1,0)</f>
        <v>0</v>
      </c>
    </row>
    <row r="513" customFormat="false" ht="68.65" hidden="false" customHeight="false" outlineLevel="0" collapsed="false">
      <c r="A513" s="14" t="n">
        <v>864482</v>
      </c>
      <c r="B513" s="14" t="s">
        <v>1069</v>
      </c>
      <c r="C513" s="14" t="s">
        <v>1070</v>
      </c>
      <c r="D513" s="14" t="n">
        <v>40</v>
      </c>
      <c r="E513" s="14" t="n">
        <v>3254</v>
      </c>
      <c r="F513" s="14" t="n">
        <v>92</v>
      </c>
      <c r="G513" s="14" t="n">
        <v>16</v>
      </c>
      <c r="H513" s="14" t="s">
        <v>52</v>
      </c>
      <c r="I513" s="14" t="n">
        <v>0.92</v>
      </c>
      <c r="J513" s="14" t="n">
        <v>1.5</v>
      </c>
      <c r="K513" s="14" t="s">
        <v>59</v>
      </c>
      <c r="L513" s="14" t="n">
        <v>2016</v>
      </c>
      <c r="M513" s="14" t="n">
        <v>8.08764028777898</v>
      </c>
      <c r="N513" s="14" t="n">
        <v>3.68912942286914</v>
      </c>
      <c r="P513" s="14" t="n">
        <f aca="false">D513</f>
        <v>40</v>
      </c>
      <c r="Q513" s="14" t="n">
        <f aca="false">G513</f>
        <v>16</v>
      </c>
      <c r="R513" s="14" t="n">
        <f aca="false">J513</f>
        <v>1.5</v>
      </c>
      <c r="S513" s="14" t="n">
        <f aca="false">IF($L513=2012,1,0)</f>
        <v>0</v>
      </c>
      <c r="T513" s="14" t="n">
        <f aca="false">IF($L513=2013,1,0)</f>
        <v>0</v>
      </c>
      <c r="U513" s="14" t="n">
        <f aca="false">IF($L513=2014,1,0)</f>
        <v>0</v>
      </c>
      <c r="V513" s="14" t="n">
        <f aca="false">IF($L513=2015,1,0)</f>
        <v>0</v>
      </c>
      <c r="W513" s="14" t="n">
        <f aca="false">IF($L513=2016,1,0)</f>
        <v>1</v>
      </c>
      <c r="X513" s="14" t="n">
        <f aca="false">IF($L513=2017,1,0)</f>
        <v>0</v>
      </c>
      <c r="Y513" s="14" t="n">
        <f aca="false">IF($H513="Beginner Level",1,0)</f>
        <v>1</v>
      </c>
      <c r="Z513" s="14" t="n">
        <f aca="false">IF($H513="Expert Level",1,0)</f>
        <v>0</v>
      </c>
      <c r="AA513" s="14" t="n">
        <f aca="false">IF($H513="Intermediate Level",1,0)</f>
        <v>0</v>
      </c>
      <c r="AC513" s="14" t="n">
        <f aca="false">N513</f>
        <v>3.68912942286914</v>
      </c>
      <c r="AD513" s="14" t="n">
        <f aca="false">G513</f>
        <v>16</v>
      </c>
      <c r="AE513" s="14" t="n">
        <f aca="false">J513</f>
        <v>1.5</v>
      </c>
      <c r="AF513" s="14" t="n">
        <f aca="false">IF($L513=2012,1,0)</f>
        <v>0</v>
      </c>
      <c r="AG513" s="14" t="n">
        <f aca="false">IF($L513=2013,1,0)</f>
        <v>0</v>
      </c>
      <c r="AH513" s="14" t="n">
        <f aca="false">IF($L513=2014,1,0)</f>
        <v>0</v>
      </c>
      <c r="AI513" s="14" t="n">
        <f aca="false">IF($L513=2015,1,0)</f>
        <v>0</v>
      </c>
      <c r="AJ513" s="14" t="n">
        <f aca="false">IF($L513=2016,1,0)</f>
        <v>1</v>
      </c>
      <c r="AK513" s="14" t="n">
        <f aca="false">IF($L513=2017,1,0)</f>
        <v>0</v>
      </c>
      <c r="AL513" s="14" t="n">
        <f aca="false">IF($H513="Beginner Level",1,0)</f>
        <v>1</v>
      </c>
      <c r="AM513" s="14" t="n">
        <f aca="false">IF($H513="Expert Level",1,0)</f>
        <v>0</v>
      </c>
      <c r="AN513" s="14" t="n">
        <f aca="false">IF($H513="Intermediate Level",1,0)</f>
        <v>0</v>
      </c>
    </row>
    <row r="514" customFormat="false" ht="46.25" hidden="false" customHeight="false" outlineLevel="0" collapsed="false">
      <c r="A514" s="14" t="n">
        <v>836044</v>
      </c>
      <c r="B514" s="14" t="s">
        <v>1071</v>
      </c>
      <c r="C514" s="14" t="s">
        <v>1072</v>
      </c>
      <c r="D514" s="14" t="n">
        <v>150</v>
      </c>
      <c r="E514" s="14" t="n">
        <v>3252</v>
      </c>
      <c r="F514" s="14" t="n">
        <v>401</v>
      </c>
      <c r="G514" s="14" t="n">
        <v>62</v>
      </c>
      <c r="H514" s="14" t="s">
        <v>71</v>
      </c>
      <c r="I514" s="14" t="n">
        <v>0.92</v>
      </c>
      <c r="J514" s="14" t="n">
        <v>12.5</v>
      </c>
      <c r="K514" s="14" t="s">
        <v>59</v>
      </c>
      <c r="L514" s="14" t="n">
        <v>2016</v>
      </c>
      <c r="M514" s="14" t="n">
        <v>8.0870254706677</v>
      </c>
      <c r="N514" s="14" t="n">
        <v>5.0107019585408</v>
      </c>
      <c r="P514" s="14" t="n">
        <f aca="false">D514</f>
        <v>150</v>
      </c>
      <c r="Q514" s="14" t="n">
        <f aca="false">G514</f>
        <v>62</v>
      </c>
      <c r="R514" s="14" t="n">
        <f aca="false">J514</f>
        <v>12.5</v>
      </c>
      <c r="S514" s="14" t="n">
        <f aca="false">IF($L514=2012,1,0)</f>
        <v>0</v>
      </c>
      <c r="T514" s="14" t="n">
        <f aca="false">IF($L514=2013,1,0)</f>
        <v>0</v>
      </c>
      <c r="U514" s="14" t="n">
        <f aca="false">IF($L514=2014,1,0)</f>
        <v>0</v>
      </c>
      <c r="V514" s="14" t="n">
        <f aca="false">IF($L514=2015,1,0)</f>
        <v>0</v>
      </c>
      <c r="W514" s="14" t="n">
        <f aca="false">IF($L514=2016,1,0)</f>
        <v>1</v>
      </c>
      <c r="X514" s="14" t="n">
        <f aca="false">IF($L514=2017,1,0)</f>
        <v>0</v>
      </c>
      <c r="Y514" s="14" t="n">
        <f aca="false">IF($H514="Beginner Level",1,0)</f>
        <v>0</v>
      </c>
      <c r="Z514" s="14" t="n">
        <f aca="false">IF($H514="Expert Level",1,0)</f>
        <v>0</v>
      </c>
      <c r="AA514" s="14" t="n">
        <f aca="false">IF($H514="Intermediate Level",1,0)</f>
        <v>1</v>
      </c>
      <c r="AC514" s="14" t="n">
        <f aca="false">N514</f>
        <v>5.0107019585408</v>
      </c>
      <c r="AD514" s="14" t="n">
        <f aca="false">G514</f>
        <v>62</v>
      </c>
      <c r="AE514" s="14" t="n">
        <f aca="false">J514</f>
        <v>12.5</v>
      </c>
      <c r="AF514" s="14" t="n">
        <f aca="false">IF($L514=2012,1,0)</f>
        <v>0</v>
      </c>
      <c r="AG514" s="14" t="n">
        <f aca="false">IF($L514=2013,1,0)</f>
        <v>0</v>
      </c>
      <c r="AH514" s="14" t="n">
        <f aca="false">IF($L514=2014,1,0)</f>
        <v>0</v>
      </c>
      <c r="AI514" s="14" t="n">
        <f aca="false">IF($L514=2015,1,0)</f>
        <v>0</v>
      </c>
      <c r="AJ514" s="14" t="n">
        <f aca="false">IF($L514=2016,1,0)</f>
        <v>1</v>
      </c>
      <c r="AK514" s="14" t="n">
        <f aca="false">IF($L514=2017,1,0)</f>
        <v>0</v>
      </c>
      <c r="AL514" s="14" t="n">
        <f aca="false">IF($H514="Beginner Level",1,0)</f>
        <v>0</v>
      </c>
      <c r="AM514" s="14" t="n">
        <f aca="false">IF($H514="Expert Level",1,0)</f>
        <v>0</v>
      </c>
      <c r="AN514" s="14" t="n">
        <f aca="false">IF($H514="Intermediate Level",1,0)</f>
        <v>1</v>
      </c>
    </row>
    <row r="515" customFormat="false" ht="68.65" hidden="false" customHeight="false" outlineLevel="0" collapsed="false">
      <c r="A515" s="14" t="n">
        <v>615920</v>
      </c>
      <c r="B515" s="14" t="s">
        <v>1073</v>
      </c>
      <c r="C515" s="14" t="s">
        <v>1074</v>
      </c>
      <c r="D515" s="14" t="n">
        <v>25</v>
      </c>
      <c r="E515" s="14" t="n">
        <v>3249</v>
      </c>
      <c r="F515" s="14" t="n">
        <v>27</v>
      </c>
      <c r="G515" s="14" t="n">
        <v>60</v>
      </c>
      <c r="H515" s="14" t="s">
        <v>62</v>
      </c>
      <c r="I515" s="14" t="n">
        <v>0.92</v>
      </c>
      <c r="J515" s="14" t="n">
        <v>6.5</v>
      </c>
      <c r="K515" s="14" t="s">
        <v>59</v>
      </c>
      <c r="L515" s="14" t="n">
        <v>2015</v>
      </c>
      <c r="M515" s="14" t="n">
        <v>8.0861025356691</v>
      </c>
      <c r="N515" s="14" t="n">
        <v>3.21927574488953</v>
      </c>
      <c r="P515" s="14" t="n">
        <f aca="false">D515</f>
        <v>25</v>
      </c>
      <c r="Q515" s="14" t="n">
        <f aca="false">G515</f>
        <v>60</v>
      </c>
      <c r="R515" s="14" t="n">
        <f aca="false">J515</f>
        <v>6.5</v>
      </c>
      <c r="S515" s="14" t="n">
        <f aca="false">IF($L515=2012,1,0)</f>
        <v>0</v>
      </c>
      <c r="T515" s="14" t="n">
        <f aca="false">IF($L515=2013,1,0)</f>
        <v>0</v>
      </c>
      <c r="U515" s="14" t="n">
        <f aca="false">IF($L515=2014,1,0)</f>
        <v>0</v>
      </c>
      <c r="V515" s="14" t="n">
        <f aca="false">IF($L515=2015,1,0)</f>
        <v>1</v>
      </c>
      <c r="W515" s="14" t="n">
        <f aca="false">IF($L515=2016,1,0)</f>
        <v>0</v>
      </c>
      <c r="X515" s="14" t="n">
        <f aca="false">IF($L515=2017,1,0)</f>
        <v>0</v>
      </c>
      <c r="Y515" s="14" t="n">
        <f aca="false">IF($H515="Beginner Level",1,0)</f>
        <v>0</v>
      </c>
      <c r="Z515" s="14" t="n">
        <f aca="false">IF($H515="Expert Level",1,0)</f>
        <v>0</v>
      </c>
      <c r="AA515" s="14" t="n">
        <f aca="false">IF($H515="Intermediate Level",1,0)</f>
        <v>0</v>
      </c>
      <c r="AC515" s="14" t="n">
        <f aca="false">N515</f>
        <v>3.21927574488953</v>
      </c>
      <c r="AD515" s="14" t="n">
        <f aca="false">G515</f>
        <v>60</v>
      </c>
      <c r="AE515" s="14" t="n">
        <f aca="false">J515</f>
        <v>6.5</v>
      </c>
      <c r="AF515" s="14" t="n">
        <f aca="false">IF($L515=2012,1,0)</f>
        <v>0</v>
      </c>
      <c r="AG515" s="14" t="n">
        <f aca="false">IF($L515=2013,1,0)</f>
        <v>0</v>
      </c>
      <c r="AH515" s="14" t="n">
        <f aca="false">IF($L515=2014,1,0)</f>
        <v>0</v>
      </c>
      <c r="AI515" s="14" t="n">
        <f aca="false">IF($L515=2015,1,0)</f>
        <v>1</v>
      </c>
      <c r="AJ515" s="14" t="n">
        <f aca="false">IF($L515=2016,1,0)</f>
        <v>0</v>
      </c>
      <c r="AK515" s="14" t="n">
        <f aca="false">IF($L515=2017,1,0)</f>
        <v>0</v>
      </c>
      <c r="AL515" s="14" t="n">
        <f aca="false">IF($H515="Beginner Level",1,0)</f>
        <v>0</v>
      </c>
      <c r="AM515" s="14" t="n">
        <f aca="false">IF($H515="Expert Level",1,0)</f>
        <v>0</v>
      </c>
      <c r="AN515" s="14" t="n">
        <f aca="false">IF($H515="Intermediate Level",1,0)</f>
        <v>0</v>
      </c>
    </row>
    <row r="516" customFormat="false" ht="57.45" hidden="false" customHeight="false" outlineLevel="0" collapsed="false">
      <c r="A516" s="14" t="n">
        <v>1211366</v>
      </c>
      <c r="B516" s="14" t="s">
        <v>1075</v>
      </c>
      <c r="C516" s="14" t="s">
        <v>1076</v>
      </c>
      <c r="D516" s="14" t="n">
        <v>0</v>
      </c>
      <c r="E516" s="14" t="n">
        <v>3227</v>
      </c>
      <c r="F516" s="14" t="n">
        <v>19</v>
      </c>
      <c r="G516" s="14" t="n">
        <v>21</v>
      </c>
      <c r="H516" s="14" t="s">
        <v>62</v>
      </c>
      <c r="I516" s="14" t="n">
        <v>0.92</v>
      </c>
      <c r="J516" s="14" t="n">
        <v>2</v>
      </c>
      <c r="K516" s="14" t="s">
        <v>53</v>
      </c>
      <c r="L516" s="14" t="n">
        <v>2017</v>
      </c>
      <c r="M516" s="14" t="n">
        <v>8.07930819205196</v>
      </c>
      <c r="N516" s="14" t="n">
        <v>-4.60517018598809</v>
      </c>
      <c r="P516" s="14" t="n">
        <f aca="false">D516</f>
        <v>0</v>
      </c>
      <c r="Q516" s="14" t="n">
        <f aca="false">G516</f>
        <v>21</v>
      </c>
      <c r="R516" s="14" t="n">
        <f aca="false">J516</f>
        <v>2</v>
      </c>
      <c r="S516" s="14" t="n">
        <f aca="false">IF($L516=2012,1,0)</f>
        <v>0</v>
      </c>
      <c r="T516" s="14" t="n">
        <f aca="false">IF($L516=2013,1,0)</f>
        <v>0</v>
      </c>
      <c r="U516" s="14" t="n">
        <f aca="false">IF($L516=2014,1,0)</f>
        <v>0</v>
      </c>
      <c r="V516" s="14" t="n">
        <f aca="false">IF($L516=2015,1,0)</f>
        <v>0</v>
      </c>
      <c r="W516" s="14" t="n">
        <f aca="false">IF($L516=2016,1,0)</f>
        <v>0</v>
      </c>
      <c r="X516" s="14" t="n">
        <f aca="false">IF($L516=2017,1,0)</f>
        <v>1</v>
      </c>
      <c r="Y516" s="14" t="n">
        <f aca="false">IF($H516="Beginner Level",1,0)</f>
        <v>0</v>
      </c>
      <c r="Z516" s="14" t="n">
        <f aca="false">IF($H516="Expert Level",1,0)</f>
        <v>0</v>
      </c>
      <c r="AA516" s="14" t="n">
        <f aca="false">IF($H516="Intermediate Level",1,0)</f>
        <v>0</v>
      </c>
      <c r="AC516" s="14" t="n">
        <f aca="false">N516</f>
        <v>-4.60517018598809</v>
      </c>
      <c r="AD516" s="14" t="n">
        <f aca="false">G516</f>
        <v>21</v>
      </c>
      <c r="AE516" s="14" t="n">
        <f aca="false">J516</f>
        <v>2</v>
      </c>
      <c r="AF516" s="14" t="n">
        <f aca="false">IF($L516=2012,1,0)</f>
        <v>0</v>
      </c>
      <c r="AG516" s="14" t="n">
        <f aca="false">IF($L516=2013,1,0)</f>
        <v>0</v>
      </c>
      <c r="AH516" s="14" t="n">
        <f aca="false">IF($L516=2014,1,0)</f>
        <v>0</v>
      </c>
      <c r="AI516" s="14" t="n">
        <f aca="false">IF($L516=2015,1,0)</f>
        <v>0</v>
      </c>
      <c r="AJ516" s="14" t="n">
        <f aca="false">IF($L516=2016,1,0)</f>
        <v>0</v>
      </c>
      <c r="AK516" s="14" t="n">
        <f aca="false">IF($L516=2017,1,0)</f>
        <v>1</v>
      </c>
      <c r="AL516" s="14" t="n">
        <f aca="false">IF($H516="Beginner Level",1,0)</f>
        <v>0</v>
      </c>
      <c r="AM516" s="14" t="n">
        <f aca="false">IF($H516="Expert Level",1,0)</f>
        <v>0</v>
      </c>
      <c r="AN516" s="14" t="n">
        <f aca="false">IF($H516="Intermediate Level",1,0)</f>
        <v>0</v>
      </c>
    </row>
    <row r="517" customFormat="false" ht="68.65" hidden="false" customHeight="false" outlineLevel="0" collapsed="false">
      <c r="A517" s="14" t="n">
        <v>916902</v>
      </c>
      <c r="B517" s="14" t="s">
        <v>1077</v>
      </c>
      <c r="C517" s="14" t="s">
        <v>1078</v>
      </c>
      <c r="D517" s="14" t="n">
        <v>195</v>
      </c>
      <c r="E517" s="14" t="n">
        <v>3209</v>
      </c>
      <c r="F517" s="14" t="n">
        <v>58</v>
      </c>
      <c r="G517" s="14" t="n">
        <v>96</v>
      </c>
      <c r="H517" s="14" t="s">
        <v>62</v>
      </c>
      <c r="I517" s="14" t="n">
        <v>0.92</v>
      </c>
      <c r="J517" s="14" t="n">
        <v>12.5</v>
      </c>
      <c r="K517" s="14" t="s">
        <v>59</v>
      </c>
      <c r="L517" s="14" t="n">
        <v>2016</v>
      </c>
      <c r="M517" s="14" t="n">
        <v>8.07371464110986</v>
      </c>
      <c r="N517" s="14" t="n">
        <v>5.27305083930015</v>
      </c>
      <c r="P517" s="14" t="n">
        <f aca="false">D517</f>
        <v>195</v>
      </c>
      <c r="Q517" s="14" t="n">
        <f aca="false">G517</f>
        <v>96</v>
      </c>
      <c r="R517" s="14" t="n">
        <f aca="false">J517</f>
        <v>12.5</v>
      </c>
      <c r="S517" s="14" t="n">
        <f aca="false">IF($L517=2012,1,0)</f>
        <v>0</v>
      </c>
      <c r="T517" s="14" t="n">
        <f aca="false">IF($L517=2013,1,0)</f>
        <v>0</v>
      </c>
      <c r="U517" s="14" t="n">
        <f aca="false">IF($L517=2014,1,0)</f>
        <v>0</v>
      </c>
      <c r="V517" s="14" t="n">
        <f aca="false">IF($L517=2015,1,0)</f>
        <v>0</v>
      </c>
      <c r="W517" s="14" t="n">
        <f aca="false">IF($L517=2016,1,0)</f>
        <v>1</v>
      </c>
      <c r="X517" s="14" t="n">
        <f aca="false">IF($L517=2017,1,0)</f>
        <v>0</v>
      </c>
      <c r="Y517" s="14" t="n">
        <f aca="false">IF($H517="Beginner Level",1,0)</f>
        <v>0</v>
      </c>
      <c r="Z517" s="14" t="n">
        <f aca="false">IF($H517="Expert Level",1,0)</f>
        <v>0</v>
      </c>
      <c r="AA517" s="14" t="n">
        <f aca="false">IF($H517="Intermediate Level",1,0)</f>
        <v>0</v>
      </c>
      <c r="AC517" s="14" t="n">
        <f aca="false">N517</f>
        <v>5.27305083930015</v>
      </c>
      <c r="AD517" s="14" t="n">
        <f aca="false">G517</f>
        <v>96</v>
      </c>
      <c r="AE517" s="14" t="n">
        <f aca="false">J517</f>
        <v>12.5</v>
      </c>
      <c r="AF517" s="14" t="n">
        <f aca="false">IF($L517=2012,1,0)</f>
        <v>0</v>
      </c>
      <c r="AG517" s="14" t="n">
        <f aca="false">IF($L517=2013,1,0)</f>
        <v>0</v>
      </c>
      <c r="AH517" s="14" t="n">
        <f aca="false">IF($L517=2014,1,0)</f>
        <v>0</v>
      </c>
      <c r="AI517" s="14" t="n">
        <f aca="false">IF($L517=2015,1,0)</f>
        <v>0</v>
      </c>
      <c r="AJ517" s="14" t="n">
        <f aca="false">IF($L517=2016,1,0)</f>
        <v>1</v>
      </c>
      <c r="AK517" s="14" t="n">
        <f aca="false">IF($L517=2017,1,0)</f>
        <v>0</v>
      </c>
      <c r="AL517" s="14" t="n">
        <f aca="false">IF($H517="Beginner Level",1,0)</f>
        <v>0</v>
      </c>
      <c r="AM517" s="14" t="n">
        <f aca="false">IF($H517="Expert Level",1,0)</f>
        <v>0</v>
      </c>
      <c r="AN517" s="14" t="n">
        <f aca="false">IF($H517="Intermediate Level",1,0)</f>
        <v>0</v>
      </c>
    </row>
    <row r="518" customFormat="false" ht="57.45" hidden="false" customHeight="false" outlineLevel="0" collapsed="false">
      <c r="A518" s="14" t="n">
        <v>1274210</v>
      </c>
      <c r="B518" s="14" t="s">
        <v>1079</v>
      </c>
      <c r="C518" s="14" t="s">
        <v>1080</v>
      </c>
      <c r="D518" s="14" t="n">
        <v>200</v>
      </c>
      <c r="E518" s="14" t="n">
        <v>3193</v>
      </c>
      <c r="F518" s="14" t="n">
        <v>10</v>
      </c>
      <c r="G518" s="14" t="n">
        <v>23</v>
      </c>
      <c r="H518" s="14" t="s">
        <v>52</v>
      </c>
      <c r="I518" s="14" t="n">
        <v>0.92</v>
      </c>
      <c r="J518" s="14" t="n">
        <v>1.5</v>
      </c>
      <c r="K518" s="14" t="s">
        <v>59</v>
      </c>
      <c r="L518" s="14" t="n">
        <v>2017</v>
      </c>
      <c r="M518" s="14" t="n">
        <v>8.06871619271478</v>
      </c>
      <c r="N518" s="14" t="n">
        <v>5.29836736529808</v>
      </c>
      <c r="P518" s="14" t="n">
        <f aca="false">D518</f>
        <v>200</v>
      </c>
      <c r="Q518" s="14" t="n">
        <f aca="false">G518</f>
        <v>23</v>
      </c>
      <c r="R518" s="14" t="n">
        <f aca="false">J518</f>
        <v>1.5</v>
      </c>
      <c r="S518" s="14" t="n">
        <f aca="false">IF($L518=2012,1,0)</f>
        <v>0</v>
      </c>
      <c r="T518" s="14" t="n">
        <f aca="false">IF($L518=2013,1,0)</f>
        <v>0</v>
      </c>
      <c r="U518" s="14" t="n">
        <f aca="false">IF($L518=2014,1,0)</f>
        <v>0</v>
      </c>
      <c r="V518" s="14" t="n">
        <f aca="false">IF($L518=2015,1,0)</f>
        <v>0</v>
      </c>
      <c r="W518" s="14" t="n">
        <f aca="false">IF($L518=2016,1,0)</f>
        <v>0</v>
      </c>
      <c r="X518" s="14" t="n">
        <f aca="false">IF($L518=2017,1,0)</f>
        <v>1</v>
      </c>
      <c r="Y518" s="14" t="n">
        <f aca="false">IF($H518="Beginner Level",1,0)</f>
        <v>1</v>
      </c>
      <c r="Z518" s="14" t="n">
        <f aca="false">IF($H518="Expert Level",1,0)</f>
        <v>0</v>
      </c>
      <c r="AA518" s="14" t="n">
        <f aca="false">IF($H518="Intermediate Level",1,0)</f>
        <v>0</v>
      </c>
      <c r="AC518" s="14" t="n">
        <f aca="false">N518</f>
        <v>5.29836736529808</v>
      </c>
      <c r="AD518" s="14" t="n">
        <f aca="false">G518</f>
        <v>23</v>
      </c>
      <c r="AE518" s="14" t="n">
        <f aca="false">J518</f>
        <v>1.5</v>
      </c>
      <c r="AF518" s="14" t="n">
        <f aca="false">IF($L518=2012,1,0)</f>
        <v>0</v>
      </c>
      <c r="AG518" s="14" t="n">
        <f aca="false">IF($L518=2013,1,0)</f>
        <v>0</v>
      </c>
      <c r="AH518" s="14" t="n">
        <f aca="false">IF($L518=2014,1,0)</f>
        <v>0</v>
      </c>
      <c r="AI518" s="14" t="n">
        <f aca="false">IF($L518=2015,1,0)</f>
        <v>0</v>
      </c>
      <c r="AJ518" s="14" t="n">
        <f aca="false">IF($L518=2016,1,0)</f>
        <v>0</v>
      </c>
      <c r="AK518" s="14" t="n">
        <f aca="false">IF($L518=2017,1,0)</f>
        <v>1</v>
      </c>
      <c r="AL518" s="14" t="n">
        <f aca="false">IF($H518="Beginner Level",1,0)</f>
        <v>1</v>
      </c>
      <c r="AM518" s="14" t="n">
        <f aca="false">IF($H518="Expert Level",1,0)</f>
        <v>0</v>
      </c>
      <c r="AN518" s="14" t="n">
        <f aca="false">IF($H518="Intermediate Level",1,0)</f>
        <v>0</v>
      </c>
    </row>
    <row r="519" customFormat="false" ht="91" hidden="false" customHeight="false" outlineLevel="0" collapsed="false">
      <c r="A519" s="14" t="n">
        <v>492818</v>
      </c>
      <c r="B519" s="14" t="s">
        <v>1081</v>
      </c>
      <c r="C519" s="14" t="s">
        <v>1082</v>
      </c>
      <c r="D519" s="14" t="n">
        <v>20</v>
      </c>
      <c r="E519" s="14" t="n">
        <v>3185</v>
      </c>
      <c r="F519" s="14" t="n">
        <v>102</v>
      </c>
      <c r="G519" s="14" t="n">
        <v>94</v>
      </c>
      <c r="H519" s="14" t="s">
        <v>52</v>
      </c>
      <c r="I519" s="14" t="n">
        <v>0.92</v>
      </c>
      <c r="J519" s="14" t="n">
        <v>8</v>
      </c>
      <c r="K519" s="14" t="s">
        <v>59</v>
      </c>
      <c r="L519" s="14" t="n">
        <v>2015</v>
      </c>
      <c r="M519" s="14" t="n">
        <v>8.06620756800627</v>
      </c>
      <c r="N519" s="14" t="n">
        <v>2.99623214859564</v>
      </c>
      <c r="P519" s="14" t="n">
        <f aca="false">D519</f>
        <v>20</v>
      </c>
      <c r="Q519" s="14" t="n">
        <f aca="false">G519</f>
        <v>94</v>
      </c>
      <c r="R519" s="14" t="n">
        <f aca="false">J519</f>
        <v>8</v>
      </c>
      <c r="S519" s="14" t="n">
        <f aca="false">IF($L519=2012,1,0)</f>
        <v>0</v>
      </c>
      <c r="T519" s="14" t="n">
        <f aca="false">IF($L519=2013,1,0)</f>
        <v>0</v>
      </c>
      <c r="U519" s="14" t="n">
        <f aca="false">IF($L519=2014,1,0)</f>
        <v>0</v>
      </c>
      <c r="V519" s="14" t="n">
        <f aca="false">IF($L519=2015,1,0)</f>
        <v>1</v>
      </c>
      <c r="W519" s="14" t="n">
        <f aca="false">IF($L519=2016,1,0)</f>
        <v>0</v>
      </c>
      <c r="X519" s="14" t="n">
        <f aca="false">IF($L519=2017,1,0)</f>
        <v>0</v>
      </c>
      <c r="Y519" s="14" t="n">
        <f aca="false">IF($H519="Beginner Level",1,0)</f>
        <v>1</v>
      </c>
      <c r="Z519" s="14" t="n">
        <f aca="false">IF($H519="Expert Level",1,0)</f>
        <v>0</v>
      </c>
      <c r="AA519" s="14" t="n">
        <f aca="false">IF($H519="Intermediate Level",1,0)</f>
        <v>0</v>
      </c>
      <c r="AC519" s="14" t="n">
        <f aca="false">N519</f>
        <v>2.99623214859564</v>
      </c>
      <c r="AD519" s="14" t="n">
        <f aca="false">G519</f>
        <v>94</v>
      </c>
      <c r="AE519" s="14" t="n">
        <f aca="false">J519</f>
        <v>8</v>
      </c>
      <c r="AF519" s="14" t="n">
        <f aca="false">IF($L519=2012,1,0)</f>
        <v>0</v>
      </c>
      <c r="AG519" s="14" t="n">
        <f aca="false">IF($L519=2013,1,0)</f>
        <v>0</v>
      </c>
      <c r="AH519" s="14" t="n">
        <f aca="false">IF($L519=2014,1,0)</f>
        <v>0</v>
      </c>
      <c r="AI519" s="14" t="n">
        <f aca="false">IF($L519=2015,1,0)</f>
        <v>1</v>
      </c>
      <c r="AJ519" s="14" t="n">
        <f aca="false">IF($L519=2016,1,0)</f>
        <v>0</v>
      </c>
      <c r="AK519" s="14" t="n">
        <f aca="false">IF($L519=2017,1,0)</f>
        <v>0</v>
      </c>
      <c r="AL519" s="14" t="n">
        <f aca="false">IF($H519="Beginner Level",1,0)</f>
        <v>1</v>
      </c>
      <c r="AM519" s="14" t="n">
        <f aca="false">IF($H519="Expert Level",1,0)</f>
        <v>0</v>
      </c>
      <c r="AN519" s="14" t="n">
        <f aca="false">IF($H519="Intermediate Level",1,0)</f>
        <v>0</v>
      </c>
    </row>
    <row r="520" customFormat="false" ht="46.25" hidden="false" customHeight="false" outlineLevel="0" collapsed="false">
      <c r="A520" s="14" t="n">
        <v>1000010</v>
      </c>
      <c r="B520" s="14" t="s">
        <v>1083</v>
      </c>
      <c r="C520" s="14" t="s">
        <v>1084</v>
      </c>
      <c r="D520" s="14" t="n">
        <v>200</v>
      </c>
      <c r="E520" s="14" t="n">
        <v>3179</v>
      </c>
      <c r="F520" s="14" t="n">
        <v>214</v>
      </c>
      <c r="G520" s="14" t="n">
        <v>174</v>
      </c>
      <c r="H520" s="14" t="s">
        <v>62</v>
      </c>
      <c r="I520" s="14" t="n">
        <v>0.92</v>
      </c>
      <c r="J520" s="14" t="n">
        <v>20.5</v>
      </c>
      <c r="K520" s="14" t="s">
        <v>59</v>
      </c>
      <c r="L520" s="14" t="n">
        <v>2017</v>
      </c>
      <c r="M520" s="14" t="n">
        <v>8.0643219609108</v>
      </c>
      <c r="N520" s="14" t="n">
        <v>5.29836736529808</v>
      </c>
      <c r="P520" s="14" t="n">
        <f aca="false">D520</f>
        <v>200</v>
      </c>
      <c r="Q520" s="14" t="n">
        <f aca="false">G520</f>
        <v>174</v>
      </c>
      <c r="R520" s="14" t="n">
        <f aca="false">J520</f>
        <v>20.5</v>
      </c>
      <c r="S520" s="14" t="n">
        <f aca="false">IF($L520=2012,1,0)</f>
        <v>0</v>
      </c>
      <c r="T520" s="14" t="n">
        <f aca="false">IF($L520=2013,1,0)</f>
        <v>0</v>
      </c>
      <c r="U520" s="14" t="n">
        <f aca="false">IF($L520=2014,1,0)</f>
        <v>0</v>
      </c>
      <c r="V520" s="14" t="n">
        <f aca="false">IF($L520=2015,1,0)</f>
        <v>0</v>
      </c>
      <c r="W520" s="14" t="n">
        <f aca="false">IF($L520=2016,1,0)</f>
        <v>0</v>
      </c>
      <c r="X520" s="14" t="n">
        <f aca="false">IF($L520=2017,1,0)</f>
        <v>1</v>
      </c>
      <c r="Y520" s="14" t="n">
        <f aca="false">IF($H520="Beginner Level",1,0)</f>
        <v>0</v>
      </c>
      <c r="Z520" s="14" t="n">
        <f aca="false">IF($H520="Expert Level",1,0)</f>
        <v>0</v>
      </c>
      <c r="AA520" s="14" t="n">
        <f aca="false">IF($H520="Intermediate Level",1,0)</f>
        <v>0</v>
      </c>
      <c r="AC520" s="14" t="n">
        <f aca="false">N520</f>
        <v>5.29836736529808</v>
      </c>
      <c r="AD520" s="14" t="n">
        <f aca="false">G520</f>
        <v>174</v>
      </c>
      <c r="AE520" s="14" t="n">
        <f aca="false">J520</f>
        <v>20.5</v>
      </c>
      <c r="AF520" s="14" t="n">
        <f aca="false">IF($L520=2012,1,0)</f>
        <v>0</v>
      </c>
      <c r="AG520" s="14" t="n">
        <f aca="false">IF($L520=2013,1,0)</f>
        <v>0</v>
      </c>
      <c r="AH520" s="14" t="n">
        <f aca="false">IF($L520=2014,1,0)</f>
        <v>0</v>
      </c>
      <c r="AI520" s="14" t="n">
        <f aca="false">IF($L520=2015,1,0)</f>
        <v>0</v>
      </c>
      <c r="AJ520" s="14" t="n">
        <f aca="false">IF($L520=2016,1,0)</f>
        <v>0</v>
      </c>
      <c r="AK520" s="14" t="n">
        <f aca="false">IF($L520=2017,1,0)</f>
        <v>1</v>
      </c>
      <c r="AL520" s="14" t="n">
        <f aca="false">IF($H520="Beginner Level",1,0)</f>
        <v>0</v>
      </c>
      <c r="AM520" s="14" t="n">
        <f aca="false">IF($H520="Expert Level",1,0)</f>
        <v>0</v>
      </c>
      <c r="AN520" s="14" t="n">
        <f aca="false">IF($H520="Intermediate Level",1,0)</f>
        <v>0</v>
      </c>
    </row>
    <row r="521" customFormat="false" ht="57.45" hidden="false" customHeight="false" outlineLevel="0" collapsed="false">
      <c r="A521" s="14" t="n">
        <v>967058</v>
      </c>
      <c r="B521" s="14" t="s">
        <v>1085</v>
      </c>
      <c r="C521" s="14" t="s">
        <v>1086</v>
      </c>
      <c r="D521" s="14" t="n">
        <v>195</v>
      </c>
      <c r="E521" s="14" t="n">
        <v>3169</v>
      </c>
      <c r="F521" s="14" t="n">
        <v>527</v>
      </c>
      <c r="G521" s="14" t="n">
        <v>38</v>
      </c>
      <c r="H521" s="14" t="s">
        <v>52</v>
      </c>
      <c r="I521" s="14" t="n">
        <v>0.92</v>
      </c>
      <c r="J521" s="14" t="n">
        <v>3.5</v>
      </c>
      <c r="K521" s="14" t="s">
        <v>59</v>
      </c>
      <c r="L521" s="14" t="n">
        <v>2016</v>
      </c>
      <c r="M521" s="14" t="n">
        <v>8.06117135969092</v>
      </c>
      <c r="N521" s="14" t="n">
        <v>5.27305083930015</v>
      </c>
      <c r="P521" s="14" t="n">
        <f aca="false">D521</f>
        <v>195</v>
      </c>
      <c r="Q521" s="14" t="n">
        <f aca="false">G521</f>
        <v>38</v>
      </c>
      <c r="R521" s="14" t="n">
        <f aca="false">J521</f>
        <v>3.5</v>
      </c>
      <c r="S521" s="14" t="n">
        <f aca="false">IF($L521=2012,1,0)</f>
        <v>0</v>
      </c>
      <c r="T521" s="14" t="n">
        <f aca="false">IF($L521=2013,1,0)</f>
        <v>0</v>
      </c>
      <c r="U521" s="14" t="n">
        <f aca="false">IF($L521=2014,1,0)</f>
        <v>0</v>
      </c>
      <c r="V521" s="14" t="n">
        <f aca="false">IF($L521=2015,1,0)</f>
        <v>0</v>
      </c>
      <c r="W521" s="14" t="n">
        <f aca="false">IF($L521=2016,1,0)</f>
        <v>1</v>
      </c>
      <c r="X521" s="14" t="n">
        <f aca="false">IF($L521=2017,1,0)</f>
        <v>0</v>
      </c>
      <c r="Y521" s="14" t="n">
        <f aca="false">IF($H521="Beginner Level",1,0)</f>
        <v>1</v>
      </c>
      <c r="Z521" s="14" t="n">
        <f aca="false">IF($H521="Expert Level",1,0)</f>
        <v>0</v>
      </c>
      <c r="AA521" s="14" t="n">
        <f aca="false">IF($H521="Intermediate Level",1,0)</f>
        <v>0</v>
      </c>
      <c r="AC521" s="14" t="n">
        <f aca="false">N521</f>
        <v>5.27305083930015</v>
      </c>
      <c r="AD521" s="14" t="n">
        <f aca="false">G521</f>
        <v>38</v>
      </c>
      <c r="AE521" s="14" t="n">
        <f aca="false">J521</f>
        <v>3.5</v>
      </c>
      <c r="AF521" s="14" t="n">
        <f aca="false">IF($L521=2012,1,0)</f>
        <v>0</v>
      </c>
      <c r="AG521" s="14" t="n">
        <f aca="false">IF($L521=2013,1,0)</f>
        <v>0</v>
      </c>
      <c r="AH521" s="14" t="n">
        <f aca="false">IF($L521=2014,1,0)</f>
        <v>0</v>
      </c>
      <c r="AI521" s="14" t="n">
        <f aca="false">IF($L521=2015,1,0)</f>
        <v>0</v>
      </c>
      <c r="AJ521" s="14" t="n">
        <f aca="false">IF($L521=2016,1,0)</f>
        <v>1</v>
      </c>
      <c r="AK521" s="14" t="n">
        <f aca="false">IF($L521=2017,1,0)</f>
        <v>0</v>
      </c>
      <c r="AL521" s="14" t="n">
        <f aca="false">IF($H521="Beginner Level",1,0)</f>
        <v>1</v>
      </c>
      <c r="AM521" s="14" t="n">
        <f aca="false">IF($H521="Expert Level",1,0)</f>
        <v>0</v>
      </c>
      <c r="AN521" s="14" t="n">
        <f aca="false">IF($H521="Intermediate Level",1,0)</f>
        <v>0</v>
      </c>
    </row>
    <row r="522" customFormat="false" ht="46.25" hidden="false" customHeight="false" outlineLevel="0" collapsed="false">
      <c r="A522" s="14" t="n">
        <v>500628</v>
      </c>
      <c r="B522" s="14" t="s">
        <v>1087</v>
      </c>
      <c r="C522" s="14" t="s">
        <v>1088</v>
      </c>
      <c r="D522" s="14" t="n">
        <v>20</v>
      </c>
      <c r="E522" s="14" t="n">
        <v>3150</v>
      </c>
      <c r="F522" s="14" t="n">
        <v>69</v>
      </c>
      <c r="G522" s="14" t="n">
        <v>49</v>
      </c>
      <c r="H522" s="14" t="s">
        <v>62</v>
      </c>
      <c r="I522" s="14" t="n">
        <v>0.92</v>
      </c>
      <c r="J522" s="14" t="n">
        <v>3.5</v>
      </c>
      <c r="K522" s="14" t="s">
        <v>59</v>
      </c>
      <c r="L522" s="14" t="n">
        <v>2015</v>
      </c>
      <c r="M522" s="14" t="n">
        <v>8.05515773181968</v>
      </c>
      <c r="N522" s="14" t="n">
        <v>2.99623214859564</v>
      </c>
      <c r="P522" s="14" t="n">
        <f aca="false">D522</f>
        <v>20</v>
      </c>
      <c r="Q522" s="14" t="n">
        <f aca="false">G522</f>
        <v>49</v>
      </c>
      <c r="R522" s="14" t="n">
        <f aca="false">J522</f>
        <v>3.5</v>
      </c>
      <c r="S522" s="14" t="n">
        <f aca="false">IF($L522=2012,1,0)</f>
        <v>0</v>
      </c>
      <c r="T522" s="14" t="n">
        <f aca="false">IF($L522=2013,1,0)</f>
        <v>0</v>
      </c>
      <c r="U522" s="14" t="n">
        <f aca="false">IF($L522=2014,1,0)</f>
        <v>0</v>
      </c>
      <c r="V522" s="14" t="n">
        <f aca="false">IF($L522=2015,1,0)</f>
        <v>1</v>
      </c>
      <c r="W522" s="14" t="n">
        <f aca="false">IF($L522=2016,1,0)</f>
        <v>0</v>
      </c>
      <c r="X522" s="14" t="n">
        <f aca="false">IF($L522=2017,1,0)</f>
        <v>0</v>
      </c>
      <c r="Y522" s="14" t="n">
        <f aca="false">IF($H522="Beginner Level",1,0)</f>
        <v>0</v>
      </c>
      <c r="Z522" s="14" t="n">
        <f aca="false">IF($H522="Expert Level",1,0)</f>
        <v>0</v>
      </c>
      <c r="AA522" s="14" t="n">
        <f aca="false">IF($H522="Intermediate Level",1,0)</f>
        <v>0</v>
      </c>
      <c r="AC522" s="14" t="n">
        <f aca="false">N522</f>
        <v>2.99623214859564</v>
      </c>
      <c r="AD522" s="14" t="n">
        <f aca="false">G522</f>
        <v>49</v>
      </c>
      <c r="AE522" s="14" t="n">
        <f aca="false">J522</f>
        <v>3.5</v>
      </c>
      <c r="AF522" s="14" t="n">
        <f aca="false">IF($L522=2012,1,0)</f>
        <v>0</v>
      </c>
      <c r="AG522" s="14" t="n">
        <f aca="false">IF($L522=2013,1,0)</f>
        <v>0</v>
      </c>
      <c r="AH522" s="14" t="n">
        <f aca="false">IF($L522=2014,1,0)</f>
        <v>0</v>
      </c>
      <c r="AI522" s="14" t="n">
        <f aca="false">IF($L522=2015,1,0)</f>
        <v>1</v>
      </c>
      <c r="AJ522" s="14" t="n">
        <f aca="false">IF($L522=2016,1,0)</f>
        <v>0</v>
      </c>
      <c r="AK522" s="14" t="n">
        <f aca="false">IF($L522=2017,1,0)</f>
        <v>0</v>
      </c>
      <c r="AL522" s="14" t="n">
        <f aca="false">IF($H522="Beginner Level",1,0)</f>
        <v>0</v>
      </c>
      <c r="AM522" s="14" t="n">
        <f aca="false">IF($H522="Expert Level",1,0)</f>
        <v>0</v>
      </c>
      <c r="AN522" s="14" t="n">
        <f aca="false">IF($H522="Intermediate Level",1,0)</f>
        <v>0</v>
      </c>
    </row>
    <row r="523" customFormat="false" ht="35.05" hidden="false" customHeight="false" outlineLevel="0" collapsed="false">
      <c r="A523" s="14" t="n">
        <v>909836</v>
      </c>
      <c r="B523" s="14" t="s">
        <v>1089</v>
      </c>
      <c r="C523" s="14" t="s">
        <v>1090</v>
      </c>
      <c r="D523" s="14" t="n">
        <v>0</v>
      </c>
      <c r="E523" s="14" t="n">
        <v>3142</v>
      </c>
      <c r="F523" s="14" t="n">
        <v>117</v>
      </c>
      <c r="G523" s="14" t="n">
        <v>20</v>
      </c>
      <c r="H523" s="14" t="s">
        <v>52</v>
      </c>
      <c r="I523" s="14" t="n">
        <v>0.8</v>
      </c>
      <c r="J523" s="14" t="n">
        <v>0.61666667</v>
      </c>
      <c r="K523" s="14" t="s">
        <v>53</v>
      </c>
      <c r="L523" s="14" t="n">
        <v>2016</v>
      </c>
      <c r="M523" s="14" t="n">
        <v>8.05261481881557</v>
      </c>
      <c r="N523" s="14" t="n">
        <v>-4.60517018598809</v>
      </c>
      <c r="P523" s="14" t="n">
        <f aca="false">D523</f>
        <v>0</v>
      </c>
      <c r="Q523" s="14" t="n">
        <f aca="false">G523</f>
        <v>20</v>
      </c>
      <c r="R523" s="14" t="n">
        <f aca="false">J523</f>
        <v>0.61666667</v>
      </c>
      <c r="S523" s="14" t="n">
        <f aca="false">IF($L523=2012,1,0)</f>
        <v>0</v>
      </c>
      <c r="T523" s="14" t="n">
        <f aca="false">IF($L523=2013,1,0)</f>
        <v>0</v>
      </c>
      <c r="U523" s="14" t="n">
        <f aca="false">IF($L523=2014,1,0)</f>
        <v>0</v>
      </c>
      <c r="V523" s="14" t="n">
        <f aca="false">IF($L523=2015,1,0)</f>
        <v>0</v>
      </c>
      <c r="W523" s="14" t="n">
        <f aca="false">IF($L523=2016,1,0)</f>
        <v>1</v>
      </c>
      <c r="X523" s="14" t="n">
        <f aca="false">IF($L523=2017,1,0)</f>
        <v>0</v>
      </c>
      <c r="Y523" s="14" t="n">
        <f aca="false">IF($H523="Beginner Level",1,0)</f>
        <v>1</v>
      </c>
      <c r="Z523" s="14" t="n">
        <f aca="false">IF($H523="Expert Level",1,0)</f>
        <v>0</v>
      </c>
      <c r="AA523" s="14" t="n">
        <f aca="false">IF($H523="Intermediate Level",1,0)</f>
        <v>0</v>
      </c>
      <c r="AC523" s="14" t="n">
        <f aca="false">N523</f>
        <v>-4.60517018598809</v>
      </c>
      <c r="AD523" s="14" t="n">
        <f aca="false">G523</f>
        <v>20</v>
      </c>
      <c r="AE523" s="14" t="n">
        <f aca="false">J523</f>
        <v>0.61666667</v>
      </c>
      <c r="AF523" s="14" t="n">
        <f aca="false">IF($L523=2012,1,0)</f>
        <v>0</v>
      </c>
      <c r="AG523" s="14" t="n">
        <f aca="false">IF($L523=2013,1,0)</f>
        <v>0</v>
      </c>
      <c r="AH523" s="14" t="n">
        <f aca="false">IF($L523=2014,1,0)</f>
        <v>0</v>
      </c>
      <c r="AI523" s="14" t="n">
        <f aca="false">IF($L523=2015,1,0)</f>
        <v>0</v>
      </c>
      <c r="AJ523" s="14" t="n">
        <f aca="false">IF($L523=2016,1,0)</f>
        <v>1</v>
      </c>
      <c r="AK523" s="14" t="n">
        <f aca="false">IF($L523=2017,1,0)</f>
        <v>0</v>
      </c>
      <c r="AL523" s="14" t="n">
        <f aca="false">IF($H523="Beginner Level",1,0)</f>
        <v>1</v>
      </c>
      <c r="AM523" s="14" t="n">
        <f aca="false">IF($H523="Expert Level",1,0)</f>
        <v>0</v>
      </c>
      <c r="AN523" s="14" t="n">
        <f aca="false">IF($H523="Intermediate Level",1,0)</f>
        <v>0</v>
      </c>
    </row>
    <row r="524" customFormat="false" ht="46.25" hidden="false" customHeight="false" outlineLevel="0" collapsed="false">
      <c r="A524" s="14" t="n">
        <v>785388</v>
      </c>
      <c r="B524" s="14" t="s">
        <v>1091</v>
      </c>
      <c r="C524" s="14" t="s">
        <v>1092</v>
      </c>
      <c r="D524" s="14" t="n">
        <v>25</v>
      </c>
      <c r="E524" s="14" t="n">
        <v>3133</v>
      </c>
      <c r="F524" s="14" t="n">
        <v>351</v>
      </c>
      <c r="G524" s="14" t="n">
        <v>63</v>
      </c>
      <c r="H524" s="14" t="s">
        <v>62</v>
      </c>
      <c r="I524" s="14" t="n">
        <v>0.8</v>
      </c>
      <c r="J524" s="14" t="n">
        <v>6</v>
      </c>
      <c r="K524" s="14" t="s">
        <v>59</v>
      </c>
      <c r="L524" s="14" t="n">
        <v>2016</v>
      </c>
      <c r="M524" s="14" t="n">
        <v>8.04974629095219</v>
      </c>
      <c r="N524" s="14" t="n">
        <v>3.21927574488953</v>
      </c>
      <c r="P524" s="14" t="n">
        <f aca="false">D524</f>
        <v>25</v>
      </c>
      <c r="Q524" s="14" t="n">
        <f aca="false">G524</f>
        <v>63</v>
      </c>
      <c r="R524" s="14" t="n">
        <f aca="false">J524</f>
        <v>6</v>
      </c>
      <c r="S524" s="14" t="n">
        <f aca="false">IF($L524=2012,1,0)</f>
        <v>0</v>
      </c>
      <c r="T524" s="14" t="n">
        <f aca="false">IF($L524=2013,1,0)</f>
        <v>0</v>
      </c>
      <c r="U524" s="14" t="n">
        <f aca="false">IF($L524=2014,1,0)</f>
        <v>0</v>
      </c>
      <c r="V524" s="14" t="n">
        <f aca="false">IF($L524=2015,1,0)</f>
        <v>0</v>
      </c>
      <c r="W524" s="14" t="n">
        <f aca="false">IF($L524=2016,1,0)</f>
        <v>1</v>
      </c>
      <c r="X524" s="14" t="n">
        <f aca="false">IF($L524=2017,1,0)</f>
        <v>0</v>
      </c>
      <c r="Y524" s="14" t="n">
        <f aca="false">IF($H524="Beginner Level",1,0)</f>
        <v>0</v>
      </c>
      <c r="Z524" s="14" t="n">
        <f aca="false">IF($H524="Expert Level",1,0)</f>
        <v>0</v>
      </c>
      <c r="AA524" s="14" t="n">
        <f aca="false">IF($H524="Intermediate Level",1,0)</f>
        <v>0</v>
      </c>
      <c r="AC524" s="14" t="n">
        <f aca="false">N524</f>
        <v>3.21927574488953</v>
      </c>
      <c r="AD524" s="14" t="n">
        <f aca="false">G524</f>
        <v>63</v>
      </c>
      <c r="AE524" s="14" t="n">
        <f aca="false">J524</f>
        <v>6</v>
      </c>
      <c r="AF524" s="14" t="n">
        <f aca="false">IF($L524=2012,1,0)</f>
        <v>0</v>
      </c>
      <c r="AG524" s="14" t="n">
        <f aca="false">IF($L524=2013,1,0)</f>
        <v>0</v>
      </c>
      <c r="AH524" s="14" t="n">
        <f aca="false">IF($L524=2014,1,0)</f>
        <v>0</v>
      </c>
      <c r="AI524" s="14" t="n">
        <f aca="false">IF($L524=2015,1,0)</f>
        <v>0</v>
      </c>
      <c r="AJ524" s="14" t="n">
        <f aca="false">IF($L524=2016,1,0)</f>
        <v>1</v>
      </c>
      <c r="AK524" s="14" t="n">
        <f aca="false">IF($L524=2017,1,0)</f>
        <v>0</v>
      </c>
      <c r="AL524" s="14" t="n">
        <f aca="false">IF($H524="Beginner Level",1,0)</f>
        <v>0</v>
      </c>
      <c r="AM524" s="14" t="n">
        <f aca="false">IF($H524="Expert Level",1,0)</f>
        <v>0</v>
      </c>
      <c r="AN524" s="14" t="n">
        <f aca="false">IF($H524="Intermediate Level",1,0)</f>
        <v>0</v>
      </c>
    </row>
    <row r="525" customFormat="false" ht="57.45" hidden="false" customHeight="false" outlineLevel="0" collapsed="false">
      <c r="A525" s="14" t="n">
        <v>1002676</v>
      </c>
      <c r="B525" s="14" t="s">
        <v>1093</v>
      </c>
      <c r="C525" s="14" t="s">
        <v>1094</v>
      </c>
      <c r="D525" s="14" t="n">
        <v>60</v>
      </c>
      <c r="E525" s="14" t="n">
        <v>3119</v>
      </c>
      <c r="F525" s="14" t="n">
        <v>453</v>
      </c>
      <c r="G525" s="14" t="n">
        <v>207</v>
      </c>
      <c r="H525" s="14" t="s">
        <v>62</v>
      </c>
      <c r="I525" s="14" t="n">
        <v>0.8</v>
      </c>
      <c r="J525" s="14" t="n">
        <v>33</v>
      </c>
      <c r="K525" s="14" t="s">
        <v>59</v>
      </c>
      <c r="L525" s="14" t="n">
        <v>2016</v>
      </c>
      <c r="M525" s="14" t="n">
        <v>8.0452677166078</v>
      </c>
      <c r="N525" s="14" t="n">
        <v>4.09451121500142</v>
      </c>
      <c r="P525" s="14" t="n">
        <f aca="false">D525</f>
        <v>60</v>
      </c>
      <c r="Q525" s="14" t="n">
        <f aca="false">G525</f>
        <v>207</v>
      </c>
      <c r="R525" s="14" t="n">
        <f aca="false">J525</f>
        <v>33</v>
      </c>
      <c r="S525" s="14" t="n">
        <f aca="false">IF($L525=2012,1,0)</f>
        <v>0</v>
      </c>
      <c r="T525" s="14" t="n">
        <f aca="false">IF($L525=2013,1,0)</f>
        <v>0</v>
      </c>
      <c r="U525" s="14" t="n">
        <f aca="false">IF($L525=2014,1,0)</f>
        <v>0</v>
      </c>
      <c r="V525" s="14" t="n">
        <f aca="false">IF($L525=2015,1,0)</f>
        <v>0</v>
      </c>
      <c r="W525" s="14" t="n">
        <f aca="false">IF($L525=2016,1,0)</f>
        <v>1</v>
      </c>
      <c r="X525" s="14" t="n">
        <f aca="false">IF($L525=2017,1,0)</f>
        <v>0</v>
      </c>
      <c r="Y525" s="14" t="n">
        <f aca="false">IF($H525="Beginner Level",1,0)</f>
        <v>0</v>
      </c>
      <c r="Z525" s="14" t="n">
        <f aca="false">IF($H525="Expert Level",1,0)</f>
        <v>0</v>
      </c>
      <c r="AA525" s="14" t="n">
        <f aca="false">IF($H525="Intermediate Level",1,0)</f>
        <v>0</v>
      </c>
      <c r="AC525" s="14" t="n">
        <f aca="false">N525</f>
        <v>4.09451121500142</v>
      </c>
      <c r="AD525" s="14" t="n">
        <f aca="false">G525</f>
        <v>207</v>
      </c>
      <c r="AE525" s="14" t="n">
        <f aca="false">J525</f>
        <v>33</v>
      </c>
      <c r="AF525" s="14" t="n">
        <f aca="false">IF($L525=2012,1,0)</f>
        <v>0</v>
      </c>
      <c r="AG525" s="14" t="n">
        <f aca="false">IF($L525=2013,1,0)</f>
        <v>0</v>
      </c>
      <c r="AH525" s="14" t="n">
        <f aca="false">IF($L525=2014,1,0)</f>
        <v>0</v>
      </c>
      <c r="AI525" s="14" t="n">
        <f aca="false">IF($L525=2015,1,0)</f>
        <v>0</v>
      </c>
      <c r="AJ525" s="14" t="n">
        <f aca="false">IF($L525=2016,1,0)</f>
        <v>1</v>
      </c>
      <c r="AK525" s="14" t="n">
        <f aca="false">IF($L525=2017,1,0)</f>
        <v>0</v>
      </c>
      <c r="AL525" s="14" t="n">
        <f aca="false">IF($H525="Beginner Level",1,0)</f>
        <v>0</v>
      </c>
      <c r="AM525" s="14" t="n">
        <f aca="false">IF($H525="Expert Level",1,0)</f>
        <v>0</v>
      </c>
      <c r="AN525" s="14" t="n">
        <f aca="false">IF($H525="Intermediate Level",1,0)</f>
        <v>0</v>
      </c>
    </row>
    <row r="526" customFormat="false" ht="68.65" hidden="false" customHeight="false" outlineLevel="0" collapsed="false">
      <c r="A526" s="14" t="n">
        <v>994362</v>
      </c>
      <c r="B526" s="14" t="s">
        <v>1095</v>
      </c>
      <c r="C526" s="14" t="s">
        <v>1096</v>
      </c>
      <c r="D526" s="14" t="n">
        <v>0</v>
      </c>
      <c r="E526" s="14" t="n">
        <v>3118</v>
      </c>
      <c r="F526" s="14" t="n">
        <v>8</v>
      </c>
      <c r="G526" s="14" t="n">
        <v>33</v>
      </c>
      <c r="H526" s="14" t="s">
        <v>62</v>
      </c>
      <c r="I526" s="14" t="n">
        <v>0.8</v>
      </c>
      <c r="J526" s="14" t="n">
        <v>1.5</v>
      </c>
      <c r="K526" s="14" t="s">
        <v>53</v>
      </c>
      <c r="L526" s="14" t="n">
        <v>2016</v>
      </c>
      <c r="M526" s="14" t="n">
        <v>8.04494704961772</v>
      </c>
      <c r="N526" s="14" t="n">
        <v>-4.60517018598809</v>
      </c>
      <c r="P526" s="14" t="n">
        <f aca="false">D526</f>
        <v>0</v>
      </c>
      <c r="Q526" s="14" t="n">
        <f aca="false">G526</f>
        <v>33</v>
      </c>
      <c r="R526" s="14" t="n">
        <f aca="false">J526</f>
        <v>1.5</v>
      </c>
      <c r="S526" s="14" t="n">
        <f aca="false">IF($L526=2012,1,0)</f>
        <v>0</v>
      </c>
      <c r="T526" s="14" t="n">
        <f aca="false">IF($L526=2013,1,0)</f>
        <v>0</v>
      </c>
      <c r="U526" s="14" t="n">
        <f aca="false">IF($L526=2014,1,0)</f>
        <v>0</v>
      </c>
      <c r="V526" s="14" t="n">
        <f aca="false">IF($L526=2015,1,0)</f>
        <v>0</v>
      </c>
      <c r="W526" s="14" t="n">
        <f aca="false">IF($L526=2016,1,0)</f>
        <v>1</v>
      </c>
      <c r="X526" s="14" t="n">
        <f aca="false">IF($L526=2017,1,0)</f>
        <v>0</v>
      </c>
      <c r="Y526" s="14" t="n">
        <f aca="false">IF($H526="Beginner Level",1,0)</f>
        <v>0</v>
      </c>
      <c r="Z526" s="14" t="n">
        <f aca="false">IF($H526="Expert Level",1,0)</f>
        <v>0</v>
      </c>
      <c r="AA526" s="14" t="n">
        <f aca="false">IF($H526="Intermediate Level",1,0)</f>
        <v>0</v>
      </c>
      <c r="AC526" s="14" t="n">
        <f aca="false">N526</f>
        <v>-4.60517018598809</v>
      </c>
      <c r="AD526" s="14" t="n">
        <f aca="false">G526</f>
        <v>33</v>
      </c>
      <c r="AE526" s="14" t="n">
        <f aca="false">J526</f>
        <v>1.5</v>
      </c>
      <c r="AF526" s="14" t="n">
        <f aca="false">IF($L526=2012,1,0)</f>
        <v>0</v>
      </c>
      <c r="AG526" s="14" t="n">
        <f aca="false">IF($L526=2013,1,0)</f>
        <v>0</v>
      </c>
      <c r="AH526" s="14" t="n">
        <f aca="false">IF($L526=2014,1,0)</f>
        <v>0</v>
      </c>
      <c r="AI526" s="14" t="n">
        <f aca="false">IF($L526=2015,1,0)</f>
        <v>0</v>
      </c>
      <c r="AJ526" s="14" t="n">
        <f aca="false">IF($L526=2016,1,0)</f>
        <v>1</v>
      </c>
      <c r="AK526" s="14" t="n">
        <f aca="false">IF($L526=2017,1,0)</f>
        <v>0</v>
      </c>
      <c r="AL526" s="14" t="n">
        <f aca="false">IF($H526="Beginner Level",1,0)</f>
        <v>0</v>
      </c>
      <c r="AM526" s="14" t="n">
        <f aca="false">IF($H526="Expert Level",1,0)</f>
        <v>0</v>
      </c>
      <c r="AN526" s="14" t="n">
        <f aca="false">IF($H526="Intermediate Level",1,0)</f>
        <v>0</v>
      </c>
    </row>
    <row r="527" customFormat="false" ht="68.65" hidden="false" customHeight="false" outlineLevel="0" collapsed="false">
      <c r="A527" s="14" t="n">
        <v>1147064</v>
      </c>
      <c r="B527" s="14" t="s">
        <v>1097</v>
      </c>
      <c r="C527" s="14" t="s">
        <v>1098</v>
      </c>
      <c r="D527" s="14" t="n">
        <v>20</v>
      </c>
      <c r="E527" s="14" t="n">
        <v>3106</v>
      </c>
      <c r="F527" s="14" t="n">
        <v>31</v>
      </c>
      <c r="G527" s="14" t="n">
        <v>13</v>
      </c>
      <c r="H527" s="14" t="s">
        <v>62</v>
      </c>
      <c r="I527" s="14" t="n">
        <v>0.8</v>
      </c>
      <c r="J527" s="14" t="n">
        <v>1</v>
      </c>
      <c r="K527" s="14" t="s">
        <v>59</v>
      </c>
      <c r="L527" s="14" t="n">
        <v>2017</v>
      </c>
      <c r="M527" s="14" t="n">
        <v>8.04109100370863</v>
      </c>
      <c r="N527" s="14" t="n">
        <v>2.99623214859564</v>
      </c>
      <c r="P527" s="14" t="n">
        <f aca="false">D527</f>
        <v>20</v>
      </c>
      <c r="Q527" s="14" t="n">
        <f aca="false">G527</f>
        <v>13</v>
      </c>
      <c r="R527" s="14" t="n">
        <f aca="false">J527</f>
        <v>1</v>
      </c>
      <c r="S527" s="14" t="n">
        <f aca="false">IF($L527=2012,1,0)</f>
        <v>0</v>
      </c>
      <c r="T527" s="14" t="n">
        <f aca="false">IF($L527=2013,1,0)</f>
        <v>0</v>
      </c>
      <c r="U527" s="14" t="n">
        <f aca="false">IF($L527=2014,1,0)</f>
        <v>0</v>
      </c>
      <c r="V527" s="14" t="n">
        <f aca="false">IF($L527=2015,1,0)</f>
        <v>0</v>
      </c>
      <c r="W527" s="14" t="n">
        <f aca="false">IF($L527=2016,1,0)</f>
        <v>0</v>
      </c>
      <c r="X527" s="14" t="n">
        <f aca="false">IF($L527=2017,1,0)</f>
        <v>1</v>
      </c>
      <c r="Y527" s="14" t="n">
        <f aca="false">IF($H527="Beginner Level",1,0)</f>
        <v>0</v>
      </c>
      <c r="Z527" s="14" t="n">
        <f aca="false">IF($H527="Expert Level",1,0)</f>
        <v>0</v>
      </c>
      <c r="AA527" s="14" t="n">
        <f aca="false">IF($H527="Intermediate Level",1,0)</f>
        <v>0</v>
      </c>
      <c r="AC527" s="14" t="n">
        <f aca="false">N527</f>
        <v>2.99623214859564</v>
      </c>
      <c r="AD527" s="14" t="n">
        <f aca="false">G527</f>
        <v>13</v>
      </c>
      <c r="AE527" s="14" t="n">
        <f aca="false">J527</f>
        <v>1</v>
      </c>
      <c r="AF527" s="14" t="n">
        <f aca="false">IF($L527=2012,1,0)</f>
        <v>0</v>
      </c>
      <c r="AG527" s="14" t="n">
        <f aca="false">IF($L527=2013,1,0)</f>
        <v>0</v>
      </c>
      <c r="AH527" s="14" t="n">
        <f aca="false">IF($L527=2014,1,0)</f>
        <v>0</v>
      </c>
      <c r="AI527" s="14" t="n">
        <f aca="false">IF($L527=2015,1,0)</f>
        <v>0</v>
      </c>
      <c r="AJ527" s="14" t="n">
        <f aca="false">IF($L527=2016,1,0)</f>
        <v>0</v>
      </c>
      <c r="AK527" s="14" t="n">
        <f aca="false">IF($L527=2017,1,0)</f>
        <v>1</v>
      </c>
      <c r="AL527" s="14" t="n">
        <f aca="false">IF($H527="Beginner Level",1,0)</f>
        <v>0</v>
      </c>
      <c r="AM527" s="14" t="n">
        <f aca="false">IF($H527="Expert Level",1,0)</f>
        <v>0</v>
      </c>
      <c r="AN527" s="14" t="n">
        <f aca="false">IF($H527="Intermediate Level",1,0)</f>
        <v>0</v>
      </c>
    </row>
    <row r="528" customFormat="false" ht="79.85" hidden="false" customHeight="false" outlineLevel="0" collapsed="false">
      <c r="A528" s="14" t="n">
        <v>1031626</v>
      </c>
      <c r="B528" s="14" t="s">
        <v>1099</v>
      </c>
      <c r="C528" s="14" t="s">
        <v>1100</v>
      </c>
      <c r="D528" s="14" t="n">
        <v>20</v>
      </c>
      <c r="E528" s="14" t="n">
        <v>3086</v>
      </c>
      <c r="F528" s="14" t="n">
        <v>17</v>
      </c>
      <c r="G528" s="14" t="n">
        <v>73</v>
      </c>
      <c r="H528" s="14" t="s">
        <v>62</v>
      </c>
      <c r="I528" s="14" t="n">
        <v>0.8</v>
      </c>
      <c r="J528" s="14" t="n">
        <v>7.5</v>
      </c>
      <c r="K528" s="14" t="s">
        <v>59</v>
      </c>
      <c r="L528" s="14" t="n">
        <v>2017</v>
      </c>
      <c r="M528" s="14" t="n">
        <v>8.03463103292311</v>
      </c>
      <c r="N528" s="14" t="n">
        <v>2.99623214859564</v>
      </c>
      <c r="P528" s="14" t="n">
        <f aca="false">D528</f>
        <v>20</v>
      </c>
      <c r="Q528" s="14" t="n">
        <f aca="false">G528</f>
        <v>73</v>
      </c>
      <c r="R528" s="14" t="n">
        <f aca="false">J528</f>
        <v>7.5</v>
      </c>
      <c r="S528" s="14" t="n">
        <f aca="false">IF($L528=2012,1,0)</f>
        <v>0</v>
      </c>
      <c r="T528" s="14" t="n">
        <f aca="false">IF($L528=2013,1,0)</f>
        <v>0</v>
      </c>
      <c r="U528" s="14" t="n">
        <f aca="false">IF($L528=2014,1,0)</f>
        <v>0</v>
      </c>
      <c r="V528" s="14" t="n">
        <f aca="false">IF($L528=2015,1,0)</f>
        <v>0</v>
      </c>
      <c r="W528" s="14" t="n">
        <f aca="false">IF($L528=2016,1,0)</f>
        <v>0</v>
      </c>
      <c r="X528" s="14" t="n">
        <f aca="false">IF($L528=2017,1,0)</f>
        <v>1</v>
      </c>
      <c r="Y528" s="14" t="n">
        <f aca="false">IF($H528="Beginner Level",1,0)</f>
        <v>0</v>
      </c>
      <c r="Z528" s="14" t="n">
        <f aca="false">IF($H528="Expert Level",1,0)</f>
        <v>0</v>
      </c>
      <c r="AA528" s="14" t="n">
        <f aca="false">IF($H528="Intermediate Level",1,0)</f>
        <v>0</v>
      </c>
      <c r="AC528" s="14" t="n">
        <f aca="false">N528</f>
        <v>2.99623214859564</v>
      </c>
      <c r="AD528" s="14" t="n">
        <f aca="false">G528</f>
        <v>73</v>
      </c>
      <c r="AE528" s="14" t="n">
        <f aca="false">J528</f>
        <v>7.5</v>
      </c>
      <c r="AF528" s="14" t="n">
        <f aca="false">IF($L528=2012,1,0)</f>
        <v>0</v>
      </c>
      <c r="AG528" s="14" t="n">
        <f aca="false">IF($L528=2013,1,0)</f>
        <v>0</v>
      </c>
      <c r="AH528" s="14" t="n">
        <f aca="false">IF($L528=2014,1,0)</f>
        <v>0</v>
      </c>
      <c r="AI528" s="14" t="n">
        <f aca="false">IF($L528=2015,1,0)</f>
        <v>0</v>
      </c>
      <c r="AJ528" s="14" t="n">
        <f aca="false">IF($L528=2016,1,0)</f>
        <v>0</v>
      </c>
      <c r="AK528" s="14" t="n">
        <f aca="false">IF($L528=2017,1,0)</f>
        <v>1</v>
      </c>
      <c r="AL528" s="14" t="n">
        <f aca="false">IF($H528="Beginner Level",1,0)</f>
        <v>0</v>
      </c>
      <c r="AM528" s="14" t="n">
        <f aca="false">IF($H528="Expert Level",1,0)</f>
        <v>0</v>
      </c>
      <c r="AN528" s="14" t="n">
        <f aca="false">IF($H528="Intermediate Level",1,0)</f>
        <v>0</v>
      </c>
    </row>
    <row r="529" customFormat="false" ht="79.85" hidden="false" customHeight="false" outlineLevel="0" collapsed="false">
      <c r="A529" s="14" t="n">
        <v>1027276</v>
      </c>
      <c r="B529" s="14" t="s">
        <v>1101</v>
      </c>
      <c r="C529" s="14" t="s">
        <v>1102</v>
      </c>
      <c r="D529" s="14" t="n">
        <v>90</v>
      </c>
      <c r="E529" s="14" t="n">
        <v>3073</v>
      </c>
      <c r="F529" s="14" t="n">
        <v>27</v>
      </c>
      <c r="G529" s="14" t="n">
        <v>13</v>
      </c>
      <c r="H529" s="14" t="s">
        <v>71</v>
      </c>
      <c r="I529" s="14" t="n">
        <v>0.8</v>
      </c>
      <c r="J529" s="14" t="n">
        <v>1.5</v>
      </c>
      <c r="K529" s="14" t="s">
        <v>59</v>
      </c>
      <c r="L529" s="14" t="n">
        <v>2017</v>
      </c>
      <c r="M529" s="14" t="n">
        <v>8.03040956213049</v>
      </c>
      <c r="N529" s="14" t="n">
        <v>4.49992077526899</v>
      </c>
      <c r="P529" s="14" t="n">
        <f aca="false">D529</f>
        <v>90</v>
      </c>
      <c r="Q529" s="14" t="n">
        <f aca="false">G529</f>
        <v>13</v>
      </c>
      <c r="R529" s="14" t="n">
        <f aca="false">J529</f>
        <v>1.5</v>
      </c>
      <c r="S529" s="14" t="n">
        <f aca="false">IF($L529=2012,1,0)</f>
        <v>0</v>
      </c>
      <c r="T529" s="14" t="n">
        <f aca="false">IF($L529=2013,1,0)</f>
        <v>0</v>
      </c>
      <c r="U529" s="14" t="n">
        <f aca="false">IF($L529=2014,1,0)</f>
        <v>0</v>
      </c>
      <c r="V529" s="14" t="n">
        <f aca="false">IF($L529=2015,1,0)</f>
        <v>0</v>
      </c>
      <c r="W529" s="14" t="n">
        <f aca="false">IF($L529=2016,1,0)</f>
        <v>0</v>
      </c>
      <c r="X529" s="14" t="n">
        <f aca="false">IF($L529=2017,1,0)</f>
        <v>1</v>
      </c>
      <c r="Y529" s="14" t="n">
        <f aca="false">IF($H529="Beginner Level",1,0)</f>
        <v>0</v>
      </c>
      <c r="Z529" s="14" t="n">
        <f aca="false">IF($H529="Expert Level",1,0)</f>
        <v>0</v>
      </c>
      <c r="AA529" s="14" t="n">
        <f aca="false">IF($H529="Intermediate Level",1,0)</f>
        <v>1</v>
      </c>
      <c r="AC529" s="14" t="n">
        <f aca="false">N529</f>
        <v>4.49992077526899</v>
      </c>
      <c r="AD529" s="14" t="n">
        <f aca="false">G529</f>
        <v>13</v>
      </c>
      <c r="AE529" s="14" t="n">
        <f aca="false">J529</f>
        <v>1.5</v>
      </c>
      <c r="AF529" s="14" t="n">
        <f aca="false">IF($L529=2012,1,0)</f>
        <v>0</v>
      </c>
      <c r="AG529" s="14" t="n">
        <f aca="false">IF($L529=2013,1,0)</f>
        <v>0</v>
      </c>
      <c r="AH529" s="14" t="n">
        <f aca="false">IF($L529=2014,1,0)</f>
        <v>0</v>
      </c>
      <c r="AI529" s="14" t="n">
        <f aca="false">IF($L529=2015,1,0)</f>
        <v>0</v>
      </c>
      <c r="AJ529" s="14" t="n">
        <f aca="false">IF($L529=2016,1,0)</f>
        <v>0</v>
      </c>
      <c r="AK529" s="14" t="n">
        <f aca="false">IF($L529=2017,1,0)</f>
        <v>1</v>
      </c>
      <c r="AL529" s="14" t="n">
        <f aca="false">IF($H529="Beginner Level",1,0)</f>
        <v>0</v>
      </c>
      <c r="AM529" s="14" t="n">
        <f aca="false">IF($H529="Expert Level",1,0)</f>
        <v>0</v>
      </c>
      <c r="AN529" s="14" t="n">
        <f aca="false">IF($H529="Intermediate Level",1,0)</f>
        <v>1</v>
      </c>
    </row>
    <row r="530" customFormat="false" ht="68.65" hidden="false" customHeight="false" outlineLevel="0" collapsed="false">
      <c r="A530" s="14" t="n">
        <v>811452</v>
      </c>
      <c r="B530" s="14" t="s">
        <v>1103</v>
      </c>
      <c r="C530" s="14" t="s">
        <v>1104</v>
      </c>
      <c r="D530" s="14" t="n">
        <v>0</v>
      </c>
      <c r="E530" s="14" t="n">
        <v>3033</v>
      </c>
      <c r="F530" s="14" t="n">
        <v>91</v>
      </c>
      <c r="G530" s="14" t="n">
        <v>9</v>
      </c>
      <c r="H530" s="14" t="s">
        <v>52</v>
      </c>
      <c r="I530" s="14" t="n">
        <v>0.8</v>
      </c>
      <c r="J530" s="14" t="n">
        <v>1</v>
      </c>
      <c r="K530" s="14" t="s">
        <v>53</v>
      </c>
      <c r="L530" s="14" t="n">
        <v>2016</v>
      </c>
      <c r="M530" s="14" t="n">
        <v>8.01730750768858</v>
      </c>
      <c r="N530" s="14" t="n">
        <v>-4.60517018598809</v>
      </c>
      <c r="P530" s="14" t="n">
        <f aca="false">D530</f>
        <v>0</v>
      </c>
      <c r="Q530" s="14" t="n">
        <f aca="false">G530</f>
        <v>9</v>
      </c>
      <c r="R530" s="14" t="n">
        <f aca="false">J530</f>
        <v>1</v>
      </c>
      <c r="S530" s="14" t="n">
        <f aca="false">IF($L530=2012,1,0)</f>
        <v>0</v>
      </c>
      <c r="T530" s="14" t="n">
        <f aca="false">IF($L530=2013,1,0)</f>
        <v>0</v>
      </c>
      <c r="U530" s="14" t="n">
        <f aca="false">IF($L530=2014,1,0)</f>
        <v>0</v>
      </c>
      <c r="V530" s="14" t="n">
        <f aca="false">IF($L530=2015,1,0)</f>
        <v>0</v>
      </c>
      <c r="W530" s="14" t="n">
        <f aca="false">IF($L530=2016,1,0)</f>
        <v>1</v>
      </c>
      <c r="X530" s="14" t="n">
        <f aca="false">IF($L530=2017,1,0)</f>
        <v>0</v>
      </c>
      <c r="Y530" s="14" t="n">
        <f aca="false">IF($H530="Beginner Level",1,0)</f>
        <v>1</v>
      </c>
      <c r="Z530" s="14" t="n">
        <f aca="false">IF($H530="Expert Level",1,0)</f>
        <v>0</v>
      </c>
      <c r="AA530" s="14" t="n">
        <f aca="false">IF($H530="Intermediate Level",1,0)</f>
        <v>0</v>
      </c>
      <c r="AC530" s="14" t="n">
        <f aca="false">N530</f>
        <v>-4.60517018598809</v>
      </c>
      <c r="AD530" s="14" t="n">
        <f aca="false">G530</f>
        <v>9</v>
      </c>
      <c r="AE530" s="14" t="n">
        <f aca="false">J530</f>
        <v>1</v>
      </c>
      <c r="AF530" s="14" t="n">
        <f aca="false">IF($L530=2012,1,0)</f>
        <v>0</v>
      </c>
      <c r="AG530" s="14" t="n">
        <f aca="false">IF($L530=2013,1,0)</f>
        <v>0</v>
      </c>
      <c r="AH530" s="14" t="n">
        <f aca="false">IF($L530=2014,1,0)</f>
        <v>0</v>
      </c>
      <c r="AI530" s="14" t="n">
        <f aca="false">IF($L530=2015,1,0)</f>
        <v>0</v>
      </c>
      <c r="AJ530" s="14" t="n">
        <f aca="false">IF($L530=2016,1,0)</f>
        <v>1</v>
      </c>
      <c r="AK530" s="14" t="n">
        <f aca="false">IF($L530=2017,1,0)</f>
        <v>0</v>
      </c>
      <c r="AL530" s="14" t="n">
        <f aca="false">IF($H530="Beginner Level",1,0)</f>
        <v>1</v>
      </c>
      <c r="AM530" s="14" t="n">
        <f aca="false">IF($H530="Expert Level",1,0)</f>
        <v>0</v>
      </c>
      <c r="AN530" s="14" t="n">
        <f aca="false">IF($H530="Intermediate Level",1,0)</f>
        <v>0</v>
      </c>
    </row>
    <row r="531" customFormat="false" ht="46.25" hidden="false" customHeight="false" outlineLevel="0" collapsed="false">
      <c r="A531" s="14" t="n">
        <v>14571</v>
      </c>
      <c r="B531" s="14" t="s">
        <v>1105</v>
      </c>
      <c r="C531" s="14" t="s">
        <v>1106</v>
      </c>
      <c r="D531" s="14" t="n">
        <v>50</v>
      </c>
      <c r="E531" s="14" t="n">
        <v>3026</v>
      </c>
      <c r="F531" s="14" t="n">
        <v>60</v>
      </c>
      <c r="G531" s="14" t="n">
        <v>67</v>
      </c>
      <c r="H531" s="14" t="s">
        <v>62</v>
      </c>
      <c r="I531" s="14" t="n">
        <v>0.8</v>
      </c>
      <c r="J531" s="14" t="n">
        <v>7</v>
      </c>
      <c r="K531" s="14" t="s">
        <v>59</v>
      </c>
      <c r="L531" s="14" t="n">
        <v>2012</v>
      </c>
      <c r="M531" s="14" t="n">
        <v>8.0149968943483</v>
      </c>
      <c r="N531" s="14" t="n">
        <v>3.91222298543081</v>
      </c>
      <c r="P531" s="14" t="n">
        <f aca="false">D531</f>
        <v>50</v>
      </c>
      <c r="Q531" s="14" t="n">
        <f aca="false">G531</f>
        <v>67</v>
      </c>
      <c r="R531" s="14" t="n">
        <f aca="false">J531</f>
        <v>7</v>
      </c>
      <c r="S531" s="14" t="n">
        <f aca="false">IF($L531=2012,1,0)</f>
        <v>1</v>
      </c>
      <c r="T531" s="14" t="n">
        <f aca="false">IF($L531=2013,1,0)</f>
        <v>0</v>
      </c>
      <c r="U531" s="14" t="n">
        <f aca="false">IF($L531=2014,1,0)</f>
        <v>0</v>
      </c>
      <c r="V531" s="14" t="n">
        <f aca="false">IF($L531=2015,1,0)</f>
        <v>0</v>
      </c>
      <c r="W531" s="14" t="n">
        <f aca="false">IF($L531=2016,1,0)</f>
        <v>0</v>
      </c>
      <c r="X531" s="14" t="n">
        <f aca="false">IF($L531=2017,1,0)</f>
        <v>0</v>
      </c>
      <c r="Y531" s="14" t="n">
        <f aca="false">IF($H531="Beginner Level",1,0)</f>
        <v>0</v>
      </c>
      <c r="Z531" s="14" t="n">
        <f aca="false">IF($H531="Expert Level",1,0)</f>
        <v>0</v>
      </c>
      <c r="AA531" s="14" t="n">
        <f aca="false">IF($H531="Intermediate Level",1,0)</f>
        <v>0</v>
      </c>
      <c r="AC531" s="14" t="n">
        <f aca="false">N531</f>
        <v>3.91222298543081</v>
      </c>
      <c r="AD531" s="14" t="n">
        <f aca="false">G531</f>
        <v>67</v>
      </c>
      <c r="AE531" s="14" t="n">
        <f aca="false">J531</f>
        <v>7</v>
      </c>
      <c r="AF531" s="14" t="n">
        <f aca="false">IF($L531=2012,1,0)</f>
        <v>1</v>
      </c>
      <c r="AG531" s="14" t="n">
        <f aca="false">IF($L531=2013,1,0)</f>
        <v>0</v>
      </c>
      <c r="AH531" s="14" t="n">
        <f aca="false">IF($L531=2014,1,0)</f>
        <v>0</v>
      </c>
      <c r="AI531" s="14" t="n">
        <f aca="false">IF($L531=2015,1,0)</f>
        <v>0</v>
      </c>
      <c r="AJ531" s="14" t="n">
        <f aca="false">IF($L531=2016,1,0)</f>
        <v>0</v>
      </c>
      <c r="AK531" s="14" t="n">
        <f aca="false">IF($L531=2017,1,0)</f>
        <v>0</v>
      </c>
      <c r="AL531" s="14" t="n">
        <f aca="false">IF($H531="Beginner Level",1,0)</f>
        <v>0</v>
      </c>
      <c r="AM531" s="14" t="n">
        <f aca="false">IF($H531="Expert Level",1,0)</f>
        <v>0</v>
      </c>
      <c r="AN531" s="14" t="n">
        <f aca="false">IF($H531="Intermediate Level",1,0)</f>
        <v>0</v>
      </c>
    </row>
    <row r="532" customFormat="false" ht="46.25" hidden="false" customHeight="false" outlineLevel="0" collapsed="false">
      <c r="A532" s="14" t="n">
        <v>494078</v>
      </c>
      <c r="B532" s="14" t="s">
        <v>1107</v>
      </c>
      <c r="C532" s="14" t="s">
        <v>1108</v>
      </c>
      <c r="D532" s="14" t="n">
        <v>195</v>
      </c>
      <c r="E532" s="14" t="n">
        <v>3015</v>
      </c>
      <c r="F532" s="14" t="n">
        <v>30</v>
      </c>
      <c r="G532" s="14" t="n">
        <v>19</v>
      </c>
      <c r="H532" s="14" t="s">
        <v>62</v>
      </c>
      <c r="I532" s="14" t="n">
        <v>0.8</v>
      </c>
      <c r="J532" s="14" t="n">
        <v>2.5</v>
      </c>
      <c r="K532" s="14" t="s">
        <v>59</v>
      </c>
      <c r="L532" s="14" t="n">
        <v>2015</v>
      </c>
      <c r="M532" s="14" t="n">
        <v>8.01135510916129</v>
      </c>
      <c r="N532" s="14" t="n">
        <v>5.27305083930015</v>
      </c>
      <c r="P532" s="14" t="n">
        <f aca="false">D532</f>
        <v>195</v>
      </c>
      <c r="Q532" s="14" t="n">
        <f aca="false">G532</f>
        <v>19</v>
      </c>
      <c r="R532" s="14" t="n">
        <f aca="false">J532</f>
        <v>2.5</v>
      </c>
      <c r="S532" s="14" t="n">
        <f aca="false">IF($L532=2012,1,0)</f>
        <v>0</v>
      </c>
      <c r="T532" s="14" t="n">
        <f aca="false">IF($L532=2013,1,0)</f>
        <v>0</v>
      </c>
      <c r="U532" s="14" t="n">
        <f aca="false">IF($L532=2014,1,0)</f>
        <v>0</v>
      </c>
      <c r="V532" s="14" t="n">
        <f aca="false">IF($L532=2015,1,0)</f>
        <v>1</v>
      </c>
      <c r="W532" s="14" t="n">
        <f aca="false">IF($L532=2016,1,0)</f>
        <v>0</v>
      </c>
      <c r="X532" s="14" t="n">
        <f aca="false">IF($L532=2017,1,0)</f>
        <v>0</v>
      </c>
      <c r="Y532" s="14" t="n">
        <f aca="false">IF($H532="Beginner Level",1,0)</f>
        <v>0</v>
      </c>
      <c r="Z532" s="14" t="n">
        <f aca="false">IF($H532="Expert Level",1,0)</f>
        <v>0</v>
      </c>
      <c r="AA532" s="14" t="n">
        <f aca="false">IF($H532="Intermediate Level",1,0)</f>
        <v>0</v>
      </c>
      <c r="AC532" s="14" t="n">
        <f aca="false">N532</f>
        <v>5.27305083930015</v>
      </c>
      <c r="AD532" s="14" t="n">
        <f aca="false">G532</f>
        <v>19</v>
      </c>
      <c r="AE532" s="14" t="n">
        <f aca="false">J532</f>
        <v>2.5</v>
      </c>
      <c r="AF532" s="14" t="n">
        <f aca="false">IF($L532=2012,1,0)</f>
        <v>0</v>
      </c>
      <c r="AG532" s="14" t="n">
        <f aca="false">IF($L532=2013,1,0)</f>
        <v>0</v>
      </c>
      <c r="AH532" s="14" t="n">
        <f aca="false">IF($L532=2014,1,0)</f>
        <v>0</v>
      </c>
      <c r="AI532" s="14" t="n">
        <f aca="false">IF($L532=2015,1,0)</f>
        <v>1</v>
      </c>
      <c r="AJ532" s="14" t="n">
        <f aca="false">IF($L532=2016,1,0)</f>
        <v>0</v>
      </c>
      <c r="AK532" s="14" t="n">
        <f aca="false">IF($L532=2017,1,0)</f>
        <v>0</v>
      </c>
      <c r="AL532" s="14" t="n">
        <f aca="false">IF($H532="Beginner Level",1,0)</f>
        <v>0</v>
      </c>
      <c r="AM532" s="14" t="n">
        <f aca="false">IF($H532="Expert Level",1,0)</f>
        <v>0</v>
      </c>
      <c r="AN532" s="14" t="n">
        <f aca="false">IF($H532="Intermediate Level",1,0)</f>
        <v>0</v>
      </c>
    </row>
    <row r="533" customFormat="false" ht="57.45" hidden="false" customHeight="false" outlineLevel="0" collapsed="false">
      <c r="A533" s="14" t="n">
        <v>957422</v>
      </c>
      <c r="B533" s="14" t="s">
        <v>1109</v>
      </c>
      <c r="C533" s="14" t="s">
        <v>1110</v>
      </c>
      <c r="D533" s="14" t="n">
        <v>65</v>
      </c>
      <c r="E533" s="14" t="n">
        <v>3012</v>
      </c>
      <c r="F533" s="14" t="n">
        <v>260</v>
      </c>
      <c r="G533" s="14" t="n">
        <v>330</v>
      </c>
      <c r="H533" s="14" t="s">
        <v>62</v>
      </c>
      <c r="I533" s="14" t="n">
        <v>0.8</v>
      </c>
      <c r="J533" s="14" t="n">
        <v>32.5</v>
      </c>
      <c r="K533" s="14" t="s">
        <v>59</v>
      </c>
      <c r="L533" s="14" t="n">
        <v>2016</v>
      </c>
      <c r="M533" s="14" t="n">
        <v>8.01035958891978</v>
      </c>
      <c r="N533" s="14" t="n">
        <v>4.17454110421638</v>
      </c>
      <c r="P533" s="14" t="n">
        <f aca="false">D533</f>
        <v>65</v>
      </c>
      <c r="Q533" s="14" t="n">
        <f aca="false">G533</f>
        <v>330</v>
      </c>
      <c r="R533" s="14" t="n">
        <f aca="false">J533</f>
        <v>32.5</v>
      </c>
      <c r="S533" s="14" t="n">
        <f aca="false">IF($L533=2012,1,0)</f>
        <v>0</v>
      </c>
      <c r="T533" s="14" t="n">
        <f aca="false">IF($L533=2013,1,0)</f>
        <v>0</v>
      </c>
      <c r="U533" s="14" t="n">
        <f aca="false">IF($L533=2014,1,0)</f>
        <v>0</v>
      </c>
      <c r="V533" s="14" t="n">
        <f aca="false">IF($L533=2015,1,0)</f>
        <v>0</v>
      </c>
      <c r="W533" s="14" t="n">
        <f aca="false">IF($L533=2016,1,0)</f>
        <v>1</v>
      </c>
      <c r="X533" s="14" t="n">
        <f aca="false">IF($L533=2017,1,0)</f>
        <v>0</v>
      </c>
      <c r="Y533" s="14" t="n">
        <f aca="false">IF($H533="Beginner Level",1,0)</f>
        <v>0</v>
      </c>
      <c r="Z533" s="14" t="n">
        <f aca="false">IF($H533="Expert Level",1,0)</f>
        <v>0</v>
      </c>
      <c r="AA533" s="14" t="n">
        <f aca="false">IF($H533="Intermediate Level",1,0)</f>
        <v>0</v>
      </c>
      <c r="AC533" s="14" t="n">
        <f aca="false">N533</f>
        <v>4.17454110421638</v>
      </c>
      <c r="AD533" s="14" t="n">
        <f aca="false">G533</f>
        <v>330</v>
      </c>
      <c r="AE533" s="14" t="n">
        <f aca="false">J533</f>
        <v>32.5</v>
      </c>
      <c r="AF533" s="14" t="n">
        <f aca="false">IF($L533=2012,1,0)</f>
        <v>0</v>
      </c>
      <c r="AG533" s="14" t="n">
        <f aca="false">IF($L533=2013,1,0)</f>
        <v>0</v>
      </c>
      <c r="AH533" s="14" t="n">
        <f aca="false">IF($L533=2014,1,0)</f>
        <v>0</v>
      </c>
      <c r="AI533" s="14" t="n">
        <f aca="false">IF($L533=2015,1,0)</f>
        <v>0</v>
      </c>
      <c r="AJ533" s="14" t="n">
        <f aca="false">IF($L533=2016,1,0)</f>
        <v>1</v>
      </c>
      <c r="AK533" s="14" t="n">
        <f aca="false">IF($L533=2017,1,0)</f>
        <v>0</v>
      </c>
      <c r="AL533" s="14" t="n">
        <f aca="false">IF($H533="Beginner Level",1,0)</f>
        <v>0</v>
      </c>
      <c r="AM533" s="14" t="n">
        <f aca="false">IF($H533="Expert Level",1,0)</f>
        <v>0</v>
      </c>
      <c r="AN533" s="14" t="n">
        <f aca="false">IF($H533="Intermediate Level",1,0)</f>
        <v>0</v>
      </c>
    </row>
    <row r="534" customFormat="false" ht="68.65" hidden="false" customHeight="false" outlineLevel="0" collapsed="false">
      <c r="A534" s="14" t="n">
        <v>412952</v>
      </c>
      <c r="B534" s="14" t="s">
        <v>1111</v>
      </c>
      <c r="C534" s="14" t="s">
        <v>1112</v>
      </c>
      <c r="D534" s="14" t="n">
        <v>50</v>
      </c>
      <c r="E534" s="14" t="n">
        <v>3011</v>
      </c>
      <c r="F534" s="14" t="n">
        <v>57</v>
      </c>
      <c r="G534" s="14" t="n">
        <v>10</v>
      </c>
      <c r="H534" s="14" t="s">
        <v>62</v>
      </c>
      <c r="I534" s="14" t="n">
        <v>0.8</v>
      </c>
      <c r="J534" s="14" t="n">
        <v>1</v>
      </c>
      <c r="K534" s="14" t="s">
        <v>59</v>
      </c>
      <c r="L534" s="14" t="n">
        <v>2015</v>
      </c>
      <c r="M534" s="14" t="n">
        <v>8.01002752848173</v>
      </c>
      <c r="N534" s="14" t="n">
        <v>3.91222298543081</v>
      </c>
      <c r="P534" s="14" t="n">
        <f aca="false">D534</f>
        <v>50</v>
      </c>
      <c r="Q534" s="14" t="n">
        <f aca="false">G534</f>
        <v>10</v>
      </c>
      <c r="R534" s="14" t="n">
        <f aca="false">J534</f>
        <v>1</v>
      </c>
      <c r="S534" s="14" t="n">
        <f aca="false">IF($L534=2012,1,0)</f>
        <v>0</v>
      </c>
      <c r="T534" s="14" t="n">
        <f aca="false">IF($L534=2013,1,0)</f>
        <v>0</v>
      </c>
      <c r="U534" s="14" t="n">
        <f aca="false">IF($L534=2014,1,0)</f>
        <v>0</v>
      </c>
      <c r="V534" s="14" t="n">
        <f aca="false">IF($L534=2015,1,0)</f>
        <v>1</v>
      </c>
      <c r="W534" s="14" t="n">
        <f aca="false">IF($L534=2016,1,0)</f>
        <v>0</v>
      </c>
      <c r="X534" s="14" t="n">
        <f aca="false">IF($L534=2017,1,0)</f>
        <v>0</v>
      </c>
      <c r="Y534" s="14" t="n">
        <f aca="false">IF($H534="Beginner Level",1,0)</f>
        <v>0</v>
      </c>
      <c r="Z534" s="14" t="n">
        <f aca="false">IF($H534="Expert Level",1,0)</f>
        <v>0</v>
      </c>
      <c r="AA534" s="14" t="n">
        <f aca="false">IF($H534="Intermediate Level",1,0)</f>
        <v>0</v>
      </c>
      <c r="AC534" s="14" t="n">
        <f aca="false">N534</f>
        <v>3.91222298543081</v>
      </c>
      <c r="AD534" s="14" t="n">
        <f aca="false">G534</f>
        <v>10</v>
      </c>
      <c r="AE534" s="14" t="n">
        <f aca="false">J534</f>
        <v>1</v>
      </c>
      <c r="AF534" s="14" t="n">
        <f aca="false">IF($L534=2012,1,0)</f>
        <v>0</v>
      </c>
      <c r="AG534" s="14" t="n">
        <f aca="false">IF($L534=2013,1,0)</f>
        <v>0</v>
      </c>
      <c r="AH534" s="14" t="n">
        <f aca="false">IF($L534=2014,1,0)</f>
        <v>0</v>
      </c>
      <c r="AI534" s="14" t="n">
        <f aca="false">IF($L534=2015,1,0)</f>
        <v>1</v>
      </c>
      <c r="AJ534" s="14" t="n">
        <f aca="false">IF($L534=2016,1,0)</f>
        <v>0</v>
      </c>
      <c r="AK534" s="14" t="n">
        <f aca="false">IF($L534=2017,1,0)</f>
        <v>0</v>
      </c>
      <c r="AL534" s="14" t="n">
        <f aca="false">IF($H534="Beginner Level",1,0)</f>
        <v>0</v>
      </c>
      <c r="AM534" s="14" t="n">
        <f aca="false">IF($H534="Expert Level",1,0)</f>
        <v>0</v>
      </c>
      <c r="AN534" s="14" t="n">
        <f aca="false">IF($H534="Intermediate Level",1,0)</f>
        <v>0</v>
      </c>
    </row>
    <row r="535" customFormat="false" ht="68.65" hidden="false" customHeight="false" outlineLevel="0" collapsed="false">
      <c r="A535" s="14" t="n">
        <v>747650</v>
      </c>
      <c r="B535" s="14" t="s">
        <v>1113</v>
      </c>
      <c r="C535" s="14" t="s">
        <v>1114</v>
      </c>
      <c r="D535" s="14" t="n">
        <v>20</v>
      </c>
      <c r="E535" s="14" t="n">
        <v>2985</v>
      </c>
      <c r="F535" s="14" t="n">
        <v>40</v>
      </c>
      <c r="G535" s="14" t="n">
        <v>27</v>
      </c>
      <c r="H535" s="14" t="s">
        <v>62</v>
      </c>
      <c r="I535" s="14" t="n">
        <v>0.8</v>
      </c>
      <c r="J535" s="14" t="n">
        <v>1.5</v>
      </c>
      <c r="K535" s="14" t="s">
        <v>59</v>
      </c>
      <c r="L535" s="14" t="n">
        <v>2016</v>
      </c>
      <c r="M535" s="14" t="n">
        <v>8.0013550258267</v>
      </c>
      <c r="N535" s="14" t="n">
        <v>2.99623214859564</v>
      </c>
      <c r="P535" s="14" t="n">
        <f aca="false">D535</f>
        <v>20</v>
      </c>
      <c r="Q535" s="14" t="n">
        <f aca="false">G535</f>
        <v>27</v>
      </c>
      <c r="R535" s="14" t="n">
        <f aca="false">J535</f>
        <v>1.5</v>
      </c>
      <c r="S535" s="14" t="n">
        <f aca="false">IF($L535=2012,1,0)</f>
        <v>0</v>
      </c>
      <c r="T535" s="14" t="n">
        <f aca="false">IF($L535=2013,1,0)</f>
        <v>0</v>
      </c>
      <c r="U535" s="14" t="n">
        <f aca="false">IF($L535=2014,1,0)</f>
        <v>0</v>
      </c>
      <c r="V535" s="14" t="n">
        <f aca="false">IF($L535=2015,1,0)</f>
        <v>0</v>
      </c>
      <c r="W535" s="14" t="n">
        <f aca="false">IF($L535=2016,1,0)</f>
        <v>1</v>
      </c>
      <c r="X535" s="14" t="n">
        <f aca="false">IF($L535=2017,1,0)</f>
        <v>0</v>
      </c>
      <c r="Y535" s="14" t="n">
        <f aca="false">IF($H535="Beginner Level",1,0)</f>
        <v>0</v>
      </c>
      <c r="Z535" s="14" t="n">
        <f aca="false">IF($H535="Expert Level",1,0)</f>
        <v>0</v>
      </c>
      <c r="AA535" s="14" t="n">
        <f aca="false">IF($H535="Intermediate Level",1,0)</f>
        <v>0</v>
      </c>
      <c r="AC535" s="14" t="n">
        <f aca="false">N535</f>
        <v>2.99623214859564</v>
      </c>
      <c r="AD535" s="14" t="n">
        <f aca="false">G535</f>
        <v>27</v>
      </c>
      <c r="AE535" s="14" t="n">
        <f aca="false">J535</f>
        <v>1.5</v>
      </c>
      <c r="AF535" s="14" t="n">
        <f aca="false">IF($L535=2012,1,0)</f>
        <v>0</v>
      </c>
      <c r="AG535" s="14" t="n">
        <f aca="false">IF($L535=2013,1,0)</f>
        <v>0</v>
      </c>
      <c r="AH535" s="14" t="n">
        <f aca="false">IF($L535=2014,1,0)</f>
        <v>0</v>
      </c>
      <c r="AI535" s="14" t="n">
        <f aca="false">IF($L535=2015,1,0)</f>
        <v>0</v>
      </c>
      <c r="AJ535" s="14" t="n">
        <f aca="false">IF($L535=2016,1,0)</f>
        <v>1</v>
      </c>
      <c r="AK535" s="14" t="n">
        <f aca="false">IF($L535=2017,1,0)</f>
        <v>0</v>
      </c>
      <c r="AL535" s="14" t="n">
        <f aca="false">IF($H535="Beginner Level",1,0)</f>
        <v>0</v>
      </c>
      <c r="AM535" s="14" t="n">
        <f aca="false">IF($H535="Expert Level",1,0)</f>
        <v>0</v>
      </c>
      <c r="AN535" s="14" t="n">
        <f aca="false">IF($H535="Intermediate Level",1,0)</f>
        <v>0</v>
      </c>
    </row>
    <row r="536" customFormat="false" ht="79.85" hidden="false" customHeight="false" outlineLevel="0" collapsed="false">
      <c r="A536" s="14" t="n">
        <v>452684</v>
      </c>
      <c r="B536" s="14" t="s">
        <v>1115</v>
      </c>
      <c r="C536" s="14" t="s">
        <v>1116</v>
      </c>
      <c r="D536" s="14" t="n">
        <v>100</v>
      </c>
      <c r="E536" s="14" t="n">
        <v>2971</v>
      </c>
      <c r="F536" s="14" t="n">
        <v>285</v>
      </c>
      <c r="G536" s="14" t="n">
        <v>28</v>
      </c>
      <c r="H536" s="14" t="s">
        <v>71</v>
      </c>
      <c r="I536" s="14" t="n">
        <v>0.8</v>
      </c>
      <c r="J536" s="14" t="n">
        <v>3</v>
      </c>
      <c r="K536" s="14" t="s">
        <v>59</v>
      </c>
      <c r="L536" s="14" t="n">
        <v>2015</v>
      </c>
      <c r="M536" s="14" t="n">
        <v>7.99665387546261</v>
      </c>
      <c r="N536" s="14" t="n">
        <v>4.60527018098843</v>
      </c>
      <c r="P536" s="14" t="n">
        <f aca="false">D536</f>
        <v>100</v>
      </c>
      <c r="Q536" s="14" t="n">
        <f aca="false">G536</f>
        <v>28</v>
      </c>
      <c r="R536" s="14" t="n">
        <f aca="false">J536</f>
        <v>3</v>
      </c>
      <c r="S536" s="14" t="n">
        <f aca="false">IF($L536=2012,1,0)</f>
        <v>0</v>
      </c>
      <c r="T536" s="14" t="n">
        <f aca="false">IF($L536=2013,1,0)</f>
        <v>0</v>
      </c>
      <c r="U536" s="14" t="n">
        <f aca="false">IF($L536=2014,1,0)</f>
        <v>0</v>
      </c>
      <c r="V536" s="14" t="n">
        <f aca="false">IF($L536=2015,1,0)</f>
        <v>1</v>
      </c>
      <c r="W536" s="14" t="n">
        <f aca="false">IF($L536=2016,1,0)</f>
        <v>0</v>
      </c>
      <c r="X536" s="14" t="n">
        <f aca="false">IF($L536=2017,1,0)</f>
        <v>0</v>
      </c>
      <c r="Y536" s="14" t="n">
        <f aca="false">IF($H536="Beginner Level",1,0)</f>
        <v>0</v>
      </c>
      <c r="Z536" s="14" t="n">
        <f aca="false">IF($H536="Expert Level",1,0)</f>
        <v>0</v>
      </c>
      <c r="AA536" s="14" t="n">
        <f aca="false">IF($H536="Intermediate Level",1,0)</f>
        <v>1</v>
      </c>
      <c r="AC536" s="14" t="n">
        <f aca="false">N536</f>
        <v>4.60527018098843</v>
      </c>
      <c r="AD536" s="14" t="n">
        <f aca="false">G536</f>
        <v>28</v>
      </c>
      <c r="AE536" s="14" t="n">
        <f aca="false">J536</f>
        <v>3</v>
      </c>
      <c r="AF536" s="14" t="n">
        <f aca="false">IF($L536=2012,1,0)</f>
        <v>0</v>
      </c>
      <c r="AG536" s="14" t="n">
        <f aca="false">IF($L536=2013,1,0)</f>
        <v>0</v>
      </c>
      <c r="AH536" s="14" t="n">
        <f aca="false">IF($L536=2014,1,0)</f>
        <v>0</v>
      </c>
      <c r="AI536" s="14" t="n">
        <f aca="false">IF($L536=2015,1,0)</f>
        <v>1</v>
      </c>
      <c r="AJ536" s="14" t="n">
        <f aca="false">IF($L536=2016,1,0)</f>
        <v>0</v>
      </c>
      <c r="AK536" s="14" t="n">
        <f aca="false">IF($L536=2017,1,0)</f>
        <v>0</v>
      </c>
      <c r="AL536" s="14" t="n">
        <f aca="false">IF($H536="Beginner Level",1,0)</f>
        <v>0</v>
      </c>
      <c r="AM536" s="14" t="n">
        <f aca="false">IF($H536="Expert Level",1,0)</f>
        <v>0</v>
      </c>
      <c r="AN536" s="14" t="n">
        <f aca="false">IF($H536="Intermediate Level",1,0)</f>
        <v>1</v>
      </c>
    </row>
    <row r="537" customFormat="false" ht="79.85" hidden="false" customHeight="false" outlineLevel="0" collapsed="false">
      <c r="A537" s="14" t="n">
        <v>1149334</v>
      </c>
      <c r="B537" s="14" t="s">
        <v>1117</v>
      </c>
      <c r="C537" s="14" t="s">
        <v>1118</v>
      </c>
      <c r="D537" s="14" t="n">
        <v>40</v>
      </c>
      <c r="E537" s="14" t="n">
        <v>2965</v>
      </c>
      <c r="F537" s="14" t="n">
        <v>17</v>
      </c>
      <c r="G537" s="14" t="n">
        <v>30</v>
      </c>
      <c r="H537" s="14" t="s">
        <v>52</v>
      </c>
      <c r="I537" s="14" t="n">
        <v>0.8</v>
      </c>
      <c r="J537" s="14" t="n">
        <v>2</v>
      </c>
      <c r="K537" s="14" t="s">
        <v>59</v>
      </c>
      <c r="L537" s="14" t="n">
        <v>2017</v>
      </c>
      <c r="M537" s="14" t="n">
        <v>7.99463231143183</v>
      </c>
      <c r="N537" s="14" t="n">
        <v>3.68912942286914</v>
      </c>
      <c r="P537" s="14" t="n">
        <f aca="false">D537</f>
        <v>40</v>
      </c>
      <c r="Q537" s="14" t="n">
        <f aca="false">G537</f>
        <v>30</v>
      </c>
      <c r="R537" s="14" t="n">
        <f aca="false">J537</f>
        <v>2</v>
      </c>
      <c r="S537" s="14" t="n">
        <f aca="false">IF($L537=2012,1,0)</f>
        <v>0</v>
      </c>
      <c r="T537" s="14" t="n">
        <f aca="false">IF($L537=2013,1,0)</f>
        <v>0</v>
      </c>
      <c r="U537" s="14" t="n">
        <f aca="false">IF($L537=2014,1,0)</f>
        <v>0</v>
      </c>
      <c r="V537" s="14" t="n">
        <f aca="false">IF($L537=2015,1,0)</f>
        <v>0</v>
      </c>
      <c r="W537" s="14" t="n">
        <f aca="false">IF($L537=2016,1,0)</f>
        <v>0</v>
      </c>
      <c r="X537" s="14" t="n">
        <f aca="false">IF($L537=2017,1,0)</f>
        <v>1</v>
      </c>
      <c r="Y537" s="14" t="n">
        <f aca="false">IF($H537="Beginner Level",1,0)</f>
        <v>1</v>
      </c>
      <c r="Z537" s="14" t="n">
        <f aca="false">IF($H537="Expert Level",1,0)</f>
        <v>0</v>
      </c>
      <c r="AA537" s="14" t="n">
        <f aca="false">IF($H537="Intermediate Level",1,0)</f>
        <v>0</v>
      </c>
      <c r="AC537" s="14" t="n">
        <f aca="false">N537</f>
        <v>3.68912942286914</v>
      </c>
      <c r="AD537" s="14" t="n">
        <f aca="false">G537</f>
        <v>30</v>
      </c>
      <c r="AE537" s="14" t="n">
        <f aca="false">J537</f>
        <v>2</v>
      </c>
      <c r="AF537" s="14" t="n">
        <f aca="false">IF($L537=2012,1,0)</f>
        <v>0</v>
      </c>
      <c r="AG537" s="14" t="n">
        <f aca="false">IF($L537=2013,1,0)</f>
        <v>0</v>
      </c>
      <c r="AH537" s="14" t="n">
        <f aca="false">IF($L537=2014,1,0)</f>
        <v>0</v>
      </c>
      <c r="AI537" s="14" t="n">
        <f aca="false">IF($L537=2015,1,0)</f>
        <v>0</v>
      </c>
      <c r="AJ537" s="14" t="n">
        <f aca="false">IF($L537=2016,1,0)</f>
        <v>0</v>
      </c>
      <c r="AK537" s="14" t="n">
        <f aca="false">IF($L537=2017,1,0)</f>
        <v>1</v>
      </c>
      <c r="AL537" s="14" t="n">
        <f aca="false">IF($H537="Beginner Level",1,0)</f>
        <v>1</v>
      </c>
      <c r="AM537" s="14" t="n">
        <f aca="false">IF($H537="Expert Level",1,0)</f>
        <v>0</v>
      </c>
      <c r="AN537" s="14" t="n">
        <f aca="false">IF($H537="Intermediate Level",1,0)</f>
        <v>0</v>
      </c>
    </row>
    <row r="538" customFormat="false" ht="57.45" hidden="false" customHeight="false" outlineLevel="0" collapsed="false">
      <c r="A538" s="14" t="n">
        <v>714678</v>
      </c>
      <c r="B538" s="14" t="s">
        <v>1119</v>
      </c>
      <c r="C538" s="14" t="s">
        <v>1120</v>
      </c>
      <c r="D538" s="14" t="n">
        <v>20</v>
      </c>
      <c r="E538" s="14" t="n">
        <v>2964</v>
      </c>
      <c r="F538" s="14" t="n">
        <v>8</v>
      </c>
      <c r="G538" s="14" t="n">
        <v>9</v>
      </c>
      <c r="H538" s="14" t="s">
        <v>62</v>
      </c>
      <c r="I538" s="14" t="n">
        <v>0.8</v>
      </c>
      <c r="J538" s="14" t="n">
        <v>1.5</v>
      </c>
      <c r="K538" s="14" t="s">
        <v>59</v>
      </c>
      <c r="L538" s="14" t="n">
        <v>2016</v>
      </c>
      <c r="M538" s="14" t="n">
        <v>7.99429498641598</v>
      </c>
      <c r="N538" s="14" t="n">
        <v>2.99623214859564</v>
      </c>
      <c r="P538" s="14" t="n">
        <f aca="false">D538</f>
        <v>20</v>
      </c>
      <c r="Q538" s="14" t="n">
        <f aca="false">G538</f>
        <v>9</v>
      </c>
      <c r="R538" s="14" t="n">
        <f aca="false">J538</f>
        <v>1.5</v>
      </c>
      <c r="S538" s="14" t="n">
        <f aca="false">IF($L538=2012,1,0)</f>
        <v>0</v>
      </c>
      <c r="T538" s="14" t="n">
        <f aca="false">IF($L538=2013,1,0)</f>
        <v>0</v>
      </c>
      <c r="U538" s="14" t="n">
        <f aca="false">IF($L538=2014,1,0)</f>
        <v>0</v>
      </c>
      <c r="V538" s="14" t="n">
        <f aca="false">IF($L538=2015,1,0)</f>
        <v>0</v>
      </c>
      <c r="W538" s="14" t="n">
        <f aca="false">IF($L538=2016,1,0)</f>
        <v>1</v>
      </c>
      <c r="X538" s="14" t="n">
        <f aca="false">IF($L538=2017,1,0)</f>
        <v>0</v>
      </c>
      <c r="Y538" s="14" t="n">
        <f aca="false">IF($H538="Beginner Level",1,0)</f>
        <v>0</v>
      </c>
      <c r="Z538" s="14" t="n">
        <f aca="false">IF($H538="Expert Level",1,0)</f>
        <v>0</v>
      </c>
      <c r="AA538" s="14" t="n">
        <f aca="false">IF($H538="Intermediate Level",1,0)</f>
        <v>0</v>
      </c>
      <c r="AC538" s="14" t="n">
        <f aca="false">N538</f>
        <v>2.99623214859564</v>
      </c>
      <c r="AD538" s="14" t="n">
        <f aca="false">G538</f>
        <v>9</v>
      </c>
      <c r="AE538" s="14" t="n">
        <f aca="false">J538</f>
        <v>1.5</v>
      </c>
      <c r="AF538" s="14" t="n">
        <f aca="false">IF($L538=2012,1,0)</f>
        <v>0</v>
      </c>
      <c r="AG538" s="14" t="n">
        <f aca="false">IF($L538=2013,1,0)</f>
        <v>0</v>
      </c>
      <c r="AH538" s="14" t="n">
        <f aca="false">IF($L538=2014,1,0)</f>
        <v>0</v>
      </c>
      <c r="AI538" s="14" t="n">
        <f aca="false">IF($L538=2015,1,0)</f>
        <v>0</v>
      </c>
      <c r="AJ538" s="14" t="n">
        <f aca="false">IF($L538=2016,1,0)</f>
        <v>1</v>
      </c>
      <c r="AK538" s="14" t="n">
        <f aca="false">IF($L538=2017,1,0)</f>
        <v>0</v>
      </c>
      <c r="AL538" s="14" t="n">
        <f aca="false">IF($H538="Beginner Level",1,0)</f>
        <v>0</v>
      </c>
      <c r="AM538" s="14" t="n">
        <f aca="false">IF($H538="Expert Level",1,0)</f>
        <v>0</v>
      </c>
      <c r="AN538" s="14" t="n">
        <f aca="false">IF($H538="Intermediate Level",1,0)</f>
        <v>0</v>
      </c>
    </row>
    <row r="539" customFormat="false" ht="79.85" hidden="false" customHeight="false" outlineLevel="0" collapsed="false">
      <c r="A539" s="14" t="n">
        <v>531290</v>
      </c>
      <c r="B539" s="14" t="s">
        <v>1121</v>
      </c>
      <c r="C539" s="14" t="s">
        <v>1122</v>
      </c>
      <c r="D539" s="14" t="n">
        <v>30</v>
      </c>
      <c r="E539" s="14" t="n">
        <v>2919</v>
      </c>
      <c r="F539" s="14" t="n">
        <v>136</v>
      </c>
      <c r="G539" s="14" t="n">
        <v>70</v>
      </c>
      <c r="H539" s="14" t="s">
        <v>62</v>
      </c>
      <c r="I539" s="14" t="n">
        <v>0.8</v>
      </c>
      <c r="J539" s="14" t="n">
        <v>7</v>
      </c>
      <c r="K539" s="14" t="s">
        <v>59</v>
      </c>
      <c r="L539" s="14" t="n">
        <v>2015</v>
      </c>
      <c r="M539" s="14" t="n">
        <v>7.97899637085412</v>
      </c>
      <c r="N539" s="14" t="n">
        <v>3.40153065945228</v>
      </c>
      <c r="P539" s="14" t="n">
        <f aca="false">D539</f>
        <v>30</v>
      </c>
      <c r="Q539" s="14" t="n">
        <f aca="false">G539</f>
        <v>70</v>
      </c>
      <c r="R539" s="14" t="n">
        <f aca="false">J539</f>
        <v>7</v>
      </c>
      <c r="S539" s="14" t="n">
        <f aca="false">IF($L539=2012,1,0)</f>
        <v>0</v>
      </c>
      <c r="T539" s="14" t="n">
        <f aca="false">IF($L539=2013,1,0)</f>
        <v>0</v>
      </c>
      <c r="U539" s="14" t="n">
        <f aca="false">IF($L539=2014,1,0)</f>
        <v>0</v>
      </c>
      <c r="V539" s="14" t="n">
        <f aca="false">IF($L539=2015,1,0)</f>
        <v>1</v>
      </c>
      <c r="W539" s="14" t="n">
        <f aca="false">IF($L539=2016,1,0)</f>
        <v>0</v>
      </c>
      <c r="X539" s="14" t="n">
        <f aca="false">IF($L539=2017,1,0)</f>
        <v>0</v>
      </c>
      <c r="Y539" s="14" t="n">
        <f aca="false">IF($H539="Beginner Level",1,0)</f>
        <v>0</v>
      </c>
      <c r="Z539" s="14" t="n">
        <f aca="false">IF($H539="Expert Level",1,0)</f>
        <v>0</v>
      </c>
      <c r="AA539" s="14" t="n">
        <f aca="false">IF($H539="Intermediate Level",1,0)</f>
        <v>0</v>
      </c>
      <c r="AC539" s="14" t="n">
        <f aca="false">N539</f>
        <v>3.40153065945228</v>
      </c>
      <c r="AD539" s="14" t="n">
        <f aca="false">G539</f>
        <v>70</v>
      </c>
      <c r="AE539" s="14" t="n">
        <f aca="false">J539</f>
        <v>7</v>
      </c>
      <c r="AF539" s="14" t="n">
        <f aca="false">IF($L539=2012,1,0)</f>
        <v>0</v>
      </c>
      <c r="AG539" s="14" t="n">
        <f aca="false">IF($L539=2013,1,0)</f>
        <v>0</v>
      </c>
      <c r="AH539" s="14" t="n">
        <f aca="false">IF($L539=2014,1,0)</f>
        <v>0</v>
      </c>
      <c r="AI539" s="14" t="n">
        <f aca="false">IF($L539=2015,1,0)</f>
        <v>1</v>
      </c>
      <c r="AJ539" s="14" t="n">
        <f aca="false">IF($L539=2016,1,0)</f>
        <v>0</v>
      </c>
      <c r="AK539" s="14" t="n">
        <f aca="false">IF($L539=2017,1,0)</f>
        <v>0</v>
      </c>
      <c r="AL539" s="14" t="n">
        <f aca="false">IF($H539="Beginner Level",1,0)</f>
        <v>0</v>
      </c>
      <c r="AM539" s="14" t="n">
        <f aca="false">IF($H539="Expert Level",1,0)</f>
        <v>0</v>
      </c>
      <c r="AN539" s="14" t="n">
        <f aca="false">IF($H539="Intermediate Level",1,0)</f>
        <v>0</v>
      </c>
    </row>
    <row r="540" customFormat="false" ht="68.65" hidden="false" customHeight="false" outlineLevel="0" collapsed="false">
      <c r="A540" s="14" t="n">
        <v>782192</v>
      </c>
      <c r="B540" s="14" t="s">
        <v>1123</v>
      </c>
      <c r="C540" s="14" t="s">
        <v>1124</v>
      </c>
      <c r="D540" s="14" t="n">
        <v>200</v>
      </c>
      <c r="E540" s="14" t="n">
        <v>2918</v>
      </c>
      <c r="F540" s="14" t="n">
        <v>16</v>
      </c>
      <c r="G540" s="14" t="n">
        <v>17</v>
      </c>
      <c r="H540" s="14" t="s">
        <v>52</v>
      </c>
      <c r="I540" s="14" t="n">
        <v>0.8</v>
      </c>
      <c r="J540" s="14" t="n">
        <v>1</v>
      </c>
      <c r="K540" s="14" t="s">
        <v>59</v>
      </c>
      <c r="L540" s="14" t="n">
        <v>2016</v>
      </c>
      <c r="M540" s="14" t="n">
        <v>7.97865372908273</v>
      </c>
      <c r="N540" s="14" t="n">
        <v>5.29836736529808</v>
      </c>
      <c r="P540" s="14" t="n">
        <f aca="false">D540</f>
        <v>200</v>
      </c>
      <c r="Q540" s="14" t="n">
        <f aca="false">G540</f>
        <v>17</v>
      </c>
      <c r="R540" s="14" t="n">
        <f aca="false">J540</f>
        <v>1</v>
      </c>
      <c r="S540" s="14" t="n">
        <f aca="false">IF($L540=2012,1,0)</f>
        <v>0</v>
      </c>
      <c r="T540" s="14" t="n">
        <f aca="false">IF($L540=2013,1,0)</f>
        <v>0</v>
      </c>
      <c r="U540" s="14" t="n">
        <f aca="false">IF($L540=2014,1,0)</f>
        <v>0</v>
      </c>
      <c r="V540" s="14" t="n">
        <f aca="false">IF($L540=2015,1,0)</f>
        <v>0</v>
      </c>
      <c r="W540" s="14" t="n">
        <f aca="false">IF($L540=2016,1,0)</f>
        <v>1</v>
      </c>
      <c r="X540" s="14" t="n">
        <f aca="false">IF($L540=2017,1,0)</f>
        <v>0</v>
      </c>
      <c r="Y540" s="14" t="n">
        <f aca="false">IF($H540="Beginner Level",1,0)</f>
        <v>1</v>
      </c>
      <c r="Z540" s="14" t="n">
        <f aca="false">IF($H540="Expert Level",1,0)</f>
        <v>0</v>
      </c>
      <c r="AA540" s="14" t="n">
        <f aca="false">IF($H540="Intermediate Level",1,0)</f>
        <v>0</v>
      </c>
      <c r="AC540" s="14" t="n">
        <f aca="false">N540</f>
        <v>5.29836736529808</v>
      </c>
      <c r="AD540" s="14" t="n">
        <f aca="false">G540</f>
        <v>17</v>
      </c>
      <c r="AE540" s="14" t="n">
        <f aca="false">J540</f>
        <v>1</v>
      </c>
      <c r="AF540" s="14" t="n">
        <f aca="false">IF($L540=2012,1,0)</f>
        <v>0</v>
      </c>
      <c r="AG540" s="14" t="n">
        <f aca="false">IF($L540=2013,1,0)</f>
        <v>0</v>
      </c>
      <c r="AH540" s="14" t="n">
        <f aca="false">IF($L540=2014,1,0)</f>
        <v>0</v>
      </c>
      <c r="AI540" s="14" t="n">
        <f aca="false">IF($L540=2015,1,0)</f>
        <v>0</v>
      </c>
      <c r="AJ540" s="14" t="n">
        <f aca="false">IF($L540=2016,1,0)</f>
        <v>1</v>
      </c>
      <c r="AK540" s="14" t="n">
        <f aca="false">IF($L540=2017,1,0)</f>
        <v>0</v>
      </c>
      <c r="AL540" s="14" t="n">
        <f aca="false">IF($H540="Beginner Level",1,0)</f>
        <v>1</v>
      </c>
      <c r="AM540" s="14" t="n">
        <f aca="false">IF($H540="Expert Level",1,0)</f>
        <v>0</v>
      </c>
      <c r="AN540" s="14" t="n">
        <f aca="false">IF($H540="Intermediate Level",1,0)</f>
        <v>0</v>
      </c>
    </row>
    <row r="541" customFormat="false" ht="57.45" hidden="false" customHeight="false" outlineLevel="0" collapsed="false">
      <c r="A541" s="14" t="n">
        <v>419318</v>
      </c>
      <c r="B541" s="14" t="s">
        <v>1125</v>
      </c>
      <c r="C541" s="14" t="s">
        <v>1126</v>
      </c>
      <c r="D541" s="14" t="n">
        <v>100</v>
      </c>
      <c r="E541" s="14" t="n">
        <v>2912</v>
      </c>
      <c r="F541" s="14" t="n">
        <v>309</v>
      </c>
      <c r="G541" s="14" t="n">
        <v>85</v>
      </c>
      <c r="H541" s="14" t="s">
        <v>62</v>
      </c>
      <c r="I541" s="14" t="n">
        <v>0.8</v>
      </c>
      <c r="J541" s="14" t="n">
        <v>6</v>
      </c>
      <c r="K541" s="14" t="s">
        <v>59</v>
      </c>
      <c r="L541" s="14" t="n">
        <v>2015</v>
      </c>
      <c r="M541" s="14" t="n">
        <v>7.97659540931658</v>
      </c>
      <c r="N541" s="14" t="n">
        <v>4.60527018098843</v>
      </c>
      <c r="P541" s="14" t="n">
        <f aca="false">D541</f>
        <v>100</v>
      </c>
      <c r="Q541" s="14" t="n">
        <f aca="false">G541</f>
        <v>85</v>
      </c>
      <c r="R541" s="14" t="n">
        <f aca="false">J541</f>
        <v>6</v>
      </c>
      <c r="S541" s="14" t="n">
        <f aca="false">IF($L541=2012,1,0)</f>
        <v>0</v>
      </c>
      <c r="T541" s="14" t="n">
        <f aca="false">IF($L541=2013,1,0)</f>
        <v>0</v>
      </c>
      <c r="U541" s="14" t="n">
        <f aca="false">IF($L541=2014,1,0)</f>
        <v>0</v>
      </c>
      <c r="V541" s="14" t="n">
        <f aca="false">IF($L541=2015,1,0)</f>
        <v>1</v>
      </c>
      <c r="W541" s="14" t="n">
        <f aca="false">IF($L541=2016,1,0)</f>
        <v>0</v>
      </c>
      <c r="X541" s="14" t="n">
        <f aca="false">IF($L541=2017,1,0)</f>
        <v>0</v>
      </c>
      <c r="Y541" s="14" t="n">
        <f aca="false">IF($H541="Beginner Level",1,0)</f>
        <v>0</v>
      </c>
      <c r="Z541" s="14" t="n">
        <f aca="false">IF($H541="Expert Level",1,0)</f>
        <v>0</v>
      </c>
      <c r="AA541" s="14" t="n">
        <f aca="false">IF($H541="Intermediate Level",1,0)</f>
        <v>0</v>
      </c>
      <c r="AC541" s="14" t="n">
        <f aca="false">N541</f>
        <v>4.60527018098843</v>
      </c>
      <c r="AD541" s="14" t="n">
        <f aca="false">G541</f>
        <v>85</v>
      </c>
      <c r="AE541" s="14" t="n">
        <f aca="false">J541</f>
        <v>6</v>
      </c>
      <c r="AF541" s="14" t="n">
        <f aca="false">IF($L541=2012,1,0)</f>
        <v>0</v>
      </c>
      <c r="AG541" s="14" t="n">
        <f aca="false">IF($L541=2013,1,0)</f>
        <v>0</v>
      </c>
      <c r="AH541" s="14" t="n">
        <f aca="false">IF($L541=2014,1,0)</f>
        <v>0</v>
      </c>
      <c r="AI541" s="14" t="n">
        <f aca="false">IF($L541=2015,1,0)</f>
        <v>1</v>
      </c>
      <c r="AJ541" s="14" t="n">
        <f aca="false">IF($L541=2016,1,0)</f>
        <v>0</v>
      </c>
      <c r="AK541" s="14" t="n">
        <f aca="false">IF($L541=2017,1,0)</f>
        <v>0</v>
      </c>
      <c r="AL541" s="14" t="n">
        <f aca="false">IF($H541="Beginner Level",1,0)</f>
        <v>0</v>
      </c>
      <c r="AM541" s="14" t="n">
        <f aca="false">IF($H541="Expert Level",1,0)</f>
        <v>0</v>
      </c>
      <c r="AN541" s="14" t="n">
        <f aca="false">IF($H541="Intermediate Level",1,0)</f>
        <v>0</v>
      </c>
    </row>
    <row r="542" customFormat="false" ht="57.45" hidden="false" customHeight="false" outlineLevel="0" collapsed="false">
      <c r="A542" s="14" t="n">
        <v>473338</v>
      </c>
      <c r="B542" s="14" t="s">
        <v>1127</v>
      </c>
      <c r="C542" s="14" t="s">
        <v>1128</v>
      </c>
      <c r="D542" s="14" t="n">
        <v>95</v>
      </c>
      <c r="E542" s="14" t="n">
        <v>2888</v>
      </c>
      <c r="F542" s="14" t="n">
        <v>26</v>
      </c>
      <c r="G542" s="14" t="n">
        <v>24</v>
      </c>
      <c r="H542" s="14" t="s">
        <v>62</v>
      </c>
      <c r="I542" s="14" t="n">
        <v>0.8</v>
      </c>
      <c r="J542" s="14" t="n">
        <v>2.5</v>
      </c>
      <c r="K542" s="14" t="s">
        <v>59</v>
      </c>
      <c r="L542" s="14" t="n">
        <v>2015</v>
      </c>
      <c r="M542" s="14" t="n">
        <v>7.96831950001272</v>
      </c>
      <c r="N542" s="14" t="n">
        <v>4.55398214921866</v>
      </c>
      <c r="P542" s="14" t="n">
        <f aca="false">D542</f>
        <v>95</v>
      </c>
      <c r="Q542" s="14" t="n">
        <f aca="false">G542</f>
        <v>24</v>
      </c>
      <c r="R542" s="14" t="n">
        <f aca="false">J542</f>
        <v>2.5</v>
      </c>
      <c r="S542" s="14" t="n">
        <f aca="false">IF($L542=2012,1,0)</f>
        <v>0</v>
      </c>
      <c r="T542" s="14" t="n">
        <f aca="false">IF($L542=2013,1,0)</f>
        <v>0</v>
      </c>
      <c r="U542" s="14" t="n">
        <f aca="false">IF($L542=2014,1,0)</f>
        <v>0</v>
      </c>
      <c r="V542" s="14" t="n">
        <f aca="false">IF($L542=2015,1,0)</f>
        <v>1</v>
      </c>
      <c r="W542" s="14" t="n">
        <f aca="false">IF($L542=2016,1,0)</f>
        <v>0</v>
      </c>
      <c r="X542" s="14" t="n">
        <f aca="false">IF($L542=2017,1,0)</f>
        <v>0</v>
      </c>
      <c r="Y542" s="14" t="n">
        <f aca="false">IF($H542="Beginner Level",1,0)</f>
        <v>0</v>
      </c>
      <c r="Z542" s="14" t="n">
        <f aca="false">IF($H542="Expert Level",1,0)</f>
        <v>0</v>
      </c>
      <c r="AA542" s="14" t="n">
        <f aca="false">IF($H542="Intermediate Level",1,0)</f>
        <v>0</v>
      </c>
      <c r="AC542" s="14" t="n">
        <f aca="false">N542</f>
        <v>4.55398214921866</v>
      </c>
      <c r="AD542" s="14" t="n">
        <f aca="false">G542</f>
        <v>24</v>
      </c>
      <c r="AE542" s="14" t="n">
        <f aca="false">J542</f>
        <v>2.5</v>
      </c>
      <c r="AF542" s="14" t="n">
        <f aca="false">IF($L542=2012,1,0)</f>
        <v>0</v>
      </c>
      <c r="AG542" s="14" t="n">
        <f aca="false">IF($L542=2013,1,0)</f>
        <v>0</v>
      </c>
      <c r="AH542" s="14" t="n">
        <f aca="false">IF($L542=2014,1,0)</f>
        <v>0</v>
      </c>
      <c r="AI542" s="14" t="n">
        <f aca="false">IF($L542=2015,1,0)</f>
        <v>1</v>
      </c>
      <c r="AJ542" s="14" t="n">
        <f aca="false">IF($L542=2016,1,0)</f>
        <v>0</v>
      </c>
      <c r="AK542" s="14" t="n">
        <f aca="false">IF($L542=2017,1,0)</f>
        <v>0</v>
      </c>
      <c r="AL542" s="14" t="n">
        <f aca="false">IF($H542="Beginner Level",1,0)</f>
        <v>0</v>
      </c>
      <c r="AM542" s="14" t="n">
        <f aca="false">IF($H542="Expert Level",1,0)</f>
        <v>0</v>
      </c>
      <c r="AN542" s="14" t="n">
        <f aca="false">IF($H542="Intermediate Level",1,0)</f>
        <v>0</v>
      </c>
    </row>
    <row r="543" customFormat="false" ht="68.65" hidden="false" customHeight="false" outlineLevel="0" collapsed="false">
      <c r="A543" s="14" t="n">
        <v>636418</v>
      </c>
      <c r="B543" s="14" t="s">
        <v>1129</v>
      </c>
      <c r="C543" s="14" t="s">
        <v>1130</v>
      </c>
      <c r="D543" s="14" t="n">
        <v>195</v>
      </c>
      <c r="E543" s="14" t="n">
        <v>2875</v>
      </c>
      <c r="F543" s="14" t="n">
        <v>20</v>
      </c>
      <c r="G543" s="14" t="n">
        <v>36</v>
      </c>
      <c r="H543" s="14" t="s">
        <v>52</v>
      </c>
      <c r="I543" s="14" t="n">
        <v>0.8</v>
      </c>
      <c r="J543" s="14" t="n">
        <v>4.5</v>
      </c>
      <c r="K543" s="14" t="s">
        <v>59</v>
      </c>
      <c r="L543" s="14" t="n">
        <v>2015</v>
      </c>
      <c r="M543" s="14" t="n">
        <v>7.96380795323145</v>
      </c>
      <c r="N543" s="14" t="n">
        <v>5.27305083930015</v>
      </c>
      <c r="P543" s="14" t="n">
        <f aca="false">D543</f>
        <v>195</v>
      </c>
      <c r="Q543" s="14" t="n">
        <f aca="false">G543</f>
        <v>36</v>
      </c>
      <c r="R543" s="14" t="n">
        <f aca="false">J543</f>
        <v>4.5</v>
      </c>
      <c r="S543" s="14" t="n">
        <f aca="false">IF($L543=2012,1,0)</f>
        <v>0</v>
      </c>
      <c r="T543" s="14" t="n">
        <f aca="false">IF($L543=2013,1,0)</f>
        <v>0</v>
      </c>
      <c r="U543" s="14" t="n">
        <f aca="false">IF($L543=2014,1,0)</f>
        <v>0</v>
      </c>
      <c r="V543" s="14" t="n">
        <f aca="false">IF($L543=2015,1,0)</f>
        <v>1</v>
      </c>
      <c r="W543" s="14" t="n">
        <f aca="false">IF($L543=2016,1,0)</f>
        <v>0</v>
      </c>
      <c r="X543" s="14" t="n">
        <f aca="false">IF($L543=2017,1,0)</f>
        <v>0</v>
      </c>
      <c r="Y543" s="14" t="n">
        <f aca="false">IF($H543="Beginner Level",1,0)</f>
        <v>1</v>
      </c>
      <c r="Z543" s="14" t="n">
        <f aca="false">IF($H543="Expert Level",1,0)</f>
        <v>0</v>
      </c>
      <c r="AA543" s="14" t="n">
        <f aca="false">IF($H543="Intermediate Level",1,0)</f>
        <v>0</v>
      </c>
      <c r="AC543" s="14" t="n">
        <f aca="false">N543</f>
        <v>5.27305083930015</v>
      </c>
      <c r="AD543" s="14" t="n">
        <f aca="false">G543</f>
        <v>36</v>
      </c>
      <c r="AE543" s="14" t="n">
        <f aca="false">J543</f>
        <v>4.5</v>
      </c>
      <c r="AF543" s="14" t="n">
        <f aca="false">IF($L543=2012,1,0)</f>
        <v>0</v>
      </c>
      <c r="AG543" s="14" t="n">
        <f aca="false">IF($L543=2013,1,0)</f>
        <v>0</v>
      </c>
      <c r="AH543" s="14" t="n">
        <f aca="false">IF($L543=2014,1,0)</f>
        <v>0</v>
      </c>
      <c r="AI543" s="14" t="n">
        <f aca="false">IF($L543=2015,1,0)</f>
        <v>1</v>
      </c>
      <c r="AJ543" s="14" t="n">
        <f aca="false">IF($L543=2016,1,0)</f>
        <v>0</v>
      </c>
      <c r="AK543" s="14" t="n">
        <f aca="false">IF($L543=2017,1,0)</f>
        <v>0</v>
      </c>
      <c r="AL543" s="14" t="n">
        <f aca="false">IF($H543="Beginner Level",1,0)</f>
        <v>1</v>
      </c>
      <c r="AM543" s="14" t="n">
        <f aca="false">IF($H543="Expert Level",1,0)</f>
        <v>0</v>
      </c>
      <c r="AN543" s="14" t="n">
        <f aca="false">IF($H543="Intermediate Level",1,0)</f>
        <v>0</v>
      </c>
    </row>
    <row r="544" customFormat="false" ht="57.45" hidden="false" customHeight="false" outlineLevel="0" collapsed="false">
      <c r="A544" s="14" t="n">
        <v>1090788</v>
      </c>
      <c r="B544" s="14" t="s">
        <v>1131</v>
      </c>
      <c r="C544" s="14" t="s">
        <v>1132</v>
      </c>
      <c r="D544" s="14" t="n">
        <v>40</v>
      </c>
      <c r="E544" s="14" t="n">
        <v>2865</v>
      </c>
      <c r="F544" s="14" t="n">
        <v>95</v>
      </c>
      <c r="G544" s="14" t="n">
        <v>32</v>
      </c>
      <c r="H544" s="14" t="s">
        <v>52</v>
      </c>
      <c r="I544" s="14" t="n">
        <v>0.8</v>
      </c>
      <c r="J544" s="14" t="n">
        <v>4</v>
      </c>
      <c r="K544" s="14" t="s">
        <v>59</v>
      </c>
      <c r="L544" s="14" t="n">
        <v>2017</v>
      </c>
      <c r="M544" s="14" t="n">
        <v>7.96032362914884</v>
      </c>
      <c r="N544" s="14" t="n">
        <v>3.68912942286914</v>
      </c>
      <c r="P544" s="14" t="n">
        <f aca="false">D544</f>
        <v>40</v>
      </c>
      <c r="Q544" s="14" t="n">
        <f aca="false">G544</f>
        <v>32</v>
      </c>
      <c r="R544" s="14" t="n">
        <f aca="false">J544</f>
        <v>4</v>
      </c>
      <c r="S544" s="14" t="n">
        <f aca="false">IF($L544=2012,1,0)</f>
        <v>0</v>
      </c>
      <c r="T544" s="14" t="n">
        <f aca="false">IF($L544=2013,1,0)</f>
        <v>0</v>
      </c>
      <c r="U544" s="14" t="n">
        <f aca="false">IF($L544=2014,1,0)</f>
        <v>0</v>
      </c>
      <c r="V544" s="14" t="n">
        <f aca="false">IF($L544=2015,1,0)</f>
        <v>0</v>
      </c>
      <c r="W544" s="14" t="n">
        <f aca="false">IF($L544=2016,1,0)</f>
        <v>0</v>
      </c>
      <c r="X544" s="14" t="n">
        <f aca="false">IF($L544=2017,1,0)</f>
        <v>1</v>
      </c>
      <c r="Y544" s="14" t="n">
        <f aca="false">IF($H544="Beginner Level",1,0)</f>
        <v>1</v>
      </c>
      <c r="Z544" s="14" t="n">
        <f aca="false">IF($H544="Expert Level",1,0)</f>
        <v>0</v>
      </c>
      <c r="AA544" s="14" t="n">
        <f aca="false">IF($H544="Intermediate Level",1,0)</f>
        <v>0</v>
      </c>
      <c r="AC544" s="14" t="n">
        <f aca="false">N544</f>
        <v>3.68912942286914</v>
      </c>
      <c r="AD544" s="14" t="n">
        <f aca="false">G544</f>
        <v>32</v>
      </c>
      <c r="AE544" s="14" t="n">
        <f aca="false">J544</f>
        <v>4</v>
      </c>
      <c r="AF544" s="14" t="n">
        <f aca="false">IF($L544=2012,1,0)</f>
        <v>0</v>
      </c>
      <c r="AG544" s="14" t="n">
        <f aca="false">IF($L544=2013,1,0)</f>
        <v>0</v>
      </c>
      <c r="AH544" s="14" t="n">
        <f aca="false">IF($L544=2014,1,0)</f>
        <v>0</v>
      </c>
      <c r="AI544" s="14" t="n">
        <f aca="false">IF($L544=2015,1,0)</f>
        <v>0</v>
      </c>
      <c r="AJ544" s="14" t="n">
        <f aca="false">IF($L544=2016,1,0)</f>
        <v>0</v>
      </c>
      <c r="AK544" s="14" t="n">
        <f aca="false">IF($L544=2017,1,0)</f>
        <v>1</v>
      </c>
      <c r="AL544" s="14" t="n">
        <f aca="false">IF($H544="Beginner Level",1,0)</f>
        <v>1</v>
      </c>
      <c r="AM544" s="14" t="n">
        <f aca="false">IF($H544="Expert Level",1,0)</f>
        <v>0</v>
      </c>
      <c r="AN544" s="14" t="n">
        <f aca="false">IF($H544="Intermediate Level",1,0)</f>
        <v>0</v>
      </c>
    </row>
    <row r="545" customFormat="false" ht="57.45" hidden="false" customHeight="false" outlineLevel="0" collapsed="false">
      <c r="A545" s="14" t="n">
        <v>954948</v>
      </c>
      <c r="B545" s="14" t="s">
        <v>1133</v>
      </c>
      <c r="C545" s="14" t="s">
        <v>1134</v>
      </c>
      <c r="D545" s="14" t="n">
        <v>0</v>
      </c>
      <c r="E545" s="14" t="n">
        <v>2859</v>
      </c>
      <c r="F545" s="14" t="n">
        <v>42</v>
      </c>
      <c r="G545" s="14" t="n">
        <v>17</v>
      </c>
      <c r="H545" s="14" t="s">
        <v>62</v>
      </c>
      <c r="I545" s="14" t="n">
        <v>0.8</v>
      </c>
      <c r="J545" s="14" t="n">
        <v>0.73333333</v>
      </c>
      <c r="K545" s="14" t="s">
        <v>53</v>
      </c>
      <c r="L545" s="14" t="n">
        <v>2016</v>
      </c>
      <c r="M545" s="14" t="n">
        <v>7.95822719232231</v>
      </c>
      <c r="N545" s="14" t="n">
        <v>-4.60517018598809</v>
      </c>
      <c r="P545" s="14" t="n">
        <f aca="false">D545</f>
        <v>0</v>
      </c>
      <c r="Q545" s="14" t="n">
        <f aca="false">G545</f>
        <v>17</v>
      </c>
      <c r="R545" s="14" t="n">
        <f aca="false">J545</f>
        <v>0.73333333</v>
      </c>
      <c r="S545" s="14" t="n">
        <f aca="false">IF($L545=2012,1,0)</f>
        <v>0</v>
      </c>
      <c r="T545" s="14" t="n">
        <f aca="false">IF($L545=2013,1,0)</f>
        <v>0</v>
      </c>
      <c r="U545" s="14" t="n">
        <f aca="false">IF($L545=2014,1,0)</f>
        <v>0</v>
      </c>
      <c r="V545" s="14" t="n">
        <f aca="false">IF($L545=2015,1,0)</f>
        <v>0</v>
      </c>
      <c r="W545" s="14" t="n">
        <f aca="false">IF($L545=2016,1,0)</f>
        <v>1</v>
      </c>
      <c r="X545" s="14" t="n">
        <f aca="false">IF($L545=2017,1,0)</f>
        <v>0</v>
      </c>
      <c r="Y545" s="14" t="n">
        <f aca="false">IF($H545="Beginner Level",1,0)</f>
        <v>0</v>
      </c>
      <c r="Z545" s="14" t="n">
        <f aca="false">IF($H545="Expert Level",1,0)</f>
        <v>0</v>
      </c>
      <c r="AA545" s="14" t="n">
        <f aca="false">IF($H545="Intermediate Level",1,0)</f>
        <v>0</v>
      </c>
      <c r="AC545" s="14" t="n">
        <f aca="false">N545</f>
        <v>-4.60517018598809</v>
      </c>
      <c r="AD545" s="14" t="n">
        <f aca="false">G545</f>
        <v>17</v>
      </c>
      <c r="AE545" s="14" t="n">
        <f aca="false">J545</f>
        <v>0.73333333</v>
      </c>
      <c r="AF545" s="14" t="n">
        <f aca="false">IF($L545=2012,1,0)</f>
        <v>0</v>
      </c>
      <c r="AG545" s="14" t="n">
        <f aca="false">IF($L545=2013,1,0)</f>
        <v>0</v>
      </c>
      <c r="AH545" s="14" t="n">
        <f aca="false">IF($L545=2014,1,0)</f>
        <v>0</v>
      </c>
      <c r="AI545" s="14" t="n">
        <f aca="false">IF($L545=2015,1,0)</f>
        <v>0</v>
      </c>
      <c r="AJ545" s="14" t="n">
        <f aca="false">IF($L545=2016,1,0)</f>
        <v>1</v>
      </c>
      <c r="AK545" s="14" t="n">
        <f aca="false">IF($L545=2017,1,0)</f>
        <v>0</v>
      </c>
      <c r="AL545" s="14" t="n">
        <f aca="false">IF($H545="Beginner Level",1,0)</f>
        <v>0</v>
      </c>
      <c r="AM545" s="14" t="n">
        <f aca="false">IF($H545="Expert Level",1,0)</f>
        <v>0</v>
      </c>
      <c r="AN545" s="14" t="n">
        <f aca="false">IF($H545="Intermediate Level",1,0)</f>
        <v>0</v>
      </c>
    </row>
    <row r="546" customFormat="false" ht="79.85" hidden="false" customHeight="false" outlineLevel="0" collapsed="false">
      <c r="A546" s="14" t="n">
        <v>1199780</v>
      </c>
      <c r="B546" s="14" t="s">
        <v>1135</v>
      </c>
      <c r="C546" s="14" t="s">
        <v>1136</v>
      </c>
      <c r="D546" s="14" t="n">
        <v>20</v>
      </c>
      <c r="E546" s="14" t="n">
        <v>2853</v>
      </c>
      <c r="F546" s="14" t="n">
        <v>47</v>
      </c>
      <c r="G546" s="14" t="n">
        <v>16</v>
      </c>
      <c r="H546" s="14" t="s">
        <v>62</v>
      </c>
      <c r="I546" s="14" t="n">
        <v>0.14</v>
      </c>
      <c r="J546" s="14" t="n">
        <v>1.5</v>
      </c>
      <c r="K546" s="14" t="s">
        <v>59</v>
      </c>
      <c r="L546" s="14" t="n">
        <v>2017</v>
      </c>
      <c r="M546" s="14" t="n">
        <v>7.9561263512135</v>
      </c>
      <c r="N546" s="14" t="n">
        <v>2.99623214859564</v>
      </c>
      <c r="P546" s="14" t="n">
        <f aca="false">D546</f>
        <v>20</v>
      </c>
      <c r="Q546" s="14" t="n">
        <f aca="false">G546</f>
        <v>16</v>
      </c>
      <c r="R546" s="14" t="n">
        <f aca="false">J546</f>
        <v>1.5</v>
      </c>
      <c r="S546" s="14" t="n">
        <f aca="false">IF($L546=2012,1,0)</f>
        <v>0</v>
      </c>
      <c r="T546" s="14" t="n">
        <f aca="false">IF($L546=2013,1,0)</f>
        <v>0</v>
      </c>
      <c r="U546" s="14" t="n">
        <f aca="false">IF($L546=2014,1,0)</f>
        <v>0</v>
      </c>
      <c r="V546" s="14" t="n">
        <f aca="false">IF($L546=2015,1,0)</f>
        <v>0</v>
      </c>
      <c r="W546" s="14" t="n">
        <f aca="false">IF($L546=2016,1,0)</f>
        <v>0</v>
      </c>
      <c r="X546" s="14" t="n">
        <f aca="false">IF($L546=2017,1,0)</f>
        <v>1</v>
      </c>
      <c r="Y546" s="14" t="n">
        <f aca="false">IF($H546="Beginner Level",1,0)</f>
        <v>0</v>
      </c>
      <c r="Z546" s="14" t="n">
        <f aca="false">IF($H546="Expert Level",1,0)</f>
        <v>0</v>
      </c>
      <c r="AA546" s="14" t="n">
        <f aca="false">IF($H546="Intermediate Level",1,0)</f>
        <v>0</v>
      </c>
      <c r="AC546" s="14" t="n">
        <f aca="false">N546</f>
        <v>2.99623214859564</v>
      </c>
      <c r="AD546" s="14" t="n">
        <f aca="false">G546</f>
        <v>16</v>
      </c>
      <c r="AE546" s="14" t="n">
        <f aca="false">J546</f>
        <v>1.5</v>
      </c>
      <c r="AF546" s="14" t="n">
        <f aca="false">IF($L546=2012,1,0)</f>
        <v>0</v>
      </c>
      <c r="AG546" s="14" t="n">
        <f aca="false">IF($L546=2013,1,0)</f>
        <v>0</v>
      </c>
      <c r="AH546" s="14" t="n">
        <f aca="false">IF($L546=2014,1,0)</f>
        <v>0</v>
      </c>
      <c r="AI546" s="14" t="n">
        <f aca="false">IF($L546=2015,1,0)</f>
        <v>0</v>
      </c>
      <c r="AJ546" s="14" t="n">
        <f aca="false">IF($L546=2016,1,0)</f>
        <v>0</v>
      </c>
      <c r="AK546" s="14" t="n">
        <f aca="false">IF($L546=2017,1,0)</f>
        <v>1</v>
      </c>
      <c r="AL546" s="14" t="n">
        <f aca="false">IF($H546="Beginner Level",1,0)</f>
        <v>0</v>
      </c>
      <c r="AM546" s="14" t="n">
        <f aca="false">IF($H546="Expert Level",1,0)</f>
        <v>0</v>
      </c>
      <c r="AN546" s="14" t="n">
        <f aca="false">IF($H546="Intermediate Level",1,0)</f>
        <v>0</v>
      </c>
    </row>
    <row r="547" customFormat="false" ht="57.45" hidden="false" customHeight="false" outlineLevel="0" collapsed="false">
      <c r="A547" s="14" t="n">
        <v>106156</v>
      </c>
      <c r="B547" s="14" t="s">
        <v>1137</v>
      </c>
      <c r="C547" s="14" t="s">
        <v>1138</v>
      </c>
      <c r="D547" s="14" t="n">
        <v>120</v>
      </c>
      <c r="E547" s="14" t="n">
        <v>2837</v>
      </c>
      <c r="F547" s="14" t="n">
        <v>68</v>
      </c>
      <c r="G547" s="14" t="n">
        <v>49</v>
      </c>
      <c r="H547" s="14" t="s">
        <v>62</v>
      </c>
      <c r="I547" s="14" t="n">
        <v>0.14</v>
      </c>
      <c r="J547" s="14" t="n">
        <v>7</v>
      </c>
      <c r="K547" s="14" t="s">
        <v>59</v>
      </c>
      <c r="L547" s="14" t="n">
        <v>2013</v>
      </c>
      <c r="M547" s="14" t="n">
        <v>7.95050243480885</v>
      </c>
      <c r="N547" s="14" t="n">
        <v>4.78757507264335</v>
      </c>
      <c r="P547" s="14" t="n">
        <f aca="false">D547</f>
        <v>120</v>
      </c>
      <c r="Q547" s="14" t="n">
        <f aca="false">G547</f>
        <v>49</v>
      </c>
      <c r="R547" s="14" t="n">
        <f aca="false">J547</f>
        <v>7</v>
      </c>
      <c r="S547" s="14" t="n">
        <f aca="false">IF($L547=2012,1,0)</f>
        <v>0</v>
      </c>
      <c r="T547" s="14" t="n">
        <f aca="false">IF($L547=2013,1,0)</f>
        <v>1</v>
      </c>
      <c r="U547" s="14" t="n">
        <f aca="false">IF($L547=2014,1,0)</f>
        <v>0</v>
      </c>
      <c r="V547" s="14" t="n">
        <f aca="false">IF($L547=2015,1,0)</f>
        <v>0</v>
      </c>
      <c r="W547" s="14" t="n">
        <f aca="false">IF($L547=2016,1,0)</f>
        <v>0</v>
      </c>
      <c r="X547" s="14" t="n">
        <f aca="false">IF($L547=2017,1,0)</f>
        <v>0</v>
      </c>
      <c r="Y547" s="14" t="n">
        <f aca="false">IF($H547="Beginner Level",1,0)</f>
        <v>0</v>
      </c>
      <c r="Z547" s="14" t="n">
        <f aca="false">IF($H547="Expert Level",1,0)</f>
        <v>0</v>
      </c>
      <c r="AA547" s="14" t="n">
        <f aca="false">IF($H547="Intermediate Level",1,0)</f>
        <v>0</v>
      </c>
      <c r="AC547" s="14" t="n">
        <f aca="false">N547</f>
        <v>4.78757507264335</v>
      </c>
      <c r="AD547" s="14" t="n">
        <f aca="false">G547</f>
        <v>49</v>
      </c>
      <c r="AE547" s="14" t="n">
        <f aca="false">J547</f>
        <v>7</v>
      </c>
      <c r="AF547" s="14" t="n">
        <f aca="false">IF($L547=2012,1,0)</f>
        <v>0</v>
      </c>
      <c r="AG547" s="14" t="n">
        <f aca="false">IF($L547=2013,1,0)</f>
        <v>1</v>
      </c>
      <c r="AH547" s="14" t="n">
        <f aca="false">IF($L547=2014,1,0)</f>
        <v>0</v>
      </c>
      <c r="AI547" s="14" t="n">
        <f aca="false">IF($L547=2015,1,0)</f>
        <v>0</v>
      </c>
      <c r="AJ547" s="14" t="n">
        <f aca="false">IF($L547=2016,1,0)</f>
        <v>0</v>
      </c>
      <c r="AK547" s="14" t="n">
        <f aca="false">IF($L547=2017,1,0)</f>
        <v>0</v>
      </c>
      <c r="AL547" s="14" t="n">
        <f aca="false">IF($H547="Beginner Level",1,0)</f>
        <v>0</v>
      </c>
      <c r="AM547" s="14" t="n">
        <f aca="false">IF($H547="Expert Level",1,0)</f>
        <v>0</v>
      </c>
      <c r="AN547" s="14" t="n">
        <f aca="false">IF($H547="Intermediate Level",1,0)</f>
        <v>0</v>
      </c>
    </row>
    <row r="548" customFormat="false" ht="68.65" hidden="false" customHeight="false" outlineLevel="0" collapsed="false">
      <c r="A548" s="14" t="n">
        <v>348920</v>
      </c>
      <c r="B548" s="14" t="s">
        <v>1139</v>
      </c>
      <c r="C548" s="14" t="s">
        <v>1140</v>
      </c>
      <c r="D548" s="14" t="n">
        <v>95</v>
      </c>
      <c r="E548" s="14" t="n">
        <v>2814</v>
      </c>
      <c r="F548" s="14" t="n">
        <v>14</v>
      </c>
      <c r="G548" s="14" t="n">
        <v>39</v>
      </c>
      <c r="H548" s="14" t="s">
        <v>62</v>
      </c>
      <c r="I548" s="14" t="n">
        <v>0.17</v>
      </c>
      <c r="J548" s="14" t="n">
        <v>2</v>
      </c>
      <c r="K548" s="14" t="s">
        <v>59</v>
      </c>
      <c r="L548" s="14" t="n">
        <v>2014</v>
      </c>
      <c r="M548" s="14" t="n">
        <v>7.94236223767434</v>
      </c>
      <c r="N548" s="14" t="n">
        <v>4.55398214921866</v>
      </c>
      <c r="P548" s="14" t="n">
        <f aca="false">D548</f>
        <v>95</v>
      </c>
      <c r="Q548" s="14" t="n">
        <f aca="false">G548</f>
        <v>39</v>
      </c>
      <c r="R548" s="14" t="n">
        <f aca="false">J548</f>
        <v>2</v>
      </c>
      <c r="S548" s="14" t="n">
        <f aca="false">IF($L548=2012,1,0)</f>
        <v>0</v>
      </c>
      <c r="T548" s="14" t="n">
        <f aca="false">IF($L548=2013,1,0)</f>
        <v>0</v>
      </c>
      <c r="U548" s="14" t="n">
        <f aca="false">IF($L548=2014,1,0)</f>
        <v>1</v>
      </c>
      <c r="V548" s="14" t="n">
        <f aca="false">IF($L548=2015,1,0)</f>
        <v>0</v>
      </c>
      <c r="W548" s="14" t="n">
        <f aca="false">IF($L548=2016,1,0)</f>
        <v>0</v>
      </c>
      <c r="X548" s="14" t="n">
        <f aca="false">IF($L548=2017,1,0)</f>
        <v>0</v>
      </c>
      <c r="Y548" s="14" t="n">
        <f aca="false">IF($H548="Beginner Level",1,0)</f>
        <v>0</v>
      </c>
      <c r="Z548" s="14" t="n">
        <f aca="false">IF($H548="Expert Level",1,0)</f>
        <v>0</v>
      </c>
      <c r="AA548" s="14" t="n">
        <f aca="false">IF($H548="Intermediate Level",1,0)</f>
        <v>0</v>
      </c>
      <c r="AC548" s="14" t="n">
        <f aca="false">N548</f>
        <v>4.55398214921866</v>
      </c>
      <c r="AD548" s="14" t="n">
        <f aca="false">G548</f>
        <v>39</v>
      </c>
      <c r="AE548" s="14" t="n">
        <f aca="false">J548</f>
        <v>2</v>
      </c>
      <c r="AF548" s="14" t="n">
        <f aca="false">IF($L548=2012,1,0)</f>
        <v>0</v>
      </c>
      <c r="AG548" s="14" t="n">
        <f aca="false">IF($L548=2013,1,0)</f>
        <v>0</v>
      </c>
      <c r="AH548" s="14" t="n">
        <f aca="false">IF($L548=2014,1,0)</f>
        <v>1</v>
      </c>
      <c r="AI548" s="14" t="n">
        <f aca="false">IF($L548=2015,1,0)</f>
        <v>0</v>
      </c>
      <c r="AJ548" s="14" t="n">
        <f aca="false">IF($L548=2016,1,0)</f>
        <v>0</v>
      </c>
      <c r="AK548" s="14" t="n">
        <f aca="false">IF($L548=2017,1,0)</f>
        <v>0</v>
      </c>
      <c r="AL548" s="14" t="n">
        <f aca="false">IF($H548="Beginner Level",1,0)</f>
        <v>0</v>
      </c>
      <c r="AM548" s="14" t="n">
        <f aca="false">IF($H548="Expert Level",1,0)</f>
        <v>0</v>
      </c>
      <c r="AN548" s="14" t="n">
        <f aca="false">IF($H548="Intermediate Level",1,0)</f>
        <v>0</v>
      </c>
    </row>
    <row r="549" customFormat="false" ht="68.65" hidden="false" customHeight="false" outlineLevel="0" collapsed="false">
      <c r="A549" s="14" t="n">
        <v>844458</v>
      </c>
      <c r="B549" s="14" t="s">
        <v>1141</v>
      </c>
      <c r="C549" s="14" t="s">
        <v>1142</v>
      </c>
      <c r="D549" s="14" t="n">
        <v>140</v>
      </c>
      <c r="E549" s="14" t="n">
        <v>2814</v>
      </c>
      <c r="F549" s="14" t="n">
        <v>107</v>
      </c>
      <c r="G549" s="14" t="n">
        <v>35</v>
      </c>
      <c r="H549" s="14" t="s">
        <v>71</v>
      </c>
      <c r="I549" s="14" t="n">
        <v>0.47</v>
      </c>
      <c r="J549" s="14" t="n">
        <v>2</v>
      </c>
      <c r="K549" s="14" t="s">
        <v>59</v>
      </c>
      <c r="L549" s="14" t="n">
        <v>2016</v>
      </c>
      <c r="M549" s="14" t="n">
        <v>7.94236223767434</v>
      </c>
      <c r="N549" s="14" t="n">
        <v>4.94171384862983</v>
      </c>
      <c r="P549" s="14" t="n">
        <f aca="false">D549</f>
        <v>140</v>
      </c>
      <c r="Q549" s="14" t="n">
        <f aca="false">G549</f>
        <v>35</v>
      </c>
      <c r="R549" s="14" t="n">
        <f aca="false">J549</f>
        <v>2</v>
      </c>
      <c r="S549" s="14" t="n">
        <f aca="false">IF($L549=2012,1,0)</f>
        <v>0</v>
      </c>
      <c r="T549" s="14" t="n">
        <f aca="false">IF($L549=2013,1,0)</f>
        <v>0</v>
      </c>
      <c r="U549" s="14" t="n">
        <f aca="false">IF($L549=2014,1,0)</f>
        <v>0</v>
      </c>
      <c r="V549" s="14" t="n">
        <f aca="false">IF($L549=2015,1,0)</f>
        <v>0</v>
      </c>
      <c r="W549" s="14" t="n">
        <f aca="false">IF($L549=2016,1,0)</f>
        <v>1</v>
      </c>
      <c r="X549" s="14" t="n">
        <f aca="false">IF($L549=2017,1,0)</f>
        <v>0</v>
      </c>
      <c r="Y549" s="14" t="n">
        <f aca="false">IF($H549="Beginner Level",1,0)</f>
        <v>0</v>
      </c>
      <c r="Z549" s="14" t="n">
        <f aca="false">IF($H549="Expert Level",1,0)</f>
        <v>0</v>
      </c>
      <c r="AA549" s="14" t="n">
        <f aca="false">IF($H549="Intermediate Level",1,0)</f>
        <v>1</v>
      </c>
      <c r="AC549" s="14" t="n">
        <f aca="false">N549</f>
        <v>4.94171384862983</v>
      </c>
      <c r="AD549" s="14" t="n">
        <f aca="false">G549</f>
        <v>35</v>
      </c>
      <c r="AE549" s="14" t="n">
        <f aca="false">J549</f>
        <v>2</v>
      </c>
      <c r="AF549" s="14" t="n">
        <f aca="false">IF($L549=2012,1,0)</f>
        <v>0</v>
      </c>
      <c r="AG549" s="14" t="n">
        <f aca="false">IF($L549=2013,1,0)</f>
        <v>0</v>
      </c>
      <c r="AH549" s="14" t="n">
        <f aca="false">IF($L549=2014,1,0)</f>
        <v>0</v>
      </c>
      <c r="AI549" s="14" t="n">
        <f aca="false">IF($L549=2015,1,0)</f>
        <v>0</v>
      </c>
      <c r="AJ549" s="14" t="n">
        <f aca="false">IF($L549=2016,1,0)</f>
        <v>1</v>
      </c>
      <c r="AK549" s="14" t="n">
        <f aca="false">IF($L549=2017,1,0)</f>
        <v>0</v>
      </c>
      <c r="AL549" s="14" t="n">
        <f aca="false">IF($H549="Beginner Level",1,0)</f>
        <v>0</v>
      </c>
      <c r="AM549" s="14" t="n">
        <f aca="false">IF($H549="Expert Level",1,0)</f>
        <v>0</v>
      </c>
      <c r="AN549" s="14" t="n">
        <f aca="false">IF($H549="Intermediate Level",1,0)</f>
        <v>1</v>
      </c>
    </row>
    <row r="550" customFormat="false" ht="68.65" hidden="false" customHeight="false" outlineLevel="0" collapsed="false">
      <c r="A550" s="14" t="n">
        <v>1052118</v>
      </c>
      <c r="B550" s="14" t="s">
        <v>1143</v>
      </c>
      <c r="C550" s="14" t="s">
        <v>1144</v>
      </c>
      <c r="D550" s="14" t="n">
        <v>195</v>
      </c>
      <c r="E550" s="14" t="n">
        <v>2804</v>
      </c>
      <c r="F550" s="14" t="n">
        <v>418</v>
      </c>
      <c r="G550" s="14" t="n">
        <v>212</v>
      </c>
      <c r="H550" s="14" t="s">
        <v>62</v>
      </c>
      <c r="I550" s="14" t="n">
        <v>0.92</v>
      </c>
      <c r="J550" s="14" t="n">
        <v>37.5</v>
      </c>
      <c r="K550" s="14" t="s">
        <v>59</v>
      </c>
      <c r="L550" s="14" t="n">
        <v>2017</v>
      </c>
      <c r="M550" s="14" t="n">
        <v>7.93880224815448</v>
      </c>
      <c r="N550" s="14" t="n">
        <v>5.27305083930015</v>
      </c>
      <c r="P550" s="14" t="n">
        <f aca="false">D550</f>
        <v>195</v>
      </c>
      <c r="Q550" s="14" t="n">
        <f aca="false">G550</f>
        <v>212</v>
      </c>
      <c r="R550" s="14" t="n">
        <f aca="false">J550</f>
        <v>37.5</v>
      </c>
      <c r="S550" s="14" t="n">
        <f aca="false">IF($L550=2012,1,0)</f>
        <v>0</v>
      </c>
      <c r="T550" s="14" t="n">
        <f aca="false">IF($L550=2013,1,0)</f>
        <v>0</v>
      </c>
      <c r="U550" s="14" t="n">
        <f aca="false">IF($L550=2014,1,0)</f>
        <v>0</v>
      </c>
      <c r="V550" s="14" t="n">
        <f aca="false">IF($L550=2015,1,0)</f>
        <v>0</v>
      </c>
      <c r="W550" s="14" t="n">
        <f aca="false">IF($L550=2016,1,0)</f>
        <v>0</v>
      </c>
      <c r="X550" s="14" t="n">
        <f aca="false">IF($L550=2017,1,0)</f>
        <v>1</v>
      </c>
      <c r="Y550" s="14" t="n">
        <f aca="false">IF($H550="Beginner Level",1,0)</f>
        <v>0</v>
      </c>
      <c r="Z550" s="14" t="n">
        <f aca="false">IF($H550="Expert Level",1,0)</f>
        <v>0</v>
      </c>
      <c r="AA550" s="14" t="n">
        <f aca="false">IF($H550="Intermediate Level",1,0)</f>
        <v>0</v>
      </c>
      <c r="AC550" s="14" t="n">
        <f aca="false">N550</f>
        <v>5.27305083930015</v>
      </c>
      <c r="AD550" s="14" t="n">
        <f aca="false">G550</f>
        <v>212</v>
      </c>
      <c r="AE550" s="14" t="n">
        <f aca="false">J550</f>
        <v>37.5</v>
      </c>
      <c r="AF550" s="14" t="n">
        <f aca="false">IF($L550=2012,1,0)</f>
        <v>0</v>
      </c>
      <c r="AG550" s="14" t="n">
        <f aca="false">IF($L550=2013,1,0)</f>
        <v>0</v>
      </c>
      <c r="AH550" s="14" t="n">
        <f aca="false">IF($L550=2014,1,0)</f>
        <v>0</v>
      </c>
      <c r="AI550" s="14" t="n">
        <f aca="false">IF($L550=2015,1,0)</f>
        <v>0</v>
      </c>
      <c r="AJ550" s="14" t="n">
        <f aca="false">IF($L550=2016,1,0)</f>
        <v>0</v>
      </c>
      <c r="AK550" s="14" t="n">
        <f aca="false">IF($L550=2017,1,0)</f>
        <v>1</v>
      </c>
      <c r="AL550" s="14" t="n">
        <f aca="false">IF($H550="Beginner Level",1,0)</f>
        <v>0</v>
      </c>
      <c r="AM550" s="14" t="n">
        <f aca="false">IF($H550="Expert Level",1,0)</f>
        <v>0</v>
      </c>
      <c r="AN550" s="14" t="n">
        <f aca="false">IF($H550="Intermediate Level",1,0)</f>
        <v>0</v>
      </c>
    </row>
    <row r="551" customFormat="false" ht="79.85" hidden="false" customHeight="false" outlineLevel="0" collapsed="false">
      <c r="A551" s="14" t="n">
        <v>267286</v>
      </c>
      <c r="B551" s="14" t="s">
        <v>1145</v>
      </c>
      <c r="C551" s="14" t="s">
        <v>1146</v>
      </c>
      <c r="D551" s="14" t="n">
        <v>35</v>
      </c>
      <c r="E551" s="14" t="n">
        <v>2797</v>
      </c>
      <c r="F551" s="14" t="n">
        <v>59</v>
      </c>
      <c r="G551" s="14" t="n">
        <v>10</v>
      </c>
      <c r="H551" s="14" t="s">
        <v>52</v>
      </c>
      <c r="I551" s="14" t="n">
        <v>0.92</v>
      </c>
      <c r="J551" s="14" t="n">
        <v>1</v>
      </c>
      <c r="K551" s="14" t="s">
        <v>59</v>
      </c>
      <c r="L551" s="14" t="n">
        <v>2014</v>
      </c>
      <c r="M551" s="14" t="n">
        <v>7.93630269320196</v>
      </c>
      <c r="N551" s="14" t="n">
        <v>3.55563373496657</v>
      </c>
      <c r="P551" s="14" t="n">
        <f aca="false">D551</f>
        <v>35</v>
      </c>
      <c r="Q551" s="14" t="n">
        <f aca="false">G551</f>
        <v>10</v>
      </c>
      <c r="R551" s="14" t="n">
        <f aca="false">J551</f>
        <v>1</v>
      </c>
      <c r="S551" s="14" t="n">
        <f aca="false">IF($L551=2012,1,0)</f>
        <v>0</v>
      </c>
      <c r="T551" s="14" t="n">
        <f aca="false">IF($L551=2013,1,0)</f>
        <v>0</v>
      </c>
      <c r="U551" s="14" t="n">
        <f aca="false">IF($L551=2014,1,0)</f>
        <v>1</v>
      </c>
      <c r="V551" s="14" t="n">
        <f aca="false">IF($L551=2015,1,0)</f>
        <v>0</v>
      </c>
      <c r="W551" s="14" t="n">
        <f aca="false">IF($L551=2016,1,0)</f>
        <v>0</v>
      </c>
      <c r="X551" s="14" t="n">
        <f aca="false">IF($L551=2017,1,0)</f>
        <v>0</v>
      </c>
      <c r="Y551" s="14" t="n">
        <f aca="false">IF($H551="Beginner Level",1,0)</f>
        <v>1</v>
      </c>
      <c r="Z551" s="14" t="n">
        <f aca="false">IF($H551="Expert Level",1,0)</f>
        <v>0</v>
      </c>
      <c r="AA551" s="14" t="n">
        <f aca="false">IF($H551="Intermediate Level",1,0)</f>
        <v>0</v>
      </c>
      <c r="AC551" s="14" t="n">
        <f aca="false">N551</f>
        <v>3.55563373496657</v>
      </c>
      <c r="AD551" s="14" t="n">
        <f aca="false">G551</f>
        <v>10</v>
      </c>
      <c r="AE551" s="14" t="n">
        <f aca="false">J551</f>
        <v>1</v>
      </c>
      <c r="AF551" s="14" t="n">
        <f aca="false">IF($L551=2012,1,0)</f>
        <v>0</v>
      </c>
      <c r="AG551" s="14" t="n">
        <f aca="false">IF($L551=2013,1,0)</f>
        <v>0</v>
      </c>
      <c r="AH551" s="14" t="n">
        <f aca="false">IF($L551=2014,1,0)</f>
        <v>1</v>
      </c>
      <c r="AI551" s="14" t="n">
        <f aca="false">IF($L551=2015,1,0)</f>
        <v>0</v>
      </c>
      <c r="AJ551" s="14" t="n">
        <f aca="false">IF($L551=2016,1,0)</f>
        <v>0</v>
      </c>
      <c r="AK551" s="14" t="n">
        <f aca="false">IF($L551=2017,1,0)</f>
        <v>0</v>
      </c>
      <c r="AL551" s="14" t="n">
        <f aca="false">IF($H551="Beginner Level",1,0)</f>
        <v>1</v>
      </c>
      <c r="AM551" s="14" t="n">
        <f aca="false">IF($H551="Expert Level",1,0)</f>
        <v>0</v>
      </c>
      <c r="AN551" s="14" t="n">
        <f aca="false">IF($H551="Intermediate Level",1,0)</f>
        <v>0</v>
      </c>
    </row>
    <row r="552" customFormat="false" ht="79.85" hidden="false" customHeight="false" outlineLevel="0" collapsed="false">
      <c r="A552" s="14" t="n">
        <v>661802</v>
      </c>
      <c r="B552" s="14" t="s">
        <v>1147</v>
      </c>
      <c r="C552" s="14" t="s">
        <v>1148</v>
      </c>
      <c r="D552" s="14" t="n">
        <v>95</v>
      </c>
      <c r="E552" s="14" t="n">
        <v>2789</v>
      </c>
      <c r="F552" s="14" t="n">
        <v>243</v>
      </c>
      <c r="G552" s="14" t="n">
        <v>26</v>
      </c>
      <c r="H552" s="14" t="s">
        <v>52</v>
      </c>
      <c r="I552" s="14" t="n">
        <v>0.92</v>
      </c>
      <c r="J552" s="14" t="n">
        <v>3.5</v>
      </c>
      <c r="K552" s="14" t="s">
        <v>59</v>
      </c>
      <c r="L552" s="14" t="n">
        <v>2015</v>
      </c>
      <c r="M552" s="14" t="n">
        <v>7.93343838762749</v>
      </c>
      <c r="N552" s="14" t="n">
        <v>4.55398214921866</v>
      </c>
      <c r="P552" s="14" t="n">
        <f aca="false">D552</f>
        <v>95</v>
      </c>
      <c r="Q552" s="14" t="n">
        <f aca="false">G552</f>
        <v>26</v>
      </c>
      <c r="R552" s="14" t="n">
        <f aca="false">J552</f>
        <v>3.5</v>
      </c>
      <c r="S552" s="14" t="n">
        <f aca="false">IF($L552=2012,1,0)</f>
        <v>0</v>
      </c>
      <c r="T552" s="14" t="n">
        <f aca="false">IF($L552=2013,1,0)</f>
        <v>0</v>
      </c>
      <c r="U552" s="14" t="n">
        <f aca="false">IF($L552=2014,1,0)</f>
        <v>0</v>
      </c>
      <c r="V552" s="14" t="n">
        <f aca="false">IF($L552=2015,1,0)</f>
        <v>1</v>
      </c>
      <c r="W552" s="14" t="n">
        <f aca="false">IF($L552=2016,1,0)</f>
        <v>0</v>
      </c>
      <c r="X552" s="14" t="n">
        <f aca="false">IF($L552=2017,1,0)</f>
        <v>0</v>
      </c>
      <c r="Y552" s="14" t="n">
        <f aca="false">IF($H552="Beginner Level",1,0)</f>
        <v>1</v>
      </c>
      <c r="Z552" s="14" t="n">
        <f aca="false">IF($H552="Expert Level",1,0)</f>
        <v>0</v>
      </c>
      <c r="AA552" s="14" t="n">
        <f aca="false">IF($H552="Intermediate Level",1,0)</f>
        <v>0</v>
      </c>
      <c r="AC552" s="14" t="n">
        <f aca="false">N552</f>
        <v>4.55398214921866</v>
      </c>
      <c r="AD552" s="14" t="n">
        <f aca="false">G552</f>
        <v>26</v>
      </c>
      <c r="AE552" s="14" t="n">
        <f aca="false">J552</f>
        <v>3.5</v>
      </c>
      <c r="AF552" s="14" t="n">
        <f aca="false">IF($L552=2012,1,0)</f>
        <v>0</v>
      </c>
      <c r="AG552" s="14" t="n">
        <f aca="false">IF($L552=2013,1,0)</f>
        <v>0</v>
      </c>
      <c r="AH552" s="14" t="n">
        <f aca="false">IF($L552=2014,1,0)</f>
        <v>0</v>
      </c>
      <c r="AI552" s="14" t="n">
        <f aca="false">IF($L552=2015,1,0)</f>
        <v>1</v>
      </c>
      <c r="AJ552" s="14" t="n">
        <f aca="false">IF($L552=2016,1,0)</f>
        <v>0</v>
      </c>
      <c r="AK552" s="14" t="n">
        <f aca="false">IF($L552=2017,1,0)</f>
        <v>0</v>
      </c>
      <c r="AL552" s="14" t="n">
        <f aca="false">IF($H552="Beginner Level",1,0)</f>
        <v>1</v>
      </c>
      <c r="AM552" s="14" t="n">
        <f aca="false">IF($H552="Expert Level",1,0)</f>
        <v>0</v>
      </c>
      <c r="AN552" s="14" t="n">
        <f aca="false">IF($H552="Intermediate Level",1,0)</f>
        <v>0</v>
      </c>
    </row>
    <row r="553" customFormat="false" ht="79.85" hidden="false" customHeight="false" outlineLevel="0" collapsed="false">
      <c r="A553" s="14" t="n">
        <v>1027016</v>
      </c>
      <c r="B553" s="14" t="s">
        <v>1149</v>
      </c>
      <c r="C553" s="14" t="s">
        <v>1150</v>
      </c>
      <c r="D553" s="14" t="n">
        <v>200</v>
      </c>
      <c r="E553" s="14" t="n">
        <v>2786</v>
      </c>
      <c r="F553" s="14" t="n">
        <v>31</v>
      </c>
      <c r="G553" s="14" t="n">
        <v>20</v>
      </c>
      <c r="H553" s="14" t="s">
        <v>71</v>
      </c>
      <c r="I553" s="14" t="n">
        <v>0.92</v>
      </c>
      <c r="J553" s="14" t="n">
        <v>3</v>
      </c>
      <c r="K553" s="14" t="s">
        <v>59</v>
      </c>
      <c r="L553" s="14" t="n">
        <v>2017</v>
      </c>
      <c r="M553" s="14" t="n">
        <v>7.93236215433975</v>
      </c>
      <c r="N553" s="14" t="n">
        <v>5.29836736529808</v>
      </c>
      <c r="P553" s="14" t="n">
        <f aca="false">D553</f>
        <v>200</v>
      </c>
      <c r="Q553" s="14" t="n">
        <f aca="false">G553</f>
        <v>20</v>
      </c>
      <c r="R553" s="14" t="n">
        <f aca="false">J553</f>
        <v>3</v>
      </c>
      <c r="S553" s="14" t="n">
        <f aca="false">IF($L553=2012,1,0)</f>
        <v>0</v>
      </c>
      <c r="T553" s="14" t="n">
        <f aca="false">IF($L553=2013,1,0)</f>
        <v>0</v>
      </c>
      <c r="U553" s="14" t="n">
        <f aca="false">IF($L553=2014,1,0)</f>
        <v>0</v>
      </c>
      <c r="V553" s="14" t="n">
        <f aca="false">IF($L553=2015,1,0)</f>
        <v>0</v>
      </c>
      <c r="W553" s="14" t="n">
        <f aca="false">IF($L553=2016,1,0)</f>
        <v>0</v>
      </c>
      <c r="X553" s="14" t="n">
        <f aca="false">IF($L553=2017,1,0)</f>
        <v>1</v>
      </c>
      <c r="Y553" s="14" t="n">
        <f aca="false">IF($H553="Beginner Level",1,0)</f>
        <v>0</v>
      </c>
      <c r="Z553" s="14" t="n">
        <f aca="false">IF($H553="Expert Level",1,0)</f>
        <v>0</v>
      </c>
      <c r="AA553" s="14" t="n">
        <f aca="false">IF($H553="Intermediate Level",1,0)</f>
        <v>1</v>
      </c>
      <c r="AC553" s="14" t="n">
        <f aca="false">N553</f>
        <v>5.29836736529808</v>
      </c>
      <c r="AD553" s="14" t="n">
        <f aca="false">G553</f>
        <v>20</v>
      </c>
      <c r="AE553" s="14" t="n">
        <f aca="false">J553</f>
        <v>3</v>
      </c>
      <c r="AF553" s="14" t="n">
        <f aca="false">IF($L553=2012,1,0)</f>
        <v>0</v>
      </c>
      <c r="AG553" s="14" t="n">
        <f aca="false">IF($L553=2013,1,0)</f>
        <v>0</v>
      </c>
      <c r="AH553" s="14" t="n">
        <f aca="false">IF($L553=2014,1,0)</f>
        <v>0</v>
      </c>
      <c r="AI553" s="14" t="n">
        <f aca="false">IF($L553=2015,1,0)</f>
        <v>0</v>
      </c>
      <c r="AJ553" s="14" t="n">
        <f aca="false">IF($L553=2016,1,0)</f>
        <v>0</v>
      </c>
      <c r="AK553" s="14" t="n">
        <f aca="false">IF($L553=2017,1,0)</f>
        <v>1</v>
      </c>
      <c r="AL553" s="14" t="n">
        <f aca="false">IF($H553="Beginner Level",1,0)</f>
        <v>0</v>
      </c>
      <c r="AM553" s="14" t="n">
        <f aca="false">IF($H553="Expert Level",1,0)</f>
        <v>0</v>
      </c>
      <c r="AN553" s="14" t="n">
        <f aca="false">IF($H553="Intermediate Level",1,0)</f>
        <v>1</v>
      </c>
    </row>
    <row r="554" customFormat="false" ht="79.85" hidden="false" customHeight="false" outlineLevel="0" collapsed="false">
      <c r="A554" s="14" t="n">
        <v>565000</v>
      </c>
      <c r="B554" s="14" t="s">
        <v>1151</v>
      </c>
      <c r="C554" s="14" t="s">
        <v>1152</v>
      </c>
      <c r="D554" s="14" t="n">
        <v>50</v>
      </c>
      <c r="E554" s="14" t="n">
        <v>2784</v>
      </c>
      <c r="F554" s="14" t="n">
        <v>221</v>
      </c>
      <c r="G554" s="14" t="n">
        <v>79</v>
      </c>
      <c r="H554" s="14" t="s">
        <v>71</v>
      </c>
      <c r="I554" s="14" t="n">
        <v>0.92</v>
      </c>
      <c r="J554" s="14" t="n">
        <v>15</v>
      </c>
      <c r="K554" s="14" t="s">
        <v>59</v>
      </c>
      <c r="L554" s="14" t="n">
        <v>2015</v>
      </c>
      <c r="M554" s="14" t="n">
        <v>7.93164402145431</v>
      </c>
      <c r="N554" s="14" t="n">
        <v>3.91222298543081</v>
      </c>
      <c r="P554" s="14" t="n">
        <f aca="false">D554</f>
        <v>50</v>
      </c>
      <c r="Q554" s="14" t="n">
        <f aca="false">G554</f>
        <v>79</v>
      </c>
      <c r="R554" s="14" t="n">
        <f aca="false">J554</f>
        <v>15</v>
      </c>
      <c r="S554" s="14" t="n">
        <f aca="false">IF($L554=2012,1,0)</f>
        <v>0</v>
      </c>
      <c r="T554" s="14" t="n">
        <f aca="false">IF($L554=2013,1,0)</f>
        <v>0</v>
      </c>
      <c r="U554" s="14" t="n">
        <f aca="false">IF($L554=2014,1,0)</f>
        <v>0</v>
      </c>
      <c r="V554" s="14" t="n">
        <f aca="false">IF($L554=2015,1,0)</f>
        <v>1</v>
      </c>
      <c r="W554" s="14" t="n">
        <f aca="false">IF($L554=2016,1,0)</f>
        <v>0</v>
      </c>
      <c r="X554" s="14" t="n">
        <f aca="false">IF($L554=2017,1,0)</f>
        <v>0</v>
      </c>
      <c r="Y554" s="14" t="n">
        <f aca="false">IF($H554="Beginner Level",1,0)</f>
        <v>0</v>
      </c>
      <c r="Z554" s="14" t="n">
        <f aca="false">IF($H554="Expert Level",1,0)</f>
        <v>0</v>
      </c>
      <c r="AA554" s="14" t="n">
        <f aca="false">IF($H554="Intermediate Level",1,0)</f>
        <v>1</v>
      </c>
      <c r="AC554" s="14" t="n">
        <f aca="false">N554</f>
        <v>3.91222298543081</v>
      </c>
      <c r="AD554" s="14" t="n">
        <f aca="false">G554</f>
        <v>79</v>
      </c>
      <c r="AE554" s="14" t="n">
        <f aca="false">J554</f>
        <v>15</v>
      </c>
      <c r="AF554" s="14" t="n">
        <f aca="false">IF($L554=2012,1,0)</f>
        <v>0</v>
      </c>
      <c r="AG554" s="14" t="n">
        <f aca="false">IF($L554=2013,1,0)</f>
        <v>0</v>
      </c>
      <c r="AH554" s="14" t="n">
        <f aca="false">IF($L554=2014,1,0)</f>
        <v>0</v>
      </c>
      <c r="AI554" s="14" t="n">
        <f aca="false">IF($L554=2015,1,0)</f>
        <v>1</v>
      </c>
      <c r="AJ554" s="14" t="n">
        <f aca="false">IF($L554=2016,1,0)</f>
        <v>0</v>
      </c>
      <c r="AK554" s="14" t="n">
        <f aca="false">IF($L554=2017,1,0)</f>
        <v>0</v>
      </c>
      <c r="AL554" s="14" t="n">
        <f aca="false">IF($H554="Beginner Level",1,0)</f>
        <v>0</v>
      </c>
      <c r="AM554" s="14" t="n">
        <f aca="false">IF($H554="Expert Level",1,0)</f>
        <v>0</v>
      </c>
      <c r="AN554" s="14" t="n">
        <f aca="false">IF($H554="Intermediate Level",1,0)</f>
        <v>1</v>
      </c>
    </row>
    <row r="555" customFormat="false" ht="35.05" hidden="false" customHeight="false" outlineLevel="0" collapsed="false">
      <c r="A555" s="14" t="n">
        <v>284076</v>
      </c>
      <c r="B555" s="14" t="s">
        <v>1153</v>
      </c>
      <c r="C555" s="14" t="s">
        <v>1154</v>
      </c>
      <c r="D555" s="14" t="n">
        <v>20</v>
      </c>
      <c r="E555" s="14" t="n">
        <v>2784</v>
      </c>
      <c r="F555" s="14" t="n">
        <v>425</v>
      </c>
      <c r="G555" s="14" t="n">
        <v>29</v>
      </c>
      <c r="H555" s="14" t="s">
        <v>62</v>
      </c>
      <c r="I555" s="14" t="n">
        <v>0.92</v>
      </c>
      <c r="J555" s="14" t="n">
        <v>3.5</v>
      </c>
      <c r="K555" s="14" t="s">
        <v>59</v>
      </c>
      <c r="L555" s="14" t="n">
        <v>2014</v>
      </c>
      <c r="M555" s="14" t="n">
        <v>7.93164402145431</v>
      </c>
      <c r="N555" s="14" t="n">
        <v>2.99623214859564</v>
      </c>
      <c r="P555" s="14" t="n">
        <f aca="false">D555</f>
        <v>20</v>
      </c>
      <c r="Q555" s="14" t="n">
        <f aca="false">G555</f>
        <v>29</v>
      </c>
      <c r="R555" s="14" t="n">
        <f aca="false">J555</f>
        <v>3.5</v>
      </c>
      <c r="S555" s="14" t="n">
        <f aca="false">IF($L555=2012,1,0)</f>
        <v>0</v>
      </c>
      <c r="T555" s="14" t="n">
        <f aca="false">IF($L555=2013,1,0)</f>
        <v>0</v>
      </c>
      <c r="U555" s="14" t="n">
        <f aca="false">IF($L555=2014,1,0)</f>
        <v>1</v>
      </c>
      <c r="V555" s="14" t="n">
        <f aca="false">IF($L555=2015,1,0)</f>
        <v>0</v>
      </c>
      <c r="W555" s="14" t="n">
        <f aca="false">IF($L555=2016,1,0)</f>
        <v>0</v>
      </c>
      <c r="X555" s="14" t="n">
        <f aca="false">IF($L555=2017,1,0)</f>
        <v>0</v>
      </c>
      <c r="Y555" s="14" t="n">
        <f aca="false">IF($H555="Beginner Level",1,0)</f>
        <v>0</v>
      </c>
      <c r="Z555" s="14" t="n">
        <f aca="false">IF($H555="Expert Level",1,0)</f>
        <v>0</v>
      </c>
      <c r="AA555" s="14" t="n">
        <f aca="false">IF($H555="Intermediate Level",1,0)</f>
        <v>0</v>
      </c>
      <c r="AC555" s="14" t="n">
        <f aca="false">N555</f>
        <v>2.99623214859564</v>
      </c>
      <c r="AD555" s="14" t="n">
        <f aca="false">G555</f>
        <v>29</v>
      </c>
      <c r="AE555" s="14" t="n">
        <f aca="false">J555</f>
        <v>3.5</v>
      </c>
      <c r="AF555" s="14" t="n">
        <f aca="false">IF($L555=2012,1,0)</f>
        <v>0</v>
      </c>
      <c r="AG555" s="14" t="n">
        <f aca="false">IF($L555=2013,1,0)</f>
        <v>0</v>
      </c>
      <c r="AH555" s="14" t="n">
        <f aca="false">IF($L555=2014,1,0)</f>
        <v>1</v>
      </c>
      <c r="AI555" s="14" t="n">
        <f aca="false">IF($L555=2015,1,0)</f>
        <v>0</v>
      </c>
      <c r="AJ555" s="14" t="n">
        <f aca="false">IF($L555=2016,1,0)</f>
        <v>0</v>
      </c>
      <c r="AK555" s="14" t="n">
        <f aca="false">IF($L555=2017,1,0)</f>
        <v>0</v>
      </c>
      <c r="AL555" s="14" t="n">
        <f aca="false">IF($H555="Beginner Level",1,0)</f>
        <v>0</v>
      </c>
      <c r="AM555" s="14" t="n">
        <f aca="false">IF($H555="Expert Level",1,0)</f>
        <v>0</v>
      </c>
      <c r="AN555" s="14" t="n">
        <f aca="false">IF($H555="Intermediate Level",1,0)</f>
        <v>0</v>
      </c>
    </row>
    <row r="556" customFormat="false" ht="68.65" hidden="false" customHeight="false" outlineLevel="0" collapsed="false">
      <c r="A556" s="14" t="n">
        <v>1034636</v>
      </c>
      <c r="B556" s="14" t="s">
        <v>1155</v>
      </c>
      <c r="C556" s="14" t="s">
        <v>1156</v>
      </c>
      <c r="D556" s="14" t="n">
        <v>200</v>
      </c>
      <c r="E556" s="14" t="n">
        <v>2783</v>
      </c>
      <c r="F556" s="14" t="n">
        <v>9</v>
      </c>
      <c r="G556" s="14" t="n">
        <v>21</v>
      </c>
      <c r="H556" s="14" t="s">
        <v>52</v>
      </c>
      <c r="I556" s="14" t="n">
        <v>0.92</v>
      </c>
      <c r="J556" s="14" t="n">
        <v>1.5</v>
      </c>
      <c r="K556" s="14" t="s">
        <v>59</v>
      </c>
      <c r="L556" s="14" t="n">
        <v>2016</v>
      </c>
      <c r="M556" s="14" t="n">
        <v>7.93128476152589</v>
      </c>
      <c r="N556" s="14" t="n">
        <v>5.29836736529808</v>
      </c>
      <c r="P556" s="14" t="n">
        <f aca="false">D556</f>
        <v>200</v>
      </c>
      <c r="Q556" s="14" t="n">
        <f aca="false">G556</f>
        <v>21</v>
      </c>
      <c r="R556" s="14" t="n">
        <f aca="false">J556</f>
        <v>1.5</v>
      </c>
      <c r="S556" s="14" t="n">
        <f aca="false">IF($L556=2012,1,0)</f>
        <v>0</v>
      </c>
      <c r="T556" s="14" t="n">
        <f aca="false">IF($L556=2013,1,0)</f>
        <v>0</v>
      </c>
      <c r="U556" s="14" t="n">
        <f aca="false">IF($L556=2014,1,0)</f>
        <v>0</v>
      </c>
      <c r="V556" s="14" t="n">
        <f aca="false">IF($L556=2015,1,0)</f>
        <v>0</v>
      </c>
      <c r="W556" s="14" t="n">
        <f aca="false">IF($L556=2016,1,0)</f>
        <v>1</v>
      </c>
      <c r="X556" s="14" t="n">
        <f aca="false">IF($L556=2017,1,0)</f>
        <v>0</v>
      </c>
      <c r="Y556" s="14" t="n">
        <f aca="false">IF($H556="Beginner Level",1,0)</f>
        <v>1</v>
      </c>
      <c r="Z556" s="14" t="n">
        <f aca="false">IF($H556="Expert Level",1,0)</f>
        <v>0</v>
      </c>
      <c r="AA556" s="14" t="n">
        <f aca="false">IF($H556="Intermediate Level",1,0)</f>
        <v>0</v>
      </c>
      <c r="AC556" s="14" t="n">
        <f aca="false">N556</f>
        <v>5.29836736529808</v>
      </c>
      <c r="AD556" s="14" t="n">
        <f aca="false">G556</f>
        <v>21</v>
      </c>
      <c r="AE556" s="14" t="n">
        <f aca="false">J556</f>
        <v>1.5</v>
      </c>
      <c r="AF556" s="14" t="n">
        <f aca="false">IF($L556=2012,1,0)</f>
        <v>0</v>
      </c>
      <c r="AG556" s="14" t="n">
        <f aca="false">IF($L556=2013,1,0)</f>
        <v>0</v>
      </c>
      <c r="AH556" s="14" t="n">
        <f aca="false">IF($L556=2014,1,0)</f>
        <v>0</v>
      </c>
      <c r="AI556" s="14" t="n">
        <f aca="false">IF($L556=2015,1,0)</f>
        <v>0</v>
      </c>
      <c r="AJ556" s="14" t="n">
        <f aca="false">IF($L556=2016,1,0)</f>
        <v>1</v>
      </c>
      <c r="AK556" s="14" t="n">
        <f aca="false">IF($L556=2017,1,0)</f>
        <v>0</v>
      </c>
      <c r="AL556" s="14" t="n">
        <f aca="false">IF($H556="Beginner Level",1,0)</f>
        <v>1</v>
      </c>
      <c r="AM556" s="14" t="n">
        <f aca="false">IF($H556="Expert Level",1,0)</f>
        <v>0</v>
      </c>
      <c r="AN556" s="14" t="n">
        <f aca="false">IF($H556="Intermediate Level",1,0)</f>
        <v>0</v>
      </c>
    </row>
    <row r="557" customFormat="false" ht="102.2" hidden="false" customHeight="false" outlineLevel="0" collapsed="false">
      <c r="A557" s="14" t="n">
        <v>1089744</v>
      </c>
      <c r="B557" s="14" t="s">
        <v>1157</v>
      </c>
      <c r="C557" s="14" t="s">
        <v>1158</v>
      </c>
      <c r="D557" s="14" t="n">
        <v>40</v>
      </c>
      <c r="E557" s="14" t="n">
        <v>2780</v>
      </c>
      <c r="F557" s="14" t="n">
        <v>94</v>
      </c>
      <c r="G557" s="14" t="n">
        <v>29</v>
      </c>
      <c r="H557" s="14" t="s">
        <v>62</v>
      </c>
      <c r="I557" s="14" t="n">
        <v>0.92</v>
      </c>
      <c r="J557" s="14" t="n">
        <v>3</v>
      </c>
      <c r="K557" s="14" t="s">
        <v>59</v>
      </c>
      <c r="L557" s="14" t="n">
        <v>2017</v>
      </c>
      <c r="M557" s="14" t="n">
        <v>7.93020620668468</v>
      </c>
      <c r="N557" s="14" t="n">
        <v>3.68912942286914</v>
      </c>
      <c r="P557" s="14" t="n">
        <f aca="false">D557</f>
        <v>40</v>
      </c>
      <c r="Q557" s="14" t="n">
        <f aca="false">G557</f>
        <v>29</v>
      </c>
      <c r="R557" s="14" t="n">
        <f aca="false">J557</f>
        <v>3</v>
      </c>
      <c r="S557" s="14" t="n">
        <f aca="false">IF($L557=2012,1,0)</f>
        <v>0</v>
      </c>
      <c r="T557" s="14" t="n">
        <f aca="false">IF($L557=2013,1,0)</f>
        <v>0</v>
      </c>
      <c r="U557" s="14" t="n">
        <f aca="false">IF($L557=2014,1,0)</f>
        <v>0</v>
      </c>
      <c r="V557" s="14" t="n">
        <f aca="false">IF($L557=2015,1,0)</f>
        <v>0</v>
      </c>
      <c r="W557" s="14" t="n">
        <f aca="false">IF($L557=2016,1,0)</f>
        <v>0</v>
      </c>
      <c r="X557" s="14" t="n">
        <f aca="false">IF($L557=2017,1,0)</f>
        <v>1</v>
      </c>
      <c r="Y557" s="14" t="n">
        <f aca="false">IF($H557="Beginner Level",1,0)</f>
        <v>0</v>
      </c>
      <c r="Z557" s="14" t="n">
        <f aca="false">IF($H557="Expert Level",1,0)</f>
        <v>0</v>
      </c>
      <c r="AA557" s="14" t="n">
        <f aca="false">IF($H557="Intermediate Level",1,0)</f>
        <v>0</v>
      </c>
      <c r="AC557" s="14" t="n">
        <f aca="false">N557</f>
        <v>3.68912942286914</v>
      </c>
      <c r="AD557" s="14" t="n">
        <f aca="false">G557</f>
        <v>29</v>
      </c>
      <c r="AE557" s="14" t="n">
        <f aca="false">J557</f>
        <v>3</v>
      </c>
      <c r="AF557" s="14" t="n">
        <f aca="false">IF($L557=2012,1,0)</f>
        <v>0</v>
      </c>
      <c r="AG557" s="14" t="n">
        <f aca="false">IF($L557=2013,1,0)</f>
        <v>0</v>
      </c>
      <c r="AH557" s="14" t="n">
        <f aca="false">IF($L557=2014,1,0)</f>
        <v>0</v>
      </c>
      <c r="AI557" s="14" t="n">
        <f aca="false">IF($L557=2015,1,0)</f>
        <v>0</v>
      </c>
      <c r="AJ557" s="14" t="n">
        <f aca="false">IF($L557=2016,1,0)</f>
        <v>0</v>
      </c>
      <c r="AK557" s="14" t="n">
        <f aca="false">IF($L557=2017,1,0)</f>
        <v>1</v>
      </c>
      <c r="AL557" s="14" t="n">
        <f aca="false">IF($H557="Beginner Level",1,0)</f>
        <v>0</v>
      </c>
      <c r="AM557" s="14" t="n">
        <f aca="false">IF($H557="Expert Level",1,0)</f>
        <v>0</v>
      </c>
      <c r="AN557" s="14" t="n">
        <f aca="false">IF($H557="Intermediate Level",1,0)</f>
        <v>0</v>
      </c>
    </row>
    <row r="558" customFormat="false" ht="46.25" hidden="false" customHeight="false" outlineLevel="0" collapsed="false">
      <c r="A558" s="14" t="n">
        <v>542254</v>
      </c>
      <c r="B558" s="14" t="s">
        <v>1159</v>
      </c>
      <c r="C558" s="14" t="s">
        <v>1160</v>
      </c>
      <c r="D558" s="14" t="n">
        <v>100</v>
      </c>
      <c r="E558" s="14" t="n">
        <v>2760</v>
      </c>
      <c r="F558" s="14" t="n">
        <v>76</v>
      </c>
      <c r="G558" s="14" t="n">
        <v>26</v>
      </c>
      <c r="H558" s="14" t="s">
        <v>62</v>
      </c>
      <c r="I558" s="14" t="n">
        <v>0.92</v>
      </c>
      <c r="J558" s="14" t="n">
        <v>3.5</v>
      </c>
      <c r="K558" s="14" t="s">
        <v>59</v>
      </c>
      <c r="L558" s="14" t="n">
        <v>2015</v>
      </c>
      <c r="M558" s="14" t="n">
        <v>7.9229859587112</v>
      </c>
      <c r="N558" s="14" t="n">
        <v>4.60527018098843</v>
      </c>
      <c r="P558" s="14" t="n">
        <f aca="false">D558</f>
        <v>100</v>
      </c>
      <c r="Q558" s="14" t="n">
        <f aca="false">G558</f>
        <v>26</v>
      </c>
      <c r="R558" s="14" t="n">
        <f aca="false">J558</f>
        <v>3.5</v>
      </c>
      <c r="S558" s="14" t="n">
        <f aca="false">IF($L558=2012,1,0)</f>
        <v>0</v>
      </c>
      <c r="T558" s="14" t="n">
        <f aca="false">IF($L558=2013,1,0)</f>
        <v>0</v>
      </c>
      <c r="U558" s="14" t="n">
        <f aca="false">IF($L558=2014,1,0)</f>
        <v>0</v>
      </c>
      <c r="V558" s="14" t="n">
        <f aca="false">IF($L558=2015,1,0)</f>
        <v>1</v>
      </c>
      <c r="W558" s="14" t="n">
        <f aca="false">IF($L558=2016,1,0)</f>
        <v>0</v>
      </c>
      <c r="X558" s="14" t="n">
        <f aca="false">IF($L558=2017,1,0)</f>
        <v>0</v>
      </c>
      <c r="Y558" s="14" t="n">
        <f aca="false">IF($H558="Beginner Level",1,0)</f>
        <v>0</v>
      </c>
      <c r="Z558" s="14" t="n">
        <f aca="false">IF($H558="Expert Level",1,0)</f>
        <v>0</v>
      </c>
      <c r="AA558" s="14" t="n">
        <f aca="false">IF($H558="Intermediate Level",1,0)</f>
        <v>0</v>
      </c>
      <c r="AC558" s="14" t="n">
        <f aca="false">N558</f>
        <v>4.60527018098843</v>
      </c>
      <c r="AD558" s="14" t="n">
        <f aca="false">G558</f>
        <v>26</v>
      </c>
      <c r="AE558" s="14" t="n">
        <f aca="false">J558</f>
        <v>3.5</v>
      </c>
      <c r="AF558" s="14" t="n">
        <f aca="false">IF($L558=2012,1,0)</f>
        <v>0</v>
      </c>
      <c r="AG558" s="14" t="n">
        <f aca="false">IF($L558=2013,1,0)</f>
        <v>0</v>
      </c>
      <c r="AH558" s="14" t="n">
        <f aca="false">IF($L558=2014,1,0)</f>
        <v>0</v>
      </c>
      <c r="AI558" s="14" t="n">
        <f aca="false">IF($L558=2015,1,0)</f>
        <v>1</v>
      </c>
      <c r="AJ558" s="14" t="n">
        <f aca="false">IF($L558=2016,1,0)</f>
        <v>0</v>
      </c>
      <c r="AK558" s="14" t="n">
        <f aca="false">IF($L558=2017,1,0)</f>
        <v>0</v>
      </c>
      <c r="AL558" s="14" t="n">
        <f aca="false">IF($H558="Beginner Level",1,0)</f>
        <v>0</v>
      </c>
      <c r="AM558" s="14" t="n">
        <f aca="false">IF($H558="Expert Level",1,0)</f>
        <v>0</v>
      </c>
      <c r="AN558" s="14" t="n">
        <f aca="false">IF($H558="Intermediate Level",1,0)</f>
        <v>0</v>
      </c>
    </row>
    <row r="559" customFormat="false" ht="68.65" hidden="false" customHeight="false" outlineLevel="0" collapsed="false">
      <c r="A559" s="14" t="n">
        <v>1103954</v>
      </c>
      <c r="B559" s="14" t="s">
        <v>1161</v>
      </c>
      <c r="C559" s="14" t="s">
        <v>1162</v>
      </c>
      <c r="D559" s="14" t="n">
        <v>20</v>
      </c>
      <c r="E559" s="14" t="n">
        <v>2760</v>
      </c>
      <c r="F559" s="14" t="n">
        <v>52</v>
      </c>
      <c r="G559" s="14" t="n">
        <v>34</v>
      </c>
      <c r="H559" s="14" t="s">
        <v>62</v>
      </c>
      <c r="I559" s="14" t="n">
        <v>0.11</v>
      </c>
      <c r="J559" s="14" t="n">
        <v>1</v>
      </c>
      <c r="K559" s="14" t="s">
        <v>59</v>
      </c>
      <c r="L559" s="14" t="n">
        <v>2017</v>
      </c>
      <c r="M559" s="14" t="n">
        <v>7.9229859587112</v>
      </c>
      <c r="N559" s="14" t="n">
        <v>2.99623214859564</v>
      </c>
      <c r="P559" s="14" t="n">
        <f aca="false">D559</f>
        <v>20</v>
      </c>
      <c r="Q559" s="14" t="n">
        <f aca="false">G559</f>
        <v>34</v>
      </c>
      <c r="R559" s="14" t="n">
        <f aca="false">J559</f>
        <v>1</v>
      </c>
      <c r="S559" s="14" t="n">
        <f aca="false">IF($L559=2012,1,0)</f>
        <v>0</v>
      </c>
      <c r="T559" s="14" t="n">
        <f aca="false">IF($L559=2013,1,0)</f>
        <v>0</v>
      </c>
      <c r="U559" s="14" t="n">
        <f aca="false">IF($L559=2014,1,0)</f>
        <v>0</v>
      </c>
      <c r="V559" s="14" t="n">
        <f aca="false">IF($L559=2015,1,0)</f>
        <v>0</v>
      </c>
      <c r="W559" s="14" t="n">
        <f aca="false">IF($L559=2016,1,0)</f>
        <v>0</v>
      </c>
      <c r="X559" s="14" t="n">
        <f aca="false">IF($L559=2017,1,0)</f>
        <v>1</v>
      </c>
      <c r="Y559" s="14" t="n">
        <f aca="false">IF($H559="Beginner Level",1,0)</f>
        <v>0</v>
      </c>
      <c r="Z559" s="14" t="n">
        <f aca="false">IF($H559="Expert Level",1,0)</f>
        <v>0</v>
      </c>
      <c r="AA559" s="14" t="n">
        <f aca="false">IF($H559="Intermediate Level",1,0)</f>
        <v>0</v>
      </c>
      <c r="AC559" s="14" t="n">
        <f aca="false">N559</f>
        <v>2.99623214859564</v>
      </c>
      <c r="AD559" s="14" t="n">
        <f aca="false">G559</f>
        <v>34</v>
      </c>
      <c r="AE559" s="14" t="n">
        <f aca="false">J559</f>
        <v>1</v>
      </c>
      <c r="AF559" s="14" t="n">
        <f aca="false">IF($L559=2012,1,0)</f>
        <v>0</v>
      </c>
      <c r="AG559" s="14" t="n">
        <f aca="false">IF($L559=2013,1,0)</f>
        <v>0</v>
      </c>
      <c r="AH559" s="14" t="n">
        <f aca="false">IF($L559=2014,1,0)</f>
        <v>0</v>
      </c>
      <c r="AI559" s="14" t="n">
        <f aca="false">IF($L559=2015,1,0)</f>
        <v>0</v>
      </c>
      <c r="AJ559" s="14" t="n">
        <f aca="false">IF($L559=2016,1,0)</f>
        <v>0</v>
      </c>
      <c r="AK559" s="14" t="n">
        <f aca="false">IF($L559=2017,1,0)</f>
        <v>1</v>
      </c>
      <c r="AL559" s="14" t="n">
        <f aca="false">IF($H559="Beginner Level",1,0)</f>
        <v>0</v>
      </c>
      <c r="AM559" s="14" t="n">
        <f aca="false">IF($H559="Expert Level",1,0)</f>
        <v>0</v>
      </c>
      <c r="AN559" s="14" t="n">
        <f aca="false">IF($H559="Intermediate Level",1,0)</f>
        <v>0</v>
      </c>
    </row>
    <row r="560" customFormat="false" ht="79.85" hidden="false" customHeight="false" outlineLevel="0" collapsed="false">
      <c r="A560" s="14" t="n">
        <v>753940</v>
      </c>
      <c r="B560" s="14" t="s">
        <v>1163</v>
      </c>
      <c r="C560" s="14" t="s">
        <v>1164</v>
      </c>
      <c r="D560" s="14" t="n">
        <v>35</v>
      </c>
      <c r="E560" s="14" t="n">
        <v>2755</v>
      </c>
      <c r="F560" s="14" t="n">
        <v>57</v>
      </c>
      <c r="G560" s="14" t="n">
        <v>179</v>
      </c>
      <c r="H560" s="14" t="s">
        <v>52</v>
      </c>
      <c r="I560" s="14" t="n">
        <v>0.35</v>
      </c>
      <c r="J560" s="14" t="n">
        <v>17.5</v>
      </c>
      <c r="K560" s="14" t="s">
        <v>59</v>
      </c>
      <c r="L560" s="14" t="n">
        <v>2016</v>
      </c>
      <c r="M560" s="14" t="n">
        <v>7.92117272158701</v>
      </c>
      <c r="N560" s="14" t="n">
        <v>3.55563373496657</v>
      </c>
      <c r="P560" s="14" t="n">
        <f aca="false">D560</f>
        <v>35</v>
      </c>
      <c r="Q560" s="14" t="n">
        <f aca="false">G560</f>
        <v>179</v>
      </c>
      <c r="R560" s="14" t="n">
        <f aca="false">J560</f>
        <v>17.5</v>
      </c>
      <c r="S560" s="14" t="n">
        <f aca="false">IF($L560=2012,1,0)</f>
        <v>0</v>
      </c>
      <c r="T560" s="14" t="n">
        <f aca="false">IF($L560=2013,1,0)</f>
        <v>0</v>
      </c>
      <c r="U560" s="14" t="n">
        <f aca="false">IF($L560=2014,1,0)</f>
        <v>0</v>
      </c>
      <c r="V560" s="14" t="n">
        <f aca="false">IF($L560=2015,1,0)</f>
        <v>0</v>
      </c>
      <c r="W560" s="14" t="n">
        <f aca="false">IF($L560=2016,1,0)</f>
        <v>1</v>
      </c>
      <c r="X560" s="14" t="n">
        <f aca="false">IF($L560=2017,1,0)</f>
        <v>0</v>
      </c>
      <c r="Y560" s="14" t="n">
        <f aca="false">IF($H560="Beginner Level",1,0)</f>
        <v>1</v>
      </c>
      <c r="Z560" s="14" t="n">
        <f aca="false">IF($H560="Expert Level",1,0)</f>
        <v>0</v>
      </c>
      <c r="AA560" s="14" t="n">
        <f aca="false">IF($H560="Intermediate Level",1,0)</f>
        <v>0</v>
      </c>
      <c r="AC560" s="14" t="n">
        <f aca="false">N560</f>
        <v>3.55563373496657</v>
      </c>
      <c r="AD560" s="14" t="n">
        <f aca="false">G560</f>
        <v>179</v>
      </c>
      <c r="AE560" s="14" t="n">
        <f aca="false">J560</f>
        <v>17.5</v>
      </c>
      <c r="AF560" s="14" t="n">
        <f aca="false">IF($L560=2012,1,0)</f>
        <v>0</v>
      </c>
      <c r="AG560" s="14" t="n">
        <f aca="false">IF($L560=2013,1,0)</f>
        <v>0</v>
      </c>
      <c r="AH560" s="14" t="n">
        <f aca="false">IF($L560=2014,1,0)</f>
        <v>0</v>
      </c>
      <c r="AI560" s="14" t="n">
        <f aca="false">IF($L560=2015,1,0)</f>
        <v>0</v>
      </c>
      <c r="AJ560" s="14" t="n">
        <f aca="false">IF($L560=2016,1,0)</f>
        <v>1</v>
      </c>
      <c r="AK560" s="14" t="n">
        <f aca="false">IF($L560=2017,1,0)</f>
        <v>0</v>
      </c>
      <c r="AL560" s="14" t="n">
        <f aca="false">IF($H560="Beginner Level",1,0)</f>
        <v>1</v>
      </c>
      <c r="AM560" s="14" t="n">
        <f aca="false">IF($H560="Expert Level",1,0)</f>
        <v>0</v>
      </c>
      <c r="AN560" s="14" t="n">
        <f aca="false">IF($H560="Intermediate Level",1,0)</f>
        <v>0</v>
      </c>
    </row>
    <row r="561" customFormat="false" ht="68.65" hidden="false" customHeight="false" outlineLevel="0" collapsed="false">
      <c r="A561" s="14" t="n">
        <v>577796</v>
      </c>
      <c r="B561" s="14" t="s">
        <v>1165</v>
      </c>
      <c r="C561" s="14" t="s">
        <v>1166</v>
      </c>
      <c r="D561" s="14" t="n">
        <v>25</v>
      </c>
      <c r="E561" s="14" t="n">
        <v>2753</v>
      </c>
      <c r="F561" s="14" t="n">
        <v>10</v>
      </c>
      <c r="G561" s="14" t="n">
        <v>18</v>
      </c>
      <c r="H561" s="14" t="s">
        <v>52</v>
      </c>
      <c r="I561" s="14" t="n">
        <v>0.64</v>
      </c>
      <c r="J561" s="14" t="n">
        <v>2</v>
      </c>
      <c r="K561" s="14" t="s">
        <v>59</v>
      </c>
      <c r="L561" s="14" t="n">
        <v>2015</v>
      </c>
      <c r="M561" s="14" t="n">
        <v>7.92044650514261</v>
      </c>
      <c r="N561" s="14" t="n">
        <v>3.21927574488953</v>
      </c>
      <c r="P561" s="14" t="n">
        <f aca="false">D561</f>
        <v>25</v>
      </c>
      <c r="Q561" s="14" t="n">
        <f aca="false">G561</f>
        <v>18</v>
      </c>
      <c r="R561" s="14" t="n">
        <f aca="false">J561</f>
        <v>2</v>
      </c>
      <c r="S561" s="14" t="n">
        <f aca="false">IF($L561=2012,1,0)</f>
        <v>0</v>
      </c>
      <c r="T561" s="14" t="n">
        <f aca="false">IF($L561=2013,1,0)</f>
        <v>0</v>
      </c>
      <c r="U561" s="14" t="n">
        <f aca="false">IF($L561=2014,1,0)</f>
        <v>0</v>
      </c>
      <c r="V561" s="14" t="n">
        <f aca="false">IF($L561=2015,1,0)</f>
        <v>1</v>
      </c>
      <c r="W561" s="14" t="n">
        <f aca="false">IF($L561=2016,1,0)</f>
        <v>0</v>
      </c>
      <c r="X561" s="14" t="n">
        <f aca="false">IF($L561=2017,1,0)</f>
        <v>0</v>
      </c>
      <c r="Y561" s="14" t="n">
        <f aca="false">IF($H561="Beginner Level",1,0)</f>
        <v>1</v>
      </c>
      <c r="Z561" s="14" t="n">
        <f aca="false">IF($H561="Expert Level",1,0)</f>
        <v>0</v>
      </c>
      <c r="AA561" s="14" t="n">
        <f aca="false">IF($H561="Intermediate Level",1,0)</f>
        <v>0</v>
      </c>
      <c r="AC561" s="14" t="n">
        <f aca="false">N561</f>
        <v>3.21927574488953</v>
      </c>
      <c r="AD561" s="14" t="n">
        <f aca="false">G561</f>
        <v>18</v>
      </c>
      <c r="AE561" s="14" t="n">
        <f aca="false">J561</f>
        <v>2</v>
      </c>
      <c r="AF561" s="14" t="n">
        <f aca="false">IF($L561=2012,1,0)</f>
        <v>0</v>
      </c>
      <c r="AG561" s="14" t="n">
        <f aca="false">IF($L561=2013,1,0)</f>
        <v>0</v>
      </c>
      <c r="AH561" s="14" t="n">
        <f aca="false">IF($L561=2014,1,0)</f>
        <v>0</v>
      </c>
      <c r="AI561" s="14" t="n">
        <f aca="false">IF($L561=2015,1,0)</f>
        <v>1</v>
      </c>
      <c r="AJ561" s="14" t="n">
        <f aca="false">IF($L561=2016,1,0)</f>
        <v>0</v>
      </c>
      <c r="AK561" s="14" t="n">
        <f aca="false">IF($L561=2017,1,0)</f>
        <v>0</v>
      </c>
      <c r="AL561" s="14" t="n">
        <f aca="false">IF($H561="Beginner Level",1,0)</f>
        <v>1</v>
      </c>
      <c r="AM561" s="14" t="n">
        <f aca="false">IF($H561="Expert Level",1,0)</f>
        <v>0</v>
      </c>
      <c r="AN561" s="14" t="n">
        <f aca="false">IF($H561="Intermediate Level",1,0)</f>
        <v>0</v>
      </c>
    </row>
    <row r="562" customFormat="false" ht="68.65" hidden="false" customHeight="false" outlineLevel="0" collapsed="false">
      <c r="A562" s="14" t="n">
        <v>690788</v>
      </c>
      <c r="B562" s="14" t="s">
        <v>1167</v>
      </c>
      <c r="C562" s="14" t="s">
        <v>1168</v>
      </c>
      <c r="D562" s="14" t="n">
        <v>20</v>
      </c>
      <c r="E562" s="14" t="n">
        <v>2749</v>
      </c>
      <c r="F562" s="14" t="n">
        <v>62</v>
      </c>
      <c r="G562" s="14" t="n">
        <v>7</v>
      </c>
      <c r="H562" s="14" t="s">
        <v>71</v>
      </c>
      <c r="I562" s="14" t="n">
        <v>0.66</v>
      </c>
      <c r="J562" s="14" t="n">
        <v>0.68333333</v>
      </c>
      <c r="K562" s="14" t="s">
        <v>59</v>
      </c>
      <c r="L562" s="14" t="n">
        <v>2015</v>
      </c>
      <c r="M562" s="14" t="n">
        <v>7.91899248816525</v>
      </c>
      <c r="N562" s="14" t="n">
        <v>2.99623214859564</v>
      </c>
      <c r="P562" s="14" t="n">
        <f aca="false">D562</f>
        <v>20</v>
      </c>
      <c r="Q562" s="14" t="n">
        <f aca="false">G562</f>
        <v>7</v>
      </c>
      <c r="R562" s="14" t="n">
        <f aca="false">J562</f>
        <v>0.68333333</v>
      </c>
      <c r="S562" s="14" t="n">
        <f aca="false">IF($L562=2012,1,0)</f>
        <v>0</v>
      </c>
      <c r="T562" s="14" t="n">
        <f aca="false">IF($L562=2013,1,0)</f>
        <v>0</v>
      </c>
      <c r="U562" s="14" t="n">
        <f aca="false">IF($L562=2014,1,0)</f>
        <v>0</v>
      </c>
      <c r="V562" s="14" t="n">
        <f aca="false">IF($L562=2015,1,0)</f>
        <v>1</v>
      </c>
      <c r="W562" s="14" t="n">
        <f aca="false">IF($L562=2016,1,0)</f>
        <v>0</v>
      </c>
      <c r="X562" s="14" t="n">
        <f aca="false">IF($L562=2017,1,0)</f>
        <v>0</v>
      </c>
      <c r="Y562" s="14" t="n">
        <f aca="false">IF($H562="Beginner Level",1,0)</f>
        <v>0</v>
      </c>
      <c r="Z562" s="14" t="n">
        <f aca="false">IF($H562="Expert Level",1,0)</f>
        <v>0</v>
      </c>
      <c r="AA562" s="14" t="n">
        <f aca="false">IF($H562="Intermediate Level",1,0)</f>
        <v>1</v>
      </c>
      <c r="AC562" s="14" t="n">
        <f aca="false">N562</f>
        <v>2.99623214859564</v>
      </c>
      <c r="AD562" s="14" t="n">
        <f aca="false">G562</f>
        <v>7</v>
      </c>
      <c r="AE562" s="14" t="n">
        <f aca="false">J562</f>
        <v>0.68333333</v>
      </c>
      <c r="AF562" s="14" t="n">
        <f aca="false">IF($L562=2012,1,0)</f>
        <v>0</v>
      </c>
      <c r="AG562" s="14" t="n">
        <f aca="false">IF($L562=2013,1,0)</f>
        <v>0</v>
      </c>
      <c r="AH562" s="14" t="n">
        <f aca="false">IF($L562=2014,1,0)</f>
        <v>0</v>
      </c>
      <c r="AI562" s="14" t="n">
        <f aca="false">IF($L562=2015,1,0)</f>
        <v>1</v>
      </c>
      <c r="AJ562" s="14" t="n">
        <f aca="false">IF($L562=2016,1,0)</f>
        <v>0</v>
      </c>
      <c r="AK562" s="14" t="n">
        <f aca="false">IF($L562=2017,1,0)</f>
        <v>0</v>
      </c>
      <c r="AL562" s="14" t="n">
        <f aca="false">IF($H562="Beginner Level",1,0)</f>
        <v>0</v>
      </c>
      <c r="AM562" s="14" t="n">
        <f aca="false">IF($H562="Expert Level",1,0)</f>
        <v>0</v>
      </c>
      <c r="AN562" s="14" t="n">
        <f aca="false">IF($H562="Intermediate Level",1,0)</f>
        <v>1</v>
      </c>
    </row>
    <row r="563" customFormat="false" ht="79.85" hidden="false" customHeight="false" outlineLevel="0" collapsed="false">
      <c r="A563" s="14" t="n">
        <v>745468</v>
      </c>
      <c r="B563" s="14" t="s">
        <v>1169</v>
      </c>
      <c r="C563" s="14" t="s">
        <v>1170</v>
      </c>
      <c r="D563" s="14" t="n">
        <v>95</v>
      </c>
      <c r="E563" s="14" t="n">
        <v>2743</v>
      </c>
      <c r="F563" s="14" t="n">
        <v>589</v>
      </c>
      <c r="G563" s="14" t="n">
        <v>61</v>
      </c>
      <c r="H563" s="14" t="s">
        <v>62</v>
      </c>
      <c r="I563" s="14" t="n">
        <v>0.51</v>
      </c>
      <c r="J563" s="14" t="n">
        <v>14.5</v>
      </c>
      <c r="K563" s="14" t="s">
        <v>59</v>
      </c>
      <c r="L563" s="14" t="n">
        <v>2016</v>
      </c>
      <c r="M563" s="14" t="n">
        <v>7.9168074909376</v>
      </c>
      <c r="N563" s="14" t="n">
        <v>4.55398214921866</v>
      </c>
      <c r="P563" s="14" t="n">
        <f aca="false">D563</f>
        <v>95</v>
      </c>
      <c r="Q563" s="14" t="n">
        <f aca="false">G563</f>
        <v>61</v>
      </c>
      <c r="R563" s="14" t="n">
        <f aca="false">J563</f>
        <v>14.5</v>
      </c>
      <c r="S563" s="14" t="n">
        <f aca="false">IF($L563=2012,1,0)</f>
        <v>0</v>
      </c>
      <c r="T563" s="14" t="n">
        <f aca="false">IF($L563=2013,1,0)</f>
        <v>0</v>
      </c>
      <c r="U563" s="14" t="n">
        <f aca="false">IF($L563=2014,1,0)</f>
        <v>0</v>
      </c>
      <c r="V563" s="14" t="n">
        <f aca="false">IF($L563=2015,1,0)</f>
        <v>0</v>
      </c>
      <c r="W563" s="14" t="n">
        <f aca="false">IF($L563=2016,1,0)</f>
        <v>1</v>
      </c>
      <c r="X563" s="14" t="n">
        <f aca="false">IF($L563=2017,1,0)</f>
        <v>0</v>
      </c>
      <c r="Y563" s="14" t="n">
        <f aca="false">IF($H563="Beginner Level",1,0)</f>
        <v>0</v>
      </c>
      <c r="Z563" s="14" t="n">
        <f aca="false">IF($H563="Expert Level",1,0)</f>
        <v>0</v>
      </c>
      <c r="AA563" s="14" t="n">
        <f aca="false">IF($H563="Intermediate Level",1,0)</f>
        <v>0</v>
      </c>
      <c r="AC563" s="14" t="n">
        <f aca="false">N563</f>
        <v>4.55398214921866</v>
      </c>
      <c r="AD563" s="14" t="n">
        <f aca="false">G563</f>
        <v>61</v>
      </c>
      <c r="AE563" s="14" t="n">
        <f aca="false">J563</f>
        <v>14.5</v>
      </c>
      <c r="AF563" s="14" t="n">
        <f aca="false">IF($L563=2012,1,0)</f>
        <v>0</v>
      </c>
      <c r="AG563" s="14" t="n">
        <f aca="false">IF($L563=2013,1,0)</f>
        <v>0</v>
      </c>
      <c r="AH563" s="14" t="n">
        <f aca="false">IF($L563=2014,1,0)</f>
        <v>0</v>
      </c>
      <c r="AI563" s="14" t="n">
        <f aca="false">IF($L563=2015,1,0)</f>
        <v>0</v>
      </c>
      <c r="AJ563" s="14" t="n">
        <f aca="false">IF($L563=2016,1,0)</f>
        <v>1</v>
      </c>
      <c r="AK563" s="14" t="n">
        <f aca="false">IF($L563=2017,1,0)</f>
        <v>0</v>
      </c>
      <c r="AL563" s="14" t="n">
        <f aca="false">IF($H563="Beginner Level",1,0)</f>
        <v>0</v>
      </c>
      <c r="AM563" s="14" t="n">
        <f aca="false">IF($H563="Expert Level",1,0)</f>
        <v>0</v>
      </c>
      <c r="AN563" s="14" t="n">
        <f aca="false">IF($H563="Intermediate Level",1,0)</f>
        <v>0</v>
      </c>
    </row>
    <row r="564" customFormat="false" ht="68.65" hidden="false" customHeight="false" outlineLevel="0" collapsed="false">
      <c r="A564" s="14" t="n">
        <v>37684</v>
      </c>
      <c r="B564" s="14" t="s">
        <v>1171</v>
      </c>
      <c r="C564" s="14" t="s">
        <v>1172</v>
      </c>
      <c r="D564" s="14" t="n">
        <v>75</v>
      </c>
      <c r="E564" s="14" t="n">
        <v>2721</v>
      </c>
      <c r="F564" s="14" t="n">
        <v>96</v>
      </c>
      <c r="G564" s="14" t="n">
        <v>44</v>
      </c>
      <c r="H564" s="14" t="s">
        <v>71</v>
      </c>
      <c r="I564" s="14" t="n">
        <v>0.76</v>
      </c>
      <c r="J564" s="14" t="n">
        <v>5.5</v>
      </c>
      <c r="K564" s="14" t="s">
        <v>59</v>
      </c>
      <c r="L564" s="14" t="n">
        <v>2013</v>
      </c>
      <c r="M564" s="14" t="n">
        <v>7.90875473878325</v>
      </c>
      <c r="N564" s="14" t="n">
        <v>4.31762143798155</v>
      </c>
      <c r="P564" s="14" t="n">
        <f aca="false">D564</f>
        <v>75</v>
      </c>
      <c r="Q564" s="14" t="n">
        <f aca="false">G564</f>
        <v>44</v>
      </c>
      <c r="R564" s="14" t="n">
        <f aca="false">J564</f>
        <v>5.5</v>
      </c>
      <c r="S564" s="14" t="n">
        <f aca="false">IF($L564=2012,1,0)</f>
        <v>0</v>
      </c>
      <c r="T564" s="14" t="n">
        <f aca="false">IF($L564=2013,1,0)</f>
        <v>1</v>
      </c>
      <c r="U564" s="14" t="n">
        <f aca="false">IF($L564=2014,1,0)</f>
        <v>0</v>
      </c>
      <c r="V564" s="14" t="n">
        <f aca="false">IF($L564=2015,1,0)</f>
        <v>0</v>
      </c>
      <c r="W564" s="14" t="n">
        <f aca="false">IF($L564=2016,1,0)</f>
        <v>0</v>
      </c>
      <c r="X564" s="14" t="n">
        <f aca="false">IF($L564=2017,1,0)</f>
        <v>0</v>
      </c>
      <c r="Y564" s="14" t="n">
        <f aca="false">IF($H564="Beginner Level",1,0)</f>
        <v>0</v>
      </c>
      <c r="Z564" s="14" t="n">
        <f aca="false">IF($H564="Expert Level",1,0)</f>
        <v>0</v>
      </c>
      <c r="AA564" s="14" t="n">
        <f aca="false">IF($H564="Intermediate Level",1,0)</f>
        <v>1</v>
      </c>
      <c r="AC564" s="14" t="n">
        <f aca="false">N564</f>
        <v>4.31762143798155</v>
      </c>
      <c r="AD564" s="14" t="n">
        <f aca="false">G564</f>
        <v>44</v>
      </c>
      <c r="AE564" s="14" t="n">
        <f aca="false">J564</f>
        <v>5.5</v>
      </c>
      <c r="AF564" s="14" t="n">
        <f aca="false">IF($L564=2012,1,0)</f>
        <v>0</v>
      </c>
      <c r="AG564" s="14" t="n">
        <f aca="false">IF($L564=2013,1,0)</f>
        <v>1</v>
      </c>
      <c r="AH564" s="14" t="n">
        <f aca="false">IF($L564=2014,1,0)</f>
        <v>0</v>
      </c>
      <c r="AI564" s="14" t="n">
        <f aca="false">IF($L564=2015,1,0)</f>
        <v>0</v>
      </c>
      <c r="AJ564" s="14" t="n">
        <f aca="false">IF($L564=2016,1,0)</f>
        <v>0</v>
      </c>
      <c r="AK564" s="14" t="n">
        <f aca="false">IF($L564=2017,1,0)</f>
        <v>0</v>
      </c>
      <c r="AL564" s="14" t="n">
        <f aca="false">IF($H564="Beginner Level",1,0)</f>
        <v>0</v>
      </c>
      <c r="AM564" s="14" t="n">
        <f aca="false">IF($H564="Expert Level",1,0)</f>
        <v>0</v>
      </c>
      <c r="AN564" s="14" t="n">
        <f aca="false">IF($H564="Intermediate Level",1,0)</f>
        <v>1</v>
      </c>
    </row>
    <row r="565" customFormat="false" ht="57.45" hidden="false" customHeight="false" outlineLevel="0" collapsed="false">
      <c r="A565" s="14" t="n">
        <v>531360</v>
      </c>
      <c r="B565" s="14" t="s">
        <v>1173</v>
      </c>
      <c r="C565" s="14" t="s">
        <v>1174</v>
      </c>
      <c r="D565" s="14" t="n">
        <v>175</v>
      </c>
      <c r="E565" s="14" t="n">
        <v>2706</v>
      </c>
      <c r="F565" s="14" t="n">
        <v>179</v>
      </c>
      <c r="G565" s="14" t="n">
        <v>103</v>
      </c>
      <c r="H565" s="14" t="s">
        <v>52</v>
      </c>
      <c r="I565" s="14" t="n">
        <v>0.37</v>
      </c>
      <c r="J565" s="14" t="n">
        <v>13</v>
      </c>
      <c r="K565" s="14" t="s">
        <v>59</v>
      </c>
      <c r="L565" s="14" t="n">
        <v>2015</v>
      </c>
      <c r="M565" s="14" t="n">
        <v>7.90322680873073</v>
      </c>
      <c r="N565" s="14" t="n">
        <v>5.16484311514807</v>
      </c>
      <c r="P565" s="14" t="n">
        <f aca="false">D565</f>
        <v>175</v>
      </c>
      <c r="Q565" s="14" t="n">
        <f aca="false">G565</f>
        <v>103</v>
      </c>
      <c r="R565" s="14" t="n">
        <f aca="false">J565</f>
        <v>13</v>
      </c>
      <c r="S565" s="14" t="n">
        <f aca="false">IF($L565=2012,1,0)</f>
        <v>0</v>
      </c>
      <c r="T565" s="14" t="n">
        <f aca="false">IF($L565=2013,1,0)</f>
        <v>0</v>
      </c>
      <c r="U565" s="14" t="n">
        <f aca="false">IF($L565=2014,1,0)</f>
        <v>0</v>
      </c>
      <c r="V565" s="14" t="n">
        <f aca="false">IF($L565=2015,1,0)</f>
        <v>1</v>
      </c>
      <c r="W565" s="14" t="n">
        <f aca="false">IF($L565=2016,1,0)</f>
        <v>0</v>
      </c>
      <c r="X565" s="14" t="n">
        <f aca="false">IF($L565=2017,1,0)</f>
        <v>0</v>
      </c>
      <c r="Y565" s="14" t="n">
        <f aca="false">IF($H565="Beginner Level",1,0)</f>
        <v>1</v>
      </c>
      <c r="Z565" s="14" t="n">
        <f aca="false">IF($H565="Expert Level",1,0)</f>
        <v>0</v>
      </c>
      <c r="AA565" s="14" t="n">
        <f aca="false">IF($H565="Intermediate Level",1,0)</f>
        <v>0</v>
      </c>
      <c r="AC565" s="14" t="n">
        <f aca="false">N565</f>
        <v>5.16484311514807</v>
      </c>
      <c r="AD565" s="14" t="n">
        <f aca="false">G565</f>
        <v>103</v>
      </c>
      <c r="AE565" s="14" t="n">
        <f aca="false">J565</f>
        <v>13</v>
      </c>
      <c r="AF565" s="14" t="n">
        <f aca="false">IF($L565=2012,1,0)</f>
        <v>0</v>
      </c>
      <c r="AG565" s="14" t="n">
        <f aca="false">IF($L565=2013,1,0)</f>
        <v>0</v>
      </c>
      <c r="AH565" s="14" t="n">
        <f aca="false">IF($L565=2014,1,0)</f>
        <v>0</v>
      </c>
      <c r="AI565" s="14" t="n">
        <f aca="false">IF($L565=2015,1,0)</f>
        <v>1</v>
      </c>
      <c r="AJ565" s="14" t="n">
        <f aca="false">IF($L565=2016,1,0)</f>
        <v>0</v>
      </c>
      <c r="AK565" s="14" t="n">
        <f aca="false">IF($L565=2017,1,0)</f>
        <v>0</v>
      </c>
      <c r="AL565" s="14" t="n">
        <f aca="false">IF($H565="Beginner Level",1,0)</f>
        <v>1</v>
      </c>
      <c r="AM565" s="14" t="n">
        <f aca="false">IF($H565="Expert Level",1,0)</f>
        <v>0</v>
      </c>
      <c r="AN565" s="14" t="n">
        <f aca="false">IF($H565="Intermediate Level",1,0)</f>
        <v>0</v>
      </c>
    </row>
    <row r="566" customFormat="false" ht="68.65" hidden="false" customHeight="false" outlineLevel="0" collapsed="false">
      <c r="A566" s="14" t="n">
        <v>56513</v>
      </c>
      <c r="B566" s="14" t="s">
        <v>1175</v>
      </c>
      <c r="C566" s="14" t="s">
        <v>1176</v>
      </c>
      <c r="D566" s="14" t="n">
        <v>200</v>
      </c>
      <c r="E566" s="14" t="n">
        <v>2698</v>
      </c>
      <c r="F566" s="14" t="n">
        <v>29</v>
      </c>
      <c r="G566" s="14" t="n">
        <v>57</v>
      </c>
      <c r="H566" s="14" t="s">
        <v>62</v>
      </c>
      <c r="I566" s="14" t="n">
        <v>0.72</v>
      </c>
      <c r="J566" s="14" t="n">
        <v>8</v>
      </c>
      <c r="K566" s="14" t="s">
        <v>59</v>
      </c>
      <c r="L566" s="14" t="n">
        <v>2013</v>
      </c>
      <c r="M566" s="14" t="n">
        <v>7.9002660367677</v>
      </c>
      <c r="N566" s="14" t="n">
        <v>5.29836736529808</v>
      </c>
      <c r="P566" s="14" t="n">
        <f aca="false">D566</f>
        <v>200</v>
      </c>
      <c r="Q566" s="14" t="n">
        <f aca="false">G566</f>
        <v>57</v>
      </c>
      <c r="R566" s="14" t="n">
        <f aca="false">J566</f>
        <v>8</v>
      </c>
      <c r="S566" s="14" t="n">
        <f aca="false">IF($L566=2012,1,0)</f>
        <v>0</v>
      </c>
      <c r="T566" s="14" t="n">
        <f aca="false">IF($L566=2013,1,0)</f>
        <v>1</v>
      </c>
      <c r="U566" s="14" t="n">
        <f aca="false">IF($L566=2014,1,0)</f>
        <v>0</v>
      </c>
      <c r="V566" s="14" t="n">
        <f aca="false">IF($L566=2015,1,0)</f>
        <v>0</v>
      </c>
      <c r="W566" s="14" t="n">
        <f aca="false">IF($L566=2016,1,0)</f>
        <v>0</v>
      </c>
      <c r="X566" s="14" t="n">
        <f aca="false">IF($L566=2017,1,0)</f>
        <v>0</v>
      </c>
      <c r="Y566" s="14" t="n">
        <f aca="false">IF($H566="Beginner Level",1,0)</f>
        <v>0</v>
      </c>
      <c r="Z566" s="14" t="n">
        <f aca="false">IF($H566="Expert Level",1,0)</f>
        <v>0</v>
      </c>
      <c r="AA566" s="14" t="n">
        <f aca="false">IF($H566="Intermediate Level",1,0)</f>
        <v>0</v>
      </c>
      <c r="AC566" s="14" t="n">
        <f aca="false">N566</f>
        <v>5.29836736529808</v>
      </c>
      <c r="AD566" s="14" t="n">
        <f aca="false">G566</f>
        <v>57</v>
      </c>
      <c r="AE566" s="14" t="n">
        <f aca="false">J566</f>
        <v>8</v>
      </c>
      <c r="AF566" s="14" t="n">
        <f aca="false">IF($L566=2012,1,0)</f>
        <v>0</v>
      </c>
      <c r="AG566" s="14" t="n">
        <f aca="false">IF($L566=2013,1,0)</f>
        <v>1</v>
      </c>
      <c r="AH566" s="14" t="n">
        <f aca="false">IF($L566=2014,1,0)</f>
        <v>0</v>
      </c>
      <c r="AI566" s="14" t="n">
        <f aca="false">IF($L566=2015,1,0)</f>
        <v>0</v>
      </c>
      <c r="AJ566" s="14" t="n">
        <f aca="false">IF($L566=2016,1,0)</f>
        <v>0</v>
      </c>
      <c r="AK566" s="14" t="n">
        <f aca="false">IF($L566=2017,1,0)</f>
        <v>0</v>
      </c>
      <c r="AL566" s="14" t="n">
        <f aca="false">IF($H566="Beginner Level",1,0)</f>
        <v>0</v>
      </c>
      <c r="AM566" s="14" t="n">
        <f aca="false">IF($H566="Expert Level",1,0)</f>
        <v>0</v>
      </c>
      <c r="AN566" s="14" t="n">
        <f aca="false">IF($H566="Intermediate Level",1,0)</f>
        <v>0</v>
      </c>
    </row>
    <row r="567" customFormat="false" ht="46.25" hidden="false" customHeight="false" outlineLevel="0" collapsed="false">
      <c r="A567" s="14" t="n">
        <v>50587</v>
      </c>
      <c r="B567" s="14" t="s">
        <v>1177</v>
      </c>
      <c r="C567" s="14" t="s">
        <v>1178</v>
      </c>
      <c r="D567" s="14" t="n">
        <v>75</v>
      </c>
      <c r="E567" s="14" t="n">
        <v>2697</v>
      </c>
      <c r="F567" s="14" t="n">
        <v>64</v>
      </c>
      <c r="G567" s="14" t="n">
        <v>82</v>
      </c>
      <c r="H567" s="14" t="s">
        <v>62</v>
      </c>
      <c r="I567" s="14" t="n">
        <v>0.34</v>
      </c>
      <c r="J567" s="14" t="n">
        <v>11.5</v>
      </c>
      <c r="K567" s="14" t="s">
        <v>59</v>
      </c>
      <c r="L567" s="14" t="n">
        <v>2013</v>
      </c>
      <c r="M567" s="14" t="n">
        <v>7.89989532313973</v>
      </c>
      <c r="N567" s="14" t="n">
        <v>4.31762143798155</v>
      </c>
      <c r="P567" s="14" t="n">
        <f aca="false">D567</f>
        <v>75</v>
      </c>
      <c r="Q567" s="14" t="n">
        <f aca="false">G567</f>
        <v>82</v>
      </c>
      <c r="R567" s="14" t="n">
        <f aca="false">J567</f>
        <v>11.5</v>
      </c>
      <c r="S567" s="14" t="n">
        <f aca="false">IF($L567=2012,1,0)</f>
        <v>0</v>
      </c>
      <c r="T567" s="14" t="n">
        <f aca="false">IF($L567=2013,1,0)</f>
        <v>1</v>
      </c>
      <c r="U567" s="14" t="n">
        <f aca="false">IF($L567=2014,1,0)</f>
        <v>0</v>
      </c>
      <c r="V567" s="14" t="n">
        <f aca="false">IF($L567=2015,1,0)</f>
        <v>0</v>
      </c>
      <c r="W567" s="14" t="n">
        <f aca="false">IF($L567=2016,1,0)</f>
        <v>0</v>
      </c>
      <c r="X567" s="14" t="n">
        <f aca="false">IF($L567=2017,1,0)</f>
        <v>0</v>
      </c>
      <c r="Y567" s="14" t="n">
        <f aca="false">IF($H567="Beginner Level",1,0)</f>
        <v>0</v>
      </c>
      <c r="Z567" s="14" t="n">
        <f aca="false">IF($H567="Expert Level",1,0)</f>
        <v>0</v>
      </c>
      <c r="AA567" s="14" t="n">
        <f aca="false">IF($H567="Intermediate Level",1,0)</f>
        <v>0</v>
      </c>
      <c r="AC567" s="14" t="n">
        <f aca="false">N567</f>
        <v>4.31762143798155</v>
      </c>
      <c r="AD567" s="14" t="n">
        <f aca="false">G567</f>
        <v>82</v>
      </c>
      <c r="AE567" s="14" t="n">
        <f aca="false">J567</f>
        <v>11.5</v>
      </c>
      <c r="AF567" s="14" t="n">
        <f aca="false">IF($L567=2012,1,0)</f>
        <v>0</v>
      </c>
      <c r="AG567" s="14" t="n">
        <f aca="false">IF($L567=2013,1,0)</f>
        <v>1</v>
      </c>
      <c r="AH567" s="14" t="n">
        <f aca="false">IF($L567=2014,1,0)</f>
        <v>0</v>
      </c>
      <c r="AI567" s="14" t="n">
        <f aca="false">IF($L567=2015,1,0)</f>
        <v>0</v>
      </c>
      <c r="AJ567" s="14" t="n">
        <f aca="false">IF($L567=2016,1,0)</f>
        <v>0</v>
      </c>
      <c r="AK567" s="14" t="n">
        <f aca="false">IF($L567=2017,1,0)</f>
        <v>0</v>
      </c>
      <c r="AL567" s="14" t="n">
        <f aca="false">IF($H567="Beginner Level",1,0)</f>
        <v>0</v>
      </c>
      <c r="AM567" s="14" t="n">
        <f aca="false">IF($H567="Expert Level",1,0)</f>
        <v>0</v>
      </c>
      <c r="AN567" s="14" t="n">
        <f aca="false">IF($H567="Intermediate Level",1,0)</f>
        <v>0</v>
      </c>
    </row>
    <row r="568" customFormat="false" ht="57.45" hidden="false" customHeight="false" outlineLevel="0" collapsed="false">
      <c r="A568" s="14" t="n">
        <v>1042110</v>
      </c>
      <c r="B568" s="14" t="s">
        <v>1179</v>
      </c>
      <c r="C568" s="14" t="s">
        <v>1180</v>
      </c>
      <c r="D568" s="14" t="n">
        <v>200</v>
      </c>
      <c r="E568" s="14" t="n">
        <v>2687</v>
      </c>
      <c r="F568" s="14" t="n">
        <v>331</v>
      </c>
      <c r="G568" s="14" t="n">
        <v>138</v>
      </c>
      <c r="H568" s="14" t="s">
        <v>52</v>
      </c>
      <c r="I568" s="14" t="n">
        <v>0.68</v>
      </c>
      <c r="J568" s="14" t="n">
        <v>25.5</v>
      </c>
      <c r="K568" s="14" t="s">
        <v>59</v>
      </c>
      <c r="L568" s="14" t="n">
        <v>2017</v>
      </c>
      <c r="M568" s="14" t="n">
        <v>7.89618060861549</v>
      </c>
      <c r="N568" s="14" t="n">
        <v>5.29836736529808</v>
      </c>
      <c r="P568" s="14" t="n">
        <f aca="false">D568</f>
        <v>200</v>
      </c>
      <c r="Q568" s="14" t="n">
        <f aca="false">G568</f>
        <v>138</v>
      </c>
      <c r="R568" s="14" t="n">
        <f aca="false">J568</f>
        <v>25.5</v>
      </c>
      <c r="S568" s="14" t="n">
        <f aca="false">IF($L568=2012,1,0)</f>
        <v>0</v>
      </c>
      <c r="T568" s="14" t="n">
        <f aca="false">IF($L568=2013,1,0)</f>
        <v>0</v>
      </c>
      <c r="U568" s="14" t="n">
        <f aca="false">IF($L568=2014,1,0)</f>
        <v>0</v>
      </c>
      <c r="V568" s="14" t="n">
        <f aca="false">IF($L568=2015,1,0)</f>
        <v>0</v>
      </c>
      <c r="W568" s="14" t="n">
        <f aca="false">IF($L568=2016,1,0)</f>
        <v>0</v>
      </c>
      <c r="X568" s="14" t="n">
        <f aca="false">IF($L568=2017,1,0)</f>
        <v>1</v>
      </c>
      <c r="Y568" s="14" t="n">
        <f aca="false">IF($H568="Beginner Level",1,0)</f>
        <v>1</v>
      </c>
      <c r="Z568" s="14" t="n">
        <f aca="false">IF($H568="Expert Level",1,0)</f>
        <v>0</v>
      </c>
      <c r="AA568" s="14" t="n">
        <f aca="false">IF($H568="Intermediate Level",1,0)</f>
        <v>0</v>
      </c>
      <c r="AC568" s="14" t="n">
        <f aca="false">N568</f>
        <v>5.29836736529808</v>
      </c>
      <c r="AD568" s="14" t="n">
        <f aca="false">G568</f>
        <v>138</v>
      </c>
      <c r="AE568" s="14" t="n">
        <f aca="false">J568</f>
        <v>25.5</v>
      </c>
      <c r="AF568" s="14" t="n">
        <f aca="false">IF($L568=2012,1,0)</f>
        <v>0</v>
      </c>
      <c r="AG568" s="14" t="n">
        <f aca="false">IF($L568=2013,1,0)</f>
        <v>0</v>
      </c>
      <c r="AH568" s="14" t="n">
        <f aca="false">IF($L568=2014,1,0)</f>
        <v>0</v>
      </c>
      <c r="AI568" s="14" t="n">
        <f aca="false">IF($L568=2015,1,0)</f>
        <v>0</v>
      </c>
      <c r="AJ568" s="14" t="n">
        <f aca="false">IF($L568=2016,1,0)</f>
        <v>0</v>
      </c>
      <c r="AK568" s="14" t="n">
        <f aca="false">IF($L568=2017,1,0)</f>
        <v>1</v>
      </c>
      <c r="AL568" s="14" t="n">
        <f aca="false">IF($H568="Beginner Level",1,0)</f>
        <v>1</v>
      </c>
      <c r="AM568" s="14" t="n">
        <f aca="false">IF($H568="Expert Level",1,0)</f>
        <v>0</v>
      </c>
      <c r="AN568" s="14" t="n">
        <f aca="false">IF($H568="Intermediate Level",1,0)</f>
        <v>0</v>
      </c>
    </row>
    <row r="569" customFormat="false" ht="68.65" hidden="false" customHeight="false" outlineLevel="0" collapsed="false">
      <c r="A569" s="14" t="n">
        <v>1094964</v>
      </c>
      <c r="B569" s="14" t="s">
        <v>1181</v>
      </c>
      <c r="C569" s="14" t="s">
        <v>1182</v>
      </c>
      <c r="D569" s="14" t="n">
        <v>50</v>
      </c>
      <c r="E569" s="14" t="n">
        <v>2669</v>
      </c>
      <c r="F569" s="14" t="n">
        <v>112</v>
      </c>
      <c r="G569" s="14" t="n">
        <v>72</v>
      </c>
      <c r="H569" s="14" t="s">
        <v>52</v>
      </c>
      <c r="I569" s="14" t="n">
        <v>0.65</v>
      </c>
      <c r="J569" s="14" t="n">
        <v>5.5</v>
      </c>
      <c r="K569" s="14" t="s">
        <v>59</v>
      </c>
      <c r="L569" s="14" t="n">
        <v>2017</v>
      </c>
      <c r="M569" s="14" t="n">
        <v>7.88945914940452</v>
      </c>
      <c r="N569" s="14" t="n">
        <v>3.91222298543081</v>
      </c>
      <c r="P569" s="14" t="n">
        <f aca="false">D569</f>
        <v>50</v>
      </c>
      <c r="Q569" s="14" t="n">
        <f aca="false">G569</f>
        <v>72</v>
      </c>
      <c r="R569" s="14" t="n">
        <f aca="false">J569</f>
        <v>5.5</v>
      </c>
      <c r="S569" s="14" t="n">
        <f aca="false">IF($L569=2012,1,0)</f>
        <v>0</v>
      </c>
      <c r="T569" s="14" t="n">
        <f aca="false">IF($L569=2013,1,0)</f>
        <v>0</v>
      </c>
      <c r="U569" s="14" t="n">
        <f aca="false">IF($L569=2014,1,0)</f>
        <v>0</v>
      </c>
      <c r="V569" s="14" t="n">
        <f aca="false">IF($L569=2015,1,0)</f>
        <v>0</v>
      </c>
      <c r="W569" s="14" t="n">
        <f aca="false">IF($L569=2016,1,0)</f>
        <v>0</v>
      </c>
      <c r="X569" s="14" t="n">
        <f aca="false">IF($L569=2017,1,0)</f>
        <v>1</v>
      </c>
      <c r="Y569" s="14" t="n">
        <f aca="false">IF($H569="Beginner Level",1,0)</f>
        <v>1</v>
      </c>
      <c r="Z569" s="14" t="n">
        <f aca="false">IF($H569="Expert Level",1,0)</f>
        <v>0</v>
      </c>
      <c r="AA569" s="14" t="n">
        <f aca="false">IF($H569="Intermediate Level",1,0)</f>
        <v>0</v>
      </c>
      <c r="AC569" s="14" t="n">
        <f aca="false">N569</f>
        <v>3.91222298543081</v>
      </c>
      <c r="AD569" s="14" t="n">
        <f aca="false">G569</f>
        <v>72</v>
      </c>
      <c r="AE569" s="14" t="n">
        <f aca="false">J569</f>
        <v>5.5</v>
      </c>
      <c r="AF569" s="14" t="n">
        <f aca="false">IF($L569=2012,1,0)</f>
        <v>0</v>
      </c>
      <c r="AG569" s="14" t="n">
        <f aca="false">IF($L569=2013,1,0)</f>
        <v>0</v>
      </c>
      <c r="AH569" s="14" t="n">
        <f aca="false">IF($L569=2014,1,0)</f>
        <v>0</v>
      </c>
      <c r="AI569" s="14" t="n">
        <f aca="false">IF($L569=2015,1,0)</f>
        <v>0</v>
      </c>
      <c r="AJ569" s="14" t="n">
        <f aca="false">IF($L569=2016,1,0)</f>
        <v>0</v>
      </c>
      <c r="AK569" s="14" t="n">
        <f aca="false">IF($L569=2017,1,0)</f>
        <v>1</v>
      </c>
      <c r="AL569" s="14" t="n">
        <f aca="false">IF($H569="Beginner Level",1,0)</f>
        <v>1</v>
      </c>
      <c r="AM569" s="14" t="n">
        <f aca="false">IF($H569="Expert Level",1,0)</f>
        <v>0</v>
      </c>
      <c r="AN569" s="14" t="n">
        <f aca="false">IF($H569="Intermediate Level",1,0)</f>
        <v>0</v>
      </c>
    </row>
    <row r="570" customFormat="false" ht="57.45" hidden="false" customHeight="false" outlineLevel="0" collapsed="false">
      <c r="A570" s="14" t="n">
        <v>876544</v>
      </c>
      <c r="B570" s="14" t="s">
        <v>1183</v>
      </c>
      <c r="C570" s="14" t="s">
        <v>1184</v>
      </c>
      <c r="D570" s="14" t="n">
        <v>20</v>
      </c>
      <c r="E570" s="14" t="n">
        <v>2660</v>
      </c>
      <c r="F570" s="14" t="n">
        <v>276</v>
      </c>
      <c r="G570" s="14" t="n">
        <v>16</v>
      </c>
      <c r="H570" s="14" t="s">
        <v>52</v>
      </c>
      <c r="I570" s="14" t="n">
        <v>0.36</v>
      </c>
      <c r="J570" s="14" t="n">
        <v>1.5</v>
      </c>
      <c r="K570" s="14" t="s">
        <v>59</v>
      </c>
      <c r="L570" s="14" t="n">
        <v>2016</v>
      </c>
      <c r="M570" s="14" t="n">
        <v>7.88608140177575</v>
      </c>
      <c r="N570" s="14" t="n">
        <v>2.99623214859564</v>
      </c>
      <c r="P570" s="14" t="n">
        <f aca="false">D570</f>
        <v>20</v>
      </c>
      <c r="Q570" s="14" t="n">
        <f aca="false">G570</f>
        <v>16</v>
      </c>
      <c r="R570" s="14" t="n">
        <f aca="false">J570</f>
        <v>1.5</v>
      </c>
      <c r="S570" s="14" t="n">
        <f aca="false">IF($L570=2012,1,0)</f>
        <v>0</v>
      </c>
      <c r="T570" s="14" t="n">
        <f aca="false">IF($L570=2013,1,0)</f>
        <v>0</v>
      </c>
      <c r="U570" s="14" t="n">
        <f aca="false">IF($L570=2014,1,0)</f>
        <v>0</v>
      </c>
      <c r="V570" s="14" t="n">
        <f aca="false">IF($L570=2015,1,0)</f>
        <v>0</v>
      </c>
      <c r="W570" s="14" t="n">
        <f aca="false">IF($L570=2016,1,0)</f>
        <v>1</v>
      </c>
      <c r="X570" s="14" t="n">
        <f aca="false">IF($L570=2017,1,0)</f>
        <v>0</v>
      </c>
      <c r="Y570" s="14" t="n">
        <f aca="false">IF($H570="Beginner Level",1,0)</f>
        <v>1</v>
      </c>
      <c r="Z570" s="14" t="n">
        <f aca="false">IF($H570="Expert Level",1,0)</f>
        <v>0</v>
      </c>
      <c r="AA570" s="14" t="n">
        <f aca="false">IF($H570="Intermediate Level",1,0)</f>
        <v>0</v>
      </c>
      <c r="AC570" s="14" t="n">
        <f aca="false">N570</f>
        <v>2.99623214859564</v>
      </c>
      <c r="AD570" s="14" t="n">
        <f aca="false">G570</f>
        <v>16</v>
      </c>
      <c r="AE570" s="14" t="n">
        <f aca="false">J570</f>
        <v>1.5</v>
      </c>
      <c r="AF570" s="14" t="n">
        <f aca="false">IF($L570=2012,1,0)</f>
        <v>0</v>
      </c>
      <c r="AG570" s="14" t="n">
        <f aca="false">IF($L570=2013,1,0)</f>
        <v>0</v>
      </c>
      <c r="AH570" s="14" t="n">
        <f aca="false">IF($L570=2014,1,0)</f>
        <v>0</v>
      </c>
      <c r="AI570" s="14" t="n">
        <f aca="false">IF($L570=2015,1,0)</f>
        <v>0</v>
      </c>
      <c r="AJ570" s="14" t="n">
        <f aca="false">IF($L570=2016,1,0)</f>
        <v>1</v>
      </c>
      <c r="AK570" s="14" t="n">
        <f aca="false">IF($L570=2017,1,0)</f>
        <v>0</v>
      </c>
      <c r="AL570" s="14" t="n">
        <f aca="false">IF($H570="Beginner Level",1,0)</f>
        <v>1</v>
      </c>
      <c r="AM570" s="14" t="n">
        <f aca="false">IF($H570="Expert Level",1,0)</f>
        <v>0</v>
      </c>
      <c r="AN570" s="14" t="n">
        <f aca="false">IF($H570="Intermediate Level",1,0)</f>
        <v>0</v>
      </c>
    </row>
    <row r="571" customFormat="false" ht="68.65" hidden="false" customHeight="false" outlineLevel="0" collapsed="false">
      <c r="A571" s="14" t="n">
        <v>650328</v>
      </c>
      <c r="B571" s="14" t="s">
        <v>1185</v>
      </c>
      <c r="C571" s="14" t="s">
        <v>1186</v>
      </c>
      <c r="D571" s="14" t="n">
        <v>120</v>
      </c>
      <c r="E571" s="14" t="n">
        <v>2652</v>
      </c>
      <c r="F571" s="14" t="n">
        <v>33</v>
      </c>
      <c r="G571" s="14" t="n">
        <v>40</v>
      </c>
      <c r="H571" s="14" t="s">
        <v>62</v>
      </c>
      <c r="I571" s="14" t="n">
        <v>0.83</v>
      </c>
      <c r="J571" s="14" t="n">
        <v>3.5</v>
      </c>
      <c r="K571" s="14" t="s">
        <v>59</v>
      </c>
      <c r="L571" s="14" t="n">
        <v>2016</v>
      </c>
      <c r="M571" s="14" t="n">
        <v>7.88306935130575</v>
      </c>
      <c r="N571" s="14" t="n">
        <v>4.78757507264335</v>
      </c>
      <c r="P571" s="14" t="n">
        <f aca="false">D571</f>
        <v>120</v>
      </c>
      <c r="Q571" s="14" t="n">
        <f aca="false">G571</f>
        <v>40</v>
      </c>
      <c r="R571" s="14" t="n">
        <f aca="false">J571</f>
        <v>3.5</v>
      </c>
      <c r="S571" s="14" t="n">
        <f aca="false">IF($L571=2012,1,0)</f>
        <v>0</v>
      </c>
      <c r="T571" s="14" t="n">
        <f aca="false">IF($L571=2013,1,0)</f>
        <v>0</v>
      </c>
      <c r="U571" s="14" t="n">
        <f aca="false">IF($L571=2014,1,0)</f>
        <v>0</v>
      </c>
      <c r="V571" s="14" t="n">
        <f aca="false">IF($L571=2015,1,0)</f>
        <v>0</v>
      </c>
      <c r="W571" s="14" t="n">
        <f aca="false">IF($L571=2016,1,0)</f>
        <v>1</v>
      </c>
      <c r="X571" s="14" t="n">
        <f aca="false">IF($L571=2017,1,0)</f>
        <v>0</v>
      </c>
      <c r="Y571" s="14" t="n">
        <f aca="false">IF($H571="Beginner Level",1,0)</f>
        <v>0</v>
      </c>
      <c r="Z571" s="14" t="n">
        <f aca="false">IF($H571="Expert Level",1,0)</f>
        <v>0</v>
      </c>
      <c r="AA571" s="14" t="n">
        <f aca="false">IF($H571="Intermediate Level",1,0)</f>
        <v>0</v>
      </c>
      <c r="AC571" s="14" t="n">
        <f aca="false">N571</f>
        <v>4.78757507264335</v>
      </c>
      <c r="AD571" s="14" t="n">
        <f aca="false">G571</f>
        <v>40</v>
      </c>
      <c r="AE571" s="14" t="n">
        <f aca="false">J571</f>
        <v>3.5</v>
      </c>
      <c r="AF571" s="14" t="n">
        <f aca="false">IF($L571=2012,1,0)</f>
        <v>0</v>
      </c>
      <c r="AG571" s="14" t="n">
        <f aca="false">IF($L571=2013,1,0)</f>
        <v>0</v>
      </c>
      <c r="AH571" s="14" t="n">
        <f aca="false">IF($L571=2014,1,0)</f>
        <v>0</v>
      </c>
      <c r="AI571" s="14" t="n">
        <f aca="false">IF($L571=2015,1,0)</f>
        <v>0</v>
      </c>
      <c r="AJ571" s="14" t="n">
        <f aca="false">IF($L571=2016,1,0)</f>
        <v>1</v>
      </c>
      <c r="AK571" s="14" t="n">
        <f aca="false">IF($L571=2017,1,0)</f>
        <v>0</v>
      </c>
      <c r="AL571" s="14" t="n">
        <f aca="false">IF($H571="Beginner Level",1,0)</f>
        <v>0</v>
      </c>
      <c r="AM571" s="14" t="n">
        <f aca="false">IF($H571="Expert Level",1,0)</f>
        <v>0</v>
      </c>
      <c r="AN571" s="14" t="n">
        <f aca="false">IF($H571="Intermediate Level",1,0)</f>
        <v>0</v>
      </c>
    </row>
    <row r="572" customFormat="false" ht="57.45" hidden="false" customHeight="false" outlineLevel="0" collapsed="false">
      <c r="A572" s="14" t="n">
        <v>570848</v>
      </c>
      <c r="B572" s="14" t="s">
        <v>1187</v>
      </c>
      <c r="C572" s="14" t="s">
        <v>1188</v>
      </c>
      <c r="D572" s="14" t="n">
        <v>40</v>
      </c>
      <c r="E572" s="14" t="n">
        <v>2650</v>
      </c>
      <c r="F572" s="14" t="n">
        <v>19</v>
      </c>
      <c r="G572" s="14" t="n">
        <v>39</v>
      </c>
      <c r="H572" s="14" t="s">
        <v>52</v>
      </c>
      <c r="I572" s="14" t="n">
        <v>0.11</v>
      </c>
      <c r="J572" s="14" t="n">
        <v>2</v>
      </c>
      <c r="K572" s="14" t="s">
        <v>59</v>
      </c>
      <c r="L572" s="14" t="n">
        <v>2015</v>
      </c>
      <c r="M572" s="14" t="n">
        <v>7.88231491898027</v>
      </c>
      <c r="N572" s="14" t="n">
        <v>3.68912942286914</v>
      </c>
      <c r="P572" s="14" t="n">
        <f aca="false">D572</f>
        <v>40</v>
      </c>
      <c r="Q572" s="14" t="n">
        <f aca="false">G572</f>
        <v>39</v>
      </c>
      <c r="R572" s="14" t="n">
        <f aca="false">J572</f>
        <v>2</v>
      </c>
      <c r="S572" s="14" t="n">
        <f aca="false">IF($L572=2012,1,0)</f>
        <v>0</v>
      </c>
      <c r="T572" s="14" t="n">
        <f aca="false">IF($L572=2013,1,0)</f>
        <v>0</v>
      </c>
      <c r="U572" s="14" t="n">
        <f aca="false">IF($L572=2014,1,0)</f>
        <v>0</v>
      </c>
      <c r="V572" s="14" t="n">
        <f aca="false">IF($L572=2015,1,0)</f>
        <v>1</v>
      </c>
      <c r="W572" s="14" t="n">
        <f aca="false">IF($L572=2016,1,0)</f>
        <v>0</v>
      </c>
      <c r="X572" s="14" t="n">
        <f aca="false">IF($L572=2017,1,0)</f>
        <v>0</v>
      </c>
      <c r="Y572" s="14" t="n">
        <f aca="false">IF($H572="Beginner Level",1,0)</f>
        <v>1</v>
      </c>
      <c r="Z572" s="14" t="n">
        <f aca="false">IF($H572="Expert Level",1,0)</f>
        <v>0</v>
      </c>
      <c r="AA572" s="14" t="n">
        <f aca="false">IF($H572="Intermediate Level",1,0)</f>
        <v>0</v>
      </c>
      <c r="AC572" s="14" t="n">
        <f aca="false">N572</f>
        <v>3.68912942286914</v>
      </c>
      <c r="AD572" s="14" t="n">
        <f aca="false">G572</f>
        <v>39</v>
      </c>
      <c r="AE572" s="14" t="n">
        <f aca="false">J572</f>
        <v>2</v>
      </c>
      <c r="AF572" s="14" t="n">
        <f aca="false">IF($L572=2012,1,0)</f>
        <v>0</v>
      </c>
      <c r="AG572" s="14" t="n">
        <f aca="false">IF($L572=2013,1,0)</f>
        <v>0</v>
      </c>
      <c r="AH572" s="14" t="n">
        <f aca="false">IF($L572=2014,1,0)</f>
        <v>0</v>
      </c>
      <c r="AI572" s="14" t="n">
        <f aca="false">IF($L572=2015,1,0)</f>
        <v>1</v>
      </c>
      <c r="AJ572" s="14" t="n">
        <f aca="false">IF($L572=2016,1,0)</f>
        <v>0</v>
      </c>
      <c r="AK572" s="14" t="n">
        <f aca="false">IF($L572=2017,1,0)</f>
        <v>0</v>
      </c>
      <c r="AL572" s="14" t="n">
        <f aca="false">IF($H572="Beginner Level",1,0)</f>
        <v>1</v>
      </c>
      <c r="AM572" s="14" t="n">
        <f aca="false">IF($H572="Expert Level",1,0)</f>
        <v>0</v>
      </c>
      <c r="AN572" s="14" t="n">
        <f aca="false">IF($H572="Intermediate Level",1,0)</f>
        <v>0</v>
      </c>
    </row>
    <row r="573" customFormat="false" ht="91" hidden="false" customHeight="false" outlineLevel="0" collapsed="false">
      <c r="A573" s="14" t="n">
        <v>459922</v>
      </c>
      <c r="B573" s="14" t="s">
        <v>1189</v>
      </c>
      <c r="C573" s="14" t="s">
        <v>1190</v>
      </c>
      <c r="D573" s="14" t="n">
        <v>20</v>
      </c>
      <c r="E573" s="14" t="n">
        <v>2650</v>
      </c>
      <c r="F573" s="14" t="n">
        <v>61</v>
      </c>
      <c r="G573" s="14" t="n">
        <v>304</v>
      </c>
      <c r="H573" s="14" t="s">
        <v>62</v>
      </c>
      <c r="I573" s="14" t="n">
        <v>0.93</v>
      </c>
      <c r="J573" s="14" t="n">
        <v>15.5</v>
      </c>
      <c r="K573" s="14" t="s">
        <v>59</v>
      </c>
      <c r="L573" s="14" t="n">
        <v>2015</v>
      </c>
      <c r="M573" s="14" t="n">
        <v>7.88231491898027</v>
      </c>
      <c r="N573" s="14" t="n">
        <v>2.99623214859564</v>
      </c>
      <c r="P573" s="14" t="n">
        <f aca="false">D573</f>
        <v>20</v>
      </c>
      <c r="Q573" s="14" t="n">
        <f aca="false">G573</f>
        <v>304</v>
      </c>
      <c r="R573" s="14" t="n">
        <f aca="false">J573</f>
        <v>15.5</v>
      </c>
      <c r="S573" s="14" t="n">
        <f aca="false">IF($L573=2012,1,0)</f>
        <v>0</v>
      </c>
      <c r="T573" s="14" t="n">
        <f aca="false">IF($L573=2013,1,0)</f>
        <v>0</v>
      </c>
      <c r="U573" s="14" t="n">
        <f aca="false">IF($L573=2014,1,0)</f>
        <v>0</v>
      </c>
      <c r="V573" s="14" t="n">
        <f aca="false">IF($L573=2015,1,0)</f>
        <v>1</v>
      </c>
      <c r="W573" s="14" t="n">
        <f aca="false">IF($L573=2016,1,0)</f>
        <v>0</v>
      </c>
      <c r="X573" s="14" t="n">
        <f aca="false">IF($L573=2017,1,0)</f>
        <v>0</v>
      </c>
      <c r="Y573" s="14" t="n">
        <f aca="false">IF($H573="Beginner Level",1,0)</f>
        <v>0</v>
      </c>
      <c r="Z573" s="14" t="n">
        <f aca="false">IF($H573="Expert Level",1,0)</f>
        <v>0</v>
      </c>
      <c r="AA573" s="14" t="n">
        <f aca="false">IF($H573="Intermediate Level",1,0)</f>
        <v>0</v>
      </c>
      <c r="AC573" s="14" t="n">
        <f aca="false">N573</f>
        <v>2.99623214859564</v>
      </c>
      <c r="AD573" s="14" t="n">
        <f aca="false">G573</f>
        <v>304</v>
      </c>
      <c r="AE573" s="14" t="n">
        <f aca="false">J573</f>
        <v>15.5</v>
      </c>
      <c r="AF573" s="14" t="n">
        <f aca="false">IF($L573=2012,1,0)</f>
        <v>0</v>
      </c>
      <c r="AG573" s="14" t="n">
        <f aca="false">IF($L573=2013,1,0)</f>
        <v>0</v>
      </c>
      <c r="AH573" s="14" t="n">
        <f aca="false">IF($L573=2014,1,0)</f>
        <v>0</v>
      </c>
      <c r="AI573" s="14" t="n">
        <f aca="false">IF($L573=2015,1,0)</f>
        <v>1</v>
      </c>
      <c r="AJ573" s="14" t="n">
        <f aca="false">IF($L573=2016,1,0)</f>
        <v>0</v>
      </c>
      <c r="AK573" s="14" t="n">
        <f aca="false">IF($L573=2017,1,0)</f>
        <v>0</v>
      </c>
      <c r="AL573" s="14" t="n">
        <f aca="false">IF($H573="Beginner Level",1,0)</f>
        <v>0</v>
      </c>
      <c r="AM573" s="14" t="n">
        <f aca="false">IF($H573="Expert Level",1,0)</f>
        <v>0</v>
      </c>
      <c r="AN573" s="14" t="n">
        <f aca="false">IF($H573="Intermediate Level",1,0)</f>
        <v>0</v>
      </c>
    </row>
    <row r="574" customFormat="false" ht="68.65" hidden="false" customHeight="false" outlineLevel="0" collapsed="false">
      <c r="A574" s="14" t="n">
        <v>1207382</v>
      </c>
      <c r="B574" s="14" t="s">
        <v>1191</v>
      </c>
      <c r="C574" s="14" t="s">
        <v>1192</v>
      </c>
      <c r="D574" s="14" t="n">
        <v>0</v>
      </c>
      <c r="E574" s="14" t="n">
        <v>2649</v>
      </c>
      <c r="F574" s="14" t="n">
        <v>16</v>
      </c>
      <c r="G574" s="14" t="n">
        <v>7</v>
      </c>
      <c r="H574" s="14" t="s">
        <v>62</v>
      </c>
      <c r="I574" s="14" t="n">
        <v>0.55</v>
      </c>
      <c r="J574" s="14" t="n">
        <v>0.58333333</v>
      </c>
      <c r="K574" s="14" t="s">
        <v>53</v>
      </c>
      <c r="L574" s="14" t="n">
        <v>2017</v>
      </c>
      <c r="M574" s="14" t="n">
        <v>7.88193748927207</v>
      </c>
      <c r="N574" s="14" t="n">
        <v>-4.60517018598809</v>
      </c>
      <c r="P574" s="14" t="n">
        <f aca="false">D574</f>
        <v>0</v>
      </c>
      <c r="Q574" s="14" t="n">
        <f aca="false">G574</f>
        <v>7</v>
      </c>
      <c r="R574" s="14" t="n">
        <f aca="false">J574</f>
        <v>0.58333333</v>
      </c>
      <c r="S574" s="14" t="n">
        <f aca="false">IF($L574=2012,1,0)</f>
        <v>0</v>
      </c>
      <c r="T574" s="14" t="n">
        <f aca="false">IF($L574=2013,1,0)</f>
        <v>0</v>
      </c>
      <c r="U574" s="14" t="n">
        <f aca="false">IF($L574=2014,1,0)</f>
        <v>0</v>
      </c>
      <c r="V574" s="14" t="n">
        <f aca="false">IF($L574=2015,1,0)</f>
        <v>0</v>
      </c>
      <c r="W574" s="14" t="n">
        <f aca="false">IF($L574=2016,1,0)</f>
        <v>0</v>
      </c>
      <c r="X574" s="14" t="n">
        <f aca="false">IF($L574=2017,1,0)</f>
        <v>1</v>
      </c>
      <c r="Y574" s="14" t="n">
        <f aca="false">IF($H574="Beginner Level",1,0)</f>
        <v>0</v>
      </c>
      <c r="Z574" s="14" t="n">
        <f aca="false">IF($H574="Expert Level",1,0)</f>
        <v>0</v>
      </c>
      <c r="AA574" s="14" t="n">
        <f aca="false">IF($H574="Intermediate Level",1,0)</f>
        <v>0</v>
      </c>
      <c r="AC574" s="14" t="n">
        <f aca="false">N574</f>
        <v>-4.60517018598809</v>
      </c>
      <c r="AD574" s="14" t="n">
        <f aca="false">G574</f>
        <v>7</v>
      </c>
      <c r="AE574" s="14" t="n">
        <f aca="false">J574</f>
        <v>0.58333333</v>
      </c>
      <c r="AF574" s="14" t="n">
        <f aca="false">IF($L574=2012,1,0)</f>
        <v>0</v>
      </c>
      <c r="AG574" s="14" t="n">
        <f aca="false">IF($L574=2013,1,0)</f>
        <v>0</v>
      </c>
      <c r="AH574" s="14" t="n">
        <f aca="false">IF($L574=2014,1,0)</f>
        <v>0</v>
      </c>
      <c r="AI574" s="14" t="n">
        <f aca="false">IF($L574=2015,1,0)</f>
        <v>0</v>
      </c>
      <c r="AJ574" s="14" t="n">
        <f aca="false">IF($L574=2016,1,0)</f>
        <v>0</v>
      </c>
      <c r="AK574" s="14" t="n">
        <f aca="false">IF($L574=2017,1,0)</f>
        <v>1</v>
      </c>
      <c r="AL574" s="14" t="n">
        <f aca="false">IF($H574="Beginner Level",1,0)</f>
        <v>0</v>
      </c>
      <c r="AM574" s="14" t="n">
        <f aca="false">IF($H574="Expert Level",1,0)</f>
        <v>0</v>
      </c>
      <c r="AN574" s="14" t="n">
        <f aca="false">IF($H574="Intermediate Level",1,0)</f>
        <v>0</v>
      </c>
    </row>
    <row r="575" customFormat="false" ht="68.65" hidden="false" customHeight="false" outlineLevel="0" collapsed="false">
      <c r="A575" s="14" t="n">
        <v>767656</v>
      </c>
      <c r="B575" s="14" t="s">
        <v>1193</v>
      </c>
      <c r="C575" s="14" t="s">
        <v>1194</v>
      </c>
      <c r="D575" s="14" t="n">
        <v>20</v>
      </c>
      <c r="E575" s="14" t="n">
        <v>2643</v>
      </c>
      <c r="F575" s="14" t="n">
        <v>34</v>
      </c>
      <c r="G575" s="14" t="n">
        <v>83</v>
      </c>
      <c r="H575" s="14" t="s">
        <v>62</v>
      </c>
      <c r="I575" s="14" t="n">
        <v>0.97</v>
      </c>
      <c r="J575" s="14" t="n">
        <v>9</v>
      </c>
      <c r="K575" s="14" t="s">
        <v>59</v>
      </c>
      <c r="L575" s="14" t="n">
        <v>2016</v>
      </c>
      <c r="M575" s="14" t="n">
        <v>7.87966991460429</v>
      </c>
      <c r="N575" s="14" t="n">
        <v>2.99623214859564</v>
      </c>
      <c r="P575" s="14" t="n">
        <f aca="false">D575</f>
        <v>20</v>
      </c>
      <c r="Q575" s="14" t="n">
        <f aca="false">G575</f>
        <v>83</v>
      </c>
      <c r="R575" s="14" t="n">
        <f aca="false">J575</f>
        <v>9</v>
      </c>
      <c r="S575" s="14" t="n">
        <f aca="false">IF($L575=2012,1,0)</f>
        <v>0</v>
      </c>
      <c r="T575" s="14" t="n">
        <f aca="false">IF($L575=2013,1,0)</f>
        <v>0</v>
      </c>
      <c r="U575" s="14" t="n">
        <f aca="false">IF($L575=2014,1,0)</f>
        <v>0</v>
      </c>
      <c r="V575" s="14" t="n">
        <f aca="false">IF($L575=2015,1,0)</f>
        <v>0</v>
      </c>
      <c r="W575" s="14" t="n">
        <f aca="false">IF($L575=2016,1,0)</f>
        <v>1</v>
      </c>
      <c r="X575" s="14" t="n">
        <f aca="false">IF($L575=2017,1,0)</f>
        <v>0</v>
      </c>
      <c r="Y575" s="14" t="n">
        <f aca="false">IF($H575="Beginner Level",1,0)</f>
        <v>0</v>
      </c>
      <c r="Z575" s="14" t="n">
        <f aca="false">IF($H575="Expert Level",1,0)</f>
        <v>0</v>
      </c>
      <c r="AA575" s="14" t="n">
        <f aca="false">IF($H575="Intermediate Level",1,0)</f>
        <v>0</v>
      </c>
      <c r="AC575" s="14" t="n">
        <f aca="false">N575</f>
        <v>2.99623214859564</v>
      </c>
      <c r="AD575" s="14" t="n">
        <f aca="false">G575</f>
        <v>83</v>
      </c>
      <c r="AE575" s="14" t="n">
        <f aca="false">J575</f>
        <v>9</v>
      </c>
      <c r="AF575" s="14" t="n">
        <f aca="false">IF($L575=2012,1,0)</f>
        <v>0</v>
      </c>
      <c r="AG575" s="14" t="n">
        <f aca="false">IF($L575=2013,1,0)</f>
        <v>0</v>
      </c>
      <c r="AH575" s="14" t="n">
        <f aca="false">IF($L575=2014,1,0)</f>
        <v>0</v>
      </c>
      <c r="AI575" s="14" t="n">
        <f aca="false">IF($L575=2015,1,0)</f>
        <v>0</v>
      </c>
      <c r="AJ575" s="14" t="n">
        <f aca="false">IF($L575=2016,1,0)</f>
        <v>1</v>
      </c>
      <c r="AK575" s="14" t="n">
        <f aca="false">IF($L575=2017,1,0)</f>
        <v>0</v>
      </c>
      <c r="AL575" s="14" t="n">
        <f aca="false">IF($H575="Beginner Level",1,0)</f>
        <v>0</v>
      </c>
      <c r="AM575" s="14" t="n">
        <f aca="false">IF($H575="Expert Level",1,0)</f>
        <v>0</v>
      </c>
      <c r="AN575" s="14" t="n">
        <f aca="false">IF($H575="Intermediate Level",1,0)</f>
        <v>0</v>
      </c>
    </row>
    <row r="576" customFormat="false" ht="68.65" hidden="false" customHeight="false" outlineLevel="0" collapsed="false">
      <c r="A576" s="14" t="n">
        <v>637974</v>
      </c>
      <c r="B576" s="14" t="s">
        <v>1195</v>
      </c>
      <c r="C576" s="14" t="s">
        <v>1196</v>
      </c>
      <c r="D576" s="14" t="n">
        <v>50</v>
      </c>
      <c r="E576" s="14" t="n">
        <v>2643</v>
      </c>
      <c r="F576" s="14" t="n">
        <v>56</v>
      </c>
      <c r="G576" s="14" t="n">
        <v>24</v>
      </c>
      <c r="H576" s="14" t="s">
        <v>62</v>
      </c>
      <c r="I576" s="14" t="n">
        <v>0.61</v>
      </c>
      <c r="J576" s="14" t="n">
        <v>3.5</v>
      </c>
      <c r="K576" s="14" t="s">
        <v>59</v>
      </c>
      <c r="L576" s="14" t="n">
        <v>2016</v>
      </c>
      <c r="M576" s="14" t="n">
        <v>7.87966991460429</v>
      </c>
      <c r="N576" s="14" t="n">
        <v>3.91222298543081</v>
      </c>
      <c r="P576" s="14" t="n">
        <f aca="false">D576</f>
        <v>50</v>
      </c>
      <c r="Q576" s="14" t="n">
        <f aca="false">G576</f>
        <v>24</v>
      </c>
      <c r="R576" s="14" t="n">
        <f aca="false">J576</f>
        <v>3.5</v>
      </c>
      <c r="S576" s="14" t="n">
        <f aca="false">IF($L576=2012,1,0)</f>
        <v>0</v>
      </c>
      <c r="T576" s="14" t="n">
        <f aca="false">IF($L576=2013,1,0)</f>
        <v>0</v>
      </c>
      <c r="U576" s="14" t="n">
        <f aca="false">IF($L576=2014,1,0)</f>
        <v>0</v>
      </c>
      <c r="V576" s="14" t="n">
        <f aca="false">IF($L576=2015,1,0)</f>
        <v>0</v>
      </c>
      <c r="W576" s="14" t="n">
        <f aca="false">IF($L576=2016,1,0)</f>
        <v>1</v>
      </c>
      <c r="X576" s="14" t="n">
        <f aca="false">IF($L576=2017,1,0)</f>
        <v>0</v>
      </c>
      <c r="Y576" s="14" t="n">
        <f aca="false">IF($H576="Beginner Level",1,0)</f>
        <v>0</v>
      </c>
      <c r="Z576" s="14" t="n">
        <f aca="false">IF($H576="Expert Level",1,0)</f>
        <v>0</v>
      </c>
      <c r="AA576" s="14" t="n">
        <f aca="false">IF($H576="Intermediate Level",1,0)</f>
        <v>0</v>
      </c>
      <c r="AC576" s="14" t="n">
        <f aca="false">N576</f>
        <v>3.91222298543081</v>
      </c>
      <c r="AD576" s="14" t="n">
        <f aca="false">G576</f>
        <v>24</v>
      </c>
      <c r="AE576" s="14" t="n">
        <f aca="false">J576</f>
        <v>3.5</v>
      </c>
      <c r="AF576" s="14" t="n">
        <f aca="false">IF($L576=2012,1,0)</f>
        <v>0</v>
      </c>
      <c r="AG576" s="14" t="n">
        <f aca="false">IF($L576=2013,1,0)</f>
        <v>0</v>
      </c>
      <c r="AH576" s="14" t="n">
        <f aca="false">IF($L576=2014,1,0)</f>
        <v>0</v>
      </c>
      <c r="AI576" s="14" t="n">
        <f aca="false">IF($L576=2015,1,0)</f>
        <v>0</v>
      </c>
      <c r="AJ576" s="14" t="n">
        <f aca="false">IF($L576=2016,1,0)</f>
        <v>1</v>
      </c>
      <c r="AK576" s="14" t="n">
        <f aca="false">IF($L576=2017,1,0)</f>
        <v>0</v>
      </c>
      <c r="AL576" s="14" t="n">
        <f aca="false">IF($H576="Beginner Level",1,0)</f>
        <v>0</v>
      </c>
      <c r="AM576" s="14" t="n">
        <f aca="false">IF($H576="Expert Level",1,0)</f>
        <v>0</v>
      </c>
      <c r="AN576" s="14" t="n">
        <f aca="false">IF($H576="Intermediate Level",1,0)</f>
        <v>0</v>
      </c>
    </row>
    <row r="577" customFormat="false" ht="68.65" hidden="false" customHeight="false" outlineLevel="0" collapsed="false">
      <c r="A577" s="14" t="n">
        <v>1099956</v>
      </c>
      <c r="B577" s="14" t="s">
        <v>1197</v>
      </c>
      <c r="C577" s="14" t="s">
        <v>1198</v>
      </c>
      <c r="D577" s="14" t="n">
        <v>150</v>
      </c>
      <c r="E577" s="14" t="n">
        <v>2641</v>
      </c>
      <c r="F577" s="14" t="n">
        <v>28</v>
      </c>
      <c r="G577" s="14" t="n">
        <v>15</v>
      </c>
      <c r="H577" s="14" t="s">
        <v>71</v>
      </c>
      <c r="I577" s="14" t="n">
        <v>0.16</v>
      </c>
      <c r="J577" s="14" t="n">
        <v>0.65</v>
      </c>
      <c r="K577" s="14" t="s">
        <v>59</v>
      </c>
      <c r="L577" s="14" t="n">
        <v>2017</v>
      </c>
      <c r="M577" s="14" t="n">
        <v>7.87891291229713</v>
      </c>
      <c r="N577" s="14" t="n">
        <v>5.0107019585408</v>
      </c>
      <c r="P577" s="14" t="n">
        <f aca="false">D577</f>
        <v>150</v>
      </c>
      <c r="Q577" s="14" t="n">
        <f aca="false">G577</f>
        <v>15</v>
      </c>
      <c r="R577" s="14" t="n">
        <f aca="false">J577</f>
        <v>0.65</v>
      </c>
      <c r="S577" s="14" t="n">
        <f aca="false">IF($L577=2012,1,0)</f>
        <v>0</v>
      </c>
      <c r="T577" s="14" t="n">
        <f aca="false">IF($L577=2013,1,0)</f>
        <v>0</v>
      </c>
      <c r="U577" s="14" t="n">
        <f aca="false">IF($L577=2014,1,0)</f>
        <v>0</v>
      </c>
      <c r="V577" s="14" t="n">
        <f aca="false">IF($L577=2015,1,0)</f>
        <v>0</v>
      </c>
      <c r="W577" s="14" t="n">
        <f aca="false">IF($L577=2016,1,0)</f>
        <v>0</v>
      </c>
      <c r="X577" s="14" t="n">
        <f aca="false">IF($L577=2017,1,0)</f>
        <v>1</v>
      </c>
      <c r="Y577" s="14" t="n">
        <f aca="false">IF($H577="Beginner Level",1,0)</f>
        <v>0</v>
      </c>
      <c r="Z577" s="14" t="n">
        <f aca="false">IF($H577="Expert Level",1,0)</f>
        <v>0</v>
      </c>
      <c r="AA577" s="14" t="n">
        <f aca="false">IF($H577="Intermediate Level",1,0)</f>
        <v>1</v>
      </c>
      <c r="AC577" s="14" t="n">
        <f aca="false">N577</f>
        <v>5.0107019585408</v>
      </c>
      <c r="AD577" s="14" t="n">
        <f aca="false">G577</f>
        <v>15</v>
      </c>
      <c r="AE577" s="14" t="n">
        <f aca="false">J577</f>
        <v>0.65</v>
      </c>
      <c r="AF577" s="14" t="n">
        <f aca="false">IF($L577=2012,1,0)</f>
        <v>0</v>
      </c>
      <c r="AG577" s="14" t="n">
        <f aca="false">IF($L577=2013,1,0)</f>
        <v>0</v>
      </c>
      <c r="AH577" s="14" t="n">
        <f aca="false">IF($L577=2014,1,0)</f>
        <v>0</v>
      </c>
      <c r="AI577" s="14" t="n">
        <f aca="false">IF($L577=2015,1,0)</f>
        <v>0</v>
      </c>
      <c r="AJ577" s="14" t="n">
        <f aca="false">IF($L577=2016,1,0)</f>
        <v>0</v>
      </c>
      <c r="AK577" s="14" t="n">
        <f aca="false">IF($L577=2017,1,0)</f>
        <v>1</v>
      </c>
      <c r="AL577" s="14" t="n">
        <f aca="false">IF($H577="Beginner Level",1,0)</f>
        <v>0</v>
      </c>
      <c r="AM577" s="14" t="n">
        <f aca="false">IF($H577="Expert Level",1,0)</f>
        <v>0</v>
      </c>
      <c r="AN577" s="14" t="n">
        <f aca="false">IF($H577="Intermediate Level",1,0)</f>
        <v>1</v>
      </c>
    </row>
    <row r="578" customFormat="false" ht="46.25" hidden="false" customHeight="false" outlineLevel="0" collapsed="false">
      <c r="A578" s="14" t="n">
        <v>977474</v>
      </c>
      <c r="B578" s="14" t="s">
        <v>1199</v>
      </c>
      <c r="C578" s="14" t="s">
        <v>1200</v>
      </c>
      <c r="D578" s="14" t="n">
        <v>95</v>
      </c>
      <c r="E578" s="14" t="n">
        <v>2635</v>
      </c>
      <c r="F578" s="14" t="n">
        <v>25</v>
      </c>
      <c r="G578" s="14" t="n">
        <v>30</v>
      </c>
      <c r="H578" s="14" t="s">
        <v>62</v>
      </c>
      <c r="I578" s="14" t="n">
        <v>0.3</v>
      </c>
      <c r="J578" s="14" t="n">
        <v>2</v>
      </c>
      <c r="K578" s="14" t="s">
        <v>59</v>
      </c>
      <c r="L578" s="14" t="n">
        <v>2016</v>
      </c>
      <c r="M578" s="14" t="n">
        <v>7.87663846097546</v>
      </c>
      <c r="N578" s="14" t="n">
        <v>4.55398214921866</v>
      </c>
      <c r="P578" s="14" t="n">
        <f aca="false">D578</f>
        <v>95</v>
      </c>
      <c r="Q578" s="14" t="n">
        <f aca="false">G578</f>
        <v>30</v>
      </c>
      <c r="R578" s="14" t="n">
        <f aca="false">J578</f>
        <v>2</v>
      </c>
      <c r="S578" s="14" t="n">
        <f aca="false">IF($L578=2012,1,0)</f>
        <v>0</v>
      </c>
      <c r="T578" s="14" t="n">
        <f aca="false">IF($L578=2013,1,0)</f>
        <v>0</v>
      </c>
      <c r="U578" s="14" t="n">
        <f aca="false">IF($L578=2014,1,0)</f>
        <v>0</v>
      </c>
      <c r="V578" s="14" t="n">
        <f aca="false">IF($L578=2015,1,0)</f>
        <v>0</v>
      </c>
      <c r="W578" s="14" t="n">
        <f aca="false">IF($L578=2016,1,0)</f>
        <v>1</v>
      </c>
      <c r="X578" s="14" t="n">
        <f aca="false">IF($L578=2017,1,0)</f>
        <v>0</v>
      </c>
      <c r="Y578" s="14" t="n">
        <f aca="false">IF($H578="Beginner Level",1,0)</f>
        <v>0</v>
      </c>
      <c r="Z578" s="14" t="n">
        <f aca="false">IF($H578="Expert Level",1,0)</f>
        <v>0</v>
      </c>
      <c r="AA578" s="14" t="n">
        <f aca="false">IF($H578="Intermediate Level",1,0)</f>
        <v>0</v>
      </c>
      <c r="AC578" s="14" t="n">
        <f aca="false">N578</f>
        <v>4.55398214921866</v>
      </c>
      <c r="AD578" s="14" t="n">
        <f aca="false">G578</f>
        <v>30</v>
      </c>
      <c r="AE578" s="14" t="n">
        <f aca="false">J578</f>
        <v>2</v>
      </c>
      <c r="AF578" s="14" t="n">
        <f aca="false">IF($L578=2012,1,0)</f>
        <v>0</v>
      </c>
      <c r="AG578" s="14" t="n">
        <f aca="false">IF($L578=2013,1,0)</f>
        <v>0</v>
      </c>
      <c r="AH578" s="14" t="n">
        <f aca="false">IF($L578=2014,1,0)</f>
        <v>0</v>
      </c>
      <c r="AI578" s="14" t="n">
        <f aca="false">IF($L578=2015,1,0)</f>
        <v>0</v>
      </c>
      <c r="AJ578" s="14" t="n">
        <f aca="false">IF($L578=2016,1,0)</f>
        <v>1</v>
      </c>
      <c r="AK578" s="14" t="n">
        <f aca="false">IF($L578=2017,1,0)</f>
        <v>0</v>
      </c>
      <c r="AL578" s="14" t="n">
        <f aca="false">IF($H578="Beginner Level",1,0)</f>
        <v>0</v>
      </c>
      <c r="AM578" s="14" t="n">
        <f aca="false">IF($H578="Expert Level",1,0)</f>
        <v>0</v>
      </c>
      <c r="AN578" s="14" t="n">
        <f aca="false">IF($H578="Intermediate Level",1,0)</f>
        <v>0</v>
      </c>
    </row>
    <row r="579" customFormat="false" ht="57.45" hidden="false" customHeight="false" outlineLevel="0" collapsed="false">
      <c r="A579" s="14" t="n">
        <v>472526</v>
      </c>
      <c r="B579" s="14" t="s">
        <v>1201</v>
      </c>
      <c r="C579" s="14" t="s">
        <v>1202</v>
      </c>
      <c r="D579" s="14" t="n">
        <v>40</v>
      </c>
      <c r="E579" s="14" t="n">
        <v>2626</v>
      </c>
      <c r="F579" s="14" t="n">
        <v>95</v>
      </c>
      <c r="G579" s="14" t="n">
        <v>135</v>
      </c>
      <c r="H579" s="14" t="s">
        <v>52</v>
      </c>
      <c r="I579" s="14" t="n">
        <v>0.02</v>
      </c>
      <c r="J579" s="14" t="n">
        <v>6</v>
      </c>
      <c r="K579" s="14" t="s">
        <v>59</v>
      </c>
      <c r="L579" s="14" t="n">
        <v>2015</v>
      </c>
      <c r="M579" s="14" t="n">
        <v>7.87321705486274</v>
      </c>
      <c r="N579" s="14" t="n">
        <v>3.68912942286914</v>
      </c>
      <c r="P579" s="14" t="n">
        <f aca="false">D579</f>
        <v>40</v>
      </c>
      <c r="Q579" s="14" t="n">
        <f aca="false">G579</f>
        <v>135</v>
      </c>
      <c r="R579" s="14" t="n">
        <f aca="false">J579</f>
        <v>6</v>
      </c>
      <c r="S579" s="14" t="n">
        <f aca="false">IF($L579=2012,1,0)</f>
        <v>0</v>
      </c>
      <c r="T579" s="14" t="n">
        <f aca="false">IF($L579=2013,1,0)</f>
        <v>0</v>
      </c>
      <c r="U579" s="14" t="n">
        <f aca="false">IF($L579=2014,1,0)</f>
        <v>0</v>
      </c>
      <c r="V579" s="14" t="n">
        <f aca="false">IF($L579=2015,1,0)</f>
        <v>1</v>
      </c>
      <c r="W579" s="14" t="n">
        <f aca="false">IF($L579=2016,1,0)</f>
        <v>0</v>
      </c>
      <c r="X579" s="14" t="n">
        <f aca="false">IF($L579=2017,1,0)</f>
        <v>0</v>
      </c>
      <c r="Y579" s="14" t="n">
        <f aca="false">IF($H579="Beginner Level",1,0)</f>
        <v>1</v>
      </c>
      <c r="Z579" s="14" t="n">
        <f aca="false">IF($H579="Expert Level",1,0)</f>
        <v>0</v>
      </c>
      <c r="AA579" s="14" t="n">
        <f aca="false">IF($H579="Intermediate Level",1,0)</f>
        <v>0</v>
      </c>
      <c r="AC579" s="14" t="n">
        <f aca="false">N579</f>
        <v>3.68912942286914</v>
      </c>
      <c r="AD579" s="14" t="n">
        <f aca="false">G579</f>
        <v>135</v>
      </c>
      <c r="AE579" s="14" t="n">
        <f aca="false">J579</f>
        <v>6</v>
      </c>
      <c r="AF579" s="14" t="n">
        <f aca="false">IF($L579=2012,1,0)</f>
        <v>0</v>
      </c>
      <c r="AG579" s="14" t="n">
        <f aca="false">IF($L579=2013,1,0)</f>
        <v>0</v>
      </c>
      <c r="AH579" s="14" t="n">
        <f aca="false">IF($L579=2014,1,0)</f>
        <v>0</v>
      </c>
      <c r="AI579" s="14" t="n">
        <f aca="false">IF($L579=2015,1,0)</f>
        <v>1</v>
      </c>
      <c r="AJ579" s="14" t="n">
        <f aca="false">IF($L579=2016,1,0)</f>
        <v>0</v>
      </c>
      <c r="AK579" s="14" t="n">
        <f aca="false">IF($L579=2017,1,0)</f>
        <v>0</v>
      </c>
      <c r="AL579" s="14" t="n">
        <f aca="false">IF($H579="Beginner Level",1,0)</f>
        <v>1</v>
      </c>
      <c r="AM579" s="14" t="n">
        <f aca="false">IF($H579="Expert Level",1,0)</f>
        <v>0</v>
      </c>
      <c r="AN579" s="14" t="n">
        <f aca="false">IF($H579="Intermediate Level",1,0)</f>
        <v>0</v>
      </c>
    </row>
    <row r="580" customFormat="false" ht="91" hidden="false" customHeight="false" outlineLevel="0" collapsed="false">
      <c r="A580" s="14" t="n">
        <v>678142</v>
      </c>
      <c r="B580" s="14" t="s">
        <v>1203</v>
      </c>
      <c r="C580" s="14" t="s">
        <v>1204</v>
      </c>
      <c r="D580" s="14" t="n">
        <v>100</v>
      </c>
      <c r="E580" s="14" t="n">
        <v>2607</v>
      </c>
      <c r="F580" s="14" t="n">
        <v>317</v>
      </c>
      <c r="G580" s="14" t="n">
        <v>49</v>
      </c>
      <c r="H580" s="14" t="s">
        <v>52</v>
      </c>
      <c r="I580" s="14" t="n">
        <v>0.15</v>
      </c>
      <c r="J580" s="14" t="n">
        <v>5</v>
      </c>
      <c r="K580" s="14" t="s">
        <v>59</v>
      </c>
      <c r="L580" s="14" t="n">
        <v>2015</v>
      </c>
      <c r="M580" s="14" t="n">
        <v>7.8659554139335</v>
      </c>
      <c r="N580" s="14" t="n">
        <v>4.60527018098843</v>
      </c>
      <c r="P580" s="14" t="n">
        <f aca="false">D580</f>
        <v>100</v>
      </c>
      <c r="Q580" s="14" t="n">
        <f aca="false">G580</f>
        <v>49</v>
      </c>
      <c r="R580" s="14" t="n">
        <f aca="false">J580</f>
        <v>5</v>
      </c>
      <c r="S580" s="14" t="n">
        <f aca="false">IF($L580=2012,1,0)</f>
        <v>0</v>
      </c>
      <c r="T580" s="14" t="n">
        <f aca="false">IF($L580=2013,1,0)</f>
        <v>0</v>
      </c>
      <c r="U580" s="14" t="n">
        <f aca="false">IF($L580=2014,1,0)</f>
        <v>0</v>
      </c>
      <c r="V580" s="14" t="n">
        <f aca="false">IF($L580=2015,1,0)</f>
        <v>1</v>
      </c>
      <c r="W580" s="14" t="n">
        <f aca="false">IF($L580=2016,1,0)</f>
        <v>0</v>
      </c>
      <c r="X580" s="14" t="n">
        <f aca="false">IF($L580=2017,1,0)</f>
        <v>0</v>
      </c>
      <c r="Y580" s="14" t="n">
        <f aca="false">IF($H580="Beginner Level",1,0)</f>
        <v>1</v>
      </c>
      <c r="Z580" s="14" t="n">
        <f aca="false">IF($H580="Expert Level",1,0)</f>
        <v>0</v>
      </c>
      <c r="AA580" s="14" t="n">
        <f aca="false">IF($H580="Intermediate Level",1,0)</f>
        <v>0</v>
      </c>
      <c r="AC580" s="14" t="n">
        <f aca="false">N580</f>
        <v>4.60527018098843</v>
      </c>
      <c r="AD580" s="14" t="n">
        <f aca="false">G580</f>
        <v>49</v>
      </c>
      <c r="AE580" s="14" t="n">
        <f aca="false">J580</f>
        <v>5</v>
      </c>
      <c r="AF580" s="14" t="n">
        <f aca="false">IF($L580=2012,1,0)</f>
        <v>0</v>
      </c>
      <c r="AG580" s="14" t="n">
        <f aca="false">IF($L580=2013,1,0)</f>
        <v>0</v>
      </c>
      <c r="AH580" s="14" t="n">
        <f aca="false">IF($L580=2014,1,0)</f>
        <v>0</v>
      </c>
      <c r="AI580" s="14" t="n">
        <f aca="false">IF($L580=2015,1,0)</f>
        <v>1</v>
      </c>
      <c r="AJ580" s="14" t="n">
        <f aca="false">IF($L580=2016,1,0)</f>
        <v>0</v>
      </c>
      <c r="AK580" s="14" t="n">
        <f aca="false">IF($L580=2017,1,0)</f>
        <v>0</v>
      </c>
      <c r="AL580" s="14" t="n">
        <f aca="false">IF($H580="Beginner Level",1,0)</f>
        <v>1</v>
      </c>
      <c r="AM580" s="14" t="n">
        <f aca="false">IF($H580="Expert Level",1,0)</f>
        <v>0</v>
      </c>
      <c r="AN580" s="14" t="n">
        <f aca="false">IF($H580="Intermediate Level",1,0)</f>
        <v>0</v>
      </c>
    </row>
    <row r="581" customFormat="false" ht="57.45" hidden="false" customHeight="false" outlineLevel="0" collapsed="false">
      <c r="A581" s="14" t="n">
        <v>1200530</v>
      </c>
      <c r="B581" s="14" t="s">
        <v>1205</v>
      </c>
      <c r="C581" s="14" t="s">
        <v>1206</v>
      </c>
      <c r="D581" s="14" t="n">
        <v>50</v>
      </c>
      <c r="E581" s="14" t="n">
        <v>2606</v>
      </c>
      <c r="F581" s="14" t="n">
        <v>241</v>
      </c>
      <c r="G581" s="14" t="n">
        <v>77</v>
      </c>
      <c r="H581" s="14" t="s">
        <v>62</v>
      </c>
      <c r="I581" s="14" t="n">
        <v>0.34</v>
      </c>
      <c r="J581" s="14" t="n">
        <v>8</v>
      </c>
      <c r="K581" s="14" t="s">
        <v>59</v>
      </c>
      <c r="L581" s="14" t="n">
        <v>2017</v>
      </c>
      <c r="M581" s="14" t="n">
        <v>7.86557175768479</v>
      </c>
      <c r="N581" s="14" t="n">
        <v>3.91222298543081</v>
      </c>
      <c r="P581" s="14" t="n">
        <f aca="false">D581</f>
        <v>50</v>
      </c>
      <c r="Q581" s="14" t="n">
        <f aca="false">G581</f>
        <v>77</v>
      </c>
      <c r="R581" s="14" t="n">
        <f aca="false">J581</f>
        <v>8</v>
      </c>
      <c r="S581" s="14" t="n">
        <f aca="false">IF($L581=2012,1,0)</f>
        <v>0</v>
      </c>
      <c r="T581" s="14" t="n">
        <f aca="false">IF($L581=2013,1,0)</f>
        <v>0</v>
      </c>
      <c r="U581" s="14" t="n">
        <f aca="false">IF($L581=2014,1,0)</f>
        <v>0</v>
      </c>
      <c r="V581" s="14" t="n">
        <f aca="false">IF($L581=2015,1,0)</f>
        <v>0</v>
      </c>
      <c r="W581" s="14" t="n">
        <f aca="false">IF($L581=2016,1,0)</f>
        <v>0</v>
      </c>
      <c r="X581" s="14" t="n">
        <f aca="false">IF($L581=2017,1,0)</f>
        <v>1</v>
      </c>
      <c r="Y581" s="14" t="n">
        <f aca="false">IF($H581="Beginner Level",1,0)</f>
        <v>0</v>
      </c>
      <c r="Z581" s="14" t="n">
        <f aca="false">IF($H581="Expert Level",1,0)</f>
        <v>0</v>
      </c>
      <c r="AA581" s="14" t="n">
        <f aca="false">IF($H581="Intermediate Level",1,0)</f>
        <v>0</v>
      </c>
      <c r="AC581" s="14" t="n">
        <f aca="false">N581</f>
        <v>3.91222298543081</v>
      </c>
      <c r="AD581" s="14" t="n">
        <f aca="false">G581</f>
        <v>77</v>
      </c>
      <c r="AE581" s="14" t="n">
        <f aca="false">J581</f>
        <v>8</v>
      </c>
      <c r="AF581" s="14" t="n">
        <f aca="false">IF($L581=2012,1,0)</f>
        <v>0</v>
      </c>
      <c r="AG581" s="14" t="n">
        <f aca="false">IF($L581=2013,1,0)</f>
        <v>0</v>
      </c>
      <c r="AH581" s="14" t="n">
        <f aca="false">IF($L581=2014,1,0)</f>
        <v>0</v>
      </c>
      <c r="AI581" s="14" t="n">
        <f aca="false">IF($L581=2015,1,0)</f>
        <v>0</v>
      </c>
      <c r="AJ581" s="14" t="n">
        <f aca="false">IF($L581=2016,1,0)</f>
        <v>0</v>
      </c>
      <c r="AK581" s="14" t="n">
        <f aca="false">IF($L581=2017,1,0)</f>
        <v>1</v>
      </c>
      <c r="AL581" s="14" t="n">
        <f aca="false">IF($H581="Beginner Level",1,0)</f>
        <v>0</v>
      </c>
      <c r="AM581" s="14" t="n">
        <f aca="false">IF($H581="Expert Level",1,0)</f>
        <v>0</v>
      </c>
      <c r="AN581" s="14" t="n">
        <f aca="false">IF($H581="Intermediate Level",1,0)</f>
        <v>0</v>
      </c>
    </row>
    <row r="582" customFormat="false" ht="68.65" hidden="false" customHeight="false" outlineLevel="0" collapsed="false">
      <c r="A582" s="14" t="n">
        <v>549064</v>
      </c>
      <c r="B582" s="14" t="s">
        <v>1207</v>
      </c>
      <c r="C582" s="14" t="s">
        <v>1208</v>
      </c>
      <c r="D582" s="14" t="n">
        <v>30</v>
      </c>
      <c r="E582" s="14" t="n">
        <v>2596</v>
      </c>
      <c r="F582" s="14" t="n">
        <v>11</v>
      </c>
      <c r="G582" s="14" t="n">
        <v>39</v>
      </c>
      <c r="H582" s="14" t="s">
        <v>62</v>
      </c>
      <c r="I582" s="14" t="n">
        <v>0.42</v>
      </c>
      <c r="J582" s="14" t="n">
        <v>4</v>
      </c>
      <c r="K582" s="14" t="s">
        <v>59</v>
      </c>
      <c r="L582" s="14" t="n">
        <v>2015</v>
      </c>
      <c r="M582" s="14" t="n">
        <v>7.86172707782398</v>
      </c>
      <c r="N582" s="14" t="n">
        <v>3.40153065945228</v>
      </c>
      <c r="P582" s="14" t="n">
        <f aca="false">D582</f>
        <v>30</v>
      </c>
      <c r="Q582" s="14" t="n">
        <f aca="false">G582</f>
        <v>39</v>
      </c>
      <c r="R582" s="14" t="n">
        <f aca="false">J582</f>
        <v>4</v>
      </c>
      <c r="S582" s="14" t="n">
        <f aca="false">IF($L582=2012,1,0)</f>
        <v>0</v>
      </c>
      <c r="T582" s="14" t="n">
        <f aca="false">IF($L582=2013,1,0)</f>
        <v>0</v>
      </c>
      <c r="U582" s="14" t="n">
        <f aca="false">IF($L582=2014,1,0)</f>
        <v>0</v>
      </c>
      <c r="V582" s="14" t="n">
        <f aca="false">IF($L582=2015,1,0)</f>
        <v>1</v>
      </c>
      <c r="W582" s="14" t="n">
        <f aca="false">IF($L582=2016,1,0)</f>
        <v>0</v>
      </c>
      <c r="X582" s="14" t="n">
        <f aca="false">IF($L582=2017,1,0)</f>
        <v>0</v>
      </c>
      <c r="Y582" s="14" t="n">
        <f aca="false">IF($H582="Beginner Level",1,0)</f>
        <v>0</v>
      </c>
      <c r="Z582" s="14" t="n">
        <f aca="false">IF($H582="Expert Level",1,0)</f>
        <v>0</v>
      </c>
      <c r="AA582" s="14" t="n">
        <f aca="false">IF($H582="Intermediate Level",1,0)</f>
        <v>0</v>
      </c>
      <c r="AC582" s="14" t="n">
        <f aca="false">N582</f>
        <v>3.40153065945228</v>
      </c>
      <c r="AD582" s="14" t="n">
        <f aca="false">G582</f>
        <v>39</v>
      </c>
      <c r="AE582" s="14" t="n">
        <f aca="false">J582</f>
        <v>4</v>
      </c>
      <c r="AF582" s="14" t="n">
        <f aca="false">IF($L582=2012,1,0)</f>
        <v>0</v>
      </c>
      <c r="AG582" s="14" t="n">
        <f aca="false">IF($L582=2013,1,0)</f>
        <v>0</v>
      </c>
      <c r="AH582" s="14" t="n">
        <f aca="false">IF($L582=2014,1,0)</f>
        <v>0</v>
      </c>
      <c r="AI582" s="14" t="n">
        <f aca="false">IF($L582=2015,1,0)</f>
        <v>1</v>
      </c>
      <c r="AJ582" s="14" t="n">
        <f aca="false">IF($L582=2016,1,0)</f>
        <v>0</v>
      </c>
      <c r="AK582" s="14" t="n">
        <f aca="false">IF($L582=2017,1,0)</f>
        <v>0</v>
      </c>
      <c r="AL582" s="14" t="n">
        <f aca="false">IF($H582="Beginner Level",1,0)</f>
        <v>0</v>
      </c>
      <c r="AM582" s="14" t="n">
        <f aca="false">IF($H582="Expert Level",1,0)</f>
        <v>0</v>
      </c>
      <c r="AN582" s="14" t="n">
        <f aca="false">IF($H582="Intermediate Level",1,0)</f>
        <v>0</v>
      </c>
    </row>
    <row r="583" customFormat="false" ht="57.45" hidden="false" customHeight="false" outlineLevel="0" collapsed="false">
      <c r="A583" s="14" t="n">
        <v>1078208</v>
      </c>
      <c r="B583" s="14" t="s">
        <v>1209</v>
      </c>
      <c r="C583" s="14" t="s">
        <v>1210</v>
      </c>
      <c r="D583" s="14" t="n">
        <v>40</v>
      </c>
      <c r="E583" s="14" t="n">
        <v>2578</v>
      </c>
      <c r="F583" s="14" t="n">
        <v>210</v>
      </c>
      <c r="G583" s="14" t="n">
        <v>39</v>
      </c>
      <c r="H583" s="14" t="s">
        <v>52</v>
      </c>
      <c r="I583" s="14" t="n">
        <v>0.18</v>
      </c>
      <c r="J583" s="14" t="n">
        <v>5.5</v>
      </c>
      <c r="K583" s="14" t="s">
        <v>59</v>
      </c>
      <c r="L583" s="14" t="n">
        <v>2017</v>
      </c>
      <c r="M583" s="14" t="n">
        <v>7.85476918349913</v>
      </c>
      <c r="N583" s="14" t="n">
        <v>3.68912942286914</v>
      </c>
      <c r="P583" s="14" t="n">
        <f aca="false">D583</f>
        <v>40</v>
      </c>
      <c r="Q583" s="14" t="n">
        <f aca="false">G583</f>
        <v>39</v>
      </c>
      <c r="R583" s="14" t="n">
        <f aca="false">J583</f>
        <v>5.5</v>
      </c>
      <c r="S583" s="14" t="n">
        <f aca="false">IF($L583=2012,1,0)</f>
        <v>0</v>
      </c>
      <c r="T583" s="14" t="n">
        <f aca="false">IF($L583=2013,1,0)</f>
        <v>0</v>
      </c>
      <c r="U583" s="14" t="n">
        <f aca="false">IF($L583=2014,1,0)</f>
        <v>0</v>
      </c>
      <c r="V583" s="14" t="n">
        <f aca="false">IF($L583=2015,1,0)</f>
        <v>0</v>
      </c>
      <c r="W583" s="14" t="n">
        <f aca="false">IF($L583=2016,1,0)</f>
        <v>0</v>
      </c>
      <c r="X583" s="14" t="n">
        <f aca="false">IF($L583=2017,1,0)</f>
        <v>1</v>
      </c>
      <c r="Y583" s="14" t="n">
        <f aca="false">IF($H583="Beginner Level",1,0)</f>
        <v>1</v>
      </c>
      <c r="Z583" s="14" t="n">
        <f aca="false">IF($H583="Expert Level",1,0)</f>
        <v>0</v>
      </c>
      <c r="AA583" s="14" t="n">
        <f aca="false">IF($H583="Intermediate Level",1,0)</f>
        <v>0</v>
      </c>
      <c r="AC583" s="14" t="n">
        <f aca="false">N583</f>
        <v>3.68912942286914</v>
      </c>
      <c r="AD583" s="14" t="n">
        <f aca="false">G583</f>
        <v>39</v>
      </c>
      <c r="AE583" s="14" t="n">
        <f aca="false">J583</f>
        <v>5.5</v>
      </c>
      <c r="AF583" s="14" t="n">
        <f aca="false">IF($L583=2012,1,0)</f>
        <v>0</v>
      </c>
      <c r="AG583" s="14" t="n">
        <f aca="false">IF($L583=2013,1,0)</f>
        <v>0</v>
      </c>
      <c r="AH583" s="14" t="n">
        <f aca="false">IF($L583=2014,1,0)</f>
        <v>0</v>
      </c>
      <c r="AI583" s="14" t="n">
        <f aca="false">IF($L583=2015,1,0)</f>
        <v>0</v>
      </c>
      <c r="AJ583" s="14" t="n">
        <f aca="false">IF($L583=2016,1,0)</f>
        <v>0</v>
      </c>
      <c r="AK583" s="14" t="n">
        <f aca="false">IF($L583=2017,1,0)</f>
        <v>1</v>
      </c>
      <c r="AL583" s="14" t="n">
        <f aca="false">IF($H583="Beginner Level",1,0)</f>
        <v>1</v>
      </c>
      <c r="AM583" s="14" t="n">
        <f aca="false">IF($H583="Expert Level",1,0)</f>
        <v>0</v>
      </c>
      <c r="AN583" s="14" t="n">
        <f aca="false">IF($H583="Intermediate Level",1,0)</f>
        <v>0</v>
      </c>
    </row>
    <row r="584" customFormat="false" ht="57.45" hidden="false" customHeight="false" outlineLevel="0" collapsed="false">
      <c r="A584" s="14" t="n">
        <v>889438</v>
      </c>
      <c r="B584" s="14" t="s">
        <v>1211</v>
      </c>
      <c r="C584" s="14" t="s">
        <v>1212</v>
      </c>
      <c r="D584" s="14" t="n">
        <v>50</v>
      </c>
      <c r="E584" s="14" t="n">
        <v>2577</v>
      </c>
      <c r="F584" s="14" t="n">
        <v>529</v>
      </c>
      <c r="G584" s="14" t="n">
        <v>64</v>
      </c>
      <c r="H584" s="14" t="s">
        <v>62</v>
      </c>
      <c r="I584" s="14" t="n">
        <v>0.77</v>
      </c>
      <c r="J584" s="14" t="n">
        <v>4.5</v>
      </c>
      <c r="K584" s="14" t="s">
        <v>59</v>
      </c>
      <c r="L584" s="14" t="n">
        <v>2016</v>
      </c>
      <c r="M584" s="14" t="n">
        <v>7.85438121065237</v>
      </c>
      <c r="N584" s="14" t="n">
        <v>3.91222298543081</v>
      </c>
      <c r="P584" s="14" t="n">
        <f aca="false">D584</f>
        <v>50</v>
      </c>
      <c r="Q584" s="14" t="n">
        <f aca="false">G584</f>
        <v>64</v>
      </c>
      <c r="R584" s="14" t="n">
        <f aca="false">J584</f>
        <v>4.5</v>
      </c>
      <c r="S584" s="14" t="n">
        <f aca="false">IF($L584=2012,1,0)</f>
        <v>0</v>
      </c>
      <c r="T584" s="14" t="n">
        <f aca="false">IF($L584=2013,1,0)</f>
        <v>0</v>
      </c>
      <c r="U584" s="14" t="n">
        <f aca="false">IF($L584=2014,1,0)</f>
        <v>0</v>
      </c>
      <c r="V584" s="14" t="n">
        <f aca="false">IF($L584=2015,1,0)</f>
        <v>0</v>
      </c>
      <c r="W584" s="14" t="n">
        <f aca="false">IF($L584=2016,1,0)</f>
        <v>1</v>
      </c>
      <c r="X584" s="14" t="n">
        <f aca="false">IF($L584=2017,1,0)</f>
        <v>0</v>
      </c>
      <c r="Y584" s="14" t="n">
        <f aca="false">IF($H584="Beginner Level",1,0)</f>
        <v>0</v>
      </c>
      <c r="Z584" s="14" t="n">
        <f aca="false">IF($H584="Expert Level",1,0)</f>
        <v>0</v>
      </c>
      <c r="AA584" s="14" t="n">
        <f aca="false">IF($H584="Intermediate Level",1,0)</f>
        <v>0</v>
      </c>
      <c r="AC584" s="14" t="n">
        <f aca="false">N584</f>
        <v>3.91222298543081</v>
      </c>
      <c r="AD584" s="14" t="n">
        <f aca="false">G584</f>
        <v>64</v>
      </c>
      <c r="AE584" s="14" t="n">
        <f aca="false">J584</f>
        <v>4.5</v>
      </c>
      <c r="AF584" s="14" t="n">
        <f aca="false">IF($L584=2012,1,0)</f>
        <v>0</v>
      </c>
      <c r="AG584" s="14" t="n">
        <f aca="false">IF($L584=2013,1,0)</f>
        <v>0</v>
      </c>
      <c r="AH584" s="14" t="n">
        <f aca="false">IF($L584=2014,1,0)</f>
        <v>0</v>
      </c>
      <c r="AI584" s="14" t="n">
        <f aca="false">IF($L584=2015,1,0)</f>
        <v>0</v>
      </c>
      <c r="AJ584" s="14" t="n">
        <f aca="false">IF($L584=2016,1,0)</f>
        <v>1</v>
      </c>
      <c r="AK584" s="14" t="n">
        <f aca="false">IF($L584=2017,1,0)</f>
        <v>0</v>
      </c>
      <c r="AL584" s="14" t="n">
        <f aca="false">IF($H584="Beginner Level",1,0)</f>
        <v>0</v>
      </c>
      <c r="AM584" s="14" t="n">
        <f aca="false">IF($H584="Expert Level",1,0)</f>
        <v>0</v>
      </c>
      <c r="AN584" s="14" t="n">
        <f aca="false">IF($H584="Intermediate Level",1,0)</f>
        <v>0</v>
      </c>
    </row>
    <row r="585" customFormat="false" ht="68.65" hidden="false" customHeight="false" outlineLevel="0" collapsed="false">
      <c r="A585" s="14" t="n">
        <v>537282</v>
      </c>
      <c r="B585" s="14" t="s">
        <v>1213</v>
      </c>
      <c r="C585" s="14" t="s">
        <v>1214</v>
      </c>
      <c r="D585" s="14" t="n">
        <v>45</v>
      </c>
      <c r="E585" s="14" t="n">
        <v>2573</v>
      </c>
      <c r="F585" s="14" t="n">
        <v>103</v>
      </c>
      <c r="G585" s="14" t="n">
        <v>46</v>
      </c>
      <c r="H585" s="14" t="s">
        <v>71</v>
      </c>
      <c r="I585" s="14" t="n">
        <v>0.34</v>
      </c>
      <c r="J585" s="14" t="n">
        <v>5.5</v>
      </c>
      <c r="K585" s="14" t="s">
        <v>59</v>
      </c>
      <c r="L585" s="14" t="n">
        <v>2015</v>
      </c>
      <c r="M585" s="14" t="n">
        <v>7.85282781228175</v>
      </c>
      <c r="N585" s="14" t="n">
        <v>3.80688468730484</v>
      </c>
      <c r="P585" s="14" t="n">
        <f aca="false">D585</f>
        <v>45</v>
      </c>
      <c r="Q585" s="14" t="n">
        <f aca="false">G585</f>
        <v>46</v>
      </c>
      <c r="R585" s="14" t="n">
        <f aca="false">J585</f>
        <v>5.5</v>
      </c>
      <c r="S585" s="14" t="n">
        <f aca="false">IF($L585=2012,1,0)</f>
        <v>0</v>
      </c>
      <c r="T585" s="14" t="n">
        <f aca="false">IF($L585=2013,1,0)</f>
        <v>0</v>
      </c>
      <c r="U585" s="14" t="n">
        <f aca="false">IF($L585=2014,1,0)</f>
        <v>0</v>
      </c>
      <c r="V585" s="14" t="n">
        <f aca="false">IF($L585=2015,1,0)</f>
        <v>1</v>
      </c>
      <c r="W585" s="14" t="n">
        <f aca="false">IF($L585=2016,1,0)</f>
        <v>0</v>
      </c>
      <c r="X585" s="14" t="n">
        <f aca="false">IF($L585=2017,1,0)</f>
        <v>0</v>
      </c>
      <c r="Y585" s="14" t="n">
        <f aca="false">IF($H585="Beginner Level",1,0)</f>
        <v>0</v>
      </c>
      <c r="Z585" s="14" t="n">
        <f aca="false">IF($H585="Expert Level",1,0)</f>
        <v>0</v>
      </c>
      <c r="AA585" s="14" t="n">
        <f aca="false">IF($H585="Intermediate Level",1,0)</f>
        <v>1</v>
      </c>
      <c r="AC585" s="14" t="n">
        <f aca="false">N585</f>
        <v>3.80688468730484</v>
      </c>
      <c r="AD585" s="14" t="n">
        <f aca="false">G585</f>
        <v>46</v>
      </c>
      <c r="AE585" s="14" t="n">
        <f aca="false">J585</f>
        <v>5.5</v>
      </c>
      <c r="AF585" s="14" t="n">
        <f aca="false">IF($L585=2012,1,0)</f>
        <v>0</v>
      </c>
      <c r="AG585" s="14" t="n">
        <f aca="false">IF($L585=2013,1,0)</f>
        <v>0</v>
      </c>
      <c r="AH585" s="14" t="n">
        <f aca="false">IF($L585=2014,1,0)</f>
        <v>0</v>
      </c>
      <c r="AI585" s="14" t="n">
        <f aca="false">IF($L585=2015,1,0)</f>
        <v>1</v>
      </c>
      <c r="AJ585" s="14" t="n">
        <f aca="false">IF($L585=2016,1,0)</f>
        <v>0</v>
      </c>
      <c r="AK585" s="14" t="n">
        <f aca="false">IF($L585=2017,1,0)</f>
        <v>0</v>
      </c>
      <c r="AL585" s="14" t="n">
        <f aca="false">IF($H585="Beginner Level",1,0)</f>
        <v>0</v>
      </c>
      <c r="AM585" s="14" t="n">
        <f aca="false">IF($H585="Expert Level",1,0)</f>
        <v>0</v>
      </c>
      <c r="AN585" s="14" t="n">
        <f aca="false">IF($H585="Intermediate Level",1,0)</f>
        <v>1</v>
      </c>
    </row>
    <row r="586" customFormat="false" ht="68.65" hidden="false" customHeight="false" outlineLevel="0" collapsed="false">
      <c r="A586" s="14" t="n">
        <v>1259422</v>
      </c>
      <c r="B586" s="14" t="s">
        <v>1215</v>
      </c>
      <c r="C586" s="14" t="s">
        <v>1216</v>
      </c>
      <c r="D586" s="14" t="n">
        <v>65</v>
      </c>
      <c r="E586" s="14" t="n">
        <v>2570</v>
      </c>
      <c r="F586" s="14" t="n">
        <v>17</v>
      </c>
      <c r="G586" s="14" t="n">
        <v>87</v>
      </c>
      <c r="H586" s="14" t="s">
        <v>62</v>
      </c>
      <c r="I586" s="14" t="n">
        <v>0.66</v>
      </c>
      <c r="J586" s="14" t="n">
        <v>5</v>
      </c>
      <c r="K586" s="14" t="s">
        <v>59</v>
      </c>
      <c r="L586" s="14" t="n">
        <v>2017</v>
      </c>
      <c r="M586" s="14" t="n">
        <v>7.85166117788927</v>
      </c>
      <c r="N586" s="14" t="n">
        <v>4.17454110421638</v>
      </c>
      <c r="P586" s="14" t="n">
        <f aca="false">D586</f>
        <v>65</v>
      </c>
      <c r="Q586" s="14" t="n">
        <f aca="false">G586</f>
        <v>87</v>
      </c>
      <c r="R586" s="14" t="n">
        <f aca="false">J586</f>
        <v>5</v>
      </c>
      <c r="S586" s="14" t="n">
        <f aca="false">IF($L586=2012,1,0)</f>
        <v>0</v>
      </c>
      <c r="T586" s="14" t="n">
        <f aca="false">IF($L586=2013,1,0)</f>
        <v>0</v>
      </c>
      <c r="U586" s="14" t="n">
        <f aca="false">IF($L586=2014,1,0)</f>
        <v>0</v>
      </c>
      <c r="V586" s="14" t="n">
        <f aca="false">IF($L586=2015,1,0)</f>
        <v>0</v>
      </c>
      <c r="W586" s="14" t="n">
        <f aca="false">IF($L586=2016,1,0)</f>
        <v>0</v>
      </c>
      <c r="X586" s="14" t="n">
        <f aca="false">IF($L586=2017,1,0)</f>
        <v>1</v>
      </c>
      <c r="Y586" s="14" t="n">
        <f aca="false">IF($H586="Beginner Level",1,0)</f>
        <v>0</v>
      </c>
      <c r="Z586" s="14" t="n">
        <f aca="false">IF($H586="Expert Level",1,0)</f>
        <v>0</v>
      </c>
      <c r="AA586" s="14" t="n">
        <f aca="false">IF($H586="Intermediate Level",1,0)</f>
        <v>0</v>
      </c>
      <c r="AC586" s="14" t="n">
        <f aca="false">N586</f>
        <v>4.17454110421638</v>
      </c>
      <c r="AD586" s="14" t="n">
        <f aca="false">G586</f>
        <v>87</v>
      </c>
      <c r="AE586" s="14" t="n">
        <f aca="false">J586</f>
        <v>5</v>
      </c>
      <c r="AF586" s="14" t="n">
        <f aca="false">IF($L586=2012,1,0)</f>
        <v>0</v>
      </c>
      <c r="AG586" s="14" t="n">
        <f aca="false">IF($L586=2013,1,0)</f>
        <v>0</v>
      </c>
      <c r="AH586" s="14" t="n">
        <f aca="false">IF($L586=2014,1,0)</f>
        <v>0</v>
      </c>
      <c r="AI586" s="14" t="n">
        <f aca="false">IF($L586=2015,1,0)</f>
        <v>0</v>
      </c>
      <c r="AJ586" s="14" t="n">
        <f aca="false">IF($L586=2016,1,0)</f>
        <v>0</v>
      </c>
      <c r="AK586" s="14" t="n">
        <f aca="false">IF($L586=2017,1,0)</f>
        <v>1</v>
      </c>
      <c r="AL586" s="14" t="n">
        <f aca="false">IF($H586="Beginner Level",1,0)</f>
        <v>0</v>
      </c>
      <c r="AM586" s="14" t="n">
        <f aca="false">IF($H586="Expert Level",1,0)</f>
        <v>0</v>
      </c>
      <c r="AN586" s="14" t="n">
        <f aca="false">IF($H586="Intermediate Level",1,0)</f>
        <v>0</v>
      </c>
    </row>
    <row r="587" customFormat="false" ht="46.25" hidden="false" customHeight="false" outlineLevel="0" collapsed="false">
      <c r="A587" s="14" t="n">
        <v>212398</v>
      </c>
      <c r="B587" s="14" t="s">
        <v>1217</v>
      </c>
      <c r="C587" s="14" t="s">
        <v>1218</v>
      </c>
      <c r="D587" s="14" t="n">
        <v>55</v>
      </c>
      <c r="E587" s="14" t="n">
        <v>2565</v>
      </c>
      <c r="F587" s="14" t="n">
        <v>32</v>
      </c>
      <c r="G587" s="14" t="n">
        <v>41</v>
      </c>
      <c r="H587" s="14" t="s">
        <v>62</v>
      </c>
      <c r="I587" s="14" t="n">
        <v>0.55</v>
      </c>
      <c r="J587" s="14" t="n">
        <v>3</v>
      </c>
      <c r="K587" s="14" t="s">
        <v>59</v>
      </c>
      <c r="L587" s="14" t="n">
        <v>2014</v>
      </c>
      <c r="M587" s="14" t="n">
        <v>7.84971375760487</v>
      </c>
      <c r="N587" s="14" t="n">
        <v>4.00751498688737</v>
      </c>
      <c r="P587" s="14" t="n">
        <f aca="false">D587</f>
        <v>55</v>
      </c>
      <c r="Q587" s="14" t="n">
        <f aca="false">G587</f>
        <v>41</v>
      </c>
      <c r="R587" s="14" t="n">
        <f aca="false">J587</f>
        <v>3</v>
      </c>
      <c r="S587" s="14" t="n">
        <f aca="false">IF($L587=2012,1,0)</f>
        <v>0</v>
      </c>
      <c r="T587" s="14" t="n">
        <f aca="false">IF($L587=2013,1,0)</f>
        <v>0</v>
      </c>
      <c r="U587" s="14" t="n">
        <f aca="false">IF($L587=2014,1,0)</f>
        <v>1</v>
      </c>
      <c r="V587" s="14" t="n">
        <f aca="false">IF($L587=2015,1,0)</f>
        <v>0</v>
      </c>
      <c r="W587" s="14" t="n">
        <f aca="false">IF($L587=2016,1,0)</f>
        <v>0</v>
      </c>
      <c r="X587" s="14" t="n">
        <f aca="false">IF($L587=2017,1,0)</f>
        <v>0</v>
      </c>
      <c r="Y587" s="14" t="n">
        <f aca="false">IF($H587="Beginner Level",1,0)</f>
        <v>0</v>
      </c>
      <c r="Z587" s="14" t="n">
        <f aca="false">IF($H587="Expert Level",1,0)</f>
        <v>0</v>
      </c>
      <c r="AA587" s="14" t="n">
        <f aca="false">IF($H587="Intermediate Level",1,0)</f>
        <v>0</v>
      </c>
      <c r="AC587" s="14" t="n">
        <f aca="false">N587</f>
        <v>4.00751498688737</v>
      </c>
      <c r="AD587" s="14" t="n">
        <f aca="false">G587</f>
        <v>41</v>
      </c>
      <c r="AE587" s="14" t="n">
        <f aca="false">J587</f>
        <v>3</v>
      </c>
      <c r="AF587" s="14" t="n">
        <f aca="false">IF($L587=2012,1,0)</f>
        <v>0</v>
      </c>
      <c r="AG587" s="14" t="n">
        <f aca="false">IF($L587=2013,1,0)</f>
        <v>0</v>
      </c>
      <c r="AH587" s="14" t="n">
        <f aca="false">IF($L587=2014,1,0)</f>
        <v>1</v>
      </c>
      <c r="AI587" s="14" t="n">
        <f aca="false">IF($L587=2015,1,0)</f>
        <v>0</v>
      </c>
      <c r="AJ587" s="14" t="n">
        <f aca="false">IF($L587=2016,1,0)</f>
        <v>0</v>
      </c>
      <c r="AK587" s="14" t="n">
        <f aca="false">IF($L587=2017,1,0)</f>
        <v>0</v>
      </c>
      <c r="AL587" s="14" t="n">
        <f aca="false">IF($H587="Beginner Level",1,0)</f>
        <v>0</v>
      </c>
      <c r="AM587" s="14" t="n">
        <f aca="false">IF($H587="Expert Level",1,0)</f>
        <v>0</v>
      </c>
      <c r="AN587" s="14" t="n">
        <f aca="false">IF($H587="Intermediate Level",1,0)</f>
        <v>0</v>
      </c>
    </row>
    <row r="588" customFormat="false" ht="91" hidden="false" customHeight="false" outlineLevel="0" collapsed="false">
      <c r="A588" s="14" t="n">
        <v>760306</v>
      </c>
      <c r="B588" s="14" t="s">
        <v>1219</v>
      </c>
      <c r="C588" s="14" t="s">
        <v>1220</v>
      </c>
      <c r="D588" s="14" t="n">
        <v>100</v>
      </c>
      <c r="E588" s="14" t="n">
        <v>2558</v>
      </c>
      <c r="F588" s="14" t="n">
        <v>12</v>
      </c>
      <c r="G588" s="14" t="n">
        <v>36</v>
      </c>
      <c r="H588" s="14" t="s">
        <v>52</v>
      </c>
      <c r="I588" s="14" t="n">
        <v>0.91</v>
      </c>
      <c r="J588" s="14" t="n">
        <v>3</v>
      </c>
      <c r="K588" s="14" t="s">
        <v>59</v>
      </c>
      <c r="L588" s="14" t="n">
        <v>2016</v>
      </c>
      <c r="M588" s="14" t="n">
        <v>7.84698098213879</v>
      </c>
      <c r="N588" s="14" t="n">
        <v>4.60527018098843</v>
      </c>
      <c r="P588" s="14" t="n">
        <f aca="false">D588</f>
        <v>100</v>
      </c>
      <c r="Q588" s="14" t="n">
        <f aca="false">G588</f>
        <v>36</v>
      </c>
      <c r="R588" s="14" t="n">
        <f aca="false">J588</f>
        <v>3</v>
      </c>
      <c r="S588" s="14" t="n">
        <f aca="false">IF($L588=2012,1,0)</f>
        <v>0</v>
      </c>
      <c r="T588" s="14" t="n">
        <f aca="false">IF($L588=2013,1,0)</f>
        <v>0</v>
      </c>
      <c r="U588" s="14" t="n">
        <f aca="false">IF($L588=2014,1,0)</f>
        <v>0</v>
      </c>
      <c r="V588" s="14" t="n">
        <f aca="false">IF($L588=2015,1,0)</f>
        <v>0</v>
      </c>
      <c r="W588" s="14" t="n">
        <f aca="false">IF($L588=2016,1,0)</f>
        <v>1</v>
      </c>
      <c r="X588" s="14" t="n">
        <f aca="false">IF($L588=2017,1,0)</f>
        <v>0</v>
      </c>
      <c r="Y588" s="14" t="n">
        <f aca="false">IF($H588="Beginner Level",1,0)</f>
        <v>1</v>
      </c>
      <c r="Z588" s="14" t="n">
        <f aca="false">IF($H588="Expert Level",1,0)</f>
        <v>0</v>
      </c>
      <c r="AA588" s="14" t="n">
        <f aca="false">IF($H588="Intermediate Level",1,0)</f>
        <v>0</v>
      </c>
      <c r="AC588" s="14" t="n">
        <f aca="false">N588</f>
        <v>4.60527018098843</v>
      </c>
      <c r="AD588" s="14" t="n">
        <f aca="false">G588</f>
        <v>36</v>
      </c>
      <c r="AE588" s="14" t="n">
        <f aca="false">J588</f>
        <v>3</v>
      </c>
      <c r="AF588" s="14" t="n">
        <f aca="false">IF($L588=2012,1,0)</f>
        <v>0</v>
      </c>
      <c r="AG588" s="14" t="n">
        <f aca="false">IF($L588=2013,1,0)</f>
        <v>0</v>
      </c>
      <c r="AH588" s="14" t="n">
        <f aca="false">IF($L588=2014,1,0)</f>
        <v>0</v>
      </c>
      <c r="AI588" s="14" t="n">
        <f aca="false">IF($L588=2015,1,0)</f>
        <v>0</v>
      </c>
      <c r="AJ588" s="14" t="n">
        <f aca="false">IF($L588=2016,1,0)</f>
        <v>1</v>
      </c>
      <c r="AK588" s="14" t="n">
        <f aca="false">IF($L588=2017,1,0)</f>
        <v>0</v>
      </c>
      <c r="AL588" s="14" t="n">
        <f aca="false">IF($H588="Beginner Level",1,0)</f>
        <v>1</v>
      </c>
      <c r="AM588" s="14" t="n">
        <f aca="false">IF($H588="Expert Level",1,0)</f>
        <v>0</v>
      </c>
      <c r="AN588" s="14" t="n">
        <f aca="false">IF($H588="Intermediate Level",1,0)</f>
        <v>0</v>
      </c>
    </row>
    <row r="589" customFormat="false" ht="46.25" hidden="false" customHeight="false" outlineLevel="0" collapsed="false">
      <c r="A589" s="14" t="n">
        <v>993148</v>
      </c>
      <c r="B589" s="14" t="s">
        <v>1221</v>
      </c>
      <c r="C589" s="14" t="s">
        <v>1222</v>
      </c>
      <c r="D589" s="14" t="n">
        <v>195</v>
      </c>
      <c r="E589" s="14" t="n">
        <v>2547</v>
      </c>
      <c r="F589" s="14" t="n">
        <v>62</v>
      </c>
      <c r="G589" s="14" t="n">
        <v>18</v>
      </c>
      <c r="H589" s="14" t="s">
        <v>62</v>
      </c>
      <c r="I589" s="14" t="n">
        <v>0.96</v>
      </c>
      <c r="J589" s="14" t="n">
        <v>1</v>
      </c>
      <c r="K589" s="14" t="s">
        <v>59</v>
      </c>
      <c r="L589" s="14" t="n">
        <v>2016</v>
      </c>
      <c r="M589" s="14" t="n">
        <v>7.84267147497946</v>
      </c>
      <c r="N589" s="14" t="n">
        <v>5.27305083930015</v>
      </c>
      <c r="P589" s="14" t="n">
        <f aca="false">D589</f>
        <v>195</v>
      </c>
      <c r="Q589" s="14" t="n">
        <f aca="false">G589</f>
        <v>18</v>
      </c>
      <c r="R589" s="14" t="n">
        <f aca="false">J589</f>
        <v>1</v>
      </c>
      <c r="S589" s="14" t="n">
        <f aca="false">IF($L589=2012,1,0)</f>
        <v>0</v>
      </c>
      <c r="T589" s="14" t="n">
        <f aca="false">IF($L589=2013,1,0)</f>
        <v>0</v>
      </c>
      <c r="U589" s="14" t="n">
        <f aca="false">IF($L589=2014,1,0)</f>
        <v>0</v>
      </c>
      <c r="V589" s="14" t="n">
        <f aca="false">IF($L589=2015,1,0)</f>
        <v>0</v>
      </c>
      <c r="W589" s="14" t="n">
        <f aca="false">IF($L589=2016,1,0)</f>
        <v>1</v>
      </c>
      <c r="X589" s="14" t="n">
        <f aca="false">IF($L589=2017,1,0)</f>
        <v>0</v>
      </c>
      <c r="Y589" s="14" t="n">
        <f aca="false">IF($H589="Beginner Level",1,0)</f>
        <v>0</v>
      </c>
      <c r="Z589" s="14" t="n">
        <f aca="false">IF($H589="Expert Level",1,0)</f>
        <v>0</v>
      </c>
      <c r="AA589" s="14" t="n">
        <f aca="false">IF($H589="Intermediate Level",1,0)</f>
        <v>0</v>
      </c>
      <c r="AC589" s="14" t="n">
        <f aca="false">N589</f>
        <v>5.27305083930015</v>
      </c>
      <c r="AD589" s="14" t="n">
        <f aca="false">G589</f>
        <v>18</v>
      </c>
      <c r="AE589" s="14" t="n">
        <f aca="false">J589</f>
        <v>1</v>
      </c>
      <c r="AF589" s="14" t="n">
        <f aca="false">IF($L589=2012,1,0)</f>
        <v>0</v>
      </c>
      <c r="AG589" s="14" t="n">
        <f aca="false">IF($L589=2013,1,0)</f>
        <v>0</v>
      </c>
      <c r="AH589" s="14" t="n">
        <f aca="false">IF($L589=2014,1,0)</f>
        <v>0</v>
      </c>
      <c r="AI589" s="14" t="n">
        <f aca="false">IF($L589=2015,1,0)</f>
        <v>0</v>
      </c>
      <c r="AJ589" s="14" t="n">
        <f aca="false">IF($L589=2016,1,0)</f>
        <v>1</v>
      </c>
      <c r="AK589" s="14" t="n">
        <f aca="false">IF($L589=2017,1,0)</f>
        <v>0</v>
      </c>
      <c r="AL589" s="14" t="n">
        <f aca="false">IF($H589="Beginner Level",1,0)</f>
        <v>0</v>
      </c>
      <c r="AM589" s="14" t="n">
        <f aca="false">IF($H589="Expert Level",1,0)</f>
        <v>0</v>
      </c>
      <c r="AN589" s="14" t="n">
        <f aca="false">IF($H589="Intermediate Level",1,0)</f>
        <v>0</v>
      </c>
    </row>
    <row r="590" customFormat="false" ht="35.05" hidden="false" customHeight="false" outlineLevel="0" collapsed="false">
      <c r="A590" s="14" t="n">
        <v>802268</v>
      </c>
      <c r="B590" s="14" t="s">
        <v>1223</v>
      </c>
      <c r="C590" s="14" t="s">
        <v>1224</v>
      </c>
      <c r="D590" s="14" t="n">
        <v>20</v>
      </c>
      <c r="E590" s="14" t="n">
        <v>2532</v>
      </c>
      <c r="F590" s="14" t="n">
        <v>291</v>
      </c>
      <c r="G590" s="14" t="n">
        <v>30</v>
      </c>
      <c r="H590" s="14" t="s">
        <v>62</v>
      </c>
      <c r="I590" s="14" t="n">
        <v>0.96</v>
      </c>
      <c r="J590" s="14" t="n">
        <v>1</v>
      </c>
      <c r="K590" s="14" t="s">
        <v>59</v>
      </c>
      <c r="L590" s="14" t="n">
        <v>2016</v>
      </c>
      <c r="M590" s="14" t="n">
        <v>7.83676478326407</v>
      </c>
      <c r="N590" s="14" t="n">
        <v>2.99623214859564</v>
      </c>
      <c r="P590" s="14" t="n">
        <f aca="false">D590</f>
        <v>20</v>
      </c>
      <c r="Q590" s="14" t="n">
        <f aca="false">G590</f>
        <v>30</v>
      </c>
      <c r="R590" s="14" t="n">
        <f aca="false">J590</f>
        <v>1</v>
      </c>
      <c r="S590" s="14" t="n">
        <f aca="false">IF($L590=2012,1,0)</f>
        <v>0</v>
      </c>
      <c r="T590" s="14" t="n">
        <f aca="false">IF($L590=2013,1,0)</f>
        <v>0</v>
      </c>
      <c r="U590" s="14" t="n">
        <f aca="false">IF($L590=2014,1,0)</f>
        <v>0</v>
      </c>
      <c r="V590" s="14" t="n">
        <f aca="false">IF($L590=2015,1,0)</f>
        <v>0</v>
      </c>
      <c r="W590" s="14" t="n">
        <f aca="false">IF($L590=2016,1,0)</f>
        <v>1</v>
      </c>
      <c r="X590" s="14" t="n">
        <f aca="false">IF($L590=2017,1,0)</f>
        <v>0</v>
      </c>
      <c r="Y590" s="14" t="n">
        <f aca="false">IF($H590="Beginner Level",1,0)</f>
        <v>0</v>
      </c>
      <c r="Z590" s="14" t="n">
        <f aca="false">IF($H590="Expert Level",1,0)</f>
        <v>0</v>
      </c>
      <c r="AA590" s="14" t="n">
        <f aca="false">IF($H590="Intermediate Level",1,0)</f>
        <v>0</v>
      </c>
      <c r="AC590" s="14" t="n">
        <f aca="false">N590</f>
        <v>2.99623214859564</v>
      </c>
      <c r="AD590" s="14" t="n">
        <f aca="false">G590</f>
        <v>30</v>
      </c>
      <c r="AE590" s="14" t="n">
        <f aca="false">J590</f>
        <v>1</v>
      </c>
      <c r="AF590" s="14" t="n">
        <f aca="false">IF($L590=2012,1,0)</f>
        <v>0</v>
      </c>
      <c r="AG590" s="14" t="n">
        <f aca="false">IF($L590=2013,1,0)</f>
        <v>0</v>
      </c>
      <c r="AH590" s="14" t="n">
        <f aca="false">IF($L590=2014,1,0)</f>
        <v>0</v>
      </c>
      <c r="AI590" s="14" t="n">
        <f aca="false">IF($L590=2015,1,0)</f>
        <v>0</v>
      </c>
      <c r="AJ590" s="14" t="n">
        <f aca="false">IF($L590=2016,1,0)</f>
        <v>1</v>
      </c>
      <c r="AK590" s="14" t="n">
        <f aca="false">IF($L590=2017,1,0)</f>
        <v>0</v>
      </c>
      <c r="AL590" s="14" t="n">
        <f aca="false">IF($H590="Beginner Level",1,0)</f>
        <v>0</v>
      </c>
      <c r="AM590" s="14" t="n">
        <f aca="false">IF($H590="Expert Level",1,0)</f>
        <v>0</v>
      </c>
      <c r="AN590" s="14" t="n">
        <f aca="false">IF($H590="Intermediate Level",1,0)</f>
        <v>0</v>
      </c>
    </row>
    <row r="591" customFormat="false" ht="68.65" hidden="false" customHeight="false" outlineLevel="0" collapsed="false">
      <c r="A591" s="14" t="n">
        <v>255878</v>
      </c>
      <c r="B591" s="14" t="s">
        <v>1225</v>
      </c>
      <c r="C591" s="14" t="s">
        <v>1226</v>
      </c>
      <c r="D591" s="14" t="n">
        <v>20</v>
      </c>
      <c r="E591" s="14" t="n">
        <v>2528</v>
      </c>
      <c r="F591" s="14" t="n">
        <v>15</v>
      </c>
      <c r="G591" s="14" t="n">
        <v>30</v>
      </c>
      <c r="H591" s="14" t="s">
        <v>62</v>
      </c>
      <c r="I591" s="14" t="n">
        <v>0.96</v>
      </c>
      <c r="J591" s="14" t="n">
        <v>2</v>
      </c>
      <c r="K591" s="14" t="s">
        <v>59</v>
      </c>
      <c r="L591" s="14" t="n">
        <v>2014</v>
      </c>
      <c r="M591" s="14" t="n">
        <v>7.83518375526675</v>
      </c>
      <c r="N591" s="14" t="n">
        <v>2.99623214859564</v>
      </c>
      <c r="P591" s="14" t="n">
        <f aca="false">D591</f>
        <v>20</v>
      </c>
      <c r="Q591" s="14" t="n">
        <f aca="false">G591</f>
        <v>30</v>
      </c>
      <c r="R591" s="14" t="n">
        <f aca="false">J591</f>
        <v>2</v>
      </c>
      <c r="S591" s="14" t="n">
        <f aca="false">IF($L591=2012,1,0)</f>
        <v>0</v>
      </c>
      <c r="T591" s="14" t="n">
        <f aca="false">IF($L591=2013,1,0)</f>
        <v>0</v>
      </c>
      <c r="U591" s="14" t="n">
        <f aca="false">IF($L591=2014,1,0)</f>
        <v>1</v>
      </c>
      <c r="V591" s="14" t="n">
        <f aca="false">IF($L591=2015,1,0)</f>
        <v>0</v>
      </c>
      <c r="W591" s="14" t="n">
        <f aca="false">IF($L591=2016,1,0)</f>
        <v>0</v>
      </c>
      <c r="X591" s="14" t="n">
        <f aca="false">IF($L591=2017,1,0)</f>
        <v>0</v>
      </c>
      <c r="Y591" s="14" t="n">
        <f aca="false">IF($H591="Beginner Level",1,0)</f>
        <v>0</v>
      </c>
      <c r="Z591" s="14" t="n">
        <f aca="false">IF($H591="Expert Level",1,0)</f>
        <v>0</v>
      </c>
      <c r="AA591" s="14" t="n">
        <f aca="false">IF($H591="Intermediate Level",1,0)</f>
        <v>0</v>
      </c>
      <c r="AC591" s="14" t="n">
        <f aca="false">N591</f>
        <v>2.99623214859564</v>
      </c>
      <c r="AD591" s="14" t="n">
        <f aca="false">G591</f>
        <v>30</v>
      </c>
      <c r="AE591" s="14" t="n">
        <f aca="false">J591</f>
        <v>2</v>
      </c>
      <c r="AF591" s="14" t="n">
        <f aca="false">IF($L591=2012,1,0)</f>
        <v>0</v>
      </c>
      <c r="AG591" s="14" t="n">
        <f aca="false">IF($L591=2013,1,0)</f>
        <v>0</v>
      </c>
      <c r="AH591" s="14" t="n">
        <f aca="false">IF($L591=2014,1,0)</f>
        <v>1</v>
      </c>
      <c r="AI591" s="14" t="n">
        <f aca="false">IF($L591=2015,1,0)</f>
        <v>0</v>
      </c>
      <c r="AJ591" s="14" t="n">
        <f aca="false">IF($L591=2016,1,0)</f>
        <v>0</v>
      </c>
      <c r="AK591" s="14" t="n">
        <f aca="false">IF($L591=2017,1,0)</f>
        <v>0</v>
      </c>
      <c r="AL591" s="14" t="n">
        <f aca="false">IF($H591="Beginner Level",1,0)</f>
        <v>0</v>
      </c>
      <c r="AM591" s="14" t="n">
        <f aca="false">IF($H591="Expert Level",1,0)</f>
        <v>0</v>
      </c>
      <c r="AN591" s="14" t="n">
        <f aca="false">IF($H591="Intermediate Level",1,0)</f>
        <v>0</v>
      </c>
    </row>
    <row r="592" customFormat="false" ht="57.45" hidden="false" customHeight="false" outlineLevel="0" collapsed="false">
      <c r="A592" s="14" t="n">
        <v>372518</v>
      </c>
      <c r="B592" s="14" t="s">
        <v>1227</v>
      </c>
      <c r="C592" s="14" t="s">
        <v>1228</v>
      </c>
      <c r="D592" s="14" t="n">
        <v>195</v>
      </c>
      <c r="E592" s="14" t="n">
        <v>2526</v>
      </c>
      <c r="F592" s="14" t="n">
        <v>185</v>
      </c>
      <c r="G592" s="14" t="n">
        <v>24</v>
      </c>
      <c r="H592" s="14" t="s">
        <v>71</v>
      </c>
      <c r="I592" s="14" t="n">
        <v>0.96</v>
      </c>
      <c r="J592" s="14" t="n">
        <v>5</v>
      </c>
      <c r="K592" s="14" t="s">
        <v>59</v>
      </c>
      <c r="L592" s="14" t="n">
        <v>2014</v>
      </c>
      <c r="M592" s="14" t="n">
        <v>7.83439230291044</v>
      </c>
      <c r="N592" s="14" t="n">
        <v>5.27305083930015</v>
      </c>
      <c r="P592" s="14" t="n">
        <f aca="false">D592</f>
        <v>195</v>
      </c>
      <c r="Q592" s="14" t="n">
        <f aca="false">G592</f>
        <v>24</v>
      </c>
      <c r="R592" s="14" t="n">
        <f aca="false">J592</f>
        <v>5</v>
      </c>
      <c r="S592" s="14" t="n">
        <f aca="false">IF($L592=2012,1,0)</f>
        <v>0</v>
      </c>
      <c r="T592" s="14" t="n">
        <f aca="false">IF($L592=2013,1,0)</f>
        <v>0</v>
      </c>
      <c r="U592" s="14" t="n">
        <f aca="false">IF($L592=2014,1,0)</f>
        <v>1</v>
      </c>
      <c r="V592" s="14" t="n">
        <f aca="false">IF($L592=2015,1,0)</f>
        <v>0</v>
      </c>
      <c r="W592" s="14" t="n">
        <f aca="false">IF($L592=2016,1,0)</f>
        <v>0</v>
      </c>
      <c r="X592" s="14" t="n">
        <f aca="false">IF($L592=2017,1,0)</f>
        <v>0</v>
      </c>
      <c r="Y592" s="14" t="n">
        <f aca="false">IF($H592="Beginner Level",1,0)</f>
        <v>0</v>
      </c>
      <c r="Z592" s="14" t="n">
        <f aca="false">IF($H592="Expert Level",1,0)</f>
        <v>0</v>
      </c>
      <c r="AA592" s="14" t="n">
        <f aca="false">IF($H592="Intermediate Level",1,0)</f>
        <v>1</v>
      </c>
      <c r="AC592" s="14" t="n">
        <f aca="false">N592</f>
        <v>5.27305083930015</v>
      </c>
      <c r="AD592" s="14" t="n">
        <f aca="false">G592</f>
        <v>24</v>
      </c>
      <c r="AE592" s="14" t="n">
        <f aca="false">J592</f>
        <v>5</v>
      </c>
      <c r="AF592" s="14" t="n">
        <f aca="false">IF($L592=2012,1,0)</f>
        <v>0</v>
      </c>
      <c r="AG592" s="14" t="n">
        <f aca="false">IF($L592=2013,1,0)</f>
        <v>0</v>
      </c>
      <c r="AH592" s="14" t="n">
        <f aca="false">IF($L592=2014,1,0)</f>
        <v>1</v>
      </c>
      <c r="AI592" s="14" t="n">
        <f aca="false">IF($L592=2015,1,0)</f>
        <v>0</v>
      </c>
      <c r="AJ592" s="14" t="n">
        <f aca="false">IF($L592=2016,1,0)</f>
        <v>0</v>
      </c>
      <c r="AK592" s="14" t="n">
        <f aca="false">IF($L592=2017,1,0)</f>
        <v>0</v>
      </c>
      <c r="AL592" s="14" t="n">
        <f aca="false">IF($H592="Beginner Level",1,0)</f>
        <v>0</v>
      </c>
      <c r="AM592" s="14" t="n">
        <f aca="false">IF($H592="Expert Level",1,0)</f>
        <v>0</v>
      </c>
      <c r="AN592" s="14" t="n">
        <f aca="false">IF($H592="Intermediate Level",1,0)</f>
        <v>1</v>
      </c>
    </row>
    <row r="593" customFormat="false" ht="57.45" hidden="false" customHeight="false" outlineLevel="0" collapsed="false">
      <c r="A593" s="14" t="n">
        <v>69414</v>
      </c>
      <c r="B593" s="14" t="s">
        <v>1229</v>
      </c>
      <c r="C593" s="14" t="s">
        <v>1230</v>
      </c>
      <c r="D593" s="14" t="n">
        <v>20</v>
      </c>
      <c r="E593" s="14" t="n">
        <v>2520</v>
      </c>
      <c r="F593" s="14" t="n">
        <v>183</v>
      </c>
      <c r="G593" s="14" t="n">
        <v>34</v>
      </c>
      <c r="H593" s="14" t="s">
        <v>62</v>
      </c>
      <c r="I593" s="14" t="n">
        <v>0.96</v>
      </c>
      <c r="J593" s="14" t="n">
        <v>1.5</v>
      </c>
      <c r="K593" s="14" t="s">
        <v>59</v>
      </c>
      <c r="L593" s="14" t="n">
        <v>2013</v>
      </c>
      <c r="M593" s="14" t="n">
        <v>7.83201418050547</v>
      </c>
      <c r="N593" s="14" t="n">
        <v>2.99623214859564</v>
      </c>
      <c r="P593" s="14" t="n">
        <f aca="false">D593</f>
        <v>20</v>
      </c>
      <c r="Q593" s="14" t="n">
        <f aca="false">G593</f>
        <v>34</v>
      </c>
      <c r="R593" s="14" t="n">
        <f aca="false">J593</f>
        <v>1.5</v>
      </c>
      <c r="S593" s="14" t="n">
        <f aca="false">IF($L593=2012,1,0)</f>
        <v>0</v>
      </c>
      <c r="T593" s="14" t="n">
        <f aca="false">IF($L593=2013,1,0)</f>
        <v>1</v>
      </c>
      <c r="U593" s="14" t="n">
        <f aca="false">IF($L593=2014,1,0)</f>
        <v>0</v>
      </c>
      <c r="V593" s="14" t="n">
        <f aca="false">IF($L593=2015,1,0)</f>
        <v>0</v>
      </c>
      <c r="W593" s="14" t="n">
        <f aca="false">IF($L593=2016,1,0)</f>
        <v>0</v>
      </c>
      <c r="X593" s="14" t="n">
        <f aca="false">IF($L593=2017,1,0)</f>
        <v>0</v>
      </c>
      <c r="Y593" s="14" t="n">
        <f aca="false">IF($H593="Beginner Level",1,0)</f>
        <v>0</v>
      </c>
      <c r="Z593" s="14" t="n">
        <f aca="false">IF($H593="Expert Level",1,0)</f>
        <v>0</v>
      </c>
      <c r="AA593" s="14" t="n">
        <f aca="false">IF($H593="Intermediate Level",1,0)</f>
        <v>0</v>
      </c>
      <c r="AC593" s="14" t="n">
        <f aca="false">N593</f>
        <v>2.99623214859564</v>
      </c>
      <c r="AD593" s="14" t="n">
        <f aca="false">G593</f>
        <v>34</v>
      </c>
      <c r="AE593" s="14" t="n">
        <f aca="false">J593</f>
        <v>1.5</v>
      </c>
      <c r="AF593" s="14" t="n">
        <f aca="false">IF($L593=2012,1,0)</f>
        <v>0</v>
      </c>
      <c r="AG593" s="14" t="n">
        <f aca="false">IF($L593=2013,1,0)</f>
        <v>1</v>
      </c>
      <c r="AH593" s="14" t="n">
        <f aca="false">IF($L593=2014,1,0)</f>
        <v>0</v>
      </c>
      <c r="AI593" s="14" t="n">
        <f aca="false">IF($L593=2015,1,0)</f>
        <v>0</v>
      </c>
      <c r="AJ593" s="14" t="n">
        <f aca="false">IF($L593=2016,1,0)</f>
        <v>0</v>
      </c>
      <c r="AK593" s="14" t="n">
        <f aca="false">IF($L593=2017,1,0)</f>
        <v>0</v>
      </c>
      <c r="AL593" s="14" t="n">
        <f aca="false">IF($H593="Beginner Level",1,0)</f>
        <v>0</v>
      </c>
      <c r="AM593" s="14" t="n">
        <f aca="false">IF($H593="Expert Level",1,0)</f>
        <v>0</v>
      </c>
      <c r="AN593" s="14" t="n">
        <f aca="false">IF($H593="Intermediate Level",1,0)</f>
        <v>0</v>
      </c>
    </row>
    <row r="594" customFormat="false" ht="57.45" hidden="false" customHeight="false" outlineLevel="0" collapsed="false">
      <c r="A594" s="14" t="n">
        <v>1124280</v>
      </c>
      <c r="B594" s="14" t="s">
        <v>1231</v>
      </c>
      <c r="C594" s="14" t="s">
        <v>1232</v>
      </c>
      <c r="D594" s="14" t="n">
        <v>20</v>
      </c>
      <c r="E594" s="14" t="n">
        <v>2510</v>
      </c>
      <c r="F594" s="14" t="n">
        <v>21</v>
      </c>
      <c r="G594" s="14" t="n">
        <v>23</v>
      </c>
      <c r="H594" s="14" t="s">
        <v>62</v>
      </c>
      <c r="I594" s="14" t="n">
        <v>0.96</v>
      </c>
      <c r="J594" s="14" t="n">
        <v>1.5</v>
      </c>
      <c r="K594" s="14" t="s">
        <v>59</v>
      </c>
      <c r="L594" s="14" t="n">
        <v>2017</v>
      </c>
      <c r="M594" s="14" t="n">
        <v>7.82803803212583</v>
      </c>
      <c r="N594" s="14" t="n">
        <v>2.99623214859564</v>
      </c>
      <c r="P594" s="14" t="n">
        <f aca="false">D594</f>
        <v>20</v>
      </c>
      <c r="Q594" s="14" t="n">
        <f aca="false">G594</f>
        <v>23</v>
      </c>
      <c r="R594" s="14" t="n">
        <f aca="false">J594</f>
        <v>1.5</v>
      </c>
      <c r="S594" s="14" t="n">
        <f aca="false">IF($L594=2012,1,0)</f>
        <v>0</v>
      </c>
      <c r="T594" s="14" t="n">
        <f aca="false">IF($L594=2013,1,0)</f>
        <v>0</v>
      </c>
      <c r="U594" s="14" t="n">
        <f aca="false">IF($L594=2014,1,0)</f>
        <v>0</v>
      </c>
      <c r="V594" s="14" t="n">
        <f aca="false">IF($L594=2015,1,0)</f>
        <v>0</v>
      </c>
      <c r="W594" s="14" t="n">
        <f aca="false">IF($L594=2016,1,0)</f>
        <v>0</v>
      </c>
      <c r="X594" s="14" t="n">
        <f aca="false">IF($L594=2017,1,0)</f>
        <v>1</v>
      </c>
      <c r="Y594" s="14" t="n">
        <f aca="false">IF($H594="Beginner Level",1,0)</f>
        <v>0</v>
      </c>
      <c r="Z594" s="14" t="n">
        <f aca="false">IF($H594="Expert Level",1,0)</f>
        <v>0</v>
      </c>
      <c r="AA594" s="14" t="n">
        <f aca="false">IF($H594="Intermediate Level",1,0)</f>
        <v>0</v>
      </c>
      <c r="AC594" s="14" t="n">
        <f aca="false">N594</f>
        <v>2.99623214859564</v>
      </c>
      <c r="AD594" s="14" t="n">
        <f aca="false">G594</f>
        <v>23</v>
      </c>
      <c r="AE594" s="14" t="n">
        <f aca="false">J594</f>
        <v>1.5</v>
      </c>
      <c r="AF594" s="14" t="n">
        <f aca="false">IF($L594=2012,1,0)</f>
        <v>0</v>
      </c>
      <c r="AG594" s="14" t="n">
        <f aca="false">IF($L594=2013,1,0)</f>
        <v>0</v>
      </c>
      <c r="AH594" s="14" t="n">
        <f aca="false">IF($L594=2014,1,0)</f>
        <v>0</v>
      </c>
      <c r="AI594" s="14" t="n">
        <f aca="false">IF($L594=2015,1,0)</f>
        <v>0</v>
      </c>
      <c r="AJ594" s="14" t="n">
        <f aca="false">IF($L594=2016,1,0)</f>
        <v>0</v>
      </c>
      <c r="AK594" s="14" t="n">
        <f aca="false">IF($L594=2017,1,0)</f>
        <v>1</v>
      </c>
      <c r="AL594" s="14" t="n">
        <f aca="false">IF($H594="Beginner Level",1,0)</f>
        <v>0</v>
      </c>
      <c r="AM594" s="14" t="n">
        <f aca="false">IF($H594="Expert Level",1,0)</f>
        <v>0</v>
      </c>
      <c r="AN594" s="14" t="n">
        <f aca="false">IF($H594="Intermediate Level",1,0)</f>
        <v>0</v>
      </c>
    </row>
    <row r="595" customFormat="false" ht="68.65" hidden="false" customHeight="false" outlineLevel="0" collapsed="false">
      <c r="A595" s="14" t="n">
        <v>186096</v>
      </c>
      <c r="B595" s="14" t="s">
        <v>1233</v>
      </c>
      <c r="C595" s="14" t="s">
        <v>1234</v>
      </c>
      <c r="D595" s="14" t="n">
        <v>195</v>
      </c>
      <c r="E595" s="14" t="n">
        <v>2497</v>
      </c>
      <c r="F595" s="14" t="n">
        <v>98</v>
      </c>
      <c r="G595" s="14" t="n">
        <v>154</v>
      </c>
      <c r="H595" s="14" t="s">
        <v>71</v>
      </c>
      <c r="I595" s="14" t="n">
        <v>0.96</v>
      </c>
      <c r="J595" s="14" t="n">
        <v>26</v>
      </c>
      <c r="K595" s="14" t="s">
        <v>59</v>
      </c>
      <c r="L595" s="14" t="n">
        <v>2014</v>
      </c>
      <c r="M595" s="14" t="n">
        <v>7.82284529027977</v>
      </c>
      <c r="N595" s="14" t="n">
        <v>5.27305083930015</v>
      </c>
      <c r="P595" s="14" t="n">
        <f aca="false">D595</f>
        <v>195</v>
      </c>
      <c r="Q595" s="14" t="n">
        <f aca="false">G595</f>
        <v>154</v>
      </c>
      <c r="R595" s="14" t="n">
        <f aca="false">J595</f>
        <v>26</v>
      </c>
      <c r="S595" s="14" t="n">
        <f aca="false">IF($L595=2012,1,0)</f>
        <v>0</v>
      </c>
      <c r="T595" s="14" t="n">
        <f aca="false">IF($L595=2013,1,0)</f>
        <v>0</v>
      </c>
      <c r="U595" s="14" t="n">
        <f aca="false">IF($L595=2014,1,0)</f>
        <v>1</v>
      </c>
      <c r="V595" s="14" t="n">
        <f aca="false">IF($L595=2015,1,0)</f>
        <v>0</v>
      </c>
      <c r="W595" s="14" t="n">
        <f aca="false">IF($L595=2016,1,0)</f>
        <v>0</v>
      </c>
      <c r="X595" s="14" t="n">
        <f aca="false">IF($L595=2017,1,0)</f>
        <v>0</v>
      </c>
      <c r="Y595" s="14" t="n">
        <f aca="false">IF($H595="Beginner Level",1,0)</f>
        <v>0</v>
      </c>
      <c r="Z595" s="14" t="n">
        <f aca="false">IF($H595="Expert Level",1,0)</f>
        <v>0</v>
      </c>
      <c r="AA595" s="14" t="n">
        <f aca="false">IF($H595="Intermediate Level",1,0)</f>
        <v>1</v>
      </c>
      <c r="AC595" s="14" t="n">
        <f aca="false">N595</f>
        <v>5.27305083930015</v>
      </c>
      <c r="AD595" s="14" t="n">
        <f aca="false">G595</f>
        <v>154</v>
      </c>
      <c r="AE595" s="14" t="n">
        <f aca="false">J595</f>
        <v>26</v>
      </c>
      <c r="AF595" s="14" t="n">
        <f aca="false">IF($L595=2012,1,0)</f>
        <v>0</v>
      </c>
      <c r="AG595" s="14" t="n">
        <f aca="false">IF($L595=2013,1,0)</f>
        <v>0</v>
      </c>
      <c r="AH595" s="14" t="n">
        <f aca="false">IF($L595=2014,1,0)</f>
        <v>1</v>
      </c>
      <c r="AI595" s="14" t="n">
        <f aca="false">IF($L595=2015,1,0)</f>
        <v>0</v>
      </c>
      <c r="AJ595" s="14" t="n">
        <f aca="false">IF($L595=2016,1,0)</f>
        <v>0</v>
      </c>
      <c r="AK595" s="14" t="n">
        <f aca="false">IF($L595=2017,1,0)</f>
        <v>0</v>
      </c>
      <c r="AL595" s="14" t="n">
        <f aca="false">IF($H595="Beginner Level",1,0)</f>
        <v>0</v>
      </c>
      <c r="AM595" s="14" t="n">
        <f aca="false">IF($H595="Expert Level",1,0)</f>
        <v>0</v>
      </c>
      <c r="AN595" s="14" t="n">
        <f aca="false">IF($H595="Intermediate Level",1,0)</f>
        <v>1</v>
      </c>
    </row>
    <row r="596" customFormat="false" ht="68.65" hidden="false" customHeight="false" outlineLevel="0" collapsed="false">
      <c r="A596" s="14" t="n">
        <v>572268</v>
      </c>
      <c r="B596" s="14" t="s">
        <v>1235</v>
      </c>
      <c r="C596" s="14" t="s">
        <v>1236</v>
      </c>
      <c r="D596" s="14" t="n">
        <v>50</v>
      </c>
      <c r="E596" s="14" t="n">
        <v>2494</v>
      </c>
      <c r="F596" s="14" t="n">
        <v>303</v>
      </c>
      <c r="G596" s="14" t="n">
        <v>40</v>
      </c>
      <c r="H596" s="14" t="s">
        <v>62</v>
      </c>
      <c r="I596" s="14" t="n">
        <v>0.96</v>
      </c>
      <c r="J596" s="14" t="n">
        <v>4.5</v>
      </c>
      <c r="K596" s="14" t="s">
        <v>59</v>
      </c>
      <c r="L596" s="14" t="n">
        <v>2016</v>
      </c>
      <c r="M596" s="14" t="n">
        <v>7.82164312623998</v>
      </c>
      <c r="N596" s="14" t="n">
        <v>3.91222298543081</v>
      </c>
      <c r="P596" s="14" t="n">
        <f aca="false">D596</f>
        <v>50</v>
      </c>
      <c r="Q596" s="14" t="n">
        <f aca="false">G596</f>
        <v>40</v>
      </c>
      <c r="R596" s="14" t="n">
        <f aca="false">J596</f>
        <v>4.5</v>
      </c>
      <c r="S596" s="14" t="n">
        <f aca="false">IF($L596=2012,1,0)</f>
        <v>0</v>
      </c>
      <c r="T596" s="14" t="n">
        <f aca="false">IF($L596=2013,1,0)</f>
        <v>0</v>
      </c>
      <c r="U596" s="14" t="n">
        <f aca="false">IF($L596=2014,1,0)</f>
        <v>0</v>
      </c>
      <c r="V596" s="14" t="n">
        <f aca="false">IF($L596=2015,1,0)</f>
        <v>0</v>
      </c>
      <c r="W596" s="14" t="n">
        <f aca="false">IF($L596=2016,1,0)</f>
        <v>1</v>
      </c>
      <c r="X596" s="14" t="n">
        <f aca="false">IF($L596=2017,1,0)</f>
        <v>0</v>
      </c>
      <c r="Y596" s="14" t="n">
        <f aca="false">IF($H596="Beginner Level",1,0)</f>
        <v>0</v>
      </c>
      <c r="Z596" s="14" t="n">
        <f aca="false">IF($H596="Expert Level",1,0)</f>
        <v>0</v>
      </c>
      <c r="AA596" s="14" t="n">
        <f aca="false">IF($H596="Intermediate Level",1,0)</f>
        <v>0</v>
      </c>
      <c r="AC596" s="14" t="n">
        <f aca="false">N596</f>
        <v>3.91222298543081</v>
      </c>
      <c r="AD596" s="14" t="n">
        <f aca="false">G596</f>
        <v>40</v>
      </c>
      <c r="AE596" s="14" t="n">
        <f aca="false">J596</f>
        <v>4.5</v>
      </c>
      <c r="AF596" s="14" t="n">
        <f aca="false">IF($L596=2012,1,0)</f>
        <v>0</v>
      </c>
      <c r="AG596" s="14" t="n">
        <f aca="false">IF($L596=2013,1,0)</f>
        <v>0</v>
      </c>
      <c r="AH596" s="14" t="n">
        <f aca="false">IF($L596=2014,1,0)</f>
        <v>0</v>
      </c>
      <c r="AI596" s="14" t="n">
        <f aca="false">IF($L596=2015,1,0)</f>
        <v>0</v>
      </c>
      <c r="AJ596" s="14" t="n">
        <f aca="false">IF($L596=2016,1,0)</f>
        <v>1</v>
      </c>
      <c r="AK596" s="14" t="n">
        <f aca="false">IF($L596=2017,1,0)</f>
        <v>0</v>
      </c>
      <c r="AL596" s="14" t="n">
        <f aca="false">IF($H596="Beginner Level",1,0)</f>
        <v>0</v>
      </c>
      <c r="AM596" s="14" t="n">
        <f aca="false">IF($H596="Expert Level",1,0)</f>
        <v>0</v>
      </c>
      <c r="AN596" s="14" t="n">
        <f aca="false">IF($H596="Intermediate Level",1,0)</f>
        <v>0</v>
      </c>
    </row>
    <row r="597" customFormat="false" ht="68.65" hidden="false" customHeight="false" outlineLevel="0" collapsed="false">
      <c r="A597" s="14" t="n">
        <v>380092</v>
      </c>
      <c r="B597" s="14" t="s">
        <v>1237</v>
      </c>
      <c r="C597" s="14" t="s">
        <v>1238</v>
      </c>
      <c r="D597" s="14" t="n">
        <v>40</v>
      </c>
      <c r="E597" s="14" t="n">
        <v>2472</v>
      </c>
      <c r="F597" s="14" t="n">
        <v>139</v>
      </c>
      <c r="G597" s="14" t="n">
        <v>31</v>
      </c>
      <c r="H597" s="14" t="s">
        <v>71</v>
      </c>
      <c r="I597" s="14" t="n">
        <v>0.96</v>
      </c>
      <c r="J597" s="14" t="n">
        <v>4</v>
      </c>
      <c r="K597" s="14" t="s">
        <v>59</v>
      </c>
      <c r="L597" s="14" t="n">
        <v>2015</v>
      </c>
      <c r="M597" s="14" t="n">
        <v>7.81278281857758</v>
      </c>
      <c r="N597" s="14" t="n">
        <v>3.68912942286914</v>
      </c>
      <c r="P597" s="14" t="n">
        <f aca="false">D597</f>
        <v>40</v>
      </c>
      <c r="Q597" s="14" t="n">
        <f aca="false">G597</f>
        <v>31</v>
      </c>
      <c r="R597" s="14" t="n">
        <f aca="false">J597</f>
        <v>4</v>
      </c>
      <c r="S597" s="14" t="n">
        <f aca="false">IF($L597=2012,1,0)</f>
        <v>0</v>
      </c>
      <c r="T597" s="14" t="n">
        <f aca="false">IF($L597=2013,1,0)</f>
        <v>0</v>
      </c>
      <c r="U597" s="14" t="n">
        <f aca="false">IF($L597=2014,1,0)</f>
        <v>0</v>
      </c>
      <c r="V597" s="14" t="n">
        <f aca="false">IF($L597=2015,1,0)</f>
        <v>1</v>
      </c>
      <c r="W597" s="14" t="n">
        <f aca="false">IF($L597=2016,1,0)</f>
        <v>0</v>
      </c>
      <c r="X597" s="14" t="n">
        <f aca="false">IF($L597=2017,1,0)</f>
        <v>0</v>
      </c>
      <c r="Y597" s="14" t="n">
        <f aca="false">IF($H597="Beginner Level",1,0)</f>
        <v>0</v>
      </c>
      <c r="Z597" s="14" t="n">
        <f aca="false">IF($H597="Expert Level",1,0)</f>
        <v>0</v>
      </c>
      <c r="AA597" s="14" t="n">
        <f aca="false">IF($H597="Intermediate Level",1,0)</f>
        <v>1</v>
      </c>
      <c r="AC597" s="14" t="n">
        <f aca="false">N597</f>
        <v>3.68912942286914</v>
      </c>
      <c r="AD597" s="14" t="n">
        <f aca="false">G597</f>
        <v>31</v>
      </c>
      <c r="AE597" s="14" t="n">
        <f aca="false">J597</f>
        <v>4</v>
      </c>
      <c r="AF597" s="14" t="n">
        <f aca="false">IF($L597=2012,1,0)</f>
        <v>0</v>
      </c>
      <c r="AG597" s="14" t="n">
        <f aca="false">IF($L597=2013,1,0)</f>
        <v>0</v>
      </c>
      <c r="AH597" s="14" t="n">
        <f aca="false">IF($L597=2014,1,0)</f>
        <v>0</v>
      </c>
      <c r="AI597" s="14" t="n">
        <f aca="false">IF($L597=2015,1,0)</f>
        <v>1</v>
      </c>
      <c r="AJ597" s="14" t="n">
        <f aca="false">IF($L597=2016,1,0)</f>
        <v>0</v>
      </c>
      <c r="AK597" s="14" t="n">
        <f aca="false">IF($L597=2017,1,0)</f>
        <v>0</v>
      </c>
      <c r="AL597" s="14" t="n">
        <f aca="false">IF($H597="Beginner Level",1,0)</f>
        <v>0</v>
      </c>
      <c r="AM597" s="14" t="n">
        <f aca="false">IF($H597="Expert Level",1,0)</f>
        <v>0</v>
      </c>
      <c r="AN597" s="14" t="n">
        <f aca="false">IF($H597="Intermediate Level",1,0)</f>
        <v>1</v>
      </c>
    </row>
    <row r="598" customFormat="false" ht="68.65" hidden="false" customHeight="false" outlineLevel="0" collapsed="false">
      <c r="A598" s="14" t="n">
        <v>654832</v>
      </c>
      <c r="B598" s="14" t="s">
        <v>1239</v>
      </c>
      <c r="C598" s="14" t="s">
        <v>1240</v>
      </c>
      <c r="D598" s="14" t="n">
        <v>45</v>
      </c>
      <c r="E598" s="14" t="n">
        <v>2472</v>
      </c>
      <c r="F598" s="14" t="n">
        <v>41</v>
      </c>
      <c r="G598" s="14" t="n">
        <v>8</v>
      </c>
      <c r="H598" s="14" t="s">
        <v>71</v>
      </c>
      <c r="I598" s="14" t="n">
        <v>0.96</v>
      </c>
      <c r="J598" s="14" t="n">
        <v>1</v>
      </c>
      <c r="K598" s="14" t="s">
        <v>59</v>
      </c>
      <c r="L598" s="14" t="n">
        <v>2015</v>
      </c>
      <c r="M598" s="14" t="n">
        <v>7.81278281857758</v>
      </c>
      <c r="N598" s="14" t="n">
        <v>3.80688468730484</v>
      </c>
      <c r="P598" s="14" t="n">
        <f aca="false">D598</f>
        <v>45</v>
      </c>
      <c r="Q598" s="14" t="n">
        <f aca="false">G598</f>
        <v>8</v>
      </c>
      <c r="R598" s="14" t="n">
        <f aca="false">J598</f>
        <v>1</v>
      </c>
      <c r="S598" s="14" t="n">
        <f aca="false">IF($L598=2012,1,0)</f>
        <v>0</v>
      </c>
      <c r="T598" s="14" t="n">
        <f aca="false">IF($L598=2013,1,0)</f>
        <v>0</v>
      </c>
      <c r="U598" s="14" t="n">
        <f aca="false">IF($L598=2014,1,0)</f>
        <v>0</v>
      </c>
      <c r="V598" s="14" t="n">
        <f aca="false">IF($L598=2015,1,0)</f>
        <v>1</v>
      </c>
      <c r="W598" s="14" t="n">
        <f aca="false">IF($L598=2016,1,0)</f>
        <v>0</v>
      </c>
      <c r="X598" s="14" t="n">
        <f aca="false">IF($L598=2017,1,0)</f>
        <v>0</v>
      </c>
      <c r="Y598" s="14" t="n">
        <f aca="false">IF($H598="Beginner Level",1,0)</f>
        <v>0</v>
      </c>
      <c r="Z598" s="14" t="n">
        <f aca="false">IF($H598="Expert Level",1,0)</f>
        <v>0</v>
      </c>
      <c r="AA598" s="14" t="n">
        <f aca="false">IF($H598="Intermediate Level",1,0)</f>
        <v>1</v>
      </c>
      <c r="AC598" s="14" t="n">
        <f aca="false">N598</f>
        <v>3.80688468730484</v>
      </c>
      <c r="AD598" s="14" t="n">
        <f aca="false">G598</f>
        <v>8</v>
      </c>
      <c r="AE598" s="14" t="n">
        <f aca="false">J598</f>
        <v>1</v>
      </c>
      <c r="AF598" s="14" t="n">
        <f aca="false">IF($L598=2012,1,0)</f>
        <v>0</v>
      </c>
      <c r="AG598" s="14" t="n">
        <f aca="false">IF($L598=2013,1,0)</f>
        <v>0</v>
      </c>
      <c r="AH598" s="14" t="n">
        <f aca="false">IF($L598=2014,1,0)</f>
        <v>0</v>
      </c>
      <c r="AI598" s="14" t="n">
        <f aca="false">IF($L598=2015,1,0)</f>
        <v>1</v>
      </c>
      <c r="AJ598" s="14" t="n">
        <f aca="false">IF($L598=2016,1,0)</f>
        <v>0</v>
      </c>
      <c r="AK598" s="14" t="n">
        <f aca="false">IF($L598=2017,1,0)</f>
        <v>0</v>
      </c>
      <c r="AL598" s="14" t="n">
        <f aca="false">IF($H598="Beginner Level",1,0)</f>
        <v>0</v>
      </c>
      <c r="AM598" s="14" t="n">
        <f aca="false">IF($H598="Expert Level",1,0)</f>
        <v>0</v>
      </c>
      <c r="AN598" s="14" t="n">
        <f aca="false">IF($H598="Intermediate Level",1,0)</f>
        <v>1</v>
      </c>
    </row>
    <row r="599" customFormat="false" ht="68.65" hidden="false" customHeight="false" outlineLevel="0" collapsed="false">
      <c r="A599" s="14" t="n">
        <v>617886</v>
      </c>
      <c r="B599" s="14" t="s">
        <v>1241</v>
      </c>
      <c r="C599" s="14" t="s">
        <v>1242</v>
      </c>
      <c r="D599" s="14" t="n">
        <v>35</v>
      </c>
      <c r="E599" s="14" t="n">
        <v>2470</v>
      </c>
      <c r="F599" s="14" t="n">
        <v>24</v>
      </c>
      <c r="G599" s="14" t="n">
        <v>19</v>
      </c>
      <c r="H599" s="14" t="s">
        <v>62</v>
      </c>
      <c r="I599" s="14" t="n">
        <v>0.96</v>
      </c>
      <c r="J599" s="14" t="n">
        <v>2.5</v>
      </c>
      <c r="K599" s="14" t="s">
        <v>59</v>
      </c>
      <c r="L599" s="14" t="n">
        <v>2015</v>
      </c>
      <c r="M599" s="14" t="n">
        <v>7.81197342962202</v>
      </c>
      <c r="N599" s="14" t="n">
        <v>3.55563373496657</v>
      </c>
      <c r="P599" s="14" t="n">
        <f aca="false">D599</f>
        <v>35</v>
      </c>
      <c r="Q599" s="14" t="n">
        <f aca="false">G599</f>
        <v>19</v>
      </c>
      <c r="R599" s="14" t="n">
        <f aca="false">J599</f>
        <v>2.5</v>
      </c>
      <c r="S599" s="14" t="n">
        <f aca="false">IF($L599=2012,1,0)</f>
        <v>0</v>
      </c>
      <c r="T599" s="14" t="n">
        <f aca="false">IF($L599=2013,1,0)</f>
        <v>0</v>
      </c>
      <c r="U599" s="14" t="n">
        <f aca="false">IF($L599=2014,1,0)</f>
        <v>0</v>
      </c>
      <c r="V599" s="14" t="n">
        <f aca="false">IF($L599=2015,1,0)</f>
        <v>1</v>
      </c>
      <c r="W599" s="14" t="n">
        <f aca="false">IF($L599=2016,1,0)</f>
        <v>0</v>
      </c>
      <c r="X599" s="14" t="n">
        <f aca="false">IF($L599=2017,1,0)</f>
        <v>0</v>
      </c>
      <c r="Y599" s="14" t="n">
        <f aca="false">IF($H599="Beginner Level",1,0)</f>
        <v>0</v>
      </c>
      <c r="Z599" s="14" t="n">
        <f aca="false">IF($H599="Expert Level",1,0)</f>
        <v>0</v>
      </c>
      <c r="AA599" s="14" t="n">
        <f aca="false">IF($H599="Intermediate Level",1,0)</f>
        <v>0</v>
      </c>
      <c r="AC599" s="14" t="n">
        <f aca="false">N599</f>
        <v>3.55563373496657</v>
      </c>
      <c r="AD599" s="14" t="n">
        <f aca="false">G599</f>
        <v>19</v>
      </c>
      <c r="AE599" s="14" t="n">
        <f aca="false">J599</f>
        <v>2.5</v>
      </c>
      <c r="AF599" s="14" t="n">
        <f aca="false">IF($L599=2012,1,0)</f>
        <v>0</v>
      </c>
      <c r="AG599" s="14" t="n">
        <f aca="false">IF($L599=2013,1,0)</f>
        <v>0</v>
      </c>
      <c r="AH599" s="14" t="n">
        <f aca="false">IF($L599=2014,1,0)</f>
        <v>0</v>
      </c>
      <c r="AI599" s="14" t="n">
        <f aca="false">IF($L599=2015,1,0)</f>
        <v>1</v>
      </c>
      <c r="AJ599" s="14" t="n">
        <f aca="false">IF($L599=2016,1,0)</f>
        <v>0</v>
      </c>
      <c r="AK599" s="14" t="n">
        <f aca="false">IF($L599=2017,1,0)</f>
        <v>0</v>
      </c>
      <c r="AL599" s="14" t="n">
        <f aca="false">IF($H599="Beginner Level",1,0)</f>
        <v>0</v>
      </c>
      <c r="AM599" s="14" t="n">
        <f aca="false">IF($H599="Expert Level",1,0)</f>
        <v>0</v>
      </c>
      <c r="AN599" s="14" t="n">
        <f aca="false">IF($H599="Intermediate Level",1,0)</f>
        <v>0</v>
      </c>
    </row>
    <row r="600" customFormat="false" ht="79.85" hidden="false" customHeight="false" outlineLevel="0" collapsed="false">
      <c r="A600" s="14" t="n">
        <v>1134456</v>
      </c>
      <c r="B600" s="14" t="s">
        <v>1243</v>
      </c>
      <c r="C600" s="14" t="s">
        <v>1244</v>
      </c>
      <c r="D600" s="14" t="n">
        <v>0</v>
      </c>
      <c r="E600" s="14" t="n">
        <v>2464</v>
      </c>
      <c r="F600" s="14" t="n">
        <v>17</v>
      </c>
      <c r="G600" s="14" t="n">
        <v>9</v>
      </c>
      <c r="H600" s="14" t="s">
        <v>62</v>
      </c>
      <c r="I600" s="14" t="n">
        <v>0.96</v>
      </c>
      <c r="J600" s="14" t="n">
        <v>0.73333333</v>
      </c>
      <c r="K600" s="14" t="s">
        <v>53</v>
      </c>
      <c r="L600" s="14" t="n">
        <v>2017</v>
      </c>
      <c r="M600" s="14" t="n">
        <v>7.80954132465341</v>
      </c>
      <c r="N600" s="14" t="n">
        <v>-4.60517018598809</v>
      </c>
      <c r="P600" s="14" t="n">
        <f aca="false">D600</f>
        <v>0</v>
      </c>
      <c r="Q600" s="14" t="n">
        <f aca="false">G600</f>
        <v>9</v>
      </c>
      <c r="R600" s="14" t="n">
        <f aca="false">J600</f>
        <v>0.73333333</v>
      </c>
      <c r="S600" s="14" t="n">
        <f aca="false">IF($L600=2012,1,0)</f>
        <v>0</v>
      </c>
      <c r="T600" s="14" t="n">
        <f aca="false">IF($L600=2013,1,0)</f>
        <v>0</v>
      </c>
      <c r="U600" s="14" t="n">
        <f aca="false">IF($L600=2014,1,0)</f>
        <v>0</v>
      </c>
      <c r="V600" s="14" t="n">
        <f aca="false">IF($L600=2015,1,0)</f>
        <v>0</v>
      </c>
      <c r="W600" s="14" t="n">
        <f aca="false">IF($L600=2016,1,0)</f>
        <v>0</v>
      </c>
      <c r="X600" s="14" t="n">
        <f aca="false">IF($L600=2017,1,0)</f>
        <v>1</v>
      </c>
      <c r="Y600" s="14" t="n">
        <f aca="false">IF($H600="Beginner Level",1,0)</f>
        <v>0</v>
      </c>
      <c r="Z600" s="14" t="n">
        <f aca="false">IF($H600="Expert Level",1,0)</f>
        <v>0</v>
      </c>
      <c r="AA600" s="14" t="n">
        <f aca="false">IF($H600="Intermediate Level",1,0)</f>
        <v>0</v>
      </c>
      <c r="AC600" s="14" t="n">
        <f aca="false">N600</f>
        <v>-4.60517018598809</v>
      </c>
      <c r="AD600" s="14" t="n">
        <f aca="false">G600</f>
        <v>9</v>
      </c>
      <c r="AE600" s="14" t="n">
        <f aca="false">J600</f>
        <v>0.73333333</v>
      </c>
      <c r="AF600" s="14" t="n">
        <f aca="false">IF($L600=2012,1,0)</f>
        <v>0</v>
      </c>
      <c r="AG600" s="14" t="n">
        <f aca="false">IF($L600=2013,1,0)</f>
        <v>0</v>
      </c>
      <c r="AH600" s="14" t="n">
        <f aca="false">IF($L600=2014,1,0)</f>
        <v>0</v>
      </c>
      <c r="AI600" s="14" t="n">
        <f aca="false">IF($L600=2015,1,0)</f>
        <v>0</v>
      </c>
      <c r="AJ600" s="14" t="n">
        <f aca="false">IF($L600=2016,1,0)</f>
        <v>0</v>
      </c>
      <c r="AK600" s="14" t="n">
        <f aca="false">IF($L600=2017,1,0)</f>
        <v>1</v>
      </c>
      <c r="AL600" s="14" t="n">
        <f aca="false">IF($H600="Beginner Level",1,0)</f>
        <v>0</v>
      </c>
      <c r="AM600" s="14" t="n">
        <f aca="false">IF($H600="Expert Level",1,0)</f>
        <v>0</v>
      </c>
      <c r="AN600" s="14" t="n">
        <f aca="false">IF($H600="Intermediate Level",1,0)</f>
        <v>0</v>
      </c>
    </row>
    <row r="601" customFormat="false" ht="68.65" hidden="false" customHeight="false" outlineLevel="0" collapsed="false">
      <c r="A601" s="14" t="n">
        <v>18448</v>
      </c>
      <c r="B601" s="14" t="s">
        <v>1245</v>
      </c>
      <c r="C601" s="14" t="s">
        <v>1246</v>
      </c>
      <c r="D601" s="14" t="n">
        <v>50</v>
      </c>
      <c r="E601" s="14" t="n">
        <v>2459</v>
      </c>
      <c r="F601" s="14" t="n">
        <v>107</v>
      </c>
      <c r="G601" s="14" t="n">
        <v>101</v>
      </c>
      <c r="H601" s="14" t="s">
        <v>62</v>
      </c>
      <c r="I601" s="14" t="n">
        <v>0.96</v>
      </c>
      <c r="J601" s="14" t="n">
        <v>8</v>
      </c>
      <c r="K601" s="14" t="s">
        <v>59</v>
      </c>
      <c r="L601" s="14" t="n">
        <v>2012</v>
      </c>
      <c r="M601" s="14" t="n">
        <v>7.80751004221619</v>
      </c>
      <c r="N601" s="14" t="n">
        <v>3.91222298543081</v>
      </c>
      <c r="P601" s="14" t="n">
        <f aca="false">D601</f>
        <v>50</v>
      </c>
      <c r="Q601" s="14" t="n">
        <f aca="false">G601</f>
        <v>101</v>
      </c>
      <c r="R601" s="14" t="n">
        <f aca="false">J601</f>
        <v>8</v>
      </c>
      <c r="S601" s="14" t="n">
        <f aca="false">IF($L601=2012,1,0)</f>
        <v>1</v>
      </c>
      <c r="T601" s="14" t="n">
        <f aca="false">IF($L601=2013,1,0)</f>
        <v>0</v>
      </c>
      <c r="U601" s="14" t="n">
        <f aca="false">IF($L601=2014,1,0)</f>
        <v>0</v>
      </c>
      <c r="V601" s="14" t="n">
        <f aca="false">IF($L601=2015,1,0)</f>
        <v>0</v>
      </c>
      <c r="W601" s="14" t="n">
        <f aca="false">IF($L601=2016,1,0)</f>
        <v>0</v>
      </c>
      <c r="X601" s="14" t="n">
        <f aca="false">IF($L601=2017,1,0)</f>
        <v>0</v>
      </c>
      <c r="Y601" s="14" t="n">
        <f aca="false">IF($H601="Beginner Level",1,0)</f>
        <v>0</v>
      </c>
      <c r="Z601" s="14" t="n">
        <f aca="false">IF($H601="Expert Level",1,0)</f>
        <v>0</v>
      </c>
      <c r="AA601" s="14" t="n">
        <f aca="false">IF($H601="Intermediate Level",1,0)</f>
        <v>0</v>
      </c>
      <c r="AC601" s="14" t="n">
        <f aca="false">N601</f>
        <v>3.91222298543081</v>
      </c>
      <c r="AD601" s="14" t="n">
        <f aca="false">G601</f>
        <v>101</v>
      </c>
      <c r="AE601" s="14" t="n">
        <f aca="false">J601</f>
        <v>8</v>
      </c>
      <c r="AF601" s="14" t="n">
        <f aca="false">IF($L601=2012,1,0)</f>
        <v>1</v>
      </c>
      <c r="AG601" s="14" t="n">
        <f aca="false">IF($L601=2013,1,0)</f>
        <v>0</v>
      </c>
      <c r="AH601" s="14" t="n">
        <f aca="false">IF($L601=2014,1,0)</f>
        <v>0</v>
      </c>
      <c r="AI601" s="14" t="n">
        <f aca="false">IF($L601=2015,1,0)</f>
        <v>0</v>
      </c>
      <c r="AJ601" s="14" t="n">
        <f aca="false">IF($L601=2016,1,0)</f>
        <v>0</v>
      </c>
      <c r="AK601" s="14" t="n">
        <f aca="false">IF($L601=2017,1,0)</f>
        <v>0</v>
      </c>
      <c r="AL601" s="14" t="n">
        <f aca="false">IF($H601="Beginner Level",1,0)</f>
        <v>0</v>
      </c>
      <c r="AM601" s="14" t="n">
        <f aca="false">IF($H601="Expert Level",1,0)</f>
        <v>0</v>
      </c>
      <c r="AN601" s="14" t="n">
        <f aca="false">IF($H601="Intermediate Level",1,0)</f>
        <v>0</v>
      </c>
    </row>
    <row r="602" customFormat="false" ht="46.25" hidden="false" customHeight="false" outlineLevel="0" collapsed="false">
      <c r="A602" s="14" t="n">
        <v>856968</v>
      </c>
      <c r="B602" s="14" t="s">
        <v>364</v>
      </c>
      <c r="C602" s="14" t="s">
        <v>1247</v>
      </c>
      <c r="D602" s="14" t="n">
        <v>0</v>
      </c>
      <c r="E602" s="14" t="n">
        <v>2437</v>
      </c>
      <c r="F602" s="14" t="n">
        <v>137</v>
      </c>
      <c r="G602" s="14" t="n">
        <v>10</v>
      </c>
      <c r="H602" s="14" t="s">
        <v>52</v>
      </c>
      <c r="I602" s="14" t="n">
        <v>0.96</v>
      </c>
      <c r="J602" s="14" t="n">
        <v>0.56666667</v>
      </c>
      <c r="K602" s="14" t="s">
        <v>53</v>
      </c>
      <c r="L602" s="14" t="n">
        <v>2016</v>
      </c>
      <c r="M602" s="14" t="n">
        <v>7.79852305362521</v>
      </c>
      <c r="N602" s="14" t="n">
        <v>-4.60517018598809</v>
      </c>
      <c r="P602" s="14" t="n">
        <f aca="false">D602</f>
        <v>0</v>
      </c>
      <c r="Q602" s="14" t="n">
        <f aca="false">G602</f>
        <v>10</v>
      </c>
      <c r="R602" s="14" t="n">
        <f aca="false">J602</f>
        <v>0.56666667</v>
      </c>
      <c r="S602" s="14" t="n">
        <f aca="false">IF($L602=2012,1,0)</f>
        <v>0</v>
      </c>
      <c r="T602" s="14" t="n">
        <f aca="false">IF($L602=2013,1,0)</f>
        <v>0</v>
      </c>
      <c r="U602" s="14" t="n">
        <f aca="false">IF($L602=2014,1,0)</f>
        <v>0</v>
      </c>
      <c r="V602" s="14" t="n">
        <f aca="false">IF($L602=2015,1,0)</f>
        <v>0</v>
      </c>
      <c r="W602" s="14" t="n">
        <f aca="false">IF($L602=2016,1,0)</f>
        <v>1</v>
      </c>
      <c r="X602" s="14" t="n">
        <f aca="false">IF($L602=2017,1,0)</f>
        <v>0</v>
      </c>
      <c r="Y602" s="14" t="n">
        <f aca="false">IF($H602="Beginner Level",1,0)</f>
        <v>1</v>
      </c>
      <c r="Z602" s="14" t="n">
        <f aca="false">IF($H602="Expert Level",1,0)</f>
        <v>0</v>
      </c>
      <c r="AA602" s="14" t="n">
        <f aca="false">IF($H602="Intermediate Level",1,0)</f>
        <v>0</v>
      </c>
      <c r="AC602" s="14" t="n">
        <f aca="false">N602</f>
        <v>-4.60517018598809</v>
      </c>
      <c r="AD602" s="14" t="n">
        <f aca="false">G602</f>
        <v>10</v>
      </c>
      <c r="AE602" s="14" t="n">
        <f aca="false">J602</f>
        <v>0.56666667</v>
      </c>
      <c r="AF602" s="14" t="n">
        <f aca="false">IF($L602=2012,1,0)</f>
        <v>0</v>
      </c>
      <c r="AG602" s="14" t="n">
        <f aca="false">IF($L602=2013,1,0)</f>
        <v>0</v>
      </c>
      <c r="AH602" s="14" t="n">
        <f aca="false">IF($L602=2014,1,0)</f>
        <v>0</v>
      </c>
      <c r="AI602" s="14" t="n">
        <f aca="false">IF($L602=2015,1,0)</f>
        <v>0</v>
      </c>
      <c r="AJ602" s="14" t="n">
        <f aca="false">IF($L602=2016,1,0)</f>
        <v>1</v>
      </c>
      <c r="AK602" s="14" t="n">
        <f aca="false">IF($L602=2017,1,0)</f>
        <v>0</v>
      </c>
      <c r="AL602" s="14" t="n">
        <f aca="false">IF($H602="Beginner Level",1,0)</f>
        <v>1</v>
      </c>
      <c r="AM602" s="14" t="n">
        <f aca="false">IF($H602="Expert Level",1,0)</f>
        <v>0</v>
      </c>
      <c r="AN602" s="14" t="n">
        <f aca="false">IF($H602="Intermediate Level",1,0)</f>
        <v>0</v>
      </c>
    </row>
    <row r="603" customFormat="false" ht="57.45" hidden="false" customHeight="false" outlineLevel="0" collapsed="false">
      <c r="A603" s="14" t="n">
        <v>977470</v>
      </c>
      <c r="B603" s="14" t="s">
        <v>1248</v>
      </c>
      <c r="C603" s="14" t="s">
        <v>1249</v>
      </c>
      <c r="D603" s="14" t="n">
        <v>95</v>
      </c>
      <c r="E603" s="14" t="n">
        <v>2430</v>
      </c>
      <c r="F603" s="14" t="n">
        <v>15</v>
      </c>
      <c r="G603" s="14" t="n">
        <v>36</v>
      </c>
      <c r="H603" s="14" t="s">
        <v>62</v>
      </c>
      <c r="I603" s="14" t="n">
        <v>0.96</v>
      </c>
      <c r="J603" s="14" t="n">
        <v>2</v>
      </c>
      <c r="K603" s="14" t="s">
        <v>59</v>
      </c>
      <c r="L603" s="14" t="n">
        <v>2016</v>
      </c>
      <c r="M603" s="14" t="n">
        <v>7.79564653633459</v>
      </c>
      <c r="N603" s="14" t="n">
        <v>4.55398214921866</v>
      </c>
      <c r="P603" s="14" t="n">
        <f aca="false">D603</f>
        <v>95</v>
      </c>
      <c r="Q603" s="14" t="n">
        <f aca="false">G603</f>
        <v>36</v>
      </c>
      <c r="R603" s="14" t="n">
        <f aca="false">J603</f>
        <v>2</v>
      </c>
      <c r="S603" s="14" t="n">
        <f aca="false">IF($L603=2012,1,0)</f>
        <v>0</v>
      </c>
      <c r="T603" s="14" t="n">
        <f aca="false">IF($L603=2013,1,0)</f>
        <v>0</v>
      </c>
      <c r="U603" s="14" t="n">
        <f aca="false">IF($L603=2014,1,0)</f>
        <v>0</v>
      </c>
      <c r="V603" s="14" t="n">
        <f aca="false">IF($L603=2015,1,0)</f>
        <v>0</v>
      </c>
      <c r="W603" s="14" t="n">
        <f aca="false">IF($L603=2016,1,0)</f>
        <v>1</v>
      </c>
      <c r="X603" s="14" t="n">
        <f aca="false">IF($L603=2017,1,0)</f>
        <v>0</v>
      </c>
      <c r="Y603" s="14" t="n">
        <f aca="false">IF($H603="Beginner Level",1,0)</f>
        <v>0</v>
      </c>
      <c r="Z603" s="14" t="n">
        <f aca="false">IF($H603="Expert Level",1,0)</f>
        <v>0</v>
      </c>
      <c r="AA603" s="14" t="n">
        <f aca="false">IF($H603="Intermediate Level",1,0)</f>
        <v>0</v>
      </c>
      <c r="AC603" s="14" t="n">
        <f aca="false">N603</f>
        <v>4.55398214921866</v>
      </c>
      <c r="AD603" s="14" t="n">
        <f aca="false">G603</f>
        <v>36</v>
      </c>
      <c r="AE603" s="14" t="n">
        <f aca="false">J603</f>
        <v>2</v>
      </c>
      <c r="AF603" s="14" t="n">
        <f aca="false">IF($L603=2012,1,0)</f>
        <v>0</v>
      </c>
      <c r="AG603" s="14" t="n">
        <f aca="false">IF($L603=2013,1,0)</f>
        <v>0</v>
      </c>
      <c r="AH603" s="14" t="n">
        <f aca="false">IF($L603=2014,1,0)</f>
        <v>0</v>
      </c>
      <c r="AI603" s="14" t="n">
        <f aca="false">IF($L603=2015,1,0)</f>
        <v>0</v>
      </c>
      <c r="AJ603" s="14" t="n">
        <f aca="false">IF($L603=2016,1,0)</f>
        <v>1</v>
      </c>
      <c r="AK603" s="14" t="n">
        <f aca="false">IF($L603=2017,1,0)</f>
        <v>0</v>
      </c>
      <c r="AL603" s="14" t="n">
        <f aca="false">IF($H603="Beginner Level",1,0)</f>
        <v>0</v>
      </c>
      <c r="AM603" s="14" t="n">
        <f aca="false">IF($H603="Expert Level",1,0)</f>
        <v>0</v>
      </c>
      <c r="AN603" s="14" t="n">
        <f aca="false">IF($H603="Intermediate Level",1,0)</f>
        <v>0</v>
      </c>
    </row>
    <row r="604" customFormat="false" ht="91" hidden="false" customHeight="false" outlineLevel="0" collapsed="false">
      <c r="A604" s="14" t="n">
        <v>679158</v>
      </c>
      <c r="B604" s="14" t="s">
        <v>1250</v>
      </c>
      <c r="C604" s="14" t="s">
        <v>1251</v>
      </c>
      <c r="D604" s="14" t="n">
        <v>200</v>
      </c>
      <c r="E604" s="14" t="n">
        <v>2421</v>
      </c>
      <c r="F604" s="14" t="n">
        <v>6</v>
      </c>
      <c r="G604" s="14" t="n">
        <v>28</v>
      </c>
      <c r="H604" s="14" t="s">
        <v>52</v>
      </c>
      <c r="I604" s="14" t="n">
        <v>0.96</v>
      </c>
      <c r="J604" s="14" t="n">
        <v>3</v>
      </c>
      <c r="K604" s="14" t="s">
        <v>59</v>
      </c>
      <c r="L604" s="14" t="n">
        <v>2015</v>
      </c>
      <c r="M604" s="14" t="n">
        <v>7.79193595693806</v>
      </c>
      <c r="N604" s="14" t="n">
        <v>5.29836736529808</v>
      </c>
      <c r="P604" s="14" t="n">
        <f aca="false">D604</f>
        <v>200</v>
      </c>
      <c r="Q604" s="14" t="n">
        <f aca="false">G604</f>
        <v>28</v>
      </c>
      <c r="R604" s="14" t="n">
        <f aca="false">J604</f>
        <v>3</v>
      </c>
      <c r="S604" s="14" t="n">
        <f aca="false">IF($L604=2012,1,0)</f>
        <v>0</v>
      </c>
      <c r="T604" s="14" t="n">
        <f aca="false">IF($L604=2013,1,0)</f>
        <v>0</v>
      </c>
      <c r="U604" s="14" t="n">
        <f aca="false">IF($L604=2014,1,0)</f>
        <v>0</v>
      </c>
      <c r="V604" s="14" t="n">
        <f aca="false">IF($L604=2015,1,0)</f>
        <v>1</v>
      </c>
      <c r="W604" s="14" t="n">
        <f aca="false">IF($L604=2016,1,0)</f>
        <v>0</v>
      </c>
      <c r="X604" s="14" t="n">
        <f aca="false">IF($L604=2017,1,0)</f>
        <v>0</v>
      </c>
      <c r="Y604" s="14" t="n">
        <f aca="false">IF($H604="Beginner Level",1,0)</f>
        <v>1</v>
      </c>
      <c r="Z604" s="14" t="n">
        <f aca="false">IF($H604="Expert Level",1,0)</f>
        <v>0</v>
      </c>
      <c r="AA604" s="14" t="n">
        <f aca="false">IF($H604="Intermediate Level",1,0)</f>
        <v>0</v>
      </c>
      <c r="AC604" s="14" t="n">
        <f aca="false">N604</f>
        <v>5.29836736529808</v>
      </c>
      <c r="AD604" s="14" t="n">
        <f aca="false">G604</f>
        <v>28</v>
      </c>
      <c r="AE604" s="14" t="n">
        <f aca="false">J604</f>
        <v>3</v>
      </c>
      <c r="AF604" s="14" t="n">
        <f aca="false">IF($L604=2012,1,0)</f>
        <v>0</v>
      </c>
      <c r="AG604" s="14" t="n">
        <f aca="false">IF($L604=2013,1,0)</f>
        <v>0</v>
      </c>
      <c r="AH604" s="14" t="n">
        <f aca="false">IF($L604=2014,1,0)</f>
        <v>0</v>
      </c>
      <c r="AI604" s="14" t="n">
        <f aca="false">IF($L604=2015,1,0)</f>
        <v>1</v>
      </c>
      <c r="AJ604" s="14" t="n">
        <f aca="false">IF($L604=2016,1,0)</f>
        <v>0</v>
      </c>
      <c r="AK604" s="14" t="n">
        <f aca="false">IF($L604=2017,1,0)</f>
        <v>0</v>
      </c>
      <c r="AL604" s="14" t="n">
        <f aca="false">IF($H604="Beginner Level",1,0)</f>
        <v>1</v>
      </c>
      <c r="AM604" s="14" t="n">
        <f aca="false">IF($H604="Expert Level",1,0)</f>
        <v>0</v>
      </c>
      <c r="AN604" s="14" t="n">
        <f aca="false">IF($H604="Intermediate Level",1,0)</f>
        <v>0</v>
      </c>
    </row>
    <row r="605" customFormat="false" ht="68.65" hidden="false" customHeight="false" outlineLevel="0" collapsed="false">
      <c r="A605" s="14" t="n">
        <v>945320</v>
      </c>
      <c r="B605" s="14" t="s">
        <v>1252</v>
      </c>
      <c r="C605" s="14" t="s">
        <v>1253</v>
      </c>
      <c r="D605" s="14" t="n">
        <v>100</v>
      </c>
      <c r="E605" s="14" t="n">
        <v>2412</v>
      </c>
      <c r="F605" s="14" t="n">
        <v>116</v>
      </c>
      <c r="G605" s="14" t="n">
        <v>28</v>
      </c>
      <c r="H605" s="14" t="s">
        <v>62</v>
      </c>
      <c r="I605" s="14" t="n">
        <v>0.96</v>
      </c>
      <c r="J605" s="14" t="n">
        <v>2.5</v>
      </c>
      <c r="K605" s="14" t="s">
        <v>59</v>
      </c>
      <c r="L605" s="14" t="n">
        <v>2016</v>
      </c>
      <c r="M605" s="14" t="n">
        <v>7.78821155784708</v>
      </c>
      <c r="N605" s="14" t="n">
        <v>4.60527018098843</v>
      </c>
      <c r="P605" s="14" t="n">
        <f aca="false">D605</f>
        <v>100</v>
      </c>
      <c r="Q605" s="14" t="n">
        <f aca="false">G605</f>
        <v>28</v>
      </c>
      <c r="R605" s="14" t="n">
        <f aca="false">J605</f>
        <v>2.5</v>
      </c>
      <c r="S605" s="14" t="n">
        <f aca="false">IF($L605=2012,1,0)</f>
        <v>0</v>
      </c>
      <c r="T605" s="14" t="n">
        <f aca="false">IF($L605=2013,1,0)</f>
        <v>0</v>
      </c>
      <c r="U605" s="14" t="n">
        <f aca="false">IF($L605=2014,1,0)</f>
        <v>0</v>
      </c>
      <c r="V605" s="14" t="n">
        <f aca="false">IF($L605=2015,1,0)</f>
        <v>0</v>
      </c>
      <c r="W605" s="14" t="n">
        <f aca="false">IF($L605=2016,1,0)</f>
        <v>1</v>
      </c>
      <c r="X605" s="14" t="n">
        <f aca="false">IF($L605=2017,1,0)</f>
        <v>0</v>
      </c>
      <c r="Y605" s="14" t="n">
        <f aca="false">IF($H605="Beginner Level",1,0)</f>
        <v>0</v>
      </c>
      <c r="Z605" s="14" t="n">
        <f aca="false">IF($H605="Expert Level",1,0)</f>
        <v>0</v>
      </c>
      <c r="AA605" s="14" t="n">
        <f aca="false">IF($H605="Intermediate Level",1,0)</f>
        <v>0</v>
      </c>
      <c r="AC605" s="14" t="n">
        <f aca="false">N605</f>
        <v>4.60527018098843</v>
      </c>
      <c r="AD605" s="14" t="n">
        <f aca="false">G605</f>
        <v>28</v>
      </c>
      <c r="AE605" s="14" t="n">
        <f aca="false">J605</f>
        <v>2.5</v>
      </c>
      <c r="AF605" s="14" t="n">
        <f aca="false">IF($L605=2012,1,0)</f>
        <v>0</v>
      </c>
      <c r="AG605" s="14" t="n">
        <f aca="false">IF($L605=2013,1,0)</f>
        <v>0</v>
      </c>
      <c r="AH605" s="14" t="n">
        <f aca="false">IF($L605=2014,1,0)</f>
        <v>0</v>
      </c>
      <c r="AI605" s="14" t="n">
        <f aca="false">IF($L605=2015,1,0)</f>
        <v>0</v>
      </c>
      <c r="AJ605" s="14" t="n">
        <f aca="false">IF($L605=2016,1,0)</f>
        <v>1</v>
      </c>
      <c r="AK605" s="14" t="n">
        <f aca="false">IF($L605=2017,1,0)</f>
        <v>0</v>
      </c>
      <c r="AL605" s="14" t="n">
        <f aca="false">IF($H605="Beginner Level",1,0)</f>
        <v>0</v>
      </c>
      <c r="AM605" s="14" t="n">
        <f aca="false">IF($H605="Expert Level",1,0)</f>
        <v>0</v>
      </c>
      <c r="AN605" s="14" t="n">
        <f aca="false">IF($H605="Intermediate Level",1,0)</f>
        <v>0</v>
      </c>
    </row>
    <row r="606" customFormat="false" ht="57.45" hidden="false" customHeight="false" outlineLevel="0" collapsed="false">
      <c r="A606" s="14" t="n">
        <v>436210</v>
      </c>
      <c r="B606" s="14" t="s">
        <v>1254</v>
      </c>
      <c r="C606" s="14" t="s">
        <v>1255</v>
      </c>
      <c r="D606" s="14" t="n">
        <v>45</v>
      </c>
      <c r="E606" s="14" t="n">
        <v>2409</v>
      </c>
      <c r="F606" s="14" t="n">
        <v>90</v>
      </c>
      <c r="G606" s="14" t="n">
        <v>19</v>
      </c>
      <c r="H606" s="14" t="s">
        <v>62</v>
      </c>
      <c r="I606" s="14" t="n">
        <v>0.96</v>
      </c>
      <c r="J606" s="14" t="n">
        <v>2.5</v>
      </c>
      <c r="K606" s="14" t="s">
        <v>59</v>
      </c>
      <c r="L606" s="14" t="n">
        <v>2015</v>
      </c>
      <c r="M606" s="14" t="n">
        <v>7.78696700261487</v>
      </c>
      <c r="N606" s="14" t="n">
        <v>3.80688468730484</v>
      </c>
      <c r="P606" s="14" t="n">
        <f aca="false">D606</f>
        <v>45</v>
      </c>
      <c r="Q606" s="14" t="n">
        <f aca="false">G606</f>
        <v>19</v>
      </c>
      <c r="R606" s="14" t="n">
        <f aca="false">J606</f>
        <v>2.5</v>
      </c>
      <c r="S606" s="14" t="n">
        <f aca="false">IF($L606=2012,1,0)</f>
        <v>0</v>
      </c>
      <c r="T606" s="14" t="n">
        <f aca="false">IF($L606=2013,1,0)</f>
        <v>0</v>
      </c>
      <c r="U606" s="14" t="n">
        <f aca="false">IF($L606=2014,1,0)</f>
        <v>0</v>
      </c>
      <c r="V606" s="14" t="n">
        <f aca="false">IF($L606=2015,1,0)</f>
        <v>1</v>
      </c>
      <c r="W606" s="14" t="n">
        <f aca="false">IF($L606=2016,1,0)</f>
        <v>0</v>
      </c>
      <c r="X606" s="14" t="n">
        <f aca="false">IF($L606=2017,1,0)</f>
        <v>0</v>
      </c>
      <c r="Y606" s="14" t="n">
        <f aca="false">IF($H606="Beginner Level",1,0)</f>
        <v>0</v>
      </c>
      <c r="Z606" s="14" t="n">
        <f aca="false">IF($H606="Expert Level",1,0)</f>
        <v>0</v>
      </c>
      <c r="AA606" s="14" t="n">
        <f aca="false">IF($H606="Intermediate Level",1,0)</f>
        <v>0</v>
      </c>
      <c r="AC606" s="14" t="n">
        <f aca="false">N606</f>
        <v>3.80688468730484</v>
      </c>
      <c r="AD606" s="14" t="n">
        <f aca="false">G606</f>
        <v>19</v>
      </c>
      <c r="AE606" s="14" t="n">
        <f aca="false">J606</f>
        <v>2.5</v>
      </c>
      <c r="AF606" s="14" t="n">
        <f aca="false">IF($L606=2012,1,0)</f>
        <v>0</v>
      </c>
      <c r="AG606" s="14" t="n">
        <f aca="false">IF($L606=2013,1,0)</f>
        <v>0</v>
      </c>
      <c r="AH606" s="14" t="n">
        <f aca="false">IF($L606=2014,1,0)</f>
        <v>0</v>
      </c>
      <c r="AI606" s="14" t="n">
        <f aca="false">IF($L606=2015,1,0)</f>
        <v>1</v>
      </c>
      <c r="AJ606" s="14" t="n">
        <f aca="false">IF($L606=2016,1,0)</f>
        <v>0</v>
      </c>
      <c r="AK606" s="14" t="n">
        <f aca="false">IF($L606=2017,1,0)</f>
        <v>0</v>
      </c>
      <c r="AL606" s="14" t="n">
        <f aca="false">IF($H606="Beginner Level",1,0)</f>
        <v>0</v>
      </c>
      <c r="AM606" s="14" t="n">
        <f aca="false">IF($H606="Expert Level",1,0)</f>
        <v>0</v>
      </c>
      <c r="AN606" s="14" t="n">
        <f aca="false">IF($H606="Intermediate Level",1,0)</f>
        <v>0</v>
      </c>
    </row>
    <row r="607" customFormat="false" ht="57.45" hidden="false" customHeight="false" outlineLevel="0" collapsed="false">
      <c r="A607" s="14" t="n">
        <v>313484</v>
      </c>
      <c r="B607" s="14" t="s">
        <v>1256</v>
      </c>
      <c r="C607" s="14" t="s">
        <v>1257</v>
      </c>
      <c r="D607" s="14" t="n">
        <v>20</v>
      </c>
      <c r="E607" s="14" t="n">
        <v>2402</v>
      </c>
      <c r="F607" s="14" t="n">
        <v>26</v>
      </c>
      <c r="G607" s="14" t="n">
        <v>23</v>
      </c>
      <c r="H607" s="14" t="s">
        <v>52</v>
      </c>
      <c r="I607" s="14" t="n">
        <v>0.96</v>
      </c>
      <c r="J607" s="14" t="n">
        <v>2</v>
      </c>
      <c r="K607" s="14" t="s">
        <v>59</v>
      </c>
      <c r="L607" s="14" t="n">
        <v>2014</v>
      </c>
      <c r="M607" s="14" t="n">
        <v>7.78405700263993</v>
      </c>
      <c r="N607" s="14" t="n">
        <v>2.99623214859564</v>
      </c>
      <c r="P607" s="14" t="n">
        <f aca="false">D607</f>
        <v>20</v>
      </c>
      <c r="Q607" s="14" t="n">
        <f aca="false">G607</f>
        <v>23</v>
      </c>
      <c r="R607" s="14" t="n">
        <f aca="false">J607</f>
        <v>2</v>
      </c>
      <c r="S607" s="14" t="n">
        <f aca="false">IF($L607=2012,1,0)</f>
        <v>0</v>
      </c>
      <c r="T607" s="14" t="n">
        <f aca="false">IF($L607=2013,1,0)</f>
        <v>0</v>
      </c>
      <c r="U607" s="14" t="n">
        <f aca="false">IF($L607=2014,1,0)</f>
        <v>1</v>
      </c>
      <c r="V607" s="14" t="n">
        <f aca="false">IF($L607=2015,1,0)</f>
        <v>0</v>
      </c>
      <c r="W607" s="14" t="n">
        <f aca="false">IF($L607=2016,1,0)</f>
        <v>0</v>
      </c>
      <c r="X607" s="14" t="n">
        <f aca="false">IF($L607=2017,1,0)</f>
        <v>0</v>
      </c>
      <c r="Y607" s="14" t="n">
        <f aca="false">IF($H607="Beginner Level",1,0)</f>
        <v>1</v>
      </c>
      <c r="Z607" s="14" t="n">
        <f aca="false">IF($H607="Expert Level",1,0)</f>
        <v>0</v>
      </c>
      <c r="AA607" s="14" t="n">
        <f aca="false">IF($H607="Intermediate Level",1,0)</f>
        <v>0</v>
      </c>
      <c r="AC607" s="14" t="n">
        <f aca="false">N607</f>
        <v>2.99623214859564</v>
      </c>
      <c r="AD607" s="14" t="n">
        <f aca="false">G607</f>
        <v>23</v>
      </c>
      <c r="AE607" s="14" t="n">
        <f aca="false">J607</f>
        <v>2</v>
      </c>
      <c r="AF607" s="14" t="n">
        <f aca="false">IF($L607=2012,1,0)</f>
        <v>0</v>
      </c>
      <c r="AG607" s="14" t="n">
        <f aca="false">IF($L607=2013,1,0)</f>
        <v>0</v>
      </c>
      <c r="AH607" s="14" t="n">
        <f aca="false">IF($L607=2014,1,0)</f>
        <v>1</v>
      </c>
      <c r="AI607" s="14" t="n">
        <f aca="false">IF($L607=2015,1,0)</f>
        <v>0</v>
      </c>
      <c r="AJ607" s="14" t="n">
        <f aca="false">IF($L607=2016,1,0)</f>
        <v>0</v>
      </c>
      <c r="AK607" s="14" t="n">
        <f aca="false">IF($L607=2017,1,0)</f>
        <v>0</v>
      </c>
      <c r="AL607" s="14" t="n">
        <f aca="false">IF($H607="Beginner Level",1,0)</f>
        <v>1</v>
      </c>
      <c r="AM607" s="14" t="n">
        <f aca="false">IF($H607="Expert Level",1,0)</f>
        <v>0</v>
      </c>
      <c r="AN607" s="14" t="n">
        <f aca="false">IF($H607="Intermediate Level",1,0)</f>
        <v>0</v>
      </c>
    </row>
    <row r="608" customFormat="false" ht="46.25" hidden="false" customHeight="false" outlineLevel="0" collapsed="false">
      <c r="A608" s="14" t="n">
        <v>1110756</v>
      </c>
      <c r="B608" s="14" t="s">
        <v>1258</v>
      </c>
      <c r="C608" s="14" t="s">
        <v>1259</v>
      </c>
      <c r="D608" s="14" t="n">
        <v>20</v>
      </c>
      <c r="E608" s="14" t="n">
        <v>2401</v>
      </c>
      <c r="F608" s="14" t="n">
        <v>15</v>
      </c>
      <c r="G608" s="14" t="n">
        <v>27</v>
      </c>
      <c r="H608" s="14" t="s">
        <v>52</v>
      </c>
      <c r="I608" s="14" t="n">
        <v>0.96</v>
      </c>
      <c r="J608" s="14" t="n">
        <v>3</v>
      </c>
      <c r="K608" s="14" t="s">
        <v>59</v>
      </c>
      <c r="L608" s="14" t="n">
        <v>2017</v>
      </c>
      <c r="M608" s="14" t="n">
        <v>7.78364059622125</v>
      </c>
      <c r="N608" s="14" t="n">
        <v>2.99623214859564</v>
      </c>
      <c r="P608" s="14" t="n">
        <f aca="false">D608</f>
        <v>20</v>
      </c>
      <c r="Q608" s="14" t="n">
        <f aca="false">G608</f>
        <v>27</v>
      </c>
      <c r="R608" s="14" t="n">
        <f aca="false">J608</f>
        <v>3</v>
      </c>
      <c r="S608" s="14" t="n">
        <f aca="false">IF($L608=2012,1,0)</f>
        <v>0</v>
      </c>
      <c r="T608" s="14" t="n">
        <f aca="false">IF($L608=2013,1,0)</f>
        <v>0</v>
      </c>
      <c r="U608" s="14" t="n">
        <f aca="false">IF($L608=2014,1,0)</f>
        <v>0</v>
      </c>
      <c r="V608" s="14" t="n">
        <f aca="false">IF($L608=2015,1,0)</f>
        <v>0</v>
      </c>
      <c r="W608" s="14" t="n">
        <f aca="false">IF($L608=2016,1,0)</f>
        <v>0</v>
      </c>
      <c r="X608" s="14" t="n">
        <f aca="false">IF($L608=2017,1,0)</f>
        <v>1</v>
      </c>
      <c r="Y608" s="14" t="n">
        <f aca="false">IF($H608="Beginner Level",1,0)</f>
        <v>1</v>
      </c>
      <c r="Z608" s="14" t="n">
        <f aca="false">IF($H608="Expert Level",1,0)</f>
        <v>0</v>
      </c>
      <c r="AA608" s="14" t="n">
        <f aca="false">IF($H608="Intermediate Level",1,0)</f>
        <v>0</v>
      </c>
      <c r="AC608" s="14" t="n">
        <f aca="false">N608</f>
        <v>2.99623214859564</v>
      </c>
      <c r="AD608" s="14" t="n">
        <f aca="false">G608</f>
        <v>27</v>
      </c>
      <c r="AE608" s="14" t="n">
        <f aca="false">J608</f>
        <v>3</v>
      </c>
      <c r="AF608" s="14" t="n">
        <f aca="false">IF($L608=2012,1,0)</f>
        <v>0</v>
      </c>
      <c r="AG608" s="14" t="n">
        <f aca="false">IF($L608=2013,1,0)</f>
        <v>0</v>
      </c>
      <c r="AH608" s="14" t="n">
        <f aca="false">IF($L608=2014,1,0)</f>
        <v>0</v>
      </c>
      <c r="AI608" s="14" t="n">
        <f aca="false">IF($L608=2015,1,0)</f>
        <v>0</v>
      </c>
      <c r="AJ608" s="14" t="n">
        <f aca="false">IF($L608=2016,1,0)</f>
        <v>0</v>
      </c>
      <c r="AK608" s="14" t="n">
        <f aca="false">IF($L608=2017,1,0)</f>
        <v>1</v>
      </c>
      <c r="AL608" s="14" t="n">
        <f aca="false">IF($H608="Beginner Level",1,0)</f>
        <v>1</v>
      </c>
      <c r="AM608" s="14" t="n">
        <f aca="false">IF($H608="Expert Level",1,0)</f>
        <v>0</v>
      </c>
      <c r="AN608" s="14" t="n">
        <f aca="false">IF($H608="Intermediate Level",1,0)</f>
        <v>0</v>
      </c>
    </row>
    <row r="609" customFormat="false" ht="91" hidden="false" customHeight="false" outlineLevel="0" collapsed="false">
      <c r="A609" s="14" t="n">
        <v>1019276</v>
      </c>
      <c r="B609" s="14" t="s">
        <v>1260</v>
      </c>
      <c r="C609" s="14" t="s">
        <v>1261</v>
      </c>
      <c r="D609" s="14" t="n">
        <v>200</v>
      </c>
      <c r="E609" s="14" t="n">
        <v>2390</v>
      </c>
      <c r="F609" s="14" t="n">
        <v>497</v>
      </c>
      <c r="G609" s="14" t="n">
        <v>82</v>
      </c>
      <c r="H609" s="14" t="s">
        <v>62</v>
      </c>
      <c r="I609" s="14" t="n">
        <v>0.96</v>
      </c>
      <c r="J609" s="14" t="n">
        <v>9</v>
      </c>
      <c r="K609" s="14" t="s">
        <v>59</v>
      </c>
      <c r="L609" s="14" t="n">
        <v>2016</v>
      </c>
      <c r="M609" s="14" t="n">
        <v>7.77904864492556</v>
      </c>
      <c r="N609" s="14" t="n">
        <v>5.29836736529808</v>
      </c>
      <c r="P609" s="14" t="n">
        <f aca="false">D609</f>
        <v>200</v>
      </c>
      <c r="Q609" s="14" t="n">
        <f aca="false">G609</f>
        <v>82</v>
      </c>
      <c r="R609" s="14" t="n">
        <f aca="false">J609</f>
        <v>9</v>
      </c>
      <c r="S609" s="14" t="n">
        <f aca="false">IF($L609=2012,1,0)</f>
        <v>0</v>
      </c>
      <c r="T609" s="14" t="n">
        <f aca="false">IF($L609=2013,1,0)</f>
        <v>0</v>
      </c>
      <c r="U609" s="14" t="n">
        <f aca="false">IF($L609=2014,1,0)</f>
        <v>0</v>
      </c>
      <c r="V609" s="14" t="n">
        <f aca="false">IF($L609=2015,1,0)</f>
        <v>0</v>
      </c>
      <c r="W609" s="14" t="n">
        <f aca="false">IF($L609=2016,1,0)</f>
        <v>1</v>
      </c>
      <c r="X609" s="14" t="n">
        <f aca="false">IF($L609=2017,1,0)</f>
        <v>0</v>
      </c>
      <c r="Y609" s="14" t="n">
        <f aca="false">IF($H609="Beginner Level",1,0)</f>
        <v>0</v>
      </c>
      <c r="Z609" s="14" t="n">
        <f aca="false">IF($H609="Expert Level",1,0)</f>
        <v>0</v>
      </c>
      <c r="AA609" s="14" t="n">
        <f aca="false">IF($H609="Intermediate Level",1,0)</f>
        <v>0</v>
      </c>
      <c r="AC609" s="14" t="n">
        <f aca="false">N609</f>
        <v>5.29836736529808</v>
      </c>
      <c r="AD609" s="14" t="n">
        <f aca="false">G609</f>
        <v>82</v>
      </c>
      <c r="AE609" s="14" t="n">
        <f aca="false">J609</f>
        <v>9</v>
      </c>
      <c r="AF609" s="14" t="n">
        <f aca="false">IF($L609=2012,1,0)</f>
        <v>0</v>
      </c>
      <c r="AG609" s="14" t="n">
        <f aca="false">IF($L609=2013,1,0)</f>
        <v>0</v>
      </c>
      <c r="AH609" s="14" t="n">
        <f aca="false">IF($L609=2014,1,0)</f>
        <v>0</v>
      </c>
      <c r="AI609" s="14" t="n">
        <f aca="false">IF($L609=2015,1,0)</f>
        <v>0</v>
      </c>
      <c r="AJ609" s="14" t="n">
        <f aca="false">IF($L609=2016,1,0)</f>
        <v>1</v>
      </c>
      <c r="AK609" s="14" t="n">
        <f aca="false">IF($L609=2017,1,0)</f>
        <v>0</v>
      </c>
      <c r="AL609" s="14" t="n">
        <f aca="false">IF($H609="Beginner Level",1,0)</f>
        <v>0</v>
      </c>
      <c r="AM609" s="14" t="n">
        <f aca="false">IF($H609="Expert Level",1,0)</f>
        <v>0</v>
      </c>
      <c r="AN609" s="14" t="n">
        <f aca="false">IF($H609="Intermediate Level",1,0)</f>
        <v>0</v>
      </c>
    </row>
    <row r="610" customFormat="false" ht="68.65" hidden="false" customHeight="false" outlineLevel="0" collapsed="false">
      <c r="A610" s="14" t="n">
        <v>628876</v>
      </c>
      <c r="B610" s="14" t="s">
        <v>1262</v>
      </c>
      <c r="C610" s="14" t="s">
        <v>1263</v>
      </c>
      <c r="D610" s="14" t="n">
        <v>20</v>
      </c>
      <c r="E610" s="14" t="n">
        <v>2389</v>
      </c>
      <c r="F610" s="14" t="n">
        <v>7</v>
      </c>
      <c r="G610" s="14" t="n">
        <v>20</v>
      </c>
      <c r="H610" s="14" t="s">
        <v>62</v>
      </c>
      <c r="I610" s="14" t="n">
        <v>0.96</v>
      </c>
      <c r="J610" s="14" t="n">
        <v>2</v>
      </c>
      <c r="K610" s="14" t="s">
        <v>59</v>
      </c>
      <c r="L610" s="14" t="n">
        <v>2015</v>
      </c>
      <c r="M610" s="14" t="n">
        <v>7.77863014732581</v>
      </c>
      <c r="N610" s="14" t="n">
        <v>2.99623214859564</v>
      </c>
      <c r="P610" s="14" t="n">
        <f aca="false">D610</f>
        <v>20</v>
      </c>
      <c r="Q610" s="14" t="n">
        <f aca="false">G610</f>
        <v>20</v>
      </c>
      <c r="R610" s="14" t="n">
        <f aca="false">J610</f>
        <v>2</v>
      </c>
      <c r="S610" s="14" t="n">
        <f aca="false">IF($L610=2012,1,0)</f>
        <v>0</v>
      </c>
      <c r="T610" s="14" t="n">
        <f aca="false">IF($L610=2013,1,0)</f>
        <v>0</v>
      </c>
      <c r="U610" s="14" t="n">
        <f aca="false">IF($L610=2014,1,0)</f>
        <v>0</v>
      </c>
      <c r="V610" s="14" t="n">
        <f aca="false">IF($L610=2015,1,0)</f>
        <v>1</v>
      </c>
      <c r="W610" s="14" t="n">
        <f aca="false">IF($L610=2016,1,0)</f>
        <v>0</v>
      </c>
      <c r="X610" s="14" t="n">
        <f aca="false">IF($L610=2017,1,0)</f>
        <v>0</v>
      </c>
      <c r="Y610" s="14" t="n">
        <f aca="false">IF($H610="Beginner Level",1,0)</f>
        <v>0</v>
      </c>
      <c r="Z610" s="14" t="n">
        <f aca="false">IF($H610="Expert Level",1,0)</f>
        <v>0</v>
      </c>
      <c r="AA610" s="14" t="n">
        <f aca="false">IF($H610="Intermediate Level",1,0)</f>
        <v>0</v>
      </c>
      <c r="AC610" s="14" t="n">
        <f aca="false">N610</f>
        <v>2.99623214859564</v>
      </c>
      <c r="AD610" s="14" t="n">
        <f aca="false">G610</f>
        <v>20</v>
      </c>
      <c r="AE610" s="14" t="n">
        <f aca="false">J610</f>
        <v>2</v>
      </c>
      <c r="AF610" s="14" t="n">
        <f aca="false">IF($L610=2012,1,0)</f>
        <v>0</v>
      </c>
      <c r="AG610" s="14" t="n">
        <f aca="false">IF($L610=2013,1,0)</f>
        <v>0</v>
      </c>
      <c r="AH610" s="14" t="n">
        <f aca="false">IF($L610=2014,1,0)</f>
        <v>0</v>
      </c>
      <c r="AI610" s="14" t="n">
        <f aca="false">IF($L610=2015,1,0)</f>
        <v>1</v>
      </c>
      <c r="AJ610" s="14" t="n">
        <f aca="false">IF($L610=2016,1,0)</f>
        <v>0</v>
      </c>
      <c r="AK610" s="14" t="n">
        <f aca="false">IF($L610=2017,1,0)</f>
        <v>0</v>
      </c>
      <c r="AL610" s="14" t="n">
        <f aca="false">IF($H610="Beginner Level",1,0)</f>
        <v>0</v>
      </c>
      <c r="AM610" s="14" t="n">
        <f aca="false">IF($H610="Expert Level",1,0)</f>
        <v>0</v>
      </c>
      <c r="AN610" s="14" t="n">
        <f aca="false">IF($H610="Intermediate Level",1,0)</f>
        <v>0</v>
      </c>
    </row>
    <row r="611" customFormat="false" ht="46.25" hidden="false" customHeight="false" outlineLevel="0" collapsed="false">
      <c r="A611" s="14" t="n">
        <v>56585</v>
      </c>
      <c r="B611" s="14" t="s">
        <v>1264</v>
      </c>
      <c r="C611" s="14" t="s">
        <v>1265</v>
      </c>
      <c r="D611" s="14" t="n">
        <v>20</v>
      </c>
      <c r="E611" s="14" t="n">
        <v>2388</v>
      </c>
      <c r="F611" s="14" t="n">
        <v>139</v>
      </c>
      <c r="G611" s="14" t="n">
        <v>12</v>
      </c>
      <c r="H611" s="14" t="s">
        <v>52</v>
      </c>
      <c r="I611" s="14" t="n">
        <v>0.96</v>
      </c>
      <c r="J611" s="14" t="n">
        <v>1</v>
      </c>
      <c r="K611" s="14" t="s">
        <v>59</v>
      </c>
      <c r="L611" s="14" t="n">
        <v>2013</v>
      </c>
      <c r="M611" s="14" t="n">
        <v>7.77821147451249</v>
      </c>
      <c r="N611" s="14" t="n">
        <v>2.99623214859564</v>
      </c>
      <c r="P611" s="14" t="n">
        <f aca="false">D611</f>
        <v>20</v>
      </c>
      <c r="Q611" s="14" t="n">
        <f aca="false">G611</f>
        <v>12</v>
      </c>
      <c r="R611" s="14" t="n">
        <f aca="false">J611</f>
        <v>1</v>
      </c>
      <c r="S611" s="14" t="n">
        <f aca="false">IF($L611=2012,1,0)</f>
        <v>0</v>
      </c>
      <c r="T611" s="14" t="n">
        <f aca="false">IF($L611=2013,1,0)</f>
        <v>1</v>
      </c>
      <c r="U611" s="14" t="n">
        <f aca="false">IF($L611=2014,1,0)</f>
        <v>0</v>
      </c>
      <c r="V611" s="14" t="n">
        <f aca="false">IF($L611=2015,1,0)</f>
        <v>0</v>
      </c>
      <c r="W611" s="14" t="n">
        <f aca="false">IF($L611=2016,1,0)</f>
        <v>0</v>
      </c>
      <c r="X611" s="14" t="n">
        <f aca="false">IF($L611=2017,1,0)</f>
        <v>0</v>
      </c>
      <c r="Y611" s="14" t="n">
        <f aca="false">IF($H611="Beginner Level",1,0)</f>
        <v>1</v>
      </c>
      <c r="Z611" s="14" t="n">
        <f aca="false">IF($H611="Expert Level",1,0)</f>
        <v>0</v>
      </c>
      <c r="AA611" s="14" t="n">
        <f aca="false">IF($H611="Intermediate Level",1,0)</f>
        <v>0</v>
      </c>
      <c r="AC611" s="14" t="n">
        <f aca="false">N611</f>
        <v>2.99623214859564</v>
      </c>
      <c r="AD611" s="14" t="n">
        <f aca="false">G611</f>
        <v>12</v>
      </c>
      <c r="AE611" s="14" t="n">
        <f aca="false">J611</f>
        <v>1</v>
      </c>
      <c r="AF611" s="14" t="n">
        <f aca="false">IF($L611=2012,1,0)</f>
        <v>0</v>
      </c>
      <c r="AG611" s="14" t="n">
        <f aca="false">IF($L611=2013,1,0)</f>
        <v>1</v>
      </c>
      <c r="AH611" s="14" t="n">
        <f aca="false">IF($L611=2014,1,0)</f>
        <v>0</v>
      </c>
      <c r="AI611" s="14" t="n">
        <f aca="false">IF($L611=2015,1,0)</f>
        <v>0</v>
      </c>
      <c r="AJ611" s="14" t="n">
        <f aca="false">IF($L611=2016,1,0)</f>
        <v>0</v>
      </c>
      <c r="AK611" s="14" t="n">
        <f aca="false">IF($L611=2017,1,0)</f>
        <v>0</v>
      </c>
      <c r="AL611" s="14" t="n">
        <f aca="false">IF($H611="Beginner Level",1,0)</f>
        <v>1</v>
      </c>
      <c r="AM611" s="14" t="n">
        <f aca="false">IF($H611="Expert Level",1,0)</f>
        <v>0</v>
      </c>
      <c r="AN611" s="14" t="n">
        <f aca="false">IF($H611="Intermediate Level",1,0)</f>
        <v>0</v>
      </c>
    </row>
    <row r="612" customFormat="false" ht="79.85" hidden="false" customHeight="false" outlineLevel="0" collapsed="false">
      <c r="A612" s="14" t="n">
        <v>547298</v>
      </c>
      <c r="B612" s="14" t="s">
        <v>1266</v>
      </c>
      <c r="C612" s="14" t="s">
        <v>1267</v>
      </c>
      <c r="D612" s="14" t="n">
        <v>20</v>
      </c>
      <c r="E612" s="14" t="n">
        <v>2382</v>
      </c>
      <c r="F612" s="14" t="n">
        <v>22</v>
      </c>
      <c r="G612" s="14" t="n">
        <v>16</v>
      </c>
      <c r="H612" s="14" t="s">
        <v>62</v>
      </c>
      <c r="I612" s="14" t="n">
        <v>0.96</v>
      </c>
      <c r="J612" s="14" t="n">
        <v>1.5</v>
      </c>
      <c r="K612" s="14" t="s">
        <v>59</v>
      </c>
      <c r="L612" s="14" t="n">
        <v>2015</v>
      </c>
      <c r="M612" s="14" t="n">
        <v>7.77569574991525</v>
      </c>
      <c r="N612" s="14" t="n">
        <v>2.99623214859564</v>
      </c>
      <c r="P612" s="14" t="n">
        <f aca="false">D612</f>
        <v>20</v>
      </c>
      <c r="Q612" s="14" t="n">
        <f aca="false">G612</f>
        <v>16</v>
      </c>
      <c r="R612" s="14" t="n">
        <f aca="false">J612</f>
        <v>1.5</v>
      </c>
      <c r="S612" s="14" t="n">
        <f aca="false">IF($L612=2012,1,0)</f>
        <v>0</v>
      </c>
      <c r="T612" s="14" t="n">
        <f aca="false">IF($L612=2013,1,0)</f>
        <v>0</v>
      </c>
      <c r="U612" s="14" t="n">
        <f aca="false">IF($L612=2014,1,0)</f>
        <v>0</v>
      </c>
      <c r="V612" s="14" t="n">
        <f aca="false">IF($L612=2015,1,0)</f>
        <v>1</v>
      </c>
      <c r="W612" s="14" t="n">
        <f aca="false">IF($L612=2016,1,0)</f>
        <v>0</v>
      </c>
      <c r="X612" s="14" t="n">
        <f aca="false">IF($L612=2017,1,0)</f>
        <v>0</v>
      </c>
      <c r="Y612" s="14" t="n">
        <f aca="false">IF($H612="Beginner Level",1,0)</f>
        <v>0</v>
      </c>
      <c r="Z612" s="14" t="n">
        <f aca="false">IF($H612="Expert Level",1,0)</f>
        <v>0</v>
      </c>
      <c r="AA612" s="14" t="n">
        <f aca="false">IF($H612="Intermediate Level",1,0)</f>
        <v>0</v>
      </c>
      <c r="AC612" s="14" t="n">
        <f aca="false">N612</f>
        <v>2.99623214859564</v>
      </c>
      <c r="AD612" s="14" t="n">
        <f aca="false">G612</f>
        <v>16</v>
      </c>
      <c r="AE612" s="14" t="n">
        <f aca="false">J612</f>
        <v>1.5</v>
      </c>
      <c r="AF612" s="14" t="n">
        <f aca="false">IF($L612=2012,1,0)</f>
        <v>0</v>
      </c>
      <c r="AG612" s="14" t="n">
        <f aca="false">IF($L612=2013,1,0)</f>
        <v>0</v>
      </c>
      <c r="AH612" s="14" t="n">
        <f aca="false">IF($L612=2014,1,0)</f>
        <v>0</v>
      </c>
      <c r="AI612" s="14" t="n">
        <f aca="false">IF($L612=2015,1,0)</f>
        <v>1</v>
      </c>
      <c r="AJ612" s="14" t="n">
        <f aca="false">IF($L612=2016,1,0)</f>
        <v>0</v>
      </c>
      <c r="AK612" s="14" t="n">
        <f aca="false">IF($L612=2017,1,0)</f>
        <v>0</v>
      </c>
      <c r="AL612" s="14" t="n">
        <f aca="false">IF($H612="Beginner Level",1,0)</f>
        <v>0</v>
      </c>
      <c r="AM612" s="14" t="n">
        <f aca="false">IF($H612="Expert Level",1,0)</f>
        <v>0</v>
      </c>
      <c r="AN612" s="14" t="n">
        <f aca="false">IF($H612="Intermediate Level",1,0)</f>
        <v>0</v>
      </c>
    </row>
    <row r="613" customFormat="false" ht="79.85" hidden="false" customHeight="false" outlineLevel="0" collapsed="false">
      <c r="A613" s="14" t="n">
        <v>944886</v>
      </c>
      <c r="B613" s="14" t="s">
        <v>1268</v>
      </c>
      <c r="C613" s="14" t="s">
        <v>1269</v>
      </c>
      <c r="D613" s="14" t="n">
        <v>25</v>
      </c>
      <c r="E613" s="14" t="n">
        <v>2371</v>
      </c>
      <c r="F613" s="14" t="n">
        <v>10</v>
      </c>
      <c r="G613" s="14" t="n">
        <v>12</v>
      </c>
      <c r="H613" s="14" t="s">
        <v>52</v>
      </c>
      <c r="I613" s="14" t="n">
        <v>0.96</v>
      </c>
      <c r="J613" s="14" t="n">
        <v>1</v>
      </c>
      <c r="K613" s="14" t="s">
        <v>59</v>
      </c>
      <c r="L613" s="14" t="n">
        <v>2016</v>
      </c>
      <c r="M613" s="14" t="n">
        <v>7.77106708606541</v>
      </c>
      <c r="N613" s="14" t="n">
        <v>3.21927574488953</v>
      </c>
      <c r="P613" s="14" t="n">
        <f aca="false">D613</f>
        <v>25</v>
      </c>
      <c r="Q613" s="14" t="n">
        <f aca="false">G613</f>
        <v>12</v>
      </c>
      <c r="R613" s="14" t="n">
        <f aca="false">J613</f>
        <v>1</v>
      </c>
      <c r="S613" s="14" t="n">
        <f aca="false">IF($L613=2012,1,0)</f>
        <v>0</v>
      </c>
      <c r="T613" s="14" t="n">
        <f aca="false">IF($L613=2013,1,0)</f>
        <v>0</v>
      </c>
      <c r="U613" s="14" t="n">
        <f aca="false">IF($L613=2014,1,0)</f>
        <v>0</v>
      </c>
      <c r="V613" s="14" t="n">
        <f aca="false">IF($L613=2015,1,0)</f>
        <v>0</v>
      </c>
      <c r="W613" s="14" t="n">
        <f aca="false">IF($L613=2016,1,0)</f>
        <v>1</v>
      </c>
      <c r="X613" s="14" t="n">
        <f aca="false">IF($L613=2017,1,0)</f>
        <v>0</v>
      </c>
      <c r="Y613" s="14" t="n">
        <f aca="false">IF($H613="Beginner Level",1,0)</f>
        <v>1</v>
      </c>
      <c r="Z613" s="14" t="n">
        <f aca="false">IF($H613="Expert Level",1,0)</f>
        <v>0</v>
      </c>
      <c r="AA613" s="14" t="n">
        <f aca="false">IF($H613="Intermediate Level",1,0)</f>
        <v>0</v>
      </c>
      <c r="AC613" s="14" t="n">
        <f aca="false">N613</f>
        <v>3.21927574488953</v>
      </c>
      <c r="AD613" s="14" t="n">
        <f aca="false">G613</f>
        <v>12</v>
      </c>
      <c r="AE613" s="14" t="n">
        <f aca="false">J613</f>
        <v>1</v>
      </c>
      <c r="AF613" s="14" t="n">
        <f aca="false">IF($L613=2012,1,0)</f>
        <v>0</v>
      </c>
      <c r="AG613" s="14" t="n">
        <f aca="false">IF($L613=2013,1,0)</f>
        <v>0</v>
      </c>
      <c r="AH613" s="14" t="n">
        <f aca="false">IF($L613=2014,1,0)</f>
        <v>0</v>
      </c>
      <c r="AI613" s="14" t="n">
        <f aca="false">IF($L613=2015,1,0)</f>
        <v>0</v>
      </c>
      <c r="AJ613" s="14" t="n">
        <f aca="false">IF($L613=2016,1,0)</f>
        <v>1</v>
      </c>
      <c r="AK613" s="14" t="n">
        <f aca="false">IF($L613=2017,1,0)</f>
        <v>0</v>
      </c>
      <c r="AL613" s="14" t="n">
        <f aca="false">IF($H613="Beginner Level",1,0)</f>
        <v>1</v>
      </c>
      <c r="AM613" s="14" t="n">
        <f aca="false">IF($H613="Expert Level",1,0)</f>
        <v>0</v>
      </c>
      <c r="AN613" s="14" t="n">
        <f aca="false">IF($H613="Intermediate Level",1,0)</f>
        <v>0</v>
      </c>
    </row>
    <row r="614" customFormat="false" ht="68.65" hidden="false" customHeight="false" outlineLevel="0" collapsed="false">
      <c r="A614" s="14" t="n">
        <v>1034520</v>
      </c>
      <c r="B614" s="14" t="s">
        <v>1270</v>
      </c>
      <c r="C614" s="14" t="s">
        <v>1271</v>
      </c>
      <c r="D614" s="14" t="n">
        <v>95</v>
      </c>
      <c r="E614" s="14" t="n">
        <v>2362</v>
      </c>
      <c r="F614" s="14" t="n">
        <v>4</v>
      </c>
      <c r="G614" s="14" t="n">
        <v>13</v>
      </c>
      <c r="H614" s="14" t="s">
        <v>62</v>
      </c>
      <c r="I614" s="14" t="n">
        <v>0.96</v>
      </c>
      <c r="J614" s="14" t="n">
        <v>1</v>
      </c>
      <c r="K614" s="14" t="s">
        <v>59</v>
      </c>
      <c r="L614" s="14" t="n">
        <v>2017</v>
      </c>
      <c r="M614" s="14" t="n">
        <v>7.76726399675731</v>
      </c>
      <c r="N614" s="14" t="n">
        <v>4.55398214921866</v>
      </c>
      <c r="P614" s="14" t="n">
        <f aca="false">D614</f>
        <v>95</v>
      </c>
      <c r="Q614" s="14" t="n">
        <f aca="false">G614</f>
        <v>13</v>
      </c>
      <c r="R614" s="14" t="n">
        <f aca="false">J614</f>
        <v>1</v>
      </c>
      <c r="S614" s="14" t="n">
        <f aca="false">IF($L614=2012,1,0)</f>
        <v>0</v>
      </c>
      <c r="T614" s="14" t="n">
        <f aca="false">IF($L614=2013,1,0)</f>
        <v>0</v>
      </c>
      <c r="U614" s="14" t="n">
        <f aca="false">IF($L614=2014,1,0)</f>
        <v>0</v>
      </c>
      <c r="V614" s="14" t="n">
        <f aca="false">IF($L614=2015,1,0)</f>
        <v>0</v>
      </c>
      <c r="W614" s="14" t="n">
        <f aca="false">IF($L614=2016,1,0)</f>
        <v>0</v>
      </c>
      <c r="X614" s="14" t="n">
        <f aca="false">IF($L614=2017,1,0)</f>
        <v>1</v>
      </c>
      <c r="Y614" s="14" t="n">
        <f aca="false">IF($H614="Beginner Level",1,0)</f>
        <v>0</v>
      </c>
      <c r="Z614" s="14" t="n">
        <f aca="false">IF($H614="Expert Level",1,0)</f>
        <v>0</v>
      </c>
      <c r="AA614" s="14" t="n">
        <f aca="false">IF($H614="Intermediate Level",1,0)</f>
        <v>0</v>
      </c>
      <c r="AC614" s="14" t="n">
        <f aca="false">N614</f>
        <v>4.55398214921866</v>
      </c>
      <c r="AD614" s="14" t="n">
        <f aca="false">G614</f>
        <v>13</v>
      </c>
      <c r="AE614" s="14" t="n">
        <f aca="false">J614</f>
        <v>1</v>
      </c>
      <c r="AF614" s="14" t="n">
        <f aca="false">IF($L614=2012,1,0)</f>
        <v>0</v>
      </c>
      <c r="AG614" s="14" t="n">
        <f aca="false">IF($L614=2013,1,0)</f>
        <v>0</v>
      </c>
      <c r="AH614" s="14" t="n">
        <f aca="false">IF($L614=2014,1,0)</f>
        <v>0</v>
      </c>
      <c r="AI614" s="14" t="n">
        <f aca="false">IF($L614=2015,1,0)</f>
        <v>0</v>
      </c>
      <c r="AJ614" s="14" t="n">
        <f aca="false">IF($L614=2016,1,0)</f>
        <v>0</v>
      </c>
      <c r="AK614" s="14" t="n">
        <f aca="false">IF($L614=2017,1,0)</f>
        <v>1</v>
      </c>
      <c r="AL614" s="14" t="n">
        <f aca="false">IF($H614="Beginner Level",1,0)</f>
        <v>0</v>
      </c>
      <c r="AM614" s="14" t="n">
        <f aca="false">IF($H614="Expert Level",1,0)</f>
        <v>0</v>
      </c>
      <c r="AN614" s="14" t="n">
        <f aca="false">IF($H614="Intermediate Level",1,0)</f>
        <v>0</v>
      </c>
    </row>
    <row r="615" customFormat="false" ht="57.45" hidden="false" customHeight="false" outlineLevel="0" collapsed="false">
      <c r="A615" s="14" t="n">
        <v>761770</v>
      </c>
      <c r="B615" s="14" t="s">
        <v>1272</v>
      </c>
      <c r="C615" s="14" t="s">
        <v>1273</v>
      </c>
      <c r="D615" s="14" t="n">
        <v>100</v>
      </c>
      <c r="E615" s="14" t="n">
        <v>2360</v>
      </c>
      <c r="F615" s="14" t="n">
        <v>12</v>
      </c>
      <c r="G615" s="14" t="n">
        <v>49</v>
      </c>
      <c r="H615" s="14" t="s">
        <v>71</v>
      </c>
      <c r="I615" s="14" t="n">
        <v>0.96</v>
      </c>
      <c r="J615" s="14" t="n">
        <v>3.5</v>
      </c>
      <c r="K615" s="14" t="s">
        <v>59</v>
      </c>
      <c r="L615" s="14" t="n">
        <v>2016</v>
      </c>
      <c r="M615" s="14" t="n">
        <v>7.76641689801966</v>
      </c>
      <c r="N615" s="14" t="n">
        <v>4.60527018098843</v>
      </c>
      <c r="P615" s="14" t="n">
        <f aca="false">D615</f>
        <v>100</v>
      </c>
      <c r="Q615" s="14" t="n">
        <f aca="false">G615</f>
        <v>49</v>
      </c>
      <c r="R615" s="14" t="n">
        <f aca="false">J615</f>
        <v>3.5</v>
      </c>
      <c r="S615" s="14" t="n">
        <f aca="false">IF($L615=2012,1,0)</f>
        <v>0</v>
      </c>
      <c r="T615" s="14" t="n">
        <f aca="false">IF($L615=2013,1,0)</f>
        <v>0</v>
      </c>
      <c r="U615" s="14" t="n">
        <f aca="false">IF($L615=2014,1,0)</f>
        <v>0</v>
      </c>
      <c r="V615" s="14" t="n">
        <f aca="false">IF($L615=2015,1,0)</f>
        <v>0</v>
      </c>
      <c r="W615" s="14" t="n">
        <f aca="false">IF($L615=2016,1,0)</f>
        <v>1</v>
      </c>
      <c r="X615" s="14" t="n">
        <f aca="false">IF($L615=2017,1,0)</f>
        <v>0</v>
      </c>
      <c r="Y615" s="14" t="n">
        <f aca="false">IF($H615="Beginner Level",1,0)</f>
        <v>0</v>
      </c>
      <c r="Z615" s="14" t="n">
        <f aca="false">IF($H615="Expert Level",1,0)</f>
        <v>0</v>
      </c>
      <c r="AA615" s="14" t="n">
        <f aca="false">IF($H615="Intermediate Level",1,0)</f>
        <v>1</v>
      </c>
      <c r="AC615" s="14" t="n">
        <f aca="false">N615</f>
        <v>4.60527018098843</v>
      </c>
      <c r="AD615" s="14" t="n">
        <f aca="false">G615</f>
        <v>49</v>
      </c>
      <c r="AE615" s="14" t="n">
        <f aca="false">J615</f>
        <v>3.5</v>
      </c>
      <c r="AF615" s="14" t="n">
        <f aca="false">IF($L615=2012,1,0)</f>
        <v>0</v>
      </c>
      <c r="AG615" s="14" t="n">
        <f aca="false">IF($L615=2013,1,0)</f>
        <v>0</v>
      </c>
      <c r="AH615" s="14" t="n">
        <f aca="false">IF($L615=2014,1,0)</f>
        <v>0</v>
      </c>
      <c r="AI615" s="14" t="n">
        <f aca="false">IF($L615=2015,1,0)</f>
        <v>0</v>
      </c>
      <c r="AJ615" s="14" t="n">
        <f aca="false">IF($L615=2016,1,0)</f>
        <v>1</v>
      </c>
      <c r="AK615" s="14" t="n">
        <f aca="false">IF($L615=2017,1,0)</f>
        <v>0</v>
      </c>
      <c r="AL615" s="14" t="n">
        <f aca="false">IF($H615="Beginner Level",1,0)</f>
        <v>0</v>
      </c>
      <c r="AM615" s="14" t="n">
        <f aca="false">IF($H615="Expert Level",1,0)</f>
        <v>0</v>
      </c>
      <c r="AN615" s="14" t="n">
        <f aca="false">IF($H615="Intermediate Level",1,0)</f>
        <v>1</v>
      </c>
    </row>
    <row r="616" customFormat="false" ht="68.65" hidden="false" customHeight="false" outlineLevel="0" collapsed="false">
      <c r="A616" s="14" t="n">
        <v>30261</v>
      </c>
      <c r="B616" s="14" t="s">
        <v>1274</v>
      </c>
      <c r="C616" s="14" t="s">
        <v>1275</v>
      </c>
      <c r="D616" s="14" t="n">
        <v>200</v>
      </c>
      <c r="E616" s="14" t="n">
        <v>2355</v>
      </c>
      <c r="F616" s="14" t="n">
        <v>143</v>
      </c>
      <c r="G616" s="14" t="n">
        <v>215</v>
      </c>
      <c r="H616" s="14" t="s">
        <v>62</v>
      </c>
      <c r="I616" s="14" t="n">
        <v>0.96</v>
      </c>
      <c r="J616" s="14" t="n">
        <v>7</v>
      </c>
      <c r="K616" s="14" t="s">
        <v>59</v>
      </c>
      <c r="L616" s="14" t="n">
        <v>2012</v>
      </c>
      <c r="M616" s="14" t="n">
        <v>7.76429600645052</v>
      </c>
      <c r="N616" s="14" t="n">
        <v>5.29836736529808</v>
      </c>
      <c r="P616" s="14" t="n">
        <f aca="false">D616</f>
        <v>200</v>
      </c>
      <c r="Q616" s="14" t="n">
        <f aca="false">G616</f>
        <v>215</v>
      </c>
      <c r="R616" s="14" t="n">
        <f aca="false">J616</f>
        <v>7</v>
      </c>
      <c r="S616" s="14" t="n">
        <f aca="false">IF($L616=2012,1,0)</f>
        <v>1</v>
      </c>
      <c r="T616" s="14" t="n">
        <f aca="false">IF($L616=2013,1,0)</f>
        <v>0</v>
      </c>
      <c r="U616" s="14" t="n">
        <f aca="false">IF($L616=2014,1,0)</f>
        <v>0</v>
      </c>
      <c r="V616" s="14" t="n">
        <f aca="false">IF($L616=2015,1,0)</f>
        <v>0</v>
      </c>
      <c r="W616" s="14" t="n">
        <f aca="false">IF($L616=2016,1,0)</f>
        <v>0</v>
      </c>
      <c r="X616" s="14" t="n">
        <f aca="false">IF($L616=2017,1,0)</f>
        <v>0</v>
      </c>
      <c r="Y616" s="14" t="n">
        <f aca="false">IF($H616="Beginner Level",1,0)</f>
        <v>0</v>
      </c>
      <c r="Z616" s="14" t="n">
        <f aca="false">IF($H616="Expert Level",1,0)</f>
        <v>0</v>
      </c>
      <c r="AA616" s="14" t="n">
        <f aca="false">IF($H616="Intermediate Level",1,0)</f>
        <v>0</v>
      </c>
      <c r="AC616" s="14" t="n">
        <f aca="false">N616</f>
        <v>5.29836736529808</v>
      </c>
      <c r="AD616" s="14" t="n">
        <f aca="false">G616</f>
        <v>215</v>
      </c>
      <c r="AE616" s="14" t="n">
        <f aca="false">J616</f>
        <v>7</v>
      </c>
      <c r="AF616" s="14" t="n">
        <f aca="false">IF($L616=2012,1,0)</f>
        <v>1</v>
      </c>
      <c r="AG616" s="14" t="n">
        <f aca="false">IF($L616=2013,1,0)</f>
        <v>0</v>
      </c>
      <c r="AH616" s="14" t="n">
        <f aca="false">IF($L616=2014,1,0)</f>
        <v>0</v>
      </c>
      <c r="AI616" s="14" t="n">
        <f aca="false">IF($L616=2015,1,0)</f>
        <v>0</v>
      </c>
      <c r="AJ616" s="14" t="n">
        <f aca="false">IF($L616=2016,1,0)</f>
        <v>0</v>
      </c>
      <c r="AK616" s="14" t="n">
        <f aca="false">IF($L616=2017,1,0)</f>
        <v>0</v>
      </c>
      <c r="AL616" s="14" t="n">
        <f aca="false">IF($H616="Beginner Level",1,0)</f>
        <v>0</v>
      </c>
      <c r="AM616" s="14" t="n">
        <f aca="false">IF($H616="Expert Level",1,0)</f>
        <v>0</v>
      </c>
      <c r="AN616" s="14" t="n">
        <f aca="false">IF($H616="Intermediate Level",1,0)</f>
        <v>0</v>
      </c>
    </row>
    <row r="617" customFormat="false" ht="68.65" hidden="false" customHeight="false" outlineLevel="0" collapsed="false">
      <c r="A617" s="14" t="n">
        <v>926206</v>
      </c>
      <c r="B617" s="14" t="s">
        <v>1276</v>
      </c>
      <c r="C617" s="14" t="s">
        <v>1277</v>
      </c>
      <c r="D617" s="14" t="n">
        <v>195</v>
      </c>
      <c r="E617" s="14" t="n">
        <v>2354</v>
      </c>
      <c r="F617" s="14" t="n">
        <v>16</v>
      </c>
      <c r="G617" s="14" t="n">
        <v>45</v>
      </c>
      <c r="H617" s="14" t="s">
        <v>62</v>
      </c>
      <c r="I617" s="14" t="n">
        <v>0.96</v>
      </c>
      <c r="J617" s="14" t="n">
        <v>4</v>
      </c>
      <c r="K617" s="14" t="s">
        <v>59</v>
      </c>
      <c r="L617" s="14" t="n">
        <v>2016</v>
      </c>
      <c r="M617" s="14" t="n">
        <v>7.76387128782022</v>
      </c>
      <c r="N617" s="14" t="n">
        <v>5.27305083930015</v>
      </c>
      <c r="P617" s="14" t="n">
        <f aca="false">D617</f>
        <v>195</v>
      </c>
      <c r="Q617" s="14" t="n">
        <f aca="false">G617</f>
        <v>45</v>
      </c>
      <c r="R617" s="14" t="n">
        <f aca="false">J617</f>
        <v>4</v>
      </c>
      <c r="S617" s="14" t="n">
        <f aca="false">IF($L617=2012,1,0)</f>
        <v>0</v>
      </c>
      <c r="T617" s="14" t="n">
        <f aca="false">IF($L617=2013,1,0)</f>
        <v>0</v>
      </c>
      <c r="U617" s="14" t="n">
        <f aca="false">IF($L617=2014,1,0)</f>
        <v>0</v>
      </c>
      <c r="V617" s="14" t="n">
        <f aca="false">IF($L617=2015,1,0)</f>
        <v>0</v>
      </c>
      <c r="W617" s="14" t="n">
        <f aca="false">IF($L617=2016,1,0)</f>
        <v>1</v>
      </c>
      <c r="X617" s="14" t="n">
        <f aca="false">IF($L617=2017,1,0)</f>
        <v>0</v>
      </c>
      <c r="Y617" s="14" t="n">
        <f aca="false">IF($H617="Beginner Level",1,0)</f>
        <v>0</v>
      </c>
      <c r="Z617" s="14" t="n">
        <f aca="false">IF($H617="Expert Level",1,0)</f>
        <v>0</v>
      </c>
      <c r="AA617" s="14" t="n">
        <f aca="false">IF($H617="Intermediate Level",1,0)</f>
        <v>0</v>
      </c>
      <c r="AC617" s="14" t="n">
        <f aca="false">N617</f>
        <v>5.27305083930015</v>
      </c>
      <c r="AD617" s="14" t="n">
        <f aca="false">G617</f>
        <v>45</v>
      </c>
      <c r="AE617" s="14" t="n">
        <f aca="false">J617</f>
        <v>4</v>
      </c>
      <c r="AF617" s="14" t="n">
        <f aca="false">IF($L617=2012,1,0)</f>
        <v>0</v>
      </c>
      <c r="AG617" s="14" t="n">
        <f aca="false">IF($L617=2013,1,0)</f>
        <v>0</v>
      </c>
      <c r="AH617" s="14" t="n">
        <f aca="false">IF($L617=2014,1,0)</f>
        <v>0</v>
      </c>
      <c r="AI617" s="14" t="n">
        <f aca="false">IF($L617=2015,1,0)</f>
        <v>0</v>
      </c>
      <c r="AJ617" s="14" t="n">
        <f aca="false">IF($L617=2016,1,0)</f>
        <v>1</v>
      </c>
      <c r="AK617" s="14" t="n">
        <f aca="false">IF($L617=2017,1,0)</f>
        <v>0</v>
      </c>
      <c r="AL617" s="14" t="n">
        <f aca="false">IF($H617="Beginner Level",1,0)</f>
        <v>0</v>
      </c>
      <c r="AM617" s="14" t="n">
        <f aca="false">IF($H617="Expert Level",1,0)</f>
        <v>0</v>
      </c>
      <c r="AN617" s="14" t="n">
        <f aca="false">IF($H617="Intermediate Level",1,0)</f>
        <v>0</v>
      </c>
    </row>
    <row r="618" customFormat="false" ht="57.45" hidden="false" customHeight="false" outlineLevel="0" collapsed="false">
      <c r="A618" s="14" t="n">
        <v>399228</v>
      </c>
      <c r="B618" s="14" t="s">
        <v>1278</v>
      </c>
      <c r="C618" s="14" t="s">
        <v>1279</v>
      </c>
      <c r="D618" s="14" t="n">
        <v>200</v>
      </c>
      <c r="E618" s="14" t="n">
        <v>2353</v>
      </c>
      <c r="F618" s="14" t="n">
        <v>47</v>
      </c>
      <c r="G618" s="14" t="n">
        <v>91</v>
      </c>
      <c r="H618" s="14" t="s">
        <v>62</v>
      </c>
      <c r="I618" s="14" t="n">
        <v>0.96</v>
      </c>
      <c r="J618" s="14" t="n">
        <v>10</v>
      </c>
      <c r="K618" s="14" t="s">
        <v>59</v>
      </c>
      <c r="L618" s="14" t="n">
        <v>2015</v>
      </c>
      <c r="M618" s="14" t="n">
        <v>7.76344638872736</v>
      </c>
      <c r="N618" s="14" t="n">
        <v>5.29836736529808</v>
      </c>
      <c r="P618" s="14" t="n">
        <f aca="false">D618</f>
        <v>200</v>
      </c>
      <c r="Q618" s="14" t="n">
        <f aca="false">G618</f>
        <v>91</v>
      </c>
      <c r="R618" s="14" t="n">
        <f aca="false">J618</f>
        <v>10</v>
      </c>
      <c r="S618" s="14" t="n">
        <f aca="false">IF($L618=2012,1,0)</f>
        <v>0</v>
      </c>
      <c r="T618" s="14" t="n">
        <f aca="false">IF($L618=2013,1,0)</f>
        <v>0</v>
      </c>
      <c r="U618" s="14" t="n">
        <f aca="false">IF($L618=2014,1,0)</f>
        <v>0</v>
      </c>
      <c r="V618" s="14" t="n">
        <f aca="false">IF($L618=2015,1,0)</f>
        <v>1</v>
      </c>
      <c r="W618" s="14" t="n">
        <f aca="false">IF($L618=2016,1,0)</f>
        <v>0</v>
      </c>
      <c r="X618" s="14" t="n">
        <f aca="false">IF($L618=2017,1,0)</f>
        <v>0</v>
      </c>
      <c r="Y618" s="14" t="n">
        <f aca="false">IF($H618="Beginner Level",1,0)</f>
        <v>0</v>
      </c>
      <c r="Z618" s="14" t="n">
        <f aca="false">IF($H618="Expert Level",1,0)</f>
        <v>0</v>
      </c>
      <c r="AA618" s="14" t="n">
        <f aca="false">IF($H618="Intermediate Level",1,0)</f>
        <v>0</v>
      </c>
      <c r="AC618" s="14" t="n">
        <f aca="false">N618</f>
        <v>5.29836736529808</v>
      </c>
      <c r="AD618" s="14" t="n">
        <f aca="false">G618</f>
        <v>91</v>
      </c>
      <c r="AE618" s="14" t="n">
        <f aca="false">J618</f>
        <v>10</v>
      </c>
      <c r="AF618" s="14" t="n">
        <f aca="false">IF($L618=2012,1,0)</f>
        <v>0</v>
      </c>
      <c r="AG618" s="14" t="n">
        <f aca="false">IF($L618=2013,1,0)</f>
        <v>0</v>
      </c>
      <c r="AH618" s="14" t="n">
        <f aca="false">IF($L618=2014,1,0)</f>
        <v>0</v>
      </c>
      <c r="AI618" s="14" t="n">
        <f aca="false">IF($L618=2015,1,0)</f>
        <v>1</v>
      </c>
      <c r="AJ618" s="14" t="n">
        <f aca="false">IF($L618=2016,1,0)</f>
        <v>0</v>
      </c>
      <c r="AK618" s="14" t="n">
        <f aca="false">IF($L618=2017,1,0)</f>
        <v>0</v>
      </c>
      <c r="AL618" s="14" t="n">
        <f aca="false">IF($H618="Beginner Level",1,0)</f>
        <v>0</v>
      </c>
      <c r="AM618" s="14" t="n">
        <f aca="false">IF($H618="Expert Level",1,0)</f>
        <v>0</v>
      </c>
      <c r="AN618" s="14" t="n">
        <f aca="false">IF($H618="Intermediate Level",1,0)</f>
        <v>0</v>
      </c>
    </row>
    <row r="619" customFormat="false" ht="79.85" hidden="false" customHeight="false" outlineLevel="0" collapsed="false">
      <c r="A619" s="14" t="n">
        <v>398456</v>
      </c>
      <c r="B619" s="14" t="s">
        <v>1280</v>
      </c>
      <c r="C619" s="14" t="s">
        <v>1281</v>
      </c>
      <c r="D619" s="14" t="n">
        <v>50</v>
      </c>
      <c r="E619" s="14" t="n">
        <v>2351</v>
      </c>
      <c r="F619" s="14" t="n">
        <v>302</v>
      </c>
      <c r="G619" s="14" t="n">
        <v>16</v>
      </c>
      <c r="H619" s="14" t="s">
        <v>62</v>
      </c>
      <c r="I619" s="14" t="n">
        <v>0.96</v>
      </c>
      <c r="J619" s="14" t="n">
        <v>2.5</v>
      </c>
      <c r="K619" s="14" t="s">
        <v>59</v>
      </c>
      <c r="L619" s="14" t="n">
        <v>2015</v>
      </c>
      <c r="M619" s="14" t="n">
        <v>7.76259604854007</v>
      </c>
      <c r="N619" s="14" t="n">
        <v>3.91222298543081</v>
      </c>
      <c r="P619" s="14" t="n">
        <f aca="false">D619</f>
        <v>50</v>
      </c>
      <c r="Q619" s="14" t="n">
        <f aca="false">G619</f>
        <v>16</v>
      </c>
      <c r="R619" s="14" t="n">
        <f aca="false">J619</f>
        <v>2.5</v>
      </c>
      <c r="S619" s="14" t="n">
        <f aca="false">IF($L619=2012,1,0)</f>
        <v>0</v>
      </c>
      <c r="T619" s="14" t="n">
        <f aca="false">IF($L619=2013,1,0)</f>
        <v>0</v>
      </c>
      <c r="U619" s="14" t="n">
        <f aca="false">IF($L619=2014,1,0)</f>
        <v>0</v>
      </c>
      <c r="V619" s="14" t="n">
        <f aca="false">IF($L619=2015,1,0)</f>
        <v>1</v>
      </c>
      <c r="W619" s="14" t="n">
        <f aca="false">IF($L619=2016,1,0)</f>
        <v>0</v>
      </c>
      <c r="X619" s="14" t="n">
        <f aca="false">IF($L619=2017,1,0)</f>
        <v>0</v>
      </c>
      <c r="Y619" s="14" t="n">
        <f aca="false">IF($H619="Beginner Level",1,0)</f>
        <v>0</v>
      </c>
      <c r="Z619" s="14" t="n">
        <f aca="false">IF($H619="Expert Level",1,0)</f>
        <v>0</v>
      </c>
      <c r="AA619" s="14" t="n">
        <f aca="false">IF($H619="Intermediate Level",1,0)</f>
        <v>0</v>
      </c>
      <c r="AC619" s="14" t="n">
        <f aca="false">N619</f>
        <v>3.91222298543081</v>
      </c>
      <c r="AD619" s="14" t="n">
        <f aca="false">G619</f>
        <v>16</v>
      </c>
      <c r="AE619" s="14" t="n">
        <f aca="false">J619</f>
        <v>2.5</v>
      </c>
      <c r="AF619" s="14" t="n">
        <f aca="false">IF($L619=2012,1,0)</f>
        <v>0</v>
      </c>
      <c r="AG619" s="14" t="n">
        <f aca="false">IF($L619=2013,1,0)</f>
        <v>0</v>
      </c>
      <c r="AH619" s="14" t="n">
        <f aca="false">IF($L619=2014,1,0)</f>
        <v>0</v>
      </c>
      <c r="AI619" s="14" t="n">
        <f aca="false">IF($L619=2015,1,0)</f>
        <v>1</v>
      </c>
      <c r="AJ619" s="14" t="n">
        <f aca="false">IF($L619=2016,1,0)</f>
        <v>0</v>
      </c>
      <c r="AK619" s="14" t="n">
        <f aca="false">IF($L619=2017,1,0)</f>
        <v>0</v>
      </c>
      <c r="AL619" s="14" t="n">
        <f aca="false">IF($H619="Beginner Level",1,0)</f>
        <v>0</v>
      </c>
      <c r="AM619" s="14" t="n">
        <f aca="false">IF($H619="Expert Level",1,0)</f>
        <v>0</v>
      </c>
      <c r="AN619" s="14" t="n">
        <f aca="false">IF($H619="Intermediate Level",1,0)</f>
        <v>0</v>
      </c>
    </row>
    <row r="620" customFormat="false" ht="68.65" hidden="false" customHeight="false" outlineLevel="0" collapsed="false">
      <c r="A620" s="14" t="n">
        <v>977516</v>
      </c>
      <c r="B620" s="14" t="s">
        <v>1282</v>
      </c>
      <c r="C620" s="14" t="s">
        <v>1283</v>
      </c>
      <c r="D620" s="14" t="n">
        <v>150</v>
      </c>
      <c r="E620" s="14" t="n">
        <v>2346</v>
      </c>
      <c r="F620" s="14" t="n">
        <v>10</v>
      </c>
      <c r="G620" s="14" t="n">
        <v>65</v>
      </c>
      <c r="H620" s="14" t="s">
        <v>62</v>
      </c>
      <c r="I620" s="14" t="n">
        <v>0.2</v>
      </c>
      <c r="J620" s="14" t="n">
        <v>4.5</v>
      </c>
      <c r="K620" s="14" t="s">
        <v>59</v>
      </c>
      <c r="L620" s="14" t="n">
        <v>2016</v>
      </c>
      <c r="M620" s="14" t="n">
        <v>7.76046702921342</v>
      </c>
      <c r="N620" s="14" t="n">
        <v>5.0107019585408</v>
      </c>
      <c r="P620" s="14" t="n">
        <f aca="false">D620</f>
        <v>150</v>
      </c>
      <c r="Q620" s="14" t="n">
        <f aca="false">G620</f>
        <v>65</v>
      </c>
      <c r="R620" s="14" t="n">
        <f aca="false">J620</f>
        <v>4.5</v>
      </c>
      <c r="S620" s="14" t="n">
        <f aca="false">IF($L620=2012,1,0)</f>
        <v>0</v>
      </c>
      <c r="T620" s="14" t="n">
        <f aca="false">IF($L620=2013,1,0)</f>
        <v>0</v>
      </c>
      <c r="U620" s="14" t="n">
        <f aca="false">IF($L620=2014,1,0)</f>
        <v>0</v>
      </c>
      <c r="V620" s="14" t="n">
        <f aca="false">IF($L620=2015,1,0)</f>
        <v>0</v>
      </c>
      <c r="W620" s="14" t="n">
        <f aca="false">IF($L620=2016,1,0)</f>
        <v>1</v>
      </c>
      <c r="X620" s="14" t="n">
        <f aca="false">IF($L620=2017,1,0)</f>
        <v>0</v>
      </c>
      <c r="Y620" s="14" t="n">
        <f aca="false">IF($H620="Beginner Level",1,0)</f>
        <v>0</v>
      </c>
      <c r="Z620" s="14" t="n">
        <f aca="false">IF($H620="Expert Level",1,0)</f>
        <v>0</v>
      </c>
      <c r="AA620" s="14" t="n">
        <f aca="false">IF($H620="Intermediate Level",1,0)</f>
        <v>0</v>
      </c>
      <c r="AC620" s="14" t="n">
        <f aca="false">N620</f>
        <v>5.0107019585408</v>
      </c>
      <c r="AD620" s="14" t="n">
        <f aca="false">G620</f>
        <v>65</v>
      </c>
      <c r="AE620" s="14" t="n">
        <f aca="false">J620</f>
        <v>4.5</v>
      </c>
      <c r="AF620" s="14" t="n">
        <f aca="false">IF($L620=2012,1,0)</f>
        <v>0</v>
      </c>
      <c r="AG620" s="14" t="n">
        <f aca="false">IF($L620=2013,1,0)</f>
        <v>0</v>
      </c>
      <c r="AH620" s="14" t="n">
        <f aca="false">IF($L620=2014,1,0)</f>
        <v>0</v>
      </c>
      <c r="AI620" s="14" t="n">
        <f aca="false">IF($L620=2015,1,0)</f>
        <v>0</v>
      </c>
      <c r="AJ620" s="14" t="n">
        <f aca="false">IF($L620=2016,1,0)</f>
        <v>1</v>
      </c>
      <c r="AK620" s="14" t="n">
        <f aca="false">IF($L620=2017,1,0)</f>
        <v>0</v>
      </c>
      <c r="AL620" s="14" t="n">
        <f aca="false">IF($H620="Beginner Level",1,0)</f>
        <v>0</v>
      </c>
      <c r="AM620" s="14" t="n">
        <f aca="false">IF($H620="Expert Level",1,0)</f>
        <v>0</v>
      </c>
      <c r="AN620" s="14" t="n">
        <f aca="false">IF($H620="Intermediate Level",1,0)</f>
        <v>0</v>
      </c>
    </row>
    <row r="621" customFormat="false" ht="79.85" hidden="false" customHeight="false" outlineLevel="0" collapsed="false">
      <c r="A621" s="14" t="n">
        <v>1045862</v>
      </c>
      <c r="B621" s="14" t="s">
        <v>1284</v>
      </c>
      <c r="C621" s="14" t="s">
        <v>1285</v>
      </c>
      <c r="D621" s="14" t="n">
        <v>30</v>
      </c>
      <c r="E621" s="14" t="n">
        <v>2342</v>
      </c>
      <c r="F621" s="14" t="n">
        <v>15</v>
      </c>
      <c r="G621" s="14" t="n">
        <v>19</v>
      </c>
      <c r="H621" s="14" t="s">
        <v>62</v>
      </c>
      <c r="I621" s="14" t="n">
        <v>0.47</v>
      </c>
      <c r="J621" s="14" t="n">
        <v>4.5</v>
      </c>
      <c r="K621" s="14" t="s">
        <v>59</v>
      </c>
      <c r="L621" s="14" t="n">
        <v>2016</v>
      </c>
      <c r="M621" s="14" t="n">
        <v>7.75876054415766</v>
      </c>
      <c r="N621" s="14" t="n">
        <v>3.40153065945228</v>
      </c>
      <c r="P621" s="14" t="n">
        <f aca="false">D621</f>
        <v>30</v>
      </c>
      <c r="Q621" s="14" t="n">
        <f aca="false">G621</f>
        <v>19</v>
      </c>
      <c r="R621" s="14" t="n">
        <f aca="false">J621</f>
        <v>4.5</v>
      </c>
      <c r="S621" s="14" t="n">
        <f aca="false">IF($L621=2012,1,0)</f>
        <v>0</v>
      </c>
      <c r="T621" s="14" t="n">
        <f aca="false">IF($L621=2013,1,0)</f>
        <v>0</v>
      </c>
      <c r="U621" s="14" t="n">
        <f aca="false">IF($L621=2014,1,0)</f>
        <v>0</v>
      </c>
      <c r="V621" s="14" t="n">
        <f aca="false">IF($L621=2015,1,0)</f>
        <v>0</v>
      </c>
      <c r="W621" s="14" t="n">
        <f aca="false">IF($L621=2016,1,0)</f>
        <v>1</v>
      </c>
      <c r="X621" s="14" t="n">
        <f aca="false">IF($L621=2017,1,0)</f>
        <v>0</v>
      </c>
      <c r="Y621" s="14" t="n">
        <f aca="false">IF($H621="Beginner Level",1,0)</f>
        <v>0</v>
      </c>
      <c r="Z621" s="14" t="n">
        <f aca="false">IF($H621="Expert Level",1,0)</f>
        <v>0</v>
      </c>
      <c r="AA621" s="14" t="n">
        <f aca="false">IF($H621="Intermediate Level",1,0)</f>
        <v>0</v>
      </c>
      <c r="AC621" s="14" t="n">
        <f aca="false">N621</f>
        <v>3.40153065945228</v>
      </c>
      <c r="AD621" s="14" t="n">
        <f aca="false">G621</f>
        <v>19</v>
      </c>
      <c r="AE621" s="14" t="n">
        <f aca="false">J621</f>
        <v>4.5</v>
      </c>
      <c r="AF621" s="14" t="n">
        <f aca="false">IF($L621=2012,1,0)</f>
        <v>0</v>
      </c>
      <c r="AG621" s="14" t="n">
        <f aca="false">IF($L621=2013,1,0)</f>
        <v>0</v>
      </c>
      <c r="AH621" s="14" t="n">
        <f aca="false">IF($L621=2014,1,0)</f>
        <v>0</v>
      </c>
      <c r="AI621" s="14" t="n">
        <f aca="false">IF($L621=2015,1,0)</f>
        <v>0</v>
      </c>
      <c r="AJ621" s="14" t="n">
        <f aca="false">IF($L621=2016,1,0)</f>
        <v>1</v>
      </c>
      <c r="AK621" s="14" t="n">
        <f aca="false">IF($L621=2017,1,0)</f>
        <v>0</v>
      </c>
      <c r="AL621" s="14" t="n">
        <f aca="false">IF($H621="Beginner Level",1,0)</f>
        <v>0</v>
      </c>
      <c r="AM621" s="14" t="n">
        <f aca="false">IF($H621="Expert Level",1,0)</f>
        <v>0</v>
      </c>
      <c r="AN621" s="14" t="n">
        <f aca="false">IF($H621="Intermediate Level",1,0)</f>
        <v>0</v>
      </c>
    </row>
    <row r="622" customFormat="false" ht="79.85" hidden="false" customHeight="false" outlineLevel="0" collapsed="false">
      <c r="A622" s="14" t="n">
        <v>549094</v>
      </c>
      <c r="B622" s="14" t="s">
        <v>1286</v>
      </c>
      <c r="C622" s="14" t="s">
        <v>1287</v>
      </c>
      <c r="D622" s="14" t="n">
        <v>20</v>
      </c>
      <c r="E622" s="14" t="n">
        <v>2335</v>
      </c>
      <c r="F622" s="14" t="n">
        <v>13</v>
      </c>
      <c r="G622" s="14" t="n">
        <v>18</v>
      </c>
      <c r="H622" s="14" t="s">
        <v>71</v>
      </c>
      <c r="I622" s="14" t="n">
        <v>0.3</v>
      </c>
      <c r="J622" s="14" t="n">
        <v>1</v>
      </c>
      <c r="K622" s="14" t="s">
        <v>59</v>
      </c>
      <c r="L622" s="14" t="n">
        <v>2015</v>
      </c>
      <c r="M622" s="14" t="n">
        <v>7.755767170103</v>
      </c>
      <c r="N622" s="14" t="n">
        <v>2.99623214859564</v>
      </c>
      <c r="P622" s="14" t="n">
        <f aca="false">D622</f>
        <v>20</v>
      </c>
      <c r="Q622" s="14" t="n">
        <f aca="false">G622</f>
        <v>18</v>
      </c>
      <c r="R622" s="14" t="n">
        <f aca="false">J622</f>
        <v>1</v>
      </c>
      <c r="S622" s="14" t="n">
        <f aca="false">IF($L622=2012,1,0)</f>
        <v>0</v>
      </c>
      <c r="T622" s="14" t="n">
        <f aca="false">IF($L622=2013,1,0)</f>
        <v>0</v>
      </c>
      <c r="U622" s="14" t="n">
        <f aca="false">IF($L622=2014,1,0)</f>
        <v>0</v>
      </c>
      <c r="V622" s="14" t="n">
        <f aca="false">IF($L622=2015,1,0)</f>
        <v>1</v>
      </c>
      <c r="W622" s="14" t="n">
        <f aca="false">IF($L622=2016,1,0)</f>
        <v>0</v>
      </c>
      <c r="X622" s="14" t="n">
        <f aca="false">IF($L622=2017,1,0)</f>
        <v>0</v>
      </c>
      <c r="Y622" s="14" t="n">
        <f aca="false">IF($H622="Beginner Level",1,0)</f>
        <v>0</v>
      </c>
      <c r="Z622" s="14" t="n">
        <f aca="false">IF($H622="Expert Level",1,0)</f>
        <v>0</v>
      </c>
      <c r="AA622" s="14" t="n">
        <f aca="false">IF($H622="Intermediate Level",1,0)</f>
        <v>1</v>
      </c>
      <c r="AC622" s="14" t="n">
        <f aca="false">N622</f>
        <v>2.99623214859564</v>
      </c>
      <c r="AD622" s="14" t="n">
        <f aca="false">G622</f>
        <v>18</v>
      </c>
      <c r="AE622" s="14" t="n">
        <f aca="false">J622</f>
        <v>1</v>
      </c>
      <c r="AF622" s="14" t="n">
        <f aca="false">IF($L622=2012,1,0)</f>
        <v>0</v>
      </c>
      <c r="AG622" s="14" t="n">
        <f aca="false">IF($L622=2013,1,0)</f>
        <v>0</v>
      </c>
      <c r="AH622" s="14" t="n">
        <f aca="false">IF($L622=2014,1,0)</f>
        <v>0</v>
      </c>
      <c r="AI622" s="14" t="n">
        <f aca="false">IF($L622=2015,1,0)</f>
        <v>1</v>
      </c>
      <c r="AJ622" s="14" t="n">
        <f aca="false">IF($L622=2016,1,0)</f>
        <v>0</v>
      </c>
      <c r="AK622" s="14" t="n">
        <f aca="false">IF($L622=2017,1,0)</f>
        <v>0</v>
      </c>
      <c r="AL622" s="14" t="n">
        <f aca="false">IF($H622="Beginner Level",1,0)</f>
        <v>0</v>
      </c>
      <c r="AM622" s="14" t="n">
        <f aca="false">IF($H622="Expert Level",1,0)</f>
        <v>0</v>
      </c>
      <c r="AN622" s="14" t="n">
        <f aca="false">IF($H622="Intermediate Level",1,0)</f>
        <v>1</v>
      </c>
    </row>
    <row r="623" customFormat="false" ht="46.25" hidden="false" customHeight="false" outlineLevel="0" collapsed="false">
      <c r="A623" s="14" t="n">
        <v>281690</v>
      </c>
      <c r="B623" s="14" t="s">
        <v>1288</v>
      </c>
      <c r="C623" s="14" t="s">
        <v>1289</v>
      </c>
      <c r="D623" s="14" t="n">
        <v>20</v>
      </c>
      <c r="E623" s="14" t="n">
        <v>2320</v>
      </c>
      <c r="F623" s="14" t="n">
        <v>114</v>
      </c>
      <c r="G623" s="14" t="n">
        <v>43</v>
      </c>
      <c r="H623" s="14" t="s">
        <v>62</v>
      </c>
      <c r="I623" s="14" t="n">
        <v>0.76</v>
      </c>
      <c r="J623" s="14" t="n">
        <v>6</v>
      </c>
      <c r="K623" s="14" t="s">
        <v>59</v>
      </c>
      <c r="L623" s="14" t="n">
        <v>2014</v>
      </c>
      <c r="M623" s="14" t="n">
        <v>7.74932246466036</v>
      </c>
      <c r="N623" s="14" t="n">
        <v>2.99623214859564</v>
      </c>
      <c r="P623" s="14" t="n">
        <f aca="false">D623</f>
        <v>20</v>
      </c>
      <c r="Q623" s="14" t="n">
        <f aca="false">G623</f>
        <v>43</v>
      </c>
      <c r="R623" s="14" t="n">
        <f aca="false">J623</f>
        <v>6</v>
      </c>
      <c r="S623" s="14" t="n">
        <f aca="false">IF($L623=2012,1,0)</f>
        <v>0</v>
      </c>
      <c r="T623" s="14" t="n">
        <f aca="false">IF($L623=2013,1,0)</f>
        <v>0</v>
      </c>
      <c r="U623" s="14" t="n">
        <f aca="false">IF($L623=2014,1,0)</f>
        <v>1</v>
      </c>
      <c r="V623" s="14" t="n">
        <f aca="false">IF($L623=2015,1,0)</f>
        <v>0</v>
      </c>
      <c r="W623" s="14" t="n">
        <f aca="false">IF($L623=2016,1,0)</f>
        <v>0</v>
      </c>
      <c r="X623" s="14" t="n">
        <f aca="false">IF($L623=2017,1,0)</f>
        <v>0</v>
      </c>
      <c r="Y623" s="14" t="n">
        <f aca="false">IF($H623="Beginner Level",1,0)</f>
        <v>0</v>
      </c>
      <c r="Z623" s="14" t="n">
        <f aca="false">IF($H623="Expert Level",1,0)</f>
        <v>0</v>
      </c>
      <c r="AA623" s="14" t="n">
        <f aca="false">IF($H623="Intermediate Level",1,0)</f>
        <v>0</v>
      </c>
      <c r="AC623" s="14" t="n">
        <f aca="false">N623</f>
        <v>2.99623214859564</v>
      </c>
      <c r="AD623" s="14" t="n">
        <f aca="false">G623</f>
        <v>43</v>
      </c>
      <c r="AE623" s="14" t="n">
        <f aca="false">J623</f>
        <v>6</v>
      </c>
      <c r="AF623" s="14" t="n">
        <f aca="false">IF($L623=2012,1,0)</f>
        <v>0</v>
      </c>
      <c r="AG623" s="14" t="n">
        <f aca="false">IF($L623=2013,1,0)</f>
        <v>0</v>
      </c>
      <c r="AH623" s="14" t="n">
        <f aca="false">IF($L623=2014,1,0)</f>
        <v>1</v>
      </c>
      <c r="AI623" s="14" t="n">
        <f aca="false">IF($L623=2015,1,0)</f>
        <v>0</v>
      </c>
      <c r="AJ623" s="14" t="n">
        <f aca="false">IF($L623=2016,1,0)</f>
        <v>0</v>
      </c>
      <c r="AK623" s="14" t="n">
        <f aca="false">IF($L623=2017,1,0)</f>
        <v>0</v>
      </c>
      <c r="AL623" s="14" t="n">
        <f aca="false">IF($H623="Beginner Level",1,0)</f>
        <v>0</v>
      </c>
      <c r="AM623" s="14" t="n">
        <f aca="false">IF($H623="Expert Level",1,0)</f>
        <v>0</v>
      </c>
      <c r="AN623" s="14" t="n">
        <f aca="false">IF($H623="Intermediate Level",1,0)</f>
        <v>0</v>
      </c>
    </row>
    <row r="624" customFormat="false" ht="57.45" hidden="false" customHeight="false" outlineLevel="0" collapsed="false">
      <c r="A624" s="14" t="n">
        <v>739770</v>
      </c>
      <c r="B624" s="14" t="s">
        <v>1290</v>
      </c>
      <c r="C624" s="14" t="s">
        <v>1291</v>
      </c>
      <c r="D624" s="14" t="n">
        <v>20</v>
      </c>
      <c r="E624" s="14" t="n">
        <v>2314</v>
      </c>
      <c r="F624" s="14" t="n">
        <v>77</v>
      </c>
      <c r="G624" s="14" t="n">
        <v>25</v>
      </c>
      <c r="H624" s="14" t="s">
        <v>52</v>
      </c>
      <c r="I624" s="14" t="n">
        <v>0.47</v>
      </c>
      <c r="J624" s="14" t="n">
        <v>2</v>
      </c>
      <c r="K624" s="14" t="s">
        <v>59</v>
      </c>
      <c r="L624" s="14" t="n">
        <v>2016</v>
      </c>
      <c r="M624" s="14" t="n">
        <v>7.74673290775362</v>
      </c>
      <c r="N624" s="14" t="n">
        <v>2.99623214859564</v>
      </c>
      <c r="P624" s="14" t="n">
        <f aca="false">D624</f>
        <v>20</v>
      </c>
      <c r="Q624" s="14" t="n">
        <f aca="false">G624</f>
        <v>25</v>
      </c>
      <c r="R624" s="14" t="n">
        <f aca="false">J624</f>
        <v>2</v>
      </c>
      <c r="S624" s="14" t="n">
        <f aca="false">IF($L624=2012,1,0)</f>
        <v>0</v>
      </c>
      <c r="T624" s="14" t="n">
        <f aca="false">IF($L624=2013,1,0)</f>
        <v>0</v>
      </c>
      <c r="U624" s="14" t="n">
        <f aca="false">IF($L624=2014,1,0)</f>
        <v>0</v>
      </c>
      <c r="V624" s="14" t="n">
        <f aca="false">IF($L624=2015,1,0)</f>
        <v>0</v>
      </c>
      <c r="W624" s="14" t="n">
        <f aca="false">IF($L624=2016,1,0)</f>
        <v>1</v>
      </c>
      <c r="X624" s="14" t="n">
        <f aca="false">IF($L624=2017,1,0)</f>
        <v>0</v>
      </c>
      <c r="Y624" s="14" t="n">
        <f aca="false">IF($H624="Beginner Level",1,0)</f>
        <v>1</v>
      </c>
      <c r="Z624" s="14" t="n">
        <f aca="false">IF($H624="Expert Level",1,0)</f>
        <v>0</v>
      </c>
      <c r="AA624" s="14" t="n">
        <f aca="false">IF($H624="Intermediate Level",1,0)</f>
        <v>0</v>
      </c>
      <c r="AC624" s="14" t="n">
        <f aca="false">N624</f>
        <v>2.99623214859564</v>
      </c>
      <c r="AD624" s="14" t="n">
        <f aca="false">G624</f>
        <v>25</v>
      </c>
      <c r="AE624" s="14" t="n">
        <f aca="false">J624</f>
        <v>2</v>
      </c>
      <c r="AF624" s="14" t="n">
        <f aca="false">IF($L624=2012,1,0)</f>
        <v>0</v>
      </c>
      <c r="AG624" s="14" t="n">
        <f aca="false">IF($L624=2013,1,0)</f>
        <v>0</v>
      </c>
      <c r="AH624" s="14" t="n">
        <f aca="false">IF($L624=2014,1,0)</f>
        <v>0</v>
      </c>
      <c r="AI624" s="14" t="n">
        <f aca="false">IF($L624=2015,1,0)</f>
        <v>0</v>
      </c>
      <c r="AJ624" s="14" t="n">
        <f aca="false">IF($L624=2016,1,0)</f>
        <v>1</v>
      </c>
      <c r="AK624" s="14" t="n">
        <f aca="false">IF($L624=2017,1,0)</f>
        <v>0</v>
      </c>
      <c r="AL624" s="14" t="n">
        <f aca="false">IF($H624="Beginner Level",1,0)</f>
        <v>1</v>
      </c>
      <c r="AM624" s="14" t="n">
        <f aca="false">IF($H624="Expert Level",1,0)</f>
        <v>0</v>
      </c>
      <c r="AN624" s="14" t="n">
        <f aca="false">IF($H624="Intermediate Level",1,0)</f>
        <v>0</v>
      </c>
    </row>
    <row r="625" customFormat="false" ht="46.25" hidden="false" customHeight="false" outlineLevel="0" collapsed="false">
      <c r="A625" s="14" t="n">
        <v>361620</v>
      </c>
      <c r="B625" s="14" t="s">
        <v>1292</v>
      </c>
      <c r="C625" s="14" t="s">
        <v>1293</v>
      </c>
      <c r="D625" s="14" t="n">
        <v>200</v>
      </c>
      <c r="E625" s="14" t="n">
        <v>2311</v>
      </c>
      <c r="F625" s="14" t="n">
        <v>8</v>
      </c>
      <c r="G625" s="14" t="n">
        <v>44</v>
      </c>
      <c r="H625" s="14" t="s">
        <v>62</v>
      </c>
      <c r="I625" s="14" t="n">
        <v>0.93</v>
      </c>
      <c r="J625" s="14" t="n">
        <v>1.5</v>
      </c>
      <c r="K625" s="14" t="s">
        <v>59</v>
      </c>
      <c r="L625" s="14" t="n">
        <v>2014</v>
      </c>
      <c r="M625" s="14" t="n">
        <v>7.74543561027438</v>
      </c>
      <c r="N625" s="14" t="n">
        <v>5.29836736529808</v>
      </c>
      <c r="P625" s="14" t="n">
        <f aca="false">D625</f>
        <v>200</v>
      </c>
      <c r="Q625" s="14" t="n">
        <f aca="false">G625</f>
        <v>44</v>
      </c>
      <c r="R625" s="14" t="n">
        <f aca="false">J625</f>
        <v>1.5</v>
      </c>
      <c r="S625" s="14" t="n">
        <f aca="false">IF($L625=2012,1,0)</f>
        <v>0</v>
      </c>
      <c r="T625" s="14" t="n">
        <f aca="false">IF($L625=2013,1,0)</f>
        <v>0</v>
      </c>
      <c r="U625" s="14" t="n">
        <f aca="false">IF($L625=2014,1,0)</f>
        <v>1</v>
      </c>
      <c r="V625" s="14" t="n">
        <f aca="false">IF($L625=2015,1,0)</f>
        <v>0</v>
      </c>
      <c r="W625" s="14" t="n">
        <f aca="false">IF($L625=2016,1,0)</f>
        <v>0</v>
      </c>
      <c r="X625" s="14" t="n">
        <f aca="false">IF($L625=2017,1,0)</f>
        <v>0</v>
      </c>
      <c r="Y625" s="14" t="n">
        <f aca="false">IF($H625="Beginner Level",1,0)</f>
        <v>0</v>
      </c>
      <c r="Z625" s="14" t="n">
        <f aca="false">IF($H625="Expert Level",1,0)</f>
        <v>0</v>
      </c>
      <c r="AA625" s="14" t="n">
        <f aca="false">IF($H625="Intermediate Level",1,0)</f>
        <v>0</v>
      </c>
      <c r="AC625" s="14" t="n">
        <f aca="false">N625</f>
        <v>5.29836736529808</v>
      </c>
      <c r="AD625" s="14" t="n">
        <f aca="false">G625</f>
        <v>44</v>
      </c>
      <c r="AE625" s="14" t="n">
        <f aca="false">J625</f>
        <v>1.5</v>
      </c>
      <c r="AF625" s="14" t="n">
        <f aca="false">IF($L625=2012,1,0)</f>
        <v>0</v>
      </c>
      <c r="AG625" s="14" t="n">
        <f aca="false">IF($L625=2013,1,0)</f>
        <v>0</v>
      </c>
      <c r="AH625" s="14" t="n">
        <f aca="false">IF($L625=2014,1,0)</f>
        <v>1</v>
      </c>
      <c r="AI625" s="14" t="n">
        <f aca="false">IF($L625=2015,1,0)</f>
        <v>0</v>
      </c>
      <c r="AJ625" s="14" t="n">
        <f aca="false">IF($L625=2016,1,0)</f>
        <v>0</v>
      </c>
      <c r="AK625" s="14" t="n">
        <f aca="false">IF($L625=2017,1,0)</f>
        <v>0</v>
      </c>
      <c r="AL625" s="14" t="n">
        <f aca="false">IF($H625="Beginner Level",1,0)</f>
        <v>0</v>
      </c>
      <c r="AM625" s="14" t="n">
        <f aca="false">IF($H625="Expert Level",1,0)</f>
        <v>0</v>
      </c>
      <c r="AN625" s="14" t="n">
        <f aca="false">IF($H625="Intermediate Level",1,0)</f>
        <v>0</v>
      </c>
    </row>
    <row r="626" customFormat="false" ht="91" hidden="false" customHeight="false" outlineLevel="0" collapsed="false">
      <c r="A626" s="14" t="n">
        <v>407796</v>
      </c>
      <c r="B626" s="14" t="s">
        <v>1294</v>
      </c>
      <c r="C626" s="14" t="s">
        <v>1295</v>
      </c>
      <c r="D626" s="14" t="n">
        <v>20</v>
      </c>
      <c r="E626" s="14" t="n">
        <v>2306</v>
      </c>
      <c r="F626" s="14" t="n">
        <v>3</v>
      </c>
      <c r="G626" s="14" t="n">
        <v>24</v>
      </c>
      <c r="H626" s="14" t="s">
        <v>62</v>
      </c>
      <c r="I626" s="14" t="n">
        <v>0.93</v>
      </c>
      <c r="J626" s="14" t="n">
        <v>1</v>
      </c>
      <c r="K626" s="14" t="s">
        <v>59</v>
      </c>
      <c r="L626" s="14" t="n">
        <v>2015</v>
      </c>
      <c r="M626" s="14" t="n">
        <v>7.743269700829</v>
      </c>
      <c r="N626" s="14" t="n">
        <v>2.99623214859564</v>
      </c>
      <c r="P626" s="14" t="n">
        <f aca="false">D626</f>
        <v>20</v>
      </c>
      <c r="Q626" s="14" t="n">
        <f aca="false">G626</f>
        <v>24</v>
      </c>
      <c r="R626" s="14" t="n">
        <f aca="false">J626</f>
        <v>1</v>
      </c>
      <c r="S626" s="14" t="n">
        <f aca="false">IF($L626=2012,1,0)</f>
        <v>0</v>
      </c>
      <c r="T626" s="14" t="n">
        <f aca="false">IF($L626=2013,1,0)</f>
        <v>0</v>
      </c>
      <c r="U626" s="14" t="n">
        <f aca="false">IF($L626=2014,1,0)</f>
        <v>0</v>
      </c>
      <c r="V626" s="14" t="n">
        <f aca="false">IF($L626=2015,1,0)</f>
        <v>1</v>
      </c>
      <c r="W626" s="14" t="n">
        <f aca="false">IF($L626=2016,1,0)</f>
        <v>0</v>
      </c>
      <c r="X626" s="14" t="n">
        <f aca="false">IF($L626=2017,1,0)</f>
        <v>0</v>
      </c>
      <c r="Y626" s="14" t="n">
        <f aca="false">IF($H626="Beginner Level",1,0)</f>
        <v>0</v>
      </c>
      <c r="Z626" s="14" t="n">
        <f aca="false">IF($H626="Expert Level",1,0)</f>
        <v>0</v>
      </c>
      <c r="AA626" s="14" t="n">
        <f aca="false">IF($H626="Intermediate Level",1,0)</f>
        <v>0</v>
      </c>
      <c r="AC626" s="14" t="n">
        <f aca="false">N626</f>
        <v>2.99623214859564</v>
      </c>
      <c r="AD626" s="14" t="n">
        <f aca="false">G626</f>
        <v>24</v>
      </c>
      <c r="AE626" s="14" t="n">
        <f aca="false">J626</f>
        <v>1</v>
      </c>
      <c r="AF626" s="14" t="n">
        <f aca="false">IF($L626=2012,1,0)</f>
        <v>0</v>
      </c>
      <c r="AG626" s="14" t="n">
        <f aca="false">IF($L626=2013,1,0)</f>
        <v>0</v>
      </c>
      <c r="AH626" s="14" t="n">
        <f aca="false">IF($L626=2014,1,0)</f>
        <v>0</v>
      </c>
      <c r="AI626" s="14" t="n">
        <f aca="false">IF($L626=2015,1,0)</f>
        <v>1</v>
      </c>
      <c r="AJ626" s="14" t="n">
        <f aca="false">IF($L626=2016,1,0)</f>
        <v>0</v>
      </c>
      <c r="AK626" s="14" t="n">
        <f aca="false">IF($L626=2017,1,0)</f>
        <v>0</v>
      </c>
      <c r="AL626" s="14" t="n">
        <f aca="false">IF($H626="Beginner Level",1,0)</f>
        <v>0</v>
      </c>
      <c r="AM626" s="14" t="n">
        <f aca="false">IF($H626="Expert Level",1,0)</f>
        <v>0</v>
      </c>
      <c r="AN626" s="14" t="n">
        <f aca="false">IF($H626="Intermediate Level",1,0)</f>
        <v>0</v>
      </c>
    </row>
    <row r="627" customFormat="false" ht="57.45" hidden="false" customHeight="false" outlineLevel="0" collapsed="false">
      <c r="A627" s="14" t="n">
        <v>545524</v>
      </c>
      <c r="B627" s="14" t="s">
        <v>1296</v>
      </c>
      <c r="C627" s="14" t="s">
        <v>1297</v>
      </c>
      <c r="D627" s="14" t="n">
        <v>20</v>
      </c>
      <c r="E627" s="14" t="n">
        <v>2299</v>
      </c>
      <c r="F627" s="14" t="n">
        <v>11</v>
      </c>
      <c r="G627" s="14" t="n">
        <v>22</v>
      </c>
      <c r="H627" s="14" t="s">
        <v>52</v>
      </c>
      <c r="I627" s="14" t="n">
        <v>0.93</v>
      </c>
      <c r="J627" s="14" t="n">
        <v>2</v>
      </c>
      <c r="K627" s="14" t="s">
        <v>59</v>
      </c>
      <c r="L627" s="14" t="n">
        <v>2015</v>
      </c>
      <c r="M627" s="14" t="n">
        <v>7.74022952476318</v>
      </c>
      <c r="N627" s="14" t="n">
        <v>2.99623214859564</v>
      </c>
      <c r="P627" s="14" t="n">
        <f aca="false">D627</f>
        <v>20</v>
      </c>
      <c r="Q627" s="14" t="n">
        <f aca="false">G627</f>
        <v>22</v>
      </c>
      <c r="R627" s="14" t="n">
        <f aca="false">J627</f>
        <v>2</v>
      </c>
      <c r="S627" s="14" t="n">
        <f aca="false">IF($L627=2012,1,0)</f>
        <v>0</v>
      </c>
      <c r="T627" s="14" t="n">
        <f aca="false">IF($L627=2013,1,0)</f>
        <v>0</v>
      </c>
      <c r="U627" s="14" t="n">
        <f aca="false">IF($L627=2014,1,0)</f>
        <v>0</v>
      </c>
      <c r="V627" s="14" t="n">
        <f aca="false">IF($L627=2015,1,0)</f>
        <v>1</v>
      </c>
      <c r="W627" s="14" t="n">
        <f aca="false">IF($L627=2016,1,0)</f>
        <v>0</v>
      </c>
      <c r="X627" s="14" t="n">
        <f aca="false">IF($L627=2017,1,0)</f>
        <v>0</v>
      </c>
      <c r="Y627" s="14" t="n">
        <f aca="false">IF($H627="Beginner Level",1,0)</f>
        <v>1</v>
      </c>
      <c r="Z627" s="14" t="n">
        <f aca="false">IF($H627="Expert Level",1,0)</f>
        <v>0</v>
      </c>
      <c r="AA627" s="14" t="n">
        <f aca="false">IF($H627="Intermediate Level",1,0)</f>
        <v>0</v>
      </c>
      <c r="AC627" s="14" t="n">
        <f aca="false">N627</f>
        <v>2.99623214859564</v>
      </c>
      <c r="AD627" s="14" t="n">
        <f aca="false">G627</f>
        <v>22</v>
      </c>
      <c r="AE627" s="14" t="n">
        <f aca="false">J627</f>
        <v>2</v>
      </c>
      <c r="AF627" s="14" t="n">
        <f aca="false">IF($L627=2012,1,0)</f>
        <v>0</v>
      </c>
      <c r="AG627" s="14" t="n">
        <f aca="false">IF($L627=2013,1,0)</f>
        <v>0</v>
      </c>
      <c r="AH627" s="14" t="n">
        <f aca="false">IF($L627=2014,1,0)</f>
        <v>0</v>
      </c>
      <c r="AI627" s="14" t="n">
        <f aca="false">IF($L627=2015,1,0)</f>
        <v>1</v>
      </c>
      <c r="AJ627" s="14" t="n">
        <f aca="false">IF($L627=2016,1,0)</f>
        <v>0</v>
      </c>
      <c r="AK627" s="14" t="n">
        <f aca="false">IF($L627=2017,1,0)</f>
        <v>0</v>
      </c>
      <c r="AL627" s="14" t="n">
        <f aca="false">IF($H627="Beginner Level",1,0)</f>
        <v>1</v>
      </c>
      <c r="AM627" s="14" t="n">
        <f aca="false">IF($H627="Expert Level",1,0)</f>
        <v>0</v>
      </c>
      <c r="AN627" s="14" t="n">
        <f aca="false">IF($H627="Intermediate Level",1,0)</f>
        <v>0</v>
      </c>
    </row>
    <row r="628" customFormat="false" ht="57.45" hidden="false" customHeight="false" outlineLevel="0" collapsed="false">
      <c r="A628" s="14" t="n">
        <v>859422</v>
      </c>
      <c r="B628" s="14" t="s">
        <v>1298</v>
      </c>
      <c r="C628" s="14" t="s">
        <v>1299</v>
      </c>
      <c r="D628" s="14" t="n">
        <v>40</v>
      </c>
      <c r="E628" s="14" t="n">
        <v>2296</v>
      </c>
      <c r="F628" s="14" t="n">
        <v>28</v>
      </c>
      <c r="G628" s="14" t="n">
        <v>14</v>
      </c>
      <c r="H628" s="14" t="s">
        <v>62</v>
      </c>
      <c r="I628" s="14" t="n">
        <v>0.93</v>
      </c>
      <c r="J628" s="14" t="n">
        <v>1.5</v>
      </c>
      <c r="K628" s="14" t="s">
        <v>59</v>
      </c>
      <c r="L628" s="14" t="n">
        <v>2016</v>
      </c>
      <c r="M628" s="14" t="n">
        <v>7.73892375743946</v>
      </c>
      <c r="N628" s="14" t="n">
        <v>3.68912942286914</v>
      </c>
      <c r="P628" s="14" t="n">
        <f aca="false">D628</f>
        <v>40</v>
      </c>
      <c r="Q628" s="14" t="n">
        <f aca="false">G628</f>
        <v>14</v>
      </c>
      <c r="R628" s="14" t="n">
        <f aca="false">J628</f>
        <v>1.5</v>
      </c>
      <c r="S628" s="14" t="n">
        <f aca="false">IF($L628=2012,1,0)</f>
        <v>0</v>
      </c>
      <c r="T628" s="14" t="n">
        <f aca="false">IF($L628=2013,1,0)</f>
        <v>0</v>
      </c>
      <c r="U628" s="14" t="n">
        <f aca="false">IF($L628=2014,1,0)</f>
        <v>0</v>
      </c>
      <c r="V628" s="14" t="n">
        <f aca="false">IF($L628=2015,1,0)</f>
        <v>0</v>
      </c>
      <c r="W628" s="14" t="n">
        <f aca="false">IF($L628=2016,1,0)</f>
        <v>1</v>
      </c>
      <c r="X628" s="14" t="n">
        <f aca="false">IF($L628=2017,1,0)</f>
        <v>0</v>
      </c>
      <c r="Y628" s="14" t="n">
        <f aca="false">IF($H628="Beginner Level",1,0)</f>
        <v>0</v>
      </c>
      <c r="Z628" s="14" t="n">
        <f aca="false">IF($H628="Expert Level",1,0)</f>
        <v>0</v>
      </c>
      <c r="AA628" s="14" t="n">
        <f aca="false">IF($H628="Intermediate Level",1,0)</f>
        <v>0</v>
      </c>
      <c r="AC628" s="14" t="n">
        <f aca="false">N628</f>
        <v>3.68912942286914</v>
      </c>
      <c r="AD628" s="14" t="n">
        <f aca="false">G628</f>
        <v>14</v>
      </c>
      <c r="AE628" s="14" t="n">
        <f aca="false">J628</f>
        <v>1.5</v>
      </c>
      <c r="AF628" s="14" t="n">
        <f aca="false">IF($L628=2012,1,0)</f>
        <v>0</v>
      </c>
      <c r="AG628" s="14" t="n">
        <f aca="false">IF($L628=2013,1,0)</f>
        <v>0</v>
      </c>
      <c r="AH628" s="14" t="n">
        <f aca="false">IF($L628=2014,1,0)</f>
        <v>0</v>
      </c>
      <c r="AI628" s="14" t="n">
        <f aca="false">IF($L628=2015,1,0)</f>
        <v>0</v>
      </c>
      <c r="AJ628" s="14" t="n">
        <f aca="false">IF($L628=2016,1,0)</f>
        <v>1</v>
      </c>
      <c r="AK628" s="14" t="n">
        <f aca="false">IF($L628=2017,1,0)</f>
        <v>0</v>
      </c>
      <c r="AL628" s="14" t="n">
        <f aca="false">IF($H628="Beginner Level",1,0)</f>
        <v>0</v>
      </c>
      <c r="AM628" s="14" t="n">
        <f aca="false">IF($H628="Expert Level",1,0)</f>
        <v>0</v>
      </c>
      <c r="AN628" s="14" t="n">
        <f aca="false">IF($H628="Intermediate Level",1,0)</f>
        <v>0</v>
      </c>
    </row>
    <row r="629" customFormat="false" ht="68.65" hidden="false" customHeight="false" outlineLevel="0" collapsed="false">
      <c r="A629" s="14" t="n">
        <v>450068</v>
      </c>
      <c r="B629" s="14" t="s">
        <v>1300</v>
      </c>
      <c r="C629" s="14" t="s">
        <v>1301</v>
      </c>
      <c r="D629" s="14" t="n">
        <v>20</v>
      </c>
      <c r="E629" s="14" t="n">
        <v>2281</v>
      </c>
      <c r="F629" s="14" t="n">
        <v>32</v>
      </c>
      <c r="G629" s="14" t="n">
        <v>21</v>
      </c>
      <c r="H629" s="14" t="s">
        <v>62</v>
      </c>
      <c r="I629" s="14" t="n">
        <v>0.93</v>
      </c>
      <c r="J629" s="14" t="n">
        <v>1.5</v>
      </c>
      <c r="K629" s="14" t="s">
        <v>59</v>
      </c>
      <c r="L629" s="14" t="n">
        <v>2015</v>
      </c>
      <c r="M629" s="14" t="n">
        <v>7.73236922228439</v>
      </c>
      <c r="N629" s="14" t="n">
        <v>2.99623214859564</v>
      </c>
      <c r="P629" s="14" t="n">
        <f aca="false">D629</f>
        <v>20</v>
      </c>
      <c r="Q629" s="14" t="n">
        <f aca="false">G629</f>
        <v>21</v>
      </c>
      <c r="R629" s="14" t="n">
        <f aca="false">J629</f>
        <v>1.5</v>
      </c>
      <c r="S629" s="14" t="n">
        <f aca="false">IF($L629=2012,1,0)</f>
        <v>0</v>
      </c>
      <c r="T629" s="14" t="n">
        <f aca="false">IF($L629=2013,1,0)</f>
        <v>0</v>
      </c>
      <c r="U629" s="14" t="n">
        <f aca="false">IF($L629=2014,1,0)</f>
        <v>0</v>
      </c>
      <c r="V629" s="14" t="n">
        <f aca="false">IF($L629=2015,1,0)</f>
        <v>1</v>
      </c>
      <c r="W629" s="14" t="n">
        <f aca="false">IF($L629=2016,1,0)</f>
        <v>0</v>
      </c>
      <c r="X629" s="14" t="n">
        <f aca="false">IF($L629=2017,1,0)</f>
        <v>0</v>
      </c>
      <c r="Y629" s="14" t="n">
        <f aca="false">IF($H629="Beginner Level",1,0)</f>
        <v>0</v>
      </c>
      <c r="Z629" s="14" t="n">
        <f aca="false">IF($H629="Expert Level",1,0)</f>
        <v>0</v>
      </c>
      <c r="AA629" s="14" t="n">
        <f aca="false">IF($H629="Intermediate Level",1,0)</f>
        <v>0</v>
      </c>
      <c r="AC629" s="14" t="n">
        <f aca="false">N629</f>
        <v>2.99623214859564</v>
      </c>
      <c r="AD629" s="14" t="n">
        <f aca="false">G629</f>
        <v>21</v>
      </c>
      <c r="AE629" s="14" t="n">
        <f aca="false">J629</f>
        <v>1.5</v>
      </c>
      <c r="AF629" s="14" t="n">
        <f aca="false">IF($L629=2012,1,0)</f>
        <v>0</v>
      </c>
      <c r="AG629" s="14" t="n">
        <f aca="false">IF($L629=2013,1,0)</f>
        <v>0</v>
      </c>
      <c r="AH629" s="14" t="n">
        <f aca="false">IF($L629=2014,1,0)</f>
        <v>0</v>
      </c>
      <c r="AI629" s="14" t="n">
        <f aca="false">IF($L629=2015,1,0)</f>
        <v>1</v>
      </c>
      <c r="AJ629" s="14" t="n">
        <f aca="false">IF($L629=2016,1,0)</f>
        <v>0</v>
      </c>
      <c r="AK629" s="14" t="n">
        <f aca="false">IF($L629=2017,1,0)</f>
        <v>0</v>
      </c>
      <c r="AL629" s="14" t="n">
        <f aca="false">IF($H629="Beginner Level",1,0)</f>
        <v>0</v>
      </c>
      <c r="AM629" s="14" t="n">
        <f aca="false">IF($H629="Expert Level",1,0)</f>
        <v>0</v>
      </c>
      <c r="AN629" s="14" t="n">
        <f aca="false">IF($H629="Intermediate Level",1,0)</f>
        <v>0</v>
      </c>
    </row>
    <row r="630" customFormat="false" ht="68.65" hidden="false" customHeight="false" outlineLevel="0" collapsed="false">
      <c r="A630" s="14" t="n">
        <v>1208638</v>
      </c>
      <c r="B630" s="14" t="s">
        <v>1302</v>
      </c>
      <c r="C630" s="14" t="s">
        <v>1303</v>
      </c>
      <c r="D630" s="14" t="n">
        <v>160</v>
      </c>
      <c r="E630" s="14" t="n">
        <v>2273</v>
      </c>
      <c r="F630" s="14" t="n">
        <v>288</v>
      </c>
      <c r="G630" s="14" t="n">
        <v>142</v>
      </c>
      <c r="H630" s="14" t="s">
        <v>52</v>
      </c>
      <c r="I630" s="14" t="n">
        <v>0.93</v>
      </c>
      <c r="J630" s="14" t="n">
        <v>8</v>
      </c>
      <c r="K630" s="14" t="s">
        <v>59</v>
      </c>
      <c r="L630" s="14" t="n">
        <v>2017</v>
      </c>
      <c r="M630" s="14" t="n">
        <v>7.72885582385254</v>
      </c>
      <c r="N630" s="14" t="n">
        <v>5.07523631328078</v>
      </c>
      <c r="P630" s="14" t="n">
        <f aca="false">D630</f>
        <v>160</v>
      </c>
      <c r="Q630" s="14" t="n">
        <f aca="false">G630</f>
        <v>142</v>
      </c>
      <c r="R630" s="14" t="n">
        <f aca="false">J630</f>
        <v>8</v>
      </c>
      <c r="S630" s="14" t="n">
        <f aca="false">IF($L630=2012,1,0)</f>
        <v>0</v>
      </c>
      <c r="T630" s="14" t="n">
        <f aca="false">IF($L630=2013,1,0)</f>
        <v>0</v>
      </c>
      <c r="U630" s="14" t="n">
        <f aca="false">IF($L630=2014,1,0)</f>
        <v>0</v>
      </c>
      <c r="V630" s="14" t="n">
        <f aca="false">IF($L630=2015,1,0)</f>
        <v>0</v>
      </c>
      <c r="W630" s="14" t="n">
        <f aca="false">IF($L630=2016,1,0)</f>
        <v>0</v>
      </c>
      <c r="X630" s="14" t="n">
        <f aca="false">IF($L630=2017,1,0)</f>
        <v>1</v>
      </c>
      <c r="Y630" s="14" t="n">
        <f aca="false">IF($H630="Beginner Level",1,0)</f>
        <v>1</v>
      </c>
      <c r="Z630" s="14" t="n">
        <f aca="false">IF($H630="Expert Level",1,0)</f>
        <v>0</v>
      </c>
      <c r="AA630" s="14" t="n">
        <f aca="false">IF($H630="Intermediate Level",1,0)</f>
        <v>0</v>
      </c>
      <c r="AC630" s="14" t="n">
        <f aca="false">N630</f>
        <v>5.07523631328078</v>
      </c>
      <c r="AD630" s="14" t="n">
        <f aca="false">G630</f>
        <v>142</v>
      </c>
      <c r="AE630" s="14" t="n">
        <f aca="false">J630</f>
        <v>8</v>
      </c>
      <c r="AF630" s="14" t="n">
        <f aca="false">IF($L630=2012,1,0)</f>
        <v>0</v>
      </c>
      <c r="AG630" s="14" t="n">
        <f aca="false">IF($L630=2013,1,0)</f>
        <v>0</v>
      </c>
      <c r="AH630" s="14" t="n">
        <f aca="false">IF($L630=2014,1,0)</f>
        <v>0</v>
      </c>
      <c r="AI630" s="14" t="n">
        <f aca="false">IF($L630=2015,1,0)</f>
        <v>0</v>
      </c>
      <c r="AJ630" s="14" t="n">
        <f aca="false">IF($L630=2016,1,0)</f>
        <v>0</v>
      </c>
      <c r="AK630" s="14" t="n">
        <f aca="false">IF($L630=2017,1,0)</f>
        <v>1</v>
      </c>
      <c r="AL630" s="14" t="n">
        <f aca="false">IF($H630="Beginner Level",1,0)</f>
        <v>1</v>
      </c>
      <c r="AM630" s="14" t="n">
        <f aca="false">IF($H630="Expert Level",1,0)</f>
        <v>0</v>
      </c>
      <c r="AN630" s="14" t="n">
        <f aca="false">IF($H630="Intermediate Level",1,0)</f>
        <v>0</v>
      </c>
    </row>
    <row r="631" customFormat="false" ht="91" hidden="false" customHeight="false" outlineLevel="0" collapsed="false">
      <c r="A631" s="14" t="n">
        <v>857162</v>
      </c>
      <c r="B631" s="14" t="s">
        <v>1304</v>
      </c>
      <c r="C631" s="14" t="s">
        <v>1305</v>
      </c>
      <c r="D631" s="14" t="n">
        <v>60</v>
      </c>
      <c r="E631" s="14" t="n">
        <v>2273</v>
      </c>
      <c r="F631" s="14" t="n">
        <v>384</v>
      </c>
      <c r="G631" s="14" t="n">
        <v>91</v>
      </c>
      <c r="H631" s="14" t="s">
        <v>62</v>
      </c>
      <c r="I631" s="14" t="n">
        <v>0.93</v>
      </c>
      <c r="J631" s="14" t="n">
        <v>16.5</v>
      </c>
      <c r="K631" s="14" t="s">
        <v>59</v>
      </c>
      <c r="L631" s="14" t="n">
        <v>2016</v>
      </c>
      <c r="M631" s="14" t="n">
        <v>7.72885582385254</v>
      </c>
      <c r="N631" s="14" t="n">
        <v>4.09451121500142</v>
      </c>
      <c r="P631" s="14" t="n">
        <f aca="false">D631</f>
        <v>60</v>
      </c>
      <c r="Q631" s="14" t="n">
        <f aca="false">G631</f>
        <v>91</v>
      </c>
      <c r="R631" s="14" t="n">
        <f aca="false">J631</f>
        <v>16.5</v>
      </c>
      <c r="S631" s="14" t="n">
        <f aca="false">IF($L631=2012,1,0)</f>
        <v>0</v>
      </c>
      <c r="T631" s="14" t="n">
        <f aca="false">IF($L631=2013,1,0)</f>
        <v>0</v>
      </c>
      <c r="U631" s="14" t="n">
        <f aca="false">IF($L631=2014,1,0)</f>
        <v>0</v>
      </c>
      <c r="V631" s="14" t="n">
        <f aca="false">IF($L631=2015,1,0)</f>
        <v>0</v>
      </c>
      <c r="W631" s="14" t="n">
        <f aca="false">IF($L631=2016,1,0)</f>
        <v>1</v>
      </c>
      <c r="X631" s="14" t="n">
        <f aca="false">IF($L631=2017,1,0)</f>
        <v>0</v>
      </c>
      <c r="Y631" s="14" t="n">
        <f aca="false">IF($H631="Beginner Level",1,0)</f>
        <v>0</v>
      </c>
      <c r="Z631" s="14" t="n">
        <f aca="false">IF($H631="Expert Level",1,0)</f>
        <v>0</v>
      </c>
      <c r="AA631" s="14" t="n">
        <f aca="false">IF($H631="Intermediate Level",1,0)</f>
        <v>0</v>
      </c>
      <c r="AC631" s="14" t="n">
        <f aca="false">N631</f>
        <v>4.09451121500142</v>
      </c>
      <c r="AD631" s="14" t="n">
        <f aca="false">G631</f>
        <v>91</v>
      </c>
      <c r="AE631" s="14" t="n">
        <f aca="false">J631</f>
        <v>16.5</v>
      </c>
      <c r="AF631" s="14" t="n">
        <f aca="false">IF($L631=2012,1,0)</f>
        <v>0</v>
      </c>
      <c r="AG631" s="14" t="n">
        <f aca="false">IF($L631=2013,1,0)</f>
        <v>0</v>
      </c>
      <c r="AH631" s="14" t="n">
        <f aca="false">IF($L631=2014,1,0)</f>
        <v>0</v>
      </c>
      <c r="AI631" s="14" t="n">
        <f aca="false">IF($L631=2015,1,0)</f>
        <v>0</v>
      </c>
      <c r="AJ631" s="14" t="n">
        <f aca="false">IF($L631=2016,1,0)</f>
        <v>1</v>
      </c>
      <c r="AK631" s="14" t="n">
        <f aca="false">IF($L631=2017,1,0)</f>
        <v>0</v>
      </c>
      <c r="AL631" s="14" t="n">
        <f aca="false">IF($H631="Beginner Level",1,0)</f>
        <v>0</v>
      </c>
      <c r="AM631" s="14" t="n">
        <f aca="false">IF($H631="Expert Level",1,0)</f>
        <v>0</v>
      </c>
      <c r="AN631" s="14" t="n">
        <f aca="false">IF($H631="Intermediate Level",1,0)</f>
        <v>0</v>
      </c>
    </row>
    <row r="632" customFormat="false" ht="57.45" hidden="false" customHeight="false" outlineLevel="0" collapsed="false">
      <c r="A632" s="14" t="n">
        <v>339086</v>
      </c>
      <c r="B632" s="14" t="s">
        <v>1306</v>
      </c>
      <c r="C632" s="14" t="s">
        <v>1307</v>
      </c>
      <c r="D632" s="14" t="n">
        <v>60</v>
      </c>
      <c r="E632" s="14" t="n">
        <v>2267</v>
      </c>
      <c r="F632" s="14" t="n">
        <v>17</v>
      </c>
      <c r="G632" s="14" t="n">
        <v>29</v>
      </c>
      <c r="H632" s="14" t="s">
        <v>62</v>
      </c>
      <c r="I632" s="14" t="n">
        <v>0.93</v>
      </c>
      <c r="J632" s="14" t="n">
        <v>1.5</v>
      </c>
      <c r="K632" s="14" t="s">
        <v>59</v>
      </c>
      <c r="L632" s="14" t="n">
        <v>2015</v>
      </c>
      <c r="M632" s="14" t="n">
        <v>7.72621265050753</v>
      </c>
      <c r="N632" s="14" t="n">
        <v>4.09451121500142</v>
      </c>
      <c r="P632" s="14" t="n">
        <f aca="false">D632</f>
        <v>60</v>
      </c>
      <c r="Q632" s="14" t="n">
        <f aca="false">G632</f>
        <v>29</v>
      </c>
      <c r="R632" s="14" t="n">
        <f aca="false">J632</f>
        <v>1.5</v>
      </c>
      <c r="S632" s="14" t="n">
        <f aca="false">IF($L632=2012,1,0)</f>
        <v>0</v>
      </c>
      <c r="T632" s="14" t="n">
        <f aca="false">IF($L632=2013,1,0)</f>
        <v>0</v>
      </c>
      <c r="U632" s="14" t="n">
        <f aca="false">IF($L632=2014,1,0)</f>
        <v>0</v>
      </c>
      <c r="V632" s="14" t="n">
        <f aca="false">IF($L632=2015,1,0)</f>
        <v>1</v>
      </c>
      <c r="W632" s="14" t="n">
        <f aca="false">IF($L632=2016,1,0)</f>
        <v>0</v>
      </c>
      <c r="X632" s="14" t="n">
        <f aca="false">IF($L632=2017,1,0)</f>
        <v>0</v>
      </c>
      <c r="Y632" s="14" t="n">
        <f aca="false">IF($H632="Beginner Level",1,0)</f>
        <v>0</v>
      </c>
      <c r="Z632" s="14" t="n">
        <f aca="false">IF($H632="Expert Level",1,0)</f>
        <v>0</v>
      </c>
      <c r="AA632" s="14" t="n">
        <f aca="false">IF($H632="Intermediate Level",1,0)</f>
        <v>0</v>
      </c>
      <c r="AC632" s="14" t="n">
        <f aca="false">N632</f>
        <v>4.09451121500142</v>
      </c>
      <c r="AD632" s="14" t="n">
        <f aca="false">G632</f>
        <v>29</v>
      </c>
      <c r="AE632" s="14" t="n">
        <f aca="false">J632</f>
        <v>1.5</v>
      </c>
      <c r="AF632" s="14" t="n">
        <f aca="false">IF($L632=2012,1,0)</f>
        <v>0</v>
      </c>
      <c r="AG632" s="14" t="n">
        <f aca="false">IF($L632=2013,1,0)</f>
        <v>0</v>
      </c>
      <c r="AH632" s="14" t="n">
        <f aca="false">IF($L632=2014,1,0)</f>
        <v>0</v>
      </c>
      <c r="AI632" s="14" t="n">
        <f aca="false">IF($L632=2015,1,0)</f>
        <v>1</v>
      </c>
      <c r="AJ632" s="14" t="n">
        <f aca="false">IF($L632=2016,1,0)</f>
        <v>0</v>
      </c>
      <c r="AK632" s="14" t="n">
        <f aca="false">IF($L632=2017,1,0)</f>
        <v>0</v>
      </c>
      <c r="AL632" s="14" t="n">
        <f aca="false">IF($H632="Beginner Level",1,0)</f>
        <v>0</v>
      </c>
      <c r="AM632" s="14" t="n">
        <f aca="false">IF($H632="Expert Level",1,0)</f>
        <v>0</v>
      </c>
      <c r="AN632" s="14" t="n">
        <f aca="false">IF($H632="Intermediate Level",1,0)</f>
        <v>0</v>
      </c>
    </row>
    <row r="633" customFormat="false" ht="57.45" hidden="false" customHeight="false" outlineLevel="0" collapsed="false">
      <c r="A633" s="14" t="n">
        <v>856526</v>
      </c>
      <c r="B633" s="14" t="s">
        <v>1308</v>
      </c>
      <c r="C633" s="14" t="s">
        <v>1309</v>
      </c>
      <c r="D633" s="14" t="n">
        <v>40</v>
      </c>
      <c r="E633" s="14" t="n">
        <v>2244</v>
      </c>
      <c r="F633" s="14" t="n">
        <v>365</v>
      </c>
      <c r="G633" s="14" t="n">
        <v>168</v>
      </c>
      <c r="H633" s="14" t="s">
        <v>71</v>
      </c>
      <c r="I633" s="14" t="n">
        <v>0.93</v>
      </c>
      <c r="J633" s="14" t="n">
        <v>10</v>
      </c>
      <c r="K633" s="14" t="s">
        <v>59</v>
      </c>
      <c r="L633" s="14" t="n">
        <v>2016</v>
      </c>
      <c r="M633" s="14" t="n">
        <v>7.71601526664259</v>
      </c>
      <c r="N633" s="14" t="n">
        <v>3.68912942286914</v>
      </c>
      <c r="P633" s="14" t="n">
        <f aca="false">D633</f>
        <v>40</v>
      </c>
      <c r="Q633" s="14" t="n">
        <f aca="false">G633</f>
        <v>168</v>
      </c>
      <c r="R633" s="14" t="n">
        <f aca="false">J633</f>
        <v>10</v>
      </c>
      <c r="S633" s="14" t="n">
        <f aca="false">IF($L633=2012,1,0)</f>
        <v>0</v>
      </c>
      <c r="T633" s="14" t="n">
        <f aca="false">IF($L633=2013,1,0)</f>
        <v>0</v>
      </c>
      <c r="U633" s="14" t="n">
        <f aca="false">IF($L633=2014,1,0)</f>
        <v>0</v>
      </c>
      <c r="V633" s="14" t="n">
        <f aca="false">IF($L633=2015,1,0)</f>
        <v>0</v>
      </c>
      <c r="W633" s="14" t="n">
        <f aca="false">IF($L633=2016,1,0)</f>
        <v>1</v>
      </c>
      <c r="X633" s="14" t="n">
        <f aca="false">IF($L633=2017,1,0)</f>
        <v>0</v>
      </c>
      <c r="Y633" s="14" t="n">
        <f aca="false">IF($H633="Beginner Level",1,0)</f>
        <v>0</v>
      </c>
      <c r="Z633" s="14" t="n">
        <f aca="false">IF($H633="Expert Level",1,0)</f>
        <v>0</v>
      </c>
      <c r="AA633" s="14" t="n">
        <f aca="false">IF($H633="Intermediate Level",1,0)</f>
        <v>1</v>
      </c>
      <c r="AC633" s="14" t="n">
        <f aca="false">N633</f>
        <v>3.68912942286914</v>
      </c>
      <c r="AD633" s="14" t="n">
        <f aca="false">G633</f>
        <v>168</v>
      </c>
      <c r="AE633" s="14" t="n">
        <f aca="false">J633</f>
        <v>10</v>
      </c>
      <c r="AF633" s="14" t="n">
        <f aca="false">IF($L633=2012,1,0)</f>
        <v>0</v>
      </c>
      <c r="AG633" s="14" t="n">
        <f aca="false">IF($L633=2013,1,0)</f>
        <v>0</v>
      </c>
      <c r="AH633" s="14" t="n">
        <f aca="false">IF($L633=2014,1,0)</f>
        <v>0</v>
      </c>
      <c r="AI633" s="14" t="n">
        <f aca="false">IF($L633=2015,1,0)</f>
        <v>0</v>
      </c>
      <c r="AJ633" s="14" t="n">
        <f aca="false">IF($L633=2016,1,0)</f>
        <v>1</v>
      </c>
      <c r="AK633" s="14" t="n">
        <f aca="false">IF($L633=2017,1,0)</f>
        <v>0</v>
      </c>
      <c r="AL633" s="14" t="n">
        <f aca="false">IF($H633="Beginner Level",1,0)</f>
        <v>0</v>
      </c>
      <c r="AM633" s="14" t="n">
        <f aca="false">IF($H633="Expert Level",1,0)</f>
        <v>0</v>
      </c>
      <c r="AN633" s="14" t="n">
        <f aca="false">IF($H633="Intermediate Level",1,0)</f>
        <v>1</v>
      </c>
    </row>
    <row r="634" customFormat="false" ht="68.65" hidden="false" customHeight="false" outlineLevel="0" collapsed="false">
      <c r="A634" s="14" t="n">
        <v>834600</v>
      </c>
      <c r="B634" s="14" t="s">
        <v>1310</v>
      </c>
      <c r="C634" s="14" t="s">
        <v>1311</v>
      </c>
      <c r="D634" s="14" t="n">
        <v>20</v>
      </c>
      <c r="E634" s="14" t="n">
        <v>2243</v>
      </c>
      <c r="F634" s="14" t="n">
        <v>27</v>
      </c>
      <c r="G634" s="14" t="n">
        <v>97</v>
      </c>
      <c r="H634" s="14" t="s">
        <v>62</v>
      </c>
      <c r="I634" s="14" t="n">
        <v>0.93</v>
      </c>
      <c r="J634" s="14" t="n">
        <v>7</v>
      </c>
      <c r="K634" s="14" t="s">
        <v>59</v>
      </c>
      <c r="L634" s="14" t="n">
        <v>2016</v>
      </c>
      <c r="M634" s="14" t="n">
        <v>7.71556953452021</v>
      </c>
      <c r="N634" s="14" t="n">
        <v>2.99623214859564</v>
      </c>
      <c r="P634" s="14" t="n">
        <f aca="false">D634</f>
        <v>20</v>
      </c>
      <c r="Q634" s="14" t="n">
        <f aca="false">G634</f>
        <v>97</v>
      </c>
      <c r="R634" s="14" t="n">
        <f aca="false">J634</f>
        <v>7</v>
      </c>
      <c r="S634" s="14" t="n">
        <f aca="false">IF($L634=2012,1,0)</f>
        <v>0</v>
      </c>
      <c r="T634" s="14" t="n">
        <f aca="false">IF($L634=2013,1,0)</f>
        <v>0</v>
      </c>
      <c r="U634" s="14" t="n">
        <f aca="false">IF($L634=2014,1,0)</f>
        <v>0</v>
      </c>
      <c r="V634" s="14" t="n">
        <f aca="false">IF($L634=2015,1,0)</f>
        <v>0</v>
      </c>
      <c r="W634" s="14" t="n">
        <f aca="false">IF($L634=2016,1,0)</f>
        <v>1</v>
      </c>
      <c r="X634" s="14" t="n">
        <f aca="false">IF($L634=2017,1,0)</f>
        <v>0</v>
      </c>
      <c r="Y634" s="14" t="n">
        <f aca="false">IF($H634="Beginner Level",1,0)</f>
        <v>0</v>
      </c>
      <c r="Z634" s="14" t="n">
        <f aca="false">IF($H634="Expert Level",1,0)</f>
        <v>0</v>
      </c>
      <c r="AA634" s="14" t="n">
        <f aca="false">IF($H634="Intermediate Level",1,0)</f>
        <v>0</v>
      </c>
      <c r="AC634" s="14" t="n">
        <f aca="false">N634</f>
        <v>2.99623214859564</v>
      </c>
      <c r="AD634" s="14" t="n">
        <f aca="false">G634</f>
        <v>97</v>
      </c>
      <c r="AE634" s="14" t="n">
        <f aca="false">J634</f>
        <v>7</v>
      </c>
      <c r="AF634" s="14" t="n">
        <f aca="false">IF($L634=2012,1,0)</f>
        <v>0</v>
      </c>
      <c r="AG634" s="14" t="n">
        <f aca="false">IF($L634=2013,1,0)</f>
        <v>0</v>
      </c>
      <c r="AH634" s="14" t="n">
        <f aca="false">IF($L634=2014,1,0)</f>
        <v>0</v>
      </c>
      <c r="AI634" s="14" t="n">
        <f aca="false">IF($L634=2015,1,0)</f>
        <v>0</v>
      </c>
      <c r="AJ634" s="14" t="n">
        <f aca="false">IF($L634=2016,1,0)</f>
        <v>1</v>
      </c>
      <c r="AK634" s="14" t="n">
        <f aca="false">IF($L634=2017,1,0)</f>
        <v>0</v>
      </c>
      <c r="AL634" s="14" t="n">
        <f aca="false">IF($H634="Beginner Level",1,0)</f>
        <v>0</v>
      </c>
      <c r="AM634" s="14" t="n">
        <f aca="false">IF($H634="Expert Level",1,0)</f>
        <v>0</v>
      </c>
      <c r="AN634" s="14" t="n">
        <f aca="false">IF($H634="Intermediate Level",1,0)</f>
        <v>0</v>
      </c>
    </row>
    <row r="635" customFormat="false" ht="57.45" hidden="false" customHeight="false" outlineLevel="0" collapsed="false">
      <c r="A635" s="14" t="n">
        <v>654422</v>
      </c>
      <c r="B635" s="14" t="s">
        <v>1312</v>
      </c>
      <c r="C635" s="14" t="s">
        <v>1313</v>
      </c>
      <c r="D635" s="14" t="n">
        <v>20</v>
      </c>
      <c r="E635" s="14" t="n">
        <v>2238</v>
      </c>
      <c r="F635" s="14" t="n">
        <v>65</v>
      </c>
      <c r="G635" s="14" t="n">
        <v>12</v>
      </c>
      <c r="H635" s="14" t="s">
        <v>62</v>
      </c>
      <c r="I635" s="14" t="n">
        <v>0.93</v>
      </c>
      <c r="J635" s="14" t="n">
        <v>1</v>
      </c>
      <c r="K635" s="14" t="s">
        <v>59</v>
      </c>
      <c r="L635" s="14" t="n">
        <v>2015</v>
      </c>
      <c r="M635" s="14" t="n">
        <v>7.71333788887187</v>
      </c>
      <c r="N635" s="14" t="n">
        <v>2.99623214859564</v>
      </c>
      <c r="P635" s="14" t="n">
        <f aca="false">D635</f>
        <v>20</v>
      </c>
      <c r="Q635" s="14" t="n">
        <f aca="false">G635</f>
        <v>12</v>
      </c>
      <c r="R635" s="14" t="n">
        <f aca="false">J635</f>
        <v>1</v>
      </c>
      <c r="S635" s="14" t="n">
        <f aca="false">IF($L635=2012,1,0)</f>
        <v>0</v>
      </c>
      <c r="T635" s="14" t="n">
        <f aca="false">IF($L635=2013,1,0)</f>
        <v>0</v>
      </c>
      <c r="U635" s="14" t="n">
        <f aca="false">IF($L635=2014,1,0)</f>
        <v>0</v>
      </c>
      <c r="V635" s="14" t="n">
        <f aca="false">IF($L635=2015,1,0)</f>
        <v>1</v>
      </c>
      <c r="W635" s="14" t="n">
        <f aca="false">IF($L635=2016,1,0)</f>
        <v>0</v>
      </c>
      <c r="X635" s="14" t="n">
        <f aca="false">IF($L635=2017,1,0)</f>
        <v>0</v>
      </c>
      <c r="Y635" s="14" t="n">
        <f aca="false">IF($H635="Beginner Level",1,0)</f>
        <v>0</v>
      </c>
      <c r="Z635" s="14" t="n">
        <f aca="false">IF($H635="Expert Level",1,0)</f>
        <v>0</v>
      </c>
      <c r="AA635" s="14" t="n">
        <f aca="false">IF($H635="Intermediate Level",1,0)</f>
        <v>0</v>
      </c>
      <c r="AC635" s="14" t="n">
        <f aca="false">N635</f>
        <v>2.99623214859564</v>
      </c>
      <c r="AD635" s="14" t="n">
        <f aca="false">G635</f>
        <v>12</v>
      </c>
      <c r="AE635" s="14" t="n">
        <f aca="false">J635</f>
        <v>1</v>
      </c>
      <c r="AF635" s="14" t="n">
        <f aca="false">IF($L635=2012,1,0)</f>
        <v>0</v>
      </c>
      <c r="AG635" s="14" t="n">
        <f aca="false">IF($L635=2013,1,0)</f>
        <v>0</v>
      </c>
      <c r="AH635" s="14" t="n">
        <f aca="false">IF($L635=2014,1,0)</f>
        <v>0</v>
      </c>
      <c r="AI635" s="14" t="n">
        <f aca="false">IF($L635=2015,1,0)</f>
        <v>1</v>
      </c>
      <c r="AJ635" s="14" t="n">
        <f aca="false">IF($L635=2016,1,0)</f>
        <v>0</v>
      </c>
      <c r="AK635" s="14" t="n">
        <f aca="false">IF($L635=2017,1,0)</f>
        <v>0</v>
      </c>
      <c r="AL635" s="14" t="n">
        <f aca="false">IF($H635="Beginner Level",1,0)</f>
        <v>0</v>
      </c>
      <c r="AM635" s="14" t="n">
        <f aca="false">IF($H635="Expert Level",1,0)</f>
        <v>0</v>
      </c>
      <c r="AN635" s="14" t="n">
        <f aca="false">IF($H635="Intermediate Level",1,0)</f>
        <v>0</v>
      </c>
    </row>
    <row r="636" customFormat="false" ht="57.45" hidden="false" customHeight="false" outlineLevel="0" collapsed="false">
      <c r="A636" s="14" t="n">
        <v>875194</v>
      </c>
      <c r="B636" s="14" t="s">
        <v>1314</v>
      </c>
      <c r="C636" s="14" t="s">
        <v>1315</v>
      </c>
      <c r="D636" s="14" t="n">
        <v>100</v>
      </c>
      <c r="E636" s="14" t="n">
        <v>2234</v>
      </c>
      <c r="F636" s="14" t="n">
        <v>253</v>
      </c>
      <c r="G636" s="14" t="n">
        <v>115</v>
      </c>
      <c r="H636" s="14" t="s">
        <v>62</v>
      </c>
      <c r="I636" s="14" t="n">
        <v>0.93</v>
      </c>
      <c r="J636" s="14" t="n">
        <v>11.5</v>
      </c>
      <c r="K636" s="14" t="s">
        <v>59</v>
      </c>
      <c r="L636" s="14" t="n">
        <v>2016</v>
      </c>
      <c r="M636" s="14" t="n">
        <v>7.71154897962915</v>
      </c>
      <c r="N636" s="14" t="n">
        <v>4.60527018098843</v>
      </c>
      <c r="P636" s="14" t="n">
        <f aca="false">D636</f>
        <v>100</v>
      </c>
      <c r="Q636" s="14" t="n">
        <f aca="false">G636</f>
        <v>115</v>
      </c>
      <c r="R636" s="14" t="n">
        <f aca="false">J636</f>
        <v>11.5</v>
      </c>
      <c r="S636" s="14" t="n">
        <f aca="false">IF($L636=2012,1,0)</f>
        <v>0</v>
      </c>
      <c r="T636" s="14" t="n">
        <f aca="false">IF($L636=2013,1,0)</f>
        <v>0</v>
      </c>
      <c r="U636" s="14" t="n">
        <f aca="false">IF($L636=2014,1,0)</f>
        <v>0</v>
      </c>
      <c r="V636" s="14" t="n">
        <f aca="false">IF($L636=2015,1,0)</f>
        <v>0</v>
      </c>
      <c r="W636" s="14" t="n">
        <f aca="false">IF($L636=2016,1,0)</f>
        <v>1</v>
      </c>
      <c r="X636" s="14" t="n">
        <f aca="false">IF($L636=2017,1,0)</f>
        <v>0</v>
      </c>
      <c r="Y636" s="14" t="n">
        <f aca="false">IF($H636="Beginner Level",1,0)</f>
        <v>0</v>
      </c>
      <c r="Z636" s="14" t="n">
        <f aca="false">IF($H636="Expert Level",1,0)</f>
        <v>0</v>
      </c>
      <c r="AA636" s="14" t="n">
        <f aca="false">IF($H636="Intermediate Level",1,0)</f>
        <v>0</v>
      </c>
      <c r="AC636" s="14" t="n">
        <f aca="false">N636</f>
        <v>4.60527018098843</v>
      </c>
      <c r="AD636" s="14" t="n">
        <f aca="false">G636</f>
        <v>115</v>
      </c>
      <c r="AE636" s="14" t="n">
        <f aca="false">J636</f>
        <v>11.5</v>
      </c>
      <c r="AF636" s="14" t="n">
        <f aca="false">IF($L636=2012,1,0)</f>
        <v>0</v>
      </c>
      <c r="AG636" s="14" t="n">
        <f aca="false">IF($L636=2013,1,0)</f>
        <v>0</v>
      </c>
      <c r="AH636" s="14" t="n">
        <f aca="false">IF($L636=2014,1,0)</f>
        <v>0</v>
      </c>
      <c r="AI636" s="14" t="n">
        <f aca="false">IF($L636=2015,1,0)</f>
        <v>0</v>
      </c>
      <c r="AJ636" s="14" t="n">
        <f aca="false">IF($L636=2016,1,0)</f>
        <v>1</v>
      </c>
      <c r="AK636" s="14" t="n">
        <f aca="false">IF($L636=2017,1,0)</f>
        <v>0</v>
      </c>
      <c r="AL636" s="14" t="n">
        <f aca="false">IF($H636="Beginner Level",1,0)</f>
        <v>0</v>
      </c>
      <c r="AM636" s="14" t="n">
        <f aca="false">IF($H636="Expert Level",1,0)</f>
        <v>0</v>
      </c>
      <c r="AN636" s="14" t="n">
        <f aca="false">IF($H636="Intermediate Level",1,0)</f>
        <v>0</v>
      </c>
    </row>
    <row r="637" customFormat="false" ht="68.65" hidden="false" customHeight="false" outlineLevel="0" collapsed="false">
      <c r="A637" s="14" t="n">
        <v>738360</v>
      </c>
      <c r="B637" s="14" t="s">
        <v>1316</v>
      </c>
      <c r="C637" s="14" t="s">
        <v>1317</v>
      </c>
      <c r="D637" s="14" t="n">
        <v>20</v>
      </c>
      <c r="E637" s="14" t="n">
        <v>2227</v>
      </c>
      <c r="F637" s="14" t="n">
        <v>44</v>
      </c>
      <c r="G637" s="14" t="n">
        <v>26</v>
      </c>
      <c r="H637" s="14" t="s">
        <v>62</v>
      </c>
      <c r="I637" s="14" t="n">
        <v>0.93</v>
      </c>
      <c r="J637" s="14" t="n">
        <v>1.5</v>
      </c>
      <c r="K637" s="14" t="s">
        <v>59</v>
      </c>
      <c r="L637" s="14" t="n">
        <v>2016</v>
      </c>
      <c r="M637" s="14" t="n">
        <v>7.70841066725737</v>
      </c>
      <c r="N637" s="14" t="n">
        <v>2.99623214859564</v>
      </c>
      <c r="P637" s="14" t="n">
        <f aca="false">D637</f>
        <v>20</v>
      </c>
      <c r="Q637" s="14" t="n">
        <f aca="false">G637</f>
        <v>26</v>
      </c>
      <c r="R637" s="14" t="n">
        <f aca="false">J637</f>
        <v>1.5</v>
      </c>
      <c r="S637" s="14" t="n">
        <f aca="false">IF($L637=2012,1,0)</f>
        <v>0</v>
      </c>
      <c r="T637" s="14" t="n">
        <f aca="false">IF($L637=2013,1,0)</f>
        <v>0</v>
      </c>
      <c r="U637" s="14" t="n">
        <f aca="false">IF($L637=2014,1,0)</f>
        <v>0</v>
      </c>
      <c r="V637" s="14" t="n">
        <f aca="false">IF($L637=2015,1,0)</f>
        <v>0</v>
      </c>
      <c r="W637" s="14" t="n">
        <f aca="false">IF($L637=2016,1,0)</f>
        <v>1</v>
      </c>
      <c r="X637" s="14" t="n">
        <f aca="false">IF($L637=2017,1,0)</f>
        <v>0</v>
      </c>
      <c r="Y637" s="14" t="n">
        <f aca="false">IF($H637="Beginner Level",1,0)</f>
        <v>0</v>
      </c>
      <c r="Z637" s="14" t="n">
        <f aca="false">IF($H637="Expert Level",1,0)</f>
        <v>0</v>
      </c>
      <c r="AA637" s="14" t="n">
        <f aca="false">IF($H637="Intermediate Level",1,0)</f>
        <v>0</v>
      </c>
      <c r="AC637" s="14" t="n">
        <f aca="false">N637</f>
        <v>2.99623214859564</v>
      </c>
      <c r="AD637" s="14" t="n">
        <f aca="false">G637</f>
        <v>26</v>
      </c>
      <c r="AE637" s="14" t="n">
        <f aca="false">J637</f>
        <v>1.5</v>
      </c>
      <c r="AF637" s="14" t="n">
        <f aca="false">IF($L637=2012,1,0)</f>
        <v>0</v>
      </c>
      <c r="AG637" s="14" t="n">
        <f aca="false">IF($L637=2013,1,0)</f>
        <v>0</v>
      </c>
      <c r="AH637" s="14" t="n">
        <f aca="false">IF($L637=2014,1,0)</f>
        <v>0</v>
      </c>
      <c r="AI637" s="14" t="n">
        <f aca="false">IF($L637=2015,1,0)</f>
        <v>0</v>
      </c>
      <c r="AJ637" s="14" t="n">
        <f aca="false">IF($L637=2016,1,0)</f>
        <v>1</v>
      </c>
      <c r="AK637" s="14" t="n">
        <f aca="false">IF($L637=2017,1,0)</f>
        <v>0</v>
      </c>
      <c r="AL637" s="14" t="n">
        <f aca="false">IF($H637="Beginner Level",1,0)</f>
        <v>0</v>
      </c>
      <c r="AM637" s="14" t="n">
        <f aca="false">IF($H637="Expert Level",1,0)</f>
        <v>0</v>
      </c>
      <c r="AN637" s="14" t="n">
        <f aca="false">IF($H637="Intermediate Level",1,0)</f>
        <v>0</v>
      </c>
    </row>
    <row r="638" customFormat="false" ht="102.2" hidden="false" customHeight="false" outlineLevel="0" collapsed="false">
      <c r="A638" s="14" t="n">
        <v>1172166</v>
      </c>
      <c r="B638" s="14" t="s">
        <v>1318</v>
      </c>
      <c r="C638" s="14" t="s">
        <v>1319</v>
      </c>
      <c r="D638" s="14" t="n">
        <v>195</v>
      </c>
      <c r="E638" s="14" t="n">
        <v>2225</v>
      </c>
      <c r="F638" s="14" t="n">
        <v>14</v>
      </c>
      <c r="G638" s="14" t="n">
        <v>64</v>
      </c>
      <c r="H638" s="14" t="s">
        <v>62</v>
      </c>
      <c r="I638" s="14" t="n">
        <v>0.93</v>
      </c>
      <c r="J638" s="14" t="n">
        <v>6.5</v>
      </c>
      <c r="K638" s="14" t="s">
        <v>59</v>
      </c>
      <c r="L638" s="14" t="n">
        <v>2017</v>
      </c>
      <c r="M638" s="14" t="n">
        <v>7.70751219460034</v>
      </c>
      <c r="N638" s="14" t="n">
        <v>5.27305083930015</v>
      </c>
      <c r="P638" s="14" t="n">
        <f aca="false">D638</f>
        <v>195</v>
      </c>
      <c r="Q638" s="14" t="n">
        <f aca="false">G638</f>
        <v>64</v>
      </c>
      <c r="R638" s="14" t="n">
        <f aca="false">J638</f>
        <v>6.5</v>
      </c>
      <c r="S638" s="14" t="n">
        <f aca="false">IF($L638=2012,1,0)</f>
        <v>0</v>
      </c>
      <c r="T638" s="14" t="n">
        <f aca="false">IF($L638=2013,1,0)</f>
        <v>0</v>
      </c>
      <c r="U638" s="14" t="n">
        <f aca="false">IF($L638=2014,1,0)</f>
        <v>0</v>
      </c>
      <c r="V638" s="14" t="n">
        <f aca="false">IF($L638=2015,1,0)</f>
        <v>0</v>
      </c>
      <c r="W638" s="14" t="n">
        <f aca="false">IF($L638=2016,1,0)</f>
        <v>0</v>
      </c>
      <c r="X638" s="14" t="n">
        <f aca="false">IF($L638=2017,1,0)</f>
        <v>1</v>
      </c>
      <c r="Y638" s="14" t="n">
        <f aca="false">IF($H638="Beginner Level",1,0)</f>
        <v>0</v>
      </c>
      <c r="Z638" s="14" t="n">
        <f aca="false">IF($H638="Expert Level",1,0)</f>
        <v>0</v>
      </c>
      <c r="AA638" s="14" t="n">
        <f aca="false">IF($H638="Intermediate Level",1,0)</f>
        <v>0</v>
      </c>
      <c r="AC638" s="14" t="n">
        <f aca="false">N638</f>
        <v>5.27305083930015</v>
      </c>
      <c r="AD638" s="14" t="n">
        <f aca="false">G638</f>
        <v>64</v>
      </c>
      <c r="AE638" s="14" t="n">
        <f aca="false">J638</f>
        <v>6.5</v>
      </c>
      <c r="AF638" s="14" t="n">
        <f aca="false">IF($L638=2012,1,0)</f>
        <v>0</v>
      </c>
      <c r="AG638" s="14" t="n">
        <f aca="false">IF($L638=2013,1,0)</f>
        <v>0</v>
      </c>
      <c r="AH638" s="14" t="n">
        <f aca="false">IF($L638=2014,1,0)</f>
        <v>0</v>
      </c>
      <c r="AI638" s="14" t="n">
        <f aca="false">IF($L638=2015,1,0)</f>
        <v>0</v>
      </c>
      <c r="AJ638" s="14" t="n">
        <f aca="false">IF($L638=2016,1,0)</f>
        <v>0</v>
      </c>
      <c r="AK638" s="14" t="n">
        <f aca="false">IF($L638=2017,1,0)</f>
        <v>1</v>
      </c>
      <c r="AL638" s="14" t="n">
        <f aca="false">IF($H638="Beginner Level",1,0)</f>
        <v>0</v>
      </c>
      <c r="AM638" s="14" t="n">
        <f aca="false">IF($H638="Expert Level",1,0)</f>
        <v>0</v>
      </c>
      <c r="AN638" s="14" t="n">
        <f aca="false">IF($H638="Intermediate Level",1,0)</f>
        <v>0</v>
      </c>
    </row>
    <row r="639" customFormat="false" ht="57.45" hidden="false" customHeight="false" outlineLevel="0" collapsed="false">
      <c r="A639" s="14" t="n">
        <v>791414</v>
      </c>
      <c r="B639" s="14" t="s">
        <v>1320</v>
      </c>
      <c r="C639" s="14" t="s">
        <v>1321</v>
      </c>
      <c r="D639" s="14" t="n">
        <v>55</v>
      </c>
      <c r="E639" s="14" t="n">
        <v>2215</v>
      </c>
      <c r="F639" s="14" t="n">
        <v>223</v>
      </c>
      <c r="G639" s="14" t="n">
        <v>74</v>
      </c>
      <c r="H639" s="14" t="s">
        <v>62</v>
      </c>
      <c r="I639" s="14" t="n">
        <v>0.93</v>
      </c>
      <c r="J639" s="14" t="n">
        <v>5</v>
      </c>
      <c r="K639" s="14" t="s">
        <v>59</v>
      </c>
      <c r="L639" s="14" t="n">
        <v>2016</v>
      </c>
      <c r="M639" s="14" t="n">
        <v>7.70300768247924</v>
      </c>
      <c r="N639" s="14" t="n">
        <v>4.00751498688737</v>
      </c>
      <c r="P639" s="14" t="n">
        <f aca="false">D639</f>
        <v>55</v>
      </c>
      <c r="Q639" s="14" t="n">
        <f aca="false">G639</f>
        <v>74</v>
      </c>
      <c r="R639" s="14" t="n">
        <f aca="false">J639</f>
        <v>5</v>
      </c>
      <c r="S639" s="14" t="n">
        <f aca="false">IF($L639=2012,1,0)</f>
        <v>0</v>
      </c>
      <c r="T639" s="14" t="n">
        <f aca="false">IF($L639=2013,1,0)</f>
        <v>0</v>
      </c>
      <c r="U639" s="14" t="n">
        <f aca="false">IF($L639=2014,1,0)</f>
        <v>0</v>
      </c>
      <c r="V639" s="14" t="n">
        <f aca="false">IF($L639=2015,1,0)</f>
        <v>0</v>
      </c>
      <c r="W639" s="14" t="n">
        <f aca="false">IF($L639=2016,1,0)</f>
        <v>1</v>
      </c>
      <c r="X639" s="14" t="n">
        <f aca="false">IF($L639=2017,1,0)</f>
        <v>0</v>
      </c>
      <c r="Y639" s="14" t="n">
        <f aca="false">IF($H639="Beginner Level",1,0)</f>
        <v>0</v>
      </c>
      <c r="Z639" s="14" t="n">
        <f aca="false">IF($H639="Expert Level",1,0)</f>
        <v>0</v>
      </c>
      <c r="AA639" s="14" t="n">
        <f aca="false">IF($H639="Intermediate Level",1,0)</f>
        <v>0</v>
      </c>
      <c r="AC639" s="14" t="n">
        <f aca="false">N639</f>
        <v>4.00751498688737</v>
      </c>
      <c r="AD639" s="14" t="n">
        <f aca="false">G639</f>
        <v>74</v>
      </c>
      <c r="AE639" s="14" t="n">
        <f aca="false">J639</f>
        <v>5</v>
      </c>
      <c r="AF639" s="14" t="n">
        <f aca="false">IF($L639=2012,1,0)</f>
        <v>0</v>
      </c>
      <c r="AG639" s="14" t="n">
        <f aca="false">IF($L639=2013,1,0)</f>
        <v>0</v>
      </c>
      <c r="AH639" s="14" t="n">
        <f aca="false">IF($L639=2014,1,0)</f>
        <v>0</v>
      </c>
      <c r="AI639" s="14" t="n">
        <f aca="false">IF($L639=2015,1,0)</f>
        <v>0</v>
      </c>
      <c r="AJ639" s="14" t="n">
        <f aca="false">IF($L639=2016,1,0)</f>
        <v>1</v>
      </c>
      <c r="AK639" s="14" t="n">
        <f aca="false">IF($L639=2017,1,0)</f>
        <v>0</v>
      </c>
      <c r="AL639" s="14" t="n">
        <f aca="false">IF($H639="Beginner Level",1,0)</f>
        <v>0</v>
      </c>
      <c r="AM639" s="14" t="n">
        <f aca="false">IF($H639="Expert Level",1,0)</f>
        <v>0</v>
      </c>
      <c r="AN639" s="14" t="n">
        <f aca="false">IF($H639="Intermediate Level",1,0)</f>
        <v>0</v>
      </c>
    </row>
    <row r="640" customFormat="false" ht="68.65" hidden="false" customHeight="false" outlineLevel="0" collapsed="false">
      <c r="A640" s="14" t="n">
        <v>1122224</v>
      </c>
      <c r="B640" s="14" t="s">
        <v>1322</v>
      </c>
      <c r="C640" s="14" t="s">
        <v>1323</v>
      </c>
      <c r="D640" s="14" t="n">
        <v>0</v>
      </c>
      <c r="E640" s="14" t="n">
        <v>2214</v>
      </c>
      <c r="F640" s="14" t="n">
        <v>20</v>
      </c>
      <c r="G640" s="14" t="n">
        <v>23</v>
      </c>
      <c r="H640" s="14" t="s">
        <v>62</v>
      </c>
      <c r="I640" s="14" t="n">
        <v>0.93</v>
      </c>
      <c r="J640" s="14" t="n">
        <v>2</v>
      </c>
      <c r="K640" s="14" t="s">
        <v>53</v>
      </c>
      <c r="L640" s="14" t="n">
        <v>2017</v>
      </c>
      <c r="M640" s="14" t="n">
        <v>7.70255611326858</v>
      </c>
      <c r="N640" s="14" t="n">
        <v>-4.60517018598809</v>
      </c>
      <c r="P640" s="14" t="n">
        <f aca="false">D640</f>
        <v>0</v>
      </c>
      <c r="Q640" s="14" t="n">
        <f aca="false">G640</f>
        <v>23</v>
      </c>
      <c r="R640" s="14" t="n">
        <f aca="false">J640</f>
        <v>2</v>
      </c>
      <c r="S640" s="14" t="n">
        <f aca="false">IF($L640=2012,1,0)</f>
        <v>0</v>
      </c>
      <c r="T640" s="14" t="n">
        <f aca="false">IF($L640=2013,1,0)</f>
        <v>0</v>
      </c>
      <c r="U640" s="14" t="n">
        <f aca="false">IF($L640=2014,1,0)</f>
        <v>0</v>
      </c>
      <c r="V640" s="14" t="n">
        <f aca="false">IF($L640=2015,1,0)</f>
        <v>0</v>
      </c>
      <c r="W640" s="14" t="n">
        <f aca="false">IF($L640=2016,1,0)</f>
        <v>0</v>
      </c>
      <c r="X640" s="14" t="n">
        <f aca="false">IF($L640=2017,1,0)</f>
        <v>1</v>
      </c>
      <c r="Y640" s="14" t="n">
        <f aca="false">IF($H640="Beginner Level",1,0)</f>
        <v>0</v>
      </c>
      <c r="Z640" s="14" t="n">
        <f aca="false">IF($H640="Expert Level",1,0)</f>
        <v>0</v>
      </c>
      <c r="AA640" s="14" t="n">
        <f aca="false">IF($H640="Intermediate Level",1,0)</f>
        <v>0</v>
      </c>
      <c r="AC640" s="14" t="n">
        <f aca="false">N640</f>
        <v>-4.60517018598809</v>
      </c>
      <c r="AD640" s="14" t="n">
        <f aca="false">G640</f>
        <v>23</v>
      </c>
      <c r="AE640" s="14" t="n">
        <f aca="false">J640</f>
        <v>2</v>
      </c>
      <c r="AF640" s="14" t="n">
        <f aca="false">IF($L640=2012,1,0)</f>
        <v>0</v>
      </c>
      <c r="AG640" s="14" t="n">
        <f aca="false">IF($L640=2013,1,0)</f>
        <v>0</v>
      </c>
      <c r="AH640" s="14" t="n">
        <f aca="false">IF($L640=2014,1,0)</f>
        <v>0</v>
      </c>
      <c r="AI640" s="14" t="n">
        <f aca="false">IF($L640=2015,1,0)</f>
        <v>0</v>
      </c>
      <c r="AJ640" s="14" t="n">
        <f aca="false">IF($L640=2016,1,0)</f>
        <v>0</v>
      </c>
      <c r="AK640" s="14" t="n">
        <f aca="false">IF($L640=2017,1,0)</f>
        <v>1</v>
      </c>
      <c r="AL640" s="14" t="n">
        <f aca="false">IF($H640="Beginner Level",1,0)</f>
        <v>0</v>
      </c>
      <c r="AM640" s="14" t="n">
        <f aca="false">IF($H640="Expert Level",1,0)</f>
        <v>0</v>
      </c>
      <c r="AN640" s="14" t="n">
        <f aca="false">IF($H640="Intermediate Level",1,0)</f>
        <v>0</v>
      </c>
    </row>
    <row r="641" customFormat="false" ht="68.65" hidden="false" customHeight="false" outlineLevel="0" collapsed="false">
      <c r="A641" s="14" t="n">
        <v>1062686</v>
      </c>
      <c r="B641" s="14" t="s">
        <v>1324</v>
      </c>
      <c r="C641" s="14" t="s">
        <v>1325</v>
      </c>
      <c r="D641" s="14" t="n">
        <v>20</v>
      </c>
      <c r="E641" s="14" t="n">
        <v>2204</v>
      </c>
      <c r="F641" s="14" t="n">
        <v>6</v>
      </c>
      <c r="G641" s="14" t="n">
        <v>97</v>
      </c>
      <c r="H641" s="14" t="s">
        <v>62</v>
      </c>
      <c r="I641" s="14" t="n">
        <v>0.93</v>
      </c>
      <c r="J641" s="14" t="n">
        <v>9</v>
      </c>
      <c r="K641" s="14" t="s">
        <v>59</v>
      </c>
      <c r="L641" s="14" t="n">
        <v>2017</v>
      </c>
      <c r="M641" s="14" t="n">
        <v>7.69802917027281</v>
      </c>
      <c r="N641" s="14" t="n">
        <v>2.99623214859564</v>
      </c>
      <c r="P641" s="14" t="n">
        <f aca="false">D641</f>
        <v>20</v>
      </c>
      <c r="Q641" s="14" t="n">
        <f aca="false">G641</f>
        <v>97</v>
      </c>
      <c r="R641" s="14" t="n">
        <f aca="false">J641</f>
        <v>9</v>
      </c>
      <c r="S641" s="14" t="n">
        <f aca="false">IF($L641=2012,1,0)</f>
        <v>0</v>
      </c>
      <c r="T641" s="14" t="n">
        <f aca="false">IF($L641=2013,1,0)</f>
        <v>0</v>
      </c>
      <c r="U641" s="14" t="n">
        <f aca="false">IF($L641=2014,1,0)</f>
        <v>0</v>
      </c>
      <c r="V641" s="14" t="n">
        <f aca="false">IF($L641=2015,1,0)</f>
        <v>0</v>
      </c>
      <c r="W641" s="14" t="n">
        <f aca="false">IF($L641=2016,1,0)</f>
        <v>0</v>
      </c>
      <c r="X641" s="14" t="n">
        <f aca="false">IF($L641=2017,1,0)</f>
        <v>1</v>
      </c>
      <c r="Y641" s="14" t="n">
        <f aca="false">IF($H641="Beginner Level",1,0)</f>
        <v>0</v>
      </c>
      <c r="Z641" s="14" t="n">
        <f aca="false">IF($H641="Expert Level",1,0)</f>
        <v>0</v>
      </c>
      <c r="AA641" s="14" t="n">
        <f aca="false">IF($H641="Intermediate Level",1,0)</f>
        <v>0</v>
      </c>
      <c r="AC641" s="14" t="n">
        <f aca="false">N641</f>
        <v>2.99623214859564</v>
      </c>
      <c r="AD641" s="14" t="n">
        <f aca="false">G641</f>
        <v>97</v>
      </c>
      <c r="AE641" s="14" t="n">
        <f aca="false">J641</f>
        <v>9</v>
      </c>
      <c r="AF641" s="14" t="n">
        <f aca="false">IF($L641=2012,1,0)</f>
        <v>0</v>
      </c>
      <c r="AG641" s="14" t="n">
        <f aca="false">IF($L641=2013,1,0)</f>
        <v>0</v>
      </c>
      <c r="AH641" s="14" t="n">
        <f aca="false">IF($L641=2014,1,0)</f>
        <v>0</v>
      </c>
      <c r="AI641" s="14" t="n">
        <f aca="false">IF($L641=2015,1,0)</f>
        <v>0</v>
      </c>
      <c r="AJ641" s="14" t="n">
        <f aca="false">IF($L641=2016,1,0)</f>
        <v>0</v>
      </c>
      <c r="AK641" s="14" t="n">
        <f aca="false">IF($L641=2017,1,0)</f>
        <v>1</v>
      </c>
      <c r="AL641" s="14" t="n">
        <f aca="false">IF($H641="Beginner Level",1,0)</f>
        <v>0</v>
      </c>
      <c r="AM641" s="14" t="n">
        <f aca="false">IF($H641="Expert Level",1,0)</f>
        <v>0</v>
      </c>
      <c r="AN641" s="14" t="n">
        <f aca="false">IF($H641="Intermediate Level",1,0)</f>
        <v>0</v>
      </c>
    </row>
    <row r="642" customFormat="false" ht="46.25" hidden="false" customHeight="false" outlineLevel="0" collapsed="false">
      <c r="A642" s="14" t="n">
        <v>737758</v>
      </c>
      <c r="B642" s="14" t="s">
        <v>1326</v>
      </c>
      <c r="C642" s="14" t="s">
        <v>1327</v>
      </c>
      <c r="D642" s="14" t="n">
        <v>30</v>
      </c>
      <c r="E642" s="14" t="n">
        <v>2200</v>
      </c>
      <c r="F642" s="14" t="n">
        <v>25</v>
      </c>
      <c r="G642" s="14" t="n">
        <v>12</v>
      </c>
      <c r="H642" s="14" t="s">
        <v>62</v>
      </c>
      <c r="I642" s="14" t="n">
        <v>0.93</v>
      </c>
      <c r="J642" s="14" t="n">
        <v>1</v>
      </c>
      <c r="K642" s="14" t="s">
        <v>59</v>
      </c>
      <c r="L642" s="14" t="n">
        <v>2016</v>
      </c>
      <c r="M642" s="14" t="n">
        <v>7.69621263934641</v>
      </c>
      <c r="N642" s="14" t="n">
        <v>3.40153065945228</v>
      </c>
      <c r="P642" s="14" t="n">
        <f aca="false">D642</f>
        <v>30</v>
      </c>
      <c r="Q642" s="14" t="n">
        <f aca="false">G642</f>
        <v>12</v>
      </c>
      <c r="R642" s="14" t="n">
        <f aca="false">J642</f>
        <v>1</v>
      </c>
      <c r="S642" s="14" t="n">
        <f aca="false">IF($L642=2012,1,0)</f>
        <v>0</v>
      </c>
      <c r="T642" s="14" t="n">
        <f aca="false">IF($L642=2013,1,0)</f>
        <v>0</v>
      </c>
      <c r="U642" s="14" t="n">
        <f aca="false">IF($L642=2014,1,0)</f>
        <v>0</v>
      </c>
      <c r="V642" s="14" t="n">
        <f aca="false">IF($L642=2015,1,0)</f>
        <v>0</v>
      </c>
      <c r="W642" s="14" t="n">
        <f aca="false">IF($L642=2016,1,0)</f>
        <v>1</v>
      </c>
      <c r="X642" s="14" t="n">
        <f aca="false">IF($L642=2017,1,0)</f>
        <v>0</v>
      </c>
      <c r="Y642" s="14" t="n">
        <f aca="false">IF($H642="Beginner Level",1,0)</f>
        <v>0</v>
      </c>
      <c r="Z642" s="14" t="n">
        <f aca="false">IF($H642="Expert Level",1,0)</f>
        <v>0</v>
      </c>
      <c r="AA642" s="14" t="n">
        <f aca="false">IF($H642="Intermediate Level",1,0)</f>
        <v>0</v>
      </c>
      <c r="AC642" s="14" t="n">
        <f aca="false">N642</f>
        <v>3.40153065945228</v>
      </c>
      <c r="AD642" s="14" t="n">
        <f aca="false">G642</f>
        <v>12</v>
      </c>
      <c r="AE642" s="14" t="n">
        <f aca="false">J642</f>
        <v>1</v>
      </c>
      <c r="AF642" s="14" t="n">
        <f aca="false">IF($L642=2012,1,0)</f>
        <v>0</v>
      </c>
      <c r="AG642" s="14" t="n">
        <f aca="false">IF($L642=2013,1,0)</f>
        <v>0</v>
      </c>
      <c r="AH642" s="14" t="n">
        <f aca="false">IF($L642=2014,1,0)</f>
        <v>0</v>
      </c>
      <c r="AI642" s="14" t="n">
        <f aca="false">IF($L642=2015,1,0)</f>
        <v>0</v>
      </c>
      <c r="AJ642" s="14" t="n">
        <f aca="false">IF($L642=2016,1,0)</f>
        <v>1</v>
      </c>
      <c r="AK642" s="14" t="n">
        <f aca="false">IF($L642=2017,1,0)</f>
        <v>0</v>
      </c>
      <c r="AL642" s="14" t="n">
        <f aca="false">IF($H642="Beginner Level",1,0)</f>
        <v>0</v>
      </c>
      <c r="AM642" s="14" t="n">
        <f aca="false">IF($H642="Expert Level",1,0)</f>
        <v>0</v>
      </c>
      <c r="AN642" s="14" t="n">
        <f aca="false">IF($H642="Intermediate Level",1,0)</f>
        <v>0</v>
      </c>
    </row>
    <row r="643" customFormat="false" ht="57.45" hidden="false" customHeight="false" outlineLevel="0" collapsed="false">
      <c r="A643" s="14" t="n">
        <v>744618</v>
      </c>
      <c r="B643" s="14" t="s">
        <v>1328</v>
      </c>
      <c r="C643" s="14" t="s">
        <v>1329</v>
      </c>
      <c r="D643" s="14" t="n">
        <v>25</v>
      </c>
      <c r="E643" s="14" t="n">
        <v>2197</v>
      </c>
      <c r="F643" s="14" t="n">
        <v>9</v>
      </c>
      <c r="G643" s="14" t="n">
        <v>12</v>
      </c>
      <c r="H643" s="14" t="s">
        <v>52</v>
      </c>
      <c r="I643" s="14" t="n">
        <v>0.93</v>
      </c>
      <c r="J643" s="14" t="n">
        <v>1.5</v>
      </c>
      <c r="K643" s="14" t="s">
        <v>59</v>
      </c>
      <c r="L643" s="14" t="n">
        <v>2016</v>
      </c>
      <c r="M643" s="14" t="n">
        <v>7.69484807238461</v>
      </c>
      <c r="N643" s="14" t="n">
        <v>3.21927574488953</v>
      </c>
      <c r="P643" s="14" t="n">
        <f aca="false">D643</f>
        <v>25</v>
      </c>
      <c r="Q643" s="14" t="n">
        <f aca="false">G643</f>
        <v>12</v>
      </c>
      <c r="R643" s="14" t="n">
        <f aca="false">J643</f>
        <v>1.5</v>
      </c>
      <c r="S643" s="14" t="n">
        <f aca="false">IF($L643=2012,1,0)</f>
        <v>0</v>
      </c>
      <c r="T643" s="14" t="n">
        <f aca="false">IF($L643=2013,1,0)</f>
        <v>0</v>
      </c>
      <c r="U643" s="14" t="n">
        <f aca="false">IF($L643=2014,1,0)</f>
        <v>0</v>
      </c>
      <c r="V643" s="14" t="n">
        <f aca="false">IF($L643=2015,1,0)</f>
        <v>0</v>
      </c>
      <c r="W643" s="14" t="n">
        <f aca="false">IF($L643=2016,1,0)</f>
        <v>1</v>
      </c>
      <c r="X643" s="14" t="n">
        <f aca="false">IF($L643=2017,1,0)</f>
        <v>0</v>
      </c>
      <c r="Y643" s="14" t="n">
        <f aca="false">IF($H643="Beginner Level",1,0)</f>
        <v>1</v>
      </c>
      <c r="Z643" s="14" t="n">
        <f aca="false">IF($H643="Expert Level",1,0)</f>
        <v>0</v>
      </c>
      <c r="AA643" s="14" t="n">
        <f aca="false">IF($H643="Intermediate Level",1,0)</f>
        <v>0</v>
      </c>
      <c r="AC643" s="14" t="n">
        <f aca="false">N643</f>
        <v>3.21927574488953</v>
      </c>
      <c r="AD643" s="14" t="n">
        <f aca="false">G643</f>
        <v>12</v>
      </c>
      <c r="AE643" s="14" t="n">
        <f aca="false">J643</f>
        <v>1.5</v>
      </c>
      <c r="AF643" s="14" t="n">
        <f aca="false">IF($L643=2012,1,0)</f>
        <v>0</v>
      </c>
      <c r="AG643" s="14" t="n">
        <f aca="false">IF($L643=2013,1,0)</f>
        <v>0</v>
      </c>
      <c r="AH643" s="14" t="n">
        <f aca="false">IF($L643=2014,1,0)</f>
        <v>0</v>
      </c>
      <c r="AI643" s="14" t="n">
        <f aca="false">IF($L643=2015,1,0)</f>
        <v>0</v>
      </c>
      <c r="AJ643" s="14" t="n">
        <f aca="false">IF($L643=2016,1,0)</f>
        <v>1</v>
      </c>
      <c r="AK643" s="14" t="n">
        <f aca="false">IF($L643=2017,1,0)</f>
        <v>0</v>
      </c>
      <c r="AL643" s="14" t="n">
        <f aca="false">IF($H643="Beginner Level",1,0)</f>
        <v>1</v>
      </c>
      <c r="AM643" s="14" t="n">
        <f aca="false">IF($H643="Expert Level",1,0)</f>
        <v>0</v>
      </c>
      <c r="AN643" s="14" t="n">
        <f aca="false">IF($H643="Intermediate Level",1,0)</f>
        <v>0</v>
      </c>
    </row>
    <row r="644" customFormat="false" ht="91" hidden="false" customHeight="false" outlineLevel="0" collapsed="false">
      <c r="A644" s="14" t="n">
        <v>782194</v>
      </c>
      <c r="B644" s="14" t="s">
        <v>1330</v>
      </c>
      <c r="C644" s="14" t="s">
        <v>1331</v>
      </c>
      <c r="D644" s="14" t="n">
        <v>100</v>
      </c>
      <c r="E644" s="14" t="n">
        <v>2195</v>
      </c>
      <c r="F644" s="14" t="n">
        <v>10</v>
      </c>
      <c r="G644" s="14" t="n">
        <v>35</v>
      </c>
      <c r="H644" s="14" t="s">
        <v>62</v>
      </c>
      <c r="I644" s="14" t="n">
        <v>0.93</v>
      </c>
      <c r="J644" s="14" t="n">
        <v>3.5</v>
      </c>
      <c r="K644" s="14" t="s">
        <v>59</v>
      </c>
      <c r="L644" s="14" t="n">
        <v>2016</v>
      </c>
      <c r="M644" s="14" t="n">
        <v>7.69393732550927</v>
      </c>
      <c r="N644" s="14" t="n">
        <v>4.60527018098843</v>
      </c>
      <c r="P644" s="14" t="n">
        <f aca="false">D644</f>
        <v>100</v>
      </c>
      <c r="Q644" s="14" t="n">
        <f aca="false">G644</f>
        <v>35</v>
      </c>
      <c r="R644" s="14" t="n">
        <f aca="false">J644</f>
        <v>3.5</v>
      </c>
      <c r="S644" s="14" t="n">
        <f aca="false">IF($L644=2012,1,0)</f>
        <v>0</v>
      </c>
      <c r="T644" s="14" t="n">
        <f aca="false">IF($L644=2013,1,0)</f>
        <v>0</v>
      </c>
      <c r="U644" s="14" t="n">
        <f aca="false">IF($L644=2014,1,0)</f>
        <v>0</v>
      </c>
      <c r="V644" s="14" t="n">
        <f aca="false">IF($L644=2015,1,0)</f>
        <v>0</v>
      </c>
      <c r="W644" s="14" t="n">
        <f aca="false">IF($L644=2016,1,0)</f>
        <v>1</v>
      </c>
      <c r="X644" s="14" t="n">
        <f aca="false">IF($L644=2017,1,0)</f>
        <v>0</v>
      </c>
      <c r="Y644" s="14" t="n">
        <f aca="false">IF($H644="Beginner Level",1,0)</f>
        <v>0</v>
      </c>
      <c r="Z644" s="14" t="n">
        <f aca="false">IF($H644="Expert Level",1,0)</f>
        <v>0</v>
      </c>
      <c r="AA644" s="14" t="n">
        <f aca="false">IF($H644="Intermediate Level",1,0)</f>
        <v>0</v>
      </c>
      <c r="AC644" s="14" t="n">
        <f aca="false">N644</f>
        <v>4.60527018098843</v>
      </c>
      <c r="AD644" s="14" t="n">
        <f aca="false">G644</f>
        <v>35</v>
      </c>
      <c r="AE644" s="14" t="n">
        <f aca="false">J644</f>
        <v>3.5</v>
      </c>
      <c r="AF644" s="14" t="n">
        <f aca="false">IF($L644=2012,1,0)</f>
        <v>0</v>
      </c>
      <c r="AG644" s="14" t="n">
        <f aca="false">IF($L644=2013,1,0)</f>
        <v>0</v>
      </c>
      <c r="AH644" s="14" t="n">
        <f aca="false">IF($L644=2014,1,0)</f>
        <v>0</v>
      </c>
      <c r="AI644" s="14" t="n">
        <f aca="false">IF($L644=2015,1,0)</f>
        <v>0</v>
      </c>
      <c r="AJ644" s="14" t="n">
        <f aca="false">IF($L644=2016,1,0)</f>
        <v>1</v>
      </c>
      <c r="AK644" s="14" t="n">
        <f aca="false">IF($L644=2017,1,0)</f>
        <v>0</v>
      </c>
      <c r="AL644" s="14" t="n">
        <f aca="false">IF($H644="Beginner Level",1,0)</f>
        <v>0</v>
      </c>
      <c r="AM644" s="14" t="n">
        <f aca="false">IF($H644="Expert Level",1,0)</f>
        <v>0</v>
      </c>
      <c r="AN644" s="14" t="n">
        <f aca="false">IF($H644="Intermediate Level",1,0)</f>
        <v>0</v>
      </c>
    </row>
    <row r="645" customFormat="false" ht="57.45" hidden="false" customHeight="false" outlineLevel="0" collapsed="false">
      <c r="A645" s="14" t="n">
        <v>380582</v>
      </c>
      <c r="B645" s="14" t="s">
        <v>1332</v>
      </c>
      <c r="C645" s="14" t="s">
        <v>1333</v>
      </c>
      <c r="D645" s="14" t="n">
        <v>95</v>
      </c>
      <c r="E645" s="14" t="n">
        <v>2185</v>
      </c>
      <c r="F645" s="14" t="n">
        <v>283</v>
      </c>
      <c r="G645" s="14" t="n">
        <v>45</v>
      </c>
      <c r="H645" s="14" t="s">
        <v>62</v>
      </c>
      <c r="I645" s="14" t="n">
        <v>0.93</v>
      </c>
      <c r="J645" s="14" t="n">
        <v>3.5</v>
      </c>
      <c r="K645" s="14" t="s">
        <v>59</v>
      </c>
      <c r="L645" s="14" t="n">
        <v>2015</v>
      </c>
      <c r="M645" s="14" t="n">
        <v>7.68937110752969</v>
      </c>
      <c r="N645" s="14" t="n">
        <v>4.55398214921866</v>
      </c>
      <c r="P645" s="14" t="n">
        <f aca="false">D645</f>
        <v>95</v>
      </c>
      <c r="Q645" s="14" t="n">
        <f aca="false">G645</f>
        <v>45</v>
      </c>
      <c r="R645" s="14" t="n">
        <f aca="false">J645</f>
        <v>3.5</v>
      </c>
      <c r="S645" s="14" t="n">
        <f aca="false">IF($L645=2012,1,0)</f>
        <v>0</v>
      </c>
      <c r="T645" s="14" t="n">
        <f aca="false">IF($L645=2013,1,0)</f>
        <v>0</v>
      </c>
      <c r="U645" s="14" t="n">
        <f aca="false">IF($L645=2014,1,0)</f>
        <v>0</v>
      </c>
      <c r="V645" s="14" t="n">
        <f aca="false">IF($L645=2015,1,0)</f>
        <v>1</v>
      </c>
      <c r="W645" s="14" t="n">
        <f aca="false">IF($L645=2016,1,0)</f>
        <v>0</v>
      </c>
      <c r="X645" s="14" t="n">
        <f aca="false">IF($L645=2017,1,0)</f>
        <v>0</v>
      </c>
      <c r="Y645" s="14" t="n">
        <f aca="false">IF($H645="Beginner Level",1,0)</f>
        <v>0</v>
      </c>
      <c r="Z645" s="14" t="n">
        <f aca="false">IF($H645="Expert Level",1,0)</f>
        <v>0</v>
      </c>
      <c r="AA645" s="14" t="n">
        <f aca="false">IF($H645="Intermediate Level",1,0)</f>
        <v>0</v>
      </c>
      <c r="AC645" s="14" t="n">
        <f aca="false">N645</f>
        <v>4.55398214921866</v>
      </c>
      <c r="AD645" s="14" t="n">
        <f aca="false">G645</f>
        <v>45</v>
      </c>
      <c r="AE645" s="14" t="n">
        <f aca="false">J645</f>
        <v>3.5</v>
      </c>
      <c r="AF645" s="14" t="n">
        <f aca="false">IF($L645=2012,1,0)</f>
        <v>0</v>
      </c>
      <c r="AG645" s="14" t="n">
        <f aca="false">IF($L645=2013,1,0)</f>
        <v>0</v>
      </c>
      <c r="AH645" s="14" t="n">
        <f aca="false">IF($L645=2014,1,0)</f>
        <v>0</v>
      </c>
      <c r="AI645" s="14" t="n">
        <f aca="false">IF($L645=2015,1,0)</f>
        <v>1</v>
      </c>
      <c r="AJ645" s="14" t="n">
        <f aca="false">IF($L645=2016,1,0)</f>
        <v>0</v>
      </c>
      <c r="AK645" s="14" t="n">
        <f aca="false">IF($L645=2017,1,0)</f>
        <v>0</v>
      </c>
      <c r="AL645" s="14" t="n">
        <f aca="false">IF($H645="Beginner Level",1,0)</f>
        <v>0</v>
      </c>
      <c r="AM645" s="14" t="n">
        <f aca="false">IF($H645="Expert Level",1,0)</f>
        <v>0</v>
      </c>
      <c r="AN645" s="14" t="n">
        <f aca="false">IF($H645="Intermediate Level",1,0)</f>
        <v>0</v>
      </c>
    </row>
    <row r="646" customFormat="false" ht="57.45" hidden="false" customHeight="false" outlineLevel="0" collapsed="false">
      <c r="A646" s="14" t="n">
        <v>1148342</v>
      </c>
      <c r="B646" s="14" t="s">
        <v>1334</v>
      </c>
      <c r="C646" s="14" t="s">
        <v>1335</v>
      </c>
      <c r="D646" s="14" t="n">
        <v>80</v>
      </c>
      <c r="E646" s="14" t="n">
        <v>2184</v>
      </c>
      <c r="F646" s="14" t="n">
        <v>15</v>
      </c>
      <c r="G646" s="14" t="n">
        <v>24</v>
      </c>
      <c r="H646" s="14" t="s">
        <v>71</v>
      </c>
      <c r="I646" s="14" t="n">
        <v>0.93</v>
      </c>
      <c r="J646" s="14" t="n">
        <v>3</v>
      </c>
      <c r="K646" s="14" t="s">
        <v>59</v>
      </c>
      <c r="L646" s="14" t="n">
        <v>2017</v>
      </c>
      <c r="M646" s="14" t="n">
        <v>7.6889133368648</v>
      </c>
      <c r="N646" s="14" t="n">
        <v>4.38215162686203</v>
      </c>
      <c r="P646" s="14" t="n">
        <f aca="false">D646</f>
        <v>80</v>
      </c>
      <c r="Q646" s="14" t="n">
        <f aca="false">G646</f>
        <v>24</v>
      </c>
      <c r="R646" s="14" t="n">
        <f aca="false">J646</f>
        <v>3</v>
      </c>
      <c r="S646" s="14" t="n">
        <f aca="false">IF($L646=2012,1,0)</f>
        <v>0</v>
      </c>
      <c r="T646" s="14" t="n">
        <f aca="false">IF($L646=2013,1,0)</f>
        <v>0</v>
      </c>
      <c r="U646" s="14" t="n">
        <f aca="false">IF($L646=2014,1,0)</f>
        <v>0</v>
      </c>
      <c r="V646" s="14" t="n">
        <f aca="false">IF($L646=2015,1,0)</f>
        <v>0</v>
      </c>
      <c r="W646" s="14" t="n">
        <f aca="false">IF($L646=2016,1,0)</f>
        <v>0</v>
      </c>
      <c r="X646" s="14" t="n">
        <f aca="false">IF($L646=2017,1,0)</f>
        <v>1</v>
      </c>
      <c r="Y646" s="14" t="n">
        <f aca="false">IF($H646="Beginner Level",1,0)</f>
        <v>0</v>
      </c>
      <c r="Z646" s="14" t="n">
        <f aca="false">IF($H646="Expert Level",1,0)</f>
        <v>0</v>
      </c>
      <c r="AA646" s="14" t="n">
        <f aca="false">IF($H646="Intermediate Level",1,0)</f>
        <v>1</v>
      </c>
      <c r="AC646" s="14" t="n">
        <f aca="false">N646</f>
        <v>4.38215162686203</v>
      </c>
      <c r="AD646" s="14" t="n">
        <f aca="false">G646</f>
        <v>24</v>
      </c>
      <c r="AE646" s="14" t="n">
        <f aca="false">J646</f>
        <v>3</v>
      </c>
      <c r="AF646" s="14" t="n">
        <f aca="false">IF($L646=2012,1,0)</f>
        <v>0</v>
      </c>
      <c r="AG646" s="14" t="n">
        <f aca="false">IF($L646=2013,1,0)</f>
        <v>0</v>
      </c>
      <c r="AH646" s="14" t="n">
        <f aca="false">IF($L646=2014,1,0)</f>
        <v>0</v>
      </c>
      <c r="AI646" s="14" t="n">
        <f aca="false">IF($L646=2015,1,0)</f>
        <v>0</v>
      </c>
      <c r="AJ646" s="14" t="n">
        <f aca="false">IF($L646=2016,1,0)</f>
        <v>0</v>
      </c>
      <c r="AK646" s="14" t="n">
        <f aca="false">IF($L646=2017,1,0)</f>
        <v>1</v>
      </c>
      <c r="AL646" s="14" t="n">
        <f aca="false">IF($H646="Beginner Level",1,0)</f>
        <v>0</v>
      </c>
      <c r="AM646" s="14" t="n">
        <f aca="false">IF($H646="Expert Level",1,0)</f>
        <v>0</v>
      </c>
      <c r="AN646" s="14" t="n">
        <f aca="false">IF($H646="Intermediate Level",1,0)</f>
        <v>1</v>
      </c>
    </row>
    <row r="647" customFormat="false" ht="68.65" hidden="false" customHeight="false" outlineLevel="0" collapsed="false">
      <c r="A647" s="14" t="n">
        <v>780058</v>
      </c>
      <c r="B647" s="14" t="s">
        <v>1336</v>
      </c>
      <c r="C647" s="14" t="s">
        <v>1337</v>
      </c>
      <c r="D647" s="14" t="n">
        <v>25</v>
      </c>
      <c r="E647" s="14" t="n">
        <v>2178</v>
      </c>
      <c r="F647" s="14" t="n">
        <v>22</v>
      </c>
      <c r="G647" s="14" t="n">
        <v>19</v>
      </c>
      <c r="H647" s="14" t="s">
        <v>62</v>
      </c>
      <c r="I647" s="14" t="n">
        <v>0.93</v>
      </c>
      <c r="J647" s="14" t="n">
        <v>1.5</v>
      </c>
      <c r="K647" s="14" t="s">
        <v>59</v>
      </c>
      <c r="L647" s="14" t="n">
        <v>2016</v>
      </c>
      <c r="M647" s="14" t="n">
        <v>7.68616230349291</v>
      </c>
      <c r="N647" s="14" t="n">
        <v>3.21927574488953</v>
      </c>
      <c r="P647" s="14" t="n">
        <f aca="false">D647</f>
        <v>25</v>
      </c>
      <c r="Q647" s="14" t="n">
        <f aca="false">G647</f>
        <v>19</v>
      </c>
      <c r="R647" s="14" t="n">
        <f aca="false">J647</f>
        <v>1.5</v>
      </c>
      <c r="S647" s="14" t="n">
        <f aca="false">IF($L647=2012,1,0)</f>
        <v>0</v>
      </c>
      <c r="T647" s="14" t="n">
        <f aca="false">IF($L647=2013,1,0)</f>
        <v>0</v>
      </c>
      <c r="U647" s="14" t="n">
        <f aca="false">IF($L647=2014,1,0)</f>
        <v>0</v>
      </c>
      <c r="V647" s="14" t="n">
        <f aca="false">IF($L647=2015,1,0)</f>
        <v>0</v>
      </c>
      <c r="W647" s="14" t="n">
        <f aca="false">IF($L647=2016,1,0)</f>
        <v>1</v>
      </c>
      <c r="X647" s="14" t="n">
        <f aca="false">IF($L647=2017,1,0)</f>
        <v>0</v>
      </c>
      <c r="Y647" s="14" t="n">
        <f aca="false">IF($H647="Beginner Level",1,0)</f>
        <v>0</v>
      </c>
      <c r="Z647" s="14" t="n">
        <f aca="false">IF($H647="Expert Level",1,0)</f>
        <v>0</v>
      </c>
      <c r="AA647" s="14" t="n">
        <f aca="false">IF($H647="Intermediate Level",1,0)</f>
        <v>0</v>
      </c>
      <c r="AC647" s="14" t="n">
        <f aca="false">N647</f>
        <v>3.21927574488953</v>
      </c>
      <c r="AD647" s="14" t="n">
        <f aca="false">G647</f>
        <v>19</v>
      </c>
      <c r="AE647" s="14" t="n">
        <f aca="false">J647</f>
        <v>1.5</v>
      </c>
      <c r="AF647" s="14" t="n">
        <f aca="false">IF($L647=2012,1,0)</f>
        <v>0</v>
      </c>
      <c r="AG647" s="14" t="n">
        <f aca="false">IF($L647=2013,1,0)</f>
        <v>0</v>
      </c>
      <c r="AH647" s="14" t="n">
        <f aca="false">IF($L647=2014,1,0)</f>
        <v>0</v>
      </c>
      <c r="AI647" s="14" t="n">
        <f aca="false">IF($L647=2015,1,0)</f>
        <v>0</v>
      </c>
      <c r="AJ647" s="14" t="n">
        <f aca="false">IF($L647=2016,1,0)</f>
        <v>1</v>
      </c>
      <c r="AK647" s="14" t="n">
        <f aca="false">IF($L647=2017,1,0)</f>
        <v>0</v>
      </c>
      <c r="AL647" s="14" t="n">
        <f aca="false">IF($H647="Beginner Level",1,0)</f>
        <v>0</v>
      </c>
      <c r="AM647" s="14" t="n">
        <f aca="false">IF($H647="Expert Level",1,0)</f>
        <v>0</v>
      </c>
      <c r="AN647" s="14" t="n">
        <f aca="false">IF($H647="Intermediate Level",1,0)</f>
        <v>0</v>
      </c>
    </row>
    <row r="648" customFormat="false" ht="91" hidden="false" customHeight="false" outlineLevel="0" collapsed="false">
      <c r="A648" s="14" t="n">
        <v>510784</v>
      </c>
      <c r="B648" s="14" t="s">
        <v>1338</v>
      </c>
      <c r="C648" s="14" t="s">
        <v>1339</v>
      </c>
      <c r="D648" s="14" t="n">
        <v>20</v>
      </c>
      <c r="E648" s="14" t="n">
        <v>2177</v>
      </c>
      <c r="F648" s="14" t="n">
        <v>13</v>
      </c>
      <c r="G648" s="14" t="n">
        <v>43</v>
      </c>
      <c r="H648" s="14" t="s">
        <v>62</v>
      </c>
      <c r="I648" s="14" t="n">
        <v>0.93</v>
      </c>
      <c r="J648" s="14" t="n">
        <v>4</v>
      </c>
      <c r="K648" s="14" t="s">
        <v>59</v>
      </c>
      <c r="L648" s="14" t="n">
        <v>2015</v>
      </c>
      <c r="M648" s="14" t="n">
        <v>7.68570306123455</v>
      </c>
      <c r="N648" s="14" t="n">
        <v>2.99623214859564</v>
      </c>
      <c r="P648" s="14" t="n">
        <f aca="false">D648</f>
        <v>20</v>
      </c>
      <c r="Q648" s="14" t="n">
        <f aca="false">G648</f>
        <v>43</v>
      </c>
      <c r="R648" s="14" t="n">
        <f aca="false">J648</f>
        <v>4</v>
      </c>
      <c r="S648" s="14" t="n">
        <f aca="false">IF($L648=2012,1,0)</f>
        <v>0</v>
      </c>
      <c r="T648" s="14" t="n">
        <f aca="false">IF($L648=2013,1,0)</f>
        <v>0</v>
      </c>
      <c r="U648" s="14" t="n">
        <f aca="false">IF($L648=2014,1,0)</f>
        <v>0</v>
      </c>
      <c r="V648" s="14" t="n">
        <f aca="false">IF($L648=2015,1,0)</f>
        <v>1</v>
      </c>
      <c r="W648" s="14" t="n">
        <f aca="false">IF($L648=2016,1,0)</f>
        <v>0</v>
      </c>
      <c r="X648" s="14" t="n">
        <f aca="false">IF($L648=2017,1,0)</f>
        <v>0</v>
      </c>
      <c r="Y648" s="14" t="n">
        <f aca="false">IF($H648="Beginner Level",1,0)</f>
        <v>0</v>
      </c>
      <c r="Z648" s="14" t="n">
        <f aca="false">IF($H648="Expert Level",1,0)</f>
        <v>0</v>
      </c>
      <c r="AA648" s="14" t="n">
        <f aca="false">IF($H648="Intermediate Level",1,0)</f>
        <v>0</v>
      </c>
      <c r="AC648" s="14" t="n">
        <f aca="false">N648</f>
        <v>2.99623214859564</v>
      </c>
      <c r="AD648" s="14" t="n">
        <f aca="false">G648</f>
        <v>43</v>
      </c>
      <c r="AE648" s="14" t="n">
        <f aca="false">J648</f>
        <v>4</v>
      </c>
      <c r="AF648" s="14" t="n">
        <f aca="false">IF($L648=2012,1,0)</f>
        <v>0</v>
      </c>
      <c r="AG648" s="14" t="n">
        <f aca="false">IF($L648=2013,1,0)</f>
        <v>0</v>
      </c>
      <c r="AH648" s="14" t="n">
        <f aca="false">IF($L648=2014,1,0)</f>
        <v>0</v>
      </c>
      <c r="AI648" s="14" t="n">
        <f aca="false">IF($L648=2015,1,0)</f>
        <v>1</v>
      </c>
      <c r="AJ648" s="14" t="n">
        <f aca="false">IF($L648=2016,1,0)</f>
        <v>0</v>
      </c>
      <c r="AK648" s="14" t="n">
        <f aca="false">IF($L648=2017,1,0)</f>
        <v>0</v>
      </c>
      <c r="AL648" s="14" t="n">
        <f aca="false">IF($H648="Beginner Level",1,0)</f>
        <v>0</v>
      </c>
      <c r="AM648" s="14" t="n">
        <f aca="false">IF($H648="Expert Level",1,0)</f>
        <v>0</v>
      </c>
      <c r="AN648" s="14" t="n">
        <f aca="false">IF($H648="Intermediate Level",1,0)</f>
        <v>0</v>
      </c>
    </row>
    <row r="649" customFormat="false" ht="68.65" hidden="false" customHeight="false" outlineLevel="0" collapsed="false">
      <c r="A649" s="14" t="n">
        <v>713098</v>
      </c>
      <c r="B649" s="14" t="s">
        <v>1340</v>
      </c>
      <c r="C649" s="14" t="s">
        <v>1341</v>
      </c>
      <c r="D649" s="14" t="n">
        <v>20</v>
      </c>
      <c r="E649" s="14" t="n">
        <v>2164</v>
      </c>
      <c r="F649" s="14" t="n">
        <v>290</v>
      </c>
      <c r="G649" s="14" t="n">
        <v>70</v>
      </c>
      <c r="H649" s="14" t="s">
        <v>62</v>
      </c>
      <c r="I649" s="14" t="n">
        <v>0.93</v>
      </c>
      <c r="J649" s="14" t="n">
        <v>8.5</v>
      </c>
      <c r="K649" s="14" t="s">
        <v>59</v>
      </c>
      <c r="L649" s="14" t="n">
        <v>2016</v>
      </c>
      <c r="M649" s="14" t="n">
        <v>7.67971363996637</v>
      </c>
      <c r="N649" s="14" t="n">
        <v>2.99623214859564</v>
      </c>
      <c r="P649" s="14" t="n">
        <f aca="false">D649</f>
        <v>20</v>
      </c>
      <c r="Q649" s="14" t="n">
        <f aca="false">G649</f>
        <v>70</v>
      </c>
      <c r="R649" s="14" t="n">
        <f aca="false">J649</f>
        <v>8.5</v>
      </c>
      <c r="S649" s="14" t="n">
        <f aca="false">IF($L649=2012,1,0)</f>
        <v>0</v>
      </c>
      <c r="T649" s="14" t="n">
        <f aca="false">IF($L649=2013,1,0)</f>
        <v>0</v>
      </c>
      <c r="U649" s="14" t="n">
        <f aca="false">IF($L649=2014,1,0)</f>
        <v>0</v>
      </c>
      <c r="V649" s="14" t="n">
        <f aca="false">IF($L649=2015,1,0)</f>
        <v>0</v>
      </c>
      <c r="W649" s="14" t="n">
        <f aca="false">IF($L649=2016,1,0)</f>
        <v>1</v>
      </c>
      <c r="X649" s="14" t="n">
        <f aca="false">IF($L649=2017,1,0)</f>
        <v>0</v>
      </c>
      <c r="Y649" s="14" t="n">
        <f aca="false">IF($H649="Beginner Level",1,0)</f>
        <v>0</v>
      </c>
      <c r="Z649" s="14" t="n">
        <f aca="false">IF($H649="Expert Level",1,0)</f>
        <v>0</v>
      </c>
      <c r="AA649" s="14" t="n">
        <f aca="false">IF($H649="Intermediate Level",1,0)</f>
        <v>0</v>
      </c>
      <c r="AC649" s="14" t="n">
        <f aca="false">N649</f>
        <v>2.99623214859564</v>
      </c>
      <c r="AD649" s="14" t="n">
        <f aca="false">G649</f>
        <v>70</v>
      </c>
      <c r="AE649" s="14" t="n">
        <f aca="false">J649</f>
        <v>8.5</v>
      </c>
      <c r="AF649" s="14" t="n">
        <f aca="false">IF($L649=2012,1,0)</f>
        <v>0</v>
      </c>
      <c r="AG649" s="14" t="n">
        <f aca="false">IF($L649=2013,1,0)</f>
        <v>0</v>
      </c>
      <c r="AH649" s="14" t="n">
        <f aca="false">IF($L649=2014,1,0)</f>
        <v>0</v>
      </c>
      <c r="AI649" s="14" t="n">
        <f aca="false">IF($L649=2015,1,0)</f>
        <v>0</v>
      </c>
      <c r="AJ649" s="14" t="n">
        <f aca="false">IF($L649=2016,1,0)</f>
        <v>1</v>
      </c>
      <c r="AK649" s="14" t="n">
        <f aca="false">IF($L649=2017,1,0)</f>
        <v>0</v>
      </c>
      <c r="AL649" s="14" t="n">
        <f aca="false">IF($H649="Beginner Level",1,0)</f>
        <v>0</v>
      </c>
      <c r="AM649" s="14" t="n">
        <f aca="false">IF($H649="Expert Level",1,0)</f>
        <v>0</v>
      </c>
      <c r="AN649" s="14" t="n">
        <f aca="false">IF($H649="Intermediate Level",1,0)</f>
        <v>0</v>
      </c>
    </row>
    <row r="650" customFormat="false" ht="68.65" hidden="false" customHeight="false" outlineLevel="0" collapsed="false">
      <c r="A650" s="14" t="n">
        <v>783748</v>
      </c>
      <c r="B650" s="14" t="s">
        <v>1342</v>
      </c>
      <c r="C650" s="14" t="s">
        <v>1343</v>
      </c>
      <c r="D650" s="14" t="n">
        <v>20</v>
      </c>
      <c r="E650" s="14" t="n">
        <v>2160</v>
      </c>
      <c r="F650" s="14" t="n">
        <v>16</v>
      </c>
      <c r="G650" s="14" t="n">
        <v>28</v>
      </c>
      <c r="H650" s="14" t="s">
        <v>52</v>
      </c>
      <c r="I650" s="14" t="n">
        <v>0.93</v>
      </c>
      <c r="J650" s="14" t="n">
        <v>4</v>
      </c>
      <c r="K650" s="14" t="s">
        <v>59</v>
      </c>
      <c r="L650" s="14" t="n">
        <v>2016</v>
      </c>
      <c r="M650" s="14" t="n">
        <v>7.67786350067821</v>
      </c>
      <c r="N650" s="14" t="n">
        <v>2.99623214859564</v>
      </c>
      <c r="P650" s="14" t="n">
        <f aca="false">D650</f>
        <v>20</v>
      </c>
      <c r="Q650" s="14" t="n">
        <f aca="false">G650</f>
        <v>28</v>
      </c>
      <c r="R650" s="14" t="n">
        <f aca="false">J650</f>
        <v>4</v>
      </c>
      <c r="S650" s="14" t="n">
        <f aca="false">IF($L650=2012,1,0)</f>
        <v>0</v>
      </c>
      <c r="T650" s="14" t="n">
        <f aca="false">IF($L650=2013,1,0)</f>
        <v>0</v>
      </c>
      <c r="U650" s="14" t="n">
        <f aca="false">IF($L650=2014,1,0)</f>
        <v>0</v>
      </c>
      <c r="V650" s="14" t="n">
        <f aca="false">IF($L650=2015,1,0)</f>
        <v>0</v>
      </c>
      <c r="W650" s="14" t="n">
        <f aca="false">IF($L650=2016,1,0)</f>
        <v>1</v>
      </c>
      <c r="X650" s="14" t="n">
        <f aca="false">IF($L650=2017,1,0)</f>
        <v>0</v>
      </c>
      <c r="Y650" s="14" t="n">
        <f aca="false">IF($H650="Beginner Level",1,0)</f>
        <v>1</v>
      </c>
      <c r="Z650" s="14" t="n">
        <f aca="false">IF($H650="Expert Level",1,0)</f>
        <v>0</v>
      </c>
      <c r="AA650" s="14" t="n">
        <f aca="false">IF($H650="Intermediate Level",1,0)</f>
        <v>0</v>
      </c>
      <c r="AC650" s="14" t="n">
        <f aca="false">N650</f>
        <v>2.99623214859564</v>
      </c>
      <c r="AD650" s="14" t="n">
        <f aca="false">G650</f>
        <v>28</v>
      </c>
      <c r="AE650" s="14" t="n">
        <f aca="false">J650</f>
        <v>4</v>
      </c>
      <c r="AF650" s="14" t="n">
        <f aca="false">IF($L650=2012,1,0)</f>
        <v>0</v>
      </c>
      <c r="AG650" s="14" t="n">
        <f aca="false">IF($L650=2013,1,0)</f>
        <v>0</v>
      </c>
      <c r="AH650" s="14" t="n">
        <f aca="false">IF($L650=2014,1,0)</f>
        <v>0</v>
      </c>
      <c r="AI650" s="14" t="n">
        <f aca="false">IF($L650=2015,1,0)</f>
        <v>0</v>
      </c>
      <c r="AJ650" s="14" t="n">
        <f aca="false">IF($L650=2016,1,0)</f>
        <v>1</v>
      </c>
      <c r="AK650" s="14" t="n">
        <f aca="false">IF($L650=2017,1,0)</f>
        <v>0</v>
      </c>
      <c r="AL650" s="14" t="n">
        <f aca="false">IF($H650="Beginner Level",1,0)</f>
        <v>1</v>
      </c>
      <c r="AM650" s="14" t="n">
        <f aca="false">IF($H650="Expert Level",1,0)</f>
        <v>0</v>
      </c>
      <c r="AN650" s="14" t="n">
        <f aca="false">IF($H650="Intermediate Level",1,0)</f>
        <v>0</v>
      </c>
    </row>
    <row r="651" customFormat="false" ht="57.45" hidden="false" customHeight="false" outlineLevel="0" collapsed="false">
      <c r="A651" s="14" t="n">
        <v>388286</v>
      </c>
      <c r="B651" s="14" t="s">
        <v>1344</v>
      </c>
      <c r="C651" s="14" t="s">
        <v>1345</v>
      </c>
      <c r="D651" s="14" t="n">
        <v>50</v>
      </c>
      <c r="E651" s="14" t="n">
        <v>2152</v>
      </c>
      <c r="F651" s="14" t="n">
        <v>19</v>
      </c>
      <c r="G651" s="14" t="n">
        <v>15</v>
      </c>
      <c r="H651" s="14" t="s">
        <v>52</v>
      </c>
      <c r="I651" s="14" t="n">
        <v>0.93</v>
      </c>
      <c r="J651" s="14" t="n">
        <v>2.5</v>
      </c>
      <c r="K651" s="14" t="s">
        <v>59</v>
      </c>
      <c r="L651" s="14" t="n">
        <v>2015</v>
      </c>
      <c r="M651" s="14" t="n">
        <v>7.67415292128168</v>
      </c>
      <c r="N651" s="14" t="n">
        <v>3.91222298543081</v>
      </c>
      <c r="P651" s="14" t="n">
        <f aca="false">D651</f>
        <v>50</v>
      </c>
      <c r="Q651" s="14" t="n">
        <f aca="false">G651</f>
        <v>15</v>
      </c>
      <c r="R651" s="14" t="n">
        <f aca="false">J651</f>
        <v>2.5</v>
      </c>
      <c r="S651" s="14" t="n">
        <f aca="false">IF($L651=2012,1,0)</f>
        <v>0</v>
      </c>
      <c r="T651" s="14" t="n">
        <f aca="false">IF($L651=2013,1,0)</f>
        <v>0</v>
      </c>
      <c r="U651" s="14" t="n">
        <f aca="false">IF($L651=2014,1,0)</f>
        <v>0</v>
      </c>
      <c r="V651" s="14" t="n">
        <f aca="false">IF($L651=2015,1,0)</f>
        <v>1</v>
      </c>
      <c r="W651" s="14" t="n">
        <f aca="false">IF($L651=2016,1,0)</f>
        <v>0</v>
      </c>
      <c r="X651" s="14" t="n">
        <f aca="false">IF($L651=2017,1,0)</f>
        <v>0</v>
      </c>
      <c r="Y651" s="14" t="n">
        <f aca="false">IF($H651="Beginner Level",1,0)</f>
        <v>1</v>
      </c>
      <c r="Z651" s="14" t="n">
        <f aca="false">IF($H651="Expert Level",1,0)</f>
        <v>0</v>
      </c>
      <c r="AA651" s="14" t="n">
        <f aca="false">IF($H651="Intermediate Level",1,0)</f>
        <v>0</v>
      </c>
      <c r="AC651" s="14" t="n">
        <f aca="false">N651</f>
        <v>3.91222298543081</v>
      </c>
      <c r="AD651" s="14" t="n">
        <f aca="false">G651</f>
        <v>15</v>
      </c>
      <c r="AE651" s="14" t="n">
        <f aca="false">J651</f>
        <v>2.5</v>
      </c>
      <c r="AF651" s="14" t="n">
        <f aca="false">IF($L651=2012,1,0)</f>
        <v>0</v>
      </c>
      <c r="AG651" s="14" t="n">
        <f aca="false">IF($L651=2013,1,0)</f>
        <v>0</v>
      </c>
      <c r="AH651" s="14" t="n">
        <f aca="false">IF($L651=2014,1,0)</f>
        <v>0</v>
      </c>
      <c r="AI651" s="14" t="n">
        <f aca="false">IF($L651=2015,1,0)</f>
        <v>1</v>
      </c>
      <c r="AJ651" s="14" t="n">
        <f aca="false">IF($L651=2016,1,0)</f>
        <v>0</v>
      </c>
      <c r="AK651" s="14" t="n">
        <f aca="false">IF($L651=2017,1,0)</f>
        <v>0</v>
      </c>
      <c r="AL651" s="14" t="n">
        <f aca="false">IF($H651="Beginner Level",1,0)</f>
        <v>1</v>
      </c>
      <c r="AM651" s="14" t="n">
        <f aca="false">IF($H651="Expert Level",1,0)</f>
        <v>0</v>
      </c>
      <c r="AN651" s="14" t="n">
        <f aca="false">IF($H651="Intermediate Level",1,0)</f>
        <v>0</v>
      </c>
    </row>
    <row r="652" customFormat="false" ht="68.65" hidden="false" customHeight="false" outlineLevel="0" collapsed="false">
      <c r="A652" s="14" t="n">
        <v>1241254</v>
      </c>
      <c r="B652" s="14" t="s">
        <v>1346</v>
      </c>
      <c r="C652" s="14" t="s">
        <v>1347</v>
      </c>
      <c r="D652" s="14" t="n">
        <v>145</v>
      </c>
      <c r="E652" s="14" t="n">
        <v>2145</v>
      </c>
      <c r="F652" s="14" t="n">
        <v>166</v>
      </c>
      <c r="G652" s="14" t="n">
        <v>136</v>
      </c>
      <c r="H652" s="14" t="s">
        <v>52</v>
      </c>
      <c r="I652" s="14" t="n">
        <v>0.3</v>
      </c>
      <c r="J652" s="14" t="n">
        <v>8</v>
      </c>
      <c r="K652" s="14" t="s">
        <v>59</v>
      </c>
      <c r="L652" s="14" t="n">
        <v>2017</v>
      </c>
      <c r="M652" s="14" t="n">
        <v>7.67089483136212</v>
      </c>
      <c r="N652" s="14" t="n">
        <v>4.9768027055598</v>
      </c>
      <c r="P652" s="14" t="n">
        <f aca="false">D652</f>
        <v>145</v>
      </c>
      <c r="Q652" s="14" t="n">
        <f aca="false">G652</f>
        <v>136</v>
      </c>
      <c r="R652" s="14" t="n">
        <f aca="false">J652</f>
        <v>8</v>
      </c>
      <c r="S652" s="14" t="n">
        <f aca="false">IF($L652=2012,1,0)</f>
        <v>0</v>
      </c>
      <c r="T652" s="14" t="n">
        <f aca="false">IF($L652=2013,1,0)</f>
        <v>0</v>
      </c>
      <c r="U652" s="14" t="n">
        <f aca="false">IF($L652=2014,1,0)</f>
        <v>0</v>
      </c>
      <c r="V652" s="14" t="n">
        <f aca="false">IF($L652=2015,1,0)</f>
        <v>0</v>
      </c>
      <c r="W652" s="14" t="n">
        <f aca="false">IF($L652=2016,1,0)</f>
        <v>0</v>
      </c>
      <c r="X652" s="14" t="n">
        <f aca="false">IF($L652=2017,1,0)</f>
        <v>1</v>
      </c>
      <c r="Y652" s="14" t="n">
        <f aca="false">IF($H652="Beginner Level",1,0)</f>
        <v>1</v>
      </c>
      <c r="Z652" s="14" t="n">
        <f aca="false">IF($H652="Expert Level",1,0)</f>
        <v>0</v>
      </c>
      <c r="AA652" s="14" t="n">
        <f aca="false">IF($H652="Intermediate Level",1,0)</f>
        <v>0</v>
      </c>
      <c r="AC652" s="14" t="n">
        <f aca="false">N652</f>
        <v>4.9768027055598</v>
      </c>
      <c r="AD652" s="14" t="n">
        <f aca="false">G652</f>
        <v>136</v>
      </c>
      <c r="AE652" s="14" t="n">
        <f aca="false">J652</f>
        <v>8</v>
      </c>
      <c r="AF652" s="14" t="n">
        <f aca="false">IF($L652=2012,1,0)</f>
        <v>0</v>
      </c>
      <c r="AG652" s="14" t="n">
        <f aca="false">IF($L652=2013,1,0)</f>
        <v>0</v>
      </c>
      <c r="AH652" s="14" t="n">
        <f aca="false">IF($L652=2014,1,0)</f>
        <v>0</v>
      </c>
      <c r="AI652" s="14" t="n">
        <f aca="false">IF($L652=2015,1,0)</f>
        <v>0</v>
      </c>
      <c r="AJ652" s="14" t="n">
        <f aca="false">IF($L652=2016,1,0)</f>
        <v>0</v>
      </c>
      <c r="AK652" s="14" t="n">
        <f aca="false">IF($L652=2017,1,0)</f>
        <v>1</v>
      </c>
      <c r="AL652" s="14" t="n">
        <f aca="false">IF($H652="Beginner Level",1,0)</f>
        <v>1</v>
      </c>
      <c r="AM652" s="14" t="n">
        <f aca="false">IF($H652="Expert Level",1,0)</f>
        <v>0</v>
      </c>
      <c r="AN652" s="14" t="n">
        <f aca="false">IF($H652="Intermediate Level",1,0)</f>
        <v>0</v>
      </c>
    </row>
    <row r="653" customFormat="false" ht="68.65" hidden="false" customHeight="false" outlineLevel="0" collapsed="false">
      <c r="A653" s="14" t="n">
        <v>715516</v>
      </c>
      <c r="B653" s="14" t="s">
        <v>1348</v>
      </c>
      <c r="C653" s="14" t="s">
        <v>1349</v>
      </c>
      <c r="D653" s="14" t="n">
        <v>120</v>
      </c>
      <c r="E653" s="14" t="n">
        <v>2142</v>
      </c>
      <c r="F653" s="14" t="n">
        <v>536</v>
      </c>
      <c r="G653" s="14" t="n">
        <v>71</v>
      </c>
      <c r="H653" s="14" t="s">
        <v>62</v>
      </c>
      <c r="I653" s="14" t="n">
        <v>0.99</v>
      </c>
      <c r="J653" s="14" t="n">
        <v>12</v>
      </c>
      <c r="K653" s="14" t="s">
        <v>59</v>
      </c>
      <c r="L653" s="14" t="n">
        <v>2016</v>
      </c>
      <c r="M653" s="14" t="n">
        <v>7.66949525100769</v>
      </c>
      <c r="N653" s="14" t="n">
        <v>4.78757507264335</v>
      </c>
      <c r="P653" s="14" t="n">
        <f aca="false">D653</f>
        <v>120</v>
      </c>
      <c r="Q653" s="14" t="n">
        <f aca="false">G653</f>
        <v>71</v>
      </c>
      <c r="R653" s="14" t="n">
        <f aca="false">J653</f>
        <v>12</v>
      </c>
      <c r="S653" s="14" t="n">
        <f aca="false">IF($L653=2012,1,0)</f>
        <v>0</v>
      </c>
      <c r="T653" s="14" t="n">
        <f aca="false">IF($L653=2013,1,0)</f>
        <v>0</v>
      </c>
      <c r="U653" s="14" t="n">
        <f aca="false">IF($L653=2014,1,0)</f>
        <v>0</v>
      </c>
      <c r="V653" s="14" t="n">
        <f aca="false">IF($L653=2015,1,0)</f>
        <v>0</v>
      </c>
      <c r="W653" s="14" t="n">
        <f aca="false">IF($L653=2016,1,0)</f>
        <v>1</v>
      </c>
      <c r="X653" s="14" t="n">
        <f aca="false">IF($L653=2017,1,0)</f>
        <v>0</v>
      </c>
      <c r="Y653" s="14" t="n">
        <f aca="false">IF($H653="Beginner Level",1,0)</f>
        <v>0</v>
      </c>
      <c r="Z653" s="14" t="n">
        <f aca="false">IF($H653="Expert Level",1,0)</f>
        <v>0</v>
      </c>
      <c r="AA653" s="14" t="n">
        <f aca="false">IF($H653="Intermediate Level",1,0)</f>
        <v>0</v>
      </c>
      <c r="AC653" s="14" t="n">
        <f aca="false">N653</f>
        <v>4.78757507264335</v>
      </c>
      <c r="AD653" s="14" t="n">
        <f aca="false">G653</f>
        <v>71</v>
      </c>
      <c r="AE653" s="14" t="n">
        <f aca="false">J653</f>
        <v>12</v>
      </c>
      <c r="AF653" s="14" t="n">
        <f aca="false">IF($L653=2012,1,0)</f>
        <v>0</v>
      </c>
      <c r="AG653" s="14" t="n">
        <f aca="false">IF($L653=2013,1,0)</f>
        <v>0</v>
      </c>
      <c r="AH653" s="14" t="n">
        <f aca="false">IF($L653=2014,1,0)</f>
        <v>0</v>
      </c>
      <c r="AI653" s="14" t="n">
        <f aca="false">IF($L653=2015,1,0)</f>
        <v>0</v>
      </c>
      <c r="AJ653" s="14" t="n">
        <f aca="false">IF($L653=2016,1,0)</f>
        <v>1</v>
      </c>
      <c r="AK653" s="14" t="n">
        <f aca="false">IF($L653=2017,1,0)</f>
        <v>0</v>
      </c>
      <c r="AL653" s="14" t="n">
        <f aca="false">IF($H653="Beginner Level",1,0)</f>
        <v>0</v>
      </c>
      <c r="AM653" s="14" t="n">
        <f aca="false">IF($H653="Expert Level",1,0)</f>
        <v>0</v>
      </c>
      <c r="AN653" s="14" t="n">
        <f aca="false">IF($H653="Intermediate Level",1,0)</f>
        <v>0</v>
      </c>
    </row>
    <row r="654" customFormat="false" ht="68.65" hidden="false" customHeight="false" outlineLevel="0" collapsed="false">
      <c r="A654" s="14" t="n">
        <v>443746</v>
      </c>
      <c r="B654" s="14" t="s">
        <v>1350</v>
      </c>
      <c r="C654" s="14" t="s">
        <v>1351</v>
      </c>
      <c r="D654" s="14" t="n">
        <v>175</v>
      </c>
      <c r="E654" s="14" t="n">
        <v>2134</v>
      </c>
      <c r="F654" s="14" t="n">
        <v>215</v>
      </c>
      <c r="G654" s="14" t="n">
        <v>55</v>
      </c>
      <c r="H654" s="14" t="s">
        <v>71</v>
      </c>
      <c r="I654" s="14" t="n">
        <v>0.99</v>
      </c>
      <c r="J654" s="14" t="n">
        <v>7</v>
      </c>
      <c r="K654" s="14" t="s">
        <v>59</v>
      </c>
      <c r="L654" s="14" t="n">
        <v>2015</v>
      </c>
      <c r="M654" s="14" t="n">
        <v>7.6657534318617</v>
      </c>
      <c r="N654" s="14" t="n">
        <v>5.16484311514807</v>
      </c>
      <c r="P654" s="14" t="n">
        <f aca="false">D654</f>
        <v>175</v>
      </c>
      <c r="Q654" s="14" t="n">
        <f aca="false">G654</f>
        <v>55</v>
      </c>
      <c r="R654" s="14" t="n">
        <f aca="false">J654</f>
        <v>7</v>
      </c>
      <c r="S654" s="14" t="n">
        <f aca="false">IF($L654=2012,1,0)</f>
        <v>0</v>
      </c>
      <c r="T654" s="14" t="n">
        <f aca="false">IF($L654=2013,1,0)</f>
        <v>0</v>
      </c>
      <c r="U654" s="14" t="n">
        <f aca="false">IF($L654=2014,1,0)</f>
        <v>0</v>
      </c>
      <c r="V654" s="14" t="n">
        <f aca="false">IF($L654=2015,1,0)</f>
        <v>1</v>
      </c>
      <c r="W654" s="14" t="n">
        <f aca="false">IF($L654=2016,1,0)</f>
        <v>0</v>
      </c>
      <c r="X654" s="14" t="n">
        <f aca="false">IF($L654=2017,1,0)</f>
        <v>0</v>
      </c>
      <c r="Y654" s="14" t="n">
        <f aca="false">IF($H654="Beginner Level",1,0)</f>
        <v>0</v>
      </c>
      <c r="Z654" s="14" t="n">
        <f aca="false">IF($H654="Expert Level",1,0)</f>
        <v>0</v>
      </c>
      <c r="AA654" s="14" t="n">
        <f aca="false">IF($H654="Intermediate Level",1,0)</f>
        <v>1</v>
      </c>
      <c r="AC654" s="14" t="n">
        <f aca="false">N654</f>
        <v>5.16484311514807</v>
      </c>
      <c r="AD654" s="14" t="n">
        <f aca="false">G654</f>
        <v>55</v>
      </c>
      <c r="AE654" s="14" t="n">
        <f aca="false">J654</f>
        <v>7</v>
      </c>
      <c r="AF654" s="14" t="n">
        <f aca="false">IF($L654=2012,1,0)</f>
        <v>0</v>
      </c>
      <c r="AG654" s="14" t="n">
        <f aca="false">IF($L654=2013,1,0)</f>
        <v>0</v>
      </c>
      <c r="AH654" s="14" t="n">
        <f aca="false">IF($L654=2014,1,0)</f>
        <v>0</v>
      </c>
      <c r="AI654" s="14" t="n">
        <f aca="false">IF($L654=2015,1,0)</f>
        <v>1</v>
      </c>
      <c r="AJ654" s="14" t="n">
        <f aca="false">IF($L654=2016,1,0)</f>
        <v>0</v>
      </c>
      <c r="AK654" s="14" t="n">
        <f aca="false">IF($L654=2017,1,0)</f>
        <v>0</v>
      </c>
      <c r="AL654" s="14" t="n">
        <f aca="false">IF($H654="Beginner Level",1,0)</f>
        <v>0</v>
      </c>
      <c r="AM654" s="14" t="n">
        <f aca="false">IF($H654="Expert Level",1,0)</f>
        <v>0</v>
      </c>
      <c r="AN654" s="14" t="n">
        <f aca="false">IF($H654="Intermediate Level",1,0)</f>
        <v>1</v>
      </c>
    </row>
    <row r="655" customFormat="false" ht="57.45" hidden="false" customHeight="false" outlineLevel="0" collapsed="false">
      <c r="A655" s="14" t="n">
        <v>1079370</v>
      </c>
      <c r="B655" s="14" t="s">
        <v>1352</v>
      </c>
      <c r="C655" s="14" t="s">
        <v>1353</v>
      </c>
      <c r="D655" s="14" t="n">
        <v>20</v>
      </c>
      <c r="E655" s="14" t="n">
        <v>2104</v>
      </c>
      <c r="F655" s="14" t="n">
        <v>69</v>
      </c>
      <c r="G655" s="14" t="n">
        <v>14</v>
      </c>
      <c r="H655" s="14" t="s">
        <v>52</v>
      </c>
      <c r="I655" s="14" t="n">
        <v>0.99</v>
      </c>
      <c r="J655" s="14" t="n">
        <v>1</v>
      </c>
      <c r="K655" s="14" t="s">
        <v>59</v>
      </c>
      <c r="L655" s="14" t="n">
        <v>2017</v>
      </c>
      <c r="M655" s="14" t="n">
        <v>7.6515955738576</v>
      </c>
      <c r="N655" s="14" t="n">
        <v>2.99623214859564</v>
      </c>
      <c r="P655" s="14" t="n">
        <f aca="false">D655</f>
        <v>20</v>
      </c>
      <c r="Q655" s="14" t="n">
        <f aca="false">G655</f>
        <v>14</v>
      </c>
      <c r="R655" s="14" t="n">
        <f aca="false">J655</f>
        <v>1</v>
      </c>
      <c r="S655" s="14" t="n">
        <f aca="false">IF($L655=2012,1,0)</f>
        <v>0</v>
      </c>
      <c r="T655" s="14" t="n">
        <f aca="false">IF($L655=2013,1,0)</f>
        <v>0</v>
      </c>
      <c r="U655" s="14" t="n">
        <f aca="false">IF($L655=2014,1,0)</f>
        <v>0</v>
      </c>
      <c r="V655" s="14" t="n">
        <f aca="false">IF($L655=2015,1,0)</f>
        <v>0</v>
      </c>
      <c r="W655" s="14" t="n">
        <f aca="false">IF($L655=2016,1,0)</f>
        <v>0</v>
      </c>
      <c r="X655" s="14" t="n">
        <f aca="false">IF($L655=2017,1,0)</f>
        <v>1</v>
      </c>
      <c r="Y655" s="14" t="n">
        <f aca="false">IF($H655="Beginner Level",1,0)</f>
        <v>1</v>
      </c>
      <c r="Z655" s="14" t="n">
        <f aca="false">IF($H655="Expert Level",1,0)</f>
        <v>0</v>
      </c>
      <c r="AA655" s="14" t="n">
        <f aca="false">IF($H655="Intermediate Level",1,0)</f>
        <v>0</v>
      </c>
      <c r="AC655" s="14" t="n">
        <f aca="false">N655</f>
        <v>2.99623214859564</v>
      </c>
      <c r="AD655" s="14" t="n">
        <f aca="false">G655</f>
        <v>14</v>
      </c>
      <c r="AE655" s="14" t="n">
        <f aca="false">J655</f>
        <v>1</v>
      </c>
      <c r="AF655" s="14" t="n">
        <f aca="false">IF($L655=2012,1,0)</f>
        <v>0</v>
      </c>
      <c r="AG655" s="14" t="n">
        <f aca="false">IF($L655=2013,1,0)</f>
        <v>0</v>
      </c>
      <c r="AH655" s="14" t="n">
        <f aca="false">IF($L655=2014,1,0)</f>
        <v>0</v>
      </c>
      <c r="AI655" s="14" t="n">
        <f aca="false">IF($L655=2015,1,0)</f>
        <v>0</v>
      </c>
      <c r="AJ655" s="14" t="n">
        <f aca="false">IF($L655=2016,1,0)</f>
        <v>0</v>
      </c>
      <c r="AK655" s="14" t="n">
        <f aca="false">IF($L655=2017,1,0)</f>
        <v>1</v>
      </c>
      <c r="AL655" s="14" t="n">
        <f aca="false">IF($H655="Beginner Level",1,0)</f>
        <v>1</v>
      </c>
      <c r="AM655" s="14" t="n">
        <f aca="false">IF($H655="Expert Level",1,0)</f>
        <v>0</v>
      </c>
      <c r="AN655" s="14" t="n">
        <f aca="false">IF($H655="Intermediate Level",1,0)</f>
        <v>0</v>
      </c>
    </row>
    <row r="656" customFormat="false" ht="79.85" hidden="false" customHeight="false" outlineLevel="0" collapsed="false">
      <c r="A656" s="14" t="n">
        <v>771198</v>
      </c>
      <c r="B656" s="14" t="s">
        <v>1354</v>
      </c>
      <c r="C656" s="14" t="s">
        <v>1355</v>
      </c>
      <c r="D656" s="14" t="n">
        <v>60</v>
      </c>
      <c r="E656" s="14" t="n">
        <v>2097</v>
      </c>
      <c r="F656" s="14" t="n">
        <v>401</v>
      </c>
      <c r="G656" s="14" t="n">
        <v>28</v>
      </c>
      <c r="H656" s="14" t="s">
        <v>52</v>
      </c>
      <c r="I656" s="14" t="n">
        <v>0.99</v>
      </c>
      <c r="J656" s="14" t="n">
        <v>5.5</v>
      </c>
      <c r="K656" s="14" t="s">
        <v>59</v>
      </c>
      <c r="L656" s="14" t="n">
        <v>2016</v>
      </c>
      <c r="M656" s="14" t="n">
        <v>7.64826303090192</v>
      </c>
      <c r="N656" s="14" t="n">
        <v>4.09451121500142</v>
      </c>
      <c r="P656" s="14" t="n">
        <f aca="false">D656</f>
        <v>60</v>
      </c>
      <c r="Q656" s="14" t="n">
        <f aca="false">G656</f>
        <v>28</v>
      </c>
      <c r="R656" s="14" t="n">
        <f aca="false">J656</f>
        <v>5.5</v>
      </c>
      <c r="S656" s="14" t="n">
        <f aca="false">IF($L656=2012,1,0)</f>
        <v>0</v>
      </c>
      <c r="T656" s="14" t="n">
        <f aca="false">IF($L656=2013,1,0)</f>
        <v>0</v>
      </c>
      <c r="U656" s="14" t="n">
        <f aca="false">IF($L656=2014,1,0)</f>
        <v>0</v>
      </c>
      <c r="V656" s="14" t="n">
        <f aca="false">IF($L656=2015,1,0)</f>
        <v>0</v>
      </c>
      <c r="W656" s="14" t="n">
        <f aca="false">IF($L656=2016,1,0)</f>
        <v>1</v>
      </c>
      <c r="X656" s="14" t="n">
        <f aca="false">IF($L656=2017,1,0)</f>
        <v>0</v>
      </c>
      <c r="Y656" s="14" t="n">
        <f aca="false">IF($H656="Beginner Level",1,0)</f>
        <v>1</v>
      </c>
      <c r="Z656" s="14" t="n">
        <f aca="false">IF($H656="Expert Level",1,0)</f>
        <v>0</v>
      </c>
      <c r="AA656" s="14" t="n">
        <f aca="false">IF($H656="Intermediate Level",1,0)</f>
        <v>0</v>
      </c>
      <c r="AC656" s="14" t="n">
        <f aca="false">N656</f>
        <v>4.09451121500142</v>
      </c>
      <c r="AD656" s="14" t="n">
        <f aca="false">G656</f>
        <v>28</v>
      </c>
      <c r="AE656" s="14" t="n">
        <f aca="false">J656</f>
        <v>5.5</v>
      </c>
      <c r="AF656" s="14" t="n">
        <f aca="false">IF($L656=2012,1,0)</f>
        <v>0</v>
      </c>
      <c r="AG656" s="14" t="n">
        <f aca="false">IF($L656=2013,1,0)</f>
        <v>0</v>
      </c>
      <c r="AH656" s="14" t="n">
        <f aca="false">IF($L656=2014,1,0)</f>
        <v>0</v>
      </c>
      <c r="AI656" s="14" t="n">
        <f aca="false">IF($L656=2015,1,0)</f>
        <v>0</v>
      </c>
      <c r="AJ656" s="14" t="n">
        <f aca="false">IF($L656=2016,1,0)</f>
        <v>1</v>
      </c>
      <c r="AK656" s="14" t="n">
        <f aca="false">IF($L656=2017,1,0)</f>
        <v>0</v>
      </c>
      <c r="AL656" s="14" t="n">
        <f aca="false">IF($H656="Beginner Level",1,0)</f>
        <v>1</v>
      </c>
      <c r="AM656" s="14" t="n">
        <f aca="false">IF($H656="Expert Level",1,0)</f>
        <v>0</v>
      </c>
      <c r="AN656" s="14" t="n">
        <f aca="false">IF($H656="Intermediate Level",1,0)</f>
        <v>0</v>
      </c>
    </row>
    <row r="657" customFormat="false" ht="79.85" hidden="false" customHeight="false" outlineLevel="0" collapsed="false">
      <c r="A657" s="14" t="n">
        <v>1050632</v>
      </c>
      <c r="B657" s="14" t="s">
        <v>1356</v>
      </c>
      <c r="C657" s="14" t="s">
        <v>1357</v>
      </c>
      <c r="D657" s="14" t="n">
        <v>0</v>
      </c>
      <c r="E657" s="14" t="n">
        <v>2097</v>
      </c>
      <c r="F657" s="14" t="n">
        <v>16</v>
      </c>
      <c r="G657" s="14" t="n">
        <v>10</v>
      </c>
      <c r="H657" s="14" t="s">
        <v>62</v>
      </c>
      <c r="I657" s="14" t="n">
        <v>0.99</v>
      </c>
      <c r="J657" s="14" t="n">
        <v>2</v>
      </c>
      <c r="K657" s="14" t="s">
        <v>53</v>
      </c>
      <c r="L657" s="14" t="n">
        <v>2017</v>
      </c>
      <c r="M657" s="14" t="n">
        <v>7.64826303090192</v>
      </c>
      <c r="N657" s="14" t="n">
        <v>-4.60517018598809</v>
      </c>
      <c r="P657" s="14" t="n">
        <f aca="false">D657</f>
        <v>0</v>
      </c>
      <c r="Q657" s="14" t="n">
        <f aca="false">G657</f>
        <v>10</v>
      </c>
      <c r="R657" s="14" t="n">
        <f aca="false">J657</f>
        <v>2</v>
      </c>
      <c r="S657" s="14" t="n">
        <f aca="false">IF($L657=2012,1,0)</f>
        <v>0</v>
      </c>
      <c r="T657" s="14" t="n">
        <f aca="false">IF($L657=2013,1,0)</f>
        <v>0</v>
      </c>
      <c r="U657" s="14" t="n">
        <f aca="false">IF($L657=2014,1,0)</f>
        <v>0</v>
      </c>
      <c r="V657" s="14" t="n">
        <f aca="false">IF($L657=2015,1,0)</f>
        <v>0</v>
      </c>
      <c r="W657" s="14" t="n">
        <f aca="false">IF($L657=2016,1,0)</f>
        <v>0</v>
      </c>
      <c r="X657" s="14" t="n">
        <f aca="false">IF($L657=2017,1,0)</f>
        <v>1</v>
      </c>
      <c r="Y657" s="14" t="n">
        <f aca="false">IF($H657="Beginner Level",1,0)</f>
        <v>0</v>
      </c>
      <c r="Z657" s="14" t="n">
        <f aca="false">IF($H657="Expert Level",1,0)</f>
        <v>0</v>
      </c>
      <c r="AA657" s="14" t="n">
        <f aca="false">IF($H657="Intermediate Level",1,0)</f>
        <v>0</v>
      </c>
      <c r="AC657" s="14" t="n">
        <f aca="false">N657</f>
        <v>-4.60517018598809</v>
      </c>
      <c r="AD657" s="14" t="n">
        <f aca="false">G657</f>
        <v>10</v>
      </c>
      <c r="AE657" s="14" t="n">
        <f aca="false">J657</f>
        <v>2</v>
      </c>
      <c r="AF657" s="14" t="n">
        <f aca="false">IF($L657=2012,1,0)</f>
        <v>0</v>
      </c>
      <c r="AG657" s="14" t="n">
        <f aca="false">IF($L657=2013,1,0)</f>
        <v>0</v>
      </c>
      <c r="AH657" s="14" t="n">
        <f aca="false">IF($L657=2014,1,0)</f>
        <v>0</v>
      </c>
      <c r="AI657" s="14" t="n">
        <f aca="false">IF($L657=2015,1,0)</f>
        <v>0</v>
      </c>
      <c r="AJ657" s="14" t="n">
        <f aca="false">IF($L657=2016,1,0)</f>
        <v>0</v>
      </c>
      <c r="AK657" s="14" t="n">
        <f aca="false">IF($L657=2017,1,0)</f>
        <v>1</v>
      </c>
      <c r="AL657" s="14" t="n">
        <f aca="false">IF($H657="Beginner Level",1,0)</f>
        <v>0</v>
      </c>
      <c r="AM657" s="14" t="n">
        <f aca="false">IF($H657="Expert Level",1,0)</f>
        <v>0</v>
      </c>
      <c r="AN657" s="14" t="n">
        <f aca="false">IF($H657="Intermediate Level",1,0)</f>
        <v>0</v>
      </c>
    </row>
    <row r="658" customFormat="false" ht="91" hidden="false" customHeight="false" outlineLevel="0" collapsed="false">
      <c r="A658" s="14" t="n">
        <v>704582</v>
      </c>
      <c r="B658" s="14" t="s">
        <v>1358</v>
      </c>
      <c r="C658" s="14" t="s">
        <v>1359</v>
      </c>
      <c r="D658" s="14" t="n">
        <v>45</v>
      </c>
      <c r="E658" s="14" t="n">
        <v>2091</v>
      </c>
      <c r="F658" s="14" t="n">
        <v>86</v>
      </c>
      <c r="G658" s="14" t="n">
        <v>29</v>
      </c>
      <c r="H658" s="14" t="s">
        <v>71</v>
      </c>
      <c r="I658" s="14" t="n">
        <v>0.99</v>
      </c>
      <c r="J658" s="14" t="n">
        <v>2.5</v>
      </c>
      <c r="K658" s="14" t="s">
        <v>59</v>
      </c>
      <c r="L658" s="14" t="n">
        <v>2016</v>
      </c>
      <c r="M658" s="14" t="n">
        <v>7.64539769942863</v>
      </c>
      <c r="N658" s="14" t="n">
        <v>3.80688468730484</v>
      </c>
      <c r="P658" s="14" t="n">
        <f aca="false">D658</f>
        <v>45</v>
      </c>
      <c r="Q658" s="14" t="n">
        <f aca="false">G658</f>
        <v>29</v>
      </c>
      <c r="R658" s="14" t="n">
        <f aca="false">J658</f>
        <v>2.5</v>
      </c>
      <c r="S658" s="14" t="n">
        <f aca="false">IF($L658=2012,1,0)</f>
        <v>0</v>
      </c>
      <c r="T658" s="14" t="n">
        <f aca="false">IF($L658=2013,1,0)</f>
        <v>0</v>
      </c>
      <c r="U658" s="14" t="n">
        <f aca="false">IF($L658=2014,1,0)</f>
        <v>0</v>
      </c>
      <c r="V658" s="14" t="n">
        <f aca="false">IF($L658=2015,1,0)</f>
        <v>0</v>
      </c>
      <c r="W658" s="14" t="n">
        <f aca="false">IF($L658=2016,1,0)</f>
        <v>1</v>
      </c>
      <c r="X658" s="14" t="n">
        <f aca="false">IF($L658=2017,1,0)</f>
        <v>0</v>
      </c>
      <c r="Y658" s="14" t="n">
        <f aca="false">IF($H658="Beginner Level",1,0)</f>
        <v>0</v>
      </c>
      <c r="Z658" s="14" t="n">
        <f aca="false">IF($H658="Expert Level",1,0)</f>
        <v>0</v>
      </c>
      <c r="AA658" s="14" t="n">
        <f aca="false">IF($H658="Intermediate Level",1,0)</f>
        <v>1</v>
      </c>
      <c r="AC658" s="14" t="n">
        <f aca="false">N658</f>
        <v>3.80688468730484</v>
      </c>
      <c r="AD658" s="14" t="n">
        <f aca="false">G658</f>
        <v>29</v>
      </c>
      <c r="AE658" s="14" t="n">
        <f aca="false">J658</f>
        <v>2.5</v>
      </c>
      <c r="AF658" s="14" t="n">
        <f aca="false">IF($L658=2012,1,0)</f>
        <v>0</v>
      </c>
      <c r="AG658" s="14" t="n">
        <f aca="false">IF($L658=2013,1,0)</f>
        <v>0</v>
      </c>
      <c r="AH658" s="14" t="n">
        <f aca="false">IF($L658=2014,1,0)</f>
        <v>0</v>
      </c>
      <c r="AI658" s="14" t="n">
        <f aca="false">IF($L658=2015,1,0)</f>
        <v>0</v>
      </c>
      <c r="AJ658" s="14" t="n">
        <f aca="false">IF($L658=2016,1,0)</f>
        <v>1</v>
      </c>
      <c r="AK658" s="14" t="n">
        <f aca="false">IF($L658=2017,1,0)</f>
        <v>0</v>
      </c>
      <c r="AL658" s="14" t="n">
        <f aca="false">IF($H658="Beginner Level",1,0)</f>
        <v>0</v>
      </c>
      <c r="AM658" s="14" t="n">
        <f aca="false">IF($H658="Expert Level",1,0)</f>
        <v>0</v>
      </c>
      <c r="AN658" s="14" t="n">
        <f aca="false">IF($H658="Intermediate Level",1,0)</f>
        <v>1</v>
      </c>
    </row>
    <row r="659" customFormat="false" ht="79.85" hidden="false" customHeight="false" outlineLevel="0" collapsed="false">
      <c r="A659" s="14" t="n">
        <v>1021834</v>
      </c>
      <c r="B659" s="14" t="s">
        <v>1360</v>
      </c>
      <c r="C659" s="14" t="s">
        <v>1361</v>
      </c>
      <c r="D659" s="14" t="n">
        <v>95</v>
      </c>
      <c r="E659" s="14" t="n">
        <v>2086</v>
      </c>
      <c r="F659" s="14" t="n">
        <v>56</v>
      </c>
      <c r="G659" s="14" t="n">
        <v>22</v>
      </c>
      <c r="H659" s="14" t="s">
        <v>62</v>
      </c>
      <c r="I659" s="14" t="n">
        <v>0.99</v>
      </c>
      <c r="J659" s="14" t="n">
        <v>1</v>
      </c>
      <c r="K659" s="14" t="s">
        <v>59</v>
      </c>
      <c r="L659" s="14" t="n">
        <v>2016</v>
      </c>
      <c r="M659" s="14" t="n">
        <v>7.64300363556072</v>
      </c>
      <c r="N659" s="14" t="n">
        <v>4.55398214921866</v>
      </c>
      <c r="P659" s="14" t="n">
        <f aca="false">D659</f>
        <v>95</v>
      </c>
      <c r="Q659" s="14" t="n">
        <f aca="false">G659</f>
        <v>22</v>
      </c>
      <c r="R659" s="14" t="n">
        <f aca="false">J659</f>
        <v>1</v>
      </c>
      <c r="S659" s="14" t="n">
        <f aca="false">IF($L659=2012,1,0)</f>
        <v>0</v>
      </c>
      <c r="T659" s="14" t="n">
        <f aca="false">IF($L659=2013,1,0)</f>
        <v>0</v>
      </c>
      <c r="U659" s="14" t="n">
        <f aca="false">IF($L659=2014,1,0)</f>
        <v>0</v>
      </c>
      <c r="V659" s="14" t="n">
        <f aca="false">IF($L659=2015,1,0)</f>
        <v>0</v>
      </c>
      <c r="W659" s="14" t="n">
        <f aca="false">IF($L659=2016,1,0)</f>
        <v>1</v>
      </c>
      <c r="X659" s="14" t="n">
        <f aca="false">IF($L659=2017,1,0)</f>
        <v>0</v>
      </c>
      <c r="Y659" s="14" t="n">
        <f aca="false">IF($H659="Beginner Level",1,0)</f>
        <v>0</v>
      </c>
      <c r="Z659" s="14" t="n">
        <f aca="false">IF($H659="Expert Level",1,0)</f>
        <v>0</v>
      </c>
      <c r="AA659" s="14" t="n">
        <f aca="false">IF($H659="Intermediate Level",1,0)</f>
        <v>0</v>
      </c>
      <c r="AC659" s="14" t="n">
        <f aca="false">N659</f>
        <v>4.55398214921866</v>
      </c>
      <c r="AD659" s="14" t="n">
        <f aca="false">G659</f>
        <v>22</v>
      </c>
      <c r="AE659" s="14" t="n">
        <f aca="false">J659</f>
        <v>1</v>
      </c>
      <c r="AF659" s="14" t="n">
        <f aca="false">IF($L659=2012,1,0)</f>
        <v>0</v>
      </c>
      <c r="AG659" s="14" t="n">
        <f aca="false">IF($L659=2013,1,0)</f>
        <v>0</v>
      </c>
      <c r="AH659" s="14" t="n">
        <f aca="false">IF($L659=2014,1,0)</f>
        <v>0</v>
      </c>
      <c r="AI659" s="14" t="n">
        <f aca="false">IF($L659=2015,1,0)</f>
        <v>0</v>
      </c>
      <c r="AJ659" s="14" t="n">
        <f aca="false">IF($L659=2016,1,0)</f>
        <v>1</v>
      </c>
      <c r="AK659" s="14" t="n">
        <f aca="false">IF($L659=2017,1,0)</f>
        <v>0</v>
      </c>
      <c r="AL659" s="14" t="n">
        <f aca="false">IF($H659="Beginner Level",1,0)</f>
        <v>0</v>
      </c>
      <c r="AM659" s="14" t="n">
        <f aca="false">IF($H659="Expert Level",1,0)</f>
        <v>0</v>
      </c>
      <c r="AN659" s="14" t="n">
        <f aca="false">IF($H659="Intermediate Level",1,0)</f>
        <v>0</v>
      </c>
    </row>
    <row r="660" customFormat="false" ht="57.45" hidden="false" customHeight="false" outlineLevel="0" collapsed="false">
      <c r="A660" s="14" t="n">
        <v>617158</v>
      </c>
      <c r="B660" s="14" t="s">
        <v>1362</v>
      </c>
      <c r="C660" s="14" t="s">
        <v>1363</v>
      </c>
      <c r="D660" s="14" t="n">
        <v>25</v>
      </c>
      <c r="E660" s="14" t="n">
        <v>2083</v>
      </c>
      <c r="F660" s="14" t="n">
        <v>213</v>
      </c>
      <c r="G660" s="14" t="n">
        <v>23</v>
      </c>
      <c r="H660" s="14" t="s">
        <v>62</v>
      </c>
      <c r="I660" s="14" t="n">
        <v>0.99</v>
      </c>
      <c r="J660" s="14" t="n">
        <v>2.5</v>
      </c>
      <c r="K660" s="14" t="s">
        <v>59</v>
      </c>
      <c r="L660" s="14" t="n">
        <v>2016</v>
      </c>
      <c r="M660" s="14" t="n">
        <v>7.64156444126097</v>
      </c>
      <c r="N660" s="14" t="n">
        <v>3.21927574488953</v>
      </c>
      <c r="P660" s="14" t="n">
        <f aca="false">D660</f>
        <v>25</v>
      </c>
      <c r="Q660" s="14" t="n">
        <f aca="false">G660</f>
        <v>23</v>
      </c>
      <c r="R660" s="14" t="n">
        <f aca="false">J660</f>
        <v>2.5</v>
      </c>
      <c r="S660" s="14" t="n">
        <f aca="false">IF($L660=2012,1,0)</f>
        <v>0</v>
      </c>
      <c r="T660" s="14" t="n">
        <f aca="false">IF($L660=2013,1,0)</f>
        <v>0</v>
      </c>
      <c r="U660" s="14" t="n">
        <f aca="false">IF($L660=2014,1,0)</f>
        <v>0</v>
      </c>
      <c r="V660" s="14" t="n">
        <f aca="false">IF($L660=2015,1,0)</f>
        <v>0</v>
      </c>
      <c r="W660" s="14" t="n">
        <f aca="false">IF($L660=2016,1,0)</f>
        <v>1</v>
      </c>
      <c r="X660" s="14" t="n">
        <f aca="false">IF($L660=2017,1,0)</f>
        <v>0</v>
      </c>
      <c r="Y660" s="14" t="n">
        <f aca="false">IF($H660="Beginner Level",1,0)</f>
        <v>0</v>
      </c>
      <c r="Z660" s="14" t="n">
        <f aca="false">IF($H660="Expert Level",1,0)</f>
        <v>0</v>
      </c>
      <c r="AA660" s="14" t="n">
        <f aca="false">IF($H660="Intermediate Level",1,0)</f>
        <v>0</v>
      </c>
      <c r="AC660" s="14" t="n">
        <f aca="false">N660</f>
        <v>3.21927574488953</v>
      </c>
      <c r="AD660" s="14" t="n">
        <f aca="false">G660</f>
        <v>23</v>
      </c>
      <c r="AE660" s="14" t="n">
        <f aca="false">J660</f>
        <v>2.5</v>
      </c>
      <c r="AF660" s="14" t="n">
        <f aca="false">IF($L660=2012,1,0)</f>
        <v>0</v>
      </c>
      <c r="AG660" s="14" t="n">
        <f aca="false">IF($L660=2013,1,0)</f>
        <v>0</v>
      </c>
      <c r="AH660" s="14" t="n">
        <f aca="false">IF($L660=2014,1,0)</f>
        <v>0</v>
      </c>
      <c r="AI660" s="14" t="n">
        <f aca="false">IF($L660=2015,1,0)</f>
        <v>0</v>
      </c>
      <c r="AJ660" s="14" t="n">
        <f aca="false">IF($L660=2016,1,0)</f>
        <v>1</v>
      </c>
      <c r="AK660" s="14" t="n">
        <f aca="false">IF($L660=2017,1,0)</f>
        <v>0</v>
      </c>
      <c r="AL660" s="14" t="n">
        <f aca="false">IF($H660="Beginner Level",1,0)</f>
        <v>0</v>
      </c>
      <c r="AM660" s="14" t="n">
        <f aca="false">IF($H660="Expert Level",1,0)</f>
        <v>0</v>
      </c>
      <c r="AN660" s="14" t="n">
        <f aca="false">IF($H660="Intermediate Level",1,0)</f>
        <v>0</v>
      </c>
    </row>
    <row r="661" customFormat="false" ht="57.45" hidden="false" customHeight="false" outlineLevel="0" collapsed="false">
      <c r="A661" s="14" t="n">
        <v>800148</v>
      </c>
      <c r="B661" s="14" t="s">
        <v>1364</v>
      </c>
      <c r="C661" s="14" t="s">
        <v>1365</v>
      </c>
      <c r="D661" s="14" t="n">
        <v>200</v>
      </c>
      <c r="E661" s="14" t="n">
        <v>2076</v>
      </c>
      <c r="F661" s="14" t="n">
        <v>125</v>
      </c>
      <c r="G661" s="14" t="n">
        <v>56</v>
      </c>
      <c r="H661" s="14" t="s">
        <v>71</v>
      </c>
      <c r="I661" s="14" t="n">
        <v>0.99</v>
      </c>
      <c r="J661" s="14" t="n">
        <v>11</v>
      </c>
      <c r="K661" s="14" t="s">
        <v>59</v>
      </c>
      <c r="L661" s="14" t="n">
        <v>2016</v>
      </c>
      <c r="M661" s="14" t="n">
        <v>7.63819824428578</v>
      </c>
      <c r="N661" s="14" t="n">
        <v>5.29836736529808</v>
      </c>
      <c r="P661" s="14" t="n">
        <f aca="false">D661</f>
        <v>200</v>
      </c>
      <c r="Q661" s="14" t="n">
        <f aca="false">G661</f>
        <v>56</v>
      </c>
      <c r="R661" s="14" t="n">
        <f aca="false">J661</f>
        <v>11</v>
      </c>
      <c r="S661" s="14" t="n">
        <f aca="false">IF($L661=2012,1,0)</f>
        <v>0</v>
      </c>
      <c r="T661" s="14" t="n">
        <f aca="false">IF($L661=2013,1,0)</f>
        <v>0</v>
      </c>
      <c r="U661" s="14" t="n">
        <f aca="false">IF($L661=2014,1,0)</f>
        <v>0</v>
      </c>
      <c r="V661" s="14" t="n">
        <f aca="false">IF($L661=2015,1,0)</f>
        <v>0</v>
      </c>
      <c r="W661" s="14" t="n">
        <f aca="false">IF($L661=2016,1,0)</f>
        <v>1</v>
      </c>
      <c r="X661" s="14" t="n">
        <f aca="false">IF($L661=2017,1,0)</f>
        <v>0</v>
      </c>
      <c r="Y661" s="14" t="n">
        <f aca="false">IF($H661="Beginner Level",1,0)</f>
        <v>0</v>
      </c>
      <c r="Z661" s="14" t="n">
        <f aca="false">IF($H661="Expert Level",1,0)</f>
        <v>0</v>
      </c>
      <c r="AA661" s="14" t="n">
        <f aca="false">IF($H661="Intermediate Level",1,0)</f>
        <v>1</v>
      </c>
      <c r="AC661" s="14" t="n">
        <f aca="false">N661</f>
        <v>5.29836736529808</v>
      </c>
      <c r="AD661" s="14" t="n">
        <f aca="false">G661</f>
        <v>56</v>
      </c>
      <c r="AE661" s="14" t="n">
        <f aca="false">J661</f>
        <v>11</v>
      </c>
      <c r="AF661" s="14" t="n">
        <f aca="false">IF($L661=2012,1,0)</f>
        <v>0</v>
      </c>
      <c r="AG661" s="14" t="n">
        <f aca="false">IF($L661=2013,1,0)</f>
        <v>0</v>
      </c>
      <c r="AH661" s="14" t="n">
        <f aca="false">IF($L661=2014,1,0)</f>
        <v>0</v>
      </c>
      <c r="AI661" s="14" t="n">
        <f aca="false">IF($L661=2015,1,0)</f>
        <v>0</v>
      </c>
      <c r="AJ661" s="14" t="n">
        <f aca="false">IF($L661=2016,1,0)</f>
        <v>1</v>
      </c>
      <c r="AK661" s="14" t="n">
        <f aca="false">IF($L661=2017,1,0)</f>
        <v>0</v>
      </c>
      <c r="AL661" s="14" t="n">
        <f aca="false">IF($H661="Beginner Level",1,0)</f>
        <v>0</v>
      </c>
      <c r="AM661" s="14" t="n">
        <f aca="false">IF($H661="Expert Level",1,0)</f>
        <v>0</v>
      </c>
      <c r="AN661" s="14" t="n">
        <f aca="false">IF($H661="Intermediate Level",1,0)</f>
        <v>1</v>
      </c>
    </row>
    <row r="662" customFormat="false" ht="57.45" hidden="false" customHeight="false" outlineLevel="0" collapsed="false">
      <c r="A662" s="14" t="n">
        <v>1121580</v>
      </c>
      <c r="B662" s="14" t="s">
        <v>1366</v>
      </c>
      <c r="C662" s="14" t="s">
        <v>1367</v>
      </c>
      <c r="D662" s="14" t="n">
        <v>20</v>
      </c>
      <c r="E662" s="14" t="n">
        <v>2076</v>
      </c>
      <c r="F662" s="14" t="n">
        <v>8</v>
      </c>
      <c r="G662" s="14" t="n">
        <v>20</v>
      </c>
      <c r="H662" s="14" t="s">
        <v>52</v>
      </c>
      <c r="I662" s="14" t="n">
        <v>0.99</v>
      </c>
      <c r="J662" s="14" t="n">
        <v>2</v>
      </c>
      <c r="K662" s="14" t="s">
        <v>59</v>
      </c>
      <c r="L662" s="14" t="n">
        <v>2017</v>
      </c>
      <c r="M662" s="14" t="n">
        <v>7.63819824428578</v>
      </c>
      <c r="N662" s="14" t="n">
        <v>2.99623214859564</v>
      </c>
      <c r="P662" s="14" t="n">
        <f aca="false">D662</f>
        <v>20</v>
      </c>
      <c r="Q662" s="14" t="n">
        <f aca="false">G662</f>
        <v>20</v>
      </c>
      <c r="R662" s="14" t="n">
        <f aca="false">J662</f>
        <v>2</v>
      </c>
      <c r="S662" s="14" t="n">
        <f aca="false">IF($L662=2012,1,0)</f>
        <v>0</v>
      </c>
      <c r="T662" s="14" t="n">
        <f aca="false">IF($L662=2013,1,0)</f>
        <v>0</v>
      </c>
      <c r="U662" s="14" t="n">
        <f aca="false">IF($L662=2014,1,0)</f>
        <v>0</v>
      </c>
      <c r="V662" s="14" t="n">
        <f aca="false">IF($L662=2015,1,0)</f>
        <v>0</v>
      </c>
      <c r="W662" s="14" t="n">
        <f aca="false">IF($L662=2016,1,0)</f>
        <v>0</v>
      </c>
      <c r="X662" s="14" t="n">
        <f aca="false">IF($L662=2017,1,0)</f>
        <v>1</v>
      </c>
      <c r="Y662" s="14" t="n">
        <f aca="false">IF($H662="Beginner Level",1,0)</f>
        <v>1</v>
      </c>
      <c r="Z662" s="14" t="n">
        <f aca="false">IF($H662="Expert Level",1,0)</f>
        <v>0</v>
      </c>
      <c r="AA662" s="14" t="n">
        <f aca="false">IF($H662="Intermediate Level",1,0)</f>
        <v>0</v>
      </c>
      <c r="AC662" s="14" t="n">
        <f aca="false">N662</f>
        <v>2.99623214859564</v>
      </c>
      <c r="AD662" s="14" t="n">
        <f aca="false">G662</f>
        <v>20</v>
      </c>
      <c r="AE662" s="14" t="n">
        <f aca="false">J662</f>
        <v>2</v>
      </c>
      <c r="AF662" s="14" t="n">
        <f aca="false">IF($L662=2012,1,0)</f>
        <v>0</v>
      </c>
      <c r="AG662" s="14" t="n">
        <f aca="false">IF($L662=2013,1,0)</f>
        <v>0</v>
      </c>
      <c r="AH662" s="14" t="n">
        <f aca="false">IF($L662=2014,1,0)</f>
        <v>0</v>
      </c>
      <c r="AI662" s="14" t="n">
        <f aca="false">IF($L662=2015,1,0)</f>
        <v>0</v>
      </c>
      <c r="AJ662" s="14" t="n">
        <f aca="false">IF($L662=2016,1,0)</f>
        <v>0</v>
      </c>
      <c r="AK662" s="14" t="n">
        <f aca="false">IF($L662=2017,1,0)</f>
        <v>1</v>
      </c>
      <c r="AL662" s="14" t="n">
        <f aca="false">IF($H662="Beginner Level",1,0)</f>
        <v>1</v>
      </c>
      <c r="AM662" s="14" t="n">
        <f aca="false">IF($H662="Expert Level",1,0)</f>
        <v>0</v>
      </c>
      <c r="AN662" s="14" t="n">
        <f aca="false">IF($H662="Intermediate Level",1,0)</f>
        <v>0</v>
      </c>
    </row>
    <row r="663" customFormat="false" ht="57.45" hidden="false" customHeight="false" outlineLevel="0" collapsed="false">
      <c r="A663" s="14" t="n">
        <v>1124244</v>
      </c>
      <c r="B663" s="14" t="s">
        <v>1368</v>
      </c>
      <c r="C663" s="14" t="s">
        <v>1369</v>
      </c>
      <c r="D663" s="14" t="n">
        <v>20</v>
      </c>
      <c r="E663" s="14" t="n">
        <v>2074</v>
      </c>
      <c r="F663" s="14" t="n">
        <v>14</v>
      </c>
      <c r="G663" s="14" t="n">
        <v>22</v>
      </c>
      <c r="H663" s="14" t="s">
        <v>62</v>
      </c>
      <c r="I663" s="14" t="n">
        <v>0.99</v>
      </c>
      <c r="J663" s="14" t="n">
        <v>1.5</v>
      </c>
      <c r="K663" s="14" t="s">
        <v>59</v>
      </c>
      <c r="L663" s="14" t="n">
        <v>2017</v>
      </c>
      <c r="M663" s="14" t="n">
        <v>7.63723438878947</v>
      </c>
      <c r="N663" s="14" t="n">
        <v>2.99623214859564</v>
      </c>
      <c r="P663" s="14" t="n">
        <f aca="false">D663</f>
        <v>20</v>
      </c>
      <c r="Q663" s="14" t="n">
        <f aca="false">G663</f>
        <v>22</v>
      </c>
      <c r="R663" s="14" t="n">
        <f aca="false">J663</f>
        <v>1.5</v>
      </c>
      <c r="S663" s="14" t="n">
        <f aca="false">IF($L663=2012,1,0)</f>
        <v>0</v>
      </c>
      <c r="T663" s="14" t="n">
        <f aca="false">IF($L663=2013,1,0)</f>
        <v>0</v>
      </c>
      <c r="U663" s="14" t="n">
        <f aca="false">IF($L663=2014,1,0)</f>
        <v>0</v>
      </c>
      <c r="V663" s="14" t="n">
        <f aca="false">IF($L663=2015,1,0)</f>
        <v>0</v>
      </c>
      <c r="W663" s="14" t="n">
        <f aca="false">IF($L663=2016,1,0)</f>
        <v>0</v>
      </c>
      <c r="X663" s="14" t="n">
        <f aca="false">IF($L663=2017,1,0)</f>
        <v>1</v>
      </c>
      <c r="Y663" s="14" t="n">
        <f aca="false">IF($H663="Beginner Level",1,0)</f>
        <v>0</v>
      </c>
      <c r="Z663" s="14" t="n">
        <f aca="false">IF($H663="Expert Level",1,0)</f>
        <v>0</v>
      </c>
      <c r="AA663" s="14" t="n">
        <f aca="false">IF($H663="Intermediate Level",1,0)</f>
        <v>0</v>
      </c>
      <c r="AC663" s="14" t="n">
        <f aca="false">N663</f>
        <v>2.99623214859564</v>
      </c>
      <c r="AD663" s="14" t="n">
        <f aca="false">G663</f>
        <v>22</v>
      </c>
      <c r="AE663" s="14" t="n">
        <f aca="false">J663</f>
        <v>1.5</v>
      </c>
      <c r="AF663" s="14" t="n">
        <f aca="false">IF($L663=2012,1,0)</f>
        <v>0</v>
      </c>
      <c r="AG663" s="14" t="n">
        <f aca="false">IF($L663=2013,1,0)</f>
        <v>0</v>
      </c>
      <c r="AH663" s="14" t="n">
        <f aca="false">IF($L663=2014,1,0)</f>
        <v>0</v>
      </c>
      <c r="AI663" s="14" t="n">
        <f aca="false">IF($L663=2015,1,0)</f>
        <v>0</v>
      </c>
      <c r="AJ663" s="14" t="n">
        <f aca="false">IF($L663=2016,1,0)</f>
        <v>0</v>
      </c>
      <c r="AK663" s="14" t="n">
        <f aca="false">IF($L663=2017,1,0)</f>
        <v>1</v>
      </c>
      <c r="AL663" s="14" t="n">
        <f aca="false">IF($H663="Beginner Level",1,0)</f>
        <v>0</v>
      </c>
      <c r="AM663" s="14" t="n">
        <f aca="false">IF($H663="Expert Level",1,0)</f>
        <v>0</v>
      </c>
      <c r="AN663" s="14" t="n">
        <f aca="false">IF($H663="Intermediate Level",1,0)</f>
        <v>0</v>
      </c>
    </row>
    <row r="664" customFormat="false" ht="68.65" hidden="false" customHeight="false" outlineLevel="0" collapsed="false">
      <c r="A664" s="14" t="n">
        <v>228934</v>
      </c>
      <c r="B664" s="14" t="s">
        <v>1370</v>
      </c>
      <c r="C664" s="14" t="s">
        <v>1371</v>
      </c>
      <c r="D664" s="14" t="n">
        <v>95</v>
      </c>
      <c r="E664" s="14" t="n">
        <v>2073</v>
      </c>
      <c r="F664" s="14" t="n">
        <v>24</v>
      </c>
      <c r="G664" s="14" t="n">
        <v>16</v>
      </c>
      <c r="H664" s="14" t="s">
        <v>52</v>
      </c>
      <c r="I664" s="14" t="n">
        <v>0.99</v>
      </c>
      <c r="J664" s="14" t="n">
        <v>2</v>
      </c>
      <c r="K664" s="14" t="s">
        <v>59</v>
      </c>
      <c r="L664" s="14" t="n">
        <v>2015</v>
      </c>
      <c r="M664" s="14" t="n">
        <v>7.63675211243578</v>
      </c>
      <c r="N664" s="14" t="n">
        <v>4.55398214921866</v>
      </c>
      <c r="P664" s="14" t="n">
        <f aca="false">D664</f>
        <v>95</v>
      </c>
      <c r="Q664" s="14" t="n">
        <f aca="false">G664</f>
        <v>16</v>
      </c>
      <c r="R664" s="14" t="n">
        <f aca="false">J664</f>
        <v>2</v>
      </c>
      <c r="S664" s="14" t="n">
        <f aca="false">IF($L664=2012,1,0)</f>
        <v>0</v>
      </c>
      <c r="T664" s="14" t="n">
        <f aca="false">IF($L664=2013,1,0)</f>
        <v>0</v>
      </c>
      <c r="U664" s="14" t="n">
        <f aca="false">IF($L664=2014,1,0)</f>
        <v>0</v>
      </c>
      <c r="V664" s="14" t="n">
        <f aca="false">IF($L664=2015,1,0)</f>
        <v>1</v>
      </c>
      <c r="W664" s="14" t="n">
        <f aca="false">IF($L664=2016,1,0)</f>
        <v>0</v>
      </c>
      <c r="X664" s="14" t="n">
        <f aca="false">IF($L664=2017,1,0)</f>
        <v>0</v>
      </c>
      <c r="Y664" s="14" t="n">
        <f aca="false">IF($H664="Beginner Level",1,0)</f>
        <v>1</v>
      </c>
      <c r="Z664" s="14" t="n">
        <f aca="false">IF($H664="Expert Level",1,0)</f>
        <v>0</v>
      </c>
      <c r="AA664" s="14" t="n">
        <f aca="false">IF($H664="Intermediate Level",1,0)</f>
        <v>0</v>
      </c>
      <c r="AC664" s="14" t="n">
        <f aca="false">N664</f>
        <v>4.55398214921866</v>
      </c>
      <c r="AD664" s="14" t="n">
        <f aca="false">G664</f>
        <v>16</v>
      </c>
      <c r="AE664" s="14" t="n">
        <f aca="false">J664</f>
        <v>2</v>
      </c>
      <c r="AF664" s="14" t="n">
        <f aca="false">IF($L664=2012,1,0)</f>
        <v>0</v>
      </c>
      <c r="AG664" s="14" t="n">
        <f aca="false">IF($L664=2013,1,0)</f>
        <v>0</v>
      </c>
      <c r="AH664" s="14" t="n">
        <f aca="false">IF($L664=2014,1,0)</f>
        <v>0</v>
      </c>
      <c r="AI664" s="14" t="n">
        <f aca="false">IF($L664=2015,1,0)</f>
        <v>1</v>
      </c>
      <c r="AJ664" s="14" t="n">
        <f aca="false">IF($L664=2016,1,0)</f>
        <v>0</v>
      </c>
      <c r="AK664" s="14" t="n">
        <f aca="false">IF($L664=2017,1,0)</f>
        <v>0</v>
      </c>
      <c r="AL664" s="14" t="n">
        <f aca="false">IF($H664="Beginner Level",1,0)</f>
        <v>1</v>
      </c>
      <c r="AM664" s="14" t="n">
        <f aca="false">IF($H664="Expert Level",1,0)</f>
        <v>0</v>
      </c>
      <c r="AN664" s="14" t="n">
        <f aca="false">IF($H664="Intermediate Level",1,0)</f>
        <v>0</v>
      </c>
    </row>
    <row r="665" customFormat="false" ht="57.45" hidden="false" customHeight="false" outlineLevel="0" collapsed="false">
      <c r="A665" s="14" t="n">
        <v>624578</v>
      </c>
      <c r="B665" s="14" t="s">
        <v>1372</v>
      </c>
      <c r="C665" s="14" t="s">
        <v>1373</v>
      </c>
      <c r="D665" s="14" t="n">
        <v>75</v>
      </c>
      <c r="E665" s="14" t="n">
        <v>2071</v>
      </c>
      <c r="F665" s="14" t="n">
        <v>57</v>
      </c>
      <c r="G665" s="14" t="n">
        <v>14</v>
      </c>
      <c r="H665" s="14" t="s">
        <v>62</v>
      </c>
      <c r="I665" s="14" t="n">
        <v>0.99</v>
      </c>
      <c r="J665" s="14" t="n">
        <v>1.5</v>
      </c>
      <c r="K665" s="14" t="s">
        <v>59</v>
      </c>
      <c r="L665" s="14" t="n">
        <v>2015</v>
      </c>
      <c r="M665" s="14" t="n">
        <v>7.63578686139559</v>
      </c>
      <c r="N665" s="14" t="n">
        <v>4.31762143798155</v>
      </c>
      <c r="P665" s="14" t="n">
        <f aca="false">D665</f>
        <v>75</v>
      </c>
      <c r="Q665" s="14" t="n">
        <f aca="false">G665</f>
        <v>14</v>
      </c>
      <c r="R665" s="14" t="n">
        <f aca="false">J665</f>
        <v>1.5</v>
      </c>
      <c r="S665" s="14" t="n">
        <f aca="false">IF($L665=2012,1,0)</f>
        <v>0</v>
      </c>
      <c r="T665" s="14" t="n">
        <f aca="false">IF($L665=2013,1,0)</f>
        <v>0</v>
      </c>
      <c r="U665" s="14" t="n">
        <f aca="false">IF($L665=2014,1,0)</f>
        <v>0</v>
      </c>
      <c r="V665" s="14" t="n">
        <f aca="false">IF($L665=2015,1,0)</f>
        <v>1</v>
      </c>
      <c r="W665" s="14" t="n">
        <f aca="false">IF($L665=2016,1,0)</f>
        <v>0</v>
      </c>
      <c r="X665" s="14" t="n">
        <f aca="false">IF($L665=2017,1,0)</f>
        <v>0</v>
      </c>
      <c r="Y665" s="14" t="n">
        <f aca="false">IF($H665="Beginner Level",1,0)</f>
        <v>0</v>
      </c>
      <c r="Z665" s="14" t="n">
        <f aca="false">IF($H665="Expert Level",1,0)</f>
        <v>0</v>
      </c>
      <c r="AA665" s="14" t="n">
        <f aca="false">IF($H665="Intermediate Level",1,0)</f>
        <v>0</v>
      </c>
      <c r="AC665" s="14" t="n">
        <f aca="false">N665</f>
        <v>4.31762143798155</v>
      </c>
      <c r="AD665" s="14" t="n">
        <f aca="false">G665</f>
        <v>14</v>
      </c>
      <c r="AE665" s="14" t="n">
        <f aca="false">J665</f>
        <v>1.5</v>
      </c>
      <c r="AF665" s="14" t="n">
        <f aca="false">IF($L665=2012,1,0)</f>
        <v>0</v>
      </c>
      <c r="AG665" s="14" t="n">
        <f aca="false">IF($L665=2013,1,0)</f>
        <v>0</v>
      </c>
      <c r="AH665" s="14" t="n">
        <f aca="false">IF($L665=2014,1,0)</f>
        <v>0</v>
      </c>
      <c r="AI665" s="14" t="n">
        <f aca="false">IF($L665=2015,1,0)</f>
        <v>1</v>
      </c>
      <c r="AJ665" s="14" t="n">
        <f aca="false">IF($L665=2016,1,0)</f>
        <v>0</v>
      </c>
      <c r="AK665" s="14" t="n">
        <f aca="false">IF($L665=2017,1,0)</f>
        <v>0</v>
      </c>
      <c r="AL665" s="14" t="n">
        <f aca="false">IF($H665="Beginner Level",1,0)</f>
        <v>0</v>
      </c>
      <c r="AM665" s="14" t="n">
        <f aca="false">IF($H665="Expert Level",1,0)</f>
        <v>0</v>
      </c>
      <c r="AN665" s="14" t="n">
        <f aca="false">IF($H665="Intermediate Level",1,0)</f>
        <v>0</v>
      </c>
    </row>
    <row r="666" customFormat="false" ht="91" hidden="false" customHeight="false" outlineLevel="0" collapsed="false">
      <c r="A666" s="14" t="n">
        <v>1145206</v>
      </c>
      <c r="B666" s="14" t="s">
        <v>1374</v>
      </c>
      <c r="C666" s="14" t="s">
        <v>1375</v>
      </c>
      <c r="D666" s="14" t="n">
        <v>150</v>
      </c>
      <c r="E666" s="14" t="n">
        <v>2063</v>
      </c>
      <c r="F666" s="14" t="n">
        <v>18</v>
      </c>
      <c r="G666" s="14" t="n">
        <v>12</v>
      </c>
      <c r="H666" s="14" t="s">
        <v>71</v>
      </c>
      <c r="I666" s="14" t="n">
        <v>0.99</v>
      </c>
      <c r="J666" s="14" t="n">
        <v>1</v>
      </c>
      <c r="K666" s="14" t="s">
        <v>59</v>
      </c>
      <c r="L666" s="14" t="n">
        <v>2017</v>
      </c>
      <c r="M666" s="14" t="n">
        <v>7.63191651307125</v>
      </c>
      <c r="N666" s="14" t="n">
        <v>5.0107019585408</v>
      </c>
      <c r="P666" s="14" t="n">
        <f aca="false">D666</f>
        <v>150</v>
      </c>
      <c r="Q666" s="14" t="n">
        <f aca="false">G666</f>
        <v>12</v>
      </c>
      <c r="R666" s="14" t="n">
        <f aca="false">J666</f>
        <v>1</v>
      </c>
      <c r="S666" s="14" t="n">
        <f aca="false">IF($L666=2012,1,0)</f>
        <v>0</v>
      </c>
      <c r="T666" s="14" t="n">
        <f aca="false">IF($L666=2013,1,0)</f>
        <v>0</v>
      </c>
      <c r="U666" s="14" t="n">
        <f aca="false">IF($L666=2014,1,0)</f>
        <v>0</v>
      </c>
      <c r="V666" s="14" t="n">
        <f aca="false">IF($L666=2015,1,0)</f>
        <v>0</v>
      </c>
      <c r="W666" s="14" t="n">
        <f aca="false">IF($L666=2016,1,0)</f>
        <v>0</v>
      </c>
      <c r="X666" s="14" t="n">
        <f aca="false">IF($L666=2017,1,0)</f>
        <v>1</v>
      </c>
      <c r="Y666" s="14" t="n">
        <f aca="false">IF($H666="Beginner Level",1,0)</f>
        <v>0</v>
      </c>
      <c r="Z666" s="14" t="n">
        <f aca="false">IF($H666="Expert Level",1,0)</f>
        <v>0</v>
      </c>
      <c r="AA666" s="14" t="n">
        <f aca="false">IF($H666="Intermediate Level",1,0)</f>
        <v>1</v>
      </c>
      <c r="AC666" s="14" t="n">
        <f aca="false">N666</f>
        <v>5.0107019585408</v>
      </c>
      <c r="AD666" s="14" t="n">
        <f aca="false">G666</f>
        <v>12</v>
      </c>
      <c r="AE666" s="14" t="n">
        <f aca="false">J666</f>
        <v>1</v>
      </c>
      <c r="AF666" s="14" t="n">
        <f aca="false">IF($L666=2012,1,0)</f>
        <v>0</v>
      </c>
      <c r="AG666" s="14" t="n">
        <f aca="false">IF($L666=2013,1,0)</f>
        <v>0</v>
      </c>
      <c r="AH666" s="14" t="n">
        <f aca="false">IF($L666=2014,1,0)</f>
        <v>0</v>
      </c>
      <c r="AI666" s="14" t="n">
        <f aca="false">IF($L666=2015,1,0)</f>
        <v>0</v>
      </c>
      <c r="AJ666" s="14" t="n">
        <f aca="false">IF($L666=2016,1,0)</f>
        <v>0</v>
      </c>
      <c r="AK666" s="14" t="n">
        <f aca="false">IF($L666=2017,1,0)</f>
        <v>1</v>
      </c>
      <c r="AL666" s="14" t="n">
        <f aca="false">IF($H666="Beginner Level",1,0)</f>
        <v>0</v>
      </c>
      <c r="AM666" s="14" t="n">
        <f aca="false">IF($H666="Expert Level",1,0)</f>
        <v>0</v>
      </c>
      <c r="AN666" s="14" t="n">
        <f aca="false">IF($H666="Intermediate Level",1,0)</f>
        <v>1</v>
      </c>
    </row>
    <row r="667" customFormat="false" ht="35.05" hidden="false" customHeight="false" outlineLevel="0" collapsed="false">
      <c r="A667" s="14" t="n">
        <v>954036</v>
      </c>
      <c r="B667" s="14" t="s">
        <v>1376</v>
      </c>
      <c r="C667" s="14" t="s">
        <v>1377</v>
      </c>
      <c r="D667" s="14" t="n">
        <v>45</v>
      </c>
      <c r="E667" s="14" t="n">
        <v>2052</v>
      </c>
      <c r="F667" s="14" t="n">
        <v>18</v>
      </c>
      <c r="G667" s="14" t="n">
        <v>8</v>
      </c>
      <c r="H667" s="14" t="s">
        <v>52</v>
      </c>
      <c r="I667" s="14" t="n">
        <v>0.99</v>
      </c>
      <c r="J667" s="14" t="n">
        <v>0.55</v>
      </c>
      <c r="K667" s="14" t="s">
        <v>59</v>
      </c>
      <c r="L667" s="14" t="n">
        <v>2016</v>
      </c>
      <c r="M667" s="14" t="n">
        <v>7.62657020629066</v>
      </c>
      <c r="N667" s="14" t="n">
        <v>3.80688468730484</v>
      </c>
      <c r="P667" s="14" t="n">
        <f aca="false">D667</f>
        <v>45</v>
      </c>
      <c r="Q667" s="14" t="n">
        <f aca="false">G667</f>
        <v>8</v>
      </c>
      <c r="R667" s="14" t="n">
        <f aca="false">J667</f>
        <v>0.55</v>
      </c>
      <c r="S667" s="14" t="n">
        <f aca="false">IF($L667=2012,1,0)</f>
        <v>0</v>
      </c>
      <c r="T667" s="14" t="n">
        <f aca="false">IF($L667=2013,1,0)</f>
        <v>0</v>
      </c>
      <c r="U667" s="14" t="n">
        <f aca="false">IF($L667=2014,1,0)</f>
        <v>0</v>
      </c>
      <c r="V667" s="14" t="n">
        <f aca="false">IF($L667=2015,1,0)</f>
        <v>0</v>
      </c>
      <c r="W667" s="14" t="n">
        <f aca="false">IF($L667=2016,1,0)</f>
        <v>1</v>
      </c>
      <c r="X667" s="14" t="n">
        <f aca="false">IF($L667=2017,1,0)</f>
        <v>0</v>
      </c>
      <c r="Y667" s="14" t="n">
        <f aca="false">IF($H667="Beginner Level",1,0)</f>
        <v>1</v>
      </c>
      <c r="Z667" s="14" t="n">
        <f aca="false">IF($H667="Expert Level",1,0)</f>
        <v>0</v>
      </c>
      <c r="AA667" s="14" t="n">
        <f aca="false">IF($H667="Intermediate Level",1,0)</f>
        <v>0</v>
      </c>
      <c r="AC667" s="14" t="n">
        <f aca="false">N667</f>
        <v>3.80688468730484</v>
      </c>
      <c r="AD667" s="14" t="n">
        <f aca="false">G667</f>
        <v>8</v>
      </c>
      <c r="AE667" s="14" t="n">
        <f aca="false">J667</f>
        <v>0.55</v>
      </c>
      <c r="AF667" s="14" t="n">
        <f aca="false">IF($L667=2012,1,0)</f>
        <v>0</v>
      </c>
      <c r="AG667" s="14" t="n">
        <f aca="false">IF($L667=2013,1,0)</f>
        <v>0</v>
      </c>
      <c r="AH667" s="14" t="n">
        <f aca="false">IF($L667=2014,1,0)</f>
        <v>0</v>
      </c>
      <c r="AI667" s="14" t="n">
        <f aca="false">IF($L667=2015,1,0)</f>
        <v>0</v>
      </c>
      <c r="AJ667" s="14" t="n">
        <f aca="false">IF($L667=2016,1,0)</f>
        <v>1</v>
      </c>
      <c r="AK667" s="14" t="n">
        <f aca="false">IF($L667=2017,1,0)</f>
        <v>0</v>
      </c>
      <c r="AL667" s="14" t="n">
        <f aca="false">IF($H667="Beginner Level",1,0)</f>
        <v>1</v>
      </c>
      <c r="AM667" s="14" t="n">
        <f aca="false">IF($H667="Expert Level",1,0)</f>
        <v>0</v>
      </c>
      <c r="AN667" s="14" t="n">
        <f aca="false">IF($H667="Intermediate Level",1,0)</f>
        <v>0</v>
      </c>
    </row>
    <row r="668" customFormat="false" ht="57.45" hidden="false" customHeight="false" outlineLevel="0" collapsed="false">
      <c r="A668" s="14" t="n">
        <v>45941</v>
      </c>
      <c r="B668" s="14" t="s">
        <v>1378</v>
      </c>
      <c r="C668" s="14" t="s">
        <v>1379</v>
      </c>
      <c r="D668" s="14" t="n">
        <v>150</v>
      </c>
      <c r="E668" s="14" t="n">
        <v>2051</v>
      </c>
      <c r="F668" s="14" t="n">
        <v>99</v>
      </c>
      <c r="G668" s="14" t="n">
        <v>76</v>
      </c>
      <c r="H668" s="14" t="s">
        <v>52</v>
      </c>
      <c r="I668" s="14" t="n">
        <v>0.99</v>
      </c>
      <c r="J668" s="14" t="n">
        <v>13</v>
      </c>
      <c r="K668" s="14" t="s">
        <v>59</v>
      </c>
      <c r="L668" s="14" t="n">
        <v>2013</v>
      </c>
      <c r="M668" s="14" t="n">
        <v>7.62608275807238</v>
      </c>
      <c r="N668" s="14" t="n">
        <v>5.0107019585408</v>
      </c>
      <c r="P668" s="14" t="n">
        <f aca="false">D668</f>
        <v>150</v>
      </c>
      <c r="Q668" s="14" t="n">
        <f aca="false">G668</f>
        <v>76</v>
      </c>
      <c r="R668" s="14" t="n">
        <f aca="false">J668</f>
        <v>13</v>
      </c>
      <c r="S668" s="14" t="n">
        <f aca="false">IF($L668=2012,1,0)</f>
        <v>0</v>
      </c>
      <c r="T668" s="14" t="n">
        <f aca="false">IF($L668=2013,1,0)</f>
        <v>1</v>
      </c>
      <c r="U668" s="14" t="n">
        <f aca="false">IF($L668=2014,1,0)</f>
        <v>0</v>
      </c>
      <c r="V668" s="14" t="n">
        <f aca="false">IF($L668=2015,1,0)</f>
        <v>0</v>
      </c>
      <c r="W668" s="14" t="n">
        <f aca="false">IF($L668=2016,1,0)</f>
        <v>0</v>
      </c>
      <c r="X668" s="14" t="n">
        <f aca="false">IF($L668=2017,1,0)</f>
        <v>0</v>
      </c>
      <c r="Y668" s="14" t="n">
        <f aca="false">IF($H668="Beginner Level",1,0)</f>
        <v>1</v>
      </c>
      <c r="Z668" s="14" t="n">
        <f aca="false">IF($H668="Expert Level",1,0)</f>
        <v>0</v>
      </c>
      <c r="AA668" s="14" t="n">
        <f aca="false">IF($H668="Intermediate Level",1,0)</f>
        <v>0</v>
      </c>
      <c r="AC668" s="14" t="n">
        <f aca="false">N668</f>
        <v>5.0107019585408</v>
      </c>
      <c r="AD668" s="14" t="n">
        <f aca="false">G668</f>
        <v>76</v>
      </c>
      <c r="AE668" s="14" t="n">
        <f aca="false">J668</f>
        <v>13</v>
      </c>
      <c r="AF668" s="14" t="n">
        <f aca="false">IF($L668=2012,1,0)</f>
        <v>0</v>
      </c>
      <c r="AG668" s="14" t="n">
        <f aca="false">IF($L668=2013,1,0)</f>
        <v>1</v>
      </c>
      <c r="AH668" s="14" t="n">
        <f aca="false">IF($L668=2014,1,0)</f>
        <v>0</v>
      </c>
      <c r="AI668" s="14" t="n">
        <f aca="false">IF($L668=2015,1,0)</f>
        <v>0</v>
      </c>
      <c r="AJ668" s="14" t="n">
        <f aca="false">IF($L668=2016,1,0)</f>
        <v>0</v>
      </c>
      <c r="AK668" s="14" t="n">
        <f aca="false">IF($L668=2017,1,0)</f>
        <v>0</v>
      </c>
      <c r="AL668" s="14" t="n">
        <f aca="false">IF($H668="Beginner Level",1,0)</f>
        <v>1</v>
      </c>
      <c r="AM668" s="14" t="n">
        <f aca="false">IF($H668="Expert Level",1,0)</f>
        <v>0</v>
      </c>
      <c r="AN668" s="14" t="n">
        <f aca="false">IF($H668="Intermediate Level",1,0)</f>
        <v>0</v>
      </c>
    </row>
    <row r="669" customFormat="false" ht="79.85" hidden="false" customHeight="false" outlineLevel="0" collapsed="false">
      <c r="A669" s="14" t="n">
        <v>709180</v>
      </c>
      <c r="B669" s="14" t="s">
        <v>1380</v>
      </c>
      <c r="C669" s="14" t="s">
        <v>1381</v>
      </c>
      <c r="D669" s="14" t="n">
        <v>115</v>
      </c>
      <c r="E669" s="14" t="n">
        <v>2039</v>
      </c>
      <c r="F669" s="14" t="n">
        <v>7</v>
      </c>
      <c r="G669" s="14" t="n">
        <v>19</v>
      </c>
      <c r="H669" s="14" t="s">
        <v>62</v>
      </c>
      <c r="I669" s="14" t="n">
        <v>0.99</v>
      </c>
      <c r="J669" s="14" t="n">
        <v>1</v>
      </c>
      <c r="K669" s="14" t="s">
        <v>59</v>
      </c>
      <c r="L669" s="14" t="n">
        <v>2015</v>
      </c>
      <c r="M669" s="14" t="n">
        <v>7.62021477057446</v>
      </c>
      <c r="N669" s="14" t="n">
        <v>4.74501908110449</v>
      </c>
      <c r="P669" s="14" t="n">
        <f aca="false">D669</f>
        <v>115</v>
      </c>
      <c r="Q669" s="14" t="n">
        <f aca="false">G669</f>
        <v>19</v>
      </c>
      <c r="R669" s="14" t="n">
        <f aca="false">J669</f>
        <v>1</v>
      </c>
      <c r="S669" s="14" t="n">
        <f aca="false">IF($L669=2012,1,0)</f>
        <v>0</v>
      </c>
      <c r="T669" s="14" t="n">
        <f aca="false">IF($L669=2013,1,0)</f>
        <v>0</v>
      </c>
      <c r="U669" s="14" t="n">
        <f aca="false">IF($L669=2014,1,0)</f>
        <v>0</v>
      </c>
      <c r="V669" s="14" t="n">
        <f aca="false">IF($L669=2015,1,0)</f>
        <v>1</v>
      </c>
      <c r="W669" s="14" t="n">
        <f aca="false">IF($L669=2016,1,0)</f>
        <v>0</v>
      </c>
      <c r="X669" s="14" t="n">
        <f aca="false">IF($L669=2017,1,0)</f>
        <v>0</v>
      </c>
      <c r="Y669" s="14" t="n">
        <f aca="false">IF($H669="Beginner Level",1,0)</f>
        <v>0</v>
      </c>
      <c r="Z669" s="14" t="n">
        <f aca="false">IF($H669="Expert Level",1,0)</f>
        <v>0</v>
      </c>
      <c r="AA669" s="14" t="n">
        <f aca="false">IF($H669="Intermediate Level",1,0)</f>
        <v>0</v>
      </c>
      <c r="AC669" s="14" t="n">
        <f aca="false">N669</f>
        <v>4.74501908110449</v>
      </c>
      <c r="AD669" s="14" t="n">
        <f aca="false">G669</f>
        <v>19</v>
      </c>
      <c r="AE669" s="14" t="n">
        <f aca="false">J669</f>
        <v>1</v>
      </c>
      <c r="AF669" s="14" t="n">
        <f aca="false">IF($L669=2012,1,0)</f>
        <v>0</v>
      </c>
      <c r="AG669" s="14" t="n">
        <f aca="false">IF($L669=2013,1,0)</f>
        <v>0</v>
      </c>
      <c r="AH669" s="14" t="n">
        <f aca="false">IF($L669=2014,1,0)</f>
        <v>0</v>
      </c>
      <c r="AI669" s="14" t="n">
        <f aca="false">IF($L669=2015,1,0)</f>
        <v>1</v>
      </c>
      <c r="AJ669" s="14" t="n">
        <f aca="false">IF($L669=2016,1,0)</f>
        <v>0</v>
      </c>
      <c r="AK669" s="14" t="n">
        <f aca="false">IF($L669=2017,1,0)</f>
        <v>0</v>
      </c>
      <c r="AL669" s="14" t="n">
        <f aca="false">IF($H669="Beginner Level",1,0)</f>
        <v>0</v>
      </c>
      <c r="AM669" s="14" t="n">
        <f aca="false">IF($H669="Expert Level",1,0)</f>
        <v>0</v>
      </c>
      <c r="AN669" s="14" t="n">
        <f aca="false">IF($H669="Intermediate Level",1,0)</f>
        <v>0</v>
      </c>
    </row>
    <row r="670" customFormat="false" ht="57.45" hidden="false" customHeight="false" outlineLevel="0" collapsed="false">
      <c r="A670" s="14" t="n">
        <v>823236</v>
      </c>
      <c r="B670" s="14" t="s">
        <v>1382</v>
      </c>
      <c r="C670" s="14" t="s">
        <v>1383</v>
      </c>
      <c r="D670" s="14" t="n">
        <v>20</v>
      </c>
      <c r="E670" s="14" t="n">
        <v>2025</v>
      </c>
      <c r="F670" s="14" t="n">
        <v>16</v>
      </c>
      <c r="G670" s="14" t="n">
        <v>38</v>
      </c>
      <c r="H670" s="14" t="s">
        <v>62</v>
      </c>
      <c r="I670" s="14" t="n">
        <v>0.99</v>
      </c>
      <c r="J670" s="14" t="n">
        <v>2</v>
      </c>
      <c r="K670" s="14" t="s">
        <v>59</v>
      </c>
      <c r="L670" s="14" t="n">
        <v>2016</v>
      </c>
      <c r="M670" s="14" t="n">
        <v>7.61332497954064</v>
      </c>
      <c r="N670" s="14" t="n">
        <v>2.99623214859564</v>
      </c>
      <c r="P670" s="14" t="n">
        <f aca="false">D670</f>
        <v>20</v>
      </c>
      <c r="Q670" s="14" t="n">
        <f aca="false">G670</f>
        <v>38</v>
      </c>
      <c r="R670" s="14" t="n">
        <f aca="false">J670</f>
        <v>2</v>
      </c>
      <c r="S670" s="14" t="n">
        <f aca="false">IF($L670=2012,1,0)</f>
        <v>0</v>
      </c>
      <c r="T670" s="14" t="n">
        <f aca="false">IF($L670=2013,1,0)</f>
        <v>0</v>
      </c>
      <c r="U670" s="14" t="n">
        <f aca="false">IF($L670=2014,1,0)</f>
        <v>0</v>
      </c>
      <c r="V670" s="14" t="n">
        <f aca="false">IF($L670=2015,1,0)</f>
        <v>0</v>
      </c>
      <c r="W670" s="14" t="n">
        <f aca="false">IF($L670=2016,1,0)</f>
        <v>1</v>
      </c>
      <c r="X670" s="14" t="n">
        <f aca="false">IF($L670=2017,1,0)</f>
        <v>0</v>
      </c>
      <c r="Y670" s="14" t="n">
        <f aca="false">IF($H670="Beginner Level",1,0)</f>
        <v>0</v>
      </c>
      <c r="Z670" s="14" t="n">
        <f aca="false">IF($H670="Expert Level",1,0)</f>
        <v>0</v>
      </c>
      <c r="AA670" s="14" t="n">
        <f aca="false">IF($H670="Intermediate Level",1,0)</f>
        <v>0</v>
      </c>
      <c r="AC670" s="14" t="n">
        <f aca="false">N670</f>
        <v>2.99623214859564</v>
      </c>
      <c r="AD670" s="14" t="n">
        <f aca="false">G670</f>
        <v>38</v>
      </c>
      <c r="AE670" s="14" t="n">
        <f aca="false">J670</f>
        <v>2</v>
      </c>
      <c r="AF670" s="14" t="n">
        <f aca="false">IF($L670=2012,1,0)</f>
        <v>0</v>
      </c>
      <c r="AG670" s="14" t="n">
        <f aca="false">IF($L670=2013,1,0)</f>
        <v>0</v>
      </c>
      <c r="AH670" s="14" t="n">
        <f aca="false">IF($L670=2014,1,0)</f>
        <v>0</v>
      </c>
      <c r="AI670" s="14" t="n">
        <f aca="false">IF($L670=2015,1,0)</f>
        <v>0</v>
      </c>
      <c r="AJ670" s="14" t="n">
        <f aca="false">IF($L670=2016,1,0)</f>
        <v>1</v>
      </c>
      <c r="AK670" s="14" t="n">
        <f aca="false">IF($L670=2017,1,0)</f>
        <v>0</v>
      </c>
      <c r="AL670" s="14" t="n">
        <f aca="false">IF($H670="Beginner Level",1,0)</f>
        <v>0</v>
      </c>
      <c r="AM670" s="14" t="n">
        <f aca="false">IF($H670="Expert Level",1,0)</f>
        <v>0</v>
      </c>
      <c r="AN670" s="14" t="n">
        <f aca="false">IF($H670="Intermediate Level",1,0)</f>
        <v>0</v>
      </c>
    </row>
    <row r="671" customFormat="false" ht="79.85" hidden="false" customHeight="false" outlineLevel="0" collapsed="false">
      <c r="A671" s="14" t="n">
        <v>578900</v>
      </c>
      <c r="B671" s="14" t="s">
        <v>1384</v>
      </c>
      <c r="C671" s="14" t="s">
        <v>1385</v>
      </c>
      <c r="D671" s="14" t="n">
        <v>75</v>
      </c>
      <c r="E671" s="14" t="n">
        <v>2023</v>
      </c>
      <c r="F671" s="14" t="n">
        <v>8</v>
      </c>
      <c r="G671" s="14" t="n">
        <v>25</v>
      </c>
      <c r="H671" s="14" t="s">
        <v>62</v>
      </c>
      <c r="I671" s="14" t="n">
        <v>0.99</v>
      </c>
      <c r="J671" s="14" t="n">
        <v>2</v>
      </c>
      <c r="K671" s="14" t="s">
        <v>59</v>
      </c>
      <c r="L671" s="14" t="n">
        <v>2015</v>
      </c>
      <c r="M671" s="14" t="n">
        <v>7.61233683716775</v>
      </c>
      <c r="N671" s="14" t="n">
        <v>4.31762143798155</v>
      </c>
      <c r="P671" s="14" t="n">
        <f aca="false">D671</f>
        <v>75</v>
      </c>
      <c r="Q671" s="14" t="n">
        <f aca="false">G671</f>
        <v>25</v>
      </c>
      <c r="R671" s="14" t="n">
        <f aca="false">J671</f>
        <v>2</v>
      </c>
      <c r="S671" s="14" t="n">
        <f aca="false">IF($L671=2012,1,0)</f>
        <v>0</v>
      </c>
      <c r="T671" s="14" t="n">
        <f aca="false">IF($L671=2013,1,0)</f>
        <v>0</v>
      </c>
      <c r="U671" s="14" t="n">
        <f aca="false">IF($L671=2014,1,0)</f>
        <v>0</v>
      </c>
      <c r="V671" s="14" t="n">
        <f aca="false">IF($L671=2015,1,0)</f>
        <v>1</v>
      </c>
      <c r="W671" s="14" t="n">
        <f aca="false">IF($L671=2016,1,0)</f>
        <v>0</v>
      </c>
      <c r="X671" s="14" t="n">
        <f aca="false">IF($L671=2017,1,0)</f>
        <v>0</v>
      </c>
      <c r="Y671" s="14" t="n">
        <f aca="false">IF($H671="Beginner Level",1,0)</f>
        <v>0</v>
      </c>
      <c r="Z671" s="14" t="n">
        <f aca="false">IF($H671="Expert Level",1,0)</f>
        <v>0</v>
      </c>
      <c r="AA671" s="14" t="n">
        <f aca="false">IF($H671="Intermediate Level",1,0)</f>
        <v>0</v>
      </c>
      <c r="AC671" s="14" t="n">
        <f aca="false">N671</f>
        <v>4.31762143798155</v>
      </c>
      <c r="AD671" s="14" t="n">
        <f aca="false">G671</f>
        <v>25</v>
      </c>
      <c r="AE671" s="14" t="n">
        <f aca="false">J671</f>
        <v>2</v>
      </c>
      <c r="AF671" s="14" t="n">
        <f aca="false">IF($L671=2012,1,0)</f>
        <v>0</v>
      </c>
      <c r="AG671" s="14" t="n">
        <f aca="false">IF($L671=2013,1,0)</f>
        <v>0</v>
      </c>
      <c r="AH671" s="14" t="n">
        <f aca="false">IF($L671=2014,1,0)</f>
        <v>0</v>
      </c>
      <c r="AI671" s="14" t="n">
        <f aca="false">IF($L671=2015,1,0)</f>
        <v>1</v>
      </c>
      <c r="AJ671" s="14" t="n">
        <f aca="false">IF($L671=2016,1,0)</f>
        <v>0</v>
      </c>
      <c r="AK671" s="14" t="n">
        <f aca="false">IF($L671=2017,1,0)</f>
        <v>0</v>
      </c>
      <c r="AL671" s="14" t="n">
        <f aca="false">IF($H671="Beginner Level",1,0)</f>
        <v>0</v>
      </c>
      <c r="AM671" s="14" t="n">
        <f aca="false">IF($H671="Expert Level",1,0)</f>
        <v>0</v>
      </c>
      <c r="AN671" s="14" t="n">
        <f aca="false">IF($H671="Intermediate Level",1,0)</f>
        <v>0</v>
      </c>
    </row>
    <row r="672" customFormat="false" ht="57.45" hidden="false" customHeight="false" outlineLevel="0" collapsed="false">
      <c r="A672" s="14" t="n">
        <v>854756</v>
      </c>
      <c r="B672" s="14" t="s">
        <v>1386</v>
      </c>
      <c r="C672" s="14" t="s">
        <v>1387</v>
      </c>
      <c r="D672" s="14" t="n">
        <v>55</v>
      </c>
      <c r="E672" s="14" t="n">
        <v>2012</v>
      </c>
      <c r="F672" s="14" t="n">
        <v>15</v>
      </c>
      <c r="G672" s="14" t="n">
        <v>59</v>
      </c>
      <c r="H672" s="14" t="s">
        <v>52</v>
      </c>
      <c r="I672" s="14" t="n">
        <v>0.99</v>
      </c>
      <c r="J672" s="14" t="n">
        <v>3.5</v>
      </c>
      <c r="K672" s="14" t="s">
        <v>59</v>
      </c>
      <c r="L672" s="14" t="n">
        <v>2017</v>
      </c>
      <c r="M672" s="14" t="n">
        <v>7.60688453121963</v>
      </c>
      <c r="N672" s="14" t="n">
        <v>4.00751498688737</v>
      </c>
      <c r="P672" s="14" t="n">
        <f aca="false">D672</f>
        <v>55</v>
      </c>
      <c r="Q672" s="14" t="n">
        <f aca="false">G672</f>
        <v>59</v>
      </c>
      <c r="R672" s="14" t="n">
        <f aca="false">J672</f>
        <v>3.5</v>
      </c>
      <c r="S672" s="14" t="n">
        <f aca="false">IF($L672=2012,1,0)</f>
        <v>0</v>
      </c>
      <c r="T672" s="14" t="n">
        <f aca="false">IF($L672=2013,1,0)</f>
        <v>0</v>
      </c>
      <c r="U672" s="14" t="n">
        <f aca="false">IF($L672=2014,1,0)</f>
        <v>0</v>
      </c>
      <c r="V672" s="14" t="n">
        <f aca="false">IF($L672=2015,1,0)</f>
        <v>0</v>
      </c>
      <c r="W672" s="14" t="n">
        <f aca="false">IF($L672=2016,1,0)</f>
        <v>0</v>
      </c>
      <c r="X672" s="14" t="n">
        <f aca="false">IF($L672=2017,1,0)</f>
        <v>1</v>
      </c>
      <c r="Y672" s="14" t="n">
        <f aca="false">IF($H672="Beginner Level",1,0)</f>
        <v>1</v>
      </c>
      <c r="Z672" s="14" t="n">
        <f aca="false">IF($H672="Expert Level",1,0)</f>
        <v>0</v>
      </c>
      <c r="AA672" s="14" t="n">
        <f aca="false">IF($H672="Intermediate Level",1,0)</f>
        <v>0</v>
      </c>
      <c r="AC672" s="14" t="n">
        <f aca="false">N672</f>
        <v>4.00751498688737</v>
      </c>
      <c r="AD672" s="14" t="n">
        <f aca="false">G672</f>
        <v>59</v>
      </c>
      <c r="AE672" s="14" t="n">
        <f aca="false">J672</f>
        <v>3.5</v>
      </c>
      <c r="AF672" s="14" t="n">
        <f aca="false">IF($L672=2012,1,0)</f>
        <v>0</v>
      </c>
      <c r="AG672" s="14" t="n">
        <f aca="false">IF($L672=2013,1,0)</f>
        <v>0</v>
      </c>
      <c r="AH672" s="14" t="n">
        <f aca="false">IF($L672=2014,1,0)</f>
        <v>0</v>
      </c>
      <c r="AI672" s="14" t="n">
        <f aca="false">IF($L672=2015,1,0)</f>
        <v>0</v>
      </c>
      <c r="AJ672" s="14" t="n">
        <f aca="false">IF($L672=2016,1,0)</f>
        <v>0</v>
      </c>
      <c r="AK672" s="14" t="n">
        <f aca="false">IF($L672=2017,1,0)</f>
        <v>1</v>
      </c>
      <c r="AL672" s="14" t="n">
        <f aca="false">IF($H672="Beginner Level",1,0)</f>
        <v>1</v>
      </c>
      <c r="AM672" s="14" t="n">
        <f aca="false">IF($H672="Expert Level",1,0)</f>
        <v>0</v>
      </c>
      <c r="AN672" s="14" t="n">
        <f aca="false">IF($H672="Intermediate Level",1,0)</f>
        <v>0</v>
      </c>
    </row>
    <row r="673" customFormat="false" ht="57.45" hidden="false" customHeight="false" outlineLevel="0" collapsed="false">
      <c r="A673" s="14" t="n">
        <v>758208</v>
      </c>
      <c r="B673" s="14" t="s">
        <v>1388</v>
      </c>
      <c r="C673" s="14" t="s">
        <v>1389</v>
      </c>
      <c r="D673" s="14" t="n">
        <v>80</v>
      </c>
      <c r="E673" s="14" t="n">
        <v>2007</v>
      </c>
      <c r="F673" s="14" t="n">
        <v>10</v>
      </c>
      <c r="G673" s="14" t="n">
        <v>113</v>
      </c>
      <c r="H673" s="14" t="s">
        <v>62</v>
      </c>
      <c r="I673" s="14" t="n">
        <v>0.99</v>
      </c>
      <c r="J673" s="14" t="n">
        <v>5.5</v>
      </c>
      <c r="K673" s="14" t="s">
        <v>59</v>
      </c>
      <c r="L673" s="14" t="n">
        <v>2016</v>
      </c>
      <c r="M673" s="14" t="n">
        <v>7.60439634879634</v>
      </c>
      <c r="N673" s="14" t="n">
        <v>4.38215162686203</v>
      </c>
      <c r="P673" s="14" t="n">
        <f aca="false">D673</f>
        <v>80</v>
      </c>
      <c r="Q673" s="14" t="n">
        <f aca="false">G673</f>
        <v>113</v>
      </c>
      <c r="R673" s="14" t="n">
        <f aca="false">J673</f>
        <v>5.5</v>
      </c>
      <c r="S673" s="14" t="n">
        <f aca="false">IF($L673=2012,1,0)</f>
        <v>0</v>
      </c>
      <c r="T673" s="14" t="n">
        <f aca="false">IF($L673=2013,1,0)</f>
        <v>0</v>
      </c>
      <c r="U673" s="14" t="n">
        <f aca="false">IF($L673=2014,1,0)</f>
        <v>0</v>
      </c>
      <c r="V673" s="14" t="n">
        <f aca="false">IF($L673=2015,1,0)</f>
        <v>0</v>
      </c>
      <c r="W673" s="14" t="n">
        <f aca="false">IF($L673=2016,1,0)</f>
        <v>1</v>
      </c>
      <c r="X673" s="14" t="n">
        <f aca="false">IF($L673=2017,1,0)</f>
        <v>0</v>
      </c>
      <c r="Y673" s="14" t="n">
        <f aca="false">IF($H673="Beginner Level",1,0)</f>
        <v>0</v>
      </c>
      <c r="Z673" s="14" t="n">
        <f aca="false">IF($H673="Expert Level",1,0)</f>
        <v>0</v>
      </c>
      <c r="AA673" s="14" t="n">
        <f aca="false">IF($H673="Intermediate Level",1,0)</f>
        <v>0</v>
      </c>
      <c r="AC673" s="14" t="n">
        <f aca="false">N673</f>
        <v>4.38215162686203</v>
      </c>
      <c r="AD673" s="14" t="n">
        <f aca="false">G673</f>
        <v>113</v>
      </c>
      <c r="AE673" s="14" t="n">
        <f aca="false">J673</f>
        <v>5.5</v>
      </c>
      <c r="AF673" s="14" t="n">
        <f aca="false">IF($L673=2012,1,0)</f>
        <v>0</v>
      </c>
      <c r="AG673" s="14" t="n">
        <f aca="false">IF($L673=2013,1,0)</f>
        <v>0</v>
      </c>
      <c r="AH673" s="14" t="n">
        <f aca="false">IF($L673=2014,1,0)</f>
        <v>0</v>
      </c>
      <c r="AI673" s="14" t="n">
        <f aca="false">IF($L673=2015,1,0)</f>
        <v>0</v>
      </c>
      <c r="AJ673" s="14" t="n">
        <f aca="false">IF($L673=2016,1,0)</f>
        <v>1</v>
      </c>
      <c r="AK673" s="14" t="n">
        <f aca="false">IF($L673=2017,1,0)</f>
        <v>0</v>
      </c>
      <c r="AL673" s="14" t="n">
        <f aca="false">IF($H673="Beginner Level",1,0)</f>
        <v>0</v>
      </c>
      <c r="AM673" s="14" t="n">
        <f aca="false">IF($H673="Expert Level",1,0)</f>
        <v>0</v>
      </c>
      <c r="AN673" s="14" t="n">
        <f aca="false">IF($H673="Intermediate Level",1,0)</f>
        <v>0</v>
      </c>
    </row>
    <row r="674" customFormat="false" ht="68.65" hidden="false" customHeight="false" outlineLevel="0" collapsed="false">
      <c r="A674" s="14" t="n">
        <v>447136</v>
      </c>
      <c r="B674" s="14" t="s">
        <v>1390</v>
      </c>
      <c r="C674" s="14" t="s">
        <v>1391</v>
      </c>
      <c r="D674" s="14" t="n">
        <v>20</v>
      </c>
      <c r="E674" s="14" t="n">
        <v>2002</v>
      </c>
      <c r="F674" s="14" t="n">
        <v>41</v>
      </c>
      <c r="G674" s="14" t="n">
        <v>31</v>
      </c>
      <c r="H674" s="14" t="s">
        <v>71</v>
      </c>
      <c r="I674" s="14" t="n">
        <v>0.99</v>
      </c>
      <c r="J674" s="14" t="n">
        <v>0.66666667</v>
      </c>
      <c r="K674" s="14" t="s">
        <v>59</v>
      </c>
      <c r="L674" s="14" t="n">
        <v>2015</v>
      </c>
      <c r="M674" s="14" t="n">
        <v>7.60190195987517</v>
      </c>
      <c r="N674" s="14" t="n">
        <v>2.99623214859564</v>
      </c>
      <c r="P674" s="14" t="n">
        <f aca="false">D674</f>
        <v>20</v>
      </c>
      <c r="Q674" s="14" t="n">
        <f aca="false">G674</f>
        <v>31</v>
      </c>
      <c r="R674" s="14" t="n">
        <f aca="false">J674</f>
        <v>0.66666667</v>
      </c>
      <c r="S674" s="14" t="n">
        <f aca="false">IF($L674=2012,1,0)</f>
        <v>0</v>
      </c>
      <c r="T674" s="14" t="n">
        <f aca="false">IF($L674=2013,1,0)</f>
        <v>0</v>
      </c>
      <c r="U674" s="14" t="n">
        <f aca="false">IF($L674=2014,1,0)</f>
        <v>0</v>
      </c>
      <c r="V674" s="14" t="n">
        <f aca="false">IF($L674=2015,1,0)</f>
        <v>1</v>
      </c>
      <c r="W674" s="14" t="n">
        <f aca="false">IF($L674=2016,1,0)</f>
        <v>0</v>
      </c>
      <c r="X674" s="14" t="n">
        <f aca="false">IF($L674=2017,1,0)</f>
        <v>0</v>
      </c>
      <c r="Y674" s="14" t="n">
        <f aca="false">IF($H674="Beginner Level",1,0)</f>
        <v>0</v>
      </c>
      <c r="Z674" s="14" t="n">
        <f aca="false">IF($H674="Expert Level",1,0)</f>
        <v>0</v>
      </c>
      <c r="AA674" s="14" t="n">
        <f aca="false">IF($H674="Intermediate Level",1,0)</f>
        <v>1</v>
      </c>
      <c r="AC674" s="14" t="n">
        <f aca="false">N674</f>
        <v>2.99623214859564</v>
      </c>
      <c r="AD674" s="14" t="n">
        <f aca="false">G674</f>
        <v>31</v>
      </c>
      <c r="AE674" s="14" t="n">
        <f aca="false">J674</f>
        <v>0.66666667</v>
      </c>
      <c r="AF674" s="14" t="n">
        <f aca="false">IF($L674=2012,1,0)</f>
        <v>0</v>
      </c>
      <c r="AG674" s="14" t="n">
        <f aca="false">IF($L674=2013,1,0)</f>
        <v>0</v>
      </c>
      <c r="AH674" s="14" t="n">
        <f aca="false">IF($L674=2014,1,0)</f>
        <v>0</v>
      </c>
      <c r="AI674" s="14" t="n">
        <f aca="false">IF($L674=2015,1,0)</f>
        <v>1</v>
      </c>
      <c r="AJ674" s="14" t="n">
        <f aca="false">IF($L674=2016,1,0)</f>
        <v>0</v>
      </c>
      <c r="AK674" s="14" t="n">
        <f aca="false">IF($L674=2017,1,0)</f>
        <v>0</v>
      </c>
      <c r="AL674" s="14" t="n">
        <f aca="false">IF($H674="Beginner Level",1,0)</f>
        <v>0</v>
      </c>
      <c r="AM674" s="14" t="n">
        <f aca="false">IF($H674="Expert Level",1,0)</f>
        <v>0</v>
      </c>
      <c r="AN674" s="14" t="n">
        <f aca="false">IF($H674="Intermediate Level",1,0)</f>
        <v>1</v>
      </c>
    </row>
    <row r="675" customFormat="false" ht="91" hidden="false" customHeight="false" outlineLevel="0" collapsed="false">
      <c r="A675" s="14" t="n">
        <v>997964</v>
      </c>
      <c r="B675" s="14" t="s">
        <v>1392</v>
      </c>
      <c r="C675" s="14" t="s">
        <v>1393</v>
      </c>
      <c r="D675" s="14" t="n">
        <v>195</v>
      </c>
      <c r="E675" s="14" t="n">
        <v>1995</v>
      </c>
      <c r="F675" s="14" t="n">
        <v>286</v>
      </c>
      <c r="G675" s="14" t="n">
        <v>45</v>
      </c>
      <c r="H675" s="14" t="s">
        <v>71</v>
      </c>
      <c r="I675" s="14" t="n">
        <v>0.99</v>
      </c>
      <c r="J675" s="14" t="n">
        <v>6.5</v>
      </c>
      <c r="K675" s="14" t="s">
        <v>59</v>
      </c>
      <c r="L675" s="14" t="n">
        <v>2016</v>
      </c>
      <c r="M675" s="14" t="n">
        <v>7.59839932932396</v>
      </c>
      <c r="N675" s="14" t="n">
        <v>5.27305083930015</v>
      </c>
      <c r="P675" s="14" t="n">
        <f aca="false">D675</f>
        <v>195</v>
      </c>
      <c r="Q675" s="14" t="n">
        <f aca="false">G675</f>
        <v>45</v>
      </c>
      <c r="R675" s="14" t="n">
        <f aca="false">J675</f>
        <v>6.5</v>
      </c>
      <c r="S675" s="14" t="n">
        <f aca="false">IF($L675=2012,1,0)</f>
        <v>0</v>
      </c>
      <c r="T675" s="14" t="n">
        <f aca="false">IF($L675=2013,1,0)</f>
        <v>0</v>
      </c>
      <c r="U675" s="14" t="n">
        <f aca="false">IF($L675=2014,1,0)</f>
        <v>0</v>
      </c>
      <c r="V675" s="14" t="n">
        <f aca="false">IF($L675=2015,1,0)</f>
        <v>0</v>
      </c>
      <c r="W675" s="14" t="n">
        <f aca="false">IF($L675=2016,1,0)</f>
        <v>1</v>
      </c>
      <c r="X675" s="14" t="n">
        <f aca="false">IF($L675=2017,1,0)</f>
        <v>0</v>
      </c>
      <c r="Y675" s="14" t="n">
        <f aca="false">IF($H675="Beginner Level",1,0)</f>
        <v>0</v>
      </c>
      <c r="Z675" s="14" t="n">
        <f aca="false">IF($H675="Expert Level",1,0)</f>
        <v>0</v>
      </c>
      <c r="AA675" s="14" t="n">
        <f aca="false">IF($H675="Intermediate Level",1,0)</f>
        <v>1</v>
      </c>
      <c r="AC675" s="14" t="n">
        <f aca="false">N675</f>
        <v>5.27305083930015</v>
      </c>
      <c r="AD675" s="14" t="n">
        <f aca="false">G675</f>
        <v>45</v>
      </c>
      <c r="AE675" s="14" t="n">
        <f aca="false">J675</f>
        <v>6.5</v>
      </c>
      <c r="AF675" s="14" t="n">
        <f aca="false">IF($L675=2012,1,0)</f>
        <v>0</v>
      </c>
      <c r="AG675" s="14" t="n">
        <f aca="false">IF($L675=2013,1,0)</f>
        <v>0</v>
      </c>
      <c r="AH675" s="14" t="n">
        <f aca="false">IF($L675=2014,1,0)</f>
        <v>0</v>
      </c>
      <c r="AI675" s="14" t="n">
        <f aca="false">IF($L675=2015,1,0)</f>
        <v>0</v>
      </c>
      <c r="AJ675" s="14" t="n">
        <f aca="false">IF($L675=2016,1,0)</f>
        <v>1</v>
      </c>
      <c r="AK675" s="14" t="n">
        <f aca="false">IF($L675=2017,1,0)</f>
        <v>0</v>
      </c>
      <c r="AL675" s="14" t="n">
        <f aca="false">IF($H675="Beginner Level",1,0)</f>
        <v>0</v>
      </c>
      <c r="AM675" s="14" t="n">
        <f aca="false">IF($H675="Expert Level",1,0)</f>
        <v>0</v>
      </c>
      <c r="AN675" s="14" t="n">
        <f aca="false">IF($H675="Intermediate Level",1,0)</f>
        <v>1</v>
      </c>
    </row>
    <row r="676" customFormat="false" ht="68.65" hidden="false" customHeight="false" outlineLevel="0" collapsed="false">
      <c r="A676" s="14" t="n">
        <v>647564</v>
      </c>
      <c r="B676" s="14" t="s">
        <v>1394</v>
      </c>
      <c r="C676" s="14" t="s">
        <v>1395</v>
      </c>
      <c r="D676" s="14" t="n">
        <v>55</v>
      </c>
      <c r="E676" s="14" t="n">
        <v>1993</v>
      </c>
      <c r="F676" s="14" t="n">
        <v>55</v>
      </c>
      <c r="G676" s="14" t="n">
        <v>26</v>
      </c>
      <c r="H676" s="14" t="s">
        <v>52</v>
      </c>
      <c r="I676" s="14" t="n">
        <v>0.99</v>
      </c>
      <c r="J676" s="14" t="n">
        <v>4</v>
      </c>
      <c r="K676" s="14" t="s">
        <v>59</v>
      </c>
      <c r="L676" s="14" t="n">
        <v>2016</v>
      </c>
      <c r="M676" s="14" t="n">
        <v>7.5973963202128</v>
      </c>
      <c r="N676" s="14" t="n">
        <v>4.00751498688737</v>
      </c>
      <c r="P676" s="14" t="n">
        <f aca="false">D676</f>
        <v>55</v>
      </c>
      <c r="Q676" s="14" t="n">
        <f aca="false">G676</f>
        <v>26</v>
      </c>
      <c r="R676" s="14" t="n">
        <f aca="false">J676</f>
        <v>4</v>
      </c>
      <c r="S676" s="14" t="n">
        <f aca="false">IF($L676=2012,1,0)</f>
        <v>0</v>
      </c>
      <c r="T676" s="14" t="n">
        <f aca="false">IF($L676=2013,1,0)</f>
        <v>0</v>
      </c>
      <c r="U676" s="14" t="n">
        <f aca="false">IF($L676=2014,1,0)</f>
        <v>0</v>
      </c>
      <c r="V676" s="14" t="n">
        <f aca="false">IF($L676=2015,1,0)</f>
        <v>0</v>
      </c>
      <c r="W676" s="14" t="n">
        <f aca="false">IF($L676=2016,1,0)</f>
        <v>1</v>
      </c>
      <c r="X676" s="14" t="n">
        <f aca="false">IF($L676=2017,1,0)</f>
        <v>0</v>
      </c>
      <c r="Y676" s="14" t="n">
        <f aca="false">IF($H676="Beginner Level",1,0)</f>
        <v>1</v>
      </c>
      <c r="Z676" s="14" t="n">
        <f aca="false">IF($H676="Expert Level",1,0)</f>
        <v>0</v>
      </c>
      <c r="AA676" s="14" t="n">
        <f aca="false">IF($H676="Intermediate Level",1,0)</f>
        <v>0</v>
      </c>
      <c r="AC676" s="14" t="n">
        <f aca="false">N676</f>
        <v>4.00751498688737</v>
      </c>
      <c r="AD676" s="14" t="n">
        <f aca="false">G676</f>
        <v>26</v>
      </c>
      <c r="AE676" s="14" t="n">
        <f aca="false">J676</f>
        <v>4</v>
      </c>
      <c r="AF676" s="14" t="n">
        <f aca="false">IF($L676=2012,1,0)</f>
        <v>0</v>
      </c>
      <c r="AG676" s="14" t="n">
        <f aca="false">IF($L676=2013,1,0)</f>
        <v>0</v>
      </c>
      <c r="AH676" s="14" t="n">
        <f aca="false">IF($L676=2014,1,0)</f>
        <v>0</v>
      </c>
      <c r="AI676" s="14" t="n">
        <f aca="false">IF($L676=2015,1,0)</f>
        <v>0</v>
      </c>
      <c r="AJ676" s="14" t="n">
        <f aca="false">IF($L676=2016,1,0)</f>
        <v>1</v>
      </c>
      <c r="AK676" s="14" t="n">
        <f aca="false">IF($L676=2017,1,0)</f>
        <v>0</v>
      </c>
      <c r="AL676" s="14" t="n">
        <f aca="false">IF($H676="Beginner Level",1,0)</f>
        <v>1</v>
      </c>
      <c r="AM676" s="14" t="n">
        <f aca="false">IF($H676="Expert Level",1,0)</f>
        <v>0</v>
      </c>
      <c r="AN676" s="14" t="n">
        <f aca="false">IF($H676="Intermediate Level",1,0)</f>
        <v>0</v>
      </c>
    </row>
    <row r="677" customFormat="false" ht="68.65" hidden="false" customHeight="false" outlineLevel="0" collapsed="false">
      <c r="A677" s="14" t="n">
        <v>405840</v>
      </c>
      <c r="B677" s="14" t="s">
        <v>1396</v>
      </c>
      <c r="C677" s="14" t="s">
        <v>1397</v>
      </c>
      <c r="D677" s="14" t="n">
        <v>100</v>
      </c>
      <c r="E677" s="14" t="n">
        <v>1975</v>
      </c>
      <c r="F677" s="14" t="n">
        <v>141</v>
      </c>
      <c r="G677" s="14" t="n">
        <v>36</v>
      </c>
      <c r="H677" s="14" t="s">
        <v>62</v>
      </c>
      <c r="I677" s="14" t="n">
        <v>0.86</v>
      </c>
      <c r="J677" s="14" t="n">
        <v>3</v>
      </c>
      <c r="K677" s="14" t="s">
        <v>59</v>
      </c>
      <c r="L677" s="14" t="n">
        <v>2017</v>
      </c>
      <c r="M677" s="14" t="n">
        <v>7.58832367733522</v>
      </c>
      <c r="N677" s="14" t="n">
        <v>4.60527018098843</v>
      </c>
      <c r="P677" s="14" t="n">
        <f aca="false">D677</f>
        <v>100</v>
      </c>
      <c r="Q677" s="14" t="n">
        <f aca="false">G677</f>
        <v>36</v>
      </c>
      <c r="R677" s="14" t="n">
        <f aca="false">J677</f>
        <v>3</v>
      </c>
      <c r="S677" s="14" t="n">
        <f aca="false">IF($L677=2012,1,0)</f>
        <v>0</v>
      </c>
      <c r="T677" s="14" t="n">
        <f aca="false">IF($L677=2013,1,0)</f>
        <v>0</v>
      </c>
      <c r="U677" s="14" t="n">
        <f aca="false">IF($L677=2014,1,0)</f>
        <v>0</v>
      </c>
      <c r="V677" s="14" t="n">
        <f aca="false">IF($L677=2015,1,0)</f>
        <v>0</v>
      </c>
      <c r="W677" s="14" t="n">
        <f aca="false">IF($L677=2016,1,0)</f>
        <v>0</v>
      </c>
      <c r="X677" s="14" t="n">
        <f aca="false">IF($L677=2017,1,0)</f>
        <v>1</v>
      </c>
      <c r="Y677" s="14" t="n">
        <f aca="false">IF($H677="Beginner Level",1,0)</f>
        <v>0</v>
      </c>
      <c r="Z677" s="14" t="n">
        <f aca="false">IF($H677="Expert Level",1,0)</f>
        <v>0</v>
      </c>
      <c r="AA677" s="14" t="n">
        <f aca="false">IF($H677="Intermediate Level",1,0)</f>
        <v>0</v>
      </c>
      <c r="AC677" s="14" t="n">
        <f aca="false">N677</f>
        <v>4.60527018098843</v>
      </c>
      <c r="AD677" s="14" t="n">
        <f aca="false">G677</f>
        <v>36</v>
      </c>
      <c r="AE677" s="14" t="n">
        <f aca="false">J677</f>
        <v>3</v>
      </c>
      <c r="AF677" s="14" t="n">
        <f aca="false">IF($L677=2012,1,0)</f>
        <v>0</v>
      </c>
      <c r="AG677" s="14" t="n">
        <f aca="false">IF($L677=2013,1,0)</f>
        <v>0</v>
      </c>
      <c r="AH677" s="14" t="n">
        <f aca="false">IF($L677=2014,1,0)</f>
        <v>0</v>
      </c>
      <c r="AI677" s="14" t="n">
        <f aca="false">IF($L677=2015,1,0)</f>
        <v>0</v>
      </c>
      <c r="AJ677" s="14" t="n">
        <f aca="false">IF($L677=2016,1,0)</f>
        <v>0</v>
      </c>
      <c r="AK677" s="14" t="n">
        <f aca="false">IF($L677=2017,1,0)</f>
        <v>1</v>
      </c>
      <c r="AL677" s="14" t="n">
        <f aca="false">IF($H677="Beginner Level",1,0)</f>
        <v>0</v>
      </c>
      <c r="AM677" s="14" t="n">
        <f aca="false">IF($H677="Expert Level",1,0)</f>
        <v>0</v>
      </c>
      <c r="AN677" s="14" t="n">
        <f aca="false">IF($H677="Intermediate Level",1,0)</f>
        <v>0</v>
      </c>
    </row>
    <row r="678" customFormat="false" ht="46.25" hidden="false" customHeight="false" outlineLevel="0" collapsed="false">
      <c r="A678" s="14" t="n">
        <v>1004134</v>
      </c>
      <c r="B678" s="14" t="s">
        <v>1398</v>
      </c>
      <c r="C678" s="14" t="s">
        <v>1399</v>
      </c>
      <c r="D678" s="14" t="n">
        <v>150</v>
      </c>
      <c r="E678" s="14" t="n">
        <v>1967</v>
      </c>
      <c r="F678" s="14" t="n">
        <v>372</v>
      </c>
      <c r="G678" s="14" t="n">
        <v>60</v>
      </c>
      <c r="H678" s="14" t="s">
        <v>62</v>
      </c>
      <c r="I678" s="14" t="n">
        <v>0.42</v>
      </c>
      <c r="J678" s="14" t="n">
        <v>9</v>
      </c>
      <c r="K678" s="14" t="s">
        <v>59</v>
      </c>
      <c r="L678" s="14" t="n">
        <v>2016</v>
      </c>
      <c r="M678" s="14" t="n">
        <v>7.58426481838906</v>
      </c>
      <c r="N678" s="14" t="n">
        <v>5.0107019585408</v>
      </c>
      <c r="P678" s="14" t="n">
        <f aca="false">D678</f>
        <v>150</v>
      </c>
      <c r="Q678" s="14" t="n">
        <f aca="false">G678</f>
        <v>60</v>
      </c>
      <c r="R678" s="14" t="n">
        <f aca="false">J678</f>
        <v>9</v>
      </c>
      <c r="S678" s="14" t="n">
        <f aca="false">IF($L678=2012,1,0)</f>
        <v>0</v>
      </c>
      <c r="T678" s="14" t="n">
        <f aca="false">IF($L678=2013,1,0)</f>
        <v>0</v>
      </c>
      <c r="U678" s="14" t="n">
        <f aca="false">IF($L678=2014,1,0)</f>
        <v>0</v>
      </c>
      <c r="V678" s="14" t="n">
        <f aca="false">IF($L678=2015,1,0)</f>
        <v>0</v>
      </c>
      <c r="W678" s="14" t="n">
        <f aca="false">IF($L678=2016,1,0)</f>
        <v>1</v>
      </c>
      <c r="X678" s="14" t="n">
        <f aca="false">IF($L678=2017,1,0)</f>
        <v>0</v>
      </c>
      <c r="Y678" s="14" t="n">
        <f aca="false">IF($H678="Beginner Level",1,0)</f>
        <v>0</v>
      </c>
      <c r="Z678" s="14" t="n">
        <f aca="false">IF($H678="Expert Level",1,0)</f>
        <v>0</v>
      </c>
      <c r="AA678" s="14" t="n">
        <f aca="false">IF($H678="Intermediate Level",1,0)</f>
        <v>0</v>
      </c>
      <c r="AC678" s="14" t="n">
        <f aca="false">N678</f>
        <v>5.0107019585408</v>
      </c>
      <c r="AD678" s="14" t="n">
        <f aca="false">G678</f>
        <v>60</v>
      </c>
      <c r="AE678" s="14" t="n">
        <f aca="false">J678</f>
        <v>9</v>
      </c>
      <c r="AF678" s="14" t="n">
        <f aca="false">IF($L678=2012,1,0)</f>
        <v>0</v>
      </c>
      <c r="AG678" s="14" t="n">
        <f aca="false">IF($L678=2013,1,0)</f>
        <v>0</v>
      </c>
      <c r="AH678" s="14" t="n">
        <f aca="false">IF($L678=2014,1,0)</f>
        <v>0</v>
      </c>
      <c r="AI678" s="14" t="n">
        <f aca="false">IF($L678=2015,1,0)</f>
        <v>0</v>
      </c>
      <c r="AJ678" s="14" t="n">
        <f aca="false">IF($L678=2016,1,0)</f>
        <v>1</v>
      </c>
      <c r="AK678" s="14" t="n">
        <f aca="false">IF($L678=2017,1,0)</f>
        <v>0</v>
      </c>
      <c r="AL678" s="14" t="n">
        <f aca="false">IF($H678="Beginner Level",1,0)</f>
        <v>0</v>
      </c>
      <c r="AM678" s="14" t="n">
        <f aca="false">IF($H678="Expert Level",1,0)</f>
        <v>0</v>
      </c>
      <c r="AN678" s="14" t="n">
        <f aca="false">IF($H678="Intermediate Level",1,0)</f>
        <v>0</v>
      </c>
    </row>
    <row r="679" customFormat="false" ht="57.45" hidden="false" customHeight="false" outlineLevel="0" collapsed="false">
      <c r="A679" s="14" t="n">
        <v>965870</v>
      </c>
      <c r="B679" s="14" t="s">
        <v>1400</v>
      </c>
      <c r="C679" s="14" t="s">
        <v>1401</v>
      </c>
      <c r="D679" s="14" t="n">
        <v>150</v>
      </c>
      <c r="E679" s="14" t="n">
        <v>1966</v>
      </c>
      <c r="F679" s="14" t="n">
        <v>359</v>
      </c>
      <c r="G679" s="14" t="n">
        <v>65</v>
      </c>
      <c r="H679" s="14" t="s">
        <v>62</v>
      </c>
      <c r="I679" s="14" t="n">
        <v>0.13</v>
      </c>
      <c r="J679" s="14" t="n">
        <v>5</v>
      </c>
      <c r="K679" s="14" t="s">
        <v>59</v>
      </c>
      <c r="L679" s="14" t="n">
        <v>2016</v>
      </c>
      <c r="M679" s="14" t="n">
        <v>7.58375630070711</v>
      </c>
      <c r="N679" s="14" t="n">
        <v>5.0107019585408</v>
      </c>
      <c r="P679" s="14" t="n">
        <f aca="false">D679</f>
        <v>150</v>
      </c>
      <c r="Q679" s="14" t="n">
        <f aca="false">G679</f>
        <v>65</v>
      </c>
      <c r="R679" s="14" t="n">
        <f aca="false">J679</f>
        <v>5</v>
      </c>
      <c r="S679" s="14" t="n">
        <f aca="false">IF($L679=2012,1,0)</f>
        <v>0</v>
      </c>
      <c r="T679" s="14" t="n">
        <f aca="false">IF($L679=2013,1,0)</f>
        <v>0</v>
      </c>
      <c r="U679" s="14" t="n">
        <f aca="false">IF($L679=2014,1,0)</f>
        <v>0</v>
      </c>
      <c r="V679" s="14" t="n">
        <f aca="false">IF($L679=2015,1,0)</f>
        <v>0</v>
      </c>
      <c r="W679" s="14" t="n">
        <f aca="false">IF($L679=2016,1,0)</f>
        <v>1</v>
      </c>
      <c r="X679" s="14" t="n">
        <f aca="false">IF($L679=2017,1,0)</f>
        <v>0</v>
      </c>
      <c r="Y679" s="14" t="n">
        <f aca="false">IF($H679="Beginner Level",1,0)</f>
        <v>0</v>
      </c>
      <c r="Z679" s="14" t="n">
        <f aca="false">IF($H679="Expert Level",1,0)</f>
        <v>0</v>
      </c>
      <c r="AA679" s="14" t="n">
        <f aca="false">IF($H679="Intermediate Level",1,0)</f>
        <v>0</v>
      </c>
      <c r="AC679" s="14" t="n">
        <f aca="false">N679</f>
        <v>5.0107019585408</v>
      </c>
      <c r="AD679" s="14" t="n">
        <f aca="false">G679</f>
        <v>65</v>
      </c>
      <c r="AE679" s="14" t="n">
        <f aca="false">J679</f>
        <v>5</v>
      </c>
      <c r="AF679" s="14" t="n">
        <f aca="false">IF($L679=2012,1,0)</f>
        <v>0</v>
      </c>
      <c r="AG679" s="14" t="n">
        <f aca="false">IF($L679=2013,1,0)</f>
        <v>0</v>
      </c>
      <c r="AH679" s="14" t="n">
        <f aca="false">IF($L679=2014,1,0)</f>
        <v>0</v>
      </c>
      <c r="AI679" s="14" t="n">
        <f aca="false">IF($L679=2015,1,0)</f>
        <v>0</v>
      </c>
      <c r="AJ679" s="14" t="n">
        <f aca="false">IF($L679=2016,1,0)</f>
        <v>1</v>
      </c>
      <c r="AK679" s="14" t="n">
        <f aca="false">IF($L679=2017,1,0)</f>
        <v>0</v>
      </c>
      <c r="AL679" s="14" t="n">
        <f aca="false">IF($H679="Beginner Level",1,0)</f>
        <v>0</v>
      </c>
      <c r="AM679" s="14" t="n">
        <f aca="false">IF($H679="Expert Level",1,0)</f>
        <v>0</v>
      </c>
      <c r="AN679" s="14" t="n">
        <f aca="false">IF($H679="Intermediate Level",1,0)</f>
        <v>0</v>
      </c>
    </row>
    <row r="680" customFormat="false" ht="79.85" hidden="false" customHeight="false" outlineLevel="0" collapsed="false">
      <c r="A680" s="14" t="n">
        <v>955194</v>
      </c>
      <c r="B680" s="14" t="s">
        <v>1402</v>
      </c>
      <c r="C680" s="14" t="s">
        <v>1403</v>
      </c>
      <c r="D680" s="14" t="n">
        <v>40</v>
      </c>
      <c r="E680" s="14" t="n">
        <v>1950</v>
      </c>
      <c r="F680" s="14" t="n">
        <v>33</v>
      </c>
      <c r="G680" s="14" t="n">
        <v>16</v>
      </c>
      <c r="H680" s="14" t="s">
        <v>62</v>
      </c>
      <c r="I680" s="14" t="n">
        <v>0.9</v>
      </c>
      <c r="J680" s="14" t="n">
        <v>1</v>
      </c>
      <c r="K680" s="14" t="s">
        <v>59</v>
      </c>
      <c r="L680" s="14" t="n">
        <v>2016</v>
      </c>
      <c r="M680" s="14" t="n">
        <v>7.57558465155779</v>
      </c>
      <c r="N680" s="14" t="n">
        <v>3.68912942286914</v>
      </c>
      <c r="P680" s="14" t="n">
        <f aca="false">D680</f>
        <v>40</v>
      </c>
      <c r="Q680" s="14" t="n">
        <f aca="false">G680</f>
        <v>16</v>
      </c>
      <c r="R680" s="14" t="n">
        <f aca="false">J680</f>
        <v>1</v>
      </c>
      <c r="S680" s="14" t="n">
        <f aca="false">IF($L680=2012,1,0)</f>
        <v>0</v>
      </c>
      <c r="T680" s="14" t="n">
        <f aca="false">IF($L680=2013,1,0)</f>
        <v>0</v>
      </c>
      <c r="U680" s="14" t="n">
        <f aca="false">IF($L680=2014,1,0)</f>
        <v>0</v>
      </c>
      <c r="V680" s="14" t="n">
        <f aca="false">IF($L680=2015,1,0)</f>
        <v>0</v>
      </c>
      <c r="W680" s="14" t="n">
        <f aca="false">IF($L680=2016,1,0)</f>
        <v>1</v>
      </c>
      <c r="X680" s="14" t="n">
        <f aca="false">IF($L680=2017,1,0)</f>
        <v>0</v>
      </c>
      <c r="Y680" s="14" t="n">
        <f aca="false">IF($H680="Beginner Level",1,0)</f>
        <v>0</v>
      </c>
      <c r="Z680" s="14" t="n">
        <f aca="false">IF($H680="Expert Level",1,0)</f>
        <v>0</v>
      </c>
      <c r="AA680" s="14" t="n">
        <f aca="false">IF($H680="Intermediate Level",1,0)</f>
        <v>0</v>
      </c>
      <c r="AC680" s="14" t="n">
        <f aca="false">N680</f>
        <v>3.68912942286914</v>
      </c>
      <c r="AD680" s="14" t="n">
        <f aca="false">G680</f>
        <v>16</v>
      </c>
      <c r="AE680" s="14" t="n">
        <f aca="false">J680</f>
        <v>1</v>
      </c>
      <c r="AF680" s="14" t="n">
        <f aca="false">IF($L680=2012,1,0)</f>
        <v>0</v>
      </c>
      <c r="AG680" s="14" t="n">
        <f aca="false">IF($L680=2013,1,0)</f>
        <v>0</v>
      </c>
      <c r="AH680" s="14" t="n">
        <f aca="false">IF($L680=2014,1,0)</f>
        <v>0</v>
      </c>
      <c r="AI680" s="14" t="n">
        <f aca="false">IF($L680=2015,1,0)</f>
        <v>0</v>
      </c>
      <c r="AJ680" s="14" t="n">
        <f aca="false">IF($L680=2016,1,0)</f>
        <v>1</v>
      </c>
      <c r="AK680" s="14" t="n">
        <f aca="false">IF($L680=2017,1,0)</f>
        <v>0</v>
      </c>
      <c r="AL680" s="14" t="n">
        <f aca="false">IF($H680="Beginner Level",1,0)</f>
        <v>0</v>
      </c>
      <c r="AM680" s="14" t="n">
        <f aca="false">IF($H680="Expert Level",1,0)</f>
        <v>0</v>
      </c>
      <c r="AN680" s="14" t="n">
        <f aca="false">IF($H680="Intermediate Level",1,0)</f>
        <v>0</v>
      </c>
    </row>
    <row r="681" customFormat="false" ht="91" hidden="false" customHeight="false" outlineLevel="0" collapsed="false">
      <c r="A681" s="14" t="n">
        <v>606756</v>
      </c>
      <c r="B681" s="14" t="s">
        <v>1404</v>
      </c>
      <c r="C681" s="14" t="s">
        <v>1405</v>
      </c>
      <c r="D681" s="14" t="n">
        <v>50</v>
      </c>
      <c r="E681" s="14" t="n">
        <v>1949</v>
      </c>
      <c r="F681" s="14" t="n">
        <v>149</v>
      </c>
      <c r="G681" s="14" t="n">
        <v>102</v>
      </c>
      <c r="H681" s="14" t="s">
        <v>62</v>
      </c>
      <c r="I681" s="14" t="n">
        <v>0.13</v>
      </c>
      <c r="J681" s="14" t="n">
        <v>15.5</v>
      </c>
      <c r="K681" s="14" t="s">
        <v>59</v>
      </c>
      <c r="L681" s="14" t="n">
        <v>2015</v>
      </c>
      <c r="M681" s="14" t="n">
        <v>7.57507169950756</v>
      </c>
      <c r="N681" s="14" t="n">
        <v>3.91222298543081</v>
      </c>
      <c r="P681" s="14" t="n">
        <f aca="false">D681</f>
        <v>50</v>
      </c>
      <c r="Q681" s="14" t="n">
        <f aca="false">G681</f>
        <v>102</v>
      </c>
      <c r="R681" s="14" t="n">
        <f aca="false">J681</f>
        <v>15.5</v>
      </c>
      <c r="S681" s="14" t="n">
        <f aca="false">IF($L681=2012,1,0)</f>
        <v>0</v>
      </c>
      <c r="T681" s="14" t="n">
        <f aca="false">IF($L681=2013,1,0)</f>
        <v>0</v>
      </c>
      <c r="U681" s="14" t="n">
        <f aca="false">IF($L681=2014,1,0)</f>
        <v>0</v>
      </c>
      <c r="V681" s="14" t="n">
        <f aca="false">IF($L681=2015,1,0)</f>
        <v>1</v>
      </c>
      <c r="W681" s="14" t="n">
        <f aca="false">IF($L681=2016,1,0)</f>
        <v>0</v>
      </c>
      <c r="X681" s="14" t="n">
        <f aca="false">IF($L681=2017,1,0)</f>
        <v>0</v>
      </c>
      <c r="Y681" s="14" t="n">
        <f aca="false">IF($H681="Beginner Level",1,0)</f>
        <v>0</v>
      </c>
      <c r="Z681" s="14" t="n">
        <f aca="false">IF($H681="Expert Level",1,0)</f>
        <v>0</v>
      </c>
      <c r="AA681" s="14" t="n">
        <f aca="false">IF($H681="Intermediate Level",1,0)</f>
        <v>0</v>
      </c>
      <c r="AC681" s="14" t="n">
        <f aca="false">N681</f>
        <v>3.91222298543081</v>
      </c>
      <c r="AD681" s="14" t="n">
        <f aca="false">G681</f>
        <v>102</v>
      </c>
      <c r="AE681" s="14" t="n">
        <f aca="false">J681</f>
        <v>15.5</v>
      </c>
      <c r="AF681" s="14" t="n">
        <f aca="false">IF($L681=2012,1,0)</f>
        <v>0</v>
      </c>
      <c r="AG681" s="14" t="n">
        <f aca="false">IF($L681=2013,1,0)</f>
        <v>0</v>
      </c>
      <c r="AH681" s="14" t="n">
        <f aca="false">IF($L681=2014,1,0)</f>
        <v>0</v>
      </c>
      <c r="AI681" s="14" t="n">
        <f aca="false">IF($L681=2015,1,0)</f>
        <v>1</v>
      </c>
      <c r="AJ681" s="14" t="n">
        <f aca="false">IF($L681=2016,1,0)</f>
        <v>0</v>
      </c>
      <c r="AK681" s="14" t="n">
        <f aca="false">IF($L681=2017,1,0)</f>
        <v>0</v>
      </c>
      <c r="AL681" s="14" t="n">
        <f aca="false">IF($H681="Beginner Level",1,0)</f>
        <v>0</v>
      </c>
      <c r="AM681" s="14" t="n">
        <f aca="false">IF($H681="Expert Level",1,0)</f>
        <v>0</v>
      </c>
      <c r="AN681" s="14" t="n">
        <f aca="false">IF($H681="Intermediate Level",1,0)</f>
        <v>0</v>
      </c>
    </row>
    <row r="682" customFormat="false" ht="46.25" hidden="false" customHeight="false" outlineLevel="0" collapsed="false">
      <c r="A682" s="14" t="n">
        <v>590406</v>
      </c>
      <c r="B682" s="14" t="s">
        <v>1406</v>
      </c>
      <c r="C682" s="14" t="s">
        <v>1407</v>
      </c>
      <c r="D682" s="14" t="n">
        <v>20</v>
      </c>
      <c r="E682" s="14" t="n">
        <v>1948</v>
      </c>
      <c r="F682" s="14" t="n">
        <v>72</v>
      </c>
      <c r="G682" s="14" t="n">
        <v>45</v>
      </c>
      <c r="H682" s="14" t="s">
        <v>62</v>
      </c>
      <c r="I682" s="14" t="n">
        <v>0.47</v>
      </c>
      <c r="J682" s="14" t="n">
        <v>5</v>
      </c>
      <c r="K682" s="14" t="s">
        <v>59</v>
      </c>
      <c r="L682" s="14" t="n">
        <v>2015</v>
      </c>
      <c r="M682" s="14" t="n">
        <v>7.57455848420248</v>
      </c>
      <c r="N682" s="14" t="n">
        <v>2.99623214859564</v>
      </c>
      <c r="P682" s="14" t="n">
        <f aca="false">D682</f>
        <v>20</v>
      </c>
      <c r="Q682" s="14" t="n">
        <f aca="false">G682</f>
        <v>45</v>
      </c>
      <c r="R682" s="14" t="n">
        <f aca="false">J682</f>
        <v>5</v>
      </c>
      <c r="S682" s="14" t="n">
        <f aca="false">IF($L682=2012,1,0)</f>
        <v>0</v>
      </c>
      <c r="T682" s="14" t="n">
        <f aca="false">IF($L682=2013,1,0)</f>
        <v>0</v>
      </c>
      <c r="U682" s="14" t="n">
        <f aca="false">IF($L682=2014,1,0)</f>
        <v>0</v>
      </c>
      <c r="V682" s="14" t="n">
        <f aca="false">IF($L682=2015,1,0)</f>
        <v>1</v>
      </c>
      <c r="W682" s="14" t="n">
        <f aca="false">IF($L682=2016,1,0)</f>
        <v>0</v>
      </c>
      <c r="X682" s="14" t="n">
        <f aca="false">IF($L682=2017,1,0)</f>
        <v>0</v>
      </c>
      <c r="Y682" s="14" t="n">
        <f aca="false">IF($H682="Beginner Level",1,0)</f>
        <v>0</v>
      </c>
      <c r="Z682" s="14" t="n">
        <f aca="false">IF($H682="Expert Level",1,0)</f>
        <v>0</v>
      </c>
      <c r="AA682" s="14" t="n">
        <f aca="false">IF($H682="Intermediate Level",1,0)</f>
        <v>0</v>
      </c>
      <c r="AC682" s="14" t="n">
        <f aca="false">N682</f>
        <v>2.99623214859564</v>
      </c>
      <c r="AD682" s="14" t="n">
        <f aca="false">G682</f>
        <v>45</v>
      </c>
      <c r="AE682" s="14" t="n">
        <f aca="false">J682</f>
        <v>5</v>
      </c>
      <c r="AF682" s="14" t="n">
        <f aca="false">IF($L682=2012,1,0)</f>
        <v>0</v>
      </c>
      <c r="AG682" s="14" t="n">
        <f aca="false">IF($L682=2013,1,0)</f>
        <v>0</v>
      </c>
      <c r="AH682" s="14" t="n">
        <f aca="false">IF($L682=2014,1,0)</f>
        <v>0</v>
      </c>
      <c r="AI682" s="14" t="n">
        <f aca="false">IF($L682=2015,1,0)</f>
        <v>1</v>
      </c>
      <c r="AJ682" s="14" t="n">
        <f aca="false">IF($L682=2016,1,0)</f>
        <v>0</v>
      </c>
      <c r="AK682" s="14" t="n">
        <f aca="false">IF($L682=2017,1,0)</f>
        <v>0</v>
      </c>
      <c r="AL682" s="14" t="n">
        <f aca="false">IF($H682="Beginner Level",1,0)</f>
        <v>0</v>
      </c>
      <c r="AM682" s="14" t="n">
        <f aca="false">IF($H682="Expert Level",1,0)</f>
        <v>0</v>
      </c>
      <c r="AN682" s="14" t="n">
        <f aca="false">IF($H682="Intermediate Level",1,0)</f>
        <v>0</v>
      </c>
    </row>
    <row r="683" customFormat="false" ht="79.85" hidden="false" customHeight="false" outlineLevel="0" collapsed="false">
      <c r="A683" s="14" t="n">
        <v>688872</v>
      </c>
      <c r="B683" s="14" t="s">
        <v>1408</v>
      </c>
      <c r="C683" s="14" t="s">
        <v>1409</v>
      </c>
      <c r="D683" s="14" t="n">
        <v>75</v>
      </c>
      <c r="E683" s="14" t="n">
        <v>1945</v>
      </c>
      <c r="F683" s="14" t="n">
        <v>58</v>
      </c>
      <c r="G683" s="14" t="n">
        <v>10</v>
      </c>
      <c r="H683" s="14" t="s">
        <v>62</v>
      </c>
      <c r="I683" s="14" t="n">
        <v>0.8</v>
      </c>
      <c r="J683" s="14" t="n">
        <v>1</v>
      </c>
      <c r="K683" s="14" t="s">
        <v>59</v>
      </c>
      <c r="L683" s="14" t="n">
        <v>2015</v>
      </c>
      <c r="M683" s="14" t="n">
        <v>7.57301725605255</v>
      </c>
      <c r="N683" s="14" t="n">
        <v>4.31762143798155</v>
      </c>
      <c r="P683" s="14" t="n">
        <f aca="false">D683</f>
        <v>75</v>
      </c>
      <c r="Q683" s="14" t="n">
        <f aca="false">G683</f>
        <v>10</v>
      </c>
      <c r="R683" s="14" t="n">
        <f aca="false">J683</f>
        <v>1</v>
      </c>
      <c r="S683" s="14" t="n">
        <f aca="false">IF($L683=2012,1,0)</f>
        <v>0</v>
      </c>
      <c r="T683" s="14" t="n">
        <f aca="false">IF($L683=2013,1,0)</f>
        <v>0</v>
      </c>
      <c r="U683" s="14" t="n">
        <f aca="false">IF($L683=2014,1,0)</f>
        <v>0</v>
      </c>
      <c r="V683" s="14" t="n">
        <f aca="false">IF($L683=2015,1,0)</f>
        <v>1</v>
      </c>
      <c r="W683" s="14" t="n">
        <f aca="false">IF($L683=2016,1,0)</f>
        <v>0</v>
      </c>
      <c r="X683" s="14" t="n">
        <f aca="false">IF($L683=2017,1,0)</f>
        <v>0</v>
      </c>
      <c r="Y683" s="14" t="n">
        <f aca="false">IF($H683="Beginner Level",1,0)</f>
        <v>0</v>
      </c>
      <c r="Z683" s="14" t="n">
        <f aca="false">IF($H683="Expert Level",1,0)</f>
        <v>0</v>
      </c>
      <c r="AA683" s="14" t="n">
        <f aca="false">IF($H683="Intermediate Level",1,0)</f>
        <v>0</v>
      </c>
      <c r="AC683" s="14" t="n">
        <f aca="false">N683</f>
        <v>4.31762143798155</v>
      </c>
      <c r="AD683" s="14" t="n">
        <f aca="false">G683</f>
        <v>10</v>
      </c>
      <c r="AE683" s="14" t="n">
        <f aca="false">J683</f>
        <v>1</v>
      </c>
      <c r="AF683" s="14" t="n">
        <f aca="false">IF($L683=2012,1,0)</f>
        <v>0</v>
      </c>
      <c r="AG683" s="14" t="n">
        <f aca="false">IF($L683=2013,1,0)</f>
        <v>0</v>
      </c>
      <c r="AH683" s="14" t="n">
        <f aca="false">IF($L683=2014,1,0)</f>
        <v>0</v>
      </c>
      <c r="AI683" s="14" t="n">
        <f aca="false">IF($L683=2015,1,0)</f>
        <v>1</v>
      </c>
      <c r="AJ683" s="14" t="n">
        <f aca="false">IF($L683=2016,1,0)</f>
        <v>0</v>
      </c>
      <c r="AK683" s="14" t="n">
        <f aca="false">IF($L683=2017,1,0)</f>
        <v>0</v>
      </c>
      <c r="AL683" s="14" t="n">
        <f aca="false">IF($H683="Beginner Level",1,0)</f>
        <v>0</v>
      </c>
      <c r="AM683" s="14" t="n">
        <f aca="false">IF($H683="Expert Level",1,0)</f>
        <v>0</v>
      </c>
      <c r="AN683" s="14" t="n">
        <f aca="false">IF($H683="Intermediate Level",1,0)</f>
        <v>0</v>
      </c>
    </row>
    <row r="684" customFormat="false" ht="46.25" hidden="false" customHeight="false" outlineLevel="0" collapsed="false">
      <c r="A684" s="14" t="n">
        <v>1079078</v>
      </c>
      <c r="B684" s="14" t="s">
        <v>1410</v>
      </c>
      <c r="C684" s="14" t="s">
        <v>1411</v>
      </c>
      <c r="D684" s="14" t="n">
        <v>0</v>
      </c>
      <c r="E684" s="14" t="n">
        <v>1942</v>
      </c>
      <c r="F684" s="14" t="n">
        <v>23</v>
      </c>
      <c r="G684" s="14" t="n">
        <v>48</v>
      </c>
      <c r="H684" s="14" t="s">
        <v>52</v>
      </c>
      <c r="I684" s="14" t="n">
        <v>0.24</v>
      </c>
      <c r="J684" s="14" t="n">
        <v>4.5</v>
      </c>
      <c r="K684" s="14" t="s">
        <v>53</v>
      </c>
      <c r="L684" s="14" t="n">
        <v>2017</v>
      </c>
      <c r="M684" s="14" t="n">
        <v>7.57147364885127</v>
      </c>
      <c r="N684" s="14" t="n">
        <v>-4.60517018598809</v>
      </c>
      <c r="P684" s="14" t="n">
        <f aca="false">D684</f>
        <v>0</v>
      </c>
      <c r="Q684" s="14" t="n">
        <f aca="false">G684</f>
        <v>48</v>
      </c>
      <c r="R684" s="14" t="n">
        <f aca="false">J684</f>
        <v>4.5</v>
      </c>
      <c r="S684" s="14" t="n">
        <f aca="false">IF($L684=2012,1,0)</f>
        <v>0</v>
      </c>
      <c r="T684" s="14" t="n">
        <f aca="false">IF($L684=2013,1,0)</f>
        <v>0</v>
      </c>
      <c r="U684" s="14" t="n">
        <f aca="false">IF($L684=2014,1,0)</f>
        <v>0</v>
      </c>
      <c r="V684" s="14" t="n">
        <f aca="false">IF($L684=2015,1,0)</f>
        <v>0</v>
      </c>
      <c r="W684" s="14" t="n">
        <f aca="false">IF($L684=2016,1,0)</f>
        <v>0</v>
      </c>
      <c r="X684" s="14" t="n">
        <f aca="false">IF($L684=2017,1,0)</f>
        <v>1</v>
      </c>
      <c r="Y684" s="14" t="n">
        <f aca="false">IF($H684="Beginner Level",1,0)</f>
        <v>1</v>
      </c>
      <c r="Z684" s="14" t="n">
        <f aca="false">IF($H684="Expert Level",1,0)</f>
        <v>0</v>
      </c>
      <c r="AA684" s="14" t="n">
        <f aca="false">IF($H684="Intermediate Level",1,0)</f>
        <v>0</v>
      </c>
      <c r="AC684" s="14" t="n">
        <f aca="false">N684</f>
        <v>-4.60517018598809</v>
      </c>
      <c r="AD684" s="14" t="n">
        <f aca="false">G684</f>
        <v>48</v>
      </c>
      <c r="AE684" s="14" t="n">
        <f aca="false">J684</f>
        <v>4.5</v>
      </c>
      <c r="AF684" s="14" t="n">
        <f aca="false">IF($L684=2012,1,0)</f>
        <v>0</v>
      </c>
      <c r="AG684" s="14" t="n">
        <f aca="false">IF($L684=2013,1,0)</f>
        <v>0</v>
      </c>
      <c r="AH684" s="14" t="n">
        <f aca="false">IF($L684=2014,1,0)</f>
        <v>0</v>
      </c>
      <c r="AI684" s="14" t="n">
        <f aca="false">IF($L684=2015,1,0)</f>
        <v>0</v>
      </c>
      <c r="AJ684" s="14" t="n">
        <f aca="false">IF($L684=2016,1,0)</f>
        <v>0</v>
      </c>
      <c r="AK684" s="14" t="n">
        <f aca="false">IF($L684=2017,1,0)</f>
        <v>1</v>
      </c>
      <c r="AL684" s="14" t="n">
        <f aca="false">IF($H684="Beginner Level",1,0)</f>
        <v>1</v>
      </c>
      <c r="AM684" s="14" t="n">
        <f aca="false">IF($H684="Expert Level",1,0)</f>
        <v>0</v>
      </c>
      <c r="AN684" s="14" t="n">
        <f aca="false">IF($H684="Intermediate Level",1,0)</f>
        <v>0</v>
      </c>
    </row>
    <row r="685" customFormat="false" ht="57.45" hidden="false" customHeight="false" outlineLevel="0" collapsed="false">
      <c r="A685" s="14" t="n">
        <v>177912</v>
      </c>
      <c r="B685" s="14" t="s">
        <v>1412</v>
      </c>
      <c r="C685" s="14" t="s">
        <v>1413</v>
      </c>
      <c r="D685" s="14" t="n">
        <v>50</v>
      </c>
      <c r="E685" s="14" t="n">
        <v>1936</v>
      </c>
      <c r="F685" s="14" t="n">
        <v>88</v>
      </c>
      <c r="G685" s="14" t="n">
        <v>53</v>
      </c>
      <c r="H685" s="14" t="s">
        <v>52</v>
      </c>
      <c r="I685" s="14" t="n">
        <v>0.89</v>
      </c>
      <c r="J685" s="14" t="n">
        <v>5</v>
      </c>
      <c r="K685" s="14" t="s">
        <v>59</v>
      </c>
      <c r="L685" s="14" t="n">
        <v>2014</v>
      </c>
      <c r="M685" s="14" t="n">
        <v>7.56837926783652</v>
      </c>
      <c r="N685" s="14" t="n">
        <v>3.91222298543081</v>
      </c>
      <c r="P685" s="14" t="n">
        <f aca="false">D685</f>
        <v>50</v>
      </c>
      <c r="Q685" s="14" t="n">
        <f aca="false">G685</f>
        <v>53</v>
      </c>
      <c r="R685" s="14" t="n">
        <f aca="false">J685</f>
        <v>5</v>
      </c>
      <c r="S685" s="14" t="n">
        <f aca="false">IF($L685=2012,1,0)</f>
        <v>0</v>
      </c>
      <c r="T685" s="14" t="n">
        <f aca="false">IF($L685=2013,1,0)</f>
        <v>0</v>
      </c>
      <c r="U685" s="14" t="n">
        <f aca="false">IF($L685=2014,1,0)</f>
        <v>1</v>
      </c>
      <c r="V685" s="14" t="n">
        <f aca="false">IF($L685=2015,1,0)</f>
        <v>0</v>
      </c>
      <c r="W685" s="14" t="n">
        <f aca="false">IF($L685=2016,1,0)</f>
        <v>0</v>
      </c>
      <c r="X685" s="14" t="n">
        <f aca="false">IF($L685=2017,1,0)</f>
        <v>0</v>
      </c>
      <c r="Y685" s="14" t="n">
        <f aca="false">IF($H685="Beginner Level",1,0)</f>
        <v>1</v>
      </c>
      <c r="Z685" s="14" t="n">
        <f aca="false">IF($H685="Expert Level",1,0)</f>
        <v>0</v>
      </c>
      <c r="AA685" s="14" t="n">
        <f aca="false">IF($H685="Intermediate Level",1,0)</f>
        <v>0</v>
      </c>
      <c r="AC685" s="14" t="n">
        <f aca="false">N685</f>
        <v>3.91222298543081</v>
      </c>
      <c r="AD685" s="14" t="n">
        <f aca="false">G685</f>
        <v>53</v>
      </c>
      <c r="AE685" s="14" t="n">
        <f aca="false">J685</f>
        <v>5</v>
      </c>
      <c r="AF685" s="14" t="n">
        <f aca="false">IF($L685=2012,1,0)</f>
        <v>0</v>
      </c>
      <c r="AG685" s="14" t="n">
        <f aca="false">IF($L685=2013,1,0)</f>
        <v>0</v>
      </c>
      <c r="AH685" s="14" t="n">
        <f aca="false">IF($L685=2014,1,0)</f>
        <v>1</v>
      </c>
      <c r="AI685" s="14" t="n">
        <f aca="false">IF($L685=2015,1,0)</f>
        <v>0</v>
      </c>
      <c r="AJ685" s="14" t="n">
        <f aca="false">IF($L685=2016,1,0)</f>
        <v>0</v>
      </c>
      <c r="AK685" s="14" t="n">
        <f aca="false">IF($L685=2017,1,0)</f>
        <v>0</v>
      </c>
      <c r="AL685" s="14" t="n">
        <f aca="false">IF($H685="Beginner Level",1,0)</f>
        <v>1</v>
      </c>
      <c r="AM685" s="14" t="n">
        <f aca="false">IF($H685="Expert Level",1,0)</f>
        <v>0</v>
      </c>
      <c r="AN685" s="14" t="n">
        <f aca="false">IF($H685="Intermediate Level",1,0)</f>
        <v>0</v>
      </c>
    </row>
    <row r="686" customFormat="false" ht="57.45" hidden="false" customHeight="false" outlineLevel="0" collapsed="false">
      <c r="A686" s="14" t="n">
        <v>1198704</v>
      </c>
      <c r="B686" s="14" t="s">
        <v>1414</v>
      </c>
      <c r="C686" s="14" t="s">
        <v>1415</v>
      </c>
      <c r="D686" s="14" t="n">
        <v>200</v>
      </c>
      <c r="E686" s="14" t="n">
        <v>1935</v>
      </c>
      <c r="F686" s="14" t="n">
        <v>17</v>
      </c>
      <c r="G686" s="14" t="n">
        <v>10</v>
      </c>
      <c r="H686" s="14" t="s">
        <v>71</v>
      </c>
      <c r="I686" s="14" t="n">
        <v>0.87</v>
      </c>
      <c r="J686" s="14" t="n">
        <v>1</v>
      </c>
      <c r="K686" s="14" t="s">
        <v>59</v>
      </c>
      <c r="L686" s="14" t="n">
        <v>2017</v>
      </c>
      <c r="M686" s="14" t="n">
        <v>7.56786260546388</v>
      </c>
      <c r="N686" s="14" t="n">
        <v>5.29836736529808</v>
      </c>
      <c r="P686" s="14" t="n">
        <f aca="false">D686</f>
        <v>200</v>
      </c>
      <c r="Q686" s="14" t="n">
        <f aca="false">G686</f>
        <v>10</v>
      </c>
      <c r="R686" s="14" t="n">
        <f aca="false">J686</f>
        <v>1</v>
      </c>
      <c r="S686" s="14" t="n">
        <f aca="false">IF($L686=2012,1,0)</f>
        <v>0</v>
      </c>
      <c r="T686" s="14" t="n">
        <f aca="false">IF($L686=2013,1,0)</f>
        <v>0</v>
      </c>
      <c r="U686" s="14" t="n">
        <f aca="false">IF($L686=2014,1,0)</f>
        <v>0</v>
      </c>
      <c r="V686" s="14" t="n">
        <f aca="false">IF($L686=2015,1,0)</f>
        <v>0</v>
      </c>
      <c r="W686" s="14" t="n">
        <f aca="false">IF($L686=2016,1,0)</f>
        <v>0</v>
      </c>
      <c r="X686" s="14" t="n">
        <f aca="false">IF($L686=2017,1,0)</f>
        <v>1</v>
      </c>
      <c r="Y686" s="14" t="n">
        <f aca="false">IF($H686="Beginner Level",1,0)</f>
        <v>0</v>
      </c>
      <c r="Z686" s="14" t="n">
        <f aca="false">IF($H686="Expert Level",1,0)</f>
        <v>0</v>
      </c>
      <c r="AA686" s="14" t="n">
        <f aca="false">IF($H686="Intermediate Level",1,0)</f>
        <v>1</v>
      </c>
      <c r="AC686" s="14" t="n">
        <f aca="false">N686</f>
        <v>5.29836736529808</v>
      </c>
      <c r="AD686" s="14" t="n">
        <f aca="false">G686</f>
        <v>10</v>
      </c>
      <c r="AE686" s="14" t="n">
        <f aca="false">J686</f>
        <v>1</v>
      </c>
      <c r="AF686" s="14" t="n">
        <f aca="false">IF($L686=2012,1,0)</f>
        <v>0</v>
      </c>
      <c r="AG686" s="14" t="n">
        <f aca="false">IF($L686=2013,1,0)</f>
        <v>0</v>
      </c>
      <c r="AH686" s="14" t="n">
        <f aca="false">IF($L686=2014,1,0)</f>
        <v>0</v>
      </c>
      <c r="AI686" s="14" t="n">
        <f aca="false">IF($L686=2015,1,0)</f>
        <v>0</v>
      </c>
      <c r="AJ686" s="14" t="n">
        <f aca="false">IF($L686=2016,1,0)</f>
        <v>0</v>
      </c>
      <c r="AK686" s="14" t="n">
        <f aca="false">IF($L686=2017,1,0)</f>
        <v>1</v>
      </c>
      <c r="AL686" s="14" t="n">
        <f aca="false">IF($H686="Beginner Level",1,0)</f>
        <v>0</v>
      </c>
      <c r="AM686" s="14" t="n">
        <f aca="false">IF($H686="Expert Level",1,0)</f>
        <v>0</v>
      </c>
      <c r="AN686" s="14" t="n">
        <f aca="false">IF($H686="Intermediate Level",1,0)</f>
        <v>1</v>
      </c>
    </row>
    <row r="687" customFormat="false" ht="79.85" hidden="false" customHeight="false" outlineLevel="0" collapsed="false">
      <c r="A687" s="14" t="n">
        <v>563020</v>
      </c>
      <c r="B687" s="14" t="s">
        <v>1416</v>
      </c>
      <c r="C687" s="14" t="s">
        <v>1417</v>
      </c>
      <c r="D687" s="14" t="n">
        <v>40</v>
      </c>
      <c r="E687" s="14" t="n">
        <v>1926</v>
      </c>
      <c r="F687" s="14" t="n">
        <v>9</v>
      </c>
      <c r="G687" s="14" t="n">
        <v>458</v>
      </c>
      <c r="H687" s="14" t="s">
        <v>62</v>
      </c>
      <c r="I687" s="14" t="n">
        <v>0.66</v>
      </c>
      <c r="J687" s="14" t="n">
        <v>22.5</v>
      </c>
      <c r="K687" s="14" t="s">
        <v>59</v>
      </c>
      <c r="L687" s="14" t="n">
        <v>2015</v>
      </c>
      <c r="M687" s="14" t="n">
        <v>7.56320059235807</v>
      </c>
      <c r="N687" s="14" t="n">
        <v>3.68912942286914</v>
      </c>
      <c r="P687" s="14" t="n">
        <f aca="false">D687</f>
        <v>40</v>
      </c>
      <c r="Q687" s="14" t="n">
        <f aca="false">G687</f>
        <v>458</v>
      </c>
      <c r="R687" s="14" t="n">
        <f aca="false">J687</f>
        <v>22.5</v>
      </c>
      <c r="S687" s="14" t="n">
        <f aca="false">IF($L687=2012,1,0)</f>
        <v>0</v>
      </c>
      <c r="T687" s="14" t="n">
        <f aca="false">IF($L687=2013,1,0)</f>
        <v>0</v>
      </c>
      <c r="U687" s="14" t="n">
        <f aca="false">IF($L687=2014,1,0)</f>
        <v>0</v>
      </c>
      <c r="V687" s="14" t="n">
        <f aca="false">IF($L687=2015,1,0)</f>
        <v>1</v>
      </c>
      <c r="W687" s="14" t="n">
        <f aca="false">IF($L687=2016,1,0)</f>
        <v>0</v>
      </c>
      <c r="X687" s="14" t="n">
        <f aca="false">IF($L687=2017,1,0)</f>
        <v>0</v>
      </c>
      <c r="Y687" s="14" t="n">
        <f aca="false">IF($H687="Beginner Level",1,0)</f>
        <v>0</v>
      </c>
      <c r="Z687" s="14" t="n">
        <f aca="false">IF($H687="Expert Level",1,0)</f>
        <v>0</v>
      </c>
      <c r="AA687" s="14" t="n">
        <f aca="false">IF($H687="Intermediate Level",1,0)</f>
        <v>0</v>
      </c>
      <c r="AC687" s="14" t="n">
        <f aca="false">N687</f>
        <v>3.68912942286914</v>
      </c>
      <c r="AD687" s="14" t="n">
        <f aca="false">G687</f>
        <v>458</v>
      </c>
      <c r="AE687" s="14" t="n">
        <f aca="false">J687</f>
        <v>22.5</v>
      </c>
      <c r="AF687" s="14" t="n">
        <f aca="false">IF($L687=2012,1,0)</f>
        <v>0</v>
      </c>
      <c r="AG687" s="14" t="n">
        <f aca="false">IF($L687=2013,1,0)</f>
        <v>0</v>
      </c>
      <c r="AH687" s="14" t="n">
        <f aca="false">IF($L687=2014,1,0)</f>
        <v>0</v>
      </c>
      <c r="AI687" s="14" t="n">
        <f aca="false">IF($L687=2015,1,0)</f>
        <v>1</v>
      </c>
      <c r="AJ687" s="14" t="n">
        <f aca="false">IF($L687=2016,1,0)</f>
        <v>0</v>
      </c>
      <c r="AK687" s="14" t="n">
        <f aca="false">IF($L687=2017,1,0)</f>
        <v>0</v>
      </c>
      <c r="AL687" s="14" t="n">
        <f aca="false">IF($H687="Beginner Level",1,0)</f>
        <v>0</v>
      </c>
      <c r="AM687" s="14" t="n">
        <f aca="false">IF($H687="Expert Level",1,0)</f>
        <v>0</v>
      </c>
      <c r="AN687" s="14" t="n">
        <f aca="false">IF($H687="Intermediate Level",1,0)</f>
        <v>0</v>
      </c>
    </row>
    <row r="688" customFormat="false" ht="68.65" hidden="false" customHeight="false" outlineLevel="0" collapsed="false">
      <c r="A688" s="14" t="n">
        <v>1134330</v>
      </c>
      <c r="B688" s="14" t="s">
        <v>1418</v>
      </c>
      <c r="C688" s="14" t="s">
        <v>1419</v>
      </c>
      <c r="D688" s="14" t="n">
        <v>70</v>
      </c>
      <c r="E688" s="14" t="n">
        <v>1925</v>
      </c>
      <c r="F688" s="14" t="n">
        <v>27</v>
      </c>
      <c r="G688" s="14" t="n">
        <v>38</v>
      </c>
      <c r="H688" s="14" t="s">
        <v>52</v>
      </c>
      <c r="I688" s="14" t="n">
        <v>0.47</v>
      </c>
      <c r="J688" s="14" t="n">
        <v>2</v>
      </c>
      <c r="K688" s="14" t="s">
        <v>59</v>
      </c>
      <c r="L688" s="14" t="n">
        <v>2017</v>
      </c>
      <c r="M688" s="14" t="n">
        <v>7.56268124672188</v>
      </c>
      <c r="N688" s="14" t="n">
        <v>4.24863808898911</v>
      </c>
      <c r="P688" s="14" t="n">
        <f aca="false">D688</f>
        <v>70</v>
      </c>
      <c r="Q688" s="14" t="n">
        <f aca="false">G688</f>
        <v>38</v>
      </c>
      <c r="R688" s="14" t="n">
        <f aca="false">J688</f>
        <v>2</v>
      </c>
      <c r="S688" s="14" t="n">
        <f aca="false">IF($L688=2012,1,0)</f>
        <v>0</v>
      </c>
      <c r="T688" s="14" t="n">
        <f aca="false">IF($L688=2013,1,0)</f>
        <v>0</v>
      </c>
      <c r="U688" s="14" t="n">
        <f aca="false">IF($L688=2014,1,0)</f>
        <v>0</v>
      </c>
      <c r="V688" s="14" t="n">
        <f aca="false">IF($L688=2015,1,0)</f>
        <v>0</v>
      </c>
      <c r="W688" s="14" t="n">
        <f aca="false">IF($L688=2016,1,0)</f>
        <v>0</v>
      </c>
      <c r="X688" s="14" t="n">
        <f aca="false">IF($L688=2017,1,0)</f>
        <v>1</v>
      </c>
      <c r="Y688" s="14" t="n">
        <f aca="false">IF($H688="Beginner Level",1,0)</f>
        <v>1</v>
      </c>
      <c r="Z688" s="14" t="n">
        <f aca="false">IF($H688="Expert Level",1,0)</f>
        <v>0</v>
      </c>
      <c r="AA688" s="14" t="n">
        <f aca="false">IF($H688="Intermediate Level",1,0)</f>
        <v>0</v>
      </c>
      <c r="AC688" s="14" t="n">
        <f aca="false">N688</f>
        <v>4.24863808898911</v>
      </c>
      <c r="AD688" s="14" t="n">
        <f aca="false">G688</f>
        <v>38</v>
      </c>
      <c r="AE688" s="14" t="n">
        <f aca="false">J688</f>
        <v>2</v>
      </c>
      <c r="AF688" s="14" t="n">
        <f aca="false">IF($L688=2012,1,0)</f>
        <v>0</v>
      </c>
      <c r="AG688" s="14" t="n">
        <f aca="false">IF($L688=2013,1,0)</f>
        <v>0</v>
      </c>
      <c r="AH688" s="14" t="n">
        <f aca="false">IF($L688=2014,1,0)</f>
        <v>0</v>
      </c>
      <c r="AI688" s="14" t="n">
        <f aca="false">IF($L688=2015,1,0)</f>
        <v>0</v>
      </c>
      <c r="AJ688" s="14" t="n">
        <f aca="false">IF($L688=2016,1,0)</f>
        <v>0</v>
      </c>
      <c r="AK688" s="14" t="n">
        <f aca="false">IF($L688=2017,1,0)</f>
        <v>1</v>
      </c>
      <c r="AL688" s="14" t="n">
        <f aca="false">IF($H688="Beginner Level",1,0)</f>
        <v>1</v>
      </c>
      <c r="AM688" s="14" t="n">
        <f aca="false">IF($H688="Expert Level",1,0)</f>
        <v>0</v>
      </c>
      <c r="AN688" s="14" t="n">
        <f aca="false">IF($H688="Intermediate Level",1,0)</f>
        <v>0</v>
      </c>
    </row>
    <row r="689" customFormat="false" ht="57.45" hidden="false" customHeight="false" outlineLevel="0" collapsed="false">
      <c r="A689" s="14" t="n">
        <v>1051672</v>
      </c>
      <c r="B689" s="14" t="s">
        <v>1420</v>
      </c>
      <c r="C689" s="14" t="s">
        <v>1421</v>
      </c>
      <c r="D689" s="14" t="n">
        <v>25</v>
      </c>
      <c r="E689" s="14" t="n">
        <v>1908</v>
      </c>
      <c r="F689" s="14" t="n">
        <v>12</v>
      </c>
      <c r="G689" s="14" t="n">
        <v>17</v>
      </c>
      <c r="H689" s="14" t="s">
        <v>62</v>
      </c>
      <c r="I689" s="14" t="n">
        <v>0.8</v>
      </c>
      <c r="J689" s="14" t="n">
        <v>1.5</v>
      </c>
      <c r="K689" s="14" t="s">
        <v>59</v>
      </c>
      <c r="L689" s="14" t="n">
        <v>2017</v>
      </c>
      <c r="M689" s="14" t="n">
        <v>7.55381085200823</v>
      </c>
      <c r="N689" s="14" t="n">
        <v>3.21927574488953</v>
      </c>
      <c r="P689" s="14" t="n">
        <f aca="false">D689</f>
        <v>25</v>
      </c>
      <c r="Q689" s="14" t="n">
        <f aca="false">G689</f>
        <v>17</v>
      </c>
      <c r="R689" s="14" t="n">
        <f aca="false">J689</f>
        <v>1.5</v>
      </c>
      <c r="S689" s="14" t="n">
        <f aca="false">IF($L689=2012,1,0)</f>
        <v>0</v>
      </c>
      <c r="T689" s="14" t="n">
        <f aca="false">IF($L689=2013,1,0)</f>
        <v>0</v>
      </c>
      <c r="U689" s="14" t="n">
        <f aca="false">IF($L689=2014,1,0)</f>
        <v>0</v>
      </c>
      <c r="V689" s="14" t="n">
        <f aca="false">IF($L689=2015,1,0)</f>
        <v>0</v>
      </c>
      <c r="W689" s="14" t="n">
        <f aca="false">IF($L689=2016,1,0)</f>
        <v>0</v>
      </c>
      <c r="X689" s="14" t="n">
        <f aca="false">IF($L689=2017,1,0)</f>
        <v>1</v>
      </c>
      <c r="Y689" s="14" t="n">
        <f aca="false">IF($H689="Beginner Level",1,0)</f>
        <v>0</v>
      </c>
      <c r="Z689" s="14" t="n">
        <f aca="false">IF($H689="Expert Level",1,0)</f>
        <v>0</v>
      </c>
      <c r="AA689" s="14" t="n">
        <f aca="false">IF($H689="Intermediate Level",1,0)</f>
        <v>0</v>
      </c>
      <c r="AC689" s="14" t="n">
        <f aca="false">N689</f>
        <v>3.21927574488953</v>
      </c>
      <c r="AD689" s="14" t="n">
        <f aca="false">G689</f>
        <v>17</v>
      </c>
      <c r="AE689" s="14" t="n">
        <f aca="false">J689</f>
        <v>1.5</v>
      </c>
      <c r="AF689" s="14" t="n">
        <f aca="false">IF($L689=2012,1,0)</f>
        <v>0</v>
      </c>
      <c r="AG689" s="14" t="n">
        <f aca="false">IF($L689=2013,1,0)</f>
        <v>0</v>
      </c>
      <c r="AH689" s="14" t="n">
        <f aca="false">IF($L689=2014,1,0)</f>
        <v>0</v>
      </c>
      <c r="AI689" s="14" t="n">
        <f aca="false">IF($L689=2015,1,0)</f>
        <v>0</v>
      </c>
      <c r="AJ689" s="14" t="n">
        <f aca="false">IF($L689=2016,1,0)</f>
        <v>0</v>
      </c>
      <c r="AK689" s="14" t="n">
        <f aca="false">IF($L689=2017,1,0)</f>
        <v>1</v>
      </c>
      <c r="AL689" s="14" t="n">
        <f aca="false">IF($H689="Beginner Level",1,0)</f>
        <v>0</v>
      </c>
      <c r="AM689" s="14" t="n">
        <f aca="false">IF($H689="Expert Level",1,0)</f>
        <v>0</v>
      </c>
      <c r="AN689" s="14" t="n">
        <f aca="false">IF($H689="Intermediate Level",1,0)</f>
        <v>0</v>
      </c>
    </row>
    <row r="690" customFormat="false" ht="91" hidden="false" customHeight="false" outlineLevel="0" collapsed="false">
      <c r="A690" s="14" t="n">
        <v>406820</v>
      </c>
      <c r="B690" s="14" t="s">
        <v>1422</v>
      </c>
      <c r="C690" s="14" t="s">
        <v>1423</v>
      </c>
      <c r="D690" s="14" t="n">
        <v>45</v>
      </c>
      <c r="E690" s="14" t="n">
        <v>1905</v>
      </c>
      <c r="F690" s="14" t="n">
        <v>228</v>
      </c>
      <c r="G690" s="14" t="n">
        <v>57</v>
      </c>
      <c r="H690" s="14" t="s">
        <v>62</v>
      </c>
      <c r="I690" s="14" t="n">
        <v>0.34</v>
      </c>
      <c r="J690" s="14" t="n">
        <v>6</v>
      </c>
      <c r="K690" s="14" t="s">
        <v>59</v>
      </c>
      <c r="L690" s="14" t="n">
        <v>2015</v>
      </c>
      <c r="M690" s="14" t="n">
        <v>7.5522372875608</v>
      </c>
      <c r="N690" s="14" t="n">
        <v>3.80688468730484</v>
      </c>
      <c r="P690" s="14" t="n">
        <f aca="false">D690</f>
        <v>45</v>
      </c>
      <c r="Q690" s="14" t="n">
        <f aca="false">G690</f>
        <v>57</v>
      </c>
      <c r="R690" s="14" t="n">
        <f aca="false">J690</f>
        <v>6</v>
      </c>
      <c r="S690" s="14" t="n">
        <f aca="false">IF($L690=2012,1,0)</f>
        <v>0</v>
      </c>
      <c r="T690" s="14" t="n">
        <f aca="false">IF($L690=2013,1,0)</f>
        <v>0</v>
      </c>
      <c r="U690" s="14" t="n">
        <f aca="false">IF($L690=2014,1,0)</f>
        <v>0</v>
      </c>
      <c r="V690" s="14" t="n">
        <f aca="false">IF($L690=2015,1,0)</f>
        <v>1</v>
      </c>
      <c r="W690" s="14" t="n">
        <f aca="false">IF($L690=2016,1,0)</f>
        <v>0</v>
      </c>
      <c r="X690" s="14" t="n">
        <f aca="false">IF($L690=2017,1,0)</f>
        <v>0</v>
      </c>
      <c r="Y690" s="14" t="n">
        <f aca="false">IF($H690="Beginner Level",1,0)</f>
        <v>0</v>
      </c>
      <c r="Z690" s="14" t="n">
        <f aca="false">IF($H690="Expert Level",1,0)</f>
        <v>0</v>
      </c>
      <c r="AA690" s="14" t="n">
        <f aca="false">IF($H690="Intermediate Level",1,0)</f>
        <v>0</v>
      </c>
      <c r="AC690" s="14" t="n">
        <f aca="false">N690</f>
        <v>3.80688468730484</v>
      </c>
      <c r="AD690" s="14" t="n">
        <f aca="false">G690</f>
        <v>57</v>
      </c>
      <c r="AE690" s="14" t="n">
        <f aca="false">J690</f>
        <v>6</v>
      </c>
      <c r="AF690" s="14" t="n">
        <f aca="false">IF($L690=2012,1,0)</f>
        <v>0</v>
      </c>
      <c r="AG690" s="14" t="n">
        <f aca="false">IF($L690=2013,1,0)</f>
        <v>0</v>
      </c>
      <c r="AH690" s="14" t="n">
        <f aca="false">IF($L690=2014,1,0)</f>
        <v>0</v>
      </c>
      <c r="AI690" s="14" t="n">
        <f aca="false">IF($L690=2015,1,0)</f>
        <v>1</v>
      </c>
      <c r="AJ690" s="14" t="n">
        <f aca="false">IF($L690=2016,1,0)</f>
        <v>0</v>
      </c>
      <c r="AK690" s="14" t="n">
        <f aca="false">IF($L690=2017,1,0)</f>
        <v>0</v>
      </c>
      <c r="AL690" s="14" t="n">
        <f aca="false">IF($H690="Beginner Level",1,0)</f>
        <v>0</v>
      </c>
      <c r="AM690" s="14" t="n">
        <f aca="false">IF($H690="Expert Level",1,0)</f>
        <v>0</v>
      </c>
      <c r="AN690" s="14" t="n">
        <f aca="false">IF($H690="Intermediate Level",1,0)</f>
        <v>0</v>
      </c>
    </row>
    <row r="691" customFormat="false" ht="68.65" hidden="false" customHeight="false" outlineLevel="0" collapsed="false">
      <c r="A691" s="14" t="n">
        <v>442504</v>
      </c>
      <c r="B691" s="14" t="s">
        <v>1424</v>
      </c>
      <c r="C691" s="14" t="s">
        <v>1425</v>
      </c>
      <c r="D691" s="14" t="n">
        <v>20</v>
      </c>
      <c r="E691" s="14" t="n">
        <v>1904</v>
      </c>
      <c r="F691" s="14" t="n">
        <v>25</v>
      </c>
      <c r="G691" s="14" t="n">
        <v>17</v>
      </c>
      <c r="H691" s="14" t="s">
        <v>52</v>
      </c>
      <c r="I691" s="14" t="n">
        <v>0.89</v>
      </c>
      <c r="J691" s="14" t="n">
        <v>0.7</v>
      </c>
      <c r="K691" s="14" t="s">
        <v>59</v>
      </c>
      <c r="L691" s="14" t="n">
        <v>2015</v>
      </c>
      <c r="M691" s="14" t="n">
        <v>7.55171221535131</v>
      </c>
      <c r="N691" s="14" t="n">
        <v>2.99623214859564</v>
      </c>
      <c r="P691" s="14" t="n">
        <f aca="false">D691</f>
        <v>20</v>
      </c>
      <c r="Q691" s="14" t="n">
        <f aca="false">G691</f>
        <v>17</v>
      </c>
      <c r="R691" s="14" t="n">
        <f aca="false">J691</f>
        <v>0.7</v>
      </c>
      <c r="S691" s="14" t="n">
        <f aca="false">IF($L691=2012,1,0)</f>
        <v>0</v>
      </c>
      <c r="T691" s="14" t="n">
        <f aca="false">IF($L691=2013,1,0)</f>
        <v>0</v>
      </c>
      <c r="U691" s="14" t="n">
        <f aca="false">IF($L691=2014,1,0)</f>
        <v>0</v>
      </c>
      <c r="V691" s="14" t="n">
        <f aca="false">IF($L691=2015,1,0)</f>
        <v>1</v>
      </c>
      <c r="W691" s="14" t="n">
        <f aca="false">IF($L691=2016,1,0)</f>
        <v>0</v>
      </c>
      <c r="X691" s="14" t="n">
        <f aca="false">IF($L691=2017,1,0)</f>
        <v>0</v>
      </c>
      <c r="Y691" s="14" t="n">
        <f aca="false">IF($H691="Beginner Level",1,0)</f>
        <v>1</v>
      </c>
      <c r="Z691" s="14" t="n">
        <f aca="false">IF($H691="Expert Level",1,0)</f>
        <v>0</v>
      </c>
      <c r="AA691" s="14" t="n">
        <f aca="false">IF($H691="Intermediate Level",1,0)</f>
        <v>0</v>
      </c>
      <c r="AC691" s="14" t="n">
        <f aca="false">N691</f>
        <v>2.99623214859564</v>
      </c>
      <c r="AD691" s="14" t="n">
        <f aca="false">G691</f>
        <v>17</v>
      </c>
      <c r="AE691" s="14" t="n">
        <f aca="false">J691</f>
        <v>0.7</v>
      </c>
      <c r="AF691" s="14" t="n">
        <f aca="false">IF($L691=2012,1,0)</f>
        <v>0</v>
      </c>
      <c r="AG691" s="14" t="n">
        <f aca="false">IF($L691=2013,1,0)</f>
        <v>0</v>
      </c>
      <c r="AH691" s="14" t="n">
        <f aca="false">IF($L691=2014,1,0)</f>
        <v>0</v>
      </c>
      <c r="AI691" s="14" t="n">
        <f aca="false">IF($L691=2015,1,0)</f>
        <v>1</v>
      </c>
      <c r="AJ691" s="14" t="n">
        <f aca="false">IF($L691=2016,1,0)</f>
        <v>0</v>
      </c>
      <c r="AK691" s="14" t="n">
        <f aca="false">IF($L691=2017,1,0)</f>
        <v>0</v>
      </c>
      <c r="AL691" s="14" t="n">
        <f aca="false">IF($H691="Beginner Level",1,0)</f>
        <v>1</v>
      </c>
      <c r="AM691" s="14" t="n">
        <f aca="false">IF($H691="Expert Level",1,0)</f>
        <v>0</v>
      </c>
      <c r="AN691" s="14" t="n">
        <f aca="false">IF($H691="Intermediate Level",1,0)</f>
        <v>0</v>
      </c>
    </row>
    <row r="692" customFormat="false" ht="68.65" hidden="false" customHeight="false" outlineLevel="0" collapsed="false">
      <c r="A692" s="14" t="n">
        <v>941998</v>
      </c>
      <c r="B692" s="14" t="s">
        <v>1426</v>
      </c>
      <c r="C692" s="14" t="s">
        <v>1427</v>
      </c>
      <c r="D692" s="14" t="n">
        <v>165</v>
      </c>
      <c r="E692" s="14" t="n">
        <v>1902</v>
      </c>
      <c r="F692" s="14" t="n">
        <v>224</v>
      </c>
      <c r="G692" s="14" t="n">
        <v>47</v>
      </c>
      <c r="H692" s="14" t="s">
        <v>71</v>
      </c>
      <c r="I692" s="14" t="n">
        <v>0.13</v>
      </c>
      <c r="J692" s="14" t="n">
        <v>5.5</v>
      </c>
      <c r="K692" s="14" t="s">
        <v>59</v>
      </c>
      <c r="L692" s="14" t="n">
        <v>2017</v>
      </c>
      <c r="M692" s="14" t="n">
        <v>7.55066124310534</v>
      </c>
      <c r="N692" s="14" t="n">
        <v>5.10600607812471</v>
      </c>
      <c r="P692" s="14" t="n">
        <f aca="false">D692</f>
        <v>165</v>
      </c>
      <c r="Q692" s="14" t="n">
        <f aca="false">G692</f>
        <v>47</v>
      </c>
      <c r="R692" s="14" t="n">
        <f aca="false">J692</f>
        <v>5.5</v>
      </c>
      <c r="S692" s="14" t="n">
        <f aca="false">IF($L692=2012,1,0)</f>
        <v>0</v>
      </c>
      <c r="T692" s="14" t="n">
        <f aca="false">IF($L692=2013,1,0)</f>
        <v>0</v>
      </c>
      <c r="U692" s="14" t="n">
        <f aca="false">IF($L692=2014,1,0)</f>
        <v>0</v>
      </c>
      <c r="V692" s="14" t="n">
        <f aca="false">IF($L692=2015,1,0)</f>
        <v>0</v>
      </c>
      <c r="W692" s="14" t="n">
        <f aca="false">IF($L692=2016,1,0)</f>
        <v>0</v>
      </c>
      <c r="X692" s="14" t="n">
        <f aca="false">IF($L692=2017,1,0)</f>
        <v>1</v>
      </c>
      <c r="Y692" s="14" t="n">
        <f aca="false">IF($H692="Beginner Level",1,0)</f>
        <v>0</v>
      </c>
      <c r="Z692" s="14" t="n">
        <f aca="false">IF($H692="Expert Level",1,0)</f>
        <v>0</v>
      </c>
      <c r="AA692" s="14" t="n">
        <f aca="false">IF($H692="Intermediate Level",1,0)</f>
        <v>1</v>
      </c>
      <c r="AC692" s="14" t="n">
        <f aca="false">N692</f>
        <v>5.10600607812471</v>
      </c>
      <c r="AD692" s="14" t="n">
        <f aca="false">G692</f>
        <v>47</v>
      </c>
      <c r="AE692" s="14" t="n">
        <f aca="false">J692</f>
        <v>5.5</v>
      </c>
      <c r="AF692" s="14" t="n">
        <f aca="false">IF($L692=2012,1,0)</f>
        <v>0</v>
      </c>
      <c r="AG692" s="14" t="n">
        <f aca="false">IF($L692=2013,1,0)</f>
        <v>0</v>
      </c>
      <c r="AH692" s="14" t="n">
        <f aca="false">IF($L692=2014,1,0)</f>
        <v>0</v>
      </c>
      <c r="AI692" s="14" t="n">
        <f aca="false">IF($L692=2015,1,0)</f>
        <v>0</v>
      </c>
      <c r="AJ692" s="14" t="n">
        <f aca="false">IF($L692=2016,1,0)</f>
        <v>0</v>
      </c>
      <c r="AK692" s="14" t="n">
        <f aca="false">IF($L692=2017,1,0)</f>
        <v>1</v>
      </c>
      <c r="AL692" s="14" t="n">
        <f aca="false">IF($H692="Beginner Level",1,0)</f>
        <v>0</v>
      </c>
      <c r="AM692" s="14" t="n">
        <f aca="false">IF($H692="Expert Level",1,0)</f>
        <v>0</v>
      </c>
      <c r="AN692" s="14" t="n">
        <f aca="false">IF($H692="Intermediate Level",1,0)</f>
        <v>1</v>
      </c>
    </row>
    <row r="693" customFormat="false" ht="79.85" hidden="false" customHeight="false" outlineLevel="0" collapsed="false">
      <c r="A693" s="14" t="n">
        <v>1011550</v>
      </c>
      <c r="B693" s="14" t="s">
        <v>1428</v>
      </c>
      <c r="C693" s="14" t="s">
        <v>1429</v>
      </c>
      <c r="D693" s="14" t="n">
        <v>20</v>
      </c>
      <c r="E693" s="14" t="n">
        <v>1898</v>
      </c>
      <c r="F693" s="14" t="n">
        <v>19</v>
      </c>
      <c r="G693" s="14" t="n">
        <v>31</v>
      </c>
      <c r="H693" s="14" t="s">
        <v>71</v>
      </c>
      <c r="I693" s="14" t="n">
        <v>0.19</v>
      </c>
      <c r="J693" s="14" t="n">
        <v>4</v>
      </c>
      <c r="K693" s="14" t="s">
        <v>59</v>
      </c>
      <c r="L693" s="14" t="n">
        <v>2016</v>
      </c>
      <c r="M693" s="14" t="n">
        <v>7.54855597916987</v>
      </c>
      <c r="N693" s="14" t="n">
        <v>2.99623214859564</v>
      </c>
      <c r="P693" s="14" t="n">
        <f aca="false">D693</f>
        <v>20</v>
      </c>
      <c r="Q693" s="14" t="n">
        <f aca="false">G693</f>
        <v>31</v>
      </c>
      <c r="R693" s="14" t="n">
        <f aca="false">J693</f>
        <v>4</v>
      </c>
      <c r="S693" s="14" t="n">
        <f aca="false">IF($L693=2012,1,0)</f>
        <v>0</v>
      </c>
      <c r="T693" s="14" t="n">
        <f aca="false">IF($L693=2013,1,0)</f>
        <v>0</v>
      </c>
      <c r="U693" s="14" t="n">
        <f aca="false">IF($L693=2014,1,0)</f>
        <v>0</v>
      </c>
      <c r="V693" s="14" t="n">
        <f aca="false">IF($L693=2015,1,0)</f>
        <v>0</v>
      </c>
      <c r="W693" s="14" t="n">
        <f aca="false">IF($L693=2016,1,0)</f>
        <v>1</v>
      </c>
      <c r="X693" s="14" t="n">
        <f aca="false">IF($L693=2017,1,0)</f>
        <v>0</v>
      </c>
      <c r="Y693" s="14" t="n">
        <f aca="false">IF($H693="Beginner Level",1,0)</f>
        <v>0</v>
      </c>
      <c r="Z693" s="14" t="n">
        <f aca="false">IF($H693="Expert Level",1,0)</f>
        <v>0</v>
      </c>
      <c r="AA693" s="14" t="n">
        <f aca="false">IF($H693="Intermediate Level",1,0)</f>
        <v>1</v>
      </c>
      <c r="AC693" s="14" t="n">
        <f aca="false">N693</f>
        <v>2.99623214859564</v>
      </c>
      <c r="AD693" s="14" t="n">
        <f aca="false">G693</f>
        <v>31</v>
      </c>
      <c r="AE693" s="14" t="n">
        <f aca="false">J693</f>
        <v>4</v>
      </c>
      <c r="AF693" s="14" t="n">
        <f aca="false">IF($L693=2012,1,0)</f>
        <v>0</v>
      </c>
      <c r="AG693" s="14" t="n">
        <f aca="false">IF($L693=2013,1,0)</f>
        <v>0</v>
      </c>
      <c r="AH693" s="14" t="n">
        <f aca="false">IF($L693=2014,1,0)</f>
        <v>0</v>
      </c>
      <c r="AI693" s="14" t="n">
        <f aca="false">IF($L693=2015,1,0)</f>
        <v>0</v>
      </c>
      <c r="AJ693" s="14" t="n">
        <f aca="false">IF($L693=2016,1,0)</f>
        <v>1</v>
      </c>
      <c r="AK693" s="14" t="n">
        <f aca="false">IF($L693=2017,1,0)</f>
        <v>0</v>
      </c>
      <c r="AL693" s="14" t="n">
        <f aca="false">IF($H693="Beginner Level",1,0)</f>
        <v>0</v>
      </c>
      <c r="AM693" s="14" t="n">
        <f aca="false">IF($H693="Expert Level",1,0)</f>
        <v>0</v>
      </c>
      <c r="AN693" s="14" t="n">
        <f aca="false">IF($H693="Intermediate Level",1,0)</f>
        <v>1</v>
      </c>
    </row>
    <row r="694" customFormat="false" ht="57.45" hidden="false" customHeight="false" outlineLevel="0" collapsed="false">
      <c r="A694" s="14" t="n">
        <v>911712</v>
      </c>
      <c r="B694" s="14" t="s">
        <v>1430</v>
      </c>
      <c r="C694" s="14" t="s">
        <v>1431</v>
      </c>
      <c r="D694" s="14" t="n">
        <v>20</v>
      </c>
      <c r="E694" s="14" t="n">
        <v>1894</v>
      </c>
      <c r="F694" s="14" t="n">
        <v>40</v>
      </c>
      <c r="G694" s="14" t="n">
        <v>35</v>
      </c>
      <c r="H694" s="14" t="s">
        <v>52</v>
      </c>
      <c r="I694" s="14" t="n">
        <v>0.14</v>
      </c>
      <c r="J694" s="14" t="n">
        <v>1.5</v>
      </c>
      <c r="K694" s="14" t="s">
        <v>59</v>
      </c>
      <c r="L694" s="14" t="n">
        <v>2016</v>
      </c>
      <c r="M694" s="14" t="n">
        <v>7.54644627374602</v>
      </c>
      <c r="N694" s="14" t="n">
        <v>2.99623214859564</v>
      </c>
      <c r="P694" s="14" t="n">
        <f aca="false">D694</f>
        <v>20</v>
      </c>
      <c r="Q694" s="14" t="n">
        <f aca="false">G694</f>
        <v>35</v>
      </c>
      <c r="R694" s="14" t="n">
        <f aca="false">J694</f>
        <v>1.5</v>
      </c>
      <c r="S694" s="14" t="n">
        <f aca="false">IF($L694=2012,1,0)</f>
        <v>0</v>
      </c>
      <c r="T694" s="14" t="n">
        <f aca="false">IF($L694=2013,1,0)</f>
        <v>0</v>
      </c>
      <c r="U694" s="14" t="n">
        <f aca="false">IF($L694=2014,1,0)</f>
        <v>0</v>
      </c>
      <c r="V694" s="14" t="n">
        <f aca="false">IF($L694=2015,1,0)</f>
        <v>0</v>
      </c>
      <c r="W694" s="14" t="n">
        <f aca="false">IF($L694=2016,1,0)</f>
        <v>1</v>
      </c>
      <c r="X694" s="14" t="n">
        <f aca="false">IF($L694=2017,1,0)</f>
        <v>0</v>
      </c>
      <c r="Y694" s="14" t="n">
        <f aca="false">IF($H694="Beginner Level",1,0)</f>
        <v>1</v>
      </c>
      <c r="Z694" s="14" t="n">
        <f aca="false">IF($H694="Expert Level",1,0)</f>
        <v>0</v>
      </c>
      <c r="AA694" s="14" t="n">
        <f aca="false">IF($H694="Intermediate Level",1,0)</f>
        <v>0</v>
      </c>
      <c r="AC694" s="14" t="n">
        <f aca="false">N694</f>
        <v>2.99623214859564</v>
      </c>
      <c r="AD694" s="14" t="n">
        <f aca="false">G694</f>
        <v>35</v>
      </c>
      <c r="AE694" s="14" t="n">
        <f aca="false">J694</f>
        <v>1.5</v>
      </c>
      <c r="AF694" s="14" t="n">
        <f aca="false">IF($L694=2012,1,0)</f>
        <v>0</v>
      </c>
      <c r="AG694" s="14" t="n">
        <f aca="false">IF($L694=2013,1,0)</f>
        <v>0</v>
      </c>
      <c r="AH694" s="14" t="n">
        <f aca="false">IF($L694=2014,1,0)</f>
        <v>0</v>
      </c>
      <c r="AI694" s="14" t="n">
        <f aca="false">IF($L694=2015,1,0)</f>
        <v>0</v>
      </c>
      <c r="AJ694" s="14" t="n">
        <f aca="false">IF($L694=2016,1,0)</f>
        <v>1</v>
      </c>
      <c r="AK694" s="14" t="n">
        <f aca="false">IF($L694=2017,1,0)</f>
        <v>0</v>
      </c>
      <c r="AL694" s="14" t="n">
        <f aca="false">IF($H694="Beginner Level",1,0)</f>
        <v>1</v>
      </c>
      <c r="AM694" s="14" t="n">
        <f aca="false">IF($H694="Expert Level",1,0)</f>
        <v>0</v>
      </c>
      <c r="AN694" s="14" t="n">
        <f aca="false">IF($H694="Intermediate Level",1,0)</f>
        <v>0</v>
      </c>
    </row>
    <row r="695" customFormat="false" ht="35.05" hidden="false" customHeight="false" outlineLevel="0" collapsed="false">
      <c r="A695" s="14" t="n">
        <v>861528</v>
      </c>
      <c r="B695" s="14" t="s">
        <v>1432</v>
      </c>
      <c r="C695" s="14" t="s">
        <v>1433</v>
      </c>
      <c r="D695" s="14" t="n">
        <v>50</v>
      </c>
      <c r="E695" s="14" t="n">
        <v>1892</v>
      </c>
      <c r="F695" s="14" t="n">
        <v>147</v>
      </c>
      <c r="G695" s="14" t="n">
        <v>24</v>
      </c>
      <c r="H695" s="14" t="s">
        <v>62</v>
      </c>
      <c r="I695" s="14" t="n">
        <v>0.06</v>
      </c>
      <c r="J695" s="14" t="n">
        <v>2.5</v>
      </c>
      <c r="K695" s="14" t="s">
        <v>59</v>
      </c>
      <c r="L695" s="14" t="n">
        <v>2016</v>
      </c>
      <c r="M695" s="14" t="n">
        <v>7.54538974961182</v>
      </c>
      <c r="N695" s="14" t="n">
        <v>3.91222298543081</v>
      </c>
      <c r="P695" s="14" t="n">
        <f aca="false">D695</f>
        <v>50</v>
      </c>
      <c r="Q695" s="14" t="n">
        <f aca="false">G695</f>
        <v>24</v>
      </c>
      <c r="R695" s="14" t="n">
        <f aca="false">J695</f>
        <v>2.5</v>
      </c>
      <c r="S695" s="14" t="n">
        <f aca="false">IF($L695=2012,1,0)</f>
        <v>0</v>
      </c>
      <c r="T695" s="14" t="n">
        <f aca="false">IF($L695=2013,1,0)</f>
        <v>0</v>
      </c>
      <c r="U695" s="14" t="n">
        <f aca="false">IF($L695=2014,1,0)</f>
        <v>0</v>
      </c>
      <c r="V695" s="14" t="n">
        <f aca="false">IF($L695=2015,1,0)</f>
        <v>0</v>
      </c>
      <c r="W695" s="14" t="n">
        <f aca="false">IF($L695=2016,1,0)</f>
        <v>1</v>
      </c>
      <c r="X695" s="14" t="n">
        <f aca="false">IF($L695=2017,1,0)</f>
        <v>0</v>
      </c>
      <c r="Y695" s="14" t="n">
        <f aca="false">IF($H695="Beginner Level",1,0)</f>
        <v>0</v>
      </c>
      <c r="Z695" s="14" t="n">
        <f aca="false">IF($H695="Expert Level",1,0)</f>
        <v>0</v>
      </c>
      <c r="AA695" s="14" t="n">
        <f aca="false">IF($H695="Intermediate Level",1,0)</f>
        <v>0</v>
      </c>
      <c r="AC695" s="14" t="n">
        <f aca="false">N695</f>
        <v>3.91222298543081</v>
      </c>
      <c r="AD695" s="14" t="n">
        <f aca="false">G695</f>
        <v>24</v>
      </c>
      <c r="AE695" s="14" t="n">
        <f aca="false">J695</f>
        <v>2.5</v>
      </c>
      <c r="AF695" s="14" t="n">
        <f aca="false">IF($L695=2012,1,0)</f>
        <v>0</v>
      </c>
      <c r="AG695" s="14" t="n">
        <f aca="false">IF($L695=2013,1,0)</f>
        <v>0</v>
      </c>
      <c r="AH695" s="14" t="n">
        <f aca="false">IF($L695=2014,1,0)</f>
        <v>0</v>
      </c>
      <c r="AI695" s="14" t="n">
        <f aca="false">IF($L695=2015,1,0)</f>
        <v>0</v>
      </c>
      <c r="AJ695" s="14" t="n">
        <f aca="false">IF($L695=2016,1,0)</f>
        <v>1</v>
      </c>
      <c r="AK695" s="14" t="n">
        <f aca="false">IF($L695=2017,1,0)</f>
        <v>0</v>
      </c>
      <c r="AL695" s="14" t="n">
        <f aca="false">IF($H695="Beginner Level",1,0)</f>
        <v>0</v>
      </c>
      <c r="AM695" s="14" t="n">
        <f aca="false">IF($H695="Expert Level",1,0)</f>
        <v>0</v>
      </c>
      <c r="AN695" s="14" t="n">
        <f aca="false">IF($H695="Intermediate Level",1,0)</f>
        <v>0</v>
      </c>
    </row>
    <row r="696" customFormat="false" ht="79.85" hidden="false" customHeight="false" outlineLevel="0" collapsed="false">
      <c r="A696" s="14" t="n">
        <v>745120</v>
      </c>
      <c r="B696" s="14" t="s">
        <v>1434</v>
      </c>
      <c r="C696" s="14" t="s">
        <v>1435</v>
      </c>
      <c r="D696" s="14" t="n">
        <v>200</v>
      </c>
      <c r="E696" s="14" t="n">
        <v>1874</v>
      </c>
      <c r="F696" s="14" t="n">
        <v>40</v>
      </c>
      <c r="G696" s="14" t="n">
        <v>224</v>
      </c>
      <c r="H696" s="14" t="s">
        <v>52</v>
      </c>
      <c r="I696" s="14" t="n">
        <v>0.89</v>
      </c>
      <c r="J696" s="14" t="n">
        <v>44.5</v>
      </c>
      <c r="K696" s="14" t="s">
        <v>59</v>
      </c>
      <c r="L696" s="14" t="n">
        <v>2016</v>
      </c>
      <c r="M696" s="14" t="n">
        <v>7.53583046279837</v>
      </c>
      <c r="N696" s="14" t="n">
        <v>5.29836736529808</v>
      </c>
      <c r="P696" s="14" t="n">
        <f aca="false">D696</f>
        <v>200</v>
      </c>
      <c r="Q696" s="14" t="n">
        <f aca="false">G696</f>
        <v>224</v>
      </c>
      <c r="R696" s="14" t="n">
        <f aca="false">J696</f>
        <v>44.5</v>
      </c>
      <c r="S696" s="14" t="n">
        <f aca="false">IF($L696=2012,1,0)</f>
        <v>0</v>
      </c>
      <c r="T696" s="14" t="n">
        <f aca="false">IF($L696=2013,1,0)</f>
        <v>0</v>
      </c>
      <c r="U696" s="14" t="n">
        <f aca="false">IF($L696=2014,1,0)</f>
        <v>0</v>
      </c>
      <c r="V696" s="14" t="n">
        <f aca="false">IF($L696=2015,1,0)</f>
        <v>0</v>
      </c>
      <c r="W696" s="14" t="n">
        <f aca="false">IF($L696=2016,1,0)</f>
        <v>1</v>
      </c>
      <c r="X696" s="14" t="n">
        <f aca="false">IF($L696=2017,1,0)</f>
        <v>0</v>
      </c>
      <c r="Y696" s="14" t="n">
        <f aca="false">IF($H696="Beginner Level",1,0)</f>
        <v>1</v>
      </c>
      <c r="Z696" s="14" t="n">
        <f aca="false">IF($H696="Expert Level",1,0)</f>
        <v>0</v>
      </c>
      <c r="AA696" s="14" t="n">
        <f aca="false">IF($H696="Intermediate Level",1,0)</f>
        <v>0</v>
      </c>
      <c r="AC696" s="14" t="n">
        <f aca="false">N696</f>
        <v>5.29836736529808</v>
      </c>
      <c r="AD696" s="14" t="n">
        <f aca="false">G696</f>
        <v>224</v>
      </c>
      <c r="AE696" s="14" t="n">
        <f aca="false">J696</f>
        <v>44.5</v>
      </c>
      <c r="AF696" s="14" t="n">
        <f aca="false">IF($L696=2012,1,0)</f>
        <v>0</v>
      </c>
      <c r="AG696" s="14" t="n">
        <f aca="false">IF($L696=2013,1,0)</f>
        <v>0</v>
      </c>
      <c r="AH696" s="14" t="n">
        <f aca="false">IF($L696=2014,1,0)</f>
        <v>0</v>
      </c>
      <c r="AI696" s="14" t="n">
        <f aca="false">IF($L696=2015,1,0)</f>
        <v>0</v>
      </c>
      <c r="AJ696" s="14" t="n">
        <f aca="false">IF($L696=2016,1,0)</f>
        <v>1</v>
      </c>
      <c r="AK696" s="14" t="n">
        <f aca="false">IF($L696=2017,1,0)</f>
        <v>0</v>
      </c>
      <c r="AL696" s="14" t="n">
        <f aca="false">IF($H696="Beginner Level",1,0)</f>
        <v>1</v>
      </c>
      <c r="AM696" s="14" t="n">
        <f aca="false">IF($H696="Expert Level",1,0)</f>
        <v>0</v>
      </c>
      <c r="AN696" s="14" t="n">
        <f aca="false">IF($H696="Intermediate Level",1,0)</f>
        <v>0</v>
      </c>
    </row>
    <row r="697" customFormat="false" ht="57.45" hidden="false" customHeight="false" outlineLevel="0" collapsed="false">
      <c r="A697" s="14" t="n">
        <v>859936</v>
      </c>
      <c r="B697" s="14" t="s">
        <v>1436</v>
      </c>
      <c r="C697" s="14" t="s">
        <v>1437</v>
      </c>
      <c r="D697" s="14" t="n">
        <v>150</v>
      </c>
      <c r="E697" s="14" t="n">
        <v>1873</v>
      </c>
      <c r="F697" s="14" t="n">
        <v>360</v>
      </c>
      <c r="G697" s="14" t="n">
        <v>79</v>
      </c>
      <c r="H697" s="14" t="s">
        <v>71</v>
      </c>
      <c r="I697" s="14" t="n">
        <v>0.47</v>
      </c>
      <c r="J697" s="14" t="n">
        <v>7.5</v>
      </c>
      <c r="K697" s="14" t="s">
        <v>59</v>
      </c>
      <c r="L697" s="14" t="n">
        <v>2016</v>
      </c>
      <c r="M697" s="14" t="n">
        <v>7.53529670244409</v>
      </c>
      <c r="N697" s="14" t="n">
        <v>5.0107019585408</v>
      </c>
      <c r="P697" s="14" t="n">
        <f aca="false">D697</f>
        <v>150</v>
      </c>
      <c r="Q697" s="14" t="n">
        <f aca="false">G697</f>
        <v>79</v>
      </c>
      <c r="R697" s="14" t="n">
        <f aca="false">J697</f>
        <v>7.5</v>
      </c>
      <c r="S697" s="14" t="n">
        <f aca="false">IF($L697=2012,1,0)</f>
        <v>0</v>
      </c>
      <c r="T697" s="14" t="n">
        <f aca="false">IF($L697=2013,1,0)</f>
        <v>0</v>
      </c>
      <c r="U697" s="14" t="n">
        <f aca="false">IF($L697=2014,1,0)</f>
        <v>0</v>
      </c>
      <c r="V697" s="14" t="n">
        <f aca="false">IF($L697=2015,1,0)</f>
        <v>0</v>
      </c>
      <c r="W697" s="14" t="n">
        <f aca="false">IF($L697=2016,1,0)</f>
        <v>1</v>
      </c>
      <c r="X697" s="14" t="n">
        <f aca="false">IF($L697=2017,1,0)</f>
        <v>0</v>
      </c>
      <c r="Y697" s="14" t="n">
        <f aca="false">IF($H697="Beginner Level",1,0)</f>
        <v>0</v>
      </c>
      <c r="Z697" s="14" t="n">
        <f aca="false">IF($H697="Expert Level",1,0)</f>
        <v>0</v>
      </c>
      <c r="AA697" s="14" t="n">
        <f aca="false">IF($H697="Intermediate Level",1,0)</f>
        <v>1</v>
      </c>
      <c r="AC697" s="14" t="n">
        <f aca="false">N697</f>
        <v>5.0107019585408</v>
      </c>
      <c r="AD697" s="14" t="n">
        <f aca="false">G697</f>
        <v>79</v>
      </c>
      <c r="AE697" s="14" t="n">
        <f aca="false">J697</f>
        <v>7.5</v>
      </c>
      <c r="AF697" s="14" t="n">
        <f aca="false">IF($L697=2012,1,0)</f>
        <v>0</v>
      </c>
      <c r="AG697" s="14" t="n">
        <f aca="false">IF($L697=2013,1,0)</f>
        <v>0</v>
      </c>
      <c r="AH697" s="14" t="n">
        <f aca="false">IF($L697=2014,1,0)</f>
        <v>0</v>
      </c>
      <c r="AI697" s="14" t="n">
        <f aca="false">IF($L697=2015,1,0)</f>
        <v>0</v>
      </c>
      <c r="AJ697" s="14" t="n">
        <f aca="false">IF($L697=2016,1,0)</f>
        <v>1</v>
      </c>
      <c r="AK697" s="14" t="n">
        <f aca="false">IF($L697=2017,1,0)</f>
        <v>0</v>
      </c>
      <c r="AL697" s="14" t="n">
        <f aca="false">IF($H697="Beginner Level",1,0)</f>
        <v>0</v>
      </c>
      <c r="AM697" s="14" t="n">
        <f aca="false">IF($H697="Expert Level",1,0)</f>
        <v>0</v>
      </c>
      <c r="AN697" s="14" t="n">
        <f aca="false">IF($H697="Intermediate Level",1,0)</f>
        <v>1</v>
      </c>
    </row>
    <row r="698" customFormat="false" ht="68.65" hidden="false" customHeight="false" outlineLevel="0" collapsed="false">
      <c r="A698" s="14" t="n">
        <v>807874</v>
      </c>
      <c r="B698" s="14" t="s">
        <v>1438</v>
      </c>
      <c r="C698" s="14" t="s">
        <v>1439</v>
      </c>
      <c r="D698" s="14" t="n">
        <v>50</v>
      </c>
      <c r="E698" s="14" t="n">
        <v>1871</v>
      </c>
      <c r="F698" s="14" t="n">
        <v>154</v>
      </c>
      <c r="G698" s="14" t="n">
        <v>60</v>
      </c>
      <c r="H698" s="14" t="s">
        <v>62</v>
      </c>
      <c r="I698" s="14" t="n">
        <v>0.67</v>
      </c>
      <c r="J698" s="14" t="n">
        <v>13.5</v>
      </c>
      <c r="K698" s="14" t="s">
        <v>59</v>
      </c>
      <c r="L698" s="14" t="n">
        <v>2016</v>
      </c>
      <c r="M698" s="14" t="n">
        <v>7.53422832627409</v>
      </c>
      <c r="N698" s="14" t="n">
        <v>3.91222298543081</v>
      </c>
      <c r="P698" s="14" t="n">
        <f aca="false">D698</f>
        <v>50</v>
      </c>
      <c r="Q698" s="14" t="n">
        <f aca="false">G698</f>
        <v>60</v>
      </c>
      <c r="R698" s="14" t="n">
        <f aca="false">J698</f>
        <v>13.5</v>
      </c>
      <c r="S698" s="14" t="n">
        <f aca="false">IF($L698=2012,1,0)</f>
        <v>0</v>
      </c>
      <c r="T698" s="14" t="n">
        <f aca="false">IF($L698=2013,1,0)</f>
        <v>0</v>
      </c>
      <c r="U698" s="14" t="n">
        <f aca="false">IF($L698=2014,1,0)</f>
        <v>0</v>
      </c>
      <c r="V698" s="14" t="n">
        <f aca="false">IF($L698=2015,1,0)</f>
        <v>0</v>
      </c>
      <c r="W698" s="14" t="n">
        <f aca="false">IF($L698=2016,1,0)</f>
        <v>1</v>
      </c>
      <c r="X698" s="14" t="n">
        <f aca="false">IF($L698=2017,1,0)</f>
        <v>0</v>
      </c>
      <c r="Y698" s="14" t="n">
        <f aca="false">IF($H698="Beginner Level",1,0)</f>
        <v>0</v>
      </c>
      <c r="Z698" s="14" t="n">
        <f aca="false">IF($H698="Expert Level",1,0)</f>
        <v>0</v>
      </c>
      <c r="AA698" s="14" t="n">
        <f aca="false">IF($H698="Intermediate Level",1,0)</f>
        <v>0</v>
      </c>
      <c r="AC698" s="14" t="n">
        <f aca="false">N698</f>
        <v>3.91222298543081</v>
      </c>
      <c r="AD698" s="14" t="n">
        <f aca="false">G698</f>
        <v>60</v>
      </c>
      <c r="AE698" s="14" t="n">
        <f aca="false">J698</f>
        <v>13.5</v>
      </c>
      <c r="AF698" s="14" t="n">
        <f aca="false">IF($L698=2012,1,0)</f>
        <v>0</v>
      </c>
      <c r="AG698" s="14" t="n">
        <f aca="false">IF($L698=2013,1,0)</f>
        <v>0</v>
      </c>
      <c r="AH698" s="14" t="n">
        <f aca="false">IF($L698=2014,1,0)</f>
        <v>0</v>
      </c>
      <c r="AI698" s="14" t="n">
        <f aca="false">IF($L698=2015,1,0)</f>
        <v>0</v>
      </c>
      <c r="AJ698" s="14" t="n">
        <f aca="false">IF($L698=2016,1,0)</f>
        <v>1</v>
      </c>
      <c r="AK698" s="14" t="n">
        <f aca="false">IF($L698=2017,1,0)</f>
        <v>0</v>
      </c>
      <c r="AL698" s="14" t="n">
        <f aca="false">IF($H698="Beginner Level",1,0)</f>
        <v>0</v>
      </c>
      <c r="AM698" s="14" t="n">
        <f aca="false">IF($H698="Expert Level",1,0)</f>
        <v>0</v>
      </c>
      <c r="AN698" s="14" t="n">
        <f aca="false">IF($H698="Intermediate Level",1,0)</f>
        <v>0</v>
      </c>
    </row>
    <row r="699" customFormat="false" ht="57.45" hidden="false" customHeight="false" outlineLevel="0" collapsed="false">
      <c r="A699" s="14" t="n">
        <v>937586</v>
      </c>
      <c r="B699" s="14" t="s">
        <v>1440</v>
      </c>
      <c r="C699" s="14" t="s">
        <v>1441</v>
      </c>
      <c r="D699" s="14" t="n">
        <v>200</v>
      </c>
      <c r="E699" s="14" t="n">
        <v>1870</v>
      </c>
      <c r="F699" s="14" t="n">
        <v>193</v>
      </c>
      <c r="G699" s="14" t="n">
        <v>145</v>
      </c>
      <c r="H699" s="14" t="s">
        <v>52</v>
      </c>
      <c r="I699" s="14" t="n">
        <v>0.9</v>
      </c>
      <c r="J699" s="14" t="n">
        <v>14.5</v>
      </c>
      <c r="K699" s="14" t="s">
        <v>59</v>
      </c>
      <c r="L699" s="14" t="n">
        <v>2016</v>
      </c>
      <c r="M699" s="14" t="n">
        <v>7.53369370984863</v>
      </c>
      <c r="N699" s="14" t="n">
        <v>5.29836736529808</v>
      </c>
      <c r="P699" s="14" t="n">
        <f aca="false">D699</f>
        <v>200</v>
      </c>
      <c r="Q699" s="14" t="n">
        <f aca="false">G699</f>
        <v>145</v>
      </c>
      <c r="R699" s="14" t="n">
        <f aca="false">J699</f>
        <v>14.5</v>
      </c>
      <c r="S699" s="14" t="n">
        <f aca="false">IF($L699=2012,1,0)</f>
        <v>0</v>
      </c>
      <c r="T699" s="14" t="n">
        <f aca="false">IF($L699=2013,1,0)</f>
        <v>0</v>
      </c>
      <c r="U699" s="14" t="n">
        <f aca="false">IF($L699=2014,1,0)</f>
        <v>0</v>
      </c>
      <c r="V699" s="14" t="n">
        <f aca="false">IF($L699=2015,1,0)</f>
        <v>0</v>
      </c>
      <c r="W699" s="14" t="n">
        <f aca="false">IF($L699=2016,1,0)</f>
        <v>1</v>
      </c>
      <c r="X699" s="14" t="n">
        <f aca="false">IF($L699=2017,1,0)</f>
        <v>0</v>
      </c>
      <c r="Y699" s="14" t="n">
        <f aca="false">IF($H699="Beginner Level",1,0)</f>
        <v>1</v>
      </c>
      <c r="Z699" s="14" t="n">
        <f aca="false">IF($H699="Expert Level",1,0)</f>
        <v>0</v>
      </c>
      <c r="AA699" s="14" t="n">
        <f aca="false">IF($H699="Intermediate Level",1,0)</f>
        <v>0</v>
      </c>
      <c r="AC699" s="14" t="n">
        <f aca="false">N699</f>
        <v>5.29836736529808</v>
      </c>
      <c r="AD699" s="14" t="n">
        <f aca="false">G699</f>
        <v>145</v>
      </c>
      <c r="AE699" s="14" t="n">
        <f aca="false">J699</f>
        <v>14.5</v>
      </c>
      <c r="AF699" s="14" t="n">
        <f aca="false">IF($L699=2012,1,0)</f>
        <v>0</v>
      </c>
      <c r="AG699" s="14" t="n">
        <f aca="false">IF($L699=2013,1,0)</f>
        <v>0</v>
      </c>
      <c r="AH699" s="14" t="n">
        <f aca="false">IF($L699=2014,1,0)</f>
        <v>0</v>
      </c>
      <c r="AI699" s="14" t="n">
        <f aca="false">IF($L699=2015,1,0)</f>
        <v>0</v>
      </c>
      <c r="AJ699" s="14" t="n">
        <f aca="false">IF($L699=2016,1,0)</f>
        <v>1</v>
      </c>
      <c r="AK699" s="14" t="n">
        <f aca="false">IF($L699=2017,1,0)</f>
        <v>0</v>
      </c>
      <c r="AL699" s="14" t="n">
        <f aca="false">IF($H699="Beginner Level",1,0)</f>
        <v>1</v>
      </c>
      <c r="AM699" s="14" t="n">
        <f aca="false">IF($H699="Expert Level",1,0)</f>
        <v>0</v>
      </c>
      <c r="AN699" s="14" t="n">
        <f aca="false">IF($H699="Intermediate Level",1,0)</f>
        <v>0</v>
      </c>
    </row>
    <row r="700" customFormat="false" ht="46.25" hidden="false" customHeight="false" outlineLevel="0" collapsed="false">
      <c r="A700" s="14" t="n">
        <v>130694</v>
      </c>
      <c r="B700" s="14" t="s">
        <v>1442</v>
      </c>
      <c r="C700" s="14" t="s">
        <v>1443</v>
      </c>
      <c r="D700" s="14" t="n">
        <v>20</v>
      </c>
      <c r="E700" s="14" t="n">
        <v>1867</v>
      </c>
      <c r="F700" s="14" t="n">
        <v>19</v>
      </c>
      <c r="G700" s="14" t="n">
        <v>8</v>
      </c>
      <c r="H700" s="14" t="s">
        <v>62</v>
      </c>
      <c r="I700" s="14" t="n">
        <v>0.78</v>
      </c>
      <c r="J700" s="14" t="n">
        <v>0.61666667</v>
      </c>
      <c r="K700" s="14" t="s">
        <v>59</v>
      </c>
      <c r="L700" s="14" t="n">
        <v>2013</v>
      </c>
      <c r="M700" s="14" t="n">
        <v>7.53208814354172</v>
      </c>
      <c r="N700" s="14" t="n">
        <v>2.99623214859564</v>
      </c>
      <c r="P700" s="14" t="n">
        <f aca="false">D700</f>
        <v>20</v>
      </c>
      <c r="Q700" s="14" t="n">
        <f aca="false">G700</f>
        <v>8</v>
      </c>
      <c r="R700" s="14" t="n">
        <f aca="false">J700</f>
        <v>0.61666667</v>
      </c>
      <c r="S700" s="14" t="n">
        <f aca="false">IF($L700=2012,1,0)</f>
        <v>0</v>
      </c>
      <c r="T700" s="14" t="n">
        <f aca="false">IF($L700=2013,1,0)</f>
        <v>1</v>
      </c>
      <c r="U700" s="14" t="n">
        <f aca="false">IF($L700=2014,1,0)</f>
        <v>0</v>
      </c>
      <c r="V700" s="14" t="n">
        <f aca="false">IF($L700=2015,1,0)</f>
        <v>0</v>
      </c>
      <c r="W700" s="14" t="n">
        <f aca="false">IF($L700=2016,1,0)</f>
        <v>0</v>
      </c>
      <c r="X700" s="14" t="n">
        <f aca="false">IF($L700=2017,1,0)</f>
        <v>0</v>
      </c>
      <c r="Y700" s="14" t="n">
        <f aca="false">IF($H700="Beginner Level",1,0)</f>
        <v>0</v>
      </c>
      <c r="Z700" s="14" t="n">
        <f aca="false">IF($H700="Expert Level",1,0)</f>
        <v>0</v>
      </c>
      <c r="AA700" s="14" t="n">
        <f aca="false">IF($H700="Intermediate Level",1,0)</f>
        <v>0</v>
      </c>
      <c r="AC700" s="14" t="n">
        <f aca="false">N700</f>
        <v>2.99623214859564</v>
      </c>
      <c r="AD700" s="14" t="n">
        <f aca="false">G700</f>
        <v>8</v>
      </c>
      <c r="AE700" s="14" t="n">
        <f aca="false">J700</f>
        <v>0.61666667</v>
      </c>
      <c r="AF700" s="14" t="n">
        <f aca="false">IF($L700=2012,1,0)</f>
        <v>0</v>
      </c>
      <c r="AG700" s="14" t="n">
        <f aca="false">IF($L700=2013,1,0)</f>
        <v>1</v>
      </c>
      <c r="AH700" s="14" t="n">
        <f aca="false">IF($L700=2014,1,0)</f>
        <v>0</v>
      </c>
      <c r="AI700" s="14" t="n">
        <f aca="false">IF($L700=2015,1,0)</f>
        <v>0</v>
      </c>
      <c r="AJ700" s="14" t="n">
        <f aca="false">IF($L700=2016,1,0)</f>
        <v>0</v>
      </c>
      <c r="AK700" s="14" t="n">
        <f aca="false">IF($L700=2017,1,0)</f>
        <v>0</v>
      </c>
      <c r="AL700" s="14" t="n">
        <f aca="false">IF($H700="Beginner Level",1,0)</f>
        <v>0</v>
      </c>
      <c r="AM700" s="14" t="n">
        <f aca="false">IF($H700="Expert Level",1,0)</f>
        <v>0</v>
      </c>
      <c r="AN700" s="14" t="n">
        <f aca="false">IF($H700="Intermediate Level",1,0)</f>
        <v>0</v>
      </c>
    </row>
    <row r="701" customFormat="false" ht="91" hidden="false" customHeight="false" outlineLevel="0" collapsed="false">
      <c r="A701" s="14" t="n">
        <v>997916</v>
      </c>
      <c r="B701" s="14" t="s">
        <v>1444</v>
      </c>
      <c r="C701" s="14" t="s">
        <v>1445</v>
      </c>
      <c r="D701" s="14" t="n">
        <v>140</v>
      </c>
      <c r="E701" s="14" t="n">
        <v>1858</v>
      </c>
      <c r="F701" s="14" t="n">
        <v>110</v>
      </c>
      <c r="G701" s="14" t="n">
        <v>52</v>
      </c>
      <c r="H701" s="14" t="s">
        <v>62</v>
      </c>
      <c r="I701" s="14" t="n">
        <v>0.3</v>
      </c>
      <c r="J701" s="14" t="n">
        <v>2.5</v>
      </c>
      <c r="K701" s="14" t="s">
        <v>59</v>
      </c>
      <c r="L701" s="14" t="n">
        <v>2016</v>
      </c>
      <c r="M701" s="14" t="n">
        <v>7.52725591937378</v>
      </c>
      <c r="N701" s="14" t="n">
        <v>4.94171384862983</v>
      </c>
      <c r="P701" s="14" t="n">
        <f aca="false">D701</f>
        <v>140</v>
      </c>
      <c r="Q701" s="14" t="n">
        <f aca="false">G701</f>
        <v>52</v>
      </c>
      <c r="R701" s="14" t="n">
        <f aca="false">J701</f>
        <v>2.5</v>
      </c>
      <c r="S701" s="14" t="n">
        <f aca="false">IF($L701=2012,1,0)</f>
        <v>0</v>
      </c>
      <c r="T701" s="14" t="n">
        <f aca="false">IF($L701=2013,1,0)</f>
        <v>0</v>
      </c>
      <c r="U701" s="14" t="n">
        <f aca="false">IF($L701=2014,1,0)</f>
        <v>0</v>
      </c>
      <c r="V701" s="14" t="n">
        <f aca="false">IF($L701=2015,1,0)</f>
        <v>0</v>
      </c>
      <c r="W701" s="14" t="n">
        <f aca="false">IF($L701=2016,1,0)</f>
        <v>1</v>
      </c>
      <c r="X701" s="14" t="n">
        <f aca="false">IF($L701=2017,1,0)</f>
        <v>0</v>
      </c>
      <c r="Y701" s="14" t="n">
        <f aca="false">IF($H701="Beginner Level",1,0)</f>
        <v>0</v>
      </c>
      <c r="Z701" s="14" t="n">
        <f aca="false">IF($H701="Expert Level",1,0)</f>
        <v>0</v>
      </c>
      <c r="AA701" s="14" t="n">
        <f aca="false">IF($H701="Intermediate Level",1,0)</f>
        <v>0</v>
      </c>
      <c r="AC701" s="14" t="n">
        <f aca="false">N701</f>
        <v>4.94171384862983</v>
      </c>
      <c r="AD701" s="14" t="n">
        <f aca="false">G701</f>
        <v>52</v>
      </c>
      <c r="AE701" s="14" t="n">
        <f aca="false">J701</f>
        <v>2.5</v>
      </c>
      <c r="AF701" s="14" t="n">
        <f aca="false">IF($L701=2012,1,0)</f>
        <v>0</v>
      </c>
      <c r="AG701" s="14" t="n">
        <f aca="false">IF($L701=2013,1,0)</f>
        <v>0</v>
      </c>
      <c r="AH701" s="14" t="n">
        <f aca="false">IF($L701=2014,1,0)</f>
        <v>0</v>
      </c>
      <c r="AI701" s="14" t="n">
        <f aca="false">IF($L701=2015,1,0)</f>
        <v>0</v>
      </c>
      <c r="AJ701" s="14" t="n">
        <f aca="false">IF($L701=2016,1,0)</f>
        <v>1</v>
      </c>
      <c r="AK701" s="14" t="n">
        <f aca="false">IF($L701=2017,1,0)</f>
        <v>0</v>
      </c>
      <c r="AL701" s="14" t="n">
        <f aca="false">IF($H701="Beginner Level",1,0)</f>
        <v>0</v>
      </c>
      <c r="AM701" s="14" t="n">
        <f aca="false">IF($H701="Expert Level",1,0)</f>
        <v>0</v>
      </c>
      <c r="AN701" s="14" t="n">
        <f aca="false">IF($H701="Intermediate Level",1,0)</f>
        <v>0</v>
      </c>
    </row>
    <row r="702" customFormat="false" ht="57.45" hidden="false" customHeight="false" outlineLevel="0" collapsed="false">
      <c r="A702" s="14" t="n">
        <v>524248</v>
      </c>
      <c r="B702" s="14" t="s">
        <v>1446</v>
      </c>
      <c r="C702" s="14" t="s">
        <v>1447</v>
      </c>
      <c r="D702" s="14" t="n">
        <v>100</v>
      </c>
      <c r="E702" s="14" t="n">
        <v>1853</v>
      </c>
      <c r="F702" s="14" t="n">
        <v>34</v>
      </c>
      <c r="G702" s="14" t="n">
        <v>39</v>
      </c>
      <c r="H702" s="14" t="s">
        <v>52</v>
      </c>
      <c r="I702" s="14" t="n">
        <v>0.24</v>
      </c>
      <c r="J702" s="14" t="n">
        <v>2</v>
      </c>
      <c r="K702" s="14" t="s">
        <v>59</v>
      </c>
      <c r="L702" s="14" t="n">
        <v>2015</v>
      </c>
      <c r="M702" s="14" t="n">
        <v>7.52456122628536</v>
      </c>
      <c r="N702" s="14" t="n">
        <v>4.60527018098843</v>
      </c>
      <c r="P702" s="14" t="n">
        <f aca="false">D702</f>
        <v>100</v>
      </c>
      <c r="Q702" s="14" t="n">
        <f aca="false">G702</f>
        <v>39</v>
      </c>
      <c r="R702" s="14" t="n">
        <f aca="false">J702</f>
        <v>2</v>
      </c>
      <c r="S702" s="14" t="n">
        <f aca="false">IF($L702=2012,1,0)</f>
        <v>0</v>
      </c>
      <c r="T702" s="14" t="n">
        <f aca="false">IF($L702=2013,1,0)</f>
        <v>0</v>
      </c>
      <c r="U702" s="14" t="n">
        <f aca="false">IF($L702=2014,1,0)</f>
        <v>0</v>
      </c>
      <c r="V702" s="14" t="n">
        <f aca="false">IF($L702=2015,1,0)</f>
        <v>1</v>
      </c>
      <c r="W702" s="14" t="n">
        <f aca="false">IF($L702=2016,1,0)</f>
        <v>0</v>
      </c>
      <c r="X702" s="14" t="n">
        <f aca="false">IF($L702=2017,1,0)</f>
        <v>0</v>
      </c>
      <c r="Y702" s="14" t="n">
        <f aca="false">IF($H702="Beginner Level",1,0)</f>
        <v>1</v>
      </c>
      <c r="Z702" s="14" t="n">
        <f aca="false">IF($H702="Expert Level",1,0)</f>
        <v>0</v>
      </c>
      <c r="AA702" s="14" t="n">
        <f aca="false">IF($H702="Intermediate Level",1,0)</f>
        <v>0</v>
      </c>
      <c r="AC702" s="14" t="n">
        <f aca="false">N702</f>
        <v>4.60527018098843</v>
      </c>
      <c r="AD702" s="14" t="n">
        <f aca="false">G702</f>
        <v>39</v>
      </c>
      <c r="AE702" s="14" t="n">
        <f aca="false">J702</f>
        <v>2</v>
      </c>
      <c r="AF702" s="14" t="n">
        <f aca="false">IF($L702=2012,1,0)</f>
        <v>0</v>
      </c>
      <c r="AG702" s="14" t="n">
        <f aca="false">IF($L702=2013,1,0)</f>
        <v>0</v>
      </c>
      <c r="AH702" s="14" t="n">
        <f aca="false">IF($L702=2014,1,0)</f>
        <v>0</v>
      </c>
      <c r="AI702" s="14" t="n">
        <f aca="false">IF($L702=2015,1,0)</f>
        <v>1</v>
      </c>
      <c r="AJ702" s="14" t="n">
        <f aca="false">IF($L702=2016,1,0)</f>
        <v>0</v>
      </c>
      <c r="AK702" s="14" t="n">
        <f aca="false">IF($L702=2017,1,0)</f>
        <v>0</v>
      </c>
      <c r="AL702" s="14" t="n">
        <f aca="false">IF($H702="Beginner Level",1,0)</f>
        <v>1</v>
      </c>
      <c r="AM702" s="14" t="n">
        <f aca="false">IF($H702="Expert Level",1,0)</f>
        <v>0</v>
      </c>
      <c r="AN702" s="14" t="n">
        <f aca="false">IF($H702="Intermediate Level",1,0)</f>
        <v>0</v>
      </c>
    </row>
    <row r="703" customFormat="false" ht="57.45" hidden="false" customHeight="false" outlineLevel="0" collapsed="false">
      <c r="A703" s="14" t="n">
        <v>904076</v>
      </c>
      <c r="B703" s="14" t="s">
        <v>1448</v>
      </c>
      <c r="C703" s="14" t="s">
        <v>1449</v>
      </c>
      <c r="D703" s="14" t="n">
        <v>200</v>
      </c>
      <c r="E703" s="14" t="n">
        <v>1849</v>
      </c>
      <c r="F703" s="14" t="n">
        <v>21</v>
      </c>
      <c r="G703" s="14" t="n">
        <v>83</v>
      </c>
      <c r="H703" s="14" t="s">
        <v>62</v>
      </c>
      <c r="I703" s="14" t="n">
        <v>0.89</v>
      </c>
      <c r="J703" s="14" t="n">
        <v>3</v>
      </c>
      <c r="K703" s="14" t="s">
        <v>59</v>
      </c>
      <c r="L703" s="14" t="n">
        <v>2016</v>
      </c>
      <c r="M703" s="14" t="n">
        <v>7.52240023138713</v>
      </c>
      <c r="N703" s="14" t="n">
        <v>5.29836736529808</v>
      </c>
      <c r="P703" s="14" t="n">
        <f aca="false">D703</f>
        <v>200</v>
      </c>
      <c r="Q703" s="14" t="n">
        <f aca="false">G703</f>
        <v>83</v>
      </c>
      <c r="R703" s="14" t="n">
        <f aca="false">J703</f>
        <v>3</v>
      </c>
      <c r="S703" s="14" t="n">
        <f aca="false">IF($L703=2012,1,0)</f>
        <v>0</v>
      </c>
      <c r="T703" s="14" t="n">
        <f aca="false">IF($L703=2013,1,0)</f>
        <v>0</v>
      </c>
      <c r="U703" s="14" t="n">
        <f aca="false">IF($L703=2014,1,0)</f>
        <v>0</v>
      </c>
      <c r="V703" s="14" t="n">
        <f aca="false">IF($L703=2015,1,0)</f>
        <v>0</v>
      </c>
      <c r="W703" s="14" t="n">
        <f aca="false">IF($L703=2016,1,0)</f>
        <v>1</v>
      </c>
      <c r="X703" s="14" t="n">
        <f aca="false">IF($L703=2017,1,0)</f>
        <v>0</v>
      </c>
      <c r="Y703" s="14" t="n">
        <f aca="false">IF($H703="Beginner Level",1,0)</f>
        <v>0</v>
      </c>
      <c r="Z703" s="14" t="n">
        <f aca="false">IF($H703="Expert Level",1,0)</f>
        <v>0</v>
      </c>
      <c r="AA703" s="14" t="n">
        <f aca="false">IF($H703="Intermediate Level",1,0)</f>
        <v>0</v>
      </c>
      <c r="AC703" s="14" t="n">
        <f aca="false">N703</f>
        <v>5.29836736529808</v>
      </c>
      <c r="AD703" s="14" t="n">
        <f aca="false">G703</f>
        <v>83</v>
      </c>
      <c r="AE703" s="14" t="n">
        <f aca="false">J703</f>
        <v>3</v>
      </c>
      <c r="AF703" s="14" t="n">
        <f aca="false">IF($L703=2012,1,0)</f>
        <v>0</v>
      </c>
      <c r="AG703" s="14" t="n">
        <f aca="false">IF($L703=2013,1,0)</f>
        <v>0</v>
      </c>
      <c r="AH703" s="14" t="n">
        <f aca="false">IF($L703=2014,1,0)</f>
        <v>0</v>
      </c>
      <c r="AI703" s="14" t="n">
        <f aca="false">IF($L703=2015,1,0)</f>
        <v>0</v>
      </c>
      <c r="AJ703" s="14" t="n">
        <f aca="false">IF($L703=2016,1,0)</f>
        <v>1</v>
      </c>
      <c r="AK703" s="14" t="n">
        <f aca="false">IF($L703=2017,1,0)</f>
        <v>0</v>
      </c>
      <c r="AL703" s="14" t="n">
        <f aca="false">IF($H703="Beginner Level",1,0)</f>
        <v>0</v>
      </c>
      <c r="AM703" s="14" t="n">
        <f aca="false">IF($H703="Expert Level",1,0)</f>
        <v>0</v>
      </c>
      <c r="AN703" s="14" t="n">
        <f aca="false">IF($H703="Intermediate Level",1,0)</f>
        <v>0</v>
      </c>
    </row>
    <row r="704" customFormat="false" ht="46.25" hidden="false" customHeight="false" outlineLevel="0" collapsed="false">
      <c r="A704" s="14" t="n">
        <v>343816</v>
      </c>
      <c r="B704" s="14" t="s">
        <v>1450</v>
      </c>
      <c r="C704" s="14" t="s">
        <v>1451</v>
      </c>
      <c r="D704" s="14" t="n">
        <v>55</v>
      </c>
      <c r="E704" s="14" t="n">
        <v>1849</v>
      </c>
      <c r="F704" s="14" t="n">
        <v>29</v>
      </c>
      <c r="G704" s="14" t="n">
        <v>24</v>
      </c>
      <c r="H704" s="14" t="s">
        <v>62</v>
      </c>
      <c r="I704" s="14" t="n">
        <v>0.89</v>
      </c>
      <c r="J704" s="14" t="n">
        <v>3</v>
      </c>
      <c r="K704" s="14" t="s">
        <v>59</v>
      </c>
      <c r="L704" s="14" t="n">
        <v>2014</v>
      </c>
      <c r="M704" s="14" t="n">
        <v>7.52240023138713</v>
      </c>
      <c r="N704" s="14" t="n">
        <v>4.00751498688737</v>
      </c>
      <c r="P704" s="14" t="n">
        <f aca="false">D704</f>
        <v>55</v>
      </c>
      <c r="Q704" s="14" t="n">
        <f aca="false">G704</f>
        <v>24</v>
      </c>
      <c r="R704" s="14" t="n">
        <f aca="false">J704</f>
        <v>3</v>
      </c>
      <c r="S704" s="14" t="n">
        <f aca="false">IF($L704=2012,1,0)</f>
        <v>0</v>
      </c>
      <c r="T704" s="14" t="n">
        <f aca="false">IF($L704=2013,1,0)</f>
        <v>0</v>
      </c>
      <c r="U704" s="14" t="n">
        <f aca="false">IF($L704=2014,1,0)</f>
        <v>1</v>
      </c>
      <c r="V704" s="14" t="n">
        <f aca="false">IF($L704=2015,1,0)</f>
        <v>0</v>
      </c>
      <c r="W704" s="14" t="n">
        <f aca="false">IF($L704=2016,1,0)</f>
        <v>0</v>
      </c>
      <c r="X704" s="14" t="n">
        <f aca="false">IF($L704=2017,1,0)</f>
        <v>0</v>
      </c>
      <c r="Y704" s="14" t="n">
        <f aca="false">IF($H704="Beginner Level",1,0)</f>
        <v>0</v>
      </c>
      <c r="Z704" s="14" t="n">
        <f aca="false">IF($H704="Expert Level",1,0)</f>
        <v>0</v>
      </c>
      <c r="AA704" s="14" t="n">
        <f aca="false">IF($H704="Intermediate Level",1,0)</f>
        <v>0</v>
      </c>
      <c r="AC704" s="14" t="n">
        <f aca="false">N704</f>
        <v>4.00751498688737</v>
      </c>
      <c r="AD704" s="14" t="n">
        <f aca="false">G704</f>
        <v>24</v>
      </c>
      <c r="AE704" s="14" t="n">
        <f aca="false">J704</f>
        <v>3</v>
      </c>
      <c r="AF704" s="14" t="n">
        <f aca="false">IF($L704=2012,1,0)</f>
        <v>0</v>
      </c>
      <c r="AG704" s="14" t="n">
        <f aca="false">IF($L704=2013,1,0)</f>
        <v>0</v>
      </c>
      <c r="AH704" s="14" t="n">
        <f aca="false">IF($L704=2014,1,0)</f>
        <v>1</v>
      </c>
      <c r="AI704" s="14" t="n">
        <f aca="false">IF($L704=2015,1,0)</f>
        <v>0</v>
      </c>
      <c r="AJ704" s="14" t="n">
        <f aca="false">IF($L704=2016,1,0)</f>
        <v>0</v>
      </c>
      <c r="AK704" s="14" t="n">
        <f aca="false">IF($L704=2017,1,0)</f>
        <v>0</v>
      </c>
      <c r="AL704" s="14" t="n">
        <f aca="false">IF($H704="Beginner Level",1,0)</f>
        <v>0</v>
      </c>
      <c r="AM704" s="14" t="n">
        <f aca="false">IF($H704="Expert Level",1,0)</f>
        <v>0</v>
      </c>
      <c r="AN704" s="14" t="n">
        <f aca="false">IF($H704="Intermediate Level",1,0)</f>
        <v>0</v>
      </c>
    </row>
    <row r="705" customFormat="false" ht="68.65" hidden="false" customHeight="false" outlineLevel="0" collapsed="false">
      <c r="A705" s="14" t="n">
        <v>882128</v>
      </c>
      <c r="B705" s="14" t="s">
        <v>1452</v>
      </c>
      <c r="C705" s="14" t="s">
        <v>1453</v>
      </c>
      <c r="D705" s="14" t="n">
        <v>195</v>
      </c>
      <c r="E705" s="14" t="n">
        <v>1839</v>
      </c>
      <c r="F705" s="14" t="n">
        <v>91</v>
      </c>
      <c r="G705" s="14" t="n">
        <v>47</v>
      </c>
      <c r="H705" s="14" t="s">
        <v>62</v>
      </c>
      <c r="I705" s="14" t="n">
        <v>0.6</v>
      </c>
      <c r="J705" s="14" t="n">
        <v>5</v>
      </c>
      <c r="K705" s="14" t="s">
        <v>59</v>
      </c>
      <c r="L705" s="14" t="n">
        <v>2016</v>
      </c>
      <c r="M705" s="14" t="n">
        <v>7.51697722460432</v>
      </c>
      <c r="N705" s="14" t="n">
        <v>5.27305083930015</v>
      </c>
      <c r="P705" s="14" t="n">
        <f aca="false">D705</f>
        <v>195</v>
      </c>
      <c r="Q705" s="14" t="n">
        <f aca="false">G705</f>
        <v>47</v>
      </c>
      <c r="R705" s="14" t="n">
        <f aca="false">J705</f>
        <v>5</v>
      </c>
      <c r="S705" s="14" t="n">
        <f aca="false">IF($L705=2012,1,0)</f>
        <v>0</v>
      </c>
      <c r="T705" s="14" t="n">
        <f aca="false">IF($L705=2013,1,0)</f>
        <v>0</v>
      </c>
      <c r="U705" s="14" t="n">
        <f aca="false">IF($L705=2014,1,0)</f>
        <v>0</v>
      </c>
      <c r="V705" s="14" t="n">
        <f aca="false">IF($L705=2015,1,0)</f>
        <v>0</v>
      </c>
      <c r="W705" s="14" t="n">
        <f aca="false">IF($L705=2016,1,0)</f>
        <v>1</v>
      </c>
      <c r="X705" s="14" t="n">
        <f aca="false">IF($L705=2017,1,0)</f>
        <v>0</v>
      </c>
      <c r="Y705" s="14" t="n">
        <f aca="false">IF($H705="Beginner Level",1,0)</f>
        <v>0</v>
      </c>
      <c r="Z705" s="14" t="n">
        <f aca="false">IF($H705="Expert Level",1,0)</f>
        <v>0</v>
      </c>
      <c r="AA705" s="14" t="n">
        <f aca="false">IF($H705="Intermediate Level",1,0)</f>
        <v>0</v>
      </c>
      <c r="AC705" s="14" t="n">
        <f aca="false">N705</f>
        <v>5.27305083930015</v>
      </c>
      <c r="AD705" s="14" t="n">
        <f aca="false">G705</f>
        <v>47</v>
      </c>
      <c r="AE705" s="14" t="n">
        <f aca="false">J705</f>
        <v>5</v>
      </c>
      <c r="AF705" s="14" t="n">
        <f aca="false">IF($L705=2012,1,0)</f>
        <v>0</v>
      </c>
      <c r="AG705" s="14" t="n">
        <f aca="false">IF($L705=2013,1,0)</f>
        <v>0</v>
      </c>
      <c r="AH705" s="14" t="n">
        <f aca="false">IF($L705=2014,1,0)</f>
        <v>0</v>
      </c>
      <c r="AI705" s="14" t="n">
        <f aca="false">IF($L705=2015,1,0)</f>
        <v>0</v>
      </c>
      <c r="AJ705" s="14" t="n">
        <f aca="false">IF($L705=2016,1,0)</f>
        <v>1</v>
      </c>
      <c r="AK705" s="14" t="n">
        <f aca="false">IF($L705=2017,1,0)</f>
        <v>0</v>
      </c>
      <c r="AL705" s="14" t="n">
        <f aca="false">IF($H705="Beginner Level",1,0)</f>
        <v>0</v>
      </c>
      <c r="AM705" s="14" t="n">
        <f aca="false">IF($H705="Expert Level",1,0)</f>
        <v>0</v>
      </c>
      <c r="AN705" s="14" t="n">
        <f aca="false">IF($H705="Intermediate Level",1,0)</f>
        <v>0</v>
      </c>
    </row>
    <row r="706" customFormat="false" ht="68.65" hidden="false" customHeight="false" outlineLevel="0" collapsed="false">
      <c r="A706" s="14" t="n">
        <v>945336</v>
      </c>
      <c r="B706" s="14" t="s">
        <v>1454</v>
      </c>
      <c r="C706" s="14" t="s">
        <v>1455</v>
      </c>
      <c r="D706" s="14" t="n">
        <v>100</v>
      </c>
      <c r="E706" s="14" t="n">
        <v>1838</v>
      </c>
      <c r="F706" s="14" t="n">
        <v>169</v>
      </c>
      <c r="G706" s="14" t="n">
        <v>31</v>
      </c>
      <c r="H706" s="14" t="s">
        <v>62</v>
      </c>
      <c r="I706" s="14" t="n">
        <v>0.36</v>
      </c>
      <c r="J706" s="14" t="n">
        <v>3</v>
      </c>
      <c r="K706" s="14" t="s">
        <v>59</v>
      </c>
      <c r="L706" s="14" t="n">
        <v>2016</v>
      </c>
      <c r="M706" s="14" t="n">
        <v>7.51643330291563</v>
      </c>
      <c r="N706" s="14" t="n">
        <v>4.60527018098843</v>
      </c>
      <c r="P706" s="14" t="n">
        <f aca="false">D706</f>
        <v>100</v>
      </c>
      <c r="Q706" s="14" t="n">
        <f aca="false">G706</f>
        <v>31</v>
      </c>
      <c r="R706" s="14" t="n">
        <f aca="false">J706</f>
        <v>3</v>
      </c>
      <c r="S706" s="14" t="n">
        <f aca="false">IF($L706=2012,1,0)</f>
        <v>0</v>
      </c>
      <c r="T706" s="14" t="n">
        <f aca="false">IF($L706=2013,1,0)</f>
        <v>0</v>
      </c>
      <c r="U706" s="14" t="n">
        <f aca="false">IF($L706=2014,1,0)</f>
        <v>0</v>
      </c>
      <c r="V706" s="14" t="n">
        <f aca="false">IF($L706=2015,1,0)</f>
        <v>0</v>
      </c>
      <c r="W706" s="14" t="n">
        <f aca="false">IF($L706=2016,1,0)</f>
        <v>1</v>
      </c>
      <c r="X706" s="14" t="n">
        <f aca="false">IF($L706=2017,1,0)</f>
        <v>0</v>
      </c>
      <c r="Y706" s="14" t="n">
        <f aca="false">IF($H706="Beginner Level",1,0)</f>
        <v>0</v>
      </c>
      <c r="Z706" s="14" t="n">
        <f aca="false">IF($H706="Expert Level",1,0)</f>
        <v>0</v>
      </c>
      <c r="AA706" s="14" t="n">
        <f aca="false">IF($H706="Intermediate Level",1,0)</f>
        <v>0</v>
      </c>
      <c r="AC706" s="14" t="n">
        <f aca="false">N706</f>
        <v>4.60527018098843</v>
      </c>
      <c r="AD706" s="14" t="n">
        <f aca="false">G706</f>
        <v>31</v>
      </c>
      <c r="AE706" s="14" t="n">
        <f aca="false">J706</f>
        <v>3</v>
      </c>
      <c r="AF706" s="14" t="n">
        <f aca="false">IF($L706=2012,1,0)</f>
        <v>0</v>
      </c>
      <c r="AG706" s="14" t="n">
        <f aca="false">IF($L706=2013,1,0)</f>
        <v>0</v>
      </c>
      <c r="AH706" s="14" t="n">
        <f aca="false">IF($L706=2014,1,0)</f>
        <v>0</v>
      </c>
      <c r="AI706" s="14" t="n">
        <f aca="false">IF($L706=2015,1,0)</f>
        <v>0</v>
      </c>
      <c r="AJ706" s="14" t="n">
        <f aca="false">IF($L706=2016,1,0)</f>
        <v>1</v>
      </c>
      <c r="AK706" s="14" t="n">
        <f aca="false">IF($L706=2017,1,0)</f>
        <v>0</v>
      </c>
      <c r="AL706" s="14" t="n">
        <f aca="false">IF($H706="Beginner Level",1,0)</f>
        <v>0</v>
      </c>
      <c r="AM706" s="14" t="n">
        <f aca="false">IF($H706="Expert Level",1,0)</f>
        <v>0</v>
      </c>
      <c r="AN706" s="14" t="n">
        <f aca="false">IF($H706="Intermediate Level",1,0)</f>
        <v>0</v>
      </c>
    </row>
    <row r="707" customFormat="false" ht="68.65" hidden="false" customHeight="false" outlineLevel="0" collapsed="false">
      <c r="A707" s="14" t="n">
        <v>261148</v>
      </c>
      <c r="B707" s="14" t="s">
        <v>1456</v>
      </c>
      <c r="C707" s="14" t="s">
        <v>1457</v>
      </c>
      <c r="D707" s="14" t="n">
        <v>20</v>
      </c>
      <c r="E707" s="14" t="n">
        <v>1832</v>
      </c>
      <c r="F707" s="14" t="n">
        <v>6</v>
      </c>
      <c r="G707" s="14" t="n">
        <v>12</v>
      </c>
      <c r="H707" s="14" t="s">
        <v>62</v>
      </c>
      <c r="I707" s="14" t="n">
        <v>0.17</v>
      </c>
      <c r="J707" s="14" t="n">
        <v>1.5</v>
      </c>
      <c r="K707" s="14" t="s">
        <v>59</v>
      </c>
      <c r="L707" s="14" t="n">
        <v>2014</v>
      </c>
      <c r="M707" s="14" t="n">
        <v>7.51316354523408</v>
      </c>
      <c r="N707" s="14" t="n">
        <v>2.99623214859564</v>
      </c>
      <c r="P707" s="14" t="n">
        <f aca="false">D707</f>
        <v>20</v>
      </c>
      <c r="Q707" s="14" t="n">
        <f aca="false">G707</f>
        <v>12</v>
      </c>
      <c r="R707" s="14" t="n">
        <f aca="false">J707</f>
        <v>1.5</v>
      </c>
      <c r="S707" s="14" t="n">
        <f aca="false">IF($L707=2012,1,0)</f>
        <v>0</v>
      </c>
      <c r="T707" s="14" t="n">
        <f aca="false">IF($L707=2013,1,0)</f>
        <v>0</v>
      </c>
      <c r="U707" s="14" t="n">
        <f aca="false">IF($L707=2014,1,0)</f>
        <v>1</v>
      </c>
      <c r="V707" s="14" t="n">
        <f aca="false">IF($L707=2015,1,0)</f>
        <v>0</v>
      </c>
      <c r="W707" s="14" t="n">
        <f aca="false">IF($L707=2016,1,0)</f>
        <v>0</v>
      </c>
      <c r="X707" s="14" t="n">
        <f aca="false">IF($L707=2017,1,0)</f>
        <v>0</v>
      </c>
      <c r="Y707" s="14" t="n">
        <f aca="false">IF($H707="Beginner Level",1,0)</f>
        <v>0</v>
      </c>
      <c r="Z707" s="14" t="n">
        <f aca="false">IF($H707="Expert Level",1,0)</f>
        <v>0</v>
      </c>
      <c r="AA707" s="14" t="n">
        <f aca="false">IF($H707="Intermediate Level",1,0)</f>
        <v>0</v>
      </c>
      <c r="AC707" s="14" t="n">
        <f aca="false">N707</f>
        <v>2.99623214859564</v>
      </c>
      <c r="AD707" s="14" t="n">
        <f aca="false">G707</f>
        <v>12</v>
      </c>
      <c r="AE707" s="14" t="n">
        <f aca="false">J707</f>
        <v>1.5</v>
      </c>
      <c r="AF707" s="14" t="n">
        <f aca="false">IF($L707=2012,1,0)</f>
        <v>0</v>
      </c>
      <c r="AG707" s="14" t="n">
        <f aca="false">IF($L707=2013,1,0)</f>
        <v>0</v>
      </c>
      <c r="AH707" s="14" t="n">
        <f aca="false">IF($L707=2014,1,0)</f>
        <v>1</v>
      </c>
      <c r="AI707" s="14" t="n">
        <f aca="false">IF($L707=2015,1,0)</f>
        <v>0</v>
      </c>
      <c r="AJ707" s="14" t="n">
        <f aca="false">IF($L707=2016,1,0)</f>
        <v>0</v>
      </c>
      <c r="AK707" s="14" t="n">
        <f aca="false">IF($L707=2017,1,0)</f>
        <v>0</v>
      </c>
      <c r="AL707" s="14" t="n">
        <f aca="false">IF($H707="Beginner Level",1,0)</f>
        <v>0</v>
      </c>
      <c r="AM707" s="14" t="n">
        <f aca="false">IF($H707="Expert Level",1,0)</f>
        <v>0</v>
      </c>
      <c r="AN707" s="14" t="n">
        <f aca="false">IF($H707="Intermediate Level",1,0)</f>
        <v>0</v>
      </c>
    </row>
    <row r="708" customFormat="false" ht="46.25" hidden="false" customHeight="false" outlineLevel="0" collapsed="false">
      <c r="A708" s="14" t="n">
        <v>1128050</v>
      </c>
      <c r="B708" s="14" t="s">
        <v>1458</v>
      </c>
      <c r="C708" s="14" t="s">
        <v>1459</v>
      </c>
      <c r="D708" s="14" t="n">
        <v>200</v>
      </c>
      <c r="E708" s="14" t="n">
        <v>1827</v>
      </c>
      <c r="F708" s="14" t="n">
        <v>129</v>
      </c>
      <c r="G708" s="14" t="n">
        <v>66</v>
      </c>
      <c r="H708" s="14" t="s">
        <v>52</v>
      </c>
      <c r="I708" s="14" t="n">
        <v>0.55</v>
      </c>
      <c r="J708" s="14" t="n">
        <v>20.5</v>
      </c>
      <c r="K708" s="14" t="s">
        <v>59</v>
      </c>
      <c r="L708" s="14" t="n">
        <v>2017</v>
      </c>
      <c r="M708" s="14" t="n">
        <v>7.51043055637801</v>
      </c>
      <c r="N708" s="14" t="n">
        <v>5.29836736529808</v>
      </c>
      <c r="P708" s="14" t="n">
        <f aca="false">D708</f>
        <v>200</v>
      </c>
      <c r="Q708" s="14" t="n">
        <f aca="false">G708</f>
        <v>66</v>
      </c>
      <c r="R708" s="14" t="n">
        <f aca="false">J708</f>
        <v>20.5</v>
      </c>
      <c r="S708" s="14" t="n">
        <f aca="false">IF($L708=2012,1,0)</f>
        <v>0</v>
      </c>
      <c r="T708" s="14" t="n">
        <f aca="false">IF($L708=2013,1,0)</f>
        <v>0</v>
      </c>
      <c r="U708" s="14" t="n">
        <f aca="false">IF($L708=2014,1,0)</f>
        <v>0</v>
      </c>
      <c r="V708" s="14" t="n">
        <f aca="false">IF($L708=2015,1,0)</f>
        <v>0</v>
      </c>
      <c r="W708" s="14" t="n">
        <f aca="false">IF($L708=2016,1,0)</f>
        <v>0</v>
      </c>
      <c r="X708" s="14" t="n">
        <f aca="false">IF($L708=2017,1,0)</f>
        <v>1</v>
      </c>
      <c r="Y708" s="14" t="n">
        <f aca="false">IF($H708="Beginner Level",1,0)</f>
        <v>1</v>
      </c>
      <c r="Z708" s="14" t="n">
        <f aca="false">IF($H708="Expert Level",1,0)</f>
        <v>0</v>
      </c>
      <c r="AA708" s="14" t="n">
        <f aca="false">IF($H708="Intermediate Level",1,0)</f>
        <v>0</v>
      </c>
      <c r="AC708" s="14" t="n">
        <f aca="false">N708</f>
        <v>5.29836736529808</v>
      </c>
      <c r="AD708" s="14" t="n">
        <f aca="false">G708</f>
        <v>66</v>
      </c>
      <c r="AE708" s="14" t="n">
        <f aca="false">J708</f>
        <v>20.5</v>
      </c>
      <c r="AF708" s="14" t="n">
        <f aca="false">IF($L708=2012,1,0)</f>
        <v>0</v>
      </c>
      <c r="AG708" s="14" t="n">
        <f aca="false">IF($L708=2013,1,0)</f>
        <v>0</v>
      </c>
      <c r="AH708" s="14" t="n">
        <f aca="false">IF($L708=2014,1,0)</f>
        <v>0</v>
      </c>
      <c r="AI708" s="14" t="n">
        <f aca="false">IF($L708=2015,1,0)</f>
        <v>0</v>
      </c>
      <c r="AJ708" s="14" t="n">
        <f aca="false">IF($L708=2016,1,0)</f>
        <v>0</v>
      </c>
      <c r="AK708" s="14" t="n">
        <f aca="false">IF($L708=2017,1,0)</f>
        <v>1</v>
      </c>
      <c r="AL708" s="14" t="n">
        <f aca="false">IF($H708="Beginner Level",1,0)</f>
        <v>1</v>
      </c>
      <c r="AM708" s="14" t="n">
        <f aca="false">IF($H708="Expert Level",1,0)</f>
        <v>0</v>
      </c>
      <c r="AN708" s="14" t="n">
        <f aca="false">IF($H708="Intermediate Level",1,0)</f>
        <v>0</v>
      </c>
    </row>
    <row r="709" customFormat="false" ht="57.45" hidden="false" customHeight="false" outlineLevel="0" collapsed="false">
      <c r="A709" s="14" t="n">
        <v>1013314</v>
      </c>
      <c r="B709" s="14" t="s">
        <v>1460</v>
      </c>
      <c r="C709" s="14" t="s">
        <v>1461</v>
      </c>
      <c r="D709" s="14" t="n">
        <v>100</v>
      </c>
      <c r="E709" s="14" t="n">
        <v>1825</v>
      </c>
      <c r="F709" s="14" t="n">
        <v>17</v>
      </c>
      <c r="G709" s="14" t="n">
        <v>58</v>
      </c>
      <c r="H709" s="14" t="s">
        <v>62</v>
      </c>
      <c r="I709" s="14" t="n">
        <v>0.99</v>
      </c>
      <c r="J709" s="14" t="n">
        <v>3.5</v>
      </c>
      <c r="K709" s="14" t="s">
        <v>59</v>
      </c>
      <c r="L709" s="14" t="n">
        <v>2016</v>
      </c>
      <c r="M709" s="14" t="n">
        <v>7.50933526601659</v>
      </c>
      <c r="N709" s="14" t="n">
        <v>4.60527018098843</v>
      </c>
      <c r="P709" s="14" t="n">
        <f aca="false">D709</f>
        <v>100</v>
      </c>
      <c r="Q709" s="14" t="n">
        <f aca="false">G709</f>
        <v>58</v>
      </c>
      <c r="R709" s="14" t="n">
        <f aca="false">J709</f>
        <v>3.5</v>
      </c>
      <c r="S709" s="14" t="n">
        <f aca="false">IF($L709=2012,1,0)</f>
        <v>0</v>
      </c>
      <c r="T709" s="14" t="n">
        <f aca="false">IF($L709=2013,1,0)</f>
        <v>0</v>
      </c>
      <c r="U709" s="14" t="n">
        <f aca="false">IF($L709=2014,1,0)</f>
        <v>0</v>
      </c>
      <c r="V709" s="14" t="n">
        <f aca="false">IF($L709=2015,1,0)</f>
        <v>0</v>
      </c>
      <c r="W709" s="14" t="n">
        <f aca="false">IF($L709=2016,1,0)</f>
        <v>1</v>
      </c>
      <c r="X709" s="14" t="n">
        <f aca="false">IF($L709=2017,1,0)</f>
        <v>0</v>
      </c>
      <c r="Y709" s="14" t="n">
        <f aca="false">IF($H709="Beginner Level",1,0)</f>
        <v>0</v>
      </c>
      <c r="Z709" s="14" t="n">
        <f aca="false">IF($H709="Expert Level",1,0)</f>
        <v>0</v>
      </c>
      <c r="AA709" s="14" t="n">
        <f aca="false">IF($H709="Intermediate Level",1,0)</f>
        <v>0</v>
      </c>
      <c r="AC709" s="14" t="n">
        <f aca="false">N709</f>
        <v>4.60527018098843</v>
      </c>
      <c r="AD709" s="14" t="n">
        <f aca="false">G709</f>
        <v>58</v>
      </c>
      <c r="AE709" s="14" t="n">
        <f aca="false">J709</f>
        <v>3.5</v>
      </c>
      <c r="AF709" s="14" t="n">
        <f aca="false">IF($L709=2012,1,0)</f>
        <v>0</v>
      </c>
      <c r="AG709" s="14" t="n">
        <f aca="false">IF($L709=2013,1,0)</f>
        <v>0</v>
      </c>
      <c r="AH709" s="14" t="n">
        <f aca="false">IF($L709=2014,1,0)</f>
        <v>0</v>
      </c>
      <c r="AI709" s="14" t="n">
        <f aca="false">IF($L709=2015,1,0)</f>
        <v>0</v>
      </c>
      <c r="AJ709" s="14" t="n">
        <f aca="false">IF($L709=2016,1,0)</f>
        <v>1</v>
      </c>
      <c r="AK709" s="14" t="n">
        <f aca="false">IF($L709=2017,1,0)</f>
        <v>0</v>
      </c>
      <c r="AL709" s="14" t="n">
        <f aca="false">IF($H709="Beginner Level",1,0)</f>
        <v>0</v>
      </c>
      <c r="AM709" s="14" t="n">
        <f aca="false">IF($H709="Expert Level",1,0)</f>
        <v>0</v>
      </c>
      <c r="AN709" s="14" t="n">
        <f aca="false">IF($H709="Intermediate Level",1,0)</f>
        <v>0</v>
      </c>
    </row>
    <row r="710" customFormat="false" ht="91" hidden="false" customHeight="false" outlineLevel="0" collapsed="false">
      <c r="A710" s="14" t="n">
        <v>1172740</v>
      </c>
      <c r="B710" s="14" t="s">
        <v>1462</v>
      </c>
      <c r="C710" s="14" t="s">
        <v>1463</v>
      </c>
      <c r="D710" s="14" t="n">
        <v>90</v>
      </c>
      <c r="E710" s="14" t="n">
        <v>1822</v>
      </c>
      <c r="F710" s="14" t="n">
        <v>4</v>
      </c>
      <c r="G710" s="14" t="n">
        <v>25</v>
      </c>
      <c r="H710" s="14" t="s">
        <v>62</v>
      </c>
      <c r="I710" s="14" t="n">
        <v>0.11</v>
      </c>
      <c r="J710" s="14" t="n">
        <v>2</v>
      </c>
      <c r="K710" s="14" t="s">
        <v>59</v>
      </c>
      <c r="L710" s="14" t="n">
        <v>2017</v>
      </c>
      <c r="M710" s="14" t="n">
        <v>7.5076900778199</v>
      </c>
      <c r="N710" s="14" t="n">
        <v>4.49992077526899</v>
      </c>
      <c r="P710" s="14" t="n">
        <f aca="false">D710</f>
        <v>90</v>
      </c>
      <c r="Q710" s="14" t="n">
        <f aca="false">G710</f>
        <v>25</v>
      </c>
      <c r="R710" s="14" t="n">
        <f aca="false">J710</f>
        <v>2</v>
      </c>
      <c r="S710" s="14" t="n">
        <f aca="false">IF($L710=2012,1,0)</f>
        <v>0</v>
      </c>
      <c r="T710" s="14" t="n">
        <f aca="false">IF($L710=2013,1,0)</f>
        <v>0</v>
      </c>
      <c r="U710" s="14" t="n">
        <f aca="false">IF($L710=2014,1,0)</f>
        <v>0</v>
      </c>
      <c r="V710" s="14" t="n">
        <f aca="false">IF($L710=2015,1,0)</f>
        <v>0</v>
      </c>
      <c r="W710" s="14" t="n">
        <f aca="false">IF($L710=2016,1,0)</f>
        <v>0</v>
      </c>
      <c r="X710" s="14" t="n">
        <f aca="false">IF($L710=2017,1,0)</f>
        <v>1</v>
      </c>
      <c r="Y710" s="14" t="n">
        <f aca="false">IF($H710="Beginner Level",1,0)</f>
        <v>0</v>
      </c>
      <c r="Z710" s="14" t="n">
        <f aca="false">IF($H710="Expert Level",1,0)</f>
        <v>0</v>
      </c>
      <c r="AA710" s="14" t="n">
        <f aca="false">IF($H710="Intermediate Level",1,0)</f>
        <v>0</v>
      </c>
      <c r="AC710" s="14" t="n">
        <f aca="false">N710</f>
        <v>4.49992077526899</v>
      </c>
      <c r="AD710" s="14" t="n">
        <f aca="false">G710</f>
        <v>25</v>
      </c>
      <c r="AE710" s="14" t="n">
        <f aca="false">J710</f>
        <v>2</v>
      </c>
      <c r="AF710" s="14" t="n">
        <f aca="false">IF($L710=2012,1,0)</f>
        <v>0</v>
      </c>
      <c r="AG710" s="14" t="n">
        <f aca="false">IF($L710=2013,1,0)</f>
        <v>0</v>
      </c>
      <c r="AH710" s="14" t="n">
        <f aca="false">IF($L710=2014,1,0)</f>
        <v>0</v>
      </c>
      <c r="AI710" s="14" t="n">
        <f aca="false">IF($L710=2015,1,0)</f>
        <v>0</v>
      </c>
      <c r="AJ710" s="14" t="n">
        <f aca="false">IF($L710=2016,1,0)</f>
        <v>0</v>
      </c>
      <c r="AK710" s="14" t="n">
        <f aca="false">IF($L710=2017,1,0)</f>
        <v>1</v>
      </c>
      <c r="AL710" s="14" t="n">
        <f aca="false">IF($H710="Beginner Level",1,0)</f>
        <v>0</v>
      </c>
      <c r="AM710" s="14" t="n">
        <f aca="false">IF($H710="Expert Level",1,0)</f>
        <v>0</v>
      </c>
      <c r="AN710" s="14" t="n">
        <f aca="false">IF($H710="Intermediate Level",1,0)</f>
        <v>0</v>
      </c>
    </row>
    <row r="711" customFormat="false" ht="46.25" hidden="false" customHeight="false" outlineLevel="0" collapsed="false">
      <c r="A711" s="14" t="n">
        <v>530092</v>
      </c>
      <c r="B711" s="14" t="s">
        <v>1464</v>
      </c>
      <c r="C711" s="14" t="s">
        <v>1465</v>
      </c>
      <c r="D711" s="14" t="n">
        <v>95</v>
      </c>
      <c r="E711" s="14" t="n">
        <v>1815</v>
      </c>
      <c r="F711" s="14" t="n">
        <v>249</v>
      </c>
      <c r="G711" s="14" t="n">
        <v>42</v>
      </c>
      <c r="H711" s="14" t="s">
        <v>52</v>
      </c>
      <c r="I711" s="14" t="n">
        <v>0.75</v>
      </c>
      <c r="J711" s="14" t="n">
        <v>5</v>
      </c>
      <c r="K711" s="14" t="s">
        <v>59</v>
      </c>
      <c r="L711" s="14" t="n">
        <v>2015</v>
      </c>
      <c r="M711" s="14" t="n">
        <v>7.50384074669895</v>
      </c>
      <c r="N711" s="14" t="n">
        <v>4.55398214921866</v>
      </c>
      <c r="P711" s="14" t="n">
        <f aca="false">D711</f>
        <v>95</v>
      </c>
      <c r="Q711" s="14" t="n">
        <f aca="false">G711</f>
        <v>42</v>
      </c>
      <c r="R711" s="14" t="n">
        <f aca="false">J711</f>
        <v>5</v>
      </c>
      <c r="S711" s="14" t="n">
        <f aca="false">IF($L711=2012,1,0)</f>
        <v>0</v>
      </c>
      <c r="T711" s="14" t="n">
        <f aca="false">IF($L711=2013,1,0)</f>
        <v>0</v>
      </c>
      <c r="U711" s="14" t="n">
        <f aca="false">IF($L711=2014,1,0)</f>
        <v>0</v>
      </c>
      <c r="V711" s="14" t="n">
        <f aca="false">IF($L711=2015,1,0)</f>
        <v>1</v>
      </c>
      <c r="W711" s="14" t="n">
        <f aca="false">IF($L711=2016,1,0)</f>
        <v>0</v>
      </c>
      <c r="X711" s="14" t="n">
        <f aca="false">IF($L711=2017,1,0)</f>
        <v>0</v>
      </c>
      <c r="Y711" s="14" t="n">
        <f aca="false">IF($H711="Beginner Level",1,0)</f>
        <v>1</v>
      </c>
      <c r="Z711" s="14" t="n">
        <f aca="false">IF($H711="Expert Level",1,0)</f>
        <v>0</v>
      </c>
      <c r="AA711" s="14" t="n">
        <f aca="false">IF($H711="Intermediate Level",1,0)</f>
        <v>0</v>
      </c>
      <c r="AC711" s="14" t="n">
        <f aca="false">N711</f>
        <v>4.55398214921866</v>
      </c>
      <c r="AD711" s="14" t="n">
        <f aca="false">G711</f>
        <v>42</v>
      </c>
      <c r="AE711" s="14" t="n">
        <f aca="false">J711</f>
        <v>5</v>
      </c>
      <c r="AF711" s="14" t="n">
        <f aca="false">IF($L711=2012,1,0)</f>
        <v>0</v>
      </c>
      <c r="AG711" s="14" t="n">
        <f aca="false">IF($L711=2013,1,0)</f>
        <v>0</v>
      </c>
      <c r="AH711" s="14" t="n">
        <f aca="false">IF($L711=2014,1,0)</f>
        <v>0</v>
      </c>
      <c r="AI711" s="14" t="n">
        <f aca="false">IF($L711=2015,1,0)</f>
        <v>1</v>
      </c>
      <c r="AJ711" s="14" t="n">
        <f aca="false">IF($L711=2016,1,0)</f>
        <v>0</v>
      </c>
      <c r="AK711" s="14" t="n">
        <f aca="false">IF($L711=2017,1,0)</f>
        <v>0</v>
      </c>
      <c r="AL711" s="14" t="n">
        <f aca="false">IF($H711="Beginner Level",1,0)</f>
        <v>1</v>
      </c>
      <c r="AM711" s="14" t="n">
        <f aca="false">IF($H711="Expert Level",1,0)</f>
        <v>0</v>
      </c>
      <c r="AN711" s="14" t="n">
        <f aca="false">IF($H711="Intermediate Level",1,0)</f>
        <v>0</v>
      </c>
    </row>
    <row r="712" customFormat="false" ht="79.85" hidden="false" customHeight="false" outlineLevel="0" collapsed="false">
      <c r="A712" s="14" t="n">
        <v>833182</v>
      </c>
      <c r="B712" s="14" t="s">
        <v>1466</v>
      </c>
      <c r="C712" s="14" t="s">
        <v>1467</v>
      </c>
      <c r="D712" s="14" t="n">
        <v>35</v>
      </c>
      <c r="E712" s="14" t="n">
        <v>1812</v>
      </c>
      <c r="F712" s="14" t="n">
        <v>112</v>
      </c>
      <c r="G712" s="14" t="n">
        <v>7</v>
      </c>
      <c r="H712" s="14" t="s">
        <v>62</v>
      </c>
      <c r="I712" s="14" t="n">
        <v>1</v>
      </c>
      <c r="J712" s="14" t="n">
        <v>0.61666667</v>
      </c>
      <c r="K712" s="14" t="s">
        <v>59</v>
      </c>
      <c r="L712" s="14" t="n">
        <v>2016</v>
      </c>
      <c r="M712" s="14" t="n">
        <v>7.50218648660292</v>
      </c>
      <c r="N712" s="14" t="n">
        <v>3.55563373496657</v>
      </c>
      <c r="P712" s="14" t="n">
        <f aca="false">D712</f>
        <v>35</v>
      </c>
      <c r="Q712" s="14" t="n">
        <f aca="false">G712</f>
        <v>7</v>
      </c>
      <c r="R712" s="14" t="n">
        <f aca="false">J712</f>
        <v>0.61666667</v>
      </c>
      <c r="S712" s="14" t="n">
        <f aca="false">IF($L712=2012,1,0)</f>
        <v>0</v>
      </c>
      <c r="T712" s="14" t="n">
        <f aca="false">IF($L712=2013,1,0)</f>
        <v>0</v>
      </c>
      <c r="U712" s="14" t="n">
        <f aca="false">IF($L712=2014,1,0)</f>
        <v>0</v>
      </c>
      <c r="V712" s="14" t="n">
        <f aca="false">IF($L712=2015,1,0)</f>
        <v>0</v>
      </c>
      <c r="W712" s="14" t="n">
        <f aca="false">IF($L712=2016,1,0)</f>
        <v>1</v>
      </c>
      <c r="X712" s="14" t="n">
        <f aca="false">IF($L712=2017,1,0)</f>
        <v>0</v>
      </c>
      <c r="Y712" s="14" t="n">
        <f aca="false">IF($H712="Beginner Level",1,0)</f>
        <v>0</v>
      </c>
      <c r="Z712" s="14" t="n">
        <f aca="false">IF($H712="Expert Level",1,0)</f>
        <v>0</v>
      </c>
      <c r="AA712" s="14" t="n">
        <f aca="false">IF($H712="Intermediate Level",1,0)</f>
        <v>0</v>
      </c>
      <c r="AC712" s="14" t="n">
        <f aca="false">N712</f>
        <v>3.55563373496657</v>
      </c>
      <c r="AD712" s="14" t="n">
        <f aca="false">G712</f>
        <v>7</v>
      </c>
      <c r="AE712" s="14" t="n">
        <f aca="false">J712</f>
        <v>0.61666667</v>
      </c>
      <c r="AF712" s="14" t="n">
        <f aca="false">IF($L712=2012,1,0)</f>
        <v>0</v>
      </c>
      <c r="AG712" s="14" t="n">
        <f aca="false">IF($L712=2013,1,0)</f>
        <v>0</v>
      </c>
      <c r="AH712" s="14" t="n">
        <f aca="false">IF($L712=2014,1,0)</f>
        <v>0</v>
      </c>
      <c r="AI712" s="14" t="n">
        <f aca="false">IF($L712=2015,1,0)</f>
        <v>0</v>
      </c>
      <c r="AJ712" s="14" t="n">
        <f aca="false">IF($L712=2016,1,0)</f>
        <v>1</v>
      </c>
      <c r="AK712" s="14" t="n">
        <f aca="false">IF($L712=2017,1,0)</f>
        <v>0</v>
      </c>
      <c r="AL712" s="14" t="n">
        <f aca="false">IF($H712="Beginner Level",1,0)</f>
        <v>0</v>
      </c>
      <c r="AM712" s="14" t="n">
        <f aca="false">IF($H712="Expert Level",1,0)</f>
        <v>0</v>
      </c>
      <c r="AN712" s="14" t="n">
        <f aca="false">IF($H712="Intermediate Level",1,0)</f>
        <v>0</v>
      </c>
    </row>
    <row r="713" customFormat="false" ht="57.45" hidden="false" customHeight="false" outlineLevel="0" collapsed="false">
      <c r="A713" s="14" t="n">
        <v>446736</v>
      </c>
      <c r="B713" s="14" t="s">
        <v>1468</v>
      </c>
      <c r="C713" s="14" t="s">
        <v>1469</v>
      </c>
      <c r="D713" s="14" t="n">
        <v>95</v>
      </c>
      <c r="E713" s="14" t="n">
        <v>1811</v>
      </c>
      <c r="F713" s="14" t="n">
        <v>118</v>
      </c>
      <c r="G713" s="14" t="n">
        <v>36</v>
      </c>
      <c r="H713" s="14" t="s">
        <v>71</v>
      </c>
      <c r="I713" s="14" t="n">
        <v>0.24</v>
      </c>
      <c r="J713" s="14" t="n">
        <v>3.5</v>
      </c>
      <c r="K713" s="14" t="s">
        <v>59</v>
      </c>
      <c r="L713" s="14" t="n">
        <v>2015</v>
      </c>
      <c r="M713" s="14" t="n">
        <v>7.50163445788341</v>
      </c>
      <c r="N713" s="14" t="n">
        <v>4.55398214921866</v>
      </c>
      <c r="P713" s="14" t="n">
        <f aca="false">D713</f>
        <v>95</v>
      </c>
      <c r="Q713" s="14" t="n">
        <f aca="false">G713</f>
        <v>36</v>
      </c>
      <c r="R713" s="14" t="n">
        <f aca="false">J713</f>
        <v>3.5</v>
      </c>
      <c r="S713" s="14" t="n">
        <f aca="false">IF($L713=2012,1,0)</f>
        <v>0</v>
      </c>
      <c r="T713" s="14" t="n">
        <f aca="false">IF($L713=2013,1,0)</f>
        <v>0</v>
      </c>
      <c r="U713" s="14" t="n">
        <f aca="false">IF($L713=2014,1,0)</f>
        <v>0</v>
      </c>
      <c r="V713" s="14" t="n">
        <f aca="false">IF($L713=2015,1,0)</f>
        <v>1</v>
      </c>
      <c r="W713" s="14" t="n">
        <f aca="false">IF($L713=2016,1,0)</f>
        <v>0</v>
      </c>
      <c r="X713" s="14" t="n">
        <f aca="false">IF($L713=2017,1,0)</f>
        <v>0</v>
      </c>
      <c r="Y713" s="14" t="n">
        <f aca="false">IF($H713="Beginner Level",1,0)</f>
        <v>0</v>
      </c>
      <c r="Z713" s="14" t="n">
        <f aca="false">IF($H713="Expert Level",1,0)</f>
        <v>0</v>
      </c>
      <c r="AA713" s="14" t="n">
        <f aca="false">IF($H713="Intermediate Level",1,0)</f>
        <v>1</v>
      </c>
      <c r="AC713" s="14" t="n">
        <f aca="false">N713</f>
        <v>4.55398214921866</v>
      </c>
      <c r="AD713" s="14" t="n">
        <f aca="false">G713</f>
        <v>36</v>
      </c>
      <c r="AE713" s="14" t="n">
        <f aca="false">J713</f>
        <v>3.5</v>
      </c>
      <c r="AF713" s="14" t="n">
        <f aca="false">IF($L713=2012,1,0)</f>
        <v>0</v>
      </c>
      <c r="AG713" s="14" t="n">
        <f aca="false">IF($L713=2013,1,0)</f>
        <v>0</v>
      </c>
      <c r="AH713" s="14" t="n">
        <f aca="false">IF($L713=2014,1,0)</f>
        <v>0</v>
      </c>
      <c r="AI713" s="14" t="n">
        <f aca="false">IF($L713=2015,1,0)</f>
        <v>1</v>
      </c>
      <c r="AJ713" s="14" t="n">
        <f aca="false">IF($L713=2016,1,0)</f>
        <v>0</v>
      </c>
      <c r="AK713" s="14" t="n">
        <f aca="false">IF($L713=2017,1,0)</f>
        <v>0</v>
      </c>
      <c r="AL713" s="14" t="n">
        <f aca="false">IF($H713="Beginner Level",1,0)</f>
        <v>0</v>
      </c>
      <c r="AM713" s="14" t="n">
        <f aca="false">IF($H713="Expert Level",1,0)</f>
        <v>0</v>
      </c>
      <c r="AN713" s="14" t="n">
        <f aca="false">IF($H713="Intermediate Level",1,0)</f>
        <v>1</v>
      </c>
    </row>
    <row r="714" customFormat="false" ht="57.45" hidden="false" customHeight="false" outlineLevel="0" collapsed="false">
      <c r="A714" s="14" t="n">
        <v>1256136</v>
      </c>
      <c r="B714" s="14" t="s">
        <v>1470</v>
      </c>
      <c r="C714" s="14" t="s">
        <v>1471</v>
      </c>
      <c r="D714" s="14" t="n">
        <v>20</v>
      </c>
      <c r="E714" s="14" t="n">
        <v>1802</v>
      </c>
      <c r="F714" s="14" t="n">
        <v>13</v>
      </c>
      <c r="G714" s="14" t="n">
        <v>8</v>
      </c>
      <c r="H714" s="14" t="s">
        <v>62</v>
      </c>
      <c r="I714" s="14" t="n">
        <v>0.79</v>
      </c>
      <c r="J714" s="14" t="n">
        <v>1</v>
      </c>
      <c r="K714" s="14" t="s">
        <v>59</v>
      </c>
      <c r="L714" s="14" t="n">
        <v>2017</v>
      </c>
      <c r="M714" s="14" t="n">
        <v>7.49665243816828</v>
      </c>
      <c r="N714" s="14" t="n">
        <v>2.99623214859564</v>
      </c>
      <c r="P714" s="14" t="n">
        <f aca="false">D714</f>
        <v>20</v>
      </c>
      <c r="Q714" s="14" t="n">
        <f aca="false">G714</f>
        <v>8</v>
      </c>
      <c r="R714" s="14" t="n">
        <f aca="false">J714</f>
        <v>1</v>
      </c>
      <c r="S714" s="14" t="n">
        <f aca="false">IF($L714=2012,1,0)</f>
        <v>0</v>
      </c>
      <c r="T714" s="14" t="n">
        <f aca="false">IF($L714=2013,1,0)</f>
        <v>0</v>
      </c>
      <c r="U714" s="14" t="n">
        <f aca="false">IF($L714=2014,1,0)</f>
        <v>0</v>
      </c>
      <c r="V714" s="14" t="n">
        <f aca="false">IF($L714=2015,1,0)</f>
        <v>0</v>
      </c>
      <c r="W714" s="14" t="n">
        <f aca="false">IF($L714=2016,1,0)</f>
        <v>0</v>
      </c>
      <c r="X714" s="14" t="n">
        <f aca="false">IF($L714=2017,1,0)</f>
        <v>1</v>
      </c>
      <c r="Y714" s="14" t="n">
        <f aca="false">IF($H714="Beginner Level",1,0)</f>
        <v>0</v>
      </c>
      <c r="Z714" s="14" t="n">
        <f aca="false">IF($H714="Expert Level",1,0)</f>
        <v>0</v>
      </c>
      <c r="AA714" s="14" t="n">
        <f aca="false">IF($H714="Intermediate Level",1,0)</f>
        <v>0</v>
      </c>
      <c r="AC714" s="14" t="n">
        <f aca="false">N714</f>
        <v>2.99623214859564</v>
      </c>
      <c r="AD714" s="14" t="n">
        <f aca="false">G714</f>
        <v>8</v>
      </c>
      <c r="AE714" s="14" t="n">
        <f aca="false">J714</f>
        <v>1</v>
      </c>
      <c r="AF714" s="14" t="n">
        <f aca="false">IF($L714=2012,1,0)</f>
        <v>0</v>
      </c>
      <c r="AG714" s="14" t="n">
        <f aca="false">IF($L714=2013,1,0)</f>
        <v>0</v>
      </c>
      <c r="AH714" s="14" t="n">
        <f aca="false">IF($L714=2014,1,0)</f>
        <v>0</v>
      </c>
      <c r="AI714" s="14" t="n">
        <f aca="false">IF($L714=2015,1,0)</f>
        <v>0</v>
      </c>
      <c r="AJ714" s="14" t="n">
        <f aca="false">IF($L714=2016,1,0)</f>
        <v>0</v>
      </c>
      <c r="AK714" s="14" t="n">
        <f aca="false">IF($L714=2017,1,0)</f>
        <v>1</v>
      </c>
      <c r="AL714" s="14" t="n">
        <f aca="false">IF($H714="Beginner Level",1,0)</f>
        <v>0</v>
      </c>
      <c r="AM714" s="14" t="n">
        <f aca="false">IF($H714="Expert Level",1,0)</f>
        <v>0</v>
      </c>
      <c r="AN714" s="14" t="n">
        <f aca="false">IF($H714="Intermediate Level",1,0)</f>
        <v>0</v>
      </c>
    </row>
    <row r="715" customFormat="false" ht="79.85" hidden="false" customHeight="false" outlineLevel="0" collapsed="false">
      <c r="A715" s="14" t="n">
        <v>1211960</v>
      </c>
      <c r="B715" s="14" t="s">
        <v>1472</v>
      </c>
      <c r="C715" s="14" t="s">
        <v>1473</v>
      </c>
      <c r="D715" s="14" t="n">
        <v>120</v>
      </c>
      <c r="E715" s="14" t="n">
        <v>1798</v>
      </c>
      <c r="F715" s="14" t="n">
        <v>20</v>
      </c>
      <c r="G715" s="14" t="n">
        <v>24</v>
      </c>
      <c r="H715" s="14" t="s">
        <v>62</v>
      </c>
      <c r="I715" s="14" t="n">
        <v>0.15</v>
      </c>
      <c r="J715" s="14" t="n">
        <v>1.5</v>
      </c>
      <c r="K715" s="14" t="s">
        <v>59</v>
      </c>
      <c r="L715" s="14" t="n">
        <v>2017</v>
      </c>
      <c r="M715" s="14" t="n">
        <v>7.49443021503157</v>
      </c>
      <c r="N715" s="14" t="n">
        <v>4.78757507264335</v>
      </c>
      <c r="P715" s="14" t="n">
        <f aca="false">D715</f>
        <v>120</v>
      </c>
      <c r="Q715" s="14" t="n">
        <f aca="false">G715</f>
        <v>24</v>
      </c>
      <c r="R715" s="14" t="n">
        <f aca="false">J715</f>
        <v>1.5</v>
      </c>
      <c r="S715" s="14" t="n">
        <f aca="false">IF($L715=2012,1,0)</f>
        <v>0</v>
      </c>
      <c r="T715" s="14" t="n">
        <f aca="false">IF($L715=2013,1,0)</f>
        <v>0</v>
      </c>
      <c r="U715" s="14" t="n">
        <f aca="false">IF($L715=2014,1,0)</f>
        <v>0</v>
      </c>
      <c r="V715" s="14" t="n">
        <f aca="false">IF($L715=2015,1,0)</f>
        <v>0</v>
      </c>
      <c r="W715" s="14" t="n">
        <f aca="false">IF($L715=2016,1,0)</f>
        <v>0</v>
      </c>
      <c r="X715" s="14" t="n">
        <f aca="false">IF($L715=2017,1,0)</f>
        <v>1</v>
      </c>
      <c r="Y715" s="14" t="n">
        <f aca="false">IF($H715="Beginner Level",1,0)</f>
        <v>0</v>
      </c>
      <c r="Z715" s="14" t="n">
        <f aca="false">IF($H715="Expert Level",1,0)</f>
        <v>0</v>
      </c>
      <c r="AA715" s="14" t="n">
        <f aca="false">IF($H715="Intermediate Level",1,0)</f>
        <v>0</v>
      </c>
      <c r="AC715" s="14" t="n">
        <f aca="false">N715</f>
        <v>4.78757507264335</v>
      </c>
      <c r="AD715" s="14" t="n">
        <f aca="false">G715</f>
        <v>24</v>
      </c>
      <c r="AE715" s="14" t="n">
        <f aca="false">J715</f>
        <v>1.5</v>
      </c>
      <c r="AF715" s="14" t="n">
        <f aca="false">IF($L715=2012,1,0)</f>
        <v>0</v>
      </c>
      <c r="AG715" s="14" t="n">
        <f aca="false">IF($L715=2013,1,0)</f>
        <v>0</v>
      </c>
      <c r="AH715" s="14" t="n">
        <f aca="false">IF($L715=2014,1,0)</f>
        <v>0</v>
      </c>
      <c r="AI715" s="14" t="n">
        <f aca="false">IF($L715=2015,1,0)</f>
        <v>0</v>
      </c>
      <c r="AJ715" s="14" t="n">
        <f aca="false">IF($L715=2016,1,0)</f>
        <v>0</v>
      </c>
      <c r="AK715" s="14" t="n">
        <f aca="false">IF($L715=2017,1,0)</f>
        <v>1</v>
      </c>
      <c r="AL715" s="14" t="n">
        <f aca="false">IF($H715="Beginner Level",1,0)</f>
        <v>0</v>
      </c>
      <c r="AM715" s="14" t="n">
        <f aca="false">IF($H715="Expert Level",1,0)</f>
        <v>0</v>
      </c>
      <c r="AN715" s="14" t="n">
        <f aca="false">IF($H715="Intermediate Level",1,0)</f>
        <v>0</v>
      </c>
    </row>
    <row r="716" customFormat="false" ht="46.25" hidden="false" customHeight="false" outlineLevel="0" collapsed="false">
      <c r="A716" s="14" t="n">
        <v>400280</v>
      </c>
      <c r="B716" s="14" t="s">
        <v>1474</v>
      </c>
      <c r="C716" s="14" t="s">
        <v>1475</v>
      </c>
      <c r="D716" s="14" t="n">
        <v>45</v>
      </c>
      <c r="E716" s="14" t="n">
        <v>1783</v>
      </c>
      <c r="F716" s="14" t="n">
        <v>16</v>
      </c>
      <c r="G716" s="14" t="n">
        <v>15</v>
      </c>
      <c r="H716" s="14" t="s">
        <v>62</v>
      </c>
      <c r="I716" s="14" t="n">
        <v>0.71</v>
      </c>
      <c r="J716" s="14" t="n">
        <v>0.6</v>
      </c>
      <c r="K716" s="14" t="s">
        <v>59</v>
      </c>
      <c r="L716" s="14" t="n">
        <v>2015</v>
      </c>
      <c r="M716" s="14" t="n">
        <v>7.48605261786314</v>
      </c>
      <c r="N716" s="14" t="n">
        <v>3.80688468730484</v>
      </c>
      <c r="P716" s="14" t="n">
        <f aca="false">D716</f>
        <v>45</v>
      </c>
      <c r="Q716" s="14" t="n">
        <f aca="false">G716</f>
        <v>15</v>
      </c>
      <c r="R716" s="14" t="n">
        <f aca="false">J716</f>
        <v>0.6</v>
      </c>
      <c r="S716" s="14" t="n">
        <f aca="false">IF($L716=2012,1,0)</f>
        <v>0</v>
      </c>
      <c r="T716" s="14" t="n">
        <f aca="false">IF($L716=2013,1,0)</f>
        <v>0</v>
      </c>
      <c r="U716" s="14" t="n">
        <f aca="false">IF($L716=2014,1,0)</f>
        <v>0</v>
      </c>
      <c r="V716" s="14" t="n">
        <f aca="false">IF($L716=2015,1,0)</f>
        <v>1</v>
      </c>
      <c r="W716" s="14" t="n">
        <f aca="false">IF($L716=2016,1,0)</f>
        <v>0</v>
      </c>
      <c r="X716" s="14" t="n">
        <f aca="false">IF($L716=2017,1,0)</f>
        <v>0</v>
      </c>
      <c r="Y716" s="14" t="n">
        <f aca="false">IF($H716="Beginner Level",1,0)</f>
        <v>0</v>
      </c>
      <c r="Z716" s="14" t="n">
        <f aca="false">IF($H716="Expert Level",1,0)</f>
        <v>0</v>
      </c>
      <c r="AA716" s="14" t="n">
        <f aca="false">IF($H716="Intermediate Level",1,0)</f>
        <v>0</v>
      </c>
      <c r="AC716" s="14" t="n">
        <f aca="false">N716</f>
        <v>3.80688468730484</v>
      </c>
      <c r="AD716" s="14" t="n">
        <f aca="false">G716</f>
        <v>15</v>
      </c>
      <c r="AE716" s="14" t="n">
        <f aca="false">J716</f>
        <v>0.6</v>
      </c>
      <c r="AF716" s="14" t="n">
        <f aca="false">IF($L716=2012,1,0)</f>
        <v>0</v>
      </c>
      <c r="AG716" s="14" t="n">
        <f aca="false">IF($L716=2013,1,0)</f>
        <v>0</v>
      </c>
      <c r="AH716" s="14" t="n">
        <f aca="false">IF($L716=2014,1,0)</f>
        <v>0</v>
      </c>
      <c r="AI716" s="14" t="n">
        <f aca="false">IF($L716=2015,1,0)</f>
        <v>1</v>
      </c>
      <c r="AJ716" s="14" t="n">
        <f aca="false">IF($L716=2016,1,0)</f>
        <v>0</v>
      </c>
      <c r="AK716" s="14" t="n">
        <f aca="false">IF($L716=2017,1,0)</f>
        <v>0</v>
      </c>
      <c r="AL716" s="14" t="n">
        <f aca="false">IF($H716="Beginner Level",1,0)</f>
        <v>0</v>
      </c>
      <c r="AM716" s="14" t="n">
        <f aca="false">IF($H716="Expert Level",1,0)</f>
        <v>0</v>
      </c>
      <c r="AN716" s="14" t="n">
        <f aca="false">IF($H716="Intermediate Level",1,0)</f>
        <v>0</v>
      </c>
    </row>
    <row r="717" customFormat="false" ht="68.65" hidden="false" customHeight="false" outlineLevel="0" collapsed="false">
      <c r="A717" s="14" t="n">
        <v>413494</v>
      </c>
      <c r="B717" s="14" t="s">
        <v>1476</v>
      </c>
      <c r="C717" s="14" t="s">
        <v>1477</v>
      </c>
      <c r="D717" s="14" t="n">
        <v>25</v>
      </c>
      <c r="E717" s="14" t="n">
        <v>1780</v>
      </c>
      <c r="F717" s="14" t="n">
        <v>69</v>
      </c>
      <c r="G717" s="14" t="n">
        <v>21</v>
      </c>
      <c r="H717" s="14" t="s">
        <v>71</v>
      </c>
      <c r="I717" s="14" t="n">
        <v>0.83</v>
      </c>
      <c r="J717" s="14" t="n">
        <v>1.5</v>
      </c>
      <c r="K717" s="14" t="s">
        <v>59</v>
      </c>
      <c r="L717" s="14" t="n">
        <v>2015</v>
      </c>
      <c r="M717" s="14" t="n">
        <v>7.48436864328613</v>
      </c>
      <c r="N717" s="14" t="n">
        <v>3.21927574488953</v>
      </c>
      <c r="P717" s="14" t="n">
        <f aca="false">D717</f>
        <v>25</v>
      </c>
      <c r="Q717" s="14" t="n">
        <f aca="false">G717</f>
        <v>21</v>
      </c>
      <c r="R717" s="14" t="n">
        <f aca="false">J717</f>
        <v>1.5</v>
      </c>
      <c r="S717" s="14" t="n">
        <f aca="false">IF($L717=2012,1,0)</f>
        <v>0</v>
      </c>
      <c r="T717" s="14" t="n">
        <f aca="false">IF($L717=2013,1,0)</f>
        <v>0</v>
      </c>
      <c r="U717" s="14" t="n">
        <f aca="false">IF($L717=2014,1,0)</f>
        <v>0</v>
      </c>
      <c r="V717" s="14" t="n">
        <f aca="false">IF($L717=2015,1,0)</f>
        <v>1</v>
      </c>
      <c r="W717" s="14" t="n">
        <f aca="false">IF($L717=2016,1,0)</f>
        <v>0</v>
      </c>
      <c r="X717" s="14" t="n">
        <f aca="false">IF($L717=2017,1,0)</f>
        <v>0</v>
      </c>
      <c r="Y717" s="14" t="n">
        <f aca="false">IF($H717="Beginner Level",1,0)</f>
        <v>0</v>
      </c>
      <c r="Z717" s="14" t="n">
        <f aca="false">IF($H717="Expert Level",1,0)</f>
        <v>0</v>
      </c>
      <c r="AA717" s="14" t="n">
        <f aca="false">IF($H717="Intermediate Level",1,0)</f>
        <v>1</v>
      </c>
      <c r="AC717" s="14" t="n">
        <f aca="false">N717</f>
        <v>3.21927574488953</v>
      </c>
      <c r="AD717" s="14" t="n">
        <f aca="false">G717</f>
        <v>21</v>
      </c>
      <c r="AE717" s="14" t="n">
        <f aca="false">J717</f>
        <v>1.5</v>
      </c>
      <c r="AF717" s="14" t="n">
        <f aca="false">IF($L717=2012,1,0)</f>
        <v>0</v>
      </c>
      <c r="AG717" s="14" t="n">
        <f aca="false">IF($L717=2013,1,0)</f>
        <v>0</v>
      </c>
      <c r="AH717" s="14" t="n">
        <f aca="false">IF($L717=2014,1,0)</f>
        <v>0</v>
      </c>
      <c r="AI717" s="14" t="n">
        <f aca="false">IF($L717=2015,1,0)</f>
        <v>1</v>
      </c>
      <c r="AJ717" s="14" t="n">
        <f aca="false">IF($L717=2016,1,0)</f>
        <v>0</v>
      </c>
      <c r="AK717" s="14" t="n">
        <f aca="false">IF($L717=2017,1,0)</f>
        <v>0</v>
      </c>
      <c r="AL717" s="14" t="n">
        <f aca="false">IF($H717="Beginner Level",1,0)</f>
        <v>0</v>
      </c>
      <c r="AM717" s="14" t="n">
        <f aca="false">IF($H717="Expert Level",1,0)</f>
        <v>0</v>
      </c>
      <c r="AN717" s="14" t="n">
        <f aca="false">IF($H717="Intermediate Level",1,0)</f>
        <v>1</v>
      </c>
    </row>
    <row r="718" customFormat="false" ht="79.85" hidden="false" customHeight="false" outlineLevel="0" collapsed="false">
      <c r="A718" s="14" t="n">
        <v>669346</v>
      </c>
      <c r="B718" s="14" t="s">
        <v>1478</v>
      </c>
      <c r="C718" s="14" t="s">
        <v>1479</v>
      </c>
      <c r="D718" s="14" t="n">
        <v>20</v>
      </c>
      <c r="E718" s="14" t="n">
        <v>1780</v>
      </c>
      <c r="F718" s="14" t="n">
        <v>15</v>
      </c>
      <c r="G718" s="14" t="n">
        <v>6</v>
      </c>
      <c r="H718" s="14" t="s">
        <v>52</v>
      </c>
      <c r="I718" s="14" t="n">
        <v>0.7</v>
      </c>
      <c r="J718" s="14" t="n">
        <v>0.6</v>
      </c>
      <c r="K718" s="14" t="s">
        <v>59</v>
      </c>
      <c r="L718" s="14" t="n">
        <v>2015</v>
      </c>
      <c r="M718" s="14" t="n">
        <v>7.48436864328613</v>
      </c>
      <c r="N718" s="14" t="n">
        <v>2.99623214859564</v>
      </c>
      <c r="P718" s="14" t="n">
        <f aca="false">D718</f>
        <v>20</v>
      </c>
      <c r="Q718" s="14" t="n">
        <f aca="false">G718</f>
        <v>6</v>
      </c>
      <c r="R718" s="14" t="n">
        <f aca="false">J718</f>
        <v>0.6</v>
      </c>
      <c r="S718" s="14" t="n">
        <f aca="false">IF($L718=2012,1,0)</f>
        <v>0</v>
      </c>
      <c r="T718" s="14" t="n">
        <f aca="false">IF($L718=2013,1,0)</f>
        <v>0</v>
      </c>
      <c r="U718" s="14" t="n">
        <f aca="false">IF($L718=2014,1,0)</f>
        <v>0</v>
      </c>
      <c r="V718" s="14" t="n">
        <f aca="false">IF($L718=2015,1,0)</f>
        <v>1</v>
      </c>
      <c r="W718" s="14" t="n">
        <f aca="false">IF($L718=2016,1,0)</f>
        <v>0</v>
      </c>
      <c r="X718" s="14" t="n">
        <f aca="false">IF($L718=2017,1,0)</f>
        <v>0</v>
      </c>
      <c r="Y718" s="14" t="n">
        <f aca="false">IF($H718="Beginner Level",1,0)</f>
        <v>1</v>
      </c>
      <c r="Z718" s="14" t="n">
        <f aca="false">IF($H718="Expert Level",1,0)</f>
        <v>0</v>
      </c>
      <c r="AA718" s="14" t="n">
        <f aca="false">IF($H718="Intermediate Level",1,0)</f>
        <v>0</v>
      </c>
      <c r="AC718" s="14" t="n">
        <f aca="false">N718</f>
        <v>2.99623214859564</v>
      </c>
      <c r="AD718" s="14" t="n">
        <f aca="false">G718</f>
        <v>6</v>
      </c>
      <c r="AE718" s="14" t="n">
        <f aca="false">J718</f>
        <v>0.6</v>
      </c>
      <c r="AF718" s="14" t="n">
        <f aca="false">IF($L718=2012,1,0)</f>
        <v>0</v>
      </c>
      <c r="AG718" s="14" t="n">
        <f aca="false">IF($L718=2013,1,0)</f>
        <v>0</v>
      </c>
      <c r="AH718" s="14" t="n">
        <f aca="false">IF($L718=2014,1,0)</f>
        <v>0</v>
      </c>
      <c r="AI718" s="14" t="n">
        <f aca="false">IF($L718=2015,1,0)</f>
        <v>1</v>
      </c>
      <c r="AJ718" s="14" t="n">
        <f aca="false">IF($L718=2016,1,0)</f>
        <v>0</v>
      </c>
      <c r="AK718" s="14" t="n">
        <f aca="false">IF($L718=2017,1,0)</f>
        <v>0</v>
      </c>
      <c r="AL718" s="14" t="n">
        <f aca="false">IF($H718="Beginner Level",1,0)</f>
        <v>1</v>
      </c>
      <c r="AM718" s="14" t="n">
        <f aca="false">IF($H718="Expert Level",1,0)</f>
        <v>0</v>
      </c>
      <c r="AN718" s="14" t="n">
        <f aca="false">IF($H718="Intermediate Level",1,0)</f>
        <v>0</v>
      </c>
    </row>
    <row r="719" customFormat="false" ht="46.25" hidden="false" customHeight="false" outlineLevel="0" collapsed="false">
      <c r="A719" s="14" t="n">
        <v>212394</v>
      </c>
      <c r="B719" s="14" t="s">
        <v>1480</v>
      </c>
      <c r="C719" s="14" t="s">
        <v>1481</v>
      </c>
      <c r="D719" s="14" t="n">
        <v>55</v>
      </c>
      <c r="E719" s="14" t="n">
        <v>1779</v>
      </c>
      <c r="F719" s="14" t="n">
        <v>48</v>
      </c>
      <c r="G719" s="14" t="n">
        <v>16</v>
      </c>
      <c r="H719" s="14" t="s">
        <v>62</v>
      </c>
      <c r="I719" s="14" t="n">
        <v>0.18</v>
      </c>
      <c r="J719" s="14" t="n">
        <v>1</v>
      </c>
      <c r="K719" s="14" t="s">
        <v>59</v>
      </c>
      <c r="L719" s="14" t="n">
        <v>2014</v>
      </c>
      <c r="M719" s="14" t="n">
        <v>7.48380668766584</v>
      </c>
      <c r="N719" s="14" t="n">
        <v>4.00751498688737</v>
      </c>
      <c r="P719" s="14" t="n">
        <f aca="false">D719</f>
        <v>55</v>
      </c>
      <c r="Q719" s="14" t="n">
        <f aca="false">G719</f>
        <v>16</v>
      </c>
      <c r="R719" s="14" t="n">
        <f aca="false">J719</f>
        <v>1</v>
      </c>
      <c r="S719" s="14" t="n">
        <f aca="false">IF($L719=2012,1,0)</f>
        <v>0</v>
      </c>
      <c r="T719" s="14" t="n">
        <f aca="false">IF($L719=2013,1,0)</f>
        <v>0</v>
      </c>
      <c r="U719" s="14" t="n">
        <f aca="false">IF($L719=2014,1,0)</f>
        <v>1</v>
      </c>
      <c r="V719" s="14" t="n">
        <f aca="false">IF($L719=2015,1,0)</f>
        <v>0</v>
      </c>
      <c r="W719" s="14" t="n">
        <f aca="false">IF($L719=2016,1,0)</f>
        <v>0</v>
      </c>
      <c r="X719" s="14" t="n">
        <f aca="false">IF($L719=2017,1,0)</f>
        <v>0</v>
      </c>
      <c r="Y719" s="14" t="n">
        <f aca="false">IF($H719="Beginner Level",1,0)</f>
        <v>0</v>
      </c>
      <c r="Z719" s="14" t="n">
        <f aca="false">IF($H719="Expert Level",1,0)</f>
        <v>0</v>
      </c>
      <c r="AA719" s="14" t="n">
        <f aca="false">IF($H719="Intermediate Level",1,0)</f>
        <v>0</v>
      </c>
      <c r="AC719" s="14" t="n">
        <f aca="false">N719</f>
        <v>4.00751498688737</v>
      </c>
      <c r="AD719" s="14" t="n">
        <f aca="false">G719</f>
        <v>16</v>
      </c>
      <c r="AE719" s="14" t="n">
        <f aca="false">J719</f>
        <v>1</v>
      </c>
      <c r="AF719" s="14" t="n">
        <f aca="false">IF($L719=2012,1,0)</f>
        <v>0</v>
      </c>
      <c r="AG719" s="14" t="n">
        <f aca="false">IF($L719=2013,1,0)</f>
        <v>0</v>
      </c>
      <c r="AH719" s="14" t="n">
        <f aca="false">IF($L719=2014,1,0)</f>
        <v>1</v>
      </c>
      <c r="AI719" s="14" t="n">
        <f aca="false">IF($L719=2015,1,0)</f>
        <v>0</v>
      </c>
      <c r="AJ719" s="14" t="n">
        <f aca="false">IF($L719=2016,1,0)</f>
        <v>0</v>
      </c>
      <c r="AK719" s="14" t="n">
        <f aca="false">IF($L719=2017,1,0)</f>
        <v>0</v>
      </c>
      <c r="AL719" s="14" t="n">
        <f aca="false">IF($H719="Beginner Level",1,0)</f>
        <v>0</v>
      </c>
      <c r="AM719" s="14" t="n">
        <f aca="false">IF($H719="Expert Level",1,0)</f>
        <v>0</v>
      </c>
      <c r="AN719" s="14" t="n">
        <f aca="false">IF($H719="Intermediate Level",1,0)</f>
        <v>0</v>
      </c>
    </row>
    <row r="720" customFormat="false" ht="57.45" hidden="false" customHeight="false" outlineLevel="0" collapsed="false">
      <c r="A720" s="14" t="n">
        <v>981600</v>
      </c>
      <c r="B720" s="14" t="s">
        <v>1482</v>
      </c>
      <c r="C720" s="14" t="s">
        <v>1483</v>
      </c>
      <c r="D720" s="14" t="n">
        <v>30</v>
      </c>
      <c r="E720" s="14" t="n">
        <v>1777</v>
      </c>
      <c r="F720" s="14" t="n">
        <v>35</v>
      </c>
      <c r="G720" s="14" t="n">
        <v>48</v>
      </c>
      <c r="H720" s="14" t="s">
        <v>62</v>
      </c>
      <c r="I720" s="14" t="n">
        <v>0.72</v>
      </c>
      <c r="J720" s="14" t="n">
        <v>6.5</v>
      </c>
      <c r="K720" s="14" t="s">
        <v>59</v>
      </c>
      <c r="L720" s="14" t="n">
        <v>2017</v>
      </c>
      <c r="M720" s="14" t="n">
        <v>7.48268182815465</v>
      </c>
      <c r="N720" s="14" t="n">
        <v>3.40153065945228</v>
      </c>
      <c r="P720" s="14" t="n">
        <f aca="false">D720</f>
        <v>30</v>
      </c>
      <c r="Q720" s="14" t="n">
        <f aca="false">G720</f>
        <v>48</v>
      </c>
      <c r="R720" s="14" t="n">
        <f aca="false">J720</f>
        <v>6.5</v>
      </c>
      <c r="S720" s="14" t="n">
        <f aca="false">IF($L720=2012,1,0)</f>
        <v>0</v>
      </c>
      <c r="T720" s="14" t="n">
        <f aca="false">IF($L720=2013,1,0)</f>
        <v>0</v>
      </c>
      <c r="U720" s="14" t="n">
        <f aca="false">IF($L720=2014,1,0)</f>
        <v>0</v>
      </c>
      <c r="V720" s="14" t="n">
        <f aca="false">IF($L720=2015,1,0)</f>
        <v>0</v>
      </c>
      <c r="W720" s="14" t="n">
        <f aca="false">IF($L720=2016,1,0)</f>
        <v>0</v>
      </c>
      <c r="X720" s="14" t="n">
        <f aca="false">IF($L720=2017,1,0)</f>
        <v>1</v>
      </c>
      <c r="Y720" s="14" t="n">
        <f aca="false">IF($H720="Beginner Level",1,0)</f>
        <v>0</v>
      </c>
      <c r="Z720" s="14" t="n">
        <f aca="false">IF($H720="Expert Level",1,0)</f>
        <v>0</v>
      </c>
      <c r="AA720" s="14" t="n">
        <f aca="false">IF($H720="Intermediate Level",1,0)</f>
        <v>0</v>
      </c>
      <c r="AC720" s="14" t="n">
        <f aca="false">N720</f>
        <v>3.40153065945228</v>
      </c>
      <c r="AD720" s="14" t="n">
        <f aca="false">G720</f>
        <v>48</v>
      </c>
      <c r="AE720" s="14" t="n">
        <f aca="false">J720</f>
        <v>6.5</v>
      </c>
      <c r="AF720" s="14" t="n">
        <f aca="false">IF($L720=2012,1,0)</f>
        <v>0</v>
      </c>
      <c r="AG720" s="14" t="n">
        <f aca="false">IF($L720=2013,1,0)</f>
        <v>0</v>
      </c>
      <c r="AH720" s="14" t="n">
        <f aca="false">IF($L720=2014,1,0)</f>
        <v>0</v>
      </c>
      <c r="AI720" s="14" t="n">
        <f aca="false">IF($L720=2015,1,0)</f>
        <v>0</v>
      </c>
      <c r="AJ720" s="14" t="n">
        <f aca="false">IF($L720=2016,1,0)</f>
        <v>0</v>
      </c>
      <c r="AK720" s="14" t="n">
        <f aca="false">IF($L720=2017,1,0)</f>
        <v>1</v>
      </c>
      <c r="AL720" s="14" t="n">
        <f aca="false">IF($H720="Beginner Level",1,0)</f>
        <v>0</v>
      </c>
      <c r="AM720" s="14" t="n">
        <f aca="false">IF($H720="Expert Level",1,0)</f>
        <v>0</v>
      </c>
      <c r="AN720" s="14" t="n">
        <f aca="false">IF($H720="Intermediate Level",1,0)</f>
        <v>0</v>
      </c>
    </row>
    <row r="721" customFormat="false" ht="57.45" hidden="false" customHeight="false" outlineLevel="0" collapsed="false">
      <c r="A721" s="14" t="n">
        <v>651032</v>
      </c>
      <c r="B721" s="14" t="s">
        <v>1484</v>
      </c>
      <c r="C721" s="14" t="s">
        <v>1485</v>
      </c>
      <c r="D721" s="14" t="n">
        <v>30</v>
      </c>
      <c r="E721" s="14" t="n">
        <v>1772</v>
      </c>
      <c r="F721" s="14" t="n">
        <v>13</v>
      </c>
      <c r="G721" s="14" t="n">
        <v>48</v>
      </c>
      <c r="H721" s="14" t="s">
        <v>52</v>
      </c>
      <c r="I721" s="14" t="n">
        <v>0.76</v>
      </c>
      <c r="J721" s="14" t="n">
        <v>2.5</v>
      </c>
      <c r="K721" s="14" t="s">
        <v>59</v>
      </c>
      <c r="L721" s="14" t="n">
        <v>2015</v>
      </c>
      <c r="M721" s="14" t="n">
        <v>7.47986413116503</v>
      </c>
      <c r="N721" s="14" t="n">
        <v>3.40153065945228</v>
      </c>
      <c r="P721" s="14" t="n">
        <f aca="false">D721</f>
        <v>30</v>
      </c>
      <c r="Q721" s="14" t="n">
        <f aca="false">G721</f>
        <v>48</v>
      </c>
      <c r="R721" s="14" t="n">
        <f aca="false">J721</f>
        <v>2.5</v>
      </c>
      <c r="S721" s="14" t="n">
        <f aca="false">IF($L721=2012,1,0)</f>
        <v>0</v>
      </c>
      <c r="T721" s="14" t="n">
        <f aca="false">IF($L721=2013,1,0)</f>
        <v>0</v>
      </c>
      <c r="U721" s="14" t="n">
        <f aca="false">IF($L721=2014,1,0)</f>
        <v>0</v>
      </c>
      <c r="V721" s="14" t="n">
        <f aca="false">IF($L721=2015,1,0)</f>
        <v>1</v>
      </c>
      <c r="W721" s="14" t="n">
        <f aca="false">IF($L721=2016,1,0)</f>
        <v>0</v>
      </c>
      <c r="X721" s="14" t="n">
        <f aca="false">IF($L721=2017,1,0)</f>
        <v>0</v>
      </c>
      <c r="Y721" s="14" t="n">
        <f aca="false">IF($H721="Beginner Level",1,0)</f>
        <v>1</v>
      </c>
      <c r="Z721" s="14" t="n">
        <f aca="false">IF($H721="Expert Level",1,0)</f>
        <v>0</v>
      </c>
      <c r="AA721" s="14" t="n">
        <f aca="false">IF($H721="Intermediate Level",1,0)</f>
        <v>0</v>
      </c>
      <c r="AC721" s="14" t="n">
        <f aca="false">N721</f>
        <v>3.40153065945228</v>
      </c>
      <c r="AD721" s="14" t="n">
        <f aca="false">G721</f>
        <v>48</v>
      </c>
      <c r="AE721" s="14" t="n">
        <f aca="false">J721</f>
        <v>2.5</v>
      </c>
      <c r="AF721" s="14" t="n">
        <f aca="false">IF($L721=2012,1,0)</f>
        <v>0</v>
      </c>
      <c r="AG721" s="14" t="n">
        <f aca="false">IF($L721=2013,1,0)</f>
        <v>0</v>
      </c>
      <c r="AH721" s="14" t="n">
        <f aca="false">IF($L721=2014,1,0)</f>
        <v>0</v>
      </c>
      <c r="AI721" s="14" t="n">
        <f aca="false">IF($L721=2015,1,0)</f>
        <v>1</v>
      </c>
      <c r="AJ721" s="14" t="n">
        <f aca="false">IF($L721=2016,1,0)</f>
        <v>0</v>
      </c>
      <c r="AK721" s="14" t="n">
        <f aca="false">IF($L721=2017,1,0)</f>
        <v>0</v>
      </c>
      <c r="AL721" s="14" t="n">
        <f aca="false">IF($H721="Beginner Level",1,0)</f>
        <v>1</v>
      </c>
      <c r="AM721" s="14" t="n">
        <f aca="false">IF($H721="Expert Level",1,0)</f>
        <v>0</v>
      </c>
      <c r="AN721" s="14" t="n">
        <f aca="false">IF($H721="Intermediate Level",1,0)</f>
        <v>0</v>
      </c>
    </row>
    <row r="722" customFormat="false" ht="57.45" hidden="false" customHeight="false" outlineLevel="0" collapsed="false">
      <c r="A722" s="14" t="n">
        <v>710486</v>
      </c>
      <c r="B722" s="14" t="s">
        <v>1486</v>
      </c>
      <c r="C722" s="14" t="s">
        <v>1487</v>
      </c>
      <c r="D722" s="14" t="n">
        <v>20</v>
      </c>
      <c r="E722" s="14" t="n">
        <v>1769</v>
      </c>
      <c r="F722" s="14" t="n">
        <v>49</v>
      </c>
      <c r="G722" s="14" t="n">
        <v>7</v>
      </c>
      <c r="H722" s="14" t="s">
        <v>52</v>
      </c>
      <c r="I722" s="14" t="n">
        <v>0.78</v>
      </c>
      <c r="J722" s="14" t="n">
        <v>0.58333333</v>
      </c>
      <c r="K722" s="14" t="s">
        <v>59</v>
      </c>
      <c r="L722" s="14" t="n">
        <v>2015</v>
      </c>
      <c r="M722" s="14" t="n">
        <v>7.47816969415979</v>
      </c>
      <c r="N722" s="14" t="n">
        <v>2.99623214859564</v>
      </c>
      <c r="P722" s="14" t="n">
        <f aca="false">D722</f>
        <v>20</v>
      </c>
      <c r="Q722" s="14" t="n">
        <f aca="false">G722</f>
        <v>7</v>
      </c>
      <c r="R722" s="14" t="n">
        <f aca="false">J722</f>
        <v>0.58333333</v>
      </c>
      <c r="S722" s="14" t="n">
        <f aca="false">IF($L722=2012,1,0)</f>
        <v>0</v>
      </c>
      <c r="T722" s="14" t="n">
        <f aca="false">IF($L722=2013,1,0)</f>
        <v>0</v>
      </c>
      <c r="U722" s="14" t="n">
        <f aca="false">IF($L722=2014,1,0)</f>
        <v>0</v>
      </c>
      <c r="V722" s="14" t="n">
        <f aca="false">IF($L722=2015,1,0)</f>
        <v>1</v>
      </c>
      <c r="W722" s="14" t="n">
        <f aca="false">IF($L722=2016,1,0)</f>
        <v>0</v>
      </c>
      <c r="X722" s="14" t="n">
        <f aca="false">IF($L722=2017,1,0)</f>
        <v>0</v>
      </c>
      <c r="Y722" s="14" t="n">
        <f aca="false">IF($H722="Beginner Level",1,0)</f>
        <v>1</v>
      </c>
      <c r="Z722" s="14" t="n">
        <f aca="false">IF($H722="Expert Level",1,0)</f>
        <v>0</v>
      </c>
      <c r="AA722" s="14" t="n">
        <f aca="false">IF($H722="Intermediate Level",1,0)</f>
        <v>0</v>
      </c>
      <c r="AC722" s="14" t="n">
        <f aca="false">N722</f>
        <v>2.99623214859564</v>
      </c>
      <c r="AD722" s="14" t="n">
        <f aca="false">G722</f>
        <v>7</v>
      </c>
      <c r="AE722" s="14" t="n">
        <f aca="false">J722</f>
        <v>0.58333333</v>
      </c>
      <c r="AF722" s="14" t="n">
        <f aca="false">IF($L722=2012,1,0)</f>
        <v>0</v>
      </c>
      <c r="AG722" s="14" t="n">
        <f aca="false">IF($L722=2013,1,0)</f>
        <v>0</v>
      </c>
      <c r="AH722" s="14" t="n">
        <f aca="false">IF($L722=2014,1,0)</f>
        <v>0</v>
      </c>
      <c r="AI722" s="14" t="n">
        <f aca="false">IF($L722=2015,1,0)</f>
        <v>1</v>
      </c>
      <c r="AJ722" s="14" t="n">
        <f aca="false">IF($L722=2016,1,0)</f>
        <v>0</v>
      </c>
      <c r="AK722" s="14" t="n">
        <f aca="false">IF($L722=2017,1,0)</f>
        <v>0</v>
      </c>
      <c r="AL722" s="14" t="n">
        <f aca="false">IF($H722="Beginner Level",1,0)</f>
        <v>1</v>
      </c>
      <c r="AM722" s="14" t="n">
        <f aca="false">IF($H722="Expert Level",1,0)</f>
        <v>0</v>
      </c>
      <c r="AN722" s="14" t="n">
        <f aca="false">IF($H722="Intermediate Level",1,0)</f>
        <v>0</v>
      </c>
    </row>
    <row r="723" customFormat="false" ht="46.25" hidden="false" customHeight="false" outlineLevel="0" collapsed="false">
      <c r="A723" s="14" t="n">
        <v>420982</v>
      </c>
      <c r="B723" s="14" t="s">
        <v>1488</v>
      </c>
      <c r="C723" s="14" t="s">
        <v>1489</v>
      </c>
      <c r="D723" s="14" t="n">
        <v>195</v>
      </c>
      <c r="E723" s="14" t="n">
        <v>1766</v>
      </c>
      <c r="F723" s="14" t="n">
        <v>38</v>
      </c>
      <c r="G723" s="14" t="n">
        <v>118</v>
      </c>
      <c r="H723" s="14" t="s">
        <v>62</v>
      </c>
      <c r="I723" s="14" t="n">
        <v>0.78</v>
      </c>
      <c r="J723" s="14" t="n">
        <v>18.5</v>
      </c>
      <c r="K723" s="14" t="s">
        <v>59</v>
      </c>
      <c r="L723" s="14" t="n">
        <v>2015</v>
      </c>
      <c r="M723" s="14" t="n">
        <v>7.47647238116391</v>
      </c>
      <c r="N723" s="14" t="n">
        <v>5.27305083930015</v>
      </c>
      <c r="P723" s="14" t="n">
        <f aca="false">D723</f>
        <v>195</v>
      </c>
      <c r="Q723" s="14" t="n">
        <f aca="false">G723</f>
        <v>118</v>
      </c>
      <c r="R723" s="14" t="n">
        <f aca="false">J723</f>
        <v>18.5</v>
      </c>
      <c r="S723" s="14" t="n">
        <f aca="false">IF($L723=2012,1,0)</f>
        <v>0</v>
      </c>
      <c r="T723" s="14" t="n">
        <f aca="false">IF($L723=2013,1,0)</f>
        <v>0</v>
      </c>
      <c r="U723" s="14" t="n">
        <f aca="false">IF($L723=2014,1,0)</f>
        <v>0</v>
      </c>
      <c r="V723" s="14" t="n">
        <f aca="false">IF($L723=2015,1,0)</f>
        <v>1</v>
      </c>
      <c r="W723" s="14" t="n">
        <f aca="false">IF($L723=2016,1,0)</f>
        <v>0</v>
      </c>
      <c r="X723" s="14" t="n">
        <f aca="false">IF($L723=2017,1,0)</f>
        <v>0</v>
      </c>
      <c r="Y723" s="14" t="n">
        <f aca="false">IF($H723="Beginner Level",1,0)</f>
        <v>0</v>
      </c>
      <c r="Z723" s="14" t="n">
        <f aca="false">IF($H723="Expert Level",1,0)</f>
        <v>0</v>
      </c>
      <c r="AA723" s="14" t="n">
        <f aca="false">IF($H723="Intermediate Level",1,0)</f>
        <v>0</v>
      </c>
      <c r="AC723" s="14" t="n">
        <f aca="false">N723</f>
        <v>5.27305083930015</v>
      </c>
      <c r="AD723" s="14" t="n">
        <f aca="false">G723</f>
        <v>118</v>
      </c>
      <c r="AE723" s="14" t="n">
        <f aca="false">J723</f>
        <v>18.5</v>
      </c>
      <c r="AF723" s="14" t="n">
        <f aca="false">IF($L723=2012,1,0)</f>
        <v>0</v>
      </c>
      <c r="AG723" s="14" t="n">
        <f aca="false">IF($L723=2013,1,0)</f>
        <v>0</v>
      </c>
      <c r="AH723" s="14" t="n">
        <f aca="false">IF($L723=2014,1,0)</f>
        <v>0</v>
      </c>
      <c r="AI723" s="14" t="n">
        <f aca="false">IF($L723=2015,1,0)</f>
        <v>1</v>
      </c>
      <c r="AJ723" s="14" t="n">
        <f aca="false">IF($L723=2016,1,0)</f>
        <v>0</v>
      </c>
      <c r="AK723" s="14" t="n">
        <f aca="false">IF($L723=2017,1,0)</f>
        <v>0</v>
      </c>
      <c r="AL723" s="14" t="n">
        <f aca="false">IF($H723="Beginner Level",1,0)</f>
        <v>0</v>
      </c>
      <c r="AM723" s="14" t="n">
        <f aca="false">IF($H723="Expert Level",1,0)</f>
        <v>0</v>
      </c>
      <c r="AN723" s="14" t="n">
        <f aca="false">IF($H723="Intermediate Level",1,0)</f>
        <v>0</v>
      </c>
    </row>
    <row r="724" customFormat="false" ht="57.45" hidden="false" customHeight="false" outlineLevel="0" collapsed="false">
      <c r="A724" s="14" t="n">
        <v>902748</v>
      </c>
      <c r="B724" s="14" t="s">
        <v>1490</v>
      </c>
      <c r="C724" s="14" t="s">
        <v>1491</v>
      </c>
      <c r="D724" s="14" t="n">
        <v>45</v>
      </c>
      <c r="E724" s="14" t="n">
        <v>1764</v>
      </c>
      <c r="F724" s="14" t="n">
        <v>33</v>
      </c>
      <c r="G724" s="14" t="n">
        <v>16</v>
      </c>
      <c r="H724" s="14" t="s">
        <v>52</v>
      </c>
      <c r="I724" s="14" t="n">
        <v>0.78</v>
      </c>
      <c r="J724" s="14" t="n">
        <v>1.5</v>
      </c>
      <c r="K724" s="14" t="s">
        <v>59</v>
      </c>
      <c r="L724" s="14" t="n">
        <v>2016</v>
      </c>
      <c r="M724" s="14" t="n">
        <v>7.47533923656674</v>
      </c>
      <c r="N724" s="14" t="n">
        <v>3.80688468730484</v>
      </c>
      <c r="P724" s="14" t="n">
        <f aca="false">D724</f>
        <v>45</v>
      </c>
      <c r="Q724" s="14" t="n">
        <f aca="false">G724</f>
        <v>16</v>
      </c>
      <c r="R724" s="14" t="n">
        <f aca="false">J724</f>
        <v>1.5</v>
      </c>
      <c r="S724" s="14" t="n">
        <f aca="false">IF($L724=2012,1,0)</f>
        <v>0</v>
      </c>
      <c r="T724" s="14" t="n">
        <f aca="false">IF($L724=2013,1,0)</f>
        <v>0</v>
      </c>
      <c r="U724" s="14" t="n">
        <f aca="false">IF($L724=2014,1,0)</f>
        <v>0</v>
      </c>
      <c r="V724" s="14" t="n">
        <f aca="false">IF($L724=2015,1,0)</f>
        <v>0</v>
      </c>
      <c r="W724" s="14" t="n">
        <f aca="false">IF($L724=2016,1,0)</f>
        <v>1</v>
      </c>
      <c r="X724" s="14" t="n">
        <f aca="false">IF($L724=2017,1,0)</f>
        <v>0</v>
      </c>
      <c r="Y724" s="14" t="n">
        <f aca="false">IF($H724="Beginner Level",1,0)</f>
        <v>1</v>
      </c>
      <c r="Z724" s="14" t="n">
        <f aca="false">IF($H724="Expert Level",1,0)</f>
        <v>0</v>
      </c>
      <c r="AA724" s="14" t="n">
        <f aca="false">IF($H724="Intermediate Level",1,0)</f>
        <v>0</v>
      </c>
      <c r="AC724" s="14" t="n">
        <f aca="false">N724</f>
        <v>3.80688468730484</v>
      </c>
      <c r="AD724" s="14" t="n">
        <f aca="false">G724</f>
        <v>16</v>
      </c>
      <c r="AE724" s="14" t="n">
        <f aca="false">J724</f>
        <v>1.5</v>
      </c>
      <c r="AF724" s="14" t="n">
        <f aca="false">IF($L724=2012,1,0)</f>
        <v>0</v>
      </c>
      <c r="AG724" s="14" t="n">
        <f aca="false">IF($L724=2013,1,0)</f>
        <v>0</v>
      </c>
      <c r="AH724" s="14" t="n">
        <f aca="false">IF($L724=2014,1,0)</f>
        <v>0</v>
      </c>
      <c r="AI724" s="14" t="n">
        <f aca="false">IF($L724=2015,1,0)</f>
        <v>0</v>
      </c>
      <c r="AJ724" s="14" t="n">
        <f aca="false">IF($L724=2016,1,0)</f>
        <v>1</v>
      </c>
      <c r="AK724" s="14" t="n">
        <f aca="false">IF($L724=2017,1,0)</f>
        <v>0</v>
      </c>
      <c r="AL724" s="14" t="n">
        <f aca="false">IF($H724="Beginner Level",1,0)</f>
        <v>1</v>
      </c>
      <c r="AM724" s="14" t="n">
        <f aca="false">IF($H724="Expert Level",1,0)</f>
        <v>0</v>
      </c>
      <c r="AN724" s="14" t="n">
        <f aca="false">IF($H724="Intermediate Level",1,0)</f>
        <v>0</v>
      </c>
    </row>
    <row r="725" customFormat="false" ht="57.45" hidden="false" customHeight="false" outlineLevel="0" collapsed="false">
      <c r="A725" s="14" t="n">
        <v>270808</v>
      </c>
      <c r="B725" s="14" t="s">
        <v>1492</v>
      </c>
      <c r="C725" s="14" t="s">
        <v>1493</v>
      </c>
      <c r="D725" s="14" t="n">
        <v>60</v>
      </c>
      <c r="E725" s="14" t="n">
        <v>1764</v>
      </c>
      <c r="F725" s="14" t="n">
        <v>53</v>
      </c>
      <c r="G725" s="14" t="n">
        <v>28</v>
      </c>
      <c r="H725" s="14" t="s">
        <v>62</v>
      </c>
      <c r="I725" s="14" t="n">
        <v>0.78</v>
      </c>
      <c r="J725" s="14" t="n">
        <v>6.5</v>
      </c>
      <c r="K725" s="14" t="s">
        <v>59</v>
      </c>
      <c r="L725" s="14" t="n">
        <v>2014</v>
      </c>
      <c r="M725" s="14" t="n">
        <v>7.47533923656674</v>
      </c>
      <c r="N725" s="14" t="n">
        <v>4.09451121500142</v>
      </c>
      <c r="P725" s="14" t="n">
        <f aca="false">D725</f>
        <v>60</v>
      </c>
      <c r="Q725" s="14" t="n">
        <f aca="false">G725</f>
        <v>28</v>
      </c>
      <c r="R725" s="14" t="n">
        <f aca="false">J725</f>
        <v>6.5</v>
      </c>
      <c r="S725" s="14" t="n">
        <f aca="false">IF($L725=2012,1,0)</f>
        <v>0</v>
      </c>
      <c r="T725" s="14" t="n">
        <f aca="false">IF($L725=2013,1,0)</f>
        <v>0</v>
      </c>
      <c r="U725" s="14" t="n">
        <f aca="false">IF($L725=2014,1,0)</f>
        <v>1</v>
      </c>
      <c r="V725" s="14" t="n">
        <f aca="false">IF($L725=2015,1,0)</f>
        <v>0</v>
      </c>
      <c r="W725" s="14" t="n">
        <f aca="false">IF($L725=2016,1,0)</f>
        <v>0</v>
      </c>
      <c r="X725" s="14" t="n">
        <f aca="false">IF($L725=2017,1,0)</f>
        <v>0</v>
      </c>
      <c r="Y725" s="14" t="n">
        <f aca="false">IF($H725="Beginner Level",1,0)</f>
        <v>0</v>
      </c>
      <c r="Z725" s="14" t="n">
        <f aca="false">IF($H725="Expert Level",1,0)</f>
        <v>0</v>
      </c>
      <c r="AA725" s="14" t="n">
        <f aca="false">IF($H725="Intermediate Level",1,0)</f>
        <v>0</v>
      </c>
      <c r="AC725" s="14" t="n">
        <f aca="false">N725</f>
        <v>4.09451121500142</v>
      </c>
      <c r="AD725" s="14" t="n">
        <f aca="false">G725</f>
        <v>28</v>
      </c>
      <c r="AE725" s="14" t="n">
        <f aca="false">J725</f>
        <v>6.5</v>
      </c>
      <c r="AF725" s="14" t="n">
        <f aca="false">IF($L725=2012,1,0)</f>
        <v>0</v>
      </c>
      <c r="AG725" s="14" t="n">
        <f aca="false">IF($L725=2013,1,0)</f>
        <v>0</v>
      </c>
      <c r="AH725" s="14" t="n">
        <f aca="false">IF($L725=2014,1,0)</f>
        <v>1</v>
      </c>
      <c r="AI725" s="14" t="n">
        <f aca="false">IF($L725=2015,1,0)</f>
        <v>0</v>
      </c>
      <c r="AJ725" s="14" t="n">
        <f aca="false">IF($L725=2016,1,0)</f>
        <v>0</v>
      </c>
      <c r="AK725" s="14" t="n">
        <f aca="false">IF($L725=2017,1,0)</f>
        <v>0</v>
      </c>
      <c r="AL725" s="14" t="n">
        <f aca="false">IF($H725="Beginner Level",1,0)</f>
        <v>0</v>
      </c>
      <c r="AM725" s="14" t="n">
        <f aca="false">IF($H725="Expert Level",1,0)</f>
        <v>0</v>
      </c>
      <c r="AN725" s="14" t="n">
        <f aca="false">IF($H725="Intermediate Level",1,0)</f>
        <v>0</v>
      </c>
    </row>
    <row r="726" customFormat="false" ht="68.65" hidden="false" customHeight="false" outlineLevel="0" collapsed="false">
      <c r="A726" s="14" t="n">
        <v>1121696</v>
      </c>
      <c r="B726" s="14" t="s">
        <v>1494</v>
      </c>
      <c r="C726" s="14" t="s">
        <v>1495</v>
      </c>
      <c r="D726" s="14" t="n">
        <v>20</v>
      </c>
      <c r="E726" s="14" t="n">
        <v>1763</v>
      </c>
      <c r="F726" s="14" t="n">
        <v>17</v>
      </c>
      <c r="G726" s="14" t="n">
        <v>30</v>
      </c>
      <c r="H726" s="14" t="s">
        <v>52</v>
      </c>
      <c r="I726" s="14" t="n">
        <v>0.78</v>
      </c>
      <c r="J726" s="14" t="n">
        <v>2</v>
      </c>
      <c r="K726" s="14" t="s">
        <v>59</v>
      </c>
      <c r="L726" s="14" t="n">
        <v>2017</v>
      </c>
      <c r="M726" s="14" t="n">
        <v>7.47477218239787</v>
      </c>
      <c r="N726" s="14" t="n">
        <v>2.99623214859564</v>
      </c>
      <c r="P726" s="14" t="n">
        <f aca="false">D726</f>
        <v>20</v>
      </c>
      <c r="Q726" s="14" t="n">
        <f aca="false">G726</f>
        <v>30</v>
      </c>
      <c r="R726" s="14" t="n">
        <f aca="false">J726</f>
        <v>2</v>
      </c>
      <c r="S726" s="14" t="n">
        <f aca="false">IF($L726=2012,1,0)</f>
        <v>0</v>
      </c>
      <c r="T726" s="14" t="n">
        <f aca="false">IF($L726=2013,1,0)</f>
        <v>0</v>
      </c>
      <c r="U726" s="14" t="n">
        <f aca="false">IF($L726=2014,1,0)</f>
        <v>0</v>
      </c>
      <c r="V726" s="14" t="n">
        <f aca="false">IF($L726=2015,1,0)</f>
        <v>0</v>
      </c>
      <c r="W726" s="14" t="n">
        <f aca="false">IF($L726=2016,1,0)</f>
        <v>0</v>
      </c>
      <c r="X726" s="14" t="n">
        <f aca="false">IF($L726=2017,1,0)</f>
        <v>1</v>
      </c>
      <c r="Y726" s="14" t="n">
        <f aca="false">IF($H726="Beginner Level",1,0)</f>
        <v>1</v>
      </c>
      <c r="Z726" s="14" t="n">
        <f aca="false">IF($H726="Expert Level",1,0)</f>
        <v>0</v>
      </c>
      <c r="AA726" s="14" t="n">
        <f aca="false">IF($H726="Intermediate Level",1,0)</f>
        <v>0</v>
      </c>
      <c r="AC726" s="14" t="n">
        <f aca="false">N726</f>
        <v>2.99623214859564</v>
      </c>
      <c r="AD726" s="14" t="n">
        <f aca="false">G726</f>
        <v>30</v>
      </c>
      <c r="AE726" s="14" t="n">
        <f aca="false">J726</f>
        <v>2</v>
      </c>
      <c r="AF726" s="14" t="n">
        <f aca="false">IF($L726=2012,1,0)</f>
        <v>0</v>
      </c>
      <c r="AG726" s="14" t="n">
        <f aca="false">IF($L726=2013,1,0)</f>
        <v>0</v>
      </c>
      <c r="AH726" s="14" t="n">
        <f aca="false">IF($L726=2014,1,0)</f>
        <v>0</v>
      </c>
      <c r="AI726" s="14" t="n">
        <f aca="false">IF($L726=2015,1,0)</f>
        <v>0</v>
      </c>
      <c r="AJ726" s="14" t="n">
        <f aca="false">IF($L726=2016,1,0)</f>
        <v>0</v>
      </c>
      <c r="AK726" s="14" t="n">
        <f aca="false">IF($L726=2017,1,0)</f>
        <v>1</v>
      </c>
      <c r="AL726" s="14" t="n">
        <f aca="false">IF($H726="Beginner Level",1,0)</f>
        <v>1</v>
      </c>
      <c r="AM726" s="14" t="n">
        <f aca="false">IF($H726="Expert Level",1,0)</f>
        <v>0</v>
      </c>
      <c r="AN726" s="14" t="n">
        <f aca="false">IF($H726="Intermediate Level",1,0)</f>
        <v>0</v>
      </c>
    </row>
    <row r="727" customFormat="false" ht="79.85" hidden="false" customHeight="false" outlineLevel="0" collapsed="false">
      <c r="A727" s="14" t="n">
        <v>17887</v>
      </c>
      <c r="B727" s="14" t="s">
        <v>1496</v>
      </c>
      <c r="C727" s="14" t="s">
        <v>1497</v>
      </c>
      <c r="D727" s="14" t="n">
        <v>25</v>
      </c>
      <c r="E727" s="14" t="n">
        <v>1758</v>
      </c>
      <c r="F727" s="14" t="n">
        <v>37</v>
      </c>
      <c r="G727" s="14" t="n">
        <v>16</v>
      </c>
      <c r="H727" s="14" t="s">
        <v>71</v>
      </c>
      <c r="I727" s="14" t="n">
        <v>0.78</v>
      </c>
      <c r="J727" s="14" t="n">
        <v>3.5</v>
      </c>
      <c r="K727" s="14" t="s">
        <v>59</v>
      </c>
      <c r="L727" s="14" t="n">
        <v>2012</v>
      </c>
      <c r="M727" s="14" t="n">
        <v>7.47193207824512</v>
      </c>
      <c r="N727" s="14" t="n">
        <v>3.21927574488953</v>
      </c>
      <c r="P727" s="14" t="n">
        <f aca="false">D727</f>
        <v>25</v>
      </c>
      <c r="Q727" s="14" t="n">
        <f aca="false">G727</f>
        <v>16</v>
      </c>
      <c r="R727" s="14" t="n">
        <f aca="false">J727</f>
        <v>3.5</v>
      </c>
      <c r="S727" s="14" t="n">
        <f aca="false">IF($L727=2012,1,0)</f>
        <v>1</v>
      </c>
      <c r="T727" s="14" t="n">
        <f aca="false">IF($L727=2013,1,0)</f>
        <v>0</v>
      </c>
      <c r="U727" s="14" t="n">
        <f aca="false">IF($L727=2014,1,0)</f>
        <v>0</v>
      </c>
      <c r="V727" s="14" t="n">
        <f aca="false">IF($L727=2015,1,0)</f>
        <v>0</v>
      </c>
      <c r="W727" s="14" t="n">
        <f aca="false">IF($L727=2016,1,0)</f>
        <v>0</v>
      </c>
      <c r="X727" s="14" t="n">
        <f aca="false">IF($L727=2017,1,0)</f>
        <v>0</v>
      </c>
      <c r="Y727" s="14" t="n">
        <f aca="false">IF($H727="Beginner Level",1,0)</f>
        <v>0</v>
      </c>
      <c r="Z727" s="14" t="n">
        <f aca="false">IF($H727="Expert Level",1,0)</f>
        <v>0</v>
      </c>
      <c r="AA727" s="14" t="n">
        <f aca="false">IF($H727="Intermediate Level",1,0)</f>
        <v>1</v>
      </c>
      <c r="AC727" s="14" t="n">
        <f aca="false">N727</f>
        <v>3.21927574488953</v>
      </c>
      <c r="AD727" s="14" t="n">
        <f aca="false">G727</f>
        <v>16</v>
      </c>
      <c r="AE727" s="14" t="n">
        <f aca="false">J727</f>
        <v>3.5</v>
      </c>
      <c r="AF727" s="14" t="n">
        <f aca="false">IF($L727=2012,1,0)</f>
        <v>1</v>
      </c>
      <c r="AG727" s="14" t="n">
        <f aca="false">IF($L727=2013,1,0)</f>
        <v>0</v>
      </c>
      <c r="AH727" s="14" t="n">
        <f aca="false">IF($L727=2014,1,0)</f>
        <v>0</v>
      </c>
      <c r="AI727" s="14" t="n">
        <f aca="false">IF($L727=2015,1,0)</f>
        <v>0</v>
      </c>
      <c r="AJ727" s="14" t="n">
        <f aca="false">IF($L727=2016,1,0)</f>
        <v>0</v>
      </c>
      <c r="AK727" s="14" t="n">
        <f aca="false">IF($L727=2017,1,0)</f>
        <v>0</v>
      </c>
      <c r="AL727" s="14" t="n">
        <f aca="false">IF($H727="Beginner Level",1,0)</f>
        <v>0</v>
      </c>
      <c r="AM727" s="14" t="n">
        <f aca="false">IF($H727="Expert Level",1,0)</f>
        <v>0</v>
      </c>
      <c r="AN727" s="14" t="n">
        <f aca="false">IF($H727="Intermediate Level",1,0)</f>
        <v>1</v>
      </c>
    </row>
    <row r="728" customFormat="false" ht="79.85" hidden="false" customHeight="false" outlineLevel="0" collapsed="false">
      <c r="A728" s="14" t="n">
        <v>933110</v>
      </c>
      <c r="B728" s="14" t="s">
        <v>1498</v>
      </c>
      <c r="C728" s="14" t="s">
        <v>1499</v>
      </c>
      <c r="D728" s="14" t="n">
        <v>20</v>
      </c>
      <c r="E728" s="14" t="n">
        <v>1747</v>
      </c>
      <c r="F728" s="14" t="n">
        <v>13</v>
      </c>
      <c r="G728" s="14" t="n">
        <v>13</v>
      </c>
      <c r="H728" s="14" t="s">
        <v>62</v>
      </c>
      <c r="I728" s="14" t="n">
        <v>0.78</v>
      </c>
      <c r="J728" s="14" t="n">
        <v>1.5</v>
      </c>
      <c r="K728" s="14" t="s">
        <v>59</v>
      </c>
      <c r="L728" s="14" t="n">
        <v>2016</v>
      </c>
      <c r="M728" s="14" t="n">
        <v>7.46565531013406</v>
      </c>
      <c r="N728" s="14" t="n">
        <v>2.99623214859564</v>
      </c>
      <c r="P728" s="14" t="n">
        <f aca="false">D728</f>
        <v>20</v>
      </c>
      <c r="Q728" s="14" t="n">
        <f aca="false">G728</f>
        <v>13</v>
      </c>
      <c r="R728" s="14" t="n">
        <f aca="false">J728</f>
        <v>1.5</v>
      </c>
      <c r="S728" s="14" t="n">
        <f aca="false">IF($L728=2012,1,0)</f>
        <v>0</v>
      </c>
      <c r="T728" s="14" t="n">
        <f aca="false">IF($L728=2013,1,0)</f>
        <v>0</v>
      </c>
      <c r="U728" s="14" t="n">
        <f aca="false">IF($L728=2014,1,0)</f>
        <v>0</v>
      </c>
      <c r="V728" s="14" t="n">
        <f aca="false">IF($L728=2015,1,0)</f>
        <v>0</v>
      </c>
      <c r="W728" s="14" t="n">
        <f aca="false">IF($L728=2016,1,0)</f>
        <v>1</v>
      </c>
      <c r="X728" s="14" t="n">
        <f aca="false">IF($L728=2017,1,0)</f>
        <v>0</v>
      </c>
      <c r="Y728" s="14" t="n">
        <f aca="false">IF($H728="Beginner Level",1,0)</f>
        <v>0</v>
      </c>
      <c r="Z728" s="14" t="n">
        <f aca="false">IF($H728="Expert Level",1,0)</f>
        <v>0</v>
      </c>
      <c r="AA728" s="14" t="n">
        <f aca="false">IF($H728="Intermediate Level",1,0)</f>
        <v>0</v>
      </c>
      <c r="AC728" s="14" t="n">
        <f aca="false">N728</f>
        <v>2.99623214859564</v>
      </c>
      <c r="AD728" s="14" t="n">
        <f aca="false">G728</f>
        <v>13</v>
      </c>
      <c r="AE728" s="14" t="n">
        <f aca="false">J728</f>
        <v>1.5</v>
      </c>
      <c r="AF728" s="14" t="n">
        <f aca="false">IF($L728=2012,1,0)</f>
        <v>0</v>
      </c>
      <c r="AG728" s="14" t="n">
        <f aca="false">IF($L728=2013,1,0)</f>
        <v>0</v>
      </c>
      <c r="AH728" s="14" t="n">
        <f aca="false">IF($L728=2014,1,0)</f>
        <v>0</v>
      </c>
      <c r="AI728" s="14" t="n">
        <f aca="false">IF($L728=2015,1,0)</f>
        <v>0</v>
      </c>
      <c r="AJ728" s="14" t="n">
        <f aca="false">IF($L728=2016,1,0)</f>
        <v>1</v>
      </c>
      <c r="AK728" s="14" t="n">
        <f aca="false">IF($L728=2017,1,0)</f>
        <v>0</v>
      </c>
      <c r="AL728" s="14" t="n">
        <f aca="false">IF($H728="Beginner Level",1,0)</f>
        <v>0</v>
      </c>
      <c r="AM728" s="14" t="n">
        <f aca="false">IF($H728="Expert Level",1,0)</f>
        <v>0</v>
      </c>
      <c r="AN728" s="14" t="n">
        <f aca="false">IF($H728="Intermediate Level",1,0)</f>
        <v>0</v>
      </c>
    </row>
    <row r="729" customFormat="false" ht="91" hidden="false" customHeight="false" outlineLevel="0" collapsed="false">
      <c r="A729" s="14" t="n">
        <v>1169378</v>
      </c>
      <c r="B729" s="14" t="s">
        <v>1500</v>
      </c>
      <c r="C729" s="14" t="s">
        <v>1501</v>
      </c>
      <c r="D729" s="14" t="n">
        <v>30</v>
      </c>
      <c r="E729" s="14" t="n">
        <v>1741</v>
      </c>
      <c r="F729" s="14" t="n">
        <v>26</v>
      </c>
      <c r="G729" s="14" t="n">
        <v>87</v>
      </c>
      <c r="H729" s="14" t="s">
        <v>62</v>
      </c>
      <c r="I729" s="14" t="n">
        <v>0.78</v>
      </c>
      <c r="J729" s="14" t="n">
        <v>9</v>
      </c>
      <c r="K729" s="14" t="s">
        <v>59</v>
      </c>
      <c r="L729" s="14" t="n">
        <v>2017</v>
      </c>
      <c r="M729" s="14" t="n">
        <v>7.46221493976819</v>
      </c>
      <c r="N729" s="14" t="n">
        <v>3.40153065945228</v>
      </c>
      <c r="P729" s="14" t="n">
        <f aca="false">D729</f>
        <v>30</v>
      </c>
      <c r="Q729" s="14" t="n">
        <f aca="false">G729</f>
        <v>87</v>
      </c>
      <c r="R729" s="14" t="n">
        <f aca="false">J729</f>
        <v>9</v>
      </c>
      <c r="S729" s="14" t="n">
        <f aca="false">IF($L729=2012,1,0)</f>
        <v>0</v>
      </c>
      <c r="T729" s="14" t="n">
        <f aca="false">IF($L729=2013,1,0)</f>
        <v>0</v>
      </c>
      <c r="U729" s="14" t="n">
        <f aca="false">IF($L729=2014,1,0)</f>
        <v>0</v>
      </c>
      <c r="V729" s="14" t="n">
        <f aca="false">IF($L729=2015,1,0)</f>
        <v>0</v>
      </c>
      <c r="W729" s="14" t="n">
        <f aca="false">IF($L729=2016,1,0)</f>
        <v>0</v>
      </c>
      <c r="X729" s="14" t="n">
        <f aca="false">IF($L729=2017,1,0)</f>
        <v>1</v>
      </c>
      <c r="Y729" s="14" t="n">
        <f aca="false">IF($H729="Beginner Level",1,0)</f>
        <v>0</v>
      </c>
      <c r="Z729" s="14" t="n">
        <f aca="false">IF($H729="Expert Level",1,0)</f>
        <v>0</v>
      </c>
      <c r="AA729" s="14" t="n">
        <f aca="false">IF($H729="Intermediate Level",1,0)</f>
        <v>0</v>
      </c>
      <c r="AC729" s="14" t="n">
        <f aca="false">N729</f>
        <v>3.40153065945228</v>
      </c>
      <c r="AD729" s="14" t="n">
        <f aca="false">G729</f>
        <v>87</v>
      </c>
      <c r="AE729" s="14" t="n">
        <f aca="false">J729</f>
        <v>9</v>
      </c>
      <c r="AF729" s="14" t="n">
        <f aca="false">IF($L729=2012,1,0)</f>
        <v>0</v>
      </c>
      <c r="AG729" s="14" t="n">
        <f aca="false">IF($L729=2013,1,0)</f>
        <v>0</v>
      </c>
      <c r="AH729" s="14" t="n">
        <f aca="false">IF($L729=2014,1,0)</f>
        <v>0</v>
      </c>
      <c r="AI729" s="14" t="n">
        <f aca="false">IF($L729=2015,1,0)</f>
        <v>0</v>
      </c>
      <c r="AJ729" s="14" t="n">
        <f aca="false">IF($L729=2016,1,0)</f>
        <v>0</v>
      </c>
      <c r="AK729" s="14" t="n">
        <f aca="false">IF($L729=2017,1,0)</f>
        <v>1</v>
      </c>
      <c r="AL729" s="14" t="n">
        <f aca="false">IF($H729="Beginner Level",1,0)</f>
        <v>0</v>
      </c>
      <c r="AM729" s="14" t="n">
        <f aca="false">IF($H729="Expert Level",1,0)</f>
        <v>0</v>
      </c>
      <c r="AN729" s="14" t="n">
        <f aca="false">IF($H729="Intermediate Level",1,0)</f>
        <v>0</v>
      </c>
    </row>
    <row r="730" customFormat="false" ht="57.45" hidden="false" customHeight="false" outlineLevel="0" collapsed="false">
      <c r="A730" s="14" t="n">
        <v>863954</v>
      </c>
      <c r="B730" s="14" t="s">
        <v>1502</v>
      </c>
      <c r="C730" s="14" t="s">
        <v>1503</v>
      </c>
      <c r="D730" s="14" t="n">
        <v>30</v>
      </c>
      <c r="E730" s="14" t="n">
        <v>1737</v>
      </c>
      <c r="F730" s="14" t="n">
        <v>471</v>
      </c>
      <c r="G730" s="14" t="n">
        <v>87</v>
      </c>
      <c r="H730" s="14" t="s">
        <v>52</v>
      </c>
      <c r="I730" s="14" t="n">
        <v>0.78</v>
      </c>
      <c r="J730" s="14" t="n">
        <v>11.5</v>
      </c>
      <c r="K730" s="14" t="s">
        <v>59</v>
      </c>
      <c r="L730" s="14" t="n">
        <v>2016</v>
      </c>
      <c r="M730" s="14" t="n">
        <v>7.45991476624111</v>
      </c>
      <c r="N730" s="14" t="n">
        <v>3.40153065945228</v>
      </c>
      <c r="P730" s="14" t="n">
        <f aca="false">D730</f>
        <v>30</v>
      </c>
      <c r="Q730" s="14" t="n">
        <f aca="false">G730</f>
        <v>87</v>
      </c>
      <c r="R730" s="14" t="n">
        <f aca="false">J730</f>
        <v>11.5</v>
      </c>
      <c r="S730" s="14" t="n">
        <f aca="false">IF($L730=2012,1,0)</f>
        <v>0</v>
      </c>
      <c r="T730" s="14" t="n">
        <f aca="false">IF($L730=2013,1,0)</f>
        <v>0</v>
      </c>
      <c r="U730" s="14" t="n">
        <f aca="false">IF($L730=2014,1,0)</f>
        <v>0</v>
      </c>
      <c r="V730" s="14" t="n">
        <f aca="false">IF($L730=2015,1,0)</f>
        <v>0</v>
      </c>
      <c r="W730" s="14" t="n">
        <f aca="false">IF($L730=2016,1,0)</f>
        <v>1</v>
      </c>
      <c r="X730" s="14" t="n">
        <f aca="false">IF($L730=2017,1,0)</f>
        <v>0</v>
      </c>
      <c r="Y730" s="14" t="n">
        <f aca="false">IF($H730="Beginner Level",1,0)</f>
        <v>1</v>
      </c>
      <c r="Z730" s="14" t="n">
        <f aca="false">IF($H730="Expert Level",1,0)</f>
        <v>0</v>
      </c>
      <c r="AA730" s="14" t="n">
        <f aca="false">IF($H730="Intermediate Level",1,0)</f>
        <v>0</v>
      </c>
      <c r="AC730" s="14" t="n">
        <f aca="false">N730</f>
        <v>3.40153065945228</v>
      </c>
      <c r="AD730" s="14" t="n">
        <f aca="false">G730</f>
        <v>87</v>
      </c>
      <c r="AE730" s="14" t="n">
        <f aca="false">J730</f>
        <v>11.5</v>
      </c>
      <c r="AF730" s="14" t="n">
        <f aca="false">IF($L730=2012,1,0)</f>
        <v>0</v>
      </c>
      <c r="AG730" s="14" t="n">
        <f aca="false">IF($L730=2013,1,0)</f>
        <v>0</v>
      </c>
      <c r="AH730" s="14" t="n">
        <f aca="false">IF($L730=2014,1,0)</f>
        <v>0</v>
      </c>
      <c r="AI730" s="14" t="n">
        <f aca="false">IF($L730=2015,1,0)</f>
        <v>0</v>
      </c>
      <c r="AJ730" s="14" t="n">
        <f aca="false">IF($L730=2016,1,0)</f>
        <v>1</v>
      </c>
      <c r="AK730" s="14" t="n">
        <f aca="false">IF($L730=2017,1,0)</f>
        <v>0</v>
      </c>
      <c r="AL730" s="14" t="n">
        <f aca="false">IF($H730="Beginner Level",1,0)</f>
        <v>1</v>
      </c>
      <c r="AM730" s="14" t="n">
        <f aca="false">IF($H730="Expert Level",1,0)</f>
        <v>0</v>
      </c>
      <c r="AN730" s="14" t="n">
        <f aca="false">IF($H730="Intermediate Level",1,0)</f>
        <v>0</v>
      </c>
    </row>
    <row r="731" customFormat="false" ht="68.65" hidden="false" customHeight="false" outlineLevel="0" collapsed="false">
      <c r="A731" s="14" t="n">
        <v>340362</v>
      </c>
      <c r="B731" s="14" t="s">
        <v>1504</v>
      </c>
      <c r="C731" s="14" t="s">
        <v>1505</v>
      </c>
      <c r="D731" s="14" t="n">
        <v>60</v>
      </c>
      <c r="E731" s="14" t="n">
        <v>1736</v>
      </c>
      <c r="F731" s="14" t="n">
        <v>79</v>
      </c>
      <c r="G731" s="14" t="n">
        <v>47</v>
      </c>
      <c r="H731" s="14" t="s">
        <v>52</v>
      </c>
      <c r="I731" s="14" t="n">
        <v>0.78</v>
      </c>
      <c r="J731" s="14" t="n">
        <v>13</v>
      </c>
      <c r="K731" s="14" t="s">
        <v>59</v>
      </c>
      <c r="L731" s="14" t="n">
        <v>2014</v>
      </c>
      <c r="M731" s="14" t="n">
        <v>7.4593388952203</v>
      </c>
      <c r="N731" s="14" t="n">
        <v>4.09451121500142</v>
      </c>
      <c r="P731" s="14" t="n">
        <f aca="false">D731</f>
        <v>60</v>
      </c>
      <c r="Q731" s="14" t="n">
        <f aca="false">G731</f>
        <v>47</v>
      </c>
      <c r="R731" s="14" t="n">
        <f aca="false">J731</f>
        <v>13</v>
      </c>
      <c r="S731" s="14" t="n">
        <f aca="false">IF($L731=2012,1,0)</f>
        <v>0</v>
      </c>
      <c r="T731" s="14" t="n">
        <f aca="false">IF($L731=2013,1,0)</f>
        <v>0</v>
      </c>
      <c r="U731" s="14" t="n">
        <f aca="false">IF($L731=2014,1,0)</f>
        <v>1</v>
      </c>
      <c r="V731" s="14" t="n">
        <f aca="false">IF($L731=2015,1,0)</f>
        <v>0</v>
      </c>
      <c r="W731" s="14" t="n">
        <f aca="false">IF($L731=2016,1,0)</f>
        <v>0</v>
      </c>
      <c r="X731" s="14" t="n">
        <f aca="false">IF($L731=2017,1,0)</f>
        <v>0</v>
      </c>
      <c r="Y731" s="14" t="n">
        <f aca="false">IF($H731="Beginner Level",1,0)</f>
        <v>1</v>
      </c>
      <c r="Z731" s="14" t="n">
        <f aca="false">IF($H731="Expert Level",1,0)</f>
        <v>0</v>
      </c>
      <c r="AA731" s="14" t="n">
        <f aca="false">IF($H731="Intermediate Level",1,0)</f>
        <v>0</v>
      </c>
      <c r="AC731" s="14" t="n">
        <f aca="false">N731</f>
        <v>4.09451121500142</v>
      </c>
      <c r="AD731" s="14" t="n">
        <f aca="false">G731</f>
        <v>47</v>
      </c>
      <c r="AE731" s="14" t="n">
        <f aca="false">J731</f>
        <v>13</v>
      </c>
      <c r="AF731" s="14" t="n">
        <f aca="false">IF($L731=2012,1,0)</f>
        <v>0</v>
      </c>
      <c r="AG731" s="14" t="n">
        <f aca="false">IF($L731=2013,1,0)</f>
        <v>0</v>
      </c>
      <c r="AH731" s="14" t="n">
        <f aca="false">IF($L731=2014,1,0)</f>
        <v>1</v>
      </c>
      <c r="AI731" s="14" t="n">
        <f aca="false">IF($L731=2015,1,0)</f>
        <v>0</v>
      </c>
      <c r="AJ731" s="14" t="n">
        <f aca="false">IF($L731=2016,1,0)</f>
        <v>0</v>
      </c>
      <c r="AK731" s="14" t="n">
        <f aca="false">IF($L731=2017,1,0)</f>
        <v>0</v>
      </c>
      <c r="AL731" s="14" t="n">
        <f aca="false">IF($H731="Beginner Level",1,0)</f>
        <v>1</v>
      </c>
      <c r="AM731" s="14" t="n">
        <f aca="false">IF($H731="Expert Level",1,0)</f>
        <v>0</v>
      </c>
      <c r="AN731" s="14" t="n">
        <f aca="false">IF($H731="Intermediate Level",1,0)</f>
        <v>0</v>
      </c>
    </row>
    <row r="732" customFormat="false" ht="57.45" hidden="false" customHeight="false" outlineLevel="0" collapsed="false">
      <c r="A732" s="14" t="n">
        <v>937134</v>
      </c>
      <c r="B732" s="14" t="s">
        <v>1506</v>
      </c>
      <c r="C732" s="14" t="s">
        <v>1507</v>
      </c>
      <c r="D732" s="14" t="n">
        <v>100</v>
      </c>
      <c r="E732" s="14" t="n">
        <v>1735</v>
      </c>
      <c r="F732" s="14" t="n">
        <v>76</v>
      </c>
      <c r="G732" s="14" t="n">
        <v>25</v>
      </c>
      <c r="H732" s="14" t="s">
        <v>52</v>
      </c>
      <c r="I732" s="14" t="n">
        <v>0.78</v>
      </c>
      <c r="J732" s="14" t="n">
        <v>2.5</v>
      </c>
      <c r="K732" s="14" t="s">
        <v>59</v>
      </c>
      <c r="L732" s="14" t="n">
        <v>2016</v>
      </c>
      <c r="M732" s="14" t="n">
        <v>7.45876269238096</v>
      </c>
      <c r="N732" s="14" t="n">
        <v>4.60527018098843</v>
      </c>
      <c r="P732" s="14" t="n">
        <f aca="false">D732</f>
        <v>100</v>
      </c>
      <c r="Q732" s="14" t="n">
        <f aca="false">G732</f>
        <v>25</v>
      </c>
      <c r="R732" s="14" t="n">
        <f aca="false">J732</f>
        <v>2.5</v>
      </c>
      <c r="S732" s="14" t="n">
        <f aca="false">IF($L732=2012,1,0)</f>
        <v>0</v>
      </c>
      <c r="T732" s="14" t="n">
        <f aca="false">IF($L732=2013,1,0)</f>
        <v>0</v>
      </c>
      <c r="U732" s="14" t="n">
        <f aca="false">IF($L732=2014,1,0)</f>
        <v>0</v>
      </c>
      <c r="V732" s="14" t="n">
        <f aca="false">IF($L732=2015,1,0)</f>
        <v>0</v>
      </c>
      <c r="W732" s="14" t="n">
        <f aca="false">IF($L732=2016,1,0)</f>
        <v>1</v>
      </c>
      <c r="X732" s="14" t="n">
        <f aca="false">IF($L732=2017,1,0)</f>
        <v>0</v>
      </c>
      <c r="Y732" s="14" t="n">
        <f aca="false">IF($H732="Beginner Level",1,0)</f>
        <v>1</v>
      </c>
      <c r="Z732" s="14" t="n">
        <f aca="false">IF($H732="Expert Level",1,0)</f>
        <v>0</v>
      </c>
      <c r="AA732" s="14" t="n">
        <f aca="false">IF($H732="Intermediate Level",1,0)</f>
        <v>0</v>
      </c>
      <c r="AC732" s="14" t="n">
        <f aca="false">N732</f>
        <v>4.60527018098843</v>
      </c>
      <c r="AD732" s="14" t="n">
        <f aca="false">G732</f>
        <v>25</v>
      </c>
      <c r="AE732" s="14" t="n">
        <f aca="false">J732</f>
        <v>2.5</v>
      </c>
      <c r="AF732" s="14" t="n">
        <f aca="false">IF($L732=2012,1,0)</f>
        <v>0</v>
      </c>
      <c r="AG732" s="14" t="n">
        <f aca="false">IF($L732=2013,1,0)</f>
        <v>0</v>
      </c>
      <c r="AH732" s="14" t="n">
        <f aca="false">IF($L732=2014,1,0)</f>
        <v>0</v>
      </c>
      <c r="AI732" s="14" t="n">
        <f aca="false">IF($L732=2015,1,0)</f>
        <v>0</v>
      </c>
      <c r="AJ732" s="14" t="n">
        <f aca="false">IF($L732=2016,1,0)</f>
        <v>1</v>
      </c>
      <c r="AK732" s="14" t="n">
        <f aca="false">IF($L732=2017,1,0)</f>
        <v>0</v>
      </c>
      <c r="AL732" s="14" t="n">
        <f aca="false">IF($H732="Beginner Level",1,0)</f>
        <v>1</v>
      </c>
      <c r="AM732" s="14" t="n">
        <f aca="false">IF($H732="Expert Level",1,0)</f>
        <v>0</v>
      </c>
      <c r="AN732" s="14" t="n">
        <f aca="false">IF($H732="Intermediate Level",1,0)</f>
        <v>0</v>
      </c>
    </row>
    <row r="733" customFormat="false" ht="57.45" hidden="false" customHeight="false" outlineLevel="0" collapsed="false">
      <c r="A733" s="14" t="n">
        <v>929260</v>
      </c>
      <c r="B733" s="14" t="s">
        <v>1508</v>
      </c>
      <c r="C733" s="14" t="s">
        <v>1509</v>
      </c>
      <c r="D733" s="14" t="n">
        <v>20</v>
      </c>
      <c r="E733" s="14" t="n">
        <v>1734</v>
      </c>
      <c r="F733" s="14" t="n">
        <v>9</v>
      </c>
      <c r="G733" s="14" t="n">
        <v>13</v>
      </c>
      <c r="H733" s="14" t="s">
        <v>52</v>
      </c>
      <c r="I733" s="14" t="n">
        <v>0.78</v>
      </c>
      <c r="J733" s="14" t="n">
        <v>1</v>
      </c>
      <c r="K733" s="14" t="s">
        <v>59</v>
      </c>
      <c r="L733" s="14" t="n">
        <v>2016</v>
      </c>
      <c r="M733" s="14" t="n">
        <v>7.45818615734049</v>
      </c>
      <c r="N733" s="14" t="n">
        <v>2.99623214859564</v>
      </c>
      <c r="P733" s="14" t="n">
        <f aca="false">D733</f>
        <v>20</v>
      </c>
      <c r="Q733" s="14" t="n">
        <f aca="false">G733</f>
        <v>13</v>
      </c>
      <c r="R733" s="14" t="n">
        <f aca="false">J733</f>
        <v>1</v>
      </c>
      <c r="S733" s="14" t="n">
        <f aca="false">IF($L733=2012,1,0)</f>
        <v>0</v>
      </c>
      <c r="T733" s="14" t="n">
        <f aca="false">IF($L733=2013,1,0)</f>
        <v>0</v>
      </c>
      <c r="U733" s="14" t="n">
        <f aca="false">IF($L733=2014,1,0)</f>
        <v>0</v>
      </c>
      <c r="V733" s="14" t="n">
        <f aca="false">IF($L733=2015,1,0)</f>
        <v>0</v>
      </c>
      <c r="W733" s="14" t="n">
        <f aca="false">IF($L733=2016,1,0)</f>
        <v>1</v>
      </c>
      <c r="X733" s="14" t="n">
        <f aca="false">IF($L733=2017,1,0)</f>
        <v>0</v>
      </c>
      <c r="Y733" s="14" t="n">
        <f aca="false">IF($H733="Beginner Level",1,0)</f>
        <v>1</v>
      </c>
      <c r="Z733" s="14" t="n">
        <f aca="false">IF($H733="Expert Level",1,0)</f>
        <v>0</v>
      </c>
      <c r="AA733" s="14" t="n">
        <f aca="false">IF($H733="Intermediate Level",1,0)</f>
        <v>0</v>
      </c>
      <c r="AC733" s="14" t="n">
        <f aca="false">N733</f>
        <v>2.99623214859564</v>
      </c>
      <c r="AD733" s="14" t="n">
        <f aca="false">G733</f>
        <v>13</v>
      </c>
      <c r="AE733" s="14" t="n">
        <f aca="false">J733</f>
        <v>1</v>
      </c>
      <c r="AF733" s="14" t="n">
        <f aca="false">IF($L733=2012,1,0)</f>
        <v>0</v>
      </c>
      <c r="AG733" s="14" t="n">
        <f aca="false">IF($L733=2013,1,0)</f>
        <v>0</v>
      </c>
      <c r="AH733" s="14" t="n">
        <f aca="false">IF($L733=2014,1,0)</f>
        <v>0</v>
      </c>
      <c r="AI733" s="14" t="n">
        <f aca="false">IF($L733=2015,1,0)</f>
        <v>0</v>
      </c>
      <c r="AJ733" s="14" t="n">
        <f aca="false">IF($L733=2016,1,0)</f>
        <v>1</v>
      </c>
      <c r="AK733" s="14" t="n">
        <f aca="false">IF($L733=2017,1,0)</f>
        <v>0</v>
      </c>
      <c r="AL733" s="14" t="n">
        <f aca="false">IF($H733="Beginner Level",1,0)</f>
        <v>1</v>
      </c>
      <c r="AM733" s="14" t="n">
        <f aca="false">IF($H733="Expert Level",1,0)</f>
        <v>0</v>
      </c>
      <c r="AN733" s="14" t="n">
        <f aca="false">IF($H733="Intermediate Level",1,0)</f>
        <v>0</v>
      </c>
    </row>
    <row r="734" customFormat="false" ht="68.65" hidden="false" customHeight="false" outlineLevel="0" collapsed="false">
      <c r="A734" s="14" t="n">
        <v>1210098</v>
      </c>
      <c r="B734" s="14" t="s">
        <v>1510</v>
      </c>
      <c r="C734" s="14" t="s">
        <v>1511</v>
      </c>
      <c r="D734" s="14" t="n">
        <v>20</v>
      </c>
      <c r="E734" s="14" t="n">
        <v>1732</v>
      </c>
      <c r="F734" s="14" t="n">
        <v>15</v>
      </c>
      <c r="G734" s="14" t="n">
        <v>48</v>
      </c>
      <c r="H734" s="14" t="s">
        <v>71</v>
      </c>
      <c r="I734" s="14" t="n">
        <v>0.78</v>
      </c>
      <c r="J734" s="14" t="n">
        <v>4.5</v>
      </c>
      <c r="K734" s="14" t="s">
        <v>59</v>
      </c>
      <c r="L734" s="14" t="n">
        <v>2017</v>
      </c>
      <c r="M734" s="14" t="n">
        <v>7.45703208912238</v>
      </c>
      <c r="N734" s="14" t="n">
        <v>2.99623214859564</v>
      </c>
      <c r="P734" s="14" t="n">
        <f aca="false">D734</f>
        <v>20</v>
      </c>
      <c r="Q734" s="14" t="n">
        <f aca="false">G734</f>
        <v>48</v>
      </c>
      <c r="R734" s="14" t="n">
        <f aca="false">J734</f>
        <v>4.5</v>
      </c>
      <c r="S734" s="14" t="n">
        <f aca="false">IF($L734=2012,1,0)</f>
        <v>0</v>
      </c>
      <c r="T734" s="14" t="n">
        <f aca="false">IF($L734=2013,1,0)</f>
        <v>0</v>
      </c>
      <c r="U734" s="14" t="n">
        <f aca="false">IF($L734=2014,1,0)</f>
        <v>0</v>
      </c>
      <c r="V734" s="14" t="n">
        <f aca="false">IF($L734=2015,1,0)</f>
        <v>0</v>
      </c>
      <c r="W734" s="14" t="n">
        <f aca="false">IF($L734=2016,1,0)</f>
        <v>0</v>
      </c>
      <c r="X734" s="14" t="n">
        <f aca="false">IF($L734=2017,1,0)</f>
        <v>1</v>
      </c>
      <c r="Y734" s="14" t="n">
        <f aca="false">IF($H734="Beginner Level",1,0)</f>
        <v>0</v>
      </c>
      <c r="Z734" s="14" t="n">
        <f aca="false">IF($H734="Expert Level",1,0)</f>
        <v>0</v>
      </c>
      <c r="AA734" s="14" t="n">
        <f aca="false">IF($H734="Intermediate Level",1,0)</f>
        <v>1</v>
      </c>
      <c r="AC734" s="14" t="n">
        <f aca="false">N734</f>
        <v>2.99623214859564</v>
      </c>
      <c r="AD734" s="14" t="n">
        <f aca="false">G734</f>
        <v>48</v>
      </c>
      <c r="AE734" s="14" t="n">
        <f aca="false">J734</f>
        <v>4.5</v>
      </c>
      <c r="AF734" s="14" t="n">
        <f aca="false">IF($L734=2012,1,0)</f>
        <v>0</v>
      </c>
      <c r="AG734" s="14" t="n">
        <f aca="false">IF($L734=2013,1,0)</f>
        <v>0</v>
      </c>
      <c r="AH734" s="14" t="n">
        <f aca="false">IF($L734=2014,1,0)</f>
        <v>0</v>
      </c>
      <c r="AI734" s="14" t="n">
        <f aca="false">IF($L734=2015,1,0)</f>
        <v>0</v>
      </c>
      <c r="AJ734" s="14" t="n">
        <f aca="false">IF($L734=2016,1,0)</f>
        <v>0</v>
      </c>
      <c r="AK734" s="14" t="n">
        <f aca="false">IF($L734=2017,1,0)</f>
        <v>1</v>
      </c>
      <c r="AL734" s="14" t="n">
        <f aca="false">IF($H734="Beginner Level",1,0)</f>
        <v>0</v>
      </c>
      <c r="AM734" s="14" t="n">
        <f aca="false">IF($H734="Expert Level",1,0)</f>
        <v>0</v>
      </c>
      <c r="AN734" s="14" t="n">
        <f aca="false">IF($H734="Intermediate Level",1,0)</f>
        <v>1</v>
      </c>
    </row>
    <row r="735" customFormat="false" ht="57.45" hidden="false" customHeight="false" outlineLevel="0" collapsed="false">
      <c r="A735" s="14" t="n">
        <v>671960</v>
      </c>
      <c r="B735" s="14" t="s">
        <v>1512</v>
      </c>
      <c r="C735" s="14" t="s">
        <v>1513</v>
      </c>
      <c r="D735" s="14" t="n">
        <v>20</v>
      </c>
      <c r="E735" s="14" t="n">
        <v>1731</v>
      </c>
      <c r="F735" s="14" t="n">
        <v>90</v>
      </c>
      <c r="G735" s="14" t="n">
        <v>74</v>
      </c>
      <c r="H735" s="14" t="s">
        <v>62</v>
      </c>
      <c r="I735" s="14" t="n">
        <v>0.96</v>
      </c>
      <c r="J735" s="14" t="n">
        <v>4</v>
      </c>
      <c r="K735" s="14" t="s">
        <v>59</v>
      </c>
      <c r="L735" s="14" t="n">
        <v>2015</v>
      </c>
      <c r="M735" s="14" t="n">
        <v>7.45645455517621</v>
      </c>
      <c r="N735" s="14" t="n">
        <v>2.99623214859564</v>
      </c>
      <c r="P735" s="14" t="n">
        <f aca="false">D735</f>
        <v>20</v>
      </c>
      <c r="Q735" s="14" t="n">
        <f aca="false">G735</f>
        <v>74</v>
      </c>
      <c r="R735" s="14" t="n">
        <f aca="false">J735</f>
        <v>4</v>
      </c>
      <c r="S735" s="14" t="n">
        <f aca="false">IF($L735=2012,1,0)</f>
        <v>0</v>
      </c>
      <c r="T735" s="14" t="n">
        <f aca="false">IF($L735=2013,1,0)</f>
        <v>0</v>
      </c>
      <c r="U735" s="14" t="n">
        <f aca="false">IF($L735=2014,1,0)</f>
        <v>0</v>
      </c>
      <c r="V735" s="14" t="n">
        <f aca="false">IF($L735=2015,1,0)</f>
        <v>1</v>
      </c>
      <c r="W735" s="14" t="n">
        <f aca="false">IF($L735=2016,1,0)</f>
        <v>0</v>
      </c>
      <c r="X735" s="14" t="n">
        <f aca="false">IF($L735=2017,1,0)</f>
        <v>0</v>
      </c>
      <c r="Y735" s="14" t="n">
        <f aca="false">IF($H735="Beginner Level",1,0)</f>
        <v>0</v>
      </c>
      <c r="Z735" s="14" t="n">
        <f aca="false">IF($H735="Expert Level",1,0)</f>
        <v>0</v>
      </c>
      <c r="AA735" s="14" t="n">
        <f aca="false">IF($H735="Intermediate Level",1,0)</f>
        <v>0</v>
      </c>
      <c r="AC735" s="14" t="n">
        <f aca="false">N735</f>
        <v>2.99623214859564</v>
      </c>
      <c r="AD735" s="14" t="n">
        <f aca="false">G735</f>
        <v>74</v>
      </c>
      <c r="AE735" s="14" t="n">
        <f aca="false">J735</f>
        <v>4</v>
      </c>
      <c r="AF735" s="14" t="n">
        <f aca="false">IF($L735=2012,1,0)</f>
        <v>0</v>
      </c>
      <c r="AG735" s="14" t="n">
        <f aca="false">IF($L735=2013,1,0)</f>
        <v>0</v>
      </c>
      <c r="AH735" s="14" t="n">
        <f aca="false">IF($L735=2014,1,0)</f>
        <v>0</v>
      </c>
      <c r="AI735" s="14" t="n">
        <f aca="false">IF($L735=2015,1,0)</f>
        <v>1</v>
      </c>
      <c r="AJ735" s="14" t="n">
        <f aca="false">IF($L735=2016,1,0)</f>
        <v>0</v>
      </c>
      <c r="AK735" s="14" t="n">
        <f aca="false">IF($L735=2017,1,0)</f>
        <v>0</v>
      </c>
      <c r="AL735" s="14" t="n">
        <f aca="false">IF($H735="Beginner Level",1,0)</f>
        <v>0</v>
      </c>
      <c r="AM735" s="14" t="n">
        <f aca="false">IF($H735="Expert Level",1,0)</f>
        <v>0</v>
      </c>
      <c r="AN735" s="14" t="n">
        <f aca="false">IF($H735="Intermediate Level",1,0)</f>
        <v>0</v>
      </c>
    </row>
    <row r="736" customFormat="false" ht="57.45" hidden="false" customHeight="false" outlineLevel="0" collapsed="false">
      <c r="A736" s="14" t="n">
        <v>773824</v>
      </c>
      <c r="B736" s="14" t="s">
        <v>1514</v>
      </c>
      <c r="C736" s="14" t="s">
        <v>1515</v>
      </c>
      <c r="D736" s="14" t="n">
        <v>50</v>
      </c>
      <c r="E736" s="14" t="n">
        <v>1724</v>
      </c>
      <c r="F736" s="14" t="n">
        <v>72</v>
      </c>
      <c r="G736" s="14" t="n">
        <v>94</v>
      </c>
      <c r="H736" s="14" t="s">
        <v>62</v>
      </c>
      <c r="I736" s="14" t="n">
        <v>0.72</v>
      </c>
      <c r="J736" s="14" t="n">
        <v>13</v>
      </c>
      <c r="K736" s="14" t="s">
        <v>59</v>
      </c>
      <c r="L736" s="14" t="n">
        <v>2016</v>
      </c>
      <c r="M736" s="14" t="n">
        <v>7.45240245122364</v>
      </c>
      <c r="N736" s="14" t="n">
        <v>3.91222298543081</v>
      </c>
      <c r="P736" s="14" t="n">
        <f aca="false">D736</f>
        <v>50</v>
      </c>
      <c r="Q736" s="14" t="n">
        <f aca="false">G736</f>
        <v>94</v>
      </c>
      <c r="R736" s="14" t="n">
        <f aca="false">J736</f>
        <v>13</v>
      </c>
      <c r="S736" s="14" t="n">
        <f aca="false">IF($L736=2012,1,0)</f>
        <v>0</v>
      </c>
      <c r="T736" s="14" t="n">
        <f aca="false">IF($L736=2013,1,0)</f>
        <v>0</v>
      </c>
      <c r="U736" s="14" t="n">
        <f aca="false">IF($L736=2014,1,0)</f>
        <v>0</v>
      </c>
      <c r="V736" s="14" t="n">
        <f aca="false">IF($L736=2015,1,0)</f>
        <v>0</v>
      </c>
      <c r="W736" s="14" t="n">
        <f aca="false">IF($L736=2016,1,0)</f>
        <v>1</v>
      </c>
      <c r="X736" s="14" t="n">
        <f aca="false">IF($L736=2017,1,0)</f>
        <v>0</v>
      </c>
      <c r="Y736" s="14" t="n">
        <f aca="false">IF($H736="Beginner Level",1,0)</f>
        <v>0</v>
      </c>
      <c r="Z736" s="14" t="n">
        <f aca="false">IF($H736="Expert Level",1,0)</f>
        <v>0</v>
      </c>
      <c r="AA736" s="14" t="n">
        <f aca="false">IF($H736="Intermediate Level",1,0)</f>
        <v>0</v>
      </c>
      <c r="AC736" s="14" t="n">
        <f aca="false">N736</f>
        <v>3.91222298543081</v>
      </c>
      <c r="AD736" s="14" t="n">
        <f aca="false">G736</f>
        <v>94</v>
      </c>
      <c r="AE736" s="14" t="n">
        <f aca="false">J736</f>
        <v>13</v>
      </c>
      <c r="AF736" s="14" t="n">
        <f aca="false">IF($L736=2012,1,0)</f>
        <v>0</v>
      </c>
      <c r="AG736" s="14" t="n">
        <f aca="false">IF($L736=2013,1,0)</f>
        <v>0</v>
      </c>
      <c r="AH736" s="14" t="n">
        <f aca="false">IF($L736=2014,1,0)</f>
        <v>0</v>
      </c>
      <c r="AI736" s="14" t="n">
        <f aca="false">IF($L736=2015,1,0)</f>
        <v>0</v>
      </c>
      <c r="AJ736" s="14" t="n">
        <f aca="false">IF($L736=2016,1,0)</f>
        <v>1</v>
      </c>
      <c r="AK736" s="14" t="n">
        <f aca="false">IF($L736=2017,1,0)</f>
        <v>0</v>
      </c>
      <c r="AL736" s="14" t="n">
        <f aca="false">IF($H736="Beginner Level",1,0)</f>
        <v>0</v>
      </c>
      <c r="AM736" s="14" t="n">
        <f aca="false">IF($H736="Expert Level",1,0)</f>
        <v>0</v>
      </c>
      <c r="AN736" s="14" t="n">
        <f aca="false">IF($H736="Intermediate Level",1,0)</f>
        <v>0</v>
      </c>
    </row>
    <row r="737" customFormat="false" ht="91" hidden="false" customHeight="false" outlineLevel="0" collapsed="false">
      <c r="A737" s="14" t="n">
        <v>947116</v>
      </c>
      <c r="B737" s="14" t="s">
        <v>1516</v>
      </c>
      <c r="C737" s="14" t="s">
        <v>1517</v>
      </c>
      <c r="D737" s="14" t="n">
        <v>20</v>
      </c>
      <c r="E737" s="14" t="n">
        <v>1723</v>
      </c>
      <c r="F737" s="14" t="n">
        <v>28</v>
      </c>
      <c r="G737" s="14" t="n">
        <v>7</v>
      </c>
      <c r="H737" s="14" t="s">
        <v>52</v>
      </c>
      <c r="I737" s="14" t="n">
        <v>0.76</v>
      </c>
      <c r="J737" s="14" t="n">
        <v>1</v>
      </c>
      <c r="K737" s="14" t="s">
        <v>59</v>
      </c>
      <c r="L737" s="14" t="n">
        <v>2016</v>
      </c>
      <c r="M737" s="14" t="n">
        <v>7.45182223652793</v>
      </c>
      <c r="N737" s="14" t="n">
        <v>2.99623214859564</v>
      </c>
      <c r="P737" s="14" t="n">
        <f aca="false">D737</f>
        <v>20</v>
      </c>
      <c r="Q737" s="14" t="n">
        <f aca="false">G737</f>
        <v>7</v>
      </c>
      <c r="R737" s="14" t="n">
        <f aca="false">J737</f>
        <v>1</v>
      </c>
      <c r="S737" s="14" t="n">
        <f aca="false">IF($L737=2012,1,0)</f>
        <v>0</v>
      </c>
      <c r="T737" s="14" t="n">
        <f aca="false">IF($L737=2013,1,0)</f>
        <v>0</v>
      </c>
      <c r="U737" s="14" t="n">
        <f aca="false">IF($L737=2014,1,0)</f>
        <v>0</v>
      </c>
      <c r="V737" s="14" t="n">
        <f aca="false">IF($L737=2015,1,0)</f>
        <v>0</v>
      </c>
      <c r="W737" s="14" t="n">
        <f aca="false">IF($L737=2016,1,0)</f>
        <v>1</v>
      </c>
      <c r="X737" s="14" t="n">
        <f aca="false">IF($L737=2017,1,0)</f>
        <v>0</v>
      </c>
      <c r="Y737" s="14" t="n">
        <f aca="false">IF($H737="Beginner Level",1,0)</f>
        <v>1</v>
      </c>
      <c r="Z737" s="14" t="n">
        <f aca="false">IF($H737="Expert Level",1,0)</f>
        <v>0</v>
      </c>
      <c r="AA737" s="14" t="n">
        <f aca="false">IF($H737="Intermediate Level",1,0)</f>
        <v>0</v>
      </c>
      <c r="AC737" s="14" t="n">
        <f aca="false">N737</f>
        <v>2.99623214859564</v>
      </c>
      <c r="AD737" s="14" t="n">
        <f aca="false">G737</f>
        <v>7</v>
      </c>
      <c r="AE737" s="14" t="n">
        <f aca="false">J737</f>
        <v>1</v>
      </c>
      <c r="AF737" s="14" t="n">
        <f aca="false">IF($L737=2012,1,0)</f>
        <v>0</v>
      </c>
      <c r="AG737" s="14" t="n">
        <f aca="false">IF($L737=2013,1,0)</f>
        <v>0</v>
      </c>
      <c r="AH737" s="14" t="n">
        <f aca="false">IF($L737=2014,1,0)</f>
        <v>0</v>
      </c>
      <c r="AI737" s="14" t="n">
        <f aca="false">IF($L737=2015,1,0)</f>
        <v>0</v>
      </c>
      <c r="AJ737" s="14" t="n">
        <f aca="false">IF($L737=2016,1,0)</f>
        <v>1</v>
      </c>
      <c r="AK737" s="14" t="n">
        <f aca="false">IF($L737=2017,1,0)</f>
        <v>0</v>
      </c>
      <c r="AL737" s="14" t="n">
        <f aca="false">IF($H737="Beginner Level",1,0)</f>
        <v>1</v>
      </c>
      <c r="AM737" s="14" t="n">
        <f aca="false">IF($H737="Expert Level",1,0)</f>
        <v>0</v>
      </c>
      <c r="AN737" s="14" t="n">
        <f aca="false">IF($H737="Intermediate Level",1,0)</f>
        <v>0</v>
      </c>
    </row>
    <row r="738" customFormat="false" ht="68.65" hidden="false" customHeight="false" outlineLevel="0" collapsed="false">
      <c r="A738" s="14" t="n">
        <v>764042</v>
      </c>
      <c r="B738" s="14" t="s">
        <v>1518</v>
      </c>
      <c r="C738" s="14" t="s">
        <v>1519</v>
      </c>
      <c r="D738" s="14" t="n">
        <v>60</v>
      </c>
      <c r="E738" s="14" t="n">
        <v>1723</v>
      </c>
      <c r="F738" s="14" t="n">
        <v>258</v>
      </c>
      <c r="G738" s="14" t="n">
        <v>60</v>
      </c>
      <c r="H738" s="14" t="s">
        <v>62</v>
      </c>
      <c r="I738" s="14" t="n">
        <v>0.58</v>
      </c>
      <c r="J738" s="14" t="n">
        <v>11</v>
      </c>
      <c r="K738" s="14" t="s">
        <v>59</v>
      </c>
      <c r="L738" s="14" t="n">
        <v>2016</v>
      </c>
      <c r="M738" s="14" t="n">
        <v>7.45182223652793</v>
      </c>
      <c r="N738" s="14" t="n">
        <v>4.09451121500142</v>
      </c>
      <c r="P738" s="14" t="n">
        <f aca="false">D738</f>
        <v>60</v>
      </c>
      <c r="Q738" s="14" t="n">
        <f aca="false">G738</f>
        <v>60</v>
      </c>
      <c r="R738" s="14" t="n">
        <f aca="false">J738</f>
        <v>11</v>
      </c>
      <c r="S738" s="14" t="n">
        <f aca="false">IF($L738=2012,1,0)</f>
        <v>0</v>
      </c>
      <c r="T738" s="14" t="n">
        <f aca="false">IF($L738=2013,1,0)</f>
        <v>0</v>
      </c>
      <c r="U738" s="14" t="n">
        <f aca="false">IF($L738=2014,1,0)</f>
        <v>0</v>
      </c>
      <c r="V738" s="14" t="n">
        <f aca="false">IF($L738=2015,1,0)</f>
        <v>0</v>
      </c>
      <c r="W738" s="14" t="n">
        <f aca="false">IF($L738=2016,1,0)</f>
        <v>1</v>
      </c>
      <c r="X738" s="14" t="n">
        <f aca="false">IF($L738=2017,1,0)</f>
        <v>0</v>
      </c>
      <c r="Y738" s="14" t="n">
        <f aca="false">IF($H738="Beginner Level",1,0)</f>
        <v>0</v>
      </c>
      <c r="Z738" s="14" t="n">
        <f aca="false">IF($H738="Expert Level",1,0)</f>
        <v>0</v>
      </c>
      <c r="AA738" s="14" t="n">
        <f aca="false">IF($H738="Intermediate Level",1,0)</f>
        <v>0</v>
      </c>
      <c r="AC738" s="14" t="n">
        <f aca="false">N738</f>
        <v>4.09451121500142</v>
      </c>
      <c r="AD738" s="14" t="n">
        <f aca="false">G738</f>
        <v>60</v>
      </c>
      <c r="AE738" s="14" t="n">
        <f aca="false">J738</f>
        <v>11</v>
      </c>
      <c r="AF738" s="14" t="n">
        <f aca="false">IF($L738=2012,1,0)</f>
        <v>0</v>
      </c>
      <c r="AG738" s="14" t="n">
        <f aca="false">IF($L738=2013,1,0)</f>
        <v>0</v>
      </c>
      <c r="AH738" s="14" t="n">
        <f aca="false">IF($L738=2014,1,0)</f>
        <v>0</v>
      </c>
      <c r="AI738" s="14" t="n">
        <f aca="false">IF($L738=2015,1,0)</f>
        <v>0</v>
      </c>
      <c r="AJ738" s="14" t="n">
        <f aca="false">IF($L738=2016,1,0)</f>
        <v>1</v>
      </c>
      <c r="AK738" s="14" t="n">
        <f aca="false">IF($L738=2017,1,0)</f>
        <v>0</v>
      </c>
      <c r="AL738" s="14" t="n">
        <f aca="false">IF($H738="Beginner Level",1,0)</f>
        <v>0</v>
      </c>
      <c r="AM738" s="14" t="n">
        <f aca="false">IF($H738="Expert Level",1,0)</f>
        <v>0</v>
      </c>
      <c r="AN738" s="14" t="n">
        <f aca="false">IF($H738="Intermediate Level",1,0)</f>
        <v>0</v>
      </c>
    </row>
    <row r="739" customFormat="false" ht="57.45" hidden="false" customHeight="false" outlineLevel="0" collapsed="false">
      <c r="A739" s="14" t="n">
        <v>585496</v>
      </c>
      <c r="B739" s="14" t="s">
        <v>1520</v>
      </c>
      <c r="C739" s="14" t="s">
        <v>1521</v>
      </c>
      <c r="D739" s="14" t="n">
        <v>100</v>
      </c>
      <c r="E739" s="14" t="n">
        <v>1712</v>
      </c>
      <c r="F739" s="14" t="n">
        <v>438</v>
      </c>
      <c r="G739" s="14" t="n">
        <v>49</v>
      </c>
      <c r="H739" s="14" t="s">
        <v>62</v>
      </c>
      <c r="I739" s="14" t="n">
        <v>0.2</v>
      </c>
      <c r="J739" s="14" t="n">
        <v>5.5</v>
      </c>
      <c r="K739" s="14" t="s">
        <v>59</v>
      </c>
      <c r="L739" s="14" t="n">
        <v>2016</v>
      </c>
      <c r="M739" s="14" t="n">
        <v>7.44541755670169</v>
      </c>
      <c r="N739" s="14" t="n">
        <v>4.60527018098843</v>
      </c>
      <c r="P739" s="14" t="n">
        <f aca="false">D739</f>
        <v>100</v>
      </c>
      <c r="Q739" s="14" t="n">
        <f aca="false">G739</f>
        <v>49</v>
      </c>
      <c r="R739" s="14" t="n">
        <f aca="false">J739</f>
        <v>5.5</v>
      </c>
      <c r="S739" s="14" t="n">
        <f aca="false">IF($L739=2012,1,0)</f>
        <v>0</v>
      </c>
      <c r="T739" s="14" t="n">
        <f aca="false">IF($L739=2013,1,0)</f>
        <v>0</v>
      </c>
      <c r="U739" s="14" t="n">
        <f aca="false">IF($L739=2014,1,0)</f>
        <v>0</v>
      </c>
      <c r="V739" s="14" t="n">
        <f aca="false">IF($L739=2015,1,0)</f>
        <v>0</v>
      </c>
      <c r="W739" s="14" t="n">
        <f aca="false">IF($L739=2016,1,0)</f>
        <v>1</v>
      </c>
      <c r="X739" s="14" t="n">
        <f aca="false">IF($L739=2017,1,0)</f>
        <v>0</v>
      </c>
      <c r="Y739" s="14" t="n">
        <f aca="false">IF($H739="Beginner Level",1,0)</f>
        <v>0</v>
      </c>
      <c r="Z739" s="14" t="n">
        <f aca="false">IF($H739="Expert Level",1,0)</f>
        <v>0</v>
      </c>
      <c r="AA739" s="14" t="n">
        <f aca="false">IF($H739="Intermediate Level",1,0)</f>
        <v>0</v>
      </c>
      <c r="AC739" s="14" t="n">
        <f aca="false">N739</f>
        <v>4.60527018098843</v>
      </c>
      <c r="AD739" s="14" t="n">
        <f aca="false">G739</f>
        <v>49</v>
      </c>
      <c r="AE739" s="14" t="n">
        <f aca="false">J739</f>
        <v>5.5</v>
      </c>
      <c r="AF739" s="14" t="n">
        <f aca="false">IF($L739=2012,1,0)</f>
        <v>0</v>
      </c>
      <c r="AG739" s="14" t="n">
        <f aca="false">IF($L739=2013,1,0)</f>
        <v>0</v>
      </c>
      <c r="AH739" s="14" t="n">
        <f aca="false">IF($L739=2014,1,0)</f>
        <v>0</v>
      </c>
      <c r="AI739" s="14" t="n">
        <f aca="false">IF($L739=2015,1,0)</f>
        <v>0</v>
      </c>
      <c r="AJ739" s="14" t="n">
        <f aca="false">IF($L739=2016,1,0)</f>
        <v>1</v>
      </c>
      <c r="AK739" s="14" t="n">
        <f aca="false">IF($L739=2017,1,0)</f>
        <v>0</v>
      </c>
      <c r="AL739" s="14" t="n">
        <f aca="false">IF($H739="Beginner Level",1,0)</f>
        <v>0</v>
      </c>
      <c r="AM739" s="14" t="n">
        <f aca="false">IF($H739="Expert Level",1,0)</f>
        <v>0</v>
      </c>
      <c r="AN739" s="14" t="n">
        <f aca="false">IF($H739="Intermediate Level",1,0)</f>
        <v>0</v>
      </c>
    </row>
    <row r="740" customFormat="false" ht="79.85" hidden="false" customHeight="false" outlineLevel="0" collapsed="false">
      <c r="A740" s="14" t="n">
        <v>895040</v>
      </c>
      <c r="B740" s="14" t="s">
        <v>1522</v>
      </c>
      <c r="C740" s="14" t="s">
        <v>1523</v>
      </c>
      <c r="D740" s="14" t="n">
        <v>50</v>
      </c>
      <c r="E740" s="14" t="n">
        <v>1705</v>
      </c>
      <c r="F740" s="14" t="n">
        <v>26</v>
      </c>
      <c r="G740" s="14" t="n">
        <v>17</v>
      </c>
      <c r="H740" s="14" t="s">
        <v>62</v>
      </c>
      <c r="I740" s="14" t="n">
        <v>0.88</v>
      </c>
      <c r="J740" s="14" t="n">
        <v>2</v>
      </c>
      <c r="K740" s="14" t="s">
        <v>59</v>
      </c>
      <c r="L740" s="14" t="n">
        <v>2016</v>
      </c>
      <c r="M740" s="14" t="n">
        <v>7.44132038971762</v>
      </c>
      <c r="N740" s="14" t="n">
        <v>3.91222298543081</v>
      </c>
      <c r="P740" s="14" t="n">
        <f aca="false">D740</f>
        <v>50</v>
      </c>
      <c r="Q740" s="14" t="n">
        <f aca="false">G740</f>
        <v>17</v>
      </c>
      <c r="R740" s="14" t="n">
        <f aca="false">J740</f>
        <v>2</v>
      </c>
      <c r="S740" s="14" t="n">
        <f aca="false">IF($L740=2012,1,0)</f>
        <v>0</v>
      </c>
      <c r="T740" s="14" t="n">
        <f aca="false">IF($L740=2013,1,0)</f>
        <v>0</v>
      </c>
      <c r="U740" s="14" t="n">
        <f aca="false">IF($L740=2014,1,0)</f>
        <v>0</v>
      </c>
      <c r="V740" s="14" t="n">
        <f aca="false">IF($L740=2015,1,0)</f>
        <v>0</v>
      </c>
      <c r="W740" s="14" t="n">
        <f aca="false">IF($L740=2016,1,0)</f>
        <v>1</v>
      </c>
      <c r="X740" s="14" t="n">
        <f aca="false">IF($L740=2017,1,0)</f>
        <v>0</v>
      </c>
      <c r="Y740" s="14" t="n">
        <f aca="false">IF($H740="Beginner Level",1,0)</f>
        <v>0</v>
      </c>
      <c r="Z740" s="14" t="n">
        <f aca="false">IF($H740="Expert Level",1,0)</f>
        <v>0</v>
      </c>
      <c r="AA740" s="14" t="n">
        <f aca="false">IF($H740="Intermediate Level",1,0)</f>
        <v>0</v>
      </c>
      <c r="AC740" s="14" t="n">
        <f aca="false">N740</f>
        <v>3.91222298543081</v>
      </c>
      <c r="AD740" s="14" t="n">
        <f aca="false">G740</f>
        <v>17</v>
      </c>
      <c r="AE740" s="14" t="n">
        <f aca="false">J740</f>
        <v>2</v>
      </c>
      <c r="AF740" s="14" t="n">
        <f aca="false">IF($L740=2012,1,0)</f>
        <v>0</v>
      </c>
      <c r="AG740" s="14" t="n">
        <f aca="false">IF($L740=2013,1,0)</f>
        <v>0</v>
      </c>
      <c r="AH740" s="14" t="n">
        <f aca="false">IF($L740=2014,1,0)</f>
        <v>0</v>
      </c>
      <c r="AI740" s="14" t="n">
        <f aca="false">IF($L740=2015,1,0)</f>
        <v>0</v>
      </c>
      <c r="AJ740" s="14" t="n">
        <f aca="false">IF($L740=2016,1,0)</f>
        <v>1</v>
      </c>
      <c r="AK740" s="14" t="n">
        <f aca="false">IF($L740=2017,1,0)</f>
        <v>0</v>
      </c>
      <c r="AL740" s="14" t="n">
        <f aca="false">IF($H740="Beginner Level",1,0)</f>
        <v>0</v>
      </c>
      <c r="AM740" s="14" t="n">
        <f aca="false">IF($H740="Expert Level",1,0)</f>
        <v>0</v>
      </c>
      <c r="AN740" s="14" t="n">
        <f aca="false">IF($H740="Intermediate Level",1,0)</f>
        <v>0</v>
      </c>
    </row>
    <row r="741" customFormat="false" ht="46.25" hidden="false" customHeight="false" outlineLevel="0" collapsed="false">
      <c r="A741" s="14" t="n">
        <v>1022582</v>
      </c>
      <c r="B741" s="14" t="s">
        <v>1524</v>
      </c>
      <c r="C741" s="14" t="s">
        <v>1525</v>
      </c>
      <c r="D741" s="14" t="n">
        <v>195</v>
      </c>
      <c r="E741" s="14" t="n">
        <v>1703</v>
      </c>
      <c r="F741" s="14" t="n">
        <v>292</v>
      </c>
      <c r="G741" s="14" t="n">
        <v>178</v>
      </c>
      <c r="H741" s="14" t="s">
        <v>52</v>
      </c>
      <c r="I741" s="14" t="n">
        <v>0.24</v>
      </c>
      <c r="J741" s="14" t="n">
        <v>13</v>
      </c>
      <c r="K741" s="14" t="s">
        <v>59</v>
      </c>
      <c r="L741" s="14" t="n">
        <v>2016</v>
      </c>
      <c r="M741" s="14" t="n">
        <v>7.44014668066269</v>
      </c>
      <c r="N741" s="14" t="n">
        <v>5.27305083930015</v>
      </c>
      <c r="P741" s="14" t="n">
        <f aca="false">D741</f>
        <v>195</v>
      </c>
      <c r="Q741" s="14" t="n">
        <f aca="false">G741</f>
        <v>178</v>
      </c>
      <c r="R741" s="14" t="n">
        <f aca="false">J741</f>
        <v>13</v>
      </c>
      <c r="S741" s="14" t="n">
        <f aca="false">IF($L741=2012,1,0)</f>
        <v>0</v>
      </c>
      <c r="T741" s="14" t="n">
        <f aca="false">IF($L741=2013,1,0)</f>
        <v>0</v>
      </c>
      <c r="U741" s="14" t="n">
        <f aca="false">IF($L741=2014,1,0)</f>
        <v>0</v>
      </c>
      <c r="V741" s="14" t="n">
        <f aca="false">IF($L741=2015,1,0)</f>
        <v>0</v>
      </c>
      <c r="W741" s="14" t="n">
        <f aca="false">IF($L741=2016,1,0)</f>
        <v>1</v>
      </c>
      <c r="X741" s="14" t="n">
        <f aca="false">IF($L741=2017,1,0)</f>
        <v>0</v>
      </c>
      <c r="Y741" s="14" t="n">
        <f aca="false">IF($H741="Beginner Level",1,0)</f>
        <v>1</v>
      </c>
      <c r="Z741" s="14" t="n">
        <f aca="false">IF($H741="Expert Level",1,0)</f>
        <v>0</v>
      </c>
      <c r="AA741" s="14" t="n">
        <f aca="false">IF($H741="Intermediate Level",1,0)</f>
        <v>0</v>
      </c>
      <c r="AC741" s="14" t="n">
        <f aca="false">N741</f>
        <v>5.27305083930015</v>
      </c>
      <c r="AD741" s="14" t="n">
        <f aca="false">G741</f>
        <v>178</v>
      </c>
      <c r="AE741" s="14" t="n">
        <f aca="false">J741</f>
        <v>13</v>
      </c>
      <c r="AF741" s="14" t="n">
        <f aca="false">IF($L741=2012,1,0)</f>
        <v>0</v>
      </c>
      <c r="AG741" s="14" t="n">
        <f aca="false">IF($L741=2013,1,0)</f>
        <v>0</v>
      </c>
      <c r="AH741" s="14" t="n">
        <f aca="false">IF($L741=2014,1,0)</f>
        <v>0</v>
      </c>
      <c r="AI741" s="14" t="n">
        <f aca="false">IF($L741=2015,1,0)</f>
        <v>0</v>
      </c>
      <c r="AJ741" s="14" t="n">
        <f aca="false">IF($L741=2016,1,0)</f>
        <v>1</v>
      </c>
      <c r="AK741" s="14" t="n">
        <f aca="false">IF($L741=2017,1,0)</f>
        <v>0</v>
      </c>
      <c r="AL741" s="14" t="n">
        <f aca="false">IF($H741="Beginner Level",1,0)</f>
        <v>1</v>
      </c>
      <c r="AM741" s="14" t="n">
        <f aca="false">IF($H741="Expert Level",1,0)</f>
        <v>0</v>
      </c>
      <c r="AN741" s="14" t="n">
        <f aca="false">IF($H741="Intermediate Level",1,0)</f>
        <v>0</v>
      </c>
    </row>
    <row r="742" customFormat="false" ht="68.65" hidden="false" customHeight="false" outlineLevel="0" collapsed="false">
      <c r="A742" s="14" t="n">
        <v>688874</v>
      </c>
      <c r="B742" s="14" t="s">
        <v>1526</v>
      </c>
      <c r="C742" s="14" t="s">
        <v>1527</v>
      </c>
      <c r="D742" s="14" t="n">
        <v>65</v>
      </c>
      <c r="E742" s="14" t="n">
        <v>1703</v>
      </c>
      <c r="F742" s="14" t="n">
        <v>27</v>
      </c>
      <c r="G742" s="14" t="n">
        <v>8</v>
      </c>
      <c r="H742" s="14" t="s">
        <v>62</v>
      </c>
      <c r="I742" s="14" t="n">
        <v>0.14</v>
      </c>
      <c r="J742" s="14" t="n">
        <v>1</v>
      </c>
      <c r="K742" s="14" t="s">
        <v>59</v>
      </c>
      <c r="L742" s="14" t="n">
        <v>2016</v>
      </c>
      <c r="M742" s="14" t="n">
        <v>7.44014668066269</v>
      </c>
      <c r="N742" s="14" t="n">
        <v>4.17454110421638</v>
      </c>
      <c r="P742" s="14" t="n">
        <f aca="false">D742</f>
        <v>65</v>
      </c>
      <c r="Q742" s="14" t="n">
        <f aca="false">G742</f>
        <v>8</v>
      </c>
      <c r="R742" s="14" t="n">
        <f aca="false">J742</f>
        <v>1</v>
      </c>
      <c r="S742" s="14" t="n">
        <f aca="false">IF($L742=2012,1,0)</f>
        <v>0</v>
      </c>
      <c r="T742" s="14" t="n">
        <f aca="false">IF($L742=2013,1,0)</f>
        <v>0</v>
      </c>
      <c r="U742" s="14" t="n">
        <f aca="false">IF($L742=2014,1,0)</f>
        <v>0</v>
      </c>
      <c r="V742" s="14" t="n">
        <f aca="false">IF($L742=2015,1,0)</f>
        <v>0</v>
      </c>
      <c r="W742" s="14" t="n">
        <f aca="false">IF($L742=2016,1,0)</f>
        <v>1</v>
      </c>
      <c r="X742" s="14" t="n">
        <f aca="false">IF($L742=2017,1,0)</f>
        <v>0</v>
      </c>
      <c r="Y742" s="14" t="n">
        <f aca="false">IF($H742="Beginner Level",1,0)</f>
        <v>0</v>
      </c>
      <c r="Z742" s="14" t="n">
        <f aca="false">IF($H742="Expert Level",1,0)</f>
        <v>0</v>
      </c>
      <c r="AA742" s="14" t="n">
        <f aca="false">IF($H742="Intermediate Level",1,0)</f>
        <v>0</v>
      </c>
      <c r="AC742" s="14" t="n">
        <f aca="false">N742</f>
        <v>4.17454110421638</v>
      </c>
      <c r="AD742" s="14" t="n">
        <f aca="false">G742</f>
        <v>8</v>
      </c>
      <c r="AE742" s="14" t="n">
        <f aca="false">J742</f>
        <v>1</v>
      </c>
      <c r="AF742" s="14" t="n">
        <f aca="false">IF($L742=2012,1,0)</f>
        <v>0</v>
      </c>
      <c r="AG742" s="14" t="n">
        <f aca="false">IF($L742=2013,1,0)</f>
        <v>0</v>
      </c>
      <c r="AH742" s="14" t="n">
        <f aca="false">IF($L742=2014,1,0)</f>
        <v>0</v>
      </c>
      <c r="AI742" s="14" t="n">
        <f aca="false">IF($L742=2015,1,0)</f>
        <v>0</v>
      </c>
      <c r="AJ742" s="14" t="n">
        <f aca="false">IF($L742=2016,1,0)</f>
        <v>1</v>
      </c>
      <c r="AK742" s="14" t="n">
        <f aca="false">IF($L742=2017,1,0)</f>
        <v>0</v>
      </c>
      <c r="AL742" s="14" t="n">
        <f aca="false">IF($H742="Beginner Level",1,0)</f>
        <v>0</v>
      </c>
      <c r="AM742" s="14" t="n">
        <f aca="false">IF($H742="Expert Level",1,0)</f>
        <v>0</v>
      </c>
      <c r="AN742" s="14" t="n">
        <f aca="false">IF($H742="Intermediate Level",1,0)</f>
        <v>0</v>
      </c>
    </row>
    <row r="743" customFormat="false" ht="57.45" hidden="false" customHeight="false" outlineLevel="0" collapsed="false">
      <c r="A743" s="14" t="n">
        <v>424864</v>
      </c>
      <c r="B743" s="14" t="s">
        <v>1528</v>
      </c>
      <c r="C743" s="14" t="s">
        <v>1529</v>
      </c>
      <c r="D743" s="14" t="n">
        <v>70</v>
      </c>
      <c r="E743" s="14" t="n">
        <v>1703</v>
      </c>
      <c r="F743" s="14" t="n">
        <v>435</v>
      </c>
      <c r="G743" s="14" t="n">
        <v>65</v>
      </c>
      <c r="H743" s="14" t="s">
        <v>62</v>
      </c>
      <c r="I743" s="14" t="n">
        <v>0.62</v>
      </c>
      <c r="J743" s="14" t="n">
        <v>3</v>
      </c>
      <c r="K743" s="14" t="s">
        <v>59</v>
      </c>
      <c r="L743" s="14" t="n">
        <v>2016</v>
      </c>
      <c r="M743" s="14" t="n">
        <v>7.44014668066269</v>
      </c>
      <c r="N743" s="14" t="n">
        <v>4.24863808898911</v>
      </c>
      <c r="P743" s="14" t="n">
        <f aca="false">D743</f>
        <v>70</v>
      </c>
      <c r="Q743" s="14" t="n">
        <f aca="false">G743</f>
        <v>65</v>
      </c>
      <c r="R743" s="14" t="n">
        <f aca="false">J743</f>
        <v>3</v>
      </c>
      <c r="S743" s="14" t="n">
        <f aca="false">IF($L743=2012,1,0)</f>
        <v>0</v>
      </c>
      <c r="T743" s="14" t="n">
        <f aca="false">IF($L743=2013,1,0)</f>
        <v>0</v>
      </c>
      <c r="U743" s="14" t="n">
        <f aca="false">IF($L743=2014,1,0)</f>
        <v>0</v>
      </c>
      <c r="V743" s="14" t="n">
        <f aca="false">IF($L743=2015,1,0)</f>
        <v>0</v>
      </c>
      <c r="W743" s="14" t="n">
        <f aca="false">IF($L743=2016,1,0)</f>
        <v>1</v>
      </c>
      <c r="X743" s="14" t="n">
        <f aca="false">IF($L743=2017,1,0)</f>
        <v>0</v>
      </c>
      <c r="Y743" s="14" t="n">
        <f aca="false">IF($H743="Beginner Level",1,0)</f>
        <v>0</v>
      </c>
      <c r="Z743" s="14" t="n">
        <f aca="false">IF($H743="Expert Level",1,0)</f>
        <v>0</v>
      </c>
      <c r="AA743" s="14" t="n">
        <f aca="false">IF($H743="Intermediate Level",1,0)</f>
        <v>0</v>
      </c>
      <c r="AC743" s="14" t="n">
        <f aca="false">N743</f>
        <v>4.24863808898911</v>
      </c>
      <c r="AD743" s="14" t="n">
        <f aca="false">G743</f>
        <v>65</v>
      </c>
      <c r="AE743" s="14" t="n">
        <f aca="false">J743</f>
        <v>3</v>
      </c>
      <c r="AF743" s="14" t="n">
        <f aca="false">IF($L743=2012,1,0)</f>
        <v>0</v>
      </c>
      <c r="AG743" s="14" t="n">
        <f aca="false">IF($L743=2013,1,0)</f>
        <v>0</v>
      </c>
      <c r="AH743" s="14" t="n">
        <f aca="false">IF($L743=2014,1,0)</f>
        <v>0</v>
      </c>
      <c r="AI743" s="14" t="n">
        <f aca="false">IF($L743=2015,1,0)</f>
        <v>0</v>
      </c>
      <c r="AJ743" s="14" t="n">
        <f aca="false">IF($L743=2016,1,0)</f>
        <v>1</v>
      </c>
      <c r="AK743" s="14" t="n">
        <f aca="false">IF($L743=2017,1,0)</f>
        <v>0</v>
      </c>
      <c r="AL743" s="14" t="n">
        <f aca="false">IF($H743="Beginner Level",1,0)</f>
        <v>0</v>
      </c>
      <c r="AM743" s="14" t="n">
        <f aca="false">IF($H743="Expert Level",1,0)</f>
        <v>0</v>
      </c>
      <c r="AN743" s="14" t="n">
        <f aca="false">IF($H743="Intermediate Level",1,0)</f>
        <v>0</v>
      </c>
    </row>
    <row r="744" customFormat="false" ht="57.45" hidden="false" customHeight="false" outlineLevel="0" collapsed="false">
      <c r="A744" s="14" t="n">
        <v>958132</v>
      </c>
      <c r="B744" s="14" t="s">
        <v>1530</v>
      </c>
      <c r="C744" s="14" t="s">
        <v>1531</v>
      </c>
      <c r="D744" s="14" t="n">
        <v>50</v>
      </c>
      <c r="E744" s="14" t="n">
        <v>1702</v>
      </c>
      <c r="F744" s="14" t="n">
        <v>49</v>
      </c>
      <c r="G744" s="14" t="n">
        <v>78</v>
      </c>
      <c r="H744" s="14" t="s">
        <v>62</v>
      </c>
      <c r="I744" s="14" t="n">
        <v>0.59</v>
      </c>
      <c r="J744" s="14" t="n">
        <v>7</v>
      </c>
      <c r="K744" s="14" t="s">
        <v>59</v>
      </c>
      <c r="L744" s="14" t="n">
        <v>2016</v>
      </c>
      <c r="M744" s="14" t="n">
        <v>7.43955930913332</v>
      </c>
      <c r="N744" s="14" t="n">
        <v>3.91222298543081</v>
      </c>
      <c r="P744" s="14" t="n">
        <f aca="false">D744</f>
        <v>50</v>
      </c>
      <c r="Q744" s="14" t="n">
        <f aca="false">G744</f>
        <v>78</v>
      </c>
      <c r="R744" s="14" t="n">
        <f aca="false">J744</f>
        <v>7</v>
      </c>
      <c r="S744" s="14" t="n">
        <f aca="false">IF($L744=2012,1,0)</f>
        <v>0</v>
      </c>
      <c r="T744" s="14" t="n">
        <f aca="false">IF($L744=2013,1,0)</f>
        <v>0</v>
      </c>
      <c r="U744" s="14" t="n">
        <f aca="false">IF($L744=2014,1,0)</f>
        <v>0</v>
      </c>
      <c r="V744" s="14" t="n">
        <f aca="false">IF($L744=2015,1,0)</f>
        <v>0</v>
      </c>
      <c r="W744" s="14" t="n">
        <f aca="false">IF($L744=2016,1,0)</f>
        <v>1</v>
      </c>
      <c r="X744" s="14" t="n">
        <f aca="false">IF($L744=2017,1,0)</f>
        <v>0</v>
      </c>
      <c r="Y744" s="14" t="n">
        <f aca="false">IF($H744="Beginner Level",1,0)</f>
        <v>0</v>
      </c>
      <c r="Z744" s="14" t="n">
        <f aca="false">IF($H744="Expert Level",1,0)</f>
        <v>0</v>
      </c>
      <c r="AA744" s="14" t="n">
        <f aca="false">IF($H744="Intermediate Level",1,0)</f>
        <v>0</v>
      </c>
      <c r="AC744" s="14" t="n">
        <f aca="false">N744</f>
        <v>3.91222298543081</v>
      </c>
      <c r="AD744" s="14" t="n">
        <f aca="false">G744</f>
        <v>78</v>
      </c>
      <c r="AE744" s="14" t="n">
        <f aca="false">J744</f>
        <v>7</v>
      </c>
      <c r="AF744" s="14" t="n">
        <f aca="false">IF($L744=2012,1,0)</f>
        <v>0</v>
      </c>
      <c r="AG744" s="14" t="n">
        <f aca="false">IF($L744=2013,1,0)</f>
        <v>0</v>
      </c>
      <c r="AH744" s="14" t="n">
        <f aca="false">IF($L744=2014,1,0)</f>
        <v>0</v>
      </c>
      <c r="AI744" s="14" t="n">
        <f aca="false">IF($L744=2015,1,0)</f>
        <v>0</v>
      </c>
      <c r="AJ744" s="14" t="n">
        <f aca="false">IF($L744=2016,1,0)</f>
        <v>1</v>
      </c>
      <c r="AK744" s="14" t="n">
        <f aca="false">IF($L744=2017,1,0)</f>
        <v>0</v>
      </c>
      <c r="AL744" s="14" t="n">
        <f aca="false">IF($H744="Beginner Level",1,0)</f>
        <v>0</v>
      </c>
      <c r="AM744" s="14" t="n">
        <f aca="false">IF($H744="Expert Level",1,0)</f>
        <v>0</v>
      </c>
      <c r="AN744" s="14" t="n">
        <f aca="false">IF($H744="Intermediate Level",1,0)</f>
        <v>0</v>
      </c>
    </row>
    <row r="745" customFormat="false" ht="79.85" hidden="false" customHeight="false" outlineLevel="0" collapsed="false">
      <c r="A745" s="14" t="n">
        <v>384318</v>
      </c>
      <c r="B745" s="14" t="s">
        <v>1532</v>
      </c>
      <c r="C745" s="14" t="s">
        <v>1533</v>
      </c>
      <c r="D745" s="14" t="n">
        <v>100</v>
      </c>
      <c r="E745" s="14" t="n">
        <v>1701</v>
      </c>
      <c r="F745" s="14" t="n">
        <v>125</v>
      </c>
      <c r="G745" s="14" t="n">
        <v>88</v>
      </c>
      <c r="H745" s="14" t="s">
        <v>62</v>
      </c>
      <c r="I745" s="14" t="n">
        <v>0.2</v>
      </c>
      <c r="J745" s="14" t="n">
        <v>7</v>
      </c>
      <c r="K745" s="14" t="s">
        <v>59</v>
      </c>
      <c r="L745" s="14" t="n">
        <v>2015</v>
      </c>
      <c r="M745" s="14" t="n">
        <v>7.43897159239586</v>
      </c>
      <c r="N745" s="14" t="n">
        <v>4.60527018098843</v>
      </c>
      <c r="P745" s="14" t="n">
        <f aca="false">D745</f>
        <v>100</v>
      </c>
      <c r="Q745" s="14" t="n">
        <f aca="false">G745</f>
        <v>88</v>
      </c>
      <c r="R745" s="14" t="n">
        <f aca="false">J745</f>
        <v>7</v>
      </c>
      <c r="S745" s="14" t="n">
        <f aca="false">IF($L745=2012,1,0)</f>
        <v>0</v>
      </c>
      <c r="T745" s="14" t="n">
        <f aca="false">IF($L745=2013,1,0)</f>
        <v>0</v>
      </c>
      <c r="U745" s="14" t="n">
        <f aca="false">IF($L745=2014,1,0)</f>
        <v>0</v>
      </c>
      <c r="V745" s="14" t="n">
        <f aca="false">IF($L745=2015,1,0)</f>
        <v>1</v>
      </c>
      <c r="W745" s="14" t="n">
        <f aca="false">IF($L745=2016,1,0)</f>
        <v>0</v>
      </c>
      <c r="X745" s="14" t="n">
        <f aca="false">IF($L745=2017,1,0)</f>
        <v>0</v>
      </c>
      <c r="Y745" s="14" t="n">
        <f aca="false">IF($H745="Beginner Level",1,0)</f>
        <v>0</v>
      </c>
      <c r="Z745" s="14" t="n">
        <f aca="false">IF($H745="Expert Level",1,0)</f>
        <v>0</v>
      </c>
      <c r="AA745" s="14" t="n">
        <f aca="false">IF($H745="Intermediate Level",1,0)</f>
        <v>0</v>
      </c>
      <c r="AC745" s="14" t="n">
        <f aca="false">N745</f>
        <v>4.60527018098843</v>
      </c>
      <c r="AD745" s="14" t="n">
        <f aca="false">G745</f>
        <v>88</v>
      </c>
      <c r="AE745" s="14" t="n">
        <f aca="false">J745</f>
        <v>7</v>
      </c>
      <c r="AF745" s="14" t="n">
        <f aca="false">IF($L745=2012,1,0)</f>
        <v>0</v>
      </c>
      <c r="AG745" s="14" t="n">
        <f aca="false">IF($L745=2013,1,0)</f>
        <v>0</v>
      </c>
      <c r="AH745" s="14" t="n">
        <f aca="false">IF($L745=2014,1,0)</f>
        <v>0</v>
      </c>
      <c r="AI745" s="14" t="n">
        <f aca="false">IF($L745=2015,1,0)</f>
        <v>1</v>
      </c>
      <c r="AJ745" s="14" t="n">
        <f aca="false">IF($L745=2016,1,0)</f>
        <v>0</v>
      </c>
      <c r="AK745" s="14" t="n">
        <f aca="false">IF($L745=2017,1,0)</f>
        <v>0</v>
      </c>
      <c r="AL745" s="14" t="n">
        <f aca="false">IF($H745="Beginner Level",1,0)</f>
        <v>0</v>
      </c>
      <c r="AM745" s="14" t="n">
        <f aca="false">IF($H745="Expert Level",1,0)</f>
        <v>0</v>
      </c>
      <c r="AN745" s="14" t="n">
        <f aca="false">IF($H745="Intermediate Level",1,0)</f>
        <v>0</v>
      </c>
    </row>
    <row r="746" customFormat="false" ht="57.45" hidden="false" customHeight="false" outlineLevel="0" collapsed="false">
      <c r="A746" s="14" t="n">
        <v>722754</v>
      </c>
      <c r="B746" s="14" t="s">
        <v>1534</v>
      </c>
      <c r="C746" s="14" t="s">
        <v>1535</v>
      </c>
      <c r="D746" s="14" t="n">
        <v>60</v>
      </c>
      <c r="E746" s="14" t="n">
        <v>1699</v>
      </c>
      <c r="F746" s="14" t="n">
        <v>8</v>
      </c>
      <c r="G746" s="14" t="n">
        <v>22</v>
      </c>
      <c r="H746" s="14" t="s">
        <v>71</v>
      </c>
      <c r="I746" s="14" t="n">
        <v>0.24</v>
      </c>
      <c r="J746" s="14" t="n">
        <v>2</v>
      </c>
      <c r="K746" s="14" t="s">
        <v>59</v>
      </c>
      <c r="L746" s="14" t="n">
        <v>2016</v>
      </c>
      <c r="M746" s="14" t="n">
        <v>7.43779512167193</v>
      </c>
      <c r="N746" s="14" t="n">
        <v>4.09451121500142</v>
      </c>
      <c r="P746" s="14" t="n">
        <f aca="false">D746</f>
        <v>60</v>
      </c>
      <c r="Q746" s="14" t="n">
        <f aca="false">G746</f>
        <v>22</v>
      </c>
      <c r="R746" s="14" t="n">
        <f aca="false">J746</f>
        <v>2</v>
      </c>
      <c r="S746" s="14" t="n">
        <f aca="false">IF($L746=2012,1,0)</f>
        <v>0</v>
      </c>
      <c r="T746" s="14" t="n">
        <f aca="false">IF($L746=2013,1,0)</f>
        <v>0</v>
      </c>
      <c r="U746" s="14" t="n">
        <f aca="false">IF($L746=2014,1,0)</f>
        <v>0</v>
      </c>
      <c r="V746" s="14" t="n">
        <f aca="false">IF($L746=2015,1,0)</f>
        <v>0</v>
      </c>
      <c r="W746" s="14" t="n">
        <f aca="false">IF($L746=2016,1,0)</f>
        <v>1</v>
      </c>
      <c r="X746" s="14" t="n">
        <f aca="false">IF($L746=2017,1,0)</f>
        <v>0</v>
      </c>
      <c r="Y746" s="14" t="n">
        <f aca="false">IF($H746="Beginner Level",1,0)</f>
        <v>0</v>
      </c>
      <c r="Z746" s="14" t="n">
        <f aca="false">IF($H746="Expert Level",1,0)</f>
        <v>0</v>
      </c>
      <c r="AA746" s="14" t="n">
        <f aca="false">IF($H746="Intermediate Level",1,0)</f>
        <v>1</v>
      </c>
      <c r="AC746" s="14" t="n">
        <f aca="false">N746</f>
        <v>4.09451121500142</v>
      </c>
      <c r="AD746" s="14" t="n">
        <f aca="false">G746</f>
        <v>22</v>
      </c>
      <c r="AE746" s="14" t="n">
        <f aca="false">J746</f>
        <v>2</v>
      </c>
      <c r="AF746" s="14" t="n">
        <f aca="false">IF($L746=2012,1,0)</f>
        <v>0</v>
      </c>
      <c r="AG746" s="14" t="n">
        <f aca="false">IF($L746=2013,1,0)</f>
        <v>0</v>
      </c>
      <c r="AH746" s="14" t="n">
        <f aca="false">IF($L746=2014,1,0)</f>
        <v>0</v>
      </c>
      <c r="AI746" s="14" t="n">
        <f aca="false">IF($L746=2015,1,0)</f>
        <v>0</v>
      </c>
      <c r="AJ746" s="14" t="n">
        <f aca="false">IF($L746=2016,1,0)</f>
        <v>1</v>
      </c>
      <c r="AK746" s="14" t="n">
        <f aca="false">IF($L746=2017,1,0)</f>
        <v>0</v>
      </c>
      <c r="AL746" s="14" t="n">
        <f aca="false">IF($H746="Beginner Level",1,0)</f>
        <v>0</v>
      </c>
      <c r="AM746" s="14" t="n">
        <f aca="false">IF($H746="Expert Level",1,0)</f>
        <v>0</v>
      </c>
      <c r="AN746" s="14" t="n">
        <f aca="false">IF($H746="Intermediate Level",1,0)</f>
        <v>1</v>
      </c>
    </row>
    <row r="747" customFormat="false" ht="57.45" hidden="false" customHeight="false" outlineLevel="0" collapsed="false">
      <c r="A747" s="14" t="n">
        <v>903140</v>
      </c>
      <c r="B747" s="14" t="s">
        <v>1536</v>
      </c>
      <c r="C747" s="14" t="s">
        <v>1537</v>
      </c>
      <c r="D747" s="14" t="n">
        <v>195</v>
      </c>
      <c r="E747" s="14" t="n">
        <v>1697</v>
      </c>
      <c r="F747" s="14" t="n">
        <v>64</v>
      </c>
      <c r="G747" s="14" t="n">
        <v>54</v>
      </c>
      <c r="H747" s="14" t="s">
        <v>62</v>
      </c>
      <c r="I747" s="14" t="n">
        <v>0.64</v>
      </c>
      <c r="J747" s="14" t="n">
        <v>6</v>
      </c>
      <c r="K747" s="14" t="s">
        <v>59</v>
      </c>
      <c r="L747" s="14" t="n">
        <v>2016</v>
      </c>
      <c r="M747" s="14" t="n">
        <v>7.43661726523423</v>
      </c>
      <c r="N747" s="14" t="n">
        <v>5.27305083930015</v>
      </c>
      <c r="P747" s="14" t="n">
        <f aca="false">D747</f>
        <v>195</v>
      </c>
      <c r="Q747" s="14" t="n">
        <f aca="false">G747</f>
        <v>54</v>
      </c>
      <c r="R747" s="14" t="n">
        <f aca="false">J747</f>
        <v>6</v>
      </c>
      <c r="S747" s="14" t="n">
        <f aca="false">IF($L747=2012,1,0)</f>
        <v>0</v>
      </c>
      <c r="T747" s="14" t="n">
        <f aca="false">IF($L747=2013,1,0)</f>
        <v>0</v>
      </c>
      <c r="U747" s="14" t="n">
        <f aca="false">IF($L747=2014,1,0)</f>
        <v>0</v>
      </c>
      <c r="V747" s="14" t="n">
        <f aca="false">IF($L747=2015,1,0)</f>
        <v>0</v>
      </c>
      <c r="W747" s="14" t="n">
        <f aca="false">IF($L747=2016,1,0)</f>
        <v>1</v>
      </c>
      <c r="X747" s="14" t="n">
        <f aca="false">IF($L747=2017,1,0)</f>
        <v>0</v>
      </c>
      <c r="Y747" s="14" t="n">
        <f aca="false">IF($H747="Beginner Level",1,0)</f>
        <v>0</v>
      </c>
      <c r="Z747" s="14" t="n">
        <f aca="false">IF($H747="Expert Level",1,0)</f>
        <v>0</v>
      </c>
      <c r="AA747" s="14" t="n">
        <f aca="false">IF($H747="Intermediate Level",1,0)</f>
        <v>0</v>
      </c>
      <c r="AC747" s="14" t="n">
        <f aca="false">N747</f>
        <v>5.27305083930015</v>
      </c>
      <c r="AD747" s="14" t="n">
        <f aca="false">G747</f>
        <v>54</v>
      </c>
      <c r="AE747" s="14" t="n">
        <f aca="false">J747</f>
        <v>6</v>
      </c>
      <c r="AF747" s="14" t="n">
        <f aca="false">IF($L747=2012,1,0)</f>
        <v>0</v>
      </c>
      <c r="AG747" s="14" t="n">
        <f aca="false">IF($L747=2013,1,0)</f>
        <v>0</v>
      </c>
      <c r="AH747" s="14" t="n">
        <f aca="false">IF($L747=2014,1,0)</f>
        <v>0</v>
      </c>
      <c r="AI747" s="14" t="n">
        <f aca="false">IF($L747=2015,1,0)</f>
        <v>0</v>
      </c>
      <c r="AJ747" s="14" t="n">
        <f aca="false">IF($L747=2016,1,0)</f>
        <v>1</v>
      </c>
      <c r="AK747" s="14" t="n">
        <f aca="false">IF($L747=2017,1,0)</f>
        <v>0</v>
      </c>
      <c r="AL747" s="14" t="n">
        <f aca="false">IF($H747="Beginner Level",1,0)</f>
        <v>0</v>
      </c>
      <c r="AM747" s="14" t="n">
        <f aca="false">IF($H747="Expert Level",1,0)</f>
        <v>0</v>
      </c>
      <c r="AN747" s="14" t="n">
        <f aca="false">IF($H747="Intermediate Level",1,0)</f>
        <v>0</v>
      </c>
    </row>
    <row r="748" customFormat="false" ht="79.85" hidden="false" customHeight="false" outlineLevel="0" collapsed="false">
      <c r="A748" s="14" t="n">
        <v>897146</v>
      </c>
      <c r="B748" s="14" t="s">
        <v>1538</v>
      </c>
      <c r="C748" s="14" t="s">
        <v>1539</v>
      </c>
      <c r="D748" s="14" t="n">
        <v>75</v>
      </c>
      <c r="E748" s="14" t="n">
        <v>1696</v>
      </c>
      <c r="F748" s="14" t="n">
        <v>193</v>
      </c>
      <c r="G748" s="14" t="n">
        <v>60</v>
      </c>
      <c r="H748" s="14" t="s">
        <v>71</v>
      </c>
      <c r="I748" s="14" t="n">
        <v>0.47</v>
      </c>
      <c r="J748" s="14" t="n">
        <v>10</v>
      </c>
      <c r="K748" s="14" t="s">
        <v>59</v>
      </c>
      <c r="L748" s="14" t="n">
        <v>2016</v>
      </c>
      <c r="M748" s="14" t="n">
        <v>7.43602781635185</v>
      </c>
      <c r="N748" s="14" t="n">
        <v>4.31762143798155</v>
      </c>
      <c r="P748" s="14" t="n">
        <f aca="false">D748</f>
        <v>75</v>
      </c>
      <c r="Q748" s="14" t="n">
        <f aca="false">G748</f>
        <v>60</v>
      </c>
      <c r="R748" s="14" t="n">
        <f aca="false">J748</f>
        <v>10</v>
      </c>
      <c r="S748" s="14" t="n">
        <f aca="false">IF($L748=2012,1,0)</f>
        <v>0</v>
      </c>
      <c r="T748" s="14" t="n">
        <f aca="false">IF($L748=2013,1,0)</f>
        <v>0</v>
      </c>
      <c r="U748" s="14" t="n">
        <f aca="false">IF($L748=2014,1,0)</f>
        <v>0</v>
      </c>
      <c r="V748" s="14" t="n">
        <f aca="false">IF($L748=2015,1,0)</f>
        <v>0</v>
      </c>
      <c r="W748" s="14" t="n">
        <f aca="false">IF($L748=2016,1,0)</f>
        <v>1</v>
      </c>
      <c r="X748" s="14" t="n">
        <f aca="false">IF($L748=2017,1,0)</f>
        <v>0</v>
      </c>
      <c r="Y748" s="14" t="n">
        <f aca="false">IF($H748="Beginner Level",1,0)</f>
        <v>0</v>
      </c>
      <c r="Z748" s="14" t="n">
        <f aca="false">IF($H748="Expert Level",1,0)</f>
        <v>0</v>
      </c>
      <c r="AA748" s="14" t="n">
        <f aca="false">IF($H748="Intermediate Level",1,0)</f>
        <v>1</v>
      </c>
      <c r="AC748" s="14" t="n">
        <f aca="false">N748</f>
        <v>4.31762143798155</v>
      </c>
      <c r="AD748" s="14" t="n">
        <f aca="false">G748</f>
        <v>60</v>
      </c>
      <c r="AE748" s="14" t="n">
        <f aca="false">J748</f>
        <v>10</v>
      </c>
      <c r="AF748" s="14" t="n">
        <f aca="false">IF($L748=2012,1,0)</f>
        <v>0</v>
      </c>
      <c r="AG748" s="14" t="n">
        <f aca="false">IF($L748=2013,1,0)</f>
        <v>0</v>
      </c>
      <c r="AH748" s="14" t="n">
        <f aca="false">IF($L748=2014,1,0)</f>
        <v>0</v>
      </c>
      <c r="AI748" s="14" t="n">
        <f aca="false">IF($L748=2015,1,0)</f>
        <v>0</v>
      </c>
      <c r="AJ748" s="14" t="n">
        <f aca="false">IF($L748=2016,1,0)</f>
        <v>1</v>
      </c>
      <c r="AK748" s="14" t="n">
        <f aca="false">IF($L748=2017,1,0)</f>
        <v>0</v>
      </c>
      <c r="AL748" s="14" t="n">
        <f aca="false">IF($H748="Beginner Level",1,0)</f>
        <v>0</v>
      </c>
      <c r="AM748" s="14" t="n">
        <f aca="false">IF($H748="Expert Level",1,0)</f>
        <v>0</v>
      </c>
      <c r="AN748" s="14" t="n">
        <f aca="false">IF($H748="Intermediate Level",1,0)</f>
        <v>1</v>
      </c>
    </row>
    <row r="749" customFormat="false" ht="68.65" hidden="false" customHeight="false" outlineLevel="0" collapsed="false">
      <c r="A749" s="14" t="n">
        <v>137650</v>
      </c>
      <c r="B749" s="14" t="s">
        <v>1540</v>
      </c>
      <c r="C749" s="14" t="s">
        <v>1541</v>
      </c>
      <c r="D749" s="14" t="n">
        <v>30</v>
      </c>
      <c r="E749" s="14" t="n">
        <v>1688</v>
      </c>
      <c r="F749" s="14" t="n">
        <v>16</v>
      </c>
      <c r="G749" s="14" t="n">
        <v>29</v>
      </c>
      <c r="H749" s="14" t="s">
        <v>52</v>
      </c>
      <c r="I749" s="14" t="n">
        <v>0.73</v>
      </c>
      <c r="J749" s="14" t="n">
        <v>1.5</v>
      </c>
      <c r="K749" s="14" t="s">
        <v>59</v>
      </c>
      <c r="L749" s="14" t="n">
        <v>2014</v>
      </c>
      <c r="M749" s="14" t="n">
        <v>7.4312996751559</v>
      </c>
      <c r="N749" s="14" t="n">
        <v>3.40153065945228</v>
      </c>
      <c r="P749" s="14" t="n">
        <f aca="false">D749</f>
        <v>30</v>
      </c>
      <c r="Q749" s="14" t="n">
        <f aca="false">G749</f>
        <v>29</v>
      </c>
      <c r="R749" s="14" t="n">
        <f aca="false">J749</f>
        <v>1.5</v>
      </c>
      <c r="S749" s="14" t="n">
        <f aca="false">IF($L749=2012,1,0)</f>
        <v>0</v>
      </c>
      <c r="T749" s="14" t="n">
        <f aca="false">IF($L749=2013,1,0)</f>
        <v>0</v>
      </c>
      <c r="U749" s="14" t="n">
        <f aca="false">IF($L749=2014,1,0)</f>
        <v>1</v>
      </c>
      <c r="V749" s="14" t="n">
        <f aca="false">IF($L749=2015,1,0)</f>
        <v>0</v>
      </c>
      <c r="W749" s="14" t="n">
        <f aca="false">IF($L749=2016,1,0)</f>
        <v>0</v>
      </c>
      <c r="X749" s="14" t="n">
        <f aca="false">IF($L749=2017,1,0)</f>
        <v>0</v>
      </c>
      <c r="Y749" s="14" t="n">
        <f aca="false">IF($H749="Beginner Level",1,0)</f>
        <v>1</v>
      </c>
      <c r="Z749" s="14" t="n">
        <f aca="false">IF($H749="Expert Level",1,0)</f>
        <v>0</v>
      </c>
      <c r="AA749" s="14" t="n">
        <f aca="false">IF($H749="Intermediate Level",1,0)</f>
        <v>0</v>
      </c>
      <c r="AC749" s="14" t="n">
        <f aca="false">N749</f>
        <v>3.40153065945228</v>
      </c>
      <c r="AD749" s="14" t="n">
        <f aca="false">G749</f>
        <v>29</v>
      </c>
      <c r="AE749" s="14" t="n">
        <f aca="false">J749</f>
        <v>1.5</v>
      </c>
      <c r="AF749" s="14" t="n">
        <f aca="false">IF($L749=2012,1,0)</f>
        <v>0</v>
      </c>
      <c r="AG749" s="14" t="n">
        <f aca="false">IF($L749=2013,1,0)</f>
        <v>0</v>
      </c>
      <c r="AH749" s="14" t="n">
        <f aca="false">IF($L749=2014,1,0)</f>
        <v>1</v>
      </c>
      <c r="AI749" s="14" t="n">
        <f aca="false">IF($L749=2015,1,0)</f>
        <v>0</v>
      </c>
      <c r="AJ749" s="14" t="n">
        <f aca="false">IF($L749=2016,1,0)</f>
        <v>0</v>
      </c>
      <c r="AK749" s="14" t="n">
        <f aca="false">IF($L749=2017,1,0)</f>
        <v>0</v>
      </c>
      <c r="AL749" s="14" t="n">
        <f aca="false">IF($H749="Beginner Level",1,0)</f>
        <v>1</v>
      </c>
      <c r="AM749" s="14" t="n">
        <f aca="false">IF($H749="Expert Level",1,0)</f>
        <v>0</v>
      </c>
      <c r="AN749" s="14" t="n">
        <f aca="false">IF($H749="Intermediate Level",1,0)</f>
        <v>0</v>
      </c>
    </row>
    <row r="750" customFormat="false" ht="68.65" hidden="false" customHeight="false" outlineLevel="0" collapsed="false">
      <c r="A750" s="14" t="n">
        <v>842058</v>
      </c>
      <c r="B750" s="14" t="s">
        <v>1542</v>
      </c>
      <c r="C750" s="14" t="s">
        <v>1543</v>
      </c>
      <c r="D750" s="14" t="n">
        <v>145</v>
      </c>
      <c r="E750" s="14" t="n">
        <v>1683</v>
      </c>
      <c r="F750" s="14" t="n">
        <v>340</v>
      </c>
      <c r="G750" s="14" t="n">
        <v>48</v>
      </c>
      <c r="H750" s="14" t="s">
        <v>62</v>
      </c>
      <c r="I750" s="14" t="n">
        <v>0.1</v>
      </c>
      <c r="J750" s="14" t="n">
        <v>8</v>
      </c>
      <c r="K750" s="14" t="s">
        <v>59</v>
      </c>
      <c r="L750" s="14" t="n">
        <v>2016</v>
      </c>
      <c r="M750" s="14" t="n">
        <v>7.42833319419081</v>
      </c>
      <c r="N750" s="14" t="n">
        <v>4.9768027055598</v>
      </c>
      <c r="P750" s="14" t="n">
        <f aca="false">D750</f>
        <v>145</v>
      </c>
      <c r="Q750" s="14" t="n">
        <f aca="false">G750</f>
        <v>48</v>
      </c>
      <c r="R750" s="14" t="n">
        <f aca="false">J750</f>
        <v>8</v>
      </c>
      <c r="S750" s="14" t="n">
        <f aca="false">IF($L750=2012,1,0)</f>
        <v>0</v>
      </c>
      <c r="T750" s="14" t="n">
        <f aca="false">IF($L750=2013,1,0)</f>
        <v>0</v>
      </c>
      <c r="U750" s="14" t="n">
        <f aca="false">IF($L750=2014,1,0)</f>
        <v>0</v>
      </c>
      <c r="V750" s="14" t="n">
        <f aca="false">IF($L750=2015,1,0)</f>
        <v>0</v>
      </c>
      <c r="W750" s="14" t="n">
        <f aca="false">IF($L750=2016,1,0)</f>
        <v>1</v>
      </c>
      <c r="X750" s="14" t="n">
        <f aca="false">IF($L750=2017,1,0)</f>
        <v>0</v>
      </c>
      <c r="Y750" s="14" t="n">
        <f aca="false">IF($H750="Beginner Level",1,0)</f>
        <v>0</v>
      </c>
      <c r="Z750" s="14" t="n">
        <f aca="false">IF($H750="Expert Level",1,0)</f>
        <v>0</v>
      </c>
      <c r="AA750" s="14" t="n">
        <f aca="false">IF($H750="Intermediate Level",1,0)</f>
        <v>0</v>
      </c>
      <c r="AC750" s="14" t="n">
        <f aca="false">N750</f>
        <v>4.9768027055598</v>
      </c>
      <c r="AD750" s="14" t="n">
        <f aca="false">G750</f>
        <v>48</v>
      </c>
      <c r="AE750" s="14" t="n">
        <f aca="false">J750</f>
        <v>8</v>
      </c>
      <c r="AF750" s="14" t="n">
        <f aca="false">IF($L750=2012,1,0)</f>
        <v>0</v>
      </c>
      <c r="AG750" s="14" t="n">
        <f aca="false">IF($L750=2013,1,0)</f>
        <v>0</v>
      </c>
      <c r="AH750" s="14" t="n">
        <f aca="false">IF($L750=2014,1,0)</f>
        <v>0</v>
      </c>
      <c r="AI750" s="14" t="n">
        <f aca="false">IF($L750=2015,1,0)</f>
        <v>0</v>
      </c>
      <c r="AJ750" s="14" t="n">
        <f aca="false">IF($L750=2016,1,0)</f>
        <v>1</v>
      </c>
      <c r="AK750" s="14" t="n">
        <f aca="false">IF($L750=2017,1,0)</f>
        <v>0</v>
      </c>
      <c r="AL750" s="14" t="n">
        <f aca="false">IF($H750="Beginner Level",1,0)</f>
        <v>0</v>
      </c>
      <c r="AM750" s="14" t="n">
        <f aca="false">IF($H750="Expert Level",1,0)</f>
        <v>0</v>
      </c>
      <c r="AN750" s="14" t="n">
        <f aca="false">IF($H750="Intermediate Level",1,0)</f>
        <v>0</v>
      </c>
    </row>
    <row r="751" customFormat="false" ht="79.85" hidden="false" customHeight="false" outlineLevel="0" collapsed="false">
      <c r="A751" s="14" t="n">
        <v>749560</v>
      </c>
      <c r="B751" s="14" t="s">
        <v>1544</v>
      </c>
      <c r="C751" s="14" t="s">
        <v>1545</v>
      </c>
      <c r="D751" s="14" t="n">
        <v>120</v>
      </c>
      <c r="E751" s="14" t="n">
        <v>1678</v>
      </c>
      <c r="F751" s="14" t="n">
        <v>34</v>
      </c>
      <c r="G751" s="14" t="n">
        <v>32</v>
      </c>
      <c r="H751" s="14" t="s">
        <v>62</v>
      </c>
      <c r="I751" s="14" t="n">
        <v>0.28</v>
      </c>
      <c r="J751" s="14" t="n">
        <v>2.5</v>
      </c>
      <c r="K751" s="14" t="s">
        <v>59</v>
      </c>
      <c r="L751" s="14" t="n">
        <v>2016</v>
      </c>
      <c r="M751" s="14" t="n">
        <v>7.42535788702715</v>
      </c>
      <c r="N751" s="14" t="n">
        <v>4.78757507264335</v>
      </c>
      <c r="P751" s="14" t="n">
        <f aca="false">D751</f>
        <v>120</v>
      </c>
      <c r="Q751" s="14" t="n">
        <f aca="false">G751</f>
        <v>32</v>
      </c>
      <c r="R751" s="14" t="n">
        <f aca="false">J751</f>
        <v>2.5</v>
      </c>
      <c r="S751" s="14" t="n">
        <f aca="false">IF($L751=2012,1,0)</f>
        <v>0</v>
      </c>
      <c r="T751" s="14" t="n">
        <f aca="false">IF($L751=2013,1,0)</f>
        <v>0</v>
      </c>
      <c r="U751" s="14" t="n">
        <f aca="false">IF($L751=2014,1,0)</f>
        <v>0</v>
      </c>
      <c r="V751" s="14" t="n">
        <f aca="false">IF($L751=2015,1,0)</f>
        <v>0</v>
      </c>
      <c r="W751" s="14" t="n">
        <f aca="false">IF($L751=2016,1,0)</f>
        <v>1</v>
      </c>
      <c r="X751" s="14" t="n">
        <f aca="false">IF($L751=2017,1,0)</f>
        <v>0</v>
      </c>
      <c r="Y751" s="14" t="n">
        <f aca="false">IF($H751="Beginner Level",1,0)</f>
        <v>0</v>
      </c>
      <c r="Z751" s="14" t="n">
        <f aca="false">IF($H751="Expert Level",1,0)</f>
        <v>0</v>
      </c>
      <c r="AA751" s="14" t="n">
        <f aca="false">IF($H751="Intermediate Level",1,0)</f>
        <v>0</v>
      </c>
      <c r="AC751" s="14" t="n">
        <f aca="false">N751</f>
        <v>4.78757507264335</v>
      </c>
      <c r="AD751" s="14" t="n">
        <f aca="false">G751</f>
        <v>32</v>
      </c>
      <c r="AE751" s="14" t="n">
        <f aca="false">J751</f>
        <v>2.5</v>
      </c>
      <c r="AF751" s="14" t="n">
        <f aca="false">IF($L751=2012,1,0)</f>
        <v>0</v>
      </c>
      <c r="AG751" s="14" t="n">
        <f aca="false">IF($L751=2013,1,0)</f>
        <v>0</v>
      </c>
      <c r="AH751" s="14" t="n">
        <f aca="false">IF($L751=2014,1,0)</f>
        <v>0</v>
      </c>
      <c r="AI751" s="14" t="n">
        <f aca="false">IF($L751=2015,1,0)</f>
        <v>0</v>
      </c>
      <c r="AJ751" s="14" t="n">
        <f aca="false">IF($L751=2016,1,0)</f>
        <v>1</v>
      </c>
      <c r="AK751" s="14" t="n">
        <f aca="false">IF($L751=2017,1,0)</f>
        <v>0</v>
      </c>
      <c r="AL751" s="14" t="n">
        <f aca="false">IF($H751="Beginner Level",1,0)</f>
        <v>0</v>
      </c>
      <c r="AM751" s="14" t="n">
        <f aca="false">IF($H751="Expert Level",1,0)</f>
        <v>0</v>
      </c>
      <c r="AN751" s="14" t="n">
        <f aca="false">IF($H751="Intermediate Level",1,0)</f>
        <v>0</v>
      </c>
    </row>
    <row r="752" customFormat="false" ht="57.45" hidden="false" customHeight="false" outlineLevel="0" collapsed="false">
      <c r="A752" s="14" t="n">
        <v>1198654</v>
      </c>
      <c r="B752" s="14" t="s">
        <v>1546</v>
      </c>
      <c r="C752" s="14" t="s">
        <v>1547</v>
      </c>
      <c r="D752" s="14" t="n">
        <v>200</v>
      </c>
      <c r="E752" s="14" t="n">
        <v>1673</v>
      </c>
      <c r="F752" s="14" t="n">
        <v>31</v>
      </c>
      <c r="G752" s="14" t="n">
        <v>24</v>
      </c>
      <c r="H752" s="14" t="s">
        <v>62</v>
      </c>
      <c r="I752" s="14" t="n">
        <v>0.36</v>
      </c>
      <c r="J752" s="14" t="n">
        <v>3</v>
      </c>
      <c r="K752" s="14" t="s">
        <v>59</v>
      </c>
      <c r="L752" s="14" t="n">
        <v>2017</v>
      </c>
      <c r="M752" s="14" t="n">
        <v>7.42237370098682</v>
      </c>
      <c r="N752" s="14" t="n">
        <v>5.29836736529808</v>
      </c>
      <c r="P752" s="14" t="n">
        <f aca="false">D752</f>
        <v>200</v>
      </c>
      <c r="Q752" s="14" t="n">
        <f aca="false">G752</f>
        <v>24</v>
      </c>
      <c r="R752" s="14" t="n">
        <f aca="false">J752</f>
        <v>3</v>
      </c>
      <c r="S752" s="14" t="n">
        <f aca="false">IF($L752=2012,1,0)</f>
        <v>0</v>
      </c>
      <c r="T752" s="14" t="n">
        <f aca="false">IF($L752=2013,1,0)</f>
        <v>0</v>
      </c>
      <c r="U752" s="14" t="n">
        <f aca="false">IF($L752=2014,1,0)</f>
        <v>0</v>
      </c>
      <c r="V752" s="14" t="n">
        <f aca="false">IF($L752=2015,1,0)</f>
        <v>0</v>
      </c>
      <c r="W752" s="14" t="n">
        <f aca="false">IF($L752=2016,1,0)</f>
        <v>0</v>
      </c>
      <c r="X752" s="14" t="n">
        <f aca="false">IF($L752=2017,1,0)</f>
        <v>1</v>
      </c>
      <c r="Y752" s="14" t="n">
        <f aca="false">IF($H752="Beginner Level",1,0)</f>
        <v>0</v>
      </c>
      <c r="Z752" s="14" t="n">
        <f aca="false">IF($H752="Expert Level",1,0)</f>
        <v>0</v>
      </c>
      <c r="AA752" s="14" t="n">
        <f aca="false">IF($H752="Intermediate Level",1,0)</f>
        <v>0</v>
      </c>
      <c r="AC752" s="14" t="n">
        <f aca="false">N752</f>
        <v>5.29836736529808</v>
      </c>
      <c r="AD752" s="14" t="n">
        <f aca="false">G752</f>
        <v>24</v>
      </c>
      <c r="AE752" s="14" t="n">
        <f aca="false">J752</f>
        <v>3</v>
      </c>
      <c r="AF752" s="14" t="n">
        <f aca="false">IF($L752=2012,1,0)</f>
        <v>0</v>
      </c>
      <c r="AG752" s="14" t="n">
        <f aca="false">IF($L752=2013,1,0)</f>
        <v>0</v>
      </c>
      <c r="AH752" s="14" t="n">
        <f aca="false">IF($L752=2014,1,0)</f>
        <v>0</v>
      </c>
      <c r="AI752" s="14" t="n">
        <f aca="false">IF($L752=2015,1,0)</f>
        <v>0</v>
      </c>
      <c r="AJ752" s="14" t="n">
        <f aca="false">IF($L752=2016,1,0)</f>
        <v>0</v>
      </c>
      <c r="AK752" s="14" t="n">
        <f aca="false">IF($L752=2017,1,0)</f>
        <v>1</v>
      </c>
      <c r="AL752" s="14" t="n">
        <f aca="false">IF($H752="Beginner Level",1,0)</f>
        <v>0</v>
      </c>
      <c r="AM752" s="14" t="n">
        <f aca="false">IF($H752="Expert Level",1,0)</f>
        <v>0</v>
      </c>
      <c r="AN752" s="14" t="n">
        <f aca="false">IF($H752="Intermediate Level",1,0)</f>
        <v>0</v>
      </c>
    </row>
    <row r="753" customFormat="false" ht="79.85" hidden="false" customHeight="false" outlineLevel="0" collapsed="false">
      <c r="A753" s="14" t="n">
        <v>41356</v>
      </c>
      <c r="B753" s="14" t="s">
        <v>1548</v>
      </c>
      <c r="C753" s="14" t="s">
        <v>1549</v>
      </c>
      <c r="D753" s="14" t="n">
        <v>95</v>
      </c>
      <c r="E753" s="14" t="n">
        <v>1659</v>
      </c>
      <c r="F753" s="14" t="n">
        <v>73</v>
      </c>
      <c r="G753" s="14" t="n">
        <v>38</v>
      </c>
      <c r="H753" s="14" t="s">
        <v>71</v>
      </c>
      <c r="I753" s="14" t="n">
        <v>0.66</v>
      </c>
      <c r="J753" s="14" t="n">
        <v>5.5</v>
      </c>
      <c r="K753" s="14" t="s">
        <v>59</v>
      </c>
      <c r="L753" s="14" t="n">
        <v>2013</v>
      </c>
      <c r="M753" s="14" t="n">
        <v>7.41397029019044</v>
      </c>
      <c r="N753" s="14" t="n">
        <v>4.55398214921866</v>
      </c>
      <c r="P753" s="14" t="n">
        <f aca="false">D753</f>
        <v>95</v>
      </c>
      <c r="Q753" s="14" t="n">
        <f aca="false">G753</f>
        <v>38</v>
      </c>
      <c r="R753" s="14" t="n">
        <f aca="false">J753</f>
        <v>5.5</v>
      </c>
      <c r="S753" s="14" t="n">
        <f aca="false">IF($L753=2012,1,0)</f>
        <v>0</v>
      </c>
      <c r="T753" s="14" t="n">
        <f aca="false">IF($L753=2013,1,0)</f>
        <v>1</v>
      </c>
      <c r="U753" s="14" t="n">
        <f aca="false">IF($L753=2014,1,0)</f>
        <v>0</v>
      </c>
      <c r="V753" s="14" t="n">
        <f aca="false">IF($L753=2015,1,0)</f>
        <v>0</v>
      </c>
      <c r="W753" s="14" t="n">
        <f aca="false">IF($L753=2016,1,0)</f>
        <v>0</v>
      </c>
      <c r="X753" s="14" t="n">
        <f aca="false">IF($L753=2017,1,0)</f>
        <v>0</v>
      </c>
      <c r="Y753" s="14" t="n">
        <f aca="false">IF($H753="Beginner Level",1,0)</f>
        <v>0</v>
      </c>
      <c r="Z753" s="14" t="n">
        <f aca="false">IF($H753="Expert Level",1,0)</f>
        <v>0</v>
      </c>
      <c r="AA753" s="14" t="n">
        <f aca="false">IF($H753="Intermediate Level",1,0)</f>
        <v>1</v>
      </c>
      <c r="AC753" s="14" t="n">
        <f aca="false">N753</f>
        <v>4.55398214921866</v>
      </c>
      <c r="AD753" s="14" t="n">
        <f aca="false">G753</f>
        <v>38</v>
      </c>
      <c r="AE753" s="14" t="n">
        <f aca="false">J753</f>
        <v>5.5</v>
      </c>
      <c r="AF753" s="14" t="n">
        <f aca="false">IF($L753=2012,1,0)</f>
        <v>0</v>
      </c>
      <c r="AG753" s="14" t="n">
        <f aca="false">IF($L753=2013,1,0)</f>
        <v>1</v>
      </c>
      <c r="AH753" s="14" t="n">
        <f aca="false">IF($L753=2014,1,0)</f>
        <v>0</v>
      </c>
      <c r="AI753" s="14" t="n">
        <f aca="false">IF($L753=2015,1,0)</f>
        <v>0</v>
      </c>
      <c r="AJ753" s="14" t="n">
        <f aca="false">IF($L753=2016,1,0)</f>
        <v>0</v>
      </c>
      <c r="AK753" s="14" t="n">
        <f aca="false">IF($L753=2017,1,0)</f>
        <v>0</v>
      </c>
      <c r="AL753" s="14" t="n">
        <f aca="false">IF($H753="Beginner Level",1,0)</f>
        <v>0</v>
      </c>
      <c r="AM753" s="14" t="n">
        <f aca="false">IF($H753="Expert Level",1,0)</f>
        <v>0</v>
      </c>
      <c r="AN753" s="14" t="n">
        <f aca="false">IF($H753="Intermediate Level",1,0)</f>
        <v>1</v>
      </c>
    </row>
    <row r="754" customFormat="false" ht="57.45" hidden="false" customHeight="false" outlineLevel="0" collapsed="false">
      <c r="A754" s="14" t="n">
        <v>711592</v>
      </c>
      <c r="B754" s="14" t="s">
        <v>1550</v>
      </c>
      <c r="C754" s="14" t="s">
        <v>1551</v>
      </c>
      <c r="D754" s="14" t="n">
        <v>50</v>
      </c>
      <c r="E754" s="14" t="n">
        <v>1658</v>
      </c>
      <c r="F754" s="14" t="n">
        <v>185</v>
      </c>
      <c r="G754" s="14" t="n">
        <v>68</v>
      </c>
      <c r="H754" s="14" t="s">
        <v>62</v>
      </c>
      <c r="I754" s="14" t="n">
        <v>0.08</v>
      </c>
      <c r="J754" s="14" t="n">
        <v>16.5</v>
      </c>
      <c r="K754" s="14" t="s">
        <v>59</v>
      </c>
      <c r="L754" s="14" t="n">
        <v>2016</v>
      </c>
      <c r="M754" s="14" t="n">
        <v>7.41336733569524</v>
      </c>
      <c r="N754" s="14" t="n">
        <v>3.91222298543081</v>
      </c>
      <c r="P754" s="14" t="n">
        <f aca="false">D754</f>
        <v>50</v>
      </c>
      <c r="Q754" s="14" t="n">
        <f aca="false">G754</f>
        <v>68</v>
      </c>
      <c r="R754" s="14" t="n">
        <f aca="false">J754</f>
        <v>16.5</v>
      </c>
      <c r="S754" s="14" t="n">
        <f aca="false">IF($L754=2012,1,0)</f>
        <v>0</v>
      </c>
      <c r="T754" s="14" t="n">
        <f aca="false">IF($L754=2013,1,0)</f>
        <v>0</v>
      </c>
      <c r="U754" s="14" t="n">
        <f aca="false">IF($L754=2014,1,0)</f>
        <v>0</v>
      </c>
      <c r="V754" s="14" t="n">
        <f aca="false">IF($L754=2015,1,0)</f>
        <v>0</v>
      </c>
      <c r="W754" s="14" t="n">
        <f aca="false">IF($L754=2016,1,0)</f>
        <v>1</v>
      </c>
      <c r="X754" s="14" t="n">
        <f aca="false">IF($L754=2017,1,0)</f>
        <v>0</v>
      </c>
      <c r="Y754" s="14" t="n">
        <f aca="false">IF($H754="Beginner Level",1,0)</f>
        <v>0</v>
      </c>
      <c r="Z754" s="14" t="n">
        <f aca="false">IF($H754="Expert Level",1,0)</f>
        <v>0</v>
      </c>
      <c r="AA754" s="14" t="n">
        <f aca="false">IF($H754="Intermediate Level",1,0)</f>
        <v>0</v>
      </c>
      <c r="AC754" s="14" t="n">
        <f aca="false">N754</f>
        <v>3.91222298543081</v>
      </c>
      <c r="AD754" s="14" t="n">
        <f aca="false">G754</f>
        <v>68</v>
      </c>
      <c r="AE754" s="14" t="n">
        <f aca="false">J754</f>
        <v>16.5</v>
      </c>
      <c r="AF754" s="14" t="n">
        <f aca="false">IF($L754=2012,1,0)</f>
        <v>0</v>
      </c>
      <c r="AG754" s="14" t="n">
        <f aca="false">IF($L754=2013,1,0)</f>
        <v>0</v>
      </c>
      <c r="AH754" s="14" t="n">
        <f aca="false">IF($L754=2014,1,0)</f>
        <v>0</v>
      </c>
      <c r="AI754" s="14" t="n">
        <f aca="false">IF($L754=2015,1,0)</f>
        <v>0</v>
      </c>
      <c r="AJ754" s="14" t="n">
        <f aca="false">IF($L754=2016,1,0)</f>
        <v>1</v>
      </c>
      <c r="AK754" s="14" t="n">
        <f aca="false">IF($L754=2017,1,0)</f>
        <v>0</v>
      </c>
      <c r="AL754" s="14" t="n">
        <f aca="false">IF($H754="Beginner Level",1,0)</f>
        <v>0</v>
      </c>
      <c r="AM754" s="14" t="n">
        <f aca="false">IF($H754="Expert Level",1,0)</f>
        <v>0</v>
      </c>
      <c r="AN754" s="14" t="n">
        <f aca="false">IF($H754="Intermediate Level",1,0)</f>
        <v>0</v>
      </c>
    </row>
    <row r="755" customFormat="false" ht="79.85" hidden="false" customHeight="false" outlineLevel="0" collapsed="false">
      <c r="A755" s="14" t="n">
        <v>602702</v>
      </c>
      <c r="B755" s="14" t="s">
        <v>1552</v>
      </c>
      <c r="C755" s="14" t="s">
        <v>1553</v>
      </c>
      <c r="D755" s="14" t="n">
        <v>50</v>
      </c>
      <c r="E755" s="14" t="n">
        <v>1658</v>
      </c>
      <c r="F755" s="14" t="n">
        <v>72</v>
      </c>
      <c r="G755" s="14" t="n">
        <v>68</v>
      </c>
      <c r="H755" s="14" t="s">
        <v>62</v>
      </c>
      <c r="I755" s="14" t="n">
        <v>0.76</v>
      </c>
      <c r="J755" s="14" t="n">
        <v>5</v>
      </c>
      <c r="K755" s="14" t="s">
        <v>59</v>
      </c>
      <c r="L755" s="14" t="n">
        <v>2015</v>
      </c>
      <c r="M755" s="14" t="n">
        <v>7.41336733569524</v>
      </c>
      <c r="N755" s="14" t="n">
        <v>3.91222298543081</v>
      </c>
      <c r="P755" s="14" t="n">
        <f aca="false">D755</f>
        <v>50</v>
      </c>
      <c r="Q755" s="14" t="n">
        <f aca="false">G755</f>
        <v>68</v>
      </c>
      <c r="R755" s="14" t="n">
        <f aca="false">J755</f>
        <v>5</v>
      </c>
      <c r="S755" s="14" t="n">
        <f aca="false">IF($L755=2012,1,0)</f>
        <v>0</v>
      </c>
      <c r="T755" s="14" t="n">
        <f aca="false">IF($L755=2013,1,0)</f>
        <v>0</v>
      </c>
      <c r="U755" s="14" t="n">
        <f aca="false">IF($L755=2014,1,0)</f>
        <v>0</v>
      </c>
      <c r="V755" s="14" t="n">
        <f aca="false">IF($L755=2015,1,0)</f>
        <v>1</v>
      </c>
      <c r="W755" s="14" t="n">
        <f aca="false">IF($L755=2016,1,0)</f>
        <v>0</v>
      </c>
      <c r="X755" s="14" t="n">
        <f aca="false">IF($L755=2017,1,0)</f>
        <v>0</v>
      </c>
      <c r="Y755" s="14" t="n">
        <f aca="false">IF($H755="Beginner Level",1,0)</f>
        <v>0</v>
      </c>
      <c r="Z755" s="14" t="n">
        <f aca="false">IF($H755="Expert Level",1,0)</f>
        <v>0</v>
      </c>
      <c r="AA755" s="14" t="n">
        <f aca="false">IF($H755="Intermediate Level",1,0)</f>
        <v>0</v>
      </c>
      <c r="AC755" s="14" t="n">
        <f aca="false">N755</f>
        <v>3.91222298543081</v>
      </c>
      <c r="AD755" s="14" t="n">
        <f aca="false">G755</f>
        <v>68</v>
      </c>
      <c r="AE755" s="14" t="n">
        <f aca="false">J755</f>
        <v>5</v>
      </c>
      <c r="AF755" s="14" t="n">
        <f aca="false">IF($L755=2012,1,0)</f>
        <v>0</v>
      </c>
      <c r="AG755" s="14" t="n">
        <f aca="false">IF($L755=2013,1,0)</f>
        <v>0</v>
      </c>
      <c r="AH755" s="14" t="n">
        <f aca="false">IF($L755=2014,1,0)</f>
        <v>0</v>
      </c>
      <c r="AI755" s="14" t="n">
        <f aca="false">IF($L755=2015,1,0)</f>
        <v>1</v>
      </c>
      <c r="AJ755" s="14" t="n">
        <f aca="false">IF($L755=2016,1,0)</f>
        <v>0</v>
      </c>
      <c r="AK755" s="14" t="n">
        <f aca="false">IF($L755=2017,1,0)</f>
        <v>0</v>
      </c>
      <c r="AL755" s="14" t="n">
        <f aca="false">IF($H755="Beginner Level",1,0)</f>
        <v>0</v>
      </c>
      <c r="AM755" s="14" t="n">
        <f aca="false">IF($H755="Expert Level",1,0)</f>
        <v>0</v>
      </c>
      <c r="AN755" s="14" t="n">
        <f aca="false">IF($H755="Intermediate Level",1,0)</f>
        <v>0</v>
      </c>
    </row>
    <row r="756" customFormat="false" ht="68.65" hidden="false" customHeight="false" outlineLevel="0" collapsed="false">
      <c r="A756" s="14" t="n">
        <v>589342</v>
      </c>
      <c r="B756" s="14" t="s">
        <v>1554</v>
      </c>
      <c r="C756" s="14" t="s">
        <v>1555</v>
      </c>
      <c r="D756" s="14" t="n">
        <v>25</v>
      </c>
      <c r="E756" s="14" t="n">
        <v>1655</v>
      </c>
      <c r="F756" s="14" t="n">
        <v>39</v>
      </c>
      <c r="G756" s="14" t="n">
        <v>19</v>
      </c>
      <c r="H756" s="14" t="s">
        <v>62</v>
      </c>
      <c r="I756" s="14" t="n">
        <v>0.96</v>
      </c>
      <c r="J756" s="14" t="n">
        <v>1</v>
      </c>
      <c r="K756" s="14" t="s">
        <v>59</v>
      </c>
      <c r="L756" s="14" t="n">
        <v>2016</v>
      </c>
      <c r="M756" s="14" t="n">
        <v>7.41155628781116</v>
      </c>
      <c r="N756" s="14" t="n">
        <v>3.21927574488953</v>
      </c>
      <c r="P756" s="14" t="n">
        <f aca="false">D756</f>
        <v>25</v>
      </c>
      <c r="Q756" s="14" t="n">
        <f aca="false">G756</f>
        <v>19</v>
      </c>
      <c r="R756" s="14" t="n">
        <f aca="false">J756</f>
        <v>1</v>
      </c>
      <c r="S756" s="14" t="n">
        <f aca="false">IF($L756=2012,1,0)</f>
        <v>0</v>
      </c>
      <c r="T756" s="14" t="n">
        <f aca="false">IF($L756=2013,1,0)</f>
        <v>0</v>
      </c>
      <c r="U756" s="14" t="n">
        <f aca="false">IF($L756=2014,1,0)</f>
        <v>0</v>
      </c>
      <c r="V756" s="14" t="n">
        <f aca="false">IF($L756=2015,1,0)</f>
        <v>0</v>
      </c>
      <c r="W756" s="14" t="n">
        <f aca="false">IF($L756=2016,1,0)</f>
        <v>1</v>
      </c>
      <c r="X756" s="14" t="n">
        <f aca="false">IF($L756=2017,1,0)</f>
        <v>0</v>
      </c>
      <c r="Y756" s="14" t="n">
        <f aca="false">IF($H756="Beginner Level",1,0)</f>
        <v>0</v>
      </c>
      <c r="Z756" s="14" t="n">
        <f aca="false">IF($H756="Expert Level",1,0)</f>
        <v>0</v>
      </c>
      <c r="AA756" s="14" t="n">
        <f aca="false">IF($H756="Intermediate Level",1,0)</f>
        <v>0</v>
      </c>
      <c r="AC756" s="14" t="n">
        <f aca="false">N756</f>
        <v>3.21927574488953</v>
      </c>
      <c r="AD756" s="14" t="n">
        <f aca="false">G756</f>
        <v>19</v>
      </c>
      <c r="AE756" s="14" t="n">
        <f aca="false">J756</f>
        <v>1</v>
      </c>
      <c r="AF756" s="14" t="n">
        <f aca="false">IF($L756=2012,1,0)</f>
        <v>0</v>
      </c>
      <c r="AG756" s="14" t="n">
        <f aca="false">IF($L756=2013,1,0)</f>
        <v>0</v>
      </c>
      <c r="AH756" s="14" t="n">
        <f aca="false">IF($L756=2014,1,0)</f>
        <v>0</v>
      </c>
      <c r="AI756" s="14" t="n">
        <f aca="false">IF($L756=2015,1,0)</f>
        <v>0</v>
      </c>
      <c r="AJ756" s="14" t="n">
        <f aca="false">IF($L756=2016,1,0)</f>
        <v>1</v>
      </c>
      <c r="AK756" s="14" t="n">
        <f aca="false">IF($L756=2017,1,0)</f>
        <v>0</v>
      </c>
      <c r="AL756" s="14" t="n">
        <f aca="false">IF($H756="Beginner Level",1,0)</f>
        <v>0</v>
      </c>
      <c r="AM756" s="14" t="n">
        <f aca="false">IF($H756="Expert Level",1,0)</f>
        <v>0</v>
      </c>
      <c r="AN756" s="14" t="n">
        <f aca="false">IF($H756="Intermediate Level",1,0)</f>
        <v>0</v>
      </c>
    </row>
    <row r="757" customFormat="false" ht="68.65" hidden="false" customHeight="false" outlineLevel="0" collapsed="false">
      <c r="A757" s="14" t="n">
        <v>568524</v>
      </c>
      <c r="B757" s="14" t="s">
        <v>1556</v>
      </c>
      <c r="C757" s="14" t="s">
        <v>1557</v>
      </c>
      <c r="D757" s="14" t="n">
        <v>25</v>
      </c>
      <c r="E757" s="14" t="n">
        <v>1655</v>
      </c>
      <c r="F757" s="14" t="n">
        <v>10</v>
      </c>
      <c r="G757" s="14" t="n">
        <v>44</v>
      </c>
      <c r="H757" s="14" t="s">
        <v>62</v>
      </c>
      <c r="I757" s="14" t="n">
        <v>0.5</v>
      </c>
      <c r="J757" s="14" t="n">
        <v>3</v>
      </c>
      <c r="K757" s="14" t="s">
        <v>59</v>
      </c>
      <c r="L757" s="14" t="n">
        <v>2015</v>
      </c>
      <c r="M757" s="14" t="n">
        <v>7.41155628781116</v>
      </c>
      <c r="N757" s="14" t="n">
        <v>3.21927574488953</v>
      </c>
      <c r="P757" s="14" t="n">
        <f aca="false">D757</f>
        <v>25</v>
      </c>
      <c r="Q757" s="14" t="n">
        <f aca="false">G757</f>
        <v>44</v>
      </c>
      <c r="R757" s="14" t="n">
        <f aca="false">J757</f>
        <v>3</v>
      </c>
      <c r="S757" s="14" t="n">
        <f aca="false">IF($L757=2012,1,0)</f>
        <v>0</v>
      </c>
      <c r="T757" s="14" t="n">
        <f aca="false">IF($L757=2013,1,0)</f>
        <v>0</v>
      </c>
      <c r="U757" s="14" t="n">
        <f aca="false">IF($L757=2014,1,0)</f>
        <v>0</v>
      </c>
      <c r="V757" s="14" t="n">
        <f aca="false">IF($L757=2015,1,0)</f>
        <v>1</v>
      </c>
      <c r="W757" s="14" t="n">
        <f aca="false">IF($L757=2016,1,0)</f>
        <v>0</v>
      </c>
      <c r="X757" s="14" t="n">
        <f aca="false">IF($L757=2017,1,0)</f>
        <v>0</v>
      </c>
      <c r="Y757" s="14" t="n">
        <f aca="false">IF($H757="Beginner Level",1,0)</f>
        <v>0</v>
      </c>
      <c r="Z757" s="14" t="n">
        <f aca="false">IF($H757="Expert Level",1,0)</f>
        <v>0</v>
      </c>
      <c r="AA757" s="14" t="n">
        <f aca="false">IF($H757="Intermediate Level",1,0)</f>
        <v>0</v>
      </c>
      <c r="AC757" s="14" t="n">
        <f aca="false">N757</f>
        <v>3.21927574488953</v>
      </c>
      <c r="AD757" s="14" t="n">
        <f aca="false">G757</f>
        <v>44</v>
      </c>
      <c r="AE757" s="14" t="n">
        <f aca="false">J757</f>
        <v>3</v>
      </c>
      <c r="AF757" s="14" t="n">
        <f aca="false">IF($L757=2012,1,0)</f>
        <v>0</v>
      </c>
      <c r="AG757" s="14" t="n">
        <f aca="false">IF($L757=2013,1,0)</f>
        <v>0</v>
      </c>
      <c r="AH757" s="14" t="n">
        <f aca="false">IF($L757=2014,1,0)</f>
        <v>0</v>
      </c>
      <c r="AI757" s="14" t="n">
        <f aca="false">IF($L757=2015,1,0)</f>
        <v>1</v>
      </c>
      <c r="AJ757" s="14" t="n">
        <f aca="false">IF($L757=2016,1,0)</f>
        <v>0</v>
      </c>
      <c r="AK757" s="14" t="n">
        <f aca="false">IF($L757=2017,1,0)</f>
        <v>0</v>
      </c>
      <c r="AL757" s="14" t="n">
        <f aca="false">IF($H757="Beginner Level",1,0)</f>
        <v>0</v>
      </c>
      <c r="AM757" s="14" t="n">
        <f aca="false">IF($H757="Expert Level",1,0)</f>
        <v>0</v>
      </c>
      <c r="AN757" s="14" t="n">
        <f aca="false">IF($H757="Intermediate Level",1,0)</f>
        <v>0</v>
      </c>
    </row>
    <row r="758" customFormat="false" ht="79.85" hidden="false" customHeight="false" outlineLevel="0" collapsed="false">
      <c r="A758" s="14" t="n">
        <v>838418</v>
      </c>
      <c r="B758" s="14" t="s">
        <v>1558</v>
      </c>
      <c r="C758" s="14" t="s">
        <v>1559</v>
      </c>
      <c r="D758" s="14" t="n">
        <v>40</v>
      </c>
      <c r="E758" s="14" t="n">
        <v>1653</v>
      </c>
      <c r="F758" s="14" t="n">
        <v>53</v>
      </c>
      <c r="G758" s="14" t="n">
        <v>14</v>
      </c>
      <c r="H758" s="14" t="s">
        <v>62</v>
      </c>
      <c r="I758" s="14" t="n">
        <v>0.32</v>
      </c>
      <c r="J758" s="14" t="n">
        <v>1.5</v>
      </c>
      <c r="K758" s="14" t="s">
        <v>59</v>
      </c>
      <c r="L758" s="14" t="n">
        <v>2016</v>
      </c>
      <c r="M758" s="14" t="n">
        <v>7.41034709782102</v>
      </c>
      <c r="N758" s="14" t="n">
        <v>3.68912942286914</v>
      </c>
      <c r="P758" s="14" t="n">
        <f aca="false">D758</f>
        <v>40</v>
      </c>
      <c r="Q758" s="14" t="n">
        <f aca="false">G758</f>
        <v>14</v>
      </c>
      <c r="R758" s="14" t="n">
        <f aca="false">J758</f>
        <v>1.5</v>
      </c>
      <c r="S758" s="14" t="n">
        <f aca="false">IF($L758=2012,1,0)</f>
        <v>0</v>
      </c>
      <c r="T758" s="14" t="n">
        <f aca="false">IF($L758=2013,1,0)</f>
        <v>0</v>
      </c>
      <c r="U758" s="14" t="n">
        <f aca="false">IF($L758=2014,1,0)</f>
        <v>0</v>
      </c>
      <c r="V758" s="14" t="n">
        <f aca="false">IF($L758=2015,1,0)</f>
        <v>0</v>
      </c>
      <c r="W758" s="14" t="n">
        <f aca="false">IF($L758=2016,1,0)</f>
        <v>1</v>
      </c>
      <c r="X758" s="14" t="n">
        <f aca="false">IF($L758=2017,1,0)</f>
        <v>0</v>
      </c>
      <c r="Y758" s="14" t="n">
        <f aca="false">IF($H758="Beginner Level",1,0)</f>
        <v>0</v>
      </c>
      <c r="Z758" s="14" t="n">
        <f aca="false">IF($H758="Expert Level",1,0)</f>
        <v>0</v>
      </c>
      <c r="AA758" s="14" t="n">
        <f aca="false">IF($H758="Intermediate Level",1,0)</f>
        <v>0</v>
      </c>
      <c r="AC758" s="14" t="n">
        <f aca="false">N758</f>
        <v>3.68912942286914</v>
      </c>
      <c r="AD758" s="14" t="n">
        <f aca="false">G758</f>
        <v>14</v>
      </c>
      <c r="AE758" s="14" t="n">
        <f aca="false">J758</f>
        <v>1.5</v>
      </c>
      <c r="AF758" s="14" t="n">
        <f aca="false">IF($L758=2012,1,0)</f>
        <v>0</v>
      </c>
      <c r="AG758" s="14" t="n">
        <f aca="false">IF($L758=2013,1,0)</f>
        <v>0</v>
      </c>
      <c r="AH758" s="14" t="n">
        <f aca="false">IF($L758=2014,1,0)</f>
        <v>0</v>
      </c>
      <c r="AI758" s="14" t="n">
        <f aca="false">IF($L758=2015,1,0)</f>
        <v>0</v>
      </c>
      <c r="AJ758" s="14" t="n">
        <f aca="false">IF($L758=2016,1,0)</f>
        <v>1</v>
      </c>
      <c r="AK758" s="14" t="n">
        <f aca="false">IF($L758=2017,1,0)</f>
        <v>0</v>
      </c>
      <c r="AL758" s="14" t="n">
        <f aca="false">IF($H758="Beginner Level",1,0)</f>
        <v>0</v>
      </c>
      <c r="AM758" s="14" t="n">
        <f aca="false">IF($H758="Expert Level",1,0)</f>
        <v>0</v>
      </c>
      <c r="AN758" s="14" t="n">
        <f aca="false">IF($H758="Intermediate Level",1,0)</f>
        <v>0</v>
      </c>
    </row>
    <row r="759" customFormat="false" ht="68.65" hidden="false" customHeight="false" outlineLevel="0" collapsed="false">
      <c r="A759" s="14" t="n">
        <v>1204208</v>
      </c>
      <c r="B759" s="14" t="s">
        <v>1560</v>
      </c>
      <c r="C759" s="14" t="s">
        <v>1561</v>
      </c>
      <c r="D759" s="14" t="n">
        <v>195</v>
      </c>
      <c r="E759" s="14" t="n">
        <v>1649</v>
      </c>
      <c r="F759" s="14" t="n">
        <v>34</v>
      </c>
      <c r="G759" s="14" t="n">
        <v>25</v>
      </c>
      <c r="H759" s="14" t="s">
        <v>52</v>
      </c>
      <c r="I759" s="14" t="n">
        <v>0.95</v>
      </c>
      <c r="J759" s="14" t="n">
        <v>2</v>
      </c>
      <c r="K759" s="14" t="s">
        <v>59</v>
      </c>
      <c r="L759" s="14" t="n">
        <v>2017</v>
      </c>
      <c r="M759" s="14" t="n">
        <v>7.4079243225596</v>
      </c>
      <c r="N759" s="14" t="n">
        <v>5.27305083930015</v>
      </c>
      <c r="P759" s="14" t="n">
        <f aca="false">D759</f>
        <v>195</v>
      </c>
      <c r="Q759" s="14" t="n">
        <f aca="false">G759</f>
        <v>25</v>
      </c>
      <c r="R759" s="14" t="n">
        <f aca="false">J759</f>
        <v>2</v>
      </c>
      <c r="S759" s="14" t="n">
        <f aca="false">IF($L759=2012,1,0)</f>
        <v>0</v>
      </c>
      <c r="T759" s="14" t="n">
        <f aca="false">IF($L759=2013,1,0)</f>
        <v>0</v>
      </c>
      <c r="U759" s="14" t="n">
        <f aca="false">IF($L759=2014,1,0)</f>
        <v>0</v>
      </c>
      <c r="V759" s="14" t="n">
        <f aca="false">IF($L759=2015,1,0)</f>
        <v>0</v>
      </c>
      <c r="W759" s="14" t="n">
        <f aca="false">IF($L759=2016,1,0)</f>
        <v>0</v>
      </c>
      <c r="X759" s="14" t="n">
        <f aca="false">IF($L759=2017,1,0)</f>
        <v>1</v>
      </c>
      <c r="Y759" s="14" t="n">
        <f aca="false">IF($H759="Beginner Level",1,0)</f>
        <v>1</v>
      </c>
      <c r="Z759" s="14" t="n">
        <f aca="false">IF($H759="Expert Level",1,0)</f>
        <v>0</v>
      </c>
      <c r="AA759" s="14" t="n">
        <f aca="false">IF($H759="Intermediate Level",1,0)</f>
        <v>0</v>
      </c>
      <c r="AC759" s="14" t="n">
        <f aca="false">N759</f>
        <v>5.27305083930015</v>
      </c>
      <c r="AD759" s="14" t="n">
        <f aca="false">G759</f>
        <v>25</v>
      </c>
      <c r="AE759" s="14" t="n">
        <f aca="false">J759</f>
        <v>2</v>
      </c>
      <c r="AF759" s="14" t="n">
        <f aca="false">IF($L759=2012,1,0)</f>
        <v>0</v>
      </c>
      <c r="AG759" s="14" t="n">
        <f aca="false">IF($L759=2013,1,0)</f>
        <v>0</v>
      </c>
      <c r="AH759" s="14" t="n">
        <f aca="false">IF($L759=2014,1,0)</f>
        <v>0</v>
      </c>
      <c r="AI759" s="14" t="n">
        <f aca="false">IF($L759=2015,1,0)</f>
        <v>0</v>
      </c>
      <c r="AJ759" s="14" t="n">
        <f aca="false">IF($L759=2016,1,0)</f>
        <v>0</v>
      </c>
      <c r="AK759" s="14" t="n">
        <f aca="false">IF($L759=2017,1,0)</f>
        <v>1</v>
      </c>
      <c r="AL759" s="14" t="n">
        <f aca="false">IF($H759="Beginner Level",1,0)</f>
        <v>1</v>
      </c>
      <c r="AM759" s="14" t="n">
        <f aca="false">IF($H759="Expert Level",1,0)</f>
        <v>0</v>
      </c>
      <c r="AN759" s="14" t="n">
        <f aca="false">IF($H759="Intermediate Level",1,0)</f>
        <v>0</v>
      </c>
    </row>
    <row r="760" customFormat="false" ht="68.65" hidden="false" customHeight="false" outlineLevel="0" collapsed="false">
      <c r="A760" s="14" t="n">
        <v>842728</v>
      </c>
      <c r="B760" s="14" t="s">
        <v>1562</v>
      </c>
      <c r="C760" s="14" t="s">
        <v>1563</v>
      </c>
      <c r="D760" s="14" t="n">
        <v>195</v>
      </c>
      <c r="E760" s="14" t="n">
        <v>1645</v>
      </c>
      <c r="F760" s="14" t="n">
        <v>75</v>
      </c>
      <c r="G760" s="14" t="n">
        <v>12</v>
      </c>
      <c r="H760" s="14" t="s">
        <v>52</v>
      </c>
      <c r="I760" s="14" t="n">
        <v>0.95</v>
      </c>
      <c r="J760" s="14" t="n">
        <v>1</v>
      </c>
      <c r="K760" s="14" t="s">
        <v>59</v>
      </c>
      <c r="L760" s="14" t="n">
        <v>2016</v>
      </c>
      <c r="M760" s="14" t="n">
        <v>7.40549566319947</v>
      </c>
      <c r="N760" s="14" t="n">
        <v>5.27305083930015</v>
      </c>
      <c r="P760" s="14" t="n">
        <f aca="false">D760</f>
        <v>195</v>
      </c>
      <c r="Q760" s="14" t="n">
        <f aca="false">G760</f>
        <v>12</v>
      </c>
      <c r="R760" s="14" t="n">
        <f aca="false">J760</f>
        <v>1</v>
      </c>
      <c r="S760" s="14" t="n">
        <f aca="false">IF($L760=2012,1,0)</f>
        <v>0</v>
      </c>
      <c r="T760" s="14" t="n">
        <f aca="false">IF($L760=2013,1,0)</f>
        <v>0</v>
      </c>
      <c r="U760" s="14" t="n">
        <f aca="false">IF($L760=2014,1,0)</f>
        <v>0</v>
      </c>
      <c r="V760" s="14" t="n">
        <f aca="false">IF($L760=2015,1,0)</f>
        <v>0</v>
      </c>
      <c r="W760" s="14" t="n">
        <f aca="false">IF($L760=2016,1,0)</f>
        <v>1</v>
      </c>
      <c r="X760" s="14" t="n">
        <f aca="false">IF($L760=2017,1,0)</f>
        <v>0</v>
      </c>
      <c r="Y760" s="14" t="n">
        <f aca="false">IF($H760="Beginner Level",1,0)</f>
        <v>1</v>
      </c>
      <c r="Z760" s="14" t="n">
        <f aca="false">IF($H760="Expert Level",1,0)</f>
        <v>0</v>
      </c>
      <c r="AA760" s="14" t="n">
        <f aca="false">IF($H760="Intermediate Level",1,0)</f>
        <v>0</v>
      </c>
      <c r="AC760" s="14" t="n">
        <f aca="false">N760</f>
        <v>5.27305083930015</v>
      </c>
      <c r="AD760" s="14" t="n">
        <f aca="false">G760</f>
        <v>12</v>
      </c>
      <c r="AE760" s="14" t="n">
        <f aca="false">J760</f>
        <v>1</v>
      </c>
      <c r="AF760" s="14" t="n">
        <f aca="false">IF($L760=2012,1,0)</f>
        <v>0</v>
      </c>
      <c r="AG760" s="14" t="n">
        <f aca="false">IF($L760=2013,1,0)</f>
        <v>0</v>
      </c>
      <c r="AH760" s="14" t="n">
        <f aca="false">IF($L760=2014,1,0)</f>
        <v>0</v>
      </c>
      <c r="AI760" s="14" t="n">
        <f aca="false">IF($L760=2015,1,0)</f>
        <v>0</v>
      </c>
      <c r="AJ760" s="14" t="n">
        <f aca="false">IF($L760=2016,1,0)</f>
        <v>1</v>
      </c>
      <c r="AK760" s="14" t="n">
        <f aca="false">IF($L760=2017,1,0)</f>
        <v>0</v>
      </c>
      <c r="AL760" s="14" t="n">
        <f aca="false">IF($H760="Beginner Level",1,0)</f>
        <v>1</v>
      </c>
      <c r="AM760" s="14" t="n">
        <f aca="false">IF($H760="Expert Level",1,0)</f>
        <v>0</v>
      </c>
      <c r="AN760" s="14" t="n">
        <f aca="false">IF($H760="Intermediate Level",1,0)</f>
        <v>0</v>
      </c>
    </row>
    <row r="761" customFormat="false" ht="57.45" hidden="false" customHeight="false" outlineLevel="0" collapsed="false">
      <c r="A761" s="14" t="n">
        <v>631472</v>
      </c>
      <c r="B761" s="14" t="s">
        <v>1564</v>
      </c>
      <c r="C761" s="14" t="s">
        <v>1565</v>
      </c>
      <c r="D761" s="14" t="n">
        <v>65</v>
      </c>
      <c r="E761" s="14" t="n">
        <v>1640</v>
      </c>
      <c r="F761" s="14" t="n">
        <v>22</v>
      </c>
      <c r="G761" s="14" t="n">
        <v>29</v>
      </c>
      <c r="H761" s="14" t="s">
        <v>52</v>
      </c>
      <c r="I761" s="14" t="n">
        <v>0.95</v>
      </c>
      <c r="J761" s="14" t="n">
        <v>2</v>
      </c>
      <c r="K761" s="14" t="s">
        <v>59</v>
      </c>
      <c r="L761" s="14" t="n">
        <v>2015</v>
      </c>
      <c r="M761" s="14" t="n">
        <v>7.40245152081824</v>
      </c>
      <c r="N761" s="14" t="n">
        <v>4.17454110421638</v>
      </c>
      <c r="P761" s="14" t="n">
        <f aca="false">D761</f>
        <v>65</v>
      </c>
      <c r="Q761" s="14" t="n">
        <f aca="false">G761</f>
        <v>29</v>
      </c>
      <c r="R761" s="14" t="n">
        <f aca="false">J761</f>
        <v>2</v>
      </c>
      <c r="S761" s="14" t="n">
        <f aca="false">IF($L761=2012,1,0)</f>
        <v>0</v>
      </c>
      <c r="T761" s="14" t="n">
        <f aca="false">IF($L761=2013,1,0)</f>
        <v>0</v>
      </c>
      <c r="U761" s="14" t="n">
        <f aca="false">IF($L761=2014,1,0)</f>
        <v>0</v>
      </c>
      <c r="V761" s="14" t="n">
        <f aca="false">IF($L761=2015,1,0)</f>
        <v>1</v>
      </c>
      <c r="W761" s="14" t="n">
        <f aca="false">IF($L761=2016,1,0)</f>
        <v>0</v>
      </c>
      <c r="X761" s="14" t="n">
        <f aca="false">IF($L761=2017,1,0)</f>
        <v>0</v>
      </c>
      <c r="Y761" s="14" t="n">
        <f aca="false">IF($H761="Beginner Level",1,0)</f>
        <v>1</v>
      </c>
      <c r="Z761" s="14" t="n">
        <f aca="false">IF($H761="Expert Level",1,0)</f>
        <v>0</v>
      </c>
      <c r="AA761" s="14" t="n">
        <f aca="false">IF($H761="Intermediate Level",1,0)</f>
        <v>0</v>
      </c>
      <c r="AC761" s="14" t="n">
        <f aca="false">N761</f>
        <v>4.17454110421638</v>
      </c>
      <c r="AD761" s="14" t="n">
        <f aca="false">G761</f>
        <v>29</v>
      </c>
      <c r="AE761" s="14" t="n">
        <f aca="false">J761</f>
        <v>2</v>
      </c>
      <c r="AF761" s="14" t="n">
        <f aca="false">IF($L761=2012,1,0)</f>
        <v>0</v>
      </c>
      <c r="AG761" s="14" t="n">
        <f aca="false">IF($L761=2013,1,0)</f>
        <v>0</v>
      </c>
      <c r="AH761" s="14" t="n">
        <f aca="false">IF($L761=2014,1,0)</f>
        <v>0</v>
      </c>
      <c r="AI761" s="14" t="n">
        <f aca="false">IF($L761=2015,1,0)</f>
        <v>1</v>
      </c>
      <c r="AJ761" s="14" t="n">
        <f aca="false">IF($L761=2016,1,0)</f>
        <v>0</v>
      </c>
      <c r="AK761" s="14" t="n">
        <f aca="false">IF($L761=2017,1,0)</f>
        <v>0</v>
      </c>
      <c r="AL761" s="14" t="n">
        <f aca="false">IF($H761="Beginner Level",1,0)</f>
        <v>1</v>
      </c>
      <c r="AM761" s="14" t="n">
        <f aca="false">IF($H761="Expert Level",1,0)</f>
        <v>0</v>
      </c>
      <c r="AN761" s="14" t="n">
        <f aca="false">IF($H761="Intermediate Level",1,0)</f>
        <v>0</v>
      </c>
    </row>
    <row r="762" customFormat="false" ht="79.85" hidden="false" customHeight="false" outlineLevel="0" collapsed="false">
      <c r="A762" s="14" t="n">
        <v>937206</v>
      </c>
      <c r="B762" s="14" t="s">
        <v>1566</v>
      </c>
      <c r="C762" s="14" t="s">
        <v>1567</v>
      </c>
      <c r="D762" s="14" t="n">
        <v>75</v>
      </c>
      <c r="E762" s="14" t="n">
        <v>1634</v>
      </c>
      <c r="F762" s="14" t="n">
        <v>52</v>
      </c>
      <c r="G762" s="14" t="n">
        <v>21</v>
      </c>
      <c r="H762" s="14" t="s">
        <v>62</v>
      </c>
      <c r="I762" s="14" t="n">
        <v>0.95</v>
      </c>
      <c r="J762" s="14" t="n">
        <v>2.5</v>
      </c>
      <c r="K762" s="14" t="s">
        <v>59</v>
      </c>
      <c r="L762" s="14" t="n">
        <v>2016</v>
      </c>
      <c r="M762" s="14" t="n">
        <v>7.39878627541995</v>
      </c>
      <c r="N762" s="14" t="n">
        <v>4.31762143798155</v>
      </c>
      <c r="P762" s="14" t="n">
        <f aca="false">D762</f>
        <v>75</v>
      </c>
      <c r="Q762" s="14" t="n">
        <f aca="false">G762</f>
        <v>21</v>
      </c>
      <c r="R762" s="14" t="n">
        <f aca="false">J762</f>
        <v>2.5</v>
      </c>
      <c r="S762" s="14" t="n">
        <f aca="false">IF($L762=2012,1,0)</f>
        <v>0</v>
      </c>
      <c r="T762" s="14" t="n">
        <f aca="false">IF($L762=2013,1,0)</f>
        <v>0</v>
      </c>
      <c r="U762" s="14" t="n">
        <f aca="false">IF($L762=2014,1,0)</f>
        <v>0</v>
      </c>
      <c r="V762" s="14" t="n">
        <f aca="false">IF($L762=2015,1,0)</f>
        <v>0</v>
      </c>
      <c r="W762" s="14" t="n">
        <f aca="false">IF($L762=2016,1,0)</f>
        <v>1</v>
      </c>
      <c r="X762" s="14" t="n">
        <f aca="false">IF($L762=2017,1,0)</f>
        <v>0</v>
      </c>
      <c r="Y762" s="14" t="n">
        <f aca="false">IF($H762="Beginner Level",1,0)</f>
        <v>0</v>
      </c>
      <c r="Z762" s="14" t="n">
        <f aca="false">IF($H762="Expert Level",1,0)</f>
        <v>0</v>
      </c>
      <c r="AA762" s="14" t="n">
        <f aca="false">IF($H762="Intermediate Level",1,0)</f>
        <v>0</v>
      </c>
      <c r="AC762" s="14" t="n">
        <f aca="false">N762</f>
        <v>4.31762143798155</v>
      </c>
      <c r="AD762" s="14" t="n">
        <f aca="false">G762</f>
        <v>21</v>
      </c>
      <c r="AE762" s="14" t="n">
        <f aca="false">J762</f>
        <v>2.5</v>
      </c>
      <c r="AF762" s="14" t="n">
        <f aca="false">IF($L762=2012,1,0)</f>
        <v>0</v>
      </c>
      <c r="AG762" s="14" t="n">
        <f aca="false">IF($L762=2013,1,0)</f>
        <v>0</v>
      </c>
      <c r="AH762" s="14" t="n">
        <f aca="false">IF($L762=2014,1,0)</f>
        <v>0</v>
      </c>
      <c r="AI762" s="14" t="n">
        <f aca="false">IF($L762=2015,1,0)</f>
        <v>0</v>
      </c>
      <c r="AJ762" s="14" t="n">
        <f aca="false">IF($L762=2016,1,0)</f>
        <v>1</v>
      </c>
      <c r="AK762" s="14" t="n">
        <f aca="false">IF($L762=2017,1,0)</f>
        <v>0</v>
      </c>
      <c r="AL762" s="14" t="n">
        <f aca="false">IF($H762="Beginner Level",1,0)</f>
        <v>0</v>
      </c>
      <c r="AM762" s="14" t="n">
        <f aca="false">IF($H762="Expert Level",1,0)</f>
        <v>0</v>
      </c>
      <c r="AN762" s="14" t="n">
        <f aca="false">IF($H762="Intermediate Level",1,0)</f>
        <v>0</v>
      </c>
    </row>
    <row r="763" customFormat="false" ht="79.85" hidden="false" customHeight="false" outlineLevel="0" collapsed="false">
      <c r="A763" s="14" t="n">
        <v>369132</v>
      </c>
      <c r="B763" s="14" t="s">
        <v>1568</v>
      </c>
      <c r="C763" s="14" t="s">
        <v>1569</v>
      </c>
      <c r="D763" s="14" t="n">
        <v>145</v>
      </c>
      <c r="E763" s="14" t="n">
        <v>1628</v>
      </c>
      <c r="F763" s="14" t="n">
        <v>162</v>
      </c>
      <c r="G763" s="14" t="n">
        <v>129</v>
      </c>
      <c r="H763" s="14" t="s">
        <v>62</v>
      </c>
      <c r="I763" s="14" t="n">
        <v>0.95</v>
      </c>
      <c r="J763" s="14" t="n">
        <v>18.5</v>
      </c>
      <c r="K763" s="14" t="s">
        <v>59</v>
      </c>
      <c r="L763" s="14" t="n">
        <v>2015</v>
      </c>
      <c r="M763" s="14" t="n">
        <v>7.39510754656249</v>
      </c>
      <c r="N763" s="14" t="n">
        <v>4.9768027055598</v>
      </c>
      <c r="P763" s="14" t="n">
        <f aca="false">D763</f>
        <v>145</v>
      </c>
      <c r="Q763" s="14" t="n">
        <f aca="false">G763</f>
        <v>129</v>
      </c>
      <c r="R763" s="14" t="n">
        <f aca="false">J763</f>
        <v>18.5</v>
      </c>
      <c r="S763" s="14" t="n">
        <f aca="false">IF($L763=2012,1,0)</f>
        <v>0</v>
      </c>
      <c r="T763" s="14" t="n">
        <f aca="false">IF($L763=2013,1,0)</f>
        <v>0</v>
      </c>
      <c r="U763" s="14" t="n">
        <f aca="false">IF($L763=2014,1,0)</f>
        <v>0</v>
      </c>
      <c r="V763" s="14" t="n">
        <f aca="false">IF($L763=2015,1,0)</f>
        <v>1</v>
      </c>
      <c r="W763" s="14" t="n">
        <f aca="false">IF($L763=2016,1,0)</f>
        <v>0</v>
      </c>
      <c r="X763" s="14" t="n">
        <f aca="false">IF($L763=2017,1,0)</f>
        <v>0</v>
      </c>
      <c r="Y763" s="14" t="n">
        <f aca="false">IF($H763="Beginner Level",1,0)</f>
        <v>0</v>
      </c>
      <c r="Z763" s="14" t="n">
        <f aca="false">IF($H763="Expert Level",1,0)</f>
        <v>0</v>
      </c>
      <c r="AA763" s="14" t="n">
        <f aca="false">IF($H763="Intermediate Level",1,0)</f>
        <v>0</v>
      </c>
      <c r="AC763" s="14" t="n">
        <f aca="false">N763</f>
        <v>4.9768027055598</v>
      </c>
      <c r="AD763" s="14" t="n">
        <f aca="false">G763</f>
        <v>129</v>
      </c>
      <c r="AE763" s="14" t="n">
        <f aca="false">J763</f>
        <v>18.5</v>
      </c>
      <c r="AF763" s="14" t="n">
        <f aca="false">IF($L763=2012,1,0)</f>
        <v>0</v>
      </c>
      <c r="AG763" s="14" t="n">
        <f aca="false">IF($L763=2013,1,0)</f>
        <v>0</v>
      </c>
      <c r="AH763" s="14" t="n">
        <f aca="false">IF($L763=2014,1,0)</f>
        <v>0</v>
      </c>
      <c r="AI763" s="14" t="n">
        <f aca="false">IF($L763=2015,1,0)</f>
        <v>1</v>
      </c>
      <c r="AJ763" s="14" t="n">
        <f aca="false">IF($L763=2016,1,0)</f>
        <v>0</v>
      </c>
      <c r="AK763" s="14" t="n">
        <f aca="false">IF($L763=2017,1,0)</f>
        <v>0</v>
      </c>
      <c r="AL763" s="14" t="n">
        <f aca="false">IF($H763="Beginner Level",1,0)</f>
        <v>0</v>
      </c>
      <c r="AM763" s="14" t="n">
        <f aca="false">IF($H763="Expert Level",1,0)</f>
        <v>0</v>
      </c>
      <c r="AN763" s="14" t="n">
        <f aca="false">IF($H763="Intermediate Level",1,0)</f>
        <v>0</v>
      </c>
    </row>
    <row r="764" customFormat="false" ht="79.85" hidden="false" customHeight="false" outlineLevel="0" collapsed="false">
      <c r="A764" s="14" t="n">
        <v>856530</v>
      </c>
      <c r="B764" s="14" t="s">
        <v>1570</v>
      </c>
      <c r="C764" s="14" t="s">
        <v>1571</v>
      </c>
      <c r="D764" s="14" t="n">
        <v>35</v>
      </c>
      <c r="E764" s="14" t="n">
        <v>1627</v>
      </c>
      <c r="F764" s="14" t="n">
        <v>38</v>
      </c>
      <c r="G764" s="14" t="n">
        <v>7</v>
      </c>
      <c r="H764" s="14" t="s">
        <v>62</v>
      </c>
      <c r="I764" s="14" t="n">
        <v>0.95</v>
      </c>
      <c r="J764" s="14" t="n">
        <v>0.58333333</v>
      </c>
      <c r="K764" s="14" t="s">
        <v>59</v>
      </c>
      <c r="L764" s="14" t="n">
        <v>2016</v>
      </c>
      <c r="M764" s="14" t="n">
        <v>7.39449310721904</v>
      </c>
      <c r="N764" s="14" t="n">
        <v>3.55563373496657</v>
      </c>
      <c r="P764" s="14" t="n">
        <f aca="false">D764</f>
        <v>35</v>
      </c>
      <c r="Q764" s="14" t="n">
        <f aca="false">G764</f>
        <v>7</v>
      </c>
      <c r="R764" s="14" t="n">
        <f aca="false">J764</f>
        <v>0.58333333</v>
      </c>
      <c r="S764" s="14" t="n">
        <f aca="false">IF($L764=2012,1,0)</f>
        <v>0</v>
      </c>
      <c r="T764" s="14" t="n">
        <f aca="false">IF($L764=2013,1,0)</f>
        <v>0</v>
      </c>
      <c r="U764" s="14" t="n">
        <f aca="false">IF($L764=2014,1,0)</f>
        <v>0</v>
      </c>
      <c r="V764" s="14" t="n">
        <f aca="false">IF($L764=2015,1,0)</f>
        <v>0</v>
      </c>
      <c r="W764" s="14" t="n">
        <f aca="false">IF($L764=2016,1,0)</f>
        <v>1</v>
      </c>
      <c r="X764" s="14" t="n">
        <f aca="false">IF($L764=2017,1,0)</f>
        <v>0</v>
      </c>
      <c r="Y764" s="14" t="n">
        <f aca="false">IF($H764="Beginner Level",1,0)</f>
        <v>0</v>
      </c>
      <c r="Z764" s="14" t="n">
        <f aca="false">IF($H764="Expert Level",1,0)</f>
        <v>0</v>
      </c>
      <c r="AA764" s="14" t="n">
        <f aca="false">IF($H764="Intermediate Level",1,0)</f>
        <v>0</v>
      </c>
      <c r="AC764" s="14" t="n">
        <f aca="false">N764</f>
        <v>3.55563373496657</v>
      </c>
      <c r="AD764" s="14" t="n">
        <f aca="false">G764</f>
        <v>7</v>
      </c>
      <c r="AE764" s="14" t="n">
        <f aca="false">J764</f>
        <v>0.58333333</v>
      </c>
      <c r="AF764" s="14" t="n">
        <f aca="false">IF($L764=2012,1,0)</f>
        <v>0</v>
      </c>
      <c r="AG764" s="14" t="n">
        <f aca="false">IF($L764=2013,1,0)</f>
        <v>0</v>
      </c>
      <c r="AH764" s="14" t="n">
        <f aca="false">IF($L764=2014,1,0)</f>
        <v>0</v>
      </c>
      <c r="AI764" s="14" t="n">
        <f aca="false">IF($L764=2015,1,0)</f>
        <v>0</v>
      </c>
      <c r="AJ764" s="14" t="n">
        <f aca="false">IF($L764=2016,1,0)</f>
        <v>1</v>
      </c>
      <c r="AK764" s="14" t="n">
        <f aca="false">IF($L764=2017,1,0)</f>
        <v>0</v>
      </c>
      <c r="AL764" s="14" t="n">
        <f aca="false">IF($H764="Beginner Level",1,0)</f>
        <v>0</v>
      </c>
      <c r="AM764" s="14" t="n">
        <f aca="false">IF($H764="Expert Level",1,0)</f>
        <v>0</v>
      </c>
      <c r="AN764" s="14" t="n">
        <f aca="false">IF($H764="Intermediate Level",1,0)</f>
        <v>0</v>
      </c>
    </row>
    <row r="765" customFormat="false" ht="79.85" hidden="false" customHeight="false" outlineLevel="0" collapsed="false">
      <c r="A765" s="14" t="n">
        <v>863976</v>
      </c>
      <c r="B765" s="14" t="s">
        <v>1572</v>
      </c>
      <c r="C765" s="14" t="s">
        <v>1573</v>
      </c>
      <c r="D765" s="14" t="n">
        <v>50</v>
      </c>
      <c r="E765" s="14" t="n">
        <v>1626</v>
      </c>
      <c r="F765" s="14" t="n">
        <v>81</v>
      </c>
      <c r="G765" s="14" t="n">
        <v>18</v>
      </c>
      <c r="H765" s="14" t="s">
        <v>62</v>
      </c>
      <c r="I765" s="14" t="n">
        <v>0.95</v>
      </c>
      <c r="J765" s="14" t="n">
        <v>1.5</v>
      </c>
      <c r="K765" s="14" t="s">
        <v>59</v>
      </c>
      <c r="L765" s="14" t="n">
        <v>2016</v>
      </c>
      <c r="M765" s="14" t="n">
        <v>7.39387829010776</v>
      </c>
      <c r="N765" s="14" t="n">
        <v>3.91222298543081</v>
      </c>
      <c r="P765" s="14" t="n">
        <f aca="false">D765</f>
        <v>50</v>
      </c>
      <c r="Q765" s="14" t="n">
        <f aca="false">G765</f>
        <v>18</v>
      </c>
      <c r="R765" s="14" t="n">
        <f aca="false">J765</f>
        <v>1.5</v>
      </c>
      <c r="S765" s="14" t="n">
        <f aca="false">IF($L765=2012,1,0)</f>
        <v>0</v>
      </c>
      <c r="T765" s="14" t="n">
        <f aca="false">IF($L765=2013,1,0)</f>
        <v>0</v>
      </c>
      <c r="U765" s="14" t="n">
        <f aca="false">IF($L765=2014,1,0)</f>
        <v>0</v>
      </c>
      <c r="V765" s="14" t="n">
        <f aca="false">IF($L765=2015,1,0)</f>
        <v>0</v>
      </c>
      <c r="W765" s="14" t="n">
        <f aca="false">IF($L765=2016,1,0)</f>
        <v>1</v>
      </c>
      <c r="X765" s="14" t="n">
        <f aca="false">IF($L765=2017,1,0)</f>
        <v>0</v>
      </c>
      <c r="Y765" s="14" t="n">
        <f aca="false">IF($H765="Beginner Level",1,0)</f>
        <v>0</v>
      </c>
      <c r="Z765" s="14" t="n">
        <f aca="false">IF($H765="Expert Level",1,0)</f>
        <v>0</v>
      </c>
      <c r="AA765" s="14" t="n">
        <f aca="false">IF($H765="Intermediate Level",1,0)</f>
        <v>0</v>
      </c>
      <c r="AC765" s="14" t="n">
        <f aca="false">N765</f>
        <v>3.91222298543081</v>
      </c>
      <c r="AD765" s="14" t="n">
        <f aca="false">G765</f>
        <v>18</v>
      </c>
      <c r="AE765" s="14" t="n">
        <f aca="false">J765</f>
        <v>1.5</v>
      </c>
      <c r="AF765" s="14" t="n">
        <f aca="false">IF($L765=2012,1,0)</f>
        <v>0</v>
      </c>
      <c r="AG765" s="14" t="n">
        <f aca="false">IF($L765=2013,1,0)</f>
        <v>0</v>
      </c>
      <c r="AH765" s="14" t="n">
        <f aca="false">IF($L765=2014,1,0)</f>
        <v>0</v>
      </c>
      <c r="AI765" s="14" t="n">
        <f aca="false">IF($L765=2015,1,0)</f>
        <v>0</v>
      </c>
      <c r="AJ765" s="14" t="n">
        <f aca="false">IF($L765=2016,1,0)</f>
        <v>1</v>
      </c>
      <c r="AK765" s="14" t="n">
        <f aca="false">IF($L765=2017,1,0)</f>
        <v>0</v>
      </c>
      <c r="AL765" s="14" t="n">
        <f aca="false">IF($H765="Beginner Level",1,0)</f>
        <v>0</v>
      </c>
      <c r="AM765" s="14" t="n">
        <f aca="false">IF($H765="Expert Level",1,0)</f>
        <v>0</v>
      </c>
      <c r="AN765" s="14" t="n">
        <f aca="false">IF($H765="Intermediate Level",1,0)</f>
        <v>0</v>
      </c>
    </row>
    <row r="766" customFormat="false" ht="57.45" hidden="false" customHeight="false" outlineLevel="0" collapsed="false">
      <c r="A766" s="14" t="n">
        <v>863812</v>
      </c>
      <c r="B766" s="14" t="s">
        <v>1574</v>
      </c>
      <c r="C766" s="14" t="s">
        <v>1575</v>
      </c>
      <c r="D766" s="14" t="n">
        <v>100</v>
      </c>
      <c r="E766" s="14" t="n">
        <v>1626</v>
      </c>
      <c r="F766" s="14" t="n">
        <v>115</v>
      </c>
      <c r="G766" s="14" t="n">
        <v>78</v>
      </c>
      <c r="H766" s="14" t="s">
        <v>52</v>
      </c>
      <c r="I766" s="14" t="n">
        <v>0.95</v>
      </c>
      <c r="J766" s="14" t="n">
        <v>6.5</v>
      </c>
      <c r="K766" s="14" t="s">
        <v>59</v>
      </c>
      <c r="L766" s="14" t="n">
        <v>2016</v>
      </c>
      <c r="M766" s="14" t="n">
        <v>7.39387829010776</v>
      </c>
      <c r="N766" s="14" t="n">
        <v>4.60527018098843</v>
      </c>
      <c r="P766" s="14" t="n">
        <f aca="false">D766</f>
        <v>100</v>
      </c>
      <c r="Q766" s="14" t="n">
        <f aca="false">G766</f>
        <v>78</v>
      </c>
      <c r="R766" s="14" t="n">
        <f aca="false">J766</f>
        <v>6.5</v>
      </c>
      <c r="S766" s="14" t="n">
        <f aca="false">IF($L766=2012,1,0)</f>
        <v>0</v>
      </c>
      <c r="T766" s="14" t="n">
        <f aca="false">IF($L766=2013,1,0)</f>
        <v>0</v>
      </c>
      <c r="U766" s="14" t="n">
        <f aca="false">IF($L766=2014,1,0)</f>
        <v>0</v>
      </c>
      <c r="V766" s="14" t="n">
        <f aca="false">IF($L766=2015,1,0)</f>
        <v>0</v>
      </c>
      <c r="W766" s="14" t="n">
        <f aca="false">IF($L766=2016,1,0)</f>
        <v>1</v>
      </c>
      <c r="X766" s="14" t="n">
        <f aca="false">IF($L766=2017,1,0)</f>
        <v>0</v>
      </c>
      <c r="Y766" s="14" t="n">
        <f aca="false">IF($H766="Beginner Level",1,0)</f>
        <v>1</v>
      </c>
      <c r="Z766" s="14" t="n">
        <f aca="false">IF($H766="Expert Level",1,0)</f>
        <v>0</v>
      </c>
      <c r="AA766" s="14" t="n">
        <f aca="false">IF($H766="Intermediate Level",1,0)</f>
        <v>0</v>
      </c>
      <c r="AC766" s="14" t="n">
        <f aca="false">N766</f>
        <v>4.60527018098843</v>
      </c>
      <c r="AD766" s="14" t="n">
        <f aca="false">G766</f>
        <v>78</v>
      </c>
      <c r="AE766" s="14" t="n">
        <f aca="false">J766</f>
        <v>6.5</v>
      </c>
      <c r="AF766" s="14" t="n">
        <f aca="false">IF($L766=2012,1,0)</f>
        <v>0</v>
      </c>
      <c r="AG766" s="14" t="n">
        <f aca="false">IF($L766=2013,1,0)</f>
        <v>0</v>
      </c>
      <c r="AH766" s="14" t="n">
        <f aca="false">IF($L766=2014,1,0)</f>
        <v>0</v>
      </c>
      <c r="AI766" s="14" t="n">
        <f aca="false">IF($L766=2015,1,0)</f>
        <v>0</v>
      </c>
      <c r="AJ766" s="14" t="n">
        <f aca="false">IF($L766=2016,1,0)</f>
        <v>1</v>
      </c>
      <c r="AK766" s="14" t="n">
        <f aca="false">IF($L766=2017,1,0)</f>
        <v>0</v>
      </c>
      <c r="AL766" s="14" t="n">
        <f aca="false">IF($H766="Beginner Level",1,0)</f>
        <v>1</v>
      </c>
      <c r="AM766" s="14" t="n">
        <f aca="false">IF($H766="Expert Level",1,0)</f>
        <v>0</v>
      </c>
      <c r="AN766" s="14" t="n">
        <f aca="false">IF($H766="Intermediate Level",1,0)</f>
        <v>0</v>
      </c>
    </row>
    <row r="767" customFormat="false" ht="68.65" hidden="false" customHeight="false" outlineLevel="0" collapsed="false">
      <c r="A767" s="14" t="n">
        <v>791610</v>
      </c>
      <c r="B767" s="14" t="s">
        <v>1576</v>
      </c>
      <c r="C767" s="14" t="s">
        <v>1577</v>
      </c>
      <c r="D767" s="14" t="n">
        <v>50</v>
      </c>
      <c r="E767" s="14" t="n">
        <v>1624</v>
      </c>
      <c r="F767" s="14" t="n">
        <v>31</v>
      </c>
      <c r="G767" s="14" t="n">
        <v>38</v>
      </c>
      <c r="H767" s="14" t="s">
        <v>71</v>
      </c>
      <c r="I767" s="14" t="n">
        <v>0.95</v>
      </c>
      <c r="J767" s="14" t="n">
        <v>4</v>
      </c>
      <c r="K767" s="14" t="s">
        <v>59</v>
      </c>
      <c r="L767" s="14" t="n">
        <v>2016</v>
      </c>
      <c r="M767" s="14" t="n">
        <v>7.39264752072162</v>
      </c>
      <c r="N767" s="14" t="n">
        <v>3.91222298543081</v>
      </c>
      <c r="P767" s="14" t="n">
        <f aca="false">D767</f>
        <v>50</v>
      </c>
      <c r="Q767" s="14" t="n">
        <f aca="false">G767</f>
        <v>38</v>
      </c>
      <c r="R767" s="14" t="n">
        <f aca="false">J767</f>
        <v>4</v>
      </c>
      <c r="S767" s="14" t="n">
        <f aca="false">IF($L767=2012,1,0)</f>
        <v>0</v>
      </c>
      <c r="T767" s="14" t="n">
        <f aca="false">IF($L767=2013,1,0)</f>
        <v>0</v>
      </c>
      <c r="U767" s="14" t="n">
        <f aca="false">IF($L767=2014,1,0)</f>
        <v>0</v>
      </c>
      <c r="V767" s="14" t="n">
        <f aca="false">IF($L767=2015,1,0)</f>
        <v>0</v>
      </c>
      <c r="W767" s="14" t="n">
        <f aca="false">IF($L767=2016,1,0)</f>
        <v>1</v>
      </c>
      <c r="X767" s="14" t="n">
        <f aca="false">IF($L767=2017,1,0)</f>
        <v>0</v>
      </c>
      <c r="Y767" s="14" t="n">
        <f aca="false">IF($H767="Beginner Level",1,0)</f>
        <v>0</v>
      </c>
      <c r="Z767" s="14" t="n">
        <f aca="false">IF($H767="Expert Level",1,0)</f>
        <v>0</v>
      </c>
      <c r="AA767" s="14" t="n">
        <f aca="false">IF($H767="Intermediate Level",1,0)</f>
        <v>1</v>
      </c>
      <c r="AC767" s="14" t="n">
        <f aca="false">N767</f>
        <v>3.91222298543081</v>
      </c>
      <c r="AD767" s="14" t="n">
        <f aca="false">G767</f>
        <v>38</v>
      </c>
      <c r="AE767" s="14" t="n">
        <f aca="false">J767</f>
        <v>4</v>
      </c>
      <c r="AF767" s="14" t="n">
        <f aca="false">IF($L767=2012,1,0)</f>
        <v>0</v>
      </c>
      <c r="AG767" s="14" t="n">
        <f aca="false">IF($L767=2013,1,0)</f>
        <v>0</v>
      </c>
      <c r="AH767" s="14" t="n">
        <f aca="false">IF($L767=2014,1,0)</f>
        <v>0</v>
      </c>
      <c r="AI767" s="14" t="n">
        <f aca="false">IF($L767=2015,1,0)</f>
        <v>0</v>
      </c>
      <c r="AJ767" s="14" t="n">
        <f aca="false">IF($L767=2016,1,0)</f>
        <v>1</v>
      </c>
      <c r="AK767" s="14" t="n">
        <f aca="false">IF($L767=2017,1,0)</f>
        <v>0</v>
      </c>
      <c r="AL767" s="14" t="n">
        <f aca="false">IF($H767="Beginner Level",1,0)</f>
        <v>0</v>
      </c>
      <c r="AM767" s="14" t="n">
        <f aca="false">IF($H767="Expert Level",1,0)</f>
        <v>0</v>
      </c>
      <c r="AN767" s="14" t="n">
        <f aca="false">IF($H767="Intermediate Level",1,0)</f>
        <v>1</v>
      </c>
    </row>
    <row r="768" customFormat="false" ht="79.85" hidden="false" customHeight="false" outlineLevel="0" collapsed="false">
      <c r="A768" s="14" t="n">
        <v>846578</v>
      </c>
      <c r="B768" s="14" t="s">
        <v>1578</v>
      </c>
      <c r="C768" s="14" t="s">
        <v>1579</v>
      </c>
      <c r="D768" s="14" t="n">
        <v>20</v>
      </c>
      <c r="E768" s="14" t="n">
        <v>1618</v>
      </c>
      <c r="F768" s="14" t="n">
        <v>46</v>
      </c>
      <c r="G768" s="14" t="n">
        <v>20</v>
      </c>
      <c r="H768" s="14" t="s">
        <v>62</v>
      </c>
      <c r="I768" s="14" t="n">
        <v>0.95</v>
      </c>
      <c r="J768" s="14" t="n">
        <v>1.5</v>
      </c>
      <c r="K768" s="14" t="s">
        <v>59</v>
      </c>
      <c r="L768" s="14" t="n">
        <v>2016</v>
      </c>
      <c r="M768" s="14" t="n">
        <v>7.38894609761844</v>
      </c>
      <c r="N768" s="14" t="n">
        <v>2.99623214859564</v>
      </c>
      <c r="P768" s="14" t="n">
        <f aca="false">D768</f>
        <v>20</v>
      </c>
      <c r="Q768" s="14" t="n">
        <f aca="false">G768</f>
        <v>20</v>
      </c>
      <c r="R768" s="14" t="n">
        <f aca="false">J768</f>
        <v>1.5</v>
      </c>
      <c r="S768" s="14" t="n">
        <f aca="false">IF($L768=2012,1,0)</f>
        <v>0</v>
      </c>
      <c r="T768" s="14" t="n">
        <f aca="false">IF($L768=2013,1,0)</f>
        <v>0</v>
      </c>
      <c r="U768" s="14" t="n">
        <f aca="false">IF($L768=2014,1,0)</f>
        <v>0</v>
      </c>
      <c r="V768" s="14" t="n">
        <f aca="false">IF($L768=2015,1,0)</f>
        <v>0</v>
      </c>
      <c r="W768" s="14" t="n">
        <f aca="false">IF($L768=2016,1,0)</f>
        <v>1</v>
      </c>
      <c r="X768" s="14" t="n">
        <f aca="false">IF($L768=2017,1,0)</f>
        <v>0</v>
      </c>
      <c r="Y768" s="14" t="n">
        <f aca="false">IF($H768="Beginner Level",1,0)</f>
        <v>0</v>
      </c>
      <c r="Z768" s="14" t="n">
        <f aca="false">IF($H768="Expert Level",1,0)</f>
        <v>0</v>
      </c>
      <c r="AA768" s="14" t="n">
        <f aca="false">IF($H768="Intermediate Level",1,0)</f>
        <v>0</v>
      </c>
      <c r="AC768" s="14" t="n">
        <f aca="false">N768</f>
        <v>2.99623214859564</v>
      </c>
      <c r="AD768" s="14" t="n">
        <f aca="false">G768</f>
        <v>20</v>
      </c>
      <c r="AE768" s="14" t="n">
        <f aca="false">J768</f>
        <v>1.5</v>
      </c>
      <c r="AF768" s="14" t="n">
        <f aca="false">IF($L768=2012,1,0)</f>
        <v>0</v>
      </c>
      <c r="AG768" s="14" t="n">
        <f aca="false">IF($L768=2013,1,0)</f>
        <v>0</v>
      </c>
      <c r="AH768" s="14" t="n">
        <f aca="false">IF($L768=2014,1,0)</f>
        <v>0</v>
      </c>
      <c r="AI768" s="14" t="n">
        <f aca="false">IF($L768=2015,1,0)</f>
        <v>0</v>
      </c>
      <c r="AJ768" s="14" t="n">
        <f aca="false">IF($L768=2016,1,0)</f>
        <v>1</v>
      </c>
      <c r="AK768" s="14" t="n">
        <f aca="false">IF($L768=2017,1,0)</f>
        <v>0</v>
      </c>
      <c r="AL768" s="14" t="n">
        <f aca="false">IF($H768="Beginner Level",1,0)</f>
        <v>0</v>
      </c>
      <c r="AM768" s="14" t="n">
        <f aca="false">IF($H768="Expert Level",1,0)</f>
        <v>0</v>
      </c>
      <c r="AN768" s="14" t="n">
        <f aca="false">IF($H768="Intermediate Level",1,0)</f>
        <v>0</v>
      </c>
    </row>
    <row r="769" customFormat="false" ht="68.65" hidden="false" customHeight="false" outlineLevel="0" collapsed="false">
      <c r="A769" s="14" t="n">
        <v>797832</v>
      </c>
      <c r="B769" s="14" t="s">
        <v>1580</v>
      </c>
      <c r="C769" s="14" t="s">
        <v>1581</v>
      </c>
      <c r="D769" s="14" t="n">
        <v>20</v>
      </c>
      <c r="E769" s="14" t="n">
        <v>1613</v>
      </c>
      <c r="F769" s="14" t="n">
        <v>21</v>
      </c>
      <c r="G769" s="14" t="n">
        <v>20</v>
      </c>
      <c r="H769" s="14" t="s">
        <v>62</v>
      </c>
      <c r="I769" s="14" t="n">
        <v>0.95</v>
      </c>
      <c r="J769" s="14" t="n">
        <v>1</v>
      </c>
      <c r="K769" s="14" t="s">
        <v>59</v>
      </c>
      <c r="L769" s="14" t="n">
        <v>2016</v>
      </c>
      <c r="M769" s="14" t="n">
        <v>7.38585107812521</v>
      </c>
      <c r="N769" s="14" t="n">
        <v>2.99623214859564</v>
      </c>
      <c r="P769" s="14" t="n">
        <f aca="false">D769</f>
        <v>20</v>
      </c>
      <c r="Q769" s="14" t="n">
        <f aca="false">G769</f>
        <v>20</v>
      </c>
      <c r="R769" s="14" t="n">
        <f aca="false">J769</f>
        <v>1</v>
      </c>
      <c r="S769" s="14" t="n">
        <f aca="false">IF($L769=2012,1,0)</f>
        <v>0</v>
      </c>
      <c r="T769" s="14" t="n">
        <f aca="false">IF($L769=2013,1,0)</f>
        <v>0</v>
      </c>
      <c r="U769" s="14" t="n">
        <f aca="false">IF($L769=2014,1,0)</f>
        <v>0</v>
      </c>
      <c r="V769" s="14" t="n">
        <f aca="false">IF($L769=2015,1,0)</f>
        <v>0</v>
      </c>
      <c r="W769" s="14" t="n">
        <f aca="false">IF($L769=2016,1,0)</f>
        <v>1</v>
      </c>
      <c r="X769" s="14" t="n">
        <f aca="false">IF($L769=2017,1,0)</f>
        <v>0</v>
      </c>
      <c r="Y769" s="14" t="n">
        <f aca="false">IF($H769="Beginner Level",1,0)</f>
        <v>0</v>
      </c>
      <c r="Z769" s="14" t="n">
        <f aca="false">IF($H769="Expert Level",1,0)</f>
        <v>0</v>
      </c>
      <c r="AA769" s="14" t="n">
        <f aca="false">IF($H769="Intermediate Level",1,0)</f>
        <v>0</v>
      </c>
      <c r="AC769" s="14" t="n">
        <f aca="false">N769</f>
        <v>2.99623214859564</v>
      </c>
      <c r="AD769" s="14" t="n">
        <f aca="false">G769</f>
        <v>20</v>
      </c>
      <c r="AE769" s="14" t="n">
        <f aca="false">J769</f>
        <v>1</v>
      </c>
      <c r="AF769" s="14" t="n">
        <f aca="false">IF($L769=2012,1,0)</f>
        <v>0</v>
      </c>
      <c r="AG769" s="14" t="n">
        <f aca="false">IF($L769=2013,1,0)</f>
        <v>0</v>
      </c>
      <c r="AH769" s="14" t="n">
        <f aca="false">IF($L769=2014,1,0)</f>
        <v>0</v>
      </c>
      <c r="AI769" s="14" t="n">
        <f aca="false">IF($L769=2015,1,0)</f>
        <v>0</v>
      </c>
      <c r="AJ769" s="14" t="n">
        <f aca="false">IF($L769=2016,1,0)</f>
        <v>1</v>
      </c>
      <c r="AK769" s="14" t="n">
        <f aca="false">IF($L769=2017,1,0)</f>
        <v>0</v>
      </c>
      <c r="AL769" s="14" t="n">
        <f aca="false">IF($H769="Beginner Level",1,0)</f>
        <v>0</v>
      </c>
      <c r="AM769" s="14" t="n">
        <f aca="false">IF($H769="Expert Level",1,0)</f>
        <v>0</v>
      </c>
      <c r="AN769" s="14" t="n">
        <f aca="false">IF($H769="Intermediate Level",1,0)</f>
        <v>0</v>
      </c>
    </row>
    <row r="770" customFormat="false" ht="91" hidden="false" customHeight="false" outlineLevel="0" collapsed="false">
      <c r="A770" s="14" t="n">
        <v>896858</v>
      </c>
      <c r="B770" s="14" t="s">
        <v>1582</v>
      </c>
      <c r="C770" s="14" t="s">
        <v>1583</v>
      </c>
      <c r="D770" s="14" t="n">
        <v>100</v>
      </c>
      <c r="E770" s="14" t="n">
        <v>1611</v>
      </c>
      <c r="F770" s="14" t="n">
        <v>165</v>
      </c>
      <c r="G770" s="14" t="n">
        <v>157</v>
      </c>
      <c r="H770" s="14" t="s">
        <v>62</v>
      </c>
      <c r="I770" s="14" t="n">
        <v>0.95</v>
      </c>
      <c r="J770" s="14" t="n">
        <v>12.5</v>
      </c>
      <c r="K770" s="14" t="s">
        <v>59</v>
      </c>
      <c r="L770" s="14" t="n">
        <v>2016</v>
      </c>
      <c r="M770" s="14" t="n">
        <v>7.38461038317697</v>
      </c>
      <c r="N770" s="14" t="n">
        <v>4.60527018098843</v>
      </c>
      <c r="P770" s="14" t="n">
        <f aca="false">D770</f>
        <v>100</v>
      </c>
      <c r="Q770" s="14" t="n">
        <f aca="false">G770</f>
        <v>157</v>
      </c>
      <c r="R770" s="14" t="n">
        <f aca="false">J770</f>
        <v>12.5</v>
      </c>
      <c r="S770" s="14" t="n">
        <f aca="false">IF($L770=2012,1,0)</f>
        <v>0</v>
      </c>
      <c r="T770" s="14" t="n">
        <f aca="false">IF($L770=2013,1,0)</f>
        <v>0</v>
      </c>
      <c r="U770" s="14" t="n">
        <f aca="false">IF($L770=2014,1,0)</f>
        <v>0</v>
      </c>
      <c r="V770" s="14" t="n">
        <f aca="false">IF($L770=2015,1,0)</f>
        <v>0</v>
      </c>
      <c r="W770" s="14" t="n">
        <f aca="false">IF($L770=2016,1,0)</f>
        <v>1</v>
      </c>
      <c r="X770" s="14" t="n">
        <f aca="false">IF($L770=2017,1,0)</f>
        <v>0</v>
      </c>
      <c r="Y770" s="14" t="n">
        <f aca="false">IF($H770="Beginner Level",1,0)</f>
        <v>0</v>
      </c>
      <c r="Z770" s="14" t="n">
        <f aca="false">IF($H770="Expert Level",1,0)</f>
        <v>0</v>
      </c>
      <c r="AA770" s="14" t="n">
        <f aca="false">IF($H770="Intermediate Level",1,0)</f>
        <v>0</v>
      </c>
      <c r="AC770" s="14" t="n">
        <f aca="false">N770</f>
        <v>4.60527018098843</v>
      </c>
      <c r="AD770" s="14" t="n">
        <f aca="false">G770</f>
        <v>157</v>
      </c>
      <c r="AE770" s="14" t="n">
        <f aca="false">J770</f>
        <v>12.5</v>
      </c>
      <c r="AF770" s="14" t="n">
        <f aca="false">IF($L770=2012,1,0)</f>
        <v>0</v>
      </c>
      <c r="AG770" s="14" t="n">
        <f aca="false">IF($L770=2013,1,0)</f>
        <v>0</v>
      </c>
      <c r="AH770" s="14" t="n">
        <f aca="false">IF($L770=2014,1,0)</f>
        <v>0</v>
      </c>
      <c r="AI770" s="14" t="n">
        <f aca="false">IF($L770=2015,1,0)</f>
        <v>0</v>
      </c>
      <c r="AJ770" s="14" t="n">
        <f aca="false">IF($L770=2016,1,0)</f>
        <v>1</v>
      </c>
      <c r="AK770" s="14" t="n">
        <f aca="false">IF($L770=2017,1,0)</f>
        <v>0</v>
      </c>
      <c r="AL770" s="14" t="n">
        <f aca="false">IF($H770="Beginner Level",1,0)</f>
        <v>0</v>
      </c>
      <c r="AM770" s="14" t="n">
        <f aca="false">IF($H770="Expert Level",1,0)</f>
        <v>0</v>
      </c>
      <c r="AN770" s="14" t="n">
        <f aca="false">IF($H770="Intermediate Level",1,0)</f>
        <v>0</v>
      </c>
    </row>
    <row r="771" customFormat="false" ht="57.45" hidden="false" customHeight="false" outlineLevel="0" collapsed="false">
      <c r="A771" s="14" t="n">
        <v>180547</v>
      </c>
      <c r="B771" s="14" t="s">
        <v>1584</v>
      </c>
      <c r="C771" s="14" t="s">
        <v>1585</v>
      </c>
      <c r="D771" s="14" t="n">
        <v>50</v>
      </c>
      <c r="E771" s="14" t="n">
        <v>1611</v>
      </c>
      <c r="F771" s="14" t="n">
        <v>24</v>
      </c>
      <c r="G771" s="14" t="n">
        <v>20</v>
      </c>
      <c r="H771" s="14" t="s">
        <v>52</v>
      </c>
      <c r="I771" s="14" t="n">
        <v>0.95</v>
      </c>
      <c r="J771" s="14" t="n">
        <v>3.5</v>
      </c>
      <c r="K771" s="14" t="s">
        <v>59</v>
      </c>
      <c r="L771" s="14" t="n">
        <v>2014</v>
      </c>
      <c r="M771" s="14" t="n">
        <v>7.38461038317697</v>
      </c>
      <c r="N771" s="14" t="n">
        <v>3.91222298543081</v>
      </c>
      <c r="P771" s="14" t="n">
        <f aca="false">D771</f>
        <v>50</v>
      </c>
      <c r="Q771" s="14" t="n">
        <f aca="false">G771</f>
        <v>20</v>
      </c>
      <c r="R771" s="14" t="n">
        <f aca="false">J771</f>
        <v>3.5</v>
      </c>
      <c r="S771" s="14" t="n">
        <f aca="false">IF($L771=2012,1,0)</f>
        <v>0</v>
      </c>
      <c r="T771" s="14" t="n">
        <f aca="false">IF($L771=2013,1,0)</f>
        <v>0</v>
      </c>
      <c r="U771" s="14" t="n">
        <f aca="false">IF($L771=2014,1,0)</f>
        <v>1</v>
      </c>
      <c r="V771" s="14" t="n">
        <f aca="false">IF($L771=2015,1,0)</f>
        <v>0</v>
      </c>
      <c r="W771" s="14" t="n">
        <f aca="false">IF($L771=2016,1,0)</f>
        <v>0</v>
      </c>
      <c r="X771" s="14" t="n">
        <f aca="false">IF($L771=2017,1,0)</f>
        <v>0</v>
      </c>
      <c r="Y771" s="14" t="n">
        <f aca="false">IF($H771="Beginner Level",1,0)</f>
        <v>1</v>
      </c>
      <c r="Z771" s="14" t="n">
        <f aca="false">IF($H771="Expert Level",1,0)</f>
        <v>0</v>
      </c>
      <c r="AA771" s="14" t="n">
        <f aca="false">IF($H771="Intermediate Level",1,0)</f>
        <v>0</v>
      </c>
      <c r="AC771" s="14" t="n">
        <f aca="false">N771</f>
        <v>3.91222298543081</v>
      </c>
      <c r="AD771" s="14" t="n">
        <f aca="false">G771</f>
        <v>20</v>
      </c>
      <c r="AE771" s="14" t="n">
        <f aca="false">J771</f>
        <v>3.5</v>
      </c>
      <c r="AF771" s="14" t="n">
        <f aca="false">IF($L771=2012,1,0)</f>
        <v>0</v>
      </c>
      <c r="AG771" s="14" t="n">
        <f aca="false">IF($L771=2013,1,0)</f>
        <v>0</v>
      </c>
      <c r="AH771" s="14" t="n">
        <f aca="false">IF($L771=2014,1,0)</f>
        <v>1</v>
      </c>
      <c r="AI771" s="14" t="n">
        <f aca="false">IF($L771=2015,1,0)</f>
        <v>0</v>
      </c>
      <c r="AJ771" s="14" t="n">
        <f aca="false">IF($L771=2016,1,0)</f>
        <v>0</v>
      </c>
      <c r="AK771" s="14" t="n">
        <f aca="false">IF($L771=2017,1,0)</f>
        <v>0</v>
      </c>
      <c r="AL771" s="14" t="n">
        <f aca="false">IF($H771="Beginner Level",1,0)</f>
        <v>1</v>
      </c>
      <c r="AM771" s="14" t="n">
        <f aca="false">IF($H771="Expert Level",1,0)</f>
        <v>0</v>
      </c>
      <c r="AN771" s="14" t="n">
        <f aca="false">IF($H771="Intermediate Level",1,0)</f>
        <v>0</v>
      </c>
    </row>
    <row r="772" customFormat="false" ht="68.65" hidden="false" customHeight="false" outlineLevel="0" collapsed="false">
      <c r="A772" s="14" t="n">
        <v>130168</v>
      </c>
      <c r="B772" s="14" t="s">
        <v>1586</v>
      </c>
      <c r="C772" s="14" t="s">
        <v>1587</v>
      </c>
      <c r="D772" s="14" t="n">
        <v>100</v>
      </c>
      <c r="E772" s="14" t="n">
        <v>1606</v>
      </c>
      <c r="F772" s="14" t="n">
        <v>28</v>
      </c>
      <c r="G772" s="14" t="n">
        <v>73</v>
      </c>
      <c r="H772" s="14" t="s">
        <v>52</v>
      </c>
      <c r="I772" s="14" t="n">
        <v>0.95</v>
      </c>
      <c r="J772" s="14" t="n">
        <v>9</v>
      </c>
      <c r="K772" s="14" t="s">
        <v>59</v>
      </c>
      <c r="L772" s="14" t="n">
        <v>2013</v>
      </c>
      <c r="M772" s="14" t="n">
        <v>7.38150189450671</v>
      </c>
      <c r="N772" s="14" t="n">
        <v>4.60527018098843</v>
      </c>
      <c r="P772" s="14" t="n">
        <f aca="false">D772</f>
        <v>100</v>
      </c>
      <c r="Q772" s="14" t="n">
        <f aca="false">G772</f>
        <v>73</v>
      </c>
      <c r="R772" s="14" t="n">
        <f aca="false">J772</f>
        <v>9</v>
      </c>
      <c r="S772" s="14" t="n">
        <f aca="false">IF($L772=2012,1,0)</f>
        <v>0</v>
      </c>
      <c r="T772" s="14" t="n">
        <f aca="false">IF($L772=2013,1,0)</f>
        <v>1</v>
      </c>
      <c r="U772" s="14" t="n">
        <f aca="false">IF($L772=2014,1,0)</f>
        <v>0</v>
      </c>
      <c r="V772" s="14" t="n">
        <f aca="false">IF($L772=2015,1,0)</f>
        <v>0</v>
      </c>
      <c r="W772" s="14" t="n">
        <f aca="false">IF($L772=2016,1,0)</f>
        <v>0</v>
      </c>
      <c r="X772" s="14" t="n">
        <f aca="false">IF($L772=2017,1,0)</f>
        <v>0</v>
      </c>
      <c r="Y772" s="14" t="n">
        <f aca="false">IF($H772="Beginner Level",1,0)</f>
        <v>1</v>
      </c>
      <c r="Z772" s="14" t="n">
        <f aca="false">IF($H772="Expert Level",1,0)</f>
        <v>0</v>
      </c>
      <c r="AA772" s="14" t="n">
        <f aca="false">IF($H772="Intermediate Level",1,0)</f>
        <v>0</v>
      </c>
      <c r="AC772" s="14" t="n">
        <f aca="false">N772</f>
        <v>4.60527018098843</v>
      </c>
      <c r="AD772" s="14" t="n">
        <f aca="false">G772</f>
        <v>73</v>
      </c>
      <c r="AE772" s="14" t="n">
        <f aca="false">J772</f>
        <v>9</v>
      </c>
      <c r="AF772" s="14" t="n">
        <f aca="false">IF($L772=2012,1,0)</f>
        <v>0</v>
      </c>
      <c r="AG772" s="14" t="n">
        <f aca="false">IF($L772=2013,1,0)</f>
        <v>1</v>
      </c>
      <c r="AH772" s="14" t="n">
        <f aca="false">IF($L772=2014,1,0)</f>
        <v>0</v>
      </c>
      <c r="AI772" s="14" t="n">
        <f aca="false">IF($L772=2015,1,0)</f>
        <v>0</v>
      </c>
      <c r="AJ772" s="14" t="n">
        <f aca="false">IF($L772=2016,1,0)</f>
        <v>0</v>
      </c>
      <c r="AK772" s="14" t="n">
        <f aca="false">IF($L772=2017,1,0)</f>
        <v>0</v>
      </c>
      <c r="AL772" s="14" t="n">
        <f aca="false">IF($H772="Beginner Level",1,0)</f>
        <v>1</v>
      </c>
      <c r="AM772" s="14" t="n">
        <f aca="false">IF($H772="Expert Level",1,0)</f>
        <v>0</v>
      </c>
      <c r="AN772" s="14" t="n">
        <f aca="false">IF($H772="Intermediate Level",1,0)</f>
        <v>0</v>
      </c>
    </row>
    <row r="773" customFormat="false" ht="79.85" hidden="false" customHeight="false" outlineLevel="0" collapsed="false">
      <c r="A773" s="14" t="n">
        <v>1240522</v>
      </c>
      <c r="B773" s="14" t="s">
        <v>1588</v>
      </c>
      <c r="C773" s="14" t="s">
        <v>1589</v>
      </c>
      <c r="D773" s="14" t="n">
        <v>25</v>
      </c>
      <c r="E773" s="14" t="n">
        <v>1605</v>
      </c>
      <c r="F773" s="14" t="n">
        <v>10</v>
      </c>
      <c r="G773" s="14" t="n">
        <v>32</v>
      </c>
      <c r="H773" s="14" t="s">
        <v>52</v>
      </c>
      <c r="I773" s="14" t="n">
        <v>0.95</v>
      </c>
      <c r="J773" s="14" t="n">
        <v>3.5</v>
      </c>
      <c r="K773" s="14" t="s">
        <v>59</v>
      </c>
      <c r="L773" s="14" t="n">
        <v>2017</v>
      </c>
      <c r="M773" s="14" t="n">
        <v>7.38087903556412</v>
      </c>
      <c r="N773" s="14" t="n">
        <v>3.21927574488953</v>
      </c>
      <c r="P773" s="14" t="n">
        <f aca="false">D773</f>
        <v>25</v>
      </c>
      <c r="Q773" s="14" t="n">
        <f aca="false">G773</f>
        <v>32</v>
      </c>
      <c r="R773" s="14" t="n">
        <f aca="false">J773</f>
        <v>3.5</v>
      </c>
      <c r="S773" s="14" t="n">
        <f aca="false">IF($L773=2012,1,0)</f>
        <v>0</v>
      </c>
      <c r="T773" s="14" t="n">
        <f aca="false">IF($L773=2013,1,0)</f>
        <v>0</v>
      </c>
      <c r="U773" s="14" t="n">
        <f aca="false">IF($L773=2014,1,0)</f>
        <v>0</v>
      </c>
      <c r="V773" s="14" t="n">
        <f aca="false">IF($L773=2015,1,0)</f>
        <v>0</v>
      </c>
      <c r="W773" s="14" t="n">
        <f aca="false">IF($L773=2016,1,0)</f>
        <v>0</v>
      </c>
      <c r="X773" s="14" t="n">
        <f aca="false">IF($L773=2017,1,0)</f>
        <v>1</v>
      </c>
      <c r="Y773" s="14" t="n">
        <f aca="false">IF($H773="Beginner Level",1,0)</f>
        <v>1</v>
      </c>
      <c r="Z773" s="14" t="n">
        <f aca="false">IF($H773="Expert Level",1,0)</f>
        <v>0</v>
      </c>
      <c r="AA773" s="14" t="n">
        <f aca="false">IF($H773="Intermediate Level",1,0)</f>
        <v>0</v>
      </c>
      <c r="AC773" s="14" t="n">
        <f aca="false">N773</f>
        <v>3.21927574488953</v>
      </c>
      <c r="AD773" s="14" t="n">
        <f aca="false">G773</f>
        <v>32</v>
      </c>
      <c r="AE773" s="14" t="n">
        <f aca="false">J773</f>
        <v>3.5</v>
      </c>
      <c r="AF773" s="14" t="n">
        <f aca="false">IF($L773=2012,1,0)</f>
        <v>0</v>
      </c>
      <c r="AG773" s="14" t="n">
        <f aca="false">IF($L773=2013,1,0)</f>
        <v>0</v>
      </c>
      <c r="AH773" s="14" t="n">
        <f aca="false">IF($L773=2014,1,0)</f>
        <v>0</v>
      </c>
      <c r="AI773" s="14" t="n">
        <f aca="false">IF($L773=2015,1,0)</f>
        <v>0</v>
      </c>
      <c r="AJ773" s="14" t="n">
        <f aca="false">IF($L773=2016,1,0)</f>
        <v>0</v>
      </c>
      <c r="AK773" s="14" t="n">
        <f aca="false">IF($L773=2017,1,0)</f>
        <v>1</v>
      </c>
      <c r="AL773" s="14" t="n">
        <f aca="false">IF($H773="Beginner Level",1,0)</f>
        <v>1</v>
      </c>
      <c r="AM773" s="14" t="n">
        <f aca="false">IF($H773="Expert Level",1,0)</f>
        <v>0</v>
      </c>
      <c r="AN773" s="14" t="n">
        <f aca="false">IF($H773="Intermediate Level",1,0)</f>
        <v>0</v>
      </c>
    </row>
    <row r="774" customFormat="false" ht="68.65" hidden="false" customHeight="false" outlineLevel="0" collapsed="false">
      <c r="A774" s="14" t="n">
        <v>765916</v>
      </c>
      <c r="B774" s="14" t="s">
        <v>1590</v>
      </c>
      <c r="C774" s="14" t="s">
        <v>1591</v>
      </c>
      <c r="D774" s="14" t="n">
        <v>60</v>
      </c>
      <c r="E774" s="14" t="n">
        <v>1599</v>
      </c>
      <c r="F774" s="14" t="n">
        <v>26</v>
      </c>
      <c r="G774" s="14" t="n">
        <v>49</v>
      </c>
      <c r="H774" s="14" t="s">
        <v>52</v>
      </c>
      <c r="I774" s="14" t="n">
        <v>0.95</v>
      </c>
      <c r="J774" s="14" t="n">
        <v>3</v>
      </c>
      <c r="K774" s="14" t="s">
        <v>59</v>
      </c>
      <c r="L774" s="14" t="n">
        <v>2016</v>
      </c>
      <c r="M774" s="14" t="n">
        <v>7.37713371283395</v>
      </c>
      <c r="N774" s="14" t="n">
        <v>4.09451121500142</v>
      </c>
      <c r="P774" s="14" t="n">
        <f aca="false">D774</f>
        <v>60</v>
      </c>
      <c r="Q774" s="14" t="n">
        <f aca="false">G774</f>
        <v>49</v>
      </c>
      <c r="R774" s="14" t="n">
        <f aca="false">J774</f>
        <v>3</v>
      </c>
      <c r="S774" s="14" t="n">
        <f aca="false">IF($L774=2012,1,0)</f>
        <v>0</v>
      </c>
      <c r="T774" s="14" t="n">
        <f aca="false">IF($L774=2013,1,0)</f>
        <v>0</v>
      </c>
      <c r="U774" s="14" t="n">
        <f aca="false">IF($L774=2014,1,0)</f>
        <v>0</v>
      </c>
      <c r="V774" s="14" t="n">
        <f aca="false">IF($L774=2015,1,0)</f>
        <v>0</v>
      </c>
      <c r="W774" s="14" t="n">
        <f aca="false">IF($L774=2016,1,0)</f>
        <v>1</v>
      </c>
      <c r="X774" s="14" t="n">
        <f aca="false">IF($L774=2017,1,0)</f>
        <v>0</v>
      </c>
      <c r="Y774" s="14" t="n">
        <f aca="false">IF($H774="Beginner Level",1,0)</f>
        <v>1</v>
      </c>
      <c r="Z774" s="14" t="n">
        <f aca="false">IF($H774="Expert Level",1,0)</f>
        <v>0</v>
      </c>
      <c r="AA774" s="14" t="n">
        <f aca="false">IF($H774="Intermediate Level",1,0)</f>
        <v>0</v>
      </c>
      <c r="AC774" s="14" t="n">
        <f aca="false">N774</f>
        <v>4.09451121500142</v>
      </c>
      <c r="AD774" s="14" t="n">
        <f aca="false">G774</f>
        <v>49</v>
      </c>
      <c r="AE774" s="14" t="n">
        <f aca="false">J774</f>
        <v>3</v>
      </c>
      <c r="AF774" s="14" t="n">
        <f aca="false">IF($L774=2012,1,0)</f>
        <v>0</v>
      </c>
      <c r="AG774" s="14" t="n">
        <f aca="false">IF($L774=2013,1,0)</f>
        <v>0</v>
      </c>
      <c r="AH774" s="14" t="n">
        <f aca="false">IF($L774=2014,1,0)</f>
        <v>0</v>
      </c>
      <c r="AI774" s="14" t="n">
        <f aca="false">IF($L774=2015,1,0)</f>
        <v>0</v>
      </c>
      <c r="AJ774" s="14" t="n">
        <f aca="false">IF($L774=2016,1,0)</f>
        <v>1</v>
      </c>
      <c r="AK774" s="14" t="n">
        <f aca="false">IF($L774=2017,1,0)</f>
        <v>0</v>
      </c>
      <c r="AL774" s="14" t="n">
        <f aca="false">IF($H774="Beginner Level",1,0)</f>
        <v>1</v>
      </c>
      <c r="AM774" s="14" t="n">
        <f aca="false">IF($H774="Expert Level",1,0)</f>
        <v>0</v>
      </c>
      <c r="AN774" s="14" t="n">
        <f aca="false">IF($H774="Intermediate Level",1,0)</f>
        <v>0</v>
      </c>
    </row>
    <row r="775" customFormat="false" ht="79.85" hidden="false" customHeight="false" outlineLevel="0" collapsed="false">
      <c r="A775" s="14" t="n">
        <v>987666</v>
      </c>
      <c r="B775" s="14" t="s">
        <v>1592</v>
      </c>
      <c r="C775" s="14" t="s">
        <v>1593</v>
      </c>
      <c r="D775" s="14" t="n">
        <v>50</v>
      </c>
      <c r="E775" s="14" t="n">
        <v>1591</v>
      </c>
      <c r="F775" s="14" t="n">
        <v>99</v>
      </c>
      <c r="G775" s="14" t="n">
        <v>74</v>
      </c>
      <c r="H775" s="14" t="s">
        <v>62</v>
      </c>
      <c r="I775" s="14" t="n">
        <v>0.95</v>
      </c>
      <c r="J775" s="14" t="n">
        <v>9.5</v>
      </c>
      <c r="K775" s="14" t="s">
        <v>59</v>
      </c>
      <c r="L775" s="14" t="n">
        <v>2017</v>
      </c>
      <c r="M775" s="14" t="n">
        <v>7.37211802833779</v>
      </c>
      <c r="N775" s="14" t="n">
        <v>3.91222298543081</v>
      </c>
      <c r="P775" s="14" t="n">
        <f aca="false">D775</f>
        <v>50</v>
      </c>
      <c r="Q775" s="14" t="n">
        <f aca="false">G775</f>
        <v>74</v>
      </c>
      <c r="R775" s="14" t="n">
        <f aca="false">J775</f>
        <v>9.5</v>
      </c>
      <c r="S775" s="14" t="n">
        <f aca="false">IF($L775=2012,1,0)</f>
        <v>0</v>
      </c>
      <c r="T775" s="14" t="n">
        <f aca="false">IF($L775=2013,1,0)</f>
        <v>0</v>
      </c>
      <c r="U775" s="14" t="n">
        <f aca="false">IF($L775=2014,1,0)</f>
        <v>0</v>
      </c>
      <c r="V775" s="14" t="n">
        <f aca="false">IF($L775=2015,1,0)</f>
        <v>0</v>
      </c>
      <c r="W775" s="14" t="n">
        <f aca="false">IF($L775=2016,1,0)</f>
        <v>0</v>
      </c>
      <c r="X775" s="14" t="n">
        <f aca="false">IF($L775=2017,1,0)</f>
        <v>1</v>
      </c>
      <c r="Y775" s="14" t="n">
        <f aca="false">IF($H775="Beginner Level",1,0)</f>
        <v>0</v>
      </c>
      <c r="Z775" s="14" t="n">
        <f aca="false">IF($H775="Expert Level",1,0)</f>
        <v>0</v>
      </c>
      <c r="AA775" s="14" t="n">
        <f aca="false">IF($H775="Intermediate Level",1,0)</f>
        <v>0</v>
      </c>
      <c r="AC775" s="14" t="n">
        <f aca="false">N775</f>
        <v>3.91222298543081</v>
      </c>
      <c r="AD775" s="14" t="n">
        <f aca="false">G775</f>
        <v>74</v>
      </c>
      <c r="AE775" s="14" t="n">
        <f aca="false">J775</f>
        <v>9.5</v>
      </c>
      <c r="AF775" s="14" t="n">
        <f aca="false">IF($L775=2012,1,0)</f>
        <v>0</v>
      </c>
      <c r="AG775" s="14" t="n">
        <f aca="false">IF($L775=2013,1,0)</f>
        <v>0</v>
      </c>
      <c r="AH775" s="14" t="n">
        <f aca="false">IF($L775=2014,1,0)</f>
        <v>0</v>
      </c>
      <c r="AI775" s="14" t="n">
        <f aca="false">IF($L775=2015,1,0)</f>
        <v>0</v>
      </c>
      <c r="AJ775" s="14" t="n">
        <f aca="false">IF($L775=2016,1,0)</f>
        <v>0</v>
      </c>
      <c r="AK775" s="14" t="n">
        <f aca="false">IF($L775=2017,1,0)</f>
        <v>1</v>
      </c>
      <c r="AL775" s="14" t="n">
        <f aca="false">IF($H775="Beginner Level",1,0)</f>
        <v>0</v>
      </c>
      <c r="AM775" s="14" t="n">
        <f aca="false">IF($H775="Expert Level",1,0)</f>
        <v>0</v>
      </c>
      <c r="AN775" s="14" t="n">
        <f aca="false">IF($H775="Intermediate Level",1,0)</f>
        <v>0</v>
      </c>
    </row>
    <row r="776" customFormat="false" ht="46.25" hidden="false" customHeight="false" outlineLevel="0" collapsed="false">
      <c r="A776" s="14" t="n">
        <v>494510</v>
      </c>
      <c r="B776" s="14" t="s">
        <v>1594</v>
      </c>
      <c r="C776" s="14" t="s">
        <v>1595</v>
      </c>
      <c r="D776" s="14" t="n">
        <v>40</v>
      </c>
      <c r="E776" s="14" t="n">
        <v>1588</v>
      </c>
      <c r="F776" s="14" t="n">
        <v>8</v>
      </c>
      <c r="G776" s="14" t="n">
        <v>15</v>
      </c>
      <c r="H776" s="14" t="s">
        <v>62</v>
      </c>
      <c r="I776" s="14" t="n">
        <v>0.95</v>
      </c>
      <c r="J776" s="14" t="n">
        <v>0.56666667</v>
      </c>
      <c r="K776" s="14" t="s">
        <v>59</v>
      </c>
      <c r="L776" s="14" t="n">
        <v>2015</v>
      </c>
      <c r="M776" s="14" t="n">
        <v>7.37023064180708</v>
      </c>
      <c r="N776" s="14" t="n">
        <v>3.68912942286914</v>
      </c>
      <c r="P776" s="14" t="n">
        <f aca="false">D776</f>
        <v>40</v>
      </c>
      <c r="Q776" s="14" t="n">
        <f aca="false">G776</f>
        <v>15</v>
      </c>
      <c r="R776" s="14" t="n">
        <f aca="false">J776</f>
        <v>0.56666667</v>
      </c>
      <c r="S776" s="14" t="n">
        <f aca="false">IF($L776=2012,1,0)</f>
        <v>0</v>
      </c>
      <c r="T776" s="14" t="n">
        <f aca="false">IF($L776=2013,1,0)</f>
        <v>0</v>
      </c>
      <c r="U776" s="14" t="n">
        <f aca="false">IF($L776=2014,1,0)</f>
        <v>0</v>
      </c>
      <c r="V776" s="14" t="n">
        <f aca="false">IF($L776=2015,1,0)</f>
        <v>1</v>
      </c>
      <c r="W776" s="14" t="n">
        <f aca="false">IF($L776=2016,1,0)</f>
        <v>0</v>
      </c>
      <c r="X776" s="14" t="n">
        <f aca="false">IF($L776=2017,1,0)</f>
        <v>0</v>
      </c>
      <c r="Y776" s="14" t="n">
        <f aca="false">IF($H776="Beginner Level",1,0)</f>
        <v>0</v>
      </c>
      <c r="Z776" s="14" t="n">
        <f aca="false">IF($H776="Expert Level",1,0)</f>
        <v>0</v>
      </c>
      <c r="AA776" s="14" t="n">
        <f aca="false">IF($H776="Intermediate Level",1,0)</f>
        <v>0</v>
      </c>
      <c r="AC776" s="14" t="n">
        <f aca="false">N776</f>
        <v>3.68912942286914</v>
      </c>
      <c r="AD776" s="14" t="n">
        <f aca="false">G776</f>
        <v>15</v>
      </c>
      <c r="AE776" s="14" t="n">
        <f aca="false">J776</f>
        <v>0.56666667</v>
      </c>
      <c r="AF776" s="14" t="n">
        <f aca="false">IF($L776=2012,1,0)</f>
        <v>0</v>
      </c>
      <c r="AG776" s="14" t="n">
        <f aca="false">IF($L776=2013,1,0)</f>
        <v>0</v>
      </c>
      <c r="AH776" s="14" t="n">
        <f aca="false">IF($L776=2014,1,0)</f>
        <v>0</v>
      </c>
      <c r="AI776" s="14" t="n">
        <f aca="false">IF($L776=2015,1,0)</f>
        <v>1</v>
      </c>
      <c r="AJ776" s="14" t="n">
        <f aca="false">IF($L776=2016,1,0)</f>
        <v>0</v>
      </c>
      <c r="AK776" s="14" t="n">
        <f aca="false">IF($L776=2017,1,0)</f>
        <v>0</v>
      </c>
      <c r="AL776" s="14" t="n">
        <f aca="false">IF($H776="Beginner Level",1,0)</f>
        <v>0</v>
      </c>
      <c r="AM776" s="14" t="n">
        <f aca="false">IF($H776="Expert Level",1,0)</f>
        <v>0</v>
      </c>
      <c r="AN776" s="14" t="n">
        <f aca="false">IF($H776="Intermediate Level",1,0)</f>
        <v>0</v>
      </c>
    </row>
    <row r="777" customFormat="false" ht="102.2" hidden="false" customHeight="false" outlineLevel="0" collapsed="false">
      <c r="A777" s="14" t="n">
        <v>12975</v>
      </c>
      <c r="B777" s="14" t="s">
        <v>1596</v>
      </c>
      <c r="C777" s="14" t="s">
        <v>1597</v>
      </c>
      <c r="D777" s="14" t="n">
        <v>200</v>
      </c>
      <c r="E777" s="14" t="n">
        <v>1586</v>
      </c>
      <c r="F777" s="14" t="n">
        <v>87</v>
      </c>
      <c r="G777" s="14" t="n">
        <v>124</v>
      </c>
      <c r="H777" s="14" t="s">
        <v>62</v>
      </c>
      <c r="I777" s="14" t="n">
        <v>0.95</v>
      </c>
      <c r="J777" s="14" t="n">
        <v>22</v>
      </c>
      <c r="K777" s="14" t="s">
        <v>59</v>
      </c>
      <c r="L777" s="14" t="n">
        <v>2013</v>
      </c>
      <c r="M777" s="14" t="n">
        <v>7.36897040219479</v>
      </c>
      <c r="N777" s="14" t="n">
        <v>5.29836736529808</v>
      </c>
      <c r="P777" s="14" t="n">
        <f aca="false">D777</f>
        <v>200</v>
      </c>
      <c r="Q777" s="14" t="n">
        <f aca="false">G777</f>
        <v>124</v>
      </c>
      <c r="R777" s="14" t="n">
        <f aca="false">J777</f>
        <v>22</v>
      </c>
      <c r="S777" s="14" t="n">
        <f aca="false">IF($L777=2012,1,0)</f>
        <v>0</v>
      </c>
      <c r="T777" s="14" t="n">
        <f aca="false">IF($L777=2013,1,0)</f>
        <v>1</v>
      </c>
      <c r="U777" s="14" t="n">
        <f aca="false">IF($L777=2014,1,0)</f>
        <v>0</v>
      </c>
      <c r="V777" s="14" t="n">
        <f aca="false">IF($L777=2015,1,0)</f>
        <v>0</v>
      </c>
      <c r="W777" s="14" t="n">
        <f aca="false">IF($L777=2016,1,0)</f>
        <v>0</v>
      </c>
      <c r="X777" s="14" t="n">
        <f aca="false">IF($L777=2017,1,0)</f>
        <v>0</v>
      </c>
      <c r="Y777" s="14" t="n">
        <f aca="false">IF($H777="Beginner Level",1,0)</f>
        <v>0</v>
      </c>
      <c r="Z777" s="14" t="n">
        <f aca="false">IF($H777="Expert Level",1,0)</f>
        <v>0</v>
      </c>
      <c r="AA777" s="14" t="n">
        <f aca="false">IF($H777="Intermediate Level",1,0)</f>
        <v>0</v>
      </c>
      <c r="AC777" s="14" t="n">
        <f aca="false">N777</f>
        <v>5.29836736529808</v>
      </c>
      <c r="AD777" s="14" t="n">
        <f aca="false">G777</f>
        <v>124</v>
      </c>
      <c r="AE777" s="14" t="n">
        <f aca="false">J777</f>
        <v>22</v>
      </c>
      <c r="AF777" s="14" t="n">
        <f aca="false">IF($L777=2012,1,0)</f>
        <v>0</v>
      </c>
      <c r="AG777" s="14" t="n">
        <f aca="false">IF($L777=2013,1,0)</f>
        <v>1</v>
      </c>
      <c r="AH777" s="14" t="n">
        <f aca="false">IF($L777=2014,1,0)</f>
        <v>0</v>
      </c>
      <c r="AI777" s="14" t="n">
        <f aca="false">IF($L777=2015,1,0)</f>
        <v>0</v>
      </c>
      <c r="AJ777" s="14" t="n">
        <f aca="false">IF($L777=2016,1,0)</f>
        <v>0</v>
      </c>
      <c r="AK777" s="14" t="n">
        <f aca="false">IF($L777=2017,1,0)</f>
        <v>0</v>
      </c>
      <c r="AL777" s="14" t="n">
        <f aca="false">IF($H777="Beginner Level",1,0)</f>
        <v>0</v>
      </c>
      <c r="AM777" s="14" t="n">
        <f aca="false">IF($H777="Expert Level",1,0)</f>
        <v>0</v>
      </c>
      <c r="AN777" s="14" t="n">
        <f aca="false">IF($H777="Intermediate Level",1,0)</f>
        <v>0</v>
      </c>
    </row>
    <row r="778" customFormat="false" ht="57.45" hidden="false" customHeight="false" outlineLevel="0" collapsed="false">
      <c r="A778" s="14" t="n">
        <v>328960</v>
      </c>
      <c r="B778" s="14" t="s">
        <v>1598</v>
      </c>
      <c r="C778" s="14" t="s">
        <v>1599</v>
      </c>
      <c r="D778" s="14" t="n">
        <v>120</v>
      </c>
      <c r="E778" s="14" t="n">
        <v>1566</v>
      </c>
      <c r="F778" s="14" t="n">
        <v>29</v>
      </c>
      <c r="G778" s="14" t="n">
        <v>36</v>
      </c>
      <c r="H778" s="14" t="s">
        <v>62</v>
      </c>
      <c r="I778" s="14" t="n">
        <v>0.95</v>
      </c>
      <c r="J778" s="14" t="n">
        <v>4</v>
      </c>
      <c r="K778" s="14" t="s">
        <v>59</v>
      </c>
      <c r="L778" s="14" t="n">
        <v>2015</v>
      </c>
      <c r="M778" s="14" t="n">
        <v>7.35627987655075</v>
      </c>
      <c r="N778" s="14" t="n">
        <v>4.78757507264335</v>
      </c>
      <c r="P778" s="14" t="n">
        <f aca="false">D778</f>
        <v>120</v>
      </c>
      <c r="Q778" s="14" t="n">
        <f aca="false">G778</f>
        <v>36</v>
      </c>
      <c r="R778" s="14" t="n">
        <f aca="false">J778</f>
        <v>4</v>
      </c>
      <c r="S778" s="14" t="n">
        <f aca="false">IF($L778=2012,1,0)</f>
        <v>0</v>
      </c>
      <c r="T778" s="14" t="n">
        <f aca="false">IF($L778=2013,1,0)</f>
        <v>0</v>
      </c>
      <c r="U778" s="14" t="n">
        <f aca="false">IF($L778=2014,1,0)</f>
        <v>0</v>
      </c>
      <c r="V778" s="14" t="n">
        <f aca="false">IF($L778=2015,1,0)</f>
        <v>1</v>
      </c>
      <c r="W778" s="14" t="n">
        <f aca="false">IF($L778=2016,1,0)</f>
        <v>0</v>
      </c>
      <c r="X778" s="14" t="n">
        <f aca="false">IF($L778=2017,1,0)</f>
        <v>0</v>
      </c>
      <c r="Y778" s="14" t="n">
        <f aca="false">IF($H778="Beginner Level",1,0)</f>
        <v>0</v>
      </c>
      <c r="Z778" s="14" t="n">
        <f aca="false">IF($H778="Expert Level",1,0)</f>
        <v>0</v>
      </c>
      <c r="AA778" s="14" t="n">
        <f aca="false">IF($H778="Intermediate Level",1,0)</f>
        <v>0</v>
      </c>
      <c r="AC778" s="14" t="n">
        <f aca="false">N778</f>
        <v>4.78757507264335</v>
      </c>
      <c r="AD778" s="14" t="n">
        <f aca="false">G778</f>
        <v>36</v>
      </c>
      <c r="AE778" s="14" t="n">
        <f aca="false">J778</f>
        <v>4</v>
      </c>
      <c r="AF778" s="14" t="n">
        <f aca="false">IF($L778=2012,1,0)</f>
        <v>0</v>
      </c>
      <c r="AG778" s="14" t="n">
        <f aca="false">IF($L778=2013,1,0)</f>
        <v>0</v>
      </c>
      <c r="AH778" s="14" t="n">
        <f aca="false">IF($L778=2014,1,0)</f>
        <v>0</v>
      </c>
      <c r="AI778" s="14" t="n">
        <f aca="false">IF($L778=2015,1,0)</f>
        <v>1</v>
      </c>
      <c r="AJ778" s="14" t="n">
        <f aca="false">IF($L778=2016,1,0)</f>
        <v>0</v>
      </c>
      <c r="AK778" s="14" t="n">
        <f aca="false">IF($L778=2017,1,0)</f>
        <v>0</v>
      </c>
      <c r="AL778" s="14" t="n">
        <f aca="false">IF($H778="Beginner Level",1,0)</f>
        <v>0</v>
      </c>
      <c r="AM778" s="14" t="n">
        <f aca="false">IF($H778="Expert Level",1,0)</f>
        <v>0</v>
      </c>
      <c r="AN778" s="14" t="n">
        <f aca="false">IF($H778="Intermediate Level",1,0)</f>
        <v>0</v>
      </c>
    </row>
    <row r="779" customFormat="false" ht="57.45" hidden="false" customHeight="false" outlineLevel="0" collapsed="false">
      <c r="A779" s="14" t="n">
        <v>970252</v>
      </c>
      <c r="B779" s="14" t="s">
        <v>1600</v>
      </c>
      <c r="C779" s="14" t="s">
        <v>1601</v>
      </c>
      <c r="D779" s="14" t="n">
        <v>45</v>
      </c>
      <c r="E779" s="14" t="n">
        <v>1562</v>
      </c>
      <c r="F779" s="14" t="n">
        <v>4</v>
      </c>
      <c r="G779" s="14" t="n">
        <v>12</v>
      </c>
      <c r="H779" s="14" t="s">
        <v>62</v>
      </c>
      <c r="I779" s="14" t="n">
        <v>0.95</v>
      </c>
      <c r="J779" s="14" t="n">
        <v>1.5</v>
      </c>
      <c r="K779" s="14" t="s">
        <v>59</v>
      </c>
      <c r="L779" s="14" t="n">
        <v>2016</v>
      </c>
      <c r="M779" s="14" t="n">
        <v>7.35372233039963</v>
      </c>
      <c r="N779" s="14" t="n">
        <v>3.80688468730484</v>
      </c>
      <c r="P779" s="14" t="n">
        <f aca="false">D779</f>
        <v>45</v>
      </c>
      <c r="Q779" s="14" t="n">
        <f aca="false">G779</f>
        <v>12</v>
      </c>
      <c r="R779" s="14" t="n">
        <f aca="false">J779</f>
        <v>1.5</v>
      </c>
      <c r="S779" s="14" t="n">
        <f aca="false">IF($L779=2012,1,0)</f>
        <v>0</v>
      </c>
      <c r="T779" s="14" t="n">
        <f aca="false">IF($L779=2013,1,0)</f>
        <v>0</v>
      </c>
      <c r="U779" s="14" t="n">
        <f aca="false">IF($L779=2014,1,0)</f>
        <v>0</v>
      </c>
      <c r="V779" s="14" t="n">
        <f aca="false">IF($L779=2015,1,0)</f>
        <v>0</v>
      </c>
      <c r="W779" s="14" t="n">
        <f aca="false">IF($L779=2016,1,0)</f>
        <v>1</v>
      </c>
      <c r="X779" s="14" t="n">
        <f aca="false">IF($L779=2017,1,0)</f>
        <v>0</v>
      </c>
      <c r="Y779" s="14" t="n">
        <f aca="false">IF($H779="Beginner Level",1,0)</f>
        <v>0</v>
      </c>
      <c r="Z779" s="14" t="n">
        <f aca="false">IF($H779="Expert Level",1,0)</f>
        <v>0</v>
      </c>
      <c r="AA779" s="14" t="n">
        <f aca="false">IF($H779="Intermediate Level",1,0)</f>
        <v>0</v>
      </c>
      <c r="AC779" s="14" t="n">
        <f aca="false">N779</f>
        <v>3.80688468730484</v>
      </c>
      <c r="AD779" s="14" t="n">
        <f aca="false">G779</f>
        <v>12</v>
      </c>
      <c r="AE779" s="14" t="n">
        <f aca="false">J779</f>
        <v>1.5</v>
      </c>
      <c r="AF779" s="14" t="n">
        <f aca="false">IF($L779=2012,1,0)</f>
        <v>0</v>
      </c>
      <c r="AG779" s="14" t="n">
        <f aca="false">IF($L779=2013,1,0)</f>
        <v>0</v>
      </c>
      <c r="AH779" s="14" t="n">
        <f aca="false">IF($L779=2014,1,0)</f>
        <v>0</v>
      </c>
      <c r="AI779" s="14" t="n">
        <f aca="false">IF($L779=2015,1,0)</f>
        <v>0</v>
      </c>
      <c r="AJ779" s="14" t="n">
        <f aca="false">IF($L779=2016,1,0)</f>
        <v>1</v>
      </c>
      <c r="AK779" s="14" t="n">
        <f aca="false">IF($L779=2017,1,0)</f>
        <v>0</v>
      </c>
      <c r="AL779" s="14" t="n">
        <f aca="false">IF($H779="Beginner Level",1,0)</f>
        <v>0</v>
      </c>
      <c r="AM779" s="14" t="n">
        <f aca="false">IF($H779="Expert Level",1,0)</f>
        <v>0</v>
      </c>
      <c r="AN779" s="14" t="n">
        <f aca="false">IF($H779="Intermediate Level",1,0)</f>
        <v>0</v>
      </c>
    </row>
    <row r="780" customFormat="false" ht="46.25" hidden="false" customHeight="false" outlineLevel="0" collapsed="false">
      <c r="A780" s="14" t="n">
        <v>975060</v>
      </c>
      <c r="B780" s="14" t="s">
        <v>1602</v>
      </c>
      <c r="C780" s="14" t="s">
        <v>1603</v>
      </c>
      <c r="D780" s="14" t="n">
        <v>115</v>
      </c>
      <c r="E780" s="14" t="n">
        <v>1562</v>
      </c>
      <c r="F780" s="14" t="n">
        <v>42</v>
      </c>
      <c r="G780" s="14" t="n">
        <v>34</v>
      </c>
      <c r="H780" s="14" t="s">
        <v>62</v>
      </c>
      <c r="I780" s="14" t="n">
        <v>0.95</v>
      </c>
      <c r="J780" s="14" t="n">
        <v>4</v>
      </c>
      <c r="K780" s="14" t="s">
        <v>59</v>
      </c>
      <c r="L780" s="14" t="n">
        <v>2016</v>
      </c>
      <c r="M780" s="14" t="n">
        <v>7.35372233039963</v>
      </c>
      <c r="N780" s="14" t="n">
        <v>4.74501908110449</v>
      </c>
      <c r="P780" s="14" t="n">
        <f aca="false">D780</f>
        <v>115</v>
      </c>
      <c r="Q780" s="14" t="n">
        <f aca="false">G780</f>
        <v>34</v>
      </c>
      <c r="R780" s="14" t="n">
        <f aca="false">J780</f>
        <v>4</v>
      </c>
      <c r="S780" s="14" t="n">
        <f aca="false">IF($L780=2012,1,0)</f>
        <v>0</v>
      </c>
      <c r="T780" s="14" t="n">
        <f aca="false">IF($L780=2013,1,0)</f>
        <v>0</v>
      </c>
      <c r="U780" s="14" t="n">
        <f aca="false">IF($L780=2014,1,0)</f>
        <v>0</v>
      </c>
      <c r="V780" s="14" t="n">
        <f aca="false">IF($L780=2015,1,0)</f>
        <v>0</v>
      </c>
      <c r="W780" s="14" t="n">
        <f aca="false">IF($L780=2016,1,0)</f>
        <v>1</v>
      </c>
      <c r="X780" s="14" t="n">
        <f aca="false">IF($L780=2017,1,0)</f>
        <v>0</v>
      </c>
      <c r="Y780" s="14" t="n">
        <f aca="false">IF($H780="Beginner Level",1,0)</f>
        <v>0</v>
      </c>
      <c r="Z780" s="14" t="n">
        <f aca="false">IF($H780="Expert Level",1,0)</f>
        <v>0</v>
      </c>
      <c r="AA780" s="14" t="n">
        <f aca="false">IF($H780="Intermediate Level",1,0)</f>
        <v>0</v>
      </c>
      <c r="AC780" s="14" t="n">
        <f aca="false">N780</f>
        <v>4.74501908110449</v>
      </c>
      <c r="AD780" s="14" t="n">
        <f aca="false">G780</f>
        <v>34</v>
      </c>
      <c r="AE780" s="14" t="n">
        <f aca="false">J780</f>
        <v>4</v>
      </c>
      <c r="AF780" s="14" t="n">
        <f aca="false">IF($L780=2012,1,0)</f>
        <v>0</v>
      </c>
      <c r="AG780" s="14" t="n">
        <f aca="false">IF($L780=2013,1,0)</f>
        <v>0</v>
      </c>
      <c r="AH780" s="14" t="n">
        <f aca="false">IF($L780=2014,1,0)</f>
        <v>0</v>
      </c>
      <c r="AI780" s="14" t="n">
        <f aca="false">IF($L780=2015,1,0)</f>
        <v>0</v>
      </c>
      <c r="AJ780" s="14" t="n">
        <f aca="false">IF($L780=2016,1,0)</f>
        <v>1</v>
      </c>
      <c r="AK780" s="14" t="n">
        <f aca="false">IF($L780=2017,1,0)</f>
        <v>0</v>
      </c>
      <c r="AL780" s="14" t="n">
        <f aca="false">IF($H780="Beginner Level",1,0)</f>
        <v>0</v>
      </c>
      <c r="AM780" s="14" t="n">
        <f aca="false">IF($H780="Expert Level",1,0)</f>
        <v>0</v>
      </c>
      <c r="AN780" s="14" t="n">
        <f aca="false">IF($H780="Intermediate Level",1,0)</f>
        <v>0</v>
      </c>
    </row>
    <row r="781" customFormat="false" ht="57.45" hidden="false" customHeight="false" outlineLevel="0" collapsed="false">
      <c r="A781" s="14" t="n">
        <v>516790</v>
      </c>
      <c r="B781" s="14" t="s">
        <v>1604</v>
      </c>
      <c r="C781" s="14" t="s">
        <v>1605</v>
      </c>
      <c r="D781" s="14" t="n">
        <v>25</v>
      </c>
      <c r="E781" s="14" t="n">
        <v>1557</v>
      </c>
      <c r="F781" s="14" t="n">
        <v>13</v>
      </c>
      <c r="G781" s="14" t="n">
        <v>74</v>
      </c>
      <c r="H781" s="14" t="s">
        <v>52</v>
      </c>
      <c r="I781" s="14" t="n">
        <v>0.95</v>
      </c>
      <c r="J781" s="14" t="n">
        <v>14</v>
      </c>
      <c r="K781" s="14" t="s">
        <v>59</v>
      </c>
      <c r="L781" s="14" t="n">
        <v>2015</v>
      </c>
      <c r="M781" s="14" t="n">
        <v>7.350516171834</v>
      </c>
      <c r="N781" s="14" t="n">
        <v>3.21927574488953</v>
      </c>
      <c r="P781" s="14" t="n">
        <f aca="false">D781</f>
        <v>25</v>
      </c>
      <c r="Q781" s="14" t="n">
        <f aca="false">G781</f>
        <v>74</v>
      </c>
      <c r="R781" s="14" t="n">
        <f aca="false">J781</f>
        <v>14</v>
      </c>
      <c r="S781" s="14" t="n">
        <f aca="false">IF($L781=2012,1,0)</f>
        <v>0</v>
      </c>
      <c r="T781" s="14" t="n">
        <f aca="false">IF($L781=2013,1,0)</f>
        <v>0</v>
      </c>
      <c r="U781" s="14" t="n">
        <f aca="false">IF($L781=2014,1,0)</f>
        <v>0</v>
      </c>
      <c r="V781" s="14" t="n">
        <f aca="false">IF($L781=2015,1,0)</f>
        <v>1</v>
      </c>
      <c r="W781" s="14" t="n">
        <f aca="false">IF($L781=2016,1,0)</f>
        <v>0</v>
      </c>
      <c r="X781" s="14" t="n">
        <f aca="false">IF($L781=2017,1,0)</f>
        <v>0</v>
      </c>
      <c r="Y781" s="14" t="n">
        <f aca="false">IF($H781="Beginner Level",1,0)</f>
        <v>1</v>
      </c>
      <c r="Z781" s="14" t="n">
        <f aca="false">IF($H781="Expert Level",1,0)</f>
        <v>0</v>
      </c>
      <c r="AA781" s="14" t="n">
        <f aca="false">IF($H781="Intermediate Level",1,0)</f>
        <v>0</v>
      </c>
      <c r="AC781" s="14" t="n">
        <f aca="false">N781</f>
        <v>3.21927574488953</v>
      </c>
      <c r="AD781" s="14" t="n">
        <f aca="false">G781</f>
        <v>74</v>
      </c>
      <c r="AE781" s="14" t="n">
        <f aca="false">J781</f>
        <v>14</v>
      </c>
      <c r="AF781" s="14" t="n">
        <f aca="false">IF($L781=2012,1,0)</f>
        <v>0</v>
      </c>
      <c r="AG781" s="14" t="n">
        <f aca="false">IF($L781=2013,1,0)</f>
        <v>0</v>
      </c>
      <c r="AH781" s="14" t="n">
        <f aca="false">IF($L781=2014,1,0)</f>
        <v>0</v>
      </c>
      <c r="AI781" s="14" t="n">
        <f aca="false">IF($L781=2015,1,0)</f>
        <v>1</v>
      </c>
      <c r="AJ781" s="14" t="n">
        <f aca="false">IF($L781=2016,1,0)</f>
        <v>0</v>
      </c>
      <c r="AK781" s="14" t="n">
        <f aca="false">IF($L781=2017,1,0)</f>
        <v>0</v>
      </c>
      <c r="AL781" s="14" t="n">
        <f aca="false">IF($H781="Beginner Level",1,0)</f>
        <v>1</v>
      </c>
      <c r="AM781" s="14" t="n">
        <f aca="false">IF($H781="Expert Level",1,0)</f>
        <v>0</v>
      </c>
      <c r="AN781" s="14" t="n">
        <f aca="false">IF($H781="Intermediate Level",1,0)</f>
        <v>0</v>
      </c>
    </row>
    <row r="782" customFormat="false" ht="57.45" hidden="false" customHeight="false" outlineLevel="0" collapsed="false">
      <c r="A782" s="14" t="n">
        <v>746790</v>
      </c>
      <c r="B782" s="14" t="s">
        <v>1606</v>
      </c>
      <c r="C782" s="14" t="s">
        <v>1607</v>
      </c>
      <c r="D782" s="14" t="n">
        <v>20</v>
      </c>
      <c r="E782" s="14" t="n">
        <v>1554</v>
      </c>
      <c r="F782" s="14" t="n">
        <v>30</v>
      </c>
      <c r="G782" s="14" t="n">
        <v>60</v>
      </c>
      <c r="H782" s="14" t="s">
        <v>62</v>
      </c>
      <c r="I782" s="14" t="n">
        <v>0.95</v>
      </c>
      <c r="J782" s="14" t="n">
        <v>4</v>
      </c>
      <c r="K782" s="14" t="s">
        <v>59</v>
      </c>
      <c r="L782" s="14" t="n">
        <v>2016</v>
      </c>
      <c r="M782" s="14" t="n">
        <v>7.34858753092759</v>
      </c>
      <c r="N782" s="14" t="n">
        <v>2.99623214859564</v>
      </c>
      <c r="P782" s="14" t="n">
        <f aca="false">D782</f>
        <v>20</v>
      </c>
      <c r="Q782" s="14" t="n">
        <f aca="false">G782</f>
        <v>60</v>
      </c>
      <c r="R782" s="14" t="n">
        <f aca="false">J782</f>
        <v>4</v>
      </c>
      <c r="S782" s="14" t="n">
        <f aca="false">IF($L782=2012,1,0)</f>
        <v>0</v>
      </c>
      <c r="T782" s="14" t="n">
        <f aca="false">IF($L782=2013,1,0)</f>
        <v>0</v>
      </c>
      <c r="U782" s="14" t="n">
        <f aca="false">IF($L782=2014,1,0)</f>
        <v>0</v>
      </c>
      <c r="V782" s="14" t="n">
        <f aca="false">IF($L782=2015,1,0)</f>
        <v>0</v>
      </c>
      <c r="W782" s="14" t="n">
        <f aca="false">IF($L782=2016,1,0)</f>
        <v>1</v>
      </c>
      <c r="X782" s="14" t="n">
        <f aca="false">IF($L782=2017,1,0)</f>
        <v>0</v>
      </c>
      <c r="Y782" s="14" t="n">
        <f aca="false">IF($H782="Beginner Level",1,0)</f>
        <v>0</v>
      </c>
      <c r="Z782" s="14" t="n">
        <f aca="false">IF($H782="Expert Level",1,0)</f>
        <v>0</v>
      </c>
      <c r="AA782" s="14" t="n">
        <f aca="false">IF($H782="Intermediate Level",1,0)</f>
        <v>0</v>
      </c>
      <c r="AC782" s="14" t="n">
        <f aca="false">N782</f>
        <v>2.99623214859564</v>
      </c>
      <c r="AD782" s="14" t="n">
        <f aca="false">G782</f>
        <v>60</v>
      </c>
      <c r="AE782" s="14" t="n">
        <f aca="false">J782</f>
        <v>4</v>
      </c>
      <c r="AF782" s="14" t="n">
        <f aca="false">IF($L782=2012,1,0)</f>
        <v>0</v>
      </c>
      <c r="AG782" s="14" t="n">
        <f aca="false">IF($L782=2013,1,0)</f>
        <v>0</v>
      </c>
      <c r="AH782" s="14" t="n">
        <f aca="false">IF($L782=2014,1,0)</f>
        <v>0</v>
      </c>
      <c r="AI782" s="14" t="n">
        <f aca="false">IF($L782=2015,1,0)</f>
        <v>0</v>
      </c>
      <c r="AJ782" s="14" t="n">
        <f aca="false">IF($L782=2016,1,0)</f>
        <v>1</v>
      </c>
      <c r="AK782" s="14" t="n">
        <f aca="false">IF($L782=2017,1,0)</f>
        <v>0</v>
      </c>
      <c r="AL782" s="14" t="n">
        <f aca="false">IF($H782="Beginner Level",1,0)</f>
        <v>0</v>
      </c>
      <c r="AM782" s="14" t="n">
        <f aca="false">IF($H782="Expert Level",1,0)</f>
        <v>0</v>
      </c>
      <c r="AN782" s="14" t="n">
        <f aca="false">IF($H782="Intermediate Level",1,0)</f>
        <v>0</v>
      </c>
    </row>
    <row r="783" customFormat="false" ht="57.45" hidden="false" customHeight="false" outlineLevel="0" collapsed="false">
      <c r="A783" s="14" t="n">
        <v>470412</v>
      </c>
      <c r="B783" s="14" t="s">
        <v>1608</v>
      </c>
      <c r="C783" s="14" t="s">
        <v>1609</v>
      </c>
      <c r="D783" s="14" t="n">
        <v>50</v>
      </c>
      <c r="E783" s="14" t="n">
        <v>1553</v>
      </c>
      <c r="F783" s="14" t="n">
        <v>35</v>
      </c>
      <c r="G783" s="14" t="n">
        <v>43</v>
      </c>
      <c r="H783" s="14" t="s">
        <v>62</v>
      </c>
      <c r="I783" s="14" t="n">
        <v>0.95</v>
      </c>
      <c r="J783" s="14" t="n">
        <v>5.5</v>
      </c>
      <c r="K783" s="14" t="s">
        <v>59</v>
      </c>
      <c r="L783" s="14" t="n">
        <v>2015</v>
      </c>
      <c r="M783" s="14" t="n">
        <v>7.34794382314869</v>
      </c>
      <c r="N783" s="14" t="n">
        <v>3.91222298543081</v>
      </c>
      <c r="P783" s="14" t="n">
        <f aca="false">D783</f>
        <v>50</v>
      </c>
      <c r="Q783" s="14" t="n">
        <f aca="false">G783</f>
        <v>43</v>
      </c>
      <c r="R783" s="14" t="n">
        <f aca="false">J783</f>
        <v>5.5</v>
      </c>
      <c r="S783" s="14" t="n">
        <f aca="false">IF($L783=2012,1,0)</f>
        <v>0</v>
      </c>
      <c r="T783" s="14" t="n">
        <f aca="false">IF($L783=2013,1,0)</f>
        <v>0</v>
      </c>
      <c r="U783" s="14" t="n">
        <f aca="false">IF($L783=2014,1,0)</f>
        <v>0</v>
      </c>
      <c r="V783" s="14" t="n">
        <f aca="false">IF($L783=2015,1,0)</f>
        <v>1</v>
      </c>
      <c r="W783" s="14" t="n">
        <f aca="false">IF($L783=2016,1,0)</f>
        <v>0</v>
      </c>
      <c r="X783" s="14" t="n">
        <f aca="false">IF($L783=2017,1,0)</f>
        <v>0</v>
      </c>
      <c r="Y783" s="14" t="n">
        <f aca="false">IF($H783="Beginner Level",1,0)</f>
        <v>0</v>
      </c>
      <c r="Z783" s="14" t="n">
        <f aca="false">IF($H783="Expert Level",1,0)</f>
        <v>0</v>
      </c>
      <c r="AA783" s="14" t="n">
        <f aca="false">IF($H783="Intermediate Level",1,0)</f>
        <v>0</v>
      </c>
      <c r="AC783" s="14" t="n">
        <f aca="false">N783</f>
        <v>3.91222298543081</v>
      </c>
      <c r="AD783" s="14" t="n">
        <f aca="false">G783</f>
        <v>43</v>
      </c>
      <c r="AE783" s="14" t="n">
        <f aca="false">J783</f>
        <v>5.5</v>
      </c>
      <c r="AF783" s="14" t="n">
        <f aca="false">IF($L783=2012,1,0)</f>
        <v>0</v>
      </c>
      <c r="AG783" s="14" t="n">
        <f aca="false">IF($L783=2013,1,0)</f>
        <v>0</v>
      </c>
      <c r="AH783" s="14" t="n">
        <f aca="false">IF($L783=2014,1,0)</f>
        <v>0</v>
      </c>
      <c r="AI783" s="14" t="n">
        <f aca="false">IF($L783=2015,1,0)</f>
        <v>1</v>
      </c>
      <c r="AJ783" s="14" t="n">
        <f aca="false">IF($L783=2016,1,0)</f>
        <v>0</v>
      </c>
      <c r="AK783" s="14" t="n">
        <f aca="false">IF($L783=2017,1,0)</f>
        <v>0</v>
      </c>
      <c r="AL783" s="14" t="n">
        <f aca="false">IF($H783="Beginner Level",1,0)</f>
        <v>0</v>
      </c>
      <c r="AM783" s="14" t="n">
        <f aca="false">IF($H783="Expert Level",1,0)</f>
        <v>0</v>
      </c>
      <c r="AN783" s="14" t="n">
        <f aca="false">IF($H783="Intermediate Level",1,0)</f>
        <v>0</v>
      </c>
    </row>
    <row r="784" customFormat="false" ht="57.45" hidden="false" customHeight="false" outlineLevel="0" collapsed="false">
      <c r="A784" s="14" t="n">
        <v>287010</v>
      </c>
      <c r="B784" s="14" t="s">
        <v>1610</v>
      </c>
      <c r="C784" s="14" t="s">
        <v>1611</v>
      </c>
      <c r="D784" s="14" t="n">
        <v>55</v>
      </c>
      <c r="E784" s="14" t="n">
        <v>1552</v>
      </c>
      <c r="F784" s="14" t="n">
        <v>14</v>
      </c>
      <c r="G784" s="14" t="n">
        <v>44</v>
      </c>
      <c r="H784" s="14" t="s">
        <v>62</v>
      </c>
      <c r="I784" s="14" t="n">
        <v>0.95</v>
      </c>
      <c r="J784" s="14" t="n">
        <v>3.5</v>
      </c>
      <c r="K784" s="14" t="s">
        <v>59</v>
      </c>
      <c r="L784" s="14" t="n">
        <v>2014</v>
      </c>
      <c r="M784" s="14" t="n">
        <v>7.34729970074316</v>
      </c>
      <c r="N784" s="14" t="n">
        <v>4.00751498688737</v>
      </c>
      <c r="P784" s="14" t="n">
        <f aca="false">D784</f>
        <v>55</v>
      </c>
      <c r="Q784" s="14" t="n">
        <f aca="false">G784</f>
        <v>44</v>
      </c>
      <c r="R784" s="14" t="n">
        <f aca="false">J784</f>
        <v>3.5</v>
      </c>
      <c r="S784" s="14" t="n">
        <f aca="false">IF($L784=2012,1,0)</f>
        <v>0</v>
      </c>
      <c r="T784" s="14" t="n">
        <f aca="false">IF($L784=2013,1,0)</f>
        <v>0</v>
      </c>
      <c r="U784" s="14" t="n">
        <f aca="false">IF($L784=2014,1,0)</f>
        <v>1</v>
      </c>
      <c r="V784" s="14" t="n">
        <f aca="false">IF($L784=2015,1,0)</f>
        <v>0</v>
      </c>
      <c r="W784" s="14" t="n">
        <f aca="false">IF($L784=2016,1,0)</f>
        <v>0</v>
      </c>
      <c r="X784" s="14" t="n">
        <f aca="false">IF($L784=2017,1,0)</f>
        <v>0</v>
      </c>
      <c r="Y784" s="14" t="n">
        <f aca="false">IF($H784="Beginner Level",1,0)</f>
        <v>0</v>
      </c>
      <c r="Z784" s="14" t="n">
        <f aca="false">IF($H784="Expert Level",1,0)</f>
        <v>0</v>
      </c>
      <c r="AA784" s="14" t="n">
        <f aca="false">IF($H784="Intermediate Level",1,0)</f>
        <v>0</v>
      </c>
      <c r="AC784" s="14" t="n">
        <f aca="false">N784</f>
        <v>4.00751498688737</v>
      </c>
      <c r="AD784" s="14" t="n">
        <f aca="false">G784</f>
        <v>44</v>
      </c>
      <c r="AE784" s="14" t="n">
        <f aca="false">J784</f>
        <v>3.5</v>
      </c>
      <c r="AF784" s="14" t="n">
        <f aca="false">IF($L784=2012,1,0)</f>
        <v>0</v>
      </c>
      <c r="AG784" s="14" t="n">
        <f aca="false">IF($L784=2013,1,0)</f>
        <v>0</v>
      </c>
      <c r="AH784" s="14" t="n">
        <f aca="false">IF($L784=2014,1,0)</f>
        <v>1</v>
      </c>
      <c r="AI784" s="14" t="n">
        <f aca="false">IF($L784=2015,1,0)</f>
        <v>0</v>
      </c>
      <c r="AJ784" s="14" t="n">
        <f aca="false">IF($L784=2016,1,0)</f>
        <v>0</v>
      </c>
      <c r="AK784" s="14" t="n">
        <f aca="false">IF($L784=2017,1,0)</f>
        <v>0</v>
      </c>
      <c r="AL784" s="14" t="n">
        <f aca="false">IF($H784="Beginner Level",1,0)</f>
        <v>0</v>
      </c>
      <c r="AM784" s="14" t="n">
        <f aca="false">IF($H784="Expert Level",1,0)</f>
        <v>0</v>
      </c>
      <c r="AN784" s="14" t="n">
        <f aca="false">IF($H784="Intermediate Level",1,0)</f>
        <v>0</v>
      </c>
    </row>
    <row r="785" customFormat="false" ht="91" hidden="false" customHeight="false" outlineLevel="0" collapsed="false">
      <c r="A785" s="14" t="n">
        <v>650222</v>
      </c>
      <c r="B785" s="14" t="s">
        <v>1612</v>
      </c>
      <c r="C785" s="14" t="s">
        <v>1613</v>
      </c>
      <c r="D785" s="14" t="n">
        <v>30</v>
      </c>
      <c r="E785" s="14" t="n">
        <v>1551</v>
      </c>
      <c r="F785" s="14" t="n">
        <v>42</v>
      </c>
      <c r="G785" s="14" t="n">
        <v>78</v>
      </c>
      <c r="H785" s="14" t="s">
        <v>62</v>
      </c>
      <c r="I785" s="14" t="n">
        <v>0.95</v>
      </c>
      <c r="J785" s="14" t="n">
        <v>7.5</v>
      </c>
      <c r="K785" s="14" t="s">
        <v>59</v>
      </c>
      <c r="L785" s="14" t="n">
        <v>2015</v>
      </c>
      <c r="M785" s="14" t="n">
        <v>7.34665516317654</v>
      </c>
      <c r="N785" s="14" t="n">
        <v>3.40153065945228</v>
      </c>
      <c r="P785" s="14" t="n">
        <f aca="false">D785</f>
        <v>30</v>
      </c>
      <c r="Q785" s="14" t="n">
        <f aca="false">G785</f>
        <v>78</v>
      </c>
      <c r="R785" s="14" t="n">
        <f aca="false">J785</f>
        <v>7.5</v>
      </c>
      <c r="S785" s="14" t="n">
        <f aca="false">IF($L785=2012,1,0)</f>
        <v>0</v>
      </c>
      <c r="T785" s="14" t="n">
        <f aca="false">IF($L785=2013,1,0)</f>
        <v>0</v>
      </c>
      <c r="U785" s="14" t="n">
        <f aca="false">IF($L785=2014,1,0)</f>
        <v>0</v>
      </c>
      <c r="V785" s="14" t="n">
        <f aca="false">IF($L785=2015,1,0)</f>
        <v>1</v>
      </c>
      <c r="W785" s="14" t="n">
        <f aca="false">IF($L785=2016,1,0)</f>
        <v>0</v>
      </c>
      <c r="X785" s="14" t="n">
        <f aca="false">IF($L785=2017,1,0)</f>
        <v>0</v>
      </c>
      <c r="Y785" s="14" t="n">
        <f aca="false">IF($H785="Beginner Level",1,0)</f>
        <v>0</v>
      </c>
      <c r="Z785" s="14" t="n">
        <f aca="false">IF($H785="Expert Level",1,0)</f>
        <v>0</v>
      </c>
      <c r="AA785" s="14" t="n">
        <f aca="false">IF($H785="Intermediate Level",1,0)</f>
        <v>0</v>
      </c>
      <c r="AC785" s="14" t="n">
        <f aca="false">N785</f>
        <v>3.40153065945228</v>
      </c>
      <c r="AD785" s="14" t="n">
        <f aca="false">G785</f>
        <v>78</v>
      </c>
      <c r="AE785" s="14" t="n">
        <f aca="false">J785</f>
        <v>7.5</v>
      </c>
      <c r="AF785" s="14" t="n">
        <f aca="false">IF($L785=2012,1,0)</f>
        <v>0</v>
      </c>
      <c r="AG785" s="14" t="n">
        <f aca="false">IF($L785=2013,1,0)</f>
        <v>0</v>
      </c>
      <c r="AH785" s="14" t="n">
        <f aca="false">IF($L785=2014,1,0)</f>
        <v>0</v>
      </c>
      <c r="AI785" s="14" t="n">
        <f aca="false">IF($L785=2015,1,0)</f>
        <v>1</v>
      </c>
      <c r="AJ785" s="14" t="n">
        <f aca="false">IF($L785=2016,1,0)</f>
        <v>0</v>
      </c>
      <c r="AK785" s="14" t="n">
        <f aca="false">IF($L785=2017,1,0)</f>
        <v>0</v>
      </c>
      <c r="AL785" s="14" t="n">
        <f aca="false">IF($H785="Beginner Level",1,0)</f>
        <v>0</v>
      </c>
      <c r="AM785" s="14" t="n">
        <f aca="false">IF($H785="Expert Level",1,0)</f>
        <v>0</v>
      </c>
      <c r="AN785" s="14" t="n">
        <f aca="false">IF($H785="Intermediate Level",1,0)</f>
        <v>0</v>
      </c>
    </row>
    <row r="786" customFormat="false" ht="57.45" hidden="false" customHeight="false" outlineLevel="0" collapsed="false">
      <c r="A786" s="14" t="n">
        <v>499904</v>
      </c>
      <c r="B786" s="14" t="s">
        <v>1614</v>
      </c>
      <c r="C786" s="14" t="s">
        <v>1615</v>
      </c>
      <c r="D786" s="14" t="n">
        <v>30</v>
      </c>
      <c r="E786" s="14" t="n">
        <v>1550</v>
      </c>
      <c r="F786" s="14" t="n">
        <v>15</v>
      </c>
      <c r="G786" s="14" t="n">
        <v>23</v>
      </c>
      <c r="H786" s="14" t="s">
        <v>62</v>
      </c>
      <c r="I786" s="14" t="n">
        <v>0.96</v>
      </c>
      <c r="J786" s="14" t="n">
        <v>3</v>
      </c>
      <c r="K786" s="14" t="s">
        <v>59</v>
      </c>
      <c r="L786" s="14" t="n">
        <v>2015</v>
      </c>
      <c r="M786" s="14" t="n">
        <v>7.34601020991329</v>
      </c>
      <c r="N786" s="14" t="n">
        <v>3.40153065945228</v>
      </c>
      <c r="P786" s="14" t="n">
        <f aca="false">D786</f>
        <v>30</v>
      </c>
      <c r="Q786" s="14" t="n">
        <f aca="false">G786</f>
        <v>23</v>
      </c>
      <c r="R786" s="14" t="n">
        <f aca="false">J786</f>
        <v>3</v>
      </c>
      <c r="S786" s="14" t="n">
        <f aca="false">IF($L786=2012,1,0)</f>
        <v>0</v>
      </c>
      <c r="T786" s="14" t="n">
        <f aca="false">IF($L786=2013,1,0)</f>
        <v>0</v>
      </c>
      <c r="U786" s="14" t="n">
        <f aca="false">IF($L786=2014,1,0)</f>
        <v>0</v>
      </c>
      <c r="V786" s="14" t="n">
        <f aca="false">IF($L786=2015,1,0)</f>
        <v>1</v>
      </c>
      <c r="W786" s="14" t="n">
        <f aca="false">IF($L786=2016,1,0)</f>
        <v>0</v>
      </c>
      <c r="X786" s="14" t="n">
        <f aca="false">IF($L786=2017,1,0)</f>
        <v>0</v>
      </c>
      <c r="Y786" s="14" t="n">
        <f aca="false">IF($H786="Beginner Level",1,0)</f>
        <v>0</v>
      </c>
      <c r="Z786" s="14" t="n">
        <f aca="false">IF($H786="Expert Level",1,0)</f>
        <v>0</v>
      </c>
      <c r="AA786" s="14" t="n">
        <f aca="false">IF($H786="Intermediate Level",1,0)</f>
        <v>0</v>
      </c>
      <c r="AC786" s="14" t="n">
        <f aca="false">N786</f>
        <v>3.40153065945228</v>
      </c>
      <c r="AD786" s="14" t="n">
        <f aca="false">G786</f>
        <v>23</v>
      </c>
      <c r="AE786" s="14" t="n">
        <f aca="false">J786</f>
        <v>3</v>
      </c>
      <c r="AF786" s="14" t="n">
        <f aca="false">IF($L786=2012,1,0)</f>
        <v>0</v>
      </c>
      <c r="AG786" s="14" t="n">
        <f aca="false">IF($L786=2013,1,0)</f>
        <v>0</v>
      </c>
      <c r="AH786" s="14" t="n">
        <f aca="false">IF($L786=2014,1,0)</f>
        <v>0</v>
      </c>
      <c r="AI786" s="14" t="n">
        <f aca="false">IF($L786=2015,1,0)</f>
        <v>1</v>
      </c>
      <c r="AJ786" s="14" t="n">
        <f aca="false">IF($L786=2016,1,0)</f>
        <v>0</v>
      </c>
      <c r="AK786" s="14" t="n">
        <f aca="false">IF($L786=2017,1,0)</f>
        <v>0</v>
      </c>
      <c r="AL786" s="14" t="n">
        <f aca="false">IF($H786="Beginner Level",1,0)</f>
        <v>0</v>
      </c>
      <c r="AM786" s="14" t="n">
        <f aca="false">IF($H786="Expert Level",1,0)</f>
        <v>0</v>
      </c>
      <c r="AN786" s="14" t="n">
        <f aca="false">IF($H786="Intermediate Level",1,0)</f>
        <v>0</v>
      </c>
    </row>
    <row r="787" customFormat="false" ht="57.45" hidden="false" customHeight="false" outlineLevel="0" collapsed="false">
      <c r="A787" s="14" t="n">
        <v>564546</v>
      </c>
      <c r="B787" s="14" t="s">
        <v>1616</v>
      </c>
      <c r="C787" s="14" t="s">
        <v>1617</v>
      </c>
      <c r="D787" s="14" t="n">
        <v>50</v>
      </c>
      <c r="E787" s="14" t="n">
        <v>1550</v>
      </c>
      <c r="F787" s="14" t="n">
        <v>25</v>
      </c>
      <c r="G787" s="14" t="n">
        <v>27</v>
      </c>
      <c r="H787" s="14" t="s">
        <v>62</v>
      </c>
      <c r="I787" s="14" t="n">
        <v>0.96</v>
      </c>
      <c r="J787" s="14" t="n">
        <v>1.5</v>
      </c>
      <c r="K787" s="14" t="s">
        <v>59</v>
      </c>
      <c r="L787" s="14" t="n">
        <v>2015</v>
      </c>
      <c r="M787" s="14" t="n">
        <v>7.34601020991329</v>
      </c>
      <c r="N787" s="14" t="n">
        <v>3.91222298543081</v>
      </c>
      <c r="P787" s="14" t="n">
        <f aca="false">D787</f>
        <v>50</v>
      </c>
      <c r="Q787" s="14" t="n">
        <f aca="false">G787</f>
        <v>27</v>
      </c>
      <c r="R787" s="14" t="n">
        <f aca="false">J787</f>
        <v>1.5</v>
      </c>
      <c r="S787" s="14" t="n">
        <f aca="false">IF($L787=2012,1,0)</f>
        <v>0</v>
      </c>
      <c r="T787" s="14" t="n">
        <f aca="false">IF($L787=2013,1,0)</f>
        <v>0</v>
      </c>
      <c r="U787" s="14" t="n">
        <f aca="false">IF($L787=2014,1,0)</f>
        <v>0</v>
      </c>
      <c r="V787" s="14" t="n">
        <f aca="false">IF($L787=2015,1,0)</f>
        <v>1</v>
      </c>
      <c r="W787" s="14" t="n">
        <f aca="false">IF($L787=2016,1,0)</f>
        <v>0</v>
      </c>
      <c r="X787" s="14" t="n">
        <f aca="false">IF($L787=2017,1,0)</f>
        <v>0</v>
      </c>
      <c r="Y787" s="14" t="n">
        <f aca="false">IF($H787="Beginner Level",1,0)</f>
        <v>0</v>
      </c>
      <c r="Z787" s="14" t="n">
        <f aca="false">IF($H787="Expert Level",1,0)</f>
        <v>0</v>
      </c>
      <c r="AA787" s="14" t="n">
        <f aca="false">IF($H787="Intermediate Level",1,0)</f>
        <v>0</v>
      </c>
      <c r="AC787" s="14" t="n">
        <f aca="false">N787</f>
        <v>3.91222298543081</v>
      </c>
      <c r="AD787" s="14" t="n">
        <f aca="false">G787</f>
        <v>27</v>
      </c>
      <c r="AE787" s="14" t="n">
        <f aca="false">J787</f>
        <v>1.5</v>
      </c>
      <c r="AF787" s="14" t="n">
        <f aca="false">IF($L787=2012,1,0)</f>
        <v>0</v>
      </c>
      <c r="AG787" s="14" t="n">
        <f aca="false">IF($L787=2013,1,0)</f>
        <v>0</v>
      </c>
      <c r="AH787" s="14" t="n">
        <f aca="false">IF($L787=2014,1,0)</f>
        <v>0</v>
      </c>
      <c r="AI787" s="14" t="n">
        <f aca="false">IF($L787=2015,1,0)</f>
        <v>1</v>
      </c>
      <c r="AJ787" s="14" t="n">
        <f aca="false">IF($L787=2016,1,0)</f>
        <v>0</v>
      </c>
      <c r="AK787" s="14" t="n">
        <f aca="false">IF($L787=2017,1,0)</f>
        <v>0</v>
      </c>
      <c r="AL787" s="14" t="n">
        <f aca="false">IF($H787="Beginner Level",1,0)</f>
        <v>0</v>
      </c>
      <c r="AM787" s="14" t="n">
        <f aca="false">IF($H787="Expert Level",1,0)</f>
        <v>0</v>
      </c>
      <c r="AN787" s="14" t="n">
        <f aca="false">IF($H787="Intermediate Level",1,0)</f>
        <v>0</v>
      </c>
    </row>
    <row r="788" customFormat="false" ht="68.65" hidden="false" customHeight="false" outlineLevel="0" collapsed="false">
      <c r="A788" s="14" t="n">
        <v>936504</v>
      </c>
      <c r="B788" s="14" t="s">
        <v>1618</v>
      </c>
      <c r="C788" s="14" t="s">
        <v>1619</v>
      </c>
      <c r="D788" s="14" t="n">
        <v>40</v>
      </c>
      <c r="E788" s="14" t="n">
        <v>1548</v>
      </c>
      <c r="F788" s="14" t="n">
        <v>30</v>
      </c>
      <c r="G788" s="14" t="n">
        <v>126</v>
      </c>
      <c r="H788" s="14" t="s">
        <v>62</v>
      </c>
      <c r="I788" s="14" t="n">
        <v>0.96</v>
      </c>
      <c r="J788" s="14" t="n">
        <v>15</v>
      </c>
      <c r="K788" s="14" t="s">
        <v>59</v>
      </c>
      <c r="L788" s="14" t="n">
        <v>2016</v>
      </c>
      <c r="M788" s="14" t="n">
        <v>7.34471905414967</v>
      </c>
      <c r="N788" s="14" t="n">
        <v>3.68912942286914</v>
      </c>
      <c r="P788" s="14" t="n">
        <f aca="false">D788</f>
        <v>40</v>
      </c>
      <c r="Q788" s="14" t="n">
        <f aca="false">G788</f>
        <v>126</v>
      </c>
      <c r="R788" s="14" t="n">
        <f aca="false">J788</f>
        <v>15</v>
      </c>
      <c r="S788" s="14" t="n">
        <f aca="false">IF($L788=2012,1,0)</f>
        <v>0</v>
      </c>
      <c r="T788" s="14" t="n">
        <f aca="false">IF($L788=2013,1,0)</f>
        <v>0</v>
      </c>
      <c r="U788" s="14" t="n">
        <f aca="false">IF($L788=2014,1,0)</f>
        <v>0</v>
      </c>
      <c r="V788" s="14" t="n">
        <f aca="false">IF($L788=2015,1,0)</f>
        <v>0</v>
      </c>
      <c r="W788" s="14" t="n">
        <f aca="false">IF($L788=2016,1,0)</f>
        <v>1</v>
      </c>
      <c r="X788" s="14" t="n">
        <f aca="false">IF($L788=2017,1,0)</f>
        <v>0</v>
      </c>
      <c r="Y788" s="14" t="n">
        <f aca="false">IF($H788="Beginner Level",1,0)</f>
        <v>0</v>
      </c>
      <c r="Z788" s="14" t="n">
        <f aca="false">IF($H788="Expert Level",1,0)</f>
        <v>0</v>
      </c>
      <c r="AA788" s="14" t="n">
        <f aca="false">IF($H788="Intermediate Level",1,0)</f>
        <v>0</v>
      </c>
      <c r="AC788" s="14" t="n">
        <f aca="false">N788</f>
        <v>3.68912942286914</v>
      </c>
      <c r="AD788" s="14" t="n">
        <f aca="false">G788</f>
        <v>126</v>
      </c>
      <c r="AE788" s="14" t="n">
        <f aca="false">J788</f>
        <v>15</v>
      </c>
      <c r="AF788" s="14" t="n">
        <f aca="false">IF($L788=2012,1,0)</f>
        <v>0</v>
      </c>
      <c r="AG788" s="14" t="n">
        <f aca="false">IF($L788=2013,1,0)</f>
        <v>0</v>
      </c>
      <c r="AH788" s="14" t="n">
        <f aca="false">IF($L788=2014,1,0)</f>
        <v>0</v>
      </c>
      <c r="AI788" s="14" t="n">
        <f aca="false">IF($L788=2015,1,0)</f>
        <v>0</v>
      </c>
      <c r="AJ788" s="14" t="n">
        <f aca="false">IF($L788=2016,1,0)</f>
        <v>1</v>
      </c>
      <c r="AK788" s="14" t="n">
        <f aca="false">IF($L788=2017,1,0)</f>
        <v>0</v>
      </c>
      <c r="AL788" s="14" t="n">
        <f aca="false">IF($H788="Beginner Level",1,0)</f>
        <v>0</v>
      </c>
      <c r="AM788" s="14" t="n">
        <f aca="false">IF($H788="Expert Level",1,0)</f>
        <v>0</v>
      </c>
      <c r="AN788" s="14" t="n">
        <f aca="false">IF($H788="Intermediate Level",1,0)</f>
        <v>0</v>
      </c>
    </row>
    <row r="789" customFormat="false" ht="91" hidden="false" customHeight="false" outlineLevel="0" collapsed="false">
      <c r="A789" s="14" t="n">
        <v>904818</v>
      </c>
      <c r="B789" s="14" t="s">
        <v>1620</v>
      </c>
      <c r="C789" s="14" t="s">
        <v>1621</v>
      </c>
      <c r="D789" s="14" t="n">
        <v>50</v>
      </c>
      <c r="E789" s="14" t="n">
        <v>1547</v>
      </c>
      <c r="F789" s="14" t="n">
        <v>30</v>
      </c>
      <c r="G789" s="14" t="n">
        <v>56</v>
      </c>
      <c r="H789" s="14" t="s">
        <v>62</v>
      </c>
      <c r="I789" s="14" t="n">
        <v>0.96</v>
      </c>
      <c r="J789" s="14" t="n">
        <v>8</v>
      </c>
      <c r="K789" s="14" t="s">
        <v>59</v>
      </c>
      <c r="L789" s="14" t="n">
        <v>2016</v>
      </c>
      <c r="M789" s="14" t="n">
        <v>7.34407285057307</v>
      </c>
      <c r="N789" s="14" t="n">
        <v>3.91222298543081</v>
      </c>
      <c r="P789" s="14" t="n">
        <f aca="false">D789</f>
        <v>50</v>
      </c>
      <c r="Q789" s="14" t="n">
        <f aca="false">G789</f>
        <v>56</v>
      </c>
      <c r="R789" s="14" t="n">
        <f aca="false">J789</f>
        <v>8</v>
      </c>
      <c r="S789" s="14" t="n">
        <f aca="false">IF($L789=2012,1,0)</f>
        <v>0</v>
      </c>
      <c r="T789" s="14" t="n">
        <f aca="false">IF($L789=2013,1,0)</f>
        <v>0</v>
      </c>
      <c r="U789" s="14" t="n">
        <f aca="false">IF($L789=2014,1,0)</f>
        <v>0</v>
      </c>
      <c r="V789" s="14" t="n">
        <f aca="false">IF($L789=2015,1,0)</f>
        <v>0</v>
      </c>
      <c r="W789" s="14" t="n">
        <f aca="false">IF($L789=2016,1,0)</f>
        <v>1</v>
      </c>
      <c r="X789" s="14" t="n">
        <f aca="false">IF($L789=2017,1,0)</f>
        <v>0</v>
      </c>
      <c r="Y789" s="14" t="n">
        <f aca="false">IF($H789="Beginner Level",1,0)</f>
        <v>0</v>
      </c>
      <c r="Z789" s="14" t="n">
        <f aca="false">IF($H789="Expert Level",1,0)</f>
        <v>0</v>
      </c>
      <c r="AA789" s="14" t="n">
        <f aca="false">IF($H789="Intermediate Level",1,0)</f>
        <v>0</v>
      </c>
      <c r="AC789" s="14" t="n">
        <f aca="false">N789</f>
        <v>3.91222298543081</v>
      </c>
      <c r="AD789" s="14" t="n">
        <f aca="false">G789</f>
        <v>56</v>
      </c>
      <c r="AE789" s="14" t="n">
        <f aca="false">J789</f>
        <v>8</v>
      </c>
      <c r="AF789" s="14" t="n">
        <f aca="false">IF($L789=2012,1,0)</f>
        <v>0</v>
      </c>
      <c r="AG789" s="14" t="n">
        <f aca="false">IF($L789=2013,1,0)</f>
        <v>0</v>
      </c>
      <c r="AH789" s="14" t="n">
        <f aca="false">IF($L789=2014,1,0)</f>
        <v>0</v>
      </c>
      <c r="AI789" s="14" t="n">
        <f aca="false">IF($L789=2015,1,0)</f>
        <v>0</v>
      </c>
      <c r="AJ789" s="14" t="n">
        <f aca="false">IF($L789=2016,1,0)</f>
        <v>1</v>
      </c>
      <c r="AK789" s="14" t="n">
        <f aca="false">IF($L789=2017,1,0)</f>
        <v>0</v>
      </c>
      <c r="AL789" s="14" t="n">
        <f aca="false">IF($H789="Beginner Level",1,0)</f>
        <v>0</v>
      </c>
      <c r="AM789" s="14" t="n">
        <f aca="false">IF($H789="Expert Level",1,0)</f>
        <v>0</v>
      </c>
      <c r="AN789" s="14" t="n">
        <f aca="false">IF($H789="Intermediate Level",1,0)</f>
        <v>0</v>
      </c>
    </row>
    <row r="790" customFormat="false" ht="57.45" hidden="false" customHeight="false" outlineLevel="0" collapsed="false">
      <c r="A790" s="14" t="n">
        <v>1116366</v>
      </c>
      <c r="B790" s="14" t="s">
        <v>1622</v>
      </c>
      <c r="C790" s="14" t="s">
        <v>1623</v>
      </c>
      <c r="D790" s="14" t="n">
        <v>0</v>
      </c>
      <c r="E790" s="14" t="n">
        <v>1544</v>
      </c>
      <c r="F790" s="14" t="n">
        <v>15</v>
      </c>
      <c r="G790" s="14" t="n">
        <v>29</v>
      </c>
      <c r="H790" s="14" t="s">
        <v>62</v>
      </c>
      <c r="I790" s="14" t="n">
        <v>0.96</v>
      </c>
      <c r="J790" s="14" t="n">
        <v>1</v>
      </c>
      <c r="K790" s="14" t="s">
        <v>53</v>
      </c>
      <c r="L790" s="14" t="n">
        <v>2017</v>
      </c>
      <c r="M790" s="14" t="n">
        <v>7.34213173058472</v>
      </c>
      <c r="N790" s="14" t="n">
        <v>-4.60517018598809</v>
      </c>
      <c r="P790" s="14" t="n">
        <f aca="false">D790</f>
        <v>0</v>
      </c>
      <c r="Q790" s="14" t="n">
        <f aca="false">G790</f>
        <v>29</v>
      </c>
      <c r="R790" s="14" t="n">
        <f aca="false">J790</f>
        <v>1</v>
      </c>
      <c r="S790" s="14" t="n">
        <f aca="false">IF($L790=2012,1,0)</f>
        <v>0</v>
      </c>
      <c r="T790" s="14" t="n">
        <f aca="false">IF($L790=2013,1,0)</f>
        <v>0</v>
      </c>
      <c r="U790" s="14" t="n">
        <f aca="false">IF($L790=2014,1,0)</f>
        <v>0</v>
      </c>
      <c r="V790" s="14" t="n">
        <f aca="false">IF($L790=2015,1,0)</f>
        <v>0</v>
      </c>
      <c r="W790" s="14" t="n">
        <f aca="false">IF($L790=2016,1,0)</f>
        <v>0</v>
      </c>
      <c r="X790" s="14" t="n">
        <f aca="false">IF($L790=2017,1,0)</f>
        <v>1</v>
      </c>
      <c r="Y790" s="14" t="n">
        <f aca="false">IF($H790="Beginner Level",1,0)</f>
        <v>0</v>
      </c>
      <c r="Z790" s="14" t="n">
        <f aca="false">IF($H790="Expert Level",1,0)</f>
        <v>0</v>
      </c>
      <c r="AA790" s="14" t="n">
        <f aca="false">IF($H790="Intermediate Level",1,0)</f>
        <v>0</v>
      </c>
      <c r="AC790" s="14" t="n">
        <f aca="false">N790</f>
        <v>-4.60517018598809</v>
      </c>
      <c r="AD790" s="14" t="n">
        <f aca="false">G790</f>
        <v>29</v>
      </c>
      <c r="AE790" s="14" t="n">
        <f aca="false">J790</f>
        <v>1</v>
      </c>
      <c r="AF790" s="14" t="n">
        <f aca="false">IF($L790=2012,1,0)</f>
        <v>0</v>
      </c>
      <c r="AG790" s="14" t="n">
        <f aca="false">IF($L790=2013,1,0)</f>
        <v>0</v>
      </c>
      <c r="AH790" s="14" t="n">
        <f aca="false">IF($L790=2014,1,0)</f>
        <v>0</v>
      </c>
      <c r="AI790" s="14" t="n">
        <f aca="false">IF($L790=2015,1,0)</f>
        <v>0</v>
      </c>
      <c r="AJ790" s="14" t="n">
        <f aca="false">IF($L790=2016,1,0)</f>
        <v>0</v>
      </c>
      <c r="AK790" s="14" t="n">
        <f aca="false">IF($L790=2017,1,0)</f>
        <v>1</v>
      </c>
      <c r="AL790" s="14" t="n">
        <f aca="false">IF($H790="Beginner Level",1,0)</f>
        <v>0</v>
      </c>
      <c r="AM790" s="14" t="n">
        <f aca="false">IF($H790="Expert Level",1,0)</f>
        <v>0</v>
      </c>
      <c r="AN790" s="14" t="n">
        <f aca="false">IF($H790="Intermediate Level",1,0)</f>
        <v>0</v>
      </c>
    </row>
    <row r="791" customFormat="false" ht="68.65" hidden="false" customHeight="false" outlineLevel="0" collapsed="false">
      <c r="A791" s="14" t="n">
        <v>505780</v>
      </c>
      <c r="B791" s="14" t="s">
        <v>1624</v>
      </c>
      <c r="C791" s="14" t="s">
        <v>1625</v>
      </c>
      <c r="D791" s="14" t="n">
        <v>45</v>
      </c>
      <c r="E791" s="14" t="n">
        <v>1540</v>
      </c>
      <c r="F791" s="14" t="n">
        <v>19</v>
      </c>
      <c r="G791" s="14" t="n">
        <v>39</v>
      </c>
      <c r="H791" s="14" t="s">
        <v>62</v>
      </c>
      <c r="I791" s="14" t="n">
        <v>0.96</v>
      </c>
      <c r="J791" s="14" t="n">
        <v>3</v>
      </c>
      <c r="K791" s="14" t="s">
        <v>59</v>
      </c>
      <c r="L791" s="14" t="n">
        <v>2015</v>
      </c>
      <c r="M791" s="14" t="n">
        <v>7.33953769540768</v>
      </c>
      <c r="N791" s="14" t="n">
        <v>3.80688468730484</v>
      </c>
      <c r="P791" s="14" t="n">
        <f aca="false">D791</f>
        <v>45</v>
      </c>
      <c r="Q791" s="14" t="n">
        <f aca="false">G791</f>
        <v>39</v>
      </c>
      <c r="R791" s="14" t="n">
        <f aca="false">J791</f>
        <v>3</v>
      </c>
      <c r="S791" s="14" t="n">
        <f aca="false">IF($L791=2012,1,0)</f>
        <v>0</v>
      </c>
      <c r="T791" s="14" t="n">
        <f aca="false">IF($L791=2013,1,0)</f>
        <v>0</v>
      </c>
      <c r="U791" s="14" t="n">
        <f aca="false">IF($L791=2014,1,0)</f>
        <v>0</v>
      </c>
      <c r="V791" s="14" t="n">
        <f aca="false">IF($L791=2015,1,0)</f>
        <v>1</v>
      </c>
      <c r="W791" s="14" t="n">
        <f aca="false">IF($L791=2016,1,0)</f>
        <v>0</v>
      </c>
      <c r="X791" s="14" t="n">
        <f aca="false">IF($L791=2017,1,0)</f>
        <v>0</v>
      </c>
      <c r="Y791" s="14" t="n">
        <f aca="false">IF($H791="Beginner Level",1,0)</f>
        <v>0</v>
      </c>
      <c r="Z791" s="14" t="n">
        <f aca="false">IF($H791="Expert Level",1,0)</f>
        <v>0</v>
      </c>
      <c r="AA791" s="14" t="n">
        <f aca="false">IF($H791="Intermediate Level",1,0)</f>
        <v>0</v>
      </c>
      <c r="AC791" s="14" t="n">
        <f aca="false">N791</f>
        <v>3.80688468730484</v>
      </c>
      <c r="AD791" s="14" t="n">
        <f aca="false">G791</f>
        <v>39</v>
      </c>
      <c r="AE791" s="14" t="n">
        <f aca="false">J791</f>
        <v>3</v>
      </c>
      <c r="AF791" s="14" t="n">
        <f aca="false">IF($L791=2012,1,0)</f>
        <v>0</v>
      </c>
      <c r="AG791" s="14" t="n">
        <f aca="false">IF($L791=2013,1,0)</f>
        <v>0</v>
      </c>
      <c r="AH791" s="14" t="n">
        <f aca="false">IF($L791=2014,1,0)</f>
        <v>0</v>
      </c>
      <c r="AI791" s="14" t="n">
        <f aca="false">IF($L791=2015,1,0)</f>
        <v>1</v>
      </c>
      <c r="AJ791" s="14" t="n">
        <f aca="false">IF($L791=2016,1,0)</f>
        <v>0</v>
      </c>
      <c r="AK791" s="14" t="n">
        <f aca="false">IF($L791=2017,1,0)</f>
        <v>0</v>
      </c>
      <c r="AL791" s="14" t="n">
        <f aca="false">IF($H791="Beginner Level",1,0)</f>
        <v>0</v>
      </c>
      <c r="AM791" s="14" t="n">
        <f aca="false">IF($H791="Expert Level",1,0)</f>
        <v>0</v>
      </c>
      <c r="AN791" s="14" t="n">
        <f aca="false">IF($H791="Intermediate Level",1,0)</f>
        <v>0</v>
      </c>
    </row>
    <row r="792" customFormat="false" ht="68.65" hidden="false" customHeight="false" outlineLevel="0" collapsed="false">
      <c r="A792" s="14" t="n">
        <v>1135712</v>
      </c>
      <c r="B792" s="14" t="s">
        <v>1626</v>
      </c>
      <c r="C792" s="14" t="s">
        <v>1627</v>
      </c>
      <c r="D792" s="14" t="n">
        <v>195</v>
      </c>
      <c r="E792" s="14" t="n">
        <v>1537</v>
      </c>
      <c r="F792" s="14" t="n">
        <v>8</v>
      </c>
      <c r="G792" s="14" t="n">
        <v>29</v>
      </c>
      <c r="H792" s="14" t="s">
        <v>52</v>
      </c>
      <c r="I792" s="14" t="n">
        <v>0.96</v>
      </c>
      <c r="J792" s="14" t="n">
        <v>2.5</v>
      </c>
      <c r="K792" s="14" t="s">
        <v>59</v>
      </c>
      <c r="L792" s="14" t="n">
        <v>2017</v>
      </c>
      <c r="M792" s="14" t="n">
        <v>7.3375877435386</v>
      </c>
      <c r="N792" s="14" t="n">
        <v>5.27305083930015</v>
      </c>
      <c r="P792" s="14" t="n">
        <f aca="false">D792</f>
        <v>195</v>
      </c>
      <c r="Q792" s="14" t="n">
        <f aca="false">G792</f>
        <v>29</v>
      </c>
      <c r="R792" s="14" t="n">
        <f aca="false">J792</f>
        <v>2.5</v>
      </c>
      <c r="S792" s="14" t="n">
        <f aca="false">IF($L792=2012,1,0)</f>
        <v>0</v>
      </c>
      <c r="T792" s="14" t="n">
        <f aca="false">IF($L792=2013,1,0)</f>
        <v>0</v>
      </c>
      <c r="U792" s="14" t="n">
        <f aca="false">IF($L792=2014,1,0)</f>
        <v>0</v>
      </c>
      <c r="V792" s="14" t="n">
        <f aca="false">IF($L792=2015,1,0)</f>
        <v>0</v>
      </c>
      <c r="W792" s="14" t="n">
        <f aca="false">IF($L792=2016,1,0)</f>
        <v>0</v>
      </c>
      <c r="X792" s="14" t="n">
        <f aca="false">IF($L792=2017,1,0)</f>
        <v>1</v>
      </c>
      <c r="Y792" s="14" t="n">
        <f aca="false">IF($H792="Beginner Level",1,0)</f>
        <v>1</v>
      </c>
      <c r="Z792" s="14" t="n">
        <f aca="false">IF($H792="Expert Level",1,0)</f>
        <v>0</v>
      </c>
      <c r="AA792" s="14" t="n">
        <f aca="false">IF($H792="Intermediate Level",1,0)</f>
        <v>0</v>
      </c>
      <c r="AC792" s="14" t="n">
        <f aca="false">N792</f>
        <v>5.27305083930015</v>
      </c>
      <c r="AD792" s="14" t="n">
        <f aca="false">G792</f>
        <v>29</v>
      </c>
      <c r="AE792" s="14" t="n">
        <f aca="false">J792</f>
        <v>2.5</v>
      </c>
      <c r="AF792" s="14" t="n">
        <f aca="false">IF($L792=2012,1,0)</f>
        <v>0</v>
      </c>
      <c r="AG792" s="14" t="n">
        <f aca="false">IF($L792=2013,1,0)</f>
        <v>0</v>
      </c>
      <c r="AH792" s="14" t="n">
        <f aca="false">IF($L792=2014,1,0)</f>
        <v>0</v>
      </c>
      <c r="AI792" s="14" t="n">
        <f aca="false">IF($L792=2015,1,0)</f>
        <v>0</v>
      </c>
      <c r="AJ792" s="14" t="n">
        <f aca="false">IF($L792=2016,1,0)</f>
        <v>0</v>
      </c>
      <c r="AK792" s="14" t="n">
        <f aca="false">IF($L792=2017,1,0)</f>
        <v>1</v>
      </c>
      <c r="AL792" s="14" t="n">
        <f aca="false">IF($H792="Beginner Level",1,0)</f>
        <v>1</v>
      </c>
      <c r="AM792" s="14" t="n">
        <f aca="false">IF($H792="Expert Level",1,0)</f>
        <v>0</v>
      </c>
      <c r="AN792" s="14" t="n">
        <f aca="false">IF($H792="Intermediate Level",1,0)</f>
        <v>0</v>
      </c>
    </row>
    <row r="793" customFormat="false" ht="79.85" hidden="false" customHeight="false" outlineLevel="0" collapsed="false">
      <c r="A793" s="14" t="n">
        <v>417914</v>
      </c>
      <c r="B793" s="14" t="s">
        <v>1628</v>
      </c>
      <c r="C793" s="14" t="s">
        <v>1629</v>
      </c>
      <c r="D793" s="14" t="n">
        <v>55</v>
      </c>
      <c r="E793" s="14" t="n">
        <v>1534</v>
      </c>
      <c r="F793" s="14" t="n">
        <v>33</v>
      </c>
      <c r="G793" s="14" t="n">
        <v>18</v>
      </c>
      <c r="H793" s="14" t="s">
        <v>52</v>
      </c>
      <c r="I793" s="14" t="n">
        <v>0.96</v>
      </c>
      <c r="J793" s="14" t="n">
        <v>1.5</v>
      </c>
      <c r="K793" s="14" t="s">
        <v>59</v>
      </c>
      <c r="L793" s="14" t="n">
        <v>2015</v>
      </c>
      <c r="M793" s="14" t="n">
        <v>7.3356339819272</v>
      </c>
      <c r="N793" s="14" t="n">
        <v>4.00751498688737</v>
      </c>
      <c r="P793" s="14" t="n">
        <f aca="false">D793</f>
        <v>55</v>
      </c>
      <c r="Q793" s="14" t="n">
        <f aca="false">G793</f>
        <v>18</v>
      </c>
      <c r="R793" s="14" t="n">
        <f aca="false">J793</f>
        <v>1.5</v>
      </c>
      <c r="S793" s="14" t="n">
        <f aca="false">IF($L793=2012,1,0)</f>
        <v>0</v>
      </c>
      <c r="T793" s="14" t="n">
        <f aca="false">IF($L793=2013,1,0)</f>
        <v>0</v>
      </c>
      <c r="U793" s="14" t="n">
        <f aca="false">IF($L793=2014,1,0)</f>
        <v>0</v>
      </c>
      <c r="V793" s="14" t="n">
        <f aca="false">IF($L793=2015,1,0)</f>
        <v>1</v>
      </c>
      <c r="W793" s="14" t="n">
        <f aca="false">IF($L793=2016,1,0)</f>
        <v>0</v>
      </c>
      <c r="X793" s="14" t="n">
        <f aca="false">IF($L793=2017,1,0)</f>
        <v>0</v>
      </c>
      <c r="Y793" s="14" t="n">
        <f aca="false">IF($H793="Beginner Level",1,0)</f>
        <v>1</v>
      </c>
      <c r="Z793" s="14" t="n">
        <f aca="false">IF($H793="Expert Level",1,0)</f>
        <v>0</v>
      </c>
      <c r="AA793" s="14" t="n">
        <f aca="false">IF($H793="Intermediate Level",1,0)</f>
        <v>0</v>
      </c>
      <c r="AC793" s="14" t="n">
        <f aca="false">N793</f>
        <v>4.00751498688737</v>
      </c>
      <c r="AD793" s="14" t="n">
        <f aca="false">G793</f>
        <v>18</v>
      </c>
      <c r="AE793" s="14" t="n">
        <f aca="false">J793</f>
        <v>1.5</v>
      </c>
      <c r="AF793" s="14" t="n">
        <f aca="false">IF($L793=2012,1,0)</f>
        <v>0</v>
      </c>
      <c r="AG793" s="14" t="n">
        <f aca="false">IF($L793=2013,1,0)</f>
        <v>0</v>
      </c>
      <c r="AH793" s="14" t="n">
        <f aca="false">IF($L793=2014,1,0)</f>
        <v>0</v>
      </c>
      <c r="AI793" s="14" t="n">
        <f aca="false">IF($L793=2015,1,0)</f>
        <v>1</v>
      </c>
      <c r="AJ793" s="14" t="n">
        <f aca="false">IF($L793=2016,1,0)</f>
        <v>0</v>
      </c>
      <c r="AK793" s="14" t="n">
        <f aca="false">IF($L793=2017,1,0)</f>
        <v>0</v>
      </c>
      <c r="AL793" s="14" t="n">
        <f aca="false">IF($H793="Beginner Level",1,0)</f>
        <v>1</v>
      </c>
      <c r="AM793" s="14" t="n">
        <f aca="false">IF($H793="Expert Level",1,0)</f>
        <v>0</v>
      </c>
      <c r="AN793" s="14" t="n">
        <f aca="false">IF($H793="Intermediate Level",1,0)</f>
        <v>0</v>
      </c>
    </row>
    <row r="794" customFormat="false" ht="57.45" hidden="false" customHeight="false" outlineLevel="0" collapsed="false">
      <c r="A794" s="14" t="n">
        <v>253246</v>
      </c>
      <c r="B794" s="14" t="s">
        <v>1630</v>
      </c>
      <c r="C794" s="14" t="s">
        <v>1631</v>
      </c>
      <c r="D794" s="14" t="n">
        <v>75</v>
      </c>
      <c r="E794" s="14" t="n">
        <v>1532</v>
      </c>
      <c r="F794" s="14" t="n">
        <v>19</v>
      </c>
      <c r="G794" s="14" t="n">
        <v>23</v>
      </c>
      <c r="H794" s="14" t="s">
        <v>62</v>
      </c>
      <c r="I794" s="14" t="n">
        <v>0.96</v>
      </c>
      <c r="J794" s="14" t="n">
        <v>2</v>
      </c>
      <c r="K794" s="14" t="s">
        <v>59</v>
      </c>
      <c r="L794" s="14" t="n">
        <v>2014</v>
      </c>
      <c r="M794" s="14" t="n">
        <v>7.33432935030054</v>
      </c>
      <c r="N794" s="14" t="n">
        <v>4.31762143798155</v>
      </c>
      <c r="P794" s="14" t="n">
        <f aca="false">D794</f>
        <v>75</v>
      </c>
      <c r="Q794" s="14" t="n">
        <f aca="false">G794</f>
        <v>23</v>
      </c>
      <c r="R794" s="14" t="n">
        <f aca="false">J794</f>
        <v>2</v>
      </c>
      <c r="S794" s="14" t="n">
        <f aca="false">IF($L794=2012,1,0)</f>
        <v>0</v>
      </c>
      <c r="T794" s="14" t="n">
        <f aca="false">IF($L794=2013,1,0)</f>
        <v>0</v>
      </c>
      <c r="U794" s="14" t="n">
        <f aca="false">IF($L794=2014,1,0)</f>
        <v>1</v>
      </c>
      <c r="V794" s="14" t="n">
        <f aca="false">IF($L794=2015,1,0)</f>
        <v>0</v>
      </c>
      <c r="W794" s="14" t="n">
        <f aca="false">IF($L794=2016,1,0)</f>
        <v>0</v>
      </c>
      <c r="X794" s="14" t="n">
        <f aca="false">IF($L794=2017,1,0)</f>
        <v>0</v>
      </c>
      <c r="Y794" s="14" t="n">
        <f aca="false">IF($H794="Beginner Level",1,0)</f>
        <v>0</v>
      </c>
      <c r="Z794" s="14" t="n">
        <f aca="false">IF($H794="Expert Level",1,0)</f>
        <v>0</v>
      </c>
      <c r="AA794" s="14" t="n">
        <f aca="false">IF($H794="Intermediate Level",1,0)</f>
        <v>0</v>
      </c>
      <c r="AC794" s="14" t="n">
        <f aca="false">N794</f>
        <v>4.31762143798155</v>
      </c>
      <c r="AD794" s="14" t="n">
        <f aca="false">G794</f>
        <v>23</v>
      </c>
      <c r="AE794" s="14" t="n">
        <f aca="false">J794</f>
        <v>2</v>
      </c>
      <c r="AF794" s="14" t="n">
        <f aca="false">IF($L794=2012,1,0)</f>
        <v>0</v>
      </c>
      <c r="AG794" s="14" t="n">
        <f aca="false">IF($L794=2013,1,0)</f>
        <v>0</v>
      </c>
      <c r="AH794" s="14" t="n">
        <f aca="false">IF($L794=2014,1,0)</f>
        <v>1</v>
      </c>
      <c r="AI794" s="14" t="n">
        <f aca="false">IF($L794=2015,1,0)</f>
        <v>0</v>
      </c>
      <c r="AJ794" s="14" t="n">
        <f aca="false">IF($L794=2016,1,0)</f>
        <v>0</v>
      </c>
      <c r="AK794" s="14" t="n">
        <f aca="false">IF($L794=2017,1,0)</f>
        <v>0</v>
      </c>
      <c r="AL794" s="14" t="n">
        <f aca="false">IF($H794="Beginner Level",1,0)</f>
        <v>0</v>
      </c>
      <c r="AM794" s="14" t="n">
        <f aca="false">IF($H794="Expert Level",1,0)</f>
        <v>0</v>
      </c>
      <c r="AN794" s="14" t="n">
        <f aca="false">IF($H794="Intermediate Level",1,0)</f>
        <v>0</v>
      </c>
    </row>
    <row r="795" customFormat="false" ht="79.85" hidden="false" customHeight="false" outlineLevel="0" collapsed="false">
      <c r="A795" s="14" t="n">
        <v>258886</v>
      </c>
      <c r="B795" s="14" t="s">
        <v>1632</v>
      </c>
      <c r="C795" s="14" t="s">
        <v>1633</v>
      </c>
      <c r="D795" s="14" t="n">
        <v>90</v>
      </c>
      <c r="E795" s="14" t="n">
        <v>1526</v>
      </c>
      <c r="F795" s="14" t="n">
        <v>72</v>
      </c>
      <c r="G795" s="14" t="n">
        <v>86</v>
      </c>
      <c r="H795" s="14" t="s">
        <v>52</v>
      </c>
      <c r="I795" s="14" t="n">
        <v>0.96</v>
      </c>
      <c r="J795" s="14" t="n">
        <v>6.5</v>
      </c>
      <c r="K795" s="14" t="s">
        <v>59</v>
      </c>
      <c r="L795" s="14" t="n">
        <v>2015</v>
      </c>
      <c r="M795" s="14" t="n">
        <v>7.3304052118444</v>
      </c>
      <c r="N795" s="14" t="n">
        <v>4.49992077526899</v>
      </c>
      <c r="P795" s="14" t="n">
        <f aca="false">D795</f>
        <v>90</v>
      </c>
      <c r="Q795" s="14" t="n">
        <f aca="false">G795</f>
        <v>86</v>
      </c>
      <c r="R795" s="14" t="n">
        <f aca="false">J795</f>
        <v>6.5</v>
      </c>
      <c r="S795" s="14" t="n">
        <f aca="false">IF($L795=2012,1,0)</f>
        <v>0</v>
      </c>
      <c r="T795" s="14" t="n">
        <f aca="false">IF($L795=2013,1,0)</f>
        <v>0</v>
      </c>
      <c r="U795" s="14" t="n">
        <f aca="false">IF($L795=2014,1,0)</f>
        <v>0</v>
      </c>
      <c r="V795" s="14" t="n">
        <f aca="false">IF($L795=2015,1,0)</f>
        <v>1</v>
      </c>
      <c r="W795" s="14" t="n">
        <f aca="false">IF($L795=2016,1,0)</f>
        <v>0</v>
      </c>
      <c r="X795" s="14" t="n">
        <f aca="false">IF($L795=2017,1,0)</f>
        <v>0</v>
      </c>
      <c r="Y795" s="14" t="n">
        <f aca="false">IF($H795="Beginner Level",1,0)</f>
        <v>1</v>
      </c>
      <c r="Z795" s="14" t="n">
        <f aca="false">IF($H795="Expert Level",1,0)</f>
        <v>0</v>
      </c>
      <c r="AA795" s="14" t="n">
        <f aca="false">IF($H795="Intermediate Level",1,0)</f>
        <v>0</v>
      </c>
      <c r="AC795" s="14" t="n">
        <f aca="false">N795</f>
        <v>4.49992077526899</v>
      </c>
      <c r="AD795" s="14" t="n">
        <f aca="false">G795</f>
        <v>86</v>
      </c>
      <c r="AE795" s="14" t="n">
        <f aca="false">J795</f>
        <v>6.5</v>
      </c>
      <c r="AF795" s="14" t="n">
        <f aca="false">IF($L795=2012,1,0)</f>
        <v>0</v>
      </c>
      <c r="AG795" s="14" t="n">
        <f aca="false">IF($L795=2013,1,0)</f>
        <v>0</v>
      </c>
      <c r="AH795" s="14" t="n">
        <f aca="false">IF($L795=2014,1,0)</f>
        <v>0</v>
      </c>
      <c r="AI795" s="14" t="n">
        <f aca="false">IF($L795=2015,1,0)</f>
        <v>1</v>
      </c>
      <c r="AJ795" s="14" t="n">
        <f aca="false">IF($L795=2016,1,0)</f>
        <v>0</v>
      </c>
      <c r="AK795" s="14" t="n">
        <f aca="false">IF($L795=2017,1,0)</f>
        <v>0</v>
      </c>
      <c r="AL795" s="14" t="n">
        <f aca="false">IF($H795="Beginner Level",1,0)</f>
        <v>1</v>
      </c>
      <c r="AM795" s="14" t="n">
        <f aca="false">IF($H795="Expert Level",1,0)</f>
        <v>0</v>
      </c>
      <c r="AN795" s="14" t="n">
        <f aca="false">IF($H795="Intermediate Level",1,0)</f>
        <v>0</v>
      </c>
    </row>
    <row r="796" customFormat="false" ht="35.05" hidden="false" customHeight="false" outlineLevel="0" collapsed="false">
      <c r="A796" s="14" t="n">
        <v>895096</v>
      </c>
      <c r="B796" s="14" t="s">
        <v>1634</v>
      </c>
      <c r="C796" s="14" t="s">
        <v>1635</v>
      </c>
      <c r="D796" s="14" t="n">
        <v>20</v>
      </c>
      <c r="E796" s="14" t="n">
        <v>1525</v>
      </c>
      <c r="F796" s="14" t="n">
        <v>43</v>
      </c>
      <c r="G796" s="14" t="n">
        <v>65</v>
      </c>
      <c r="H796" s="14" t="s">
        <v>71</v>
      </c>
      <c r="I796" s="14" t="n">
        <v>0.96</v>
      </c>
      <c r="J796" s="14" t="n">
        <v>2.5</v>
      </c>
      <c r="K796" s="14" t="s">
        <v>59</v>
      </c>
      <c r="L796" s="14" t="n">
        <v>2016</v>
      </c>
      <c r="M796" s="14" t="n">
        <v>7.32974968904151</v>
      </c>
      <c r="N796" s="14" t="n">
        <v>2.99623214859564</v>
      </c>
      <c r="P796" s="14" t="n">
        <f aca="false">D796</f>
        <v>20</v>
      </c>
      <c r="Q796" s="14" t="n">
        <f aca="false">G796</f>
        <v>65</v>
      </c>
      <c r="R796" s="14" t="n">
        <f aca="false">J796</f>
        <v>2.5</v>
      </c>
      <c r="S796" s="14" t="n">
        <f aca="false">IF($L796=2012,1,0)</f>
        <v>0</v>
      </c>
      <c r="T796" s="14" t="n">
        <f aca="false">IF($L796=2013,1,0)</f>
        <v>0</v>
      </c>
      <c r="U796" s="14" t="n">
        <f aca="false">IF($L796=2014,1,0)</f>
        <v>0</v>
      </c>
      <c r="V796" s="14" t="n">
        <f aca="false">IF($L796=2015,1,0)</f>
        <v>0</v>
      </c>
      <c r="W796" s="14" t="n">
        <f aca="false">IF($L796=2016,1,0)</f>
        <v>1</v>
      </c>
      <c r="X796" s="14" t="n">
        <f aca="false">IF($L796=2017,1,0)</f>
        <v>0</v>
      </c>
      <c r="Y796" s="14" t="n">
        <f aca="false">IF($H796="Beginner Level",1,0)</f>
        <v>0</v>
      </c>
      <c r="Z796" s="14" t="n">
        <f aca="false">IF($H796="Expert Level",1,0)</f>
        <v>0</v>
      </c>
      <c r="AA796" s="14" t="n">
        <f aca="false">IF($H796="Intermediate Level",1,0)</f>
        <v>1</v>
      </c>
      <c r="AC796" s="14" t="n">
        <f aca="false">N796</f>
        <v>2.99623214859564</v>
      </c>
      <c r="AD796" s="14" t="n">
        <f aca="false">G796</f>
        <v>65</v>
      </c>
      <c r="AE796" s="14" t="n">
        <f aca="false">J796</f>
        <v>2.5</v>
      </c>
      <c r="AF796" s="14" t="n">
        <f aca="false">IF($L796=2012,1,0)</f>
        <v>0</v>
      </c>
      <c r="AG796" s="14" t="n">
        <f aca="false">IF($L796=2013,1,0)</f>
        <v>0</v>
      </c>
      <c r="AH796" s="14" t="n">
        <f aca="false">IF($L796=2014,1,0)</f>
        <v>0</v>
      </c>
      <c r="AI796" s="14" t="n">
        <f aca="false">IF($L796=2015,1,0)</f>
        <v>0</v>
      </c>
      <c r="AJ796" s="14" t="n">
        <f aca="false">IF($L796=2016,1,0)</f>
        <v>1</v>
      </c>
      <c r="AK796" s="14" t="n">
        <f aca="false">IF($L796=2017,1,0)</f>
        <v>0</v>
      </c>
      <c r="AL796" s="14" t="n">
        <f aca="false">IF($H796="Beginner Level",1,0)</f>
        <v>0</v>
      </c>
      <c r="AM796" s="14" t="n">
        <f aca="false">IF($H796="Expert Level",1,0)</f>
        <v>0</v>
      </c>
      <c r="AN796" s="14" t="n">
        <f aca="false">IF($H796="Intermediate Level",1,0)</f>
        <v>1</v>
      </c>
    </row>
    <row r="797" customFormat="false" ht="57.45" hidden="false" customHeight="false" outlineLevel="0" collapsed="false">
      <c r="A797" s="14" t="n">
        <v>1030440</v>
      </c>
      <c r="B797" s="14" t="s">
        <v>1636</v>
      </c>
      <c r="C797" s="14" t="s">
        <v>1637</v>
      </c>
      <c r="D797" s="14" t="n">
        <v>20</v>
      </c>
      <c r="E797" s="14" t="n">
        <v>1520</v>
      </c>
      <c r="F797" s="14" t="n">
        <v>34</v>
      </c>
      <c r="G797" s="14" t="n">
        <v>23</v>
      </c>
      <c r="H797" s="14" t="s">
        <v>71</v>
      </c>
      <c r="I797" s="14" t="n">
        <v>0.96</v>
      </c>
      <c r="J797" s="14" t="n">
        <v>2</v>
      </c>
      <c r="K797" s="14" t="s">
        <v>59</v>
      </c>
      <c r="L797" s="14" t="n">
        <v>2017</v>
      </c>
      <c r="M797" s="14" t="n">
        <v>7.32646561384032</v>
      </c>
      <c r="N797" s="14" t="n">
        <v>2.99623214859564</v>
      </c>
      <c r="P797" s="14" t="n">
        <f aca="false">D797</f>
        <v>20</v>
      </c>
      <c r="Q797" s="14" t="n">
        <f aca="false">G797</f>
        <v>23</v>
      </c>
      <c r="R797" s="14" t="n">
        <f aca="false">J797</f>
        <v>2</v>
      </c>
      <c r="S797" s="14" t="n">
        <f aca="false">IF($L797=2012,1,0)</f>
        <v>0</v>
      </c>
      <c r="T797" s="14" t="n">
        <f aca="false">IF($L797=2013,1,0)</f>
        <v>0</v>
      </c>
      <c r="U797" s="14" t="n">
        <f aca="false">IF($L797=2014,1,0)</f>
        <v>0</v>
      </c>
      <c r="V797" s="14" t="n">
        <f aca="false">IF($L797=2015,1,0)</f>
        <v>0</v>
      </c>
      <c r="W797" s="14" t="n">
        <f aca="false">IF($L797=2016,1,0)</f>
        <v>0</v>
      </c>
      <c r="X797" s="14" t="n">
        <f aca="false">IF($L797=2017,1,0)</f>
        <v>1</v>
      </c>
      <c r="Y797" s="14" t="n">
        <f aca="false">IF($H797="Beginner Level",1,0)</f>
        <v>0</v>
      </c>
      <c r="Z797" s="14" t="n">
        <f aca="false">IF($H797="Expert Level",1,0)</f>
        <v>0</v>
      </c>
      <c r="AA797" s="14" t="n">
        <f aca="false">IF($H797="Intermediate Level",1,0)</f>
        <v>1</v>
      </c>
      <c r="AC797" s="14" t="n">
        <f aca="false">N797</f>
        <v>2.99623214859564</v>
      </c>
      <c r="AD797" s="14" t="n">
        <f aca="false">G797</f>
        <v>23</v>
      </c>
      <c r="AE797" s="14" t="n">
        <f aca="false">J797</f>
        <v>2</v>
      </c>
      <c r="AF797" s="14" t="n">
        <f aca="false">IF($L797=2012,1,0)</f>
        <v>0</v>
      </c>
      <c r="AG797" s="14" t="n">
        <f aca="false">IF($L797=2013,1,0)</f>
        <v>0</v>
      </c>
      <c r="AH797" s="14" t="n">
        <f aca="false">IF($L797=2014,1,0)</f>
        <v>0</v>
      </c>
      <c r="AI797" s="14" t="n">
        <f aca="false">IF($L797=2015,1,0)</f>
        <v>0</v>
      </c>
      <c r="AJ797" s="14" t="n">
        <f aca="false">IF($L797=2016,1,0)</f>
        <v>0</v>
      </c>
      <c r="AK797" s="14" t="n">
        <f aca="false">IF($L797=2017,1,0)</f>
        <v>1</v>
      </c>
      <c r="AL797" s="14" t="n">
        <f aca="false">IF($H797="Beginner Level",1,0)</f>
        <v>0</v>
      </c>
      <c r="AM797" s="14" t="n">
        <f aca="false">IF($H797="Expert Level",1,0)</f>
        <v>0</v>
      </c>
      <c r="AN797" s="14" t="n">
        <f aca="false">IF($H797="Intermediate Level",1,0)</f>
        <v>1</v>
      </c>
    </row>
    <row r="798" customFormat="false" ht="46.25" hidden="false" customHeight="false" outlineLevel="0" collapsed="false">
      <c r="A798" s="14" t="n">
        <v>56259</v>
      </c>
      <c r="B798" s="14" t="s">
        <v>1638</v>
      </c>
      <c r="C798" s="14" t="s">
        <v>1639</v>
      </c>
      <c r="D798" s="14" t="n">
        <v>25</v>
      </c>
      <c r="E798" s="14" t="n">
        <v>1520</v>
      </c>
      <c r="F798" s="14" t="n">
        <v>21</v>
      </c>
      <c r="G798" s="14" t="n">
        <v>52</v>
      </c>
      <c r="H798" s="14" t="s">
        <v>62</v>
      </c>
      <c r="I798" s="14" t="n">
        <v>0.96</v>
      </c>
      <c r="J798" s="14" t="n">
        <v>10.5</v>
      </c>
      <c r="K798" s="14" t="s">
        <v>59</v>
      </c>
      <c r="L798" s="14" t="n">
        <v>2013</v>
      </c>
      <c r="M798" s="14" t="n">
        <v>7.32646561384032</v>
      </c>
      <c r="N798" s="14" t="n">
        <v>3.21927574488953</v>
      </c>
      <c r="P798" s="14" t="n">
        <f aca="false">D798</f>
        <v>25</v>
      </c>
      <c r="Q798" s="14" t="n">
        <f aca="false">G798</f>
        <v>52</v>
      </c>
      <c r="R798" s="14" t="n">
        <f aca="false">J798</f>
        <v>10.5</v>
      </c>
      <c r="S798" s="14" t="n">
        <f aca="false">IF($L798=2012,1,0)</f>
        <v>0</v>
      </c>
      <c r="T798" s="14" t="n">
        <f aca="false">IF($L798=2013,1,0)</f>
        <v>1</v>
      </c>
      <c r="U798" s="14" t="n">
        <f aca="false">IF($L798=2014,1,0)</f>
        <v>0</v>
      </c>
      <c r="V798" s="14" t="n">
        <f aca="false">IF($L798=2015,1,0)</f>
        <v>0</v>
      </c>
      <c r="W798" s="14" t="n">
        <f aca="false">IF($L798=2016,1,0)</f>
        <v>0</v>
      </c>
      <c r="X798" s="14" t="n">
        <f aca="false">IF($L798=2017,1,0)</f>
        <v>0</v>
      </c>
      <c r="Y798" s="14" t="n">
        <f aca="false">IF($H798="Beginner Level",1,0)</f>
        <v>0</v>
      </c>
      <c r="Z798" s="14" t="n">
        <f aca="false">IF($H798="Expert Level",1,0)</f>
        <v>0</v>
      </c>
      <c r="AA798" s="14" t="n">
        <f aca="false">IF($H798="Intermediate Level",1,0)</f>
        <v>0</v>
      </c>
      <c r="AC798" s="14" t="n">
        <f aca="false">N798</f>
        <v>3.21927574488953</v>
      </c>
      <c r="AD798" s="14" t="n">
        <f aca="false">G798</f>
        <v>52</v>
      </c>
      <c r="AE798" s="14" t="n">
        <f aca="false">J798</f>
        <v>10.5</v>
      </c>
      <c r="AF798" s="14" t="n">
        <f aca="false">IF($L798=2012,1,0)</f>
        <v>0</v>
      </c>
      <c r="AG798" s="14" t="n">
        <f aca="false">IF($L798=2013,1,0)</f>
        <v>1</v>
      </c>
      <c r="AH798" s="14" t="n">
        <f aca="false">IF($L798=2014,1,0)</f>
        <v>0</v>
      </c>
      <c r="AI798" s="14" t="n">
        <f aca="false">IF($L798=2015,1,0)</f>
        <v>0</v>
      </c>
      <c r="AJ798" s="14" t="n">
        <f aca="false">IF($L798=2016,1,0)</f>
        <v>0</v>
      </c>
      <c r="AK798" s="14" t="n">
        <f aca="false">IF($L798=2017,1,0)</f>
        <v>0</v>
      </c>
      <c r="AL798" s="14" t="n">
        <f aca="false">IF($H798="Beginner Level",1,0)</f>
        <v>0</v>
      </c>
      <c r="AM798" s="14" t="n">
        <f aca="false">IF($H798="Expert Level",1,0)</f>
        <v>0</v>
      </c>
      <c r="AN798" s="14" t="n">
        <f aca="false">IF($H798="Intermediate Level",1,0)</f>
        <v>0</v>
      </c>
    </row>
    <row r="799" customFormat="false" ht="46.25" hidden="false" customHeight="false" outlineLevel="0" collapsed="false">
      <c r="A799" s="14" t="n">
        <v>1170690</v>
      </c>
      <c r="B799" s="14" t="s">
        <v>1640</v>
      </c>
      <c r="C799" s="14" t="s">
        <v>1641</v>
      </c>
      <c r="D799" s="14" t="n">
        <v>0</v>
      </c>
      <c r="E799" s="14" t="n">
        <v>1519</v>
      </c>
      <c r="F799" s="14" t="n">
        <v>28</v>
      </c>
      <c r="G799" s="14" t="n">
        <v>20</v>
      </c>
      <c r="H799" s="14" t="s">
        <v>52</v>
      </c>
      <c r="I799" s="14" t="n">
        <v>0.96</v>
      </c>
      <c r="J799" s="14" t="n">
        <v>1</v>
      </c>
      <c r="K799" s="14" t="s">
        <v>53</v>
      </c>
      <c r="L799" s="14" t="n">
        <v>2017</v>
      </c>
      <c r="M799" s="14" t="n">
        <v>7.32580750259577</v>
      </c>
      <c r="N799" s="14" t="n">
        <v>-4.60517018598809</v>
      </c>
      <c r="P799" s="14" t="n">
        <f aca="false">D799</f>
        <v>0</v>
      </c>
      <c r="Q799" s="14" t="n">
        <f aca="false">G799</f>
        <v>20</v>
      </c>
      <c r="R799" s="14" t="n">
        <f aca="false">J799</f>
        <v>1</v>
      </c>
      <c r="S799" s="14" t="n">
        <f aca="false">IF($L799=2012,1,0)</f>
        <v>0</v>
      </c>
      <c r="T799" s="14" t="n">
        <f aca="false">IF($L799=2013,1,0)</f>
        <v>0</v>
      </c>
      <c r="U799" s="14" t="n">
        <f aca="false">IF($L799=2014,1,0)</f>
        <v>0</v>
      </c>
      <c r="V799" s="14" t="n">
        <f aca="false">IF($L799=2015,1,0)</f>
        <v>0</v>
      </c>
      <c r="W799" s="14" t="n">
        <f aca="false">IF($L799=2016,1,0)</f>
        <v>0</v>
      </c>
      <c r="X799" s="14" t="n">
        <f aca="false">IF($L799=2017,1,0)</f>
        <v>1</v>
      </c>
      <c r="Y799" s="14" t="n">
        <f aca="false">IF($H799="Beginner Level",1,0)</f>
        <v>1</v>
      </c>
      <c r="Z799" s="14" t="n">
        <f aca="false">IF($H799="Expert Level",1,0)</f>
        <v>0</v>
      </c>
      <c r="AA799" s="14" t="n">
        <f aca="false">IF($H799="Intermediate Level",1,0)</f>
        <v>0</v>
      </c>
      <c r="AC799" s="14" t="n">
        <f aca="false">N799</f>
        <v>-4.60517018598809</v>
      </c>
      <c r="AD799" s="14" t="n">
        <f aca="false">G799</f>
        <v>20</v>
      </c>
      <c r="AE799" s="14" t="n">
        <f aca="false">J799</f>
        <v>1</v>
      </c>
      <c r="AF799" s="14" t="n">
        <f aca="false">IF($L799=2012,1,0)</f>
        <v>0</v>
      </c>
      <c r="AG799" s="14" t="n">
        <f aca="false">IF($L799=2013,1,0)</f>
        <v>0</v>
      </c>
      <c r="AH799" s="14" t="n">
        <f aca="false">IF($L799=2014,1,0)</f>
        <v>0</v>
      </c>
      <c r="AI799" s="14" t="n">
        <f aca="false">IF($L799=2015,1,0)</f>
        <v>0</v>
      </c>
      <c r="AJ799" s="14" t="n">
        <f aca="false">IF($L799=2016,1,0)</f>
        <v>0</v>
      </c>
      <c r="AK799" s="14" t="n">
        <f aca="false">IF($L799=2017,1,0)</f>
        <v>1</v>
      </c>
      <c r="AL799" s="14" t="n">
        <f aca="false">IF($H799="Beginner Level",1,0)</f>
        <v>1</v>
      </c>
      <c r="AM799" s="14" t="n">
        <f aca="false">IF($H799="Expert Level",1,0)</f>
        <v>0</v>
      </c>
      <c r="AN799" s="14" t="n">
        <f aca="false">IF($H799="Intermediate Level",1,0)</f>
        <v>0</v>
      </c>
    </row>
    <row r="800" customFormat="false" ht="68.65" hidden="false" customHeight="false" outlineLevel="0" collapsed="false">
      <c r="A800" s="14" t="n">
        <v>382258</v>
      </c>
      <c r="B800" s="14" t="s">
        <v>1642</v>
      </c>
      <c r="C800" s="14" t="s">
        <v>1643</v>
      </c>
      <c r="D800" s="14" t="n">
        <v>100</v>
      </c>
      <c r="E800" s="14" t="n">
        <v>1518</v>
      </c>
      <c r="F800" s="14" t="n">
        <v>55</v>
      </c>
      <c r="G800" s="14" t="n">
        <v>122</v>
      </c>
      <c r="H800" s="14" t="s">
        <v>62</v>
      </c>
      <c r="I800" s="14" t="n">
        <v>0.96</v>
      </c>
      <c r="J800" s="14" t="n">
        <v>19</v>
      </c>
      <c r="K800" s="14" t="s">
        <v>59</v>
      </c>
      <c r="L800" s="14" t="n">
        <v>2015</v>
      </c>
      <c r="M800" s="14" t="n">
        <v>7.32514895795558</v>
      </c>
      <c r="N800" s="14" t="n">
        <v>4.60527018098843</v>
      </c>
      <c r="P800" s="14" t="n">
        <f aca="false">D800</f>
        <v>100</v>
      </c>
      <c r="Q800" s="14" t="n">
        <f aca="false">G800</f>
        <v>122</v>
      </c>
      <c r="R800" s="14" t="n">
        <f aca="false">J800</f>
        <v>19</v>
      </c>
      <c r="S800" s="14" t="n">
        <f aca="false">IF($L800=2012,1,0)</f>
        <v>0</v>
      </c>
      <c r="T800" s="14" t="n">
        <f aca="false">IF($L800=2013,1,0)</f>
        <v>0</v>
      </c>
      <c r="U800" s="14" t="n">
        <f aca="false">IF($L800=2014,1,0)</f>
        <v>0</v>
      </c>
      <c r="V800" s="14" t="n">
        <f aca="false">IF($L800=2015,1,0)</f>
        <v>1</v>
      </c>
      <c r="W800" s="14" t="n">
        <f aca="false">IF($L800=2016,1,0)</f>
        <v>0</v>
      </c>
      <c r="X800" s="14" t="n">
        <f aca="false">IF($L800=2017,1,0)</f>
        <v>0</v>
      </c>
      <c r="Y800" s="14" t="n">
        <f aca="false">IF($H800="Beginner Level",1,0)</f>
        <v>0</v>
      </c>
      <c r="Z800" s="14" t="n">
        <f aca="false">IF($H800="Expert Level",1,0)</f>
        <v>0</v>
      </c>
      <c r="AA800" s="14" t="n">
        <f aca="false">IF($H800="Intermediate Level",1,0)</f>
        <v>0</v>
      </c>
      <c r="AC800" s="14" t="n">
        <f aca="false">N800</f>
        <v>4.60527018098843</v>
      </c>
      <c r="AD800" s="14" t="n">
        <f aca="false">G800</f>
        <v>122</v>
      </c>
      <c r="AE800" s="14" t="n">
        <f aca="false">J800</f>
        <v>19</v>
      </c>
      <c r="AF800" s="14" t="n">
        <f aca="false">IF($L800=2012,1,0)</f>
        <v>0</v>
      </c>
      <c r="AG800" s="14" t="n">
        <f aca="false">IF($L800=2013,1,0)</f>
        <v>0</v>
      </c>
      <c r="AH800" s="14" t="n">
        <f aca="false">IF($L800=2014,1,0)</f>
        <v>0</v>
      </c>
      <c r="AI800" s="14" t="n">
        <f aca="false">IF($L800=2015,1,0)</f>
        <v>1</v>
      </c>
      <c r="AJ800" s="14" t="n">
        <f aca="false">IF($L800=2016,1,0)</f>
        <v>0</v>
      </c>
      <c r="AK800" s="14" t="n">
        <f aca="false">IF($L800=2017,1,0)</f>
        <v>0</v>
      </c>
      <c r="AL800" s="14" t="n">
        <f aca="false">IF($H800="Beginner Level",1,0)</f>
        <v>0</v>
      </c>
      <c r="AM800" s="14" t="n">
        <f aca="false">IF($H800="Expert Level",1,0)</f>
        <v>0</v>
      </c>
      <c r="AN800" s="14" t="n">
        <f aca="false">IF($H800="Intermediate Level",1,0)</f>
        <v>0</v>
      </c>
    </row>
    <row r="801" customFormat="false" ht="57.45" hidden="false" customHeight="false" outlineLevel="0" collapsed="false">
      <c r="A801" s="14" t="n">
        <v>235104</v>
      </c>
      <c r="B801" s="14" t="s">
        <v>1644</v>
      </c>
      <c r="C801" s="14" t="s">
        <v>1645</v>
      </c>
      <c r="D801" s="14" t="n">
        <v>20</v>
      </c>
      <c r="E801" s="14" t="n">
        <v>1517</v>
      </c>
      <c r="F801" s="14" t="n">
        <v>4</v>
      </c>
      <c r="G801" s="14" t="n">
        <v>12</v>
      </c>
      <c r="H801" s="14" t="s">
        <v>52</v>
      </c>
      <c r="I801" s="14" t="n">
        <v>0.96</v>
      </c>
      <c r="J801" s="14" t="n">
        <v>1</v>
      </c>
      <c r="K801" s="14" t="s">
        <v>59</v>
      </c>
      <c r="L801" s="14" t="n">
        <v>2014</v>
      </c>
      <c r="M801" s="14" t="n">
        <v>7.32448997934853</v>
      </c>
      <c r="N801" s="14" t="n">
        <v>2.99623214859564</v>
      </c>
      <c r="P801" s="14" t="n">
        <f aca="false">D801</f>
        <v>20</v>
      </c>
      <c r="Q801" s="14" t="n">
        <f aca="false">G801</f>
        <v>12</v>
      </c>
      <c r="R801" s="14" t="n">
        <f aca="false">J801</f>
        <v>1</v>
      </c>
      <c r="S801" s="14" t="n">
        <f aca="false">IF($L801=2012,1,0)</f>
        <v>0</v>
      </c>
      <c r="T801" s="14" t="n">
        <f aca="false">IF($L801=2013,1,0)</f>
        <v>0</v>
      </c>
      <c r="U801" s="14" t="n">
        <f aca="false">IF($L801=2014,1,0)</f>
        <v>1</v>
      </c>
      <c r="V801" s="14" t="n">
        <f aca="false">IF($L801=2015,1,0)</f>
        <v>0</v>
      </c>
      <c r="W801" s="14" t="n">
        <f aca="false">IF($L801=2016,1,0)</f>
        <v>0</v>
      </c>
      <c r="X801" s="14" t="n">
        <f aca="false">IF($L801=2017,1,0)</f>
        <v>0</v>
      </c>
      <c r="Y801" s="14" t="n">
        <f aca="false">IF($H801="Beginner Level",1,0)</f>
        <v>1</v>
      </c>
      <c r="Z801" s="14" t="n">
        <f aca="false">IF($H801="Expert Level",1,0)</f>
        <v>0</v>
      </c>
      <c r="AA801" s="14" t="n">
        <f aca="false">IF($H801="Intermediate Level",1,0)</f>
        <v>0</v>
      </c>
      <c r="AC801" s="14" t="n">
        <f aca="false">N801</f>
        <v>2.99623214859564</v>
      </c>
      <c r="AD801" s="14" t="n">
        <f aca="false">G801</f>
        <v>12</v>
      </c>
      <c r="AE801" s="14" t="n">
        <f aca="false">J801</f>
        <v>1</v>
      </c>
      <c r="AF801" s="14" t="n">
        <f aca="false">IF($L801=2012,1,0)</f>
        <v>0</v>
      </c>
      <c r="AG801" s="14" t="n">
        <f aca="false">IF($L801=2013,1,0)</f>
        <v>0</v>
      </c>
      <c r="AH801" s="14" t="n">
        <f aca="false">IF($L801=2014,1,0)</f>
        <v>1</v>
      </c>
      <c r="AI801" s="14" t="n">
        <f aca="false">IF($L801=2015,1,0)</f>
        <v>0</v>
      </c>
      <c r="AJ801" s="14" t="n">
        <f aca="false">IF($L801=2016,1,0)</f>
        <v>0</v>
      </c>
      <c r="AK801" s="14" t="n">
        <f aca="false">IF($L801=2017,1,0)</f>
        <v>0</v>
      </c>
      <c r="AL801" s="14" t="n">
        <f aca="false">IF($H801="Beginner Level",1,0)</f>
        <v>1</v>
      </c>
      <c r="AM801" s="14" t="n">
        <f aca="false">IF($H801="Expert Level",1,0)</f>
        <v>0</v>
      </c>
      <c r="AN801" s="14" t="n">
        <f aca="false">IF($H801="Intermediate Level",1,0)</f>
        <v>0</v>
      </c>
    </row>
    <row r="802" customFormat="false" ht="57.45" hidden="false" customHeight="false" outlineLevel="0" collapsed="false">
      <c r="A802" s="14" t="n">
        <v>936182</v>
      </c>
      <c r="B802" s="14" t="s">
        <v>1646</v>
      </c>
      <c r="C802" s="14" t="s">
        <v>1647</v>
      </c>
      <c r="D802" s="14" t="n">
        <v>50</v>
      </c>
      <c r="E802" s="14" t="n">
        <v>1515</v>
      </c>
      <c r="F802" s="14" t="n">
        <v>32</v>
      </c>
      <c r="G802" s="14" t="n">
        <v>60</v>
      </c>
      <c r="H802" s="14" t="s">
        <v>62</v>
      </c>
      <c r="I802" s="14" t="n">
        <v>0.96</v>
      </c>
      <c r="J802" s="14" t="n">
        <v>7</v>
      </c>
      <c r="K802" s="14" t="s">
        <v>59</v>
      </c>
      <c r="L802" s="14" t="n">
        <v>2016</v>
      </c>
      <c r="M802" s="14" t="n">
        <v>7.32317071794347</v>
      </c>
      <c r="N802" s="14" t="n">
        <v>3.91222298543081</v>
      </c>
      <c r="P802" s="14" t="n">
        <f aca="false">D802</f>
        <v>50</v>
      </c>
      <c r="Q802" s="14" t="n">
        <f aca="false">G802</f>
        <v>60</v>
      </c>
      <c r="R802" s="14" t="n">
        <f aca="false">J802</f>
        <v>7</v>
      </c>
      <c r="S802" s="14" t="n">
        <f aca="false">IF($L802=2012,1,0)</f>
        <v>0</v>
      </c>
      <c r="T802" s="14" t="n">
        <f aca="false">IF($L802=2013,1,0)</f>
        <v>0</v>
      </c>
      <c r="U802" s="14" t="n">
        <f aca="false">IF($L802=2014,1,0)</f>
        <v>0</v>
      </c>
      <c r="V802" s="14" t="n">
        <f aca="false">IF($L802=2015,1,0)</f>
        <v>0</v>
      </c>
      <c r="W802" s="14" t="n">
        <f aca="false">IF($L802=2016,1,0)</f>
        <v>1</v>
      </c>
      <c r="X802" s="14" t="n">
        <f aca="false">IF($L802=2017,1,0)</f>
        <v>0</v>
      </c>
      <c r="Y802" s="14" t="n">
        <f aca="false">IF($H802="Beginner Level",1,0)</f>
        <v>0</v>
      </c>
      <c r="Z802" s="14" t="n">
        <f aca="false">IF($H802="Expert Level",1,0)</f>
        <v>0</v>
      </c>
      <c r="AA802" s="14" t="n">
        <f aca="false">IF($H802="Intermediate Level",1,0)</f>
        <v>0</v>
      </c>
      <c r="AC802" s="14" t="n">
        <f aca="false">N802</f>
        <v>3.91222298543081</v>
      </c>
      <c r="AD802" s="14" t="n">
        <f aca="false">G802</f>
        <v>60</v>
      </c>
      <c r="AE802" s="14" t="n">
        <f aca="false">J802</f>
        <v>7</v>
      </c>
      <c r="AF802" s="14" t="n">
        <f aca="false">IF($L802=2012,1,0)</f>
        <v>0</v>
      </c>
      <c r="AG802" s="14" t="n">
        <f aca="false">IF($L802=2013,1,0)</f>
        <v>0</v>
      </c>
      <c r="AH802" s="14" t="n">
        <f aca="false">IF($L802=2014,1,0)</f>
        <v>0</v>
      </c>
      <c r="AI802" s="14" t="n">
        <f aca="false">IF($L802=2015,1,0)</f>
        <v>0</v>
      </c>
      <c r="AJ802" s="14" t="n">
        <f aca="false">IF($L802=2016,1,0)</f>
        <v>1</v>
      </c>
      <c r="AK802" s="14" t="n">
        <f aca="false">IF($L802=2017,1,0)</f>
        <v>0</v>
      </c>
      <c r="AL802" s="14" t="n">
        <f aca="false">IF($H802="Beginner Level",1,0)</f>
        <v>0</v>
      </c>
      <c r="AM802" s="14" t="n">
        <f aca="false">IF($H802="Expert Level",1,0)</f>
        <v>0</v>
      </c>
      <c r="AN802" s="14" t="n">
        <f aca="false">IF($H802="Intermediate Level",1,0)</f>
        <v>0</v>
      </c>
    </row>
    <row r="803" customFormat="false" ht="68.65" hidden="false" customHeight="false" outlineLevel="0" collapsed="false">
      <c r="A803" s="14" t="n">
        <v>948440</v>
      </c>
      <c r="B803" s="14" t="s">
        <v>1648</v>
      </c>
      <c r="C803" s="14" t="s">
        <v>1649</v>
      </c>
      <c r="D803" s="14" t="n">
        <v>40</v>
      </c>
      <c r="E803" s="14" t="n">
        <v>1502</v>
      </c>
      <c r="F803" s="14" t="n">
        <v>218</v>
      </c>
      <c r="G803" s="14" t="n">
        <v>49</v>
      </c>
      <c r="H803" s="14" t="s">
        <v>62</v>
      </c>
      <c r="I803" s="14" t="n">
        <v>0.96</v>
      </c>
      <c r="J803" s="14" t="n">
        <v>6</v>
      </c>
      <c r="K803" s="14" t="s">
        <v>59</v>
      </c>
      <c r="L803" s="14" t="n">
        <v>2016</v>
      </c>
      <c r="M803" s="14" t="n">
        <v>7.31455283232408</v>
      </c>
      <c r="N803" s="14" t="n">
        <v>3.68912942286914</v>
      </c>
      <c r="P803" s="14" t="n">
        <f aca="false">D803</f>
        <v>40</v>
      </c>
      <c r="Q803" s="14" t="n">
        <f aca="false">G803</f>
        <v>49</v>
      </c>
      <c r="R803" s="14" t="n">
        <f aca="false">J803</f>
        <v>6</v>
      </c>
      <c r="S803" s="14" t="n">
        <f aca="false">IF($L803=2012,1,0)</f>
        <v>0</v>
      </c>
      <c r="T803" s="14" t="n">
        <f aca="false">IF($L803=2013,1,0)</f>
        <v>0</v>
      </c>
      <c r="U803" s="14" t="n">
        <f aca="false">IF($L803=2014,1,0)</f>
        <v>0</v>
      </c>
      <c r="V803" s="14" t="n">
        <f aca="false">IF($L803=2015,1,0)</f>
        <v>0</v>
      </c>
      <c r="W803" s="14" t="n">
        <f aca="false">IF($L803=2016,1,0)</f>
        <v>1</v>
      </c>
      <c r="X803" s="14" t="n">
        <f aca="false">IF($L803=2017,1,0)</f>
        <v>0</v>
      </c>
      <c r="Y803" s="14" t="n">
        <f aca="false">IF($H803="Beginner Level",1,0)</f>
        <v>0</v>
      </c>
      <c r="Z803" s="14" t="n">
        <f aca="false">IF($H803="Expert Level",1,0)</f>
        <v>0</v>
      </c>
      <c r="AA803" s="14" t="n">
        <f aca="false">IF($H803="Intermediate Level",1,0)</f>
        <v>0</v>
      </c>
      <c r="AC803" s="14" t="n">
        <f aca="false">N803</f>
        <v>3.68912942286914</v>
      </c>
      <c r="AD803" s="14" t="n">
        <f aca="false">G803</f>
        <v>49</v>
      </c>
      <c r="AE803" s="14" t="n">
        <f aca="false">J803</f>
        <v>6</v>
      </c>
      <c r="AF803" s="14" t="n">
        <f aca="false">IF($L803=2012,1,0)</f>
        <v>0</v>
      </c>
      <c r="AG803" s="14" t="n">
        <f aca="false">IF($L803=2013,1,0)</f>
        <v>0</v>
      </c>
      <c r="AH803" s="14" t="n">
        <f aca="false">IF($L803=2014,1,0)</f>
        <v>0</v>
      </c>
      <c r="AI803" s="14" t="n">
        <f aca="false">IF($L803=2015,1,0)</f>
        <v>0</v>
      </c>
      <c r="AJ803" s="14" t="n">
        <f aca="false">IF($L803=2016,1,0)</f>
        <v>1</v>
      </c>
      <c r="AK803" s="14" t="n">
        <f aca="false">IF($L803=2017,1,0)</f>
        <v>0</v>
      </c>
      <c r="AL803" s="14" t="n">
        <f aca="false">IF($H803="Beginner Level",1,0)</f>
        <v>0</v>
      </c>
      <c r="AM803" s="14" t="n">
        <f aca="false">IF($H803="Expert Level",1,0)</f>
        <v>0</v>
      </c>
      <c r="AN803" s="14" t="n">
        <f aca="false">IF($H803="Intermediate Level",1,0)</f>
        <v>0</v>
      </c>
    </row>
    <row r="804" customFormat="false" ht="57.45" hidden="false" customHeight="false" outlineLevel="0" collapsed="false">
      <c r="A804" s="14" t="n">
        <v>978850</v>
      </c>
      <c r="B804" s="14" t="s">
        <v>1650</v>
      </c>
      <c r="C804" s="14" t="s">
        <v>1651</v>
      </c>
      <c r="D804" s="14" t="n">
        <v>50</v>
      </c>
      <c r="E804" s="14" t="n">
        <v>1496</v>
      </c>
      <c r="F804" s="14" t="n">
        <v>37</v>
      </c>
      <c r="G804" s="14" t="n">
        <v>74</v>
      </c>
      <c r="H804" s="14" t="s">
        <v>52</v>
      </c>
      <c r="I804" s="14" t="n">
        <v>0.96</v>
      </c>
      <c r="J804" s="14" t="n">
        <v>7.5</v>
      </c>
      <c r="K804" s="14" t="s">
        <v>59</v>
      </c>
      <c r="L804" s="14" t="n">
        <v>2016</v>
      </c>
      <c r="M804" s="14" t="n">
        <v>7.31055015853442</v>
      </c>
      <c r="N804" s="14" t="n">
        <v>3.91222298543081</v>
      </c>
      <c r="P804" s="14" t="n">
        <f aca="false">D804</f>
        <v>50</v>
      </c>
      <c r="Q804" s="14" t="n">
        <f aca="false">G804</f>
        <v>74</v>
      </c>
      <c r="R804" s="14" t="n">
        <f aca="false">J804</f>
        <v>7.5</v>
      </c>
      <c r="S804" s="14" t="n">
        <f aca="false">IF($L804=2012,1,0)</f>
        <v>0</v>
      </c>
      <c r="T804" s="14" t="n">
        <f aca="false">IF($L804=2013,1,0)</f>
        <v>0</v>
      </c>
      <c r="U804" s="14" t="n">
        <f aca="false">IF($L804=2014,1,0)</f>
        <v>0</v>
      </c>
      <c r="V804" s="14" t="n">
        <f aca="false">IF($L804=2015,1,0)</f>
        <v>0</v>
      </c>
      <c r="W804" s="14" t="n">
        <f aca="false">IF($L804=2016,1,0)</f>
        <v>1</v>
      </c>
      <c r="X804" s="14" t="n">
        <f aca="false">IF($L804=2017,1,0)</f>
        <v>0</v>
      </c>
      <c r="Y804" s="14" t="n">
        <f aca="false">IF($H804="Beginner Level",1,0)</f>
        <v>1</v>
      </c>
      <c r="Z804" s="14" t="n">
        <f aca="false">IF($H804="Expert Level",1,0)</f>
        <v>0</v>
      </c>
      <c r="AA804" s="14" t="n">
        <f aca="false">IF($H804="Intermediate Level",1,0)</f>
        <v>0</v>
      </c>
      <c r="AC804" s="14" t="n">
        <f aca="false">N804</f>
        <v>3.91222298543081</v>
      </c>
      <c r="AD804" s="14" t="n">
        <f aca="false">G804</f>
        <v>74</v>
      </c>
      <c r="AE804" s="14" t="n">
        <f aca="false">J804</f>
        <v>7.5</v>
      </c>
      <c r="AF804" s="14" t="n">
        <f aca="false">IF($L804=2012,1,0)</f>
        <v>0</v>
      </c>
      <c r="AG804" s="14" t="n">
        <f aca="false">IF($L804=2013,1,0)</f>
        <v>0</v>
      </c>
      <c r="AH804" s="14" t="n">
        <f aca="false">IF($L804=2014,1,0)</f>
        <v>0</v>
      </c>
      <c r="AI804" s="14" t="n">
        <f aca="false">IF($L804=2015,1,0)</f>
        <v>0</v>
      </c>
      <c r="AJ804" s="14" t="n">
        <f aca="false">IF($L804=2016,1,0)</f>
        <v>1</v>
      </c>
      <c r="AK804" s="14" t="n">
        <f aca="false">IF($L804=2017,1,0)</f>
        <v>0</v>
      </c>
      <c r="AL804" s="14" t="n">
        <f aca="false">IF($H804="Beginner Level",1,0)</f>
        <v>1</v>
      </c>
      <c r="AM804" s="14" t="n">
        <f aca="false">IF($H804="Expert Level",1,0)</f>
        <v>0</v>
      </c>
      <c r="AN804" s="14" t="n">
        <f aca="false">IF($H804="Intermediate Level",1,0)</f>
        <v>0</v>
      </c>
    </row>
    <row r="805" customFormat="false" ht="79.85" hidden="false" customHeight="false" outlineLevel="0" collapsed="false">
      <c r="A805" s="14" t="n">
        <v>674040</v>
      </c>
      <c r="B805" s="14" t="s">
        <v>1652</v>
      </c>
      <c r="C805" s="14" t="s">
        <v>1653</v>
      </c>
      <c r="D805" s="14" t="n">
        <v>195</v>
      </c>
      <c r="E805" s="14" t="n">
        <v>1494</v>
      </c>
      <c r="F805" s="14" t="n">
        <v>23</v>
      </c>
      <c r="G805" s="14" t="n">
        <v>62</v>
      </c>
      <c r="H805" s="14" t="s">
        <v>62</v>
      </c>
      <c r="I805" s="14" t="n">
        <v>0.88</v>
      </c>
      <c r="J805" s="14" t="n">
        <v>7.5</v>
      </c>
      <c r="K805" s="14" t="s">
        <v>59</v>
      </c>
      <c r="L805" s="14" t="n">
        <v>2015</v>
      </c>
      <c r="M805" s="14" t="n">
        <v>7.30921236569276</v>
      </c>
      <c r="N805" s="14" t="n">
        <v>5.27305083930015</v>
      </c>
      <c r="P805" s="14" t="n">
        <f aca="false">D805</f>
        <v>195</v>
      </c>
      <c r="Q805" s="14" t="n">
        <f aca="false">G805</f>
        <v>62</v>
      </c>
      <c r="R805" s="14" t="n">
        <f aca="false">J805</f>
        <v>7.5</v>
      </c>
      <c r="S805" s="14" t="n">
        <f aca="false">IF($L805=2012,1,0)</f>
        <v>0</v>
      </c>
      <c r="T805" s="14" t="n">
        <f aca="false">IF($L805=2013,1,0)</f>
        <v>0</v>
      </c>
      <c r="U805" s="14" t="n">
        <f aca="false">IF($L805=2014,1,0)</f>
        <v>0</v>
      </c>
      <c r="V805" s="14" t="n">
        <f aca="false">IF($L805=2015,1,0)</f>
        <v>1</v>
      </c>
      <c r="W805" s="14" t="n">
        <f aca="false">IF($L805=2016,1,0)</f>
        <v>0</v>
      </c>
      <c r="X805" s="14" t="n">
        <f aca="false">IF($L805=2017,1,0)</f>
        <v>0</v>
      </c>
      <c r="Y805" s="14" t="n">
        <f aca="false">IF($H805="Beginner Level",1,0)</f>
        <v>0</v>
      </c>
      <c r="Z805" s="14" t="n">
        <f aca="false">IF($H805="Expert Level",1,0)</f>
        <v>0</v>
      </c>
      <c r="AA805" s="14" t="n">
        <f aca="false">IF($H805="Intermediate Level",1,0)</f>
        <v>0</v>
      </c>
      <c r="AC805" s="14" t="n">
        <f aca="false">N805</f>
        <v>5.27305083930015</v>
      </c>
      <c r="AD805" s="14" t="n">
        <f aca="false">G805</f>
        <v>62</v>
      </c>
      <c r="AE805" s="14" t="n">
        <f aca="false">J805</f>
        <v>7.5</v>
      </c>
      <c r="AF805" s="14" t="n">
        <f aca="false">IF($L805=2012,1,0)</f>
        <v>0</v>
      </c>
      <c r="AG805" s="14" t="n">
        <f aca="false">IF($L805=2013,1,0)</f>
        <v>0</v>
      </c>
      <c r="AH805" s="14" t="n">
        <f aca="false">IF($L805=2014,1,0)</f>
        <v>0</v>
      </c>
      <c r="AI805" s="14" t="n">
        <f aca="false">IF($L805=2015,1,0)</f>
        <v>1</v>
      </c>
      <c r="AJ805" s="14" t="n">
        <f aca="false">IF($L805=2016,1,0)</f>
        <v>0</v>
      </c>
      <c r="AK805" s="14" t="n">
        <f aca="false">IF($L805=2017,1,0)</f>
        <v>0</v>
      </c>
      <c r="AL805" s="14" t="n">
        <f aca="false">IF($H805="Beginner Level",1,0)</f>
        <v>0</v>
      </c>
      <c r="AM805" s="14" t="n">
        <f aca="false">IF($H805="Expert Level",1,0)</f>
        <v>0</v>
      </c>
      <c r="AN805" s="14" t="n">
        <f aca="false">IF($H805="Intermediate Level",1,0)</f>
        <v>0</v>
      </c>
    </row>
    <row r="806" customFormat="false" ht="68.65" hidden="false" customHeight="false" outlineLevel="0" collapsed="false">
      <c r="A806" s="14" t="n">
        <v>368786</v>
      </c>
      <c r="B806" s="14" t="s">
        <v>1654</v>
      </c>
      <c r="C806" s="14" t="s">
        <v>1655</v>
      </c>
      <c r="D806" s="14" t="n">
        <v>30</v>
      </c>
      <c r="E806" s="14" t="n">
        <v>1478</v>
      </c>
      <c r="F806" s="14" t="n">
        <v>18</v>
      </c>
      <c r="G806" s="14" t="n">
        <v>83</v>
      </c>
      <c r="H806" s="14" t="s">
        <v>71</v>
      </c>
      <c r="I806" s="14" t="n">
        <v>0.18</v>
      </c>
      <c r="J806" s="14" t="n">
        <v>5</v>
      </c>
      <c r="K806" s="14" t="s">
        <v>59</v>
      </c>
      <c r="L806" s="14" t="n">
        <v>2015</v>
      </c>
      <c r="M806" s="14" t="n">
        <v>7.29844510150815</v>
      </c>
      <c r="N806" s="14" t="n">
        <v>3.40153065945228</v>
      </c>
      <c r="P806" s="14" t="n">
        <f aca="false">D806</f>
        <v>30</v>
      </c>
      <c r="Q806" s="14" t="n">
        <f aca="false">G806</f>
        <v>83</v>
      </c>
      <c r="R806" s="14" t="n">
        <f aca="false">J806</f>
        <v>5</v>
      </c>
      <c r="S806" s="14" t="n">
        <f aca="false">IF($L806=2012,1,0)</f>
        <v>0</v>
      </c>
      <c r="T806" s="14" t="n">
        <f aca="false">IF($L806=2013,1,0)</f>
        <v>0</v>
      </c>
      <c r="U806" s="14" t="n">
        <f aca="false">IF($L806=2014,1,0)</f>
        <v>0</v>
      </c>
      <c r="V806" s="14" t="n">
        <f aca="false">IF($L806=2015,1,0)</f>
        <v>1</v>
      </c>
      <c r="W806" s="14" t="n">
        <f aca="false">IF($L806=2016,1,0)</f>
        <v>0</v>
      </c>
      <c r="X806" s="14" t="n">
        <f aca="false">IF($L806=2017,1,0)</f>
        <v>0</v>
      </c>
      <c r="Y806" s="14" t="n">
        <f aca="false">IF($H806="Beginner Level",1,0)</f>
        <v>0</v>
      </c>
      <c r="Z806" s="14" t="n">
        <f aca="false">IF($H806="Expert Level",1,0)</f>
        <v>0</v>
      </c>
      <c r="AA806" s="14" t="n">
        <f aca="false">IF($H806="Intermediate Level",1,0)</f>
        <v>1</v>
      </c>
      <c r="AC806" s="14" t="n">
        <f aca="false">N806</f>
        <v>3.40153065945228</v>
      </c>
      <c r="AD806" s="14" t="n">
        <f aca="false">G806</f>
        <v>83</v>
      </c>
      <c r="AE806" s="14" t="n">
        <f aca="false">J806</f>
        <v>5</v>
      </c>
      <c r="AF806" s="14" t="n">
        <f aca="false">IF($L806=2012,1,0)</f>
        <v>0</v>
      </c>
      <c r="AG806" s="14" t="n">
        <f aca="false">IF($L806=2013,1,0)</f>
        <v>0</v>
      </c>
      <c r="AH806" s="14" t="n">
        <f aca="false">IF($L806=2014,1,0)</f>
        <v>0</v>
      </c>
      <c r="AI806" s="14" t="n">
        <f aca="false">IF($L806=2015,1,0)</f>
        <v>1</v>
      </c>
      <c r="AJ806" s="14" t="n">
        <f aca="false">IF($L806=2016,1,0)</f>
        <v>0</v>
      </c>
      <c r="AK806" s="14" t="n">
        <f aca="false">IF($L806=2017,1,0)</f>
        <v>0</v>
      </c>
      <c r="AL806" s="14" t="n">
        <f aca="false">IF($H806="Beginner Level",1,0)</f>
        <v>0</v>
      </c>
      <c r="AM806" s="14" t="n">
        <f aca="false">IF($H806="Expert Level",1,0)</f>
        <v>0</v>
      </c>
      <c r="AN806" s="14" t="n">
        <f aca="false">IF($H806="Intermediate Level",1,0)</f>
        <v>1</v>
      </c>
    </row>
    <row r="807" customFormat="false" ht="79.85" hidden="false" customHeight="false" outlineLevel="0" collapsed="false">
      <c r="A807" s="14" t="n">
        <v>1189508</v>
      </c>
      <c r="B807" s="14" t="s">
        <v>1656</v>
      </c>
      <c r="C807" s="14" t="s">
        <v>1657</v>
      </c>
      <c r="D807" s="14" t="n">
        <v>40</v>
      </c>
      <c r="E807" s="14" t="n">
        <v>1477</v>
      </c>
      <c r="F807" s="14" t="n">
        <v>17</v>
      </c>
      <c r="G807" s="14" t="n">
        <v>27</v>
      </c>
      <c r="H807" s="14" t="s">
        <v>71</v>
      </c>
      <c r="I807" s="14" t="n">
        <v>0.34</v>
      </c>
      <c r="J807" s="14" t="n">
        <v>6</v>
      </c>
      <c r="K807" s="14" t="s">
        <v>59</v>
      </c>
      <c r="L807" s="14" t="n">
        <v>2017</v>
      </c>
      <c r="M807" s="14" t="n">
        <v>7.29776828253138</v>
      </c>
      <c r="N807" s="14" t="n">
        <v>3.68912942286914</v>
      </c>
      <c r="P807" s="14" t="n">
        <f aca="false">D807</f>
        <v>40</v>
      </c>
      <c r="Q807" s="14" t="n">
        <f aca="false">G807</f>
        <v>27</v>
      </c>
      <c r="R807" s="14" t="n">
        <f aca="false">J807</f>
        <v>6</v>
      </c>
      <c r="S807" s="14" t="n">
        <f aca="false">IF($L807=2012,1,0)</f>
        <v>0</v>
      </c>
      <c r="T807" s="14" t="n">
        <f aca="false">IF($L807=2013,1,0)</f>
        <v>0</v>
      </c>
      <c r="U807" s="14" t="n">
        <f aca="false">IF($L807=2014,1,0)</f>
        <v>0</v>
      </c>
      <c r="V807" s="14" t="n">
        <f aca="false">IF($L807=2015,1,0)</f>
        <v>0</v>
      </c>
      <c r="W807" s="14" t="n">
        <f aca="false">IF($L807=2016,1,0)</f>
        <v>0</v>
      </c>
      <c r="X807" s="14" t="n">
        <f aca="false">IF($L807=2017,1,0)</f>
        <v>1</v>
      </c>
      <c r="Y807" s="14" t="n">
        <f aca="false">IF($H807="Beginner Level",1,0)</f>
        <v>0</v>
      </c>
      <c r="Z807" s="14" t="n">
        <f aca="false">IF($H807="Expert Level",1,0)</f>
        <v>0</v>
      </c>
      <c r="AA807" s="14" t="n">
        <f aca="false">IF($H807="Intermediate Level",1,0)</f>
        <v>1</v>
      </c>
      <c r="AC807" s="14" t="n">
        <f aca="false">N807</f>
        <v>3.68912942286914</v>
      </c>
      <c r="AD807" s="14" t="n">
        <f aca="false">G807</f>
        <v>27</v>
      </c>
      <c r="AE807" s="14" t="n">
        <f aca="false">J807</f>
        <v>6</v>
      </c>
      <c r="AF807" s="14" t="n">
        <f aca="false">IF($L807=2012,1,0)</f>
        <v>0</v>
      </c>
      <c r="AG807" s="14" t="n">
        <f aca="false">IF($L807=2013,1,0)</f>
        <v>0</v>
      </c>
      <c r="AH807" s="14" t="n">
        <f aca="false">IF($L807=2014,1,0)</f>
        <v>0</v>
      </c>
      <c r="AI807" s="14" t="n">
        <f aca="false">IF($L807=2015,1,0)</f>
        <v>0</v>
      </c>
      <c r="AJ807" s="14" t="n">
        <f aca="false">IF($L807=2016,1,0)</f>
        <v>0</v>
      </c>
      <c r="AK807" s="14" t="n">
        <f aca="false">IF($L807=2017,1,0)</f>
        <v>1</v>
      </c>
      <c r="AL807" s="14" t="n">
        <f aca="false">IF($H807="Beginner Level",1,0)</f>
        <v>0</v>
      </c>
      <c r="AM807" s="14" t="n">
        <f aca="false">IF($H807="Expert Level",1,0)</f>
        <v>0</v>
      </c>
      <c r="AN807" s="14" t="n">
        <f aca="false">IF($H807="Intermediate Level",1,0)</f>
        <v>1</v>
      </c>
    </row>
    <row r="808" customFormat="false" ht="79.85" hidden="false" customHeight="false" outlineLevel="0" collapsed="false">
      <c r="A808" s="14" t="n">
        <v>652376</v>
      </c>
      <c r="B808" s="14" t="s">
        <v>1658</v>
      </c>
      <c r="C808" s="14" t="s">
        <v>1659</v>
      </c>
      <c r="D808" s="14" t="n">
        <v>20</v>
      </c>
      <c r="E808" s="14" t="n">
        <v>1476</v>
      </c>
      <c r="F808" s="14" t="n">
        <v>27</v>
      </c>
      <c r="G808" s="14" t="n">
        <v>8</v>
      </c>
      <c r="H808" s="14" t="s">
        <v>62</v>
      </c>
      <c r="I808" s="14" t="n">
        <v>0.89</v>
      </c>
      <c r="J808" s="14" t="n">
        <v>0.65</v>
      </c>
      <c r="K808" s="14" t="s">
        <v>59</v>
      </c>
      <c r="L808" s="14" t="n">
        <v>2016</v>
      </c>
      <c r="M808" s="14" t="n">
        <v>7.29709100516042</v>
      </c>
      <c r="N808" s="14" t="n">
        <v>2.99623214859564</v>
      </c>
      <c r="P808" s="14" t="n">
        <f aca="false">D808</f>
        <v>20</v>
      </c>
      <c r="Q808" s="14" t="n">
        <f aca="false">G808</f>
        <v>8</v>
      </c>
      <c r="R808" s="14" t="n">
        <f aca="false">J808</f>
        <v>0.65</v>
      </c>
      <c r="S808" s="14" t="n">
        <f aca="false">IF($L808=2012,1,0)</f>
        <v>0</v>
      </c>
      <c r="T808" s="14" t="n">
        <f aca="false">IF($L808=2013,1,0)</f>
        <v>0</v>
      </c>
      <c r="U808" s="14" t="n">
        <f aca="false">IF($L808=2014,1,0)</f>
        <v>0</v>
      </c>
      <c r="V808" s="14" t="n">
        <f aca="false">IF($L808=2015,1,0)</f>
        <v>0</v>
      </c>
      <c r="W808" s="14" t="n">
        <f aca="false">IF($L808=2016,1,0)</f>
        <v>1</v>
      </c>
      <c r="X808" s="14" t="n">
        <f aca="false">IF($L808=2017,1,0)</f>
        <v>0</v>
      </c>
      <c r="Y808" s="14" t="n">
        <f aca="false">IF($H808="Beginner Level",1,0)</f>
        <v>0</v>
      </c>
      <c r="Z808" s="14" t="n">
        <f aca="false">IF($H808="Expert Level",1,0)</f>
        <v>0</v>
      </c>
      <c r="AA808" s="14" t="n">
        <f aca="false">IF($H808="Intermediate Level",1,0)</f>
        <v>0</v>
      </c>
      <c r="AC808" s="14" t="n">
        <f aca="false">N808</f>
        <v>2.99623214859564</v>
      </c>
      <c r="AD808" s="14" t="n">
        <f aca="false">G808</f>
        <v>8</v>
      </c>
      <c r="AE808" s="14" t="n">
        <f aca="false">J808</f>
        <v>0.65</v>
      </c>
      <c r="AF808" s="14" t="n">
        <f aca="false">IF($L808=2012,1,0)</f>
        <v>0</v>
      </c>
      <c r="AG808" s="14" t="n">
        <f aca="false">IF($L808=2013,1,0)</f>
        <v>0</v>
      </c>
      <c r="AH808" s="14" t="n">
        <f aca="false">IF($L808=2014,1,0)</f>
        <v>0</v>
      </c>
      <c r="AI808" s="14" t="n">
        <f aca="false">IF($L808=2015,1,0)</f>
        <v>0</v>
      </c>
      <c r="AJ808" s="14" t="n">
        <f aca="false">IF($L808=2016,1,0)</f>
        <v>1</v>
      </c>
      <c r="AK808" s="14" t="n">
        <f aca="false">IF($L808=2017,1,0)</f>
        <v>0</v>
      </c>
      <c r="AL808" s="14" t="n">
        <f aca="false">IF($H808="Beginner Level",1,0)</f>
        <v>0</v>
      </c>
      <c r="AM808" s="14" t="n">
        <f aca="false">IF($H808="Expert Level",1,0)</f>
        <v>0</v>
      </c>
      <c r="AN808" s="14" t="n">
        <f aca="false">IF($H808="Intermediate Level",1,0)</f>
        <v>0</v>
      </c>
    </row>
    <row r="809" customFormat="false" ht="91" hidden="false" customHeight="false" outlineLevel="0" collapsed="false">
      <c r="A809" s="14" t="n">
        <v>991094</v>
      </c>
      <c r="B809" s="14" t="s">
        <v>1660</v>
      </c>
      <c r="C809" s="14" t="s">
        <v>1661</v>
      </c>
      <c r="D809" s="14" t="n">
        <v>195</v>
      </c>
      <c r="E809" s="14" t="n">
        <v>1472</v>
      </c>
      <c r="F809" s="14" t="n">
        <v>210</v>
      </c>
      <c r="G809" s="14" t="n">
        <v>110</v>
      </c>
      <c r="H809" s="14" t="s">
        <v>62</v>
      </c>
      <c r="I809" s="14" t="n">
        <v>0.98</v>
      </c>
      <c r="J809" s="14" t="n">
        <v>13</v>
      </c>
      <c r="K809" s="14" t="s">
        <v>59</v>
      </c>
      <c r="L809" s="14" t="n">
        <v>2017</v>
      </c>
      <c r="M809" s="14" t="n">
        <v>7.29437729928882</v>
      </c>
      <c r="N809" s="14" t="n">
        <v>5.27305083930015</v>
      </c>
      <c r="P809" s="14" t="n">
        <f aca="false">D809</f>
        <v>195</v>
      </c>
      <c r="Q809" s="14" t="n">
        <f aca="false">G809</f>
        <v>110</v>
      </c>
      <c r="R809" s="14" t="n">
        <f aca="false">J809</f>
        <v>13</v>
      </c>
      <c r="S809" s="14" t="n">
        <f aca="false">IF($L809=2012,1,0)</f>
        <v>0</v>
      </c>
      <c r="T809" s="14" t="n">
        <f aca="false">IF($L809=2013,1,0)</f>
        <v>0</v>
      </c>
      <c r="U809" s="14" t="n">
        <f aca="false">IF($L809=2014,1,0)</f>
        <v>0</v>
      </c>
      <c r="V809" s="14" t="n">
        <f aca="false">IF($L809=2015,1,0)</f>
        <v>0</v>
      </c>
      <c r="W809" s="14" t="n">
        <f aca="false">IF($L809=2016,1,0)</f>
        <v>0</v>
      </c>
      <c r="X809" s="14" t="n">
        <f aca="false">IF($L809=2017,1,0)</f>
        <v>1</v>
      </c>
      <c r="Y809" s="14" t="n">
        <f aca="false">IF($H809="Beginner Level",1,0)</f>
        <v>0</v>
      </c>
      <c r="Z809" s="14" t="n">
        <f aca="false">IF($H809="Expert Level",1,0)</f>
        <v>0</v>
      </c>
      <c r="AA809" s="14" t="n">
        <f aca="false">IF($H809="Intermediate Level",1,0)</f>
        <v>0</v>
      </c>
      <c r="AC809" s="14" t="n">
        <f aca="false">N809</f>
        <v>5.27305083930015</v>
      </c>
      <c r="AD809" s="14" t="n">
        <f aca="false">G809</f>
        <v>110</v>
      </c>
      <c r="AE809" s="14" t="n">
        <f aca="false">J809</f>
        <v>13</v>
      </c>
      <c r="AF809" s="14" t="n">
        <f aca="false">IF($L809=2012,1,0)</f>
        <v>0</v>
      </c>
      <c r="AG809" s="14" t="n">
        <f aca="false">IF($L809=2013,1,0)</f>
        <v>0</v>
      </c>
      <c r="AH809" s="14" t="n">
        <f aca="false">IF($L809=2014,1,0)</f>
        <v>0</v>
      </c>
      <c r="AI809" s="14" t="n">
        <f aca="false">IF($L809=2015,1,0)</f>
        <v>0</v>
      </c>
      <c r="AJ809" s="14" t="n">
        <f aca="false">IF($L809=2016,1,0)</f>
        <v>0</v>
      </c>
      <c r="AK809" s="14" t="n">
        <f aca="false">IF($L809=2017,1,0)</f>
        <v>1</v>
      </c>
      <c r="AL809" s="14" t="n">
        <f aca="false">IF($H809="Beginner Level",1,0)</f>
        <v>0</v>
      </c>
      <c r="AM809" s="14" t="n">
        <f aca="false">IF($H809="Expert Level",1,0)</f>
        <v>0</v>
      </c>
      <c r="AN809" s="14" t="n">
        <f aca="false">IF($H809="Intermediate Level",1,0)</f>
        <v>0</v>
      </c>
    </row>
    <row r="810" customFormat="false" ht="57.45" hidden="false" customHeight="false" outlineLevel="0" collapsed="false">
      <c r="A810" s="14" t="n">
        <v>912946</v>
      </c>
      <c r="B810" s="14" t="s">
        <v>1662</v>
      </c>
      <c r="C810" s="14" t="s">
        <v>1663</v>
      </c>
      <c r="D810" s="14" t="n">
        <v>40</v>
      </c>
      <c r="E810" s="14" t="n">
        <v>1469</v>
      </c>
      <c r="F810" s="14" t="n">
        <v>237</v>
      </c>
      <c r="G810" s="14" t="n">
        <v>120</v>
      </c>
      <c r="H810" s="14" t="s">
        <v>62</v>
      </c>
      <c r="I810" s="14" t="n">
        <v>0.47</v>
      </c>
      <c r="J810" s="14" t="n">
        <v>19</v>
      </c>
      <c r="K810" s="14" t="s">
        <v>59</v>
      </c>
      <c r="L810" s="14" t="n">
        <v>2016</v>
      </c>
      <c r="M810" s="14" t="n">
        <v>7.29233717617388</v>
      </c>
      <c r="N810" s="14" t="n">
        <v>3.68912942286914</v>
      </c>
      <c r="P810" s="14" t="n">
        <f aca="false">D810</f>
        <v>40</v>
      </c>
      <c r="Q810" s="14" t="n">
        <f aca="false">G810</f>
        <v>120</v>
      </c>
      <c r="R810" s="14" t="n">
        <f aca="false">J810</f>
        <v>19</v>
      </c>
      <c r="S810" s="14" t="n">
        <f aca="false">IF($L810=2012,1,0)</f>
        <v>0</v>
      </c>
      <c r="T810" s="14" t="n">
        <f aca="false">IF($L810=2013,1,0)</f>
        <v>0</v>
      </c>
      <c r="U810" s="14" t="n">
        <f aca="false">IF($L810=2014,1,0)</f>
        <v>0</v>
      </c>
      <c r="V810" s="14" t="n">
        <f aca="false">IF($L810=2015,1,0)</f>
        <v>0</v>
      </c>
      <c r="W810" s="14" t="n">
        <f aca="false">IF($L810=2016,1,0)</f>
        <v>1</v>
      </c>
      <c r="X810" s="14" t="n">
        <f aca="false">IF($L810=2017,1,0)</f>
        <v>0</v>
      </c>
      <c r="Y810" s="14" t="n">
        <f aca="false">IF($H810="Beginner Level",1,0)</f>
        <v>0</v>
      </c>
      <c r="Z810" s="14" t="n">
        <f aca="false">IF($H810="Expert Level",1,0)</f>
        <v>0</v>
      </c>
      <c r="AA810" s="14" t="n">
        <f aca="false">IF($H810="Intermediate Level",1,0)</f>
        <v>0</v>
      </c>
      <c r="AC810" s="14" t="n">
        <f aca="false">N810</f>
        <v>3.68912942286914</v>
      </c>
      <c r="AD810" s="14" t="n">
        <f aca="false">G810</f>
        <v>120</v>
      </c>
      <c r="AE810" s="14" t="n">
        <f aca="false">J810</f>
        <v>19</v>
      </c>
      <c r="AF810" s="14" t="n">
        <f aca="false">IF($L810=2012,1,0)</f>
        <v>0</v>
      </c>
      <c r="AG810" s="14" t="n">
        <f aca="false">IF($L810=2013,1,0)</f>
        <v>0</v>
      </c>
      <c r="AH810" s="14" t="n">
        <f aca="false">IF($L810=2014,1,0)</f>
        <v>0</v>
      </c>
      <c r="AI810" s="14" t="n">
        <f aca="false">IF($L810=2015,1,0)</f>
        <v>0</v>
      </c>
      <c r="AJ810" s="14" t="n">
        <f aca="false">IF($L810=2016,1,0)</f>
        <v>1</v>
      </c>
      <c r="AK810" s="14" t="n">
        <f aca="false">IF($L810=2017,1,0)</f>
        <v>0</v>
      </c>
      <c r="AL810" s="14" t="n">
        <f aca="false">IF($H810="Beginner Level",1,0)</f>
        <v>0</v>
      </c>
      <c r="AM810" s="14" t="n">
        <f aca="false">IF($H810="Expert Level",1,0)</f>
        <v>0</v>
      </c>
      <c r="AN810" s="14" t="n">
        <f aca="false">IF($H810="Intermediate Level",1,0)</f>
        <v>0</v>
      </c>
    </row>
    <row r="811" customFormat="false" ht="57.45" hidden="false" customHeight="false" outlineLevel="0" collapsed="false">
      <c r="A811" s="14" t="n">
        <v>378924</v>
      </c>
      <c r="B811" s="14" t="s">
        <v>1664</v>
      </c>
      <c r="C811" s="14" t="s">
        <v>1665</v>
      </c>
      <c r="D811" s="14" t="n">
        <v>40</v>
      </c>
      <c r="E811" s="14" t="n">
        <v>1468</v>
      </c>
      <c r="F811" s="14" t="n">
        <v>54</v>
      </c>
      <c r="G811" s="14" t="n">
        <v>18</v>
      </c>
      <c r="H811" s="14" t="s">
        <v>62</v>
      </c>
      <c r="I811" s="14" t="n">
        <v>0.8</v>
      </c>
      <c r="J811" s="14" t="n">
        <v>2.5</v>
      </c>
      <c r="K811" s="14" t="s">
        <v>59</v>
      </c>
      <c r="L811" s="14" t="n">
        <v>2015</v>
      </c>
      <c r="M811" s="14" t="n">
        <v>7.29165620917446</v>
      </c>
      <c r="N811" s="14" t="n">
        <v>3.68912942286914</v>
      </c>
      <c r="P811" s="14" t="n">
        <f aca="false">D811</f>
        <v>40</v>
      </c>
      <c r="Q811" s="14" t="n">
        <f aca="false">G811</f>
        <v>18</v>
      </c>
      <c r="R811" s="14" t="n">
        <f aca="false">J811</f>
        <v>2.5</v>
      </c>
      <c r="S811" s="14" t="n">
        <f aca="false">IF($L811=2012,1,0)</f>
        <v>0</v>
      </c>
      <c r="T811" s="14" t="n">
        <f aca="false">IF($L811=2013,1,0)</f>
        <v>0</v>
      </c>
      <c r="U811" s="14" t="n">
        <f aca="false">IF($L811=2014,1,0)</f>
        <v>0</v>
      </c>
      <c r="V811" s="14" t="n">
        <f aca="false">IF($L811=2015,1,0)</f>
        <v>1</v>
      </c>
      <c r="W811" s="14" t="n">
        <f aca="false">IF($L811=2016,1,0)</f>
        <v>0</v>
      </c>
      <c r="X811" s="14" t="n">
        <f aca="false">IF($L811=2017,1,0)</f>
        <v>0</v>
      </c>
      <c r="Y811" s="14" t="n">
        <f aca="false">IF($H811="Beginner Level",1,0)</f>
        <v>0</v>
      </c>
      <c r="Z811" s="14" t="n">
        <f aca="false">IF($H811="Expert Level",1,0)</f>
        <v>0</v>
      </c>
      <c r="AA811" s="14" t="n">
        <f aca="false">IF($H811="Intermediate Level",1,0)</f>
        <v>0</v>
      </c>
      <c r="AC811" s="14" t="n">
        <f aca="false">N811</f>
        <v>3.68912942286914</v>
      </c>
      <c r="AD811" s="14" t="n">
        <f aca="false">G811</f>
        <v>18</v>
      </c>
      <c r="AE811" s="14" t="n">
        <f aca="false">J811</f>
        <v>2.5</v>
      </c>
      <c r="AF811" s="14" t="n">
        <f aca="false">IF($L811=2012,1,0)</f>
        <v>0</v>
      </c>
      <c r="AG811" s="14" t="n">
        <f aca="false">IF($L811=2013,1,0)</f>
        <v>0</v>
      </c>
      <c r="AH811" s="14" t="n">
        <f aca="false">IF($L811=2014,1,0)</f>
        <v>0</v>
      </c>
      <c r="AI811" s="14" t="n">
        <f aca="false">IF($L811=2015,1,0)</f>
        <v>1</v>
      </c>
      <c r="AJ811" s="14" t="n">
        <f aca="false">IF($L811=2016,1,0)</f>
        <v>0</v>
      </c>
      <c r="AK811" s="14" t="n">
        <f aca="false">IF($L811=2017,1,0)</f>
        <v>0</v>
      </c>
      <c r="AL811" s="14" t="n">
        <f aca="false">IF($H811="Beginner Level",1,0)</f>
        <v>0</v>
      </c>
      <c r="AM811" s="14" t="n">
        <f aca="false">IF($H811="Expert Level",1,0)</f>
        <v>0</v>
      </c>
      <c r="AN811" s="14" t="n">
        <f aca="false">IF($H811="Intermediate Level",1,0)</f>
        <v>0</v>
      </c>
    </row>
    <row r="812" customFormat="false" ht="79.85" hidden="false" customHeight="false" outlineLevel="0" collapsed="false">
      <c r="A812" s="14" t="n">
        <v>19260</v>
      </c>
      <c r="B812" s="14" t="s">
        <v>1666</v>
      </c>
      <c r="C812" s="14" t="s">
        <v>1667</v>
      </c>
      <c r="D812" s="14" t="n">
        <v>20</v>
      </c>
      <c r="E812" s="14" t="n">
        <v>1463</v>
      </c>
      <c r="F812" s="14" t="n">
        <v>56</v>
      </c>
      <c r="G812" s="14" t="n">
        <v>24</v>
      </c>
      <c r="H812" s="14" t="s">
        <v>52</v>
      </c>
      <c r="I812" s="14" t="n">
        <v>0.9</v>
      </c>
      <c r="J812" s="14" t="n">
        <v>1</v>
      </c>
      <c r="K812" s="14" t="s">
        <v>59</v>
      </c>
      <c r="L812" s="14" t="n">
        <v>2012</v>
      </c>
      <c r="M812" s="14" t="n">
        <v>7.28824440102012</v>
      </c>
      <c r="N812" s="14" t="n">
        <v>2.99623214859564</v>
      </c>
      <c r="P812" s="14" t="n">
        <f aca="false">D812</f>
        <v>20</v>
      </c>
      <c r="Q812" s="14" t="n">
        <f aca="false">G812</f>
        <v>24</v>
      </c>
      <c r="R812" s="14" t="n">
        <f aca="false">J812</f>
        <v>1</v>
      </c>
      <c r="S812" s="14" t="n">
        <f aca="false">IF($L812=2012,1,0)</f>
        <v>1</v>
      </c>
      <c r="T812" s="14" t="n">
        <f aca="false">IF($L812=2013,1,0)</f>
        <v>0</v>
      </c>
      <c r="U812" s="14" t="n">
        <f aca="false">IF($L812=2014,1,0)</f>
        <v>0</v>
      </c>
      <c r="V812" s="14" t="n">
        <f aca="false">IF($L812=2015,1,0)</f>
        <v>0</v>
      </c>
      <c r="W812" s="14" t="n">
        <f aca="false">IF($L812=2016,1,0)</f>
        <v>0</v>
      </c>
      <c r="X812" s="14" t="n">
        <f aca="false">IF($L812=2017,1,0)</f>
        <v>0</v>
      </c>
      <c r="Y812" s="14" t="n">
        <f aca="false">IF($H812="Beginner Level",1,0)</f>
        <v>1</v>
      </c>
      <c r="Z812" s="14" t="n">
        <f aca="false">IF($H812="Expert Level",1,0)</f>
        <v>0</v>
      </c>
      <c r="AA812" s="14" t="n">
        <f aca="false">IF($H812="Intermediate Level",1,0)</f>
        <v>0</v>
      </c>
      <c r="AC812" s="14" t="n">
        <f aca="false">N812</f>
        <v>2.99623214859564</v>
      </c>
      <c r="AD812" s="14" t="n">
        <f aca="false">G812</f>
        <v>24</v>
      </c>
      <c r="AE812" s="14" t="n">
        <f aca="false">J812</f>
        <v>1</v>
      </c>
      <c r="AF812" s="14" t="n">
        <f aca="false">IF($L812=2012,1,0)</f>
        <v>1</v>
      </c>
      <c r="AG812" s="14" t="n">
        <f aca="false">IF($L812=2013,1,0)</f>
        <v>0</v>
      </c>
      <c r="AH812" s="14" t="n">
        <f aca="false">IF($L812=2014,1,0)</f>
        <v>0</v>
      </c>
      <c r="AI812" s="14" t="n">
        <f aca="false">IF($L812=2015,1,0)</f>
        <v>0</v>
      </c>
      <c r="AJ812" s="14" t="n">
        <f aca="false">IF($L812=2016,1,0)</f>
        <v>0</v>
      </c>
      <c r="AK812" s="14" t="n">
        <f aca="false">IF($L812=2017,1,0)</f>
        <v>0</v>
      </c>
      <c r="AL812" s="14" t="n">
        <f aca="false">IF($H812="Beginner Level",1,0)</f>
        <v>1</v>
      </c>
      <c r="AM812" s="14" t="n">
        <f aca="false">IF($H812="Expert Level",1,0)</f>
        <v>0</v>
      </c>
      <c r="AN812" s="14" t="n">
        <f aca="false">IF($H812="Intermediate Level",1,0)</f>
        <v>0</v>
      </c>
    </row>
    <row r="813" customFormat="false" ht="46.25" hidden="false" customHeight="false" outlineLevel="0" collapsed="false">
      <c r="A813" s="14" t="n">
        <v>523216</v>
      </c>
      <c r="B813" s="14" t="s">
        <v>1668</v>
      </c>
      <c r="C813" s="14" t="s">
        <v>1669</v>
      </c>
      <c r="D813" s="14" t="n">
        <v>30</v>
      </c>
      <c r="E813" s="14" t="n">
        <v>1454</v>
      </c>
      <c r="F813" s="14" t="n">
        <v>14</v>
      </c>
      <c r="G813" s="14" t="n">
        <v>12</v>
      </c>
      <c r="H813" s="14" t="s">
        <v>62</v>
      </c>
      <c r="I813" s="14" t="n">
        <v>0.14</v>
      </c>
      <c r="J813" s="14" t="n">
        <v>0.5</v>
      </c>
      <c r="K813" s="14" t="s">
        <v>59</v>
      </c>
      <c r="L813" s="14" t="n">
        <v>2015</v>
      </c>
      <c r="M813" s="14" t="n">
        <v>7.28207365809347</v>
      </c>
      <c r="N813" s="14" t="n">
        <v>3.40153065945228</v>
      </c>
      <c r="P813" s="14" t="n">
        <f aca="false">D813</f>
        <v>30</v>
      </c>
      <c r="Q813" s="14" t="n">
        <f aca="false">G813</f>
        <v>12</v>
      </c>
      <c r="R813" s="14" t="n">
        <f aca="false">J813</f>
        <v>0.5</v>
      </c>
      <c r="S813" s="14" t="n">
        <f aca="false">IF($L813=2012,1,0)</f>
        <v>0</v>
      </c>
      <c r="T813" s="14" t="n">
        <f aca="false">IF($L813=2013,1,0)</f>
        <v>0</v>
      </c>
      <c r="U813" s="14" t="n">
        <f aca="false">IF($L813=2014,1,0)</f>
        <v>0</v>
      </c>
      <c r="V813" s="14" t="n">
        <f aca="false">IF($L813=2015,1,0)</f>
        <v>1</v>
      </c>
      <c r="W813" s="14" t="n">
        <f aca="false">IF($L813=2016,1,0)</f>
        <v>0</v>
      </c>
      <c r="X813" s="14" t="n">
        <f aca="false">IF($L813=2017,1,0)</f>
        <v>0</v>
      </c>
      <c r="Y813" s="14" t="n">
        <f aca="false">IF($H813="Beginner Level",1,0)</f>
        <v>0</v>
      </c>
      <c r="Z813" s="14" t="n">
        <f aca="false">IF($H813="Expert Level",1,0)</f>
        <v>0</v>
      </c>
      <c r="AA813" s="14" t="n">
        <f aca="false">IF($H813="Intermediate Level",1,0)</f>
        <v>0</v>
      </c>
      <c r="AC813" s="14" t="n">
        <f aca="false">N813</f>
        <v>3.40153065945228</v>
      </c>
      <c r="AD813" s="14" t="n">
        <f aca="false">G813</f>
        <v>12</v>
      </c>
      <c r="AE813" s="14" t="n">
        <f aca="false">J813</f>
        <v>0.5</v>
      </c>
      <c r="AF813" s="14" t="n">
        <f aca="false">IF($L813=2012,1,0)</f>
        <v>0</v>
      </c>
      <c r="AG813" s="14" t="n">
        <f aca="false">IF($L813=2013,1,0)</f>
        <v>0</v>
      </c>
      <c r="AH813" s="14" t="n">
        <f aca="false">IF($L813=2014,1,0)</f>
        <v>0</v>
      </c>
      <c r="AI813" s="14" t="n">
        <f aca="false">IF($L813=2015,1,0)</f>
        <v>1</v>
      </c>
      <c r="AJ813" s="14" t="n">
        <f aca="false">IF($L813=2016,1,0)</f>
        <v>0</v>
      </c>
      <c r="AK813" s="14" t="n">
        <f aca="false">IF($L813=2017,1,0)</f>
        <v>0</v>
      </c>
      <c r="AL813" s="14" t="n">
        <f aca="false">IF($H813="Beginner Level",1,0)</f>
        <v>0</v>
      </c>
      <c r="AM813" s="14" t="n">
        <f aca="false">IF($H813="Expert Level",1,0)</f>
        <v>0</v>
      </c>
      <c r="AN813" s="14" t="n">
        <f aca="false">IF($H813="Intermediate Level",1,0)</f>
        <v>0</v>
      </c>
    </row>
    <row r="814" customFormat="false" ht="79.85" hidden="false" customHeight="false" outlineLevel="0" collapsed="false">
      <c r="A814" s="14" t="n">
        <v>519952</v>
      </c>
      <c r="B814" s="14" t="s">
        <v>1670</v>
      </c>
      <c r="C814" s="14" t="s">
        <v>1671</v>
      </c>
      <c r="D814" s="14" t="n">
        <v>200</v>
      </c>
      <c r="E814" s="14" t="n">
        <v>1448</v>
      </c>
      <c r="F814" s="14" t="n">
        <v>173</v>
      </c>
      <c r="G814" s="14" t="n">
        <v>48</v>
      </c>
      <c r="H814" s="14" t="s">
        <v>52</v>
      </c>
      <c r="I814" s="14" t="n">
        <v>0.74</v>
      </c>
      <c r="J814" s="14" t="n">
        <v>7.5</v>
      </c>
      <c r="K814" s="14" t="s">
        <v>59</v>
      </c>
      <c r="L814" s="14" t="n">
        <v>2015</v>
      </c>
      <c r="M814" s="14" t="n">
        <v>7.27793857294566</v>
      </c>
      <c r="N814" s="14" t="n">
        <v>5.29836736529808</v>
      </c>
      <c r="P814" s="14" t="n">
        <f aca="false">D814</f>
        <v>200</v>
      </c>
      <c r="Q814" s="14" t="n">
        <f aca="false">G814</f>
        <v>48</v>
      </c>
      <c r="R814" s="14" t="n">
        <f aca="false">J814</f>
        <v>7.5</v>
      </c>
      <c r="S814" s="14" t="n">
        <f aca="false">IF($L814=2012,1,0)</f>
        <v>0</v>
      </c>
      <c r="T814" s="14" t="n">
        <f aca="false">IF($L814=2013,1,0)</f>
        <v>0</v>
      </c>
      <c r="U814" s="14" t="n">
        <f aca="false">IF($L814=2014,1,0)</f>
        <v>0</v>
      </c>
      <c r="V814" s="14" t="n">
        <f aca="false">IF($L814=2015,1,0)</f>
        <v>1</v>
      </c>
      <c r="W814" s="14" t="n">
        <f aca="false">IF($L814=2016,1,0)</f>
        <v>0</v>
      </c>
      <c r="X814" s="14" t="n">
        <f aca="false">IF($L814=2017,1,0)</f>
        <v>0</v>
      </c>
      <c r="Y814" s="14" t="n">
        <f aca="false">IF($H814="Beginner Level",1,0)</f>
        <v>1</v>
      </c>
      <c r="Z814" s="14" t="n">
        <f aca="false">IF($H814="Expert Level",1,0)</f>
        <v>0</v>
      </c>
      <c r="AA814" s="14" t="n">
        <f aca="false">IF($H814="Intermediate Level",1,0)</f>
        <v>0</v>
      </c>
      <c r="AC814" s="14" t="n">
        <f aca="false">N814</f>
        <v>5.29836736529808</v>
      </c>
      <c r="AD814" s="14" t="n">
        <f aca="false">G814</f>
        <v>48</v>
      </c>
      <c r="AE814" s="14" t="n">
        <f aca="false">J814</f>
        <v>7.5</v>
      </c>
      <c r="AF814" s="14" t="n">
        <f aca="false">IF($L814=2012,1,0)</f>
        <v>0</v>
      </c>
      <c r="AG814" s="14" t="n">
        <f aca="false">IF($L814=2013,1,0)</f>
        <v>0</v>
      </c>
      <c r="AH814" s="14" t="n">
        <f aca="false">IF($L814=2014,1,0)</f>
        <v>0</v>
      </c>
      <c r="AI814" s="14" t="n">
        <f aca="false">IF($L814=2015,1,0)</f>
        <v>1</v>
      </c>
      <c r="AJ814" s="14" t="n">
        <f aca="false">IF($L814=2016,1,0)</f>
        <v>0</v>
      </c>
      <c r="AK814" s="14" t="n">
        <f aca="false">IF($L814=2017,1,0)</f>
        <v>0</v>
      </c>
      <c r="AL814" s="14" t="n">
        <f aca="false">IF($H814="Beginner Level",1,0)</f>
        <v>1</v>
      </c>
      <c r="AM814" s="14" t="n">
        <f aca="false">IF($H814="Expert Level",1,0)</f>
        <v>0</v>
      </c>
      <c r="AN814" s="14" t="n">
        <f aca="false">IF($H814="Intermediate Level",1,0)</f>
        <v>0</v>
      </c>
    </row>
    <row r="815" customFormat="false" ht="57.45" hidden="false" customHeight="false" outlineLevel="0" collapsed="false">
      <c r="A815" s="14" t="n">
        <v>651990</v>
      </c>
      <c r="B815" s="14" t="s">
        <v>1672</v>
      </c>
      <c r="C815" s="14" t="s">
        <v>1673</v>
      </c>
      <c r="D815" s="14" t="n">
        <v>20</v>
      </c>
      <c r="E815" s="14" t="n">
        <v>1447</v>
      </c>
      <c r="F815" s="14" t="n">
        <v>35</v>
      </c>
      <c r="G815" s="14" t="n">
        <v>7</v>
      </c>
      <c r="H815" s="14" t="s">
        <v>52</v>
      </c>
      <c r="I815" s="14" t="n">
        <v>0.89</v>
      </c>
      <c r="J815" s="14" t="n">
        <v>0.66666667</v>
      </c>
      <c r="K815" s="14" t="s">
        <v>59</v>
      </c>
      <c r="L815" s="14" t="n">
        <v>2015</v>
      </c>
      <c r="M815" s="14" t="n">
        <v>7.27724772663148</v>
      </c>
      <c r="N815" s="14" t="n">
        <v>2.99623214859564</v>
      </c>
      <c r="P815" s="14" t="n">
        <f aca="false">D815</f>
        <v>20</v>
      </c>
      <c r="Q815" s="14" t="n">
        <f aca="false">G815</f>
        <v>7</v>
      </c>
      <c r="R815" s="14" t="n">
        <f aca="false">J815</f>
        <v>0.66666667</v>
      </c>
      <c r="S815" s="14" t="n">
        <f aca="false">IF($L815=2012,1,0)</f>
        <v>0</v>
      </c>
      <c r="T815" s="14" t="n">
        <f aca="false">IF($L815=2013,1,0)</f>
        <v>0</v>
      </c>
      <c r="U815" s="14" t="n">
        <f aca="false">IF($L815=2014,1,0)</f>
        <v>0</v>
      </c>
      <c r="V815" s="14" t="n">
        <f aca="false">IF($L815=2015,1,0)</f>
        <v>1</v>
      </c>
      <c r="W815" s="14" t="n">
        <f aca="false">IF($L815=2016,1,0)</f>
        <v>0</v>
      </c>
      <c r="X815" s="14" t="n">
        <f aca="false">IF($L815=2017,1,0)</f>
        <v>0</v>
      </c>
      <c r="Y815" s="14" t="n">
        <f aca="false">IF($H815="Beginner Level",1,0)</f>
        <v>1</v>
      </c>
      <c r="Z815" s="14" t="n">
        <f aca="false">IF($H815="Expert Level",1,0)</f>
        <v>0</v>
      </c>
      <c r="AA815" s="14" t="n">
        <f aca="false">IF($H815="Intermediate Level",1,0)</f>
        <v>0</v>
      </c>
      <c r="AC815" s="14" t="n">
        <f aca="false">N815</f>
        <v>2.99623214859564</v>
      </c>
      <c r="AD815" s="14" t="n">
        <f aca="false">G815</f>
        <v>7</v>
      </c>
      <c r="AE815" s="14" t="n">
        <f aca="false">J815</f>
        <v>0.66666667</v>
      </c>
      <c r="AF815" s="14" t="n">
        <f aca="false">IF($L815=2012,1,0)</f>
        <v>0</v>
      </c>
      <c r="AG815" s="14" t="n">
        <f aca="false">IF($L815=2013,1,0)</f>
        <v>0</v>
      </c>
      <c r="AH815" s="14" t="n">
        <f aca="false">IF($L815=2014,1,0)</f>
        <v>0</v>
      </c>
      <c r="AI815" s="14" t="n">
        <f aca="false">IF($L815=2015,1,0)</f>
        <v>1</v>
      </c>
      <c r="AJ815" s="14" t="n">
        <f aca="false">IF($L815=2016,1,0)</f>
        <v>0</v>
      </c>
      <c r="AK815" s="14" t="n">
        <f aca="false">IF($L815=2017,1,0)</f>
        <v>0</v>
      </c>
      <c r="AL815" s="14" t="n">
        <f aca="false">IF($H815="Beginner Level",1,0)</f>
        <v>1</v>
      </c>
      <c r="AM815" s="14" t="n">
        <f aca="false">IF($H815="Expert Level",1,0)</f>
        <v>0</v>
      </c>
      <c r="AN815" s="14" t="n">
        <f aca="false">IF($H815="Intermediate Level",1,0)</f>
        <v>0</v>
      </c>
    </row>
    <row r="816" customFormat="false" ht="68.65" hidden="false" customHeight="false" outlineLevel="0" collapsed="false">
      <c r="A816" s="14" t="n">
        <v>392836</v>
      </c>
      <c r="B816" s="14" t="s">
        <v>1674</v>
      </c>
      <c r="C816" s="14" t="s">
        <v>1675</v>
      </c>
      <c r="D816" s="14" t="n">
        <v>20</v>
      </c>
      <c r="E816" s="14" t="n">
        <v>1442</v>
      </c>
      <c r="F816" s="14" t="n">
        <v>9</v>
      </c>
      <c r="G816" s="14" t="n">
        <v>25</v>
      </c>
      <c r="H816" s="14" t="s">
        <v>62</v>
      </c>
      <c r="I816" s="14" t="n">
        <v>0.78</v>
      </c>
      <c r="J816" s="14" t="n">
        <v>2</v>
      </c>
      <c r="K816" s="14" t="s">
        <v>59</v>
      </c>
      <c r="L816" s="14" t="n">
        <v>2015</v>
      </c>
      <c r="M816" s="14" t="n">
        <v>7.2737863178449</v>
      </c>
      <c r="N816" s="14" t="n">
        <v>2.99623214859564</v>
      </c>
      <c r="P816" s="14" t="n">
        <f aca="false">D816</f>
        <v>20</v>
      </c>
      <c r="Q816" s="14" t="n">
        <f aca="false">G816</f>
        <v>25</v>
      </c>
      <c r="R816" s="14" t="n">
        <f aca="false">J816</f>
        <v>2</v>
      </c>
      <c r="S816" s="14" t="n">
        <f aca="false">IF($L816=2012,1,0)</f>
        <v>0</v>
      </c>
      <c r="T816" s="14" t="n">
        <f aca="false">IF($L816=2013,1,0)</f>
        <v>0</v>
      </c>
      <c r="U816" s="14" t="n">
        <f aca="false">IF($L816=2014,1,0)</f>
        <v>0</v>
      </c>
      <c r="V816" s="14" t="n">
        <f aca="false">IF($L816=2015,1,0)</f>
        <v>1</v>
      </c>
      <c r="W816" s="14" t="n">
        <f aca="false">IF($L816=2016,1,0)</f>
        <v>0</v>
      </c>
      <c r="X816" s="14" t="n">
        <f aca="false">IF($L816=2017,1,0)</f>
        <v>0</v>
      </c>
      <c r="Y816" s="14" t="n">
        <f aca="false">IF($H816="Beginner Level",1,0)</f>
        <v>0</v>
      </c>
      <c r="Z816" s="14" t="n">
        <f aca="false">IF($H816="Expert Level",1,0)</f>
        <v>0</v>
      </c>
      <c r="AA816" s="14" t="n">
        <f aca="false">IF($H816="Intermediate Level",1,0)</f>
        <v>0</v>
      </c>
      <c r="AC816" s="14" t="n">
        <f aca="false">N816</f>
        <v>2.99623214859564</v>
      </c>
      <c r="AD816" s="14" t="n">
        <f aca="false">G816</f>
        <v>25</v>
      </c>
      <c r="AE816" s="14" t="n">
        <f aca="false">J816</f>
        <v>2</v>
      </c>
      <c r="AF816" s="14" t="n">
        <f aca="false">IF($L816=2012,1,0)</f>
        <v>0</v>
      </c>
      <c r="AG816" s="14" t="n">
        <f aca="false">IF($L816=2013,1,0)</f>
        <v>0</v>
      </c>
      <c r="AH816" s="14" t="n">
        <f aca="false">IF($L816=2014,1,0)</f>
        <v>0</v>
      </c>
      <c r="AI816" s="14" t="n">
        <f aca="false">IF($L816=2015,1,0)</f>
        <v>1</v>
      </c>
      <c r="AJ816" s="14" t="n">
        <f aca="false">IF($L816=2016,1,0)</f>
        <v>0</v>
      </c>
      <c r="AK816" s="14" t="n">
        <f aca="false">IF($L816=2017,1,0)</f>
        <v>0</v>
      </c>
      <c r="AL816" s="14" t="n">
        <f aca="false">IF($H816="Beginner Level",1,0)</f>
        <v>0</v>
      </c>
      <c r="AM816" s="14" t="n">
        <f aca="false">IF($H816="Expert Level",1,0)</f>
        <v>0</v>
      </c>
      <c r="AN816" s="14" t="n">
        <f aca="false">IF($H816="Intermediate Level",1,0)</f>
        <v>0</v>
      </c>
    </row>
    <row r="817" customFormat="false" ht="68.65" hidden="false" customHeight="false" outlineLevel="0" collapsed="false">
      <c r="A817" s="14" t="n">
        <v>814206</v>
      </c>
      <c r="B817" s="14" t="s">
        <v>1676</v>
      </c>
      <c r="C817" s="14" t="s">
        <v>1677</v>
      </c>
      <c r="D817" s="14" t="n">
        <v>50</v>
      </c>
      <c r="E817" s="14" t="n">
        <v>1439</v>
      </c>
      <c r="F817" s="14" t="n">
        <v>10</v>
      </c>
      <c r="G817" s="14" t="n">
        <v>77</v>
      </c>
      <c r="H817" s="14" t="s">
        <v>52</v>
      </c>
      <c r="I817" s="14" t="n">
        <v>0.84</v>
      </c>
      <c r="J817" s="14" t="n">
        <v>13</v>
      </c>
      <c r="K817" s="14" t="s">
        <v>59</v>
      </c>
      <c r="L817" s="14" t="n">
        <v>2016</v>
      </c>
      <c r="M817" s="14" t="n">
        <v>7.27170370688737</v>
      </c>
      <c r="N817" s="14" t="n">
        <v>3.91222298543081</v>
      </c>
      <c r="P817" s="14" t="n">
        <f aca="false">D817</f>
        <v>50</v>
      </c>
      <c r="Q817" s="14" t="n">
        <f aca="false">G817</f>
        <v>77</v>
      </c>
      <c r="R817" s="14" t="n">
        <f aca="false">J817</f>
        <v>13</v>
      </c>
      <c r="S817" s="14" t="n">
        <f aca="false">IF($L817=2012,1,0)</f>
        <v>0</v>
      </c>
      <c r="T817" s="14" t="n">
        <f aca="false">IF($L817=2013,1,0)</f>
        <v>0</v>
      </c>
      <c r="U817" s="14" t="n">
        <f aca="false">IF($L817=2014,1,0)</f>
        <v>0</v>
      </c>
      <c r="V817" s="14" t="n">
        <f aca="false">IF($L817=2015,1,0)</f>
        <v>0</v>
      </c>
      <c r="W817" s="14" t="n">
        <f aca="false">IF($L817=2016,1,0)</f>
        <v>1</v>
      </c>
      <c r="X817" s="14" t="n">
        <f aca="false">IF($L817=2017,1,0)</f>
        <v>0</v>
      </c>
      <c r="Y817" s="14" t="n">
        <f aca="false">IF($H817="Beginner Level",1,0)</f>
        <v>1</v>
      </c>
      <c r="Z817" s="14" t="n">
        <f aca="false">IF($H817="Expert Level",1,0)</f>
        <v>0</v>
      </c>
      <c r="AA817" s="14" t="n">
        <f aca="false">IF($H817="Intermediate Level",1,0)</f>
        <v>0</v>
      </c>
      <c r="AC817" s="14" t="n">
        <f aca="false">N817</f>
        <v>3.91222298543081</v>
      </c>
      <c r="AD817" s="14" t="n">
        <f aca="false">G817</f>
        <v>77</v>
      </c>
      <c r="AE817" s="14" t="n">
        <f aca="false">J817</f>
        <v>13</v>
      </c>
      <c r="AF817" s="14" t="n">
        <f aca="false">IF($L817=2012,1,0)</f>
        <v>0</v>
      </c>
      <c r="AG817" s="14" t="n">
        <f aca="false">IF($L817=2013,1,0)</f>
        <v>0</v>
      </c>
      <c r="AH817" s="14" t="n">
        <f aca="false">IF($L817=2014,1,0)</f>
        <v>0</v>
      </c>
      <c r="AI817" s="14" t="n">
        <f aca="false">IF($L817=2015,1,0)</f>
        <v>0</v>
      </c>
      <c r="AJ817" s="14" t="n">
        <f aca="false">IF($L817=2016,1,0)</f>
        <v>1</v>
      </c>
      <c r="AK817" s="14" t="n">
        <f aca="false">IF($L817=2017,1,0)</f>
        <v>0</v>
      </c>
      <c r="AL817" s="14" t="n">
        <f aca="false">IF($H817="Beginner Level",1,0)</f>
        <v>1</v>
      </c>
      <c r="AM817" s="14" t="n">
        <f aca="false">IF($H817="Expert Level",1,0)</f>
        <v>0</v>
      </c>
      <c r="AN817" s="14" t="n">
        <f aca="false">IF($H817="Intermediate Level",1,0)</f>
        <v>0</v>
      </c>
    </row>
    <row r="818" customFormat="false" ht="79.85" hidden="false" customHeight="false" outlineLevel="0" collapsed="false">
      <c r="A818" s="14" t="n">
        <v>1139400</v>
      </c>
      <c r="B818" s="14" t="s">
        <v>1678</v>
      </c>
      <c r="C818" s="14" t="s">
        <v>1679</v>
      </c>
      <c r="D818" s="14" t="n">
        <v>95</v>
      </c>
      <c r="E818" s="14" t="n">
        <v>1437</v>
      </c>
      <c r="F818" s="14" t="n">
        <v>24</v>
      </c>
      <c r="G818" s="14" t="n">
        <v>20</v>
      </c>
      <c r="H818" s="14" t="s">
        <v>71</v>
      </c>
      <c r="I818" s="14" t="n">
        <v>0.72</v>
      </c>
      <c r="J818" s="14" t="n">
        <v>1</v>
      </c>
      <c r="K818" s="14" t="s">
        <v>59</v>
      </c>
      <c r="L818" s="14" t="n">
        <v>2017</v>
      </c>
      <c r="M818" s="14" t="n">
        <v>7.27031288607903</v>
      </c>
      <c r="N818" s="14" t="n">
        <v>4.55398214921866</v>
      </c>
      <c r="P818" s="14" t="n">
        <f aca="false">D818</f>
        <v>95</v>
      </c>
      <c r="Q818" s="14" t="n">
        <f aca="false">G818</f>
        <v>20</v>
      </c>
      <c r="R818" s="14" t="n">
        <f aca="false">J818</f>
        <v>1</v>
      </c>
      <c r="S818" s="14" t="n">
        <f aca="false">IF($L818=2012,1,0)</f>
        <v>0</v>
      </c>
      <c r="T818" s="14" t="n">
        <f aca="false">IF($L818=2013,1,0)</f>
        <v>0</v>
      </c>
      <c r="U818" s="14" t="n">
        <f aca="false">IF($L818=2014,1,0)</f>
        <v>0</v>
      </c>
      <c r="V818" s="14" t="n">
        <f aca="false">IF($L818=2015,1,0)</f>
        <v>0</v>
      </c>
      <c r="W818" s="14" t="n">
        <f aca="false">IF($L818=2016,1,0)</f>
        <v>0</v>
      </c>
      <c r="X818" s="14" t="n">
        <f aca="false">IF($L818=2017,1,0)</f>
        <v>1</v>
      </c>
      <c r="Y818" s="14" t="n">
        <f aca="false">IF($H818="Beginner Level",1,0)</f>
        <v>0</v>
      </c>
      <c r="Z818" s="14" t="n">
        <f aca="false">IF($H818="Expert Level",1,0)</f>
        <v>0</v>
      </c>
      <c r="AA818" s="14" t="n">
        <f aca="false">IF($H818="Intermediate Level",1,0)</f>
        <v>1</v>
      </c>
      <c r="AC818" s="14" t="n">
        <f aca="false">N818</f>
        <v>4.55398214921866</v>
      </c>
      <c r="AD818" s="14" t="n">
        <f aca="false">G818</f>
        <v>20</v>
      </c>
      <c r="AE818" s="14" t="n">
        <f aca="false">J818</f>
        <v>1</v>
      </c>
      <c r="AF818" s="14" t="n">
        <f aca="false">IF($L818=2012,1,0)</f>
        <v>0</v>
      </c>
      <c r="AG818" s="14" t="n">
        <f aca="false">IF($L818=2013,1,0)</f>
        <v>0</v>
      </c>
      <c r="AH818" s="14" t="n">
        <f aca="false">IF($L818=2014,1,0)</f>
        <v>0</v>
      </c>
      <c r="AI818" s="14" t="n">
        <f aca="false">IF($L818=2015,1,0)</f>
        <v>0</v>
      </c>
      <c r="AJ818" s="14" t="n">
        <f aca="false">IF($L818=2016,1,0)</f>
        <v>0</v>
      </c>
      <c r="AK818" s="14" t="n">
        <f aca="false">IF($L818=2017,1,0)</f>
        <v>1</v>
      </c>
      <c r="AL818" s="14" t="n">
        <f aca="false">IF($H818="Beginner Level",1,0)</f>
        <v>0</v>
      </c>
      <c r="AM818" s="14" t="n">
        <f aca="false">IF($H818="Expert Level",1,0)</f>
        <v>0</v>
      </c>
      <c r="AN818" s="14" t="n">
        <f aca="false">IF($H818="Intermediate Level",1,0)</f>
        <v>1</v>
      </c>
    </row>
    <row r="819" customFormat="false" ht="68.65" hidden="false" customHeight="false" outlineLevel="0" collapsed="false">
      <c r="A819" s="14" t="n">
        <v>645714</v>
      </c>
      <c r="B819" s="14" t="s">
        <v>1680</v>
      </c>
      <c r="C819" s="14" t="s">
        <v>1681</v>
      </c>
      <c r="D819" s="14" t="n">
        <v>40</v>
      </c>
      <c r="E819" s="14" t="n">
        <v>1433</v>
      </c>
      <c r="F819" s="14" t="n">
        <v>145</v>
      </c>
      <c r="G819" s="14" t="n">
        <v>34</v>
      </c>
      <c r="H819" s="14" t="s">
        <v>52</v>
      </c>
      <c r="I819" s="14" t="n">
        <v>0.35</v>
      </c>
      <c r="J819" s="14" t="n">
        <v>5.5</v>
      </c>
      <c r="K819" s="14" t="s">
        <v>59</v>
      </c>
      <c r="L819" s="14" t="n">
        <v>2015</v>
      </c>
      <c r="M819" s="14" t="n">
        <v>7.26752542782817</v>
      </c>
      <c r="N819" s="14" t="n">
        <v>3.68912942286914</v>
      </c>
      <c r="P819" s="14" t="n">
        <f aca="false">D819</f>
        <v>40</v>
      </c>
      <c r="Q819" s="14" t="n">
        <f aca="false">G819</f>
        <v>34</v>
      </c>
      <c r="R819" s="14" t="n">
        <f aca="false">J819</f>
        <v>5.5</v>
      </c>
      <c r="S819" s="14" t="n">
        <f aca="false">IF($L819=2012,1,0)</f>
        <v>0</v>
      </c>
      <c r="T819" s="14" t="n">
        <f aca="false">IF($L819=2013,1,0)</f>
        <v>0</v>
      </c>
      <c r="U819" s="14" t="n">
        <f aca="false">IF($L819=2014,1,0)</f>
        <v>0</v>
      </c>
      <c r="V819" s="14" t="n">
        <f aca="false">IF($L819=2015,1,0)</f>
        <v>1</v>
      </c>
      <c r="W819" s="14" t="n">
        <f aca="false">IF($L819=2016,1,0)</f>
        <v>0</v>
      </c>
      <c r="X819" s="14" t="n">
        <f aca="false">IF($L819=2017,1,0)</f>
        <v>0</v>
      </c>
      <c r="Y819" s="14" t="n">
        <f aca="false">IF($H819="Beginner Level",1,0)</f>
        <v>1</v>
      </c>
      <c r="Z819" s="14" t="n">
        <f aca="false">IF($H819="Expert Level",1,0)</f>
        <v>0</v>
      </c>
      <c r="AA819" s="14" t="n">
        <f aca="false">IF($H819="Intermediate Level",1,0)</f>
        <v>0</v>
      </c>
      <c r="AC819" s="14" t="n">
        <f aca="false">N819</f>
        <v>3.68912942286914</v>
      </c>
      <c r="AD819" s="14" t="n">
        <f aca="false">G819</f>
        <v>34</v>
      </c>
      <c r="AE819" s="14" t="n">
        <f aca="false">J819</f>
        <v>5.5</v>
      </c>
      <c r="AF819" s="14" t="n">
        <f aca="false">IF($L819=2012,1,0)</f>
        <v>0</v>
      </c>
      <c r="AG819" s="14" t="n">
        <f aca="false">IF($L819=2013,1,0)</f>
        <v>0</v>
      </c>
      <c r="AH819" s="14" t="n">
        <f aca="false">IF($L819=2014,1,0)</f>
        <v>0</v>
      </c>
      <c r="AI819" s="14" t="n">
        <f aca="false">IF($L819=2015,1,0)</f>
        <v>1</v>
      </c>
      <c r="AJ819" s="14" t="n">
        <f aca="false">IF($L819=2016,1,0)</f>
        <v>0</v>
      </c>
      <c r="AK819" s="14" t="n">
        <f aca="false">IF($L819=2017,1,0)</f>
        <v>0</v>
      </c>
      <c r="AL819" s="14" t="n">
        <f aca="false">IF($H819="Beginner Level",1,0)</f>
        <v>1</v>
      </c>
      <c r="AM819" s="14" t="n">
        <f aca="false">IF($H819="Expert Level",1,0)</f>
        <v>0</v>
      </c>
      <c r="AN819" s="14" t="n">
        <f aca="false">IF($H819="Intermediate Level",1,0)</f>
        <v>0</v>
      </c>
    </row>
    <row r="820" customFormat="false" ht="35.05" hidden="false" customHeight="false" outlineLevel="0" collapsed="false">
      <c r="A820" s="14" t="n">
        <v>611518</v>
      </c>
      <c r="B820" s="14" t="s">
        <v>1682</v>
      </c>
      <c r="C820" s="14" t="s">
        <v>1683</v>
      </c>
      <c r="D820" s="14" t="n">
        <v>20</v>
      </c>
      <c r="E820" s="14" t="n">
        <v>1428</v>
      </c>
      <c r="F820" s="14" t="n">
        <v>91</v>
      </c>
      <c r="G820" s="14" t="n">
        <v>32</v>
      </c>
      <c r="H820" s="14" t="s">
        <v>62</v>
      </c>
      <c r="I820" s="14" t="n">
        <v>0.9</v>
      </c>
      <c r="J820" s="14" t="n">
        <v>3</v>
      </c>
      <c r="K820" s="14" t="s">
        <v>59</v>
      </c>
      <c r="L820" s="14" t="n">
        <v>2015</v>
      </c>
      <c r="M820" s="14" t="n">
        <v>7.26403014289953</v>
      </c>
      <c r="N820" s="14" t="n">
        <v>2.99623214859564</v>
      </c>
      <c r="P820" s="14" t="n">
        <f aca="false">D820</f>
        <v>20</v>
      </c>
      <c r="Q820" s="14" t="n">
        <f aca="false">G820</f>
        <v>32</v>
      </c>
      <c r="R820" s="14" t="n">
        <f aca="false">J820</f>
        <v>3</v>
      </c>
      <c r="S820" s="14" t="n">
        <f aca="false">IF($L820=2012,1,0)</f>
        <v>0</v>
      </c>
      <c r="T820" s="14" t="n">
        <f aca="false">IF($L820=2013,1,0)</f>
        <v>0</v>
      </c>
      <c r="U820" s="14" t="n">
        <f aca="false">IF($L820=2014,1,0)</f>
        <v>0</v>
      </c>
      <c r="V820" s="14" t="n">
        <f aca="false">IF($L820=2015,1,0)</f>
        <v>1</v>
      </c>
      <c r="W820" s="14" t="n">
        <f aca="false">IF($L820=2016,1,0)</f>
        <v>0</v>
      </c>
      <c r="X820" s="14" t="n">
        <f aca="false">IF($L820=2017,1,0)</f>
        <v>0</v>
      </c>
      <c r="Y820" s="14" t="n">
        <f aca="false">IF($H820="Beginner Level",1,0)</f>
        <v>0</v>
      </c>
      <c r="Z820" s="14" t="n">
        <f aca="false">IF($H820="Expert Level",1,0)</f>
        <v>0</v>
      </c>
      <c r="AA820" s="14" t="n">
        <f aca="false">IF($H820="Intermediate Level",1,0)</f>
        <v>0</v>
      </c>
      <c r="AC820" s="14" t="n">
        <f aca="false">N820</f>
        <v>2.99623214859564</v>
      </c>
      <c r="AD820" s="14" t="n">
        <f aca="false">G820</f>
        <v>32</v>
      </c>
      <c r="AE820" s="14" t="n">
        <f aca="false">J820</f>
        <v>3</v>
      </c>
      <c r="AF820" s="14" t="n">
        <f aca="false">IF($L820=2012,1,0)</f>
        <v>0</v>
      </c>
      <c r="AG820" s="14" t="n">
        <f aca="false">IF($L820=2013,1,0)</f>
        <v>0</v>
      </c>
      <c r="AH820" s="14" t="n">
        <f aca="false">IF($L820=2014,1,0)</f>
        <v>0</v>
      </c>
      <c r="AI820" s="14" t="n">
        <f aca="false">IF($L820=2015,1,0)</f>
        <v>1</v>
      </c>
      <c r="AJ820" s="14" t="n">
        <f aca="false">IF($L820=2016,1,0)</f>
        <v>0</v>
      </c>
      <c r="AK820" s="14" t="n">
        <f aca="false">IF($L820=2017,1,0)</f>
        <v>0</v>
      </c>
      <c r="AL820" s="14" t="n">
        <f aca="false">IF($H820="Beginner Level",1,0)</f>
        <v>0</v>
      </c>
      <c r="AM820" s="14" t="n">
        <f aca="false">IF($H820="Expert Level",1,0)</f>
        <v>0</v>
      </c>
      <c r="AN820" s="14" t="n">
        <f aca="false">IF($H820="Intermediate Level",1,0)</f>
        <v>0</v>
      </c>
    </row>
    <row r="821" customFormat="false" ht="91" hidden="false" customHeight="false" outlineLevel="0" collapsed="false">
      <c r="A821" s="14" t="n">
        <v>943306</v>
      </c>
      <c r="B821" s="14" t="s">
        <v>1684</v>
      </c>
      <c r="C821" s="14" t="s">
        <v>1685</v>
      </c>
      <c r="D821" s="14" t="n">
        <v>110</v>
      </c>
      <c r="E821" s="14" t="n">
        <v>1425</v>
      </c>
      <c r="F821" s="14" t="n">
        <v>36</v>
      </c>
      <c r="G821" s="14" t="n">
        <v>34</v>
      </c>
      <c r="H821" s="14" t="s">
        <v>62</v>
      </c>
      <c r="I821" s="14" t="n">
        <v>0.77</v>
      </c>
      <c r="J821" s="14" t="n">
        <v>5.5</v>
      </c>
      <c r="K821" s="14" t="s">
        <v>59</v>
      </c>
      <c r="L821" s="14" t="n">
        <v>2016</v>
      </c>
      <c r="M821" s="14" t="n">
        <v>7.26192709270275</v>
      </c>
      <c r="N821" s="14" t="n">
        <v>4.70057127075134</v>
      </c>
      <c r="P821" s="14" t="n">
        <f aca="false">D821</f>
        <v>110</v>
      </c>
      <c r="Q821" s="14" t="n">
        <f aca="false">G821</f>
        <v>34</v>
      </c>
      <c r="R821" s="14" t="n">
        <f aca="false">J821</f>
        <v>5.5</v>
      </c>
      <c r="S821" s="14" t="n">
        <f aca="false">IF($L821=2012,1,0)</f>
        <v>0</v>
      </c>
      <c r="T821" s="14" t="n">
        <f aca="false">IF($L821=2013,1,0)</f>
        <v>0</v>
      </c>
      <c r="U821" s="14" t="n">
        <f aca="false">IF($L821=2014,1,0)</f>
        <v>0</v>
      </c>
      <c r="V821" s="14" t="n">
        <f aca="false">IF($L821=2015,1,0)</f>
        <v>0</v>
      </c>
      <c r="W821" s="14" t="n">
        <f aca="false">IF($L821=2016,1,0)</f>
        <v>1</v>
      </c>
      <c r="X821" s="14" t="n">
        <f aca="false">IF($L821=2017,1,0)</f>
        <v>0</v>
      </c>
      <c r="Y821" s="14" t="n">
        <f aca="false">IF($H821="Beginner Level",1,0)</f>
        <v>0</v>
      </c>
      <c r="Z821" s="14" t="n">
        <f aca="false">IF($H821="Expert Level",1,0)</f>
        <v>0</v>
      </c>
      <c r="AA821" s="14" t="n">
        <f aca="false">IF($H821="Intermediate Level",1,0)</f>
        <v>0</v>
      </c>
      <c r="AC821" s="14" t="n">
        <f aca="false">N821</f>
        <v>4.70057127075134</v>
      </c>
      <c r="AD821" s="14" t="n">
        <f aca="false">G821</f>
        <v>34</v>
      </c>
      <c r="AE821" s="14" t="n">
        <f aca="false">J821</f>
        <v>5.5</v>
      </c>
      <c r="AF821" s="14" t="n">
        <f aca="false">IF($L821=2012,1,0)</f>
        <v>0</v>
      </c>
      <c r="AG821" s="14" t="n">
        <f aca="false">IF($L821=2013,1,0)</f>
        <v>0</v>
      </c>
      <c r="AH821" s="14" t="n">
        <f aca="false">IF($L821=2014,1,0)</f>
        <v>0</v>
      </c>
      <c r="AI821" s="14" t="n">
        <f aca="false">IF($L821=2015,1,0)</f>
        <v>0</v>
      </c>
      <c r="AJ821" s="14" t="n">
        <f aca="false">IF($L821=2016,1,0)</f>
        <v>1</v>
      </c>
      <c r="AK821" s="14" t="n">
        <f aca="false">IF($L821=2017,1,0)</f>
        <v>0</v>
      </c>
      <c r="AL821" s="14" t="n">
        <f aca="false">IF($H821="Beginner Level",1,0)</f>
        <v>0</v>
      </c>
      <c r="AM821" s="14" t="n">
        <f aca="false">IF($H821="Expert Level",1,0)</f>
        <v>0</v>
      </c>
      <c r="AN821" s="14" t="n">
        <f aca="false">IF($H821="Intermediate Level",1,0)</f>
        <v>0</v>
      </c>
    </row>
    <row r="822" customFormat="false" ht="46.25" hidden="false" customHeight="false" outlineLevel="0" collapsed="false">
      <c r="A822" s="14" t="n">
        <v>598516</v>
      </c>
      <c r="B822" s="14" t="s">
        <v>1686</v>
      </c>
      <c r="C822" s="14" t="s">
        <v>1687</v>
      </c>
      <c r="D822" s="14" t="n">
        <v>20</v>
      </c>
      <c r="E822" s="14" t="n">
        <v>1421</v>
      </c>
      <c r="F822" s="14" t="n">
        <v>17</v>
      </c>
      <c r="G822" s="14" t="n">
        <v>36</v>
      </c>
      <c r="H822" s="14" t="s">
        <v>52</v>
      </c>
      <c r="I822" s="14" t="n">
        <v>0.83</v>
      </c>
      <c r="J822" s="14" t="n">
        <v>4</v>
      </c>
      <c r="K822" s="14" t="s">
        <v>59</v>
      </c>
      <c r="L822" s="14" t="n">
        <v>2015</v>
      </c>
      <c r="M822" s="14" t="n">
        <v>7.2591161280971</v>
      </c>
      <c r="N822" s="14" t="n">
        <v>2.99623214859564</v>
      </c>
      <c r="P822" s="14" t="n">
        <f aca="false">D822</f>
        <v>20</v>
      </c>
      <c r="Q822" s="14" t="n">
        <f aca="false">G822</f>
        <v>36</v>
      </c>
      <c r="R822" s="14" t="n">
        <f aca="false">J822</f>
        <v>4</v>
      </c>
      <c r="S822" s="14" t="n">
        <f aca="false">IF($L822=2012,1,0)</f>
        <v>0</v>
      </c>
      <c r="T822" s="14" t="n">
        <f aca="false">IF($L822=2013,1,0)</f>
        <v>0</v>
      </c>
      <c r="U822" s="14" t="n">
        <f aca="false">IF($L822=2014,1,0)</f>
        <v>0</v>
      </c>
      <c r="V822" s="14" t="n">
        <f aca="false">IF($L822=2015,1,0)</f>
        <v>1</v>
      </c>
      <c r="W822" s="14" t="n">
        <f aca="false">IF($L822=2016,1,0)</f>
        <v>0</v>
      </c>
      <c r="X822" s="14" t="n">
        <f aca="false">IF($L822=2017,1,0)</f>
        <v>0</v>
      </c>
      <c r="Y822" s="14" t="n">
        <f aca="false">IF($H822="Beginner Level",1,0)</f>
        <v>1</v>
      </c>
      <c r="Z822" s="14" t="n">
        <f aca="false">IF($H822="Expert Level",1,0)</f>
        <v>0</v>
      </c>
      <c r="AA822" s="14" t="n">
        <f aca="false">IF($H822="Intermediate Level",1,0)</f>
        <v>0</v>
      </c>
      <c r="AC822" s="14" t="n">
        <f aca="false">N822</f>
        <v>2.99623214859564</v>
      </c>
      <c r="AD822" s="14" t="n">
        <f aca="false">G822</f>
        <v>36</v>
      </c>
      <c r="AE822" s="14" t="n">
        <f aca="false">J822</f>
        <v>4</v>
      </c>
      <c r="AF822" s="14" t="n">
        <f aca="false">IF($L822=2012,1,0)</f>
        <v>0</v>
      </c>
      <c r="AG822" s="14" t="n">
        <f aca="false">IF($L822=2013,1,0)</f>
        <v>0</v>
      </c>
      <c r="AH822" s="14" t="n">
        <f aca="false">IF($L822=2014,1,0)</f>
        <v>0</v>
      </c>
      <c r="AI822" s="14" t="n">
        <f aca="false">IF($L822=2015,1,0)</f>
        <v>1</v>
      </c>
      <c r="AJ822" s="14" t="n">
        <f aca="false">IF($L822=2016,1,0)</f>
        <v>0</v>
      </c>
      <c r="AK822" s="14" t="n">
        <f aca="false">IF($L822=2017,1,0)</f>
        <v>0</v>
      </c>
      <c r="AL822" s="14" t="n">
        <f aca="false">IF($H822="Beginner Level",1,0)</f>
        <v>1</v>
      </c>
      <c r="AM822" s="14" t="n">
        <f aca="false">IF($H822="Expert Level",1,0)</f>
        <v>0</v>
      </c>
      <c r="AN822" s="14" t="n">
        <f aca="false">IF($H822="Intermediate Level",1,0)</f>
        <v>0</v>
      </c>
    </row>
    <row r="823" customFormat="false" ht="68.65" hidden="false" customHeight="false" outlineLevel="0" collapsed="false">
      <c r="A823" s="14" t="n">
        <v>949134</v>
      </c>
      <c r="B823" s="14" t="s">
        <v>1688</v>
      </c>
      <c r="C823" s="14" t="s">
        <v>1689</v>
      </c>
      <c r="D823" s="14" t="n">
        <v>200</v>
      </c>
      <c r="E823" s="14" t="n">
        <v>1420</v>
      </c>
      <c r="F823" s="14" t="n">
        <v>62</v>
      </c>
      <c r="G823" s="14" t="n">
        <v>152</v>
      </c>
      <c r="H823" s="14" t="s">
        <v>62</v>
      </c>
      <c r="I823" s="14" t="n">
        <v>0.07</v>
      </c>
      <c r="J823" s="14" t="n">
        <v>5.5</v>
      </c>
      <c r="K823" s="14" t="s">
        <v>59</v>
      </c>
      <c r="L823" s="14" t="n">
        <v>2016</v>
      </c>
      <c r="M823" s="14" t="n">
        <v>7.25841215059531</v>
      </c>
      <c r="N823" s="14" t="n">
        <v>5.29836736529808</v>
      </c>
      <c r="P823" s="14" t="n">
        <f aca="false">D823</f>
        <v>200</v>
      </c>
      <c r="Q823" s="14" t="n">
        <f aca="false">G823</f>
        <v>152</v>
      </c>
      <c r="R823" s="14" t="n">
        <f aca="false">J823</f>
        <v>5.5</v>
      </c>
      <c r="S823" s="14" t="n">
        <f aca="false">IF($L823=2012,1,0)</f>
        <v>0</v>
      </c>
      <c r="T823" s="14" t="n">
        <f aca="false">IF($L823=2013,1,0)</f>
        <v>0</v>
      </c>
      <c r="U823" s="14" t="n">
        <f aca="false">IF($L823=2014,1,0)</f>
        <v>0</v>
      </c>
      <c r="V823" s="14" t="n">
        <f aca="false">IF($L823=2015,1,0)</f>
        <v>0</v>
      </c>
      <c r="W823" s="14" t="n">
        <f aca="false">IF($L823=2016,1,0)</f>
        <v>1</v>
      </c>
      <c r="X823" s="14" t="n">
        <f aca="false">IF($L823=2017,1,0)</f>
        <v>0</v>
      </c>
      <c r="Y823" s="14" t="n">
        <f aca="false">IF($H823="Beginner Level",1,0)</f>
        <v>0</v>
      </c>
      <c r="Z823" s="14" t="n">
        <f aca="false">IF($H823="Expert Level",1,0)</f>
        <v>0</v>
      </c>
      <c r="AA823" s="14" t="n">
        <f aca="false">IF($H823="Intermediate Level",1,0)</f>
        <v>0</v>
      </c>
      <c r="AC823" s="14" t="n">
        <f aca="false">N823</f>
        <v>5.29836736529808</v>
      </c>
      <c r="AD823" s="14" t="n">
        <f aca="false">G823</f>
        <v>152</v>
      </c>
      <c r="AE823" s="14" t="n">
        <f aca="false">J823</f>
        <v>5.5</v>
      </c>
      <c r="AF823" s="14" t="n">
        <f aca="false">IF($L823=2012,1,0)</f>
        <v>0</v>
      </c>
      <c r="AG823" s="14" t="n">
        <f aca="false">IF($L823=2013,1,0)</f>
        <v>0</v>
      </c>
      <c r="AH823" s="14" t="n">
        <f aca="false">IF($L823=2014,1,0)</f>
        <v>0</v>
      </c>
      <c r="AI823" s="14" t="n">
        <f aca="false">IF($L823=2015,1,0)</f>
        <v>0</v>
      </c>
      <c r="AJ823" s="14" t="n">
        <f aca="false">IF($L823=2016,1,0)</f>
        <v>1</v>
      </c>
      <c r="AK823" s="14" t="n">
        <f aca="false">IF($L823=2017,1,0)</f>
        <v>0</v>
      </c>
      <c r="AL823" s="14" t="n">
        <f aca="false">IF($H823="Beginner Level",1,0)</f>
        <v>0</v>
      </c>
      <c r="AM823" s="14" t="n">
        <f aca="false">IF($H823="Expert Level",1,0)</f>
        <v>0</v>
      </c>
      <c r="AN823" s="14" t="n">
        <f aca="false">IF($H823="Intermediate Level",1,0)</f>
        <v>0</v>
      </c>
    </row>
    <row r="824" customFormat="false" ht="91" hidden="false" customHeight="false" outlineLevel="0" collapsed="false">
      <c r="A824" s="14" t="n">
        <v>335280</v>
      </c>
      <c r="B824" s="14" t="s">
        <v>1690</v>
      </c>
      <c r="C824" s="14" t="s">
        <v>1691</v>
      </c>
      <c r="D824" s="14" t="n">
        <v>60</v>
      </c>
      <c r="E824" s="14" t="n">
        <v>1419</v>
      </c>
      <c r="F824" s="14" t="n">
        <v>38</v>
      </c>
      <c r="G824" s="14" t="n">
        <v>20</v>
      </c>
      <c r="H824" s="14" t="s">
        <v>52</v>
      </c>
      <c r="I824" s="14" t="n">
        <v>0.74</v>
      </c>
      <c r="J824" s="14" t="n">
        <v>1.5</v>
      </c>
      <c r="K824" s="14" t="s">
        <v>59</v>
      </c>
      <c r="L824" s="14" t="n">
        <v>2014</v>
      </c>
      <c r="M824" s="14" t="n">
        <v>7.25770767716004</v>
      </c>
      <c r="N824" s="14" t="n">
        <v>4.09451121500142</v>
      </c>
      <c r="P824" s="14" t="n">
        <f aca="false">D824</f>
        <v>60</v>
      </c>
      <c r="Q824" s="14" t="n">
        <f aca="false">G824</f>
        <v>20</v>
      </c>
      <c r="R824" s="14" t="n">
        <f aca="false">J824</f>
        <v>1.5</v>
      </c>
      <c r="S824" s="14" t="n">
        <f aca="false">IF($L824=2012,1,0)</f>
        <v>0</v>
      </c>
      <c r="T824" s="14" t="n">
        <f aca="false">IF($L824=2013,1,0)</f>
        <v>0</v>
      </c>
      <c r="U824" s="14" t="n">
        <f aca="false">IF($L824=2014,1,0)</f>
        <v>1</v>
      </c>
      <c r="V824" s="14" t="n">
        <f aca="false">IF($L824=2015,1,0)</f>
        <v>0</v>
      </c>
      <c r="W824" s="14" t="n">
        <f aca="false">IF($L824=2016,1,0)</f>
        <v>0</v>
      </c>
      <c r="X824" s="14" t="n">
        <f aca="false">IF($L824=2017,1,0)</f>
        <v>0</v>
      </c>
      <c r="Y824" s="14" t="n">
        <f aca="false">IF($H824="Beginner Level",1,0)</f>
        <v>1</v>
      </c>
      <c r="Z824" s="14" t="n">
        <f aca="false">IF($H824="Expert Level",1,0)</f>
        <v>0</v>
      </c>
      <c r="AA824" s="14" t="n">
        <f aca="false">IF($H824="Intermediate Level",1,0)</f>
        <v>0</v>
      </c>
      <c r="AC824" s="14" t="n">
        <f aca="false">N824</f>
        <v>4.09451121500142</v>
      </c>
      <c r="AD824" s="14" t="n">
        <f aca="false">G824</f>
        <v>20</v>
      </c>
      <c r="AE824" s="14" t="n">
        <f aca="false">J824</f>
        <v>1.5</v>
      </c>
      <c r="AF824" s="14" t="n">
        <f aca="false">IF($L824=2012,1,0)</f>
        <v>0</v>
      </c>
      <c r="AG824" s="14" t="n">
        <f aca="false">IF($L824=2013,1,0)</f>
        <v>0</v>
      </c>
      <c r="AH824" s="14" t="n">
        <f aca="false">IF($L824=2014,1,0)</f>
        <v>1</v>
      </c>
      <c r="AI824" s="14" t="n">
        <f aca="false">IF($L824=2015,1,0)</f>
        <v>0</v>
      </c>
      <c r="AJ824" s="14" t="n">
        <f aca="false">IF($L824=2016,1,0)</f>
        <v>0</v>
      </c>
      <c r="AK824" s="14" t="n">
        <f aca="false">IF($L824=2017,1,0)</f>
        <v>0</v>
      </c>
      <c r="AL824" s="14" t="n">
        <f aca="false">IF($H824="Beginner Level",1,0)</f>
        <v>1</v>
      </c>
      <c r="AM824" s="14" t="n">
        <f aca="false">IF($H824="Expert Level",1,0)</f>
        <v>0</v>
      </c>
      <c r="AN824" s="14" t="n">
        <f aca="false">IF($H824="Intermediate Level",1,0)</f>
        <v>0</v>
      </c>
    </row>
    <row r="825" customFormat="false" ht="46.25" hidden="false" customHeight="false" outlineLevel="0" collapsed="false">
      <c r="A825" s="14" t="n">
        <v>1267892</v>
      </c>
      <c r="B825" s="14" t="s">
        <v>1692</v>
      </c>
      <c r="C825" s="14" t="s">
        <v>1693</v>
      </c>
      <c r="D825" s="14" t="n">
        <v>200</v>
      </c>
      <c r="E825" s="14" t="n">
        <v>1415</v>
      </c>
      <c r="F825" s="14" t="n">
        <v>17</v>
      </c>
      <c r="G825" s="14" t="n">
        <v>23</v>
      </c>
      <c r="H825" s="14" t="s">
        <v>62</v>
      </c>
      <c r="I825" s="14" t="n">
        <v>0.62</v>
      </c>
      <c r="J825" s="14" t="n">
        <v>1.5</v>
      </c>
      <c r="K825" s="14" t="s">
        <v>59</v>
      </c>
      <c r="L825" s="14" t="n">
        <v>2017</v>
      </c>
      <c r="M825" s="14" t="n">
        <v>7.25488481007734</v>
      </c>
      <c r="N825" s="14" t="n">
        <v>5.29836736529808</v>
      </c>
      <c r="P825" s="14" t="n">
        <f aca="false">D825</f>
        <v>200</v>
      </c>
      <c r="Q825" s="14" t="n">
        <f aca="false">G825</f>
        <v>23</v>
      </c>
      <c r="R825" s="14" t="n">
        <f aca="false">J825</f>
        <v>1.5</v>
      </c>
      <c r="S825" s="14" t="n">
        <f aca="false">IF($L825=2012,1,0)</f>
        <v>0</v>
      </c>
      <c r="T825" s="14" t="n">
        <f aca="false">IF($L825=2013,1,0)</f>
        <v>0</v>
      </c>
      <c r="U825" s="14" t="n">
        <f aca="false">IF($L825=2014,1,0)</f>
        <v>0</v>
      </c>
      <c r="V825" s="14" t="n">
        <f aca="false">IF($L825=2015,1,0)</f>
        <v>0</v>
      </c>
      <c r="W825" s="14" t="n">
        <f aca="false">IF($L825=2016,1,0)</f>
        <v>0</v>
      </c>
      <c r="X825" s="14" t="n">
        <f aca="false">IF($L825=2017,1,0)</f>
        <v>1</v>
      </c>
      <c r="Y825" s="14" t="n">
        <f aca="false">IF($H825="Beginner Level",1,0)</f>
        <v>0</v>
      </c>
      <c r="Z825" s="14" t="n">
        <f aca="false">IF($H825="Expert Level",1,0)</f>
        <v>0</v>
      </c>
      <c r="AA825" s="14" t="n">
        <f aca="false">IF($H825="Intermediate Level",1,0)</f>
        <v>0</v>
      </c>
      <c r="AC825" s="14" t="n">
        <f aca="false">N825</f>
        <v>5.29836736529808</v>
      </c>
      <c r="AD825" s="14" t="n">
        <f aca="false">G825</f>
        <v>23</v>
      </c>
      <c r="AE825" s="14" t="n">
        <f aca="false">J825</f>
        <v>1.5</v>
      </c>
      <c r="AF825" s="14" t="n">
        <f aca="false">IF($L825=2012,1,0)</f>
        <v>0</v>
      </c>
      <c r="AG825" s="14" t="n">
        <f aca="false">IF($L825=2013,1,0)</f>
        <v>0</v>
      </c>
      <c r="AH825" s="14" t="n">
        <f aca="false">IF($L825=2014,1,0)</f>
        <v>0</v>
      </c>
      <c r="AI825" s="14" t="n">
        <f aca="false">IF($L825=2015,1,0)</f>
        <v>0</v>
      </c>
      <c r="AJ825" s="14" t="n">
        <f aca="false">IF($L825=2016,1,0)</f>
        <v>0</v>
      </c>
      <c r="AK825" s="14" t="n">
        <f aca="false">IF($L825=2017,1,0)</f>
        <v>1</v>
      </c>
      <c r="AL825" s="14" t="n">
        <f aca="false">IF($H825="Beginner Level",1,0)</f>
        <v>0</v>
      </c>
      <c r="AM825" s="14" t="n">
        <f aca="false">IF($H825="Expert Level",1,0)</f>
        <v>0</v>
      </c>
      <c r="AN825" s="14" t="n">
        <f aca="false">IF($H825="Intermediate Level",1,0)</f>
        <v>0</v>
      </c>
    </row>
    <row r="826" customFormat="false" ht="57.45" hidden="false" customHeight="false" outlineLevel="0" collapsed="false">
      <c r="A826" s="14" t="n">
        <v>467186</v>
      </c>
      <c r="B826" s="14" t="s">
        <v>1694</v>
      </c>
      <c r="C826" s="14" t="s">
        <v>1695</v>
      </c>
      <c r="D826" s="14" t="n">
        <v>150</v>
      </c>
      <c r="E826" s="14" t="n">
        <v>1414</v>
      </c>
      <c r="F826" s="14" t="n">
        <v>14</v>
      </c>
      <c r="G826" s="14" t="n">
        <v>22</v>
      </c>
      <c r="H826" s="14" t="s">
        <v>62</v>
      </c>
      <c r="I826" s="14" t="n">
        <v>0.87</v>
      </c>
      <c r="J826" s="14" t="n">
        <v>2.5</v>
      </c>
      <c r="K826" s="14" t="s">
        <v>59</v>
      </c>
      <c r="L826" s="14" t="n">
        <v>2015</v>
      </c>
      <c r="M826" s="14" t="n">
        <v>7.25417784645652</v>
      </c>
      <c r="N826" s="14" t="n">
        <v>5.0107019585408</v>
      </c>
      <c r="P826" s="14" t="n">
        <f aca="false">D826</f>
        <v>150</v>
      </c>
      <c r="Q826" s="14" t="n">
        <f aca="false">G826</f>
        <v>22</v>
      </c>
      <c r="R826" s="14" t="n">
        <f aca="false">J826</f>
        <v>2.5</v>
      </c>
      <c r="S826" s="14" t="n">
        <f aca="false">IF($L826=2012,1,0)</f>
        <v>0</v>
      </c>
      <c r="T826" s="14" t="n">
        <f aca="false">IF($L826=2013,1,0)</f>
        <v>0</v>
      </c>
      <c r="U826" s="14" t="n">
        <f aca="false">IF($L826=2014,1,0)</f>
        <v>0</v>
      </c>
      <c r="V826" s="14" t="n">
        <f aca="false">IF($L826=2015,1,0)</f>
        <v>1</v>
      </c>
      <c r="W826" s="14" t="n">
        <f aca="false">IF($L826=2016,1,0)</f>
        <v>0</v>
      </c>
      <c r="X826" s="14" t="n">
        <f aca="false">IF($L826=2017,1,0)</f>
        <v>0</v>
      </c>
      <c r="Y826" s="14" t="n">
        <f aca="false">IF($H826="Beginner Level",1,0)</f>
        <v>0</v>
      </c>
      <c r="Z826" s="14" t="n">
        <f aca="false">IF($H826="Expert Level",1,0)</f>
        <v>0</v>
      </c>
      <c r="AA826" s="14" t="n">
        <f aca="false">IF($H826="Intermediate Level",1,0)</f>
        <v>0</v>
      </c>
      <c r="AC826" s="14" t="n">
        <f aca="false">N826</f>
        <v>5.0107019585408</v>
      </c>
      <c r="AD826" s="14" t="n">
        <f aca="false">G826</f>
        <v>22</v>
      </c>
      <c r="AE826" s="14" t="n">
        <f aca="false">J826</f>
        <v>2.5</v>
      </c>
      <c r="AF826" s="14" t="n">
        <f aca="false">IF($L826=2012,1,0)</f>
        <v>0</v>
      </c>
      <c r="AG826" s="14" t="n">
        <f aca="false">IF($L826=2013,1,0)</f>
        <v>0</v>
      </c>
      <c r="AH826" s="14" t="n">
        <f aca="false">IF($L826=2014,1,0)</f>
        <v>0</v>
      </c>
      <c r="AI826" s="14" t="n">
        <f aca="false">IF($L826=2015,1,0)</f>
        <v>1</v>
      </c>
      <c r="AJ826" s="14" t="n">
        <f aca="false">IF($L826=2016,1,0)</f>
        <v>0</v>
      </c>
      <c r="AK826" s="14" t="n">
        <f aca="false">IF($L826=2017,1,0)</f>
        <v>0</v>
      </c>
      <c r="AL826" s="14" t="n">
        <f aca="false">IF($H826="Beginner Level",1,0)</f>
        <v>0</v>
      </c>
      <c r="AM826" s="14" t="n">
        <f aca="false">IF($H826="Expert Level",1,0)</f>
        <v>0</v>
      </c>
      <c r="AN826" s="14" t="n">
        <f aca="false">IF($H826="Intermediate Level",1,0)</f>
        <v>0</v>
      </c>
    </row>
    <row r="827" customFormat="false" ht="57.45" hidden="false" customHeight="false" outlineLevel="0" collapsed="false">
      <c r="A827" s="14" t="n">
        <v>822670</v>
      </c>
      <c r="B827" s="14" t="s">
        <v>1696</v>
      </c>
      <c r="C827" s="14" t="s">
        <v>1697</v>
      </c>
      <c r="D827" s="14" t="n">
        <v>100</v>
      </c>
      <c r="E827" s="14" t="n">
        <v>1410</v>
      </c>
      <c r="F827" s="14" t="n">
        <v>134</v>
      </c>
      <c r="G827" s="14" t="n">
        <v>67</v>
      </c>
      <c r="H827" s="14" t="s">
        <v>71</v>
      </c>
      <c r="I827" s="14" t="n">
        <v>0.96</v>
      </c>
      <c r="J827" s="14" t="n">
        <v>5</v>
      </c>
      <c r="K827" s="14" t="s">
        <v>59</v>
      </c>
      <c r="L827" s="14" t="n">
        <v>2016</v>
      </c>
      <c r="M827" s="14" t="n">
        <v>7.25134498337221</v>
      </c>
      <c r="N827" s="14" t="n">
        <v>4.60527018098843</v>
      </c>
      <c r="P827" s="14" t="n">
        <f aca="false">D827</f>
        <v>100</v>
      </c>
      <c r="Q827" s="14" t="n">
        <f aca="false">G827</f>
        <v>67</v>
      </c>
      <c r="R827" s="14" t="n">
        <f aca="false">J827</f>
        <v>5</v>
      </c>
      <c r="S827" s="14" t="n">
        <f aca="false">IF($L827=2012,1,0)</f>
        <v>0</v>
      </c>
      <c r="T827" s="14" t="n">
        <f aca="false">IF($L827=2013,1,0)</f>
        <v>0</v>
      </c>
      <c r="U827" s="14" t="n">
        <f aca="false">IF($L827=2014,1,0)</f>
        <v>0</v>
      </c>
      <c r="V827" s="14" t="n">
        <f aca="false">IF($L827=2015,1,0)</f>
        <v>0</v>
      </c>
      <c r="W827" s="14" t="n">
        <f aca="false">IF($L827=2016,1,0)</f>
        <v>1</v>
      </c>
      <c r="X827" s="14" t="n">
        <f aca="false">IF($L827=2017,1,0)</f>
        <v>0</v>
      </c>
      <c r="Y827" s="14" t="n">
        <f aca="false">IF($H827="Beginner Level",1,0)</f>
        <v>0</v>
      </c>
      <c r="Z827" s="14" t="n">
        <f aca="false">IF($H827="Expert Level",1,0)</f>
        <v>0</v>
      </c>
      <c r="AA827" s="14" t="n">
        <f aca="false">IF($H827="Intermediate Level",1,0)</f>
        <v>1</v>
      </c>
      <c r="AC827" s="14" t="n">
        <f aca="false">N827</f>
        <v>4.60527018098843</v>
      </c>
      <c r="AD827" s="14" t="n">
        <f aca="false">G827</f>
        <v>67</v>
      </c>
      <c r="AE827" s="14" t="n">
        <f aca="false">J827</f>
        <v>5</v>
      </c>
      <c r="AF827" s="14" t="n">
        <f aca="false">IF($L827=2012,1,0)</f>
        <v>0</v>
      </c>
      <c r="AG827" s="14" t="n">
        <f aca="false">IF($L827=2013,1,0)</f>
        <v>0</v>
      </c>
      <c r="AH827" s="14" t="n">
        <f aca="false">IF($L827=2014,1,0)</f>
        <v>0</v>
      </c>
      <c r="AI827" s="14" t="n">
        <f aca="false">IF($L827=2015,1,0)</f>
        <v>0</v>
      </c>
      <c r="AJ827" s="14" t="n">
        <f aca="false">IF($L827=2016,1,0)</f>
        <v>1</v>
      </c>
      <c r="AK827" s="14" t="n">
        <f aca="false">IF($L827=2017,1,0)</f>
        <v>0</v>
      </c>
      <c r="AL827" s="14" t="n">
        <f aca="false">IF($H827="Beginner Level",1,0)</f>
        <v>0</v>
      </c>
      <c r="AM827" s="14" t="n">
        <f aca="false">IF($H827="Expert Level",1,0)</f>
        <v>0</v>
      </c>
      <c r="AN827" s="14" t="n">
        <f aca="false">IF($H827="Intermediate Level",1,0)</f>
        <v>1</v>
      </c>
    </row>
    <row r="828" customFormat="false" ht="79.85" hidden="false" customHeight="false" outlineLevel="0" collapsed="false">
      <c r="A828" s="14" t="n">
        <v>173888</v>
      </c>
      <c r="B828" s="14" t="s">
        <v>1698</v>
      </c>
      <c r="C828" s="14" t="s">
        <v>1699</v>
      </c>
      <c r="D828" s="14" t="n">
        <v>115</v>
      </c>
      <c r="E828" s="14" t="n">
        <v>1407</v>
      </c>
      <c r="F828" s="14" t="n">
        <v>137</v>
      </c>
      <c r="G828" s="14" t="n">
        <v>69</v>
      </c>
      <c r="H828" s="14" t="s">
        <v>62</v>
      </c>
      <c r="I828" s="14" t="n">
        <v>0.52</v>
      </c>
      <c r="J828" s="14" t="n">
        <v>7</v>
      </c>
      <c r="K828" s="14" t="s">
        <v>59</v>
      </c>
      <c r="L828" s="14" t="n">
        <v>2015</v>
      </c>
      <c r="M828" s="14" t="n">
        <v>7.24921505711439</v>
      </c>
      <c r="N828" s="14" t="n">
        <v>4.74501908110449</v>
      </c>
      <c r="P828" s="14" t="n">
        <f aca="false">D828</f>
        <v>115</v>
      </c>
      <c r="Q828" s="14" t="n">
        <f aca="false">G828</f>
        <v>69</v>
      </c>
      <c r="R828" s="14" t="n">
        <f aca="false">J828</f>
        <v>7</v>
      </c>
      <c r="S828" s="14" t="n">
        <f aca="false">IF($L828=2012,1,0)</f>
        <v>0</v>
      </c>
      <c r="T828" s="14" t="n">
        <f aca="false">IF($L828=2013,1,0)</f>
        <v>0</v>
      </c>
      <c r="U828" s="14" t="n">
        <f aca="false">IF($L828=2014,1,0)</f>
        <v>0</v>
      </c>
      <c r="V828" s="14" t="n">
        <f aca="false">IF($L828=2015,1,0)</f>
        <v>1</v>
      </c>
      <c r="W828" s="14" t="n">
        <f aca="false">IF($L828=2016,1,0)</f>
        <v>0</v>
      </c>
      <c r="X828" s="14" t="n">
        <f aca="false">IF($L828=2017,1,0)</f>
        <v>0</v>
      </c>
      <c r="Y828" s="14" t="n">
        <f aca="false">IF($H828="Beginner Level",1,0)</f>
        <v>0</v>
      </c>
      <c r="Z828" s="14" t="n">
        <f aca="false">IF($H828="Expert Level",1,0)</f>
        <v>0</v>
      </c>
      <c r="AA828" s="14" t="n">
        <f aca="false">IF($H828="Intermediate Level",1,0)</f>
        <v>0</v>
      </c>
      <c r="AC828" s="14" t="n">
        <f aca="false">N828</f>
        <v>4.74501908110449</v>
      </c>
      <c r="AD828" s="14" t="n">
        <f aca="false">G828</f>
        <v>69</v>
      </c>
      <c r="AE828" s="14" t="n">
        <f aca="false">J828</f>
        <v>7</v>
      </c>
      <c r="AF828" s="14" t="n">
        <f aca="false">IF($L828=2012,1,0)</f>
        <v>0</v>
      </c>
      <c r="AG828" s="14" t="n">
        <f aca="false">IF($L828=2013,1,0)</f>
        <v>0</v>
      </c>
      <c r="AH828" s="14" t="n">
        <f aca="false">IF($L828=2014,1,0)</f>
        <v>0</v>
      </c>
      <c r="AI828" s="14" t="n">
        <f aca="false">IF($L828=2015,1,0)</f>
        <v>1</v>
      </c>
      <c r="AJ828" s="14" t="n">
        <f aca="false">IF($L828=2016,1,0)</f>
        <v>0</v>
      </c>
      <c r="AK828" s="14" t="n">
        <f aca="false">IF($L828=2017,1,0)</f>
        <v>0</v>
      </c>
      <c r="AL828" s="14" t="n">
        <f aca="false">IF($H828="Beginner Level",1,0)</f>
        <v>0</v>
      </c>
      <c r="AM828" s="14" t="n">
        <f aca="false">IF($H828="Expert Level",1,0)</f>
        <v>0</v>
      </c>
      <c r="AN828" s="14" t="n">
        <f aca="false">IF($H828="Intermediate Level",1,0)</f>
        <v>0</v>
      </c>
    </row>
    <row r="829" customFormat="false" ht="102.2" hidden="false" customHeight="false" outlineLevel="0" collapsed="false">
      <c r="A829" s="14" t="n">
        <v>1026206</v>
      </c>
      <c r="B829" s="14" t="s">
        <v>1700</v>
      </c>
      <c r="C829" s="14" t="s">
        <v>1701</v>
      </c>
      <c r="D829" s="14" t="n">
        <v>25</v>
      </c>
      <c r="E829" s="14" t="n">
        <v>1406</v>
      </c>
      <c r="F829" s="14" t="n">
        <v>12</v>
      </c>
      <c r="G829" s="14" t="n">
        <v>20</v>
      </c>
      <c r="H829" s="14" t="s">
        <v>52</v>
      </c>
      <c r="I829" s="14" t="n">
        <v>0.92</v>
      </c>
      <c r="J829" s="14" t="n">
        <v>1</v>
      </c>
      <c r="K829" s="14" t="s">
        <v>59</v>
      </c>
      <c r="L829" s="14" t="n">
        <v>2016</v>
      </c>
      <c r="M829" s="14" t="n">
        <v>7.24850407237061</v>
      </c>
      <c r="N829" s="14" t="n">
        <v>3.21927574488953</v>
      </c>
      <c r="P829" s="14" t="n">
        <f aca="false">D829</f>
        <v>25</v>
      </c>
      <c r="Q829" s="14" t="n">
        <f aca="false">G829</f>
        <v>20</v>
      </c>
      <c r="R829" s="14" t="n">
        <f aca="false">J829</f>
        <v>1</v>
      </c>
      <c r="S829" s="14" t="n">
        <f aca="false">IF($L829=2012,1,0)</f>
        <v>0</v>
      </c>
      <c r="T829" s="14" t="n">
        <f aca="false">IF($L829=2013,1,0)</f>
        <v>0</v>
      </c>
      <c r="U829" s="14" t="n">
        <f aca="false">IF($L829=2014,1,0)</f>
        <v>0</v>
      </c>
      <c r="V829" s="14" t="n">
        <f aca="false">IF($L829=2015,1,0)</f>
        <v>0</v>
      </c>
      <c r="W829" s="14" t="n">
        <f aca="false">IF($L829=2016,1,0)</f>
        <v>1</v>
      </c>
      <c r="X829" s="14" t="n">
        <f aca="false">IF($L829=2017,1,0)</f>
        <v>0</v>
      </c>
      <c r="Y829" s="14" t="n">
        <f aca="false">IF($H829="Beginner Level",1,0)</f>
        <v>1</v>
      </c>
      <c r="Z829" s="14" t="n">
        <f aca="false">IF($H829="Expert Level",1,0)</f>
        <v>0</v>
      </c>
      <c r="AA829" s="14" t="n">
        <f aca="false">IF($H829="Intermediate Level",1,0)</f>
        <v>0</v>
      </c>
      <c r="AC829" s="14" t="n">
        <f aca="false">N829</f>
        <v>3.21927574488953</v>
      </c>
      <c r="AD829" s="14" t="n">
        <f aca="false">G829</f>
        <v>20</v>
      </c>
      <c r="AE829" s="14" t="n">
        <f aca="false">J829</f>
        <v>1</v>
      </c>
      <c r="AF829" s="14" t="n">
        <f aca="false">IF($L829=2012,1,0)</f>
        <v>0</v>
      </c>
      <c r="AG829" s="14" t="n">
        <f aca="false">IF($L829=2013,1,0)</f>
        <v>0</v>
      </c>
      <c r="AH829" s="14" t="n">
        <f aca="false">IF($L829=2014,1,0)</f>
        <v>0</v>
      </c>
      <c r="AI829" s="14" t="n">
        <f aca="false">IF($L829=2015,1,0)</f>
        <v>0</v>
      </c>
      <c r="AJ829" s="14" t="n">
        <f aca="false">IF($L829=2016,1,0)</f>
        <v>1</v>
      </c>
      <c r="AK829" s="14" t="n">
        <f aca="false">IF($L829=2017,1,0)</f>
        <v>0</v>
      </c>
      <c r="AL829" s="14" t="n">
        <f aca="false">IF($H829="Beginner Level",1,0)</f>
        <v>1</v>
      </c>
      <c r="AM829" s="14" t="n">
        <f aca="false">IF($H829="Expert Level",1,0)</f>
        <v>0</v>
      </c>
      <c r="AN829" s="14" t="n">
        <f aca="false">IF($H829="Intermediate Level",1,0)</f>
        <v>0</v>
      </c>
    </row>
    <row r="830" customFormat="false" ht="68.65" hidden="false" customHeight="false" outlineLevel="0" collapsed="false">
      <c r="A830" s="14" t="n">
        <v>288258</v>
      </c>
      <c r="B830" s="14" t="s">
        <v>1702</v>
      </c>
      <c r="C830" s="14" t="s">
        <v>1703</v>
      </c>
      <c r="D830" s="14" t="n">
        <v>20</v>
      </c>
      <c r="E830" s="14" t="n">
        <v>1404</v>
      </c>
      <c r="F830" s="14" t="n">
        <v>7</v>
      </c>
      <c r="G830" s="14" t="n">
        <v>17</v>
      </c>
      <c r="H830" s="14" t="s">
        <v>62</v>
      </c>
      <c r="I830" s="14" t="n">
        <v>0.33</v>
      </c>
      <c r="J830" s="14" t="n">
        <v>2.5</v>
      </c>
      <c r="K830" s="14" t="s">
        <v>59</v>
      </c>
      <c r="L830" s="14" t="n">
        <v>2014</v>
      </c>
      <c r="M830" s="14" t="n">
        <v>7.24708058458576</v>
      </c>
      <c r="N830" s="14" t="n">
        <v>2.99623214859564</v>
      </c>
      <c r="P830" s="14" t="n">
        <f aca="false">D830</f>
        <v>20</v>
      </c>
      <c r="Q830" s="14" t="n">
        <f aca="false">G830</f>
        <v>17</v>
      </c>
      <c r="R830" s="14" t="n">
        <f aca="false">J830</f>
        <v>2.5</v>
      </c>
      <c r="S830" s="14" t="n">
        <f aca="false">IF($L830=2012,1,0)</f>
        <v>0</v>
      </c>
      <c r="T830" s="14" t="n">
        <f aca="false">IF($L830=2013,1,0)</f>
        <v>0</v>
      </c>
      <c r="U830" s="14" t="n">
        <f aca="false">IF($L830=2014,1,0)</f>
        <v>1</v>
      </c>
      <c r="V830" s="14" t="n">
        <f aca="false">IF($L830=2015,1,0)</f>
        <v>0</v>
      </c>
      <c r="W830" s="14" t="n">
        <f aca="false">IF($L830=2016,1,0)</f>
        <v>0</v>
      </c>
      <c r="X830" s="14" t="n">
        <f aca="false">IF($L830=2017,1,0)</f>
        <v>0</v>
      </c>
      <c r="Y830" s="14" t="n">
        <f aca="false">IF($H830="Beginner Level",1,0)</f>
        <v>0</v>
      </c>
      <c r="Z830" s="14" t="n">
        <f aca="false">IF($H830="Expert Level",1,0)</f>
        <v>0</v>
      </c>
      <c r="AA830" s="14" t="n">
        <f aca="false">IF($H830="Intermediate Level",1,0)</f>
        <v>0</v>
      </c>
      <c r="AC830" s="14" t="n">
        <f aca="false">N830</f>
        <v>2.99623214859564</v>
      </c>
      <c r="AD830" s="14" t="n">
        <f aca="false">G830</f>
        <v>17</v>
      </c>
      <c r="AE830" s="14" t="n">
        <f aca="false">J830</f>
        <v>2.5</v>
      </c>
      <c r="AF830" s="14" t="n">
        <f aca="false">IF($L830=2012,1,0)</f>
        <v>0</v>
      </c>
      <c r="AG830" s="14" t="n">
        <f aca="false">IF($L830=2013,1,0)</f>
        <v>0</v>
      </c>
      <c r="AH830" s="14" t="n">
        <f aca="false">IF($L830=2014,1,0)</f>
        <v>1</v>
      </c>
      <c r="AI830" s="14" t="n">
        <f aca="false">IF($L830=2015,1,0)</f>
        <v>0</v>
      </c>
      <c r="AJ830" s="14" t="n">
        <f aca="false">IF($L830=2016,1,0)</f>
        <v>0</v>
      </c>
      <c r="AK830" s="14" t="n">
        <f aca="false">IF($L830=2017,1,0)</f>
        <v>0</v>
      </c>
      <c r="AL830" s="14" t="n">
        <f aca="false">IF($H830="Beginner Level",1,0)</f>
        <v>0</v>
      </c>
      <c r="AM830" s="14" t="n">
        <f aca="false">IF($H830="Expert Level",1,0)</f>
        <v>0</v>
      </c>
      <c r="AN830" s="14" t="n">
        <f aca="false">IF($H830="Intermediate Level",1,0)</f>
        <v>0</v>
      </c>
    </row>
    <row r="831" customFormat="false" ht="57.45" hidden="false" customHeight="false" outlineLevel="0" collapsed="false">
      <c r="A831" s="14" t="n">
        <v>1045942</v>
      </c>
      <c r="B831" s="14" t="s">
        <v>1704</v>
      </c>
      <c r="C831" s="14" t="s">
        <v>1705</v>
      </c>
      <c r="D831" s="14" t="n">
        <v>150</v>
      </c>
      <c r="E831" s="14" t="n">
        <v>1399</v>
      </c>
      <c r="F831" s="14" t="n">
        <v>212</v>
      </c>
      <c r="G831" s="14" t="n">
        <v>89</v>
      </c>
      <c r="H831" s="14" t="s">
        <v>62</v>
      </c>
      <c r="I831" s="14" t="n">
        <v>0.94</v>
      </c>
      <c r="J831" s="14" t="n">
        <v>8.5</v>
      </c>
      <c r="K831" s="14" t="s">
        <v>59</v>
      </c>
      <c r="L831" s="14" t="n">
        <v>2017</v>
      </c>
      <c r="M831" s="14" t="n">
        <v>7.24351297466548</v>
      </c>
      <c r="N831" s="14" t="n">
        <v>5.0107019585408</v>
      </c>
      <c r="P831" s="14" t="n">
        <f aca="false">D831</f>
        <v>150</v>
      </c>
      <c r="Q831" s="14" t="n">
        <f aca="false">G831</f>
        <v>89</v>
      </c>
      <c r="R831" s="14" t="n">
        <f aca="false">J831</f>
        <v>8.5</v>
      </c>
      <c r="S831" s="14" t="n">
        <f aca="false">IF($L831=2012,1,0)</f>
        <v>0</v>
      </c>
      <c r="T831" s="14" t="n">
        <f aca="false">IF($L831=2013,1,0)</f>
        <v>0</v>
      </c>
      <c r="U831" s="14" t="n">
        <f aca="false">IF($L831=2014,1,0)</f>
        <v>0</v>
      </c>
      <c r="V831" s="14" t="n">
        <f aca="false">IF($L831=2015,1,0)</f>
        <v>0</v>
      </c>
      <c r="W831" s="14" t="n">
        <f aca="false">IF($L831=2016,1,0)</f>
        <v>0</v>
      </c>
      <c r="X831" s="14" t="n">
        <f aca="false">IF($L831=2017,1,0)</f>
        <v>1</v>
      </c>
      <c r="Y831" s="14" t="n">
        <f aca="false">IF($H831="Beginner Level",1,0)</f>
        <v>0</v>
      </c>
      <c r="Z831" s="14" t="n">
        <f aca="false">IF($H831="Expert Level",1,0)</f>
        <v>0</v>
      </c>
      <c r="AA831" s="14" t="n">
        <f aca="false">IF($H831="Intermediate Level",1,0)</f>
        <v>0</v>
      </c>
      <c r="AC831" s="14" t="n">
        <f aca="false">N831</f>
        <v>5.0107019585408</v>
      </c>
      <c r="AD831" s="14" t="n">
        <f aca="false">G831</f>
        <v>89</v>
      </c>
      <c r="AE831" s="14" t="n">
        <f aca="false">J831</f>
        <v>8.5</v>
      </c>
      <c r="AF831" s="14" t="n">
        <f aca="false">IF($L831=2012,1,0)</f>
        <v>0</v>
      </c>
      <c r="AG831" s="14" t="n">
        <f aca="false">IF($L831=2013,1,0)</f>
        <v>0</v>
      </c>
      <c r="AH831" s="14" t="n">
        <f aca="false">IF($L831=2014,1,0)</f>
        <v>0</v>
      </c>
      <c r="AI831" s="14" t="n">
        <f aca="false">IF($L831=2015,1,0)</f>
        <v>0</v>
      </c>
      <c r="AJ831" s="14" t="n">
        <f aca="false">IF($L831=2016,1,0)</f>
        <v>0</v>
      </c>
      <c r="AK831" s="14" t="n">
        <f aca="false">IF($L831=2017,1,0)</f>
        <v>1</v>
      </c>
      <c r="AL831" s="14" t="n">
        <f aca="false">IF($H831="Beginner Level",1,0)</f>
        <v>0</v>
      </c>
      <c r="AM831" s="14" t="n">
        <f aca="false">IF($H831="Expert Level",1,0)</f>
        <v>0</v>
      </c>
      <c r="AN831" s="14" t="n">
        <f aca="false">IF($H831="Intermediate Level",1,0)</f>
        <v>0</v>
      </c>
    </row>
    <row r="832" customFormat="false" ht="79.85" hidden="false" customHeight="false" outlineLevel="0" collapsed="false">
      <c r="A832" s="14" t="n">
        <v>372442</v>
      </c>
      <c r="B832" s="14" t="s">
        <v>1706</v>
      </c>
      <c r="C832" s="14" t="s">
        <v>1707</v>
      </c>
      <c r="D832" s="14" t="n">
        <v>20</v>
      </c>
      <c r="E832" s="14" t="n">
        <v>1393</v>
      </c>
      <c r="F832" s="14" t="n">
        <v>40</v>
      </c>
      <c r="G832" s="14" t="n">
        <v>9</v>
      </c>
      <c r="H832" s="14" t="s">
        <v>52</v>
      </c>
      <c r="I832" s="14" t="n">
        <v>0.18</v>
      </c>
      <c r="J832" s="14" t="n">
        <v>0.51666667</v>
      </c>
      <c r="K832" s="14" t="s">
        <v>59</v>
      </c>
      <c r="L832" s="14" t="n">
        <v>2014</v>
      </c>
      <c r="M832" s="14" t="n">
        <v>7.23921497377981</v>
      </c>
      <c r="N832" s="14" t="n">
        <v>2.99623214859564</v>
      </c>
      <c r="P832" s="14" t="n">
        <f aca="false">D832</f>
        <v>20</v>
      </c>
      <c r="Q832" s="14" t="n">
        <f aca="false">G832</f>
        <v>9</v>
      </c>
      <c r="R832" s="14" t="n">
        <f aca="false">J832</f>
        <v>0.51666667</v>
      </c>
      <c r="S832" s="14" t="n">
        <f aca="false">IF($L832=2012,1,0)</f>
        <v>0</v>
      </c>
      <c r="T832" s="14" t="n">
        <f aca="false">IF($L832=2013,1,0)</f>
        <v>0</v>
      </c>
      <c r="U832" s="14" t="n">
        <f aca="false">IF($L832=2014,1,0)</f>
        <v>1</v>
      </c>
      <c r="V832" s="14" t="n">
        <f aca="false">IF($L832=2015,1,0)</f>
        <v>0</v>
      </c>
      <c r="W832" s="14" t="n">
        <f aca="false">IF($L832=2016,1,0)</f>
        <v>0</v>
      </c>
      <c r="X832" s="14" t="n">
        <f aca="false">IF($L832=2017,1,0)</f>
        <v>0</v>
      </c>
      <c r="Y832" s="14" t="n">
        <f aca="false">IF($H832="Beginner Level",1,0)</f>
        <v>1</v>
      </c>
      <c r="Z832" s="14" t="n">
        <f aca="false">IF($H832="Expert Level",1,0)</f>
        <v>0</v>
      </c>
      <c r="AA832" s="14" t="n">
        <f aca="false">IF($H832="Intermediate Level",1,0)</f>
        <v>0</v>
      </c>
      <c r="AC832" s="14" t="n">
        <f aca="false">N832</f>
        <v>2.99623214859564</v>
      </c>
      <c r="AD832" s="14" t="n">
        <f aca="false">G832</f>
        <v>9</v>
      </c>
      <c r="AE832" s="14" t="n">
        <f aca="false">J832</f>
        <v>0.51666667</v>
      </c>
      <c r="AF832" s="14" t="n">
        <f aca="false">IF($L832=2012,1,0)</f>
        <v>0</v>
      </c>
      <c r="AG832" s="14" t="n">
        <f aca="false">IF($L832=2013,1,0)</f>
        <v>0</v>
      </c>
      <c r="AH832" s="14" t="n">
        <f aca="false">IF($L832=2014,1,0)</f>
        <v>1</v>
      </c>
      <c r="AI832" s="14" t="n">
        <f aca="false">IF($L832=2015,1,0)</f>
        <v>0</v>
      </c>
      <c r="AJ832" s="14" t="n">
        <f aca="false">IF($L832=2016,1,0)</f>
        <v>0</v>
      </c>
      <c r="AK832" s="14" t="n">
        <f aca="false">IF($L832=2017,1,0)</f>
        <v>0</v>
      </c>
      <c r="AL832" s="14" t="n">
        <f aca="false">IF($H832="Beginner Level",1,0)</f>
        <v>1</v>
      </c>
      <c r="AM832" s="14" t="n">
        <f aca="false">IF($H832="Expert Level",1,0)</f>
        <v>0</v>
      </c>
      <c r="AN832" s="14" t="n">
        <f aca="false">IF($H832="Intermediate Level",1,0)</f>
        <v>0</v>
      </c>
    </row>
    <row r="833" customFormat="false" ht="68.65" hidden="false" customHeight="false" outlineLevel="0" collapsed="false">
      <c r="A833" s="14" t="n">
        <v>532008</v>
      </c>
      <c r="B833" s="14" t="s">
        <v>1708</v>
      </c>
      <c r="C833" s="14" t="s">
        <v>1709</v>
      </c>
      <c r="D833" s="14" t="n">
        <v>95</v>
      </c>
      <c r="E833" s="14" t="n">
        <v>1388</v>
      </c>
      <c r="F833" s="14" t="n">
        <v>11</v>
      </c>
      <c r="G833" s="14" t="n">
        <v>58</v>
      </c>
      <c r="H833" s="14" t="s">
        <v>62</v>
      </c>
      <c r="I833" s="14" t="n">
        <v>0.43</v>
      </c>
      <c r="J833" s="14" t="n">
        <v>7</v>
      </c>
      <c r="K833" s="14" t="s">
        <v>59</v>
      </c>
      <c r="L833" s="14" t="n">
        <v>2015</v>
      </c>
      <c r="M833" s="14" t="n">
        <v>7.23561914106675</v>
      </c>
      <c r="N833" s="14" t="n">
        <v>4.55398214921866</v>
      </c>
      <c r="P833" s="14" t="n">
        <f aca="false">D833</f>
        <v>95</v>
      </c>
      <c r="Q833" s="14" t="n">
        <f aca="false">G833</f>
        <v>58</v>
      </c>
      <c r="R833" s="14" t="n">
        <f aca="false">J833</f>
        <v>7</v>
      </c>
      <c r="S833" s="14" t="n">
        <f aca="false">IF($L833=2012,1,0)</f>
        <v>0</v>
      </c>
      <c r="T833" s="14" t="n">
        <f aca="false">IF($L833=2013,1,0)</f>
        <v>0</v>
      </c>
      <c r="U833" s="14" t="n">
        <f aca="false">IF($L833=2014,1,0)</f>
        <v>0</v>
      </c>
      <c r="V833" s="14" t="n">
        <f aca="false">IF($L833=2015,1,0)</f>
        <v>1</v>
      </c>
      <c r="W833" s="14" t="n">
        <f aca="false">IF($L833=2016,1,0)</f>
        <v>0</v>
      </c>
      <c r="X833" s="14" t="n">
        <f aca="false">IF($L833=2017,1,0)</f>
        <v>0</v>
      </c>
      <c r="Y833" s="14" t="n">
        <f aca="false">IF($H833="Beginner Level",1,0)</f>
        <v>0</v>
      </c>
      <c r="Z833" s="14" t="n">
        <f aca="false">IF($H833="Expert Level",1,0)</f>
        <v>0</v>
      </c>
      <c r="AA833" s="14" t="n">
        <f aca="false">IF($H833="Intermediate Level",1,0)</f>
        <v>0</v>
      </c>
      <c r="AC833" s="14" t="n">
        <f aca="false">N833</f>
        <v>4.55398214921866</v>
      </c>
      <c r="AD833" s="14" t="n">
        <f aca="false">G833</f>
        <v>58</v>
      </c>
      <c r="AE833" s="14" t="n">
        <f aca="false">J833</f>
        <v>7</v>
      </c>
      <c r="AF833" s="14" t="n">
        <f aca="false">IF($L833=2012,1,0)</f>
        <v>0</v>
      </c>
      <c r="AG833" s="14" t="n">
        <f aca="false">IF($L833=2013,1,0)</f>
        <v>0</v>
      </c>
      <c r="AH833" s="14" t="n">
        <f aca="false">IF($L833=2014,1,0)</f>
        <v>0</v>
      </c>
      <c r="AI833" s="14" t="n">
        <f aca="false">IF($L833=2015,1,0)</f>
        <v>1</v>
      </c>
      <c r="AJ833" s="14" t="n">
        <f aca="false">IF($L833=2016,1,0)</f>
        <v>0</v>
      </c>
      <c r="AK833" s="14" t="n">
        <f aca="false">IF($L833=2017,1,0)</f>
        <v>0</v>
      </c>
      <c r="AL833" s="14" t="n">
        <f aca="false">IF($H833="Beginner Level",1,0)</f>
        <v>0</v>
      </c>
      <c r="AM833" s="14" t="n">
        <f aca="false">IF($H833="Expert Level",1,0)</f>
        <v>0</v>
      </c>
      <c r="AN833" s="14" t="n">
        <f aca="false">IF($H833="Intermediate Level",1,0)</f>
        <v>0</v>
      </c>
    </row>
    <row r="834" customFormat="false" ht="91" hidden="false" customHeight="false" outlineLevel="0" collapsed="false">
      <c r="A834" s="14" t="n">
        <v>697798</v>
      </c>
      <c r="B834" s="14" t="s">
        <v>1710</v>
      </c>
      <c r="C834" s="14" t="s">
        <v>1711</v>
      </c>
      <c r="D834" s="14" t="n">
        <v>50</v>
      </c>
      <c r="E834" s="14" t="n">
        <v>1386</v>
      </c>
      <c r="F834" s="14" t="n">
        <v>17</v>
      </c>
      <c r="G834" s="14" t="n">
        <v>28</v>
      </c>
      <c r="H834" s="14" t="s">
        <v>52</v>
      </c>
      <c r="I834" s="14" t="n">
        <v>0.07</v>
      </c>
      <c r="J834" s="14" t="n">
        <v>3</v>
      </c>
      <c r="K834" s="14" t="s">
        <v>59</v>
      </c>
      <c r="L834" s="14" t="n">
        <v>2016</v>
      </c>
      <c r="M834" s="14" t="n">
        <v>7.23417717974985</v>
      </c>
      <c r="N834" s="14" t="n">
        <v>3.91222298543081</v>
      </c>
      <c r="P834" s="14" t="n">
        <f aca="false">D834</f>
        <v>50</v>
      </c>
      <c r="Q834" s="14" t="n">
        <f aca="false">G834</f>
        <v>28</v>
      </c>
      <c r="R834" s="14" t="n">
        <f aca="false">J834</f>
        <v>3</v>
      </c>
      <c r="S834" s="14" t="n">
        <f aca="false">IF($L834=2012,1,0)</f>
        <v>0</v>
      </c>
      <c r="T834" s="14" t="n">
        <f aca="false">IF($L834=2013,1,0)</f>
        <v>0</v>
      </c>
      <c r="U834" s="14" t="n">
        <f aca="false">IF($L834=2014,1,0)</f>
        <v>0</v>
      </c>
      <c r="V834" s="14" t="n">
        <f aca="false">IF($L834=2015,1,0)</f>
        <v>0</v>
      </c>
      <c r="W834" s="14" t="n">
        <f aca="false">IF($L834=2016,1,0)</f>
        <v>1</v>
      </c>
      <c r="X834" s="14" t="n">
        <f aca="false">IF($L834=2017,1,0)</f>
        <v>0</v>
      </c>
      <c r="Y834" s="14" t="n">
        <f aca="false">IF($H834="Beginner Level",1,0)</f>
        <v>1</v>
      </c>
      <c r="Z834" s="14" t="n">
        <f aca="false">IF($H834="Expert Level",1,0)</f>
        <v>0</v>
      </c>
      <c r="AA834" s="14" t="n">
        <f aca="false">IF($H834="Intermediate Level",1,0)</f>
        <v>0</v>
      </c>
      <c r="AC834" s="14" t="n">
        <f aca="false">N834</f>
        <v>3.91222298543081</v>
      </c>
      <c r="AD834" s="14" t="n">
        <f aca="false">G834</f>
        <v>28</v>
      </c>
      <c r="AE834" s="14" t="n">
        <f aca="false">J834</f>
        <v>3</v>
      </c>
      <c r="AF834" s="14" t="n">
        <f aca="false">IF($L834=2012,1,0)</f>
        <v>0</v>
      </c>
      <c r="AG834" s="14" t="n">
        <f aca="false">IF($L834=2013,1,0)</f>
        <v>0</v>
      </c>
      <c r="AH834" s="14" t="n">
        <f aca="false">IF($L834=2014,1,0)</f>
        <v>0</v>
      </c>
      <c r="AI834" s="14" t="n">
        <f aca="false">IF($L834=2015,1,0)</f>
        <v>0</v>
      </c>
      <c r="AJ834" s="14" t="n">
        <f aca="false">IF($L834=2016,1,0)</f>
        <v>1</v>
      </c>
      <c r="AK834" s="14" t="n">
        <f aca="false">IF($L834=2017,1,0)</f>
        <v>0</v>
      </c>
      <c r="AL834" s="14" t="n">
        <f aca="false">IF($H834="Beginner Level",1,0)</f>
        <v>1</v>
      </c>
      <c r="AM834" s="14" t="n">
        <f aca="false">IF($H834="Expert Level",1,0)</f>
        <v>0</v>
      </c>
      <c r="AN834" s="14" t="n">
        <f aca="false">IF($H834="Intermediate Level",1,0)</f>
        <v>0</v>
      </c>
    </row>
    <row r="835" customFormat="false" ht="57.45" hidden="false" customHeight="false" outlineLevel="0" collapsed="false">
      <c r="A835" s="14" t="n">
        <v>555122</v>
      </c>
      <c r="B835" s="14" t="s">
        <v>1712</v>
      </c>
      <c r="C835" s="14" t="s">
        <v>1713</v>
      </c>
      <c r="D835" s="14" t="n">
        <v>100</v>
      </c>
      <c r="E835" s="14" t="n">
        <v>1385</v>
      </c>
      <c r="F835" s="14" t="n">
        <v>89</v>
      </c>
      <c r="G835" s="14" t="n">
        <v>97</v>
      </c>
      <c r="H835" s="14" t="s">
        <v>52</v>
      </c>
      <c r="I835" s="14" t="n">
        <v>0.17</v>
      </c>
      <c r="J835" s="14" t="n">
        <v>11</v>
      </c>
      <c r="K835" s="14" t="s">
        <v>59</v>
      </c>
      <c r="L835" s="14" t="n">
        <v>2015</v>
      </c>
      <c r="M835" s="14" t="n">
        <v>7.23345541862144</v>
      </c>
      <c r="N835" s="14" t="n">
        <v>4.60527018098843</v>
      </c>
      <c r="P835" s="14" t="n">
        <f aca="false">D835</f>
        <v>100</v>
      </c>
      <c r="Q835" s="14" t="n">
        <f aca="false">G835</f>
        <v>97</v>
      </c>
      <c r="R835" s="14" t="n">
        <f aca="false">J835</f>
        <v>11</v>
      </c>
      <c r="S835" s="14" t="n">
        <f aca="false">IF($L835=2012,1,0)</f>
        <v>0</v>
      </c>
      <c r="T835" s="14" t="n">
        <f aca="false">IF($L835=2013,1,0)</f>
        <v>0</v>
      </c>
      <c r="U835" s="14" t="n">
        <f aca="false">IF($L835=2014,1,0)</f>
        <v>0</v>
      </c>
      <c r="V835" s="14" t="n">
        <f aca="false">IF($L835=2015,1,0)</f>
        <v>1</v>
      </c>
      <c r="W835" s="14" t="n">
        <f aca="false">IF($L835=2016,1,0)</f>
        <v>0</v>
      </c>
      <c r="X835" s="14" t="n">
        <f aca="false">IF($L835=2017,1,0)</f>
        <v>0</v>
      </c>
      <c r="Y835" s="14" t="n">
        <f aca="false">IF($H835="Beginner Level",1,0)</f>
        <v>1</v>
      </c>
      <c r="Z835" s="14" t="n">
        <f aca="false">IF($H835="Expert Level",1,0)</f>
        <v>0</v>
      </c>
      <c r="AA835" s="14" t="n">
        <f aca="false">IF($H835="Intermediate Level",1,0)</f>
        <v>0</v>
      </c>
      <c r="AC835" s="14" t="n">
        <f aca="false">N835</f>
        <v>4.60527018098843</v>
      </c>
      <c r="AD835" s="14" t="n">
        <f aca="false">G835</f>
        <v>97</v>
      </c>
      <c r="AE835" s="14" t="n">
        <f aca="false">J835</f>
        <v>11</v>
      </c>
      <c r="AF835" s="14" t="n">
        <f aca="false">IF($L835=2012,1,0)</f>
        <v>0</v>
      </c>
      <c r="AG835" s="14" t="n">
        <f aca="false">IF($L835=2013,1,0)</f>
        <v>0</v>
      </c>
      <c r="AH835" s="14" t="n">
        <f aca="false">IF($L835=2014,1,0)</f>
        <v>0</v>
      </c>
      <c r="AI835" s="14" t="n">
        <f aca="false">IF($L835=2015,1,0)</f>
        <v>1</v>
      </c>
      <c r="AJ835" s="14" t="n">
        <f aca="false">IF($L835=2016,1,0)</f>
        <v>0</v>
      </c>
      <c r="AK835" s="14" t="n">
        <f aca="false">IF($L835=2017,1,0)</f>
        <v>0</v>
      </c>
      <c r="AL835" s="14" t="n">
        <f aca="false">IF($H835="Beginner Level",1,0)</f>
        <v>1</v>
      </c>
      <c r="AM835" s="14" t="n">
        <f aca="false">IF($H835="Expert Level",1,0)</f>
        <v>0</v>
      </c>
      <c r="AN835" s="14" t="n">
        <f aca="false">IF($H835="Intermediate Level",1,0)</f>
        <v>0</v>
      </c>
    </row>
    <row r="836" customFormat="false" ht="57.45" hidden="false" customHeight="false" outlineLevel="0" collapsed="false">
      <c r="A836" s="14" t="n">
        <v>876850</v>
      </c>
      <c r="B836" s="14" t="s">
        <v>1714</v>
      </c>
      <c r="C836" s="14" t="s">
        <v>1715</v>
      </c>
      <c r="D836" s="14" t="n">
        <v>100</v>
      </c>
      <c r="E836" s="14" t="n">
        <v>1385</v>
      </c>
      <c r="F836" s="14" t="n">
        <v>188</v>
      </c>
      <c r="G836" s="14" t="n">
        <v>83</v>
      </c>
      <c r="H836" s="14" t="s">
        <v>71</v>
      </c>
      <c r="I836" s="14" t="n">
        <v>0.46</v>
      </c>
      <c r="J836" s="14" t="n">
        <v>5</v>
      </c>
      <c r="K836" s="14" t="s">
        <v>59</v>
      </c>
      <c r="L836" s="14" t="n">
        <v>2016</v>
      </c>
      <c r="M836" s="14" t="n">
        <v>7.23345541862144</v>
      </c>
      <c r="N836" s="14" t="n">
        <v>4.60527018098843</v>
      </c>
      <c r="P836" s="14" t="n">
        <f aca="false">D836</f>
        <v>100</v>
      </c>
      <c r="Q836" s="14" t="n">
        <f aca="false">G836</f>
        <v>83</v>
      </c>
      <c r="R836" s="14" t="n">
        <f aca="false">J836</f>
        <v>5</v>
      </c>
      <c r="S836" s="14" t="n">
        <f aca="false">IF($L836=2012,1,0)</f>
        <v>0</v>
      </c>
      <c r="T836" s="14" t="n">
        <f aca="false">IF($L836=2013,1,0)</f>
        <v>0</v>
      </c>
      <c r="U836" s="14" t="n">
        <f aca="false">IF($L836=2014,1,0)</f>
        <v>0</v>
      </c>
      <c r="V836" s="14" t="n">
        <f aca="false">IF($L836=2015,1,0)</f>
        <v>0</v>
      </c>
      <c r="W836" s="14" t="n">
        <f aca="false">IF($L836=2016,1,0)</f>
        <v>1</v>
      </c>
      <c r="X836" s="14" t="n">
        <f aca="false">IF($L836=2017,1,0)</f>
        <v>0</v>
      </c>
      <c r="Y836" s="14" t="n">
        <f aca="false">IF($H836="Beginner Level",1,0)</f>
        <v>0</v>
      </c>
      <c r="Z836" s="14" t="n">
        <f aca="false">IF($H836="Expert Level",1,0)</f>
        <v>0</v>
      </c>
      <c r="AA836" s="14" t="n">
        <f aca="false">IF($H836="Intermediate Level",1,0)</f>
        <v>1</v>
      </c>
      <c r="AC836" s="14" t="n">
        <f aca="false">N836</f>
        <v>4.60527018098843</v>
      </c>
      <c r="AD836" s="14" t="n">
        <f aca="false">G836</f>
        <v>83</v>
      </c>
      <c r="AE836" s="14" t="n">
        <f aca="false">J836</f>
        <v>5</v>
      </c>
      <c r="AF836" s="14" t="n">
        <f aca="false">IF($L836=2012,1,0)</f>
        <v>0</v>
      </c>
      <c r="AG836" s="14" t="n">
        <f aca="false">IF($L836=2013,1,0)</f>
        <v>0</v>
      </c>
      <c r="AH836" s="14" t="n">
        <f aca="false">IF($L836=2014,1,0)</f>
        <v>0</v>
      </c>
      <c r="AI836" s="14" t="n">
        <f aca="false">IF($L836=2015,1,0)</f>
        <v>0</v>
      </c>
      <c r="AJ836" s="14" t="n">
        <f aca="false">IF($L836=2016,1,0)</f>
        <v>1</v>
      </c>
      <c r="AK836" s="14" t="n">
        <f aca="false">IF($L836=2017,1,0)</f>
        <v>0</v>
      </c>
      <c r="AL836" s="14" t="n">
        <f aca="false">IF($H836="Beginner Level",1,0)</f>
        <v>0</v>
      </c>
      <c r="AM836" s="14" t="n">
        <f aca="false">IF($H836="Expert Level",1,0)</f>
        <v>0</v>
      </c>
      <c r="AN836" s="14" t="n">
        <f aca="false">IF($H836="Intermediate Level",1,0)</f>
        <v>1</v>
      </c>
    </row>
    <row r="837" customFormat="false" ht="91" hidden="false" customHeight="false" outlineLevel="0" collapsed="false">
      <c r="A837" s="14" t="n">
        <v>1070976</v>
      </c>
      <c r="B837" s="14" t="s">
        <v>1716</v>
      </c>
      <c r="C837" s="14" t="s">
        <v>1717</v>
      </c>
      <c r="D837" s="14" t="n">
        <v>195</v>
      </c>
      <c r="E837" s="14" t="n">
        <v>1371</v>
      </c>
      <c r="F837" s="14" t="n">
        <v>165</v>
      </c>
      <c r="G837" s="14" t="n">
        <v>83</v>
      </c>
      <c r="H837" s="14" t="s">
        <v>62</v>
      </c>
      <c r="I837" s="14" t="n">
        <v>0.12</v>
      </c>
      <c r="J837" s="14" t="n">
        <v>20</v>
      </c>
      <c r="K837" s="14" t="s">
        <v>59</v>
      </c>
      <c r="L837" s="14" t="n">
        <v>2017</v>
      </c>
      <c r="M837" s="14" t="n">
        <v>7.22329567956231</v>
      </c>
      <c r="N837" s="14" t="n">
        <v>5.27305083930015</v>
      </c>
      <c r="P837" s="14" t="n">
        <f aca="false">D837</f>
        <v>195</v>
      </c>
      <c r="Q837" s="14" t="n">
        <f aca="false">G837</f>
        <v>83</v>
      </c>
      <c r="R837" s="14" t="n">
        <f aca="false">J837</f>
        <v>20</v>
      </c>
      <c r="S837" s="14" t="n">
        <f aca="false">IF($L837=2012,1,0)</f>
        <v>0</v>
      </c>
      <c r="T837" s="14" t="n">
        <f aca="false">IF($L837=2013,1,0)</f>
        <v>0</v>
      </c>
      <c r="U837" s="14" t="n">
        <f aca="false">IF($L837=2014,1,0)</f>
        <v>0</v>
      </c>
      <c r="V837" s="14" t="n">
        <f aca="false">IF($L837=2015,1,0)</f>
        <v>0</v>
      </c>
      <c r="W837" s="14" t="n">
        <f aca="false">IF($L837=2016,1,0)</f>
        <v>0</v>
      </c>
      <c r="X837" s="14" t="n">
        <f aca="false">IF($L837=2017,1,0)</f>
        <v>1</v>
      </c>
      <c r="Y837" s="14" t="n">
        <f aca="false">IF($H837="Beginner Level",1,0)</f>
        <v>0</v>
      </c>
      <c r="Z837" s="14" t="n">
        <f aca="false">IF($H837="Expert Level",1,0)</f>
        <v>0</v>
      </c>
      <c r="AA837" s="14" t="n">
        <f aca="false">IF($H837="Intermediate Level",1,0)</f>
        <v>0</v>
      </c>
      <c r="AC837" s="14" t="n">
        <f aca="false">N837</f>
        <v>5.27305083930015</v>
      </c>
      <c r="AD837" s="14" t="n">
        <f aca="false">G837</f>
        <v>83</v>
      </c>
      <c r="AE837" s="14" t="n">
        <f aca="false">J837</f>
        <v>20</v>
      </c>
      <c r="AF837" s="14" t="n">
        <f aca="false">IF($L837=2012,1,0)</f>
        <v>0</v>
      </c>
      <c r="AG837" s="14" t="n">
        <f aca="false">IF($L837=2013,1,0)</f>
        <v>0</v>
      </c>
      <c r="AH837" s="14" t="n">
        <f aca="false">IF($L837=2014,1,0)</f>
        <v>0</v>
      </c>
      <c r="AI837" s="14" t="n">
        <f aca="false">IF($L837=2015,1,0)</f>
        <v>0</v>
      </c>
      <c r="AJ837" s="14" t="n">
        <f aca="false">IF($L837=2016,1,0)</f>
        <v>0</v>
      </c>
      <c r="AK837" s="14" t="n">
        <f aca="false">IF($L837=2017,1,0)</f>
        <v>1</v>
      </c>
      <c r="AL837" s="14" t="n">
        <f aca="false">IF($H837="Beginner Level",1,0)</f>
        <v>0</v>
      </c>
      <c r="AM837" s="14" t="n">
        <f aca="false">IF($H837="Expert Level",1,0)</f>
        <v>0</v>
      </c>
      <c r="AN837" s="14" t="n">
        <f aca="false">IF($H837="Intermediate Level",1,0)</f>
        <v>0</v>
      </c>
    </row>
    <row r="838" customFormat="false" ht="57.45" hidden="false" customHeight="false" outlineLevel="0" collapsed="false">
      <c r="A838" s="14" t="n">
        <v>1189280</v>
      </c>
      <c r="B838" s="14" t="s">
        <v>1718</v>
      </c>
      <c r="C838" s="14" t="s">
        <v>1719</v>
      </c>
      <c r="D838" s="14" t="n">
        <v>125</v>
      </c>
      <c r="E838" s="14" t="n">
        <v>1367</v>
      </c>
      <c r="F838" s="14" t="n">
        <v>17</v>
      </c>
      <c r="G838" s="14" t="n">
        <v>58</v>
      </c>
      <c r="H838" s="14" t="s">
        <v>71</v>
      </c>
      <c r="I838" s="14" t="n">
        <v>0.79</v>
      </c>
      <c r="J838" s="14" t="n">
        <v>6</v>
      </c>
      <c r="K838" s="14" t="s">
        <v>59</v>
      </c>
      <c r="L838" s="14" t="n">
        <v>2017</v>
      </c>
      <c r="M838" s="14" t="n">
        <v>7.22037383672395</v>
      </c>
      <c r="N838" s="14" t="n">
        <v>4.82839373410247</v>
      </c>
      <c r="P838" s="14" t="n">
        <f aca="false">D838</f>
        <v>125</v>
      </c>
      <c r="Q838" s="14" t="n">
        <f aca="false">G838</f>
        <v>58</v>
      </c>
      <c r="R838" s="14" t="n">
        <f aca="false">J838</f>
        <v>6</v>
      </c>
      <c r="S838" s="14" t="n">
        <f aca="false">IF($L838=2012,1,0)</f>
        <v>0</v>
      </c>
      <c r="T838" s="14" t="n">
        <f aca="false">IF($L838=2013,1,0)</f>
        <v>0</v>
      </c>
      <c r="U838" s="14" t="n">
        <f aca="false">IF($L838=2014,1,0)</f>
        <v>0</v>
      </c>
      <c r="V838" s="14" t="n">
        <f aca="false">IF($L838=2015,1,0)</f>
        <v>0</v>
      </c>
      <c r="W838" s="14" t="n">
        <f aca="false">IF($L838=2016,1,0)</f>
        <v>0</v>
      </c>
      <c r="X838" s="14" t="n">
        <f aca="false">IF($L838=2017,1,0)</f>
        <v>1</v>
      </c>
      <c r="Y838" s="14" t="n">
        <f aca="false">IF($H838="Beginner Level",1,0)</f>
        <v>0</v>
      </c>
      <c r="Z838" s="14" t="n">
        <f aca="false">IF($H838="Expert Level",1,0)</f>
        <v>0</v>
      </c>
      <c r="AA838" s="14" t="n">
        <f aca="false">IF($H838="Intermediate Level",1,0)</f>
        <v>1</v>
      </c>
      <c r="AC838" s="14" t="n">
        <f aca="false">N838</f>
        <v>4.82839373410247</v>
      </c>
      <c r="AD838" s="14" t="n">
        <f aca="false">G838</f>
        <v>58</v>
      </c>
      <c r="AE838" s="14" t="n">
        <f aca="false">J838</f>
        <v>6</v>
      </c>
      <c r="AF838" s="14" t="n">
        <f aca="false">IF($L838=2012,1,0)</f>
        <v>0</v>
      </c>
      <c r="AG838" s="14" t="n">
        <f aca="false">IF($L838=2013,1,0)</f>
        <v>0</v>
      </c>
      <c r="AH838" s="14" t="n">
        <f aca="false">IF($L838=2014,1,0)</f>
        <v>0</v>
      </c>
      <c r="AI838" s="14" t="n">
        <f aca="false">IF($L838=2015,1,0)</f>
        <v>0</v>
      </c>
      <c r="AJ838" s="14" t="n">
        <f aca="false">IF($L838=2016,1,0)</f>
        <v>0</v>
      </c>
      <c r="AK838" s="14" t="n">
        <f aca="false">IF($L838=2017,1,0)</f>
        <v>1</v>
      </c>
      <c r="AL838" s="14" t="n">
        <f aca="false">IF($H838="Beginner Level",1,0)</f>
        <v>0</v>
      </c>
      <c r="AM838" s="14" t="n">
        <f aca="false">IF($H838="Expert Level",1,0)</f>
        <v>0</v>
      </c>
      <c r="AN838" s="14" t="n">
        <f aca="false">IF($H838="Intermediate Level",1,0)</f>
        <v>1</v>
      </c>
    </row>
    <row r="839" customFormat="false" ht="68.65" hidden="false" customHeight="false" outlineLevel="0" collapsed="false">
      <c r="A839" s="14" t="n">
        <v>403604</v>
      </c>
      <c r="B839" s="14" t="s">
        <v>1720</v>
      </c>
      <c r="C839" s="14" t="s">
        <v>1721</v>
      </c>
      <c r="D839" s="14" t="n">
        <v>40</v>
      </c>
      <c r="E839" s="14" t="n">
        <v>1355</v>
      </c>
      <c r="F839" s="14" t="n">
        <v>45</v>
      </c>
      <c r="G839" s="14" t="n">
        <v>27</v>
      </c>
      <c r="H839" s="14" t="s">
        <v>62</v>
      </c>
      <c r="I839" s="14" t="n">
        <v>0.07</v>
      </c>
      <c r="J839" s="14" t="n">
        <v>3.5</v>
      </c>
      <c r="K839" s="14" t="s">
        <v>59</v>
      </c>
      <c r="L839" s="14" t="n">
        <v>2015</v>
      </c>
      <c r="M839" s="14" t="n">
        <v>7.2115567333138</v>
      </c>
      <c r="N839" s="14" t="n">
        <v>3.68912942286914</v>
      </c>
      <c r="P839" s="14" t="n">
        <f aca="false">D839</f>
        <v>40</v>
      </c>
      <c r="Q839" s="14" t="n">
        <f aca="false">G839</f>
        <v>27</v>
      </c>
      <c r="R839" s="14" t="n">
        <f aca="false">J839</f>
        <v>3.5</v>
      </c>
      <c r="S839" s="14" t="n">
        <f aca="false">IF($L839=2012,1,0)</f>
        <v>0</v>
      </c>
      <c r="T839" s="14" t="n">
        <f aca="false">IF($L839=2013,1,0)</f>
        <v>0</v>
      </c>
      <c r="U839" s="14" t="n">
        <f aca="false">IF($L839=2014,1,0)</f>
        <v>0</v>
      </c>
      <c r="V839" s="14" t="n">
        <f aca="false">IF($L839=2015,1,0)</f>
        <v>1</v>
      </c>
      <c r="W839" s="14" t="n">
        <f aca="false">IF($L839=2016,1,0)</f>
        <v>0</v>
      </c>
      <c r="X839" s="14" t="n">
        <f aca="false">IF($L839=2017,1,0)</f>
        <v>0</v>
      </c>
      <c r="Y839" s="14" t="n">
        <f aca="false">IF($H839="Beginner Level",1,0)</f>
        <v>0</v>
      </c>
      <c r="Z839" s="14" t="n">
        <f aca="false">IF($H839="Expert Level",1,0)</f>
        <v>0</v>
      </c>
      <c r="AA839" s="14" t="n">
        <f aca="false">IF($H839="Intermediate Level",1,0)</f>
        <v>0</v>
      </c>
      <c r="AC839" s="14" t="n">
        <f aca="false">N839</f>
        <v>3.68912942286914</v>
      </c>
      <c r="AD839" s="14" t="n">
        <f aca="false">G839</f>
        <v>27</v>
      </c>
      <c r="AE839" s="14" t="n">
        <f aca="false">J839</f>
        <v>3.5</v>
      </c>
      <c r="AF839" s="14" t="n">
        <f aca="false">IF($L839=2012,1,0)</f>
        <v>0</v>
      </c>
      <c r="AG839" s="14" t="n">
        <f aca="false">IF($L839=2013,1,0)</f>
        <v>0</v>
      </c>
      <c r="AH839" s="14" t="n">
        <f aca="false">IF($L839=2014,1,0)</f>
        <v>0</v>
      </c>
      <c r="AI839" s="14" t="n">
        <f aca="false">IF($L839=2015,1,0)</f>
        <v>1</v>
      </c>
      <c r="AJ839" s="14" t="n">
        <f aca="false">IF($L839=2016,1,0)</f>
        <v>0</v>
      </c>
      <c r="AK839" s="14" t="n">
        <f aca="false">IF($L839=2017,1,0)</f>
        <v>0</v>
      </c>
      <c r="AL839" s="14" t="n">
        <f aca="false">IF($H839="Beginner Level",1,0)</f>
        <v>0</v>
      </c>
      <c r="AM839" s="14" t="n">
        <f aca="false">IF($H839="Expert Level",1,0)</f>
        <v>0</v>
      </c>
      <c r="AN839" s="14" t="n">
        <f aca="false">IF($H839="Intermediate Level",1,0)</f>
        <v>0</v>
      </c>
    </row>
    <row r="840" customFormat="false" ht="79.85" hidden="false" customHeight="false" outlineLevel="0" collapsed="false">
      <c r="A840" s="14" t="n">
        <v>1156648</v>
      </c>
      <c r="B840" s="14" t="s">
        <v>1722</v>
      </c>
      <c r="C840" s="14" t="s">
        <v>1723</v>
      </c>
      <c r="D840" s="14" t="n">
        <v>30</v>
      </c>
      <c r="E840" s="14" t="n">
        <v>1355</v>
      </c>
      <c r="F840" s="14" t="n">
        <v>14</v>
      </c>
      <c r="G840" s="14" t="n">
        <v>29</v>
      </c>
      <c r="H840" s="14" t="s">
        <v>62</v>
      </c>
      <c r="I840" s="14" t="n">
        <v>0.76</v>
      </c>
      <c r="J840" s="14" t="n">
        <v>3.5</v>
      </c>
      <c r="K840" s="14" t="s">
        <v>59</v>
      </c>
      <c r="L840" s="14" t="n">
        <v>2017</v>
      </c>
      <c r="M840" s="14" t="n">
        <v>7.2115567333138</v>
      </c>
      <c r="N840" s="14" t="n">
        <v>3.40153065945228</v>
      </c>
      <c r="P840" s="14" t="n">
        <f aca="false">D840</f>
        <v>30</v>
      </c>
      <c r="Q840" s="14" t="n">
        <f aca="false">G840</f>
        <v>29</v>
      </c>
      <c r="R840" s="14" t="n">
        <f aca="false">J840</f>
        <v>3.5</v>
      </c>
      <c r="S840" s="14" t="n">
        <f aca="false">IF($L840=2012,1,0)</f>
        <v>0</v>
      </c>
      <c r="T840" s="14" t="n">
        <f aca="false">IF($L840=2013,1,0)</f>
        <v>0</v>
      </c>
      <c r="U840" s="14" t="n">
        <f aca="false">IF($L840=2014,1,0)</f>
        <v>0</v>
      </c>
      <c r="V840" s="14" t="n">
        <f aca="false">IF($L840=2015,1,0)</f>
        <v>0</v>
      </c>
      <c r="W840" s="14" t="n">
        <f aca="false">IF($L840=2016,1,0)</f>
        <v>0</v>
      </c>
      <c r="X840" s="14" t="n">
        <f aca="false">IF($L840=2017,1,0)</f>
        <v>1</v>
      </c>
      <c r="Y840" s="14" t="n">
        <f aca="false">IF($H840="Beginner Level",1,0)</f>
        <v>0</v>
      </c>
      <c r="Z840" s="14" t="n">
        <f aca="false">IF($H840="Expert Level",1,0)</f>
        <v>0</v>
      </c>
      <c r="AA840" s="14" t="n">
        <f aca="false">IF($H840="Intermediate Level",1,0)</f>
        <v>0</v>
      </c>
      <c r="AC840" s="14" t="n">
        <f aca="false">N840</f>
        <v>3.40153065945228</v>
      </c>
      <c r="AD840" s="14" t="n">
        <f aca="false">G840</f>
        <v>29</v>
      </c>
      <c r="AE840" s="14" t="n">
        <f aca="false">J840</f>
        <v>3.5</v>
      </c>
      <c r="AF840" s="14" t="n">
        <f aca="false">IF($L840=2012,1,0)</f>
        <v>0</v>
      </c>
      <c r="AG840" s="14" t="n">
        <f aca="false">IF($L840=2013,1,0)</f>
        <v>0</v>
      </c>
      <c r="AH840" s="14" t="n">
        <f aca="false">IF($L840=2014,1,0)</f>
        <v>0</v>
      </c>
      <c r="AI840" s="14" t="n">
        <f aca="false">IF($L840=2015,1,0)</f>
        <v>0</v>
      </c>
      <c r="AJ840" s="14" t="n">
        <f aca="false">IF($L840=2016,1,0)</f>
        <v>0</v>
      </c>
      <c r="AK840" s="14" t="n">
        <f aca="false">IF($L840=2017,1,0)</f>
        <v>1</v>
      </c>
      <c r="AL840" s="14" t="n">
        <f aca="false">IF($H840="Beginner Level",1,0)</f>
        <v>0</v>
      </c>
      <c r="AM840" s="14" t="n">
        <f aca="false">IF($H840="Expert Level",1,0)</f>
        <v>0</v>
      </c>
      <c r="AN840" s="14" t="n">
        <f aca="false">IF($H840="Intermediate Level",1,0)</f>
        <v>0</v>
      </c>
    </row>
    <row r="841" customFormat="false" ht="68.65" hidden="false" customHeight="false" outlineLevel="0" collapsed="false">
      <c r="A841" s="14" t="n">
        <v>976854</v>
      </c>
      <c r="B841" s="14" t="s">
        <v>1724</v>
      </c>
      <c r="C841" s="14" t="s">
        <v>1725</v>
      </c>
      <c r="D841" s="14" t="n">
        <v>200</v>
      </c>
      <c r="E841" s="14" t="n">
        <v>1353</v>
      </c>
      <c r="F841" s="14" t="n">
        <v>53</v>
      </c>
      <c r="G841" s="14" t="n">
        <v>320</v>
      </c>
      <c r="H841" s="14" t="s">
        <v>52</v>
      </c>
      <c r="I841" s="14" t="n">
        <v>0.11</v>
      </c>
      <c r="J841" s="14" t="n">
        <v>23.5</v>
      </c>
      <c r="K841" s="14" t="s">
        <v>59</v>
      </c>
      <c r="L841" s="14" t="n">
        <v>2016</v>
      </c>
      <c r="M841" s="14" t="n">
        <v>7.21007962817079</v>
      </c>
      <c r="N841" s="14" t="n">
        <v>5.29836736529808</v>
      </c>
      <c r="P841" s="14" t="n">
        <f aca="false">D841</f>
        <v>200</v>
      </c>
      <c r="Q841" s="14" t="n">
        <f aca="false">G841</f>
        <v>320</v>
      </c>
      <c r="R841" s="14" t="n">
        <f aca="false">J841</f>
        <v>23.5</v>
      </c>
      <c r="S841" s="14" t="n">
        <f aca="false">IF($L841=2012,1,0)</f>
        <v>0</v>
      </c>
      <c r="T841" s="14" t="n">
        <f aca="false">IF($L841=2013,1,0)</f>
        <v>0</v>
      </c>
      <c r="U841" s="14" t="n">
        <f aca="false">IF($L841=2014,1,0)</f>
        <v>0</v>
      </c>
      <c r="V841" s="14" t="n">
        <f aca="false">IF($L841=2015,1,0)</f>
        <v>0</v>
      </c>
      <c r="W841" s="14" t="n">
        <f aca="false">IF($L841=2016,1,0)</f>
        <v>1</v>
      </c>
      <c r="X841" s="14" t="n">
        <f aca="false">IF($L841=2017,1,0)</f>
        <v>0</v>
      </c>
      <c r="Y841" s="14" t="n">
        <f aca="false">IF($H841="Beginner Level",1,0)</f>
        <v>1</v>
      </c>
      <c r="Z841" s="14" t="n">
        <f aca="false">IF($H841="Expert Level",1,0)</f>
        <v>0</v>
      </c>
      <c r="AA841" s="14" t="n">
        <f aca="false">IF($H841="Intermediate Level",1,0)</f>
        <v>0</v>
      </c>
      <c r="AC841" s="14" t="n">
        <f aca="false">N841</f>
        <v>5.29836736529808</v>
      </c>
      <c r="AD841" s="14" t="n">
        <f aca="false">G841</f>
        <v>320</v>
      </c>
      <c r="AE841" s="14" t="n">
        <f aca="false">J841</f>
        <v>23.5</v>
      </c>
      <c r="AF841" s="14" t="n">
        <f aca="false">IF($L841=2012,1,0)</f>
        <v>0</v>
      </c>
      <c r="AG841" s="14" t="n">
        <f aca="false">IF($L841=2013,1,0)</f>
        <v>0</v>
      </c>
      <c r="AH841" s="14" t="n">
        <f aca="false">IF($L841=2014,1,0)</f>
        <v>0</v>
      </c>
      <c r="AI841" s="14" t="n">
        <f aca="false">IF($L841=2015,1,0)</f>
        <v>0</v>
      </c>
      <c r="AJ841" s="14" t="n">
        <f aca="false">IF($L841=2016,1,0)</f>
        <v>1</v>
      </c>
      <c r="AK841" s="14" t="n">
        <f aca="false">IF($L841=2017,1,0)</f>
        <v>0</v>
      </c>
      <c r="AL841" s="14" t="n">
        <f aca="false">IF($H841="Beginner Level",1,0)</f>
        <v>1</v>
      </c>
      <c r="AM841" s="14" t="n">
        <f aca="false">IF($H841="Expert Level",1,0)</f>
        <v>0</v>
      </c>
      <c r="AN841" s="14" t="n">
        <f aca="false">IF($H841="Intermediate Level",1,0)</f>
        <v>0</v>
      </c>
    </row>
    <row r="842" customFormat="false" ht="68.65" hidden="false" customHeight="false" outlineLevel="0" collapsed="false">
      <c r="A842" s="14" t="n">
        <v>1199774</v>
      </c>
      <c r="B842" s="14" t="s">
        <v>1726</v>
      </c>
      <c r="C842" s="14" t="s">
        <v>1727</v>
      </c>
      <c r="D842" s="14" t="n">
        <v>115</v>
      </c>
      <c r="E842" s="14" t="n">
        <v>1346</v>
      </c>
      <c r="F842" s="14" t="n">
        <v>330</v>
      </c>
      <c r="G842" s="14" t="n">
        <v>32</v>
      </c>
      <c r="H842" s="14" t="s">
        <v>52</v>
      </c>
      <c r="I842" s="14" t="n">
        <v>0.18</v>
      </c>
      <c r="J842" s="14" t="n">
        <v>3</v>
      </c>
      <c r="K842" s="14" t="s">
        <v>59</v>
      </c>
      <c r="L842" s="14" t="n">
        <v>2017</v>
      </c>
      <c r="M842" s="14" t="n">
        <v>7.20489251020467</v>
      </c>
      <c r="N842" s="14" t="n">
        <v>4.74501908110449</v>
      </c>
      <c r="P842" s="14" t="n">
        <f aca="false">D842</f>
        <v>115</v>
      </c>
      <c r="Q842" s="14" t="n">
        <f aca="false">G842</f>
        <v>32</v>
      </c>
      <c r="R842" s="14" t="n">
        <f aca="false">J842</f>
        <v>3</v>
      </c>
      <c r="S842" s="14" t="n">
        <f aca="false">IF($L842=2012,1,0)</f>
        <v>0</v>
      </c>
      <c r="T842" s="14" t="n">
        <f aca="false">IF($L842=2013,1,0)</f>
        <v>0</v>
      </c>
      <c r="U842" s="14" t="n">
        <f aca="false">IF($L842=2014,1,0)</f>
        <v>0</v>
      </c>
      <c r="V842" s="14" t="n">
        <f aca="false">IF($L842=2015,1,0)</f>
        <v>0</v>
      </c>
      <c r="W842" s="14" t="n">
        <f aca="false">IF($L842=2016,1,0)</f>
        <v>0</v>
      </c>
      <c r="X842" s="14" t="n">
        <f aca="false">IF($L842=2017,1,0)</f>
        <v>1</v>
      </c>
      <c r="Y842" s="14" t="n">
        <f aca="false">IF($H842="Beginner Level",1,0)</f>
        <v>1</v>
      </c>
      <c r="Z842" s="14" t="n">
        <f aca="false">IF($H842="Expert Level",1,0)</f>
        <v>0</v>
      </c>
      <c r="AA842" s="14" t="n">
        <f aca="false">IF($H842="Intermediate Level",1,0)</f>
        <v>0</v>
      </c>
      <c r="AC842" s="14" t="n">
        <f aca="false">N842</f>
        <v>4.74501908110449</v>
      </c>
      <c r="AD842" s="14" t="n">
        <f aca="false">G842</f>
        <v>32</v>
      </c>
      <c r="AE842" s="14" t="n">
        <f aca="false">J842</f>
        <v>3</v>
      </c>
      <c r="AF842" s="14" t="n">
        <f aca="false">IF($L842=2012,1,0)</f>
        <v>0</v>
      </c>
      <c r="AG842" s="14" t="n">
        <f aca="false">IF($L842=2013,1,0)</f>
        <v>0</v>
      </c>
      <c r="AH842" s="14" t="n">
        <f aca="false">IF($L842=2014,1,0)</f>
        <v>0</v>
      </c>
      <c r="AI842" s="14" t="n">
        <f aca="false">IF($L842=2015,1,0)</f>
        <v>0</v>
      </c>
      <c r="AJ842" s="14" t="n">
        <f aca="false">IF($L842=2016,1,0)</f>
        <v>0</v>
      </c>
      <c r="AK842" s="14" t="n">
        <f aca="false">IF($L842=2017,1,0)</f>
        <v>1</v>
      </c>
      <c r="AL842" s="14" t="n">
        <f aca="false">IF($H842="Beginner Level",1,0)</f>
        <v>1</v>
      </c>
      <c r="AM842" s="14" t="n">
        <f aca="false">IF($H842="Expert Level",1,0)</f>
        <v>0</v>
      </c>
      <c r="AN842" s="14" t="n">
        <f aca="false">IF($H842="Intermediate Level",1,0)</f>
        <v>0</v>
      </c>
    </row>
    <row r="843" customFormat="false" ht="46.25" hidden="false" customHeight="false" outlineLevel="0" collapsed="false">
      <c r="A843" s="14" t="n">
        <v>1203040</v>
      </c>
      <c r="B843" s="14" t="s">
        <v>1728</v>
      </c>
      <c r="C843" s="14" t="s">
        <v>1729</v>
      </c>
      <c r="D843" s="14" t="n">
        <v>60</v>
      </c>
      <c r="E843" s="14" t="n">
        <v>1343</v>
      </c>
      <c r="F843" s="14" t="n">
        <v>11</v>
      </c>
      <c r="G843" s="14" t="n">
        <v>22</v>
      </c>
      <c r="H843" s="14" t="s">
        <v>52</v>
      </c>
      <c r="I843" s="14" t="n">
        <v>0.2</v>
      </c>
      <c r="J843" s="14" t="n">
        <v>3.5</v>
      </c>
      <c r="K843" s="14" t="s">
        <v>59</v>
      </c>
      <c r="L843" s="14" t="n">
        <v>2017</v>
      </c>
      <c r="M843" s="14" t="n">
        <v>7.20266119652324</v>
      </c>
      <c r="N843" s="14" t="n">
        <v>4.09451121500142</v>
      </c>
      <c r="P843" s="14" t="n">
        <f aca="false">D843</f>
        <v>60</v>
      </c>
      <c r="Q843" s="14" t="n">
        <f aca="false">G843</f>
        <v>22</v>
      </c>
      <c r="R843" s="14" t="n">
        <f aca="false">J843</f>
        <v>3.5</v>
      </c>
      <c r="S843" s="14" t="n">
        <f aca="false">IF($L843=2012,1,0)</f>
        <v>0</v>
      </c>
      <c r="T843" s="14" t="n">
        <f aca="false">IF($L843=2013,1,0)</f>
        <v>0</v>
      </c>
      <c r="U843" s="14" t="n">
        <f aca="false">IF($L843=2014,1,0)</f>
        <v>0</v>
      </c>
      <c r="V843" s="14" t="n">
        <f aca="false">IF($L843=2015,1,0)</f>
        <v>0</v>
      </c>
      <c r="W843" s="14" t="n">
        <f aca="false">IF($L843=2016,1,0)</f>
        <v>0</v>
      </c>
      <c r="X843" s="14" t="n">
        <f aca="false">IF($L843=2017,1,0)</f>
        <v>1</v>
      </c>
      <c r="Y843" s="14" t="n">
        <f aca="false">IF($H843="Beginner Level",1,0)</f>
        <v>1</v>
      </c>
      <c r="Z843" s="14" t="n">
        <f aca="false">IF($H843="Expert Level",1,0)</f>
        <v>0</v>
      </c>
      <c r="AA843" s="14" t="n">
        <f aca="false">IF($H843="Intermediate Level",1,0)</f>
        <v>0</v>
      </c>
      <c r="AC843" s="14" t="n">
        <f aca="false">N843</f>
        <v>4.09451121500142</v>
      </c>
      <c r="AD843" s="14" t="n">
        <f aca="false">G843</f>
        <v>22</v>
      </c>
      <c r="AE843" s="14" t="n">
        <f aca="false">J843</f>
        <v>3.5</v>
      </c>
      <c r="AF843" s="14" t="n">
        <f aca="false">IF($L843=2012,1,0)</f>
        <v>0</v>
      </c>
      <c r="AG843" s="14" t="n">
        <f aca="false">IF($L843=2013,1,0)</f>
        <v>0</v>
      </c>
      <c r="AH843" s="14" t="n">
        <f aca="false">IF($L843=2014,1,0)</f>
        <v>0</v>
      </c>
      <c r="AI843" s="14" t="n">
        <f aca="false">IF($L843=2015,1,0)</f>
        <v>0</v>
      </c>
      <c r="AJ843" s="14" t="n">
        <f aca="false">IF($L843=2016,1,0)</f>
        <v>0</v>
      </c>
      <c r="AK843" s="14" t="n">
        <f aca="false">IF($L843=2017,1,0)</f>
        <v>1</v>
      </c>
      <c r="AL843" s="14" t="n">
        <f aca="false">IF($H843="Beginner Level",1,0)</f>
        <v>1</v>
      </c>
      <c r="AM843" s="14" t="n">
        <f aca="false">IF($H843="Expert Level",1,0)</f>
        <v>0</v>
      </c>
      <c r="AN843" s="14" t="n">
        <f aca="false">IF($H843="Intermediate Level",1,0)</f>
        <v>0</v>
      </c>
    </row>
    <row r="844" customFormat="false" ht="68.65" hidden="false" customHeight="false" outlineLevel="0" collapsed="false">
      <c r="A844" s="14" t="n">
        <v>1063722</v>
      </c>
      <c r="B844" s="14" t="s">
        <v>1730</v>
      </c>
      <c r="C844" s="14" t="s">
        <v>1731</v>
      </c>
      <c r="D844" s="14" t="n">
        <v>50</v>
      </c>
      <c r="E844" s="14" t="n">
        <v>1339</v>
      </c>
      <c r="F844" s="14" t="n">
        <v>21</v>
      </c>
      <c r="G844" s="14" t="n">
        <v>18</v>
      </c>
      <c r="H844" s="14" t="s">
        <v>52</v>
      </c>
      <c r="I844" s="14" t="n">
        <v>0.78</v>
      </c>
      <c r="J844" s="14" t="n">
        <v>2</v>
      </c>
      <c r="K844" s="14" t="s">
        <v>59</v>
      </c>
      <c r="L844" s="14" t="n">
        <v>2017</v>
      </c>
      <c r="M844" s="14" t="n">
        <v>7.19967834569117</v>
      </c>
      <c r="N844" s="14" t="n">
        <v>3.91222298543081</v>
      </c>
      <c r="P844" s="14" t="n">
        <f aca="false">D844</f>
        <v>50</v>
      </c>
      <c r="Q844" s="14" t="n">
        <f aca="false">G844</f>
        <v>18</v>
      </c>
      <c r="R844" s="14" t="n">
        <f aca="false">J844</f>
        <v>2</v>
      </c>
      <c r="S844" s="14" t="n">
        <f aca="false">IF($L844=2012,1,0)</f>
        <v>0</v>
      </c>
      <c r="T844" s="14" t="n">
        <f aca="false">IF($L844=2013,1,0)</f>
        <v>0</v>
      </c>
      <c r="U844" s="14" t="n">
        <f aca="false">IF($L844=2014,1,0)</f>
        <v>0</v>
      </c>
      <c r="V844" s="14" t="n">
        <f aca="false">IF($L844=2015,1,0)</f>
        <v>0</v>
      </c>
      <c r="W844" s="14" t="n">
        <f aca="false">IF($L844=2016,1,0)</f>
        <v>0</v>
      </c>
      <c r="X844" s="14" t="n">
        <f aca="false">IF($L844=2017,1,0)</f>
        <v>1</v>
      </c>
      <c r="Y844" s="14" t="n">
        <f aca="false">IF($H844="Beginner Level",1,0)</f>
        <v>1</v>
      </c>
      <c r="Z844" s="14" t="n">
        <f aca="false">IF($H844="Expert Level",1,0)</f>
        <v>0</v>
      </c>
      <c r="AA844" s="14" t="n">
        <f aca="false">IF($H844="Intermediate Level",1,0)</f>
        <v>0</v>
      </c>
      <c r="AC844" s="14" t="n">
        <f aca="false">N844</f>
        <v>3.91222298543081</v>
      </c>
      <c r="AD844" s="14" t="n">
        <f aca="false">G844</f>
        <v>18</v>
      </c>
      <c r="AE844" s="14" t="n">
        <f aca="false">J844</f>
        <v>2</v>
      </c>
      <c r="AF844" s="14" t="n">
        <f aca="false">IF($L844=2012,1,0)</f>
        <v>0</v>
      </c>
      <c r="AG844" s="14" t="n">
        <f aca="false">IF($L844=2013,1,0)</f>
        <v>0</v>
      </c>
      <c r="AH844" s="14" t="n">
        <f aca="false">IF($L844=2014,1,0)</f>
        <v>0</v>
      </c>
      <c r="AI844" s="14" t="n">
        <f aca="false">IF($L844=2015,1,0)</f>
        <v>0</v>
      </c>
      <c r="AJ844" s="14" t="n">
        <f aca="false">IF($L844=2016,1,0)</f>
        <v>0</v>
      </c>
      <c r="AK844" s="14" t="n">
        <f aca="false">IF($L844=2017,1,0)</f>
        <v>1</v>
      </c>
      <c r="AL844" s="14" t="n">
        <f aca="false">IF($H844="Beginner Level",1,0)</f>
        <v>1</v>
      </c>
      <c r="AM844" s="14" t="n">
        <f aca="false">IF($H844="Expert Level",1,0)</f>
        <v>0</v>
      </c>
      <c r="AN844" s="14" t="n">
        <f aca="false">IF($H844="Intermediate Level",1,0)</f>
        <v>0</v>
      </c>
    </row>
    <row r="845" customFormat="false" ht="68.65" hidden="false" customHeight="false" outlineLevel="0" collapsed="false">
      <c r="A845" s="14" t="n">
        <v>1197650</v>
      </c>
      <c r="B845" s="14" t="s">
        <v>1732</v>
      </c>
      <c r="C845" s="14" t="s">
        <v>1733</v>
      </c>
      <c r="D845" s="14" t="n">
        <v>50</v>
      </c>
      <c r="E845" s="14" t="n">
        <v>1337</v>
      </c>
      <c r="F845" s="14" t="n">
        <v>28</v>
      </c>
      <c r="G845" s="14" t="n">
        <v>12</v>
      </c>
      <c r="H845" s="14" t="s">
        <v>52</v>
      </c>
      <c r="I845" s="14" t="n">
        <v>0.89</v>
      </c>
      <c r="J845" s="14" t="n">
        <v>1</v>
      </c>
      <c r="K845" s="14" t="s">
        <v>59</v>
      </c>
      <c r="L845" s="14" t="n">
        <v>2017</v>
      </c>
      <c r="M845" s="14" t="n">
        <v>7.19818357710194</v>
      </c>
      <c r="N845" s="14" t="n">
        <v>3.91222298543081</v>
      </c>
      <c r="P845" s="14" t="n">
        <f aca="false">D845</f>
        <v>50</v>
      </c>
      <c r="Q845" s="14" t="n">
        <f aca="false">G845</f>
        <v>12</v>
      </c>
      <c r="R845" s="14" t="n">
        <f aca="false">J845</f>
        <v>1</v>
      </c>
      <c r="S845" s="14" t="n">
        <f aca="false">IF($L845=2012,1,0)</f>
        <v>0</v>
      </c>
      <c r="T845" s="14" t="n">
        <f aca="false">IF($L845=2013,1,0)</f>
        <v>0</v>
      </c>
      <c r="U845" s="14" t="n">
        <f aca="false">IF($L845=2014,1,0)</f>
        <v>0</v>
      </c>
      <c r="V845" s="14" t="n">
        <f aca="false">IF($L845=2015,1,0)</f>
        <v>0</v>
      </c>
      <c r="W845" s="14" t="n">
        <f aca="false">IF($L845=2016,1,0)</f>
        <v>0</v>
      </c>
      <c r="X845" s="14" t="n">
        <f aca="false">IF($L845=2017,1,0)</f>
        <v>1</v>
      </c>
      <c r="Y845" s="14" t="n">
        <f aca="false">IF($H845="Beginner Level",1,0)</f>
        <v>1</v>
      </c>
      <c r="Z845" s="14" t="n">
        <f aca="false">IF($H845="Expert Level",1,0)</f>
        <v>0</v>
      </c>
      <c r="AA845" s="14" t="n">
        <f aca="false">IF($H845="Intermediate Level",1,0)</f>
        <v>0</v>
      </c>
      <c r="AC845" s="14" t="n">
        <f aca="false">N845</f>
        <v>3.91222298543081</v>
      </c>
      <c r="AD845" s="14" t="n">
        <f aca="false">G845</f>
        <v>12</v>
      </c>
      <c r="AE845" s="14" t="n">
        <f aca="false">J845</f>
        <v>1</v>
      </c>
      <c r="AF845" s="14" t="n">
        <f aca="false">IF($L845=2012,1,0)</f>
        <v>0</v>
      </c>
      <c r="AG845" s="14" t="n">
        <f aca="false">IF($L845=2013,1,0)</f>
        <v>0</v>
      </c>
      <c r="AH845" s="14" t="n">
        <f aca="false">IF($L845=2014,1,0)</f>
        <v>0</v>
      </c>
      <c r="AI845" s="14" t="n">
        <f aca="false">IF($L845=2015,1,0)</f>
        <v>0</v>
      </c>
      <c r="AJ845" s="14" t="n">
        <f aca="false">IF($L845=2016,1,0)</f>
        <v>0</v>
      </c>
      <c r="AK845" s="14" t="n">
        <f aca="false">IF($L845=2017,1,0)</f>
        <v>1</v>
      </c>
      <c r="AL845" s="14" t="n">
        <f aca="false">IF($H845="Beginner Level",1,0)</f>
        <v>1</v>
      </c>
      <c r="AM845" s="14" t="n">
        <f aca="false">IF($H845="Expert Level",1,0)</f>
        <v>0</v>
      </c>
      <c r="AN845" s="14" t="n">
        <f aca="false">IF($H845="Intermediate Level",1,0)</f>
        <v>0</v>
      </c>
    </row>
    <row r="846" customFormat="false" ht="46.25" hidden="false" customHeight="false" outlineLevel="0" collapsed="false">
      <c r="A846" s="14" t="n">
        <v>661774</v>
      </c>
      <c r="B846" s="14" t="s">
        <v>1734</v>
      </c>
      <c r="C846" s="14" t="s">
        <v>1735</v>
      </c>
      <c r="D846" s="14" t="n">
        <v>50</v>
      </c>
      <c r="E846" s="14" t="n">
        <v>1322</v>
      </c>
      <c r="F846" s="14" t="n">
        <v>171</v>
      </c>
      <c r="G846" s="14" t="n">
        <v>37</v>
      </c>
      <c r="H846" s="14" t="s">
        <v>52</v>
      </c>
      <c r="I846" s="14" t="n">
        <v>0.9</v>
      </c>
      <c r="J846" s="14" t="n">
        <v>3.5</v>
      </c>
      <c r="K846" s="14" t="s">
        <v>59</v>
      </c>
      <c r="L846" s="14" t="n">
        <v>2016</v>
      </c>
      <c r="M846" s="14" t="n">
        <v>7.18690102041163</v>
      </c>
      <c r="N846" s="14" t="n">
        <v>3.91222298543081</v>
      </c>
      <c r="P846" s="14" t="n">
        <f aca="false">D846</f>
        <v>50</v>
      </c>
      <c r="Q846" s="14" t="n">
        <f aca="false">G846</f>
        <v>37</v>
      </c>
      <c r="R846" s="14" t="n">
        <f aca="false">J846</f>
        <v>3.5</v>
      </c>
      <c r="S846" s="14" t="n">
        <f aca="false">IF($L846=2012,1,0)</f>
        <v>0</v>
      </c>
      <c r="T846" s="14" t="n">
        <f aca="false">IF($L846=2013,1,0)</f>
        <v>0</v>
      </c>
      <c r="U846" s="14" t="n">
        <f aca="false">IF($L846=2014,1,0)</f>
        <v>0</v>
      </c>
      <c r="V846" s="14" t="n">
        <f aca="false">IF($L846=2015,1,0)</f>
        <v>0</v>
      </c>
      <c r="W846" s="14" t="n">
        <f aca="false">IF($L846=2016,1,0)</f>
        <v>1</v>
      </c>
      <c r="X846" s="14" t="n">
        <f aca="false">IF($L846=2017,1,0)</f>
        <v>0</v>
      </c>
      <c r="Y846" s="14" t="n">
        <f aca="false">IF($H846="Beginner Level",1,0)</f>
        <v>1</v>
      </c>
      <c r="Z846" s="14" t="n">
        <f aca="false">IF($H846="Expert Level",1,0)</f>
        <v>0</v>
      </c>
      <c r="AA846" s="14" t="n">
        <f aca="false">IF($H846="Intermediate Level",1,0)</f>
        <v>0</v>
      </c>
      <c r="AC846" s="14" t="n">
        <f aca="false">N846</f>
        <v>3.91222298543081</v>
      </c>
      <c r="AD846" s="14" t="n">
        <f aca="false">G846</f>
        <v>37</v>
      </c>
      <c r="AE846" s="14" t="n">
        <f aca="false">J846</f>
        <v>3.5</v>
      </c>
      <c r="AF846" s="14" t="n">
        <f aca="false">IF($L846=2012,1,0)</f>
        <v>0</v>
      </c>
      <c r="AG846" s="14" t="n">
        <f aca="false">IF($L846=2013,1,0)</f>
        <v>0</v>
      </c>
      <c r="AH846" s="14" t="n">
        <f aca="false">IF($L846=2014,1,0)</f>
        <v>0</v>
      </c>
      <c r="AI846" s="14" t="n">
        <f aca="false">IF($L846=2015,1,0)</f>
        <v>0</v>
      </c>
      <c r="AJ846" s="14" t="n">
        <f aca="false">IF($L846=2016,1,0)</f>
        <v>1</v>
      </c>
      <c r="AK846" s="14" t="n">
        <f aca="false">IF($L846=2017,1,0)</f>
        <v>0</v>
      </c>
      <c r="AL846" s="14" t="n">
        <f aca="false">IF($H846="Beginner Level",1,0)</f>
        <v>1</v>
      </c>
      <c r="AM846" s="14" t="n">
        <f aca="false">IF($H846="Expert Level",1,0)</f>
        <v>0</v>
      </c>
      <c r="AN846" s="14" t="n">
        <f aca="false">IF($H846="Intermediate Level",1,0)</f>
        <v>0</v>
      </c>
    </row>
    <row r="847" customFormat="false" ht="79.85" hidden="false" customHeight="false" outlineLevel="0" collapsed="false">
      <c r="A847" s="14" t="n">
        <v>554136</v>
      </c>
      <c r="B847" s="14" t="s">
        <v>1736</v>
      </c>
      <c r="C847" s="14" t="s">
        <v>1737</v>
      </c>
      <c r="D847" s="14" t="n">
        <v>75</v>
      </c>
      <c r="E847" s="14" t="n">
        <v>1322</v>
      </c>
      <c r="F847" s="14" t="n">
        <v>14</v>
      </c>
      <c r="G847" s="14" t="n">
        <v>27</v>
      </c>
      <c r="H847" s="14" t="s">
        <v>52</v>
      </c>
      <c r="I847" s="14" t="n">
        <v>0.08</v>
      </c>
      <c r="J847" s="14" t="n">
        <v>3</v>
      </c>
      <c r="K847" s="14" t="s">
        <v>59</v>
      </c>
      <c r="L847" s="14" t="n">
        <v>2015</v>
      </c>
      <c r="M847" s="14" t="n">
        <v>7.18690102041163</v>
      </c>
      <c r="N847" s="14" t="n">
        <v>4.31762143798155</v>
      </c>
      <c r="P847" s="14" t="n">
        <f aca="false">D847</f>
        <v>75</v>
      </c>
      <c r="Q847" s="14" t="n">
        <f aca="false">G847</f>
        <v>27</v>
      </c>
      <c r="R847" s="14" t="n">
        <f aca="false">J847</f>
        <v>3</v>
      </c>
      <c r="S847" s="14" t="n">
        <f aca="false">IF($L847=2012,1,0)</f>
        <v>0</v>
      </c>
      <c r="T847" s="14" t="n">
        <f aca="false">IF($L847=2013,1,0)</f>
        <v>0</v>
      </c>
      <c r="U847" s="14" t="n">
        <f aca="false">IF($L847=2014,1,0)</f>
        <v>0</v>
      </c>
      <c r="V847" s="14" t="n">
        <f aca="false">IF($L847=2015,1,0)</f>
        <v>1</v>
      </c>
      <c r="W847" s="14" t="n">
        <f aca="false">IF($L847=2016,1,0)</f>
        <v>0</v>
      </c>
      <c r="X847" s="14" t="n">
        <f aca="false">IF($L847=2017,1,0)</f>
        <v>0</v>
      </c>
      <c r="Y847" s="14" t="n">
        <f aca="false">IF($H847="Beginner Level",1,0)</f>
        <v>1</v>
      </c>
      <c r="Z847" s="14" t="n">
        <f aca="false">IF($H847="Expert Level",1,0)</f>
        <v>0</v>
      </c>
      <c r="AA847" s="14" t="n">
        <f aca="false">IF($H847="Intermediate Level",1,0)</f>
        <v>0</v>
      </c>
      <c r="AC847" s="14" t="n">
        <f aca="false">N847</f>
        <v>4.31762143798155</v>
      </c>
      <c r="AD847" s="14" t="n">
        <f aca="false">G847</f>
        <v>27</v>
      </c>
      <c r="AE847" s="14" t="n">
        <f aca="false">J847</f>
        <v>3</v>
      </c>
      <c r="AF847" s="14" t="n">
        <f aca="false">IF($L847=2012,1,0)</f>
        <v>0</v>
      </c>
      <c r="AG847" s="14" t="n">
        <f aca="false">IF($L847=2013,1,0)</f>
        <v>0</v>
      </c>
      <c r="AH847" s="14" t="n">
        <f aca="false">IF($L847=2014,1,0)</f>
        <v>0</v>
      </c>
      <c r="AI847" s="14" t="n">
        <f aca="false">IF($L847=2015,1,0)</f>
        <v>1</v>
      </c>
      <c r="AJ847" s="14" t="n">
        <f aca="false">IF($L847=2016,1,0)</f>
        <v>0</v>
      </c>
      <c r="AK847" s="14" t="n">
        <f aca="false">IF($L847=2017,1,0)</f>
        <v>0</v>
      </c>
      <c r="AL847" s="14" t="n">
        <f aca="false">IF($H847="Beginner Level",1,0)</f>
        <v>1</v>
      </c>
      <c r="AM847" s="14" t="n">
        <f aca="false">IF($H847="Expert Level",1,0)</f>
        <v>0</v>
      </c>
      <c r="AN847" s="14" t="n">
        <f aca="false">IF($H847="Intermediate Level",1,0)</f>
        <v>0</v>
      </c>
    </row>
    <row r="848" customFormat="false" ht="79.85" hidden="false" customHeight="false" outlineLevel="0" collapsed="false">
      <c r="A848" s="14" t="n">
        <v>440006</v>
      </c>
      <c r="B848" s="14" t="s">
        <v>1738</v>
      </c>
      <c r="C848" s="14" t="s">
        <v>1739</v>
      </c>
      <c r="D848" s="14" t="n">
        <v>20</v>
      </c>
      <c r="E848" s="14" t="n">
        <v>1318</v>
      </c>
      <c r="F848" s="14" t="n">
        <v>81</v>
      </c>
      <c r="G848" s="14" t="n">
        <v>55</v>
      </c>
      <c r="H848" s="14" t="s">
        <v>52</v>
      </c>
      <c r="I848" s="14" t="n">
        <v>0.07</v>
      </c>
      <c r="J848" s="14" t="n">
        <v>7</v>
      </c>
      <c r="K848" s="14" t="s">
        <v>59</v>
      </c>
      <c r="L848" s="14" t="n">
        <v>2015</v>
      </c>
      <c r="M848" s="14" t="n">
        <v>7.18387071506245</v>
      </c>
      <c r="N848" s="14" t="n">
        <v>2.99623214859564</v>
      </c>
      <c r="P848" s="14" t="n">
        <f aca="false">D848</f>
        <v>20</v>
      </c>
      <c r="Q848" s="14" t="n">
        <f aca="false">G848</f>
        <v>55</v>
      </c>
      <c r="R848" s="14" t="n">
        <f aca="false">J848</f>
        <v>7</v>
      </c>
      <c r="S848" s="14" t="n">
        <f aca="false">IF($L848=2012,1,0)</f>
        <v>0</v>
      </c>
      <c r="T848" s="14" t="n">
        <f aca="false">IF($L848=2013,1,0)</f>
        <v>0</v>
      </c>
      <c r="U848" s="14" t="n">
        <f aca="false">IF($L848=2014,1,0)</f>
        <v>0</v>
      </c>
      <c r="V848" s="14" t="n">
        <f aca="false">IF($L848=2015,1,0)</f>
        <v>1</v>
      </c>
      <c r="W848" s="14" t="n">
        <f aca="false">IF($L848=2016,1,0)</f>
        <v>0</v>
      </c>
      <c r="X848" s="14" t="n">
        <f aca="false">IF($L848=2017,1,0)</f>
        <v>0</v>
      </c>
      <c r="Y848" s="14" t="n">
        <f aca="false">IF($H848="Beginner Level",1,0)</f>
        <v>1</v>
      </c>
      <c r="Z848" s="14" t="n">
        <f aca="false">IF($H848="Expert Level",1,0)</f>
        <v>0</v>
      </c>
      <c r="AA848" s="14" t="n">
        <f aca="false">IF($H848="Intermediate Level",1,0)</f>
        <v>0</v>
      </c>
      <c r="AC848" s="14" t="n">
        <f aca="false">N848</f>
        <v>2.99623214859564</v>
      </c>
      <c r="AD848" s="14" t="n">
        <f aca="false">G848</f>
        <v>55</v>
      </c>
      <c r="AE848" s="14" t="n">
        <f aca="false">J848</f>
        <v>7</v>
      </c>
      <c r="AF848" s="14" t="n">
        <f aca="false">IF($L848=2012,1,0)</f>
        <v>0</v>
      </c>
      <c r="AG848" s="14" t="n">
        <f aca="false">IF($L848=2013,1,0)</f>
        <v>0</v>
      </c>
      <c r="AH848" s="14" t="n">
        <f aca="false">IF($L848=2014,1,0)</f>
        <v>0</v>
      </c>
      <c r="AI848" s="14" t="n">
        <f aca="false">IF($L848=2015,1,0)</f>
        <v>1</v>
      </c>
      <c r="AJ848" s="14" t="n">
        <f aca="false">IF($L848=2016,1,0)</f>
        <v>0</v>
      </c>
      <c r="AK848" s="14" t="n">
        <f aca="false">IF($L848=2017,1,0)</f>
        <v>0</v>
      </c>
      <c r="AL848" s="14" t="n">
        <f aca="false">IF($H848="Beginner Level",1,0)</f>
        <v>1</v>
      </c>
      <c r="AM848" s="14" t="n">
        <f aca="false">IF($H848="Expert Level",1,0)</f>
        <v>0</v>
      </c>
      <c r="AN848" s="14" t="n">
        <f aca="false">IF($H848="Intermediate Level",1,0)</f>
        <v>0</v>
      </c>
    </row>
    <row r="849" customFormat="false" ht="46.25" hidden="false" customHeight="false" outlineLevel="0" collapsed="false">
      <c r="A849" s="14" t="n">
        <v>473622</v>
      </c>
      <c r="B849" s="14" t="s">
        <v>1740</v>
      </c>
      <c r="C849" s="14" t="s">
        <v>1741</v>
      </c>
      <c r="D849" s="14" t="n">
        <v>125</v>
      </c>
      <c r="E849" s="14" t="n">
        <v>1318</v>
      </c>
      <c r="F849" s="14" t="n">
        <v>78</v>
      </c>
      <c r="G849" s="14" t="n">
        <v>51</v>
      </c>
      <c r="H849" s="14" t="s">
        <v>62</v>
      </c>
      <c r="I849" s="14" t="n">
        <v>0.24</v>
      </c>
      <c r="J849" s="14" t="n">
        <v>4.5</v>
      </c>
      <c r="K849" s="14" t="s">
        <v>59</v>
      </c>
      <c r="L849" s="14" t="n">
        <v>2015</v>
      </c>
      <c r="M849" s="14" t="n">
        <v>7.18387071506245</v>
      </c>
      <c r="N849" s="14" t="n">
        <v>4.82839373410247</v>
      </c>
      <c r="P849" s="14" t="n">
        <f aca="false">D849</f>
        <v>125</v>
      </c>
      <c r="Q849" s="14" t="n">
        <f aca="false">G849</f>
        <v>51</v>
      </c>
      <c r="R849" s="14" t="n">
        <f aca="false">J849</f>
        <v>4.5</v>
      </c>
      <c r="S849" s="14" t="n">
        <f aca="false">IF($L849=2012,1,0)</f>
        <v>0</v>
      </c>
      <c r="T849" s="14" t="n">
        <f aca="false">IF($L849=2013,1,0)</f>
        <v>0</v>
      </c>
      <c r="U849" s="14" t="n">
        <f aca="false">IF($L849=2014,1,0)</f>
        <v>0</v>
      </c>
      <c r="V849" s="14" t="n">
        <f aca="false">IF($L849=2015,1,0)</f>
        <v>1</v>
      </c>
      <c r="W849" s="14" t="n">
        <f aca="false">IF($L849=2016,1,0)</f>
        <v>0</v>
      </c>
      <c r="X849" s="14" t="n">
        <f aca="false">IF($L849=2017,1,0)</f>
        <v>0</v>
      </c>
      <c r="Y849" s="14" t="n">
        <f aca="false">IF($H849="Beginner Level",1,0)</f>
        <v>0</v>
      </c>
      <c r="Z849" s="14" t="n">
        <f aca="false">IF($H849="Expert Level",1,0)</f>
        <v>0</v>
      </c>
      <c r="AA849" s="14" t="n">
        <f aca="false">IF($H849="Intermediate Level",1,0)</f>
        <v>0</v>
      </c>
      <c r="AC849" s="14" t="n">
        <f aca="false">N849</f>
        <v>4.82839373410247</v>
      </c>
      <c r="AD849" s="14" t="n">
        <f aca="false">G849</f>
        <v>51</v>
      </c>
      <c r="AE849" s="14" t="n">
        <f aca="false">J849</f>
        <v>4.5</v>
      </c>
      <c r="AF849" s="14" t="n">
        <f aca="false">IF($L849=2012,1,0)</f>
        <v>0</v>
      </c>
      <c r="AG849" s="14" t="n">
        <f aca="false">IF($L849=2013,1,0)</f>
        <v>0</v>
      </c>
      <c r="AH849" s="14" t="n">
        <f aca="false">IF($L849=2014,1,0)</f>
        <v>0</v>
      </c>
      <c r="AI849" s="14" t="n">
        <f aca="false">IF($L849=2015,1,0)</f>
        <v>1</v>
      </c>
      <c r="AJ849" s="14" t="n">
        <f aca="false">IF($L849=2016,1,0)</f>
        <v>0</v>
      </c>
      <c r="AK849" s="14" t="n">
        <f aca="false">IF($L849=2017,1,0)</f>
        <v>0</v>
      </c>
      <c r="AL849" s="14" t="n">
        <f aca="false">IF($H849="Beginner Level",1,0)</f>
        <v>0</v>
      </c>
      <c r="AM849" s="14" t="n">
        <f aca="false">IF($H849="Expert Level",1,0)</f>
        <v>0</v>
      </c>
      <c r="AN849" s="14" t="n">
        <f aca="false">IF($H849="Intermediate Level",1,0)</f>
        <v>0</v>
      </c>
    </row>
    <row r="850" customFormat="false" ht="46.25" hidden="false" customHeight="false" outlineLevel="0" collapsed="false">
      <c r="A850" s="14" t="n">
        <v>616818</v>
      </c>
      <c r="B850" s="14" t="s">
        <v>1742</v>
      </c>
      <c r="C850" s="14" t="s">
        <v>1743</v>
      </c>
      <c r="D850" s="14" t="n">
        <v>25</v>
      </c>
      <c r="E850" s="14" t="n">
        <v>1316</v>
      </c>
      <c r="F850" s="14" t="n">
        <v>22</v>
      </c>
      <c r="G850" s="14" t="n">
        <v>45</v>
      </c>
      <c r="H850" s="14" t="s">
        <v>56</v>
      </c>
      <c r="I850" s="14" t="n">
        <v>0.18</v>
      </c>
      <c r="J850" s="14" t="n">
        <v>5</v>
      </c>
      <c r="K850" s="14" t="s">
        <v>59</v>
      </c>
      <c r="L850" s="14" t="n">
        <v>2015</v>
      </c>
      <c r="M850" s="14" t="n">
        <v>7.18235211188526</v>
      </c>
      <c r="N850" s="14" t="n">
        <v>3.21927574488953</v>
      </c>
      <c r="P850" s="14" t="n">
        <f aca="false">D850</f>
        <v>25</v>
      </c>
      <c r="Q850" s="14" t="n">
        <f aca="false">G850</f>
        <v>45</v>
      </c>
      <c r="R850" s="14" t="n">
        <f aca="false">J850</f>
        <v>5</v>
      </c>
      <c r="S850" s="14" t="n">
        <f aca="false">IF($L850=2012,1,0)</f>
        <v>0</v>
      </c>
      <c r="T850" s="14" t="n">
        <f aca="false">IF($L850=2013,1,0)</f>
        <v>0</v>
      </c>
      <c r="U850" s="14" t="n">
        <f aca="false">IF($L850=2014,1,0)</f>
        <v>0</v>
      </c>
      <c r="V850" s="14" t="n">
        <f aca="false">IF($L850=2015,1,0)</f>
        <v>1</v>
      </c>
      <c r="W850" s="14" t="n">
        <f aca="false">IF($L850=2016,1,0)</f>
        <v>0</v>
      </c>
      <c r="X850" s="14" t="n">
        <f aca="false">IF($L850=2017,1,0)</f>
        <v>0</v>
      </c>
      <c r="Y850" s="14" t="n">
        <f aca="false">IF($H850="Beginner Level",1,0)</f>
        <v>0</v>
      </c>
      <c r="Z850" s="14" t="n">
        <f aca="false">IF($H850="Expert Level",1,0)</f>
        <v>1</v>
      </c>
      <c r="AA850" s="14" t="n">
        <f aca="false">IF($H850="Intermediate Level",1,0)</f>
        <v>0</v>
      </c>
      <c r="AC850" s="14" t="n">
        <f aca="false">N850</f>
        <v>3.21927574488953</v>
      </c>
      <c r="AD850" s="14" t="n">
        <f aca="false">G850</f>
        <v>45</v>
      </c>
      <c r="AE850" s="14" t="n">
        <f aca="false">J850</f>
        <v>5</v>
      </c>
      <c r="AF850" s="14" t="n">
        <f aca="false">IF($L850=2012,1,0)</f>
        <v>0</v>
      </c>
      <c r="AG850" s="14" t="n">
        <f aca="false">IF($L850=2013,1,0)</f>
        <v>0</v>
      </c>
      <c r="AH850" s="14" t="n">
        <f aca="false">IF($L850=2014,1,0)</f>
        <v>0</v>
      </c>
      <c r="AI850" s="14" t="n">
        <f aca="false">IF($L850=2015,1,0)</f>
        <v>1</v>
      </c>
      <c r="AJ850" s="14" t="n">
        <f aca="false">IF($L850=2016,1,0)</f>
        <v>0</v>
      </c>
      <c r="AK850" s="14" t="n">
        <f aca="false">IF($L850=2017,1,0)</f>
        <v>0</v>
      </c>
      <c r="AL850" s="14" t="n">
        <f aca="false">IF($H850="Beginner Level",1,0)</f>
        <v>0</v>
      </c>
      <c r="AM850" s="14" t="n">
        <f aca="false">IF($H850="Expert Level",1,0)</f>
        <v>1</v>
      </c>
      <c r="AN850" s="14" t="n">
        <f aca="false">IF($H850="Intermediate Level",1,0)</f>
        <v>0</v>
      </c>
    </row>
    <row r="851" customFormat="false" ht="79.85" hidden="false" customHeight="false" outlineLevel="0" collapsed="false">
      <c r="A851" s="14" t="n">
        <v>686764</v>
      </c>
      <c r="B851" s="14" t="s">
        <v>1744</v>
      </c>
      <c r="C851" s="14" t="s">
        <v>1745</v>
      </c>
      <c r="D851" s="14" t="n">
        <v>60</v>
      </c>
      <c r="E851" s="14" t="n">
        <v>1313</v>
      </c>
      <c r="F851" s="14" t="n">
        <v>121</v>
      </c>
      <c r="G851" s="14" t="n">
        <v>62</v>
      </c>
      <c r="H851" s="14" t="s">
        <v>52</v>
      </c>
      <c r="I851" s="14" t="n">
        <v>0.63</v>
      </c>
      <c r="J851" s="14" t="n">
        <v>11</v>
      </c>
      <c r="K851" s="14" t="s">
        <v>59</v>
      </c>
      <c r="L851" s="14" t="n">
        <v>2016</v>
      </c>
      <c r="M851" s="14" t="n">
        <v>7.1800698743028</v>
      </c>
      <c r="N851" s="14" t="n">
        <v>4.09451121500142</v>
      </c>
      <c r="P851" s="14" t="n">
        <f aca="false">D851</f>
        <v>60</v>
      </c>
      <c r="Q851" s="14" t="n">
        <f aca="false">G851</f>
        <v>62</v>
      </c>
      <c r="R851" s="14" t="n">
        <f aca="false">J851</f>
        <v>11</v>
      </c>
      <c r="S851" s="14" t="n">
        <f aca="false">IF($L851=2012,1,0)</f>
        <v>0</v>
      </c>
      <c r="T851" s="14" t="n">
        <f aca="false">IF($L851=2013,1,0)</f>
        <v>0</v>
      </c>
      <c r="U851" s="14" t="n">
        <f aca="false">IF($L851=2014,1,0)</f>
        <v>0</v>
      </c>
      <c r="V851" s="14" t="n">
        <f aca="false">IF($L851=2015,1,0)</f>
        <v>0</v>
      </c>
      <c r="W851" s="14" t="n">
        <f aca="false">IF($L851=2016,1,0)</f>
        <v>1</v>
      </c>
      <c r="X851" s="14" t="n">
        <f aca="false">IF($L851=2017,1,0)</f>
        <v>0</v>
      </c>
      <c r="Y851" s="14" t="n">
        <f aca="false">IF($H851="Beginner Level",1,0)</f>
        <v>1</v>
      </c>
      <c r="Z851" s="14" t="n">
        <f aca="false">IF($H851="Expert Level",1,0)</f>
        <v>0</v>
      </c>
      <c r="AA851" s="14" t="n">
        <f aca="false">IF($H851="Intermediate Level",1,0)</f>
        <v>0</v>
      </c>
      <c r="AC851" s="14" t="n">
        <f aca="false">N851</f>
        <v>4.09451121500142</v>
      </c>
      <c r="AD851" s="14" t="n">
        <f aca="false">G851</f>
        <v>62</v>
      </c>
      <c r="AE851" s="14" t="n">
        <f aca="false">J851</f>
        <v>11</v>
      </c>
      <c r="AF851" s="14" t="n">
        <f aca="false">IF($L851=2012,1,0)</f>
        <v>0</v>
      </c>
      <c r="AG851" s="14" t="n">
        <f aca="false">IF($L851=2013,1,0)</f>
        <v>0</v>
      </c>
      <c r="AH851" s="14" t="n">
        <f aca="false">IF($L851=2014,1,0)</f>
        <v>0</v>
      </c>
      <c r="AI851" s="14" t="n">
        <f aca="false">IF($L851=2015,1,0)</f>
        <v>0</v>
      </c>
      <c r="AJ851" s="14" t="n">
        <f aca="false">IF($L851=2016,1,0)</f>
        <v>1</v>
      </c>
      <c r="AK851" s="14" t="n">
        <f aca="false">IF($L851=2017,1,0)</f>
        <v>0</v>
      </c>
      <c r="AL851" s="14" t="n">
        <f aca="false">IF($H851="Beginner Level",1,0)</f>
        <v>1</v>
      </c>
      <c r="AM851" s="14" t="n">
        <f aca="false">IF($H851="Expert Level",1,0)</f>
        <v>0</v>
      </c>
      <c r="AN851" s="14" t="n">
        <f aca="false">IF($H851="Intermediate Level",1,0)</f>
        <v>0</v>
      </c>
    </row>
    <row r="852" customFormat="false" ht="68.65" hidden="false" customHeight="false" outlineLevel="0" collapsed="false">
      <c r="A852" s="14" t="n">
        <v>576108</v>
      </c>
      <c r="B852" s="14" t="s">
        <v>1746</v>
      </c>
      <c r="C852" s="14" t="s">
        <v>1747</v>
      </c>
      <c r="D852" s="14" t="n">
        <v>20</v>
      </c>
      <c r="E852" s="14" t="n">
        <v>1312</v>
      </c>
      <c r="F852" s="14" t="n">
        <v>19</v>
      </c>
      <c r="G852" s="14" t="n">
        <v>11</v>
      </c>
      <c r="H852" s="14" t="s">
        <v>62</v>
      </c>
      <c r="I852" s="14" t="n">
        <v>0.47</v>
      </c>
      <c r="J852" s="14" t="n">
        <v>1</v>
      </c>
      <c r="K852" s="14" t="s">
        <v>59</v>
      </c>
      <c r="L852" s="14" t="n">
        <v>2015</v>
      </c>
      <c r="M852" s="14" t="n">
        <v>7.17930796950403</v>
      </c>
      <c r="N852" s="14" t="n">
        <v>2.99623214859564</v>
      </c>
      <c r="P852" s="14" t="n">
        <f aca="false">D852</f>
        <v>20</v>
      </c>
      <c r="Q852" s="14" t="n">
        <f aca="false">G852</f>
        <v>11</v>
      </c>
      <c r="R852" s="14" t="n">
        <f aca="false">J852</f>
        <v>1</v>
      </c>
      <c r="S852" s="14" t="n">
        <f aca="false">IF($L852=2012,1,0)</f>
        <v>0</v>
      </c>
      <c r="T852" s="14" t="n">
        <f aca="false">IF($L852=2013,1,0)</f>
        <v>0</v>
      </c>
      <c r="U852" s="14" t="n">
        <f aca="false">IF($L852=2014,1,0)</f>
        <v>0</v>
      </c>
      <c r="V852" s="14" t="n">
        <f aca="false">IF($L852=2015,1,0)</f>
        <v>1</v>
      </c>
      <c r="W852" s="14" t="n">
        <f aca="false">IF($L852=2016,1,0)</f>
        <v>0</v>
      </c>
      <c r="X852" s="14" t="n">
        <f aca="false">IF($L852=2017,1,0)</f>
        <v>0</v>
      </c>
      <c r="Y852" s="14" t="n">
        <f aca="false">IF($H852="Beginner Level",1,0)</f>
        <v>0</v>
      </c>
      <c r="Z852" s="14" t="n">
        <f aca="false">IF($H852="Expert Level",1,0)</f>
        <v>0</v>
      </c>
      <c r="AA852" s="14" t="n">
        <f aca="false">IF($H852="Intermediate Level",1,0)</f>
        <v>0</v>
      </c>
      <c r="AC852" s="14" t="n">
        <f aca="false">N852</f>
        <v>2.99623214859564</v>
      </c>
      <c r="AD852" s="14" t="n">
        <f aca="false">G852</f>
        <v>11</v>
      </c>
      <c r="AE852" s="14" t="n">
        <f aca="false">J852</f>
        <v>1</v>
      </c>
      <c r="AF852" s="14" t="n">
        <f aca="false">IF($L852=2012,1,0)</f>
        <v>0</v>
      </c>
      <c r="AG852" s="14" t="n">
        <f aca="false">IF($L852=2013,1,0)</f>
        <v>0</v>
      </c>
      <c r="AH852" s="14" t="n">
        <f aca="false">IF($L852=2014,1,0)</f>
        <v>0</v>
      </c>
      <c r="AI852" s="14" t="n">
        <f aca="false">IF($L852=2015,1,0)</f>
        <v>1</v>
      </c>
      <c r="AJ852" s="14" t="n">
        <f aca="false">IF($L852=2016,1,0)</f>
        <v>0</v>
      </c>
      <c r="AK852" s="14" t="n">
        <f aca="false">IF($L852=2017,1,0)</f>
        <v>0</v>
      </c>
      <c r="AL852" s="14" t="n">
        <f aca="false">IF($H852="Beginner Level",1,0)</f>
        <v>0</v>
      </c>
      <c r="AM852" s="14" t="n">
        <f aca="false">IF($H852="Expert Level",1,0)</f>
        <v>0</v>
      </c>
      <c r="AN852" s="14" t="n">
        <f aca="false">IF($H852="Intermediate Level",1,0)</f>
        <v>0</v>
      </c>
    </row>
    <row r="853" customFormat="false" ht="46.25" hidden="false" customHeight="false" outlineLevel="0" collapsed="false">
      <c r="A853" s="14" t="n">
        <v>516064</v>
      </c>
      <c r="B853" s="14" t="s">
        <v>1748</v>
      </c>
      <c r="C853" s="14" t="s">
        <v>1749</v>
      </c>
      <c r="D853" s="14" t="n">
        <v>25</v>
      </c>
      <c r="E853" s="14" t="n">
        <v>1309</v>
      </c>
      <c r="F853" s="14" t="n">
        <v>60</v>
      </c>
      <c r="G853" s="14" t="n">
        <v>14</v>
      </c>
      <c r="H853" s="14" t="s">
        <v>62</v>
      </c>
      <c r="I853" s="14" t="n">
        <v>0.78</v>
      </c>
      <c r="J853" s="14" t="n">
        <v>1.5</v>
      </c>
      <c r="K853" s="14" t="s">
        <v>59</v>
      </c>
      <c r="L853" s="14" t="n">
        <v>2015</v>
      </c>
      <c r="M853" s="14" t="n">
        <v>7.1770187659099</v>
      </c>
      <c r="N853" s="14" t="n">
        <v>3.21927574488953</v>
      </c>
      <c r="P853" s="14" t="n">
        <f aca="false">D853</f>
        <v>25</v>
      </c>
      <c r="Q853" s="14" t="n">
        <f aca="false">G853</f>
        <v>14</v>
      </c>
      <c r="R853" s="14" t="n">
        <f aca="false">J853</f>
        <v>1.5</v>
      </c>
      <c r="S853" s="14" t="n">
        <f aca="false">IF($L853=2012,1,0)</f>
        <v>0</v>
      </c>
      <c r="T853" s="14" t="n">
        <f aca="false">IF($L853=2013,1,0)</f>
        <v>0</v>
      </c>
      <c r="U853" s="14" t="n">
        <f aca="false">IF($L853=2014,1,0)</f>
        <v>0</v>
      </c>
      <c r="V853" s="14" t="n">
        <f aca="false">IF($L853=2015,1,0)</f>
        <v>1</v>
      </c>
      <c r="W853" s="14" t="n">
        <f aca="false">IF($L853=2016,1,0)</f>
        <v>0</v>
      </c>
      <c r="X853" s="14" t="n">
        <f aca="false">IF($L853=2017,1,0)</f>
        <v>0</v>
      </c>
      <c r="Y853" s="14" t="n">
        <f aca="false">IF($H853="Beginner Level",1,0)</f>
        <v>0</v>
      </c>
      <c r="Z853" s="14" t="n">
        <f aca="false">IF($H853="Expert Level",1,0)</f>
        <v>0</v>
      </c>
      <c r="AA853" s="14" t="n">
        <f aca="false">IF($H853="Intermediate Level",1,0)</f>
        <v>0</v>
      </c>
      <c r="AC853" s="14" t="n">
        <f aca="false">N853</f>
        <v>3.21927574488953</v>
      </c>
      <c r="AD853" s="14" t="n">
        <f aca="false">G853</f>
        <v>14</v>
      </c>
      <c r="AE853" s="14" t="n">
        <f aca="false">J853</f>
        <v>1.5</v>
      </c>
      <c r="AF853" s="14" t="n">
        <f aca="false">IF($L853=2012,1,0)</f>
        <v>0</v>
      </c>
      <c r="AG853" s="14" t="n">
        <f aca="false">IF($L853=2013,1,0)</f>
        <v>0</v>
      </c>
      <c r="AH853" s="14" t="n">
        <f aca="false">IF($L853=2014,1,0)</f>
        <v>0</v>
      </c>
      <c r="AI853" s="14" t="n">
        <f aca="false">IF($L853=2015,1,0)</f>
        <v>1</v>
      </c>
      <c r="AJ853" s="14" t="n">
        <f aca="false">IF($L853=2016,1,0)</f>
        <v>0</v>
      </c>
      <c r="AK853" s="14" t="n">
        <f aca="false">IF($L853=2017,1,0)</f>
        <v>0</v>
      </c>
      <c r="AL853" s="14" t="n">
        <f aca="false">IF($H853="Beginner Level",1,0)</f>
        <v>0</v>
      </c>
      <c r="AM853" s="14" t="n">
        <f aca="false">IF($H853="Expert Level",1,0)</f>
        <v>0</v>
      </c>
      <c r="AN853" s="14" t="n">
        <f aca="false">IF($H853="Intermediate Level",1,0)</f>
        <v>0</v>
      </c>
    </row>
    <row r="854" customFormat="false" ht="79.85" hidden="false" customHeight="false" outlineLevel="0" collapsed="false">
      <c r="A854" s="14" t="n">
        <v>311638</v>
      </c>
      <c r="B854" s="14" t="s">
        <v>1750</v>
      </c>
      <c r="C854" s="14" t="s">
        <v>1751</v>
      </c>
      <c r="D854" s="14" t="n">
        <v>35</v>
      </c>
      <c r="E854" s="14" t="n">
        <v>1309</v>
      </c>
      <c r="F854" s="14" t="n">
        <v>74</v>
      </c>
      <c r="G854" s="14" t="n">
        <v>43</v>
      </c>
      <c r="H854" s="14" t="s">
        <v>52</v>
      </c>
      <c r="I854" s="14" t="n">
        <v>0.16</v>
      </c>
      <c r="J854" s="14" t="n">
        <v>5</v>
      </c>
      <c r="K854" s="14" t="s">
        <v>59</v>
      </c>
      <c r="L854" s="14" t="n">
        <v>2015</v>
      </c>
      <c r="M854" s="14" t="n">
        <v>7.1770187659099</v>
      </c>
      <c r="N854" s="14" t="n">
        <v>3.55563373496657</v>
      </c>
      <c r="P854" s="14" t="n">
        <f aca="false">D854</f>
        <v>35</v>
      </c>
      <c r="Q854" s="14" t="n">
        <f aca="false">G854</f>
        <v>43</v>
      </c>
      <c r="R854" s="14" t="n">
        <f aca="false">J854</f>
        <v>5</v>
      </c>
      <c r="S854" s="14" t="n">
        <f aca="false">IF($L854=2012,1,0)</f>
        <v>0</v>
      </c>
      <c r="T854" s="14" t="n">
        <f aca="false">IF($L854=2013,1,0)</f>
        <v>0</v>
      </c>
      <c r="U854" s="14" t="n">
        <f aca="false">IF($L854=2014,1,0)</f>
        <v>0</v>
      </c>
      <c r="V854" s="14" t="n">
        <f aca="false">IF($L854=2015,1,0)</f>
        <v>1</v>
      </c>
      <c r="W854" s="14" t="n">
        <f aca="false">IF($L854=2016,1,0)</f>
        <v>0</v>
      </c>
      <c r="X854" s="14" t="n">
        <f aca="false">IF($L854=2017,1,0)</f>
        <v>0</v>
      </c>
      <c r="Y854" s="14" t="n">
        <f aca="false">IF($H854="Beginner Level",1,0)</f>
        <v>1</v>
      </c>
      <c r="Z854" s="14" t="n">
        <f aca="false">IF($H854="Expert Level",1,0)</f>
        <v>0</v>
      </c>
      <c r="AA854" s="14" t="n">
        <f aca="false">IF($H854="Intermediate Level",1,0)</f>
        <v>0</v>
      </c>
      <c r="AC854" s="14" t="n">
        <f aca="false">N854</f>
        <v>3.55563373496657</v>
      </c>
      <c r="AD854" s="14" t="n">
        <f aca="false">G854</f>
        <v>43</v>
      </c>
      <c r="AE854" s="14" t="n">
        <f aca="false">J854</f>
        <v>5</v>
      </c>
      <c r="AF854" s="14" t="n">
        <f aca="false">IF($L854=2012,1,0)</f>
        <v>0</v>
      </c>
      <c r="AG854" s="14" t="n">
        <f aca="false">IF($L854=2013,1,0)</f>
        <v>0</v>
      </c>
      <c r="AH854" s="14" t="n">
        <f aca="false">IF($L854=2014,1,0)</f>
        <v>0</v>
      </c>
      <c r="AI854" s="14" t="n">
        <f aca="false">IF($L854=2015,1,0)</f>
        <v>1</v>
      </c>
      <c r="AJ854" s="14" t="n">
        <f aca="false">IF($L854=2016,1,0)</f>
        <v>0</v>
      </c>
      <c r="AK854" s="14" t="n">
        <f aca="false">IF($L854=2017,1,0)</f>
        <v>0</v>
      </c>
      <c r="AL854" s="14" t="n">
        <f aca="false">IF($H854="Beginner Level",1,0)</f>
        <v>1</v>
      </c>
      <c r="AM854" s="14" t="n">
        <f aca="false">IF($H854="Expert Level",1,0)</f>
        <v>0</v>
      </c>
      <c r="AN854" s="14" t="n">
        <f aca="false">IF($H854="Intermediate Level",1,0)</f>
        <v>0</v>
      </c>
    </row>
    <row r="855" customFormat="false" ht="35.05" hidden="false" customHeight="false" outlineLevel="0" collapsed="false">
      <c r="A855" s="14" t="n">
        <v>477250</v>
      </c>
      <c r="B855" s="14" t="s">
        <v>1752</v>
      </c>
      <c r="C855" s="14" t="s">
        <v>1753</v>
      </c>
      <c r="D855" s="14" t="n">
        <v>25</v>
      </c>
      <c r="E855" s="14" t="n">
        <v>1305</v>
      </c>
      <c r="F855" s="14" t="n">
        <v>38</v>
      </c>
      <c r="G855" s="14" t="n">
        <v>16</v>
      </c>
      <c r="H855" s="14" t="s">
        <v>52</v>
      </c>
      <c r="I855" s="14" t="n">
        <v>0.21</v>
      </c>
      <c r="J855" s="14" t="n">
        <v>1.5</v>
      </c>
      <c r="K855" s="14" t="s">
        <v>59</v>
      </c>
      <c r="L855" s="14" t="n">
        <v>2015</v>
      </c>
      <c r="M855" s="14" t="n">
        <v>7.17395831975679</v>
      </c>
      <c r="N855" s="14" t="n">
        <v>3.21927574488953</v>
      </c>
      <c r="P855" s="14" t="n">
        <f aca="false">D855</f>
        <v>25</v>
      </c>
      <c r="Q855" s="14" t="n">
        <f aca="false">G855</f>
        <v>16</v>
      </c>
      <c r="R855" s="14" t="n">
        <f aca="false">J855</f>
        <v>1.5</v>
      </c>
      <c r="S855" s="14" t="n">
        <f aca="false">IF($L855=2012,1,0)</f>
        <v>0</v>
      </c>
      <c r="T855" s="14" t="n">
        <f aca="false">IF($L855=2013,1,0)</f>
        <v>0</v>
      </c>
      <c r="U855" s="14" t="n">
        <f aca="false">IF($L855=2014,1,0)</f>
        <v>0</v>
      </c>
      <c r="V855" s="14" t="n">
        <f aca="false">IF($L855=2015,1,0)</f>
        <v>1</v>
      </c>
      <c r="W855" s="14" t="n">
        <f aca="false">IF($L855=2016,1,0)</f>
        <v>0</v>
      </c>
      <c r="X855" s="14" t="n">
        <f aca="false">IF($L855=2017,1,0)</f>
        <v>0</v>
      </c>
      <c r="Y855" s="14" t="n">
        <f aca="false">IF($H855="Beginner Level",1,0)</f>
        <v>1</v>
      </c>
      <c r="Z855" s="14" t="n">
        <f aca="false">IF($H855="Expert Level",1,0)</f>
        <v>0</v>
      </c>
      <c r="AA855" s="14" t="n">
        <f aca="false">IF($H855="Intermediate Level",1,0)</f>
        <v>0</v>
      </c>
      <c r="AC855" s="14" t="n">
        <f aca="false">N855</f>
        <v>3.21927574488953</v>
      </c>
      <c r="AD855" s="14" t="n">
        <f aca="false">G855</f>
        <v>16</v>
      </c>
      <c r="AE855" s="14" t="n">
        <f aca="false">J855</f>
        <v>1.5</v>
      </c>
      <c r="AF855" s="14" t="n">
        <f aca="false">IF($L855=2012,1,0)</f>
        <v>0</v>
      </c>
      <c r="AG855" s="14" t="n">
        <f aca="false">IF($L855=2013,1,0)</f>
        <v>0</v>
      </c>
      <c r="AH855" s="14" t="n">
        <f aca="false">IF($L855=2014,1,0)</f>
        <v>0</v>
      </c>
      <c r="AI855" s="14" t="n">
        <f aca="false">IF($L855=2015,1,0)</f>
        <v>1</v>
      </c>
      <c r="AJ855" s="14" t="n">
        <f aca="false">IF($L855=2016,1,0)</f>
        <v>0</v>
      </c>
      <c r="AK855" s="14" t="n">
        <f aca="false">IF($L855=2017,1,0)</f>
        <v>0</v>
      </c>
      <c r="AL855" s="14" t="n">
        <f aca="false">IF($H855="Beginner Level",1,0)</f>
        <v>1</v>
      </c>
      <c r="AM855" s="14" t="n">
        <f aca="false">IF($H855="Expert Level",1,0)</f>
        <v>0</v>
      </c>
      <c r="AN855" s="14" t="n">
        <f aca="false">IF($H855="Intermediate Level",1,0)</f>
        <v>0</v>
      </c>
    </row>
    <row r="856" customFormat="false" ht="46.25" hidden="false" customHeight="false" outlineLevel="0" collapsed="false">
      <c r="A856" s="14" t="n">
        <v>946310</v>
      </c>
      <c r="B856" s="14" t="s">
        <v>1754</v>
      </c>
      <c r="C856" s="14" t="s">
        <v>1755</v>
      </c>
      <c r="D856" s="14" t="n">
        <v>30</v>
      </c>
      <c r="E856" s="14" t="n">
        <v>1305</v>
      </c>
      <c r="F856" s="14" t="n">
        <v>25</v>
      </c>
      <c r="G856" s="14" t="n">
        <v>8</v>
      </c>
      <c r="H856" s="14" t="s">
        <v>62</v>
      </c>
      <c r="I856" s="14" t="n">
        <v>0.76</v>
      </c>
      <c r="J856" s="14" t="n">
        <v>0.56666667</v>
      </c>
      <c r="K856" s="14" t="s">
        <v>59</v>
      </c>
      <c r="L856" s="14" t="n">
        <v>2016</v>
      </c>
      <c r="M856" s="14" t="n">
        <v>7.17395831975679</v>
      </c>
      <c r="N856" s="14" t="n">
        <v>3.40153065945228</v>
      </c>
      <c r="P856" s="14" t="n">
        <f aca="false">D856</f>
        <v>30</v>
      </c>
      <c r="Q856" s="14" t="n">
        <f aca="false">G856</f>
        <v>8</v>
      </c>
      <c r="R856" s="14" t="n">
        <f aca="false">J856</f>
        <v>0.56666667</v>
      </c>
      <c r="S856" s="14" t="n">
        <f aca="false">IF($L856=2012,1,0)</f>
        <v>0</v>
      </c>
      <c r="T856" s="14" t="n">
        <f aca="false">IF($L856=2013,1,0)</f>
        <v>0</v>
      </c>
      <c r="U856" s="14" t="n">
        <f aca="false">IF($L856=2014,1,0)</f>
        <v>0</v>
      </c>
      <c r="V856" s="14" t="n">
        <f aca="false">IF($L856=2015,1,0)</f>
        <v>0</v>
      </c>
      <c r="W856" s="14" t="n">
        <f aca="false">IF($L856=2016,1,0)</f>
        <v>1</v>
      </c>
      <c r="X856" s="14" t="n">
        <f aca="false">IF($L856=2017,1,0)</f>
        <v>0</v>
      </c>
      <c r="Y856" s="14" t="n">
        <f aca="false">IF($H856="Beginner Level",1,0)</f>
        <v>0</v>
      </c>
      <c r="Z856" s="14" t="n">
        <f aca="false">IF($H856="Expert Level",1,0)</f>
        <v>0</v>
      </c>
      <c r="AA856" s="14" t="n">
        <f aca="false">IF($H856="Intermediate Level",1,0)</f>
        <v>0</v>
      </c>
      <c r="AC856" s="14" t="n">
        <f aca="false">N856</f>
        <v>3.40153065945228</v>
      </c>
      <c r="AD856" s="14" t="n">
        <f aca="false">G856</f>
        <v>8</v>
      </c>
      <c r="AE856" s="14" t="n">
        <f aca="false">J856</f>
        <v>0.56666667</v>
      </c>
      <c r="AF856" s="14" t="n">
        <f aca="false">IF($L856=2012,1,0)</f>
        <v>0</v>
      </c>
      <c r="AG856" s="14" t="n">
        <f aca="false">IF($L856=2013,1,0)</f>
        <v>0</v>
      </c>
      <c r="AH856" s="14" t="n">
        <f aca="false">IF($L856=2014,1,0)</f>
        <v>0</v>
      </c>
      <c r="AI856" s="14" t="n">
        <f aca="false">IF($L856=2015,1,0)</f>
        <v>0</v>
      </c>
      <c r="AJ856" s="14" t="n">
        <f aca="false">IF($L856=2016,1,0)</f>
        <v>1</v>
      </c>
      <c r="AK856" s="14" t="n">
        <f aca="false">IF($L856=2017,1,0)</f>
        <v>0</v>
      </c>
      <c r="AL856" s="14" t="n">
        <f aca="false">IF($H856="Beginner Level",1,0)</f>
        <v>0</v>
      </c>
      <c r="AM856" s="14" t="n">
        <f aca="false">IF($H856="Expert Level",1,0)</f>
        <v>0</v>
      </c>
      <c r="AN856" s="14" t="n">
        <f aca="false">IF($H856="Intermediate Level",1,0)</f>
        <v>0</v>
      </c>
    </row>
    <row r="857" customFormat="false" ht="79.85" hidden="false" customHeight="false" outlineLevel="0" collapsed="false">
      <c r="A857" s="14" t="n">
        <v>726290</v>
      </c>
      <c r="B857" s="14" t="s">
        <v>1756</v>
      </c>
      <c r="C857" s="14" t="s">
        <v>1757</v>
      </c>
      <c r="D857" s="14" t="n">
        <v>120</v>
      </c>
      <c r="E857" s="14" t="n">
        <v>1302</v>
      </c>
      <c r="F857" s="14" t="n">
        <v>18</v>
      </c>
      <c r="G857" s="14" t="n">
        <v>22</v>
      </c>
      <c r="H857" s="14" t="s">
        <v>52</v>
      </c>
      <c r="I857" s="14" t="n">
        <v>0.76</v>
      </c>
      <c r="J857" s="14" t="n">
        <v>1.5</v>
      </c>
      <c r="K857" s="14" t="s">
        <v>59</v>
      </c>
      <c r="L857" s="14" t="n">
        <v>2016</v>
      </c>
      <c r="M857" s="14" t="n">
        <v>7.17165682276851</v>
      </c>
      <c r="N857" s="14" t="n">
        <v>4.78757507264335</v>
      </c>
      <c r="P857" s="14" t="n">
        <f aca="false">D857</f>
        <v>120</v>
      </c>
      <c r="Q857" s="14" t="n">
        <f aca="false">G857</f>
        <v>22</v>
      </c>
      <c r="R857" s="14" t="n">
        <f aca="false">J857</f>
        <v>1.5</v>
      </c>
      <c r="S857" s="14" t="n">
        <f aca="false">IF($L857=2012,1,0)</f>
        <v>0</v>
      </c>
      <c r="T857" s="14" t="n">
        <f aca="false">IF($L857=2013,1,0)</f>
        <v>0</v>
      </c>
      <c r="U857" s="14" t="n">
        <f aca="false">IF($L857=2014,1,0)</f>
        <v>0</v>
      </c>
      <c r="V857" s="14" t="n">
        <f aca="false">IF($L857=2015,1,0)</f>
        <v>0</v>
      </c>
      <c r="W857" s="14" t="n">
        <f aca="false">IF($L857=2016,1,0)</f>
        <v>1</v>
      </c>
      <c r="X857" s="14" t="n">
        <f aca="false">IF($L857=2017,1,0)</f>
        <v>0</v>
      </c>
      <c r="Y857" s="14" t="n">
        <f aca="false">IF($H857="Beginner Level",1,0)</f>
        <v>1</v>
      </c>
      <c r="Z857" s="14" t="n">
        <f aca="false">IF($H857="Expert Level",1,0)</f>
        <v>0</v>
      </c>
      <c r="AA857" s="14" t="n">
        <f aca="false">IF($H857="Intermediate Level",1,0)</f>
        <v>0</v>
      </c>
      <c r="AC857" s="14" t="n">
        <f aca="false">N857</f>
        <v>4.78757507264335</v>
      </c>
      <c r="AD857" s="14" t="n">
        <f aca="false">G857</f>
        <v>22</v>
      </c>
      <c r="AE857" s="14" t="n">
        <f aca="false">J857</f>
        <v>1.5</v>
      </c>
      <c r="AF857" s="14" t="n">
        <f aca="false">IF($L857=2012,1,0)</f>
        <v>0</v>
      </c>
      <c r="AG857" s="14" t="n">
        <f aca="false">IF($L857=2013,1,0)</f>
        <v>0</v>
      </c>
      <c r="AH857" s="14" t="n">
        <f aca="false">IF($L857=2014,1,0)</f>
        <v>0</v>
      </c>
      <c r="AI857" s="14" t="n">
        <f aca="false">IF($L857=2015,1,0)</f>
        <v>0</v>
      </c>
      <c r="AJ857" s="14" t="n">
        <f aca="false">IF($L857=2016,1,0)</f>
        <v>1</v>
      </c>
      <c r="AK857" s="14" t="n">
        <f aca="false">IF($L857=2017,1,0)</f>
        <v>0</v>
      </c>
      <c r="AL857" s="14" t="n">
        <f aca="false">IF($H857="Beginner Level",1,0)</f>
        <v>1</v>
      </c>
      <c r="AM857" s="14" t="n">
        <f aca="false">IF($H857="Expert Level",1,0)</f>
        <v>0</v>
      </c>
      <c r="AN857" s="14" t="n">
        <f aca="false">IF($H857="Intermediate Level",1,0)</f>
        <v>0</v>
      </c>
    </row>
    <row r="858" customFormat="false" ht="68.65" hidden="false" customHeight="false" outlineLevel="0" collapsed="false">
      <c r="A858" s="14" t="n">
        <v>1123098</v>
      </c>
      <c r="B858" s="14" t="s">
        <v>1758</v>
      </c>
      <c r="C858" s="14" t="s">
        <v>1759</v>
      </c>
      <c r="D858" s="14" t="n">
        <v>150</v>
      </c>
      <c r="E858" s="14" t="n">
        <v>1301</v>
      </c>
      <c r="F858" s="14" t="n">
        <v>179</v>
      </c>
      <c r="G858" s="14" t="n">
        <v>80</v>
      </c>
      <c r="H858" s="14" t="s">
        <v>62</v>
      </c>
      <c r="I858" s="14" t="n">
        <v>0.76</v>
      </c>
      <c r="J858" s="14" t="n">
        <v>7.5</v>
      </c>
      <c r="K858" s="14" t="s">
        <v>59</v>
      </c>
      <c r="L858" s="14" t="n">
        <v>2017</v>
      </c>
      <c r="M858" s="14" t="n">
        <v>7.17088847851251</v>
      </c>
      <c r="N858" s="14" t="n">
        <v>5.0107019585408</v>
      </c>
      <c r="P858" s="14" t="n">
        <f aca="false">D858</f>
        <v>150</v>
      </c>
      <c r="Q858" s="14" t="n">
        <f aca="false">G858</f>
        <v>80</v>
      </c>
      <c r="R858" s="14" t="n">
        <f aca="false">J858</f>
        <v>7.5</v>
      </c>
      <c r="S858" s="14" t="n">
        <f aca="false">IF($L858=2012,1,0)</f>
        <v>0</v>
      </c>
      <c r="T858" s="14" t="n">
        <f aca="false">IF($L858=2013,1,0)</f>
        <v>0</v>
      </c>
      <c r="U858" s="14" t="n">
        <f aca="false">IF($L858=2014,1,0)</f>
        <v>0</v>
      </c>
      <c r="V858" s="14" t="n">
        <f aca="false">IF($L858=2015,1,0)</f>
        <v>0</v>
      </c>
      <c r="W858" s="14" t="n">
        <f aca="false">IF($L858=2016,1,0)</f>
        <v>0</v>
      </c>
      <c r="X858" s="14" t="n">
        <f aca="false">IF($L858=2017,1,0)</f>
        <v>1</v>
      </c>
      <c r="Y858" s="14" t="n">
        <f aca="false">IF($H858="Beginner Level",1,0)</f>
        <v>0</v>
      </c>
      <c r="Z858" s="14" t="n">
        <f aca="false">IF($H858="Expert Level",1,0)</f>
        <v>0</v>
      </c>
      <c r="AA858" s="14" t="n">
        <f aca="false">IF($H858="Intermediate Level",1,0)</f>
        <v>0</v>
      </c>
      <c r="AC858" s="14" t="n">
        <f aca="false">N858</f>
        <v>5.0107019585408</v>
      </c>
      <c r="AD858" s="14" t="n">
        <f aca="false">G858</f>
        <v>80</v>
      </c>
      <c r="AE858" s="14" t="n">
        <f aca="false">J858</f>
        <v>7.5</v>
      </c>
      <c r="AF858" s="14" t="n">
        <f aca="false">IF($L858=2012,1,0)</f>
        <v>0</v>
      </c>
      <c r="AG858" s="14" t="n">
        <f aca="false">IF($L858=2013,1,0)</f>
        <v>0</v>
      </c>
      <c r="AH858" s="14" t="n">
        <f aca="false">IF($L858=2014,1,0)</f>
        <v>0</v>
      </c>
      <c r="AI858" s="14" t="n">
        <f aca="false">IF($L858=2015,1,0)</f>
        <v>0</v>
      </c>
      <c r="AJ858" s="14" t="n">
        <f aca="false">IF($L858=2016,1,0)</f>
        <v>0</v>
      </c>
      <c r="AK858" s="14" t="n">
        <f aca="false">IF($L858=2017,1,0)</f>
        <v>1</v>
      </c>
      <c r="AL858" s="14" t="n">
        <f aca="false">IF($H858="Beginner Level",1,0)</f>
        <v>0</v>
      </c>
      <c r="AM858" s="14" t="n">
        <f aca="false">IF($H858="Expert Level",1,0)</f>
        <v>0</v>
      </c>
      <c r="AN858" s="14" t="n">
        <f aca="false">IF($H858="Intermediate Level",1,0)</f>
        <v>0</v>
      </c>
    </row>
    <row r="859" customFormat="false" ht="57.45" hidden="false" customHeight="false" outlineLevel="0" collapsed="false">
      <c r="A859" s="14" t="n">
        <v>599504</v>
      </c>
      <c r="B859" s="14" t="s">
        <v>1760</v>
      </c>
      <c r="C859" s="14" t="s">
        <v>1761</v>
      </c>
      <c r="D859" s="14" t="n">
        <v>120</v>
      </c>
      <c r="E859" s="14" t="n">
        <v>1299</v>
      </c>
      <c r="F859" s="14" t="n">
        <v>56</v>
      </c>
      <c r="G859" s="14" t="n">
        <v>71</v>
      </c>
      <c r="H859" s="14" t="s">
        <v>62</v>
      </c>
      <c r="I859" s="14" t="n">
        <v>0.76</v>
      </c>
      <c r="J859" s="14" t="n">
        <v>14</v>
      </c>
      <c r="K859" s="14" t="s">
        <v>59</v>
      </c>
      <c r="L859" s="14" t="n">
        <v>2016</v>
      </c>
      <c r="M859" s="14" t="n">
        <v>7.1693500166706</v>
      </c>
      <c r="N859" s="14" t="n">
        <v>4.78757507264335</v>
      </c>
      <c r="P859" s="14" t="n">
        <f aca="false">D859</f>
        <v>120</v>
      </c>
      <c r="Q859" s="14" t="n">
        <f aca="false">G859</f>
        <v>71</v>
      </c>
      <c r="R859" s="14" t="n">
        <f aca="false">J859</f>
        <v>14</v>
      </c>
      <c r="S859" s="14" t="n">
        <f aca="false">IF($L859=2012,1,0)</f>
        <v>0</v>
      </c>
      <c r="T859" s="14" t="n">
        <f aca="false">IF($L859=2013,1,0)</f>
        <v>0</v>
      </c>
      <c r="U859" s="14" t="n">
        <f aca="false">IF($L859=2014,1,0)</f>
        <v>0</v>
      </c>
      <c r="V859" s="14" t="n">
        <f aca="false">IF($L859=2015,1,0)</f>
        <v>0</v>
      </c>
      <c r="W859" s="14" t="n">
        <f aca="false">IF($L859=2016,1,0)</f>
        <v>1</v>
      </c>
      <c r="X859" s="14" t="n">
        <f aca="false">IF($L859=2017,1,0)</f>
        <v>0</v>
      </c>
      <c r="Y859" s="14" t="n">
        <f aca="false">IF($H859="Beginner Level",1,0)</f>
        <v>0</v>
      </c>
      <c r="Z859" s="14" t="n">
        <f aca="false">IF($H859="Expert Level",1,0)</f>
        <v>0</v>
      </c>
      <c r="AA859" s="14" t="n">
        <f aca="false">IF($H859="Intermediate Level",1,0)</f>
        <v>0</v>
      </c>
      <c r="AC859" s="14" t="n">
        <f aca="false">N859</f>
        <v>4.78757507264335</v>
      </c>
      <c r="AD859" s="14" t="n">
        <f aca="false">G859</f>
        <v>71</v>
      </c>
      <c r="AE859" s="14" t="n">
        <f aca="false">J859</f>
        <v>14</v>
      </c>
      <c r="AF859" s="14" t="n">
        <f aca="false">IF($L859=2012,1,0)</f>
        <v>0</v>
      </c>
      <c r="AG859" s="14" t="n">
        <f aca="false">IF($L859=2013,1,0)</f>
        <v>0</v>
      </c>
      <c r="AH859" s="14" t="n">
        <f aca="false">IF($L859=2014,1,0)</f>
        <v>0</v>
      </c>
      <c r="AI859" s="14" t="n">
        <f aca="false">IF($L859=2015,1,0)</f>
        <v>0</v>
      </c>
      <c r="AJ859" s="14" t="n">
        <f aca="false">IF($L859=2016,1,0)</f>
        <v>1</v>
      </c>
      <c r="AK859" s="14" t="n">
        <f aca="false">IF($L859=2017,1,0)</f>
        <v>0</v>
      </c>
      <c r="AL859" s="14" t="n">
        <f aca="false">IF($H859="Beginner Level",1,0)</f>
        <v>0</v>
      </c>
      <c r="AM859" s="14" t="n">
        <f aca="false">IF($H859="Expert Level",1,0)</f>
        <v>0</v>
      </c>
      <c r="AN859" s="14" t="n">
        <f aca="false">IF($H859="Intermediate Level",1,0)</f>
        <v>0</v>
      </c>
    </row>
    <row r="860" customFormat="false" ht="79.85" hidden="false" customHeight="false" outlineLevel="0" collapsed="false">
      <c r="A860" s="14" t="n">
        <v>403106</v>
      </c>
      <c r="B860" s="14" t="s">
        <v>1762</v>
      </c>
      <c r="C860" s="14" t="s">
        <v>1763</v>
      </c>
      <c r="D860" s="14" t="n">
        <v>20</v>
      </c>
      <c r="E860" s="14" t="n">
        <v>1299</v>
      </c>
      <c r="F860" s="14" t="n">
        <v>15</v>
      </c>
      <c r="G860" s="14" t="n">
        <v>23</v>
      </c>
      <c r="H860" s="14" t="s">
        <v>62</v>
      </c>
      <c r="I860" s="14" t="n">
        <v>0.76</v>
      </c>
      <c r="J860" s="14" t="n">
        <v>1</v>
      </c>
      <c r="K860" s="14" t="s">
        <v>59</v>
      </c>
      <c r="L860" s="14" t="n">
        <v>2015</v>
      </c>
      <c r="M860" s="14" t="n">
        <v>7.1693500166706</v>
      </c>
      <c r="N860" s="14" t="n">
        <v>2.99623214859564</v>
      </c>
      <c r="P860" s="14" t="n">
        <f aca="false">D860</f>
        <v>20</v>
      </c>
      <c r="Q860" s="14" t="n">
        <f aca="false">G860</f>
        <v>23</v>
      </c>
      <c r="R860" s="14" t="n">
        <f aca="false">J860</f>
        <v>1</v>
      </c>
      <c r="S860" s="14" t="n">
        <f aca="false">IF($L860=2012,1,0)</f>
        <v>0</v>
      </c>
      <c r="T860" s="14" t="n">
        <f aca="false">IF($L860=2013,1,0)</f>
        <v>0</v>
      </c>
      <c r="U860" s="14" t="n">
        <f aca="false">IF($L860=2014,1,0)</f>
        <v>0</v>
      </c>
      <c r="V860" s="14" t="n">
        <f aca="false">IF($L860=2015,1,0)</f>
        <v>1</v>
      </c>
      <c r="W860" s="14" t="n">
        <f aca="false">IF($L860=2016,1,0)</f>
        <v>0</v>
      </c>
      <c r="X860" s="14" t="n">
        <f aca="false">IF($L860=2017,1,0)</f>
        <v>0</v>
      </c>
      <c r="Y860" s="14" t="n">
        <f aca="false">IF($H860="Beginner Level",1,0)</f>
        <v>0</v>
      </c>
      <c r="Z860" s="14" t="n">
        <f aca="false">IF($H860="Expert Level",1,0)</f>
        <v>0</v>
      </c>
      <c r="AA860" s="14" t="n">
        <f aca="false">IF($H860="Intermediate Level",1,0)</f>
        <v>0</v>
      </c>
      <c r="AC860" s="14" t="n">
        <f aca="false">N860</f>
        <v>2.99623214859564</v>
      </c>
      <c r="AD860" s="14" t="n">
        <f aca="false">G860</f>
        <v>23</v>
      </c>
      <c r="AE860" s="14" t="n">
        <f aca="false">J860</f>
        <v>1</v>
      </c>
      <c r="AF860" s="14" t="n">
        <f aca="false">IF($L860=2012,1,0)</f>
        <v>0</v>
      </c>
      <c r="AG860" s="14" t="n">
        <f aca="false">IF($L860=2013,1,0)</f>
        <v>0</v>
      </c>
      <c r="AH860" s="14" t="n">
        <f aca="false">IF($L860=2014,1,0)</f>
        <v>0</v>
      </c>
      <c r="AI860" s="14" t="n">
        <f aca="false">IF($L860=2015,1,0)</f>
        <v>1</v>
      </c>
      <c r="AJ860" s="14" t="n">
        <f aca="false">IF($L860=2016,1,0)</f>
        <v>0</v>
      </c>
      <c r="AK860" s="14" t="n">
        <f aca="false">IF($L860=2017,1,0)</f>
        <v>0</v>
      </c>
      <c r="AL860" s="14" t="n">
        <f aca="false">IF($H860="Beginner Level",1,0)</f>
        <v>0</v>
      </c>
      <c r="AM860" s="14" t="n">
        <f aca="false">IF($H860="Expert Level",1,0)</f>
        <v>0</v>
      </c>
      <c r="AN860" s="14" t="n">
        <f aca="false">IF($H860="Intermediate Level",1,0)</f>
        <v>0</v>
      </c>
    </row>
    <row r="861" customFormat="false" ht="79.85" hidden="false" customHeight="false" outlineLevel="0" collapsed="false">
      <c r="A861" s="14" t="n">
        <v>846156</v>
      </c>
      <c r="B861" s="14" t="s">
        <v>1764</v>
      </c>
      <c r="C861" s="14" t="s">
        <v>1765</v>
      </c>
      <c r="D861" s="14" t="n">
        <v>200</v>
      </c>
      <c r="E861" s="14" t="n">
        <v>1296</v>
      </c>
      <c r="F861" s="14" t="n">
        <v>22</v>
      </c>
      <c r="G861" s="14" t="n">
        <v>72</v>
      </c>
      <c r="H861" s="14" t="s">
        <v>71</v>
      </c>
      <c r="I861" s="14" t="n">
        <v>0.76</v>
      </c>
      <c r="J861" s="14" t="n">
        <v>5.5</v>
      </c>
      <c r="K861" s="14" t="s">
        <v>59</v>
      </c>
      <c r="L861" s="14" t="n">
        <v>2016</v>
      </c>
      <c r="M861" s="14" t="n">
        <v>7.16703787691222</v>
      </c>
      <c r="N861" s="14" t="n">
        <v>5.29836736529808</v>
      </c>
      <c r="P861" s="14" t="n">
        <f aca="false">D861</f>
        <v>200</v>
      </c>
      <c r="Q861" s="14" t="n">
        <f aca="false">G861</f>
        <v>72</v>
      </c>
      <c r="R861" s="14" t="n">
        <f aca="false">J861</f>
        <v>5.5</v>
      </c>
      <c r="S861" s="14" t="n">
        <f aca="false">IF($L861=2012,1,0)</f>
        <v>0</v>
      </c>
      <c r="T861" s="14" t="n">
        <f aca="false">IF($L861=2013,1,0)</f>
        <v>0</v>
      </c>
      <c r="U861" s="14" t="n">
        <f aca="false">IF($L861=2014,1,0)</f>
        <v>0</v>
      </c>
      <c r="V861" s="14" t="n">
        <f aca="false">IF($L861=2015,1,0)</f>
        <v>0</v>
      </c>
      <c r="W861" s="14" t="n">
        <f aca="false">IF($L861=2016,1,0)</f>
        <v>1</v>
      </c>
      <c r="X861" s="14" t="n">
        <f aca="false">IF($L861=2017,1,0)</f>
        <v>0</v>
      </c>
      <c r="Y861" s="14" t="n">
        <f aca="false">IF($H861="Beginner Level",1,0)</f>
        <v>0</v>
      </c>
      <c r="Z861" s="14" t="n">
        <f aca="false">IF($H861="Expert Level",1,0)</f>
        <v>0</v>
      </c>
      <c r="AA861" s="14" t="n">
        <f aca="false">IF($H861="Intermediate Level",1,0)</f>
        <v>1</v>
      </c>
      <c r="AC861" s="14" t="n">
        <f aca="false">N861</f>
        <v>5.29836736529808</v>
      </c>
      <c r="AD861" s="14" t="n">
        <f aca="false">G861</f>
        <v>72</v>
      </c>
      <c r="AE861" s="14" t="n">
        <f aca="false">J861</f>
        <v>5.5</v>
      </c>
      <c r="AF861" s="14" t="n">
        <f aca="false">IF($L861=2012,1,0)</f>
        <v>0</v>
      </c>
      <c r="AG861" s="14" t="n">
        <f aca="false">IF($L861=2013,1,0)</f>
        <v>0</v>
      </c>
      <c r="AH861" s="14" t="n">
        <f aca="false">IF($L861=2014,1,0)</f>
        <v>0</v>
      </c>
      <c r="AI861" s="14" t="n">
        <f aca="false">IF($L861=2015,1,0)</f>
        <v>0</v>
      </c>
      <c r="AJ861" s="14" t="n">
        <f aca="false">IF($L861=2016,1,0)</f>
        <v>1</v>
      </c>
      <c r="AK861" s="14" t="n">
        <f aca="false">IF($L861=2017,1,0)</f>
        <v>0</v>
      </c>
      <c r="AL861" s="14" t="n">
        <f aca="false">IF($H861="Beginner Level",1,0)</f>
        <v>0</v>
      </c>
      <c r="AM861" s="14" t="n">
        <f aca="false">IF($H861="Expert Level",1,0)</f>
        <v>0</v>
      </c>
      <c r="AN861" s="14" t="n">
        <f aca="false">IF($H861="Intermediate Level",1,0)</f>
        <v>1</v>
      </c>
    </row>
    <row r="862" customFormat="false" ht="79.85" hidden="false" customHeight="false" outlineLevel="0" collapsed="false">
      <c r="A862" s="14" t="n">
        <v>365426</v>
      </c>
      <c r="B862" s="14" t="s">
        <v>1766</v>
      </c>
      <c r="C862" s="14" t="s">
        <v>1767</v>
      </c>
      <c r="D862" s="14" t="n">
        <v>20</v>
      </c>
      <c r="E862" s="14" t="n">
        <v>1294</v>
      </c>
      <c r="F862" s="14" t="n">
        <v>11</v>
      </c>
      <c r="G862" s="14" t="n">
        <v>15</v>
      </c>
      <c r="H862" s="14" t="s">
        <v>62</v>
      </c>
      <c r="I862" s="14" t="n">
        <v>0.76</v>
      </c>
      <c r="J862" s="14" t="n">
        <v>1</v>
      </c>
      <c r="K862" s="14" t="s">
        <v>59</v>
      </c>
      <c r="L862" s="14" t="n">
        <v>2014</v>
      </c>
      <c r="M862" s="14" t="n">
        <v>7.16549347506085</v>
      </c>
      <c r="N862" s="14" t="n">
        <v>2.99623214859564</v>
      </c>
      <c r="P862" s="14" t="n">
        <f aca="false">D862</f>
        <v>20</v>
      </c>
      <c r="Q862" s="14" t="n">
        <f aca="false">G862</f>
        <v>15</v>
      </c>
      <c r="R862" s="14" t="n">
        <f aca="false">J862</f>
        <v>1</v>
      </c>
      <c r="S862" s="14" t="n">
        <f aca="false">IF($L862=2012,1,0)</f>
        <v>0</v>
      </c>
      <c r="T862" s="14" t="n">
        <f aca="false">IF($L862=2013,1,0)</f>
        <v>0</v>
      </c>
      <c r="U862" s="14" t="n">
        <f aca="false">IF($L862=2014,1,0)</f>
        <v>1</v>
      </c>
      <c r="V862" s="14" t="n">
        <f aca="false">IF($L862=2015,1,0)</f>
        <v>0</v>
      </c>
      <c r="W862" s="14" t="n">
        <f aca="false">IF($L862=2016,1,0)</f>
        <v>0</v>
      </c>
      <c r="X862" s="14" t="n">
        <f aca="false">IF($L862=2017,1,0)</f>
        <v>0</v>
      </c>
      <c r="Y862" s="14" t="n">
        <f aca="false">IF($H862="Beginner Level",1,0)</f>
        <v>0</v>
      </c>
      <c r="Z862" s="14" t="n">
        <f aca="false">IF($H862="Expert Level",1,0)</f>
        <v>0</v>
      </c>
      <c r="AA862" s="14" t="n">
        <f aca="false">IF($H862="Intermediate Level",1,0)</f>
        <v>0</v>
      </c>
      <c r="AC862" s="14" t="n">
        <f aca="false">N862</f>
        <v>2.99623214859564</v>
      </c>
      <c r="AD862" s="14" t="n">
        <f aca="false">G862</f>
        <v>15</v>
      </c>
      <c r="AE862" s="14" t="n">
        <f aca="false">J862</f>
        <v>1</v>
      </c>
      <c r="AF862" s="14" t="n">
        <f aca="false">IF($L862=2012,1,0)</f>
        <v>0</v>
      </c>
      <c r="AG862" s="14" t="n">
        <f aca="false">IF($L862=2013,1,0)</f>
        <v>0</v>
      </c>
      <c r="AH862" s="14" t="n">
        <f aca="false">IF($L862=2014,1,0)</f>
        <v>1</v>
      </c>
      <c r="AI862" s="14" t="n">
        <f aca="false">IF($L862=2015,1,0)</f>
        <v>0</v>
      </c>
      <c r="AJ862" s="14" t="n">
        <f aca="false">IF($L862=2016,1,0)</f>
        <v>0</v>
      </c>
      <c r="AK862" s="14" t="n">
        <f aca="false">IF($L862=2017,1,0)</f>
        <v>0</v>
      </c>
      <c r="AL862" s="14" t="n">
        <f aca="false">IF($H862="Beginner Level",1,0)</f>
        <v>0</v>
      </c>
      <c r="AM862" s="14" t="n">
        <f aca="false">IF($H862="Expert Level",1,0)</f>
        <v>0</v>
      </c>
      <c r="AN862" s="14" t="n">
        <f aca="false">IF($H862="Intermediate Level",1,0)</f>
        <v>0</v>
      </c>
    </row>
    <row r="863" customFormat="false" ht="46.25" hidden="false" customHeight="false" outlineLevel="0" collapsed="false">
      <c r="A863" s="14" t="n">
        <v>783746</v>
      </c>
      <c r="B863" s="14" t="s">
        <v>1768</v>
      </c>
      <c r="C863" s="14" t="s">
        <v>1769</v>
      </c>
      <c r="D863" s="14" t="n">
        <v>20</v>
      </c>
      <c r="E863" s="14" t="n">
        <v>1292</v>
      </c>
      <c r="F863" s="14" t="n">
        <v>2</v>
      </c>
      <c r="G863" s="14" t="n">
        <v>12</v>
      </c>
      <c r="H863" s="14" t="s">
        <v>71</v>
      </c>
      <c r="I863" s="14" t="n">
        <v>0.76</v>
      </c>
      <c r="J863" s="14" t="n">
        <v>2</v>
      </c>
      <c r="K863" s="14" t="s">
        <v>59</v>
      </c>
      <c r="L863" s="14" t="n">
        <v>2016</v>
      </c>
      <c r="M863" s="14" t="n">
        <v>7.16394668434255</v>
      </c>
      <c r="N863" s="14" t="n">
        <v>2.99623214859564</v>
      </c>
      <c r="P863" s="14" t="n">
        <f aca="false">D863</f>
        <v>20</v>
      </c>
      <c r="Q863" s="14" t="n">
        <f aca="false">G863</f>
        <v>12</v>
      </c>
      <c r="R863" s="14" t="n">
        <f aca="false">J863</f>
        <v>2</v>
      </c>
      <c r="S863" s="14" t="n">
        <f aca="false">IF($L863=2012,1,0)</f>
        <v>0</v>
      </c>
      <c r="T863" s="14" t="n">
        <f aca="false">IF($L863=2013,1,0)</f>
        <v>0</v>
      </c>
      <c r="U863" s="14" t="n">
        <f aca="false">IF($L863=2014,1,0)</f>
        <v>0</v>
      </c>
      <c r="V863" s="14" t="n">
        <f aca="false">IF($L863=2015,1,0)</f>
        <v>0</v>
      </c>
      <c r="W863" s="14" t="n">
        <f aca="false">IF($L863=2016,1,0)</f>
        <v>1</v>
      </c>
      <c r="X863" s="14" t="n">
        <f aca="false">IF($L863=2017,1,0)</f>
        <v>0</v>
      </c>
      <c r="Y863" s="14" t="n">
        <f aca="false">IF($H863="Beginner Level",1,0)</f>
        <v>0</v>
      </c>
      <c r="Z863" s="14" t="n">
        <f aca="false">IF($H863="Expert Level",1,0)</f>
        <v>0</v>
      </c>
      <c r="AA863" s="14" t="n">
        <f aca="false">IF($H863="Intermediate Level",1,0)</f>
        <v>1</v>
      </c>
      <c r="AC863" s="14" t="n">
        <f aca="false">N863</f>
        <v>2.99623214859564</v>
      </c>
      <c r="AD863" s="14" t="n">
        <f aca="false">G863</f>
        <v>12</v>
      </c>
      <c r="AE863" s="14" t="n">
        <f aca="false">J863</f>
        <v>2</v>
      </c>
      <c r="AF863" s="14" t="n">
        <f aca="false">IF($L863=2012,1,0)</f>
        <v>0</v>
      </c>
      <c r="AG863" s="14" t="n">
        <f aca="false">IF($L863=2013,1,0)</f>
        <v>0</v>
      </c>
      <c r="AH863" s="14" t="n">
        <f aca="false">IF($L863=2014,1,0)</f>
        <v>0</v>
      </c>
      <c r="AI863" s="14" t="n">
        <f aca="false">IF($L863=2015,1,0)</f>
        <v>0</v>
      </c>
      <c r="AJ863" s="14" t="n">
        <f aca="false">IF($L863=2016,1,0)</f>
        <v>1</v>
      </c>
      <c r="AK863" s="14" t="n">
        <f aca="false">IF($L863=2017,1,0)</f>
        <v>0</v>
      </c>
      <c r="AL863" s="14" t="n">
        <f aca="false">IF($H863="Beginner Level",1,0)</f>
        <v>0</v>
      </c>
      <c r="AM863" s="14" t="n">
        <f aca="false">IF($H863="Expert Level",1,0)</f>
        <v>0</v>
      </c>
      <c r="AN863" s="14" t="n">
        <f aca="false">IF($H863="Intermediate Level",1,0)</f>
        <v>1</v>
      </c>
    </row>
    <row r="864" customFormat="false" ht="57.45" hidden="false" customHeight="false" outlineLevel="0" collapsed="false">
      <c r="A864" s="14" t="n">
        <v>332252</v>
      </c>
      <c r="B864" s="14" t="s">
        <v>1770</v>
      </c>
      <c r="C864" s="14" t="s">
        <v>1771</v>
      </c>
      <c r="D864" s="14" t="n">
        <v>200</v>
      </c>
      <c r="E864" s="14" t="n">
        <v>1284</v>
      </c>
      <c r="F864" s="14" t="n">
        <v>46</v>
      </c>
      <c r="G864" s="14" t="n">
        <v>30</v>
      </c>
      <c r="H864" s="14" t="s">
        <v>62</v>
      </c>
      <c r="I864" s="14" t="n">
        <v>0.76</v>
      </c>
      <c r="J864" s="14" t="n">
        <v>1.5</v>
      </c>
      <c r="K864" s="14" t="s">
        <v>59</v>
      </c>
      <c r="L864" s="14" t="n">
        <v>2014</v>
      </c>
      <c r="M864" s="14" t="n">
        <v>7.15773548424991</v>
      </c>
      <c r="N864" s="14" t="n">
        <v>5.29836736529808</v>
      </c>
      <c r="P864" s="14" t="n">
        <f aca="false">D864</f>
        <v>200</v>
      </c>
      <c r="Q864" s="14" t="n">
        <f aca="false">G864</f>
        <v>30</v>
      </c>
      <c r="R864" s="14" t="n">
        <f aca="false">J864</f>
        <v>1.5</v>
      </c>
      <c r="S864" s="14" t="n">
        <f aca="false">IF($L864=2012,1,0)</f>
        <v>0</v>
      </c>
      <c r="T864" s="14" t="n">
        <f aca="false">IF($L864=2013,1,0)</f>
        <v>0</v>
      </c>
      <c r="U864" s="14" t="n">
        <f aca="false">IF($L864=2014,1,0)</f>
        <v>1</v>
      </c>
      <c r="V864" s="14" t="n">
        <f aca="false">IF($L864=2015,1,0)</f>
        <v>0</v>
      </c>
      <c r="W864" s="14" t="n">
        <f aca="false">IF($L864=2016,1,0)</f>
        <v>0</v>
      </c>
      <c r="X864" s="14" t="n">
        <f aca="false">IF($L864=2017,1,0)</f>
        <v>0</v>
      </c>
      <c r="Y864" s="14" t="n">
        <f aca="false">IF($H864="Beginner Level",1,0)</f>
        <v>0</v>
      </c>
      <c r="Z864" s="14" t="n">
        <f aca="false">IF($H864="Expert Level",1,0)</f>
        <v>0</v>
      </c>
      <c r="AA864" s="14" t="n">
        <f aca="false">IF($H864="Intermediate Level",1,0)</f>
        <v>0</v>
      </c>
      <c r="AC864" s="14" t="n">
        <f aca="false">N864</f>
        <v>5.29836736529808</v>
      </c>
      <c r="AD864" s="14" t="n">
        <f aca="false">G864</f>
        <v>30</v>
      </c>
      <c r="AE864" s="14" t="n">
        <f aca="false">J864</f>
        <v>1.5</v>
      </c>
      <c r="AF864" s="14" t="n">
        <f aca="false">IF($L864=2012,1,0)</f>
        <v>0</v>
      </c>
      <c r="AG864" s="14" t="n">
        <f aca="false">IF($L864=2013,1,0)</f>
        <v>0</v>
      </c>
      <c r="AH864" s="14" t="n">
        <f aca="false">IF($L864=2014,1,0)</f>
        <v>1</v>
      </c>
      <c r="AI864" s="14" t="n">
        <f aca="false">IF($L864=2015,1,0)</f>
        <v>0</v>
      </c>
      <c r="AJ864" s="14" t="n">
        <f aca="false">IF($L864=2016,1,0)</f>
        <v>0</v>
      </c>
      <c r="AK864" s="14" t="n">
        <f aca="false">IF($L864=2017,1,0)</f>
        <v>0</v>
      </c>
      <c r="AL864" s="14" t="n">
        <f aca="false">IF($H864="Beginner Level",1,0)</f>
        <v>0</v>
      </c>
      <c r="AM864" s="14" t="n">
        <f aca="false">IF($H864="Expert Level",1,0)</f>
        <v>0</v>
      </c>
      <c r="AN864" s="14" t="n">
        <f aca="false">IF($H864="Intermediate Level",1,0)</f>
        <v>0</v>
      </c>
    </row>
    <row r="865" customFormat="false" ht="91" hidden="false" customHeight="false" outlineLevel="0" collapsed="false">
      <c r="A865" s="14" t="n">
        <v>552258</v>
      </c>
      <c r="B865" s="14" t="s">
        <v>1772</v>
      </c>
      <c r="C865" s="14" t="s">
        <v>1773</v>
      </c>
      <c r="D865" s="14" t="n">
        <v>200</v>
      </c>
      <c r="E865" s="14" t="n">
        <v>1284</v>
      </c>
      <c r="F865" s="14" t="n">
        <v>173</v>
      </c>
      <c r="G865" s="14" t="n">
        <v>301</v>
      </c>
      <c r="H865" s="14" t="s">
        <v>62</v>
      </c>
      <c r="I865" s="14" t="n">
        <v>0.76</v>
      </c>
      <c r="J865" s="14" t="n">
        <v>25.5</v>
      </c>
      <c r="K865" s="14" t="s">
        <v>59</v>
      </c>
      <c r="L865" s="14" t="n">
        <v>2015</v>
      </c>
      <c r="M865" s="14" t="n">
        <v>7.15773548424991</v>
      </c>
      <c r="N865" s="14" t="n">
        <v>5.29836736529808</v>
      </c>
      <c r="P865" s="14" t="n">
        <f aca="false">D865</f>
        <v>200</v>
      </c>
      <c r="Q865" s="14" t="n">
        <f aca="false">G865</f>
        <v>301</v>
      </c>
      <c r="R865" s="14" t="n">
        <f aca="false">J865</f>
        <v>25.5</v>
      </c>
      <c r="S865" s="14" t="n">
        <f aca="false">IF($L865=2012,1,0)</f>
        <v>0</v>
      </c>
      <c r="T865" s="14" t="n">
        <f aca="false">IF($L865=2013,1,0)</f>
        <v>0</v>
      </c>
      <c r="U865" s="14" t="n">
        <f aca="false">IF($L865=2014,1,0)</f>
        <v>0</v>
      </c>
      <c r="V865" s="14" t="n">
        <f aca="false">IF($L865=2015,1,0)</f>
        <v>1</v>
      </c>
      <c r="W865" s="14" t="n">
        <f aca="false">IF($L865=2016,1,0)</f>
        <v>0</v>
      </c>
      <c r="X865" s="14" t="n">
        <f aca="false">IF($L865=2017,1,0)</f>
        <v>0</v>
      </c>
      <c r="Y865" s="14" t="n">
        <f aca="false">IF($H865="Beginner Level",1,0)</f>
        <v>0</v>
      </c>
      <c r="Z865" s="14" t="n">
        <f aca="false">IF($H865="Expert Level",1,0)</f>
        <v>0</v>
      </c>
      <c r="AA865" s="14" t="n">
        <f aca="false">IF($H865="Intermediate Level",1,0)</f>
        <v>0</v>
      </c>
      <c r="AC865" s="14" t="n">
        <f aca="false">N865</f>
        <v>5.29836736529808</v>
      </c>
      <c r="AD865" s="14" t="n">
        <f aca="false">G865</f>
        <v>301</v>
      </c>
      <c r="AE865" s="14" t="n">
        <f aca="false">J865</f>
        <v>25.5</v>
      </c>
      <c r="AF865" s="14" t="n">
        <f aca="false">IF($L865=2012,1,0)</f>
        <v>0</v>
      </c>
      <c r="AG865" s="14" t="n">
        <f aca="false">IF($L865=2013,1,0)</f>
        <v>0</v>
      </c>
      <c r="AH865" s="14" t="n">
        <f aca="false">IF($L865=2014,1,0)</f>
        <v>0</v>
      </c>
      <c r="AI865" s="14" t="n">
        <f aca="false">IF($L865=2015,1,0)</f>
        <v>1</v>
      </c>
      <c r="AJ865" s="14" t="n">
        <f aca="false">IF($L865=2016,1,0)</f>
        <v>0</v>
      </c>
      <c r="AK865" s="14" t="n">
        <f aca="false">IF($L865=2017,1,0)</f>
        <v>0</v>
      </c>
      <c r="AL865" s="14" t="n">
        <f aca="false">IF($H865="Beginner Level",1,0)</f>
        <v>0</v>
      </c>
      <c r="AM865" s="14" t="n">
        <f aca="false">IF($H865="Expert Level",1,0)</f>
        <v>0</v>
      </c>
      <c r="AN865" s="14" t="n">
        <f aca="false">IF($H865="Intermediate Level",1,0)</f>
        <v>0</v>
      </c>
    </row>
    <row r="866" customFormat="false" ht="79.85" hidden="false" customHeight="false" outlineLevel="0" collapsed="false">
      <c r="A866" s="14" t="n">
        <v>835712</v>
      </c>
      <c r="B866" s="14" t="s">
        <v>1774</v>
      </c>
      <c r="C866" s="14" t="s">
        <v>1775</v>
      </c>
      <c r="D866" s="14" t="n">
        <v>50</v>
      </c>
      <c r="E866" s="14" t="n">
        <v>1282</v>
      </c>
      <c r="F866" s="14" t="n">
        <v>117</v>
      </c>
      <c r="G866" s="14" t="n">
        <v>12</v>
      </c>
      <c r="H866" s="14" t="s">
        <v>52</v>
      </c>
      <c r="I866" s="14" t="n">
        <v>0.76</v>
      </c>
      <c r="J866" s="14" t="n">
        <v>1</v>
      </c>
      <c r="K866" s="14" t="s">
        <v>59</v>
      </c>
      <c r="L866" s="14" t="n">
        <v>2016</v>
      </c>
      <c r="M866" s="14" t="n">
        <v>7.15617663748062</v>
      </c>
      <c r="N866" s="14" t="n">
        <v>3.91222298543081</v>
      </c>
      <c r="P866" s="14" t="n">
        <f aca="false">D866</f>
        <v>50</v>
      </c>
      <c r="Q866" s="14" t="n">
        <f aca="false">G866</f>
        <v>12</v>
      </c>
      <c r="R866" s="14" t="n">
        <f aca="false">J866</f>
        <v>1</v>
      </c>
      <c r="S866" s="14" t="n">
        <f aca="false">IF($L866=2012,1,0)</f>
        <v>0</v>
      </c>
      <c r="T866" s="14" t="n">
        <f aca="false">IF($L866=2013,1,0)</f>
        <v>0</v>
      </c>
      <c r="U866" s="14" t="n">
        <f aca="false">IF($L866=2014,1,0)</f>
        <v>0</v>
      </c>
      <c r="V866" s="14" t="n">
        <f aca="false">IF($L866=2015,1,0)</f>
        <v>0</v>
      </c>
      <c r="W866" s="14" t="n">
        <f aca="false">IF($L866=2016,1,0)</f>
        <v>1</v>
      </c>
      <c r="X866" s="14" t="n">
        <f aca="false">IF($L866=2017,1,0)</f>
        <v>0</v>
      </c>
      <c r="Y866" s="14" t="n">
        <f aca="false">IF($H866="Beginner Level",1,0)</f>
        <v>1</v>
      </c>
      <c r="Z866" s="14" t="n">
        <f aca="false">IF($H866="Expert Level",1,0)</f>
        <v>0</v>
      </c>
      <c r="AA866" s="14" t="n">
        <f aca="false">IF($H866="Intermediate Level",1,0)</f>
        <v>0</v>
      </c>
      <c r="AC866" s="14" t="n">
        <f aca="false">N866</f>
        <v>3.91222298543081</v>
      </c>
      <c r="AD866" s="14" t="n">
        <f aca="false">G866</f>
        <v>12</v>
      </c>
      <c r="AE866" s="14" t="n">
        <f aca="false">J866</f>
        <v>1</v>
      </c>
      <c r="AF866" s="14" t="n">
        <f aca="false">IF($L866=2012,1,0)</f>
        <v>0</v>
      </c>
      <c r="AG866" s="14" t="n">
        <f aca="false">IF($L866=2013,1,0)</f>
        <v>0</v>
      </c>
      <c r="AH866" s="14" t="n">
        <f aca="false">IF($L866=2014,1,0)</f>
        <v>0</v>
      </c>
      <c r="AI866" s="14" t="n">
        <f aca="false">IF($L866=2015,1,0)</f>
        <v>0</v>
      </c>
      <c r="AJ866" s="14" t="n">
        <f aca="false">IF($L866=2016,1,0)</f>
        <v>1</v>
      </c>
      <c r="AK866" s="14" t="n">
        <f aca="false">IF($L866=2017,1,0)</f>
        <v>0</v>
      </c>
      <c r="AL866" s="14" t="n">
        <f aca="false">IF($H866="Beginner Level",1,0)</f>
        <v>1</v>
      </c>
      <c r="AM866" s="14" t="n">
        <f aca="false">IF($H866="Expert Level",1,0)</f>
        <v>0</v>
      </c>
      <c r="AN866" s="14" t="n">
        <f aca="false">IF($H866="Intermediate Level",1,0)</f>
        <v>0</v>
      </c>
    </row>
    <row r="867" customFormat="false" ht="91" hidden="false" customHeight="false" outlineLevel="0" collapsed="false">
      <c r="A867" s="14" t="n">
        <v>495958</v>
      </c>
      <c r="B867" s="14" t="s">
        <v>1776</v>
      </c>
      <c r="C867" s="14" t="s">
        <v>1777</v>
      </c>
      <c r="D867" s="14" t="n">
        <v>200</v>
      </c>
      <c r="E867" s="14" t="n">
        <v>1276</v>
      </c>
      <c r="F867" s="14" t="n">
        <v>245</v>
      </c>
      <c r="G867" s="14" t="n">
        <v>271</v>
      </c>
      <c r="H867" s="14" t="s">
        <v>62</v>
      </c>
      <c r="I867" s="14" t="n">
        <v>0.76</v>
      </c>
      <c r="J867" s="14" t="n">
        <v>22.5</v>
      </c>
      <c r="K867" s="14" t="s">
        <v>59</v>
      </c>
      <c r="L867" s="14" t="n">
        <v>2015</v>
      </c>
      <c r="M867" s="14" t="n">
        <v>7.15148546390474</v>
      </c>
      <c r="N867" s="14" t="n">
        <v>5.29836736529808</v>
      </c>
      <c r="P867" s="14" t="n">
        <f aca="false">D867</f>
        <v>200</v>
      </c>
      <c r="Q867" s="14" t="n">
        <f aca="false">G867</f>
        <v>271</v>
      </c>
      <c r="R867" s="14" t="n">
        <f aca="false">J867</f>
        <v>22.5</v>
      </c>
      <c r="S867" s="14" t="n">
        <f aca="false">IF($L867=2012,1,0)</f>
        <v>0</v>
      </c>
      <c r="T867" s="14" t="n">
        <f aca="false">IF($L867=2013,1,0)</f>
        <v>0</v>
      </c>
      <c r="U867" s="14" t="n">
        <f aca="false">IF($L867=2014,1,0)</f>
        <v>0</v>
      </c>
      <c r="V867" s="14" t="n">
        <f aca="false">IF($L867=2015,1,0)</f>
        <v>1</v>
      </c>
      <c r="W867" s="14" t="n">
        <f aca="false">IF($L867=2016,1,0)</f>
        <v>0</v>
      </c>
      <c r="X867" s="14" t="n">
        <f aca="false">IF($L867=2017,1,0)</f>
        <v>0</v>
      </c>
      <c r="Y867" s="14" t="n">
        <f aca="false">IF($H867="Beginner Level",1,0)</f>
        <v>0</v>
      </c>
      <c r="Z867" s="14" t="n">
        <f aca="false">IF($H867="Expert Level",1,0)</f>
        <v>0</v>
      </c>
      <c r="AA867" s="14" t="n">
        <f aca="false">IF($H867="Intermediate Level",1,0)</f>
        <v>0</v>
      </c>
      <c r="AC867" s="14" t="n">
        <f aca="false">N867</f>
        <v>5.29836736529808</v>
      </c>
      <c r="AD867" s="14" t="n">
        <f aca="false">G867</f>
        <v>271</v>
      </c>
      <c r="AE867" s="14" t="n">
        <f aca="false">J867</f>
        <v>22.5</v>
      </c>
      <c r="AF867" s="14" t="n">
        <f aca="false">IF($L867=2012,1,0)</f>
        <v>0</v>
      </c>
      <c r="AG867" s="14" t="n">
        <f aca="false">IF($L867=2013,1,0)</f>
        <v>0</v>
      </c>
      <c r="AH867" s="14" t="n">
        <f aca="false">IF($L867=2014,1,0)</f>
        <v>0</v>
      </c>
      <c r="AI867" s="14" t="n">
        <f aca="false">IF($L867=2015,1,0)</f>
        <v>1</v>
      </c>
      <c r="AJ867" s="14" t="n">
        <f aca="false">IF($L867=2016,1,0)</f>
        <v>0</v>
      </c>
      <c r="AK867" s="14" t="n">
        <f aca="false">IF($L867=2017,1,0)</f>
        <v>0</v>
      </c>
      <c r="AL867" s="14" t="n">
        <f aca="false">IF($H867="Beginner Level",1,0)</f>
        <v>0</v>
      </c>
      <c r="AM867" s="14" t="n">
        <f aca="false">IF($H867="Expert Level",1,0)</f>
        <v>0</v>
      </c>
      <c r="AN867" s="14" t="n">
        <f aca="false">IF($H867="Intermediate Level",1,0)</f>
        <v>0</v>
      </c>
    </row>
    <row r="868" customFormat="false" ht="57.45" hidden="false" customHeight="false" outlineLevel="0" collapsed="false">
      <c r="A868" s="14" t="n">
        <v>392526</v>
      </c>
      <c r="B868" s="14" t="s">
        <v>1778</v>
      </c>
      <c r="C868" s="14" t="s">
        <v>1779</v>
      </c>
      <c r="D868" s="14" t="n">
        <v>40</v>
      </c>
      <c r="E868" s="14" t="n">
        <v>1275</v>
      </c>
      <c r="F868" s="14" t="n">
        <v>11</v>
      </c>
      <c r="G868" s="14" t="n">
        <v>18</v>
      </c>
      <c r="H868" s="14" t="s">
        <v>62</v>
      </c>
      <c r="I868" s="14" t="n">
        <v>0.76</v>
      </c>
      <c r="J868" s="14" t="n">
        <v>1</v>
      </c>
      <c r="K868" s="14" t="s">
        <v>59</v>
      </c>
      <c r="L868" s="14" t="n">
        <v>2015</v>
      </c>
      <c r="M868" s="14" t="n">
        <v>7.15070145759253</v>
      </c>
      <c r="N868" s="14" t="n">
        <v>3.68912942286914</v>
      </c>
      <c r="P868" s="14" t="n">
        <f aca="false">D868</f>
        <v>40</v>
      </c>
      <c r="Q868" s="14" t="n">
        <f aca="false">G868</f>
        <v>18</v>
      </c>
      <c r="R868" s="14" t="n">
        <f aca="false">J868</f>
        <v>1</v>
      </c>
      <c r="S868" s="14" t="n">
        <f aca="false">IF($L868=2012,1,0)</f>
        <v>0</v>
      </c>
      <c r="T868" s="14" t="n">
        <f aca="false">IF($L868=2013,1,0)</f>
        <v>0</v>
      </c>
      <c r="U868" s="14" t="n">
        <f aca="false">IF($L868=2014,1,0)</f>
        <v>0</v>
      </c>
      <c r="V868" s="14" t="n">
        <f aca="false">IF($L868=2015,1,0)</f>
        <v>1</v>
      </c>
      <c r="W868" s="14" t="n">
        <f aca="false">IF($L868=2016,1,0)</f>
        <v>0</v>
      </c>
      <c r="X868" s="14" t="n">
        <f aca="false">IF($L868=2017,1,0)</f>
        <v>0</v>
      </c>
      <c r="Y868" s="14" t="n">
        <f aca="false">IF($H868="Beginner Level",1,0)</f>
        <v>0</v>
      </c>
      <c r="Z868" s="14" t="n">
        <f aca="false">IF($H868="Expert Level",1,0)</f>
        <v>0</v>
      </c>
      <c r="AA868" s="14" t="n">
        <f aca="false">IF($H868="Intermediate Level",1,0)</f>
        <v>0</v>
      </c>
      <c r="AC868" s="14" t="n">
        <f aca="false">N868</f>
        <v>3.68912942286914</v>
      </c>
      <c r="AD868" s="14" t="n">
        <f aca="false">G868</f>
        <v>18</v>
      </c>
      <c r="AE868" s="14" t="n">
        <f aca="false">J868</f>
        <v>1</v>
      </c>
      <c r="AF868" s="14" t="n">
        <f aca="false">IF($L868=2012,1,0)</f>
        <v>0</v>
      </c>
      <c r="AG868" s="14" t="n">
        <f aca="false">IF($L868=2013,1,0)</f>
        <v>0</v>
      </c>
      <c r="AH868" s="14" t="n">
        <f aca="false">IF($L868=2014,1,0)</f>
        <v>0</v>
      </c>
      <c r="AI868" s="14" t="n">
        <f aca="false">IF($L868=2015,1,0)</f>
        <v>1</v>
      </c>
      <c r="AJ868" s="14" t="n">
        <f aca="false">IF($L868=2016,1,0)</f>
        <v>0</v>
      </c>
      <c r="AK868" s="14" t="n">
        <f aca="false">IF($L868=2017,1,0)</f>
        <v>0</v>
      </c>
      <c r="AL868" s="14" t="n">
        <f aca="false">IF($H868="Beginner Level",1,0)</f>
        <v>0</v>
      </c>
      <c r="AM868" s="14" t="n">
        <f aca="false">IF($H868="Expert Level",1,0)</f>
        <v>0</v>
      </c>
      <c r="AN868" s="14" t="n">
        <f aca="false">IF($H868="Intermediate Level",1,0)</f>
        <v>0</v>
      </c>
    </row>
    <row r="869" customFormat="false" ht="57.45" hidden="false" customHeight="false" outlineLevel="0" collapsed="false">
      <c r="A869" s="14" t="n">
        <v>955818</v>
      </c>
      <c r="B869" s="14" t="s">
        <v>1780</v>
      </c>
      <c r="C869" s="14" t="s">
        <v>1781</v>
      </c>
      <c r="D869" s="14" t="n">
        <v>50</v>
      </c>
      <c r="E869" s="14" t="n">
        <v>1274</v>
      </c>
      <c r="F869" s="14" t="n">
        <v>34</v>
      </c>
      <c r="G869" s="14" t="n">
        <v>15</v>
      </c>
      <c r="H869" s="14" t="s">
        <v>62</v>
      </c>
      <c r="I869" s="14" t="n">
        <v>0.76</v>
      </c>
      <c r="J869" s="14" t="n">
        <v>0.66666667</v>
      </c>
      <c r="K869" s="14" t="s">
        <v>59</v>
      </c>
      <c r="L869" s="14" t="n">
        <v>2016</v>
      </c>
      <c r="M869" s="14" t="n">
        <v>7.14991683613211</v>
      </c>
      <c r="N869" s="14" t="n">
        <v>3.91222298543081</v>
      </c>
      <c r="P869" s="14" t="n">
        <f aca="false">D869</f>
        <v>50</v>
      </c>
      <c r="Q869" s="14" t="n">
        <f aca="false">G869</f>
        <v>15</v>
      </c>
      <c r="R869" s="14" t="n">
        <f aca="false">J869</f>
        <v>0.66666667</v>
      </c>
      <c r="S869" s="14" t="n">
        <f aca="false">IF($L869=2012,1,0)</f>
        <v>0</v>
      </c>
      <c r="T869" s="14" t="n">
        <f aca="false">IF($L869=2013,1,0)</f>
        <v>0</v>
      </c>
      <c r="U869" s="14" t="n">
        <f aca="false">IF($L869=2014,1,0)</f>
        <v>0</v>
      </c>
      <c r="V869" s="14" t="n">
        <f aca="false">IF($L869=2015,1,0)</f>
        <v>0</v>
      </c>
      <c r="W869" s="14" t="n">
        <f aca="false">IF($L869=2016,1,0)</f>
        <v>1</v>
      </c>
      <c r="X869" s="14" t="n">
        <f aca="false">IF($L869=2017,1,0)</f>
        <v>0</v>
      </c>
      <c r="Y869" s="14" t="n">
        <f aca="false">IF($H869="Beginner Level",1,0)</f>
        <v>0</v>
      </c>
      <c r="Z869" s="14" t="n">
        <f aca="false">IF($H869="Expert Level",1,0)</f>
        <v>0</v>
      </c>
      <c r="AA869" s="14" t="n">
        <f aca="false">IF($H869="Intermediate Level",1,0)</f>
        <v>0</v>
      </c>
      <c r="AC869" s="14" t="n">
        <f aca="false">N869</f>
        <v>3.91222298543081</v>
      </c>
      <c r="AD869" s="14" t="n">
        <f aca="false">G869</f>
        <v>15</v>
      </c>
      <c r="AE869" s="14" t="n">
        <f aca="false">J869</f>
        <v>0.66666667</v>
      </c>
      <c r="AF869" s="14" t="n">
        <f aca="false">IF($L869=2012,1,0)</f>
        <v>0</v>
      </c>
      <c r="AG869" s="14" t="n">
        <f aca="false">IF($L869=2013,1,0)</f>
        <v>0</v>
      </c>
      <c r="AH869" s="14" t="n">
        <f aca="false">IF($L869=2014,1,0)</f>
        <v>0</v>
      </c>
      <c r="AI869" s="14" t="n">
        <f aca="false">IF($L869=2015,1,0)</f>
        <v>0</v>
      </c>
      <c r="AJ869" s="14" t="n">
        <f aca="false">IF($L869=2016,1,0)</f>
        <v>1</v>
      </c>
      <c r="AK869" s="14" t="n">
        <f aca="false">IF($L869=2017,1,0)</f>
        <v>0</v>
      </c>
      <c r="AL869" s="14" t="n">
        <f aca="false">IF($H869="Beginner Level",1,0)</f>
        <v>0</v>
      </c>
      <c r="AM869" s="14" t="n">
        <f aca="false">IF($H869="Expert Level",1,0)</f>
        <v>0</v>
      </c>
      <c r="AN869" s="14" t="n">
        <f aca="false">IF($H869="Intermediate Level",1,0)</f>
        <v>0</v>
      </c>
    </row>
    <row r="870" customFormat="false" ht="57.45" hidden="false" customHeight="false" outlineLevel="0" collapsed="false">
      <c r="A870" s="14" t="n">
        <v>368908</v>
      </c>
      <c r="B870" s="14" t="s">
        <v>1782</v>
      </c>
      <c r="C870" s="14" t="s">
        <v>1783</v>
      </c>
      <c r="D870" s="14" t="n">
        <v>30</v>
      </c>
      <c r="E870" s="14" t="n">
        <v>1272</v>
      </c>
      <c r="F870" s="14" t="n">
        <v>31</v>
      </c>
      <c r="G870" s="14" t="n">
        <v>29</v>
      </c>
      <c r="H870" s="14" t="s">
        <v>71</v>
      </c>
      <c r="I870" s="14" t="n">
        <v>0.3</v>
      </c>
      <c r="J870" s="14" t="n">
        <v>5</v>
      </c>
      <c r="K870" s="14" t="s">
        <v>59</v>
      </c>
      <c r="L870" s="14" t="n">
        <v>2014</v>
      </c>
      <c r="M870" s="14" t="n">
        <v>7.14834574390007</v>
      </c>
      <c r="N870" s="14" t="n">
        <v>3.40153065945228</v>
      </c>
      <c r="P870" s="14" t="n">
        <f aca="false">D870</f>
        <v>30</v>
      </c>
      <c r="Q870" s="14" t="n">
        <f aca="false">G870</f>
        <v>29</v>
      </c>
      <c r="R870" s="14" t="n">
        <f aca="false">J870</f>
        <v>5</v>
      </c>
      <c r="S870" s="14" t="n">
        <f aca="false">IF($L870=2012,1,0)</f>
        <v>0</v>
      </c>
      <c r="T870" s="14" t="n">
        <f aca="false">IF($L870=2013,1,0)</f>
        <v>0</v>
      </c>
      <c r="U870" s="14" t="n">
        <f aca="false">IF($L870=2014,1,0)</f>
        <v>1</v>
      </c>
      <c r="V870" s="14" t="n">
        <f aca="false">IF($L870=2015,1,0)</f>
        <v>0</v>
      </c>
      <c r="W870" s="14" t="n">
        <f aca="false">IF($L870=2016,1,0)</f>
        <v>0</v>
      </c>
      <c r="X870" s="14" t="n">
        <f aca="false">IF($L870=2017,1,0)</f>
        <v>0</v>
      </c>
      <c r="Y870" s="14" t="n">
        <f aca="false">IF($H870="Beginner Level",1,0)</f>
        <v>0</v>
      </c>
      <c r="Z870" s="14" t="n">
        <f aca="false">IF($H870="Expert Level",1,0)</f>
        <v>0</v>
      </c>
      <c r="AA870" s="14" t="n">
        <f aca="false">IF($H870="Intermediate Level",1,0)</f>
        <v>1</v>
      </c>
      <c r="AC870" s="14" t="n">
        <f aca="false">N870</f>
        <v>3.40153065945228</v>
      </c>
      <c r="AD870" s="14" t="n">
        <f aca="false">G870</f>
        <v>29</v>
      </c>
      <c r="AE870" s="14" t="n">
        <f aca="false">J870</f>
        <v>5</v>
      </c>
      <c r="AF870" s="14" t="n">
        <f aca="false">IF($L870=2012,1,0)</f>
        <v>0</v>
      </c>
      <c r="AG870" s="14" t="n">
        <f aca="false">IF($L870=2013,1,0)</f>
        <v>0</v>
      </c>
      <c r="AH870" s="14" t="n">
        <f aca="false">IF($L870=2014,1,0)</f>
        <v>1</v>
      </c>
      <c r="AI870" s="14" t="n">
        <f aca="false">IF($L870=2015,1,0)</f>
        <v>0</v>
      </c>
      <c r="AJ870" s="14" t="n">
        <f aca="false">IF($L870=2016,1,0)</f>
        <v>0</v>
      </c>
      <c r="AK870" s="14" t="n">
        <f aca="false">IF($L870=2017,1,0)</f>
        <v>0</v>
      </c>
      <c r="AL870" s="14" t="n">
        <f aca="false">IF($H870="Beginner Level",1,0)</f>
        <v>0</v>
      </c>
      <c r="AM870" s="14" t="n">
        <f aca="false">IF($H870="Expert Level",1,0)</f>
        <v>0</v>
      </c>
      <c r="AN870" s="14" t="n">
        <f aca="false">IF($H870="Intermediate Level",1,0)</f>
        <v>1</v>
      </c>
    </row>
    <row r="871" customFormat="false" ht="79.85" hidden="false" customHeight="false" outlineLevel="0" collapsed="false">
      <c r="A871" s="14" t="n">
        <v>143028</v>
      </c>
      <c r="B871" s="14" t="s">
        <v>1784</v>
      </c>
      <c r="C871" s="14" t="s">
        <v>1785</v>
      </c>
      <c r="D871" s="14" t="n">
        <v>50</v>
      </c>
      <c r="E871" s="14" t="n">
        <v>1271</v>
      </c>
      <c r="F871" s="14" t="n">
        <v>136</v>
      </c>
      <c r="G871" s="14" t="n">
        <v>110</v>
      </c>
      <c r="H871" s="14" t="s">
        <v>62</v>
      </c>
      <c r="I871" s="14" t="n">
        <v>0.49</v>
      </c>
      <c r="J871" s="14" t="n">
        <v>7.5</v>
      </c>
      <c r="K871" s="14" t="s">
        <v>59</v>
      </c>
      <c r="L871" s="14" t="n">
        <v>2014</v>
      </c>
      <c r="M871" s="14" t="n">
        <v>7.14755927118945</v>
      </c>
      <c r="N871" s="14" t="n">
        <v>3.91222298543081</v>
      </c>
      <c r="P871" s="14" t="n">
        <f aca="false">D871</f>
        <v>50</v>
      </c>
      <c r="Q871" s="14" t="n">
        <f aca="false">G871</f>
        <v>110</v>
      </c>
      <c r="R871" s="14" t="n">
        <f aca="false">J871</f>
        <v>7.5</v>
      </c>
      <c r="S871" s="14" t="n">
        <f aca="false">IF($L871=2012,1,0)</f>
        <v>0</v>
      </c>
      <c r="T871" s="14" t="n">
        <f aca="false">IF($L871=2013,1,0)</f>
        <v>0</v>
      </c>
      <c r="U871" s="14" t="n">
        <f aca="false">IF($L871=2014,1,0)</f>
        <v>1</v>
      </c>
      <c r="V871" s="14" t="n">
        <f aca="false">IF($L871=2015,1,0)</f>
        <v>0</v>
      </c>
      <c r="W871" s="14" t="n">
        <f aca="false">IF($L871=2016,1,0)</f>
        <v>0</v>
      </c>
      <c r="X871" s="14" t="n">
        <f aca="false">IF($L871=2017,1,0)</f>
        <v>0</v>
      </c>
      <c r="Y871" s="14" t="n">
        <f aca="false">IF($H871="Beginner Level",1,0)</f>
        <v>0</v>
      </c>
      <c r="Z871" s="14" t="n">
        <f aca="false">IF($H871="Expert Level",1,0)</f>
        <v>0</v>
      </c>
      <c r="AA871" s="14" t="n">
        <f aca="false">IF($H871="Intermediate Level",1,0)</f>
        <v>0</v>
      </c>
      <c r="AC871" s="14" t="n">
        <f aca="false">N871</f>
        <v>3.91222298543081</v>
      </c>
      <c r="AD871" s="14" t="n">
        <f aca="false">G871</f>
        <v>110</v>
      </c>
      <c r="AE871" s="14" t="n">
        <f aca="false">J871</f>
        <v>7.5</v>
      </c>
      <c r="AF871" s="14" t="n">
        <f aca="false">IF($L871=2012,1,0)</f>
        <v>0</v>
      </c>
      <c r="AG871" s="14" t="n">
        <f aca="false">IF($L871=2013,1,0)</f>
        <v>0</v>
      </c>
      <c r="AH871" s="14" t="n">
        <f aca="false">IF($L871=2014,1,0)</f>
        <v>1</v>
      </c>
      <c r="AI871" s="14" t="n">
        <f aca="false">IF($L871=2015,1,0)</f>
        <v>0</v>
      </c>
      <c r="AJ871" s="14" t="n">
        <f aca="false">IF($L871=2016,1,0)</f>
        <v>0</v>
      </c>
      <c r="AK871" s="14" t="n">
        <f aca="false">IF($L871=2017,1,0)</f>
        <v>0</v>
      </c>
      <c r="AL871" s="14" t="n">
        <f aca="false">IF($H871="Beginner Level",1,0)</f>
        <v>0</v>
      </c>
      <c r="AM871" s="14" t="n">
        <f aca="false">IF($H871="Expert Level",1,0)</f>
        <v>0</v>
      </c>
      <c r="AN871" s="14" t="n">
        <f aca="false">IF($H871="Intermediate Level",1,0)</f>
        <v>0</v>
      </c>
    </row>
    <row r="872" customFormat="false" ht="68.65" hidden="false" customHeight="false" outlineLevel="0" collapsed="false">
      <c r="A872" s="14" t="n">
        <v>1189288</v>
      </c>
      <c r="B872" s="14" t="s">
        <v>1786</v>
      </c>
      <c r="C872" s="14" t="s">
        <v>1787</v>
      </c>
      <c r="D872" s="14" t="n">
        <v>200</v>
      </c>
      <c r="E872" s="14" t="n">
        <v>1270</v>
      </c>
      <c r="F872" s="14" t="n">
        <v>16</v>
      </c>
      <c r="G872" s="14" t="n">
        <v>73</v>
      </c>
      <c r="H872" s="14" t="s">
        <v>62</v>
      </c>
      <c r="I872" s="14" t="n">
        <v>0.94</v>
      </c>
      <c r="J872" s="14" t="n">
        <v>7</v>
      </c>
      <c r="K872" s="14" t="s">
        <v>59</v>
      </c>
      <c r="L872" s="14" t="n">
        <v>2017</v>
      </c>
      <c r="M872" s="14" t="n">
        <v>7.14677217945264</v>
      </c>
      <c r="N872" s="14" t="n">
        <v>5.29836736529808</v>
      </c>
      <c r="P872" s="14" t="n">
        <f aca="false">D872</f>
        <v>200</v>
      </c>
      <c r="Q872" s="14" t="n">
        <f aca="false">G872</f>
        <v>73</v>
      </c>
      <c r="R872" s="14" t="n">
        <f aca="false">J872</f>
        <v>7</v>
      </c>
      <c r="S872" s="14" t="n">
        <f aca="false">IF($L872=2012,1,0)</f>
        <v>0</v>
      </c>
      <c r="T872" s="14" t="n">
        <f aca="false">IF($L872=2013,1,0)</f>
        <v>0</v>
      </c>
      <c r="U872" s="14" t="n">
        <f aca="false">IF($L872=2014,1,0)</f>
        <v>0</v>
      </c>
      <c r="V872" s="14" t="n">
        <f aca="false">IF($L872=2015,1,0)</f>
        <v>0</v>
      </c>
      <c r="W872" s="14" t="n">
        <f aca="false">IF($L872=2016,1,0)</f>
        <v>0</v>
      </c>
      <c r="X872" s="14" t="n">
        <f aca="false">IF($L872=2017,1,0)</f>
        <v>1</v>
      </c>
      <c r="Y872" s="14" t="n">
        <f aca="false">IF($H872="Beginner Level",1,0)</f>
        <v>0</v>
      </c>
      <c r="Z872" s="14" t="n">
        <f aca="false">IF($H872="Expert Level",1,0)</f>
        <v>0</v>
      </c>
      <c r="AA872" s="14" t="n">
        <f aca="false">IF($H872="Intermediate Level",1,0)</f>
        <v>0</v>
      </c>
      <c r="AC872" s="14" t="n">
        <f aca="false">N872</f>
        <v>5.29836736529808</v>
      </c>
      <c r="AD872" s="14" t="n">
        <f aca="false">G872</f>
        <v>73</v>
      </c>
      <c r="AE872" s="14" t="n">
        <f aca="false">J872</f>
        <v>7</v>
      </c>
      <c r="AF872" s="14" t="n">
        <f aca="false">IF($L872=2012,1,0)</f>
        <v>0</v>
      </c>
      <c r="AG872" s="14" t="n">
        <f aca="false">IF($L872=2013,1,0)</f>
        <v>0</v>
      </c>
      <c r="AH872" s="14" t="n">
        <f aca="false">IF($L872=2014,1,0)</f>
        <v>0</v>
      </c>
      <c r="AI872" s="14" t="n">
        <f aca="false">IF($L872=2015,1,0)</f>
        <v>0</v>
      </c>
      <c r="AJ872" s="14" t="n">
        <f aca="false">IF($L872=2016,1,0)</f>
        <v>0</v>
      </c>
      <c r="AK872" s="14" t="n">
        <f aca="false">IF($L872=2017,1,0)</f>
        <v>1</v>
      </c>
      <c r="AL872" s="14" t="n">
        <f aca="false">IF($H872="Beginner Level",1,0)</f>
        <v>0</v>
      </c>
      <c r="AM872" s="14" t="n">
        <f aca="false">IF($H872="Expert Level",1,0)</f>
        <v>0</v>
      </c>
      <c r="AN872" s="14" t="n">
        <f aca="false">IF($H872="Intermediate Level",1,0)</f>
        <v>0</v>
      </c>
    </row>
    <row r="873" customFormat="false" ht="46.25" hidden="false" customHeight="false" outlineLevel="0" collapsed="false">
      <c r="A873" s="14" t="n">
        <v>123566</v>
      </c>
      <c r="B873" s="14" t="s">
        <v>1788</v>
      </c>
      <c r="C873" s="14" t="s">
        <v>1789</v>
      </c>
      <c r="D873" s="14" t="n">
        <v>50</v>
      </c>
      <c r="E873" s="14" t="n">
        <v>1266</v>
      </c>
      <c r="F873" s="14" t="n">
        <v>90</v>
      </c>
      <c r="G873" s="14" t="n">
        <v>50</v>
      </c>
      <c r="H873" s="14" t="s">
        <v>71</v>
      </c>
      <c r="I873" s="14" t="n">
        <v>0.94</v>
      </c>
      <c r="J873" s="14" t="n">
        <v>3</v>
      </c>
      <c r="K873" s="14" t="s">
        <v>59</v>
      </c>
      <c r="L873" s="14" t="n">
        <v>2013</v>
      </c>
      <c r="M873" s="14" t="n">
        <v>7.14361760270412</v>
      </c>
      <c r="N873" s="14" t="n">
        <v>3.91222298543081</v>
      </c>
      <c r="P873" s="14" t="n">
        <f aca="false">D873</f>
        <v>50</v>
      </c>
      <c r="Q873" s="14" t="n">
        <f aca="false">G873</f>
        <v>50</v>
      </c>
      <c r="R873" s="14" t="n">
        <f aca="false">J873</f>
        <v>3</v>
      </c>
      <c r="S873" s="14" t="n">
        <f aca="false">IF($L873=2012,1,0)</f>
        <v>0</v>
      </c>
      <c r="T873" s="14" t="n">
        <f aca="false">IF($L873=2013,1,0)</f>
        <v>1</v>
      </c>
      <c r="U873" s="14" t="n">
        <f aca="false">IF($L873=2014,1,0)</f>
        <v>0</v>
      </c>
      <c r="V873" s="14" t="n">
        <f aca="false">IF($L873=2015,1,0)</f>
        <v>0</v>
      </c>
      <c r="W873" s="14" t="n">
        <f aca="false">IF($L873=2016,1,0)</f>
        <v>0</v>
      </c>
      <c r="X873" s="14" t="n">
        <f aca="false">IF($L873=2017,1,0)</f>
        <v>0</v>
      </c>
      <c r="Y873" s="14" t="n">
        <f aca="false">IF($H873="Beginner Level",1,0)</f>
        <v>0</v>
      </c>
      <c r="Z873" s="14" t="n">
        <f aca="false">IF($H873="Expert Level",1,0)</f>
        <v>0</v>
      </c>
      <c r="AA873" s="14" t="n">
        <f aca="false">IF($H873="Intermediate Level",1,0)</f>
        <v>1</v>
      </c>
      <c r="AC873" s="14" t="n">
        <f aca="false">N873</f>
        <v>3.91222298543081</v>
      </c>
      <c r="AD873" s="14" t="n">
        <f aca="false">G873</f>
        <v>50</v>
      </c>
      <c r="AE873" s="14" t="n">
        <f aca="false">J873</f>
        <v>3</v>
      </c>
      <c r="AF873" s="14" t="n">
        <f aca="false">IF($L873=2012,1,0)</f>
        <v>0</v>
      </c>
      <c r="AG873" s="14" t="n">
        <f aca="false">IF($L873=2013,1,0)</f>
        <v>1</v>
      </c>
      <c r="AH873" s="14" t="n">
        <f aca="false">IF($L873=2014,1,0)</f>
        <v>0</v>
      </c>
      <c r="AI873" s="14" t="n">
        <f aca="false">IF($L873=2015,1,0)</f>
        <v>0</v>
      </c>
      <c r="AJ873" s="14" t="n">
        <f aca="false">IF($L873=2016,1,0)</f>
        <v>0</v>
      </c>
      <c r="AK873" s="14" t="n">
        <f aca="false">IF($L873=2017,1,0)</f>
        <v>0</v>
      </c>
      <c r="AL873" s="14" t="n">
        <f aca="false">IF($H873="Beginner Level",1,0)</f>
        <v>0</v>
      </c>
      <c r="AM873" s="14" t="n">
        <f aca="false">IF($H873="Expert Level",1,0)</f>
        <v>0</v>
      </c>
      <c r="AN873" s="14" t="n">
        <f aca="false">IF($H873="Intermediate Level",1,0)</f>
        <v>1</v>
      </c>
    </row>
    <row r="874" customFormat="false" ht="57.45" hidden="false" customHeight="false" outlineLevel="0" collapsed="false">
      <c r="A874" s="14" t="n">
        <v>465210</v>
      </c>
      <c r="B874" s="14" t="s">
        <v>1790</v>
      </c>
      <c r="C874" s="14" t="s">
        <v>1791</v>
      </c>
      <c r="D874" s="14" t="n">
        <v>200</v>
      </c>
      <c r="E874" s="14" t="n">
        <v>1266</v>
      </c>
      <c r="F874" s="14" t="n">
        <v>16</v>
      </c>
      <c r="G874" s="14" t="n">
        <v>21</v>
      </c>
      <c r="H874" s="14" t="s">
        <v>62</v>
      </c>
      <c r="I874" s="14" t="n">
        <v>0.94</v>
      </c>
      <c r="J874" s="14" t="n">
        <v>2</v>
      </c>
      <c r="K874" s="14" t="s">
        <v>59</v>
      </c>
      <c r="L874" s="14" t="n">
        <v>2015</v>
      </c>
      <c r="M874" s="14" t="n">
        <v>7.14361760270412</v>
      </c>
      <c r="N874" s="14" t="n">
        <v>5.29836736529808</v>
      </c>
      <c r="P874" s="14" t="n">
        <f aca="false">D874</f>
        <v>200</v>
      </c>
      <c r="Q874" s="14" t="n">
        <f aca="false">G874</f>
        <v>21</v>
      </c>
      <c r="R874" s="14" t="n">
        <f aca="false">J874</f>
        <v>2</v>
      </c>
      <c r="S874" s="14" t="n">
        <f aca="false">IF($L874=2012,1,0)</f>
        <v>0</v>
      </c>
      <c r="T874" s="14" t="n">
        <f aca="false">IF($L874=2013,1,0)</f>
        <v>0</v>
      </c>
      <c r="U874" s="14" t="n">
        <f aca="false">IF($L874=2014,1,0)</f>
        <v>0</v>
      </c>
      <c r="V874" s="14" t="n">
        <f aca="false">IF($L874=2015,1,0)</f>
        <v>1</v>
      </c>
      <c r="W874" s="14" t="n">
        <f aca="false">IF($L874=2016,1,0)</f>
        <v>0</v>
      </c>
      <c r="X874" s="14" t="n">
        <f aca="false">IF($L874=2017,1,0)</f>
        <v>0</v>
      </c>
      <c r="Y874" s="14" t="n">
        <f aca="false">IF($H874="Beginner Level",1,0)</f>
        <v>0</v>
      </c>
      <c r="Z874" s="14" t="n">
        <f aca="false">IF($H874="Expert Level",1,0)</f>
        <v>0</v>
      </c>
      <c r="AA874" s="14" t="n">
        <f aca="false">IF($H874="Intermediate Level",1,0)</f>
        <v>0</v>
      </c>
      <c r="AC874" s="14" t="n">
        <f aca="false">N874</f>
        <v>5.29836736529808</v>
      </c>
      <c r="AD874" s="14" t="n">
        <f aca="false">G874</f>
        <v>21</v>
      </c>
      <c r="AE874" s="14" t="n">
        <f aca="false">J874</f>
        <v>2</v>
      </c>
      <c r="AF874" s="14" t="n">
        <f aca="false">IF($L874=2012,1,0)</f>
        <v>0</v>
      </c>
      <c r="AG874" s="14" t="n">
        <f aca="false">IF($L874=2013,1,0)</f>
        <v>0</v>
      </c>
      <c r="AH874" s="14" t="n">
        <f aca="false">IF($L874=2014,1,0)</f>
        <v>0</v>
      </c>
      <c r="AI874" s="14" t="n">
        <f aca="false">IF($L874=2015,1,0)</f>
        <v>1</v>
      </c>
      <c r="AJ874" s="14" t="n">
        <f aca="false">IF($L874=2016,1,0)</f>
        <v>0</v>
      </c>
      <c r="AK874" s="14" t="n">
        <f aca="false">IF($L874=2017,1,0)</f>
        <v>0</v>
      </c>
      <c r="AL874" s="14" t="n">
        <f aca="false">IF($H874="Beginner Level",1,0)</f>
        <v>0</v>
      </c>
      <c r="AM874" s="14" t="n">
        <f aca="false">IF($H874="Expert Level",1,0)</f>
        <v>0</v>
      </c>
      <c r="AN874" s="14" t="n">
        <f aca="false">IF($H874="Intermediate Level",1,0)</f>
        <v>0</v>
      </c>
    </row>
    <row r="875" customFormat="false" ht="57.45" hidden="false" customHeight="false" outlineLevel="0" collapsed="false">
      <c r="A875" s="14" t="n">
        <v>488220</v>
      </c>
      <c r="B875" s="14" t="s">
        <v>1792</v>
      </c>
      <c r="C875" s="14" t="s">
        <v>1793</v>
      </c>
      <c r="D875" s="14" t="n">
        <v>105</v>
      </c>
      <c r="E875" s="14" t="n">
        <v>1262</v>
      </c>
      <c r="F875" s="14" t="n">
        <v>36</v>
      </c>
      <c r="G875" s="14" t="n">
        <v>40</v>
      </c>
      <c r="H875" s="14" t="s">
        <v>71</v>
      </c>
      <c r="I875" s="14" t="n">
        <v>0.94</v>
      </c>
      <c r="J875" s="14" t="n">
        <v>2.5</v>
      </c>
      <c r="K875" s="14" t="s">
        <v>59</v>
      </c>
      <c r="L875" s="14" t="n">
        <v>2015</v>
      </c>
      <c r="M875" s="14" t="n">
        <v>7.14045304310116</v>
      </c>
      <c r="N875" s="14" t="n">
        <v>4.6540555837179</v>
      </c>
      <c r="P875" s="14" t="n">
        <f aca="false">D875</f>
        <v>105</v>
      </c>
      <c r="Q875" s="14" t="n">
        <f aca="false">G875</f>
        <v>40</v>
      </c>
      <c r="R875" s="14" t="n">
        <f aca="false">J875</f>
        <v>2.5</v>
      </c>
      <c r="S875" s="14" t="n">
        <f aca="false">IF($L875=2012,1,0)</f>
        <v>0</v>
      </c>
      <c r="T875" s="14" t="n">
        <f aca="false">IF($L875=2013,1,0)</f>
        <v>0</v>
      </c>
      <c r="U875" s="14" t="n">
        <f aca="false">IF($L875=2014,1,0)</f>
        <v>0</v>
      </c>
      <c r="V875" s="14" t="n">
        <f aca="false">IF($L875=2015,1,0)</f>
        <v>1</v>
      </c>
      <c r="W875" s="14" t="n">
        <f aca="false">IF($L875=2016,1,0)</f>
        <v>0</v>
      </c>
      <c r="X875" s="14" t="n">
        <f aca="false">IF($L875=2017,1,0)</f>
        <v>0</v>
      </c>
      <c r="Y875" s="14" t="n">
        <f aca="false">IF($H875="Beginner Level",1,0)</f>
        <v>0</v>
      </c>
      <c r="Z875" s="14" t="n">
        <f aca="false">IF($H875="Expert Level",1,0)</f>
        <v>0</v>
      </c>
      <c r="AA875" s="14" t="n">
        <f aca="false">IF($H875="Intermediate Level",1,0)</f>
        <v>1</v>
      </c>
      <c r="AC875" s="14" t="n">
        <f aca="false">N875</f>
        <v>4.6540555837179</v>
      </c>
      <c r="AD875" s="14" t="n">
        <f aca="false">G875</f>
        <v>40</v>
      </c>
      <c r="AE875" s="14" t="n">
        <f aca="false">J875</f>
        <v>2.5</v>
      </c>
      <c r="AF875" s="14" t="n">
        <f aca="false">IF($L875=2012,1,0)</f>
        <v>0</v>
      </c>
      <c r="AG875" s="14" t="n">
        <f aca="false">IF($L875=2013,1,0)</f>
        <v>0</v>
      </c>
      <c r="AH875" s="14" t="n">
        <f aca="false">IF($L875=2014,1,0)</f>
        <v>0</v>
      </c>
      <c r="AI875" s="14" t="n">
        <f aca="false">IF($L875=2015,1,0)</f>
        <v>1</v>
      </c>
      <c r="AJ875" s="14" t="n">
        <f aca="false">IF($L875=2016,1,0)</f>
        <v>0</v>
      </c>
      <c r="AK875" s="14" t="n">
        <f aca="false">IF($L875=2017,1,0)</f>
        <v>0</v>
      </c>
      <c r="AL875" s="14" t="n">
        <f aca="false">IF($H875="Beginner Level",1,0)</f>
        <v>0</v>
      </c>
      <c r="AM875" s="14" t="n">
        <f aca="false">IF($H875="Expert Level",1,0)</f>
        <v>0</v>
      </c>
      <c r="AN875" s="14" t="n">
        <f aca="false">IF($H875="Intermediate Level",1,0)</f>
        <v>1</v>
      </c>
    </row>
    <row r="876" customFormat="false" ht="57.45" hidden="false" customHeight="false" outlineLevel="0" collapsed="false">
      <c r="A876" s="14" t="n">
        <v>688968</v>
      </c>
      <c r="B876" s="14" t="s">
        <v>1794</v>
      </c>
      <c r="C876" s="14" t="s">
        <v>1795</v>
      </c>
      <c r="D876" s="14" t="n">
        <v>50</v>
      </c>
      <c r="E876" s="14" t="n">
        <v>1248</v>
      </c>
      <c r="F876" s="14" t="n">
        <v>171</v>
      </c>
      <c r="G876" s="14" t="n">
        <v>18</v>
      </c>
      <c r="H876" s="14" t="s">
        <v>62</v>
      </c>
      <c r="I876" s="14" t="n">
        <v>0.94</v>
      </c>
      <c r="J876" s="14" t="n">
        <v>1.5</v>
      </c>
      <c r="K876" s="14" t="s">
        <v>59</v>
      </c>
      <c r="L876" s="14" t="n">
        <v>2015</v>
      </c>
      <c r="M876" s="14" t="n">
        <v>7.12929754892937</v>
      </c>
      <c r="N876" s="14" t="n">
        <v>3.91222298543081</v>
      </c>
      <c r="P876" s="14" t="n">
        <f aca="false">D876</f>
        <v>50</v>
      </c>
      <c r="Q876" s="14" t="n">
        <f aca="false">G876</f>
        <v>18</v>
      </c>
      <c r="R876" s="14" t="n">
        <f aca="false">J876</f>
        <v>1.5</v>
      </c>
      <c r="S876" s="14" t="n">
        <f aca="false">IF($L876=2012,1,0)</f>
        <v>0</v>
      </c>
      <c r="T876" s="14" t="n">
        <f aca="false">IF($L876=2013,1,0)</f>
        <v>0</v>
      </c>
      <c r="U876" s="14" t="n">
        <f aca="false">IF($L876=2014,1,0)</f>
        <v>0</v>
      </c>
      <c r="V876" s="14" t="n">
        <f aca="false">IF($L876=2015,1,0)</f>
        <v>1</v>
      </c>
      <c r="W876" s="14" t="n">
        <f aca="false">IF($L876=2016,1,0)</f>
        <v>0</v>
      </c>
      <c r="X876" s="14" t="n">
        <f aca="false">IF($L876=2017,1,0)</f>
        <v>0</v>
      </c>
      <c r="Y876" s="14" t="n">
        <f aca="false">IF($H876="Beginner Level",1,0)</f>
        <v>0</v>
      </c>
      <c r="Z876" s="14" t="n">
        <f aca="false">IF($H876="Expert Level",1,0)</f>
        <v>0</v>
      </c>
      <c r="AA876" s="14" t="n">
        <f aca="false">IF($H876="Intermediate Level",1,0)</f>
        <v>0</v>
      </c>
      <c r="AC876" s="14" t="n">
        <f aca="false">N876</f>
        <v>3.91222298543081</v>
      </c>
      <c r="AD876" s="14" t="n">
        <f aca="false">G876</f>
        <v>18</v>
      </c>
      <c r="AE876" s="14" t="n">
        <f aca="false">J876</f>
        <v>1.5</v>
      </c>
      <c r="AF876" s="14" t="n">
        <f aca="false">IF($L876=2012,1,0)</f>
        <v>0</v>
      </c>
      <c r="AG876" s="14" t="n">
        <f aca="false">IF($L876=2013,1,0)</f>
        <v>0</v>
      </c>
      <c r="AH876" s="14" t="n">
        <f aca="false">IF($L876=2014,1,0)</f>
        <v>0</v>
      </c>
      <c r="AI876" s="14" t="n">
        <f aca="false">IF($L876=2015,1,0)</f>
        <v>1</v>
      </c>
      <c r="AJ876" s="14" t="n">
        <f aca="false">IF($L876=2016,1,0)</f>
        <v>0</v>
      </c>
      <c r="AK876" s="14" t="n">
        <f aca="false">IF($L876=2017,1,0)</f>
        <v>0</v>
      </c>
      <c r="AL876" s="14" t="n">
        <f aca="false">IF($H876="Beginner Level",1,0)</f>
        <v>0</v>
      </c>
      <c r="AM876" s="14" t="n">
        <f aca="false">IF($H876="Expert Level",1,0)</f>
        <v>0</v>
      </c>
      <c r="AN876" s="14" t="n">
        <f aca="false">IF($H876="Intermediate Level",1,0)</f>
        <v>0</v>
      </c>
    </row>
    <row r="877" customFormat="false" ht="35.05" hidden="false" customHeight="false" outlineLevel="0" collapsed="false">
      <c r="A877" s="14" t="n">
        <v>955138</v>
      </c>
      <c r="B877" s="14" t="s">
        <v>1796</v>
      </c>
      <c r="C877" s="14" t="s">
        <v>1797</v>
      </c>
      <c r="D877" s="14" t="n">
        <v>35</v>
      </c>
      <c r="E877" s="14" t="n">
        <v>1241</v>
      </c>
      <c r="F877" s="14" t="n">
        <v>23</v>
      </c>
      <c r="G877" s="14" t="n">
        <v>9</v>
      </c>
      <c r="H877" s="14" t="s">
        <v>62</v>
      </c>
      <c r="I877" s="14" t="n">
        <v>0.94</v>
      </c>
      <c r="J877" s="14" t="n">
        <v>0.56666667</v>
      </c>
      <c r="K877" s="14" t="s">
        <v>59</v>
      </c>
      <c r="L877" s="14" t="n">
        <v>2016</v>
      </c>
      <c r="M877" s="14" t="n">
        <v>7.12367278520461</v>
      </c>
      <c r="N877" s="14" t="n">
        <v>3.55563373496657</v>
      </c>
      <c r="P877" s="14" t="n">
        <f aca="false">D877</f>
        <v>35</v>
      </c>
      <c r="Q877" s="14" t="n">
        <f aca="false">G877</f>
        <v>9</v>
      </c>
      <c r="R877" s="14" t="n">
        <f aca="false">J877</f>
        <v>0.56666667</v>
      </c>
      <c r="S877" s="14" t="n">
        <f aca="false">IF($L877=2012,1,0)</f>
        <v>0</v>
      </c>
      <c r="T877" s="14" t="n">
        <f aca="false">IF($L877=2013,1,0)</f>
        <v>0</v>
      </c>
      <c r="U877" s="14" t="n">
        <f aca="false">IF($L877=2014,1,0)</f>
        <v>0</v>
      </c>
      <c r="V877" s="14" t="n">
        <f aca="false">IF($L877=2015,1,0)</f>
        <v>0</v>
      </c>
      <c r="W877" s="14" t="n">
        <f aca="false">IF($L877=2016,1,0)</f>
        <v>1</v>
      </c>
      <c r="X877" s="14" t="n">
        <f aca="false">IF($L877=2017,1,0)</f>
        <v>0</v>
      </c>
      <c r="Y877" s="14" t="n">
        <f aca="false">IF($H877="Beginner Level",1,0)</f>
        <v>0</v>
      </c>
      <c r="Z877" s="14" t="n">
        <f aca="false">IF($H877="Expert Level",1,0)</f>
        <v>0</v>
      </c>
      <c r="AA877" s="14" t="n">
        <f aca="false">IF($H877="Intermediate Level",1,0)</f>
        <v>0</v>
      </c>
      <c r="AC877" s="14" t="n">
        <f aca="false">N877</f>
        <v>3.55563373496657</v>
      </c>
      <c r="AD877" s="14" t="n">
        <f aca="false">G877</f>
        <v>9</v>
      </c>
      <c r="AE877" s="14" t="n">
        <f aca="false">J877</f>
        <v>0.56666667</v>
      </c>
      <c r="AF877" s="14" t="n">
        <f aca="false">IF($L877=2012,1,0)</f>
        <v>0</v>
      </c>
      <c r="AG877" s="14" t="n">
        <f aca="false">IF($L877=2013,1,0)</f>
        <v>0</v>
      </c>
      <c r="AH877" s="14" t="n">
        <f aca="false">IF($L877=2014,1,0)</f>
        <v>0</v>
      </c>
      <c r="AI877" s="14" t="n">
        <f aca="false">IF($L877=2015,1,0)</f>
        <v>0</v>
      </c>
      <c r="AJ877" s="14" t="n">
        <f aca="false">IF($L877=2016,1,0)</f>
        <v>1</v>
      </c>
      <c r="AK877" s="14" t="n">
        <f aca="false">IF($L877=2017,1,0)</f>
        <v>0</v>
      </c>
      <c r="AL877" s="14" t="n">
        <f aca="false">IF($H877="Beginner Level",1,0)</f>
        <v>0</v>
      </c>
      <c r="AM877" s="14" t="n">
        <f aca="false">IF($H877="Expert Level",1,0)</f>
        <v>0</v>
      </c>
      <c r="AN877" s="14" t="n">
        <f aca="false">IF($H877="Intermediate Level",1,0)</f>
        <v>0</v>
      </c>
    </row>
    <row r="878" customFormat="false" ht="57.45" hidden="false" customHeight="false" outlineLevel="0" collapsed="false">
      <c r="A878" s="14" t="n">
        <v>957362</v>
      </c>
      <c r="B878" s="14" t="s">
        <v>1798</v>
      </c>
      <c r="C878" s="14" t="s">
        <v>1799</v>
      </c>
      <c r="D878" s="14" t="n">
        <v>45</v>
      </c>
      <c r="E878" s="14" t="n">
        <v>1237</v>
      </c>
      <c r="F878" s="14" t="n">
        <v>16</v>
      </c>
      <c r="G878" s="14" t="n">
        <v>14</v>
      </c>
      <c r="H878" s="14" t="s">
        <v>71</v>
      </c>
      <c r="I878" s="14" t="n">
        <v>0.94</v>
      </c>
      <c r="J878" s="14" t="n">
        <v>1</v>
      </c>
      <c r="K878" s="14" t="s">
        <v>59</v>
      </c>
      <c r="L878" s="14" t="n">
        <v>2016</v>
      </c>
      <c r="M878" s="14" t="n">
        <v>7.12044437239249</v>
      </c>
      <c r="N878" s="14" t="n">
        <v>3.80688468730484</v>
      </c>
      <c r="P878" s="14" t="n">
        <f aca="false">D878</f>
        <v>45</v>
      </c>
      <c r="Q878" s="14" t="n">
        <f aca="false">G878</f>
        <v>14</v>
      </c>
      <c r="R878" s="14" t="n">
        <f aca="false">J878</f>
        <v>1</v>
      </c>
      <c r="S878" s="14" t="n">
        <f aca="false">IF($L878=2012,1,0)</f>
        <v>0</v>
      </c>
      <c r="T878" s="14" t="n">
        <f aca="false">IF($L878=2013,1,0)</f>
        <v>0</v>
      </c>
      <c r="U878" s="14" t="n">
        <f aca="false">IF($L878=2014,1,0)</f>
        <v>0</v>
      </c>
      <c r="V878" s="14" t="n">
        <f aca="false">IF($L878=2015,1,0)</f>
        <v>0</v>
      </c>
      <c r="W878" s="14" t="n">
        <f aca="false">IF($L878=2016,1,0)</f>
        <v>1</v>
      </c>
      <c r="X878" s="14" t="n">
        <f aca="false">IF($L878=2017,1,0)</f>
        <v>0</v>
      </c>
      <c r="Y878" s="14" t="n">
        <f aca="false">IF($H878="Beginner Level",1,0)</f>
        <v>0</v>
      </c>
      <c r="Z878" s="14" t="n">
        <f aca="false">IF($H878="Expert Level",1,0)</f>
        <v>0</v>
      </c>
      <c r="AA878" s="14" t="n">
        <f aca="false">IF($H878="Intermediate Level",1,0)</f>
        <v>1</v>
      </c>
      <c r="AC878" s="14" t="n">
        <f aca="false">N878</f>
        <v>3.80688468730484</v>
      </c>
      <c r="AD878" s="14" t="n">
        <f aca="false">G878</f>
        <v>14</v>
      </c>
      <c r="AE878" s="14" t="n">
        <f aca="false">J878</f>
        <v>1</v>
      </c>
      <c r="AF878" s="14" t="n">
        <f aca="false">IF($L878=2012,1,0)</f>
        <v>0</v>
      </c>
      <c r="AG878" s="14" t="n">
        <f aca="false">IF($L878=2013,1,0)</f>
        <v>0</v>
      </c>
      <c r="AH878" s="14" t="n">
        <f aca="false">IF($L878=2014,1,0)</f>
        <v>0</v>
      </c>
      <c r="AI878" s="14" t="n">
        <f aca="false">IF($L878=2015,1,0)</f>
        <v>0</v>
      </c>
      <c r="AJ878" s="14" t="n">
        <f aca="false">IF($L878=2016,1,0)</f>
        <v>1</v>
      </c>
      <c r="AK878" s="14" t="n">
        <f aca="false">IF($L878=2017,1,0)</f>
        <v>0</v>
      </c>
      <c r="AL878" s="14" t="n">
        <f aca="false">IF($H878="Beginner Level",1,0)</f>
        <v>0</v>
      </c>
      <c r="AM878" s="14" t="n">
        <f aca="false">IF($H878="Expert Level",1,0)</f>
        <v>0</v>
      </c>
      <c r="AN878" s="14" t="n">
        <f aca="false">IF($H878="Intermediate Level",1,0)</f>
        <v>1</v>
      </c>
    </row>
    <row r="879" customFormat="false" ht="79.85" hidden="false" customHeight="false" outlineLevel="0" collapsed="false">
      <c r="A879" s="14" t="n">
        <v>520302</v>
      </c>
      <c r="B879" s="14" t="s">
        <v>1800</v>
      </c>
      <c r="C879" s="14" t="s">
        <v>1801</v>
      </c>
      <c r="D879" s="14" t="n">
        <v>80</v>
      </c>
      <c r="E879" s="14" t="n">
        <v>1236</v>
      </c>
      <c r="F879" s="14" t="n">
        <v>18</v>
      </c>
      <c r="G879" s="14" t="n">
        <v>14</v>
      </c>
      <c r="H879" s="14" t="s">
        <v>71</v>
      </c>
      <c r="I879" s="14" t="n">
        <v>0.94</v>
      </c>
      <c r="J879" s="14" t="n">
        <v>0.5</v>
      </c>
      <c r="K879" s="14" t="s">
        <v>59</v>
      </c>
      <c r="L879" s="14" t="n">
        <v>2015</v>
      </c>
      <c r="M879" s="14" t="n">
        <v>7.11963563801764</v>
      </c>
      <c r="N879" s="14" t="n">
        <v>4.38215162686203</v>
      </c>
      <c r="P879" s="14" t="n">
        <f aca="false">D879</f>
        <v>80</v>
      </c>
      <c r="Q879" s="14" t="n">
        <f aca="false">G879</f>
        <v>14</v>
      </c>
      <c r="R879" s="14" t="n">
        <f aca="false">J879</f>
        <v>0.5</v>
      </c>
      <c r="S879" s="14" t="n">
        <f aca="false">IF($L879=2012,1,0)</f>
        <v>0</v>
      </c>
      <c r="T879" s="14" t="n">
        <f aca="false">IF($L879=2013,1,0)</f>
        <v>0</v>
      </c>
      <c r="U879" s="14" t="n">
        <f aca="false">IF($L879=2014,1,0)</f>
        <v>0</v>
      </c>
      <c r="V879" s="14" t="n">
        <f aca="false">IF($L879=2015,1,0)</f>
        <v>1</v>
      </c>
      <c r="W879" s="14" t="n">
        <f aca="false">IF($L879=2016,1,0)</f>
        <v>0</v>
      </c>
      <c r="X879" s="14" t="n">
        <f aca="false">IF($L879=2017,1,0)</f>
        <v>0</v>
      </c>
      <c r="Y879" s="14" t="n">
        <f aca="false">IF($H879="Beginner Level",1,0)</f>
        <v>0</v>
      </c>
      <c r="Z879" s="14" t="n">
        <f aca="false">IF($H879="Expert Level",1,0)</f>
        <v>0</v>
      </c>
      <c r="AA879" s="14" t="n">
        <f aca="false">IF($H879="Intermediate Level",1,0)</f>
        <v>1</v>
      </c>
      <c r="AC879" s="14" t="n">
        <f aca="false">N879</f>
        <v>4.38215162686203</v>
      </c>
      <c r="AD879" s="14" t="n">
        <f aca="false">G879</f>
        <v>14</v>
      </c>
      <c r="AE879" s="14" t="n">
        <f aca="false">J879</f>
        <v>0.5</v>
      </c>
      <c r="AF879" s="14" t="n">
        <f aca="false">IF($L879=2012,1,0)</f>
        <v>0</v>
      </c>
      <c r="AG879" s="14" t="n">
        <f aca="false">IF($L879=2013,1,0)</f>
        <v>0</v>
      </c>
      <c r="AH879" s="14" t="n">
        <f aca="false">IF($L879=2014,1,0)</f>
        <v>0</v>
      </c>
      <c r="AI879" s="14" t="n">
        <f aca="false">IF($L879=2015,1,0)</f>
        <v>1</v>
      </c>
      <c r="AJ879" s="14" t="n">
        <f aca="false">IF($L879=2016,1,0)</f>
        <v>0</v>
      </c>
      <c r="AK879" s="14" t="n">
        <f aca="false">IF($L879=2017,1,0)</f>
        <v>0</v>
      </c>
      <c r="AL879" s="14" t="n">
        <f aca="false">IF($H879="Beginner Level",1,0)</f>
        <v>0</v>
      </c>
      <c r="AM879" s="14" t="n">
        <f aca="false">IF($H879="Expert Level",1,0)</f>
        <v>0</v>
      </c>
      <c r="AN879" s="14" t="n">
        <f aca="false">IF($H879="Intermediate Level",1,0)</f>
        <v>1</v>
      </c>
    </row>
    <row r="880" customFormat="false" ht="79.85" hidden="false" customHeight="false" outlineLevel="0" collapsed="false">
      <c r="A880" s="14" t="n">
        <v>709460</v>
      </c>
      <c r="B880" s="14" t="s">
        <v>1802</v>
      </c>
      <c r="C880" s="14" t="s">
        <v>1803</v>
      </c>
      <c r="D880" s="14" t="n">
        <v>20</v>
      </c>
      <c r="E880" s="14" t="n">
        <v>1235</v>
      </c>
      <c r="F880" s="14" t="n">
        <v>25</v>
      </c>
      <c r="G880" s="14" t="n">
        <v>7</v>
      </c>
      <c r="H880" s="14" t="s">
        <v>52</v>
      </c>
      <c r="I880" s="14" t="n">
        <v>0.94</v>
      </c>
      <c r="J880" s="14" t="n">
        <v>0.63333333</v>
      </c>
      <c r="K880" s="14" t="s">
        <v>59</v>
      </c>
      <c r="L880" s="14" t="n">
        <v>2016</v>
      </c>
      <c r="M880" s="14" t="n">
        <v>7.11882624906208</v>
      </c>
      <c r="N880" s="14" t="n">
        <v>2.99623214859564</v>
      </c>
      <c r="P880" s="14" t="n">
        <f aca="false">D880</f>
        <v>20</v>
      </c>
      <c r="Q880" s="14" t="n">
        <f aca="false">G880</f>
        <v>7</v>
      </c>
      <c r="R880" s="14" t="n">
        <f aca="false">J880</f>
        <v>0.63333333</v>
      </c>
      <c r="S880" s="14" t="n">
        <f aca="false">IF($L880=2012,1,0)</f>
        <v>0</v>
      </c>
      <c r="T880" s="14" t="n">
        <f aca="false">IF($L880=2013,1,0)</f>
        <v>0</v>
      </c>
      <c r="U880" s="14" t="n">
        <f aca="false">IF($L880=2014,1,0)</f>
        <v>0</v>
      </c>
      <c r="V880" s="14" t="n">
        <f aca="false">IF($L880=2015,1,0)</f>
        <v>0</v>
      </c>
      <c r="W880" s="14" t="n">
        <f aca="false">IF($L880=2016,1,0)</f>
        <v>1</v>
      </c>
      <c r="X880" s="14" t="n">
        <f aca="false">IF($L880=2017,1,0)</f>
        <v>0</v>
      </c>
      <c r="Y880" s="14" t="n">
        <f aca="false">IF($H880="Beginner Level",1,0)</f>
        <v>1</v>
      </c>
      <c r="Z880" s="14" t="n">
        <f aca="false">IF($H880="Expert Level",1,0)</f>
        <v>0</v>
      </c>
      <c r="AA880" s="14" t="n">
        <f aca="false">IF($H880="Intermediate Level",1,0)</f>
        <v>0</v>
      </c>
      <c r="AC880" s="14" t="n">
        <f aca="false">N880</f>
        <v>2.99623214859564</v>
      </c>
      <c r="AD880" s="14" t="n">
        <f aca="false">G880</f>
        <v>7</v>
      </c>
      <c r="AE880" s="14" t="n">
        <f aca="false">J880</f>
        <v>0.63333333</v>
      </c>
      <c r="AF880" s="14" t="n">
        <f aca="false">IF($L880=2012,1,0)</f>
        <v>0</v>
      </c>
      <c r="AG880" s="14" t="n">
        <f aca="false">IF($L880=2013,1,0)</f>
        <v>0</v>
      </c>
      <c r="AH880" s="14" t="n">
        <f aca="false">IF($L880=2014,1,0)</f>
        <v>0</v>
      </c>
      <c r="AI880" s="14" t="n">
        <f aca="false">IF($L880=2015,1,0)</f>
        <v>0</v>
      </c>
      <c r="AJ880" s="14" t="n">
        <f aca="false">IF($L880=2016,1,0)</f>
        <v>1</v>
      </c>
      <c r="AK880" s="14" t="n">
        <f aca="false">IF($L880=2017,1,0)</f>
        <v>0</v>
      </c>
      <c r="AL880" s="14" t="n">
        <f aca="false">IF($H880="Beginner Level",1,0)</f>
        <v>1</v>
      </c>
      <c r="AM880" s="14" t="n">
        <f aca="false">IF($H880="Expert Level",1,0)</f>
        <v>0</v>
      </c>
      <c r="AN880" s="14" t="n">
        <f aca="false">IF($H880="Intermediate Level",1,0)</f>
        <v>0</v>
      </c>
    </row>
    <row r="881" customFormat="false" ht="57.45" hidden="false" customHeight="false" outlineLevel="0" collapsed="false">
      <c r="A881" s="14" t="n">
        <v>986406</v>
      </c>
      <c r="B881" s="14" t="s">
        <v>1804</v>
      </c>
      <c r="C881" s="14" t="s">
        <v>1805</v>
      </c>
      <c r="D881" s="14" t="n">
        <v>150</v>
      </c>
      <c r="E881" s="14" t="n">
        <v>1229</v>
      </c>
      <c r="F881" s="14" t="n">
        <v>139</v>
      </c>
      <c r="G881" s="14" t="n">
        <v>108</v>
      </c>
      <c r="H881" s="14" t="s">
        <v>52</v>
      </c>
      <c r="I881" s="14" t="n">
        <v>0.94</v>
      </c>
      <c r="J881" s="14" t="n">
        <v>7.5</v>
      </c>
      <c r="K881" s="14" t="s">
        <v>59</v>
      </c>
      <c r="L881" s="14" t="n">
        <v>2016</v>
      </c>
      <c r="M881" s="14" t="n">
        <v>7.11395610956603</v>
      </c>
      <c r="N881" s="14" t="n">
        <v>5.0107019585408</v>
      </c>
      <c r="P881" s="14" t="n">
        <f aca="false">D881</f>
        <v>150</v>
      </c>
      <c r="Q881" s="14" t="n">
        <f aca="false">G881</f>
        <v>108</v>
      </c>
      <c r="R881" s="14" t="n">
        <f aca="false">J881</f>
        <v>7.5</v>
      </c>
      <c r="S881" s="14" t="n">
        <f aca="false">IF($L881=2012,1,0)</f>
        <v>0</v>
      </c>
      <c r="T881" s="14" t="n">
        <f aca="false">IF($L881=2013,1,0)</f>
        <v>0</v>
      </c>
      <c r="U881" s="14" t="n">
        <f aca="false">IF($L881=2014,1,0)</f>
        <v>0</v>
      </c>
      <c r="V881" s="14" t="n">
        <f aca="false">IF($L881=2015,1,0)</f>
        <v>0</v>
      </c>
      <c r="W881" s="14" t="n">
        <f aca="false">IF($L881=2016,1,0)</f>
        <v>1</v>
      </c>
      <c r="X881" s="14" t="n">
        <f aca="false">IF($L881=2017,1,0)</f>
        <v>0</v>
      </c>
      <c r="Y881" s="14" t="n">
        <f aca="false">IF($H881="Beginner Level",1,0)</f>
        <v>1</v>
      </c>
      <c r="Z881" s="14" t="n">
        <f aca="false">IF($H881="Expert Level",1,0)</f>
        <v>0</v>
      </c>
      <c r="AA881" s="14" t="n">
        <f aca="false">IF($H881="Intermediate Level",1,0)</f>
        <v>0</v>
      </c>
      <c r="AC881" s="14" t="n">
        <f aca="false">N881</f>
        <v>5.0107019585408</v>
      </c>
      <c r="AD881" s="14" t="n">
        <f aca="false">G881</f>
        <v>108</v>
      </c>
      <c r="AE881" s="14" t="n">
        <f aca="false">J881</f>
        <v>7.5</v>
      </c>
      <c r="AF881" s="14" t="n">
        <f aca="false">IF($L881=2012,1,0)</f>
        <v>0</v>
      </c>
      <c r="AG881" s="14" t="n">
        <f aca="false">IF($L881=2013,1,0)</f>
        <v>0</v>
      </c>
      <c r="AH881" s="14" t="n">
        <f aca="false">IF($L881=2014,1,0)</f>
        <v>0</v>
      </c>
      <c r="AI881" s="14" t="n">
        <f aca="false">IF($L881=2015,1,0)</f>
        <v>0</v>
      </c>
      <c r="AJ881" s="14" t="n">
        <f aca="false">IF($L881=2016,1,0)</f>
        <v>1</v>
      </c>
      <c r="AK881" s="14" t="n">
        <f aca="false">IF($L881=2017,1,0)</f>
        <v>0</v>
      </c>
      <c r="AL881" s="14" t="n">
        <f aca="false">IF($H881="Beginner Level",1,0)</f>
        <v>1</v>
      </c>
      <c r="AM881" s="14" t="n">
        <f aca="false">IF($H881="Expert Level",1,0)</f>
        <v>0</v>
      </c>
      <c r="AN881" s="14" t="n">
        <f aca="false">IF($H881="Intermediate Level",1,0)</f>
        <v>0</v>
      </c>
    </row>
    <row r="882" customFormat="false" ht="68.65" hidden="false" customHeight="false" outlineLevel="0" collapsed="false">
      <c r="A882" s="14" t="n">
        <v>520308</v>
      </c>
      <c r="B882" s="14" t="s">
        <v>1806</v>
      </c>
      <c r="C882" s="14" t="s">
        <v>1807</v>
      </c>
      <c r="D882" s="14" t="n">
        <v>200</v>
      </c>
      <c r="E882" s="14" t="n">
        <v>1220</v>
      </c>
      <c r="F882" s="14" t="n">
        <v>16</v>
      </c>
      <c r="G882" s="14" t="n">
        <v>16</v>
      </c>
      <c r="H882" s="14" t="s">
        <v>52</v>
      </c>
      <c r="I882" s="14" t="n">
        <v>0.94</v>
      </c>
      <c r="J882" s="14" t="n">
        <v>0.56666667</v>
      </c>
      <c r="K882" s="14" t="s">
        <v>59</v>
      </c>
      <c r="L882" s="14" t="n">
        <v>2015</v>
      </c>
      <c r="M882" s="14" t="n">
        <v>7.1066061377273</v>
      </c>
      <c r="N882" s="14" t="n">
        <v>5.29836736529808</v>
      </c>
      <c r="P882" s="14" t="n">
        <f aca="false">D882</f>
        <v>200</v>
      </c>
      <c r="Q882" s="14" t="n">
        <f aca="false">G882</f>
        <v>16</v>
      </c>
      <c r="R882" s="14" t="n">
        <f aca="false">J882</f>
        <v>0.56666667</v>
      </c>
      <c r="S882" s="14" t="n">
        <f aca="false">IF($L882=2012,1,0)</f>
        <v>0</v>
      </c>
      <c r="T882" s="14" t="n">
        <f aca="false">IF($L882=2013,1,0)</f>
        <v>0</v>
      </c>
      <c r="U882" s="14" t="n">
        <f aca="false">IF($L882=2014,1,0)</f>
        <v>0</v>
      </c>
      <c r="V882" s="14" t="n">
        <f aca="false">IF($L882=2015,1,0)</f>
        <v>1</v>
      </c>
      <c r="W882" s="14" t="n">
        <f aca="false">IF($L882=2016,1,0)</f>
        <v>0</v>
      </c>
      <c r="X882" s="14" t="n">
        <f aca="false">IF($L882=2017,1,0)</f>
        <v>0</v>
      </c>
      <c r="Y882" s="14" t="n">
        <f aca="false">IF($H882="Beginner Level",1,0)</f>
        <v>1</v>
      </c>
      <c r="Z882" s="14" t="n">
        <f aca="false">IF($H882="Expert Level",1,0)</f>
        <v>0</v>
      </c>
      <c r="AA882" s="14" t="n">
        <f aca="false">IF($H882="Intermediate Level",1,0)</f>
        <v>0</v>
      </c>
      <c r="AC882" s="14" t="n">
        <f aca="false">N882</f>
        <v>5.29836736529808</v>
      </c>
      <c r="AD882" s="14" t="n">
        <f aca="false">G882</f>
        <v>16</v>
      </c>
      <c r="AE882" s="14" t="n">
        <f aca="false">J882</f>
        <v>0.56666667</v>
      </c>
      <c r="AF882" s="14" t="n">
        <f aca="false">IF($L882=2012,1,0)</f>
        <v>0</v>
      </c>
      <c r="AG882" s="14" t="n">
        <f aca="false">IF($L882=2013,1,0)</f>
        <v>0</v>
      </c>
      <c r="AH882" s="14" t="n">
        <f aca="false">IF($L882=2014,1,0)</f>
        <v>0</v>
      </c>
      <c r="AI882" s="14" t="n">
        <f aca="false">IF($L882=2015,1,0)</f>
        <v>1</v>
      </c>
      <c r="AJ882" s="14" t="n">
        <f aca="false">IF($L882=2016,1,0)</f>
        <v>0</v>
      </c>
      <c r="AK882" s="14" t="n">
        <f aca="false">IF($L882=2017,1,0)</f>
        <v>0</v>
      </c>
      <c r="AL882" s="14" t="n">
        <f aca="false">IF($H882="Beginner Level",1,0)</f>
        <v>1</v>
      </c>
      <c r="AM882" s="14" t="n">
        <f aca="false">IF($H882="Expert Level",1,0)</f>
        <v>0</v>
      </c>
      <c r="AN882" s="14" t="n">
        <f aca="false">IF($H882="Intermediate Level",1,0)</f>
        <v>0</v>
      </c>
    </row>
    <row r="883" customFormat="false" ht="79.85" hidden="false" customHeight="false" outlineLevel="0" collapsed="false">
      <c r="A883" s="14" t="n">
        <v>862428</v>
      </c>
      <c r="B883" s="14" t="s">
        <v>1808</v>
      </c>
      <c r="C883" s="14" t="s">
        <v>1809</v>
      </c>
      <c r="D883" s="14" t="n">
        <v>50</v>
      </c>
      <c r="E883" s="14" t="n">
        <v>1216</v>
      </c>
      <c r="F883" s="14" t="n">
        <v>36</v>
      </c>
      <c r="G883" s="14" t="n">
        <v>28</v>
      </c>
      <c r="H883" s="14" t="s">
        <v>62</v>
      </c>
      <c r="I883" s="14" t="n">
        <v>0.94</v>
      </c>
      <c r="J883" s="14" t="n">
        <v>3</v>
      </c>
      <c r="K883" s="14" t="s">
        <v>59</v>
      </c>
      <c r="L883" s="14" t="n">
        <v>2016</v>
      </c>
      <c r="M883" s="14" t="n">
        <v>7.10332206252611</v>
      </c>
      <c r="N883" s="14" t="n">
        <v>3.91222298543081</v>
      </c>
      <c r="P883" s="14" t="n">
        <f aca="false">D883</f>
        <v>50</v>
      </c>
      <c r="Q883" s="14" t="n">
        <f aca="false">G883</f>
        <v>28</v>
      </c>
      <c r="R883" s="14" t="n">
        <f aca="false">J883</f>
        <v>3</v>
      </c>
      <c r="S883" s="14" t="n">
        <f aca="false">IF($L883=2012,1,0)</f>
        <v>0</v>
      </c>
      <c r="T883" s="14" t="n">
        <f aca="false">IF($L883=2013,1,0)</f>
        <v>0</v>
      </c>
      <c r="U883" s="14" t="n">
        <f aca="false">IF($L883=2014,1,0)</f>
        <v>0</v>
      </c>
      <c r="V883" s="14" t="n">
        <f aca="false">IF($L883=2015,1,0)</f>
        <v>0</v>
      </c>
      <c r="W883" s="14" t="n">
        <f aca="false">IF($L883=2016,1,0)</f>
        <v>1</v>
      </c>
      <c r="X883" s="14" t="n">
        <f aca="false">IF($L883=2017,1,0)</f>
        <v>0</v>
      </c>
      <c r="Y883" s="14" t="n">
        <f aca="false">IF($H883="Beginner Level",1,0)</f>
        <v>0</v>
      </c>
      <c r="Z883" s="14" t="n">
        <f aca="false">IF($H883="Expert Level",1,0)</f>
        <v>0</v>
      </c>
      <c r="AA883" s="14" t="n">
        <f aca="false">IF($H883="Intermediate Level",1,0)</f>
        <v>0</v>
      </c>
      <c r="AC883" s="14" t="n">
        <f aca="false">N883</f>
        <v>3.91222298543081</v>
      </c>
      <c r="AD883" s="14" t="n">
        <f aca="false">G883</f>
        <v>28</v>
      </c>
      <c r="AE883" s="14" t="n">
        <f aca="false">J883</f>
        <v>3</v>
      </c>
      <c r="AF883" s="14" t="n">
        <f aca="false">IF($L883=2012,1,0)</f>
        <v>0</v>
      </c>
      <c r="AG883" s="14" t="n">
        <f aca="false">IF($L883=2013,1,0)</f>
        <v>0</v>
      </c>
      <c r="AH883" s="14" t="n">
        <f aca="false">IF($L883=2014,1,0)</f>
        <v>0</v>
      </c>
      <c r="AI883" s="14" t="n">
        <f aca="false">IF($L883=2015,1,0)</f>
        <v>0</v>
      </c>
      <c r="AJ883" s="14" t="n">
        <f aca="false">IF($L883=2016,1,0)</f>
        <v>1</v>
      </c>
      <c r="AK883" s="14" t="n">
        <f aca="false">IF($L883=2017,1,0)</f>
        <v>0</v>
      </c>
      <c r="AL883" s="14" t="n">
        <f aca="false">IF($H883="Beginner Level",1,0)</f>
        <v>0</v>
      </c>
      <c r="AM883" s="14" t="n">
        <f aca="false">IF($H883="Expert Level",1,0)</f>
        <v>0</v>
      </c>
      <c r="AN883" s="14" t="n">
        <f aca="false">IF($H883="Intermediate Level",1,0)</f>
        <v>0</v>
      </c>
    </row>
    <row r="884" customFormat="false" ht="68.65" hidden="false" customHeight="false" outlineLevel="0" collapsed="false">
      <c r="A884" s="14" t="n">
        <v>50528</v>
      </c>
      <c r="B884" s="14" t="s">
        <v>1810</v>
      </c>
      <c r="C884" s="14" t="s">
        <v>1811</v>
      </c>
      <c r="D884" s="14" t="n">
        <v>200</v>
      </c>
      <c r="E884" s="14" t="n">
        <v>1215</v>
      </c>
      <c r="F884" s="14" t="n">
        <v>58</v>
      </c>
      <c r="G884" s="14" t="n">
        <v>33</v>
      </c>
      <c r="H884" s="14" t="s">
        <v>62</v>
      </c>
      <c r="I884" s="14" t="n">
        <v>0.94</v>
      </c>
      <c r="J884" s="14" t="n">
        <v>2.5</v>
      </c>
      <c r="K884" s="14" t="s">
        <v>59</v>
      </c>
      <c r="L884" s="14" t="n">
        <v>2013</v>
      </c>
      <c r="M884" s="14" t="n">
        <v>7.10249935577465</v>
      </c>
      <c r="N884" s="14" t="n">
        <v>5.29836736529808</v>
      </c>
      <c r="P884" s="14" t="n">
        <f aca="false">D884</f>
        <v>200</v>
      </c>
      <c r="Q884" s="14" t="n">
        <f aca="false">G884</f>
        <v>33</v>
      </c>
      <c r="R884" s="14" t="n">
        <f aca="false">J884</f>
        <v>2.5</v>
      </c>
      <c r="S884" s="14" t="n">
        <f aca="false">IF($L884=2012,1,0)</f>
        <v>0</v>
      </c>
      <c r="T884" s="14" t="n">
        <f aca="false">IF($L884=2013,1,0)</f>
        <v>1</v>
      </c>
      <c r="U884" s="14" t="n">
        <f aca="false">IF($L884=2014,1,0)</f>
        <v>0</v>
      </c>
      <c r="V884" s="14" t="n">
        <f aca="false">IF($L884=2015,1,0)</f>
        <v>0</v>
      </c>
      <c r="W884" s="14" t="n">
        <f aca="false">IF($L884=2016,1,0)</f>
        <v>0</v>
      </c>
      <c r="X884" s="14" t="n">
        <f aca="false">IF($L884=2017,1,0)</f>
        <v>0</v>
      </c>
      <c r="Y884" s="14" t="n">
        <f aca="false">IF($H884="Beginner Level",1,0)</f>
        <v>0</v>
      </c>
      <c r="Z884" s="14" t="n">
        <f aca="false">IF($H884="Expert Level",1,0)</f>
        <v>0</v>
      </c>
      <c r="AA884" s="14" t="n">
        <f aca="false">IF($H884="Intermediate Level",1,0)</f>
        <v>0</v>
      </c>
      <c r="AC884" s="14" t="n">
        <f aca="false">N884</f>
        <v>5.29836736529808</v>
      </c>
      <c r="AD884" s="14" t="n">
        <f aca="false">G884</f>
        <v>33</v>
      </c>
      <c r="AE884" s="14" t="n">
        <f aca="false">J884</f>
        <v>2.5</v>
      </c>
      <c r="AF884" s="14" t="n">
        <f aca="false">IF($L884=2012,1,0)</f>
        <v>0</v>
      </c>
      <c r="AG884" s="14" t="n">
        <f aca="false">IF($L884=2013,1,0)</f>
        <v>1</v>
      </c>
      <c r="AH884" s="14" t="n">
        <f aca="false">IF($L884=2014,1,0)</f>
        <v>0</v>
      </c>
      <c r="AI884" s="14" t="n">
        <f aca="false">IF($L884=2015,1,0)</f>
        <v>0</v>
      </c>
      <c r="AJ884" s="14" t="n">
        <f aca="false">IF($L884=2016,1,0)</f>
        <v>0</v>
      </c>
      <c r="AK884" s="14" t="n">
        <f aca="false">IF($L884=2017,1,0)</f>
        <v>0</v>
      </c>
      <c r="AL884" s="14" t="n">
        <f aca="false">IF($H884="Beginner Level",1,0)</f>
        <v>0</v>
      </c>
      <c r="AM884" s="14" t="n">
        <f aca="false">IF($H884="Expert Level",1,0)</f>
        <v>0</v>
      </c>
      <c r="AN884" s="14" t="n">
        <f aca="false">IF($H884="Intermediate Level",1,0)</f>
        <v>0</v>
      </c>
    </row>
    <row r="885" customFormat="false" ht="79.85" hidden="false" customHeight="false" outlineLevel="0" collapsed="false">
      <c r="A885" s="14" t="n">
        <v>1082996</v>
      </c>
      <c r="B885" s="14" t="s">
        <v>1812</v>
      </c>
      <c r="C885" s="14" t="s">
        <v>1813</v>
      </c>
      <c r="D885" s="14" t="n">
        <v>95</v>
      </c>
      <c r="E885" s="14" t="n">
        <v>1212</v>
      </c>
      <c r="F885" s="14" t="n">
        <v>15</v>
      </c>
      <c r="G885" s="14" t="n">
        <v>39</v>
      </c>
      <c r="H885" s="14" t="s">
        <v>52</v>
      </c>
      <c r="I885" s="14" t="n">
        <v>0.94</v>
      </c>
      <c r="J885" s="14" t="n">
        <v>4.5</v>
      </c>
      <c r="K885" s="14" t="s">
        <v>59</v>
      </c>
      <c r="L885" s="14" t="n">
        <v>2017</v>
      </c>
      <c r="M885" s="14" t="n">
        <v>7.10002716662926</v>
      </c>
      <c r="N885" s="14" t="n">
        <v>4.55398214921866</v>
      </c>
      <c r="P885" s="14" t="n">
        <f aca="false">D885</f>
        <v>95</v>
      </c>
      <c r="Q885" s="14" t="n">
        <f aca="false">G885</f>
        <v>39</v>
      </c>
      <c r="R885" s="14" t="n">
        <f aca="false">J885</f>
        <v>4.5</v>
      </c>
      <c r="S885" s="14" t="n">
        <f aca="false">IF($L885=2012,1,0)</f>
        <v>0</v>
      </c>
      <c r="T885" s="14" t="n">
        <f aca="false">IF($L885=2013,1,0)</f>
        <v>0</v>
      </c>
      <c r="U885" s="14" t="n">
        <f aca="false">IF($L885=2014,1,0)</f>
        <v>0</v>
      </c>
      <c r="V885" s="14" t="n">
        <f aca="false">IF($L885=2015,1,0)</f>
        <v>0</v>
      </c>
      <c r="W885" s="14" t="n">
        <f aca="false">IF($L885=2016,1,0)</f>
        <v>0</v>
      </c>
      <c r="X885" s="14" t="n">
        <f aca="false">IF($L885=2017,1,0)</f>
        <v>1</v>
      </c>
      <c r="Y885" s="14" t="n">
        <f aca="false">IF($H885="Beginner Level",1,0)</f>
        <v>1</v>
      </c>
      <c r="Z885" s="14" t="n">
        <f aca="false">IF($H885="Expert Level",1,0)</f>
        <v>0</v>
      </c>
      <c r="AA885" s="14" t="n">
        <f aca="false">IF($H885="Intermediate Level",1,0)</f>
        <v>0</v>
      </c>
      <c r="AC885" s="14" t="n">
        <f aca="false">N885</f>
        <v>4.55398214921866</v>
      </c>
      <c r="AD885" s="14" t="n">
        <f aca="false">G885</f>
        <v>39</v>
      </c>
      <c r="AE885" s="14" t="n">
        <f aca="false">J885</f>
        <v>4.5</v>
      </c>
      <c r="AF885" s="14" t="n">
        <f aca="false">IF($L885=2012,1,0)</f>
        <v>0</v>
      </c>
      <c r="AG885" s="14" t="n">
        <f aca="false">IF($L885=2013,1,0)</f>
        <v>0</v>
      </c>
      <c r="AH885" s="14" t="n">
        <f aca="false">IF($L885=2014,1,0)</f>
        <v>0</v>
      </c>
      <c r="AI885" s="14" t="n">
        <f aca="false">IF($L885=2015,1,0)</f>
        <v>0</v>
      </c>
      <c r="AJ885" s="14" t="n">
        <f aca="false">IF($L885=2016,1,0)</f>
        <v>0</v>
      </c>
      <c r="AK885" s="14" t="n">
        <f aca="false">IF($L885=2017,1,0)</f>
        <v>1</v>
      </c>
      <c r="AL885" s="14" t="n">
        <f aca="false">IF($H885="Beginner Level",1,0)</f>
        <v>1</v>
      </c>
      <c r="AM885" s="14" t="n">
        <f aca="false">IF($H885="Expert Level",1,0)</f>
        <v>0</v>
      </c>
      <c r="AN885" s="14" t="n">
        <f aca="false">IF($H885="Intermediate Level",1,0)</f>
        <v>0</v>
      </c>
    </row>
    <row r="886" customFormat="false" ht="79.85" hidden="false" customHeight="false" outlineLevel="0" collapsed="false">
      <c r="A886" s="14" t="n">
        <v>733694</v>
      </c>
      <c r="B886" s="14" t="s">
        <v>1814</v>
      </c>
      <c r="C886" s="14" t="s">
        <v>1815</v>
      </c>
      <c r="D886" s="14" t="n">
        <v>25</v>
      </c>
      <c r="E886" s="14" t="n">
        <v>1209</v>
      </c>
      <c r="F886" s="14" t="n">
        <v>8</v>
      </c>
      <c r="G886" s="14" t="n">
        <v>62</v>
      </c>
      <c r="H886" s="14" t="s">
        <v>62</v>
      </c>
      <c r="I886" s="14" t="n">
        <v>0.94</v>
      </c>
      <c r="J886" s="14" t="n">
        <v>4.5</v>
      </c>
      <c r="K886" s="14" t="s">
        <v>59</v>
      </c>
      <c r="L886" s="14" t="n">
        <v>2016</v>
      </c>
      <c r="M886" s="14" t="n">
        <v>7.09754885061479</v>
      </c>
      <c r="N886" s="14" t="n">
        <v>3.21927574488953</v>
      </c>
      <c r="P886" s="14" t="n">
        <f aca="false">D886</f>
        <v>25</v>
      </c>
      <c r="Q886" s="14" t="n">
        <f aca="false">G886</f>
        <v>62</v>
      </c>
      <c r="R886" s="14" t="n">
        <f aca="false">J886</f>
        <v>4.5</v>
      </c>
      <c r="S886" s="14" t="n">
        <f aca="false">IF($L886=2012,1,0)</f>
        <v>0</v>
      </c>
      <c r="T886" s="14" t="n">
        <f aca="false">IF($L886=2013,1,0)</f>
        <v>0</v>
      </c>
      <c r="U886" s="14" t="n">
        <f aca="false">IF($L886=2014,1,0)</f>
        <v>0</v>
      </c>
      <c r="V886" s="14" t="n">
        <f aca="false">IF($L886=2015,1,0)</f>
        <v>0</v>
      </c>
      <c r="W886" s="14" t="n">
        <f aca="false">IF($L886=2016,1,0)</f>
        <v>1</v>
      </c>
      <c r="X886" s="14" t="n">
        <f aca="false">IF($L886=2017,1,0)</f>
        <v>0</v>
      </c>
      <c r="Y886" s="14" t="n">
        <f aca="false">IF($H886="Beginner Level",1,0)</f>
        <v>0</v>
      </c>
      <c r="Z886" s="14" t="n">
        <f aca="false">IF($H886="Expert Level",1,0)</f>
        <v>0</v>
      </c>
      <c r="AA886" s="14" t="n">
        <f aca="false">IF($H886="Intermediate Level",1,0)</f>
        <v>0</v>
      </c>
      <c r="AC886" s="14" t="n">
        <f aca="false">N886</f>
        <v>3.21927574488953</v>
      </c>
      <c r="AD886" s="14" t="n">
        <f aca="false">G886</f>
        <v>62</v>
      </c>
      <c r="AE886" s="14" t="n">
        <f aca="false">J886</f>
        <v>4.5</v>
      </c>
      <c r="AF886" s="14" t="n">
        <f aca="false">IF($L886=2012,1,0)</f>
        <v>0</v>
      </c>
      <c r="AG886" s="14" t="n">
        <f aca="false">IF($L886=2013,1,0)</f>
        <v>0</v>
      </c>
      <c r="AH886" s="14" t="n">
        <f aca="false">IF($L886=2014,1,0)</f>
        <v>0</v>
      </c>
      <c r="AI886" s="14" t="n">
        <f aca="false">IF($L886=2015,1,0)</f>
        <v>0</v>
      </c>
      <c r="AJ886" s="14" t="n">
        <f aca="false">IF($L886=2016,1,0)</f>
        <v>1</v>
      </c>
      <c r="AK886" s="14" t="n">
        <f aca="false">IF($L886=2017,1,0)</f>
        <v>0</v>
      </c>
      <c r="AL886" s="14" t="n">
        <f aca="false">IF($H886="Beginner Level",1,0)</f>
        <v>0</v>
      </c>
      <c r="AM886" s="14" t="n">
        <f aca="false">IF($H886="Expert Level",1,0)</f>
        <v>0</v>
      </c>
      <c r="AN886" s="14" t="n">
        <f aca="false">IF($H886="Intermediate Level",1,0)</f>
        <v>0</v>
      </c>
    </row>
    <row r="887" customFormat="false" ht="46.25" hidden="false" customHeight="false" outlineLevel="0" collapsed="false">
      <c r="A887" s="14" t="n">
        <v>786494</v>
      </c>
      <c r="B887" s="14" t="s">
        <v>1816</v>
      </c>
      <c r="C887" s="14" t="s">
        <v>1817</v>
      </c>
      <c r="D887" s="14" t="n">
        <v>20</v>
      </c>
      <c r="E887" s="14" t="n">
        <v>1209</v>
      </c>
      <c r="F887" s="14" t="n">
        <v>9</v>
      </c>
      <c r="G887" s="14" t="n">
        <v>21</v>
      </c>
      <c r="H887" s="14" t="s">
        <v>62</v>
      </c>
      <c r="I887" s="14" t="n">
        <v>0.94</v>
      </c>
      <c r="J887" s="14" t="n">
        <v>1.5</v>
      </c>
      <c r="K887" s="14" t="s">
        <v>59</v>
      </c>
      <c r="L887" s="14" t="n">
        <v>2016</v>
      </c>
      <c r="M887" s="14" t="n">
        <v>7.09754885061479</v>
      </c>
      <c r="N887" s="14" t="n">
        <v>2.99623214859564</v>
      </c>
      <c r="P887" s="14" t="n">
        <f aca="false">D887</f>
        <v>20</v>
      </c>
      <c r="Q887" s="14" t="n">
        <f aca="false">G887</f>
        <v>21</v>
      </c>
      <c r="R887" s="14" t="n">
        <f aca="false">J887</f>
        <v>1.5</v>
      </c>
      <c r="S887" s="14" t="n">
        <f aca="false">IF($L887=2012,1,0)</f>
        <v>0</v>
      </c>
      <c r="T887" s="14" t="n">
        <f aca="false">IF($L887=2013,1,0)</f>
        <v>0</v>
      </c>
      <c r="U887" s="14" t="n">
        <f aca="false">IF($L887=2014,1,0)</f>
        <v>0</v>
      </c>
      <c r="V887" s="14" t="n">
        <f aca="false">IF($L887=2015,1,0)</f>
        <v>0</v>
      </c>
      <c r="W887" s="14" t="n">
        <f aca="false">IF($L887=2016,1,0)</f>
        <v>1</v>
      </c>
      <c r="X887" s="14" t="n">
        <f aca="false">IF($L887=2017,1,0)</f>
        <v>0</v>
      </c>
      <c r="Y887" s="14" t="n">
        <f aca="false">IF($H887="Beginner Level",1,0)</f>
        <v>0</v>
      </c>
      <c r="Z887" s="14" t="n">
        <f aca="false">IF($H887="Expert Level",1,0)</f>
        <v>0</v>
      </c>
      <c r="AA887" s="14" t="n">
        <f aca="false">IF($H887="Intermediate Level",1,0)</f>
        <v>0</v>
      </c>
      <c r="AC887" s="14" t="n">
        <f aca="false">N887</f>
        <v>2.99623214859564</v>
      </c>
      <c r="AD887" s="14" t="n">
        <f aca="false">G887</f>
        <v>21</v>
      </c>
      <c r="AE887" s="14" t="n">
        <f aca="false">J887</f>
        <v>1.5</v>
      </c>
      <c r="AF887" s="14" t="n">
        <f aca="false">IF($L887=2012,1,0)</f>
        <v>0</v>
      </c>
      <c r="AG887" s="14" t="n">
        <f aca="false">IF($L887=2013,1,0)</f>
        <v>0</v>
      </c>
      <c r="AH887" s="14" t="n">
        <f aca="false">IF($L887=2014,1,0)</f>
        <v>0</v>
      </c>
      <c r="AI887" s="14" t="n">
        <f aca="false">IF($L887=2015,1,0)</f>
        <v>0</v>
      </c>
      <c r="AJ887" s="14" t="n">
        <f aca="false">IF($L887=2016,1,0)</f>
        <v>1</v>
      </c>
      <c r="AK887" s="14" t="n">
        <f aca="false">IF($L887=2017,1,0)</f>
        <v>0</v>
      </c>
      <c r="AL887" s="14" t="n">
        <f aca="false">IF($H887="Beginner Level",1,0)</f>
        <v>0</v>
      </c>
      <c r="AM887" s="14" t="n">
        <f aca="false">IF($H887="Expert Level",1,0)</f>
        <v>0</v>
      </c>
      <c r="AN887" s="14" t="n">
        <f aca="false">IF($H887="Intermediate Level",1,0)</f>
        <v>0</v>
      </c>
    </row>
    <row r="888" customFormat="false" ht="57.45" hidden="false" customHeight="false" outlineLevel="0" collapsed="false">
      <c r="A888" s="14" t="n">
        <v>495678</v>
      </c>
      <c r="B888" s="14" t="s">
        <v>1818</v>
      </c>
      <c r="C888" s="14" t="s">
        <v>1819</v>
      </c>
      <c r="D888" s="14" t="n">
        <v>100</v>
      </c>
      <c r="E888" s="14" t="n">
        <v>1193</v>
      </c>
      <c r="F888" s="14" t="n">
        <v>87</v>
      </c>
      <c r="G888" s="14" t="n">
        <v>58</v>
      </c>
      <c r="H888" s="14" t="s">
        <v>62</v>
      </c>
      <c r="I888" s="14" t="n">
        <v>0.94</v>
      </c>
      <c r="J888" s="14" t="n">
        <v>10.5</v>
      </c>
      <c r="K888" s="14" t="s">
        <v>59</v>
      </c>
      <c r="L888" s="14" t="n">
        <v>2015</v>
      </c>
      <c r="M888" s="14" t="n">
        <v>7.08422642209792</v>
      </c>
      <c r="N888" s="14" t="n">
        <v>4.60527018098843</v>
      </c>
      <c r="P888" s="14" t="n">
        <f aca="false">D888</f>
        <v>100</v>
      </c>
      <c r="Q888" s="14" t="n">
        <f aca="false">G888</f>
        <v>58</v>
      </c>
      <c r="R888" s="14" t="n">
        <f aca="false">J888</f>
        <v>10.5</v>
      </c>
      <c r="S888" s="14" t="n">
        <f aca="false">IF($L888=2012,1,0)</f>
        <v>0</v>
      </c>
      <c r="T888" s="14" t="n">
        <f aca="false">IF($L888=2013,1,0)</f>
        <v>0</v>
      </c>
      <c r="U888" s="14" t="n">
        <f aca="false">IF($L888=2014,1,0)</f>
        <v>0</v>
      </c>
      <c r="V888" s="14" t="n">
        <f aca="false">IF($L888=2015,1,0)</f>
        <v>1</v>
      </c>
      <c r="W888" s="14" t="n">
        <f aca="false">IF($L888=2016,1,0)</f>
        <v>0</v>
      </c>
      <c r="X888" s="14" t="n">
        <f aca="false">IF($L888=2017,1,0)</f>
        <v>0</v>
      </c>
      <c r="Y888" s="14" t="n">
        <f aca="false">IF($H888="Beginner Level",1,0)</f>
        <v>0</v>
      </c>
      <c r="Z888" s="14" t="n">
        <f aca="false">IF($H888="Expert Level",1,0)</f>
        <v>0</v>
      </c>
      <c r="AA888" s="14" t="n">
        <f aca="false">IF($H888="Intermediate Level",1,0)</f>
        <v>0</v>
      </c>
      <c r="AC888" s="14" t="n">
        <f aca="false">N888</f>
        <v>4.60527018098843</v>
      </c>
      <c r="AD888" s="14" t="n">
        <f aca="false">G888</f>
        <v>58</v>
      </c>
      <c r="AE888" s="14" t="n">
        <f aca="false">J888</f>
        <v>10.5</v>
      </c>
      <c r="AF888" s="14" t="n">
        <f aca="false">IF($L888=2012,1,0)</f>
        <v>0</v>
      </c>
      <c r="AG888" s="14" t="n">
        <f aca="false">IF($L888=2013,1,0)</f>
        <v>0</v>
      </c>
      <c r="AH888" s="14" t="n">
        <f aca="false">IF($L888=2014,1,0)</f>
        <v>0</v>
      </c>
      <c r="AI888" s="14" t="n">
        <f aca="false">IF($L888=2015,1,0)</f>
        <v>1</v>
      </c>
      <c r="AJ888" s="14" t="n">
        <f aca="false">IF($L888=2016,1,0)</f>
        <v>0</v>
      </c>
      <c r="AK888" s="14" t="n">
        <f aca="false">IF($L888=2017,1,0)</f>
        <v>0</v>
      </c>
      <c r="AL888" s="14" t="n">
        <f aca="false">IF($H888="Beginner Level",1,0)</f>
        <v>0</v>
      </c>
      <c r="AM888" s="14" t="n">
        <f aca="false">IF($H888="Expert Level",1,0)</f>
        <v>0</v>
      </c>
      <c r="AN888" s="14" t="n">
        <f aca="false">IF($H888="Intermediate Level",1,0)</f>
        <v>0</v>
      </c>
    </row>
    <row r="889" customFormat="false" ht="68.65" hidden="false" customHeight="false" outlineLevel="0" collapsed="false">
      <c r="A889" s="14" t="n">
        <v>769314</v>
      </c>
      <c r="B889" s="14" t="s">
        <v>1820</v>
      </c>
      <c r="C889" s="14" t="s">
        <v>1821</v>
      </c>
      <c r="D889" s="14" t="n">
        <v>20</v>
      </c>
      <c r="E889" s="14" t="n">
        <v>1186</v>
      </c>
      <c r="F889" s="14" t="n">
        <v>12</v>
      </c>
      <c r="G889" s="14" t="n">
        <v>7</v>
      </c>
      <c r="H889" s="14" t="s">
        <v>62</v>
      </c>
      <c r="I889" s="14" t="n">
        <v>0.94</v>
      </c>
      <c r="J889" s="14" t="n">
        <v>0.56666667</v>
      </c>
      <c r="K889" s="14" t="s">
        <v>59</v>
      </c>
      <c r="L889" s="14" t="n">
        <v>2016</v>
      </c>
      <c r="M889" s="14" t="n">
        <v>7.07834157955767</v>
      </c>
      <c r="N889" s="14" t="n">
        <v>2.99623214859564</v>
      </c>
      <c r="P889" s="14" t="n">
        <f aca="false">D889</f>
        <v>20</v>
      </c>
      <c r="Q889" s="14" t="n">
        <f aca="false">G889</f>
        <v>7</v>
      </c>
      <c r="R889" s="14" t="n">
        <f aca="false">J889</f>
        <v>0.56666667</v>
      </c>
      <c r="S889" s="14" t="n">
        <f aca="false">IF($L889=2012,1,0)</f>
        <v>0</v>
      </c>
      <c r="T889" s="14" t="n">
        <f aca="false">IF($L889=2013,1,0)</f>
        <v>0</v>
      </c>
      <c r="U889" s="14" t="n">
        <f aca="false">IF($L889=2014,1,0)</f>
        <v>0</v>
      </c>
      <c r="V889" s="14" t="n">
        <f aca="false">IF($L889=2015,1,0)</f>
        <v>0</v>
      </c>
      <c r="W889" s="14" t="n">
        <f aca="false">IF($L889=2016,1,0)</f>
        <v>1</v>
      </c>
      <c r="X889" s="14" t="n">
        <f aca="false">IF($L889=2017,1,0)</f>
        <v>0</v>
      </c>
      <c r="Y889" s="14" t="n">
        <f aca="false">IF($H889="Beginner Level",1,0)</f>
        <v>0</v>
      </c>
      <c r="Z889" s="14" t="n">
        <f aca="false">IF($H889="Expert Level",1,0)</f>
        <v>0</v>
      </c>
      <c r="AA889" s="14" t="n">
        <f aca="false">IF($H889="Intermediate Level",1,0)</f>
        <v>0</v>
      </c>
      <c r="AC889" s="14" t="n">
        <f aca="false">N889</f>
        <v>2.99623214859564</v>
      </c>
      <c r="AD889" s="14" t="n">
        <f aca="false">G889</f>
        <v>7</v>
      </c>
      <c r="AE889" s="14" t="n">
        <f aca="false">J889</f>
        <v>0.56666667</v>
      </c>
      <c r="AF889" s="14" t="n">
        <f aca="false">IF($L889=2012,1,0)</f>
        <v>0</v>
      </c>
      <c r="AG889" s="14" t="n">
        <f aca="false">IF($L889=2013,1,0)</f>
        <v>0</v>
      </c>
      <c r="AH889" s="14" t="n">
        <f aca="false">IF($L889=2014,1,0)</f>
        <v>0</v>
      </c>
      <c r="AI889" s="14" t="n">
        <f aca="false">IF($L889=2015,1,0)</f>
        <v>0</v>
      </c>
      <c r="AJ889" s="14" t="n">
        <f aca="false">IF($L889=2016,1,0)</f>
        <v>1</v>
      </c>
      <c r="AK889" s="14" t="n">
        <f aca="false">IF($L889=2017,1,0)</f>
        <v>0</v>
      </c>
      <c r="AL889" s="14" t="n">
        <f aca="false">IF($H889="Beginner Level",1,0)</f>
        <v>0</v>
      </c>
      <c r="AM889" s="14" t="n">
        <f aca="false">IF($H889="Expert Level",1,0)</f>
        <v>0</v>
      </c>
      <c r="AN889" s="14" t="n">
        <f aca="false">IF($H889="Intermediate Level",1,0)</f>
        <v>0</v>
      </c>
    </row>
    <row r="890" customFormat="false" ht="68.65" hidden="false" customHeight="false" outlineLevel="0" collapsed="false">
      <c r="A890" s="14" t="n">
        <v>653852</v>
      </c>
      <c r="B890" s="14" t="s">
        <v>1822</v>
      </c>
      <c r="C890" s="14" t="s">
        <v>1823</v>
      </c>
      <c r="D890" s="14" t="n">
        <v>55</v>
      </c>
      <c r="E890" s="14" t="n">
        <v>1186</v>
      </c>
      <c r="F890" s="14" t="n">
        <v>14</v>
      </c>
      <c r="G890" s="14" t="n">
        <v>9</v>
      </c>
      <c r="H890" s="14" t="s">
        <v>71</v>
      </c>
      <c r="I890" s="14" t="n">
        <v>0.94</v>
      </c>
      <c r="J890" s="14" t="n">
        <v>0.66666667</v>
      </c>
      <c r="K890" s="14" t="s">
        <v>59</v>
      </c>
      <c r="L890" s="14" t="n">
        <v>2015</v>
      </c>
      <c r="M890" s="14" t="n">
        <v>7.07834157955767</v>
      </c>
      <c r="N890" s="14" t="n">
        <v>4.00751498688737</v>
      </c>
      <c r="P890" s="14" t="n">
        <f aca="false">D890</f>
        <v>55</v>
      </c>
      <c r="Q890" s="14" t="n">
        <f aca="false">G890</f>
        <v>9</v>
      </c>
      <c r="R890" s="14" t="n">
        <f aca="false">J890</f>
        <v>0.66666667</v>
      </c>
      <c r="S890" s="14" t="n">
        <f aca="false">IF($L890=2012,1,0)</f>
        <v>0</v>
      </c>
      <c r="T890" s="14" t="n">
        <f aca="false">IF($L890=2013,1,0)</f>
        <v>0</v>
      </c>
      <c r="U890" s="14" t="n">
        <f aca="false">IF($L890=2014,1,0)</f>
        <v>0</v>
      </c>
      <c r="V890" s="14" t="n">
        <f aca="false">IF($L890=2015,1,0)</f>
        <v>1</v>
      </c>
      <c r="W890" s="14" t="n">
        <f aca="false">IF($L890=2016,1,0)</f>
        <v>0</v>
      </c>
      <c r="X890" s="14" t="n">
        <f aca="false">IF($L890=2017,1,0)</f>
        <v>0</v>
      </c>
      <c r="Y890" s="14" t="n">
        <f aca="false">IF($H890="Beginner Level",1,0)</f>
        <v>0</v>
      </c>
      <c r="Z890" s="14" t="n">
        <f aca="false">IF($H890="Expert Level",1,0)</f>
        <v>0</v>
      </c>
      <c r="AA890" s="14" t="n">
        <f aca="false">IF($H890="Intermediate Level",1,0)</f>
        <v>1</v>
      </c>
      <c r="AC890" s="14" t="n">
        <f aca="false">N890</f>
        <v>4.00751498688737</v>
      </c>
      <c r="AD890" s="14" t="n">
        <f aca="false">G890</f>
        <v>9</v>
      </c>
      <c r="AE890" s="14" t="n">
        <f aca="false">J890</f>
        <v>0.66666667</v>
      </c>
      <c r="AF890" s="14" t="n">
        <f aca="false">IF($L890=2012,1,0)</f>
        <v>0</v>
      </c>
      <c r="AG890" s="14" t="n">
        <f aca="false">IF($L890=2013,1,0)</f>
        <v>0</v>
      </c>
      <c r="AH890" s="14" t="n">
        <f aca="false">IF($L890=2014,1,0)</f>
        <v>0</v>
      </c>
      <c r="AI890" s="14" t="n">
        <f aca="false">IF($L890=2015,1,0)</f>
        <v>1</v>
      </c>
      <c r="AJ890" s="14" t="n">
        <f aca="false">IF($L890=2016,1,0)</f>
        <v>0</v>
      </c>
      <c r="AK890" s="14" t="n">
        <f aca="false">IF($L890=2017,1,0)</f>
        <v>0</v>
      </c>
      <c r="AL890" s="14" t="n">
        <f aca="false">IF($H890="Beginner Level",1,0)</f>
        <v>0</v>
      </c>
      <c r="AM890" s="14" t="n">
        <f aca="false">IF($H890="Expert Level",1,0)</f>
        <v>0</v>
      </c>
      <c r="AN890" s="14" t="n">
        <f aca="false">IF($H890="Intermediate Level",1,0)</f>
        <v>1</v>
      </c>
    </row>
    <row r="891" customFormat="false" ht="79.85" hidden="false" customHeight="false" outlineLevel="0" collapsed="false">
      <c r="A891" s="14" t="n">
        <v>512000</v>
      </c>
      <c r="B891" s="14" t="s">
        <v>1824</v>
      </c>
      <c r="C891" s="14" t="s">
        <v>1825</v>
      </c>
      <c r="D891" s="14" t="n">
        <v>20</v>
      </c>
      <c r="E891" s="14" t="n">
        <v>1169</v>
      </c>
      <c r="F891" s="14" t="n">
        <v>110</v>
      </c>
      <c r="G891" s="14" t="n">
        <v>64</v>
      </c>
      <c r="H891" s="14" t="s">
        <v>62</v>
      </c>
      <c r="I891" s="14" t="n">
        <v>0.94</v>
      </c>
      <c r="J891" s="14" t="n">
        <v>7.5</v>
      </c>
      <c r="K891" s="14" t="s">
        <v>59</v>
      </c>
      <c r="L891" s="14" t="n">
        <v>2015</v>
      </c>
      <c r="M891" s="14" t="n">
        <v>7.06390396147207</v>
      </c>
      <c r="N891" s="14" t="n">
        <v>2.99623214859564</v>
      </c>
      <c r="P891" s="14" t="n">
        <f aca="false">D891</f>
        <v>20</v>
      </c>
      <c r="Q891" s="14" t="n">
        <f aca="false">G891</f>
        <v>64</v>
      </c>
      <c r="R891" s="14" t="n">
        <f aca="false">J891</f>
        <v>7.5</v>
      </c>
      <c r="S891" s="14" t="n">
        <f aca="false">IF($L891=2012,1,0)</f>
        <v>0</v>
      </c>
      <c r="T891" s="14" t="n">
        <f aca="false">IF($L891=2013,1,0)</f>
        <v>0</v>
      </c>
      <c r="U891" s="14" t="n">
        <f aca="false">IF($L891=2014,1,0)</f>
        <v>0</v>
      </c>
      <c r="V891" s="14" t="n">
        <f aca="false">IF($L891=2015,1,0)</f>
        <v>1</v>
      </c>
      <c r="W891" s="14" t="n">
        <f aca="false">IF($L891=2016,1,0)</f>
        <v>0</v>
      </c>
      <c r="X891" s="14" t="n">
        <f aca="false">IF($L891=2017,1,0)</f>
        <v>0</v>
      </c>
      <c r="Y891" s="14" t="n">
        <f aca="false">IF($H891="Beginner Level",1,0)</f>
        <v>0</v>
      </c>
      <c r="Z891" s="14" t="n">
        <f aca="false">IF($H891="Expert Level",1,0)</f>
        <v>0</v>
      </c>
      <c r="AA891" s="14" t="n">
        <f aca="false">IF($H891="Intermediate Level",1,0)</f>
        <v>0</v>
      </c>
      <c r="AC891" s="14" t="n">
        <f aca="false">N891</f>
        <v>2.99623214859564</v>
      </c>
      <c r="AD891" s="14" t="n">
        <f aca="false">G891</f>
        <v>64</v>
      </c>
      <c r="AE891" s="14" t="n">
        <f aca="false">J891</f>
        <v>7.5</v>
      </c>
      <c r="AF891" s="14" t="n">
        <f aca="false">IF($L891=2012,1,0)</f>
        <v>0</v>
      </c>
      <c r="AG891" s="14" t="n">
        <f aca="false">IF($L891=2013,1,0)</f>
        <v>0</v>
      </c>
      <c r="AH891" s="14" t="n">
        <f aca="false">IF($L891=2014,1,0)</f>
        <v>0</v>
      </c>
      <c r="AI891" s="14" t="n">
        <f aca="false">IF($L891=2015,1,0)</f>
        <v>1</v>
      </c>
      <c r="AJ891" s="14" t="n">
        <f aca="false">IF($L891=2016,1,0)</f>
        <v>0</v>
      </c>
      <c r="AK891" s="14" t="n">
        <f aca="false">IF($L891=2017,1,0)</f>
        <v>0</v>
      </c>
      <c r="AL891" s="14" t="n">
        <f aca="false">IF($H891="Beginner Level",1,0)</f>
        <v>0</v>
      </c>
      <c r="AM891" s="14" t="n">
        <f aca="false">IF($H891="Expert Level",1,0)</f>
        <v>0</v>
      </c>
      <c r="AN891" s="14" t="n">
        <f aca="false">IF($H891="Intermediate Level",1,0)</f>
        <v>0</v>
      </c>
    </row>
    <row r="892" customFormat="false" ht="91" hidden="false" customHeight="false" outlineLevel="0" collapsed="false">
      <c r="A892" s="14" t="n">
        <v>576646</v>
      </c>
      <c r="B892" s="14" t="s">
        <v>1826</v>
      </c>
      <c r="C892" s="14" t="s">
        <v>1827</v>
      </c>
      <c r="D892" s="14" t="n">
        <v>60</v>
      </c>
      <c r="E892" s="14" t="n">
        <v>1157</v>
      </c>
      <c r="F892" s="14" t="n">
        <v>105</v>
      </c>
      <c r="G892" s="14" t="n">
        <v>31</v>
      </c>
      <c r="H892" s="14" t="s">
        <v>62</v>
      </c>
      <c r="I892" s="14" t="n">
        <v>0.34</v>
      </c>
      <c r="J892" s="14" t="n">
        <v>3</v>
      </c>
      <c r="K892" s="14" t="s">
        <v>59</v>
      </c>
      <c r="L892" s="14" t="n">
        <v>2015</v>
      </c>
      <c r="M892" s="14" t="n">
        <v>7.05358572719368</v>
      </c>
      <c r="N892" s="14" t="n">
        <v>4.09451121500142</v>
      </c>
      <c r="P892" s="14" t="n">
        <f aca="false">D892</f>
        <v>60</v>
      </c>
      <c r="Q892" s="14" t="n">
        <f aca="false">G892</f>
        <v>31</v>
      </c>
      <c r="R892" s="14" t="n">
        <f aca="false">J892</f>
        <v>3</v>
      </c>
      <c r="S892" s="14" t="n">
        <f aca="false">IF($L892=2012,1,0)</f>
        <v>0</v>
      </c>
      <c r="T892" s="14" t="n">
        <f aca="false">IF($L892=2013,1,0)</f>
        <v>0</v>
      </c>
      <c r="U892" s="14" t="n">
        <f aca="false">IF($L892=2014,1,0)</f>
        <v>0</v>
      </c>
      <c r="V892" s="14" t="n">
        <f aca="false">IF($L892=2015,1,0)</f>
        <v>1</v>
      </c>
      <c r="W892" s="14" t="n">
        <f aca="false">IF($L892=2016,1,0)</f>
        <v>0</v>
      </c>
      <c r="X892" s="14" t="n">
        <f aca="false">IF($L892=2017,1,0)</f>
        <v>0</v>
      </c>
      <c r="Y892" s="14" t="n">
        <f aca="false">IF($H892="Beginner Level",1,0)</f>
        <v>0</v>
      </c>
      <c r="Z892" s="14" t="n">
        <f aca="false">IF($H892="Expert Level",1,0)</f>
        <v>0</v>
      </c>
      <c r="AA892" s="14" t="n">
        <f aca="false">IF($H892="Intermediate Level",1,0)</f>
        <v>0</v>
      </c>
      <c r="AC892" s="14" t="n">
        <f aca="false">N892</f>
        <v>4.09451121500142</v>
      </c>
      <c r="AD892" s="14" t="n">
        <f aca="false">G892</f>
        <v>31</v>
      </c>
      <c r="AE892" s="14" t="n">
        <f aca="false">J892</f>
        <v>3</v>
      </c>
      <c r="AF892" s="14" t="n">
        <f aca="false">IF($L892=2012,1,0)</f>
        <v>0</v>
      </c>
      <c r="AG892" s="14" t="n">
        <f aca="false">IF($L892=2013,1,0)</f>
        <v>0</v>
      </c>
      <c r="AH892" s="14" t="n">
        <f aca="false">IF($L892=2014,1,0)</f>
        <v>0</v>
      </c>
      <c r="AI892" s="14" t="n">
        <f aca="false">IF($L892=2015,1,0)</f>
        <v>1</v>
      </c>
      <c r="AJ892" s="14" t="n">
        <f aca="false">IF($L892=2016,1,0)</f>
        <v>0</v>
      </c>
      <c r="AK892" s="14" t="n">
        <f aca="false">IF($L892=2017,1,0)</f>
        <v>0</v>
      </c>
      <c r="AL892" s="14" t="n">
        <f aca="false">IF($H892="Beginner Level",1,0)</f>
        <v>0</v>
      </c>
      <c r="AM892" s="14" t="n">
        <f aca="false">IF($H892="Expert Level",1,0)</f>
        <v>0</v>
      </c>
      <c r="AN892" s="14" t="n">
        <f aca="false">IF($H892="Intermediate Level",1,0)</f>
        <v>0</v>
      </c>
    </row>
    <row r="893" customFormat="false" ht="91" hidden="false" customHeight="false" outlineLevel="0" collapsed="false">
      <c r="A893" s="14" t="n">
        <v>641732</v>
      </c>
      <c r="B893" s="14" t="s">
        <v>1828</v>
      </c>
      <c r="C893" s="14" t="s">
        <v>1829</v>
      </c>
      <c r="D893" s="14" t="n">
        <v>85</v>
      </c>
      <c r="E893" s="14" t="n">
        <v>1156</v>
      </c>
      <c r="F893" s="14" t="n">
        <v>13</v>
      </c>
      <c r="G893" s="14" t="n">
        <v>28</v>
      </c>
      <c r="H893" s="14" t="s">
        <v>62</v>
      </c>
      <c r="I893" s="14" t="n">
        <v>0.18</v>
      </c>
      <c r="J893" s="14" t="n">
        <v>2.5</v>
      </c>
      <c r="K893" s="14" t="s">
        <v>59</v>
      </c>
      <c r="L893" s="14" t="n">
        <v>2015</v>
      </c>
      <c r="M893" s="14" t="n">
        <v>7.05272104923232</v>
      </c>
      <c r="N893" s="14" t="n">
        <v>4.44276889662927</v>
      </c>
      <c r="P893" s="14" t="n">
        <f aca="false">D893</f>
        <v>85</v>
      </c>
      <c r="Q893" s="14" t="n">
        <f aca="false">G893</f>
        <v>28</v>
      </c>
      <c r="R893" s="14" t="n">
        <f aca="false">J893</f>
        <v>2.5</v>
      </c>
      <c r="S893" s="14" t="n">
        <f aca="false">IF($L893=2012,1,0)</f>
        <v>0</v>
      </c>
      <c r="T893" s="14" t="n">
        <f aca="false">IF($L893=2013,1,0)</f>
        <v>0</v>
      </c>
      <c r="U893" s="14" t="n">
        <f aca="false">IF($L893=2014,1,0)</f>
        <v>0</v>
      </c>
      <c r="V893" s="14" t="n">
        <f aca="false">IF($L893=2015,1,0)</f>
        <v>1</v>
      </c>
      <c r="W893" s="14" t="n">
        <f aca="false">IF($L893=2016,1,0)</f>
        <v>0</v>
      </c>
      <c r="X893" s="14" t="n">
        <f aca="false">IF($L893=2017,1,0)</f>
        <v>0</v>
      </c>
      <c r="Y893" s="14" t="n">
        <f aca="false">IF($H893="Beginner Level",1,0)</f>
        <v>0</v>
      </c>
      <c r="Z893" s="14" t="n">
        <f aca="false">IF($H893="Expert Level",1,0)</f>
        <v>0</v>
      </c>
      <c r="AA893" s="14" t="n">
        <f aca="false">IF($H893="Intermediate Level",1,0)</f>
        <v>0</v>
      </c>
      <c r="AC893" s="14" t="n">
        <f aca="false">N893</f>
        <v>4.44276889662927</v>
      </c>
      <c r="AD893" s="14" t="n">
        <f aca="false">G893</f>
        <v>28</v>
      </c>
      <c r="AE893" s="14" t="n">
        <f aca="false">J893</f>
        <v>2.5</v>
      </c>
      <c r="AF893" s="14" t="n">
        <f aca="false">IF($L893=2012,1,0)</f>
        <v>0</v>
      </c>
      <c r="AG893" s="14" t="n">
        <f aca="false">IF($L893=2013,1,0)</f>
        <v>0</v>
      </c>
      <c r="AH893" s="14" t="n">
        <f aca="false">IF($L893=2014,1,0)</f>
        <v>0</v>
      </c>
      <c r="AI893" s="14" t="n">
        <f aca="false">IF($L893=2015,1,0)</f>
        <v>1</v>
      </c>
      <c r="AJ893" s="14" t="n">
        <f aca="false">IF($L893=2016,1,0)</f>
        <v>0</v>
      </c>
      <c r="AK893" s="14" t="n">
        <f aca="false">IF($L893=2017,1,0)</f>
        <v>0</v>
      </c>
      <c r="AL893" s="14" t="n">
        <f aca="false">IF($H893="Beginner Level",1,0)</f>
        <v>0</v>
      </c>
      <c r="AM893" s="14" t="n">
        <f aca="false">IF($H893="Expert Level",1,0)</f>
        <v>0</v>
      </c>
      <c r="AN893" s="14" t="n">
        <f aca="false">IF($H893="Intermediate Level",1,0)</f>
        <v>0</v>
      </c>
    </row>
    <row r="894" customFormat="false" ht="91" hidden="false" customHeight="false" outlineLevel="0" collapsed="false">
      <c r="A894" s="14" t="n">
        <v>1231872</v>
      </c>
      <c r="B894" s="14" t="s">
        <v>1830</v>
      </c>
      <c r="C894" s="14" t="s">
        <v>1831</v>
      </c>
      <c r="D894" s="14" t="n">
        <v>35</v>
      </c>
      <c r="E894" s="14" t="n">
        <v>1156</v>
      </c>
      <c r="F894" s="14" t="n">
        <v>4</v>
      </c>
      <c r="G894" s="14" t="n">
        <v>59</v>
      </c>
      <c r="H894" s="14" t="s">
        <v>52</v>
      </c>
      <c r="I894" s="14" t="n">
        <v>0.18</v>
      </c>
      <c r="J894" s="14" t="n">
        <v>5</v>
      </c>
      <c r="K894" s="14" t="s">
        <v>59</v>
      </c>
      <c r="L894" s="14" t="n">
        <v>2017</v>
      </c>
      <c r="M894" s="14" t="n">
        <v>7.05272104923232</v>
      </c>
      <c r="N894" s="14" t="n">
        <v>3.55563373496657</v>
      </c>
      <c r="P894" s="14" t="n">
        <f aca="false">D894</f>
        <v>35</v>
      </c>
      <c r="Q894" s="14" t="n">
        <f aca="false">G894</f>
        <v>59</v>
      </c>
      <c r="R894" s="14" t="n">
        <f aca="false">J894</f>
        <v>5</v>
      </c>
      <c r="S894" s="14" t="n">
        <f aca="false">IF($L894=2012,1,0)</f>
        <v>0</v>
      </c>
      <c r="T894" s="14" t="n">
        <f aca="false">IF($L894=2013,1,0)</f>
        <v>0</v>
      </c>
      <c r="U894" s="14" t="n">
        <f aca="false">IF($L894=2014,1,0)</f>
        <v>0</v>
      </c>
      <c r="V894" s="14" t="n">
        <f aca="false">IF($L894=2015,1,0)</f>
        <v>0</v>
      </c>
      <c r="W894" s="14" t="n">
        <f aca="false">IF($L894=2016,1,0)</f>
        <v>0</v>
      </c>
      <c r="X894" s="14" t="n">
        <f aca="false">IF($L894=2017,1,0)</f>
        <v>1</v>
      </c>
      <c r="Y894" s="14" t="n">
        <f aca="false">IF($H894="Beginner Level",1,0)</f>
        <v>1</v>
      </c>
      <c r="Z894" s="14" t="n">
        <f aca="false">IF($H894="Expert Level",1,0)</f>
        <v>0</v>
      </c>
      <c r="AA894" s="14" t="n">
        <f aca="false">IF($H894="Intermediate Level",1,0)</f>
        <v>0</v>
      </c>
      <c r="AC894" s="14" t="n">
        <f aca="false">N894</f>
        <v>3.55563373496657</v>
      </c>
      <c r="AD894" s="14" t="n">
        <f aca="false">G894</f>
        <v>59</v>
      </c>
      <c r="AE894" s="14" t="n">
        <f aca="false">J894</f>
        <v>5</v>
      </c>
      <c r="AF894" s="14" t="n">
        <f aca="false">IF($L894=2012,1,0)</f>
        <v>0</v>
      </c>
      <c r="AG894" s="14" t="n">
        <f aca="false">IF($L894=2013,1,0)</f>
        <v>0</v>
      </c>
      <c r="AH894" s="14" t="n">
        <f aca="false">IF($L894=2014,1,0)</f>
        <v>0</v>
      </c>
      <c r="AI894" s="14" t="n">
        <f aca="false">IF($L894=2015,1,0)</f>
        <v>0</v>
      </c>
      <c r="AJ894" s="14" t="n">
        <f aca="false">IF($L894=2016,1,0)</f>
        <v>0</v>
      </c>
      <c r="AK894" s="14" t="n">
        <f aca="false">IF($L894=2017,1,0)</f>
        <v>1</v>
      </c>
      <c r="AL894" s="14" t="n">
        <f aca="false">IF($H894="Beginner Level",1,0)</f>
        <v>1</v>
      </c>
      <c r="AM894" s="14" t="n">
        <f aca="false">IF($H894="Expert Level",1,0)</f>
        <v>0</v>
      </c>
      <c r="AN894" s="14" t="n">
        <f aca="false">IF($H894="Intermediate Level",1,0)</f>
        <v>0</v>
      </c>
    </row>
    <row r="895" customFormat="false" ht="57.45" hidden="false" customHeight="false" outlineLevel="0" collapsed="false">
      <c r="A895" s="14" t="n">
        <v>738726</v>
      </c>
      <c r="B895" s="14" t="s">
        <v>1832</v>
      </c>
      <c r="C895" s="14" t="s">
        <v>1833</v>
      </c>
      <c r="D895" s="14" t="n">
        <v>20</v>
      </c>
      <c r="E895" s="14" t="n">
        <v>1154</v>
      </c>
      <c r="F895" s="14" t="n">
        <v>12</v>
      </c>
      <c r="G895" s="14" t="n">
        <v>71</v>
      </c>
      <c r="H895" s="14" t="s">
        <v>62</v>
      </c>
      <c r="I895" s="14" t="n">
        <v>0.14</v>
      </c>
      <c r="J895" s="14" t="n">
        <v>6</v>
      </c>
      <c r="K895" s="14" t="s">
        <v>59</v>
      </c>
      <c r="L895" s="14" t="n">
        <v>2016</v>
      </c>
      <c r="M895" s="14" t="n">
        <v>7.05098944706805</v>
      </c>
      <c r="N895" s="14" t="n">
        <v>2.99623214859564</v>
      </c>
      <c r="P895" s="14" t="n">
        <f aca="false">D895</f>
        <v>20</v>
      </c>
      <c r="Q895" s="14" t="n">
        <f aca="false">G895</f>
        <v>71</v>
      </c>
      <c r="R895" s="14" t="n">
        <f aca="false">J895</f>
        <v>6</v>
      </c>
      <c r="S895" s="14" t="n">
        <f aca="false">IF($L895=2012,1,0)</f>
        <v>0</v>
      </c>
      <c r="T895" s="14" t="n">
        <f aca="false">IF($L895=2013,1,0)</f>
        <v>0</v>
      </c>
      <c r="U895" s="14" t="n">
        <f aca="false">IF($L895=2014,1,0)</f>
        <v>0</v>
      </c>
      <c r="V895" s="14" t="n">
        <f aca="false">IF($L895=2015,1,0)</f>
        <v>0</v>
      </c>
      <c r="W895" s="14" t="n">
        <f aca="false">IF($L895=2016,1,0)</f>
        <v>1</v>
      </c>
      <c r="X895" s="14" t="n">
        <f aca="false">IF($L895=2017,1,0)</f>
        <v>0</v>
      </c>
      <c r="Y895" s="14" t="n">
        <f aca="false">IF($H895="Beginner Level",1,0)</f>
        <v>0</v>
      </c>
      <c r="Z895" s="14" t="n">
        <f aca="false">IF($H895="Expert Level",1,0)</f>
        <v>0</v>
      </c>
      <c r="AA895" s="14" t="n">
        <f aca="false">IF($H895="Intermediate Level",1,0)</f>
        <v>0</v>
      </c>
      <c r="AC895" s="14" t="n">
        <f aca="false">N895</f>
        <v>2.99623214859564</v>
      </c>
      <c r="AD895" s="14" t="n">
        <f aca="false">G895</f>
        <v>71</v>
      </c>
      <c r="AE895" s="14" t="n">
        <f aca="false">J895</f>
        <v>6</v>
      </c>
      <c r="AF895" s="14" t="n">
        <f aca="false">IF($L895=2012,1,0)</f>
        <v>0</v>
      </c>
      <c r="AG895" s="14" t="n">
        <f aca="false">IF($L895=2013,1,0)</f>
        <v>0</v>
      </c>
      <c r="AH895" s="14" t="n">
        <f aca="false">IF($L895=2014,1,0)</f>
        <v>0</v>
      </c>
      <c r="AI895" s="14" t="n">
        <f aca="false">IF($L895=2015,1,0)</f>
        <v>0</v>
      </c>
      <c r="AJ895" s="14" t="n">
        <f aca="false">IF($L895=2016,1,0)</f>
        <v>1</v>
      </c>
      <c r="AK895" s="14" t="n">
        <f aca="false">IF($L895=2017,1,0)</f>
        <v>0</v>
      </c>
      <c r="AL895" s="14" t="n">
        <f aca="false">IF($H895="Beginner Level",1,0)</f>
        <v>0</v>
      </c>
      <c r="AM895" s="14" t="n">
        <f aca="false">IF($H895="Expert Level",1,0)</f>
        <v>0</v>
      </c>
      <c r="AN895" s="14" t="n">
        <f aca="false">IF($H895="Intermediate Level",1,0)</f>
        <v>0</v>
      </c>
    </row>
    <row r="896" customFormat="false" ht="91" hidden="false" customHeight="false" outlineLevel="0" collapsed="false">
      <c r="A896" s="14" t="n">
        <v>128384</v>
      </c>
      <c r="B896" s="14" t="s">
        <v>1834</v>
      </c>
      <c r="C896" s="14" t="s">
        <v>1835</v>
      </c>
      <c r="D896" s="14" t="n">
        <v>30</v>
      </c>
      <c r="E896" s="14" t="n">
        <v>1154</v>
      </c>
      <c r="F896" s="14" t="n">
        <v>89</v>
      </c>
      <c r="G896" s="14" t="n">
        <v>9</v>
      </c>
      <c r="H896" s="14" t="s">
        <v>62</v>
      </c>
      <c r="I896" s="14" t="n">
        <v>0.88</v>
      </c>
      <c r="J896" s="14" t="n">
        <v>3</v>
      </c>
      <c r="K896" s="14" t="s">
        <v>59</v>
      </c>
      <c r="L896" s="14" t="n">
        <v>2013</v>
      </c>
      <c r="M896" s="14" t="n">
        <v>7.05098944706805</v>
      </c>
      <c r="N896" s="14" t="n">
        <v>3.40153065945228</v>
      </c>
      <c r="P896" s="14" t="n">
        <f aca="false">D896</f>
        <v>30</v>
      </c>
      <c r="Q896" s="14" t="n">
        <f aca="false">G896</f>
        <v>9</v>
      </c>
      <c r="R896" s="14" t="n">
        <f aca="false">J896</f>
        <v>3</v>
      </c>
      <c r="S896" s="14" t="n">
        <f aca="false">IF($L896=2012,1,0)</f>
        <v>0</v>
      </c>
      <c r="T896" s="14" t="n">
        <f aca="false">IF($L896=2013,1,0)</f>
        <v>1</v>
      </c>
      <c r="U896" s="14" t="n">
        <f aca="false">IF($L896=2014,1,0)</f>
        <v>0</v>
      </c>
      <c r="V896" s="14" t="n">
        <f aca="false">IF($L896=2015,1,0)</f>
        <v>0</v>
      </c>
      <c r="W896" s="14" t="n">
        <f aca="false">IF($L896=2016,1,0)</f>
        <v>0</v>
      </c>
      <c r="X896" s="14" t="n">
        <f aca="false">IF($L896=2017,1,0)</f>
        <v>0</v>
      </c>
      <c r="Y896" s="14" t="n">
        <f aca="false">IF($H896="Beginner Level",1,0)</f>
        <v>0</v>
      </c>
      <c r="Z896" s="14" t="n">
        <f aca="false">IF($H896="Expert Level",1,0)</f>
        <v>0</v>
      </c>
      <c r="AA896" s="14" t="n">
        <f aca="false">IF($H896="Intermediate Level",1,0)</f>
        <v>0</v>
      </c>
      <c r="AC896" s="14" t="n">
        <f aca="false">N896</f>
        <v>3.40153065945228</v>
      </c>
      <c r="AD896" s="14" t="n">
        <f aca="false">G896</f>
        <v>9</v>
      </c>
      <c r="AE896" s="14" t="n">
        <f aca="false">J896</f>
        <v>3</v>
      </c>
      <c r="AF896" s="14" t="n">
        <f aca="false">IF($L896=2012,1,0)</f>
        <v>0</v>
      </c>
      <c r="AG896" s="14" t="n">
        <f aca="false">IF($L896=2013,1,0)</f>
        <v>1</v>
      </c>
      <c r="AH896" s="14" t="n">
        <f aca="false">IF($L896=2014,1,0)</f>
        <v>0</v>
      </c>
      <c r="AI896" s="14" t="n">
        <f aca="false">IF($L896=2015,1,0)</f>
        <v>0</v>
      </c>
      <c r="AJ896" s="14" t="n">
        <f aca="false">IF($L896=2016,1,0)</f>
        <v>0</v>
      </c>
      <c r="AK896" s="14" t="n">
        <f aca="false">IF($L896=2017,1,0)</f>
        <v>0</v>
      </c>
      <c r="AL896" s="14" t="n">
        <f aca="false">IF($H896="Beginner Level",1,0)</f>
        <v>0</v>
      </c>
      <c r="AM896" s="14" t="n">
        <f aca="false">IF($H896="Expert Level",1,0)</f>
        <v>0</v>
      </c>
      <c r="AN896" s="14" t="n">
        <f aca="false">IF($H896="Intermediate Level",1,0)</f>
        <v>0</v>
      </c>
    </row>
    <row r="897" customFormat="false" ht="57.45" hidden="false" customHeight="false" outlineLevel="0" collapsed="false">
      <c r="A897" s="14" t="n">
        <v>964118</v>
      </c>
      <c r="B897" s="14" t="s">
        <v>1836</v>
      </c>
      <c r="C897" s="14" t="s">
        <v>1837</v>
      </c>
      <c r="D897" s="14" t="n">
        <v>40</v>
      </c>
      <c r="E897" s="14" t="n">
        <v>1152</v>
      </c>
      <c r="F897" s="14" t="n">
        <v>20</v>
      </c>
      <c r="G897" s="14" t="n">
        <v>14</v>
      </c>
      <c r="H897" s="14" t="s">
        <v>62</v>
      </c>
      <c r="I897" s="14" t="n">
        <v>0.82</v>
      </c>
      <c r="J897" s="14" t="n">
        <v>1</v>
      </c>
      <c r="K897" s="14" t="s">
        <v>59</v>
      </c>
      <c r="L897" s="14" t="n">
        <v>2016</v>
      </c>
      <c r="M897" s="14" t="n">
        <v>7.04925484125584</v>
      </c>
      <c r="N897" s="14" t="n">
        <v>3.68912942286914</v>
      </c>
      <c r="P897" s="14" t="n">
        <f aca="false">D897</f>
        <v>40</v>
      </c>
      <c r="Q897" s="14" t="n">
        <f aca="false">G897</f>
        <v>14</v>
      </c>
      <c r="R897" s="14" t="n">
        <f aca="false">J897</f>
        <v>1</v>
      </c>
      <c r="S897" s="14" t="n">
        <f aca="false">IF($L897=2012,1,0)</f>
        <v>0</v>
      </c>
      <c r="T897" s="14" t="n">
        <f aca="false">IF($L897=2013,1,0)</f>
        <v>0</v>
      </c>
      <c r="U897" s="14" t="n">
        <f aca="false">IF($L897=2014,1,0)</f>
        <v>0</v>
      </c>
      <c r="V897" s="14" t="n">
        <f aca="false">IF($L897=2015,1,0)</f>
        <v>0</v>
      </c>
      <c r="W897" s="14" t="n">
        <f aca="false">IF($L897=2016,1,0)</f>
        <v>1</v>
      </c>
      <c r="X897" s="14" t="n">
        <f aca="false">IF($L897=2017,1,0)</f>
        <v>0</v>
      </c>
      <c r="Y897" s="14" t="n">
        <f aca="false">IF($H897="Beginner Level",1,0)</f>
        <v>0</v>
      </c>
      <c r="Z897" s="14" t="n">
        <f aca="false">IF($H897="Expert Level",1,0)</f>
        <v>0</v>
      </c>
      <c r="AA897" s="14" t="n">
        <f aca="false">IF($H897="Intermediate Level",1,0)</f>
        <v>0</v>
      </c>
      <c r="AC897" s="14" t="n">
        <f aca="false">N897</f>
        <v>3.68912942286914</v>
      </c>
      <c r="AD897" s="14" t="n">
        <f aca="false">G897</f>
        <v>14</v>
      </c>
      <c r="AE897" s="14" t="n">
        <f aca="false">J897</f>
        <v>1</v>
      </c>
      <c r="AF897" s="14" t="n">
        <f aca="false">IF($L897=2012,1,0)</f>
        <v>0</v>
      </c>
      <c r="AG897" s="14" t="n">
        <f aca="false">IF($L897=2013,1,0)</f>
        <v>0</v>
      </c>
      <c r="AH897" s="14" t="n">
        <f aca="false">IF($L897=2014,1,0)</f>
        <v>0</v>
      </c>
      <c r="AI897" s="14" t="n">
        <f aca="false">IF($L897=2015,1,0)</f>
        <v>0</v>
      </c>
      <c r="AJ897" s="14" t="n">
        <f aca="false">IF($L897=2016,1,0)</f>
        <v>1</v>
      </c>
      <c r="AK897" s="14" t="n">
        <f aca="false">IF($L897=2017,1,0)</f>
        <v>0</v>
      </c>
      <c r="AL897" s="14" t="n">
        <f aca="false">IF($H897="Beginner Level",1,0)</f>
        <v>0</v>
      </c>
      <c r="AM897" s="14" t="n">
        <f aca="false">IF($H897="Expert Level",1,0)</f>
        <v>0</v>
      </c>
      <c r="AN897" s="14" t="n">
        <f aca="false">IF($H897="Intermediate Level",1,0)</f>
        <v>0</v>
      </c>
    </row>
    <row r="898" customFormat="false" ht="68.65" hidden="false" customHeight="false" outlineLevel="0" collapsed="false">
      <c r="A898" s="14" t="n">
        <v>595818</v>
      </c>
      <c r="B898" s="14" t="s">
        <v>1838</v>
      </c>
      <c r="C898" s="14" t="s">
        <v>1839</v>
      </c>
      <c r="D898" s="14" t="n">
        <v>50</v>
      </c>
      <c r="E898" s="14" t="n">
        <v>1147</v>
      </c>
      <c r="F898" s="14" t="n">
        <v>19</v>
      </c>
      <c r="G898" s="14" t="n">
        <v>19</v>
      </c>
      <c r="H898" s="14" t="s">
        <v>62</v>
      </c>
      <c r="I898" s="14" t="n">
        <v>0.58</v>
      </c>
      <c r="J898" s="14" t="n">
        <v>2.5</v>
      </c>
      <c r="K898" s="14" t="s">
        <v>59</v>
      </c>
      <c r="L898" s="14" t="n">
        <v>2016</v>
      </c>
      <c r="M898" s="14" t="n">
        <v>7.04490511712937</v>
      </c>
      <c r="N898" s="14" t="n">
        <v>3.91222298543081</v>
      </c>
      <c r="P898" s="14" t="n">
        <f aca="false">D898</f>
        <v>50</v>
      </c>
      <c r="Q898" s="14" t="n">
        <f aca="false">G898</f>
        <v>19</v>
      </c>
      <c r="R898" s="14" t="n">
        <f aca="false">J898</f>
        <v>2.5</v>
      </c>
      <c r="S898" s="14" t="n">
        <f aca="false">IF($L898=2012,1,0)</f>
        <v>0</v>
      </c>
      <c r="T898" s="14" t="n">
        <f aca="false">IF($L898=2013,1,0)</f>
        <v>0</v>
      </c>
      <c r="U898" s="14" t="n">
        <f aca="false">IF($L898=2014,1,0)</f>
        <v>0</v>
      </c>
      <c r="V898" s="14" t="n">
        <f aca="false">IF($L898=2015,1,0)</f>
        <v>0</v>
      </c>
      <c r="W898" s="14" t="n">
        <f aca="false">IF($L898=2016,1,0)</f>
        <v>1</v>
      </c>
      <c r="X898" s="14" t="n">
        <f aca="false">IF($L898=2017,1,0)</f>
        <v>0</v>
      </c>
      <c r="Y898" s="14" t="n">
        <f aca="false">IF($H898="Beginner Level",1,0)</f>
        <v>0</v>
      </c>
      <c r="Z898" s="14" t="n">
        <f aca="false">IF($H898="Expert Level",1,0)</f>
        <v>0</v>
      </c>
      <c r="AA898" s="14" t="n">
        <f aca="false">IF($H898="Intermediate Level",1,0)</f>
        <v>0</v>
      </c>
      <c r="AC898" s="14" t="n">
        <f aca="false">N898</f>
        <v>3.91222298543081</v>
      </c>
      <c r="AD898" s="14" t="n">
        <f aca="false">G898</f>
        <v>19</v>
      </c>
      <c r="AE898" s="14" t="n">
        <f aca="false">J898</f>
        <v>2.5</v>
      </c>
      <c r="AF898" s="14" t="n">
        <f aca="false">IF($L898=2012,1,0)</f>
        <v>0</v>
      </c>
      <c r="AG898" s="14" t="n">
        <f aca="false">IF($L898=2013,1,0)</f>
        <v>0</v>
      </c>
      <c r="AH898" s="14" t="n">
        <f aca="false">IF($L898=2014,1,0)</f>
        <v>0</v>
      </c>
      <c r="AI898" s="14" t="n">
        <f aca="false">IF($L898=2015,1,0)</f>
        <v>0</v>
      </c>
      <c r="AJ898" s="14" t="n">
        <f aca="false">IF($L898=2016,1,0)</f>
        <v>1</v>
      </c>
      <c r="AK898" s="14" t="n">
        <f aca="false">IF($L898=2017,1,0)</f>
        <v>0</v>
      </c>
      <c r="AL898" s="14" t="n">
        <f aca="false">IF($H898="Beginner Level",1,0)</f>
        <v>0</v>
      </c>
      <c r="AM898" s="14" t="n">
        <f aca="false">IF($H898="Expert Level",1,0)</f>
        <v>0</v>
      </c>
      <c r="AN898" s="14" t="n">
        <f aca="false">IF($H898="Intermediate Level",1,0)</f>
        <v>0</v>
      </c>
    </row>
    <row r="899" customFormat="false" ht="57.45" hidden="false" customHeight="false" outlineLevel="0" collapsed="false">
      <c r="A899" s="14" t="n">
        <v>413618</v>
      </c>
      <c r="B899" s="14" t="s">
        <v>1840</v>
      </c>
      <c r="C899" s="14" t="s">
        <v>1841</v>
      </c>
      <c r="D899" s="14" t="n">
        <v>25</v>
      </c>
      <c r="E899" s="14" t="n">
        <v>1143</v>
      </c>
      <c r="F899" s="14" t="n">
        <v>34</v>
      </c>
      <c r="G899" s="14" t="n">
        <v>13</v>
      </c>
      <c r="H899" s="14" t="s">
        <v>52</v>
      </c>
      <c r="I899" s="14" t="n">
        <v>0.66</v>
      </c>
      <c r="J899" s="14" t="n">
        <v>1</v>
      </c>
      <c r="K899" s="14" t="s">
        <v>59</v>
      </c>
      <c r="L899" s="14" t="n">
        <v>2015</v>
      </c>
      <c r="M899" s="14" t="n">
        <v>7.04141166379481</v>
      </c>
      <c r="N899" s="14" t="n">
        <v>3.21927574488953</v>
      </c>
      <c r="P899" s="14" t="n">
        <f aca="false">D899</f>
        <v>25</v>
      </c>
      <c r="Q899" s="14" t="n">
        <f aca="false">G899</f>
        <v>13</v>
      </c>
      <c r="R899" s="14" t="n">
        <f aca="false">J899</f>
        <v>1</v>
      </c>
      <c r="S899" s="14" t="n">
        <f aca="false">IF($L899=2012,1,0)</f>
        <v>0</v>
      </c>
      <c r="T899" s="14" t="n">
        <f aca="false">IF($L899=2013,1,0)</f>
        <v>0</v>
      </c>
      <c r="U899" s="14" t="n">
        <f aca="false">IF($L899=2014,1,0)</f>
        <v>0</v>
      </c>
      <c r="V899" s="14" t="n">
        <f aca="false">IF($L899=2015,1,0)</f>
        <v>1</v>
      </c>
      <c r="W899" s="14" t="n">
        <f aca="false">IF($L899=2016,1,0)</f>
        <v>0</v>
      </c>
      <c r="X899" s="14" t="n">
        <f aca="false">IF($L899=2017,1,0)</f>
        <v>0</v>
      </c>
      <c r="Y899" s="14" t="n">
        <f aca="false">IF($H899="Beginner Level",1,0)</f>
        <v>1</v>
      </c>
      <c r="Z899" s="14" t="n">
        <f aca="false">IF($H899="Expert Level",1,0)</f>
        <v>0</v>
      </c>
      <c r="AA899" s="14" t="n">
        <f aca="false">IF($H899="Intermediate Level",1,0)</f>
        <v>0</v>
      </c>
      <c r="AC899" s="14" t="n">
        <f aca="false">N899</f>
        <v>3.21927574488953</v>
      </c>
      <c r="AD899" s="14" t="n">
        <f aca="false">G899</f>
        <v>13</v>
      </c>
      <c r="AE899" s="14" t="n">
        <f aca="false">J899</f>
        <v>1</v>
      </c>
      <c r="AF899" s="14" t="n">
        <f aca="false">IF($L899=2012,1,0)</f>
        <v>0</v>
      </c>
      <c r="AG899" s="14" t="n">
        <f aca="false">IF($L899=2013,1,0)</f>
        <v>0</v>
      </c>
      <c r="AH899" s="14" t="n">
        <f aca="false">IF($L899=2014,1,0)</f>
        <v>0</v>
      </c>
      <c r="AI899" s="14" t="n">
        <f aca="false">IF($L899=2015,1,0)</f>
        <v>1</v>
      </c>
      <c r="AJ899" s="14" t="n">
        <f aca="false">IF($L899=2016,1,0)</f>
        <v>0</v>
      </c>
      <c r="AK899" s="14" t="n">
        <f aca="false">IF($L899=2017,1,0)</f>
        <v>0</v>
      </c>
      <c r="AL899" s="14" t="n">
        <f aca="false">IF($H899="Beginner Level",1,0)</f>
        <v>1</v>
      </c>
      <c r="AM899" s="14" t="n">
        <f aca="false">IF($H899="Expert Level",1,0)</f>
        <v>0</v>
      </c>
      <c r="AN899" s="14" t="n">
        <f aca="false">IF($H899="Intermediate Level",1,0)</f>
        <v>0</v>
      </c>
    </row>
    <row r="900" customFormat="false" ht="91" hidden="false" customHeight="false" outlineLevel="0" collapsed="false">
      <c r="A900" s="14" t="n">
        <v>425086</v>
      </c>
      <c r="B900" s="14" t="s">
        <v>1842</v>
      </c>
      <c r="C900" s="14" t="s">
        <v>1843</v>
      </c>
      <c r="D900" s="14" t="n">
        <v>85</v>
      </c>
      <c r="E900" s="14" t="n">
        <v>1142</v>
      </c>
      <c r="F900" s="14" t="n">
        <v>148</v>
      </c>
      <c r="G900" s="14" t="n">
        <v>90</v>
      </c>
      <c r="H900" s="14" t="s">
        <v>62</v>
      </c>
      <c r="I900" s="14" t="n">
        <v>0.34</v>
      </c>
      <c r="J900" s="14" t="n">
        <v>5</v>
      </c>
      <c r="K900" s="14" t="s">
        <v>59</v>
      </c>
      <c r="L900" s="14" t="n">
        <v>2015</v>
      </c>
      <c r="M900" s="14" t="n">
        <v>7.04053639021596</v>
      </c>
      <c r="N900" s="14" t="n">
        <v>4.44276889662927</v>
      </c>
      <c r="P900" s="14" t="n">
        <f aca="false">D900</f>
        <v>85</v>
      </c>
      <c r="Q900" s="14" t="n">
        <f aca="false">G900</f>
        <v>90</v>
      </c>
      <c r="R900" s="14" t="n">
        <f aca="false">J900</f>
        <v>5</v>
      </c>
      <c r="S900" s="14" t="n">
        <f aca="false">IF($L900=2012,1,0)</f>
        <v>0</v>
      </c>
      <c r="T900" s="14" t="n">
        <f aca="false">IF($L900=2013,1,0)</f>
        <v>0</v>
      </c>
      <c r="U900" s="14" t="n">
        <f aca="false">IF($L900=2014,1,0)</f>
        <v>0</v>
      </c>
      <c r="V900" s="14" t="n">
        <f aca="false">IF($L900=2015,1,0)</f>
        <v>1</v>
      </c>
      <c r="W900" s="14" t="n">
        <f aca="false">IF($L900=2016,1,0)</f>
        <v>0</v>
      </c>
      <c r="X900" s="14" t="n">
        <f aca="false">IF($L900=2017,1,0)</f>
        <v>0</v>
      </c>
      <c r="Y900" s="14" t="n">
        <f aca="false">IF($H900="Beginner Level",1,0)</f>
        <v>0</v>
      </c>
      <c r="Z900" s="14" t="n">
        <f aca="false">IF($H900="Expert Level",1,0)</f>
        <v>0</v>
      </c>
      <c r="AA900" s="14" t="n">
        <f aca="false">IF($H900="Intermediate Level",1,0)</f>
        <v>0</v>
      </c>
      <c r="AC900" s="14" t="n">
        <f aca="false">N900</f>
        <v>4.44276889662927</v>
      </c>
      <c r="AD900" s="14" t="n">
        <f aca="false">G900</f>
        <v>90</v>
      </c>
      <c r="AE900" s="14" t="n">
        <f aca="false">J900</f>
        <v>5</v>
      </c>
      <c r="AF900" s="14" t="n">
        <f aca="false">IF($L900=2012,1,0)</f>
        <v>0</v>
      </c>
      <c r="AG900" s="14" t="n">
        <f aca="false">IF($L900=2013,1,0)</f>
        <v>0</v>
      </c>
      <c r="AH900" s="14" t="n">
        <f aca="false">IF($L900=2014,1,0)</f>
        <v>0</v>
      </c>
      <c r="AI900" s="14" t="n">
        <f aca="false">IF($L900=2015,1,0)</f>
        <v>1</v>
      </c>
      <c r="AJ900" s="14" t="n">
        <f aca="false">IF($L900=2016,1,0)</f>
        <v>0</v>
      </c>
      <c r="AK900" s="14" t="n">
        <f aca="false">IF($L900=2017,1,0)</f>
        <v>0</v>
      </c>
      <c r="AL900" s="14" t="n">
        <f aca="false">IF($H900="Beginner Level",1,0)</f>
        <v>0</v>
      </c>
      <c r="AM900" s="14" t="n">
        <f aca="false">IF($H900="Expert Level",1,0)</f>
        <v>0</v>
      </c>
      <c r="AN900" s="14" t="n">
        <f aca="false">IF($H900="Intermediate Level",1,0)</f>
        <v>0</v>
      </c>
    </row>
    <row r="901" customFormat="false" ht="79.85" hidden="false" customHeight="false" outlineLevel="0" collapsed="false">
      <c r="A901" s="14" t="n">
        <v>362360</v>
      </c>
      <c r="B901" s="14" t="s">
        <v>1844</v>
      </c>
      <c r="C901" s="14" t="s">
        <v>1845</v>
      </c>
      <c r="D901" s="14" t="n">
        <v>95</v>
      </c>
      <c r="E901" s="14" t="n">
        <v>1134</v>
      </c>
      <c r="F901" s="14" t="n">
        <v>9</v>
      </c>
      <c r="G901" s="14" t="n">
        <v>24</v>
      </c>
      <c r="H901" s="14" t="s">
        <v>71</v>
      </c>
      <c r="I901" s="14" t="n">
        <v>0.66</v>
      </c>
      <c r="J901" s="14" t="n">
        <v>1.5</v>
      </c>
      <c r="K901" s="14" t="s">
        <v>59</v>
      </c>
      <c r="L901" s="14" t="n">
        <v>2014</v>
      </c>
      <c r="M901" s="14" t="n">
        <v>7.0335064842877</v>
      </c>
      <c r="N901" s="14" t="n">
        <v>4.55398214921866</v>
      </c>
      <c r="P901" s="14" t="n">
        <f aca="false">D901</f>
        <v>95</v>
      </c>
      <c r="Q901" s="14" t="n">
        <f aca="false">G901</f>
        <v>24</v>
      </c>
      <c r="R901" s="14" t="n">
        <f aca="false">J901</f>
        <v>1.5</v>
      </c>
      <c r="S901" s="14" t="n">
        <f aca="false">IF($L901=2012,1,0)</f>
        <v>0</v>
      </c>
      <c r="T901" s="14" t="n">
        <f aca="false">IF($L901=2013,1,0)</f>
        <v>0</v>
      </c>
      <c r="U901" s="14" t="n">
        <f aca="false">IF($L901=2014,1,0)</f>
        <v>1</v>
      </c>
      <c r="V901" s="14" t="n">
        <f aca="false">IF($L901=2015,1,0)</f>
        <v>0</v>
      </c>
      <c r="W901" s="14" t="n">
        <f aca="false">IF($L901=2016,1,0)</f>
        <v>0</v>
      </c>
      <c r="X901" s="14" t="n">
        <f aca="false">IF($L901=2017,1,0)</f>
        <v>0</v>
      </c>
      <c r="Y901" s="14" t="n">
        <f aca="false">IF($H901="Beginner Level",1,0)</f>
        <v>0</v>
      </c>
      <c r="Z901" s="14" t="n">
        <f aca="false">IF($H901="Expert Level",1,0)</f>
        <v>0</v>
      </c>
      <c r="AA901" s="14" t="n">
        <f aca="false">IF($H901="Intermediate Level",1,0)</f>
        <v>1</v>
      </c>
      <c r="AC901" s="14" t="n">
        <f aca="false">N901</f>
        <v>4.55398214921866</v>
      </c>
      <c r="AD901" s="14" t="n">
        <f aca="false">G901</f>
        <v>24</v>
      </c>
      <c r="AE901" s="14" t="n">
        <f aca="false">J901</f>
        <v>1.5</v>
      </c>
      <c r="AF901" s="14" t="n">
        <f aca="false">IF($L901=2012,1,0)</f>
        <v>0</v>
      </c>
      <c r="AG901" s="14" t="n">
        <f aca="false">IF($L901=2013,1,0)</f>
        <v>0</v>
      </c>
      <c r="AH901" s="14" t="n">
        <f aca="false">IF($L901=2014,1,0)</f>
        <v>1</v>
      </c>
      <c r="AI901" s="14" t="n">
        <f aca="false">IF($L901=2015,1,0)</f>
        <v>0</v>
      </c>
      <c r="AJ901" s="14" t="n">
        <f aca="false">IF($L901=2016,1,0)</f>
        <v>0</v>
      </c>
      <c r="AK901" s="14" t="n">
        <f aca="false">IF($L901=2017,1,0)</f>
        <v>0</v>
      </c>
      <c r="AL901" s="14" t="n">
        <f aca="false">IF($H901="Beginner Level",1,0)</f>
        <v>0</v>
      </c>
      <c r="AM901" s="14" t="n">
        <f aca="false">IF($H901="Expert Level",1,0)</f>
        <v>0</v>
      </c>
      <c r="AN901" s="14" t="n">
        <f aca="false">IF($H901="Intermediate Level",1,0)</f>
        <v>1</v>
      </c>
    </row>
    <row r="902" customFormat="false" ht="46.25" hidden="false" customHeight="false" outlineLevel="0" collapsed="false">
      <c r="A902" s="14" t="n">
        <v>908996</v>
      </c>
      <c r="B902" s="14" t="s">
        <v>1846</v>
      </c>
      <c r="C902" s="14" t="s">
        <v>1847</v>
      </c>
      <c r="D902" s="14" t="n">
        <v>200</v>
      </c>
      <c r="E902" s="14" t="n">
        <v>1130</v>
      </c>
      <c r="F902" s="14" t="n">
        <v>162</v>
      </c>
      <c r="G902" s="14" t="n">
        <v>66</v>
      </c>
      <c r="H902" s="14" t="s">
        <v>62</v>
      </c>
      <c r="I902" s="14" t="n">
        <v>0.57</v>
      </c>
      <c r="J902" s="14" t="n">
        <v>6</v>
      </c>
      <c r="K902" s="14" t="s">
        <v>59</v>
      </c>
      <c r="L902" s="14" t="n">
        <v>2016</v>
      </c>
      <c r="M902" s="14" t="n">
        <v>7.02997291170639</v>
      </c>
      <c r="N902" s="14" t="n">
        <v>5.29836736529808</v>
      </c>
      <c r="P902" s="14" t="n">
        <f aca="false">D902</f>
        <v>200</v>
      </c>
      <c r="Q902" s="14" t="n">
        <f aca="false">G902</f>
        <v>66</v>
      </c>
      <c r="R902" s="14" t="n">
        <f aca="false">J902</f>
        <v>6</v>
      </c>
      <c r="S902" s="14" t="n">
        <f aca="false">IF($L902=2012,1,0)</f>
        <v>0</v>
      </c>
      <c r="T902" s="14" t="n">
        <f aca="false">IF($L902=2013,1,0)</f>
        <v>0</v>
      </c>
      <c r="U902" s="14" t="n">
        <f aca="false">IF($L902=2014,1,0)</f>
        <v>0</v>
      </c>
      <c r="V902" s="14" t="n">
        <f aca="false">IF($L902=2015,1,0)</f>
        <v>0</v>
      </c>
      <c r="W902" s="14" t="n">
        <f aca="false">IF($L902=2016,1,0)</f>
        <v>1</v>
      </c>
      <c r="X902" s="14" t="n">
        <f aca="false">IF($L902=2017,1,0)</f>
        <v>0</v>
      </c>
      <c r="Y902" s="14" t="n">
        <f aca="false">IF($H902="Beginner Level",1,0)</f>
        <v>0</v>
      </c>
      <c r="Z902" s="14" t="n">
        <f aca="false">IF($H902="Expert Level",1,0)</f>
        <v>0</v>
      </c>
      <c r="AA902" s="14" t="n">
        <f aca="false">IF($H902="Intermediate Level",1,0)</f>
        <v>0</v>
      </c>
      <c r="AC902" s="14" t="n">
        <f aca="false">N902</f>
        <v>5.29836736529808</v>
      </c>
      <c r="AD902" s="14" t="n">
        <f aca="false">G902</f>
        <v>66</v>
      </c>
      <c r="AE902" s="14" t="n">
        <f aca="false">J902</f>
        <v>6</v>
      </c>
      <c r="AF902" s="14" t="n">
        <f aca="false">IF($L902=2012,1,0)</f>
        <v>0</v>
      </c>
      <c r="AG902" s="14" t="n">
        <f aca="false">IF($L902=2013,1,0)</f>
        <v>0</v>
      </c>
      <c r="AH902" s="14" t="n">
        <f aca="false">IF($L902=2014,1,0)</f>
        <v>0</v>
      </c>
      <c r="AI902" s="14" t="n">
        <f aca="false">IF($L902=2015,1,0)</f>
        <v>0</v>
      </c>
      <c r="AJ902" s="14" t="n">
        <f aca="false">IF($L902=2016,1,0)</f>
        <v>1</v>
      </c>
      <c r="AK902" s="14" t="n">
        <f aca="false">IF($L902=2017,1,0)</f>
        <v>0</v>
      </c>
      <c r="AL902" s="14" t="n">
        <f aca="false">IF($H902="Beginner Level",1,0)</f>
        <v>0</v>
      </c>
      <c r="AM902" s="14" t="n">
        <f aca="false">IF($H902="Expert Level",1,0)</f>
        <v>0</v>
      </c>
      <c r="AN902" s="14" t="n">
        <f aca="false">IF($H902="Intermediate Level",1,0)</f>
        <v>0</v>
      </c>
    </row>
    <row r="903" customFormat="false" ht="79.85" hidden="false" customHeight="false" outlineLevel="0" collapsed="false">
      <c r="A903" s="14" t="n">
        <v>1006894</v>
      </c>
      <c r="B903" s="14" t="s">
        <v>1848</v>
      </c>
      <c r="C903" s="14" t="s">
        <v>1849</v>
      </c>
      <c r="D903" s="14" t="n">
        <v>50</v>
      </c>
      <c r="E903" s="14" t="n">
        <v>1129</v>
      </c>
      <c r="F903" s="14" t="n">
        <v>137</v>
      </c>
      <c r="G903" s="14" t="n">
        <v>77</v>
      </c>
      <c r="H903" s="14" t="s">
        <v>62</v>
      </c>
      <c r="I903" s="14" t="n">
        <v>0.96</v>
      </c>
      <c r="J903" s="14" t="n">
        <v>17.5</v>
      </c>
      <c r="K903" s="14" t="s">
        <v>59</v>
      </c>
      <c r="L903" s="14" t="n">
        <v>2016</v>
      </c>
      <c r="M903" s="14" t="n">
        <v>7.02908756414966</v>
      </c>
      <c r="N903" s="14" t="n">
        <v>3.91222298543081</v>
      </c>
      <c r="P903" s="14" t="n">
        <f aca="false">D903</f>
        <v>50</v>
      </c>
      <c r="Q903" s="14" t="n">
        <f aca="false">G903</f>
        <v>77</v>
      </c>
      <c r="R903" s="14" t="n">
        <f aca="false">J903</f>
        <v>17.5</v>
      </c>
      <c r="S903" s="14" t="n">
        <f aca="false">IF($L903=2012,1,0)</f>
        <v>0</v>
      </c>
      <c r="T903" s="14" t="n">
        <f aca="false">IF($L903=2013,1,0)</f>
        <v>0</v>
      </c>
      <c r="U903" s="14" t="n">
        <f aca="false">IF($L903=2014,1,0)</f>
        <v>0</v>
      </c>
      <c r="V903" s="14" t="n">
        <f aca="false">IF($L903=2015,1,0)</f>
        <v>0</v>
      </c>
      <c r="W903" s="14" t="n">
        <f aca="false">IF($L903=2016,1,0)</f>
        <v>1</v>
      </c>
      <c r="X903" s="14" t="n">
        <f aca="false">IF($L903=2017,1,0)</f>
        <v>0</v>
      </c>
      <c r="Y903" s="14" t="n">
        <f aca="false">IF($H903="Beginner Level",1,0)</f>
        <v>0</v>
      </c>
      <c r="Z903" s="14" t="n">
        <f aca="false">IF($H903="Expert Level",1,0)</f>
        <v>0</v>
      </c>
      <c r="AA903" s="14" t="n">
        <f aca="false">IF($H903="Intermediate Level",1,0)</f>
        <v>0</v>
      </c>
      <c r="AC903" s="14" t="n">
        <f aca="false">N903</f>
        <v>3.91222298543081</v>
      </c>
      <c r="AD903" s="14" t="n">
        <f aca="false">G903</f>
        <v>77</v>
      </c>
      <c r="AE903" s="14" t="n">
        <f aca="false">J903</f>
        <v>17.5</v>
      </c>
      <c r="AF903" s="14" t="n">
        <f aca="false">IF($L903=2012,1,0)</f>
        <v>0</v>
      </c>
      <c r="AG903" s="14" t="n">
        <f aca="false">IF($L903=2013,1,0)</f>
        <v>0</v>
      </c>
      <c r="AH903" s="14" t="n">
        <f aca="false">IF($L903=2014,1,0)</f>
        <v>0</v>
      </c>
      <c r="AI903" s="14" t="n">
        <f aca="false">IF($L903=2015,1,0)</f>
        <v>0</v>
      </c>
      <c r="AJ903" s="14" t="n">
        <f aca="false">IF($L903=2016,1,0)</f>
        <v>1</v>
      </c>
      <c r="AK903" s="14" t="n">
        <f aca="false">IF($L903=2017,1,0)</f>
        <v>0</v>
      </c>
      <c r="AL903" s="14" t="n">
        <f aca="false">IF($H903="Beginner Level",1,0)</f>
        <v>0</v>
      </c>
      <c r="AM903" s="14" t="n">
        <f aca="false">IF($H903="Expert Level",1,0)</f>
        <v>0</v>
      </c>
      <c r="AN903" s="14" t="n">
        <f aca="false">IF($H903="Intermediate Level",1,0)</f>
        <v>0</v>
      </c>
    </row>
    <row r="904" customFormat="false" ht="79.85" hidden="false" customHeight="false" outlineLevel="0" collapsed="false">
      <c r="A904" s="14" t="n">
        <v>25615</v>
      </c>
      <c r="B904" s="14" t="s">
        <v>1850</v>
      </c>
      <c r="C904" s="14" t="s">
        <v>1851</v>
      </c>
      <c r="D904" s="14" t="n">
        <v>20</v>
      </c>
      <c r="E904" s="14" t="n">
        <v>1128</v>
      </c>
      <c r="F904" s="14" t="n">
        <v>77</v>
      </c>
      <c r="G904" s="14" t="n">
        <v>36</v>
      </c>
      <c r="H904" s="14" t="s">
        <v>52</v>
      </c>
      <c r="I904" s="14" t="n">
        <v>0.96</v>
      </c>
      <c r="J904" s="14" t="n">
        <v>2</v>
      </c>
      <c r="K904" s="14" t="s">
        <v>59</v>
      </c>
      <c r="L904" s="14" t="n">
        <v>2012</v>
      </c>
      <c r="M904" s="14" t="n">
        <v>7.02820143205801</v>
      </c>
      <c r="N904" s="14" t="n">
        <v>2.99623214859564</v>
      </c>
      <c r="P904" s="14" t="n">
        <f aca="false">D904</f>
        <v>20</v>
      </c>
      <c r="Q904" s="14" t="n">
        <f aca="false">G904</f>
        <v>36</v>
      </c>
      <c r="R904" s="14" t="n">
        <f aca="false">J904</f>
        <v>2</v>
      </c>
      <c r="S904" s="14" t="n">
        <f aca="false">IF($L904=2012,1,0)</f>
        <v>1</v>
      </c>
      <c r="T904" s="14" t="n">
        <f aca="false">IF($L904=2013,1,0)</f>
        <v>0</v>
      </c>
      <c r="U904" s="14" t="n">
        <f aca="false">IF($L904=2014,1,0)</f>
        <v>0</v>
      </c>
      <c r="V904" s="14" t="n">
        <f aca="false">IF($L904=2015,1,0)</f>
        <v>0</v>
      </c>
      <c r="W904" s="14" t="n">
        <f aca="false">IF($L904=2016,1,0)</f>
        <v>0</v>
      </c>
      <c r="X904" s="14" t="n">
        <f aca="false">IF($L904=2017,1,0)</f>
        <v>0</v>
      </c>
      <c r="Y904" s="14" t="n">
        <f aca="false">IF($H904="Beginner Level",1,0)</f>
        <v>1</v>
      </c>
      <c r="Z904" s="14" t="n">
        <f aca="false">IF($H904="Expert Level",1,0)</f>
        <v>0</v>
      </c>
      <c r="AA904" s="14" t="n">
        <f aca="false">IF($H904="Intermediate Level",1,0)</f>
        <v>0</v>
      </c>
      <c r="AC904" s="14" t="n">
        <f aca="false">N904</f>
        <v>2.99623214859564</v>
      </c>
      <c r="AD904" s="14" t="n">
        <f aca="false">G904</f>
        <v>36</v>
      </c>
      <c r="AE904" s="14" t="n">
        <f aca="false">J904</f>
        <v>2</v>
      </c>
      <c r="AF904" s="14" t="n">
        <f aca="false">IF($L904=2012,1,0)</f>
        <v>1</v>
      </c>
      <c r="AG904" s="14" t="n">
        <f aca="false">IF($L904=2013,1,0)</f>
        <v>0</v>
      </c>
      <c r="AH904" s="14" t="n">
        <f aca="false">IF($L904=2014,1,0)</f>
        <v>0</v>
      </c>
      <c r="AI904" s="14" t="n">
        <f aca="false">IF($L904=2015,1,0)</f>
        <v>0</v>
      </c>
      <c r="AJ904" s="14" t="n">
        <f aca="false">IF($L904=2016,1,0)</f>
        <v>0</v>
      </c>
      <c r="AK904" s="14" t="n">
        <f aca="false">IF($L904=2017,1,0)</f>
        <v>0</v>
      </c>
      <c r="AL904" s="14" t="n">
        <f aca="false">IF($H904="Beginner Level",1,0)</f>
        <v>1</v>
      </c>
      <c r="AM904" s="14" t="n">
        <f aca="false">IF($H904="Expert Level",1,0)</f>
        <v>0</v>
      </c>
      <c r="AN904" s="14" t="n">
        <f aca="false">IF($H904="Intermediate Level",1,0)</f>
        <v>0</v>
      </c>
    </row>
    <row r="905" customFormat="false" ht="79.85" hidden="false" customHeight="false" outlineLevel="0" collapsed="false">
      <c r="A905" s="14" t="n">
        <v>1111552</v>
      </c>
      <c r="B905" s="14" t="s">
        <v>1852</v>
      </c>
      <c r="C905" s="14" t="s">
        <v>1853</v>
      </c>
      <c r="D905" s="14" t="n">
        <v>20</v>
      </c>
      <c r="E905" s="14" t="n">
        <v>1126</v>
      </c>
      <c r="F905" s="14" t="n">
        <v>10</v>
      </c>
      <c r="G905" s="14" t="n">
        <v>12</v>
      </c>
      <c r="H905" s="14" t="s">
        <v>71</v>
      </c>
      <c r="I905" s="14" t="n">
        <v>0.96</v>
      </c>
      <c r="J905" s="14" t="n">
        <v>1</v>
      </c>
      <c r="K905" s="14" t="s">
        <v>59</v>
      </c>
      <c r="L905" s="14" t="n">
        <v>2017</v>
      </c>
      <c r="M905" s="14" t="n">
        <v>7.02642680869964</v>
      </c>
      <c r="N905" s="14" t="n">
        <v>2.99623214859564</v>
      </c>
      <c r="P905" s="14" t="n">
        <f aca="false">D905</f>
        <v>20</v>
      </c>
      <c r="Q905" s="14" t="n">
        <f aca="false">G905</f>
        <v>12</v>
      </c>
      <c r="R905" s="14" t="n">
        <f aca="false">J905</f>
        <v>1</v>
      </c>
      <c r="S905" s="14" t="n">
        <f aca="false">IF($L905=2012,1,0)</f>
        <v>0</v>
      </c>
      <c r="T905" s="14" t="n">
        <f aca="false">IF($L905=2013,1,0)</f>
        <v>0</v>
      </c>
      <c r="U905" s="14" t="n">
        <f aca="false">IF($L905=2014,1,0)</f>
        <v>0</v>
      </c>
      <c r="V905" s="14" t="n">
        <f aca="false">IF($L905=2015,1,0)</f>
        <v>0</v>
      </c>
      <c r="W905" s="14" t="n">
        <f aca="false">IF($L905=2016,1,0)</f>
        <v>0</v>
      </c>
      <c r="X905" s="14" t="n">
        <f aca="false">IF($L905=2017,1,0)</f>
        <v>1</v>
      </c>
      <c r="Y905" s="14" t="n">
        <f aca="false">IF($H905="Beginner Level",1,0)</f>
        <v>0</v>
      </c>
      <c r="Z905" s="14" t="n">
        <f aca="false">IF($H905="Expert Level",1,0)</f>
        <v>0</v>
      </c>
      <c r="AA905" s="14" t="n">
        <f aca="false">IF($H905="Intermediate Level",1,0)</f>
        <v>1</v>
      </c>
      <c r="AC905" s="14" t="n">
        <f aca="false">N905</f>
        <v>2.99623214859564</v>
      </c>
      <c r="AD905" s="14" t="n">
        <f aca="false">G905</f>
        <v>12</v>
      </c>
      <c r="AE905" s="14" t="n">
        <f aca="false">J905</f>
        <v>1</v>
      </c>
      <c r="AF905" s="14" t="n">
        <f aca="false">IF($L905=2012,1,0)</f>
        <v>0</v>
      </c>
      <c r="AG905" s="14" t="n">
        <f aca="false">IF($L905=2013,1,0)</f>
        <v>0</v>
      </c>
      <c r="AH905" s="14" t="n">
        <f aca="false">IF($L905=2014,1,0)</f>
        <v>0</v>
      </c>
      <c r="AI905" s="14" t="n">
        <f aca="false">IF($L905=2015,1,0)</f>
        <v>0</v>
      </c>
      <c r="AJ905" s="14" t="n">
        <f aca="false">IF($L905=2016,1,0)</f>
        <v>0</v>
      </c>
      <c r="AK905" s="14" t="n">
        <f aca="false">IF($L905=2017,1,0)</f>
        <v>1</v>
      </c>
      <c r="AL905" s="14" t="n">
        <f aca="false">IF($H905="Beginner Level",1,0)</f>
        <v>0</v>
      </c>
      <c r="AM905" s="14" t="n">
        <f aca="false">IF($H905="Expert Level",1,0)</f>
        <v>0</v>
      </c>
      <c r="AN905" s="14" t="n">
        <f aca="false">IF($H905="Intermediate Level",1,0)</f>
        <v>1</v>
      </c>
    </row>
    <row r="906" customFormat="false" ht="57.45" hidden="false" customHeight="false" outlineLevel="0" collapsed="false">
      <c r="A906" s="14" t="n">
        <v>814848</v>
      </c>
      <c r="B906" s="14" t="s">
        <v>1854</v>
      </c>
      <c r="C906" s="14" t="s">
        <v>1855</v>
      </c>
      <c r="D906" s="14" t="n">
        <v>50</v>
      </c>
      <c r="E906" s="14" t="n">
        <v>1125</v>
      </c>
      <c r="F906" s="14" t="n">
        <v>10</v>
      </c>
      <c r="G906" s="14" t="n">
        <v>45</v>
      </c>
      <c r="H906" s="14" t="s">
        <v>52</v>
      </c>
      <c r="I906" s="14" t="n">
        <v>0.96</v>
      </c>
      <c r="J906" s="14" t="n">
        <v>3.5</v>
      </c>
      <c r="K906" s="14" t="s">
        <v>59</v>
      </c>
      <c r="L906" s="14" t="n">
        <v>2016</v>
      </c>
      <c r="M906" s="14" t="n">
        <v>7.02553831463852</v>
      </c>
      <c r="N906" s="14" t="n">
        <v>3.91222298543081</v>
      </c>
      <c r="P906" s="14" t="n">
        <f aca="false">D906</f>
        <v>50</v>
      </c>
      <c r="Q906" s="14" t="n">
        <f aca="false">G906</f>
        <v>45</v>
      </c>
      <c r="R906" s="14" t="n">
        <f aca="false">J906</f>
        <v>3.5</v>
      </c>
      <c r="S906" s="14" t="n">
        <f aca="false">IF($L906=2012,1,0)</f>
        <v>0</v>
      </c>
      <c r="T906" s="14" t="n">
        <f aca="false">IF($L906=2013,1,0)</f>
        <v>0</v>
      </c>
      <c r="U906" s="14" t="n">
        <f aca="false">IF($L906=2014,1,0)</f>
        <v>0</v>
      </c>
      <c r="V906" s="14" t="n">
        <f aca="false">IF($L906=2015,1,0)</f>
        <v>0</v>
      </c>
      <c r="W906" s="14" t="n">
        <f aca="false">IF($L906=2016,1,0)</f>
        <v>1</v>
      </c>
      <c r="X906" s="14" t="n">
        <f aca="false">IF($L906=2017,1,0)</f>
        <v>0</v>
      </c>
      <c r="Y906" s="14" t="n">
        <f aca="false">IF($H906="Beginner Level",1,0)</f>
        <v>1</v>
      </c>
      <c r="Z906" s="14" t="n">
        <f aca="false">IF($H906="Expert Level",1,0)</f>
        <v>0</v>
      </c>
      <c r="AA906" s="14" t="n">
        <f aca="false">IF($H906="Intermediate Level",1,0)</f>
        <v>0</v>
      </c>
      <c r="AC906" s="14" t="n">
        <f aca="false">N906</f>
        <v>3.91222298543081</v>
      </c>
      <c r="AD906" s="14" t="n">
        <f aca="false">G906</f>
        <v>45</v>
      </c>
      <c r="AE906" s="14" t="n">
        <f aca="false">J906</f>
        <v>3.5</v>
      </c>
      <c r="AF906" s="14" t="n">
        <f aca="false">IF($L906=2012,1,0)</f>
        <v>0</v>
      </c>
      <c r="AG906" s="14" t="n">
        <f aca="false">IF($L906=2013,1,0)</f>
        <v>0</v>
      </c>
      <c r="AH906" s="14" t="n">
        <f aca="false">IF($L906=2014,1,0)</f>
        <v>0</v>
      </c>
      <c r="AI906" s="14" t="n">
        <f aca="false">IF($L906=2015,1,0)</f>
        <v>0</v>
      </c>
      <c r="AJ906" s="14" t="n">
        <f aca="false">IF($L906=2016,1,0)</f>
        <v>1</v>
      </c>
      <c r="AK906" s="14" t="n">
        <f aca="false">IF($L906=2017,1,0)</f>
        <v>0</v>
      </c>
      <c r="AL906" s="14" t="n">
        <f aca="false">IF($H906="Beginner Level",1,0)</f>
        <v>1</v>
      </c>
      <c r="AM906" s="14" t="n">
        <f aca="false">IF($H906="Expert Level",1,0)</f>
        <v>0</v>
      </c>
      <c r="AN906" s="14" t="n">
        <f aca="false">IF($H906="Intermediate Level",1,0)</f>
        <v>0</v>
      </c>
    </row>
    <row r="907" customFormat="false" ht="79.85" hidden="false" customHeight="false" outlineLevel="0" collapsed="false">
      <c r="A907" s="14" t="n">
        <v>1020722</v>
      </c>
      <c r="B907" s="14" t="s">
        <v>1856</v>
      </c>
      <c r="C907" s="14" t="s">
        <v>1857</v>
      </c>
      <c r="D907" s="14" t="n">
        <v>40</v>
      </c>
      <c r="E907" s="14" t="n">
        <v>1122</v>
      </c>
      <c r="F907" s="14" t="n">
        <v>5</v>
      </c>
      <c r="G907" s="14" t="n">
        <v>7</v>
      </c>
      <c r="H907" s="14" t="s">
        <v>71</v>
      </c>
      <c r="I907" s="14" t="n">
        <v>0.96</v>
      </c>
      <c r="J907" s="14" t="n">
        <v>0.58333333</v>
      </c>
      <c r="K907" s="14" t="s">
        <v>59</v>
      </c>
      <c r="L907" s="14" t="n">
        <v>2016</v>
      </c>
      <c r="M907" s="14" t="n">
        <v>7.02286808608264</v>
      </c>
      <c r="N907" s="14" t="n">
        <v>3.68912942286914</v>
      </c>
      <c r="P907" s="14" t="n">
        <f aca="false">D907</f>
        <v>40</v>
      </c>
      <c r="Q907" s="14" t="n">
        <f aca="false">G907</f>
        <v>7</v>
      </c>
      <c r="R907" s="14" t="n">
        <f aca="false">J907</f>
        <v>0.58333333</v>
      </c>
      <c r="S907" s="14" t="n">
        <f aca="false">IF($L907=2012,1,0)</f>
        <v>0</v>
      </c>
      <c r="T907" s="14" t="n">
        <f aca="false">IF($L907=2013,1,0)</f>
        <v>0</v>
      </c>
      <c r="U907" s="14" t="n">
        <f aca="false">IF($L907=2014,1,0)</f>
        <v>0</v>
      </c>
      <c r="V907" s="14" t="n">
        <f aca="false">IF($L907=2015,1,0)</f>
        <v>0</v>
      </c>
      <c r="W907" s="14" t="n">
        <f aca="false">IF($L907=2016,1,0)</f>
        <v>1</v>
      </c>
      <c r="X907" s="14" t="n">
        <f aca="false">IF($L907=2017,1,0)</f>
        <v>0</v>
      </c>
      <c r="Y907" s="14" t="n">
        <f aca="false">IF($H907="Beginner Level",1,0)</f>
        <v>0</v>
      </c>
      <c r="Z907" s="14" t="n">
        <f aca="false">IF($H907="Expert Level",1,0)</f>
        <v>0</v>
      </c>
      <c r="AA907" s="14" t="n">
        <f aca="false">IF($H907="Intermediate Level",1,0)</f>
        <v>1</v>
      </c>
      <c r="AC907" s="14" t="n">
        <f aca="false">N907</f>
        <v>3.68912942286914</v>
      </c>
      <c r="AD907" s="14" t="n">
        <f aca="false">G907</f>
        <v>7</v>
      </c>
      <c r="AE907" s="14" t="n">
        <f aca="false">J907</f>
        <v>0.58333333</v>
      </c>
      <c r="AF907" s="14" t="n">
        <f aca="false">IF($L907=2012,1,0)</f>
        <v>0</v>
      </c>
      <c r="AG907" s="14" t="n">
        <f aca="false">IF($L907=2013,1,0)</f>
        <v>0</v>
      </c>
      <c r="AH907" s="14" t="n">
        <f aca="false">IF($L907=2014,1,0)</f>
        <v>0</v>
      </c>
      <c r="AI907" s="14" t="n">
        <f aca="false">IF($L907=2015,1,0)</f>
        <v>0</v>
      </c>
      <c r="AJ907" s="14" t="n">
        <f aca="false">IF($L907=2016,1,0)</f>
        <v>1</v>
      </c>
      <c r="AK907" s="14" t="n">
        <f aca="false">IF($L907=2017,1,0)</f>
        <v>0</v>
      </c>
      <c r="AL907" s="14" t="n">
        <f aca="false">IF($H907="Beginner Level",1,0)</f>
        <v>0</v>
      </c>
      <c r="AM907" s="14" t="n">
        <f aca="false">IF($H907="Expert Level",1,0)</f>
        <v>0</v>
      </c>
      <c r="AN907" s="14" t="n">
        <f aca="false">IF($H907="Intermediate Level",1,0)</f>
        <v>1</v>
      </c>
    </row>
    <row r="908" customFormat="false" ht="79.85" hidden="false" customHeight="false" outlineLevel="0" collapsed="false">
      <c r="A908" s="14" t="n">
        <v>1115348</v>
      </c>
      <c r="B908" s="14" t="s">
        <v>1858</v>
      </c>
      <c r="C908" s="14" t="s">
        <v>1859</v>
      </c>
      <c r="D908" s="14" t="n">
        <v>195</v>
      </c>
      <c r="E908" s="14" t="n">
        <v>1121</v>
      </c>
      <c r="F908" s="14" t="n">
        <v>174</v>
      </c>
      <c r="G908" s="14" t="n">
        <v>62</v>
      </c>
      <c r="H908" s="14" t="s">
        <v>52</v>
      </c>
      <c r="I908" s="14" t="n">
        <v>0.96</v>
      </c>
      <c r="J908" s="14" t="n">
        <v>5</v>
      </c>
      <c r="K908" s="14" t="s">
        <v>59</v>
      </c>
      <c r="L908" s="14" t="n">
        <v>2017</v>
      </c>
      <c r="M908" s="14" t="n">
        <v>7.02197642307216</v>
      </c>
      <c r="N908" s="14" t="n">
        <v>5.27305083930015</v>
      </c>
      <c r="P908" s="14" t="n">
        <f aca="false">D908</f>
        <v>195</v>
      </c>
      <c r="Q908" s="14" t="n">
        <f aca="false">G908</f>
        <v>62</v>
      </c>
      <c r="R908" s="14" t="n">
        <f aca="false">J908</f>
        <v>5</v>
      </c>
      <c r="S908" s="14" t="n">
        <f aca="false">IF($L908=2012,1,0)</f>
        <v>0</v>
      </c>
      <c r="T908" s="14" t="n">
        <f aca="false">IF($L908=2013,1,0)</f>
        <v>0</v>
      </c>
      <c r="U908" s="14" t="n">
        <f aca="false">IF($L908=2014,1,0)</f>
        <v>0</v>
      </c>
      <c r="V908" s="14" t="n">
        <f aca="false">IF($L908=2015,1,0)</f>
        <v>0</v>
      </c>
      <c r="W908" s="14" t="n">
        <f aca="false">IF($L908=2016,1,0)</f>
        <v>0</v>
      </c>
      <c r="X908" s="14" t="n">
        <f aca="false">IF($L908=2017,1,0)</f>
        <v>1</v>
      </c>
      <c r="Y908" s="14" t="n">
        <f aca="false">IF($H908="Beginner Level",1,0)</f>
        <v>1</v>
      </c>
      <c r="Z908" s="14" t="n">
        <f aca="false">IF($H908="Expert Level",1,0)</f>
        <v>0</v>
      </c>
      <c r="AA908" s="14" t="n">
        <f aca="false">IF($H908="Intermediate Level",1,0)</f>
        <v>0</v>
      </c>
      <c r="AC908" s="14" t="n">
        <f aca="false">N908</f>
        <v>5.27305083930015</v>
      </c>
      <c r="AD908" s="14" t="n">
        <f aca="false">G908</f>
        <v>62</v>
      </c>
      <c r="AE908" s="14" t="n">
        <f aca="false">J908</f>
        <v>5</v>
      </c>
      <c r="AF908" s="14" t="n">
        <f aca="false">IF($L908=2012,1,0)</f>
        <v>0</v>
      </c>
      <c r="AG908" s="14" t="n">
        <f aca="false">IF($L908=2013,1,0)</f>
        <v>0</v>
      </c>
      <c r="AH908" s="14" t="n">
        <f aca="false">IF($L908=2014,1,0)</f>
        <v>0</v>
      </c>
      <c r="AI908" s="14" t="n">
        <f aca="false">IF($L908=2015,1,0)</f>
        <v>0</v>
      </c>
      <c r="AJ908" s="14" t="n">
        <f aca="false">IF($L908=2016,1,0)</f>
        <v>0</v>
      </c>
      <c r="AK908" s="14" t="n">
        <f aca="false">IF($L908=2017,1,0)</f>
        <v>1</v>
      </c>
      <c r="AL908" s="14" t="n">
        <f aca="false">IF($H908="Beginner Level",1,0)</f>
        <v>1</v>
      </c>
      <c r="AM908" s="14" t="n">
        <f aca="false">IF($H908="Expert Level",1,0)</f>
        <v>0</v>
      </c>
      <c r="AN908" s="14" t="n">
        <f aca="false">IF($H908="Intermediate Level",1,0)</f>
        <v>0</v>
      </c>
    </row>
    <row r="909" customFormat="false" ht="79.85" hidden="false" customHeight="false" outlineLevel="0" collapsed="false">
      <c r="A909" s="14" t="n">
        <v>797040</v>
      </c>
      <c r="B909" s="14" t="s">
        <v>1860</v>
      </c>
      <c r="C909" s="14" t="s">
        <v>1861</v>
      </c>
      <c r="D909" s="14" t="n">
        <v>200</v>
      </c>
      <c r="E909" s="14" t="n">
        <v>1119</v>
      </c>
      <c r="F909" s="14" t="n">
        <v>111</v>
      </c>
      <c r="G909" s="14" t="n">
        <v>204</v>
      </c>
      <c r="H909" s="14" t="s">
        <v>52</v>
      </c>
      <c r="I909" s="14" t="n">
        <v>0.96</v>
      </c>
      <c r="J909" s="14" t="n">
        <v>16.5</v>
      </c>
      <c r="K909" s="14" t="s">
        <v>59</v>
      </c>
      <c r="L909" s="14" t="n">
        <v>2016</v>
      </c>
      <c r="M909" s="14" t="n">
        <v>7.02019070831193</v>
      </c>
      <c r="N909" s="14" t="n">
        <v>5.29836736529808</v>
      </c>
      <c r="P909" s="14" t="n">
        <f aca="false">D909</f>
        <v>200</v>
      </c>
      <c r="Q909" s="14" t="n">
        <f aca="false">G909</f>
        <v>204</v>
      </c>
      <c r="R909" s="14" t="n">
        <f aca="false">J909</f>
        <v>16.5</v>
      </c>
      <c r="S909" s="14" t="n">
        <f aca="false">IF($L909=2012,1,0)</f>
        <v>0</v>
      </c>
      <c r="T909" s="14" t="n">
        <f aca="false">IF($L909=2013,1,0)</f>
        <v>0</v>
      </c>
      <c r="U909" s="14" t="n">
        <f aca="false">IF($L909=2014,1,0)</f>
        <v>0</v>
      </c>
      <c r="V909" s="14" t="n">
        <f aca="false">IF($L909=2015,1,0)</f>
        <v>0</v>
      </c>
      <c r="W909" s="14" t="n">
        <f aca="false">IF($L909=2016,1,0)</f>
        <v>1</v>
      </c>
      <c r="X909" s="14" t="n">
        <f aca="false">IF($L909=2017,1,0)</f>
        <v>0</v>
      </c>
      <c r="Y909" s="14" t="n">
        <f aca="false">IF($H909="Beginner Level",1,0)</f>
        <v>1</v>
      </c>
      <c r="Z909" s="14" t="n">
        <f aca="false">IF($H909="Expert Level",1,0)</f>
        <v>0</v>
      </c>
      <c r="AA909" s="14" t="n">
        <f aca="false">IF($H909="Intermediate Level",1,0)</f>
        <v>0</v>
      </c>
      <c r="AC909" s="14" t="n">
        <f aca="false">N909</f>
        <v>5.29836736529808</v>
      </c>
      <c r="AD909" s="14" t="n">
        <f aca="false">G909</f>
        <v>204</v>
      </c>
      <c r="AE909" s="14" t="n">
        <f aca="false">J909</f>
        <v>16.5</v>
      </c>
      <c r="AF909" s="14" t="n">
        <f aca="false">IF($L909=2012,1,0)</f>
        <v>0</v>
      </c>
      <c r="AG909" s="14" t="n">
        <f aca="false">IF($L909=2013,1,0)</f>
        <v>0</v>
      </c>
      <c r="AH909" s="14" t="n">
        <f aca="false">IF($L909=2014,1,0)</f>
        <v>0</v>
      </c>
      <c r="AI909" s="14" t="n">
        <f aca="false">IF($L909=2015,1,0)</f>
        <v>0</v>
      </c>
      <c r="AJ909" s="14" t="n">
        <f aca="false">IF($L909=2016,1,0)</f>
        <v>1</v>
      </c>
      <c r="AK909" s="14" t="n">
        <f aca="false">IF($L909=2017,1,0)</f>
        <v>0</v>
      </c>
      <c r="AL909" s="14" t="n">
        <f aca="false">IF($H909="Beginner Level",1,0)</f>
        <v>1</v>
      </c>
      <c r="AM909" s="14" t="n">
        <f aca="false">IF($H909="Expert Level",1,0)</f>
        <v>0</v>
      </c>
      <c r="AN909" s="14" t="n">
        <f aca="false">IF($H909="Intermediate Level",1,0)</f>
        <v>0</v>
      </c>
    </row>
    <row r="910" customFormat="false" ht="46.25" hidden="false" customHeight="false" outlineLevel="0" collapsed="false">
      <c r="A910" s="14" t="n">
        <v>1236746</v>
      </c>
      <c r="B910" s="14" t="s">
        <v>1862</v>
      </c>
      <c r="C910" s="14" t="s">
        <v>1863</v>
      </c>
      <c r="D910" s="14" t="n">
        <v>200</v>
      </c>
      <c r="E910" s="14" t="n">
        <v>1117</v>
      </c>
      <c r="F910" s="14" t="n">
        <v>10</v>
      </c>
      <c r="G910" s="14" t="n">
        <v>37</v>
      </c>
      <c r="H910" s="14" t="s">
        <v>52</v>
      </c>
      <c r="I910" s="14" t="n">
        <v>0.96</v>
      </c>
      <c r="J910" s="14" t="n">
        <v>2.5</v>
      </c>
      <c r="K910" s="14" t="s">
        <v>59</v>
      </c>
      <c r="L910" s="14" t="n">
        <v>2017</v>
      </c>
      <c r="M910" s="14" t="n">
        <v>7.0184017990692</v>
      </c>
      <c r="N910" s="14" t="n">
        <v>5.29836736529808</v>
      </c>
      <c r="P910" s="14" t="n">
        <f aca="false">D910</f>
        <v>200</v>
      </c>
      <c r="Q910" s="14" t="n">
        <f aca="false">G910</f>
        <v>37</v>
      </c>
      <c r="R910" s="14" t="n">
        <f aca="false">J910</f>
        <v>2.5</v>
      </c>
      <c r="S910" s="14" t="n">
        <f aca="false">IF($L910=2012,1,0)</f>
        <v>0</v>
      </c>
      <c r="T910" s="14" t="n">
        <f aca="false">IF($L910=2013,1,0)</f>
        <v>0</v>
      </c>
      <c r="U910" s="14" t="n">
        <f aca="false">IF($L910=2014,1,0)</f>
        <v>0</v>
      </c>
      <c r="V910" s="14" t="n">
        <f aca="false">IF($L910=2015,1,0)</f>
        <v>0</v>
      </c>
      <c r="W910" s="14" t="n">
        <f aca="false">IF($L910=2016,1,0)</f>
        <v>0</v>
      </c>
      <c r="X910" s="14" t="n">
        <f aca="false">IF($L910=2017,1,0)</f>
        <v>1</v>
      </c>
      <c r="Y910" s="14" t="n">
        <f aca="false">IF($H910="Beginner Level",1,0)</f>
        <v>1</v>
      </c>
      <c r="Z910" s="14" t="n">
        <f aca="false">IF($H910="Expert Level",1,0)</f>
        <v>0</v>
      </c>
      <c r="AA910" s="14" t="n">
        <f aca="false">IF($H910="Intermediate Level",1,0)</f>
        <v>0</v>
      </c>
      <c r="AC910" s="14" t="n">
        <f aca="false">N910</f>
        <v>5.29836736529808</v>
      </c>
      <c r="AD910" s="14" t="n">
        <f aca="false">G910</f>
        <v>37</v>
      </c>
      <c r="AE910" s="14" t="n">
        <f aca="false">J910</f>
        <v>2.5</v>
      </c>
      <c r="AF910" s="14" t="n">
        <f aca="false">IF($L910=2012,1,0)</f>
        <v>0</v>
      </c>
      <c r="AG910" s="14" t="n">
        <f aca="false">IF($L910=2013,1,0)</f>
        <v>0</v>
      </c>
      <c r="AH910" s="14" t="n">
        <f aca="false">IF($L910=2014,1,0)</f>
        <v>0</v>
      </c>
      <c r="AI910" s="14" t="n">
        <f aca="false">IF($L910=2015,1,0)</f>
        <v>0</v>
      </c>
      <c r="AJ910" s="14" t="n">
        <f aca="false">IF($L910=2016,1,0)</f>
        <v>0</v>
      </c>
      <c r="AK910" s="14" t="n">
        <f aca="false">IF($L910=2017,1,0)</f>
        <v>1</v>
      </c>
      <c r="AL910" s="14" t="n">
        <f aca="false">IF($H910="Beginner Level",1,0)</f>
        <v>1</v>
      </c>
      <c r="AM910" s="14" t="n">
        <f aca="false">IF($H910="Expert Level",1,0)</f>
        <v>0</v>
      </c>
      <c r="AN910" s="14" t="n">
        <f aca="false">IF($H910="Intermediate Level",1,0)</f>
        <v>0</v>
      </c>
    </row>
    <row r="911" customFormat="false" ht="91" hidden="false" customHeight="false" outlineLevel="0" collapsed="false">
      <c r="A911" s="14" t="n">
        <v>65355</v>
      </c>
      <c r="B911" s="14" t="s">
        <v>1864</v>
      </c>
      <c r="C911" s="14" t="s">
        <v>1865</v>
      </c>
      <c r="D911" s="14" t="n">
        <v>50</v>
      </c>
      <c r="E911" s="14" t="n">
        <v>1116</v>
      </c>
      <c r="F911" s="14" t="n">
        <v>62</v>
      </c>
      <c r="G911" s="14" t="n">
        <v>51</v>
      </c>
      <c r="H911" s="14" t="s">
        <v>71</v>
      </c>
      <c r="I911" s="14" t="n">
        <v>0.96</v>
      </c>
      <c r="J911" s="14" t="n">
        <v>7.5</v>
      </c>
      <c r="K911" s="14" t="s">
        <v>59</v>
      </c>
      <c r="L911" s="14" t="n">
        <v>2013</v>
      </c>
      <c r="M911" s="14" t="n">
        <v>7.01750614294126</v>
      </c>
      <c r="N911" s="14" t="n">
        <v>3.91222298543081</v>
      </c>
      <c r="P911" s="14" t="n">
        <f aca="false">D911</f>
        <v>50</v>
      </c>
      <c r="Q911" s="14" t="n">
        <f aca="false">G911</f>
        <v>51</v>
      </c>
      <c r="R911" s="14" t="n">
        <f aca="false">J911</f>
        <v>7.5</v>
      </c>
      <c r="S911" s="14" t="n">
        <f aca="false">IF($L911=2012,1,0)</f>
        <v>0</v>
      </c>
      <c r="T911" s="14" t="n">
        <f aca="false">IF($L911=2013,1,0)</f>
        <v>1</v>
      </c>
      <c r="U911" s="14" t="n">
        <f aca="false">IF($L911=2014,1,0)</f>
        <v>0</v>
      </c>
      <c r="V911" s="14" t="n">
        <f aca="false">IF($L911=2015,1,0)</f>
        <v>0</v>
      </c>
      <c r="W911" s="14" t="n">
        <f aca="false">IF($L911=2016,1,0)</f>
        <v>0</v>
      </c>
      <c r="X911" s="14" t="n">
        <f aca="false">IF($L911=2017,1,0)</f>
        <v>0</v>
      </c>
      <c r="Y911" s="14" t="n">
        <f aca="false">IF($H911="Beginner Level",1,0)</f>
        <v>0</v>
      </c>
      <c r="Z911" s="14" t="n">
        <f aca="false">IF($H911="Expert Level",1,0)</f>
        <v>0</v>
      </c>
      <c r="AA911" s="14" t="n">
        <f aca="false">IF($H911="Intermediate Level",1,0)</f>
        <v>1</v>
      </c>
      <c r="AC911" s="14" t="n">
        <f aca="false">N911</f>
        <v>3.91222298543081</v>
      </c>
      <c r="AD911" s="14" t="n">
        <f aca="false">G911</f>
        <v>51</v>
      </c>
      <c r="AE911" s="14" t="n">
        <f aca="false">J911</f>
        <v>7.5</v>
      </c>
      <c r="AF911" s="14" t="n">
        <f aca="false">IF($L911=2012,1,0)</f>
        <v>0</v>
      </c>
      <c r="AG911" s="14" t="n">
        <f aca="false">IF($L911=2013,1,0)</f>
        <v>1</v>
      </c>
      <c r="AH911" s="14" t="n">
        <f aca="false">IF($L911=2014,1,0)</f>
        <v>0</v>
      </c>
      <c r="AI911" s="14" t="n">
        <f aca="false">IF($L911=2015,1,0)</f>
        <v>0</v>
      </c>
      <c r="AJ911" s="14" t="n">
        <f aca="false">IF($L911=2016,1,0)</f>
        <v>0</v>
      </c>
      <c r="AK911" s="14" t="n">
        <f aca="false">IF($L911=2017,1,0)</f>
        <v>0</v>
      </c>
      <c r="AL911" s="14" t="n">
        <f aca="false">IF($H911="Beginner Level",1,0)</f>
        <v>0</v>
      </c>
      <c r="AM911" s="14" t="n">
        <f aca="false">IF($H911="Expert Level",1,0)</f>
        <v>0</v>
      </c>
      <c r="AN911" s="14" t="n">
        <f aca="false">IF($H911="Intermediate Level",1,0)</f>
        <v>1</v>
      </c>
    </row>
    <row r="912" customFormat="false" ht="91" hidden="false" customHeight="false" outlineLevel="0" collapsed="false">
      <c r="A912" s="14" t="n">
        <v>1148412</v>
      </c>
      <c r="B912" s="14" t="s">
        <v>1866</v>
      </c>
      <c r="C912" s="14" t="s">
        <v>1867</v>
      </c>
      <c r="D912" s="14" t="n">
        <v>50</v>
      </c>
      <c r="E912" s="14" t="n">
        <v>1114</v>
      </c>
      <c r="F912" s="14" t="n">
        <v>8</v>
      </c>
      <c r="G912" s="14" t="n">
        <v>23</v>
      </c>
      <c r="H912" s="14" t="s">
        <v>62</v>
      </c>
      <c r="I912" s="14" t="n">
        <v>0.96</v>
      </c>
      <c r="J912" s="14" t="n">
        <v>3</v>
      </c>
      <c r="K912" s="14" t="s">
        <v>59</v>
      </c>
      <c r="L912" s="14" t="n">
        <v>2017</v>
      </c>
      <c r="M912" s="14" t="n">
        <v>7.01571242048723</v>
      </c>
      <c r="N912" s="14" t="n">
        <v>3.91222298543081</v>
      </c>
      <c r="P912" s="14" t="n">
        <f aca="false">D912</f>
        <v>50</v>
      </c>
      <c r="Q912" s="14" t="n">
        <f aca="false">G912</f>
        <v>23</v>
      </c>
      <c r="R912" s="14" t="n">
        <f aca="false">J912</f>
        <v>3</v>
      </c>
      <c r="S912" s="14" t="n">
        <f aca="false">IF($L912=2012,1,0)</f>
        <v>0</v>
      </c>
      <c r="T912" s="14" t="n">
        <f aca="false">IF($L912=2013,1,0)</f>
        <v>0</v>
      </c>
      <c r="U912" s="14" t="n">
        <f aca="false">IF($L912=2014,1,0)</f>
        <v>0</v>
      </c>
      <c r="V912" s="14" t="n">
        <f aca="false">IF($L912=2015,1,0)</f>
        <v>0</v>
      </c>
      <c r="W912" s="14" t="n">
        <f aca="false">IF($L912=2016,1,0)</f>
        <v>0</v>
      </c>
      <c r="X912" s="14" t="n">
        <f aca="false">IF($L912=2017,1,0)</f>
        <v>1</v>
      </c>
      <c r="Y912" s="14" t="n">
        <f aca="false">IF($H912="Beginner Level",1,0)</f>
        <v>0</v>
      </c>
      <c r="Z912" s="14" t="n">
        <f aca="false">IF($H912="Expert Level",1,0)</f>
        <v>0</v>
      </c>
      <c r="AA912" s="14" t="n">
        <f aca="false">IF($H912="Intermediate Level",1,0)</f>
        <v>0</v>
      </c>
      <c r="AC912" s="14" t="n">
        <f aca="false">N912</f>
        <v>3.91222298543081</v>
      </c>
      <c r="AD912" s="14" t="n">
        <f aca="false">G912</f>
        <v>23</v>
      </c>
      <c r="AE912" s="14" t="n">
        <f aca="false">J912</f>
        <v>3</v>
      </c>
      <c r="AF912" s="14" t="n">
        <f aca="false">IF($L912=2012,1,0)</f>
        <v>0</v>
      </c>
      <c r="AG912" s="14" t="n">
        <f aca="false">IF($L912=2013,1,0)</f>
        <v>0</v>
      </c>
      <c r="AH912" s="14" t="n">
        <f aca="false">IF($L912=2014,1,0)</f>
        <v>0</v>
      </c>
      <c r="AI912" s="14" t="n">
        <f aca="false">IF($L912=2015,1,0)</f>
        <v>0</v>
      </c>
      <c r="AJ912" s="14" t="n">
        <f aca="false">IF($L912=2016,1,0)</f>
        <v>0</v>
      </c>
      <c r="AK912" s="14" t="n">
        <f aca="false">IF($L912=2017,1,0)</f>
        <v>1</v>
      </c>
      <c r="AL912" s="14" t="n">
        <f aca="false">IF($H912="Beginner Level",1,0)</f>
        <v>0</v>
      </c>
      <c r="AM912" s="14" t="n">
        <f aca="false">IF($H912="Expert Level",1,0)</f>
        <v>0</v>
      </c>
      <c r="AN912" s="14" t="n">
        <f aca="false">IF($H912="Intermediate Level",1,0)</f>
        <v>0</v>
      </c>
    </row>
    <row r="913" customFormat="false" ht="68.65" hidden="false" customHeight="false" outlineLevel="0" collapsed="false">
      <c r="A913" s="14" t="n">
        <v>774910</v>
      </c>
      <c r="B913" s="14" t="s">
        <v>1868</v>
      </c>
      <c r="C913" s="14" t="s">
        <v>1869</v>
      </c>
      <c r="D913" s="14" t="n">
        <v>200</v>
      </c>
      <c r="E913" s="14" t="n">
        <v>1109</v>
      </c>
      <c r="F913" s="14" t="n">
        <v>13</v>
      </c>
      <c r="G913" s="14" t="n">
        <v>24</v>
      </c>
      <c r="H913" s="14" t="s">
        <v>62</v>
      </c>
      <c r="I913" s="14" t="n">
        <v>0.96</v>
      </c>
      <c r="J913" s="14" t="n">
        <v>2.5</v>
      </c>
      <c r="K913" s="14" t="s">
        <v>59</v>
      </c>
      <c r="L913" s="14" t="n">
        <v>2016</v>
      </c>
      <c r="M913" s="14" t="n">
        <v>7.01121398735037</v>
      </c>
      <c r="N913" s="14" t="n">
        <v>5.29836736529808</v>
      </c>
      <c r="P913" s="14" t="n">
        <f aca="false">D913</f>
        <v>200</v>
      </c>
      <c r="Q913" s="14" t="n">
        <f aca="false">G913</f>
        <v>24</v>
      </c>
      <c r="R913" s="14" t="n">
        <f aca="false">J913</f>
        <v>2.5</v>
      </c>
      <c r="S913" s="14" t="n">
        <f aca="false">IF($L913=2012,1,0)</f>
        <v>0</v>
      </c>
      <c r="T913" s="14" t="n">
        <f aca="false">IF($L913=2013,1,0)</f>
        <v>0</v>
      </c>
      <c r="U913" s="14" t="n">
        <f aca="false">IF($L913=2014,1,0)</f>
        <v>0</v>
      </c>
      <c r="V913" s="14" t="n">
        <f aca="false">IF($L913=2015,1,0)</f>
        <v>0</v>
      </c>
      <c r="W913" s="14" t="n">
        <f aca="false">IF($L913=2016,1,0)</f>
        <v>1</v>
      </c>
      <c r="X913" s="14" t="n">
        <f aca="false">IF($L913=2017,1,0)</f>
        <v>0</v>
      </c>
      <c r="Y913" s="14" t="n">
        <f aca="false">IF($H913="Beginner Level",1,0)</f>
        <v>0</v>
      </c>
      <c r="Z913" s="14" t="n">
        <f aca="false">IF($H913="Expert Level",1,0)</f>
        <v>0</v>
      </c>
      <c r="AA913" s="14" t="n">
        <f aca="false">IF($H913="Intermediate Level",1,0)</f>
        <v>0</v>
      </c>
      <c r="AC913" s="14" t="n">
        <f aca="false">N913</f>
        <v>5.29836736529808</v>
      </c>
      <c r="AD913" s="14" t="n">
        <f aca="false">G913</f>
        <v>24</v>
      </c>
      <c r="AE913" s="14" t="n">
        <f aca="false">J913</f>
        <v>2.5</v>
      </c>
      <c r="AF913" s="14" t="n">
        <f aca="false">IF($L913=2012,1,0)</f>
        <v>0</v>
      </c>
      <c r="AG913" s="14" t="n">
        <f aca="false">IF($L913=2013,1,0)</f>
        <v>0</v>
      </c>
      <c r="AH913" s="14" t="n">
        <f aca="false">IF($L913=2014,1,0)</f>
        <v>0</v>
      </c>
      <c r="AI913" s="14" t="n">
        <f aca="false">IF($L913=2015,1,0)</f>
        <v>0</v>
      </c>
      <c r="AJ913" s="14" t="n">
        <f aca="false">IF($L913=2016,1,0)</f>
        <v>1</v>
      </c>
      <c r="AK913" s="14" t="n">
        <f aca="false">IF($L913=2017,1,0)</f>
        <v>0</v>
      </c>
      <c r="AL913" s="14" t="n">
        <f aca="false">IF($H913="Beginner Level",1,0)</f>
        <v>0</v>
      </c>
      <c r="AM913" s="14" t="n">
        <f aca="false">IF($H913="Expert Level",1,0)</f>
        <v>0</v>
      </c>
      <c r="AN913" s="14" t="n">
        <f aca="false">IF($H913="Intermediate Level",1,0)</f>
        <v>0</v>
      </c>
    </row>
    <row r="914" customFormat="false" ht="91" hidden="false" customHeight="false" outlineLevel="0" collapsed="false">
      <c r="A914" s="14" t="n">
        <v>707682</v>
      </c>
      <c r="B914" s="14" t="s">
        <v>1870</v>
      </c>
      <c r="C914" s="14" t="s">
        <v>1871</v>
      </c>
      <c r="D914" s="14" t="n">
        <v>195</v>
      </c>
      <c r="E914" s="14" t="n">
        <v>1102</v>
      </c>
      <c r="F914" s="14" t="n">
        <v>12</v>
      </c>
      <c r="G914" s="14" t="n">
        <v>21</v>
      </c>
      <c r="H914" s="14" t="s">
        <v>62</v>
      </c>
      <c r="I914" s="14" t="n">
        <v>0.96</v>
      </c>
      <c r="J914" s="14" t="n">
        <v>2</v>
      </c>
      <c r="K914" s="14" t="s">
        <v>59</v>
      </c>
      <c r="L914" s="14" t="n">
        <v>2016</v>
      </c>
      <c r="M914" s="14" t="n">
        <v>7.00488198971286</v>
      </c>
      <c r="N914" s="14" t="n">
        <v>5.27305083930015</v>
      </c>
      <c r="P914" s="14" t="n">
        <f aca="false">D914</f>
        <v>195</v>
      </c>
      <c r="Q914" s="14" t="n">
        <f aca="false">G914</f>
        <v>21</v>
      </c>
      <c r="R914" s="14" t="n">
        <f aca="false">J914</f>
        <v>2</v>
      </c>
      <c r="S914" s="14" t="n">
        <f aca="false">IF($L914=2012,1,0)</f>
        <v>0</v>
      </c>
      <c r="T914" s="14" t="n">
        <f aca="false">IF($L914=2013,1,0)</f>
        <v>0</v>
      </c>
      <c r="U914" s="14" t="n">
        <f aca="false">IF($L914=2014,1,0)</f>
        <v>0</v>
      </c>
      <c r="V914" s="14" t="n">
        <f aca="false">IF($L914=2015,1,0)</f>
        <v>0</v>
      </c>
      <c r="W914" s="14" t="n">
        <f aca="false">IF($L914=2016,1,0)</f>
        <v>1</v>
      </c>
      <c r="X914" s="14" t="n">
        <f aca="false">IF($L914=2017,1,0)</f>
        <v>0</v>
      </c>
      <c r="Y914" s="14" t="n">
        <f aca="false">IF($H914="Beginner Level",1,0)</f>
        <v>0</v>
      </c>
      <c r="Z914" s="14" t="n">
        <f aca="false">IF($H914="Expert Level",1,0)</f>
        <v>0</v>
      </c>
      <c r="AA914" s="14" t="n">
        <f aca="false">IF($H914="Intermediate Level",1,0)</f>
        <v>0</v>
      </c>
      <c r="AC914" s="14" t="n">
        <f aca="false">N914</f>
        <v>5.27305083930015</v>
      </c>
      <c r="AD914" s="14" t="n">
        <f aca="false">G914</f>
        <v>21</v>
      </c>
      <c r="AE914" s="14" t="n">
        <f aca="false">J914</f>
        <v>2</v>
      </c>
      <c r="AF914" s="14" t="n">
        <f aca="false">IF($L914=2012,1,0)</f>
        <v>0</v>
      </c>
      <c r="AG914" s="14" t="n">
        <f aca="false">IF($L914=2013,1,0)</f>
        <v>0</v>
      </c>
      <c r="AH914" s="14" t="n">
        <f aca="false">IF($L914=2014,1,0)</f>
        <v>0</v>
      </c>
      <c r="AI914" s="14" t="n">
        <f aca="false">IF($L914=2015,1,0)</f>
        <v>0</v>
      </c>
      <c r="AJ914" s="14" t="n">
        <f aca="false">IF($L914=2016,1,0)</f>
        <v>1</v>
      </c>
      <c r="AK914" s="14" t="n">
        <f aca="false">IF($L914=2017,1,0)</f>
        <v>0</v>
      </c>
      <c r="AL914" s="14" t="n">
        <f aca="false">IF($H914="Beginner Level",1,0)</f>
        <v>0</v>
      </c>
      <c r="AM914" s="14" t="n">
        <f aca="false">IF($H914="Expert Level",1,0)</f>
        <v>0</v>
      </c>
      <c r="AN914" s="14" t="n">
        <f aca="false">IF($H914="Intermediate Level",1,0)</f>
        <v>0</v>
      </c>
    </row>
    <row r="915" customFormat="false" ht="46.25" hidden="false" customHeight="false" outlineLevel="0" collapsed="false">
      <c r="A915" s="14" t="n">
        <v>633606</v>
      </c>
      <c r="B915" s="14" t="s">
        <v>1872</v>
      </c>
      <c r="C915" s="14" t="s">
        <v>1873</v>
      </c>
      <c r="D915" s="14" t="n">
        <v>20</v>
      </c>
      <c r="E915" s="14" t="n">
        <v>1098</v>
      </c>
      <c r="F915" s="14" t="n">
        <v>15</v>
      </c>
      <c r="G915" s="14" t="n">
        <v>54</v>
      </c>
      <c r="H915" s="14" t="s">
        <v>52</v>
      </c>
      <c r="I915" s="14" t="n">
        <v>0.96</v>
      </c>
      <c r="J915" s="14" t="n">
        <v>2.5</v>
      </c>
      <c r="K915" s="14" t="s">
        <v>59</v>
      </c>
      <c r="L915" s="14" t="n">
        <v>2015</v>
      </c>
      <c r="M915" s="14" t="n">
        <v>7.00124562206948</v>
      </c>
      <c r="N915" s="14" t="n">
        <v>2.99623214859564</v>
      </c>
      <c r="P915" s="14" t="n">
        <f aca="false">D915</f>
        <v>20</v>
      </c>
      <c r="Q915" s="14" t="n">
        <f aca="false">G915</f>
        <v>54</v>
      </c>
      <c r="R915" s="14" t="n">
        <f aca="false">J915</f>
        <v>2.5</v>
      </c>
      <c r="S915" s="14" t="n">
        <f aca="false">IF($L915=2012,1,0)</f>
        <v>0</v>
      </c>
      <c r="T915" s="14" t="n">
        <f aca="false">IF($L915=2013,1,0)</f>
        <v>0</v>
      </c>
      <c r="U915" s="14" t="n">
        <f aca="false">IF($L915=2014,1,0)</f>
        <v>0</v>
      </c>
      <c r="V915" s="14" t="n">
        <f aca="false">IF($L915=2015,1,0)</f>
        <v>1</v>
      </c>
      <c r="W915" s="14" t="n">
        <f aca="false">IF($L915=2016,1,0)</f>
        <v>0</v>
      </c>
      <c r="X915" s="14" t="n">
        <f aca="false">IF($L915=2017,1,0)</f>
        <v>0</v>
      </c>
      <c r="Y915" s="14" t="n">
        <f aca="false">IF($H915="Beginner Level",1,0)</f>
        <v>1</v>
      </c>
      <c r="Z915" s="14" t="n">
        <f aca="false">IF($H915="Expert Level",1,0)</f>
        <v>0</v>
      </c>
      <c r="AA915" s="14" t="n">
        <f aca="false">IF($H915="Intermediate Level",1,0)</f>
        <v>0</v>
      </c>
      <c r="AC915" s="14" t="n">
        <f aca="false">N915</f>
        <v>2.99623214859564</v>
      </c>
      <c r="AD915" s="14" t="n">
        <f aca="false">G915</f>
        <v>54</v>
      </c>
      <c r="AE915" s="14" t="n">
        <f aca="false">J915</f>
        <v>2.5</v>
      </c>
      <c r="AF915" s="14" t="n">
        <f aca="false">IF($L915=2012,1,0)</f>
        <v>0</v>
      </c>
      <c r="AG915" s="14" t="n">
        <f aca="false">IF($L915=2013,1,0)</f>
        <v>0</v>
      </c>
      <c r="AH915" s="14" t="n">
        <f aca="false">IF($L915=2014,1,0)</f>
        <v>0</v>
      </c>
      <c r="AI915" s="14" t="n">
        <f aca="false">IF($L915=2015,1,0)</f>
        <v>1</v>
      </c>
      <c r="AJ915" s="14" t="n">
        <f aca="false">IF($L915=2016,1,0)</f>
        <v>0</v>
      </c>
      <c r="AK915" s="14" t="n">
        <f aca="false">IF($L915=2017,1,0)</f>
        <v>0</v>
      </c>
      <c r="AL915" s="14" t="n">
        <f aca="false">IF($H915="Beginner Level",1,0)</f>
        <v>1</v>
      </c>
      <c r="AM915" s="14" t="n">
        <f aca="false">IF($H915="Expert Level",1,0)</f>
        <v>0</v>
      </c>
      <c r="AN915" s="14" t="n">
        <f aca="false">IF($H915="Intermediate Level",1,0)</f>
        <v>0</v>
      </c>
    </row>
    <row r="916" customFormat="false" ht="35.05" hidden="false" customHeight="false" outlineLevel="0" collapsed="false">
      <c r="A916" s="14" t="n">
        <v>58653</v>
      </c>
      <c r="B916" s="14" t="s">
        <v>1874</v>
      </c>
      <c r="C916" s="14" t="s">
        <v>1875</v>
      </c>
      <c r="D916" s="14" t="n">
        <v>50</v>
      </c>
      <c r="E916" s="14" t="n">
        <v>1096</v>
      </c>
      <c r="F916" s="14" t="n">
        <v>33</v>
      </c>
      <c r="G916" s="14" t="n">
        <v>10</v>
      </c>
      <c r="H916" s="14" t="s">
        <v>52</v>
      </c>
      <c r="I916" s="14" t="n">
        <v>0.96</v>
      </c>
      <c r="J916" s="14" t="n">
        <v>1</v>
      </c>
      <c r="K916" s="14" t="s">
        <v>59</v>
      </c>
      <c r="L916" s="14" t="n">
        <v>2013</v>
      </c>
      <c r="M916" s="14" t="n">
        <v>6.99942246750796</v>
      </c>
      <c r="N916" s="14" t="n">
        <v>3.91222298543081</v>
      </c>
      <c r="P916" s="14" t="n">
        <f aca="false">D916</f>
        <v>50</v>
      </c>
      <c r="Q916" s="14" t="n">
        <f aca="false">G916</f>
        <v>10</v>
      </c>
      <c r="R916" s="14" t="n">
        <f aca="false">J916</f>
        <v>1</v>
      </c>
      <c r="S916" s="14" t="n">
        <f aca="false">IF($L916=2012,1,0)</f>
        <v>0</v>
      </c>
      <c r="T916" s="14" t="n">
        <f aca="false">IF($L916=2013,1,0)</f>
        <v>1</v>
      </c>
      <c r="U916" s="14" t="n">
        <f aca="false">IF($L916=2014,1,0)</f>
        <v>0</v>
      </c>
      <c r="V916" s="14" t="n">
        <f aca="false">IF($L916=2015,1,0)</f>
        <v>0</v>
      </c>
      <c r="W916" s="14" t="n">
        <f aca="false">IF($L916=2016,1,0)</f>
        <v>0</v>
      </c>
      <c r="X916" s="14" t="n">
        <f aca="false">IF($L916=2017,1,0)</f>
        <v>0</v>
      </c>
      <c r="Y916" s="14" t="n">
        <f aca="false">IF($H916="Beginner Level",1,0)</f>
        <v>1</v>
      </c>
      <c r="Z916" s="14" t="n">
        <f aca="false">IF($H916="Expert Level",1,0)</f>
        <v>0</v>
      </c>
      <c r="AA916" s="14" t="n">
        <f aca="false">IF($H916="Intermediate Level",1,0)</f>
        <v>0</v>
      </c>
      <c r="AC916" s="14" t="n">
        <f aca="false">N916</f>
        <v>3.91222298543081</v>
      </c>
      <c r="AD916" s="14" t="n">
        <f aca="false">G916</f>
        <v>10</v>
      </c>
      <c r="AE916" s="14" t="n">
        <f aca="false">J916</f>
        <v>1</v>
      </c>
      <c r="AF916" s="14" t="n">
        <f aca="false">IF($L916=2012,1,0)</f>
        <v>0</v>
      </c>
      <c r="AG916" s="14" t="n">
        <f aca="false">IF($L916=2013,1,0)</f>
        <v>1</v>
      </c>
      <c r="AH916" s="14" t="n">
        <f aca="false">IF($L916=2014,1,0)</f>
        <v>0</v>
      </c>
      <c r="AI916" s="14" t="n">
        <f aca="false">IF($L916=2015,1,0)</f>
        <v>0</v>
      </c>
      <c r="AJ916" s="14" t="n">
        <f aca="false">IF($L916=2016,1,0)</f>
        <v>0</v>
      </c>
      <c r="AK916" s="14" t="n">
        <f aca="false">IF($L916=2017,1,0)</f>
        <v>0</v>
      </c>
      <c r="AL916" s="14" t="n">
        <f aca="false">IF($H916="Beginner Level",1,0)</f>
        <v>1</v>
      </c>
      <c r="AM916" s="14" t="n">
        <f aca="false">IF($H916="Expert Level",1,0)</f>
        <v>0</v>
      </c>
      <c r="AN916" s="14" t="n">
        <f aca="false">IF($H916="Intermediate Level",1,0)</f>
        <v>0</v>
      </c>
    </row>
    <row r="917" customFormat="false" ht="57.45" hidden="false" customHeight="false" outlineLevel="0" collapsed="false">
      <c r="A917" s="14" t="n">
        <v>1101204</v>
      </c>
      <c r="B917" s="14" t="s">
        <v>1876</v>
      </c>
      <c r="C917" s="14" t="s">
        <v>1877</v>
      </c>
      <c r="D917" s="14" t="n">
        <v>85</v>
      </c>
      <c r="E917" s="14" t="n">
        <v>1096</v>
      </c>
      <c r="F917" s="14" t="n">
        <v>8</v>
      </c>
      <c r="G917" s="14" t="n">
        <v>7</v>
      </c>
      <c r="H917" s="14" t="s">
        <v>62</v>
      </c>
      <c r="I917" s="14" t="n">
        <v>0.96</v>
      </c>
      <c r="J917" s="14" t="n">
        <v>0.63333333</v>
      </c>
      <c r="K917" s="14" t="s">
        <v>59</v>
      </c>
      <c r="L917" s="14" t="n">
        <v>2017</v>
      </c>
      <c r="M917" s="14" t="n">
        <v>6.99942246750796</v>
      </c>
      <c r="N917" s="14" t="n">
        <v>4.44276889662927</v>
      </c>
      <c r="P917" s="14" t="n">
        <f aca="false">D917</f>
        <v>85</v>
      </c>
      <c r="Q917" s="14" t="n">
        <f aca="false">G917</f>
        <v>7</v>
      </c>
      <c r="R917" s="14" t="n">
        <f aca="false">J917</f>
        <v>0.63333333</v>
      </c>
      <c r="S917" s="14" t="n">
        <f aca="false">IF($L917=2012,1,0)</f>
        <v>0</v>
      </c>
      <c r="T917" s="14" t="n">
        <f aca="false">IF($L917=2013,1,0)</f>
        <v>0</v>
      </c>
      <c r="U917" s="14" t="n">
        <f aca="false">IF($L917=2014,1,0)</f>
        <v>0</v>
      </c>
      <c r="V917" s="14" t="n">
        <f aca="false">IF($L917=2015,1,0)</f>
        <v>0</v>
      </c>
      <c r="W917" s="14" t="n">
        <f aca="false">IF($L917=2016,1,0)</f>
        <v>0</v>
      </c>
      <c r="X917" s="14" t="n">
        <f aca="false">IF($L917=2017,1,0)</f>
        <v>1</v>
      </c>
      <c r="Y917" s="14" t="n">
        <f aca="false">IF($H917="Beginner Level",1,0)</f>
        <v>0</v>
      </c>
      <c r="Z917" s="14" t="n">
        <f aca="false">IF($H917="Expert Level",1,0)</f>
        <v>0</v>
      </c>
      <c r="AA917" s="14" t="n">
        <f aca="false">IF($H917="Intermediate Level",1,0)</f>
        <v>0</v>
      </c>
      <c r="AC917" s="14" t="n">
        <f aca="false">N917</f>
        <v>4.44276889662927</v>
      </c>
      <c r="AD917" s="14" t="n">
        <f aca="false">G917</f>
        <v>7</v>
      </c>
      <c r="AE917" s="14" t="n">
        <f aca="false">J917</f>
        <v>0.63333333</v>
      </c>
      <c r="AF917" s="14" t="n">
        <f aca="false">IF($L917=2012,1,0)</f>
        <v>0</v>
      </c>
      <c r="AG917" s="14" t="n">
        <f aca="false">IF($L917=2013,1,0)</f>
        <v>0</v>
      </c>
      <c r="AH917" s="14" t="n">
        <f aca="false">IF($L917=2014,1,0)</f>
        <v>0</v>
      </c>
      <c r="AI917" s="14" t="n">
        <f aca="false">IF($L917=2015,1,0)</f>
        <v>0</v>
      </c>
      <c r="AJ917" s="14" t="n">
        <f aca="false">IF($L917=2016,1,0)</f>
        <v>0</v>
      </c>
      <c r="AK917" s="14" t="n">
        <f aca="false">IF($L917=2017,1,0)</f>
        <v>1</v>
      </c>
      <c r="AL917" s="14" t="n">
        <f aca="false">IF($H917="Beginner Level",1,0)</f>
        <v>0</v>
      </c>
      <c r="AM917" s="14" t="n">
        <f aca="false">IF($H917="Expert Level",1,0)</f>
        <v>0</v>
      </c>
      <c r="AN917" s="14" t="n">
        <f aca="false">IF($H917="Intermediate Level",1,0)</f>
        <v>0</v>
      </c>
    </row>
    <row r="918" customFormat="false" ht="57.45" hidden="false" customHeight="false" outlineLevel="0" collapsed="false">
      <c r="A918" s="14" t="n">
        <v>987064</v>
      </c>
      <c r="B918" s="14" t="s">
        <v>1878</v>
      </c>
      <c r="C918" s="14" t="s">
        <v>1879</v>
      </c>
      <c r="D918" s="14" t="n">
        <v>95</v>
      </c>
      <c r="E918" s="14" t="n">
        <v>1087</v>
      </c>
      <c r="F918" s="14" t="n">
        <v>220</v>
      </c>
      <c r="G918" s="14" t="n">
        <v>32</v>
      </c>
      <c r="H918" s="14" t="s">
        <v>62</v>
      </c>
      <c r="I918" s="14" t="n">
        <v>0.96</v>
      </c>
      <c r="J918" s="14" t="n">
        <v>3.5</v>
      </c>
      <c r="K918" s="14" t="s">
        <v>59</v>
      </c>
      <c r="L918" s="14" t="n">
        <v>2016</v>
      </c>
      <c r="M918" s="14" t="n">
        <v>6.99117688712121</v>
      </c>
      <c r="N918" s="14" t="n">
        <v>4.55398214921866</v>
      </c>
      <c r="P918" s="14" t="n">
        <f aca="false">D918</f>
        <v>95</v>
      </c>
      <c r="Q918" s="14" t="n">
        <f aca="false">G918</f>
        <v>32</v>
      </c>
      <c r="R918" s="14" t="n">
        <f aca="false">J918</f>
        <v>3.5</v>
      </c>
      <c r="S918" s="14" t="n">
        <f aca="false">IF($L918=2012,1,0)</f>
        <v>0</v>
      </c>
      <c r="T918" s="14" t="n">
        <f aca="false">IF($L918=2013,1,0)</f>
        <v>0</v>
      </c>
      <c r="U918" s="14" t="n">
        <f aca="false">IF($L918=2014,1,0)</f>
        <v>0</v>
      </c>
      <c r="V918" s="14" t="n">
        <f aca="false">IF($L918=2015,1,0)</f>
        <v>0</v>
      </c>
      <c r="W918" s="14" t="n">
        <f aca="false">IF($L918=2016,1,0)</f>
        <v>1</v>
      </c>
      <c r="X918" s="14" t="n">
        <f aca="false">IF($L918=2017,1,0)</f>
        <v>0</v>
      </c>
      <c r="Y918" s="14" t="n">
        <f aca="false">IF($H918="Beginner Level",1,0)</f>
        <v>0</v>
      </c>
      <c r="Z918" s="14" t="n">
        <f aca="false">IF($H918="Expert Level",1,0)</f>
        <v>0</v>
      </c>
      <c r="AA918" s="14" t="n">
        <f aca="false">IF($H918="Intermediate Level",1,0)</f>
        <v>0</v>
      </c>
      <c r="AC918" s="14" t="n">
        <f aca="false">N918</f>
        <v>4.55398214921866</v>
      </c>
      <c r="AD918" s="14" t="n">
        <f aca="false">G918</f>
        <v>32</v>
      </c>
      <c r="AE918" s="14" t="n">
        <f aca="false">J918</f>
        <v>3.5</v>
      </c>
      <c r="AF918" s="14" t="n">
        <f aca="false">IF($L918=2012,1,0)</f>
        <v>0</v>
      </c>
      <c r="AG918" s="14" t="n">
        <f aca="false">IF($L918=2013,1,0)</f>
        <v>0</v>
      </c>
      <c r="AH918" s="14" t="n">
        <f aca="false">IF($L918=2014,1,0)</f>
        <v>0</v>
      </c>
      <c r="AI918" s="14" t="n">
        <f aca="false">IF($L918=2015,1,0)</f>
        <v>0</v>
      </c>
      <c r="AJ918" s="14" t="n">
        <f aca="false">IF($L918=2016,1,0)</f>
        <v>1</v>
      </c>
      <c r="AK918" s="14" t="n">
        <f aca="false">IF($L918=2017,1,0)</f>
        <v>0</v>
      </c>
      <c r="AL918" s="14" t="n">
        <f aca="false">IF($H918="Beginner Level",1,0)</f>
        <v>0</v>
      </c>
      <c r="AM918" s="14" t="n">
        <f aca="false">IF($H918="Expert Level",1,0)</f>
        <v>0</v>
      </c>
      <c r="AN918" s="14" t="n">
        <f aca="false">IF($H918="Intermediate Level",1,0)</f>
        <v>0</v>
      </c>
    </row>
    <row r="919" customFormat="false" ht="57.45" hidden="false" customHeight="false" outlineLevel="0" collapsed="false">
      <c r="A919" s="14" t="n">
        <v>579182</v>
      </c>
      <c r="B919" s="14" t="s">
        <v>1880</v>
      </c>
      <c r="C919" s="14" t="s">
        <v>1881</v>
      </c>
      <c r="D919" s="14" t="n">
        <v>25</v>
      </c>
      <c r="E919" s="14" t="n">
        <v>1087</v>
      </c>
      <c r="F919" s="14" t="n">
        <v>7</v>
      </c>
      <c r="G919" s="14" t="n">
        <v>24</v>
      </c>
      <c r="H919" s="14" t="s">
        <v>62</v>
      </c>
      <c r="I919" s="14" t="n">
        <v>0.18</v>
      </c>
      <c r="J919" s="14" t="n">
        <v>1</v>
      </c>
      <c r="K919" s="14" t="s">
        <v>59</v>
      </c>
      <c r="L919" s="14" t="n">
        <v>2015</v>
      </c>
      <c r="M919" s="14" t="n">
        <v>6.99117688712121</v>
      </c>
      <c r="N919" s="14" t="n">
        <v>3.21927574488953</v>
      </c>
      <c r="P919" s="14" t="n">
        <f aca="false">D919</f>
        <v>25</v>
      </c>
      <c r="Q919" s="14" t="n">
        <f aca="false">G919</f>
        <v>24</v>
      </c>
      <c r="R919" s="14" t="n">
        <f aca="false">J919</f>
        <v>1</v>
      </c>
      <c r="S919" s="14" t="n">
        <f aca="false">IF($L919=2012,1,0)</f>
        <v>0</v>
      </c>
      <c r="T919" s="14" t="n">
        <f aca="false">IF($L919=2013,1,0)</f>
        <v>0</v>
      </c>
      <c r="U919" s="14" t="n">
        <f aca="false">IF($L919=2014,1,0)</f>
        <v>0</v>
      </c>
      <c r="V919" s="14" t="n">
        <f aca="false">IF($L919=2015,1,0)</f>
        <v>1</v>
      </c>
      <c r="W919" s="14" t="n">
        <f aca="false">IF($L919=2016,1,0)</f>
        <v>0</v>
      </c>
      <c r="X919" s="14" t="n">
        <f aca="false">IF($L919=2017,1,0)</f>
        <v>0</v>
      </c>
      <c r="Y919" s="14" t="n">
        <f aca="false">IF($H919="Beginner Level",1,0)</f>
        <v>0</v>
      </c>
      <c r="Z919" s="14" t="n">
        <f aca="false">IF($H919="Expert Level",1,0)</f>
        <v>0</v>
      </c>
      <c r="AA919" s="14" t="n">
        <f aca="false">IF($H919="Intermediate Level",1,0)</f>
        <v>0</v>
      </c>
      <c r="AC919" s="14" t="n">
        <f aca="false">N919</f>
        <v>3.21927574488953</v>
      </c>
      <c r="AD919" s="14" t="n">
        <f aca="false">G919</f>
        <v>24</v>
      </c>
      <c r="AE919" s="14" t="n">
        <f aca="false">J919</f>
        <v>1</v>
      </c>
      <c r="AF919" s="14" t="n">
        <f aca="false">IF($L919=2012,1,0)</f>
        <v>0</v>
      </c>
      <c r="AG919" s="14" t="n">
        <f aca="false">IF($L919=2013,1,0)</f>
        <v>0</v>
      </c>
      <c r="AH919" s="14" t="n">
        <f aca="false">IF($L919=2014,1,0)</f>
        <v>0</v>
      </c>
      <c r="AI919" s="14" t="n">
        <f aca="false">IF($L919=2015,1,0)</f>
        <v>1</v>
      </c>
      <c r="AJ919" s="14" t="n">
        <f aca="false">IF($L919=2016,1,0)</f>
        <v>0</v>
      </c>
      <c r="AK919" s="14" t="n">
        <f aca="false">IF($L919=2017,1,0)</f>
        <v>0</v>
      </c>
      <c r="AL919" s="14" t="n">
        <f aca="false">IF($H919="Beginner Level",1,0)</f>
        <v>0</v>
      </c>
      <c r="AM919" s="14" t="n">
        <f aca="false">IF($H919="Expert Level",1,0)</f>
        <v>0</v>
      </c>
      <c r="AN919" s="14" t="n">
        <f aca="false">IF($H919="Intermediate Level",1,0)</f>
        <v>0</v>
      </c>
    </row>
    <row r="920" customFormat="false" ht="46.25" hidden="false" customHeight="false" outlineLevel="0" collapsed="false">
      <c r="A920" s="14" t="n">
        <v>943386</v>
      </c>
      <c r="B920" s="14" t="s">
        <v>1882</v>
      </c>
      <c r="C920" s="14" t="s">
        <v>1883</v>
      </c>
      <c r="D920" s="14" t="n">
        <v>30</v>
      </c>
      <c r="E920" s="14" t="n">
        <v>1085</v>
      </c>
      <c r="F920" s="14" t="n">
        <v>8</v>
      </c>
      <c r="G920" s="14" t="n">
        <v>13</v>
      </c>
      <c r="H920" s="14" t="s">
        <v>62</v>
      </c>
      <c r="I920" s="14" t="n">
        <v>0</v>
      </c>
      <c r="J920" s="14" t="n">
        <v>0.53333333</v>
      </c>
      <c r="K920" s="14" t="s">
        <v>59</v>
      </c>
      <c r="L920" s="14" t="n">
        <v>2016</v>
      </c>
      <c r="M920" s="14" t="n">
        <v>6.98933526597456</v>
      </c>
      <c r="N920" s="14" t="n">
        <v>3.40153065945228</v>
      </c>
      <c r="P920" s="14" t="n">
        <f aca="false">D920</f>
        <v>30</v>
      </c>
      <c r="Q920" s="14" t="n">
        <f aca="false">G920</f>
        <v>13</v>
      </c>
      <c r="R920" s="14" t="n">
        <f aca="false">J920</f>
        <v>0.53333333</v>
      </c>
      <c r="S920" s="14" t="n">
        <f aca="false">IF($L920=2012,1,0)</f>
        <v>0</v>
      </c>
      <c r="T920" s="14" t="n">
        <f aca="false">IF($L920=2013,1,0)</f>
        <v>0</v>
      </c>
      <c r="U920" s="14" t="n">
        <f aca="false">IF($L920=2014,1,0)</f>
        <v>0</v>
      </c>
      <c r="V920" s="14" t="n">
        <f aca="false">IF($L920=2015,1,0)</f>
        <v>0</v>
      </c>
      <c r="W920" s="14" t="n">
        <f aca="false">IF($L920=2016,1,0)</f>
        <v>1</v>
      </c>
      <c r="X920" s="14" t="n">
        <f aca="false">IF($L920=2017,1,0)</f>
        <v>0</v>
      </c>
      <c r="Y920" s="14" t="n">
        <f aca="false">IF($H920="Beginner Level",1,0)</f>
        <v>0</v>
      </c>
      <c r="Z920" s="14" t="n">
        <f aca="false">IF($H920="Expert Level",1,0)</f>
        <v>0</v>
      </c>
      <c r="AA920" s="14" t="n">
        <f aca="false">IF($H920="Intermediate Level",1,0)</f>
        <v>0</v>
      </c>
      <c r="AC920" s="14" t="n">
        <f aca="false">N920</f>
        <v>3.40153065945228</v>
      </c>
      <c r="AD920" s="14" t="n">
        <f aca="false">G920</f>
        <v>13</v>
      </c>
      <c r="AE920" s="14" t="n">
        <f aca="false">J920</f>
        <v>0.53333333</v>
      </c>
      <c r="AF920" s="14" t="n">
        <f aca="false">IF($L920=2012,1,0)</f>
        <v>0</v>
      </c>
      <c r="AG920" s="14" t="n">
        <f aca="false">IF($L920=2013,1,0)</f>
        <v>0</v>
      </c>
      <c r="AH920" s="14" t="n">
        <f aca="false">IF($L920=2014,1,0)</f>
        <v>0</v>
      </c>
      <c r="AI920" s="14" t="n">
        <f aca="false">IF($L920=2015,1,0)</f>
        <v>0</v>
      </c>
      <c r="AJ920" s="14" t="n">
        <f aca="false">IF($L920=2016,1,0)</f>
        <v>1</v>
      </c>
      <c r="AK920" s="14" t="n">
        <f aca="false">IF($L920=2017,1,0)</f>
        <v>0</v>
      </c>
      <c r="AL920" s="14" t="n">
        <f aca="false">IF($H920="Beginner Level",1,0)</f>
        <v>0</v>
      </c>
      <c r="AM920" s="14" t="n">
        <f aca="false">IF($H920="Expert Level",1,0)</f>
        <v>0</v>
      </c>
      <c r="AN920" s="14" t="n">
        <f aca="false">IF($H920="Intermediate Level",1,0)</f>
        <v>0</v>
      </c>
    </row>
    <row r="921" customFormat="false" ht="46.25" hidden="false" customHeight="false" outlineLevel="0" collapsed="false">
      <c r="A921" s="14" t="n">
        <v>1023668</v>
      </c>
      <c r="B921" s="14" t="s">
        <v>1884</v>
      </c>
      <c r="C921" s="14" t="s">
        <v>1885</v>
      </c>
      <c r="D921" s="14" t="n">
        <v>200</v>
      </c>
      <c r="E921" s="14" t="n">
        <v>1080</v>
      </c>
      <c r="F921" s="14" t="n">
        <v>37</v>
      </c>
      <c r="G921" s="14" t="n">
        <v>76</v>
      </c>
      <c r="H921" s="14" t="s">
        <v>52</v>
      </c>
      <c r="I921" s="14" t="n">
        <v>0.89</v>
      </c>
      <c r="J921" s="14" t="n">
        <v>3.5</v>
      </c>
      <c r="K921" s="14" t="s">
        <v>59</v>
      </c>
      <c r="L921" s="14" t="n">
        <v>2016</v>
      </c>
      <c r="M921" s="14" t="n">
        <v>6.98471632011827</v>
      </c>
      <c r="N921" s="14" t="n">
        <v>5.29836736529808</v>
      </c>
      <c r="P921" s="14" t="n">
        <f aca="false">D921</f>
        <v>200</v>
      </c>
      <c r="Q921" s="14" t="n">
        <f aca="false">G921</f>
        <v>76</v>
      </c>
      <c r="R921" s="14" t="n">
        <f aca="false">J921</f>
        <v>3.5</v>
      </c>
      <c r="S921" s="14" t="n">
        <f aca="false">IF($L921=2012,1,0)</f>
        <v>0</v>
      </c>
      <c r="T921" s="14" t="n">
        <f aca="false">IF($L921=2013,1,0)</f>
        <v>0</v>
      </c>
      <c r="U921" s="14" t="n">
        <f aca="false">IF($L921=2014,1,0)</f>
        <v>0</v>
      </c>
      <c r="V921" s="14" t="n">
        <f aca="false">IF($L921=2015,1,0)</f>
        <v>0</v>
      </c>
      <c r="W921" s="14" t="n">
        <f aca="false">IF($L921=2016,1,0)</f>
        <v>1</v>
      </c>
      <c r="X921" s="14" t="n">
        <f aca="false">IF($L921=2017,1,0)</f>
        <v>0</v>
      </c>
      <c r="Y921" s="14" t="n">
        <f aca="false">IF($H921="Beginner Level",1,0)</f>
        <v>1</v>
      </c>
      <c r="Z921" s="14" t="n">
        <f aca="false">IF($H921="Expert Level",1,0)</f>
        <v>0</v>
      </c>
      <c r="AA921" s="14" t="n">
        <f aca="false">IF($H921="Intermediate Level",1,0)</f>
        <v>0</v>
      </c>
      <c r="AC921" s="14" t="n">
        <f aca="false">N921</f>
        <v>5.29836736529808</v>
      </c>
      <c r="AD921" s="14" t="n">
        <f aca="false">G921</f>
        <v>76</v>
      </c>
      <c r="AE921" s="14" t="n">
        <f aca="false">J921</f>
        <v>3.5</v>
      </c>
      <c r="AF921" s="14" t="n">
        <f aca="false">IF($L921=2012,1,0)</f>
        <v>0</v>
      </c>
      <c r="AG921" s="14" t="n">
        <f aca="false">IF($L921=2013,1,0)</f>
        <v>0</v>
      </c>
      <c r="AH921" s="14" t="n">
        <f aca="false">IF($L921=2014,1,0)</f>
        <v>0</v>
      </c>
      <c r="AI921" s="14" t="n">
        <f aca="false">IF($L921=2015,1,0)</f>
        <v>0</v>
      </c>
      <c r="AJ921" s="14" t="n">
        <f aca="false">IF($L921=2016,1,0)</f>
        <v>1</v>
      </c>
      <c r="AK921" s="14" t="n">
        <f aca="false">IF($L921=2017,1,0)</f>
        <v>0</v>
      </c>
      <c r="AL921" s="14" t="n">
        <f aca="false">IF($H921="Beginner Level",1,0)</f>
        <v>1</v>
      </c>
      <c r="AM921" s="14" t="n">
        <f aca="false">IF($H921="Expert Level",1,0)</f>
        <v>0</v>
      </c>
      <c r="AN921" s="14" t="n">
        <f aca="false">IF($H921="Intermediate Level",1,0)</f>
        <v>0</v>
      </c>
    </row>
    <row r="922" customFormat="false" ht="102.2" hidden="false" customHeight="false" outlineLevel="0" collapsed="false">
      <c r="A922" s="14" t="n">
        <v>851868</v>
      </c>
      <c r="B922" s="14" t="s">
        <v>1886</v>
      </c>
      <c r="C922" s="14" t="s">
        <v>1887</v>
      </c>
      <c r="D922" s="14" t="n">
        <v>200</v>
      </c>
      <c r="E922" s="14" t="n">
        <v>1069</v>
      </c>
      <c r="F922" s="14" t="n">
        <v>12</v>
      </c>
      <c r="G922" s="14" t="n">
        <v>61</v>
      </c>
      <c r="H922" s="14" t="s">
        <v>52</v>
      </c>
      <c r="I922" s="14" t="n">
        <v>0.81</v>
      </c>
      <c r="J922" s="14" t="n">
        <v>4.5</v>
      </c>
      <c r="K922" s="14" t="s">
        <v>59</v>
      </c>
      <c r="L922" s="14" t="n">
        <v>2016</v>
      </c>
      <c r="M922" s="14" t="n">
        <v>6.97447891102505</v>
      </c>
      <c r="N922" s="14" t="n">
        <v>5.29836736529808</v>
      </c>
      <c r="P922" s="14" t="n">
        <f aca="false">D922</f>
        <v>200</v>
      </c>
      <c r="Q922" s="14" t="n">
        <f aca="false">G922</f>
        <v>61</v>
      </c>
      <c r="R922" s="14" t="n">
        <f aca="false">J922</f>
        <v>4.5</v>
      </c>
      <c r="S922" s="14" t="n">
        <f aca="false">IF($L922=2012,1,0)</f>
        <v>0</v>
      </c>
      <c r="T922" s="14" t="n">
        <f aca="false">IF($L922=2013,1,0)</f>
        <v>0</v>
      </c>
      <c r="U922" s="14" t="n">
        <f aca="false">IF($L922=2014,1,0)</f>
        <v>0</v>
      </c>
      <c r="V922" s="14" t="n">
        <f aca="false">IF($L922=2015,1,0)</f>
        <v>0</v>
      </c>
      <c r="W922" s="14" t="n">
        <f aca="false">IF($L922=2016,1,0)</f>
        <v>1</v>
      </c>
      <c r="X922" s="14" t="n">
        <f aca="false">IF($L922=2017,1,0)</f>
        <v>0</v>
      </c>
      <c r="Y922" s="14" t="n">
        <f aca="false">IF($H922="Beginner Level",1,0)</f>
        <v>1</v>
      </c>
      <c r="Z922" s="14" t="n">
        <f aca="false">IF($H922="Expert Level",1,0)</f>
        <v>0</v>
      </c>
      <c r="AA922" s="14" t="n">
        <f aca="false">IF($H922="Intermediate Level",1,0)</f>
        <v>0</v>
      </c>
      <c r="AC922" s="14" t="n">
        <f aca="false">N922</f>
        <v>5.29836736529808</v>
      </c>
      <c r="AD922" s="14" t="n">
        <f aca="false">G922</f>
        <v>61</v>
      </c>
      <c r="AE922" s="14" t="n">
        <f aca="false">J922</f>
        <v>4.5</v>
      </c>
      <c r="AF922" s="14" t="n">
        <f aca="false">IF($L922=2012,1,0)</f>
        <v>0</v>
      </c>
      <c r="AG922" s="14" t="n">
        <f aca="false">IF($L922=2013,1,0)</f>
        <v>0</v>
      </c>
      <c r="AH922" s="14" t="n">
        <f aca="false">IF($L922=2014,1,0)</f>
        <v>0</v>
      </c>
      <c r="AI922" s="14" t="n">
        <f aca="false">IF($L922=2015,1,0)</f>
        <v>0</v>
      </c>
      <c r="AJ922" s="14" t="n">
        <f aca="false">IF($L922=2016,1,0)</f>
        <v>1</v>
      </c>
      <c r="AK922" s="14" t="n">
        <f aca="false">IF($L922=2017,1,0)</f>
        <v>0</v>
      </c>
      <c r="AL922" s="14" t="n">
        <f aca="false">IF($H922="Beginner Level",1,0)</f>
        <v>1</v>
      </c>
      <c r="AM922" s="14" t="n">
        <f aca="false">IF($H922="Expert Level",1,0)</f>
        <v>0</v>
      </c>
      <c r="AN922" s="14" t="n">
        <f aca="false">IF($H922="Intermediate Level",1,0)</f>
        <v>0</v>
      </c>
    </row>
    <row r="923" customFormat="false" ht="68.65" hidden="false" customHeight="false" outlineLevel="0" collapsed="false">
      <c r="A923" s="14" t="n">
        <v>551702</v>
      </c>
      <c r="B923" s="14" t="s">
        <v>1888</v>
      </c>
      <c r="C923" s="14" t="s">
        <v>1889</v>
      </c>
      <c r="D923" s="14" t="n">
        <v>20</v>
      </c>
      <c r="E923" s="14" t="n">
        <v>1063</v>
      </c>
      <c r="F923" s="14" t="n">
        <v>72</v>
      </c>
      <c r="G923" s="14" t="n">
        <v>84</v>
      </c>
      <c r="H923" s="14" t="s">
        <v>62</v>
      </c>
      <c r="I923" s="14" t="n">
        <v>0.72</v>
      </c>
      <c r="J923" s="14" t="n">
        <v>5.5</v>
      </c>
      <c r="K923" s="14" t="s">
        <v>59</v>
      </c>
      <c r="L923" s="14" t="n">
        <v>2015</v>
      </c>
      <c r="M923" s="14" t="n">
        <v>6.96885037834195</v>
      </c>
      <c r="N923" s="14" t="n">
        <v>2.99623214859564</v>
      </c>
      <c r="P923" s="14" t="n">
        <f aca="false">D923</f>
        <v>20</v>
      </c>
      <c r="Q923" s="14" t="n">
        <f aca="false">G923</f>
        <v>84</v>
      </c>
      <c r="R923" s="14" t="n">
        <f aca="false">J923</f>
        <v>5.5</v>
      </c>
      <c r="S923" s="14" t="n">
        <f aca="false">IF($L923=2012,1,0)</f>
        <v>0</v>
      </c>
      <c r="T923" s="14" t="n">
        <f aca="false">IF($L923=2013,1,0)</f>
        <v>0</v>
      </c>
      <c r="U923" s="14" t="n">
        <f aca="false">IF($L923=2014,1,0)</f>
        <v>0</v>
      </c>
      <c r="V923" s="14" t="n">
        <f aca="false">IF($L923=2015,1,0)</f>
        <v>1</v>
      </c>
      <c r="W923" s="14" t="n">
        <f aca="false">IF($L923=2016,1,0)</f>
        <v>0</v>
      </c>
      <c r="X923" s="14" t="n">
        <f aca="false">IF($L923=2017,1,0)</f>
        <v>0</v>
      </c>
      <c r="Y923" s="14" t="n">
        <f aca="false">IF($H923="Beginner Level",1,0)</f>
        <v>0</v>
      </c>
      <c r="Z923" s="14" t="n">
        <f aca="false">IF($H923="Expert Level",1,0)</f>
        <v>0</v>
      </c>
      <c r="AA923" s="14" t="n">
        <f aca="false">IF($H923="Intermediate Level",1,0)</f>
        <v>0</v>
      </c>
      <c r="AC923" s="14" t="n">
        <f aca="false">N923</f>
        <v>2.99623214859564</v>
      </c>
      <c r="AD923" s="14" t="n">
        <f aca="false">G923</f>
        <v>84</v>
      </c>
      <c r="AE923" s="14" t="n">
        <f aca="false">J923</f>
        <v>5.5</v>
      </c>
      <c r="AF923" s="14" t="n">
        <f aca="false">IF($L923=2012,1,0)</f>
        <v>0</v>
      </c>
      <c r="AG923" s="14" t="n">
        <f aca="false">IF($L923=2013,1,0)</f>
        <v>0</v>
      </c>
      <c r="AH923" s="14" t="n">
        <f aca="false">IF($L923=2014,1,0)</f>
        <v>0</v>
      </c>
      <c r="AI923" s="14" t="n">
        <f aca="false">IF($L923=2015,1,0)</f>
        <v>1</v>
      </c>
      <c r="AJ923" s="14" t="n">
        <f aca="false">IF($L923=2016,1,0)</f>
        <v>0</v>
      </c>
      <c r="AK923" s="14" t="n">
        <f aca="false">IF($L923=2017,1,0)</f>
        <v>0</v>
      </c>
      <c r="AL923" s="14" t="n">
        <f aca="false">IF($H923="Beginner Level",1,0)</f>
        <v>0</v>
      </c>
      <c r="AM923" s="14" t="n">
        <f aca="false">IF($H923="Expert Level",1,0)</f>
        <v>0</v>
      </c>
      <c r="AN923" s="14" t="n">
        <f aca="false">IF($H923="Intermediate Level",1,0)</f>
        <v>0</v>
      </c>
    </row>
    <row r="924" customFormat="false" ht="46.25" hidden="false" customHeight="false" outlineLevel="0" collapsed="false">
      <c r="A924" s="14" t="n">
        <v>368679</v>
      </c>
      <c r="B924" s="14" t="s">
        <v>1890</v>
      </c>
      <c r="C924" s="14" t="s">
        <v>1891</v>
      </c>
      <c r="D924" s="14" t="n">
        <v>85</v>
      </c>
      <c r="E924" s="14" t="n">
        <v>1063</v>
      </c>
      <c r="F924" s="14" t="n">
        <v>101</v>
      </c>
      <c r="G924" s="14" t="n">
        <v>40</v>
      </c>
      <c r="H924" s="14" t="s">
        <v>52</v>
      </c>
      <c r="I924" s="14" t="n">
        <v>0.39</v>
      </c>
      <c r="J924" s="14" t="n">
        <v>3.5</v>
      </c>
      <c r="K924" s="14" t="s">
        <v>59</v>
      </c>
      <c r="L924" s="14" t="n">
        <v>2014</v>
      </c>
      <c r="M924" s="14" t="n">
        <v>6.96885037834195</v>
      </c>
      <c r="N924" s="14" t="n">
        <v>4.44276889662927</v>
      </c>
      <c r="P924" s="14" t="n">
        <f aca="false">D924</f>
        <v>85</v>
      </c>
      <c r="Q924" s="14" t="n">
        <f aca="false">G924</f>
        <v>40</v>
      </c>
      <c r="R924" s="14" t="n">
        <f aca="false">J924</f>
        <v>3.5</v>
      </c>
      <c r="S924" s="14" t="n">
        <f aca="false">IF($L924=2012,1,0)</f>
        <v>0</v>
      </c>
      <c r="T924" s="14" t="n">
        <f aca="false">IF($L924=2013,1,0)</f>
        <v>0</v>
      </c>
      <c r="U924" s="14" t="n">
        <f aca="false">IF($L924=2014,1,0)</f>
        <v>1</v>
      </c>
      <c r="V924" s="14" t="n">
        <f aca="false">IF($L924=2015,1,0)</f>
        <v>0</v>
      </c>
      <c r="W924" s="14" t="n">
        <f aca="false">IF($L924=2016,1,0)</f>
        <v>0</v>
      </c>
      <c r="X924" s="14" t="n">
        <f aca="false">IF($L924=2017,1,0)</f>
        <v>0</v>
      </c>
      <c r="Y924" s="14" t="n">
        <f aca="false">IF($H924="Beginner Level",1,0)</f>
        <v>1</v>
      </c>
      <c r="Z924" s="14" t="n">
        <f aca="false">IF($H924="Expert Level",1,0)</f>
        <v>0</v>
      </c>
      <c r="AA924" s="14" t="n">
        <f aca="false">IF($H924="Intermediate Level",1,0)</f>
        <v>0</v>
      </c>
      <c r="AC924" s="14" t="n">
        <f aca="false">N924</f>
        <v>4.44276889662927</v>
      </c>
      <c r="AD924" s="14" t="n">
        <f aca="false">G924</f>
        <v>40</v>
      </c>
      <c r="AE924" s="14" t="n">
        <f aca="false">J924</f>
        <v>3.5</v>
      </c>
      <c r="AF924" s="14" t="n">
        <f aca="false">IF($L924=2012,1,0)</f>
        <v>0</v>
      </c>
      <c r="AG924" s="14" t="n">
        <f aca="false">IF($L924=2013,1,0)</f>
        <v>0</v>
      </c>
      <c r="AH924" s="14" t="n">
        <f aca="false">IF($L924=2014,1,0)</f>
        <v>1</v>
      </c>
      <c r="AI924" s="14" t="n">
        <f aca="false">IF($L924=2015,1,0)</f>
        <v>0</v>
      </c>
      <c r="AJ924" s="14" t="n">
        <f aca="false">IF($L924=2016,1,0)</f>
        <v>0</v>
      </c>
      <c r="AK924" s="14" t="n">
        <f aca="false">IF($L924=2017,1,0)</f>
        <v>0</v>
      </c>
      <c r="AL924" s="14" t="n">
        <f aca="false">IF($H924="Beginner Level",1,0)</f>
        <v>1</v>
      </c>
      <c r="AM924" s="14" t="n">
        <f aca="false">IF($H924="Expert Level",1,0)</f>
        <v>0</v>
      </c>
      <c r="AN924" s="14" t="n">
        <f aca="false">IF($H924="Intermediate Level",1,0)</f>
        <v>0</v>
      </c>
    </row>
    <row r="925" customFormat="false" ht="79.85" hidden="false" customHeight="false" outlineLevel="0" collapsed="false">
      <c r="A925" s="14" t="n">
        <v>527834</v>
      </c>
      <c r="B925" s="14" t="s">
        <v>1892</v>
      </c>
      <c r="C925" s="14" t="s">
        <v>1893</v>
      </c>
      <c r="D925" s="14" t="n">
        <v>20</v>
      </c>
      <c r="E925" s="14" t="n">
        <v>1062</v>
      </c>
      <c r="F925" s="14" t="n">
        <v>20</v>
      </c>
      <c r="G925" s="14" t="n">
        <v>32</v>
      </c>
      <c r="H925" s="14" t="s">
        <v>52</v>
      </c>
      <c r="I925" s="14" t="n">
        <v>0.94</v>
      </c>
      <c r="J925" s="14" t="n">
        <v>3.5</v>
      </c>
      <c r="K925" s="14" t="s">
        <v>59</v>
      </c>
      <c r="L925" s="14" t="n">
        <v>2015</v>
      </c>
      <c r="M925" s="14" t="n">
        <v>6.96790920180188</v>
      </c>
      <c r="N925" s="14" t="n">
        <v>2.99623214859564</v>
      </c>
      <c r="P925" s="14" t="n">
        <f aca="false">D925</f>
        <v>20</v>
      </c>
      <c r="Q925" s="14" t="n">
        <f aca="false">G925</f>
        <v>32</v>
      </c>
      <c r="R925" s="14" t="n">
        <f aca="false">J925</f>
        <v>3.5</v>
      </c>
      <c r="S925" s="14" t="n">
        <f aca="false">IF($L925=2012,1,0)</f>
        <v>0</v>
      </c>
      <c r="T925" s="14" t="n">
        <f aca="false">IF($L925=2013,1,0)</f>
        <v>0</v>
      </c>
      <c r="U925" s="14" t="n">
        <f aca="false">IF($L925=2014,1,0)</f>
        <v>0</v>
      </c>
      <c r="V925" s="14" t="n">
        <f aca="false">IF($L925=2015,1,0)</f>
        <v>1</v>
      </c>
      <c r="W925" s="14" t="n">
        <f aca="false">IF($L925=2016,1,0)</f>
        <v>0</v>
      </c>
      <c r="X925" s="14" t="n">
        <f aca="false">IF($L925=2017,1,0)</f>
        <v>0</v>
      </c>
      <c r="Y925" s="14" t="n">
        <f aca="false">IF($H925="Beginner Level",1,0)</f>
        <v>1</v>
      </c>
      <c r="Z925" s="14" t="n">
        <f aca="false">IF($H925="Expert Level",1,0)</f>
        <v>0</v>
      </c>
      <c r="AA925" s="14" t="n">
        <f aca="false">IF($H925="Intermediate Level",1,0)</f>
        <v>0</v>
      </c>
      <c r="AC925" s="14" t="n">
        <f aca="false">N925</f>
        <v>2.99623214859564</v>
      </c>
      <c r="AD925" s="14" t="n">
        <f aca="false">G925</f>
        <v>32</v>
      </c>
      <c r="AE925" s="14" t="n">
        <f aca="false">J925</f>
        <v>3.5</v>
      </c>
      <c r="AF925" s="14" t="n">
        <f aca="false">IF($L925=2012,1,0)</f>
        <v>0</v>
      </c>
      <c r="AG925" s="14" t="n">
        <f aca="false">IF($L925=2013,1,0)</f>
        <v>0</v>
      </c>
      <c r="AH925" s="14" t="n">
        <f aca="false">IF($L925=2014,1,0)</f>
        <v>0</v>
      </c>
      <c r="AI925" s="14" t="n">
        <f aca="false">IF($L925=2015,1,0)</f>
        <v>1</v>
      </c>
      <c r="AJ925" s="14" t="n">
        <f aca="false">IF($L925=2016,1,0)</f>
        <v>0</v>
      </c>
      <c r="AK925" s="14" t="n">
        <f aca="false">IF($L925=2017,1,0)</f>
        <v>0</v>
      </c>
      <c r="AL925" s="14" t="n">
        <f aca="false">IF($H925="Beginner Level",1,0)</f>
        <v>1</v>
      </c>
      <c r="AM925" s="14" t="n">
        <f aca="false">IF($H925="Expert Level",1,0)</f>
        <v>0</v>
      </c>
      <c r="AN925" s="14" t="n">
        <f aca="false">IF($H925="Intermediate Level",1,0)</f>
        <v>0</v>
      </c>
    </row>
    <row r="926" customFormat="false" ht="46.25" hidden="false" customHeight="false" outlineLevel="0" collapsed="false">
      <c r="A926" s="14" t="n">
        <v>967410</v>
      </c>
      <c r="B926" s="14" t="s">
        <v>1894</v>
      </c>
      <c r="C926" s="14" t="s">
        <v>1895</v>
      </c>
      <c r="D926" s="14" t="n">
        <v>40</v>
      </c>
      <c r="E926" s="14" t="n">
        <v>1062</v>
      </c>
      <c r="F926" s="14" t="n">
        <v>12</v>
      </c>
      <c r="G926" s="14" t="n">
        <v>11</v>
      </c>
      <c r="H926" s="14" t="s">
        <v>71</v>
      </c>
      <c r="I926" s="14" t="n">
        <v>0.66</v>
      </c>
      <c r="J926" s="14" t="n">
        <v>0.65</v>
      </c>
      <c r="K926" s="14" t="s">
        <v>59</v>
      </c>
      <c r="L926" s="14" t="n">
        <v>2016</v>
      </c>
      <c r="M926" s="14" t="n">
        <v>6.96790920180188</v>
      </c>
      <c r="N926" s="14" t="n">
        <v>3.68912942286914</v>
      </c>
      <c r="P926" s="14" t="n">
        <f aca="false">D926</f>
        <v>40</v>
      </c>
      <c r="Q926" s="14" t="n">
        <f aca="false">G926</f>
        <v>11</v>
      </c>
      <c r="R926" s="14" t="n">
        <f aca="false">J926</f>
        <v>0.65</v>
      </c>
      <c r="S926" s="14" t="n">
        <f aca="false">IF($L926=2012,1,0)</f>
        <v>0</v>
      </c>
      <c r="T926" s="14" t="n">
        <f aca="false">IF($L926=2013,1,0)</f>
        <v>0</v>
      </c>
      <c r="U926" s="14" t="n">
        <f aca="false">IF($L926=2014,1,0)</f>
        <v>0</v>
      </c>
      <c r="V926" s="14" t="n">
        <f aca="false">IF($L926=2015,1,0)</f>
        <v>0</v>
      </c>
      <c r="W926" s="14" t="n">
        <f aca="false">IF($L926=2016,1,0)</f>
        <v>1</v>
      </c>
      <c r="X926" s="14" t="n">
        <f aca="false">IF($L926=2017,1,0)</f>
        <v>0</v>
      </c>
      <c r="Y926" s="14" t="n">
        <f aca="false">IF($H926="Beginner Level",1,0)</f>
        <v>0</v>
      </c>
      <c r="Z926" s="14" t="n">
        <f aca="false">IF($H926="Expert Level",1,0)</f>
        <v>0</v>
      </c>
      <c r="AA926" s="14" t="n">
        <f aca="false">IF($H926="Intermediate Level",1,0)</f>
        <v>1</v>
      </c>
      <c r="AC926" s="14" t="n">
        <f aca="false">N926</f>
        <v>3.68912942286914</v>
      </c>
      <c r="AD926" s="14" t="n">
        <f aca="false">G926</f>
        <v>11</v>
      </c>
      <c r="AE926" s="14" t="n">
        <f aca="false">J926</f>
        <v>0.65</v>
      </c>
      <c r="AF926" s="14" t="n">
        <f aca="false">IF($L926=2012,1,0)</f>
        <v>0</v>
      </c>
      <c r="AG926" s="14" t="n">
        <f aca="false">IF($L926=2013,1,0)</f>
        <v>0</v>
      </c>
      <c r="AH926" s="14" t="n">
        <f aca="false">IF($L926=2014,1,0)</f>
        <v>0</v>
      </c>
      <c r="AI926" s="14" t="n">
        <f aca="false">IF($L926=2015,1,0)</f>
        <v>0</v>
      </c>
      <c r="AJ926" s="14" t="n">
        <f aca="false">IF($L926=2016,1,0)</f>
        <v>1</v>
      </c>
      <c r="AK926" s="14" t="n">
        <f aca="false">IF($L926=2017,1,0)</f>
        <v>0</v>
      </c>
      <c r="AL926" s="14" t="n">
        <f aca="false">IF($H926="Beginner Level",1,0)</f>
        <v>0</v>
      </c>
      <c r="AM926" s="14" t="n">
        <f aca="false">IF($H926="Expert Level",1,0)</f>
        <v>0</v>
      </c>
      <c r="AN926" s="14" t="n">
        <f aca="false">IF($H926="Intermediate Level",1,0)</f>
        <v>1</v>
      </c>
    </row>
    <row r="927" customFormat="false" ht="79.85" hidden="false" customHeight="false" outlineLevel="0" collapsed="false">
      <c r="A927" s="14" t="n">
        <v>416738</v>
      </c>
      <c r="B927" s="14" t="s">
        <v>1896</v>
      </c>
      <c r="C927" s="14" t="s">
        <v>1897</v>
      </c>
      <c r="D927" s="14" t="n">
        <v>35</v>
      </c>
      <c r="E927" s="14" t="n">
        <v>1061</v>
      </c>
      <c r="F927" s="14" t="n">
        <v>8</v>
      </c>
      <c r="G927" s="14" t="n">
        <v>17</v>
      </c>
      <c r="H927" s="14" t="s">
        <v>71</v>
      </c>
      <c r="I927" s="14" t="n">
        <v>0.34</v>
      </c>
      <c r="J927" s="14" t="n">
        <v>1</v>
      </c>
      <c r="K927" s="14" t="s">
        <v>59</v>
      </c>
      <c r="L927" s="14" t="n">
        <v>2015</v>
      </c>
      <c r="M927" s="14" t="n">
        <v>6.96696713861398</v>
      </c>
      <c r="N927" s="14" t="n">
        <v>3.55563373496657</v>
      </c>
      <c r="P927" s="14" t="n">
        <f aca="false">D927</f>
        <v>35</v>
      </c>
      <c r="Q927" s="14" t="n">
        <f aca="false">G927</f>
        <v>17</v>
      </c>
      <c r="R927" s="14" t="n">
        <f aca="false">J927</f>
        <v>1</v>
      </c>
      <c r="S927" s="14" t="n">
        <f aca="false">IF($L927=2012,1,0)</f>
        <v>0</v>
      </c>
      <c r="T927" s="14" t="n">
        <f aca="false">IF($L927=2013,1,0)</f>
        <v>0</v>
      </c>
      <c r="U927" s="14" t="n">
        <f aca="false">IF($L927=2014,1,0)</f>
        <v>0</v>
      </c>
      <c r="V927" s="14" t="n">
        <f aca="false">IF($L927=2015,1,0)</f>
        <v>1</v>
      </c>
      <c r="W927" s="14" t="n">
        <f aca="false">IF($L927=2016,1,0)</f>
        <v>0</v>
      </c>
      <c r="X927" s="14" t="n">
        <f aca="false">IF($L927=2017,1,0)</f>
        <v>0</v>
      </c>
      <c r="Y927" s="14" t="n">
        <f aca="false">IF($H927="Beginner Level",1,0)</f>
        <v>0</v>
      </c>
      <c r="Z927" s="14" t="n">
        <f aca="false">IF($H927="Expert Level",1,0)</f>
        <v>0</v>
      </c>
      <c r="AA927" s="14" t="n">
        <f aca="false">IF($H927="Intermediate Level",1,0)</f>
        <v>1</v>
      </c>
      <c r="AC927" s="14" t="n">
        <f aca="false">N927</f>
        <v>3.55563373496657</v>
      </c>
      <c r="AD927" s="14" t="n">
        <f aca="false">G927</f>
        <v>17</v>
      </c>
      <c r="AE927" s="14" t="n">
        <f aca="false">J927</f>
        <v>1</v>
      </c>
      <c r="AF927" s="14" t="n">
        <f aca="false">IF($L927=2012,1,0)</f>
        <v>0</v>
      </c>
      <c r="AG927" s="14" t="n">
        <f aca="false">IF($L927=2013,1,0)</f>
        <v>0</v>
      </c>
      <c r="AH927" s="14" t="n">
        <f aca="false">IF($L927=2014,1,0)</f>
        <v>0</v>
      </c>
      <c r="AI927" s="14" t="n">
        <f aca="false">IF($L927=2015,1,0)</f>
        <v>1</v>
      </c>
      <c r="AJ927" s="14" t="n">
        <f aca="false">IF($L927=2016,1,0)</f>
        <v>0</v>
      </c>
      <c r="AK927" s="14" t="n">
        <f aca="false">IF($L927=2017,1,0)</f>
        <v>0</v>
      </c>
      <c r="AL927" s="14" t="n">
        <f aca="false">IF($H927="Beginner Level",1,0)</f>
        <v>0</v>
      </c>
      <c r="AM927" s="14" t="n">
        <f aca="false">IF($H927="Expert Level",1,0)</f>
        <v>0</v>
      </c>
      <c r="AN927" s="14" t="n">
        <f aca="false">IF($H927="Intermediate Level",1,0)</f>
        <v>1</v>
      </c>
    </row>
    <row r="928" customFormat="false" ht="46.25" hidden="false" customHeight="false" outlineLevel="0" collapsed="false">
      <c r="A928" s="14" t="n">
        <v>944156</v>
      </c>
      <c r="B928" s="14" t="s">
        <v>1898</v>
      </c>
      <c r="C928" s="14" t="s">
        <v>1899</v>
      </c>
      <c r="D928" s="14" t="n">
        <v>30</v>
      </c>
      <c r="E928" s="14" t="n">
        <v>1057</v>
      </c>
      <c r="F928" s="14" t="n">
        <v>22</v>
      </c>
      <c r="G928" s="14" t="n">
        <v>12</v>
      </c>
      <c r="H928" s="14" t="s">
        <v>52</v>
      </c>
      <c r="I928" s="14" t="n">
        <v>0.66</v>
      </c>
      <c r="J928" s="14" t="n">
        <v>0.61666667</v>
      </c>
      <c r="K928" s="14" t="s">
        <v>59</v>
      </c>
      <c r="L928" s="14" t="n">
        <v>2016</v>
      </c>
      <c r="M928" s="14" t="n">
        <v>6.96318998587024</v>
      </c>
      <c r="N928" s="14" t="n">
        <v>3.40153065945228</v>
      </c>
      <c r="P928" s="14" t="n">
        <f aca="false">D928</f>
        <v>30</v>
      </c>
      <c r="Q928" s="14" t="n">
        <f aca="false">G928</f>
        <v>12</v>
      </c>
      <c r="R928" s="14" t="n">
        <f aca="false">J928</f>
        <v>0.61666667</v>
      </c>
      <c r="S928" s="14" t="n">
        <f aca="false">IF($L928=2012,1,0)</f>
        <v>0</v>
      </c>
      <c r="T928" s="14" t="n">
        <f aca="false">IF($L928=2013,1,0)</f>
        <v>0</v>
      </c>
      <c r="U928" s="14" t="n">
        <f aca="false">IF($L928=2014,1,0)</f>
        <v>0</v>
      </c>
      <c r="V928" s="14" t="n">
        <f aca="false">IF($L928=2015,1,0)</f>
        <v>0</v>
      </c>
      <c r="W928" s="14" t="n">
        <f aca="false">IF($L928=2016,1,0)</f>
        <v>1</v>
      </c>
      <c r="X928" s="14" t="n">
        <f aca="false">IF($L928=2017,1,0)</f>
        <v>0</v>
      </c>
      <c r="Y928" s="14" t="n">
        <f aca="false">IF($H928="Beginner Level",1,0)</f>
        <v>1</v>
      </c>
      <c r="Z928" s="14" t="n">
        <f aca="false">IF($H928="Expert Level",1,0)</f>
        <v>0</v>
      </c>
      <c r="AA928" s="14" t="n">
        <f aca="false">IF($H928="Intermediate Level",1,0)</f>
        <v>0</v>
      </c>
      <c r="AC928" s="14" t="n">
        <f aca="false">N928</f>
        <v>3.40153065945228</v>
      </c>
      <c r="AD928" s="14" t="n">
        <f aca="false">G928</f>
        <v>12</v>
      </c>
      <c r="AE928" s="14" t="n">
        <f aca="false">J928</f>
        <v>0.61666667</v>
      </c>
      <c r="AF928" s="14" t="n">
        <f aca="false">IF($L928=2012,1,0)</f>
        <v>0</v>
      </c>
      <c r="AG928" s="14" t="n">
        <f aca="false">IF($L928=2013,1,0)</f>
        <v>0</v>
      </c>
      <c r="AH928" s="14" t="n">
        <f aca="false">IF($L928=2014,1,0)</f>
        <v>0</v>
      </c>
      <c r="AI928" s="14" t="n">
        <f aca="false">IF($L928=2015,1,0)</f>
        <v>0</v>
      </c>
      <c r="AJ928" s="14" t="n">
        <f aca="false">IF($L928=2016,1,0)</f>
        <v>1</v>
      </c>
      <c r="AK928" s="14" t="n">
        <f aca="false">IF($L928=2017,1,0)</f>
        <v>0</v>
      </c>
      <c r="AL928" s="14" t="n">
        <f aca="false">IF($H928="Beginner Level",1,0)</f>
        <v>1</v>
      </c>
      <c r="AM928" s="14" t="n">
        <f aca="false">IF($H928="Expert Level",1,0)</f>
        <v>0</v>
      </c>
      <c r="AN928" s="14" t="n">
        <f aca="false">IF($H928="Intermediate Level",1,0)</f>
        <v>0</v>
      </c>
    </row>
    <row r="929" customFormat="false" ht="91" hidden="false" customHeight="false" outlineLevel="0" collapsed="false">
      <c r="A929" s="14" t="n">
        <v>235990</v>
      </c>
      <c r="B929" s="14" t="s">
        <v>1900</v>
      </c>
      <c r="C929" s="14" t="s">
        <v>1901</v>
      </c>
      <c r="D929" s="14" t="n">
        <v>35</v>
      </c>
      <c r="E929" s="14" t="n">
        <v>1054</v>
      </c>
      <c r="F929" s="14" t="n">
        <v>4</v>
      </c>
      <c r="G929" s="14" t="n">
        <v>26</v>
      </c>
      <c r="H929" s="14" t="s">
        <v>62</v>
      </c>
      <c r="I929" s="14" t="n">
        <v>0.77</v>
      </c>
      <c r="J929" s="14" t="n">
        <v>2</v>
      </c>
      <c r="K929" s="14" t="s">
        <v>59</v>
      </c>
      <c r="L929" s="14" t="n">
        <v>2014</v>
      </c>
      <c r="M929" s="14" t="n">
        <v>6.96034772910131</v>
      </c>
      <c r="N929" s="14" t="n">
        <v>3.55563373496657</v>
      </c>
      <c r="P929" s="14" t="n">
        <f aca="false">D929</f>
        <v>35</v>
      </c>
      <c r="Q929" s="14" t="n">
        <f aca="false">G929</f>
        <v>26</v>
      </c>
      <c r="R929" s="14" t="n">
        <f aca="false">J929</f>
        <v>2</v>
      </c>
      <c r="S929" s="14" t="n">
        <f aca="false">IF($L929=2012,1,0)</f>
        <v>0</v>
      </c>
      <c r="T929" s="14" t="n">
        <f aca="false">IF($L929=2013,1,0)</f>
        <v>0</v>
      </c>
      <c r="U929" s="14" t="n">
        <f aca="false">IF($L929=2014,1,0)</f>
        <v>1</v>
      </c>
      <c r="V929" s="14" t="n">
        <f aca="false">IF($L929=2015,1,0)</f>
        <v>0</v>
      </c>
      <c r="W929" s="14" t="n">
        <f aca="false">IF($L929=2016,1,0)</f>
        <v>0</v>
      </c>
      <c r="X929" s="14" t="n">
        <f aca="false">IF($L929=2017,1,0)</f>
        <v>0</v>
      </c>
      <c r="Y929" s="14" t="n">
        <f aca="false">IF($H929="Beginner Level",1,0)</f>
        <v>0</v>
      </c>
      <c r="Z929" s="14" t="n">
        <f aca="false">IF($H929="Expert Level",1,0)</f>
        <v>0</v>
      </c>
      <c r="AA929" s="14" t="n">
        <f aca="false">IF($H929="Intermediate Level",1,0)</f>
        <v>0</v>
      </c>
      <c r="AC929" s="14" t="n">
        <f aca="false">N929</f>
        <v>3.55563373496657</v>
      </c>
      <c r="AD929" s="14" t="n">
        <f aca="false">G929</f>
        <v>26</v>
      </c>
      <c r="AE929" s="14" t="n">
        <f aca="false">J929</f>
        <v>2</v>
      </c>
      <c r="AF929" s="14" t="n">
        <f aca="false">IF($L929=2012,1,0)</f>
        <v>0</v>
      </c>
      <c r="AG929" s="14" t="n">
        <f aca="false">IF($L929=2013,1,0)</f>
        <v>0</v>
      </c>
      <c r="AH929" s="14" t="n">
        <f aca="false">IF($L929=2014,1,0)</f>
        <v>1</v>
      </c>
      <c r="AI929" s="14" t="n">
        <f aca="false">IF($L929=2015,1,0)</f>
        <v>0</v>
      </c>
      <c r="AJ929" s="14" t="n">
        <f aca="false">IF($L929=2016,1,0)</f>
        <v>0</v>
      </c>
      <c r="AK929" s="14" t="n">
        <f aca="false">IF($L929=2017,1,0)</f>
        <v>0</v>
      </c>
      <c r="AL929" s="14" t="n">
        <f aca="false">IF($H929="Beginner Level",1,0)</f>
        <v>0</v>
      </c>
      <c r="AM929" s="14" t="n">
        <f aca="false">IF($H929="Expert Level",1,0)</f>
        <v>0</v>
      </c>
      <c r="AN929" s="14" t="n">
        <f aca="false">IF($H929="Intermediate Level",1,0)</f>
        <v>0</v>
      </c>
    </row>
    <row r="930" customFormat="false" ht="68.65" hidden="false" customHeight="false" outlineLevel="0" collapsed="false">
      <c r="A930" s="14" t="n">
        <v>1211800</v>
      </c>
      <c r="B930" s="14" t="s">
        <v>1902</v>
      </c>
      <c r="C930" s="14" t="s">
        <v>1903</v>
      </c>
      <c r="D930" s="14" t="n">
        <v>20</v>
      </c>
      <c r="E930" s="14" t="n">
        <v>1052</v>
      </c>
      <c r="F930" s="14" t="n">
        <v>14</v>
      </c>
      <c r="G930" s="14" t="n">
        <v>47</v>
      </c>
      <c r="H930" s="14" t="s">
        <v>62</v>
      </c>
      <c r="I930" s="14" t="n">
        <v>0.74</v>
      </c>
      <c r="J930" s="14" t="n">
        <v>8</v>
      </c>
      <c r="K930" s="14" t="s">
        <v>59</v>
      </c>
      <c r="L930" s="14" t="n">
        <v>2017</v>
      </c>
      <c r="M930" s="14" t="n">
        <v>6.95844839329766</v>
      </c>
      <c r="N930" s="14" t="n">
        <v>2.99623214859564</v>
      </c>
      <c r="P930" s="14" t="n">
        <f aca="false">D930</f>
        <v>20</v>
      </c>
      <c r="Q930" s="14" t="n">
        <f aca="false">G930</f>
        <v>47</v>
      </c>
      <c r="R930" s="14" t="n">
        <f aca="false">J930</f>
        <v>8</v>
      </c>
      <c r="S930" s="14" t="n">
        <f aca="false">IF($L930=2012,1,0)</f>
        <v>0</v>
      </c>
      <c r="T930" s="14" t="n">
        <f aca="false">IF($L930=2013,1,0)</f>
        <v>0</v>
      </c>
      <c r="U930" s="14" t="n">
        <f aca="false">IF($L930=2014,1,0)</f>
        <v>0</v>
      </c>
      <c r="V930" s="14" t="n">
        <f aca="false">IF($L930=2015,1,0)</f>
        <v>0</v>
      </c>
      <c r="W930" s="14" t="n">
        <f aca="false">IF($L930=2016,1,0)</f>
        <v>0</v>
      </c>
      <c r="X930" s="14" t="n">
        <f aca="false">IF($L930=2017,1,0)</f>
        <v>1</v>
      </c>
      <c r="Y930" s="14" t="n">
        <f aca="false">IF($H930="Beginner Level",1,0)</f>
        <v>0</v>
      </c>
      <c r="Z930" s="14" t="n">
        <f aca="false">IF($H930="Expert Level",1,0)</f>
        <v>0</v>
      </c>
      <c r="AA930" s="14" t="n">
        <f aca="false">IF($H930="Intermediate Level",1,0)</f>
        <v>0</v>
      </c>
      <c r="AC930" s="14" t="n">
        <f aca="false">N930</f>
        <v>2.99623214859564</v>
      </c>
      <c r="AD930" s="14" t="n">
        <f aca="false">G930</f>
        <v>47</v>
      </c>
      <c r="AE930" s="14" t="n">
        <f aca="false">J930</f>
        <v>8</v>
      </c>
      <c r="AF930" s="14" t="n">
        <f aca="false">IF($L930=2012,1,0)</f>
        <v>0</v>
      </c>
      <c r="AG930" s="14" t="n">
        <f aca="false">IF($L930=2013,1,0)</f>
        <v>0</v>
      </c>
      <c r="AH930" s="14" t="n">
        <f aca="false">IF($L930=2014,1,0)</f>
        <v>0</v>
      </c>
      <c r="AI930" s="14" t="n">
        <f aca="false">IF($L930=2015,1,0)</f>
        <v>0</v>
      </c>
      <c r="AJ930" s="14" t="n">
        <f aca="false">IF($L930=2016,1,0)</f>
        <v>0</v>
      </c>
      <c r="AK930" s="14" t="n">
        <f aca="false">IF($L930=2017,1,0)</f>
        <v>1</v>
      </c>
      <c r="AL930" s="14" t="n">
        <f aca="false">IF($H930="Beginner Level",1,0)</f>
        <v>0</v>
      </c>
      <c r="AM930" s="14" t="n">
        <f aca="false">IF($H930="Expert Level",1,0)</f>
        <v>0</v>
      </c>
      <c r="AN930" s="14" t="n">
        <f aca="false">IF($H930="Intermediate Level",1,0)</f>
        <v>0</v>
      </c>
    </row>
    <row r="931" customFormat="false" ht="79.85" hidden="false" customHeight="false" outlineLevel="0" collapsed="false">
      <c r="A931" s="14" t="n">
        <v>911474</v>
      </c>
      <c r="B931" s="14" t="s">
        <v>1904</v>
      </c>
      <c r="C931" s="14" t="s">
        <v>1905</v>
      </c>
      <c r="D931" s="14" t="n">
        <v>150</v>
      </c>
      <c r="E931" s="14" t="n">
        <v>1050</v>
      </c>
      <c r="F931" s="14" t="n">
        <v>223</v>
      </c>
      <c r="G931" s="14" t="n">
        <v>64</v>
      </c>
      <c r="H931" s="14" t="s">
        <v>52</v>
      </c>
      <c r="I931" s="14" t="n">
        <v>0.16</v>
      </c>
      <c r="J931" s="14" t="n">
        <v>6.5</v>
      </c>
      <c r="K931" s="14" t="s">
        <v>59</v>
      </c>
      <c r="L931" s="14" t="n">
        <v>2016</v>
      </c>
      <c r="M931" s="14" t="n">
        <v>6.95654544315157</v>
      </c>
      <c r="N931" s="14" t="n">
        <v>5.0107019585408</v>
      </c>
      <c r="P931" s="14" t="n">
        <f aca="false">D931</f>
        <v>150</v>
      </c>
      <c r="Q931" s="14" t="n">
        <f aca="false">G931</f>
        <v>64</v>
      </c>
      <c r="R931" s="14" t="n">
        <f aca="false">J931</f>
        <v>6.5</v>
      </c>
      <c r="S931" s="14" t="n">
        <f aca="false">IF($L931=2012,1,0)</f>
        <v>0</v>
      </c>
      <c r="T931" s="14" t="n">
        <f aca="false">IF($L931=2013,1,0)</f>
        <v>0</v>
      </c>
      <c r="U931" s="14" t="n">
        <f aca="false">IF($L931=2014,1,0)</f>
        <v>0</v>
      </c>
      <c r="V931" s="14" t="n">
        <f aca="false">IF($L931=2015,1,0)</f>
        <v>0</v>
      </c>
      <c r="W931" s="14" t="n">
        <f aca="false">IF($L931=2016,1,0)</f>
        <v>1</v>
      </c>
      <c r="X931" s="14" t="n">
        <f aca="false">IF($L931=2017,1,0)</f>
        <v>0</v>
      </c>
      <c r="Y931" s="14" t="n">
        <f aca="false">IF($H931="Beginner Level",1,0)</f>
        <v>1</v>
      </c>
      <c r="Z931" s="14" t="n">
        <f aca="false">IF($H931="Expert Level",1,0)</f>
        <v>0</v>
      </c>
      <c r="AA931" s="14" t="n">
        <f aca="false">IF($H931="Intermediate Level",1,0)</f>
        <v>0</v>
      </c>
      <c r="AC931" s="14" t="n">
        <f aca="false">N931</f>
        <v>5.0107019585408</v>
      </c>
      <c r="AD931" s="14" t="n">
        <f aca="false">G931</f>
        <v>64</v>
      </c>
      <c r="AE931" s="14" t="n">
        <f aca="false">J931</f>
        <v>6.5</v>
      </c>
      <c r="AF931" s="14" t="n">
        <f aca="false">IF($L931=2012,1,0)</f>
        <v>0</v>
      </c>
      <c r="AG931" s="14" t="n">
        <f aca="false">IF($L931=2013,1,0)</f>
        <v>0</v>
      </c>
      <c r="AH931" s="14" t="n">
        <f aca="false">IF($L931=2014,1,0)</f>
        <v>0</v>
      </c>
      <c r="AI931" s="14" t="n">
        <f aca="false">IF($L931=2015,1,0)</f>
        <v>0</v>
      </c>
      <c r="AJ931" s="14" t="n">
        <f aca="false">IF($L931=2016,1,0)</f>
        <v>1</v>
      </c>
      <c r="AK931" s="14" t="n">
        <f aca="false">IF($L931=2017,1,0)</f>
        <v>0</v>
      </c>
      <c r="AL931" s="14" t="n">
        <f aca="false">IF($H931="Beginner Level",1,0)</f>
        <v>1</v>
      </c>
      <c r="AM931" s="14" t="n">
        <f aca="false">IF($H931="Expert Level",1,0)</f>
        <v>0</v>
      </c>
      <c r="AN931" s="14" t="n">
        <f aca="false">IF($H931="Intermediate Level",1,0)</f>
        <v>0</v>
      </c>
    </row>
    <row r="932" customFormat="false" ht="79.85" hidden="false" customHeight="false" outlineLevel="0" collapsed="false">
      <c r="A932" s="14" t="n">
        <v>742712</v>
      </c>
      <c r="B932" s="14" t="s">
        <v>1906</v>
      </c>
      <c r="C932" s="14" t="s">
        <v>1907</v>
      </c>
      <c r="D932" s="14" t="n">
        <v>35</v>
      </c>
      <c r="E932" s="14" t="n">
        <v>1049</v>
      </c>
      <c r="F932" s="14" t="n">
        <v>22</v>
      </c>
      <c r="G932" s="14" t="n">
        <v>47</v>
      </c>
      <c r="H932" s="14" t="s">
        <v>52</v>
      </c>
      <c r="I932" s="14" t="n">
        <v>0.63</v>
      </c>
      <c r="J932" s="14" t="n">
        <v>3.5</v>
      </c>
      <c r="K932" s="14" t="s">
        <v>59</v>
      </c>
      <c r="L932" s="14" t="n">
        <v>2016</v>
      </c>
      <c r="M932" s="14" t="n">
        <v>6.9555926083963</v>
      </c>
      <c r="N932" s="14" t="n">
        <v>3.55563373496657</v>
      </c>
      <c r="P932" s="14" t="n">
        <f aca="false">D932</f>
        <v>35</v>
      </c>
      <c r="Q932" s="14" t="n">
        <f aca="false">G932</f>
        <v>47</v>
      </c>
      <c r="R932" s="14" t="n">
        <f aca="false">J932</f>
        <v>3.5</v>
      </c>
      <c r="S932" s="14" t="n">
        <f aca="false">IF($L932=2012,1,0)</f>
        <v>0</v>
      </c>
      <c r="T932" s="14" t="n">
        <f aca="false">IF($L932=2013,1,0)</f>
        <v>0</v>
      </c>
      <c r="U932" s="14" t="n">
        <f aca="false">IF($L932=2014,1,0)</f>
        <v>0</v>
      </c>
      <c r="V932" s="14" t="n">
        <f aca="false">IF($L932=2015,1,0)</f>
        <v>0</v>
      </c>
      <c r="W932" s="14" t="n">
        <f aca="false">IF($L932=2016,1,0)</f>
        <v>1</v>
      </c>
      <c r="X932" s="14" t="n">
        <f aca="false">IF($L932=2017,1,0)</f>
        <v>0</v>
      </c>
      <c r="Y932" s="14" t="n">
        <f aca="false">IF($H932="Beginner Level",1,0)</f>
        <v>1</v>
      </c>
      <c r="Z932" s="14" t="n">
        <f aca="false">IF($H932="Expert Level",1,0)</f>
        <v>0</v>
      </c>
      <c r="AA932" s="14" t="n">
        <f aca="false">IF($H932="Intermediate Level",1,0)</f>
        <v>0</v>
      </c>
      <c r="AC932" s="14" t="n">
        <f aca="false">N932</f>
        <v>3.55563373496657</v>
      </c>
      <c r="AD932" s="14" t="n">
        <f aca="false">G932</f>
        <v>47</v>
      </c>
      <c r="AE932" s="14" t="n">
        <f aca="false">J932</f>
        <v>3.5</v>
      </c>
      <c r="AF932" s="14" t="n">
        <f aca="false">IF($L932=2012,1,0)</f>
        <v>0</v>
      </c>
      <c r="AG932" s="14" t="n">
        <f aca="false">IF($L932=2013,1,0)</f>
        <v>0</v>
      </c>
      <c r="AH932" s="14" t="n">
        <f aca="false">IF($L932=2014,1,0)</f>
        <v>0</v>
      </c>
      <c r="AI932" s="14" t="n">
        <f aca="false">IF($L932=2015,1,0)</f>
        <v>0</v>
      </c>
      <c r="AJ932" s="14" t="n">
        <f aca="false">IF($L932=2016,1,0)</f>
        <v>1</v>
      </c>
      <c r="AK932" s="14" t="n">
        <f aca="false">IF($L932=2017,1,0)</f>
        <v>0</v>
      </c>
      <c r="AL932" s="14" t="n">
        <f aca="false">IF($H932="Beginner Level",1,0)</f>
        <v>1</v>
      </c>
      <c r="AM932" s="14" t="n">
        <f aca="false">IF($H932="Expert Level",1,0)</f>
        <v>0</v>
      </c>
      <c r="AN932" s="14" t="n">
        <f aca="false">IF($H932="Intermediate Level",1,0)</f>
        <v>0</v>
      </c>
    </row>
    <row r="933" customFormat="false" ht="57.45" hidden="false" customHeight="false" outlineLevel="0" collapsed="false">
      <c r="A933" s="14" t="n">
        <v>1223012</v>
      </c>
      <c r="B933" s="14" t="s">
        <v>1908</v>
      </c>
      <c r="C933" s="14" t="s">
        <v>1909</v>
      </c>
      <c r="D933" s="14" t="n">
        <v>195</v>
      </c>
      <c r="E933" s="14" t="n">
        <v>1040</v>
      </c>
      <c r="F933" s="14" t="n">
        <v>5</v>
      </c>
      <c r="G933" s="14" t="n">
        <v>30</v>
      </c>
      <c r="H933" s="14" t="s">
        <v>52</v>
      </c>
      <c r="I933" s="14" t="n">
        <v>0.2</v>
      </c>
      <c r="J933" s="14" t="n">
        <v>3.5</v>
      </c>
      <c r="K933" s="14" t="s">
        <v>59</v>
      </c>
      <c r="L933" s="14" t="n">
        <v>2017</v>
      </c>
      <c r="M933" s="14" t="n">
        <v>6.94697599213542</v>
      </c>
      <c r="N933" s="14" t="n">
        <v>5.27305083930015</v>
      </c>
      <c r="P933" s="14" t="n">
        <f aca="false">D933</f>
        <v>195</v>
      </c>
      <c r="Q933" s="14" t="n">
        <f aca="false">G933</f>
        <v>30</v>
      </c>
      <c r="R933" s="14" t="n">
        <f aca="false">J933</f>
        <v>3.5</v>
      </c>
      <c r="S933" s="14" t="n">
        <f aca="false">IF($L933=2012,1,0)</f>
        <v>0</v>
      </c>
      <c r="T933" s="14" t="n">
        <f aca="false">IF($L933=2013,1,0)</f>
        <v>0</v>
      </c>
      <c r="U933" s="14" t="n">
        <f aca="false">IF($L933=2014,1,0)</f>
        <v>0</v>
      </c>
      <c r="V933" s="14" t="n">
        <f aca="false">IF($L933=2015,1,0)</f>
        <v>0</v>
      </c>
      <c r="W933" s="14" t="n">
        <f aca="false">IF($L933=2016,1,0)</f>
        <v>0</v>
      </c>
      <c r="X933" s="14" t="n">
        <f aca="false">IF($L933=2017,1,0)</f>
        <v>1</v>
      </c>
      <c r="Y933" s="14" t="n">
        <f aca="false">IF($H933="Beginner Level",1,0)</f>
        <v>1</v>
      </c>
      <c r="Z933" s="14" t="n">
        <f aca="false">IF($H933="Expert Level",1,0)</f>
        <v>0</v>
      </c>
      <c r="AA933" s="14" t="n">
        <f aca="false">IF($H933="Intermediate Level",1,0)</f>
        <v>0</v>
      </c>
      <c r="AC933" s="14" t="n">
        <f aca="false">N933</f>
        <v>5.27305083930015</v>
      </c>
      <c r="AD933" s="14" t="n">
        <f aca="false">G933</f>
        <v>30</v>
      </c>
      <c r="AE933" s="14" t="n">
        <f aca="false">J933</f>
        <v>3.5</v>
      </c>
      <c r="AF933" s="14" t="n">
        <f aca="false">IF($L933=2012,1,0)</f>
        <v>0</v>
      </c>
      <c r="AG933" s="14" t="n">
        <f aca="false">IF($L933=2013,1,0)</f>
        <v>0</v>
      </c>
      <c r="AH933" s="14" t="n">
        <f aca="false">IF($L933=2014,1,0)</f>
        <v>0</v>
      </c>
      <c r="AI933" s="14" t="n">
        <f aca="false">IF($L933=2015,1,0)</f>
        <v>0</v>
      </c>
      <c r="AJ933" s="14" t="n">
        <f aca="false">IF($L933=2016,1,0)</f>
        <v>0</v>
      </c>
      <c r="AK933" s="14" t="n">
        <f aca="false">IF($L933=2017,1,0)</f>
        <v>1</v>
      </c>
      <c r="AL933" s="14" t="n">
        <f aca="false">IF($H933="Beginner Level",1,0)</f>
        <v>1</v>
      </c>
      <c r="AM933" s="14" t="n">
        <f aca="false">IF($H933="Expert Level",1,0)</f>
        <v>0</v>
      </c>
      <c r="AN933" s="14" t="n">
        <f aca="false">IF($H933="Intermediate Level",1,0)</f>
        <v>0</v>
      </c>
    </row>
    <row r="934" customFormat="false" ht="79.85" hidden="false" customHeight="false" outlineLevel="0" collapsed="false">
      <c r="A934" s="14" t="n">
        <v>775618</v>
      </c>
      <c r="B934" s="14" t="s">
        <v>1910</v>
      </c>
      <c r="C934" s="14" t="s">
        <v>1911</v>
      </c>
      <c r="D934" s="14" t="n">
        <v>100</v>
      </c>
      <c r="E934" s="14" t="n">
        <v>1040</v>
      </c>
      <c r="F934" s="14" t="n">
        <v>14</v>
      </c>
      <c r="G934" s="14" t="n">
        <v>21</v>
      </c>
      <c r="H934" s="14" t="s">
        <v>52</v>
      </c>
      <c r="I934" s="14" t="n">
        <v>0.21</v>
      </c>
      <c r="J934" s="14" t="n">
        <v>2</v>
      </c>
      <c r="K934" s="14" t="s">
        <v>59</v>
      </c>
      <c r="L934" s="14" t="n">
        <v>2016</v>
      </c>
      <c r="M934" s="14" t="n">
        <v>6.94697599213542</v>
      </c>
      <c r="N934" s="14" t="n">
        <v>4.60527018098843</v>
      </c>
      <c r="P934" s="14" t="n">
        <f aca="false">D934</f>
        <v>100</v>
      </c>
      <c r="Q934" s="14" t="n">
        <f aca="false">G934</f>
        <v>21</v>
      </c>
      <c r="R934" s="14" t="n">
        <f aca="false">J934</f>
        <v>2</v>
      </c>
      <c r="S934" s="14" t="n">
        <f aca="false">IF($L934=2012,1,0)</f>
        <v>0</v>
      </c>
      <c r="T934" s="14" t="n">
        <f aca="false">IF($L934=2013,1,0)</f>
        <v>0</v>
      </c>
      <c r="U934" s="14" t="n">
        <f aca="false">IF($L934=2014,1,0)</f>
        <v>0</v>
      </c>
      <c r="V934" s="14" t="n">
        <f aca="false">IF($L934=2015,1,0)</f>
        <v>0</v>
      </c>
      <c r="W934" s="14" t="n">
        <f aca="false">IF($L934=2016,1,0)</f>
        <v>1</v>
      </c>
      <c r="X934" s="14" t="n">
        <f aca="false">IF($L934=2017,1,0)</f>
        <v>0</v>
      </c>
      <c r="Y934" s="14" t="n">
        <f aca="false">IF($H934="Beginner Level",1,0)</f>
        <v>1</v>
      </c>
      <c r="Z934" s="14" t="n">
        <f aca="false">IF($H934="Expert Level",1,0)</f>
        <v>0</v>
      </c>
      <c r="AA934" s="14" t="n">
        <f aca="false">IF($H934="Intermediate Level",1,0)</f>
        <v>0</v>
      </c>
      <c r="AC934" s="14" t="n">
        <f aca="false">N934</f>
        <v>4.60527018098843</v>
      </c>
      <c r="AD934" s="14" t="n">
        <f aca="false">G934</f>
        <v>21</v>
      </c>
      <c r="AE934" s="14" t="n">
        <f aca="false">J934</f>
        <v>2</v>
      </c>
      <c r="AF934" s="14" t="n">
        <f aca="false">IF($L934=2012,1,0)</f>
        <v>0</v>
      </c>
      <c r="AG934" s="14" t="n">
        <f aca="false">IF($L934=2013,1,0)</f>
        <v>0</v>
      </c>
      <c r="AH934" s="14" t="n">
        <f aca="false">IF($L934=2014,1,0)</f>
        <v>0</v>
      </c>
      <c r="AI934" s="14" t="n">
        <f aca="false">IF($L934=2015,1,0)</f>
        <v>0</v>
      </c>
      <c r="AJ934" s="14" t="n">
        <f aca="false">IF($L934=2016,1,0)</f>
        <v>1</v>
      </c>
      <c r="AK934" s="14" t="n">
        <f aca="false">IF($L934=2017,1,0)</f>
        <v>0</v>
      </c>
      <c r="AL934" s="14" t="n">
        <f aca="false">IF($H934="Beginner Level",1,0)</f>
        <v>1</v>
      </c>
      <c r="AM934" s="14" t="n">
        <f aca="false">IF($H934="Expert Level",1,0)</f>
        <v>0</v>
      </c>
      <c r="AN934" s="14" t="n">
        <f aca="false">IF($H934="Intermediate Level",1,0)</f>
        <v>0</v>
      </c>
    </row>
    <row r="935" customFormat="false" ht="57.45" hidden="false" customHeight="false" outlineLevel="0" collapsed="false">
      <c r="A935" s="14" t="n">
        <v>768612</v>
      </c>
      <c r="B935" s="14" t="s">
        <v>1912</v>
      </c>
      <c r="C935" s="14" t="s">
        <v>1913</v>
      </c>
      <c r="D935" s="14" t="n">
        <v>20</v>
      </c>
      <c r="E935" s="14" t="n">
        <v>1036</v>
      </c>
      <c r="F935" s="14" t="n">
        <v>27</v>
      </c>
      <c r="G935" s="14" t="n">
        <v>20</v>
      </c>
      <c r="H935" s="14" t="s">
        <v>52</v>
      </c>
      <c r="I935" s="14" t="n">
        <v>0.12</v>
      </c>
      <c r="J935" s="14" t="n">
        <v>2</v>
      </c>
      <c r="K935" s="14" t="s">
        <v>59</v>
      </c>
      <c r="L935" s="14" t="n">
        <v>2016</v>
      </c>
      <c r="M935" s="14" t="n">
        <v>6.94312242281943</v>
      </c>
      <c r="N935" s="14" t="n">
        <v>2.99623214859564</v>
      </c>
      <c r="P935" s="14" t="n">
        <f aca="false">D935</f>
        <v>20</v>
      </c>
      <c r="Q935" s="14" t="n">
        <f aca="false">G935</f>
        <v>20</v>
      </c>
      <c r="R935" s="14" t="n">
        <f aca="false">J935</f>
        <v>2</v>
      </c>
      <c r="S935" s="14" t="n">
        <f aca="false">IF($L935=2012,1,0)</f>
        <v>0</v>
      </c>
      <c r="T935" s="14" t="n">
        <f aca="false">IF($L935=2013,1,0)</f>
        <v>0</v>
      </c>
      <c r="U935" s="14" t="n">
        <f aca="false">IF($L935=2014,1,0)</f>
        <v>0</v>
      </c>
      <c r="V935" s="14" t="n">
        <f aca="false">IF($L935=2015,1,0)</f>
        <v>0</v>
      </c>
      <c r="W935" s="14" t="n">
        <f aca="false">IF($L935=2016,1,0)</f>
        <v>1</v>
      </c>
      <c r="X935" s="14" t="n">
        <f aca="false">IF($L935=2017,1,0)</f>
        <v>0</v>
      </c>
      <c r="Y935" s="14" t="n">
        <f aca="false">IF($H935="Beginner Level",1,0)</f>
        <v>1</v>
      </c>
      <c r="Z935" s="14" t="n">
        <f aca="false">IF($H935="Expert Level",1,0)</f>
        <v>0</v>
      </c>
      <c r="AA935" s="14" t="n">
        <f aca="false">IF($H935="Intermediate Level",1,0)</f>
        <v>0</v>
      </c>
      <c r="AC935" s="14" t="n">
        <f aca="false">N935</f>
        <v>2.99623214859564</v>
      </c>
      <c r="AD935" s="14" t="n">
        <f aca="false">G935</f>
        <v>20</v>
      </c>
      <c r="AE935" s="14" t="n">
        <f aca="false">J935</f>
        <v>2</v>
      </c>
      <c r="AF935" s="14" t="n">
        <f aca="false">IF($L935=2012,1,0)</f>
        <v>0</v>
      </c>
      <c r="AG935" s="14" t="n">
        <f aca="false">IF($L935=2013,1,0)</f>
        <v>0</v>
      </c>
      <c r="AH935" s="14" t="n">
        <f aca="false">IF($L935=2014,1,0)</f>
        <v>0</v>
      </c>
      <c r="AI935" s="14" t="n">
        <f aca="false">IF($L935=2015,1,0)</f>
        <v>0</v>
      </c>
      <c r="AJ935" s="14" t="n">
        <f aca="false">IF($L935=2016,1,0)</f>
        <v>1</v>
      </c>
      <c r="AK935" s="14" t="n">
        <f aca="false">IF($L935=2017,1,0)</f>
        <v>0</v>
      </c>
      <c r="AL935" s="14" t="n">
        <f aca="false">IF($H935="Beginner Level",1,0)</f>
        <v>1</v>
      </c>
      <c r="AM935" s="14" t="n">
        <f aca="false">IF($H935="Expert Level",1,0)</f>
        <v>0</v>
      </c>
      <c r="AN935" s="14" t="n">
        <f aca="false">IF($H935="Intermediate Level",1,0)</f>
        <v>0</v>
      </c>
    </row>
    <row r="936" customFormat="false" ht="91" hidden="false" customHeight="false" outlineLevel="0" collapsed="false">
      <c r="A936" s="14" t="n">
        <v>948204</v>
      </c>
      <c r="B936" s="14" t="s">
        <v>1914</v>
      </c>
      <c r="C936" s="14" t="s">
        <v>1915</v>
      </c>
      <c r="D936" s="14" t="n">
        <v>30</v>
      </c>
      <c r="E936" s="14" t="n">
        <v>1033</v>
      </c>
      <c r="F936" s="14" t="n">
        <v>16</v>
      </c>
      <c r="G936" s="14" t="n">
        <v>42</v>
      </c>
      <c r="H936" s="14" t="s">
        <v>62</v>
      </c>
      <c r="I936" s="14" t="n">
        <v>0.2</v>
      </c>
      <c r="J936" s="14" t="n">
        <v>7.5</v>
      </c>
      <c r="K936" s="14" t="s">
        <v>59</v>
      </c>
      <c r="L936" s="14" t="n">
        <v>2016</v>
      </c>
      <c r="M936" s="14" t="n">
        <v>6.94022246911964</v>
      </c>
      <c r="N936" s="14" t="n">
        <v>3.40153065945228</v>
      </c>
      <c r="P936" s="14" t="n">
        <f aca="false">D936</f>
        <v>30</v>
      </c>
      <c r="Q936" s="14" t="n">
        <f aca="false">G936</f>
        <v>42</v>
      </c>
      <c r="R936" s="14" t="n">
        <f aca="false">J936</f>
        <v>7.5</v>
      </c>
      <c r="S936" s="14" t="n">
        <f aca="false">IF($L936=2012,1,0)</f>
        <v>0</v>
      </c>
      <c r="T936" s="14" t="n">
        <f aca="false">IF($L936=2013,1,0)</f>
        <v>0</v>
      </c>
      <c r="U936" s="14" t="n">
        <f aca="false">IF($L936=2014,1,0)</f>
        <v>0</v>
      </c>
      <c r="V936" s="14" t="n">
        <f aca="false">IF($L936=2015,1,0)</f>
        <v>0</v>
      </c>
      <c r="W936" s="14" t="n">
        <f aca="false">IF($L936=2016,1,0)</f>
        <v>1</v>
      </c>
      <c r="X936" s="14" t="n">
        <f aca="false">IF($L936=2017,1,0)</f>
        <v>0</v>
      </c>
      <c r="Y936" s="14" t="n">
        <f aca="false">IF($H936="Beginner Level",1,0)</f>
        <v>0</v>
      </c>
      <c r="Z936" s="14" t="n">
        <f aca="false">IF($H936="Expert Level",1,0)</f>
        <v>0</v>
      </c>
      <c r="AA936" s="14" t="n">
        <f aca="false">IF($H936="Intermediate Level",1,0)</f>
        <v>0</v>
      </c>
      <c r="AC936" s="14" t="n">
        <f aca="false">N936</f>
        <v>3.40153065945228</v>
      </c>
      <c r="AD936" s="14" t="n">
        <f aca="false">G936</f>
        <v>42</v>
      </c>
      <c r="AE936" s="14" t="n">
        <f aca="false">J936</f>
        <v>7.5</v>
      </c>
      <c r="AF936" s="14" t="n">
        <f aca="false">IF($L936=2012,1,0)</f>
        <v>0</v>
      </c>
      <c r="AG936" s="14" t="n">
        <f aca="false">IF($L936=2013,1,0)</f>
        <v>0</v>
      </c>
      <c r="AH936" s="14" t="n">
        <f aca="false">IF($L936=2014,1,0)</f>
        <v>0</v>
      </c>
      <c r="AI936" s="14" t="n">
        <f aca="false">IF($L936=2015,1,0)</f>
        <v>0</v>
      </c>
      <c r="AJ936" s="14" t="n">
        <f aca="false">IF($L936=2016,1,0)</f>
        <v>1</v>
      </c>
      <c r="AK936" s="14" t="n">
        <f aca="false">IF($L936=2017,1,0)</f>
        <v>0</v>
      </c>
      <c r="AL936" s="14" t="n">
        <f aca="false">IF($H936="Beginner Level",1,0)</f>
        <v>0</v>
      </c>
      <c r="AM936" s="14" t="n">
        <f aca="false">IF($H936="Expert Level",1,0)</f>
        <v>0</v>
      </c>
      <c r="AN936" s="14" t="n">
        <f aca="false">IF($H936="Intermediate Level",1,0)</f>
        <v>0</v>
      </c>
    </row>
    <row r="937" customFormat="false" ht="79.85" hidden="false" customHeight="false" outlineLevel="0" collapsed="false">
      <c r="A937" s="14" t="n">
        <v>824412</v>
      </c>
      <c r="B937" s="14" t="s">
        <v>1916</v>
      </c>
      <c r="C937" s="14" t="s">
        <v>1917</v>
      </c>
      <c r="D937" s="14" t="n">
        <v>100</v>
      </c>
      <c r="E937" s="14" t="n">
        <v>1032</v>
      </c>
      <c r="F937" s="14" t="n">
        <v>9</v>
      </c>
      <c r="G937" s="14" t="n">
        <v>21</v>
      </c>
      <c r="H937" s="14" t="s">
        <v>52</v>
      </c>
      <c r="I937" s="14" t="n">
        <v>0.24</v>
      </c>
      <c r="J937" s="14" t="n">
        <v>1</v>
      </c>
      <c r="K937" s="14" t="s">
        <v>59</v>
      </c>
      <c r="L937" s="14" t="n">
        <v>2016</v>
      </c>
      <c r="M937" s="14" t="n">
        <v>6.93925394604151</v>
      </c>
      <c r="N937" s="14" t="n">
        <v>4.60527018098843</v>
      </c>
      <c r="P937" s="14" t="n">
        <f aca="false">D937</f>
        <v>100</v>
      </c>
      <c r="Q937" s="14" t="n">
        <f aca="false">G937</f>
        <v>21</v>
      </c>
      <c r="R937" s="14" t="n">
        <f aca="false">J937</f>
        <v>1</v>
      </c>
      <c r="S937" s="14" t="n">
        <f aca="false">IF($L937=2012,1,0)</f>
        <v>0</v>
      </c>
      <c r="T937" s="14" t="n">
        <f aca="false">IF($L937=2013,1,0)</f>
        <v>0</v>
      </c>
      <c r="U937" s="14" t="n">
        <f aca="false">IF($L937=2014,1,0)</f>
        <v>0</v>
      </c>
      <c r="V937" s="14" t="n">
        <f aca="false">IF($L937=2015,1,0)</f>
        <v>0</v>
      </c>
      <c r="W937" s="14" t="n">
        <f aca="false">IF($L937=2016,1,0)</f>
        <v>1</v>
      </c>
      <c r="X937" s="14" t="n">
        <f aca="false">IF($L937=2017,1,0)</f>
        <v>0</v>
      </c>
      <c r="Y937" s="14" t="n">
        <f aca="false">IF($H937="Beginner Level",1,0)</f>
        <v>1</v>
      </c>
      <c r="Z937" s="14" t="n">
        <f aca="false">IF($H937="Expert Level",1,0)</f>
        <v>0</v>
      </c>
      <c r="AA937" s="14" t="n">
        <f aca="false">IF($H937="Intermediate Level",1,0)</f>
        <v>0</v>
      </c>
      <c r="AC937" s="14" t="n">
        <f aca="false">N937</f>
        <v>4.60527018098843</v>
      </c>
      <c r="AD937" s="14" t="n">
        <f aca="false">G937</f>
        <v>21</v>
      </c>
      <c r="AE937" s="14" t="n">
        <f aca="false">J937</f>
        <v>1</v>
      </c>
      <c r="AF937" s="14" t="n">
        <f aca="false">IF($L937=2012,1,0)</f>
        <v>0</v>
      </c>
      <c r="AG937" s="14" t="n">
        <f aca="false">IF($L937=2013,1,0)</f>
        <v>0</v>
      </c>
      <c r="AH937" s="14" t="n">
        <f aca="false">IF($L937=2014,1,0)</f>
        <v>0</v>
      </c>
      <c r="AI937" s="14" t="n">
        <f aca="false">IF($L937=2015,1,0)</f>
        <v>0</v>
      </c>
      <c r="AJ937" s="14" t="n">
        <f aca="false">IF($L937=2016,1,0)</f>
        <v>1</v>
      </c>
      <c r="AK937" s="14" t="n">
        <f aca="false">IF($L937=2017,1,0)</f>
        <v>0</v>
      </c>
      <c r="AL937" s="14" t="n">
        <f aca="false">IF($H937="Beginner Level",1,0)</f>
        <v>1</v>
      </c>
      <c r="AM937" s="14" t="n">
        <f aca="false">IF($H937="Expert Level",1,0)</f>
        <v>0</v>
      </c>
      <c r="AN937" s="14" t="n">
        <f aca="false">IF($H937="Intermediate Level",1,0)</f>
        <v>0</v>
      </c>
    </row>
    <row r="938" customFormat="false" ht="91" hidden="false" customHeight="false" outlineLevel="0" collapsed="false">
      <c r="A938" s="14" t="n">
        <v>1112844</v>
      </c>
      <c r="B938" s="14" t="s">
        <v>114</v>
      </c>
      <c r="C938" s="14" t="s">
        <v>1918</v>
      </c>
      <c r="D938" s="14" t="n">
        <v>20</v>
      </c>
      <c r="E938" s="14" t="n">
        <v>1030</v>
      </c>
      <c r="F938" s="14" t="n">
        <v>11</v>
      </c>
      <c r="G938" s="14" t="n">
        <v>30</v>
      </c>
      <c r="H938" s="14" t="s">
        <v>52</v>
      </c>
      <c r="I938" s="14" t="n">
        <v>0.11</v>
      </c>
      <c r="J938" s="14" t="n">
        <v>2.5</v>
      </c>
      <c r="K938" s="14" t="s">
        <v>59</v>
      </c>
      <c r="L938" s="14" t="n">
        <v>2017</v>
      </c>
      <c r="M938" s="14" t="n">
        <v>6.93731408122368</v>
      </c>
      <c r="N938" s="14" t="n">
        <v>2.99623214859564</v>
      </c>
      <c r="P938" s="14" t="n">
        <f aca="false">D938</f>
        <v>20</v>
      </c>
      <c r="Q938" s="14" t="n">
        <f aca="false">G938</f>
        <v>30</v>
      </c>
      <c r="R938" s="14" t="n">
        <f aca="false">J938</f>
        <v>2.5</v>
      </c>
      <c r="S938" s="14" t="n">
        <f aca="false">IF($L938=2012,1,0)</f>
        <v>0</v>
      </c>
      <c r="T938" s="14" t="n">
        <f aca="false">IF($L938=2013,1,0)</f>
        <v>0</v>
      </c>
      <c r="U938" s="14" t="n">
        <f aca="false">IF($L938=2014,1,0)</f>
        <v>0</v>
      </c>
      <c r="V938" s="14" t="n">
        <f aca="false">IF($L938=2015,1,0)</f>
        <v>0</v>
      </c>
      <c r="W938" s="14" t="n">
        <f aca="false">IF($L938=2016,1,0)</f>
        <v>0</v>
      </c>
      <c r="X938" s="14" t="n">
        <f aca="false">IF($L938=2017,1,0)</f>
        <v>1</v>
      </c>
      <c r="Y938" s="14" t="n">
        <f aca="false">IF($H938="Beginner Level",1,0)</f>
        <v>1</v>
      </c>
      <c r="Z938" s="14" t="n">
        <f aca="false">IF($H938="Expert Level",1,0)</f>
        <v>0</v>
      </c>
      <c r="AA938" s="14" t="n">
        <f aca="false">IF($H938="Intermediate Level",1,0)</f>
        <v>0</v>
      </c>
      <c r="AC938" s="14" t="n">
        <f aca="false">N938</f>
        <v>2.99623214859564</v>
      </c>
      <c r="AD938" s="14" t="n">
        <f aca="false">G938</f>
        <v>30</v>
      </c>
      <c r="AE938" s="14" t="n">
        <f aca="false">J938</f>
        <v>2.5</v>
      </c>
      <c r="AF938" s="14" t="n">
        <f aca="false">IF($L938=2012,1,0)</f>
        <v>0</v>
      </c>
      <c r="AG938" s="14" t="n">
        <f aca="false">IF($L938=2013,1,0)</f>
        <v>0</v>
      </c>
      <c r="AH938" s="14" t="n">
        <f aca="false">IF($L938=2014,1,0)</f>
        <v>0</v>
      </c>
      <c r="AI938" s="14" t="n">
        <f aca="false">IF($L938=2015,1,0)</f>
        <v>0</v>
      </c>
      <c r="AJ938" s="14" t="n">
        <f aca="false">IF($L938=2016,1,0)</f>
        <v>0</v>
      </c>
      <c r="AK938" s="14" t="n">
        <f aca="false">IF($L938=2017,1,0)</f>
        <v>1</v>
      </c>
      <c r="AL938" s="14" t="n">
        <f aca="false">IF($H938="Beginner Level",1,0)</f>
        <v>1</v>
      </c>
      <c r="AM938" s="14" t="n">
        <f aca="false">IF($H938="Expert Level",1,0)</f>
        <v>0</v>
      </c>
      <c r="AN938" s="14" t="n">
        <f aca="false">IF($H938="Intermediate Level",1,0)</f>
        <v>0</v>
      </c>
    </row>
    <row r="939" customFormat="false" ht="79.85" hidden="false" customHeight="false" outlineLevel="0" collapsed="false">
      <c r="A939" s="14" t="n">
        <v>533416</v>
      </c>
      <c r="B939" s="14" t="s">
        <v>1919</v>
      </c>
      <c r="C939" s="14" t="s">
        <v>1920</v>
      </c>
      <c r="D939" s="14" t="n">
        <v>20</v>
      </c>
      <c r="E939" s="14" t="n">
        <v>1024</v>
      </c>
      <c r="F939" s="14" t="n">
        <v>14</v>
      </c>
      <c r="G939" s="14" t="n">
        <v>26</v>
      </c>
      <c r="H939" s="14" t="s">
        <v>62</v>
      </c>
      <c r="I939" s="14" t="n">
        <v>0.85</v>
      </c>
      <c r="J939" s="14" t="n">
        <v>3</v>
      </c>
      <c r="K939" s="14" t="s">
        <v>59</v>
      </c>
      <c r="L939" s="14" t="n">
        <v>2016</v>
      </c>
      <c r="M939" s="14" t="n">
        <v>6.93147180559945</v>
      </c>
      <c r="N939" s="14" t="n">
        <v>2.99623214859564</v>
      </c>
      <c r="P939" s="14" t="n">
        <f aca="false">D939</f>
        <v>20</v>
      </c>
      <c r="Q939" s="14" t="n">
        <f aca="false">G939</f>
        <v>26</v>
      </c>
      <c r="R939" s="14" t="n">
        <f aca="false">J939</f>
        <v>3</v>
      </c>
      <c r="S939" s="14" t="n">
        <f aca="false">IF($L939=2012,1,0)</f>
        <v>0</v>
      </c>
      <c r="T939" s="14" t="n">
        <f aca="false">IF($L939=2013,1,0)</f>
        <v>0</v>
      </c>
      <c r="U939" s="14" t="n">
        <f aca="false">IF($L939=2014,1,0)</f>
        <v>0</v>
      </c>
      <c r="V939" s="14" t="n">
        <f aca="false">IF($L939=2015,1,0)</f>
        <v>0</v>
      </c>
      <c r="W939" s="14" t="n">
        <f aca="false">IF($L939=2016,1,0)</f>
        <v>1</v>
      </c>
      <c r="X939" s="14" t="n">
        <f aca="false">IF($L939=2017,1,0)</f>
        <v>0</v>
      </c>
      <c r="Y939" s="14" t="n">
        <f aca="false">IF($H939="Beginner Level",1,0)</f>
        <v>0</v>
      </c>
      <c r="Z939" s="14" t="n">
        <f aca="false">IF($H939="Expert Level",1,0)</f>
        <v>0</v>
      </c>
      <c r="AA939" s="14" t="n">
        <f aca="false">IF($H939="Intermediate Level",1,0)</f>
        <v>0</v>
      </c>
      <c r="AC939" s="14" t="n">
        <f aca="false">N939</f>
        <v>2.99623214859564</v>
      </c>
      <c r="AD939" s="14" t="n">
        <f aca="false">G939</f>
        <v>26</v>
      </c>
      <c r="AE939" s="14" t="n">
        <f aca="false">J939</f>
        <v>3</v>
      </c>
      <c r="AF939" s="14" t="n">
        <f aca="false">IF($L939=2012,1,0)</f>
        <v>0</v>
      </c>
      <c r="AG939" s="14" t="n">
        <f aca="false">IF($L939=2013,1,0)</f>
        <v>0</v>
      </c>
      <c r="AH939" s="14" t="n">
        <f aca="false">IF($L939=2014,1,0)</f>
        <v>0</v>
      </c>
      <c r="AI939" s="14" t="n">
        <f aca="false">IF($L939=2015,1,0)</f>
        <v>0</v>
      </c>
      <c r="AJ939" s="14" t="n">
        <f aca="false">IF($L939=2016,1,0)</f>
        <v>1</v>
      </c>
      <c r="AK939" s="14" t="n">
        <f aca="false">IF($L939=2017,1,0)</f>
        <v>0</v>
      </c>
      <c r="AL939" s="14" t="n">
        <f aca="false">IF($H939="Beginner Level",1,0)</f>
        <v>0</v>
      </c>
      <c r="AM939" s="14" t="n">
        <f aca="false">IF($H939="Expert Level",1,0)</f>
        <v>0</v>
      </c>
      <c r="AN939" s="14" t="n">
        <f aca="false">IF($H939="Intermediate Level",1,0)</f>
        <v>0</v>
      </c>
    </row>
    <row r="940" customFormat="false" ht="46.25" hidden="false" customHeight="false" outlineLevel="0" collapsed="false">
      <c r="A940" s="14" t="n">
        <v>976284</v>
      </c>
      <c r="B940" s="14" t="s">
        <v>1921</v>
      </c>
      <c r="C940" s="14" t="s">
        <v>1922</v>
      </c>
      <c r="D940" s="14" t="n">
        <v>100</v>
      </c>
      <c r="E940" s="14" t="n">
        <v>1023</v>
      </c>
      <c r="F940" s="14" t="n">
        <v>118</v>
      </c>
      <c r="G940" s="14" t="n">
        <v>38</v>
      </c>
      <c r="H940" s="14" t="s">
        <v>71</v>
      </c>
      <c r="I940" s="14" t="n">
        <v>0.3</v>
      </c>
      <c r="J940" s="14" t="n">
        <v>6</v>
      </c>
      <c r="K940" s="14" t="s">
        <v>59</v>
      </c>
      <c r="L940" s="14" t="n">
        <v>2016</v>
      </c>
      <c r="M940" s="14" t="n">
        <v>6.93049476595163</v>
      </c>
      <c r="N940" s="14" t="n">
        <v>4.60527018098843</v>
      </c>
      <c r="P940" s="14" t="n">
        <f aca="false">D940</f>
        <v>100</v>
      </c>
      <c r="Q940" s="14" t="n">
        <f aca="false">G940</f>
        <v>38</v>
      </c>
      <c r="R940" s="14" t="n">
        <f aca="false">J940</f>
        <v>6</v>
      </c>
      <c r="S940" s="14" t="n">
        <f aca="false">IF($L940=2012,1,0)</f>
        <v>0</v>
      </c>
      <c r="T940" s="14" t="n">
        <f aca="false">IF($L940=2013,1,0)</f>
        <v>0</v>
      </c>
      <c r="U940" s="14" t="n">
        <f aca="false">IF($L940=2014,1,0)</f>
        <v>0</v>
      </c>
      <c r="V940" s="14" t="n">
        <f aca="false">IF($L940=2015,1,0)</f>
        <v>0</v>
      </c>
      <c r="W940" s="14" t="n">
        <f aca="false">IF($L940=2016,1,0)</f>
        <v>1</v>
      </c>
      <c r="X940" s="14" t="n">
        <f aca="false">IF($L940=2017,1,0)</f>
        <v>0</v>
      </c>
      <c r="Y940" s="14" t="n">
        <f aca="false">IF($H940="Beginner Level",1,0)</f>
        <v>0</v>
      </c>
      <c r="Z940" s="14" t="n">
        <f aca="false">IF($H940="Expert Level",1,0)</f>
        <v>0</v>
      </c>
      <c r="AA940" s="14" t="n">
        <f aca="false">IF($H940="Intermediate Level",1,0)</f>
        <v>1</v>
      </c>
      <c r="AC940" s="14" t="n">
        <f aca="false">N940</f>
        <v>4.60527018098843</v>
      </c>
      <c r="AD940" s="14" t="n">
        <f aca="false">G940</f>
        <v>38</v>
      </c>
      <c r="AE940" s="14" t="n">
        <f aca="false">J940</f>
        <v>6</v>
      </c>
      <c r="AF940" s="14" t="n">
        <f aca="false">IF($L940=2012,1,0)</f>
        <v>0</v>
      </c>
      <c r="AG940" s="14" t="n">
        <f aca="false">IF($L940=2013,1,0)</f>
        <v>0</v>
      </c>
      <c r="AH940" s="14" t="n">
        <f aca="false">IF($L940=2014,1,0)</f>
        <v>0</v>
      </c>
      <c r="AI940" s="14" t="n">
        <f aca="false">IF($L940=2015,1,0)</f>
        <v>0</v>
      </c>
      <c r="AJ940" s="14" t="n">
        <f aca="false">IF($L940=2016,1,0)</f>
        <v>1</v>
      </c>
      <c r="AK940" s="14" t="n">
        <f aca="false">IF($L940=2017,1,0)</f>
        <v>0</v>
      </c>
      <c r="AL940" s="14" t="n">
        <f aca="false">IF($H940="Beginner Level",1,0)</f>
        <v>0</v>
      </c>
      <c r="AM940" s="14" t="n">
        <f aca="false">IF($H940="Expert Level",1,0)</f>
        <v>0</v>
      </c>
      <c r="AN940" s="14" t="n">
        <f aca="false">IF($H940="Intermediate Level",1,0)</f>
        <v>1</v>
      </c>
    </row>
    <row r="941" customFormat="false" ht="57.45" hidden="false" customHeight="false" outlineLevel="0" collapsed="false">
      <c r="A941" s="14" t="n">
        <v>795278</v>
      </c>
      <c r="B941" s="14" t="s">
        <v>1923</v>
      </c>
      <c r="C941" s="14" t="s">
        <v>1924</v>
      </c>
      <c r="D941" s="14" t="n">
        <v>100</v>
      </c>
      <c r="E941" s="14" t="n">
        <v>1023</v>
      </c>
      <c r="F941" s="14" t="n">
        <v>131</v>
      </c>
      <c r="G941" s="14" t="n">
        <v>44</v>
      </c>
      <c r="H941" s="14" t="s">
        <v>62</v>
      </c>
      <c r="I941" s="14" t="n">
        <v>0.24</v>
      </c>
      <c r="J941" s="14" t="n">
        <v>5</v>
      </c>
      <c r="K941" s="14" t="s">
        <v>59</v>
      </c>
      <c r="L941" s="14" t="n">
        <v>2016</v>
      </c>
      <c r="M941" s="14" t="n">
        <v>6.93049476595163</v>
      </c>
      <c r="N941" s="14" t="n">
        <v>4.60527018098843</v>
      </c>
      <c r="P941" s="14" t="n">
        <f aca="false">D941</f>
        <v>100</v>
      </c>
      <c r="Q941" s="14" t="n">
        <f aca="false">G941</f>
        <v>44</v>
      </c>
      <c r="R941" s="14" t="n">
        <f aca="false">J941</f>
        <v>5</v>
      </c>
      <c r="S941" s="14" t="n">
        <f aca="false">IF($L941=2012,1,0)</f>
        <v>0</v>
      </c>
      <c r="T941" s="14" t="n">
        <f aca="false">IF($L941=2013,1,0)</f>
        <v>0</v>
      </c>
      <c r="U941" s="14" t="n">
        <f aca="false">IF($L941=2014,1,0)</f>
        <v>0</v>
      </c>
      <c r="V941" s="14" t="n">
        <f aca="false">IF($L941=2015,1,0)</f>
        <v>0</v>
      </c>
      <c r="W941" s="14" t="n">
        <f aca="false">IF($L941=2016,1,0)</f>
        <v>1</v>
      </c>
      <c r="X941" s="14" t="n">
        <f aca="false">IF($L941=2017,1,0)</f>
        <v>0</v>
      </c>
      <c r="Y941" s="14" t="n">
        <f aca="false">IF($H941="Beginner Level",1,0)</f>
        <v>0</v>
      </c>
      <c r="Z941" s="14" t="n">
        <f aca="false">IF($H941="Expert Level",1,0)</f>
        <v>0</v>
      </c>
      <c r="AA941" s="14" t="n">
        <f aca="false">IF($H941="Intermediate Level",1,0)</f>
        <v>0</v>
      </c>
      <c r="AC941" s="14" t="n">
        <f aca="false">N941</f>
        <v>4.60527018098843</v>
      </c>
      <c r="AD941" s="14" t="n">
        <f aca="false">G941</f>
        <v>44</v>
      </c>
      <c r="AE941" s="14" t="n">
        <f aca="false">J941</f>
        <v>5</v>
      </c>
      <c r="AF941" s="14" t="n">
        <f aca="false">IF($L941=2012,1,0)</f>
        <v>0</v>
      </c>
      <c r="AG941" s="14" t="n">
        <f aca="false">IF($L941=2013,1,0)</f>
        <v>0</v>
      </c>
      <c r="AH941" s="14" t="n">
        <f aca="false">IF($L941=2014,1,0)</f>
        <v>0</v>
      </c>
      <c r="AI941" s="14" t="n">
        <f aca="false">IF($L941=2015,1,0)</f>
        <v>0</v>
      </c>
      <c r="AJ941" s="14" t="n">
        <f aca="false">IF($L941=2016,1,0)</f>
        <v>1</v>
      </c>
      <c r="AK941" s="14" t="n">
        <f aca="false">IF($L941=2017,1,0)</f>
        <v>0</v>
      </c>
      <c r="AL941" s="14" t="n">
        <f aca="false">IF($H941="Beginner Level",1,0)</f>
        <v>0</v>
      </c>
      <c r="AM941" s="14" t="n">
        <f aca="false">IF($H941="Expert Level",1,0)</f>
        <v>0</v>
      </c>
      <c r="AN941" s="14" t="n">
        <f aca="false">IF($H941="Intermediate Level",1,0)</f>
        <v>0</v>
      </c>
    </row>
    <row r="942" customFormat="false" ht="46.25" hidden="false" customHeight="false" outlineLevel="0" collapsed="false">
      <c r="A942" s="14" t="n">
        <v>523312</v>
      </c>
      <c r="B942" s="14" t="s">
        <v>1925</v>
      </c>
      <c r="C942" s="14" t="s">
        <v>1926</v>
      </c>
      <c r="D942" s="14" t="n">
        <v>100</v>
      </c>
      <c r="E942" s="14" t="n">
        <v>1020</v>
      </c>
      <c r="F942" s="14" t="n">
        <v>46</v>
      </c>
      <c r="G942" s="14" t="n">
        <v>60</v>
      </c>
      <c r="H942" s="14" t="s">
        <v>62</v>
      </c>
      <c r="I942" s="14" t="n">
        <v>0.56</v>
      </c>
      <c r="J942" s="14" t="n">
        <v>6</v>
      </c>
      <c r="K942" s="14" t="s">
        <v>59</v>
      </c>
      <c r="L942" s="14" t="n">
        <v>2015</v>
      </c>
      <c r="M942" s="14" t="n">
        <v>6.92755790627832</v>
      </c>
      <c r="N942" s="14" t="n">
        <v>4.60527018098843</v>
      </c>
      <c r="P942" s="14" t="n">
        <f aca="false">D942</f>
        <v>100</v>
      </c>
      <c r="Q942" s="14" t="n">
        <f aca="false">G942</f>
        <v>60</v>
      </c>
      <c r="R942" s="14" t="n">
        <f aca="false">J942</f>
        <v>6</v>
      </c>
      <c r="S942" s="14" t="n">
        <f aca="false">IF($L942=2012,1,0)</f>
        <v>0</v>
      </c>
      <c r="T942" s="14" t="n">
        <f aca="false">IF($L942=2013,1,0)</f>
        <v>0</v>
      </c>
      <c r="U942" s="14" t="n">
        <f aca="false">IF($L942=2014,1,0)</f>
        <v>0</v>
      </c>
      <c r="V942" s="14" t="n">
        <f aca="false">IF($L942=2015,1,0)</f>
        <v>1</v>
      </c>
      <c r="W942" s="14" t="n">
        <f aca="false">IF($L942=2016,1,0)</f>
        <v>0</v>
      </c>
      <c r="X942" s="14" t="n">
        <f aca="false">IF($L942=2017,1,0)</f>
        <v>0</v>
      </c>
      <c r="Y942" s="14" t="n">
        <f aca="false">IF($H942="Beginner Level",1,0)</f>
        <v>0</v>
      </c>
      <c r="Z942" s="14" t="n">
        <f aca="false">IF($H942="Expert Level",1,0)</f>
        <v>0</v>
      </c>
      <c r="AA942" s="14" t="n">
        <f aca="false">IF($H942="Intermediate Level",1,0)</f>
        <v>0</v>
      </c>
      <c r="AC942" s="14" t="n">
        <f aca="false">N942</f>
        <v>4.60527018098843</v>
      </c>
      <c r="AD942" s="14" t="n">
        <f aca="false">G942</f>
        <v>60</v>
      </c>
      <c r="AE942" s="14" t="n">
        <f aca="false">J942</f>
        <v>6</v>
      </c>
      <c r="AF942" s="14" t="n">
        <f aca="false">IF($L942=2012,1,0)</f>
        <v>0</v>
      </c>
      <c r="AG942" s="14" t="n">
        <f aca="false">IF($L942=2013,1,0)</f>
        <v>0</v>
      </c>
      <c r="AH942" s="14" t="n">
        <f aca="false">IF($L942=2014,1,0)</f>
        <v>0</v>
      </c>
      <c r="AI942" s="14" t="n">
        <f aca="false">IF($L942=2015,1,0)</f>
        <v>1</v>
      </c>
      <c r="AJ942" s="14" t="n">
        <f aca="false">IF($L942=2016,1,0)</f>
        <v>0</v>
      </c>
      <c r="AK942" s="14" t="n">
        <f aca="false">IF($L942=2017,1,0)</f>
        <v>0</v>
      </c>
      <c r="AL942" s="14" t="n">
        <f aca="false">IF($H942="Beginner Level",1,0)</f>
        <v>0</v>
      </c>
      <c r="AM942" s="14" t="n">
        <f aca="false">IF($H942="Expert Level",1,0)</f>
        <v>0</v>
      </c>
      <c r="AN942" s="14" t="n">
        <f aca="false">IF($H942="Intermediate Level",1,0)</f>
        <v>0</v>
      </c>
    </row>
    <row r="943" customFormat="false" ht="79.85" hidden="false" customHeight="false" outlineLevel="0" collapsed="false">
      <c r="A943" s="14" t="n">
        <v>673196</v>
      </c>
      <c r="B943" s="14" t="s">
        <v>1927</v>
      </c>
      <c r="C943" s="14" t="s">
        <v>1928</v>
      </c>
      <c r="D943" s="14" t="n">
        <v>145</v>
      </c>
      <c r="E943" s="14" t="n">
        <v>1018</v>
      </c>
      <c r="F943" s="14" t="n">
        <v>28</v>
      </c>
      <c r="G943" s="14" t="n">
        <v>48</v>
      </c>
      <c r="H943" s="14" t="s">
        <v>62</v>
      </c>
      <c r="I943" s="14" t="n">
        <v>0.89</v>
      </c>
      <c r="J943" s="14" t="n">
        <v>4.5</v>
      </c>
      <c r="K943" s="14" t="s">
        <v>59</v>
      </c>
      <c r="L943" s="14" t="n">
        <v>2016</v>
      </c>
      <c r="M943" s="14" t="n">
        <v>6.92559519711047</v>
      </c>
      <c r="N943" s="14" t="n">
        <v>4.9768027055598</v>
      </c>
      <c r="P943" s="14" t="n">
        <f aca="false">D943</f>
        <v>145</v>
      </c>
      <c r="Q943" s="14" t="n">
        <f aca="false">G943</f>
        <v>48</v>
      </c>
      <c r="R943" s="14" t="n">
        <f aca="false">J943</f>
        <v>4.5</v>
      </c>
      <c r="S943" s="14" t="n">
        <f aca="false">IF($L943=2012,1,0)</f>
        <v>0</v>
      </c>
      <c r="T943" s="14" t="n">
        <f aca="false">IF($L943=2013,1,0)</f>
        <v>0</v>
      </c>
      <c r="U943" s="14" t="n">
        <f aca="false">IF($L943=2014,1,0)</f>
        <v>0</v>
      </c>
      <c r="V943" s="14" t="n">
        <f aca="false">IF($L943=2015,1,0)</f>
        <v>0</v>
      </c>
      <c r="W943" s="14" t="n">
        <f aca="false">IF($L943=2016,1,0)</f>
        <v>1</v>
      </c>
      <c r="X943" s="14" t="n">
        <f aca="false">IF($L943=2017,1,0)</f>
        <v>0</v>
      </c>
      <c r="Y943" s="14" t="n">
        <f aca="false">IF($H943="Beginner Level",1,0)</f>
        <v>0</v>
      </c>
      <c r="Z943" s="14" t="n">
        <f aca="false">IF($H943="Expert Level",1,0)</f>
        <v>0</v>
      </c>
      <c r="AA943" s="14" t="n">
        <f aca="false">IF($H943="Intermediate Level",1,0)</f>
        <v>0</v>
      </c>
      <c r="AC943" s="14" t="n">
        <f aca="false">N943</f>
        <v>4.9768027055598</v>
      </c>
      <c r="AD943" s="14" t="n">
        <f aca="false">G943</f>
        <v>48</v>
      </c>
      <c r="AE943" s="14" t="n">
        <f aca="false">J943</f>
        <v>4.5</v>
      </c>
      <c r="AF943" s="14" t="n">
        <f aca="false">IF($L943=2012,1,0)</f>
        <v>0</v>
      </c>
      <c r="AG943" s="14" t="n">
        <f aca="false">IF($L943=2013,1,0)</f>
        <v>0</v>
      </c>
      <c r="AH943" s="14" t="n">
        <f aca="false">IF($L943=2014,1,0)</f>
        <v>0</v>
      </c>
      <c r="AI943" s="14" t="n">
        <f aca="false">IF($L943=2015,1,0)</f>
        <v>0</v>
      </c>
      <c r="AJ943" s="14" t="n">
        <f aca="false">IF($L943=2016,1,0)</f>
        <v>1</v>
      </c>
      <c r="AK943" s="14" t="n">
        <f aca="false">IF($L943=2017,1,0)</f>
        <v>0</v>
      </c>
      <c r="AL943" s="14" t="n">
        <f aca="false">IF($H943="Beginner Level",1,0)</f>
        <v>0</v>
      </c>
      <c r="AM943" s="14" t="n">
        <f aca="false">IF($H943="Expert Level",1,0)</f>
        <v>0</v>
      </c>
      <c r="AN943" s="14" t="n">
        <f aca="false">IF($H943="Intermediate Level",1,0)</f>
        <v>0</v>
      </c>
    </row>
    <row r="944" customFormat="false" ht="68.65" hidden="false" customHeight="false" outlineLevel="0" collapsed="false">
      <c r="A944" s="14" t="n">
        <v>543346</v>
      </c>
      <c r="B944" s="14" t="s">
        <v>1929</v>
      </c>
      <c r="C944" s="14" t="s">
        <v>1930</v>
      </c>
      <c r="D944" s="14" t="n">
        <v>50</v>
      </c>
      <c r="E944" s="14" t="n">
        <v>1018</v>
      </c>
      <c r="F944" s="14" t="n">
        <v>33</v>
      </c>
      <c r="G944" s="14" t="n">
        <v>41</v>
      </c>
      <c r="H944" s="14" t="s">
        <v>62</v>
      </c>
      <c r="I944" s="14" t="n">
        <v>0.89</v>
      </c>
      <c r="J944" s="14" t="n">
        <v>3</v>
      </c>
      <c r="K944" s="14" t="s">
        <v>59</v>
      </c>
      <c r="L944" s="14" t="n">
        <v>2015</v>
      </c>
      <c r="M944" s="14" t="n">
        <v>6.92559519711047</v>
      </c>
      <c r="N944" s="14" t="n">
        <v>3.91222298543081</v>
      </c>
      <c r="P944" s="14" t="n">
        <f aca="false">D944</f>
        <v>50</v>
      </c>
      <c r="Q944" s="14" t="n">
        <f aca="false">G944</f>
        <v>41</v>
      </c>
      <c r="R944" s="14" t="n">
        <f aca="false">J944</f>
        <v>3</v>
      </c>
      <c r="S944" s="14" t="n">
        <f aca="false">IF($L944=2012,1,0)</f>
        <v>0</v>
      </c>
      <c r="T944" s="14" t="n">
        <f aca="false">IF($L944=2013,1,0)</f>
        <v>0</v>
      </c>
      <c r="U944" s="14" t="n">
        <f aca="false">IF($L944=2014,1,0)</f>
        <v>0</v>
      </c>
      <c r="V944" s="14" t="n">
        <f aca="false">IF($L944=2015,1,0)</f>
        <v>1</v>
      </c>
      <c r="W944" s="14" t="n">
        <f aca="false">IF($L944=2016,1,0)</f>
        <v>0</v>
      </c>
      <c r="X944" s="14" t="n">
        <f aca="false">IF($L944=2017,1,0)</f>
        <v>0</v>
      </c>
      <c r="Y944" s="14" t="n">
        <f aca="false">IF($H944="Beginner Level",1,0)</f>
        <v>0</v>
      </c>
      <c r="Z944" s="14" t="n">
        <f aca="false">IF($H944="Expert Level",1,0)</f>
        <v>0</v>
      </c>
      <c r="AA944" s="14" t="n">
        <f aca="false">IF($H944="Intermediate Level",1,0)</f>
        <v>0</v>
      </c>
      <c r="AC944" s="14" t="n">
        <f aca="false">N944</f>
        <v>3.91222298543081</v>
      </c>
      <c r="AD944" s="14" t="n">
        <f aca="false">G944</f>
        <v>41</v>
      </c>
      <c r="AE944" s="14" t="n">
        <f aca="false">J944</f>
        <v>3</v>
      </c>
      <c r="AF944" s="14" t="n">
        <f aca="false">IF($L944=2012,1,0)</f>
        <v>0</v>
      </c>
      <c r="AG944" s="14" t="n">
        <f aca="false">IF($L944=2013,1,0)</f>
        <v>0</v>
      </c>
      <c r="AH944" s="14" t="n">
        <f aca="false">IF($L944=2014,1,0)</f>
        <v>0</v>
      </c>
      <c r="AI944" s="14" t="n">
        <f aca="false">IF($L944=2015,1,0)</f>
        <v>1</v>
      </c>
      <c r="AJ944" s="14" t="n">
        <f aca="false">IF($L944=2016,1,0)</f>
        <v>0</v>
      </c>
      <c r="AK944" s="14" t="n">
        <f aca="false">IF($L944=2017,1,0)</f>
        <v>0</v>
      </c>
      <c r="AL944" s="14" t="n">
        <f aca="false">IF($H944="Beginner Level",1,0)</f>
        <v>0</v>
      </c>
      <c r="AM944" s="14" t="n">
        <f aca="false">IF($H944="Expert Level",1,0)</f>
        <v>0</v>
      </c>
      <c r="AN944" s="14" t="n">
        <f aca="false">IF($H944="Intermediate Level",1,0)</f>
        <v>0</v>
      </c>
    </row>
    <row r="945" customFormat="false" ht="91" hidden="false" customHeight="false" outlineLevel="0" collapsed="false">
      <c r="A945" s="14" t="n">
        <v>1211160</v>
      </c>
      <c r="B945" s="14" t="s">
        <v>1931</v>
      </c>
      <c r="C945" s="14" t="s">
        <v>1932</v>
      </c>
      <c r="D945" s="14" t="n">
        <v>25</v>
      </c>
      <c r="E945" s="14" t="n">
        <v>1011</v>
      </c>
      <c r="F945" s="14" t="n">
        <v>2</v>
      </c>
      <c r="G945" s="14" t="n">
        <v>19</v>
      </c>
      <c r="H945" s="14" t="s">
        <v>62</v>
      </c>
      <c r="I945" s="14" t="n">
        <v>0.89</v>
      </c>
      <c r="J945" s="14" t="n">
        <v>2</v>
      </c>
      <c r="K945" s="14" t="s">
        <v>59</v>
      </c>
      <c r="L945" s="14" t="n">
        <v>2017</v>
      </c>
      <c r="M945" s="14" t="n">
        <v>6.91869521902047</v>
      </c>
      <c r="N945" s="14" t="n">
        <v>3.21927574488953</v>
      </c>
      <c r="P945" s="14" t="n">
        <f aca="false">D945</f>
        <v>25</v>
      </c>
      <c r="Q945" s="14" t="n">
        <f aca="false">G945</f>
        <v>19</v>
      </c>
      <c r="R945" s="14" t="n">
        <f aca="false">J945</f>
        <v>2</v>
      </c>
      <c r="S945" s="14" t="n">
        <f aca="false">IF($L945=2012,1,0)</f>
        <v>0</v>
      </c>
      <c r="T945" s="14" t="n">
        <f aca="false">IF($L945=2013,1,0)</f>
        <v>0</v>
      </c>
      <c r="U945" s="14" t="n">
        <f aca="false">IF($L945=2014,1,0)</f>
        <v>0</v>
      </c>
      <c r="V945" s="14" t="n">
        <f aca="false">IF($L945=2015,1,0)</f>
        <v>0</v>
      </c>
      <c r="W945" s="14" t="n">
        <f aca="false">IF($L945=2016,1,0)</f>
        <v>0</v>
      </c>
      <c r="X945" s="14" t="n">
        <f aca="false">IF($L945=2017,1,0)</f>
        <v>1</v>
      </c>
      <c r="Y945" s="14" t="n">
        <f aca="false">IF($H945="Beginner Level",1,0)</f>
        <v>0</v>
      </c>
      <c r="Z945" s="14" t="n">
        <f aca="false">IF($H945="Expert Level",1,0)</f>
        <v>0</v>
      </c>
      <c r="AA945" s="14" t="n">
        <f aca="false">IF($H945="Intermediate Level",1,0)</f>
        <v>0</v>
      </c>
      <c r="AC945" s="14" t="n">
        <f aca="false">N945</f>
        <v>3.21927574488953</v>
      </c>
      <c r="AD945" s="14" t="n">
        <f aca="false">G945</f>
        <v>19</v>
      </c>
      <c r="AE945" s="14" t="n">
        <f aca="false">J945</f>
        <v>2</v>
      </c>
      <c r="AF945" s="14" t="n">
        <f aca="false">IF($L945=2012,1,0)</f>
        <v>0</v>
      </c>
      <c r="AG945" s="14" t="n">
        <f aca="false">IF($L945=2013,1,0)</f>
        <v>0</v>
      </c>
      <c r="AH945" s="14" t="n">
        <f aca="false">IF($L945=2014,1,0)</f>
        <v>0</v>
      </c>
      <c r="AI945" s="14" t="n">
        <f aca="false">IF($L945=2015,1,0)</f>
        <v>0</v>
      </c>
      <c r="AJ945" s="14" t="n">
        <f aca="false">IF($L945=2016,1,0)</f>
        <v>0</v>
      </c>
      <c r="AK945" s="14" t="n">
        <f aca="false">IF($L945=2017,1,0)</f>
        <v>1</v>
      </c>
      <c r="AL945" s="14" t="n">
        <f aca="false">IF($H945="Beginner Level",1,0)</f>
        <v>0</v>
      </c>
      <c r="AM945" s="14" t="n">
        <f aca="false">IF($H945="Expert Level",1,0)</f>
        <v>0</v>
      </c>
      <c r="AN945" s="14" t="n">
        <f aca="false">IF($H945="Intermediate Level",1,0)</f>
        <v>0</v>
      </c>
    </row>
    <row r="946" customFormat="false" ht="57.45" hidden="false" customHeight="false" outlineLevel="0" collapsed="false">
      <c r="A946" s="14" t="n">
        <v>846832</v>
      </c>
      <c r="B946" s="14" t="s">
        <v>1933</v>
      </c>
      <c r="C946" s="14" t="s">
        <v>1934</v>
      </c>
      <c r="D946" s="14" t="n">
        <v>50</v>
      </c>
      <c r="E946" s="14" t="n">
        <v>1010</v>
      </c>
      <c r="F946" s="14" t="n">
        <v>154</v>
      </c>
      <c r="G946" s="14" t="n">
        <v>25</v>
      </c>
      <c r="H946" s="14" t="s">
        <v>62</v>
      </c>
      <c r="I946" s="14" t="n">
        <v>0.89</v>
      </c>
      <c r="J946" s="14" t="n">
        <v>6</v>
      </c>
      <c r="K946" s="14" t="s">
        <v>59</v>
      </c>
      <c r="L946" s="14" t="n">
        <v>2016</v>
      </c>
      <c r="M946" s="14" t="n">
        <v>6.91770560983531</v>
      </c>
      <c r="N946" s="14" t="n">
        <v>3.91222298543081</v>
      </c>
      <c r="P946" s="14" t="n">
        <f aca="false">D946</f>
        <v>50</v>
      </c>
      <c r="Q946" s="14" t="n">
        <f aca="false">G946</f>
        <v>25</v>
      </c>
      <c r="R946" s="14" t="n">
        <f aca="false">J946</f>
        <v>6</v>
      </c>
      <c r="S946" s="14" t="n">
        <f aca="false">IF($L946=2012,1,0)</f>
        <v>0</v>
      </c>
      <c r="T946" s="14" t="n">
        <f aca="false">IF($L946=2013,1,0)</f>
        <v>0</v>
      </c>
      <c r="U946" s="14" t="n">
        <f aca="false">IF($L946=2014,1,0)</f>
        <v>0</v>
      </c>
      <c r="V946" s="14" t="n">
        <f aca="false">IF($L946=2015,1,0)</f>
        <v>0</v>
      </c>
      <c r="W946" s="14" t="n">
        <f aca="false">IF($L946=2016,1,0)</f>
        <v>1</v>
      </c>
      <c r="X946" s="14" t="n">
        <f aca="false">IF($L946=2017,1,0)</f>
        <v>0</v>
      </c>
      <c r="Y946" s="14" t="n">
        <f aca="false">IF($H946="Beginner Level",1,0)</f>
        <v>0</v>
      </c>
      <c r="Z946" s="14" t="n">
        <f aca="false">IF($H946="Expert Level",1,0)</f>
        <v>0</v>
      </c>
      <c r="AA946" s="14" t="n">
        <f aca="false">IF($H946="Intermediate Level",1,0)</f>
        <v>0</v>
      </c>
      <c r="AC946" s="14" t="n">
        <f aca="false">N946</f>
        <v>3.91222298543081</v>
      </c>
      <c r="AD946" s="14" t="n">
        <f aca="false">G946</f>
        <v>25</v>
      </c>
      <c r="AE946" s="14" t="n">
        <f aca="false">J946</f>
        <v>6</v>
      </c>
      <c r="AF946" s="14" t="n">
        <f aca="false">IF($L946=2012,1,0)</f>
        <v>0</v>
      </c>
      <c r="AG946" s="14" t="n">
        <f aca="false">IF($L946=2013,1,0)</f>
        <v>0</v>
      </c>
      <c r="AH946" s="14" t="n">
        <f aca="false">IF($L946=2014,1,0)</f>
        <v>0</v>
      </c>
      <c r="AI946" s="14" t="n">
        <f aca="false">IF($L946=2015,1,0)</f>
        <v>0</v>
      </c>
      <c r="AJ946" s="14" t="n">
        <f aca="false">IF($L946=2016,1,0)</f>
        <v>1</v>
      </c>
      <c r="AK946" s="14" t="n">
        <f aca="false">IF($L946=2017,1,0)</f>
        <v>0</v>
      </c>
      <c r="AL946" s="14" t="n">
        <f aca="false">IF($H946="Beginner Level",1,0)</f>
        <v>0</v>
      </c>
      <c r="AM946" s="14" t="n">
        <f aca="false">IF($H946="Expert Level",1,0)</f>
        <v>0</v>
      </c>
      <c r="AN946" s="14" t="n">
        <f aca="false">IF($H946="Intermediate Level",1,0)</f>
        <v>0</v>
      </c>
    </row>
    <row r="947" customFormat="false" ht="79.85" hidden="false" customHeight="false" outlineLevel="0" collapsed="false">
      <c r="A947" s="14" t="n">
        <v>740762</v>
      </c>
      <c r="B947" s="14" t="s">
        <v>1935</v>
      </c>
      <c r="C947" s="14" t="s">
        <v>1936</v>
      </c>
      <c r="D947" s="14" t="n">
        <v>60</v>
      </c>
      <c r="E947" s="14" t="n">
        <v>1007</v>
      </c>
      <c r="F947" s="14" t="n">
        <v>96</v>
      </c>
      <c r="G947" s="14" t="n">
        <v>87</v>
      </c>
      <c r="H947" s="14" t="s">
        <v>52</v>
      </c>
      <c r="I947" s="14" t="n">
        <v>0.89</v>
      </c>
      <c r="J947" s="14" t="n">
        <v>17.5</v>
      </c>
      <c r="K947" s="14" t="s">
        <v>59</v>
      </c>
      <c r="L947" s="14" t="n">
        <v>2016</v>
      </c>
      <c r="M947" s="14" t="n">
        <v>6.91473089271856</v>
      </c>
      <c r="N947" s="14" t="n">
        <v>4.09451121500142</v>
      </c>
      <c r="P947" s="14" t="n">
        <f aca="false">D947</f>
        <v>60</v>
      </c>
      <c r="Q947" s="14" t="n">
        <f aca="false">G947</f>
        <v>87</v>
      </c>
      <c r="R947" s="14" t="n">
        <f aca="false">J947</f>
        <v>17.5</v>
      </c>
      <c r="S947" s="14" t="n">
        <f aca="false">IF($L947=2012,1,0)</f>
        <v>0</v>
      </c>
      <c r="T947" s="14" t="n">
        <f aca="false">IF($L947=2013,1,0)</f>
        <v>0</v>
      </c>
      <c r="U947" s="14" t="n">
        <f aca="false">IF($L947=2014,1,0)</f>
        <v>0</v>
      </c>
      <c r="V947" s="14" t="n">
        <f aca="false">IF($L947=2015,1,0)</f>
        <v>0</v>
      </c>
      <c r="W947" s="14" t="n">
        <f aca="false">IF($L947=2016,1,0)</f>
        <v>1</v>
      </c>
      <c r="X947" s="14" t="n">
        <f aca="false">IF($L947=2017,1,0)</f>
        <v>0</v>
      </c>
      <c r="Y947" s="14" t="n">
        <f aca="false">IF($H947="Beginner Level",1,0)</f>
        <v>1</v>
      </c>
      <c r="Z947" s="14" t="n">
        <f aca="false">IF($H947="Expert Level",1,0)</f>
        <v>0</v>
      </c>
      <c r="AA947" s="14" t="n">
        <f aca="false">IF($H947="Intermediate Level",1,0)</f>
        <v>0</v>
      </c>
      <c r="AC947" s="14" t="n">
        <f aca="false">N947</f>
        <v>4.09451121500142</v>
      </c>
      <c r="AD947" s="14" t="n">
        <f aca="false">G947</f>
        <v>87</v>
      </c>
      <c r="AE947" s="14" t="n">
        <f aca="false">J947</f>
        <v>17.5</v>
      </c>
      <c r="AF947" s="14" t="n">
        <f aca="false">IF($L947=2012,1,0)</f>
        <v>0</v>
      </c>
      <c r="AG947" s="14" t="n">
        <f aca="false">IF($L947=2013,1,0)</f>
        <v>0</v>
      </c>
      <c r="AH947" s="14" t="n">
        <f aca="false">IF($L947=2014,1,0)</f>
        <v>0</v>
      </c>
      <c r="AI947" s="14" t="n">
        <f aca="false">IF($L947=2015,1,0)</f>
        <v>0</v>
      </c>
      <c r="AJ947" s="14" t="n">
        <f aca="false">IF($L947=2016,1,0)</f>
        <v>1</v>
      </c>
      <c r="AK947" s="14" t="n">
        <f aca="false">IF($L947=2017,1,0)</f>
        <v>0</v>
      </c>
      <c r="AL947" s="14" t="n">
        <f aca="false">IF($H947="Beginner Level",1,0)</f>
        <v>1</v>
      </c>
      <c r="AM947" s="14" t="n">
        <f aca="false">IF($H947="Expert Level",1,0)</f>
        <v>0</v>
      </c>
      <c r="AN947" s="14" t="n">
        <f aca="false">IF($H947="Intermediate Level",1,0)</f>
        <v>0</v>
      </c>
    </row>
    <row r="948" customFormat="false" ht="79.85" hidden="false" customHeight="false" outlineLevel="0" collapsed="false">
      <c r="A948" s="14" t="n">
        <v>1253650</v>
      </c>
      <c r="B948" s="14" t="s">
        <v>1937</v>
      </c>
      <c r="C948" s="14" t="s">
        <v>1938</v>
      </c>
      <c r="D948" s="14" t="n">
        <v>25</v>
      </c>
      <c r="E948" s="14" t="n">
        <v>1006</v>
      </c>
      <c r="F948" s="14" t="n">
        <v>4</v>
      </c>
      <c r="G948" s="14" t="n">
        <v>8</v>
      </c>
      <c r="H948" s="14" t="s">
        <v>62</v>
      </c>
      <c r="I948" s="14" t="n">
        <v>0.89</v>
      </c>
      <c r="J948" s="14" t="n">
        <v>2</v>
      </c>
      <c r="K948" s="14" t="s">
        <v>59</v>
      </c>
      <c r="L948" s="14" t="n">
        <v>2017</v>
      </c>
      <c r="M948" s="14" t="n">
        <v>6.91373735065969</v>
      </c>
      <c r="N948" s="14" t="n">
        <v>3.21927574488953</v>
      </c>
      <c r="P948" s="14" t="n">
        <f aca="false">D948</f>
        <v>25</v>
      </c>
      <c r="Q948" s="14" t="n">
        <f aca="false">G948</f>
        <v>8</v>
      </c>
      <c r="R948" s="14" t="n">
        <f aca="false">J948</f>
        <v>2</v>
      </c>
      <c r="S948" s="14" t="n">
        <f aca="false">IF($L948=2012,1,0)</f>
        <v>0</v>
      </c>
      <c r="T948" s="14" t="n">
        <f aca="false">IF($L948=2013,1,0)</f>
        <v>0</v>
      </c>
      <c r="U948" s="14" t="n">
        <f aca="false">IF($L948=2014,1,0)</f>
        <v>0</v>
      </c>
      <c r="V948" s="14" t="n">
        <f aca="false">IF($L948=2015,1,0)</f>
        <v>0</v>
      </c>
      <c r="W948" s="14" t="n">
        <f aca="false">IF($L948=2016,1,0)</f>
        <v>0</v>
      </c>
      <c r="X948" s="14" t="n">
        <f aca="false">IF($L948=2017,1,0)</f>
        <v>1</v>
      </c>
      <c r="Y948" s="14" t="n">
        <f aca="false">IF($H948="Beginner Level",1,0)</f>
        <v>0</v>
      </c>
      <c r="Z948" s="14" t="n">
        <f aca="false">IF($H948="Expert Level",1,0)</f>
        <v>0</v>
      </c>
      <c r="AA948" s="14" t="n">
        <f aca="false">IF($H948="Intermediate Level",1,0)</f>
        <v>0</v>
      </c>
      <c r="AC948" s="14" t="n">
        <f aca="false">N948</f>
        <v>3.21927574488953</v>
      </c>
      <c r="AD948" s="14" t="n">
        <f aca="false">G948</f>
        <v>8</v>
      </c>
      <c r="AE948" s="14" t="n">
        <f aca="false">J948</f>
        <v>2</v>
      </c>
      <c r="AF948" s="14" t="n">
        <f aca="false">IF($L948=2012,1,0)</f>
        <v>0</v>
      </c>
      <c r="AG948" s="14" t="n">
        <f aca="false">IF($L948=2013,1,0)</f>
        <v>0</v>
      </c>
      <c r="AH948" s="14" t="n">
        <f aca="false">IF($L948=2014,1,0)</f>
        <v>0</v>
      </c>
      <c r="AI948" s="14" t="n">
        <f aca="false">IF($L948=2015,1,0)</f>
        <v>0</v>
      </c>
      <c r="AJ948" s="14" t="n">
        <f aca="false">IF($L948=2016,1,0)</f>
        <v>0</v>
      </c>
      <c r="AK948" s="14" t="n">
        <f aca="false">IF($L948=2017,1,0)</f>
        <v>1</v>
      </c>
      <c r="AL948" s="14" t="n">
        <f aca="false">IF($H948="Beginner Level",1,0)</f>
        <v>0</v>
      </c>
      <c r="AM948" s="14" t="n">
        <f aca="false">IF($H948="Expert Level",1,0)</f>
        <v>0</v>
      </c>
      <c r="AN948" s="14" t="n">
        <f aca="false">IF($H948="Intermediate Level",1,0)</f>
        <v>0</v>
      </c>
    </row>
    <row r="949" customFormat="false" ht="57.45" hidden="false" customHeight="false" outlineLevel="0" collapsed="false">
      <c r="A949" s="14" t="n">
        <v>933260</v>
      </c>
      <c r="B949" s="14" t="s">
        <v>1939</v>
      </c>
      <c r="C949" s="14" t="s">
        <v>1940</v>
      </c>
      <c r="D949" s="14" t="n">
        <v>20</v>
      </c>
      <c r="E949" s="14" t="n">
        <v>1004</v>
      </c>
      <c r="F949" s="14" t="n">
        <v>43</v>
      </c>
      <c r="G949" s="14" t="n">
        <v>40</v>
      </c>
      <c r="H949" s="14" t="s">
        <v>62</v>
      </c>
      <c r="I949" s="14" t="n">
        <v>0.89</v>
      </c>
      <c r="J949" s="14" t="n">
        <v>3.5</v>
      </c>
      <c r="K949" s="14" t="s">
        <v>59</v>
      </c>
      <c r="L949" s="14" t="n">
        <v>2016</v>
      </c>
      <c r="M949" s="14" t="n">
        <v>6.91174730025167</v>
      </c>
      <c r="N949" s="14" t="n">
        <v>2.99623214859564</v>
      </c>
      <c r="P949" s="14" t="n">
        <f aca="false">D949</f>
        <v>20</v>
      </c>
      <c r="Q949" s="14" t="n">
        <f aca="false">G949</f>
        <v>40</v>
      </c>
      <c r="R949" s="14" t="n">
        <f aca="false">J949</f>
        <v>3.5</v>
      </c>
      <c r="S949" s="14" t="n">
        <f aca="false">IF($L949=2012,1,0)</f>
        <v>0</v>
      </c>
      <c r="T949" s="14" t="n">
        <f aca="false">IF($L949=2013,1,0)</f>
        <v>0</v>
      </c>
      <c r="U949" s="14" t="n">
        <f aca="false">IF($L949=2014,1,0)</f>
        <v>0</v>
      </c>
      <c r="V949" s="14" t="n">
        <f aca="false">IF($L949=2015,1,0)</f>
        <v>0</v>
      </c>
      <c r="W949" s="14" t="n">
        <f aca="false">IF($L949=2016,1,0)</f>
        <v>1</v>
      </c>
      <c r="X949" s="14" t="n">
        <f aca="false">IF($L949=2017,1,0)</f>
        <v>0</v>
      </c>
      <c r="Y949" s="14" t="n">
        <f aca="false">IF($H949="Beginner Level",1,0)</f>
        <v>0</v>
      </c>
      <c r="Z949" s="14" t="n">
        <f aca="false">IF($H949="Expert Level",1,0)</f>
        <v>0</v>
      </c>
      <c r="AA949" s="14" t="n">
        <f aca="false">IF($H949="Intermediate Level",1,0)</f>
        <v>0</v>
      </c>
      <c r="AC949" s="14" t="n">
        <f aca="false">N949</f>
        <v>2.99623214859564</v>
      </c>
      <c r="AD949" s="14" t="n">
        <f aca="false">G949</f>
        <v>40</v>
      </c>
      <c r="AE949" s="14" t="n">
        <f aca="false">J949</f>
        <v>3.5</v>
      </c>
      <c r="AF949" s="14" t="n">
        <f aca="false">IF($L949=2012,1,0)</f>
        <v>0</v>
      </c>
      <c r="AG949" s="14" t="n">
        <f aca="false">IF($L949=2013,1,0)</f>
        <v>0</v>
      </c>
      <c r="AH949" s="14" t="n">
        <f aca="false">IF($L949=2014,1,0)</f>
        <v>0</v>
      </c>
      <c r="AI949" s="14" t="n">
        <f aca="false">IF($L949=2015,1,0)</f>
        <v>0</v>
      </c>
      <c r="AJ949" s="14" t="n">
        <f aca="false">IF($L949=2016,1,0)</f>
        <v>1</v>
      </c>
      <c r="AK949" s="14" t="n">
        <f aca="false">IF($L949=2017,1,0)</f>
        <v>0</v>
      </c>
      <c r="AL949" s="14" t="n">
        <f aca="false">IF($H949="Beginner Level",1,0)</f>
        <v>0</v>
      </c>
      <c r="AM949" s="14" t="n">
        <f aca="false">IF($H949="Expert Level",1,0)</f>
        <v>0</v>
      </c>
      <c r="AN949" s="14" t="n">
        <f aca="false">IF($H949="Intermediate Level",1,0)</f>
        <v>0</v>
      </c>
    </row>
    <row r="950" customFormat="false" ht="35.05" hidden="false" customHeight="false" outlineLevel="0" collapsed="false">
      <c r="A950" s="14" t="n">
        <v>947204</v>
      </c>
      <c r="B950" s="14" t="s">
        <v>1941</v>
      </c>
      <c r="C950" s="14" t="s">
        <v>1942</v>
      </c>
      <c r="D950" s="14" t="n">
        <v>50</v>
      </c>
      <c r="E950" s="14" t="n">
        <v>1002</v>
      </c>
      <c r="F950" s="14" t="n">
        <v>7</v>
      </c>
      <c r="G950" s="14" t="n">
        <v>10</v>
      </c>
      <c r="H950" s="14" t="s">
        <v>52</v>
      </c>
      <c r="I950" s="14" t="n">
        <v>0.89</v>
      </c>
      <c r="J950" s="14" t="n">
        <v>0.56666667</v>
      </c>
      <c r="K950" s="14" t="s">
        <v>59</v>
      </c>
      <c r="L950" s="14" t="n">
        <v>2016</v>
      </c>
      <c r="M950" s="14" t="n">
        <v>6.90975328164481</v>
      </c>
      <c r="N950" s="14" t="n">
        <v>3.91222298543081</v>
      </c>
      <c r="P950" s="14" t="n">
        <f aca="false">D950</f>
        <v>50</v>
      </c>
      <c r="Q950" s="14" t="n">
        <f aca="false">G950</f>
        <v>10</v>
      </c>
      <c r="R950" s="14" t="n">
        <f aca="false">J950</f>
        <v>0.56666667</v>
      </c>
      <c r="S950" s="14" t="n">
        <f aca="false">IF($L950=2012,1,0)</f>
        <v>0</v>
      </c>
      <c r="T950" s="14" t="n">
        <f aca="false">IF($L950=2013,1,0)</f>
        <v>0</v>
      </c>
      <c r="U950" s="14" t="n">
        <f aca="false">IF($L950=2014,1,0)</f>
        <v>0</v>
      </c>
      <c r="V950" s="14" t="n">
        <f aca="false">IF($L950=2015,1,0)</f>
        <v>0</v>
      </c>
      <c r="W950" s="14" t="n">
        <f aca="false">IF($L950=2016,1,0)</f>
        <v>1</v>
      </c>
      <c r="X950" s="14" t="n">
        <f aca="false">IF($L950=2017,1,0)</f>
        <v>0</v>
      </c>
      <c r="Y950" s="14" t="n">
        <f aca="false">IF($H950="Beginner Level",1,0)</f>
        <v>1</v>
      </c>
      <c r="Z950" s="14" t="n">
        <f aca="false">IF($H950="Expert Level",1,0)</f>
        <v>0</v>
      </c>
      <c r="AA950" s="14" t="n">
        <f aca="false">IF($H950="Intermediate Level",1,0)</f>
        <v>0</v>
      </c>
      <c r="AC950" s="14" t="n">
        <f aca="false">N950</f>
        <v>3.91222298543081</v>
      </c>
      <c r="AD950" s="14" t="n">
        <f aca="false">G950</f>
        <v>10</v>
      </c>
      <c r="AE950" s="14" t="n">
        <f aca="false">J950</f>
        <v>0.56666667</v>
      </c>
      <c r="AF950" s="14" t="n">
        <f aca="false">IF($L950=2012,1,0)</f>
        <v>0</v>
      </c>
      <c r="AG950" s="14" t="n">
        <f aca="false">IF($L950=2013,1,0)</f>
        <v>0</v>
      </c>
      <c r="AH950" s="14" t="n">
        <f aca="false">IF($L950=2014,1,0)</f>
        <v>0</v>
      </c>
      <c r="AI950" s="14" t="n">
        <f aca="false">IF($L950=2015,1,0)</f>
        <v>0</v>
      </c>
      <c r="AJ950" s="14" t="n">
        <f aca="false">IF($L950=2016,1,0)</f>
        <v>1</v>
      </c>
      <c r="AK950" s="14" t="n">
        <f aca="false">IF($L950=2017,1,0)</f>
        <v>0</v>
      </c>
      <c r="AL950" s="14" t="n">
        <f aca="false">IF($H950="Beginner Level",1,0)</f>
        <v>1</v>
      </c>
      <c r="AM950" s="14" t="n">
        <f aca="false">IF($H950="Expert Level",1,0)</f>
        <v>0</v>
      </c>
      <c r="AN950" s="14" t="n">
        <f aca="false">IF($H950="Intermediate Level",1,0)</f>
        <v>0</v>
      </c>
    </row>
    <row r="951" customFormat="false" ht="57.45" hidden="false" customHeight="false" outlineLevel="0" collapsed="false">
      <c r="A951" s="14" t="n">
        <v>418386</v>
      </c>
      <c r="B951" s="14" t="s">
        <v>1943</v>
      </c>
      <c r="C951" s="14" t="s">
        <v>1944</v>
      </c>
      <c r="D951" s="14" t="n">
        <v>45</v>
      </c>
      <c r="E951" s="14" t="n">
        <v>1002</v>
      </c>
      <c r="F951" s="14" t="n">
        <v>178</v>
      </c>
      <c r="G951" s="14" t="n">
        <v>174</v>
      </c>
      <c r="H951" s="14" t="s">
        <v>52</v>
      </c>
      <c r="I951" s="14" t="n">
        <v>0.89</v>
      </c>
      <c r="J951" s="14" t="n">
        <v>16.5</v>
      </c>
      <c r="K951" s="14" t="s">
        <v>59</v>
      </c>
      <c r="L951" s="14" t="n">
        <v>2016</v>
      </c>
      <c r="M951" s="14" t="n">
        <v>6.90975328164481</v>
      </c>
      <c r="N951" s="14" t="n">
        <v>3.80688468730484</v>
      </c>
      <c r="P951" s="14" t="n">
        <f aca="false">D951</f>
        <v>45</v>
      </c>
      <c r="Q951" s="14" t="n">
        <f aca="false">G951</f>
        <v>174</v>
      </c>
      <c r="R951" s="14" t="n">
        <f aca="false">J951</f>
        <v>16.5</v>
      </c>
      <c r="S951" s="14" t="n">
        <f aca="false">IF($L951=2012,1,0)</f>
        <v>0</v>
      </c>
      <c r="T951" s="14" t="n">
        <f aca="false">IF($L951=2013,1,0)</f>
        <v>0</v>
      </c>
      <c r="U951" s="14" t="n">
        <f aca="false">IF($L951=2014,1,0)</f>
        <v>0</v>
      </c>
      <c r="V951" s="14" t="n">
        <f aca="false">IF($L951=2015,1,0)</f>
        <v>0</v>
      </c>
      <c r="W951" s="14" t="n">
        <f aca="false">IF($L951=2016,1,0)</f>
        <v>1</v>
      </c>
      <c r="X951" s="14" t="n">
        <f aca="false">IF($L951=2017,1,0)</f>
        <v>0</v>
      </c>
      <c r="Y951" s="14" t="n">
        <f aca="false">IF($H951="Beginner Level",1,0)</f>
        <v>1</v>
      </c>
      <c r="Z951" s="14" t="n">
        <f aca="false">IF($H951="Expert Level",1,0)</f>
        <v>0</v>
      </c>
      <c r="AA951" s="14" t="n">
        <f aca="false">IF($H951="Intermediate Level",1,0)</f>
        <v>0</v>
      </c>
      <c r="AC951" s="14" t="n">
        <f aca="false">N951</f>
        <v>3.80688468730484</v>
      </c>
      <c r="AD951" s="14" t="n">
        <f aca="false">G951</f>
        <v>174</v>
      </c>
      <c r="AE951" s="14" t="n">
        <f aca="false">J951</f>
        <v>16.5</v>
      </c>
      <c r="AF951" s="14" t="n">
        <f aca="false">IF($L951=2012,1,0)</f>
        <v>0</v>
      </c>
      <c r="AG951" s="14" t="n">
        <f aca="false">IF($L951=2013,1,0)</f>
        <v>0</v>
      </c>
      <c r="AH951" s="14" t="n">
        <f aca="false">IF($L951=2014,1,0)</f>
        <v>0</v>
      </c>
      <c r="AI951" s="14" t="n">
        <f aca="false">IF($L951=2015,1,0)</f>
        <v>0</v>
      </c>
      <c r="AJ951" s="14" t="n">
        <f aca="false">IF($L951=2016,1,0)</f>
        <v>1</v>
      </c>
      <c r="AK951" s="14" t="n">
        <f aca="false">IF($L951=2017,1,0)</f>
        <v>0</v>
      </c>
      <c r="AL951" s="14" t="n">
        <f aca="false">IF($H951="Beginner Level",1,0)</f>
        <v>1</v>
      </c>
      <c r="AM951" s="14" t="n">
        <f aca="false">IF($H951="Expert Level",1,0)</f>
        <v>0</v>
      </c>
      <c r="AN951" s="14" t="n">
        <f aca="false">IF($H951="Intermediate Level",1,0)</f>
        <v>0</v>
      </c>
    </row>
    <row r="952" customFormat="false" ht="79.85" hidden="false" customHeight="false" outlineLevel="0" collapsed="false">
      <c r="A952" s="14" t="n">
        <v>683606</v>
      </c>
      <c r="B952" s="14" t="s">
        <v>1945</v>
      </c>
      <c r="C952" s="14" t="s">
        <v>1946</v>
      </c>
      <c r="D952" s="14" t="n">
        <v>125</v>
      </c>
      <c r="E952" s="14" t="n">
        <v>1000</v>
      </c>
      <c r="F952" s="14" t="n">
        <v>74</v>
      </c>
      <c r="G952" s="14" t="n">
        <v>140</v>
      </c>
      <c r="H952" s="14" t="s">
        <v>62</v>
      </c>
      <c r="I952" s="14" t="n">
        <v>0.89</v>
      </c>
      <c r="J952" s="14" t="n">
        <v>11</v>
      </c>
      <c r="K952" s="14" t="s">
        <v>59</v>
      </c>
      <c r="L952" s="14" t="n">
        <v>2016</v>
      </c>
      <c r="M952" s="14" t="n">
        <v>6.90775527898214</v>
      </c>
      <c r="N952" s="14" t="n">
        <v>4.82839373410247</v>
      </c>
      <c r="P952" s="14" t="n">
        <f aca="false">D952</f>
        <v>125</v>
      </c>
      <c r="Q952" s="14" t="n">
        <f aca="false">G952</f>
        <v>140</v>
      </c>
      <c r="R952" s="14" t="n">
        <f aca="false">J952</f>
        <v>11</v>
      </c>
      <c r="S952" s="14" t="n">
        <f aca="false">IF($L952=2012,1,0)</f>
        <v>0</v>
      </c>
      <c r="T952" s="14" t="n">
        <f aca="false">IF($L952=2013,1,0)</f>
        <v>0</v>
      </c>
      <c r="U952" s="14" t="n">
        <f aca="false">IF($L952=2014,1,0)</f>
        <v>0</v>
      </c>
      <c r="V952" s="14" t="n">
        <f aca="false">IF($L952=2015,1,0)</f>
        <v>0</v>
      </c>
      <c r="W952" s="14" t="n">
        <f aca="false">IF($L952=2016,1,0)</f>
        <v>1</v>
      </c>
      <c r="X952" s="14" t="n">
        <f aca="false">IF($L952=2017,1,0)</f>
        <v>0</v>
      </c>
      <c r="Y952" s="14" t="n">
        <f aca="false">IF($H952="Beginner Level",1,0)</f>
        <v>0</v>
      </c>
      <c r="Z952" s="14" t="n">
        <f aca="false">IF($H952="Expert Level",1,0)</f>
        <v>0</v>
      </c>
      <c r="AA952" s="14" t="n">
        <f aca="false">IF($H952="Intermediate Level",1,0)</f>
        <v>0</v>
      </c>
      <c r="AC952" s="14" t="n">
        <f aca="false">N952</f>
        <v>4.82839373410247</v>
      </c>
      <c r="AD952" s="14" t="n">
        <f aca="false">G952</f>
        <v>140</v>
      </c>
      <c r="AE952" s="14" t="n">
        <f aca="false">J952</f>
        <v>11</v>
      </c>
      <c r="AF952" s="14" t="n">
        <f aca="false">IF($L952=2012,1,0)</f>
        <v>0</v>
      </c>
      <c r="AG952" s="14" t="n">
        <f aca="false">IF($L952=2013,1,0)</f>
        <v>0</v>
      </c>
      <c r="AH952" s="14" t="n">
        <f aca="false">IF($L952=2014,1,0)</f>
        <v>0</v>
      </c>
      <c r="AI952" s="14" t="n">
        <f aca="false">IF($L952=2015,1,0)</f>
        <v>0</v>
      </c>
      <c r="AJ952" s="14" t="n">
        <f aca="false">IF($L952=2016,1,0)</f>
        <v>1</v>
      </c>
      <c r="AK952" s="14" t="n">
        <f aca="false">IF($L952=2017,1,0)</f>
        <v>0</v>
      </c>
      <c r="AL952" s="14" t="n">
        <f aca="false">IF($H952="Beginner Level",1,0)</f>
        <v>0</v>
      </c>
      <c r="AM952" s="14" t="n">
        <f aca="false">IF($H952="Expert Level",1,0)</f>
        <v>0</v>
      </c>
      <c r="AN952" s="14" t="n">
        <f aca="false">IF($H952="Intermediate Level",1,0)</f>
        <v>0</v>
      </c>
    </row>
    <row r="953" customFormat="false" ht="35.05" hidden="false" customHeight="false" outlineLevel="0" collapsed="false">
      <c r="A953" s="14" t="n">
        <v>1004788</v>
      </c>
      <c r="B953" s="14" t="s">
        <v>1947</v>
      </c>
      <c r="C953" s="14" t="s">
        <v>1948</v>
      </c>
      <c r="D953" s="14" t="n">
        <v>20</v>
      </c>
      <c r="E953" s="14" t="n">
        <v>997</v>
      </c>
      <c r="F953" s="14" t="n">
        <v>31</v>
      </c>
      <c r="G953" s="14" t="n">
        <v>20</v>
      </c>
      <c r="H953" s="14" t="s">
        <v>52</v>
      </c>
      <c r="I953" s="14" t="n">
        <v>0.89</v>
      </c>
      <c r="J953" s="14" t="n">
        <v>2</v>
      </c>
      <c r="K953" s="14" t="s">
        <v>59</v>
      </c>
      <c r="L953" s="14" t="n">
        <v>2016</v>
      </c>
      <c r="M953" s="14" t="n">
        <v>6.90475076996184</v>
      </c>
      <c r="N953" s="14" t="n">
        <v>2.99623214859564</v>
      </c>
      <c r="P953" s="14" t="n">
        <f aca="false">D953</f>
        <v>20</v>
      </c>
      <c r="Q953" s="14" t="n">
        <f aca="false">G953</f>
        <v>20</v>
      </c>
      <c r="R953" s="14" t="n">
        <f aca="false">J953</f>
        <v>2</v>
      </c>
      <c r="S953" s="14" t="n">
        <f aca="false">IF($L953=2012,1,0)</f>
        <v>0</v>
      </c>
      <c r="T953" s="14" t="n">
        <f aca="false">IF($L953=2013,1,0)</f>
        <v>0</v>
      </c>
      <c r="U953" s="14" t="n">
        <f aca="false">IF($L953=2014,1,0)</f>
        <v>0</v>
      </c>
      <c r="V953" s="14" t="n">
        <f aca="false">IF($L953=2015,1,0)</f>
        <v>0</v>
      </c>
      <c r="W953" s="14" t="n">
        <f aca="false">IF($L953=2016,1,0)</f>
        <v>1</v>
      </c>
      <c r="X953" s="14" t="n">
        <f aca="false">IF($L953=2017,1,0)</f>
        <v>0</v>
      </c>
      <c r="Y953" s="14" t="n">
        <f aca="false">IF($H953="Beginner Level",1,0)</f>
        <v>1</v>
      </c>
      <c r="Z953" s="14" t="n">
        <f aca="false">IF($H953="Expert Level",1,0)</f>
        <v>0</v>
      </c>
      <c r="AA953" s="14" t="n">
        <f aca="false">IF($H953="Intermediate Level",1,0)</f>
        <v>0</v>
      </c>
      <c r="AC953" s="14" t="n">
        <f aca="false">N953</f>
        <v>2.99623214859564</v>
      </c>
      <c r="AD953" s="14" t="n">
        <f aca="false">G953</f>
        <v>20</v>
      </c>
      <c r="AE953" s="14" t="n">
        <f aca="false">J953</f>
        <v>2</v>
      </c>
      <c r="AF953" s="14" t="n">
        <f aca="false">IF($L953=2012,1,0)</f>
        <v>0</v>
      </c>
      <c r="AG953" s="14" t="n">
        <f aca="false">IF($L953=2013,1,0)</f>
        <v>0</v>
      </c>
      <c r="AH953" s="14" t="n">
        <f aca="false">IF($L953=2014,1,0)</f>
        <v>0</v>
      </c>
      <c r="AI953" s="14" t="n">
        <f aca="false">IF($L953=2015,1,0)</f>
        <v>0</v>
      </c>
      <c r="AJ953" s="14" t="n">
        <f aca="false">IF($L953=2016,1,0)</f>
        <v>1</v>
      </c>
      <c r="AK953" s="14" t="n">
        <f aca="false">IF($L953=2017,1,0)</f>
        <v>0</v>
      </c>
      <c r="AL953" s="14" t="n">
        <f aca="false">IF($H953="Beginner Level",1,0)</f>
        <v>1</v>
      </c>
      <c r="AM953" s="14" t="n">
        <f aca="false">IF($H953="Expert Level",1,0)</f>
        <v>0</v>
      </c>
      <c r="AN953" s="14" t="n">
        <f aca="false">IF($H953="Intermediate Level",1,0)</f>
        <v>0</v>
      </c>
    </row>
    <row r="954" customFormat="false" ht="46.25" hidden="false" customHeight="false" outlineLevel="0" collapsed="false">
      <c r="A954" s="14" t="n">
        <v>922750</v>
      </c>
      <c r="B954" s="14" t="s">
        <v>1949</v>
      </c>
      <c r="C954" s="14" t="s">
        <v>1950</v>
      </c>
      <c r="D954" s="14" t="n">
        <v>25</v>
      </c>
      <c r="E954" s="14" t="n">
        <v>988</v>
      </c>
      <c r="F954" s="14" t="n">
        <v>23</v>
      </c>
      <c r="G954" s="14" t="n">
        <v>27</v>
      </c>
      <c r="H954" s="14" t="s">
        <v>62</v>
      </c>
      <c r="I954" s="14" t="n">
        <v>0.89</v>
      </c>
      <c r="J954" s="14" t="n">
        <v>0.63333333</v>
      </c>
      <c r="K954" s="14" t="s">
        <v>59</v>
      </c>
      <c r="L954" s="14" t="n">
        <v>2016</v>
      </c>
      <c r="M954" s="14" t="n">
        <v>6.89568269774787</v>
      </c>
      <c r="N954" s="14" t="n">
        <v>3.21927574488953</v>
      </c>
      <c r="P954" s="14" t="n">
        <f aca="false">D954</f>
        <v>25</v>
      </c>
      <c r="Q954" s="14" t="n">
        <f aca="false">G954</f>
        <v>27</v>
      </c>
      <c r="R954" s="14" t="n">
        <f aca="false">J954</f>
        <v>0.63333333</v>
      </c>
      <c r="S954" s="14" t="n">
        <f aca="false">IF($L954=2012,1,0)</f>
        <v>0</v>
      </c>
      <c r="T954" s="14" t="n">
        <f aca="false">IF($L954=2013,1,0)</f>
        <v>0</v>
      </c>
      <c r="U954" s="14" t="n">
        <f aca="false">IF($L954=2014,1,0)</f>
        <v>0</v>
      </c>
      <c r="V954" s="14" t="n">
        <f aca="false">IF($L954=2015,1,0)</f>
        <v>0</v>
      </c>
      <c r="W954" s="14" t="n">
        <f aca="false">IF($L954=2016,1,0)</f>
        <v>1</v>
      </c>
      <c r="X954" s="14" t="n">
        <f aca="false">IF($L954=2017,1,0)</f>
        <v>0</v>
      </c>
      <c r="Y954" s="14" t="n">
        <f aca="false">IF($H954="Beginner Level",1,0)</f>
        <v>0</v>
      </c>
      <c r="Z954" s="14" t="n">
        <f aca="false">IF($H954="Expert Level",1,0)</f>
        <v>0</v>
      </c>
      <c r="AA954" s="14" t="n">
        <f aca="false">IF($H954="Intermediate Level",1,0)</f>
        <v>0</v>
      </c>
      <c r="AC954" s="14" t="n">
        <f aca="false">N954</f>
        <v>3.21927574488953</v>
      </c>
      <c r="AD954" s="14" t="n">
        <f aca="false">G954</f>
        <v>27</v>
      </c>
      <c r="AE954" s="14" t="n">
        <f aca="false">J954</f>
        <v>0.63333333</v>
      </c>
      <c r="AF954" s="14" t="n">
        <f aca="false">IF($L954=2012,1,0)</f>
        <v>0</v>
      </c>
      <c r="AG954" s="14" t="n">
        <f aca="false">IF($L954=2013,1,0)</f>
        <v>0</v>
      </c>
      <c r="AH954" s="14" t="n">
        <f aca="false">IF($L954=2014,1,0)</f>
        <v>0</v>
      </c>
      <c r="AI954" s="14" t="n">
        <f aca="false">IF($L954=2015,1,0)</f>
        <v>0</v>
      </c>
      <c r="AJ954" s="14" t="n">
        <f aca="false">IF($L954=2016,1,0)</f>
        <v>1</v>
      </c>
      <c r="AK954" s="14" t="n">
        <f aca="false">IF($L954=2017,1,0)</f>
        <v>0</v>
      </c>
      <c r="AL954" s="14" t="n">
        <f aca="false">IF($H954="Beginner Level",1,0)</f>
        <v>0</v>
      </c>
      <c r="AM954" s="14" t="n">
        <f aca="false">IF($H954="Expert Level",1,0)</f>
        <v>0</v>
      </c>
      <c r="AN954" s="14" t="n">
        <f aca="false">IF($H954="Intermediate Level",1,0)</f>
        <v>0</v>
      </c>
    </row>
    <row r="955" customFormat="false" ht="57.45" hidden="false" customHeight="false" outlineLevel="0" collapsed="false">
      <c r="A955" s="14" t="n">
        <v>611688</v>
      </c>
      <c r="B955" s="14" t="s">
        <v>1951</v>
      </c>
      <c r="C955" s="14" t="s">
        <v>1952</v>
      </c>
      <c r="D955" s="14" t="n">
        <v>20</v>
      </c>
      <c r="E955" s="14" t="n">
        <v>976</v>
      </c>
      <c r="F955" s="14" t="n">
        <v>93</v>
      </c>
      <c r="G955" s="14" t="n">
        <v>46</v>
      </c>
      <c r="H955" s="14" t="s">
        <v>52</v>
      </c>
      <c r="I955" s="14" t="n">
        <v>0.89</v>
      </c>
      <c r="J955" s="14" t="n">
        <v>2.5</v>
      </c>
      <c r="K955" s="14" t="s">
        <v>59</v>
      </c>
      <c r="L955" s="14" t="n">
        <v>2015</v>
      </c>
      <c r="M955" s="14" t="n">
        <v>6.88346258641309</v>
      </c>
      <c r="N955" s="14" t="n">
        <v>2.99623214859564</v>
      </c>
      <c r="P955" s="14" t="n">
        <f aca="false">D955</f>
        <v>20</v>
      </c>
      <c r="Q955" s="14" t="n">
        <f aca="false">G955</f>
        <v>46</v>
      </c>
      <c r="R955" s="14" t="n">
        <f aca="false">J955</f>
        <v>2.5</v>
      </c>
      <c r="S955" s="14" t="n">
        <f aca="false">IF($L955=2012,1,0)</f>
        <v>0</v>
      </c>
      <c r="T955" s="14" t="n">
        <f aca="false">IF($L955=2013,1,0)</f>
        <v>0</v>
      </c>
      <c r="U955" s="14" t="n">
        <f aca="false">IF($L955=2014,1,0)</f>
        <v>0</v>
      </c>
      <c r="V955" s="14" t="n">
        <f aca="false">IF($L955=2015,1,0)</f>
        <v>1</v>
      </c>
      <c r="W955" s="14" t="n">
        <f aca="false">IF($L955=2016,1,0)</f>
        <v>0</v>
      </c>
      <c r="X955" s="14" t="n">
        <f aca="false">IF($L955=2017,1,0)</f>
        <v>0</v>
      </c>
      <c r="Y955" s="14" t="n">
        <f aca="false">IF($H955="Beginner Level",1,0)</f>
        <v>1</v>
      </c>
      <c r="Z955" s="14" t="n">
        <f aca="false">IF($H955="Expert Level",1,0)</f>
        <v>0</v>
      </c>
      <c r="AA955" s="14" t="n">
        <f aca="false">IF($H955="Intermediate Level",1,0)</f>
        <v>0</v>
      </c>
      <c r="AC955" s="14" t="n">
        <f aca="false">N955</f>
        <v>2.99623214859564</v>
      </c>
      <c r="AD955" s="14" t="n">
        <f aca="false">G955</f>
        <v>46</v>
      </c>
      <c r="AE955" s="14" t="n">
        <f aca="false">J955</f>
        <v>2.5</v>
      </c>
      <c r="AF955" s="14" t="n">
        <f aca="false">IF($L955=2012,1,0)</f>
        <v>0</v>
      </c>
      <c r="AG955" s="14" t="n">
        <f aca="false">IF($L955=2013,1,0)</f>
        <v>0</v>
      </c>
      <c r="AH955" s="14" t="n">
        <f aca="false">IF($L955=2014,1,0)</f>
        <v>0</v>
      </c>
      <c r="AI955" s="14" t="n">
        <f aca="false">IF($L955=2015,1,0)</f>
        <v>1</v>
      </c>
      <c r="AJ955" s="14" t="n">
        <f aca="false">IF($L955=2016,1,0)</f>
        <v>0</v>
      </c>
      <c r="AK955" s="14" t="n">
        <f aca="false">IF($L955=2017,1,0)</f>
        <v>0</v>
      </c>
      <c r="AL955" s="14" t="n">
        <f aca="false">IF($H955="Beginner Level",1,0)</f>
        <v>1</v>
      </c>
      <c r="AM955" s="14" t="n">
        <f aca="false">IF($H955="Expert Level",1,0)</f>
        <v>0</v>
      </c>
      <c r="AN955" s="14" t="n">
        <f aca="false">IF($H955="Intermediate Level",1,0)</f>
        <v>0</v>
      </c>
    </row>
    <row r="956" customFormat="false" ht="68.65" hidden="false" customHeight="false" outlineLevel="0" collapsed="false">
      <c r="A956" s="14" t="n">
        <v>260444</v>
      </c>
      <c r="B956" s="14" t="s">
        <v>1953</v>
      </c>
      <c r="C956" s="14" t="s">
        <v>1954</v>
      </c>
      <c r="D956" s="14" t="n">
        <v>20</v>
      </c>
      <c r="E956" s="14" t="n">
        <v>976</v>
      </c>
      <c r="F956" s="14" t="n">
        <v>29</v>
      </c>
      <c r="G956" s="14" t="n">
        <v>13</v>
      </c>
      <c r="H956" s="14" t="s">
        <v>62</v>
      </c>
      <c r="I956" s="14" t="n">
        <v>0.89</v>
      </c>
      <c r="J956" s="14" t="n">
        <v>1.5</v>
      </c>
      <c r="K956" s="14" t="s">
        <v>59</v>
      </c>
      <c r="L956" s="14" t="n">
        <v>2014</v>
      </c>
      <c r="M956" s="14" t="n">
        <v>6.88346258641309</v>
      </c>
      <c r="N956" s="14" t="n">
        <v>2.99623214859564</v>
      </c>
      <c r="P956" s="14" t="n">
        <f aca="false">D956</f>
        <v>20</v>
      </c>
      <c r="Q956" s="14" t="n">
        <f aca="false">G956</f>
        <v>13</v>
      </c>
      <c r="R956" s="14" t="n">
        <f aca="false">J956</f>
        <v>1.5</v>
      </c>
      <c r="S956" s="14" t="n">
        <f aca="false">IF($L956=2012,1,0)</f>
        <v>0</v>
      </c>
      <c r="T956" s="14" t="n">
        <f aca="false">IF($L956=2013,1,0)</f>
        <v>0</v>
      </c>
      <c r="U956" s="14" t="n">
        <f aca="false">IF($L956=2014,1,0)</f>
        <v>1</v>
      </c>
      <c r="V956" s="14" t="n">
        <f aca="false">IF($L956=2015,1,0)</f>
        <v>0</v>
      </c>
      <c r="W956" s="14" t="n">
        <f aca="false">IF($L956=2016,1,0)</f>
        <v>0</v>
      </c>
      <c r="X956" s="14" t="n">
        <f aca="false">IF($L956=2017,1,0)</f>
        <v>0</v>
      </c>
      <c r="Y956" s="14" t="n">
        <f aca="false">IF($H956="Beginner Level",1,0)</f>
        <v>0</v>
      </c>
      <c r="Z956" s="14" t="n">
        <f aca="false">IF($H956="Expert Level",1,0)</f>
        <v>0</v>
      </c>
      <c r="AA956" s="14" t="n">
        <f aca="false">IF($H956="Intermediate Level",1,0)</f>
        <v>0</v>
      </c>
      <c r="AC956" s="14" t="n">
        <f aca="false">N956</f>
        <v>2.99623214859564</v>
      </c>
      <c r="AD956" s="14" t="n">
        <f aca="false">G956</f>
        <v>13</v>
      </c>
      <c r="AE956" s="14" t="n">
        <f aca="false">J956</f>
        <v>1.5</v>
      </c>
      <c r="AF956" s="14" t="n">
        <f aca="false">IF($L956=2012,1,0)</f>
        <v>0</v>
      </c>
      <c r="AG956" s="14" t="n">
        <f aca="false">IF($L956=2013,1,0)</f>
        <v>0</v>
      </c>
      <c r="AH956" s="14" t="n">
        <f aca="false">IF($L956=2014,1,0)</f>
        <v>1</v>
      </c>
      <c r="AI956" s="14" t="n">
        <f aca="false">IF($L956=2015,1,0)</f>
        <v>0</v>
      </c>
      <c r="AJ956" s="14" t="n">
        <f aca="false">IF($L956=2016,1,0)</f>
        <v>0</v>
      </c>
      <c r="AK956" s="14" t="n">
        <f aca="false">IF($L956=2017,1,0)</f>
        <v>0</v>
      </c>
      <c r="AL956" s="14" t="n">
        <f aca="false">IF($H956="Beginner Level",1,0)</f>
        <v>0</v>
      </c>
      <c r="AM956" s="14" t="n">
        <f aca="false">IF($H956="Expert Level",1,0)</f>
        <v>0</v>
      </c>
      <c r="AN956" s="14" t="n">
        <f aca="false">IF($H956="Intermediate Level",1,0)</f>
        <v>0</v>
      </c>
    </row>
    <row r="957" customFormat="false" ht="57.45" hidden="false" customHeight="false" outlineLevel="0" collapsed="false">
      <c r="A957" s="14" t="n">
        <v>975906</v>
      </c>
      <c r="B957" s="14" t="s">
        <v>1955</v>
      </c>
      <c r="C957" s="14" t="s">
        <v>1956</v>
      </c>
      <c r="D957" s="14" t="n">
        <v>95</v>
      </c>
      <c r="E957" s="14" t="n">
        <v>975</v>
      </c>
      <c r="F957" s="14" t="n">
        <v>141</v>
      </c>
      <c r="G957" s="14" t="n">
        <v>18</v>
      </c>
      <c r="H957" s="14" t="s">
        <v>62</v>
      </c>
      <c r="I957" s="14" t="n">
        <v>0.89</v>
      </c>
      <c r="J957" s="14" t="n">
        <v>3.5</v>
      </c>
      <c r="K957" s="14" t="s">
        <v>59</v>
      </c>
      <c r="L957" s="14" t="n">
        <v>2016</v>
      </c>
      <c r="M957" s="14" t="n">
        <v>6.88243747099785</v>
      </c>
      <c r="N957" s="14" t="n">
        <v>4.55398214921866</v>
      </c>
      <c r="P957" s="14" t="n">
        <f aca="false">D957</f>
        <v>95</v>
      </c>
      <c r="Q957" s="14" t="n">
        <f aca="false">G957</f>
        <v>18</v>
      </c>
      <c r="R957" s="14" t="n">
        <f aca="false">J957</f>
        <v>3.5</v>
      </c>
      <c r="S957" s="14" t="n">
        <f aca="false">IF($L957=2012,1,0)</f>
        <v>0</v>
      </c>
      <c r="T957" s="14" t="n">
        <f aca="false">IF($L957=2013,1,0)</f>
        <v>0</v>
      </c>
      <c r="U957" s="14" t="n">
        <f aca="false">IF($L957=2014,1,0)</f>
        <v>0</v>
      </c>
      <c r="V957" s="14" t="n">
        <f aca="false">IF($L957=2015,1,0)</f>
        <v>0</v>
      </c>
      <c r="W957" s="14" t="n">
        <f aca="false">IF($L957=2016,1,0)</f>
        <v>1</v>
      </c>
      <c r="X957" s="14" t="n">
        <f aca="false">IF($L957=2017,1,0)</f>
        <v>0</v>
      </c>
      <c r="Y957" s="14" t="n">
        <f aca="false">IF($H957="Beginner Level",1,0)</f>
        <v>0</v>
      </c>
      <c r="Z957" s="14" t="n">
        <f aca="false">IF($H957="Expert Level",1,0)</f>
        <v>0</v>
      </c>
      <c r="AA957" s="14" t="n">
        <f aca="false">IF($H957="Intermediate Level",1,0)</f>
        <v>0</v>
      </c>
      <c r="AC957" s="14" t="n">
        <f aca="false">N957</f>
        <v>4.55398214921866</v>
      </c>
      <c r="AD957" s="14" t="n">
        <f aca="false">G957</f>
        <v>18</v>
      </c>
      <c r="AE957" s="14" t="n">
        <f aca="false">J957</f>
        <v>3.5</v>
      </c>
      <c r="AF957" s="14" t="n">
        <f aca="false">IF($L957=2012,1,0)</f>
        <v>0</v>
      </c>
      <c r="AG957" s="14" t="n">
        <f aca="false">IF($L957=2013,1,0)</f>
        <v>0</v>
      </c>
      <c r="AH957" s="14" t="n">
        <f aca="false">IF($L957=2014,1,0)</f>
        <v>0</v>
      </c>
      <c r="AI957" s="14" t="n">
        <f aca="false">IF($L957=2015,1,0)</f>
        <v>0</v>
      </c>
      <c r="AJ957" s="14" t="n">
        <f aca="false">IF($L957=2016,1,0)</f>
        <v>1</v>
      </c>
      <c r="AK957" s="14" t="n">
        <f aca="false">IF($L957=2017,1,0)</f>
        <v>0</v>
      </c>
      <c r="AL957" s="14" t="n">
        <f aca="false">IF($H957="Beginner Level",1,0)</f>
        <v>0</v>
      </c>
      <c r="AM957" s="14" t="n">
        <f aca="false">IF($H957="Expert Level",1,0)</f>
        <v>0</v>
      </c>
      <c r="AN957" s="14" t="n">
        <f aca="false">IF($H957="Intermediate Level",1,0)</f>
        <v>0</v>
      </c>
    </row>
    <row r="958" customFormat="false" ht="79.85" hidden="false" customHeight="false" outlineLevel="0" collapsed="false">
      <c r="A958" s="14" t="n">
        <v>574082</v>
      </c>
      <c r="B958" s="14" t="s">
        <v>1957</v>
      </c>
      <c r="C958" s="14" t="s">
        <v>1958</v>
      </c>
      <c r="D958" s="14" t="n">
        <v>75</v>
      </c>
      <c r="E958" s="14" t="n">
        <v>973</v>
      </c>
      <c r="F958" s="14" t="n">
        <v>50</v>
      </c>
      <c r="G958" s="14" t="n">
        <v>46</v>
      </c>
      <c r="H958" s="14" t="s">
        <v>52</v>
      </c>
      <c r="I958" s="14" t="n">
        <v>0.89</v>
      </c>
      <c r="J958" s="14" t="n">
        <v>4.5</v>
      </c>
      <c r="K958" s="14" t="s">
        <v>59</v>
      </c>
      <c r="L958" s="14" t="n">
        <v>2015</v>
      </c>
      <c r="M958" s="14" t="n">
        <v>6.88038408218601</v>
      </c>
      <c r="N958" s="14" t="n">
        <v>4.31762143798155</v>
      </c>
      <c r="P958" s="14" t="n">
        <f aca="false">D958</f>
        <v>75</v>
      </c>
      <c r="Q958" s="14" t="n">
        <f aca="false">G958</f>
        <v>46</v>
      </c>
      <c r="R958" s="14" t="n">
        <f aca="false">J958</f>
        <v>4.5</v>
      </c>
      <c r="S958" s="14" t="n">
        <f aca="false">IF($L958=2012,1,0)</f>
        <v>0</v>
      </c>
      <c r="T958" s="14" t="n">
        <f aca="false">IF($L958=2013,1,0)</f>
        <v>0</v>
      </c>
      <c r="U958" s="14" t="n">
        <f aca="false">IF($L958=2014,1,0)</f>
        <v>0</v>
      </c>
      <c r="V958" s="14" t="n">
        <f aca="false">IF($L958=2015,1,0)</f>
        <v>1</v>
      </c>
      <c r="W958" s="14" t="n">
        <f aca="false">IF($L958=2016,1,0)</f>
        <v>0</v>
      </c>
      <c r="X958" s="14" t="n">
        <f aca="false">IF($L958=2017,1,0)</f>
        <v>0</v>
      </c>
      <c r="Y958" s="14" t="n">
        <f aca="false">IF($H958="Beginner Level",1,0)</f>
        <v>1</v>
      </c>
      <c r="Z958" s="14" t="n">
        <f aca="false">IF($H958="Expert Level",1,0)</f>
        <v>0</v>
      </c>
      <c r="AA958" s="14" t="n">
        <f aca="false">IF($H958="Intermediate Level",1,0)</f>
        <v>0</v>
      </c>
      <c r="AC958" s="14" t="n">
        <f aca="false">N958</f>
        <v>4.31762143798155</v>
      </c>
      <c r="AD958" s="14" t="n">
        <f aca="false">G958</f>
        <v>46</v>
      </c>
      <c r="AE958" s="14" t="n">
        <f aca="false">J958</f>
        <v>4.5</v>
      </c>
      <c r="AF958" s="14" t="n">
        <f aca="false">IF($L958=2012,1,0)</f>
        <v>0</v>
      </c>
      <c r="AG958" s="14" t="n">
        <f aca="false">IF($L958=2013,1,0)</f>
        <v>0</v>
      </c>
      <c r="AH958" s="14" t="n">
        <f aca="false">IF($L958=2014,1,0)</f>
        <v>0</v>
      </c>
      <c r="AI958" s="14" t="n">
        <f aca="false">IF($L958=2015,1,0)</f>
        <v>1</v>
      </c>
      <c r="AJ958" s="14" t="n">
        <f aca="false">IF($L958=2016,1,0)</f>
        <v>0</v>
      </c>
      <c r="AK958" s="14" t="n">
        <f aca="false">IF($L958=2017,1,0)</f>
        <v>0</v>
      </c>
      <c r="AL958" s="14" t="n">
        <f aca="false">IF($H958="Beginner Level",1,0)</f>
        <v>1</v>
      </c>
      <c r="AM958" s="14" t="n">
        <f aca="false">IF($H958="Expert Level",1,0)</f>
        <v>0</v>
      </c>
      <c r="AN958" s="14" t="n">
        <f aca="false">IF($H958="Intermediate Level",1,0)</f>
        <v>0</v>
      </c>
    </row>
    <row r="959" customFormat="false" ht="57.45" hidden="false" customHeight="false" outlineLevel="0" collapsed="false">
      <c r="A959" s="14" t="n">
        <v>792703</v>
      </c>
      <c r="B959" s="14" t="s">
        <v>1959</v>
      </c>
      <c r="C959" s="14" t="s">
        <v>1960</v>
      </c>
      <c r="D959" s="14" t="n">
        <v>50</v>
      </c>
      <c r="E959" s="14" t="n">
        <v>964</v>
      </c>
      <c r="F959" s="14" t="n">
        <v>19</v>
      </c>
      <c r="G959" s="14" t="n">
        <v>21</v>
      </c>
      <c r="H959" s="14" t="s">
        <v>62</v>
      </c>
      <c r="I959" s="14" t="n">
        <v>0.89</v>
      </c>
      <c r="J959" s="14" t="n">
        <v>2.5</v>
      </c>
      <c r="K959" s="14" t="s">
        <v>59</v>
      </c>
      <c r="L959" s="14" t="n">
        <v>2016</v>
      </c>
      <c r="M959" s="14" t="n">
        <v>6.87109129461055</v>
      </c>
      <c r="N959" s="14" t="n">
        <v>3.91222298543081</v>
      </c>
      <c r="P959" s="14" t="n">
        <f aca="false">D959</f>
        <v>50</v>
      </c>
      <c r="Q959" s="14" t="n">
        <f aca="false">G959</f>
        <v>21</v>
      </c>
      <c r="R959" s="14" t="n">
        <f aca="false">J959</f>
        <v>2.5</v>
      </c>
      <c r="S959" s="14" t="n">
        <f aca="false">IF($L959=2012,1,0)</f>
        <v>0</v>
      </c>
      <c r="T959" s="14" t="n">
        <f aca="false">IF($L959=2013,1,0)</f>
        <v>0</v>
      </c>
      <c r="U959" s="14" t="n">
        <f aca="false">IF($L959=2014,1,0)</f>
        <v>0</v>
      </c>
      <c r="V959" s="14" t="n">
        <f aca="false">IF($L959=2015,1,0)</f>
        <v>0</v>
      </c>
      <c r="W959" s="14" t="n">
        <f aca="false">IF($L959=2016,1,0)</f>
        <v>1</v>
      </c>
      <c r="X959" s="14" t="n">
        <f aca="false">IF($L959=2017,1,0)</f>
        <v>0</v>
      </c>
      <c r="Y959" s="14" t="n">
        <f aca="false">IF($H959="Beginner Level",1,0)</f>
        <v>0</v>
      </c>
      <c r="Z959" s="14" t="n">
        <f aca="false">IF($H959="Expert Level",1,0)</f>
        <v>0</v>
      </c>
      <c r="AA959" s="14" t="n">
        <f aca="false">IF($H959="Intermediate Level",1,0)</f>
        <v>0</v>
      </c>
      <c r="AC959" s="14" t="n">
        <f aca="false">N959</f>
        <v>3.91222298543081</v>
      </c>
      <c r="AD959" s="14" t="n">
        <f aca="false">G959</f>
        <v>21</v>
      </c>
      <c r="AE959" s="14" t="n">
        <f aca="false">J959</f>
        <v>2.5</v>
      </c>
      <c r="AF959" s="14" t="n">
        <f aca="false">IF($L959=2012,1,0)</f>
        <v>0</v>
      </c>
      <c r="AG959" s="14" t="n">
        <f aca="false">IF($L959=2013,1,0)</f>
        <v>0</v>
      </c>
      <c r="AH959" s="14" t="n">
        <f aca="false">IF($L959=2014,1,0)</f>
        <v>0</v>
      </c>
      <c r="AI959" s="14" t="n">
        <f aca="false">IF($L959=2015,1,0)</f>
        <v>0</v>
      </c>
      <c r="AJ959" s="14" t="n">
        <f aca="false">IF($L959=2016,1,0)</f>
        <v>1</v>
      </c>
      <c r="AK959" s="14" t="n">
        <f aca="false">IF($L959=2017,1,0)</f>
        <v>0</v>
      </c>
      <c r="AL959" s="14" t="n">
        <f aca="false">IF($H959="Beginner Level",1,0)</f>
        <v>0</v>
      </c>
      <c r="AM959" s="14" t="n">
        <f aca="false">IF($H959="Expert Level",1,0)</f>
        <v>0</v>
      </c>
      <c r="AN959" s="14" t="n">
        <f aca="false">IF($H959="Intermediate Level",1,0)</f>
        <v>0</v>
      </c>
    </row>
    <row r="960" customFormat="false" ht="68.65" hidden="false" customHeight="false" outlineLevel="0" collapsed="false">
      <c r="A960" s="14" t="n">
        <v>751100</v>
      </c>
      <c r="B960" s="14" t="s">
        <v>1961</v>
      </c>
      <c r="C960" s="14" t="s">
        <v>1962</v>
      </c>
      <c r="D960" s="14" t="n">
        <v>195</v>
      </c>
      <c r="E960" s="14" t="n">
        <v>960</v>
      </c>
      <c r="F960" s="14" t="n">
        <v>110</v>
      </c>
      <c r="G960" s="14" t="n">
        <v>32</v>
      </c>
      <c r="H960" s="14" t="s">
        <v>56</v>
      </c>
      <c r="I960" s="14" t="n">
        <v>0.89</v>
      </c>
      <c r="J960" s="14" t="n">
        <v>2</v>
      </c>
      <c r="K960" s="14" t="s">
        <v>59</v>
      </c>
      <c r="L960" s="14" t="n">
        <v>2016</v>
      </c>
      <c r="M960" s="14" t="n">
        <v>6.86693328446188</v>
      </c>
      <c r="N960" s="14" t="n">
        <v>5.27305083930015</v>
      </c>
      <c r="P960" s="14" t="n">
        <f aca="false">D960</f>
        <v>195</v>
      </c>
      <c r="Q960" s="14" t="n">
        <f aca="false">G960</f>
        <v>32</v>
      </c>
      <c r="R960" s="14" t="n">
        <f aca="false">J960</f>
        <v>2</v>
      </c>
      <c r="S960" s="14" t="n">
        <f aca="false">IF($L960=2012,1,0)</f>
        <v>0</v>
      </c>
      <c r="T960" s="14" t="n">
        <f aca="false">IF($L960=2013,1,0)</f>
        <v>0</v>
      </c>
      <c r="U960" s="14" t="n">
        <f aca="false">IF($L960=2014,1,0)</f>
        <v>0</v>
      </c>
      <c r="V960" s="14" t="n">
        <f aca="false">IF($L960=2015,1,0)</f>
        <v>0</v>
      </c>
      <c r="W960" s="14" t="n">
        <f aca="false">IF($L960=2016,1,0)</f>
        <v>1</v>
      </c>
      <c r="X960" s="14" t="n">
        <f aca="false">IF($L960=2017,1,0)</f>
        <v>0</v>
      </c>
      <c r="Y960" s="14" t="n">
        <f aca="false">IF($H960="Beginner Level",1,0)</f>
        <v>0</v>
      </c>
      <c r="Z960" s="14" t="n">
        <f aca="false">IF($H960="Expert Level",1,0)</f>
        <v>1</v>
      </c>
      <c r="AA960" s="14" t="n">
        <f aca="false">IF($H960="Intermediate Level",1,0)</f>
        <v>0</v>
      </c>
      <c r="AC960" s="14" t="n">
        <f aca="false">N960</f>
        <v>5.27305083930015</v>
      </c>
      <c r="AD960" s="14" t="n">
        <f aca="false">G960</f>
        <v>32</v>
      </c>
      <c r="AE960" s="14" t="n">
        <f aca="false">J960</f>
        <v>2</v>
      </c>
      <c r="AF960" s="14" t="n">
        <f aca="false">IF($L960=2012,1,0)</f>
        <v>0</v>
      </c>
      <c r="AG960" s="14" t="n">
        <f aca="false">IF($L960=2013,1,0)</f>
        <v>0</v>
      </c>
      <c r="AH960" s="14" t="n">
        <f aca="false">IF($L960=2014,1,0)</f>
        <v>0</v>
      </c>
      <c r="AI960" s="14" t="n">
        <f aca="false">IF($L960=2015,1,0)</f>
        <v>0</v>
      </c>
      <c r="AJ960" s="14" t="n">
        <f aca="false">IF($L960=2016,1,0)</f>
        <v>1</v>
      </c>
      <c r="AK960" s="14" t="n">
        <f aca="false">IF($L960=2017,1,0)</f>
        <v>0</v>
      </c>
      <c r="AL960" s="14" t="n">
        <f aca="false">IF($H960="Beginner Level",1,0)</f>
        <v>0</v>
      </c>
      <c r="AM960" s="14" t="n">
        <f aca="false">IF($H960="Expert Level",1,0)</f>
        <v>1</v>
      </c>
      <c r="AN960" s="14" t="n">
        <f aca="false">IF($H960="Intermediate Level",1,0)</f>
        <v>0</v>
      </c>
    </row>
    <row r="961" customFormat="false" ht="57.45" hidden="false" customHeight="false" outlineLevel="0" collapsed="false">
      <c r="A961" s="14" t="n">
        <v>1053406</v>
      </c>
      <c r="B961" s="14" t="s">
        <v>1963</v>
      </c>
      <c r="C961" s="14" t="s">
        <v>1964</v>
      </c>
      <c r="D961" s="14" t="n">
        <v>20</v>
      </c>
      <c r="E961" s="14" t="n">
        <v>959</v>
      </c>
      <c r="F961" s="14" t="n">
        <v>51</v>
      </c>
      <c r="G961" s="14" t="n">
        <v>74</v>
      </c>
      <c r="H961" s="14" t="s">
        <v>52</v>
      </c>
      <c r="I961" s="14" t="n">
        <v>0.89</v>
      </c>
      <c r="J961" s="14" t="n">
        <v>3</v>
      </c>
      <c r="K961" s="14" t="s">
        <v>59</v>
      </c>
      <c r="L961" s="14" t="n">
        <v>2017</v>
      </c>
      <c r="M961" s="14" t="n">
        <v>6.86589107488344</v>
      </c>
      <c r="N961" s="14" t="n">
        <v>2.99623214859564</v>
      </c>
      <c r="P961" s="14" t="n">
        <f aca="false">D961</f>
        <v>20</v>
      </c>
      <c r="Q961" s="14" t="n">
        <f aca="false">G961</f>
        <v>74</v>
      </c>
      <c r="R961" s="14" t="n">
        <f aca="false">J961</f>
        <v>3</v>
      </c>
      <c r="S961" s="14" t="n">
        <f aca="false">IF($L961=2012,1,0)</f>
        <v>0</v>
      </c>
      <c r="T961" s="14" t="n">
        <f aca="false">IF($L961=2013,1,0)</f>
        <v>0</v>
      </c>
      <c r="U961" s="14" t="n">
        <f aca="false">IF($L961=2014,1,0)</f>
        <v>0</v>
      </c>
      <c r="V961" s="14" t="n">
        <f aca="false">IF($L961=2015,1,0)</f>
        <v>0</v>
      </c>
      <c r="W961" s="14" t="n">
        <f aca="false">IF($L961=2016,1,0)</f>
        <v>0</v>
      </c>
      <c r="X961" s="14" t="n">
        <f aca="false">IF($L961=2017,1,0)</f>
        <v>1</v>
      </c>
      <c r="Y961" s="14" t="n">
        <f aca="false">IF($H961="Beginner Level",1,0)</f>
        <v>1</v>
      </c>
      <c r="Z961" s="14" t="n">
        <f aca="false">IF($H961="Expert Level",1,0)</f>
        <v>0</v>
      </c>
      <c r="AA961" s="14" t="n">
        <f aca="false">IF($H961="Intermediate Level",1,0)</f>
        <v>0</v>
      </c>
      <c r="AC961" s="14" t="n">
        <f aca="false">N961</f>
        <v>2.99623214859564</v>
      </c>
      <c r="AD961" s="14" t="n">
        <f aca="false">G961</f>
        <v>74</v>
      </c>
      <c r="AE961" s="14" t="n">
        <f aca="false">J961</f>
        <v>3</v>
      </c>
      <c r="AF961" s="14" t="n">
        <f aca="false">IF($L961=2012,1,0)</f>
        <v>0</v>
      </c>
      <c r="AG961" s="14" t="n">
        <f aca="false">IF($L961=2013,1,0)</f>
        <v>0</v>
      </c>
      <c r="AH961" s="14" t="n">
        <f aca="false">IF($L961=2014,1,0)</f>
        <v>0</v>
      </c>
      <c r="AI961" s="14" t="n">
        <f aca="false">IF($L961=2015,1,0)</f>
        <v>0</v>
      </c>
      <c r="AJ961" s="14" t="n">
        <f aca="false">IF($L961=2016,1,0)</f>
        <v>0</v>
      </c>
      <c r="AK961" s="14" t="n">
        <f aca="false">IF($L961=2017,1,0)</f>
        <v>1</v>
      </c>
      <c r="AL961" s="14" t="n">
        <f aca="false">IF($H961="Beginner Level",1,0)</f>
        <v>1</v>
      </c>
      <c r="AM961" s="14" t="n">
        <f aca="false">IF($H961="Expert Level",1,0)</f>
        <v>0</v>
      </c>
      <c r="AN961" s="14" t="n">
        <f aca="false">IF($H961="Intermediate Level",1,0)</f>
        <v>0</v>
      </c>
    </row>
    <row r="962" customFormat="false" ht="57.45" hidden="false" customHeight="false" outlineLevel="0" collapsed="false">
      <c r="A962" s="14" t="n">
        <v>900794</v>
      </c>
      <c r="B962" s="14" t="s">
        <v>1965</v>
      </c>
      <c r="C962" s="14" t="s">
        <v>1966</v>
      </c>
      <c r="D962" s="14" t="n">
        <v>20</v>
      </c>
      <c r="E962" s="14" t="n">
        <v>958</v>
      </c>
      <c r="F962" s="14" t="n">
        <v>14</v>
      </c>
      <c r="G962" s="14" t="n">
        <v>17</v>
      </c>
      <c r="H962" s="14" t="s">
        <v>71</v>
      </c>
      <c r="I962" s="14" t="n">
        <v>0.89</v>
      </c>
      <c r="J962" s="14" t="n">
        <v>1</v>
      </c>
      <c r="K962" s="14" t="s">
        <v>59</v>
      </c>
      <c r="L962" s="14" t="n">
        <v>2016</v>
      </c>
      <c r="M962" s="14" t="n">
        <v>6.86484777797086</v>
      </c>
      <c r="N962" s="14" t="n">
        <v>2.99623214859564</v>
      </c>
      <c r="P962" s="14" t="n">
        <f aca="false">D962</f>
        <v>20</v>
      </c>
      <c r="Q962" s="14" t="n">
        <f aca="false">G962</f>
        <v>17</v>
      </c>
      <c r="R962" s="14" t="n">
        <f aca="false">J962</f>
        <v>1</v>
      </c>
      <c r="S962" s="14" t="n">
        <f aca="false">IF($L962=2012,1,0)</f>
        <v>0</v>
      </c>
      <c r="T962" s="14" t="n">
        <f aca="false">IF($L962=2013,1,0)</f>
        <v>0</v>
      </c>
      <c r="U962" s="14" t="n">
        <f aca="false">IF($L962=2014,1,0)</f>
        <v>0</v>
      </c>
      <c r="V962" s="14" t="n">
        <f aca="false">IF($L962=2015,1,0)</f>
        <v>0</v>
      </c>
      <c r="W962" s="14" t="n">
        <f aca="false">IF($L962=2016,1,0)</f>
        <v>1</v>
      </c>
      <c r="X962" s="14" t="n">
        <f aca="false">IF($L962=2017,1,0)</f>
        <v>0</v>
      </c>
      <c r="Y962" s="14" t="n">
        <f aca="false">IF($H962="Beginner Level",1,0)</f>
        <v>0</v>
      </c>
      <c r="Z962" s="14" t="n">
        <f aca="false">IF($H962="Expert Level",1,0)</f>
        <v>0</v>
      </c>
      <c r="AA962" s="14" t="n">
        <f aca="false">IF($H962="Intermediate Level",1,0)</f>
        <v>1</v>
      </c>
      <c r="AC962" s="14" t="n">
        <f aca="false">N962</f>
        <v>2.99623214859564</v>
      </c>
      <c r="AD962" s="14" t="n">
        <f aca="false">G962</f>
        <v>17</v>
      </c>
      <c r="AE962" s="14" t="n">
        <f aca="false">J962</f>
        <v>1</v>
      </c>
      <c r="AF962" s="14" t="n">
        <f aca="false">IF($L962=2012,1,0)</f>
        <v>0</v>
      </c>
      <c r="AG962" s="14" t="n">
        <f aca="false">IF($L962=2013,1,0)</f>
        <v>0</v>
      </c>
      <c r="AH962" s="14" t="n">
        <f aca="false">IF($L962=2014,1,0)</f>
        <v>0</v>
      </c>
      <c r="AI962" s="14" t="n">
        <f aca="false">IF($L962=2015,1,0)</f>
        <v>0</v>
      </c>
      <c r="AJ962" s="14" t="n">
        <f aca="false">IF($L962=2016,1,0)</f>
        <v>1</v>
      </c>
      <c r="AK962" s="14" t="n">
        <f aca="false">IF($L962=2017,1,0)</f>
        <v>0</v>
      </c>
      <c r="AL962" s="14" t="n">
        <f aca="false">IF($H962="Beginner Level",1,0)</f>
        <v>0</v>
      </c>
      <c r="AM962" s="14" t="n">
        <f aca="false">IF($H962="Expert Level",1,0)</f>
        <v>0</v>
      </c>
      <c r="AN962" s="14" t="n">
        <f aca="false">IF($H962="Intermediate Level",1,0)</f>
        <v>1</v>
      </c>
    </row>
    <row r="963" customFormat="false" ht="68.65" hidden="false" customHeight="false" outlineLevel="0" collapsed="false">
      <c r="A963" s="14" t="n">
        <v>565384</v>
      </c>
      <c r="B963" s="14" t="s">
        <v>1967</v>
      </c>
      <c r="C963" s="14" t="s">
        <v>1968</v>
      </c>
      <c r="D963" s="14" t="n">
        <v>20</v>
      </c>
      <c r="E963" s="14" t="n">
        <v>954</v>
      </c>
      <c r="F963" s="14" t="n">
        <v>183</v>
      </c>
      <c r="G963" s="14" t="n">
        <v>123</v>
      </c>
      <c r="H963" s="14" t="s">
        <v>62</v>
      </c>
      <c r="I963" s="14" t="n">
        <v>0.89</v>
      </c>
      <c r="J963" s="14" t="n">
        <v>16</v>
      </c>
      <c r="K963" s="14" t="s">
        <v>59</v>
      </c>
      <c r="L963" s="14" t="n">
        <v>2015</v>
      </c>
      <c r="M963" s="14" t="n">
        <v>6.86066367144829</v>
      </c>
      <c r="N963" s="14" t="n">
        <v>2.99623214859564</v>
      </c>
      <c r="P963" s="14" t="n">
        <f aca="false">D963</f>
        <v>20</v>
      </c>
      <c r="Q963" s="14" t="n">
        <f aca="false">G963</f>
        <v>123</v>
      </c>
      <c r="R963" s="14" t="n">
        <f aca="false">J963</f>
        <v>16</v>
      </c>
      <c r="S963" s="14" t="n">
        <f aca="false">IF($L963=2012,1,0)</f>
        <v>0</v>
      </c>
      <c r="T963" s="14" t="n">
        <f aca="false">IF($L963=2013,1,0)</f>
        <v>0</v>
      </c>
      <c r="U963" s="14" t="n">
        <f aca="false">IF($L963=2014,1,0)</f>
        <v>0</v>
      </c>
      <c r="V963" s="14" t="n">
        <f aca="false">IF($L963=2015,1,0)</f>
        <v>1</v>
      </c>
      <c r="W963" s="14" t="n">
        <f aca="false">IF($L963=2016,1,0)</f>
        <v>0</v>
      </c>
      <c r="X963" s="14" t="n">
        <f aca="false">IF($L963=2017,1,0)</f>
        <v>0</v>
      </c>
      <c r="Y963" s="14" t="n">
        <f aca="false">IF($H963="Beginner Level",1,0)</f>
        <v>0</v>
      </c>
      <c r="Z963" s="14" t="n">
        <f aca="false">IF($H963="Expert Level",1,0)</f>
        <v>0</v>
      </c>
      <c r="AA963" s="14" t="n">
        <f aca="false">IF($H963="Intermediate Level",1,0)</f>
        <v>0</v>
      </c>
      <c r="AC963" s="14" t="n">
        <f aca="false">N963</f>
        <v>2.99623214859564</v>
      </c>
      <c r="AD963" s="14" t="n">
        <f aca="false">G963</f>
        <v>123</v>
      </c>
      <c r="AE963" s="14" t="n">
        <f aca="false">J963</f>
        <v>16</v>
      </c>
      <c r="AF963" s="14" t="n">
        <f aca="false">IF($L963=2012,1,0)</f>
        <v>0</v>
      </c>
      <c r="AG963" s="14" t="n">
        <f aca="false">IF($L963=2013,1,0)</f>
        <v>0</v>
      </c>
      <c r="AH963" s="14" t="n">
        <f aca="false">IF($L963=2014,1,0)</f>
        <v>0</v>
      </c>
      <c r="AI963" s="14" t="n">
        <f aca="false">IF($L963=2015,1,0)</f>
        <v>1</v>
      </c>
      <c r="AJ963" s="14" t="n">
        <f aca="false">IF($L963=2016,1,0)</f>
        <v>0</v>
      </c>
      <c r="AK963" s="14" t="n">
        <f aca="false">IF($L963=2017,1,0)</f>
        <v>0</v>
      </c>
      <c r="AL963" s="14" t="n">
        <f aca="false">IF($H963="Beginner Level",1,0)</f>
        <v>0</v>
      </c>
      <c r="AM963" s="14" t="n">
        <f aca="false">IF($H963="Expert Level",1,0)</f>
        <v>0</v>
      </c>
      <c r="AN963" s="14" t="n">
        <f aca="false">IF($H963="Intermediate Level",1,0)</f>
        <v>0</v>
      </c>
    </row>
    <row r="964" customFormat="false" ht="57.45" hidden="false" customHeight="false" outlineLevel="0" collapsed="false">
      <c r="A964" s="14" t="n">
        <v>1134390</v>
      </c>
      <c r="B964" s="14" t="s">
        <v>1969</v>
      </c>
      <c r="C964" s="14" t="s">
        <v>1970</v>
      </c>
      <c r="D964" s="14" t="n">
        <v>200</v>
      </c>
      <c r="E964" s="14" t="n">
        <v>952</v>
      </c>
      <c r="F964" s="14" t="n">
        <v>121</v>
      </c>
      <c r="G964" s="14" t="n">
        <v>75</v>
      </c>
      <c r="H964" s="14" t="s">
        <v>62</v>
      </c>
      <c r="I964" s="14" t="n">
        <v>0.89</v>
      </c>
      <c r="J964" s="14" t="n">
        <v>12</v>
      </c>
      <c r="K964" s="14" t="s">
        <v>59</v>
      </c>
      <c r="L964" s="14" t="n">
        <v>2017</v>
      </c>
      <c r="M964" s="14" t="n">
        <v>6.85856503479137</v>
      </c>
      <c r="N964" s="14" t="n">
        <v>5.29836736529808</v>
      </c>
      <c r="P964" s="14" t="n">
        <f aca="false">D964</f>
        <v>200</v>
      </c>
      <c r="Q964" s="14" t="n">
        <f aca="false">G964</f>
        <v>75</v>
      </c>
      <c r="R964" s="14" t="n">
        <f aca="false">J964</f>
        <v>12</v>
      </c>
      <c r="S964" s="14" t="n">
        <f aca="false">IF($L964=2012,1,0)</f>
        <v>0</v>
      </c>
      <c r="T964" s="14" t="n">
        <f aca="false">IF($L964=2013,1,0)</f>
        <v>0</v>
      </c>
      <c r="U964" s="14" t="n">
        <f aca="false">IF($L964=2014,1,0)</f>
        <v>0</v>
      </c>
      <c r="V964" s="14" t="n">
        <f aca="false">IF($L964=2015,1,0)</f>
        <v>0</v>
      </c>
      <c r="W964" s="14" t="n">
        <f aca="false">IF($L964=2016,1,0)</f>
        <v>0</v>
      </c>
      <c r="X964" s="14" t="n">
        <f aca="false">IF($L964=2017,1,0)</f>
        <v>1</v>
      </c>
      <c r="Y964" s="14" t="n">
        <f aca="false">IF($H964="Beginner Level",1,0)</f>
        <v>0</v>
      </c>
      <c r="Z964" s="14" t="n">
        <f aca="false">IF($H964="Expert Level",1,0)</f>
        <v>0</v>
      </c>
      <c r="AA964" s="14" t="n">
        <f aca="false">IF($H964="Intermediate Level",1,0)</f>
        <v>0</v>
      </c>
      <c r="AC964" s="14" t="n">
        <f aca="false">N964</f>
        <v>5.29836736529808</v>
      </c>
      <c r="AD964" s="14" t="n">
        <f aca="false">G964</f>
        <v>75</v>
      </c>
      <c r="AE964" s="14" t="n">
        <f aca="false">J964</f>
        <v>12</v>
      </c>
      <c r="AF964" s="14" t="n">
        <f aca="false">IF($L964=2012,1,0)</f>
        <v>0</v>
      </c>
      <c r="AG964" s="14" t="n">
        <f aca="false">IF($L964=2013,1,0)</f>
        <v>0</v>
      </c>
      <c r="AH964" s="14" t="n">
        <f aca="false">IF($L964=2014,1,0)</f>
        <v>0</v>
      </c>
      <c r="AI964" s="14" t="n">
        <f aca="false">IF($L964=2015,1,0)</f>
        <v>0</v>
      </c>
      <c r="AJ964" s="14" t="n">
        <f aca="false">IF($L964=2016,1,0)</f>
        <v>0</v>
      </c>
      <c r="AK964" s="14" t="n">
        <f aca="false">IF($L964=2017,1,0)</f>
        <v>1</v>
      </c>
      <c r="AL964" s="14" t="n">
        <f aca="false">IF($H964="Beginner Level",1,0)</f>
        <v>0</v>
      </c>
      <c r="AM964" s="14" t="n">
        <f aca="false">IF($H964="Expert Level",1,0)</f>
        <v>0</v>
      </c>
      <c r="AN964" s="14" t="n">
        <f aca="false">IF($H964="Intermediate Level",1,0)</f>
        <v>0</v>
      </c>
    </row>
    <row r="965" customFormat="false" ht="91" hidden="false" customHeight="false" outlineLevel="0" collapsed="false">
      <c r="A965" s="14" t="n">
        <v>1155262</v>
      </c>
      <c r="B965" s="14" t="s">
        <v>1971</v>
      </c>
      <c r="C965" s="14" t="s">
        <v>1972</v>
      </c>
      <c r="D965" s="14" t="n">
        <v>195</v>
      </c>
      <c r="E965" s="14" t="n">
        <v>949</v>
      </c>
      <c r="F965" s="14" t="n">
        <v>129</v>
      </c>
      <c r="G965" s="14" t="n">
        <v>89</v>
      </c>
      <c r="H965" s="14" t="s">
        <v>62</v>
      </c>
      <c r="I965" s="14" t="n">
        <v>0.89</v>
      </c>
      <c r="J965" s="14" t="n">
        <v>20.5</v>
      </c>
      <c r="K965" s="14" t="s">
        <v>59</v>
      </c>
      <c r="L965" s="14" t="n">
        <v>2017</v>
      </c>
      <c r="M965" s="14" t="n">
        <v>6.85540879860993</v>
      </c>
      <c r="N965" s="14" t="n">
        <v>5.27305083930015</v>
      </c>
      <c r="P965" s="14" t="n">
        <f aca="false">D965</f>
        <v>195</v>
      </c>
      <c r="Q965" s="14" t="n">
        <f aca="false">G965</f>
        <v>89</v>
      </c>
      <c r="R965" s="14" t="n">
        <f aca="false">J965</f>
        <v>20.5</v>
      </c>
      <c r="S965" s="14" t="n">
        <f aca="false">IF($L965=2012,1,0)</f>
        <v>0</v>
      </c>
      <c r="T965" s="14" t="n">
        <f aca="false">IF($L965=2013,1,0)</f>
        <v>0</v>
      </c>
      <c r="U965" s="14" t="n">
        <f aca="false">IF($L965=2014,1,0)</f>
        <v>0</v>
      </c>
      <c r="V965" s="14" t="n">
        <f aca="false">IF($L965=2015,1,0)</f>
        <v>0</v>
      </c>
      <c r="W965" s="14" t="n">
        <f aca="false">IF($L965=2016,1,0)</f>
        <v>0</v>
      </c>
      <c r="X965" s="14" t="n">
        <f aca="false">IF($L965=2017,1,0)</f>
        <v>1</v>
      </c>
      <c r="Y965" s="14" t="n">
        <f aca="false">IF($H965="Beginner Level",1,0)</f>
        <v>0</v>
      </c>
      <c r="Z965" s="14" t="n">
        <f aca="false">IF($H965="Expert Level",1,0)</f>
        <v>0</v>
      </c>
      <c r="AA965" s="14" t="n">
        <f aca="false">IF($H965="Intermediate Level",1,0)</f>
        <v>0</v>
      </c>
      <c r="AC965" s="14" t="n">
        <f aca="false">N965</f>
        <v>5.27305083930015</v>
      </c>
      <c r="AD965" s="14" t="n">
        <f aca="false">G965</f>
        <v>89</v>
      </c>
      <c r="AE965" s="14" t="n">
        <f aca="false">J965</f>
        <v>20.5</v>
      </c>
      <c r="AF965" s="14" t="n">
        <f aca="false">IF($L965=2012,1,0)</f>
        <v>0</v>
      </c>
      <c r="AG965" s="14" t="n">
        <f aca="false">IF($L965=2013,1,0)</f>
        <v>0</v>
      </c>
      <c r="AH965" s="14" t="n">
        <f aca="false">IF($L965=2014,1,0)</f>
        <v>0</v>
      </c>
      <c r="AI965" s="14" t="n">
        <f aca="false">IF($L965=2015,1,0)</f>
        <v>0</v>
      </c>
      <c r="AJ965" s="14" t="n">
        <f aca="false">IF($L965=2016,1,0)</f>
        <v>0</v>
      </c>
      <c r="AK965" s="14" t="n">
        <f aca="false">IF($L965=2017,1,0)</f>
        <v>1</v>
      </c>
      <c r="AL965" s="14" t="n">
        <f aca="false">IF($H965="Beginner Level",1,0)</f>
        <v>0</v>
      </c>
      <c r="AM965" s="14" t="n">
        <f aca="false">IF($H965="Expert Level",1,0)</f>
        <v>0</v>
      </c>
      <c r="AN965" s="14" t="n">
        <f aca="false">IF($H965="Intermediate Level",1,0)</f>
        <v>0</v>
      </c>
    </row>
    <row r="966" customFormat="false" ht="79.85" hidden="false" customHeight="false" outlineLevel="0" collapsed="false">
      <c r="A966" s="14" t="n">
        <v>723878</v>
      </c>
      <c r="B966" s="14" t="s">
        <v>1973</v>
      </c>
      <c r="C966" s="14" t="s">
        <v>1974</v>
      </c>
      <c r="D966" s="14" t="n">
        <v>30</v>
      </c>
      <c r="E966" s="14" t="n">
        <v>948</v>
      </c>
      <c r="F966" s="14" t="n">
        <v>193</v>
      </c>
      <c r="G966" s="14" t="n">
        <v>48</v>
      </c>
      <c r="H966" s="14" t="s">
        <v>62</v>
      </c>
      <c r="I966" s="14" t="n">
        <v>0.89</v>
      </c>
      <c r="J966" s="14" t="n">
        <v>3.5</v>
      </c>
      <c r="K966" s="14" t="s">
        <v>59</v>
      </c>
      <c r="L966" s="14" t="n">
        <v>2016</v>
      </c>
      <c r="M966" s="14" t="n">
        <v>6.85435450225502</v>
      </c>
      <c r="N966" s="14" t="n">
        <v>3.40153065945228</v>
      </c>
      <c r="P966" s="14" t="n">
        <f aca="false">D966</f>
        <v>30</v>
      </c>
      <c r="Q966" s="14" t="n">
        <f aca="false">G966</f>
        <v>48</v>
      </c>
      <c r="R966" s="14" t="n">
        <f aca="false">J966</f>
        <v>3.5</v>
      </c>
      <c r="S966" s="14" t="n">
        <f aca="false">IF($L966=2012,1,0)</f>
        <v>0</v>
      </c>
      <c r="T966" s="14" t="n">
        <f aca="false">IF($L966=2013,1,0)</f>
        <v>0</v>
      </c>
      <c r="U966" s="14" t="n">
        <f aca="false">IF($L966=2014,1,0)</f>
        <v>0</v>
      </c>
      <c r="V966" s="14" t="n">
        <f aca="false">IF($L966=2015,1,0)</f>
        <v>0</v>
      </c>
      <c r="W966" s="14" t="n">
        <f aca="false">IF($L966=2016,1,0)</f>
        <v>1</v>
      </c>
      <c r="X966" s="14" t="n">
        <f aca="false">IF($L966=2017,1,0)</f>
        <v>0</v>
      </c>
      <c r="Y966" s="14" t="n">
        <f aca="false">IF($H966="Beginner Level",1,0)</f>
        <v>0</v>
      </c>
      <c r="Z966" s="14" t="n">
        <f aca="false">IF($H966="Expert Level",1,0)</f>
        <v>0</v>
      </c>
      <c r="AA966" s="14" t="n">
        <f aca="false">IF($H966="Intermediate Level",1,0)</f>
        <v>0</v>
      </c>
      <c r="AC966" s="14" t="n">
        <f aca="false">N966</f>
        <v>3.40153065945228</v>
      </c>
      <c r="AD966" s="14" t="n">
        <f aca="false">G966</f>
        <v>48</v>
      </c>
      <c r="AE966" s="14" t="n">
        <f aca="false">J966</f>
        <v>3.5</v>
      </c>
      <c r="AF966" s="14" t="n">
        <f aca="false">IF($L966=2012,1,0)</f>
        <v>0</v>
      </c>
      <c r="AG966" s="14" t="n">
        <f aca="false">IF($L966=2013,1,0)</f>
        <v>0</v>
      </c>
      <c r="AH966" s="14" t="n">
        <f aca="false">IF($L966=2014,1,0)</f>
        <v>0</v>
      </c>
      <c r="AI966" s="14" t="n">
        <f aca="false">IF($L966=2015,1,0)</f>
        <v>0</v>
      </c>
      <c r="AJ966" s="14" t="n">
        <f aca="false">IF($L966=2016,1,0)</f>
        <v>1</v>
      </c>
      <c r="AK966" s="14" t="n">
        <f aca="false">IF($L966=2017,1,0)</f>
        <v>0</v>
      </c>
      <c r="AL966" s="14" t="n">
        <f aca="false">IF($H966="Beginner Level",1,0)</f>
        <v>0</v>
      </c>
      <c r="AM966" s="14" t="n">
        <f aca="false">IF($H966="Expert Level",1,0)</f>
        <v>0</v>
      </c>
      <c r="AN966" s="14" t="n">
        <f aca="false">IF($H966="Intermediate Level",1,0)</f>
        <v>0</v>
      </c>
    </row>
    <row r="967" customFormat="false" ht="79.85" hidden="false" customHeight="false" outlineLevel="0" collapsed="false">
      <c r="A967" s="14" t="n">
        <v>603408</v>
      </c>
      <c r="B967" s="14" t="s">
        <v>1975</v>
      </c>
      <c r="C967" s="14" t="s">
        <v>1976</v>
      </c>
      <c r="D967" s="14" t="n">
        <v>20</v>
      </c>
      <c r="E967" s="14" t="n">
        <v>948</v>
      </c>
      <c r="F967" s="14" t="n">
        <v>48</v>
      </c>
      <c r="G967" s="14" t="n">
        <v>8</v>
      </c>
      <c r="H967" s="14" t="s">
        <v>62</v>
      </c>
      <c r="I967" s="14" t="n">
        <v>0.89</v>
      </c>
      <c r="J967" s="14" t="n">
        <v>0.6</v>
      </c>
      <c r="K967" s="14" t="s">
        <v>59</v>
      </c>
      <c r="L967" s="14" t="n">
        <v>2015</v>
      </c>
      <c r="M967" s="14" t="n">
        <v>6.85435450225502</v>
      </c>
      <c r="N967" s="14" t="n">
        <v>2.99623214859564</v>
      </c>
      <c r="P967" s="14" t="n">
        <f aca="false">D967</f>
        <v>20</v>
      </c>
      <c r="Q967" s="14" t="n">
        <f aca="false">G967</f>
        <v>8</v>
      </c>
      <c r="R967" s="14" t="n">
        <f aca="false">J967</f>
        <v>0.6</v>
      </c>
      <c r="S967" s="14" t="n">
        <f aca="false">IF($L967=2012,1,0)</f>
        <v>0</v>
      </c>
      <c r="T967" s="14" t="n">
        <f aca="false">IF($L967=2013,1,0)</f>
        <v>0</v>
      </c>
      <c r="U967" s="14" t="n">
        <f aca="false">IF($L967=2014,1,0)</f>
        <v>0</v>
      </c>
      <c r="V967" s="14" t="n">
        <f aca="false">IF($L967=2015,1,0)</f>
        <v>1</v>
      </c>
      <c r="W967" s="14" t="n">
        <f aca="false">IF($L967=2016,1,0)</f>
        <v>0</v>
      </c>
      <c r="X967" s="14" t="n">
        <f aca="false">IF($L967=2017,1,0)</f>
        <v>0</v>
      </c>
      <c r="Y967" s="14" t="n">
        <f aca="false">IF($H967="Beginner Level",1,0)</f>
        <v>0</v>
      </c>
      <c r="Z967" s="14" t="n">
        <f aca="false">IF($H967="Expert Level",1,0)</f>
        <v>0</v>
      </c>
      <c r="AA967" s="14" t="n">
        <f aca="false">IF($H967="Intermediate Level",1,0)</f>
        <v>0</v>
      </c>
      <c r="AC967" s="14" t="n">
        <f aca="false">N967</f>
        <v>2.99623214859564</v>
      </c>
      <c r="AD967" s="14" t="n">
        <f aca="false">G967</f>
        <v>8</v>
      </c>
      <c r="AE967" s="14" t="n">
        <f aca="false">J967</f>
        <v>0.6</v>
      </c>
      <c r="AF967" s="14" t="n">
        <f aca="false">IF($L967=2012,1,0)</f>
        <v>0</v>
      </c>
      <c r="AG967" s="14" t="n">
        <f aca="false">IF($L967=2013,1,0)</f>
        <v>0</v>
      </c>
      <c r="AH967" s="14" t="n">
        <f aca="false">IF($L967=2014,1,0)</f>
        <v>0</v>
      </c>
      <c r="AI967" s="14" t="n">
        <f aca="false">IF($L967=2015,1,0)</f>
        <v>1</v>
      </c>
      <c r="AJ967" s="14" t="n">
        <f aca="false">IF($L967=2016,1,0)</f>
        <v>0</v>
      </c>
      <c r="AK967" s="14" t="n">
        <f aca="false">IF($L967=2017,1,0)</f>
        <v>0</v>
      </c>
      <c r="AL967" s="14" t="n">
        <f aca="false">IF($H967="Beginner Level",1,0)</f>
        <v>0</v>
      </c>
      <c r="AM967" s="14" t="n">
        <f aca="false">IF($H967="Expert Level",1,0)</f>
        <v>0</v>
      </c>
      <c r="AN967" s="14" t="n">
        <f aca="false">IF($H967="Intermediate Level",1,0)</f>
        <v>0</v>
      </c>
    </row>
    <row r="968" customFormat="false" ht="79.85" hidden="false" customHeight="false" outlineLevel="0" collapsed="false">
      <c r="A968" s="14" t="n">
        <v>1016388</v>
      </c>
      <c r="B968" s="14" t="s">
        <v>1977</v>
      </c>
      <c r="C968" s="14" t="s">
        <v>1978</v>
      </c>
      <c r="D968" s="14" t="n">
        <v>50</v>
      </c>
      <c r="E968" s="14" t="n">
        <v>947</v>
      </c>
      <c r="F968" s="14" t="n">
        <v>108</v>
      </c>
      <c r="G968" s="14" t="n">
        <v>56</v>
      </c>
      <c r="H968" s="14" t="s">
        <v>71</v>
      </c>
      <c r="I968" s="14" t="n">
        <v>0.89</v>
      </c>
      <c r="J968" s="14" t="n">
        <v>8</v>
      </c>
      <c r="K968" s="14" t="s">
        <v>59</v>
      </c>
      <c r="L968" s="14" t="n">
        <v>2016</v>
      </c>
      <c r="M968" s="14" t="n">
        <v>6.85329909318608</v>
      </c>
      <c r="N968" s="14" t="n">
        <v>3.91222298543081</v>
      </c>
      <c r="P968" s="14" t="n">
        <f aca="false">D968</f>
        <v>50</v>
      </c>
      <c r="Q968" s="14" t="n">
        <f aca="false">G968</f>
        <v>56</v>
      </c>
      <c r="R968" s="14" t="n">
        <f aca="false">J968</f>
        <v>8</v>
      </c>
      <c r="S968" s="14" t="n">
        <f aca="false">IF($L968=2012,1,0)</f>
        <v>0</v>
      </c>
      <c r="T968" s="14" t="n">
        <f aca="false">IF($L968=2013,1,0)</f>
        <v>0</v>
      </c>
      <c r="U968" s="14" t="n">
        <f aca="false">IF($L968=2014,1,0)</f>
        <v>0</v>
      </c>
      <c r="V968" s="14" t="n">
        <f aca="false">IF($L968=2015,1,0)</f>
        <v>0</v>
      </c>
      <c r="W968" s="14" t="n">
        <f aca="false">IF($L968=2016,1,0)</f>
        <v>1</v>
      </c>
      <c r="X968" s="14" t="n">
        <f aca="false">IF($L968=2017,1,0)</f>
        <v>0</v>
      </c>
      <c r="Y968" s="14" t="n">
        <f aca="false">IF($H968="Beginner Level",1,0)</f>
        <v>0</v>
      </c>
      <c r="Z968" s="14" t="n">
        <f aca="false">IF($H968="Expert Level",1,0)</f>
        <v>0</v>
      </c>
      <c r="AA968" s="14" t="n">
        <f aca="false">IF($H968="Intermediate Level",1,0)</f>
        <v>1</v>
      </c>
      <c r="AC968" s="14" t="n">
        <f aca="false">N968</f>
        <v>3.91222298543081</v>
      </c>
      <c r="AD968" s="14" t="n">
        <f aca="false">G968</f>
        <v>56</v>
      </c>
      <c r="AE968" s="14" t="n">
        <f aca="false">J968</f>
        <v>8</v>
      </c>
      <c r="AF968" s="14" t="n">
        <f aca="false">IF($L968=2012,1,0)</f>
        <v>0</v>
      </c>
      <c r="AG968" s="14" t="n">
        <f aca="false">IF($L968=2013,1,0)</f>
        <v>0</v>
      </c>
      <c r="AH968" s="14" t="n">
        <f aca="false">IF($L968=2014,1,0)</f>
        <v>0</v>
      </c>
      <c r="AI968" s="14" t="n">
        <f aca="false">IF($L968=2015,1,0)</f>
        <v>0</v>
      </c>
      <c r="AJ968" s="14" t="n">
        <f aca="false">IF($L968=2016,1,0)</f>
        <v>1</v>
      </c>
      <c r="AK968" s="14" t="n">
        <f aca="false">IF($L968=2017,1,0)</f>
        <v>0</v>
      </c>
      <c r="AL968" s="14" t="n">
        <f aca="false">IF($H968="Beginner Level",1,0)</f>
        <v>0</v>
      </c>
      <c r="AM968" s="14" t="n">
        <f aca="false">IF($H968="Expert Level",1,0)</f>
        <v>0</v>
      </c>
      <c r="AN968" s="14" t="n">
        <f aca="false">IF($H968="Intermediate Level",1,0)</f>
        <v>1</v>
      </c>
    </row>
    <row r="969" customFormat="false" ht="46.25" hidden="false" customHeight="false" outlineLevel="0" collapsed="false">
      <c r="A969" s="14" t="n">
        <v>939536</v>
      </c>
      <c r="B969" s="14" t="s">
        <v>1979</v>
      </c>
      <c r="C969" s="14" t="s">
        <v>1980</v>
      </c>
      <c r="D969" s="14" t="n">
        <v>20</v>
      </c>
      <c r="E969" s="14" t="n">
        <v>945</v>
      </c>
      <c r="F969" s="14" t="n">
        <v>17</v>
      </c>
      <c r="G969" s="14" t="n">
        <v>11</v>
      </c>
      <c r="H969" s="14" t="s">
        <v>71</v>
      </c>
      <c r="I969" s="14" t="n">
        <v>0.89</v>
      </c>
      <c r="J969" s="14" t="n">
        <v>0.55</v>
      </c>
      <c r="K969" s="14" t="s">
        <v>59</v>
      </c>
      <c r="L969" s="14" t="n">
        <v>2016</v>
      </c>
      <c r="M969" s="14" t="n">
        <v>6.85118492749374</v>
      </c>
      <c r="N969" s="14" t="n">
        <v>2.99623214859564</v>
      </c>
      <c r="P969" s="14" t="n">
        <f aca="false">D969</f>
        <v>20</v>
      </c>
      <c r="Q969" s="14" t="n">
        <f aca="false">G969</f>
        <v>11</v>
      </c>
      <c r="R969" s="14" t="n">
        <f aca="false">J969</f>
        <v>0.55</v>
      </c>
      <c r="S969" s="14" t="n">
        <f aca="false">IF($L969=2012,1,0)</f>
        <v>0</v>
      </c>
      <c r="T969" s="14" t="n">
        <f aca="false">IF($L969=2013,1,0)</f>
        <v>0</v>
      </c>
      <c r="U969" s="14" t="n">
        <f aca="false">IF($L969=2014,1,0)</f>
        <v>0</v>
      </c>
      <c r="V969" s="14" t="n">
        <f aca="false">IF($L969=2015,1,0)</f>
        <v>0</v>
      </c>
      <c r="W969" s="14" t="n">
        <f aca="false">IF($L969=2016,1,0)</f>
        <v>1</v>
      </c>
      <c r="X969" s="14" t="n">
        <f aca="false">IF($L969=2017,1,0)</f>
        <v>0</v>
      </c>
      <c r="Y969" s="14" t="n">
        <f aca="false">IF($H969="Beginner Level",1,0)</f>
        <v>0</v>
      </c>
      <c r="Z969" s="14" t="n">
        <f aca="false">IF($H969="Expert Level",1,0)</f>
        <v>0</v>
      </c>
      <c r="AA969" s="14" t="n">
        <f aca="false">IF($H969="Intermediate Level",1,0)</f>
        <v>1</v>
      </c>
      <c r="AC969" s="14" t="n">
        <f aca="false">N969</f>
        <v>2.99623214859564</v>
      </c>
      <c r="AD969" s="14" t="n">
        <f aca="false">G969</f>
        <v>11</v>
      </c>
      <c r="AE969" s="14" t="n">
        <f aca="false">J969</f>
        <v>0.55</v>
      </c>
      <c r="AF969" s="14" t="n">
        <f aca="false">IF($L969=2012,1,0)</f>
        <v>0</v>
      </c>
      <c r="AG969" s="14" t="n">
        <f aca="false">IF($L969=2013,1,0)</f>
        <v>0</v>
      </c>
      <c r="AH969" s="14" t="n">
        <f aca="false">IF($L969=2014,1,0)</f>
        <v>0</v>
      </c>
      <c r="AI969" s="14" t="n">
        <f aca="false">IF($L969=2015,1,0)</f>
        <v>0</v>
      </c>
      <c r="AJ969" s="14" t="n">
        <f aca="false">IF($L969=2016,1,0)</f>
        <v>1</v>
      </c>
      <c r="AK969" s="14" t="n">
        <f aca="false">IF($L969=2017,1,0)</f>
        <v>0</v>
      </c>
      <c r="AL969" s="14" t="n">
        <f aca="false">IF($H969="Beginner Level",1,0)</f>
        <v>0</v>
      </c>
      <c r="AM969" s="14" t="n">
        <f aca="false">IF($H969="Expert Level",1,0)</f>
        <v>0</v>
      </c>
      <c r="AN969" s="14" t="n">
        <f aca="false">IF($H969="Intermediate Level",1,0)</f>
        <v>1</v>
      </c>
    </row>
    <row r="970" customFormat="false" ht="57.45" hidden="false" customHeight="false" outlineLevel="0" collapsed="false">
      <c r="A970" s="14" t="n">
        <v>1115064</v>
      </c>
      <c r="B970" s="14" t="s">
        <v>1981</v>
      </c>
      <c r="C970" s="14" t="s">
        <v>1982</v>
      </c>
      <c r="D970" s="14" t="n">
        <v>45</v>
      </c>
      <c r="E970" s="14" t="n">
        <v>944</v>
      </c>
      <c r="F970" s="14" t="n">
        <v>1</v>
      </c>
      <c r="G970" s="14" t="n">
        <v>10</v>
      </c>
      <c r="H970" s="14" t="s">
        <v>71</v>
      </c>
      <c r="I970" s="14" t="n">
        <v>0.89</v>
      </c>
      <c r="J970" s="14" t="n">
        <v>1</v>
      </c>
      <c r="K970" s="14" t="s">
        <v>59</v>
      </c>
      <c r="L970" s="14" t="n">
        <v>2017</v>
      </c>
      <c r="M970" s="14" t="n">
        <v>6.8501261661455</v>
      </c>
      <c r="N970" s="14" t="n">
        <v>3.80688468730484</v>
      </c>
      <c r="P970" s="14" t="n">
        <f aca="false">D970</f>
        <v>45</v>
      </c>
      <c r="Q970" s="14" t="n">
        <f aca="false">G970</f>
        <v>10</v>
      </c>
      <c r="R970" s="14" t="n">
        <f aca="false">J970</f>
        <v>1</v>
      </c>
      <c r="S970" s="14" t="n">
        <f aca="false">IF($L970=2012,1,0)</f>
        <v>0</v>
      </c>
      <c r="T970" s="14" t="n">
        <f aca="false">IF($L970=2013,1,0)</f>
        <v>0</v>
      </c>
      <c r="U970" s="14" t="n">
        <f aca="false">IF($L970=2014,1,0)</f>
        <v>0</v>
      </c>
      <c r="V970" s="14" t="n">
        <f aca="false">IF($L970=2015,1,0)</f>
        <v>0</v>
      </c>
      <c r="W970" s="14" t="n">
        <f aca="false">IF($L970=2016,1,0)</f>
        <v>0</v>
      </c>
      <c r="X970" s="14" t="n">
        <f aca="false">IF($L970=2017,1,0)</f>
        <v>1</v>
      </c>
      <c r="Y970" s="14" t="n">
        <f aca="false">IF($H970="Beginner Level",1,0)</f>
        <v>0</v>
      </c>
      <c r="Z970" s="14" t="n">
        <f aca="false">IF($H970="Expert Level",1,0)</f>
        <v>0</v>
      </c>
      <c r="AA970" s="14" t="n">
        <f aca="false">IF($H970="Intermediate Level",1,0)</f>
        <v>1</v>
      </c>
      <c r="AC970" s="14" t="n">
        <f aca="false">N970</f>
        <v>3.80688468730484</v>
      </c>
      <c r="AD970" s="14" t="n">
        <f aca="false">G970</f>
        <v>10</v>
      </c>
      <c r="AE970" s="14" t="n">
        <f aca="false">J970</f>
        <v>1</v>
      </c>
      <c r="AF970" s="14" t="n">
        <f aca="false">IF($L970=2012,1,0)</f>
        <v>0</v>
      </c>
      <c r="AG970" s="14" t="n">
        <f aca="false">IF($L970=2013,1,0)</f>
        <v>0</v>
      </c>
      <c r="AH970" s="14" t="n">
        <f aca="false">IF($L970=2014,1,0)</f>
        <v>0</v>
      </c>
      <c r="AI970" s="14" t="n">
        <f aca="false">IF($L970=2015,1,0)</f>
        <v>0</v>
      </c>
      <c r="AJ970" s="14" t="n">
        <f aca="false">IF($L970=2016,1,0)</f>
        <v>0</v>
      </c>
      <c r="AK970" s="14" t="n">
        <f aca="false">IF($L970=2017,1,0)</f>
        <v>1</v>
      </c>
      <c r="AL970" s="14" t="n">
        <f aca="false">IF($H970="Beginner Level",1,0)</f>
        <v>0</v>
      </c>
      <c r="AM970" s="14" t="n">
        <f aca="false">IF($H970="Expert Level",1,0)</f>
        <v>0</v>
      </c>
      <c r="AN970" s="14" t="n">
        <f aca="false">IF($H970="Intermediate Level",1,0)</f>
        <v>1</v>
      </c>
    </row>
    <row r="971" customFormat="false" ht="57.45" hidden="false" customHeight="false" outlineLevel="0" collapsed="false">
      <c r="A971" s="14" t="n">
        <v>736250</v>
      </c>
      <c r="B971" s="14" t="s">
        <v>1983</v>
      </c>
      <c r="C971" s="14" t="s">
        <v>1984</v>
      </c>
      <c r="D971" s="14" t="n">
        <v>75</v>
      </c>
      <c r="E971" s="14" t="n">
        <v>942</v>
      </c>
      <c r="F971" s="14" t="n">
        <v>161</v>
      </c>
      <c r="G971" s="14" t="n">
        <v>64</v>
      </c>
      <c r="H971" s="14" t="s">
        <v>52</v>
      </c>
      <c r="I971" s="14" t="n">
        <v>0.89</v>
      </c>
      <c r="J971" s="14" t="n">
        <v>4.5</v>
      </c>
      <c r="K971" s="14" t="s">
        <v>59</v>
      </c>
      <c r="L971" s="14" t="n">
        <v>2016</v>
      </c>
      <c r="M971" s="14" t="n">
        <v>6.84800527457636</v>
      </c>
      <c r="N971" s="14" t="n">
        <v>4.31762143798155</v>
      </c>
      <c r="P971" s="14" t="n">
        <f aca="false">D971</f>
        <v>75</v>
      </c>
      <c r="Q971" s="14" t="n">
        <f aca="false">G971</f>
        <v>64</v>
      </c>
      <c r="R971" s="14" t="n">
        <f aca="false">J971</f>
        <v>4.5</v>
      </c>
      <c r="S971" s="14" t="n">
        <f aca="false">IF($L971=2012,1,0)</f>
        <v>0</v>
      </c>
      <c r="T971" s="14" t="n">
        <f aca="false">IF($L971=2013,1,0)</f>
        <v>0</v>
      </c>
      <c r="U971" s="14" t="n">
        <f aca="false">IF($L971=2014,1,0)</f>
        <v>0</v>
      </c>
      <c r="V971" s="14" t="n">
        <f aca="false">IF($L971=2015,1,0)</f>
        <v>0</v>
      </c>
      <c r="W971" s="14" t="n">
        <f aca="false">IF($L971=2016,1,0)</f>
        <v>1</v>
      </c>
      <c r="X971" s="14" t="n">
        <f aca="false">IF($L971=2017,1,0)</f>
        <v>0</v>
      </c>
      <c r="Y971" s="14" t="n">
        <f aca="false">IF($H971="Beginner Level",1,0)</f>
        <v>1</v>
      </c>
      <c r="Z971" s="14" t="n">
        <f aca="false">IF($H971="Expert Level",1,0)</f>
        <v>0</v>
      </c>
      <c r="AA971" s="14" t="n">
        <f aca="false">IF($H971="Intermediate Level",1,0)</f>
        <v>0</v>
      </c>
      <c r="AC971" s="14" t="n">
        <f aca="false">N971</f>
        <v>4.31762143798155</v>
      </c>
      <c r="AD971" s="14" t="n">
        <f aca="false">G971</f>
        <v>64</v>
      </c>
      <c r="AE971" s="14" t="n">
        <f aca="false">J971</f>
        <v>4.5</v>
      </c>
      <c r="AF971" s="14" t="n">
        <f aca="false">IF($L971=2012,1,0)</f>
        <v>0</v>
      </c>
      <c r="AG971" s="14" t="n">
        <f aca="false">IF($L971=2013,1,0)</f>
        <v>0</v>
      </c>
      <c r="AH971" s="14" t="n">
        <f aca="false">IF($L971=2014,1,0)</f>
        <v>0</v>
      </c>
      <c r="AI971" s="14" t="n">
        <f aca="false">IF($L971=2015,1,0)</f>
        <v>0</v>
      </c>
      <c r="AJ971" s="14" t="n">
        <f aca="false">IF($L971=2016,1,0)</f>
        <v>1</v>
      </c>
      <c r="AK971" s="14" t="n">
        <f aca="false">IF($L971=2017,1,0)</f>
        <v>0</v>
      </c>
      <c r="AL971" s="14" t="n">
        <f aca="false">IF($H971="Beginner Level",1,0)</f>
        <v>1</v>
      </c>
      <c r="AM971" s="14" t="n">
        <f aca="false">IF($H971="Expert Level",1,0)</f>
        <v>0</v>
      </c>
      <c r="AN971" s="14" t="n">
        <f aca="false">IF($H971="Intermediate Level",1,0)</f>
        <v>0</v>
      </c>
    </row>
    <row r="972" customFormat="false" ht="91" hidden="false" customHeight="false" outlineLevel="0" collapsed="false">
      <c r="A972" s="14" t="n">
        <v>899492</v>
      </c>
      <c r="B972" s="14" t="s">
        <v>1985</v>
      </c>
      <c r="C972" s="14" t="s">
        <v>1986</v>
      </c>
      <c r="D972" s="14" t="n">
        <v>20</v>
      </c>
      <c r="E972" s="14" t="n">
        <v>937</v>
      </c>
      <c r="F972" s="14" t="n">
        <v>4</v>
      </c>
      <c r="G972" s="14" t="n">
        <v>10</v>
      </c>
      <c r="H972" s="14" t="s">
        <v>62</v>
      </c>
      <c r="I972" s="14" t="n">
        <v>0.89</v>
      </c>
      <c r="J972" s="14" t="n">
        <v>1</v>
      </c>
      <c r="K972" s="14" t="s">
        <v>59</v>
      </c>
      <c r="L972" s="14" t="n">
        <v>2016</v>
      </c>
      <c r="M972" s="14" t="n">
        <v>6.84268328223842</v>
      </c>
      <c r="N972" s="14" t="n">
        <v>2.99623214859564</v>
      </c>
      <c r="P972" s="14" t="n">
        <f aca="false">D972</f>
        <v>20</v>
      </c>
      <c r="Q972" s="14" t="n">
        <f aca="false">G972</f>
        <v>10</v>
      </c>
      <c r="R972" s="14" t="n">
        <f aca="false">J972</f>
        <v>1</v>
      </c>
      <c r="S972" s="14" t="n">
        <f aca="false">IF($L972=2012,1,0)</f>
        <v>0</v>
      </c>
      <c r="T972" s="14" t="n">
        <f aca="false">IF($L972=2013,1,0)</f>
        <v>0</v>
      </c>
      <c r="U972" s="14" t="n">
        <f aca="false">IF($L972=2014,1,0)</f>
        <v>0</v>
      </c>
      <c r="V972" s="14" t="n">
        <f aca="false">IF($L972=2015,1,0)</f>
        <v>0</v>
      </c>
      <c r="W972" s="14" t="n">
        <f aca="false">IF($L972=2016,1,0)</f>
        <v>1</v>
      </c>
      <c r="X972" s="14" t="n">
        <f aca="false">IF($L972=2017,1,0)</f>
        <v>0</v>
      </c>
      <c r="Y972" s="14" t="n">
        <f aca="false">IF($H972="Beginner Level",1,0)</f>
        <v>0</v>
      </c>
      <c r="Z972" s="14" t="n">
        <f aca="false">IF($H972="Expert Level",1,0)</f>
        <v>0</v>
      </c>
      <c r="AA972" s="14" t="n">
        <f aca="false">IF($H972="Intermediate Level",1,0)</f>
        <v>0</v>
      </c>
      <c r="AC972" s="14" t="n">
        <f aca="false">N972</f>
        <v>2.99623214859564</v>
      </c>
      <c r="AD972" s="14" t="n">
        <f aca="false">G972</f>
        <v>10</v>
      </c>
      <c r="AE972" s="14" t="n">
        <f aca="false">J972</f>
        <v>1</v>
      </c>
      <c r="AF972" s="14" t="n">
        <f aca="false">IF($L972=2012,1,0)</f>
        <v>0</v>
      </c>
      <c r="AG972" s="14" t="n">
        <f aca="false">IF($L972=2013,1,0)</f>
        <v>0</v>
      </c>
      <c r="AH972" s="14" t="n">
        <f aca="false">IF($L972=2014,1,0)</f>
        <v>0</v>
      </c>
      <c r="AI972" s="14" t="n">
        <f aca="false">IF($L972=2015,1,0)</f>
        <v>0</v>
      </c>
      <c r="AJ972" s="14" t="n">
        <f aca="false">IF($L972=2016,1,0)</f>
        <v>1</v>
      </c>
      <c r="AK972" s="14" t="n">
        <f aca="false">IF($L972=2017,1,0)</f>
        <v>0</v>
      </c>
      <c r="AL972" s="14" t="n">
        <f aca="false">IF($H972="Beginner Level",1,0)</f>
        <v>0</v>
      </c>
      <c r="AM972" s="14" t="n">
        <f aca="false">IF($H972="Expert Level",1,0)</f>
        <v>0</v>
      </c>
      <c r="AN972" s="14" t="n">
        <f aca="false">IF($H972="Intermediate Level",1,0)</f>
        <v>0</v>
      </c>
    </row>
    <row r="973" customFormat="false" ht="57.45" hidden="false" customHeight="false" outlineLevel="0" collapsed="false">
      <c r="A973" s="14" t="n">
        <v>968304</v>
      </c>
      <c r="B973" s="14" t="s">
        <v>1987</v>
      </c>
      <c r="C973" s="14" t="s">
        <v>1988</v>
      </c>
      <c r="D973" s="14" t="n">
        <v>40</v>
      </c>
      <c r="E973" s="14" t="n">
        <v>937</v>
      </c>
      <c r="F973" s="14" t="n">
        <v>2</v>
      </c>
      <c r="G973" s="14" t="n">
        <v>6</v>
      </c>
      <c r="H973" s="14" t="s">
        <v>62</v>
      </c>
      <c r="I973" s="14" t="n">
        <v>0.89</v>
      </c>
      <c r="J973" s="14" t="n">
        <v>0.63333333</v>
      </c>
      <c r="K973" s="14" t="s">
        <v>59</v>
      </c>
      <c r="L973" s="14" t="n">
        <v>2016</v>
      </c>
      <c r="M973" s="14" t="n">
        <v>6.84268328223842</v>
      </c>
      <c r="N973" s="14" t="n">
        <v>3.68912942286914</v>
      </c>
      <c r="P973" s="14" t="n">
        <f aca="false">D973</f>
        <v>40</v>
      </c>
      <c r="Q973" s="14" t="n">
        <f aca="false">G973</f>
        <v>6</v>
      </c>
      <c r="R973" s="14" t="n">
        <f aca="false">J973</f>
        <v>0.63333333</v>
      </c>
      <c r="S973" s="14" t="n">
        <f aca="false">IF($L973=2012,1,0)</f>
        <v>0</v>
      </c>
      <c r="T973" s="14" t="n">
        <f aca="false">IF($L973=2013,1,0)</f>
        <v>0</v>
      </c>
      <c r="U973" s="14" t="n">
        <f aca="false">IF($L973=2014,1,0)</f>
        <v>0</v>
      </c>
      <c r="V973" s="14" t="n">
        <f aca="false">IF($L973=2015,1,0)</f>
        <v>0</v>
      </c>
      <c r="W973" s="14" t="n">
        <f aca="false">IF($L973=2016,1,0)</f>
        <v>1</v>
      </c>
      <c r="X973" s="14" t="n">
        <f aca="false">IF($L973=2017,1,0)</f>
        <v>0</v>
      </c>
      <c r="Y973" s="14" t="n">
        <f aca="false">IF($H973="Beginner Level",1,0)</f>
        <v>0</v>
      </c>
      <c r="Z973" s="14" t="n">
        <f aca="false">IF($H973="Expert Level",1,0)</f>
        <v>0</v>
      </c>
      <c r="AA973" s="14" t="n">
        <f aca="false">IF($H973="Intermediate Level",1,0)</f>
        <v>0</v>
      </c>
      <c r="AC973" s="14" t="n">
        <f aca="false">N973</f>
        <v>3.68912942286914</v>
      </c>
      <c r="AD973" s="14" t="n">
        <f aca="false">G973</f>
        <v>6</v>
      </c>
      <c r="AE973" s="14" t="n">
        <f aca="false">J973</f>
        <v>0.63333333</v>
      </c>
      <c r="AF973" s="14" t="n">
        <f aca="false">IF($L973=2012,1,0)</f>
        <v>0</v>
      </c>
      <c r="AG973" s="14" t="n">
        <f aca="false">IF($L973=2013,1,0)</f>
        <v>0</v>
      </c>
      <c r="AH973" s="14" t="n">
        <f aca="false">IF($L973=2014,1,0)</f>
        <v>0</v>
      </c>
      <c r="AI973" s="14" t="n">
        <f aca="false">IF($L973=2015,1,0)</f>
        <v>0</v>
      </c>
      <c r="AJ973" s="14" t="n">
        <f aca="false">IF($L973=2016,1,0)</f>
        <v>1</v>
      </c>
      <c r="AK973" s="14" t="n">
        <f aca="false">IF($L973=2017,1,0)</f>
        <v>0</v>
      </c>
      <c r="AL973" s="14" t="n">
        <f aca="false">IF($H973="Beginner Level",1,0)</f>
        <v>0</v>
      </c>
      <c r="AM973" s="14" t="n">
        <f aca="false">IF($H973="Expert Level",1,0)</f>
        <v>0</v>
      </c>
      <c r="AN973" s="14" t="n">
        <f aca="false">IF($H973="Intermediate Level",1,0)</f>
        <v>0</v>
      </c>
    </row>
    <row r="974" customFormat="false" ht="46.25" hidden="false" customHeight="false" outlineLevel="0" collapsed="false">
      <c r="A974" s="14" t="n">
        <v>19422</v>
      </c>
      <c r="B974" s="14" t="s">
        <v>1989</v>
      </c>
      <c r="C974" s="14" t="s">
        <v>1990</v>
      </c>
      <c r="D974" s="14" t="n">
        <v>35</v>
      </c>
      <c r="E974" s="14" t="n">
        <v>926</v>
      </c>
      <c r="F974" s="14" t="n">
        <v>102</v>
      </c>
      <c r="G974" s="14" t="n">
        <v>37</v>
      </c>
      <c r="H974" s="14" t="s">
        <v>62</v>
      </c>
      <c r="I974" s="14" t="n">
        <v>0.89</v>
      </c>
      <c r="J974" s="14" t="n">
        <v>2.5</v>
      </c>
      <c r="K974" s="14" t="s">
        <v>59</v>
      </c>
      <c r="L974" s="14" t="n">
        <v>2012</v>
      </c>
      <c r="M974" s="14" t="n">
        <v>6.83087423464618</v>
      </c>
      <c r="N974" s="14" t="n">
        <v>3.55563373496657</v>
      </c>
      <c r="P974" s="14" t="n">
        <f aca="false">D974</f>
        <v>35</v>
      </c>
      <c r="Q974" s="14" t="n">
        <f aca="false">G974</f>
        <v>37</v>
      </c>
      <c r="R974" s="14" t="n">
        <f aca="false">J974</f>
        <v>2.5</v>
      </c>
      <c r="S974" s="14" t="n">
        <f aca="false">IF($L974=2012,1,0)</f>
        <v>1</v>
      </c>
      <c r="T974" s="14" t="n">
        <f aca="false">IF($L974=2013,1,0)</f>
        <v>0</v>
      </c>
      <c r="U974" s="14" t="n">
        <f aca="false">IF($L974=2014,1,0)</f>
        <v>0</v>
      </c>
      <c r="V974" s="14" t="n">
        <f aca="false">IF($L974=2015,1,0)</f>
        <v>0</v>
      </c>
      <c r="W974" s="14" t="n">
        <f aca="false">IF($L974=2016,1,0)</f>
        <v>0</v>
      </c>
      <c r="X974" s="14" t="n">
        <f aca="false">IF($L974=2017,1,0)</f>
        <v>0</v>
      </c>
      <c r="Y974" s="14" t="n">
        <f aca="false">IF($H974="Beginner Level",1,0)</f>
        <v>0</v>
      </c>
      <c r="Z974" s="14" t="n">
        <f aca="false">IF($H974="Expert Level",1,0)</f>
        <v>0</v>
      </c>
      <c r="AA974" s="14" t="n">
        <f aca="false">IF($H974="Intermediate Level",1,0)</f>
        <v>0</v>
      </c>
      <c r="AC974" s="14" t="n">
        <f aca="false">N974</f>
        <v>3.55563373496657</v>
      </c>
      <c r="AD974" s="14" t="n">
        <f aca="false">G974</f>
        <v>37</v>
      </c>
      <c r="AE974" s="14" t="n">
        <f aca="false">J974</f>
        <v>2.5</v>
      </c>
      <c r="AF974" s="14" t="n">
        <f aca="false">IF($L974=2012,1,0)</f>
        <v>1</v>
      </c>
      <c r="AG974" s="14" t="n">
        <f aca="false">IF($L974=2013,1,0)</f>
        <v>0</v>
      </c>
      <c r="AH974" s="14" t="n">
        <f aca="false">IF($L974=2014,1,0)</f>
        <v>0</v>
      </c>
      <c r="AI974" s="14" t="n">
        <f aca="false">IF($L974=2015,1,0)</f>
        <v>0</v>
      </c>
      <c r="AJ974" s="14" t="n">
        <f aca="false">IF($L974=2016,1,0)</f>
        <v>0</v>
      </c>
      <c r="AK974" s="14" t="n">
        <f aca="false">IF($L974=2017,1,0)</f>
        <v>0</v>
      </c>
      <c r="AL974" s="14" t="n">
        <f aca="false">IF($H974="Beginner Level",1,0)</f>
        <v>0</v>
      </c>
      <c r="AM974" s="14" t="n">
        <f aca="false">IF($H974="Expert Level",1,0)</f>
        <v>0</v>
      </c>
      <c r="AN974" s="14" t="n">
        <f aca="false">IF($H974="Intermediate Level",1,0)</f>
        <v>0</v>
      </c>
    </row>
    <row r="975" customFormat="false" ht="57.45" hidden="false" customHeight="false" outlineLevel="0" collapsed="false">
      <c r="A975" s="14" t="n">
        <v>967422</v>
      </c>
      <c r="B975" s="14" t="s">
        <v>1991</v>
      </c>
      <c r="C975" s="14" t="s">
        <v>1992</v>
      </c>
      <c r="D975" s="14" t="n">
        <v>35</v>
      </c>
      <c r="E975" s="14" t="n">
        <v>920</v>
      </c>
      <c r="F975" s="14" t="n">
        <v>1</v>
      </c>
      <c r="G975" s="14" t="n">
        <v>7</v>
      </c>
      <c r="H975" s="14" t="s">
        <v>52</v>
      </c>
      <c r="I975" s="14" t="n">
        <v>0.89</v>
      </c>
      <c r="J975" s="14" t="n">
        <v>0.7</v>
      </c>
      <c r="K975" s="14" t="s">
        <v>59</v>
      </c>
      <c r="L975" s="14" t="n">
        <v>2016</v>
      </c>
      <c r="M975" s="14" t="n">
        <v>6.82437367004309</v>
      </c>
      <c r="N975" s="14" t="n">
        <v>3.55563373496657</v>
      </c>
      <c r="P975" s="14" t="n">
        <f aca="false">D975</f>
        <v>35</v>
      </c>
      <c r="Q975" s="14" t="n">
        <f aca="false">G975</f>
        <v>7</v>
      </c>
      <c r="R975" s="14" t="n">
        <f aca="false">J975</f>
        <v>0.7</v>
      </c>
      <c r="S975" s="14" t="n">
        <f aca="false">IF($L975=2012,1,0)</f>
        <v>0</v>
      </c>
      <c r="T975" s="14" t="n">
        <f aca="false">IF($L975=2013,1,0)</f>
        <v>0</v>
      </c>
      <c r="U975" s="14" t="n">
        <f aca="false">IF($L975=2014,1,0)</f>
        <v>0</v>
      </c>
      <c r="V975" s="14" t="n">
        <f aca="false">IF($L975=2015,1,0)</f>
        <v>0</v>
      </c>
      <c r="W975" s="14" t="n">
        <f aca="false">IF($L975=2016,1,0)</f>
        <v>1</v>
      </c>
      <c r="X975" s="14" t="n">
        <f aca="false">IF($L975=2017,1,0)</f>
        <v>0</v>
      </c>
      <c r="Y975" s="14" t="n">
        <f aca="false">IF($H975="Beginner Level",1,0)</f>
        <v>1</v>
      </c>
      <c r="Z975" s="14" t="n">
        <f aca="false">IF($H975="Expert Level",1,0)</f>
        <v>0</v>
      </c>
      <c r="AA975" s="14" t="n">
        <f aca="false">IF($H975="Intermediate Level",1,0)</f>
        <v>0</v>
      </c>
      <c r="AC975" s="14" t="n">
        <f aca="false">N975</f>
        <v>3.55563373496657</v>
      </c>
      <c r="AD975" s="14" t="n">
        <f aca="false">G975</f>
        <v>7</v>
      </c>
      <c r="AE975" s="14" t="n">
        <f aca="false">J975</f>
        <v>0.7</v>
      </c>
      <c r="AF975" s="14" t="n">
        <f aca="false">IF($L975=2012,1,0)</f>
        <v>0</v>
      </c>
      <c r="AG975" s="14" t="n">
        <f aca="false">IF($L975=2013,1,0)</f>
        <v>0</v>
      </c>
      <c r="AH975" s="14" t="n">
        <f aca="false">IF($L975=2014,1,0)</f>
        <v>0</v>
      </c>
      <c r="AI975" s="14" t="n">
        <f aca="false">IF($L975=2015,1,0)</f>
        <v>0</v>
      </c>
      <c r="AJ975" s="14" t="n">
        <f aca="false">IF($L975=2016,1,0)</f>
        <v>1</v>
      </c>
      <c r="AK975" s="14" t="n">
        <f aca="false">IF($L975=2017,1,0)</f>
        <v>0</v>
      </c>
      <c r="AL975" s="14" t="n">
        <f aca="false">IF($H975="Beginner Level",1,0)</f>
        <v>1</v>
      </c>
      <c r="AM975" s="14" t="n">
        <f aca="false">IF($H975="Expert Level",1,0)</f>
        <v>0</v>
      </c>
      <c r="AN975" s="14" t="n">
        <f aca="false">IF($H975="Intermediate Level",1,0)</f>
        <v>0</v>
      </c>
    </row>
    <row r="976" customFormat="false" ht="91" hidden="false" customHeight="false" outlineLevel="0" collapsed="false">
      <c r="A976" s="14" t="n">
        <v>584522</v>
      </c>
      <c r="B976" s="14" t="s">
        <v>1993</v>
      </c>
      <c r="C976" s="14" t="s">
        <v>1994</v>
      </c>
      <c r="D976" s="14" t="n">
        <v>195</v>
      </c>
      <c r="E976" s="14" t="n">
        <v>918</v>
      </c>
      <c r="F976" s="14" t="n">
        <v>8</v>
      </c>
      <c r="G976" s="14" t="n">
        <v>39</v>
      </c>
      <c r="H976" s="14" t="s">
        <v>62</v>
      </c>
      <c r="I976" s="14" t="n">
        <v>0.89</v>
      </c>
      <c r="J976" s="14" t="n">
        <v>2.5</v>
      </c>
      <c r="K976" s="14" t="s">
        <v>59</v>
      </c>
      <c r="L976" s="14" t="n">
        <v>2015</v>
      </c>
      <c r="M976" s="14" t="n">
        <v>6.82219739062049</v>
      </c>
      <c r="N976" s="14" t="n">
        <v>5.27305083930015</v>
      </c>
      <c r="P976" s="14" t="n">
        <f aca="false">D976</f>
        <v>195</v>
      </c>
      <c r="Q976" s="14" t="n">
        <f aca="false">G976</f>
        <v>39</v>
      </c>
      <c r="R976" s="14" t="n">
        <f aca="false">J976</f>
        <v>2.5</v>
      </c>
      <c r="S976" s="14" t="n">
        <f aca="false">IF($L976=2012,1,0)</f>
        <v>0</v>
      </c>
      <c r="T976" s="14" t="n">
        <f aca="false">IF($L976=2013,1,0)</f>
        <v>0</v>
      </c>
      <c r="U976" s="14" t="n">
        <f aca="false">IF($L976=2014,1,0)</f>
        <v>0</v>
      </c>
      <c r="V976" s="14" t="n">
        <f aca="false">IF($L976=2015,1,0)</f>
        <v>1</v>
      </c>
      <c r="W976" s="14" t="n">
        <f aca="false">IF($L976=2016,1,0)</f>
        <v>0</v>
      </c>
      <c r="X976" s="14" t="n">
        <f aca="false">IF($L976=2017,1,0)</f>
        <v>0</v>
      </c>
      <c r="Y976" s="14" t="n">
        <f aca="false">IF($H976="Beginner Level",1,0)</f>
        <v>0</v>
      </c>
      <c r="Z976" s="14" t="n">
        <f aca="false">IF($H976="Expert Level",1,0)</f>
        <v>0</v>
      </c>
      <c r="AA976" s="14" t="n">
        <f aca="false">IF($H976="Intermediate Level",1,0)</f>
        <v>0</v>
      </c>
      <c r="AC976" s="14" t="n">
        <f aca="false">N976</f>
        <v>5.27305083930015</v>
      </c>
      <c r="AD976" s="14" t="n">
        <f aca="false">G976</f>
        <v>39</v>
      </c>
      <c r="AE976" s="14" t="n">
        <f aca="false">J976</f>
        <v>2.5</v>
      </c>
      <c r="AF976" s="14" t="n">
        <f aca="false">IF($L976=2012,1,0)</f>
        <v>0</v>
      </c>
      <c r="AG976" s="14" t="n">
        <f aca="false">IF($L976=2013,1,0)</f>
        <v>0</v>
      </c>
      <c r="AH976" s="14" t="n">
        <f aca="false">IF($L976=2014,1,0)</f>
        <v>0</v>
      </c>
      <c r="AI976" s="14" t="n">
        <f aca="false">IF($L976=2015,1,0)</f>
        <v>1</v>
      </c>
      <c r="AJ976" s="14" t="n">
        <f aca="false">IF($L976=2016,1,0)</f>
        <v>0</v>
      </c>
      <c r="AK976" s="14" t="n">
        <f aca="false">IF($L976=2017,1,0)</f>
        <v>0</v>
      </c>
      <c r="AL976" s="14" t="n">
        <f aca="false">IF($H976="Beginner Level",1,0)</f>
        <v>0</v>
      </c>
      <c r="AM976" s="14" t="n">
        <f aca="false">IF($H976="Expert Level",1,0)</f>
        <v>0</v>
      </c>
      <c r="AN976" s="14" t="n">
        <f aca="false">IF($H976="Intermediate Level",1,0)</f>
        <v>0</v>
      </c>
    </row>
    <row r="977" customFormat="false" ht="79.85" hidden="false" customHeight="false" outlineLevel="0" collapsed="false">
      <c r="A977" s="14" t="n">
        <v>984072</v>
      </c>
      <c r="B977" s="14" t="s">
        <v>1995</v>
      </c>
      <c r="C977" s="14" t="s">
        <v>1996</v>
      </c>
      <c r="D977" s="14" t="n">
        <v>20</v>
      </c>
      <c r="E977" s="14" t="n">
        <v>912</v>
      </c>
      <c r="F977" s="14" t="n">
        <v>17</v>
      </c>
      <c r="G977" s="14" t="n">
        <v>48</v>
      </c>
      <c r="H977" s="14" t="s">
        <v>62</v>
      </c>
      <c r="I977" s="14" t="n">
        <v>0.89</v>
      </c>
      <c r="J977" s="14" t="n">
        <v>4.5</v>
      </c>
      <c r="K977" s="14" t="s">
        <v>59</v>
      </c>
      <c r="L977" s="14" t="n">
        <v>2016</v>
      </c>
      <c r="M977" s="14" t="n">
        <v>6.81563999007433</v>
      </c>
      <c r="N977" s="14" t="n">
        <v>2.99623214859564</v>
      </c>
      <c r="P977" s="14" t="n">
        <f aca="false">D977</f>
        <v>20</v>
      </c>
      <c r="Q977" s="14" t="n">
        <f aca="false">G977</f>
        <v>48</v>
      </c>
      <c r="R977" s="14" t="n">
        <f aca="false">J977</f>
        <v>4.5</v>
      </c>
      <c r="S977" s="14" t="n">
        <f aca="false">IF($L977=2012,1,0)</f>
        <v>0</v>
      </c>
      <c r="T977" s="14" t="n">
        <f aca="false">IF($L977=2013,1,0)</f>
        <v>0</v>
      </c>
      <c r="U977" s="14" t="n">
        <f aca="false">IF($L977=2014,1,0)</f>
        <v>0</v>
      </c>
      <c r="V977" s="14" t="n">
        <f aca="false">IF($L977=2015,1,0)</f>
        <v>0</v>
      </c>
      <c r="W977" s="14" t="n">
        <f aca="false">IF($L977=2016,1,0)</f>
        <v>1</v>
      </c>
      <c r="X977" s="14" t="n">
        <f aca="false">IF($L977=2017,1,0)</f>
        <v>0</v>
      </c>
      <c r="Y977" s="14" t="n">
        <f aca="false">IF($H977="Beginner Level",1,0)</f>
        <v>0</v>
      </c>
      <c r="Z977" s="14" t="n">
        <f aca="false">IF($H977="Expert Level",1,0)</f>
        <v>0</v>
      </c>
      <c r="AA977" s="14" t="n">
        <f aca="false">IF($H977="Intermediate Level",1,0)</f>
        <v>0</v>
      </c>
      <c r="AC977" s="14" t="n">
        <f aca="false">N977</f>
        <v>2.99623214859564</v>
      </c>
      <c r="AD977" s="14" t="n">
        <f aca="false">G977</f>
        <v>48</v>
      </c>
      <c r="AE977" s="14" t="n">
        <f aca="false">J977</f>
        <v>4.5</v>
      </c>
      <c r="AF977" s="14" t="n">
        <f aca="false">IF($L977=2012,1,0)</f>
        <v>0</v>
      </c>
      <c r="AG977" s="14" t="n">
        <f aca="false">IF($L977=2013,1,0)</f>
        <v>0</v>
      </c>
      <c r="AH977" s="14" t="n">
        <f aca="false">IF($L977=2014,1,0)</f>
        <v>0</v>
      </c>
      <c r="AI977" s="14" t="n">
        <f aca="false">IF($L977=2015,1,0)</f>
        <v>0</v>
      </c>
      <c r="AJ977" s="14" t="n">
        <f aca="false">IF($L977=2016,1,0)</f>
        <v>1</v>
      </c>
      <c r="AK977" s="14" t="n">
        <f aca="false">IF($L977=2017,1,0)</f>
        <v>0</v>
      </c>
      <c r="AL977" s="14" t="n">
        <f aca="false">IF($H977="Beginner Level",1,0)</f>
        <v>0</v>
      </c>
      <c r="AM977" s="14" t="n">
        <f aca="false">IF($H977="Expert Level",1,0)</f>
        <v>0</v>
      </c>
      <c r="AN977" s="14" t="n">
        <f aca="false">IF($H977="Intermediate Level",1,0)</f>
        <v>0</v>
      </c>
    </row>
    <row r="978" customFormat="false" ht="57.45" hidden="false" customHeight="false" outlineLevel="0" collapsed="false">
      <c r="A978" s="14" t="n">
        <v>552594</v>
      </c>
      <c r="B978" s="14" t="s">
        <v>1997</v>
      </c>
      <c r="C978" s="14" t="s">
        <v>1998</v>
      </c>
      <c r="D978" s="14" t="n">
        <v>30</v>
      </c>
      <c r="E978" s="14" t="n">
        <v>912</v>
      </c>
      <c r="F978" s="14" t="n">
        <v>128</v>
      </c>
      <c r="G978" s="14" t="n">
        <v>81</v>
      </c>
      <c r="H978" s="14" t="s">
        <v>52</v>
      </c>
      <c r="I978" s="14" t="n">
        <v>0.89</v>
      </c>
      <c r="J978" s="14" t="n">
        <v>7</v>
      </c>
      <c r="K978" s="14" t="s">
        <v>59</v>
      </c>
      <c r="L978" s="14" t="n">
        <v>2015</v>
      </c>
      <c r="M978" s="14" t="n">
        <v>6.81563999007433</v>
      </c>
      <c r="N978" s="14" t="n">
        <v>3.40153065945228</v>
      </c>
      <c r="P978" s="14" t="n">
        <f aca="false">D978</f>
        <v>30</v>
      </c>
      <c r="Q978" s="14" t="n">
        <f aca="false">G978</f>
        <v>81</v>
      </c>
      <c r="R978" s="14" t="n">
        <f aca="false">J978</f>
        <v>7</v>
      </c>
      <c r="S978" s="14" t="n">
        <f aca="false">IF($L978=2012,1,0)</f>
        <v>0</v>
      </c>
      <c r="T978" s="14" t="n">
        <f aca="false">IF($L978=2013,1,0)</f>
        <v>0</v>
      </c>
      <c r="U978" s="14" t="n">
        <f aca="false">IF($L978=2014,1,0)</f>
        <v>0</v>
      </c>
      <c r="V978" s="14" t="n">
        <f aca="false">IF($L978=2015,1,0)</f>
        <v>1</v>
      </c>
      <c r="W978" s="14" t="n">
        <f aca="false">IF($L978=2016,1,0)</f>
        <v>0</v>
      </c>
      <c r="X978" s="14" t="n">
        <f aca="false">IF($L978=2017,1,0)</f>
        <v>0</v>
      </c>
      <c r="Y978" s="14" t="n">
        <f aca="false">IF($H978="Beginner Level",1,0)</f>
        <v>1</v>
      </c>
      <c r="Z978" s="14" t="n">
        <f aca="false">IF($H978="Expert Level",1,0)</f>
        <v>0</v>
      </c>
      <c r="AA978" s="14" t="n">
        <f aca="false">IF($H978="Intermediate Level",1,0)</f>
        <v>0</v>
      </c>
      <c r="AC978" s="14" t="n">
        <f aca="false">N978</f>
        <v>3.40153065945228</v>
      </c>
      <c r="AD978" s="14" t="n">
        <f aca="false">G978</f>
        <v>81</v>
      </c>
      <c r="AE978" s="14" t="n">
        <f aca="false">J978</f>
        <v>7</v>
      </c>
      <c r="AF978" s="14" t="n">
        <f aca="false">IF($L978=2012,1,0)</f>
        <v>0</v>
      </c>
      <c r="AG978" s="14" t="n">
        <f aca="false">IF($L978=2013,1,0)</f>
        <v>0</v>
      </c>
      <c r="AH978" s="14" t="n">
        <f aca="false">IF($L978=2014,1,0)</f>
        <v>0</v>
      </c>
      <c r="AI978" s="14" t="n">
        <f aca="false">IF($L978=2015,1,0)</f>
        <v>1</v>
      </c>
      <c r="AJ978" s="14" t="n">
        <f aca="false">IF($L978=2016,1,0)</f>
        <v>0</v>
      </c>
      <c r="AK978" s="14" t="n">
        <f aca="false">IF($L978=2017,1,0)</f>
        <v>0</v>
      </c>
      <c r="AL978" s="14" t="n">
        <f aca="false">IF($H978="Beginner Level",1,0)</f>
        <v>1</v>
      </c>
      <c r="AM978" s="14" t="n">
        <f aca="false">IF($H978="Expert Level",1,0)</f>
        <v>0</v>
      </c>
      <c r="AN978" s="14" t="n">
        <f aca="false">IF($H978="Intermediate Level",1,0)</f>
        <v>0</v>
      </c>
    </row>
    <row r="979" customFormat="false" ht="46.25" hidden="false" customHeight="false" outlineLevel="0" collapsed="false">
      <c r="A979" s="14" t="n">
        <v>1251786</v>
      </c>
      <c r="B979" s="14" t="s">
        <v>1999</v>
      </c>
      <c r="C979" s="14" t="s">
        <v>2000</v>
      </c>
      <c r="D979" s="14" t="n">
        <v>70</v>
      </c>
      <c r="E979" s="14" t="n">
        <v>909</v>
      </c>
      <c r="F979" s="14" t="n">
        <v>16</v>
      </c>
      <c r="G979" s="14" t="n">
        <v>13</v>
      </c>
      <c r="H979" s="14" t="s">
        <v>71</v>
      </c>
      <c r="I979" s="14" t="n">
        <v>0.89</v>
      </c>
      <c r="J979" s="14" t="n">
        <v>1.5</v>
      </c>
      <c r="K979" s="14" t="s">
        <v>59</v>
      </c>
      <c r="L979" s="14" t="n">
        <v>2017</v>
      </c>
      <c r="M979" s="14" t="n">
        <v>6.81234509417748</v>
      </c>
      <c r="N979" s="14" t="n">
        <v>4.24863808898911</v>
      </c>
      <c r="P979" s="14" t="n">
        <f aca="false">D979</f>
        <v>70</v>
      </c>
      <c r="Q979" s="14" t="n">
        <f aca="false">G979</f>
        <v>13</v>
      </c>
      <c r="R979" s="14" t="n">
        <f aca="false">J979</f>
        <v>1.5</v>
      </c>
      <c r="S979" s="14" t="n">
        <f aca="false">IF($L979=2012,1,0)</f>
        <v>0</v>
      </c>
      <c r="T979" s="14" t="n">
        <f aca="false">IF($L979=2013,1,0)</f>
        <v>0</v>
      </c>
      <c r="U979" s="14" t="n">
        <f aca="false">IF($L979=2014,1,0)</f>
        <v>0</v>
      </c>
      <c r="V979" s="14" t="n">
        <f aca="false">IF($L979=2015,1,0)</f>
        <v>0</v>
      </c>
      <c r="W979" s="14" t="n">
        <f aca="false">IF($L979=2016,1,0)</f>
        <v>0</v>
      </c>
      <c r="X979" s="14" t="n">
        <f aca="false">IF($L979=2017,1,0)</f>
        <v>1</v>
      </c>
      <c r="Y979" s="14" t="n">
        <f aca="false">IF($H979="Beginner Level",1,0)</f>
        <v>0</v>
      </c>
      <c r="Z979" s="14" t="n">
        <f aca="false">IF($H979="Expert Level",1,0)</f>
        <v>0</v>
      </c>
      <c r="AA979" s="14" t="n">
        <f aca="false">IF($H979="Intermediate Level",1,0)</f>
        <v>1</v>
      </c>
      <c r="AC979" s="14" t="n">
        <f aca="false">N979</f>
        <v>4.24863808898911</v>
      </c>
      <c r="AD979" s="14" t="n">
        <f aca="false">G979</f>
        <v>13</v>
      </c>
      <c r="AE979" s="14" t="n">
        <f aca="false">J979</f>
        <v>1.5</v>
      </c>
      <c r="AF979" s="14" t="n">
        <f aca="false">IF($L979=2012,1,0)</f>
        <v>0</v>
      </c>
      <c r="AG979" s="14" t="n">
        <f aca="false">IF($L979=2013,1,0)</f>
        <v>0</v>
      </c>
      <c r="AH979" s="14" t="n">
        <f aca="false">IF($L979=2014,1,0)</f>
        <v>0</v>
      </c>
      <c r="AI979" s="14" t="n">
        <f aca="false">IF($L979=2015,1,0)</f>
        <v>0</v>
      </c>
      <c r="AJ979" s="14" t="n">
        <f aca="false">IF($L979=2016,1,0)</f>
        <v>0</v>
      </c>
      <c r="AK979" s="14" t="n">
        <f aca="false">IF($L979=2017,1,0)</f>
        <v>1</v>
      </c>
      <c r="AL979" s="14" t="n">
        <f aca="false">IF($H979="Beginner Level",1,0)</f>
        <v>0</v>
      </c>
      <c r="AM979" s="14" t="n">
        <f aca="false">IF($H979="Expert Level",1,0)</f>
        <v>0</v>
      </c>
      <c r="AN979" s="14" t="n">
        <f aca="false">IF($H979="Intermediate Level",1,0)</f>
        <v>1</v>
      </c>
    </row>
    <row r="980" customFormat="false" ht="57.45" hidden="false" customHeight="false" outlineLevel="0" collapsed="false">
      <c r="A980" s="14" t="n">
        <v>967424</v>
      </c>
      <c r="B980" s="14" t="s">
        <v>2001</v>
      </c>
      <c r="C980" s="14" t="s">
        <v>2002</v>
      </c>
      <c r="D980" s="14" t="n">
        <v>35</v>
      </c>
      <c r="E980" s="14" t="n">
        <v>903</v>
      </c>
      <c r="F980" s="14" t="n">
        <v>3</v>
      </c>
      <c r="G980" s="14" t="n">
        <v>7</v>
      </c>
      <c r="H980" s="14" t="s">
        <v>62</v>
      </c>
      <c r="I980" s="14" t="n">
        <v>0.24</v>
      </c>
      <c r="J980" s="14" t="n">
        <v>0.55</v>
      </c>
      <c r="K980" s="14" t="s">
        <v>59</v>
      </c>
      <c r="L980" s="14" t="n">
        <v>2016</v>
      </c>
      <c r="M980" s="14" t="n">
        <v>6.80572255341699</v>
      </c>
      <c r="N980" s="14" t="n">
        <v>3.55563373496657</v>
      </c>
      <c r="P980" s="14" t="n">
        <f aca="false">D980</f>
        <v>35</v>
      </c>
      <c r="Q980" s="14" t="n">
        <f aca="false">G980</f>
        <v>7</v>
      </c>
      <c r="R980" s="14" t="n">
        <f aca="false">J980</f>
        <v>0.55</v>
      </c>
      <c r="S980" s="14" t="n">
        <f aca="false">IF($L980=2012,1,0)</f>
        <v>0</v>
      </c>
      <c r="T980" s="14" t="n">
        <f aca="false">IF($L980=2013,1,0)</f>
        <v>0</v>
      </c>
      <c r="U980" s="14" t="n">
        <f aca="false">IF($L980=2014,1,0)</f>
        <v>0</v>
      </c>
      <c r="V980" s="14" t="n">
        <f aca="false">IF($L980=2015,1,0)</f>
        <v>0</v>
      </c>
      <c r="W980" s="14" t="n">
        <f aca="false">IF($L980=2016,1,0)</f>
        <v>1</v>
      </c>
      <c r="X980" s="14" t="n">
        <f aca="false">IF($L980=2017,1,0)</f>
        <v>0</v>
      </c>
      <c r="Y980" s="14" t="n">
        <f aca="false">IF($H980="Beginner Level",1,0)</f>
        <v>0</v>
      </c>
      <c r="Z980" s="14" t="n">
        <f aca="false">IF($H980="Expert Level",1,0)</f>
        <v>0</v>
      </c>
      <c r="AA980" s="14" t="n">
        <f aca="false">IF($H980="Intermediate Level",1,0)</f>
        <v>0</v>
      </c>
      <c r="AC980" s="14" t="n">
        <f aca="false">N980</f>
        <v>3.55563373496657</v>
      </c>
      <c r="AD980" s="14" t="n">
        <f aca="false">G980</f>
        <v>7</v>
      </c>
      <c r="AE980" s="14" t="n">
        <f aca="false">J980</f>
        <v>0.55</v>
      </c>
      <c r="AF980" s="14" t="n">
        <f aca="false">IF($L980=2012,1,0)</f>
        <v>0</v>
      </c>
      <c r="AG980" s="14" t="n">
        <f aca="false">IF($L980=2013,1,0)</f>
        <v>0</v>
      </c>
      <c r="AH980" s="14" t="n">
        <f aca="false">IF($L980=2014,1,0)</f>
        <v>0</v>
      </c>
      <c r="AI980" s="14" t="n">
        <f aca="false">IF($L980=2015,1,0)</f>
        <v>0</v>
      </c>
      <c r="AJ980" s="14" t="n">
        <f aca="false">IF($L980=2016,1,0)</f>
        <v>1</v>
      </c>
      <c r="AK980" s="14" t="n">
        <f aca="false">IF($L980=2017,1,0)</f>
        <v>0</v>
      </c>
      <c r="AL980" s="14" t="n">
        <f aca="false">IF($H980="Beginner Level",1,0)</f>
        <v>0</v>
      </c>
      <c r="AM980" s="14" t="n">
        <f aca="false">IF($H980="Expert Level",1,0)</f>
        <v>0</v>
      </c>
      <c r="AN980" s="14" t="n">
        <f aca="false">IF($H980="Intermediate Level",1,0)</f>
        <v>0</v>
      </c>
    </row>
    <row r="981" customFormat="false" ht="79.85" hidden="false" customHeight="false" outlineLevel="0" collapsed="false">
      <c r="A981" s="14" t="n">
        <v>297602</v>
      </c>
      <c r="B981" s="14" t="s">
        <v>2003</v>
      </c>
      <c r="C981" s="14" t="s">
        <v>2004</v>
      </c>
      <c r="D981" s="14" t="n">
        <v>45</v>
      </c>
      <c r="E981" s="14" t="n">
        <v>901</v>
      </c>
      <c r="F981" s="14" t="n">
        <v>36</v>
      </c>
      <c r="G981" s="14" t="n">
        <v>20</v>
      </c>
      <c r="H981" s="14" t="s">
        <v>62</v>
      </c>
      <c r="I981" s="14" t="n">
        <v>0.21</v>
      </c>
      <c r="J981" s="14" t="n">
        <v>2</v>
      </c>
      <c r="K981" s="14" t="s">
        <v>59</v>
      </c>
      <c r="L981" s="14" t="n">
        <v>2014</v>
      </c>
      <c r="M981" s="14" t="n">
        <v>6.80350525760834</v>
      </c>
      <c r="N981" s="14" t="n">
        <v>3.80688468730484</v>
      </c>
      <c r="P981" s="14" t="n">
        <f aca="false">D981</f>
        <v>45</v>
      </c>
      <c r="Q981" s="14" t="n">
        <f aca="false">G981</f>
        <v>20</v>
      </c>
      <c r="R981" s="14" t="n">
        <f aca="false">J981</f>
        <v>2</v>
      </c>
      <c r="S981" s="14" t="n">
        <f aca="false">IF($L981=2012,1,0)</f>
        <v>0</v>
      </c>
      <c r="T981" s="14" t="n">
        <f aca="false">IF($L981=2013,1,0)</f>
        <v>0</v>
      </c>
      <c r="U981" s="14" t="n">
        <f aca="false">IF($L981=2014,1,0)</f>
        <v>1</v>
      </c>
      <c r="V981" s="14" t="n">
        <f aca="false">IF($L981=2015,1,0)</f>
        <v>0</v>
      </c>
      <c r="W981" s="14" t="n">
        <f aca="false">IF($L981=2016,1,0)</f>
        <v>0</v>
      </c>
      <c r="X981" s="14" t="n">
        <f aca="false">IF($L981=2017,1,0)</f>
        <v>0</v>
      </c>
      <c r="Y981" s="14" t="n">
        <f aca="false">IF($H981="Beginner Level",1,0)</f>
        <v>0</v>
      </c>
      <c r="Z981" s="14" t="n">
        <f aca="false">IF($H981="Expert Level",1,0)</f>
        <v>0</v>
      </c>
      <c r="AA981" s="14" t="n">
        <f aca="false">IF($H981="Intermediate Level",1,0)</f>
        <v>0</v>
      </c>
      <c r="AC981" s="14" t="n">
        <f aca="false">N981</f>
        <v>3.80688468730484</v>
      </c>
      <c r="AD981" s="14" t="n">
        <f aca="false">G981</f>
        <v>20</v>
      </c>
      <c r="AE981" s="14" t="n">
        <f aca="false">J981</f>
        <v>2</v>
      </c>
      <c r="AF981" s="14" t="n">
        <f aca="false">IF($L981=2012,1,0)</f>
        <v>0</v>
      </c>
      <c r="AG981" s="14" t="n">
        <f aca="false">IF($L981=2013,1,0)</f>
        <v>0</v>
      </c>
      <c r="AH981" s="14" t="n">
        <f aca="false">IF($L981=2014,1,0)</f>
        <v>1</v>
      </c>
      <c r="AI981" s="14" t="n">
        <f aca="false">IF($L981=2015,1,0)</f>
        <v>0</v>
      </c>
      <c r="AJ981" s="14" t="n">
        <f aca="false">IF($L981=2016,1,0)</f>
        <v>0</v>
      </c>
      <c r="AK981" s="14" t="n">
        <f aca="false">IF($L981=2017,1,0)</f>
        <v>0</v>
      </c>
      <c r="AL981" s="14" t="n">
        <f aca="false">IF($H981="Beginner Level",1,0)</f>
        <v>0</v>
      </c>
      <c r="AM981" s="14" t="n">
        <f aca="false">IF($H981="Expert Level",1,0)</f>
        <v>0</v>
      </c>
      <c r="AN981" s="14" t="n">
        <f aca="false">IF($H981="Intermediate Level",1,0)</f>
        <v>0</v>
      </c>
    </row>
    <row r="982" customFormat="false" ht="68.65" hidden="false" customHeight="false" outlineLevel="0" collapsed="false">
      <c r="A982" s="14" t="n">
        <v>905850</v>
      </c>
      <c r="B982" s="14" t="s">
        <v>2005</v>
      </c>
      <c r="C982" s="14" t="s">
        <v>2006</v>
      </c>
      <c r="D982" s="14" t="n">
        <v>200</v>
      </c>
      <c r="E982" s="14" t="n">
        <v>900</v>
      </c>
      <c r="F982" s="14" t="n">
        <v>129</v>
      </c>
      <c r="G982" s="14" t="n">
        <v>126</v>
      </c>
      <c r="H982" s="14" t="s">
        <v>62</v>
      </c>
      <c r="I982" s="14" t="n">
        <v>0.46</v>
      </c>
      <c r="J982" s="14" t="n">
        <v>18.5</v>
      </c>
      <c r="K982" s="14" t="s">
        <v>59</v>
      </c>
      <c r="L982" s="14" t="n">
        <v>2016</v>
      </c>
      <c r="M982" s="14" t="n">
        <v>6.80239476332431</v>
      </c>
      <c r="N982" s="14" t="n">
        <v>5.29836736529808</v>
      </c>
      <c r="P982" s="14" t="n">
        <f aca="false">D982</f>
        <v>200</v>
      </c>
      <c r="Q982" s="14" t="n">
        <f aca="false">G982</f>
        <v>126</v>
      </c>
      <c r="R982" s="14" t="n">
        <f aca="false">J982</f>
        <v>18.5</v>
      </c>
      <c r="S982" s="14" t="n">
        <f aca="false">IF($L982=2012,1,0)</f>
        <v>0</v>
      </c>
      <c r="T982" s="14" t="n">
        <f aca="false">IF($L982=2013,1,0)</f>
        <v>0</v>
      </c>
      <c r="U982" s="14" t="n">
        <f aca="false">IF($L982=2014,1,0)</f>
        <v>0</v>
      </c>
      <c r="V982" s="14" t="n">
        <f aca="false">IF($L982=2015,1,0)</f>
        <v>0</v>
      </c>
      <c r="W982" s="14" t="n">
        <f aca="false">IF($L982=2016,1,0)</f>
        <v>1</v>
      </c>
      <c r="X982" s="14" t="n">
        <f aca="false">IF($L982=2017,1,0)</f>
        <v>0</v>
      </c>
      <c r="Y982" s="14" t="n">
        <f aca="false">IF($H982="Beginner Level",1,0)</f>
        <v>0</v>
      </c>
      <c r="Z982" s="14" t="n">
        <f aca="false">IF($H982="Expert Level",1,0)</f>
        <v>0</v>
      </c>
      <c r="AA982" s="14" t="n">
        <f aca="false">IF($H982="Intermediate Level",1,0)</f>
        <v>0</v>
      </c>
      <c r="AC982" s="14" t="n">
        <f aca="false">N982</f>
        <v>5.29836736529808</v>
      </c>
      <c r="AD982" s="14" t="n">
        <f aca="false">G982</f>
        <v>126</v>
      </c>
      <c r="AE982" s="14" t="n">
        <f aca="false">J982</f>
        <v>18.5</v>
      </c>
      <c r="AF982" s="14" t="n">
        <f aca="false">IF($L982=2012,1,0)</f>
        <v>0</v>
      </c>
      <c r="AG982" s="14" t="n">
        <f aca="false">IF($L982=2013,1,0)</f>
        <v>0</v>
      </c>
      <c r="AH982" s="14" t="n">
        <f aca="false">IF($L982=2014,1,0)</f>
        <v>0</v>
      </c>
      <c r="AI982" s="14" t="n">
        <f aca="false">IF($L982=2015,1,0)</f>
        <v>0</v>
      </c>
      <c r="AJ982" s="14" t="n">
        <f aca="false">IF($L982=2016,1,0)</f>
        <v>1</v>
      </c>
      <c r="AK982" s="14" t="n">
        <f aca="false">IF($L982=2017,1,0)</f>
        <v>0</v>
      </c>
      <c r="AL982" s="14" t="n">
        <f aca="false">IF($H982="Beginner Level",1,0)</f>
        <v>0</v>
      </c>
      <c r="AM982" s="14" t="n">
        <f aca="false">IF($H982="Expert Level",1,0)</f>
        <v>0</v>
      </c>
      <c r="AN982" s="14" t="n">
        <f aca="false">IF($H982="Intermediate Level",1,0)</f>
        <v>0</v>
      </c>
    </row>
    <row r="983" customFormat="false" ht="57.45" hidden="false" customHeight="false" outlineLevel="0" collapsed="false">
      <c r="A983" s="14" t="n">
        <v>221920</v>
      </c>
      <c r="B983" s="14" t="s">
        <v>2007</v>
      </c>
      <c r="C983" s="14" t="s">
        <v>2008</v>
      </c>
      <c r="D983" s="14" t="n">
        <v>50</v>
      </c>
      <c r="E983" s="14" t="n">
        <v>898</v>
      </c>
      <c r="F983" s="14" t="n">
        <v>132</v>
      </c>
      <c r="G983" s="14" t="n">
        <v>40</v>
      </c>
      <c r="H983" s="14" t="s">
        <v>62</v>
      </c>
      <c r="I983" s="14" t="n">
        <v>0.6</v>
      </c>
      <c r="J983" s="14" t="n">
        <v>2</v>
      </c>
      <c r="K983" s="14" t="s">
        <v>59</v>
      </c>
      <c r="L983" s="14" t="n">
        <v>2014</v>
      </c>
      <c r="M983" s="14" t="n">
        <v>6.8001700683022</v>
      </c>
      <c r="N983" s="14" t="n">
        <v>3.91222298543081</v>
      </c>
      <c r="P983" s="14" t="n">
        <f aca="false">D983</f>
        <v>50</v>
      </c>
      <c r="Q983" s="14" t="n">
        <f aca="false">G983</f>
        <v>40</v>
      </c>
      <c r="R983" s="14" t="n">
        <f aca="false">J983</f>
        <v>2</v>
      </c>
      <c r="S983" s="14" t="n">
        <f aca="false">IF($L983=2012,1,0)</f>
        <v>0</v>
      </c>
      <c r="T983" s="14" t="n">
        <f aca="false">IF($L983=2013,1,0)</f>
        <v>0</v>
      </c>
      <c r="U983" s="14" t="n">
        <f aca="false">IF($L983=2014,1,0)</f>
        <v>1</v>
      </c>
      <c r="V983" s="14" t="n">
        <f aca="false">IF($L983=2015,1,0)</f>
        <v>0</v>
      </c>
      <c r="W983" s="14" t="n">
        <f aca="false">IF($L983=2016,1,0)</f>
        <v>0</v>
      </c>
      <c r="X983" s="14" t="n">
        <f aca="false">IF($L983=2017,1,0)</f>
        <v>0</v>
      </c>
      <c r="Y983" s="14" t="n">
        <f aca="false">IF($H983="Beginner Level",1,0)</f>
        <v>0</v>
      </c>
      <c r="Z983" s="14" t="n">
        <f aca="false">IF($H983="Expert Level",1,0)</f>
        <v>0</v>
      </c>
      <c r="AA983" s="14" t="n">
        <f aca="false">IF($H983="Intermediate Level",1,0)</f>
        <v>0</v>
      </c>
      <c r="AC983" s="14" t="n">
        <f aca="false">N983</f>
        <v>3.91222298543081</v>
      </c>
      <c r="AD983" s="14" t="n">
        <f aca="false">G983</f>
        <v>40</v>
      </c>
      <c r="AE983" s="14" t="n">
        <f aca="false">J983</f>
        <v>2</v>
      </c>
      <c r="AF983" s="14" t="n">
        <f aca="false">IF($L983=2012,1,0)</f>
        <v>0</v>
      </c>
      <c r="AG983" s="14" t="n">
        <f aca="false">IF($L983=2013,1,0)</f>
        <v>0</v>
      </c>
      <c r="AH983" s="14" t="n">
        <f aca="false">IF($L983=2014,1,0)</f>
        <v>1</v>
      </c>
      <c r="AI983" s="14" t="n">
        <f aca="false">IF($L983=2015,1,0)</f>
        <v>0</v>
      </c>
      <c r="AJ983" s="14" t="n">
        <f aca="false">IF($L983=2016,1,0)</f>
        <v>0</v>
      </c>
      <c r="AK983" s="14" t="n">
        <f aca="false">IF($L983=2017,1,0)</f>
        <v>0</v>
      </c>
      <c r="AL983" s="14" t="n">
        <f aca="false">IF($H983="Beginner Level",1,0)</f>
        <v>0</v>
      </c>
      <c r="AM983" s="14" t="n">
        <f aca="false">IF($H983="Expert Level",1,0)</f>
        <v>0</v>
      </c>
      <c r="AN983" s="14" t="n">
        <f aca="false">IF($H983="Intermediate Level",1,0)</f>
        <v>0</v>
      </c>
    </row>
    <row r="984" customFormat="false" ht="68.65" hidden="false" customHeight="false" outlineLevel="0" collapsed="false">
      <c r="A984" s="14" t="n">
        <v>997750</v>
      </c>
      <c r="B984" s="14" t="s">
        <v>2009</v>
      </c>
      <c r="C984" s="14" t="s">
        <v>2010</v>
      </c>
      <c r="D984" s="14" t="n">
        <v>200</v>
      </c>
      <c r="E984" s="14" t="n">
        <v>897</v>
      </c>
      <c r="F984" s="14" t="n">
        <v>129</v>
      </c>
      <c r="G984" s="14" t="n">
        <v>171</v>
      </c>
      <c r="H984" s="14" t="s">
        <v>62</v>
      </c>
      <c r="I984" s="14" t="n">
        <v>0.74</v>
      </c>
      <c r="J984" s="14" t="n">
        <v>13</v>
      </c>
      <c r="K984" s="14" t="s">
        <v>59</v>
      </c>
      <c r="L984" s="14" t="n">
        <v>2017</v>
      </c>
      <c r="M984" s="14" t="n">
        <v>6.7990558620588</v>
      </c>
      <c r="N984" s="14" t="n">
        <v>5.29836736529808</v>
      </c>
      <c r="P984" s="14" t="n">
        <f aca="false">D984</f>
        <v>200</v>
      </c>
      <c r="Q984" s="14" t="n">
        <f aca="false">G984</f>
        <v>171</v>
      </c>
      <c r="R984" s="14" t="n">
        <f aca="false">J984</f>
        <v>13</v>
      </c>
      <c r="S984" s="14" t="n">
        <f aca="false">IF($L984=2012,1,0)</f>
        <v>0</v>
      </c>
      <c r="T984" s="14" t="n">
        <f aca="false">IF($L984=2013,1,0)</f>
        <v>0</v>
      </c>
      <c r="U984" s="14" t="n">
        <f aca="false">IF($L984=2014,1,0)</f>
        <v>0</v>
      </c>
      <c r="V984" s="14" t="n">
        <f aca="false">IF($L984=2015,1,0)</f>
        <v>0</v>
      </c>
      <c r="W984" s="14" t="n">
        <f aca="false">IF($L984=2016,1,0)</f>
        <v>0</v>
      </c>
      <c r="X984" s="14" t="n">
        <f aca="false">IF($L984=2017,1,0)</f>
        <v>1</v>
      </c>
      <c r="Y984" s="14" t="n">
        <f aca="false">IF($H984="Beginner Level",1,0)</f>
        <v>0</v>
      </c>
      <c r="Z984" s="14" t="n">
        <f aca="false">IF($H984="Expert Level",1,0)</f>
        <v>0</v>
      </c>
      <c r="AA984" s="14" t="n">
        <f aca="false">IF($H984="Intermediate Level",1,0)</f>
        <v>0</v>
      </c>
      <c r="AC984" s="14" t="n">
        <f aca="false">N984</f>
        <v>5.29836736529808</v>
      </c>
      <c r="AD984" s="14" t="n">
        <f aca="false">G984</f>
        <v>171</v>
      </c>
      <c r="AE984" s="14" t="n">
        <f aca="false">J984</f>
        <v>13</v>
      </c>
      <c r="AF984" s="14" t="n">
        <f aca="false">IF($L984=2012,1,0)</f>
        <v>0</v>
      </c>
      <c r="AG984" s="14" t="n">
        <f aca="false">IF($L984=2013,1,0)</f>
        <v>0</v>
      </c>
      <c r="AH984" s="14" t="n">
        <f aca="false">IF($L984=2014,1,0)</f>
        <v>0</v>
      </c>
      <c r="AI984" s="14" t="n">
        <f aca="false">IF($L984=2015,1,0)</f>
        <v>0</v>
      </c>
      <c r="AJ984" s="14" t="n">
        <f aca="false">IF($L984=2016,1,0)</f>
        <v>0</v>
      </c>
      <c r="AK984" s="14" t="n">
        <f aca="false">IF($L984=2017,1,0)</f>
        <v>1</v>
      </c>
      <c r="AL984" s="14" t="n">
        <f aca="false">IF($H984="Beginner Level",1,0)</f>
        <v>0</v>
      </c>
      <c r="AM984" s="14" t="n">
        <f aca="false">IF($H984="Expert Level",1,0)</f>
        <v>0</v>
      </c>
      <c r="AN984" s="14" t="n">
        <f aca="false">IF($H984="Intermediate Level",1,0)</f>
        <v>0</v>
      </c>
    </row>
    <row r="985" customFormat="false" ht="57.45" hidden="false" customHeight="false" outlineLevel="0" collapsed="false">
      <c r="A985" s="14" t="n">
        <v>326326</v>
      </c>
      <c r="B985" s="14" t="s">
        <v>2011</v>
      </c>
      <c r="C985" s="14" t="s">
        <v>2012</v>
      </c>
      <c r="D985" s="14" t="n">
        <v>50</v>
      </c>
      <c r="E985" s="14" t="n">
        <v>891</v>
      </c>
      <c r="F985" s="14" t="n">
        <v>101</v>
      </c>
      <c r="G985" s="14" t="n">
        <v>119</v>
      </c>
      <c r="H985" s="14" t="s">
        <v>52</v>
      </c>
      <c r="I985" s="14" t="n">
        <v>0.76</v>
      </c>
      <c r="J985" s="14" t="n">
        <v>8.5</v>
      </c>
      <c r="K985" s="14" t="s">
        <v>59</v>
      </c>
      <c r="L985" s="14" t="n">
        <v>2014</v>
      </c>
      <c r="M985" s="14" t="n">
        <v>6.79234442747081</v>
      </c>
      <c r="N985" s="14" t="n">
        <v>3.91222298543081</v>
      </c>
      <c r="P985" s="14" t="n">
        <f aca="false">D985</f>
        <v>50</v>
      </c>
      <c r="Q985" s="14" t="n">
        <f aca="false">G985</f>
        <v>119</v>
      </c>
      <c r="R985" s="14" t="n">
        <f aca="false">J985</f>
        <v>8.5</v>
      </c>
      <c r="S985" s="14" t="n">
        <f aca="false">IF($L985=2012,1,0)</f>
        <v>0</v>
      </c>
      <c r="T985" s="14" t="n">
        <f aca="false">IF($L985=2013,1,0)</f>
        <v>0</v>
      </c>
      <c r="U985" s="14" t="n">
        <f aca="false">IF($L985=2014,1,0)</f>
        <v>1</v>
      </c>
      <c r="V985" s="14" t="n">
        <f aca="false">IF($L985=2015,1,0)</f>
        <v>0</v>
      </c>
      <c r="W985" s="14" t="n">
        <f aca="false">IF($L985=2016,1,0)</f>
        <v>0</v>
      </c>
      <c r="X985" s="14" t="n">
        <f aca="false">IF($L985=2017,1,0)</f>
        <v>0</v>
      </c>
      <c r="Y985" s="14" t="n">
        <f aca="false">IF($H985="Beginner Level",1,0)</f>
        <v>1</v>
      </c>
      <c r="Z985" s="14" t="n">
        <f aca="false">IF($H985="Expert Level",1,0)</f>
        <v>0</v>
      </c>
      <c r="AA985" s="14" t="n">
        <f aca="false">IF($H985="Intermediate Level",1,0)</f>
        <v>0</v>
      </c>
      <c r="AC985" s="14" t="n">
        <f aca="false">N985</f>
        <v>3.91222298543081</v>
      </c>
      <c r="AD985" s="14" t="n">
        <f aca="false">G985</f>
        <v>119</v>
      </c>
      <c r="AE985" s="14" t="n">
        <f aca="false">J985</f>
        <v>8.5</v>
      </c>
      <c r="AF985" s="14" t="n">
        <f aca="false">IF($L985=2012,1,0)</f>
        <v>0</v>
      </c>
      <c r="AG985" s="14" t="n">
        <f aca="false">IF($L985=2013,1,0)</f>
        <v>0</v>
      </c>
      <c r="AH985" s="14" t="n">
        <f aca="false">IF($L985=2014,1,0)</f>
        <v>1</v>
      </c>
      <c r="AI985" s="14" t="n">
        <f aca="false">IF($L985=2015,1,0)</f>
        <v>0</v>
      </c>
      <c r="AJ985" s="14" t="n">
        <f aca="false">IF($L985=2016,1,0)</f>
        <v>0</v>
      </c>
      <c r="AK985" s="14" t="n">
        <f aca="false">IF($L985=2017,1,0)</f>
        <v>0</v>
      </c>
      <c r="AL985" s="14" t="n">
        <f aca="false">IF($H985="Beginner Level",1,0)</f>
        <v>1</v>
      </c>
      <c r="AM985" s="14" t="n">
        <f aca="false">IF($H985="Expert Level",1,0)</f>
        <v>0</v>
      </c>
      <c r="AN985" s="14" t="n">
        <f aca="false">IF($H985="Intermediate Level",1,0)</f>
        <v>0</v>
      </c>
    </row>
    <row r="986" customFormat="false" ht="68.65" hidden="false" customHeight="false" outlineLevel="0" collapsed="false">
      <c r="A986" s="14" t="n">
        <v>610202</v>
      </c>
      <c r="B986" s="14" t="s">
        <v>2013</v>
      </c>
      <c r="C986" s="14" t="s">
        <v>2014</v>
      </c>
      <c r="D986" s="14" t="n">
        <v>120</v>
      </c>
      <c r="E986" s="14" t="n">
        <v>885</v>
      </c>
      <c r="F986" s="14" t="n">
        <v>3</v>
      </c>
      <c r="G986" s="14" t="n">
        <v>13</v>
      </c>
      <c r="H986" s="14" t="s">
        <v>62</v>
      </c>
      <c r="I986" s="14" t="n">
        <v>0.87</v>
      </c>
      <c r="J986" s="14" t="n">
        <v>1.5</v>
      </c>
      <c r="K986" s="14" t="s">
        <v>59</v>
      </c>
      <c r="L986" s="14" t="n">
        <v>2015</v>
      </c>
      <c r="M986" s="14" t="n">
        <v>6.78558764500793</v>
      </c>
      <c r="N986" s="14" t="n">
        <v>4.78757507264335</v>
      </c>
      <c r="P986" s="14" t="n">
        <f aca="false">D986</f>
        <v>120</v>
      </c>
      <c r="Q986" s="14" t="n">
        <f aca="false">G986</f>
        <v>13</v>
      </c>
      <c r="R986" s="14" t="n">
        <f aca="false">J986</f>
        <v>1.5</v>
      </c>
      <c r="S986" s="14" t="n">
        <f aca="false">IF($L986=2012,1,0)</f>
        <v>0</v>
      </c>
      <c r="T986" s="14" t="n">
        <f aca="false">IF($L986=2013,1,0)</f>
        <v>0</v>
      </c>
      <c r="U986" s="14" t="n">
        <f aca="false">IF($L986=2014,1,0)</f>
        <v>0</v>
      </c>
      <c r="V986" s="14" t="n">
        <f aca="false">IF($L986=2015,1,0)</f>
        <v>1</v>
      </c>
      <c r="W986" s="14" t="n">
        <f aca="false">IF($L986=2016,1,0)</f>
        <v>0</v>
      </c>
      <c r="X986" s="14" t="n">
        <f aca="false">IF($L986=2017,1,0)</f>
        <v>0</v>
      </c>
      <c r="Y986" s="14" t="n">
        <f aca="false">IF($H986="Beginner Level",1,0)</f>
        <v>0</v>
      </c>
      <c r="Z986" s="14" t="n">
        <f aca="false">IF($H986="Expert Level",1,0)</f>
        <v>0</v>
      </c>
      <c r="AA986" s="14" t="n">
        <f aca="false">IF($H986="Intermediate Level",1,0)</f>
        <v>0</v>
      </c>
      <c r="AC986" s="14" t="n">
        <f aca="false">N986</f>
        <v>4.78757507264335</v>
      </c>
      <c r="AD986" s="14" t="n">
        <f aca="false">G986</f>
        <v>13</v>
      </c>
      <c r="AE986" s="14" t="n">
        <f aca="false">J986</f>
        <v>1.5</v>
      </c>
      <c r="AF986" s="14" t="n">
        <f aca="false">IF($L986=2012,1,0)</f>
        <v>0</v>
      </c>
      <c r="AG986" s="14" t="n">
        <f aca="false">IF($L986=2013,1,0)</f>
        <v>0</v>
      </c>
      <c r="AH986" s="14" t="n">
        <f aca="false">IF($L986=2014,1,0)</f>
        <v>0</v>
      </c>
      <c r="AI986" s="14" t="n">
        <f aca="false">IF($L986=2015,1,0)</f>
        <v>1</v>
      </c>
      <c r="AJ986" s="14" t="n">
        <f aca="false">IF($L986=2016,1,0)</f>
        <v>0</v>
      </c>
      <c r="AK986" s="14" t="n">
        <f aca="false">IF($L986=2017,1,0)</f>
        <v>0</v>
      </c>
      <c r="AL986" s="14" t="n">
        <f aca="false">IF($H986="Beginner Level",1,0)</f>
        <v>0</v>
      </c>
      <c r="AM986" s="14" t="n">
        <f aca="false">IF($H986="Expert Level",1,0)</f>
        <v>0</v>
      </c>
      <c r="AN986" s="14" t="n">
        <f aca="false">IF($H986="Intermediate Level",1,0)</f>
        <v>0</v>
      </c>
    </row>
    <row r="987" customFormat="false" ht="57.45" hidden="false" customHeight="false" outlineLevel="0" collapsed="false">
      <c r="A987" s="14" t="n">
        <v>783686</v>
      </c>
      <c r="B987" s="14" t="s">
        <v>2015</v>
      </c>
      <c r="C987" s="14" t="s">
        <v>2016</v>
      </c>
      <c r="D987" s="14" t="n">
        <v>20</v>
      </c>
      <c r="E987" s="14" t="n">
        <v>880</v>
      </c>
      <c r="F987" s="14" t="n">
        <v>6</v>
      </c>
      <c r="G987" s="14" t="n">
        <v>24</v>
      </c>
      <c r="H987" s="14" t="s">
        <v>52</v>
      </c>
      <c r="I987" s="14" t="n">
        <v>0.84</v>
      </c>
      <c r="J987" s="14" t="n">
        <v>3</v>
      </c>
      <c r="K987" s="14" t="s">
        <v>59</v>
      </c>
      <c r="L987" s="14" t="n">
        <v>2016</v>
      </c>
      <c r="M987" s="14" t="n">
        <v>6.77992190747225</v>
      </c>
      <c r="N987" s="14" t="n">
        <v>2.99623214859564</v>
      </c>
      <c r="P987" s="14" t="n">
        <f aca="false">D987</f>
        <v>20</v>
      </c>
      <c r="Q987" s="14" t="n">
        <f aca="false">G987</f>
        <v>24</v>
      </c>
      <c r="R987" s="14" t="n">
        <f aca="false">J987</f>
        <v>3</v>
      </c>
      <c r="S987" s="14" t="n">
        <f aca="false">IF($L987=2012,1,0)</f>
        <v>0</v>
      </c>
      <c r="T987" s="14" t="n">
        <f aca="false">IF($L987=2013,1,0)</f>
        <v>0</v>
      </c>
      <c r="U987" s="14" t="n">
        <f aca="false">IF($L987=2014,1,0)</f>
        <v>0</v>
      </c>
      <c r="V987" s="14" t="n">
        <f aca="false">IF($L987=2015,1,0)</f>
        <v>0</v>
      </c>
      <c r="W987" s="14" t="n">
        <f aca="false">IF($L987=2016,1,0)</f>
        <v>1</v>
      </c>
      <c r="X987" s="14" t="n">
        <f aca="false">IF($L987=2017,1,0)</f>
        <v>0</v>
      </c>
      <c r="Y987" s="14" t="n">
        <f aca="false">IF($H987="Beginner Level",1,0)</f>
        <v>1</v>
      </c>
      <c r="Z987" s="14" t="n">
        <f aca="false">IF($H987="Expert Level",1,0)</f>
        <v>0</v>
      </c>
      <c r="AA987" s="14" t="n">
        <f aca="false">IF($H987="Intermediate Level",1,0)</f>
        <v>0</v>
      </c>
      <c r="AC987" s="14" t="n">
        <f aca="false">N987</f>
        <v>2.99623214859564</v>
      </c>
      <c r="AD987" s="14" t="n">
        <f aca="false">G987</f>
        <v>24</v>
      </c>
      <c r="AE987" s="14" t="n">
        <f aca="false">J987</f>
        <v>3</v>
      </c>
      <c r="AF987" s="14" t="n">
        <f aca="false">IF($L987=2012,1,0)</f>
        <v>0</v>
      </c>
      <c r="AG987" s="14" t="n">
        <f aca="false">IF($L987=2013,1,0)</f>
        <v>0</v>
      </c>
      <c r="AH987" s="14" t="n">
        <f aca="false">IF($L987=2014,1,0)</f>
        <v>0</v>
      </c>
      <c r="AI987" s="14" t="n">
        <f aca="false">IF($L987=2015,1,0)</f>
        <v>0</v>
      </c>
      <c r="AJ987" s="14" t="n">
        <f aca="false">IF($L987=2016,1,0)</f>
        <v>1</v>
      </c>
      <c r="AK987" s="14" t="n">
        <f aca="false">IF($L987=2017,1,0)</f>
        <v>0</v>
      </c>
      <c r="AL987" s="14" t="n">
        <f aca="false">IF($H987="Beginner Level",1,0)</f>
        <v>1</v>
      </c>
      <c r="AM987" s="14" t="n">
        <f aca="false">IF($H987="Expert Level",1,0)</f>
        <v>0</v>
      </c>
      <c r="AN987" s="14" t="n">
        <f aca="false">IF($H987="Intermediate Level",1,0)</f>
        <v>0</v>
      </c>
    </row>
    <row r="988" customFormat="false" ht="57.45" hidden="false" customHeight="false" outlineLevel="0" collapsed="false">
      <c r="A988" s="14" t="n">
        <v>968292</v>
      </c>
      <c r="B988" s="14" t="s">
        <v>2017</v>
      </c>
      <c r="C988" s="14" t="s">
        <v>2018</v>
      </c>
      <c r="D988" s="14" t="n">
        <v>40</v>
      </c>
      <c r="E988" s="14" t="n">
        <v>878</v>
      </c>
      <c r="F988" s="14" t="n">
        <v>6</v>
      </c>
      <c r="G988" s="14" t="n">
        <v>8</v>
      </c>
      <c r="H988" s="14" t="s">
        <v>52</v>
      </c>
      <c r="I988" s="14" t="n">
        <v>0.55</v>
      </c>
      <c r="J988" s="14" t="n">
        <v>0.61666667</v>
      </c>
      <c r="K988" s="14" t="s">
        <v>59</v>
      </c>
      <c r="L988" s="14" t="n">
        <v>2016</v>
      </c>
      <c r="M988" s="14" t="n">
        <v>6.77764659363512</v>
      </c>
      <c r="N988" s="14" t="n">
        <v>3.68912942286914</v>
      </c>
      <c r="P988" s="14" t="n">
        <f aca="false">D988</f>
        <v>40</v>
      </c>
      <c r="Q988" s="14" t="n">
        <f aca="false">G988</f>
        <v>8</v>
      </c>
      <c r="R988" s="14" t="n">
        <f aca="false">J988</f>
        <v>0.61666667</v>
      </c>
      <c r="S988" s="14" t="n">
        <f aca="false">IF($L988=2012,1,0)</f>
        <v>0</v>
      </c>
      <c r="T988" s="14" t="n">
        <f aca="false">IF($L988=2013,1,0)</f>
        <v>0</v>
      </c>
      <c r="U988" s="14" t="n">
        <f aca="false">IF($L988=2014,1,0)</f>
        <v>0</v>
      </c>
      <c r="V988" s="14" t="n">
        <f aca="false">IF($L988=2015,1,0)</f>
        <v>0</v>
      </c>
      <c r="W988" s="14" t="n">
        <f aca="false">IF($L988=2016,1,0)</f>
        <v>1</v>
      </c>
      <c r="X988" s="14" t="n">
        <f aca="false">IF($L988=2017,1,0)</f>
        <v>0</v>
      </c>
      <c r="Y988" s="14" t="n">
        <f aca="false">IF($H988="Beginner Level",1,0)</f>
        <v>1</v>
      </c>
      <c r="Z988" s="14" t="n">
        <f aca="false">IF($H988="Expert Level",1,0)</f>
        <v>0</v>
      </c>
      <c r="AA988" s="14" t="n">
        <f aca="false">IF($H988="Intermediate Level",1,0)</f>
        <v>0</v>
      </c>
      <c r="AC988" s="14" t="n">
        <f aca="false">N988</f>
        <v>3.68912942286914</v>
      </c>
      <c r="AD988" s="14" t="n">
        <f aca="false">G988</f>
        <v>8</v>
      </c>
      <c r="AE988" s="14" t="n">
        <f aca="false">J988</f>
        <v>0.61666667</v>
      </c>
      <c r="AF988" s="14" t="n">
        <f aca="false">IF($L988=2012,1,0)</f>
        <v>0</v>
      </c>
      <c r="AG988" s="14" t="n">
        <f aca="false">IF($L988=2013,1,0)</f>
        <v>0</v>
      </c>
      <c r="AH988" s="14" t="n">
        <f aca="false">IF($L988=2014,1,0)</f>
        <v>0</v>
      </c>
      <c r="AI988" s="14" t="n">
        <f aca="false">IF($L988=2015,1,0)</f>
        <v>0</v>
      </c>
      <c r="AJ988" s="14" t="n">
        <f aca="false">IF($L988=2016,1,0)</f>
        <v>1</v>
      </c>
      <c r="AK988" s="14" t="n">
        <f aca="false">IF($L988=2017,1,0)</f>
        <v>0</v>
      </c>
      <c r="AL988" s="14" t="n">
        <f aca="false">IF($H988="Beginner Level",1,0)</f>
        <v>1</v>
      </c>
      <c r="AM988" s="14" t="n">
        <f aca="false">IF($H988="Expert Level",1,0)</f>
        <v>0</v>
      </c>
      <c r="AN988" s="14" t="n">
        <f aca="false">IF($H988="Intermediate Level",1,0)</f>
        <v>0</v>
      </c>
    </row>
    <row r="989" customFormat="false" ht="46.25" hidden="false" customHeight="false" outlineLevel="0" collapsed="false">
      <c r="A989" s="14" t="n">
        <v>968278</v>
      </c>
      <c r="B989" s="14" t="s">
        <v>2019</v>
      </c>
      <c r="C989" s="14" t="s">
        <v>2020</v>
      </c>
      <c r="D989" s="14" t="n">
        <v>35</v>
      </c>
      <c r="E989" s="14" t="n">
        <v>877</v>
      </c>
      <c r="F989" s="14" t="n">
        <v>6</v>
      </c>
      <c r="G989" s="14" t="n">
        <v>7</v>
      </c>
      <c r="H989" s="14" t="s">
        <v>62</v>
      </c>
      <c r="I989" s="14" t="n">
        <v>0.67</v>
      </c>
      <c r="J989" s="14" t="n">
        <v>0.53333333</v>
      </c>
      <c r="K989" s="14" t="s">
        <v>59</v>
      </c>
      <c r="L989" s="14" t="n">
        <v>2016</v>
      </c>
      <c r="M989" s="14" t="n">
        <v>6.77650699237218</v>
      </c>
      <c r="N989" s="14" t="n">
        <v>3.55563373496657</v>
      </c>
      <c r="P989" s="14" t="n">
        <f aca="false">D989</f>
        <v>35</v>
      </c>
      <c r="Q989" s="14" t="n">
        <f aca="false">G989</f>
        <v>7</v>
      </c>
      <c r="R989" s="14" t="n">
        <f aca="false">J989</f>
        <v>0.53333333</v>
      </c>
      <c r="S989" s="14" t="n">
        <f aca="false">IF($L989=2012,1,0)</f>
        <v>0</v>
      </c>
      <c r="T989" s="14" t="n">
        <f aca="false">IF($L989=2013,1,0)</f>
        <v>0</v>
      </c>
      <c r="U989" s="14" t="n">
        <f aca="false">IF($L989=2014,1,0)</f>
        <v>0</v>
      </c>
      <c r="V989" s="14" t="n">
        <f aca="false">IF($L989=2015,1,0)</f>
        <v>0</v>
      </c>
      <c r="W989" s="14" t="n">
        <f aca="false">IF($L989=2016,1,0)</f>
        <v>1</v>
      </c>
      <c r="X989" s="14" t="n">
        <f aca="false">IF($L989=2017,1,0)</f>
        <v>0</v>
      </c>
      <c r="Y989" s="14" t="n">
        <f aca="false">IF($H989="Beginner Level",1,0)</f>
        <v>0</v>
      </c>
      <c r="Z989" s="14" t="n">
        <f aca="false">IF($H989="Expert Level",1,0)</f>
        <v>0</v>
      </c>
      <c r="AA989" s="14" t="n">
        <f aca="false">IF($H989="Intermediate Level",1,0)</f>
        <v>0</v>
      </c>
      <c r="AC989" s="14" t="n">
        <f aca="false">N989</f>
        <v>3.55563373496657</v>
      </c>
      <c r="AD989" s="14" t="n">
        <f aca="false">G989</f>
        <v>7</v>
      </c>
      <c r="AE989" s="14" t="n">
        <f aca="false">J989</f>
        <v>0.53333333</v>
      </c>
      <c r="AF989" s="14" t="n">
        <f aca="false">IF($L989=2012,1,0)</f>
        <v>0</v>
      </c>
      <c r="AG989" s="14" t="n">
        <f aca="false">IF($L989=2013,1,0)</f>
        <v>0</v>
      </c>
      <c r="AH989" s="14" t="n">
        <f aca="false">IF($L989=2014,1,0)</f>
        <v>0</v>
      </c>
      <c r="AI989" s="14" t="n">
        <f aca="false">IF($L989=2015,1,0)</f>
        <v>0</v>
      </c>
      <c r="AJ989" s="14" t="n">
        <f aca="false">IF($L989=2016,1,0)</f>
        <v>1</v>
      </c>
      <c r="AK989" s="14" t="n">
        <f aca="false">IF($L989=2017,1,0)</f>
        <v>0</v>
      </c>
      <c r="AL989" s="14" t="n">
        <f aca="false">IF($H989="Beginner Level",1,0)</f>
        <v>0</v>
      </c>
      <c r="AM989" s="14" t="n">
        <f aca="false">IF($H989="Expert Level",1,0)</f>
        <v>0</v>
      </c>
      <c r="AN989" s="14" t="n">
        <f aca="false">IF($H989="Intermediate Level",1,0)</f>
        <v>0</v>
      </c>
    </row>
    <row r="990" customFormat="false" ht="79.85" hidden="false" customHeight="false" outlineLevel="0" collapsed="false">
      <c r="A990" s="14" t="n">
        <v>525114</v>
      </c>
      <c r="B990" s="14" t="s">
        <v>2021</v>
      </c>
      <c r="C990" s="14" t="s">
        <v>2022</v>
      </c>
      <c r="D990" s="14" t="n">
        <v>85</v>
      </c>
      <c r="E990" s="14" t="n">
        <v>876</v>
      </c>
      <c r="F990" s="14" t="n">
        <v>59</v>
      </c>
      <c r="G990" s="14" t="n">
        <v>28</v>
      </c>
      <c r="H990" s="14" t="s">
        <v>71</v>
      </c>
      <c r="I990" s="14" t="n">
        <v>0.48</v>
      </c>
      <c r="J990" s="14" t="n">
        <v>2</v>
      </c>
      <c r="K990" s="14" t="s">
        <v>59</v>
      </c>
      <c r="L990" s="14" t="n">
        <v>2015</v>
      </c>
      <c r="M990" s="14" t="n">
        <v>6.77536609093639</v>
      </c>
      <c r="N990" s="14" t="n">
        <v>4.44276889662927</v>
      </c>
      <c r="P990" s="14" t="n">
        <f aca="false">D990</f>
        <v>85</v>
      </c>
      <c r="Q990" s="14" t="n">
        <f aca="false">G990</f>
        <v>28</v>
      </c>
      <c r="R990" s="14" t="n">
        <f aca="false">J990</f>
        <v>2</v>
      </c>
      <c r="S990" s="14" t="n">
        <f aca="false">IF($L990=2012,1,0)</f>
        <v>0</v>
      </c>
      <c r="T990" s="14" t="n">
        <f aca="false">IF($L990=2013,1,0)</f>
        <v>0</v>
      </c>
      <c r="U990" s="14" t="n">
        <f aca="false">IF($L990=2014,1,0)</f>
        <v>0</v>
      </c>
      <c r="V990" s="14" t="n">
        <f aca="false">IF($L990=2015,1,0)</f>
        <v>1</v>
      </c>
      <c r="W990" s="14" t="n">
        <f aca="false">IF($L990=2016,1,0)</f>
        <v>0</v>
      </c>
      <c r="X990" s="14" t="n">
        <f aca="false">IF($L990=2017,1,0)</f>
        <v>0</v>
      </c>
      <c r="Y990" s="14" t="n">
        <f aca="false">IF($H990="Beginner Level",1,0)</f>
        <v>0</v>
      </c>
      <c r="Z990" s="14" t="n">
        <f aca="false">IF($H990="Expert Level",1,0)</f>
        <v>0</v>
      </c>
      <c r="AA990" s="14" t="n">
        <f aca="false">IF($H990="Intermediate Level",1,0)</f>
        <v>1</v>
      </c>
      <c r="AC990" s="14" t="n">
        <f aca="false">N990</f>
        <v>4.44276889662927</v>
      </c>
      <c r="AD990" s="14" t="n">
        <f aca="false">G990</f>
        <v>28</v>
      </c>
      <c r="AE990" s="14" t="n">
        <f aca="false">J990</f>
        <v>2</v>
      </c>
      <c r="AF990" s="14" t="n">
        <f aca="false">IF($L990=2012,1,0)</f>
        <v>0</v>
      </c>
      <c r="AG990" s="14" t="n">
        <f aca="false">IF($L990=2013,1,0)</f>
        <v>0</v>
      </c>
      <c r="AH990" s="14" t="n">
        <f aca="false">IF($L990=2014,1,0)</f>
        <v>0</v>
      </c>
      <c r="AI990" s="14" t="n">
        <f aca="false">IF($L990=2015,1,0)</f>
        <v>1</v>
      </c>
      <c r="AJ990" s="14" t="n">
        <f aca="false">IF($L990=2016,1,0)</f>
        <v>0</v>
      </c>
      <c r="AK990" s="14" t="n">
        <f aca="false">IF($L990=2017,1,0)</f>
        <v>0</v>
      </c>
      <c r="AL990" s="14" t="n">
        <f aca="false">IF($H990="Beginner Level",1,0)</f>
        <v>0</v>
      </c>
      <c r="AM990" s="14" t="n">
        <f aca="false">IF($H990="Expert Level",1,0)</f>
        <v>0</v>
      </c>
      <c r="AN990" s="14" t="n">
        <f aca="false">IF($H990="Intermediate Level",1,0)</f>
        <v>1</v>
      </c>
    </row>
    <row r="991" customFormat="false" ht="57.45" hidden="false" customHeight="false" outlineLevel="0" collapsed="false">
      <c r="A991" s="14" t="n">
        <v>525034</v>
      </c>
      <c r="B991" s="14" t="s">
        <v>2023</v>
      </c>
      <c r="C991" s="14" t="s">
        <v>2024</v>
      </c>
      <c r="D991" s="14" t="n">
        <v>75</v>
      </c>
      <c r="E991" s="14" t="n">
        <v>876</v>
      </c>
      <c r="F991" s="14" t="n">
        <v>48</v>
      </c>
      <c r="G991" s="14" t="n">
        <v>29</v>
      </c>
      <c r="H991" s="14" t="s">
        <v>62</v>
      </c>
      <c r="I991" s="14" t="n">
        <v>0.78</v>
      </c>
      <c r="J991" s="14" t="n">
        <v>3</v>
      </c>
      <c r="K991" s="14" t="s">
        <v>59</v>
      </c>
      <c r="L991" s="14" t="n">
        <v>2015</v>
      </c>
      <c r="M991" s="14" t="n">
        <v>6.77536609093639</v>
      </c>
      <c r="N991" s="14" t="n">
        <v>4.31762143798155</v>
      </c>
      <c r="P991" s="14" t="n">
        <f aca="false">D991</f>
        <v>75</v>
      </c>
      <c r="Q991" s="14" t="n">
        <f aca="false">G991</f>
        <v>29</v>
      </c>
      <c r="R991" s="14" t="n">
        <f aca="false">J991</f>
        <v>3</v>
      </c>
      <c r="S991" s="14" t="n">
        <f aca="false">IF($L991=2012,1,0)</f>
        <v>0</v>
      </c>
      <c r="T991" s="14" t="n">
        <f aca="false">IF($L991=2013,1,0)</f>
        <v>0</v>
      </c>
      <c r="U991" s="14" t="n">
        <f aca="false">IF($L991=2014,1,0)</f>
        <v>0</v>
      </c>
      <c r="V991" s="14" t="n">
        <f aca="false">IF($L991=2015,1,0)</f>
        <v>1</v>
      </c>
      <c r="W991" s="14" t="n">
        <f aca="false">IF($L991=2016,1,0)</f>
        <v>0</v>
      </c>
      <c r="X991" s="14" t="n">
        <f aca="false">IF($L991=2017,1,0)</f>
        <v>0</v>
      </c>
      <c r="Y991" s="14" t="n">
        <f aca="false">IF($H991="Beginner Level",1,0)</f>
        <v>0</v>
      </c>
      <c r="Z991" s="14" t="n">
        <f aca="false">IF($H991="Expert Level",1,0)</f>
        <v>0</v>
      </c>
      <c r="AA991" s="14" t="n">
        <f aca="false">IF($H991="Intermediate Level",1,0)</f>
        <v>0</v>
      </c>
      <c r="AC991" s="14" t="n">
        <f aca="false">N991</f>
        <v>4.31762143798155</v>
      </c>
      <c r="AD991" s="14" t="n">
        <f aca="false">G991</f>
        <v>29</v>
      </c>
      <c r="AE991" s="14" t="n">
        <f aca="false">J991</f>
        <v>3</v>
      </c>
      <c r="AF991" s="14" t="n">
        <f aca="false">IF($L991=2012,1,0)</f>
        <v>0</v>
      </c>
      <c r="AG991" s="14" t="n">
        <f aca="false">IF($L991=2013,1,0)</f>
        <v>0</v>
      </c>
      <c r="AH991" s="14" t="n">
        <f aca="false">IF($L991=2014,1,0)</f>
        <v>0</v>
      </c>
      <c r="AI991" s="14" t="n">
        <f aca="false">IF($L991=2015,1,0)</f>
        <v>1</v>
      </c>
      <c r="AJ991" s="14" t="n">
        <f aca="false">IF($L991=2016,1,0)</f>
        <v>0</v>
      </c>
      <c r="AK991" s="14" t="n">
        <f aca="false">IF($L991=2017,1,0)</f>
        <v>0</v>
      </c>
      <c r="AL991" s="14" t="n">
        <f aca="false">IF($H991="Beginner Level",1,0)</f>
        <v>0</v>
      </c>
      <c r="AM991" s="14" t="n">
        <f aca="false">IF($H991="Expert Level",1,0)</f>
        <v>0</v>
      </c>
      <c r="AN991" s="14" t="n">
        <f aca="false">IF($H991="Intermediate Level",1,0)</f>
        <v>0</v>
      </c>
    </row>
    <row r="992" customFormat="false" ht="46.25" hidden="false" customHeight="false" outlineLevel="0" collapsed="false">
      <c r="A992" s="14" t="n">
        <v>720356</v>
      </c>
      <c r="B992" s="14" t="s">
        <v>2025</v>
      </c>
      <c r="C992" s="14" t="s">
        <v>2026</v>
      </c>
      <c r="D992" s="14" t="n">
        <v>195</v>
      </c>
      <c r="E992" s="14" t="n">
        <v>869</v>
      </c>
      <c r="F992" s="14" t="n">
        <v>99</v>
      </c>
      <c r="G992" s="14" t="n">
        <v>38</v>
      </c>
      <c r="H992" s="14" t="s">
        <v>62</v>
      </c>
      <c r="I992" s="14" t="n">
        <v>0.55</v>
      </c>
      <c r="J992" s="14" t="n">
        <v>5</v>
      </c>
      <c r="K992" s="14" t="s">
        <v>59</v>
      </c>
      <c r="L992" s="14" t="n">
        <v>2016</v>
      </c>
      <c r="M992" s="14" t="n">
        <v>6.76734312526539</v>
      </c>
      <c r="N992" s="14" t="n">
        <v>5.27305083930015</v>
      </c>
      <c r="P992" s="14" t="n">
        <f aca="false">D992</f>
        <v>195</v>
      </c>
      <c r="Q992" s="14" t="n">
        <f aca="false">G992</f>
        <v>38</v>
      </c>
      <c r="R992" s="14" t="n">
        <f aca="false">J992</f>
        <v>5</v>
      </c>
      <c r="S992" s="14" t="n">
        <f aca="false">IF($L992=2012,1,0)</f>
        <v>0</v>
      </c>
      <c r="T992" s="14" t="n">
        <f aca="false">IF($L992=2013,1,0)</f>
        <v>0</v>
      </c>
      <c r="U992" s="14" t="n">
        <f aca="false">IF($L992=2014,1,0)</f>
        <v>0</v>
      </c>
      <c r="V992" s="14" t="n">
        <f aca="false">IF($L992=2015,1,0)</f>
        <v>0</v>
      </c>
      <c r="W992" s="14" t="n">
        <f aca="false">IF($L992=2016,1,0)</f>
        <v>1</v>
      </c>
      <c r="X992" s="14" t="n">
        <f aca="false">IF($L992=2017,1,0)</f>
        <v>0</v>
      </c>
      <c r="Y992" s="14" t="n">
        <f aca="false">IF($H992="Beginner Level",1,0)</f>
        <v>0</v>
      </c>
      <c r="Z992" s="14" t="n">
        <f aca="false">IF($H992="Expert Level",1,0)</f>
        <v>0</v>
      </c>
      <c r="AA992" s="14" t="n">
        <f aca="false">IF($H992="Intermediate Level",1,0)</f>
        <v>0</v>
      </c>
      <c r="AC992" s="14" t="n">
        <f aca="false">N992</f>
        <v>5.27305083930015</v>
      </c>
      <c r="AD992" s="14" t="n">
        <f aca="false">G992</f>
        <v>38</v>
      </c>
      <c r="AE992" s="14" t="n">
        <f aca="false">J992</f>
        <v>5</v>
      </c>
      <c r="AF992" s="14" t="n">
        <f aca="false">IF($L992=2012,1,0)</f>
        <v>0</v>
      </c>
      <c r="AG992" s="14" t="n">
        <f aca="false">IF($L992=2013,1,0)</f>
        <v>0</v>
      </c>
      <c r="AH992" s="14" t="n">
        <f aca="false">IF($L992=2014,1,0)</f>
        <v>0</v>
      </c>
      <c r="AI992" s="14" t="n">
        <f aca="false">IF($L992=2015,1,0)</f>
        <v>0</v>
      </c>
      <c r="AJ992" s="14" t="n">
        <f aca="false">IF($L992=2016,1,0)</f>
        <v>1</v>
      </c>
      <c r="AK992" s="14" t="n">
        <f aca="false">IF($L992=2017,1,0)</f>
        <v>0</v>
      </c>
      <c r="AL992" s="14" t="n">
        <f aca="false">IF($H992="Beginner Level",1,0)</f>
        <v>0</v>
      </c>
      <c r="AM992" s="14" t="n">
        <f aca="false">IF($H992="Expert Level",1,0)</f>
        <v>0</v>
      </c>
      <c r="AN992" s="14" t="n">
        <f aca="false">IF($H992="Intermediate Level",1,0)</f>
        <v>0</v>
      </c>
    </row>
    <row r="993" customFormat="false" ht="57.45" hidden="false" customHeight="false" outlineLevel="0" collapsed="false">
      <c r="A993" s="14" t="n">
        <v>431576</v>
      </c>
      <c r="B993" s="14" t="s">
        <v>2027</v>
      </c>
      <c r="C993" s="14" t="s">
        <v>2028</v>
      </c>
      <c r="D993" s="14" t="n">
        <v>50</v>
      </c>
      <c r="E993" s="14" t="n">
        <v>869</v>
      </c>
      <c r="F993" s="14" t="n">
        <v>125</v>
      </c>
      <c r="G993" s="14" t="n">
        <v>78</v>
      </c>
      <c r="H993" s="14" t="s">
        <v>62</v>
      </c>
      <c r="I993" s="14" t="n">
        <v>0.78</v>
      </c>
      <c r="J993" s="14" t="n">
        <v>14</v>
      </c>
      <c r="K993" s="14" t="s">
        <v>59</v>
      </c>
      <c r="L993" s="14" t="n">
        <v>2015</v>
      </c>
      <c r="M993" s="14" t="n">
        <v>6.76734312526539</v>
      </c>
      <c r="N993" s="14" t="n">
        <v>3.91222298543081</v>
      </c>
      <c r="P993" s="14" t="n">
        <f aca="false">D993</f>
        <v>50</v>
      </c>
      <c r="Q993" s="14" t="n">
        <f aca="false">G993</f>
        <v>78</v>
      </c>
      <c r="R993" s="14" t="n">
        <f aca="false">J993</f>
        <v>14</v>
      </c>
      <c r="S993" s="14" t="n">
        <f aca="false">IF($L993=2012,1,0)</f>
        <v>0</v>
      </c>
      <c r="T993" s="14" t="n">
        <f aca="false">IF($L993=2013,1,0)</f>
        <v>0</v>
      </c>
      <c r="U993" s="14" t="n">
        <f aca="false">IF($L993=2014,1,0)</f>
        <v>0</v>
      </c>
      <c r="V993" s="14" t="n">
        <f aca="false">IF($L993=2015,1,0)</f>
        <v>1</v>
      </c>
      <c r="W993" s="14" t="n">
        <f aca="false">IF($L993=2016,1,0)</f>
        <v>0</v>
      </c>
      <c r="X993" s="14" t="n">
        <f aca="false">IF($L993=2017,1,0)</f>
        <v>0</v>
      </c>
      <c r="Y993" s="14" t="n">
        <f aca="false">IF($H993="Beginner Level",1,0)</f>
        <v>0</v>
      </c>
      <c r="Z993" s="14" t="n">
        <f aca="false">IF($H993="Expert Level",1,0)</f>
        <v>0</v>
      </c>
      <c r="AA993" s="14" t="n">
        <f aca="false">IF($H993="Intermediate Level",1,0)</f>
        <v>0</v>
      </c>
      <c r="AC993" s="14" t="n">
        <f aca="false">N993</f>
        <v>3.91222298543081</v>
      </c>
      <c r="AD993" s="14" t="n">
        <f aca="false">G993</f>
        <v>78</v>
      </c>
      <c r="AE993" s="14" t="n">
        <f aca="false">J993</f>
        <v>14</v>
      </c>
      <c r="AF993" s="14" t="n">
        <f aca="false">IF($L993=2012,1,0)</f>
        <v>0</v>
      </c>
      <c r="AG993" s="14" t="n">
        <f aca="false">IF($L993=2013,1,0)</f>
        <v>0</v>
      </c>
      <c r="AH993" s="14" t="n">
        <f aca="false">IF($L993=2014,1,0)</f>
        <v>0</v>
      </c>
      <c r="AI993" s="14" t="n">
        <f aca="false">IF($L993=2015,1,0)</f>
        <v>1</v>
      </c>
      <c r="AJ993" s="14" t="n">
        <f aca="false">IF($L993=2016,1,0)</f>
        <v>0</v>
      </c>
      <c r="AK993" s="14" t="n">
        <f aca="false">IF($L993=2017,1,0)</f>
        <v>0</v>
      </c>
      <c r="AL993" s="14" t="n">
        <f aca="false">IF($H993="Beginner Level",1,0)</f>
        <v>0</v>
      </c>
      <c r="AM993" s="14" t="n">
        <f aca="false">IF($H993="Expert Level",1,0)</f>
        <v>0</v>
      </c>
      <c r="AN993" s="14" t="n">
        <f aca="false">IF($H993="Intermediate Level",1,0)</f>
        <v>0</v>
      </c>
    </row>
    <row r="994" customFormat="false" ht="79.85" hidden="false" customHeight="false" outlineLevel="0" collapsed="false">
      <c r="A994" s="14" t="n">
        <v>667992</v>
      </c>
      <c r="B994" s="14" t="s">
        <v>2029</v>
      </c>
      <c r="C994" s="14" t="s">
        <v>2030</v>
      </c>
      <c r="D994" s="14" t="n">
        <v>125</v>
      </c>
      <c r="E994" s="14" t="n">
        <v>867</v>
      </c>
      <c r="F994" s="14" t="n">
        <v>177</v>
      </c>
      <c r="G994" s="14" t="n">
        <v>48</v>
      </c>
      <c r="H994" s="14" t="s">
        <v>52</v>
      </c>
      <c r="I994" s="14" t="n">
        <v>0.12</v>
      </c>
      <c r="J994" s="14" t="n">
        <v>4</v>
      </c>
      <c r="K994" s="14" t="s">
        <v>59</v>
      </c>
      <c r="L994" s="14" t="n">
        <v>2016</v>
      </c>
      <c r="M994" s="14" t="n">
        <v>6.76503897678054</v>
      </c>
      <c r="N994" s="14" t="n">
        <v>4.82839373410247</v>
      </c>
      <c r="P994" s="14" t="n">
        <f aca="false">D994</f>
        <v>125</v>
      </c>
      <c r="Q994" s="14" t="n">
        <f aca="false">G994</f>
        <v>48</v>
      </c>
      <c r="R994" s="14" t="n">
        <f aca="false">J994</f>
        <v>4</v>
      </c>
      <c r="S994" s="14" t="n">
        <f aca="false">IF($L994=2012,1,0)</f>
        <v>0</v>
      </c>
      <c r="T994" s="14" t="n">
        <f aca="false">IF($L994=2013,1,0)</f>
        <v>0</v>
      </c>
      <c r="U994" s="14" t="n">
        <f aca="false">IF($L994=2014,1,0)</f>
        <v>0</v>
      </c>
      <c r="V994" s="14" t="n">
        <f aca="false">IF($L994=2015,1,0)</f>
        <v>0</v>
      </c>
      <c r="W994" s="14" t="n">
        <f aca="false">IF($L994=2016,1,0)</f>
        <v>1</v>
      </c>
      <c r="X994" s="14" t="n">
        <f aca="false">IF($L994=2017,1,0)</f>
        <v>0</v>
      </c>
      <c r="Y994" s="14" t="n">
        <f aca="false">IF($H994="Beginner Level",1,0)</f>
        <v>1</v>
      </c>
      <c r="Z994" s="14" t="n">
        <f aca="false">IF($H994="Expert Level",1,0)</f>
        <v>0</v>
      </c>
      <c r="AA994" s="14" t="n">
        <f aca="false">IF($H994="Intermediate Level",1,0)</f>
        <v>0</v>
      </c>
      <c r="AC994" s="14" t="n">
        <f aca="false">N994</f>
        <v>4.82839373410247</v>
      </c>
      <c r="AD994" s="14" t="n">
        <f aca="false">G994</f>
        <v>48</v>
      </c>
      <c r="AE994" s="14" t="n">
        <f aca="false">J994</f>
        <v>4</v>
      </c>
      <c r="AF994" s="14" t="n">
        <f aca="false">IF($L994=2012,1,0)</f>
        <v>0</v>
      </c>
      <c r="AG994" s="14" t="n">
        <f aca="false">IF($L994=2013,1,0)</f>
        <v>0</v>
      </c>
      <c r="AH994" s="14" t="n">
        <f aca="false">IF($L994=2014,1,0)</f>
        <v>0</v>
      </c>
      <c r="AI994" s="14" t="n">
        <f aca="false">IF($L994=2015,1,0)</f>
        <v>0</v>
      </c>
      <c r="AJ994" s="14" t="n">
        <f aca="false">IF($L994=2016,1,0)</f>
        <v>1</v>
      </c>
      <c r="AK994" s="14" t="n">
        <f aca="false">IF($L994=2017,1,0)</f>
        <v>0</v>
      </c>
      <c r="AL994" s="14" t="n">
        <f aca="false">IF($H994="Beginner Level",1,0)</f>
        <v>1</v>
      </c>
      <c r="AM994" s="14" t="n">
        <f aca="false">IF($H994="Expert Level",1,0)</f>
        <v>0</v>
      </c>
      <c r="AN994" s="14" t="n">
        <f aca="false">IF($H994="Intermediate Level",1,0)</f>
        <v>0</v>
      </c>
    </row>
    <row r="995" customFormat="false" ht="46.25" hidden="false" customHeight="false" outlineLevel="0" collapsed="false">
      <c r="A995" s="14" t="n">
        <v>828042</v>
      </c>
      <c r="B995" s="14" t="s">
        <v>2031</v>
      </c>
      <c r="C995" s="14" t="s">
        <v>2032</v>
      </c>
      <c r="D995" s="14" t="n">
        <v>195</v>
      </c>
      <c r="E995" s="14" t="n">
        <v>860</v>
      </c>
      <c r="F995" s="14" t="n">
        <v>201</v>
      </c>
      <c r="G995" s="14" t="n">
        <v>56</v>
      </c>
      <c r="H995" s="14" t="s">
        <v>52</v>
      </c>
      <c r="I995" s="14" t="n">
        <v>0.1</v>
      </c>
      <c r="J995" s="14" t="n">
        <v>7</v>
      </c>
      <c r="K995" s="14" t="s">
        <v>59</v>
      </c>
      <c r="L995" s="14" t="n">
        <v>2016</v>
      </c>
      <c r="M995" s="14" t="n">
        <v>6.75693238924755</v>
      </c>
      <c r="N995" s="14" t="n">
        <v>5.27305083930015</v>
      </c>
      <c r="P995" s="14" t="n">
        <f aca="false">D995</f>
        <v>195</v>
      </c>
      <c r="Q995" s="14" t="n">
        <f aca="false">G995</f>
        <v>56</v>
      </c>
      <c r="R995" s="14" t="n">
        <f aca="false">J995</f>
        <v>7</v>
      </c>
      <c r="S995" s="14" t="n">
        <f aca="false">IF($L995=2012,1,0)</f>
        <v>0</v>
      </c>
      <c r="T995" s="14" t="n">
        <f aca="false">IF($L995=2013,1,0)</f>
        <v>0</v>
      </c>
      <c r="U995" s="14" t="n">
        <f aca="false">IF($L995=2014,1,0)</f>
        <v>0</v>
      </c>
      <c r="V995" s="14" t="n">
        <f aca="false">IF($L995=2015,1,0)</f>
        <v>0</v>
      </c>
      <c r="W995" s="14" t="n">
        <f aca="false">IF($L995=2016,1,0)</f>
        <v>1</v>
      </c>
      <c r="X995" s="14" t="n">
        <f aca="false">IF($L995=2017,1,0)</f>
        <v>0</v>
      </c>
      <c r="Y995" s="14" t="n">
        <f aca="false">IF($H995="Beginner Level",1,0)</f>
        <v>1</v>
      </c>
      <c r="Z995" s="14" t="n">
        <f aca="false">IF($H995="Expert Level",1,0)</f>
        <v>0</v>
      </c>
      <c r="AA995" s="14" t="n">
        <f aca="false">IF($H995="Intermediate Level",1,0)</f>
        <v>0</v>
      </c>
      <c r="AC995" s="14" t="n">
        <f aca="false">N995</f>
        <v>5.27305083930015</v>
      </c>
      <c r="AD995" s="14" t="n">
        <f aca="false">G995</f>
        <v>56</v>
      </c>
      <c r="AE995" s="14" t="n">
        <f aca="false">J995</f>
        <v>7</v>
      </c>
      <c r="AF995" s="14" t="n">
        <f aca="false">IF($L995=2012,1,0)</f>
        <v>0</v>
      </c>
      <c r="AG995" s="14" t="n">
        <f aca="false">IF($L995=2013,1,0)</f>
        <v>0</v>
      </c>
      <c r="AH995" s="14" t="n">
        <f aca="false">IF($L995=2014,1,0)</f>
        <v>0</v>
      </c>
      <c r="AI995" s="14" t="n">
        <f aca="false">IF($L995=2015,1,0)</f>
        <v>0</v>
      </c>
      <c r="AJ995" s="14" t="n">
        <f aca="false">IF($L995=2016,1,0)</f>
        <v>1</v>
      </c>
      <c r="AK995" s="14" t="n">
        <f aca="false">IF($L995=2017,1,0)</f>
        <v>0</v>
      </c>
      <c r="AL995" s="14" t="n">
        <f aca="false">IF($H995="Beginner Level",1,0)</f>
        <v>1</v>
      </c>
      <c r="AM995" s="14" t="n">
        <f aca="false">IF($H995="Expert Level",1,0)</f>
        <v>0</v>
      </c>
      <c r="AN995" s="14" t="n">
        <f aca="false">IF($H995="Intermediate Level",1,0)</f>
        <v>0</v>
      </c>
    </row>
    <row r="996" customFormat="false" ht="68.65" hidden="false" customHeight="false" outlineLevel="0" collapsed="false">
      <c r="A996" s="14" t="n">
        <v>712960</v>
      </c>
      <c r="B996" s="14" t="s">
        <v>2033</v>
      </c>
      <c r="C996" s="14" t="s">
        <v>2034</v>
      </c>
      <c r="D996" s="14" t="n">
        <v>50</v>
      </c>
      <c r="E996" s="14" t="n">
        <v>851</v>
      </c>
      <c r="F996" s="14" t="n">
        <v>164</v>
      </c>
      <c r="G996" s="14" t="n">
        <v>75</v>
      </c>
      <c r="H996" s="14" t="s">
        <v>62</v>
      </c>
      <c r="I996" s="14" t="n">
        <v>0.11</v>
      </c>
      <c r="J996" s="14" t="n">
        <v>4.5</v>
      </c>
      <c r="K996" s="14" t="s">
        <v>59</v>
      </c>
      <c r="L996" s="14" t="n">
        <v>2016</v>
      </c>
      <c r="M996" s="14" t="n">
        <v>6.74641212857337</v>
      </c>
      <c r="N996" s="14" t="n">
        <v>3.91222298543081</v>
      </c>
      <c r="P996" s="14" t="n">
        <f aca="false">D996</f>
        <v>50</v>
      </c>
      <c r="Q996" s="14" t="n">
        <f aca="false">G996</f>
        <v>75</v>
      </c>
      <c r="R996" s="14" t="n">
        <f aca="false">J996</f>
        <v>4.5</v>
      </c>
      <c r="S996" s="14" t="n">
        <f aca="false">IF($L996=2012,1,0)</f>
        <v>0</v>
      </c>
      <c r="T996" s="14" t="n">
        <f aca="false">IF($L996=2013,1,0)</f>
        <v>0</v>
      </c>
      <c r="U996" s="14" t="n">
        <f aca="false">IF($L996=2014,1,0)</f>
        <v>0</v>
      </c>
      <c r="V996" s="14" t="n">
        <f aca="false">IF($L996=2015,1,0)</f>
        <v>0</v>
      </c>
      <c r="W996" s="14" t="n">
        <f aca="false">IF($L996=2016,1,0)</f>
        <v>1</v>
      </c>
      <c r="X996" s="14" t="n">
        <f aca="false">IF($L996=2017,1,0)</f>
        <v>0</v>
      </c>
      <c r="Y996" s="14" t="n">
        <f aca="false">IF($H996="Beginner Level",1,0)</f>
        <v>0</v>
      </c>
      <c r="Z996" s="14" t="n">
        <f aca="false">IF($H996="Expert Level",1,0)</f>
        <v>0</v>
      </c>
      <c r="AA996" s="14" t="n">
        <f aca="false">IF($H996="Intermediate Level",1,0)</f>
        <v>0</v>
      </c>
      <c r="AC996" s="14" t="n">
        <f aca="false">N996</f>
        <v>3.91222298543081</v>
      </c>
      <c r="AD996" s="14" t="n">
        <f aca="false">G996</f>
        <v>75</v>
      </c>
      <c r="AE996" s="14" t="n">
        <f aca="false">J996</f>
        <v>4.5</v>
      </c>
      <c r="AF996" s="14" t="n">
        <f aca="false">IF($L996=2012,1,0)</f>
        <v>0</v>
      </c>
      <c r="AG996" s="14" t="n">
        <f aca="false">IF($L996=2013,1,0)</f>
        <v>0</v>
      </c>
      <c r="AH996" s="14" t="n">
        <f aca="false">IF($L996=2014,1,0)</f>
        <v>0</v>
      </c>
      <c r="AI996" s="14" t="n">
        <f aca="false">IF($L996=2015,1,0)</f>
        <v>0</v>
      </c>
      <c r="AJ996" s="14" t="n">
        <f aca="false">IF($L996=2016,1,0)</f>
        <v>1</v>
      </c>
      <c r="AK996" s="14" t="n">
        <f aca="false">IF($L996=2017,1,0)</f>
        <v>0</v>
      </c>
      <c r="AL996" s="14" t="n">
        <f aca="false">IF($H996="Beginner Level",1,0)</f>
        <v>0</v>
      </c>
      <c r="AM996" s="14" t="n">
        <f aca="false">IF($H996="Expert Level",1,0)</f>
        <v>0</v>
      </c>
      <c r="AN996" s="14" t="n">
        <f aca="false">IF($H996="Intermediate Level",1,0)</f>
        <v>0</v>
      </c>
    </row>
    <row r="997" customFormat="false" ht="57.45" hidden="false" customHeight="false" outlineLevel="0" collapsed="false">
      <c r="A997" s="14" t="n">
        <v>818958</v>
      </c>
      <c r="B997" s="14" t="s">
        <v>2035</v>
      </c>
      <c r="C997" s="14" t="s">
        <v>2036</v>
      </c>
      <c r="D997" s="14" t="n">
        <v>35</v>
      </c>
      <c r="E997" s="14" t="n">
        <v>850</v>
      </c>
      <c r="F997" s="14" t="n">
        <v>12</v>
      </c>
      <c r="G997" s="14" t="n">
        <v>16</v>
      </c>
      <c r="H997" s="14" t="s">
        <v>62</v>
      </c>
      <c r="I997" s="14" t="n">
        <v>0.78</v>
      </c>
      <c r="J997" s="14" t="n">
        <v>1</v>
      </c>
      <c r="K997" s="14" t="s">
        <v>59</v>
      </c>
      <c r="L997" s="14" t="n">
        <v>2016</v>
      </c>
      <c r="M997" s="14" t="n">
        <v>6.74523634948436</v>
      </c>
      <c r="N997" s="14" t="n">
        <v>3.55563373496657</v>
      </c>
      <c r="P997" s="14" t="n">
        <f aca="false">D997</f>
        <v>35</v>
      </c>
      <c r="Q997" s="14" t="n">
        <f aca="false">G997</f>
        <v>16</v>
      </c>
      <c r="R997" s="14" t="n">
        <f aca="false">J997</f>
        <v>1</v>
      </c>
      <c r="S997" s="14" t="n">
        <f aca="false">IF($L997=2012,1,0)</f>
        <v>0</v>
      </c>
      <c r="T997" s="14" t="n">
        <f aca="false">IF($L997=2013,1,0)</f>
        <v>0</v>
      </c>
      <c r="U997" s="14" t="n">
        <f aca="false">IF($L997=2014,1,0)</f>
        <v>0</v>
      </c>
      <c r="V997" s="14" t="n">
        <f aca="false">IF($L997=2015,1,0)</f>
        <v>0</v>
      </c>
      <c r="W997" s="14" t="n">
        <f aca="false">IF($L997=2016,1,0)</f>
        <v>1</v>
      </c>
      <c r="X997" s="14" t="n">
        <f aca="false">IF($L997=2017,1,0)</f>
        <v>0</v>
      </c>
      <c r="Y997" s="14" t="n">
        <f aca="false">IF($H997="Beginner Level",1,0)</f>
        <v>0</v>
      </c>
      <c r="Z997" s="14" t="n">
        <f aca="false">IF($H997="Expert Level",1,0)</f>
        <v>0</v>
      </c>
      <c r="AA997" s="14" t="n">
        <f aca="false">IF($H997="Intermediate Level",1,0)</f>
        <v>0</v>
      </c>
      <c r="AC997" s="14" t="n">
        <f aca="false">N997</f>
        <v>3.55563373496657</v>
      </c>
      <c r="AD997" s="14" t="n">
        <f aca="false">G997</f>
        <v>16</v>
      </c>
      <c r="AE997" s="14" t="n">
        <f aca="false">J997</f>
        <v>1</v>
      </c>
      <c r="AF997" s="14" t="n">
        <f aca="false">IF($L997=2012,1,0)</f>
        <v>0</v>
      </c>
      <c r="AG997" s="14" t="n">
        <f aca="false">IF($L997=2013,1,0)</f>
        <v>0</v>
      </c>
      <c r="AH997" s="14" t="n">
        <f aca="false">IF($L997=2014,1,0)</f>
        <v>0</v>
      </c>
      <c r="AI997" s="14" t="n">
        <f aca="false">IF($L997=2015,1,0)</f>
        <v>0</v>
      </c>
      <c r="AJ997" s="14" t="n">
        <f aca="false">IF($L997=2016,1,0)</f>
        <v>1</v>
      </c>
      <c r="AK997" s="14" t="n">
        <f aca="false">IF($L997=2017,1,0)</f>
        <v>0</v>
      </c>
      <c r="AL997" s="14" t="n">
        <f aca="false">IF($H997="Beginner Level",1,0)</f>
        <v>0</v>
      </c>
      <c r="AM997" s="14" t="n">
        <f aca="false">IF($H997="Expert Level",1,0)</f>
        <v>0</v>
      </c>
      <c r="AN997" s="14" t="n">
        <f aca="false">IF($H997="Intermediate Level",1,0)</f>
        <v>0</v>
      </c>
    </row>
    <row r="998" customFormat="false" ht="91" hidden="false" customHeight="false" outlineLevel="0" collapsed="false">
      <c r="A998" s="14" t="n">
        <v>978728</v>
      </c>
      <c r="B998" s="14" t="s">
        <v>2037</v>
      </c>
      <c r="C998" s="14" t="s">
        <v>2038</v>
      </c>
      <c r="D998" s="14" t="n">
        <v>200</v>
      </c>
      <c r="E998" s="14" t="n">
        <v>842</v>
      </c>
      <c r="F998" s="14" t="n">
        <v>144</v>
      </c>
      <c r="G998" s="14" t="n">
        <v>536</v>
      </c>
      <c r="H998" s="14" t="s">
        <v>52</v>
      </c>
      <c r="I998" s="14" t="n">
        <v>0.8</v>
      </c>
      <c r="J998" s="14" t="n">
        <v>25</v>
      </c>
      <c r="K998" s="14" t="s">
        <v>59</v>
      </c>
      <c r="L998" s="14" t="n">
        <v>2016</v>
      </c>
      <c r="M998" s="14" t="n">
        <v>6.73578001424233</v>
      </c>
      <c r="N998" s="14" t="n">
        <v>5.29836736529808</v>
      </c>
      <c r="P998" s="14" t="n">
        <f aca="false">D998</f>
        <v>200</v>
      </c>
      <c r="Q998" s="14" t="n">
        <f aca="false">G998</f>
        <v>536</v>
      </c>
      <c r="R998" s="14" t="n">
        <f aca="false">J998</f>
        <v>25</v>
      </c>
      <c r="S998" s="14" t="n">
        <f aca="false">IF($L998=2012,1,0)</f>
        <v>0</v>
      </c>
      <c r="T998" s="14" t="n">
        <f aca="false">IF($L998=2013,1,0)</f>
        <v>0</v>
      </c>
      <c r="U998" s="14" t="n">
        <f aca="false">IF($L998=2014,1,0)</f>
        <v>0</v>
      </c>
      <c r="V998" s="14" t="n">
        <f aca="false">IF($L998=2015,1,0)</f>
        <v>0</v>
      </c>
      <c r="W998" s="14" t="n">
        <f aca="false">IF($L998=2016,1,0)</f>
        <v>1</v>
      </c>
      <c r="X998" s="14" t="n">
        <f aca="false">IF($L998=2017,1,0)</f>
        <v>0</v>
      </c>
      <c r="Y998" s="14" t="n">
        <f aca="false">IF($H998="Beginner Level",1,0)</f>
        <v>1</v>
      </c>
      <c r="Z998" s="14" t="n">
        <f aca="false">IF($H998="Expert Level",1,0)</f>
        <v>0</v>
      </c>
      <c r="AA998" s="14" t="n">
        <f aca="false">IF($H998="Intermediate Level",1,0)</f>
        <v>0</v>
      </c>
      <c r="AC998" s="14" t="n">
        <f aca="false">N998</f>
        <v>5.29836736529808</v>
      </c>
      <c r="AD998" s="14" t="n">
        <f aca="false">G998</f>
        <v>536</v>
      </c>
      <c r="AE998" s="14" t="n">
        <f aca="false">J998</f>
        <v>25</v>
      </c>
      <c r="AF998" s="14" t="n">
        <f aca="false">IF($L998=2012,1,0)</f>
        <v>0</v>
      </c>
      <c r="AG998" s="14" t="n">
        <f aca="false">IF($L998=2013,1,0)</f>
        <v>0</v>
      </c>
      <c r="AH998" s="14" t="n">
        <f aca="false">IF($L998=2014,1,0)</f>
        <v>0</v>
      </c>
      <c r="AI998" s="14" t="n">
        <f aca="false">IF($L998=2015,1,0)</f>
        <v>0</v>
      </c>
      <c r="AJ998" s="14" t="n">
        <f aca="false">IF($L998=2016,1,0)</f>
        <v>1</v>
      </c>
      <c r="AK998" s="14" t="n">
        <f aca="false">IF($L998=2017,1,0)</f>
        <v>0</v>
      </c>
      <c r="AL998" s="14" t="n">
        <f aca="false">IF($H998="Beginner Level",1,0)</f>
        <v>1</v>
      </c>
      <c r="AM998" s="14" t="n">
        <f aca="false">IF($H998="Expert Level",1,0)</f>
        <v>0</v>
      </c>
      <c r="AN998" s="14" t="n">
        <f aca="false">IF($H998="Intermediate Level",1,0)</f>
        <v>0</v>
      </c>
    </row>
    <row r="999" customFormat="false" ht="68.65" hidden="false" customHeight="false" outlineLevel="0" collapsed="false">
      <c r="A999" s="14" t="n">
        <v>680180</v>
      </c>
      <c r="B999" s="14" t="s">
        <v>2039</v>
      </c>
      <c r="C999" s="14" t="s">
        <v>2040</v>
      </c>
      <c r="D999" s="14" t="n">
        <v>40</v>
      </c>
      <c r="E999" s="14" t="n">
        <v>841</v>
      </c>
      <c r="F999" s="14" t="n">
        <v>99</v>
      </c>
      <c r="G999" s="14" t="n">
        <v>29</v>
      </c>
      <c r="H999" s="14" t="s">
        <v>62</v>
      </c>
      <c r="I999" s="14" t="n">
        <v>0.92</v>
      </c>
      <c r="J999" s="14" t="n">
        <v>3.5</v>
      </c>
      <c r="K999" s="14" t="s">
        <v>59</v>
      </c>
      <c r="L999" s="14" t="n">
        <v>2015</v>
      </c>
      <c r="M999" s="14" t="n">
        <v>6.73459165997295</v>
      </c>
      <c r="N999" s="14" t="n">
        <v>3.68912942286914</v>
      </c>
      <c r="P999" s="14" t="n">
        <f aca="false">D999</f>
        <v>40</v>
      </c>
      <c r="Q999" s="14" t="n">
        <f aca="false">G999</f>
        <v>29</v>
      </c>
      <c r="R999" s="14" t="n">
        <f aca="false">J999</f>
        <v>3.5</v>
      </c>
      <c r="S999" s="14" t="n">
        <f aca="false">IF($L999=2012,1,0)</f>
        <v>0</v>
      </c>
      <c r="T999" s="14" t="n">
        <f aca="false">IF($L999=2013,1,0)</f>
        <v>0</v>
      </c>
      <c r="U999" s="14" t="n">
        <f aca="false">IF($L999=2014,1,0)</f>
        <v>0</v>
      </c>
      <c r="V999" s="14" t="n">
        <f aca="false">IF($L999=2015,1,0)</f>
        <v>1</v>
      </c>
      <c r="W999" s="14" t="n">
        <f aca="false">IF($L999=2016,1,0)</f>
        <v>0</v>
      </c>
      <c r="X999" s="14" t="n">
        <f aca="false">IF($L999=2017,1,0)</f>
        <v>0</v>
      </c>
      <c r="Y999" s="14" t="n">
        <f aca="false">IF($H999="Beginner Level",1,0)</f>
        <v>0</v>
      </c>
      <c r="Z999" s="14" t="n">
        <f aca="false">IF($H999="Expert Level",1,0)</f>
        <v>0</v>
      </c>
      <c r="AA999" s="14" t="n">
        <f aca="false">IF($H999="Intermediate Level",1,0)</f>
        <v>0</v>
      </c>
      <c r="AC999" s="14" t="n">
        <f aca="false">N999</f>
        <v>3.68912942286914</v>
      </c>
      <c r="AD999" s="14" t="n">
        <f aca="false">G999</f>
        <v>29</v>
      </c>
      <c r="AE999" s="14" t="n">
        <f aca="false">J999</f>
        <v>3.5</v>
      </c>
      <c r="AF999" s="14" t="n">
        <f aca="false">IF($L999=2012,1,0)</f>
        <v>0</v>
      </c>
      <c r="AG999" s="14" t="n">
        <f aca="false">IF($L999=2013,1,0)</f>
        <v>0</v>
      </c>
      <c r="AH999" s="14" t="n">
        <f aca="false">IF($L999=2014,1,0)</f>
        <v>0</v>
      </c>
      <c r="AI999" s="14" t="n">
        <f aca="false">IF($L999=2015,1,0)</f>
        <v>1</v>
      </c>
      <c r="AJ999" s="14" t="n">
        <f aca="false">IF($L999=2016,1,0)</f>
        <v>0</v>
      </c>
      <c r="AK999" s="14" t="n">
        <f aca="false">IF($L999=2017,1,0)</f>
        <v>0</v>
      </c>
      <c r="AL999" s="14" t="n">
        <f aca="false">IF($H999="Beginner Level",1,0)</f>
        <v>0</v>
      </c>
      <c r="AM999" s="14" t="n">
        <f aca="false">IF($H999="Expert Level",1,0)</f>
        <v>0</v>
      </c>
      <c r="AN999" s="14" t="n">
        <f aca="false">IF($H999="Intermediate Level",1,0)</f>
        <v>0</v>
      </c>
    </row>
    <row r="1000" customFormat="false" ht="57.45" hidden="false" customHeight="false" outlineLevel="0" collapsed="false">
      <c r="A1000" s="14" t="n">
        <v>869448</v>
      </c>
      <c r="B1000" s="14" t="s">
        <v>2041</v>
      </c>
      <c r="C1000" s="14" t="s">
        <v>2042</v>
      </c>
      <c r="D1000" s="14" t="n">
        <v>25</v>
      </c>
      <c r="E1000" s="14" t="n">
        <v>838</v>
      </c>
      <c r="F1000" s="14" t="n">
        <v>13</v>
      </c>
      <c r="G1000" s="14" t="n">
        <v>23</v>
      </c>
      <c r="H1000" s="14" t="s">
        <v>62</v>
      </c>
      <c r="I1000" s="14" t="n">
        <v>0.86</v>
      </c>
      <c r="J1000" s="14" t="n">
        <v>2</v>
      </c>
      <c r="K1000" s="14" t="s">
        <v>59</v>
      </c>
      <c r="L1000" s="14" t="n">
        <v>2016</v>
      </c>
      <c r="M1000" s="14" t="n">
        <v>6.73101810048208</v>
      </c>
      <c r="N1000" s="14" t="n">
        <v>3.21927574488953</v>
      </c>
      <c r="P1000" s="14" t="n">
        <f aca="false">D1000</f>
        <v>25</v>
      </c>
      <c r="Q1000" s="14" t="n">
        <f aca="false">G1000</f>
        <v>23</v>
      </c>
      <c r="R1000" s="14" t="n">
        <f aca="false">J1000</f>
        <v>2</v>
      </c>
      <c r="S1000" s="14" t="n">
        <f aca="false">IF($L1000=2012,1,0)</f>
        <v>0</v>
      </c>
      <c r="T1000" s="14" t="n">
        <f aca="false">IF($L1000=2013,1,0)</f>
        <v>0</v>
      </c>
      <c r="U1000" s="14" t="n">
        <f aca="false">IF($L1000=2014,1,0)</f>
        <v>0</v>
      </c>
      <c r="V1000" s="14" t="n">
        <f aca="false">IF($L1000=2015,1,0)</f>
        <v>0</v>
      </c>
      <c r="W1000" s="14" t="n">
        <f aca="false">IF($L1000=2016,1,0)</f>
        <v>1</v>
      </c>
      <c r="X1000" s="14" t="n">
        <f aca="false">IF($L1000=2017,1,0)</f>
        <v>0</v>
      </c>
      <c r="Y1000" s="14" t="n">
        <f aca="false">IF($H1000="Beginner Level",1,0)</f>
        <v>0</v>
      </c>
      <c r="Z1000" s="14" t="n">
        <f aca="false">IF($H1000="Expert Level",1,0)</f>
        <v>0</v>
      </c>
      <c r="AA1000" s="14" t="n">
        <f aca="false">IF($H1000="Intermediate Level",1,0)</f>
        <v>0</v>
      </c>
      <c r="AC1000" s="14" t="n">
        <f aca="false">N1000</f>
        <v>3.21927574488953</v>
      </c>
      <c r="AD1000" s="14" t="n">
        <f aca="false">G1000</f>
        <v>23</v>
      </c>
      <c r="AE1000" s="14" t="n">
        <f aca="false">J1000</f>
        <v>2</v>
      </c>
      <c r="AF1000" s="14" t="n">
        <f aca="false">IF($L1000=2012,1,0)</f>
        <v>0</v>
      </c>
      <c r="AG1000" s="14" t="n">
        <f aca="false">IF($L1000=2013,1,0)</f>
        <v>0</v>
      </c>
      <c r="AH1000" s="14" t="n">
        <f aca="false">IF($L1000=2014,1,0)</f>
        <v>0</v>
      </c>
      <c r="AI1000" s="14" t="n">
        <f aca="false">IF($L1000=2015,1,0)</f>
        <v>0</v>
      </c>
      <c r="AJ1000" s="14" t="n">
        <f aca="false">IF($L1000=2016,1,0)</f>
        <v>1</v>
      </c>
      <c r="AK1000" s="14" t="n">
        <f aca="false">IF($L1000=2017,1,0)</f>
        <v>0</v>
      </c>
      <c r="AL1000" s="14" t="n">
        <f aca="false">IF($H1000="Beginner Level",1,0)</f>
        <v>0</v>
      </c>
      <c r="AM1000" s="14" t="n">
        <f aca="false">IF($H1000="Expert Level",1,0)</f>
        <v>0</v>
      </c>
      <c r="AN1000" s="14" t="n">
        <f aca="false">IF($H1000="Intermediate Level",1,0)</f>
        <v>0</v>
      </c>
    </row>
    <row r="1001" customFormat="false" ht="68.65" hidden="false" customHeight="false" outlineLevel="0" collapsed="false">
      <c r="A1001" s="14" t="n">
        <v>1226008</v>
      </c>
      <c r="B1001" s="14" t="s">
        <v>2043</v>
      </c>
      <c r="C1001" s="14" t="s">
        <v>2044</v>
      </c>
      <c r="D1001" s="14" t="n">
        <v>95</v>
      </c>
      <c r="E1001" s="14" t="n">
        <v>817</v>
      </c>
      <c r="F1001" s="14" t="n">
        <v>6</v>
      </c>
      <c r="G1001" s="14" t="n">
        <v>32</v>
      </c>
      <c r="H1001" s="14" t="s">
        <v>62</v>
      </c>
      <c r="I1001" s="14" t="n">
        <v>0.18</v>
      </c>
      <c r="J1001" s="14" t="n">
        <v>1.5</v>
      </c>
      <c r="K1001" s="14" t="s">
        <v>59</v>
      </c>
      <c r="L1001" s="14" t="n">
        <v>2017</v>
      </c>
      <c r="M1001" s="14" t="n">
        <v>6.70563909486</v>
      </c>
      <c r="N1001" s="14" t="n">
        <v>4.55398214921866</v>
      </c>
      <c r="P1001" s="14" t="n">
        <f aca="false">D1001</f>
        <v>95</v>
      </c>
      <c r="Q1001" s="14" t="n">
        <f aca="false">G1001</f>
        <v>32</v>
      </c>
      <c r="R1001" s="14" t="n">
        <f aca="false">J1001</f>
        <v>1.5</v>
      </c>
      <c r="S1001" s="14" t="n">
        <f aca="false">IF($L1001=2012,1,0)</f>
        <v>0</v>
      </c>
      <c r="T1001" s="14" t="n">
        <f aca="false">IF($L1001=2013,1,0)</f>
        <v>0</v>
      </c>
      <c r="U1001" s="14" t="n">
        <f aca="false">IF($L1001=2014,1,0)</f>
        <v>0</v>
      </c>
      <c r="V1001" s="14" t="n">
        <f aca="false">IF($L1001=2015,1,0)</f>
        <v>0</v>
      </c>
      <c r="W1001" s="14" t="n">
        <f aca="false">IF($L1001=2016,1,0)</f>
        <v>0</v>
      </c>
      <c r="X1001" s="14" t="n">
        <f aca="false">IF($L1001=2017,1,0)</f>
        <v>1</v>
      </c>
      <c r="Y1001" s="14" t="n">
        <f aca="false">IF($H1001="Beginner Level",1,0)</f>
        <v>0</v>
      </c>
      <c r="Z1001" s="14" t="n">
        <f aca="false">IF($H1001="Expert Level",1,0)</f>
        <v>0</v>
      </c>
      <c r="AA1001" s="14" t="n">
        <f aca="false">IF($H1001="Intermediate Level",1,0)</f>
        <v>0</v>
      </c>
      <c r="AC1001" s="14" t="n">
        <f aca="false">N1001</f>
        <v>4.55398214921866</v>
      </c>
      <c r="AD1001" s="14" t="n">
        <f aca="false">G1001</f>
        <v>32</v>
      </c>
      <c r="AE1001" s="14" t="n">
        <f aca="false">J1001</f>
        <v>1.5</v>
      </c>
      <c r="AF1001" s="14" t="n">
        <f aca="false">IF($L1001=2012,1,0)</f>
        <v>0</v>
      </c>
      <c r="AG1001" s="14" t="n">
        <f aca="false">IF($L1001=2013,1,0)</f>
        <v>0</v>
      </c>
      <c r="AH1001" s="14" t="n">
        <f aca="false">IF($L1001=2014,1,0)</f>
        <v>0</v>
      </c>
      <c r="AI1001" s="14" t="n">
        <f aca="false">IF($L1001=2015,1,0)</f>
        <v>0</v>
      </c>
      <c r="AJ1001" s="14" t="n">
        <f aca="false">IF($L1001=2016,1,0)</f>
        <v>0</v>
      </c>
      <c r="AK1001" s="14" t="n">
        <f aca="false">IF($L1001=2017,1,0)</f>
        <v>1</v>
      </c>
      <c r="AL1001" s="14" t="n">
        <f aca="false">IF($H1001="Beginner Level",1,0)</f>
        <v>0</v>
      </c>
      <c r="AM1001" s="14" t="n">
        <f aca="false">IF($H1001="Expert Level",1,0)</f>
        <v>0</v>
      </c>
      <c r="AN1001" s="14" t="n">
        <f aca="false">IF($H1001="Intermediate Level",1,0)</f>
        <v>0</v>
      </c>
    </row>
    <row r="1002" customFormat="false" ht="91" hidden="false" customHeight="false" outlineLevel="0" collapsed="false">
      <c r="A1002" s="14" t="n">
        <v>576054</v>
      </c>
      <c r="B1002" s="14" t="s">
        <v>2045</v>
      </c>
      <c r="C1002" s="14" t="s">
        <v>2046</v>
      </c>
      <c r="D1002" s="14" t="n">
        <v>150</v>
      </c>
      <c r="E1002" s="14" t="n">
        <v>817</v>
      </c>
      <c r="F1002" s="14" t="n">
        <v>164</v>
      </c>
      <c r="G1002" s="14" t="n">
        <v>131</v>
      </c>
      <c r="H1002" s="14" t="s">
        <v>52</v>
      </c>
      <c r="I1002" s="14" t="n">
        <v>0.63</v>
      </c>
      <c r="J1002" s="14" t="n">
        <v>19.5</v>
      </c>
      <c r="K1002" s="14" t="s">
        <v>59</v>
      </c>
      <c r="L1002" s="14" t="n">
        <v>2016</v>
      </c>
      <c r="M1002" s="14" t="n">
        <v>6.70563909486</v>
      </c>
      <c r="N1002" s="14" t="n">
        <v>5.0107019585408</v>
      </c>
      <c r="P1002" s="14" t="n">
        <f aca="false">D1002</f>
        <v>150</v>
      </c>
      <c r="Q1002" s="14" t="n">
        <f aca="false">G1002</f>
        <v>131</v>
      </c>
      <c r="R1002" s="14" t="n">
        <f aca="false">J1002</f>
        <v>19.5</v>
      </c>
      <c r="S1002" s="14" t="n">
        <f aca="false">IF($L1002=2012,1,0)</f>
        <v>0</v>
      </c>
      <c r="T1002" s="14" t="n">
        <f aca="false">IF($L1002=2013,1,0)</f>
        <v>0</v>
      </c>
      <c r="U1002" s="14" t="n">
        <f aca="false">IF($L1002=2014,1,0)</f>
        <v>0</v>
      </c>
      <c r="V1002" s="14" t="n">
        <f aca="false">IF($L1002=2015,1,0)</f>
        <v>0</v>
      </c>
      <c r="W1002" s="14" t="n">
        <f aca="false">IF($L1002=2016,1,0)</f>
        <v>1</v>
      </c>
      <c r="X1002" s="14" t="n">
        <f aca="false">IF($L1002=2017,1,0)</f>
        <v>0</v>
      </c>
      <c r="Y1002" s="14" t="n">
        <f aca="false">IF($H1002="Beginner Level",1,0)</f>
        <v>1</v>
      </c>
      <c r="Z1002" s="14" t="n">
        <f aca="false">IF($H1002="Expert Level",1,0)</f>
        <v>0</v>
      </c>
      <c r="AA1002" s="14" t="n">
        <f aca="false">IF($H1002="Intermediate Level",1,0)</f>
        <v>0</v>
      </c>
      <c r="AC1002" s="14" t="n">
        <f aca="false">N1002</f>
        <v>5.0107019585408</v>
      </c>
      <c r="AD1002" s="14" t="n">
        <f aca="false">G1002</f>
        <v>131</v>
      </c>
      <c r="AE1002" s="14" t="n">
        <f aca="false">J1002</f>
        <v>19.5</v>
      </c>
      <c r="AF1002" s="14" t="n">
        <f aca="false">IF($L1002=2012,1,0)</f>
        <v>0</v>
      </c>
      <c r="AG1002" s="14" t="n">
        <f aca="false">IF($L1002=2013,1,0)</f>
        <v>0</v>
      </c>
      <c r="AH1002" s="14" t="n">
        <f aca="false">IF($L1002=2014,1,0)</f>
        <v>0</v>
      </c>
      <c r="AI1002" s="14" t="n">
        <f aca="false">IF($L1002=2015,1,0)</f>
        <v>0</v>
      </c>
      <c r="AJ1002" s="14" t="n">
        <f aca="false">IF($L1002=2016,1,0)</f>
        <v>1</v>
      </c>
      <c r="AK1002" s="14" t="n">
        <f aca="false">IF($L1002=2017,1,0)</f>
        <v>0</v>
      </c>
      <c r="AL1002" s="14" t="n">
        <f aca="false">IF($H1002="Beginner Level",1,0)</f>
        <v>1</v>
      </c>
      <c r="AM1002" s="14" t="n">
        <f aca="false">IF($H1002="Expert Level",1,0)</f>
        <v>0</v>
      </c>
      <c r="AN1002" s="14" t="n">
        <f aca="false">IF($H1002="Intermediate Level",1,0)</f>
        <v>0</v>
      </c>
    </row>
    <row r="1003" customFormat="false" ht="68.65" hidden="false" customHeight="false" outlineLevel="0" collapsed="false">
      <c r="A1003" s="14" t="n">
        <v>1018530</v>
      </c>
      <c r="B1003" s="14" t="s">
        <v>2047</v>
      </c>
      <c r="C1003" s="14" t="s">
        <v>2048</v>
      </c>
      <c r="D1003" s="14" t="n">
        <v>40</v>
      </c>
      <c r="E1003" s="14" t="n">
        <v>803</v>
      </c>
      <c r="F1003" s="14" t="n">
        <v>2</v>
      </c>
      <c r="G1003" s="14" t="n">
        <v>7</v>
      </c>
      <c r="H1003" s="14" t="s">
        <v>62</v>
      </c>
      <c r="I1003" s="14" t="n">
        <v>0.34</v>
      </c>
      <c r="J1003" s="14" t="n">
        <v>0.51666667</v>
      </c>
      <c r="K1003" s="14" t="s">
        <v>59</v>
      </c>
      <c r="L1003" s="14" t="n">
        <v>2016</v>
      </c>
      <c r="M1003" s="14" t="n">
        <v>6.68835471394676</v>
      </c>
      <c r="N1003" s="14" t="n">
        <v>3.68912942286914</v>
      </c>
      <c r="P1003" s="14" t="n">
        <f aca="false">D1003</f>
        <v>40</v>
      </c>
      <c r="Q1003" s="14" t="n">
        <f aca="false">G1003</f>
        <v>7</v>
      </c>
      <c r="R1003" s="14" t="n">
        <f aca="false">J1003</f>
        <v>0.51666667</v>
      </c>
      <c r="S1003" s="14" t="n">
        <f aca="false">IF($L1003=2012,1,0)</f>
        <v>0</v>
      </c>
      <c r="T1003" s="14" t="n">
        <f aca="false">IF($L1003=2013,1,0)</f>
        <v>0</v>
      </c>
      <c r="U1003" s="14" t="n">
        <f aca="false">IF($L1003=2014,1,0)</f>
        <v>0</v>
      </c>
      <c r="V1003" s="14" t="n">
        <f aca="false">IF($L1003=2015,1,0)</f>
        <v>0</v>
      </c>
      <c r="W1003" s="14" t="n">
        <f aca="false">IF($L1003=2016,1,0)</f>
        <v>1</v>
      </c>
      <c r="X1003" s="14" t="n">
        <f aca="false">IF($L1003=2017,1,0)</f>
        <v>0</v>
      </c>
      <c r="Y1003" s="14" t="n">
        <f aca="false">IF($H1003="Beginner Level",1,0)</f>
        <v>0</v>
      </c>
      <c r="Z1003" s="14" t="n">
        <f aca="false">IF($H1003="Expert Level",1,0)</f>
        <v>0</v>
      </c>
      <c r="AA1003" s="14" t="n">
        <f aca="false">IF($H1003="Intermediate Level",1,0)</f>
        <v>0</v>
      </c>
      <c r="AC1003" s="14" t="n">
        <f aca="false">N1003</f>
        <v>3.68912942286914</v>
      </c>
      <c r="AD1003" s="14" t="n">
        <f aca="false">G1003</f>
        <v>7</v>
      </c>
      <c r="AE1003" s="14" t="n">
        <f aca="false">J1003</f>
        <v>0.51666667</v>
      </c>
      <c r="AF1003" s="14" t="n">
        <f aca="false">IF($L1003=2012,1,0)</f>
        <v>0</v>
      </c>
      <c r="AG1003" s="14" t="n">
        <f aca="false">IF($L1003=2013,1,0)</f>
        <v>0</v>
      </c>
      <c r="AH1003" s="14" t="n">
        <f aca="false">IF($L1003=2014,1,0)</f>
        <v>0</v>
      </c>
      <c r="AI1003" s="14" t="n">
        <f aca="false">IF($L1003=2015,1,0)</f>
        <v>0</v>
      </c>
      <c r="AJ1003" s="14" t="n">
        <f aca="false">IF($L1003=2016,1,0)</f>
        <v>1</v>
      </c>
      <c r="AK1003" s="14" t="n">
        <f aca="false">IF($L1003=2017,1,0)</f>
        <v>0</v>
      </c>
      <c r="AL1003" s="14" t="n">
        <f aca="false">IF($H1003="Beginner Level",1,0)</f>
        <v>0</v>
      </c>
      <c r="AM1003" s="14" t="n">
        <f aca="false">IF($H1003="Expert Level",1,0)</f>
        <v>0</v>
      </c>
      <c r="AN1003" s="14" t="n">
        <f aca="false">IF($H1003="Intermediate Level",1,0)</f>
        <v>0</v>
      </c>
    </row>
    <row r="1004" customFormat="false" ht="68.65" hidden="false" customHeight="false" outlineLevel="0" collapsed="false">
      <c r="A1004" s="14" t="n">
        <v>1021594</v>
      </c>
      <c r="B1004" s="14" t="s">
        <v>2049</v>
      </c>
      <c r="C1004" s="14" t="s">
        <v>2050</v>
      </c>
      <c r="D1004" s="14" t="n">
        <v>40</v>
      </c>
      <c r="E1004" s="14" t="n">
        <v>802</v>
      </c>
      <c r="F1004" s="14" t="n">
        <v>6</v>
      </c>
      <c r="G1004" s="14" t="n">
        <v>9</v>
      </c>
      <c r="H1004" s="14" t="s">
        <v>52</v>
      </c>
      <c r="I1004" s="14" t="n">
        <v>0.56</v>
      </c>
      <c r="J1004" s="14" t="n">
        <v>0.63333333</v>
      </c>
      <c r="K1004" s="14" t="s">
        <v>59</v>
      </c>
      <c r="L1004" s="14" t="n">
        <v>2016</v>
      </c>
      <c r="M1004" s="14" t="n">
        <v>6.68710860786652</v>
      </c>
      <c r="N1004" s="14" t="n">
        <v>3.68912942286914</v>
      </c>
      <c r="P1004" s="14" t="n">
        <f aca="false">D1004</f>
        <v>40</v>
      </c>
      <c r="Q1004" s="14" t="n">
        <f aca="false">G1004</f>
        <v>9</v>
      </c>
      <c r="R1004" s="14" t="n">
        <f aca="false">J1004</f>
        <v>0.63333333</v>
      </c>
      <c r="S1004" s="14" t="n">
        <f aca="false">IF($L1004=2012,1,0)</f>
        <v>0</v>
      </c>
      <c r="T1004" s="14" t="n">
        <f aca="false">IF($L1004=2013,1,0)</f>
        <v>0</v>
      </c>
      <c r="U1004" s="14" t="n">
        <f aca="false">IF($L1004=2014,1,0)</f>
        <v>0</v>
      </c>
      <c r="V1004" s="14" t="n">
        <f aca="false">IF($L1004=2015,1,0)</f>
        <v>0</v>
      </c>
      <c r="W1004" s="14" t="n">
        <f aca="false">IF($L1004=2016,1,0)</f>
        <v>1</v>
      </c>
      <c r="X1004" s="14" t="n">
        <f aca="false">IF($L1004=2017,1,0)</f>
        <v>0</v>
      </c>
      <c r="Y1004" s="14" t="n">
        <f aca="false">IF($H1004="Beginner Level",1,0)</f>
        <v>1</v>
      </c>
      <c r="Z1004" s="14" t="n">
        <f aca="false">IF($H1004="Expert Level",1,0)</f>
        <v>0</v>
      </c>
      <c r="AA1004" s="14" t="n">
        <f aca="false">IF($H1004="Intermediate Level",1,0)</f>
        <v>0</v>
      </c>
      <c r="AC1004" s="14" t="n">
        <f aca="false">N1004</f>
        <v>3.68912942286914</v>
      </c>
      <c r="AD1004" s="14" t="n">
        <f aca="false">G1004</f>
        <v>9</v>
      </c>
      <c r="AE1004" s="14" t="n">
        <f aca="false">J1004</f>
        <v>0.63333333</v>
      </c>
      <c r="AF1004" s="14" t="n">
        <f aca="false">IF($L1004=2012,1,0)</f>
        <v>0</v>
      </c>
      <c r="AG1004" s="14" t="n">
        <f aca="false">IF($L1004=2013,1,0)</f>
        <v>0</v>
      </c>
      <c r="AH1004" s="14" t="n">
        <f aca="false">IF($L1004=2014,1,0)</f>
        <v>0</v>
      </c>
      <c r="AI1004" s="14" t="n">
        <f aca="false">IF($L1004=2015,1,0)</f>
        <v>0</v>
      </c>
      <c r="AJ1004" s="14" t="n">
        <f aca="false">IF($L1004=2016,1,0)</f>
        <v>1</v>
      </c>
      <c r="AK1004" s="14" t="n">
        <f aca="false">IF($L1004=2017,1,0)</f>
        <v>0</v>
      </c>
      <c r="AL1004" s="14" t="n">
        <f aca="false">IF($H1004="Beginner Level",1,0)</f>
        <v>1</v>
      </c>
      <c r="AM1004" s="14" t="n">
        <f aca="false">IF($H1004="Expert Level",1,0)</f>
        <v>0</v>
      </c>
      <c r="AN1004" s="14" t="n">
        <f aca="false">IF($H1004="Intermediate Level",1,0)</f>
        <v>0</v>
      </c>
    </row>
    <row r="1005" customFormat="false" ht="68.65" hidden="false" customHeight="false" outlineLevel="0" collapsed="false">
      <c r="A1005" s="14" t="n">
        <v>832478</v>
      </c>
      <c r="B1005" s="14" t="s">
        <v>2051</v>
      </c>
      <c r="C1005" s="14" t="s">
        <v>2052</v>
      </c>
      <c r="D1005" s="14" t="n">
        <v>95</v>
      </c>
      <c r="E1005" s="14" t="n">
        <v>799</v>
      </c>
      <c r="F1005" s="14" t="n">
        <v>87</v>
      </c>
      <c r="G1005" s="14" t="n">
        <v>41</v>
      </c>
      <c r="H1005" s="14" t="s">
        <v>52</v>
      </c>
      <c r="I1005" s="14" t="n">
        <v>0.96</v>
      </c>
      <c r="J1005" s="14" t="n">
        <v>6</v>
      </c>
      <c r="K1005" s="14" t="s">
        <v>59</v>
      </c>
      <c r="L1005" s="14" t="n">
        <v>2016</v>
      </c>
      <c r="M1005" s="14" t="n">
        <v>6.68336094576628</v>
      </c>
      <c r="N1005" s="14" t="n">
        <v>4.55398214921866</v>
      </c>
      <c r="P1005" s="14" t="n">
        <f aca="false">D1005</f>
        <v>95</v>
      </c>
      <c r="Q1005" s="14" t="n">
        <f aca="false">G1005</f>
        <v>41</v>
      </c>
      <c r="R1005" s="14" t="n">
        <f aca="false">J1005</f>
        <v>6</v>
      </c>
      <c r="S1005" s="14" t="n">
        <f aca="false">IF($L1005=2012,1,0)</f>
        <v>0</v>
      </c>
      <c r="T1005" s="14" t="n">
        <f aca="false">IF($L1005=2013,1,0)</f>
        <v>0</v>
      </c>
      <c r="U1005" s="14" t="n">
        <f aca="false">IF($L1005=2014,1,0)</f>
        <v>0</v>
      </c>
      <c r="V1005" s="14" t="n">
        <f aca="false">IF($L1005=2015,1,0)</f>
        <v>0</v>
      </c>
      <c r="W1005" s="14" t="n">
        <f aca="false">IF($L1005=2016,1,0)</f>
        <v>1</v>
      </c>
      <c r="X1005" s="14" t="n">
        <f aca="false">IF($L1005=2017,1,0)</f>
        <v>0</v>
      </c>
      <c r="Y1005" s="14" t="n">
        <f aca="false">IF($H1005="Beginner Level",1,0)</f>
        <v>1</v>
      </c>
      <c r="Z1005" s="14" t="n">
        <f aca="false">IF($H1005="Expert Level",1,0)</f>
        <v>0</v>
      </c>
      <c r="AA1005" s="14" t="n">
        <f aca="false">IF($H1005="Intermediate Level",1,0)</f>
        <v>0</v>
      </c>
      <c r="AC1005" s="14" t="n">
        <f aca="false">N1005</f>
        <v>4.55398214921866</v>
      </c>
      <c r="AD1005" s="14" t="n">
        <f aca="false">G1005</f>
        <v>41</v>
      </c>
      <c r="AE1005" s="14" t="n">
        <f aca="false">J1005</f>
        <v>6</v>
      </c>
      <c r="AF1005" s="14" t="n">
        <f aca="false">IF($L1005=2012,1,0)</f>
        <v>0</v>
      </c>
      <c r="AG1005" s="14" t="n">
        <f aca="false">IF($L1005=2013,1,0)</f>
        <v>0</v>
      </c>
      <c r="AH1005" s="14" t="n">
        <f aca="false">IF($L1005=2014,1,0)</f>
        <v>0</v>
      </c>
      <c r="AI1005" s="14" t="n">
        <f aca="false">IF($L1005=2015,1,0)</f>
        <v>0</v>
      </c>
      <c r="AJ1005" s="14" t="n">
        <f aca="false">IF($L1005=2016,1,0)</f>
        <v>1</v>
      </c>
      <c r="AK1005" s="14" t="n">
        <f aca="false">IF($L1005=2017,1,0)</f>
        <v>0</v>
      </c>
      <c r="AL1005" s="14" t="n">
        <f aca="false">IF($H1005="Beginner Level",1,0)</f>
        <v>1</v>
      </c>
      <c r="AM1005" s="14" t="n">
        <f aca="false">IF($H1005="Expert Level",1,0)</f>
        <v>0</v>
      </c>
      <c r="AN1005" s="14" t="n">
        <f aca="false">IF($H1005="Intermediate Level",1,0)</f>
        <v>0</v>
      </c>
    </row>
    <row r="1006" customFormat="false" ht="68.65" hidden="false" customHeight="false" outlineLevel="0" collapsed="false">
      <c r="A1006" s="14" t="n">
        <v>935014</v>
      </c>
      <c r="B1006" s="14" t="s">
        <v>2053</v>
      </c>
      <c r="C1006" s="14" t="s">
        <v>2054</v>
      </c>
      <c r="D1006" s="14" t="n">
        <v>20</v>
      </c>
      <c r="E1006" s="14" t="n">
        <v>796</v>
      </c>
      <c r="F1006" s="14" t="n">
        <v>3</v>
      </c>
      <c r="G1006" s="14" t="n">
        <v>18</v>
      </c>
      <c r="H1006" s="14" t="s">
        <v>52</v>
      </c>
      <c r="I1006" s="14" t="n">
        <v>0.11</v>
      </c>
      <c r="J1006" s="14" t="n">
        <v>1</v>
      </c>
      <c r="K1006" s="14" t="s">
        <v>59</v>
      </c>
      <c r="L1006" s="14" t="n">
        <v>2016</v>
      </c>
      <c r="M1006" s="14" t="n">
        <v>6.67959918584438</v>
      </c>
      <c r="N1006" s="14" t="n">
        <v>2.99623214859564</v>
      </c>
      <c r="P1006" s="14" t="n">
        <f aca="false">D1006</f>
        <v>20</v>
      </c>
      <c r="Q1006" s="14" t="n">
        <f aca="false">G1006</f>
        <v>18</v>
      </c>
      <c r="R1006" s="14" t="n">
        <f aca="false">J1006</f>
        <v>1</v>
      </c>
      <c r="S1006" s="14" t="n">
        <f aca="false">IF($L1006=2012,1,0)</f>
        <v>0</v>
      </c>
      <c r="T1006" s="14" t="n">
        <f aca="false">IF($L1006=2013,1,0)</f>
        <v>0</v>
      </c>
      <c r="U1006" s="14" t="n">
        <f aca="false">IF($L1006=2014,1,0)</f>
        <v>0</v>
      </c>
      <c r="V1006" s="14" t="n">
        <f aca="false">IF($L1006=2015,1,0)</f>
        <v>0</v>
      </c>
      <c r="W1006" s="14" t="n">
        <f aca="false">IF($L1006=2016,1,0)</f>
        <v>1</v>
      </c>
      <c r="X1006" s="14" t="n">
        <f aca="false">IF($L1006=2017,1,0)</f>
        <v>0</v>
      </c>
      <c r="Y1006" s="14" t="n">
        <f aca="false">IF($H1006="Beginner Level",1,0)</f>
        <v>1</v>
      </c>
      <c r="Z1006" s="14" t="n">
        <f aca="false">IF($H1006="Expert Level",1,0)</f>
        <v>0</v>
      </c>
      <c r="AA1006" s="14" t="n">
        <f aca="false">IF($H1006="Intermediate Level",1,0)</f>
        <v>0</v>
      </c>
      <c r="AC1006" s="14" t="n">
        <f aca="false">N1006</f>
        <v>2.99623214859564</v>
      </c>
      <c r="AD1006" s="14" t="n">
        <f aca="false">G1006</f>
        <v>18</v>
      </c>
      <c r="AE1006" s="14" t="n">
        <f aca="false">J1006</f>
        <v>1</v>
      </c>
      <c r="AF1006" s="14" t="n">
        <f aca="false">IF($L1006=2012,1,0)</f>
        <v>0</v>
      </c>
      <c r="AG1006" s="14" t="n">
        <f aca="false">IF($L1006=2013,1,0)</f>
        <v>0</v>
      </c>
      <c r="AH1006" s="14" t="n">
        <f aca="false">IF($L1006=2014,1,0)</f>
        <v>0</v>
      </c>
      <c r="AI1006" s="14" t="n">
        <f aca="false">IF($L1006=2015,1,0)</f>
        <v>0</v>
      </c>
      <c r="AJ1006" s="14" t="n">
        <f aca="false">IF($L1006=2016,1,0)</f>
        <v>1</v>
      </c>
      <c r="AK1006" s="14" t="n">
        <f aca="false">IF($L1006=2017,1,0)</f>
        <v>0</v>
      </c>
      <c r="AL1006" s="14" t="n">
        <f aca="false">IF($H1006="Beginner Level",1,0)</f>
        <v>1</v>
      </c>
      <c r="AM1006" s="14" t="n">
        <f aca="false">IF($H1006="Expert Level",1,0)</f>
        <v>0</v>
      </c>
      <c r="AN1006" s="14" t="n">
        <f aca="false">IF($H1006="Intermediate Level",1,0)</f>
        <v>0</v>
      </c>
    </row>
    <row r="1007" customFormat="false" ht="91" hidden="false" customHeight="false" outlineLevel="0" collapsed="false">
      <c r="A1007" s="14" t="n">
        <v>910838</v>
      </c>
      <c r="B1007" s="14" t="s">
        <v>2055</v>
      </c>
      <c r="C1007" s="14" t="s">
        <v>2056</v>
      </c>
      <c r="D1007" s="14" t="n">
        <v>40</v>
      </c>
      <c r="E1007" s="14" t="n">
        <v>796</v>
      </c>
      <c r="F1007" s="14" t="n">
        <v>43</v>
      </c>
      <c r="G1007" s="14" t="n">
        <v>29</v>
      </c>
      <c r="H1007" s="14" t="s">
        <v>52</v>
      </c>
      <c r="I1007" s="14" t="n">
        <v>0.8</v>
      </c>
      <c r="J1007" s="14" t="n">
        <v>4</v>
      </c>
      <c r="K1007" s="14" t="s">
        <v>59</v>
      </c>
      <c r="L1007" s="14" t="n">
        <v>2016</v>
      </c>
      <c r="M1007" s="14" t="n">
        <v>6.67959918584438</v>
      </c>
      <c r="N1007" s="14" t="n">
        <v>3.68912942286914</v>
      </c>
      <c r="P1007" s="14" t="n">
        <f aca="false">D1007</f>
        <v>40</v>
      </c>
      <c r="Q1007" s="14" t="n">
        <f aca="false">G1007</f>
        <v>29</v>
      </c>
      <c r="R1007" s="14" t="n">
        <f aca="false">J1007</f>
        <v>4</v>
      </c>
      <c r="S1007" s="14" t="n">
        <f aca="false">IF($L1007=2012,1,0)</f>
        <v>0</v>
      </c>
      <c r="T1007" s="14" t="n">
        <f aca="false">IF($L1007=2013,1,0)</f>
        <v>0</v>
      </c>
      <c r="U1007" s="14" t="n">
        <f aca="false">IF($L1007=2014,1,0)</f>
        <v>0</v>
      </c>
      <c r="V1007" s="14" t="n">
        <f aca="false">IF($L1007=2015,1,0)</f>
        <v>0</v>
      </c>
      <c r="W1007" s="14" t="n">
        <f aca="false">IF($L1007=2016,1,0)</f>
        <v>1</v>
      </c>
      <c r="X1007" s="14" t="n">
        <f aca="false">IF($L1007=2017,1,0)</f>
        <v>0</v>
      </c>
      <c r="Y1007" s="14" t="n">
        <f aca="false">IF($H1007="Beginner Level",1,0)</f>
        <v>1</v>
      </c>
      <c r="Z1007" s="14" t="n">
        <f aca="false">IF($H1007="Expert Level",1,0)</f>
        <v>0</v>
      </c>
      <c r="AA1007" s="14" t="n">
        <f aca="false">IF($H1007="Intermediate Level",1,0)</f>
        <v>0</v>
      </c>
      <c r="AC1007" s="14" t="n">
        <f aca="false">N1007</f>
        <v>3.68912942286914</v>
      </c>
      <c r="AD1007" s="14" t="n">
        <f aca="false">G1007</f>
        <v>29</v>
      </c>
      <c r="AE1007" s="14" t="n">
        <f aca="false">J1007</f>
        <v>4</v>
      </c>
      <c r="AF1007" s="14" t="n">
        <f aca="false">IF($L1007=2012,1,0)</f>
        <v>0</v>
      </c>
      <c r="AG1007" s="14" t="n">
        <f aca="false">IF($L1007=2013,1,0)</f>
        <v>0</v>
      </c>
      <c r="AH1007" s="14" t="n">
        <f aca="false">IF($L1007=2014,1,0)</f>
        <v>0</v>
      </c>
      <c r="AI1007" s="14" t="n">
        <f aca="false">IF($L1007=2015,1,0)</f>
        <v>0</v>
      </c>
      <c r="AJ1007" s="14" t="n">
        <f aca="false">IF($L1007=2016,1,0)</f>
        <v>1</v>
      </c>
      <c r="AK1007" s="14" t="n">
        <f aca="false">IF($L1007=2017,1,0)</f>
        <v>0</v>
      </c>
      <c r="AL1007" s="14" t="n">
        <f aca="false">IF($H1007="Beginner Level",1,0)</f>
        <v>1</v>
      </c>
      <c r="AM1007" s="14" t="n">
        <f aca="false">IF($H1007="Expert Level",1,0)</f>
        <v>0</v>
      </c>
      <c r="AN1007" s="14" t="n">
        <f aca="false">IF($H1007="Intermediate Level",1,0)</f>
        <v>0</v>
      </c>
    </row>
    <row r="1008" customFormat="false" ht="35.05" hidden="false" customHeight="false" outlineLevel="0" collapsed="false">
      <c r="A1008" s="14" t="n">
        <v>690966</v>
      </c>
      <c r="B1008" s="14" t="s">
        <v>2057</v>
      </c>
      <c r="C1008" s="14" t="s">
        <v>2058</v>
      </c>
      <c r="D1008" s="14" t="n">
        <v>20</v>
      </c>
      <c r="E1008" s="14" t="n">
        <v>791</v>
      </c>
      <c r="F1008" s="14" t="n">
        <v>29</v>
      </c>
      <c r="G1008" s="14" t="n">
        <v>24</v>
      </c>
      <c r="H1008" s="14" t="s">
        <v>52</v>
      </c>
      <c r="I1008" s="14" t="n">
        <v>0.32</v>
      </c>
      <c r="J1008" s="14" t="n">
        <v>2.5</v>
      </c>
      <c r="K1008" s="14" t="s">
        <v>59</v>
      </c>
      <c r="L1008" s="14" t="n">
        <v>2016</v>
      </c>
      <c r="M1008" s="14" t="n">
        <v>6.67329796776765</v>
      </c>
      <c r="N1008" s="14" t="n">
        <v>2.99623214859564</v>
      </c>
      <c r="P1008" s="14" t="n">
        <f aca="false">D1008</f>
        <v>20</v>
      </c>
      <c r="Q1008" s="14" t="n">
        <f aca="false">G1008</f>
        <v>24</v>
      </c>
      <c r="R1008" s="14" t="n">
        <f aca="false">J1008</f>
        <v>2.5</v>
      </c>
      <c r="S1008" s="14" t="n">
        <f aca="false">IF($L1008=2012,1,0)</f>
        <v>0</v>
      </c>
      <c r="T1008" s="14" t="n">
        <f aca="false">IF($L1008=2013,1,0)</f>
        <v>0</v>
      </c>
      <c r="U1008" s="14" t="n">
        <f aca="false">IF($L1008=2014,1,0)</f>
        <v>0</v>
      </c>
      <c r="V1008" s="14" t="n">
        <f aca="false">IF($L1008=2015,1,0)</f>
        <v>0</v>
      </c>
      <c r="W1008" s="14" t="n">
        <f aca="false">IF($L1008=2016,1,0)</f>
        <v>1</v>
      </c>
      <c r="X1008" s="14" t="n">
        <f aca="false">IF($L1008=2017,1,0)</f>
        <v>0</v>
      </c>
      <c r="Y1008" s="14" t="n">
        <f aca="false">IF($H1008="Beginner Level",1,0)</f>
        <v>1</v>
      </c>
      <c r="Z1008" s="14" t="n">
        <f aca="false">IF($H1008="Expert Level",1,0)</f>
        <v>0</v>
      </c>
      <c r="AA1008" s="14" t="n">
        <f aca="false">IF($H1008="Intermediate Level",1,0)</f>
        <v>0</v>
      </c>
      <c r="AC1008" s="14" t="n">
        <f aca="false">N1008</f>
        <v>2.99623214859564</v>
      </c>
      <c r="AD1008" s="14" t="n">
        <f aca="false">G1008</f>
        <v>24</v>
      </c>
      <c r="AE1008" s="14" t="n">
        <f aca="false">J1008</f>
        <v>2.5</v>
      </c>
      <c r="AF1008" s="14" t="n">
        <f aca="false">IF($L1008=2012,1,0)</f>
        <v>0</v>
      </c>
      <c r="AG1008" s="14" t="n">
        <f aca="false">IF($L1008=2013,1,0)</f>
        <v>0</v>
      </c>
      <c r="AH1008" s="14" t="n">
        <f aca="false">IF($L1008=2014,1,0)</f>
        <v>0</v>
      </c>
      <c r="AI1008" s="14" t="n">
        <f aca="false">IF($L1008=2015,1,0)</f>
        <v>0</v>
      </c>
      <c r="AJ1008" s="14" t="n">
        <f aca="false">IF($L1008=2016,1,0)</f>
        <v>1</v>
      </c>
      <c r="AK1008" s="14" t="n">
        <f aca="false">IF($L1008=2017,1,0)</f>
        <v>0</v>
      </c>
      <c r="AL1008" s="14" t="n">
        <f aca="false">IF($H1008="Beginner Level",1,0)</f>
        <v>1</v>
      </c>
      <c r="AM1008" s="14" t="n">
        <f aca="false">IF($H1008="Expert Level",1,0)</f>
        <v>0</v>
      </c>
      <c r="AN1008" s="14" t="n">
        <f aca="false">IF($H1008="Intermediate Level",1,0)</f>
        <v>0</v>
      </c>
    </row>
    <row r="1009" customFormat="false" ht="46.25" hidden="false" customHeight="false" outlineLevel="0" collapsed="false">
      <c r="A1009" s="14" t="n">
        <v>145812</v>
      </c>
      <c r="B1009" s="14" t="s">
        <v>2059</v>
      </c>
      <c r="C1009" s="14" t="s">
        <v>2060</v>
      </c>
      <c r="D1009" s="14" t="n">
        <v>20</v>
      </c>
      <c r="E1009" s="14" t="n">
        <v>791</v>
      </c>
      <c r="F1009" s="14" t="n">
        <v>8</v>
      </c>
      <c r="G1009" s="14" t="n">
        <v>16</v>
      </c>
      <c r="H1009" s="14" t="s">
        <v>62</v>
      </c>
      <c r="I1009" s="14" t="n">
        <v>0.96</v>
      </c>
      <c r="J1009" s="14" t="n">
        <v>1</v>
      </c>
      <c r="K1009" s="14" t="s">
        <v>59</v>
      </c>
      <c r="L1009" s="14" t="n">
        <v>2014</v>
      </c>
      <c r="M1009" s="14" t="n">
        <v>6.67329796776765</v>
      </c>
      <c r="N1009" s="14" t="n">
        <v>2.99623214859564</v>
      </c>
      <c r="P1009" s="14" t="n">
        <f aca="false">D1009</f>
        <v>20</v>
      </c>
      <c r="Q1009" s="14" t="n">
        <f aca="false">G1009</f>
        <v>16</v>
      </c>
      <c r="R1009" s="14" t="n">
        <f aca="false">J1009</f>
        <v>1</v>
      </c>
      <c r="S1009" s="14" t="n">
        <f aca="false">IF($L1009=2012,1,0)</f>
        <v>0</v>
      </c>
      <c r="T1009" s="14" t="n">
        <f aca="false">IF($L1009=2013,1,0)</f>
        <v>0</v>
      </c>
      <c r="U1009" s="14" t="n">
        <f aca="false">IF($L1009=2014,1,0)</f>
        <v>1</v>
      </c>
      <c r="V1009" s="14" t="n">
        <f aca="false">IF($L1009=2015,1,0)</f>
        <v>0</v>
      </c>
      <c r="W1009" s="14" t="n">
        <f aca="false">IF($L1009=2016,1,0)</f>
        <v>0</v>
      </c>
      <c r="X1009" s="14" t="n">
        <f aca="false">IF($L1009=2017,1,0)</f>
        <v>0</v>
      </c>
      <c r="Y1009" s="14" t="n">
        <f aca="false">IF($H1009="Beginner Level",1,0)</f>
        <v>0</v>
      </c>
      <c r="Z1009" s="14" t="n">
        <f aca="false">IF($H1009="Expert Level",1,0)</f>
        <v>0</v>
      </c>
      <c r="AA1009" s="14" t="n">
        <f aca="false">IF($H1009="Intermediate Level",1,0)</f>
        <v>0</v>
      </c>
      <c r="AC1009" s="14" t="n">
        <f aca="false">N1009</f>
        <v>2.99623214859564</v>
      </c>
      <c r="AD1009" s="14" t="n">
        <f aca="false">G1009</f>
        <v>16</v>
      </c>
      <c r="AE1009" s="14" t="n">
        <f aca="false">J1009</f>
        <v>1</v>
      </c>
      <c r="AF1009" s="14" t="n">
        <f aca="false">IF($L1009=2012,1,0)</f>
        <v>0</v>
      </c>
      <c r="AG1009" s="14" t="n">
        <f aca="false">IF($L1009=2013,1,0)</f>
        <v>0</v>
      </c>
      <c r="AH1009" s="14" t="n">
        <f aca="false">IF($L1009=2014,1,0)</f>
        <v>1</v>
      </c>
      <c r="AI1009" s="14" t="n">
        <f aca="false">IF($L1009=2015,1,0)</f>
        <v>0</v>
      </c>
      <c r="AJ1009" s="14" t="n">
        <f aca="false">IF($L1009=2016,1,0)</f>
        <v>0</v>
      </c>
      <c r="AK1009" s="14" t="n">
        <f aca="false">IF($L1009=2017,1,0)</f>
        <v>0</v>
      </c>
      <c r="AL1009" s="14" t="n">
        <f aca="false">IF($H1009="Beginner Level",1,0)</f>
        <v>0</v>
      </c>
      <c r="AM1009" s="14" t="n">
        <f aca="false">IF($H1009="Expert Level",1,0)</f>
        <v>0</v>
      </c>
      <c r="AN1009" s="14" t="n">
        <f aca="false">IF($H1009="Intermediate Level",1,0)</f>
        <v>0</v>
      </c>
    </row>
    <row r="1010" customFormat="false" ht="68.65" hidden="false" customHeight="false" outlineLevel="0" collapsed="false">
      <c r="A1010" s="14" t="n">
        <v>113888</v>
      </c>
      <c r="B1010" s="14" t="s">
        <v>2061</v>
      </c>
      <c r="C1010" s="14" t="s">
        <v>2062</v>
      </c>
      <c r="D1010" s="14" t="n">
        <v>50</v>
      </c>
      <c r="E1010" s="14" t="n">
        <v>788</v>
      </c>
      <c r="F1010" s="14" t="n">
        <v>21</v>
      </c>
      <c r="G1010" s="14" t="n">
        <v>25</v>
      </c>
      <c r="H1010" s="14" t="s">
        <v>62</v>
      </c>
      <c r="I1010" s="14" t="n">
        <v>0.68</v>
      </c>
      <c r="J1010" s="14" t="n">
        <v>2</v>
      </c>
      <c r="K1010" s="14" t="s">
        <v>59</v>
      </c>
      <c r="L1010" s="14" t="n">
        <v>2013</v>
      </c>
      <c r="M1010" s="14" t="n">
        <v>6.66949808985788</v>
      </c>
      <c r="N1010" s="14" t="n">
        <v>3.91222298543081</v>
      </c>
      <c r="P1010" s="14" t="n">
        <f aca="false">D1010</f>
        <v>50</v>
      </c>
      <c r="Q1010" s="14" t="n">
        <f aca="false">G1010</f>
        <v>25</v>
      </c>
      <c r="R1010" s="14" t="n">
        <f aca="false">J1010</f>
        <v>2</v>
      </c>
      <c r="S1010" s="14" t="n">
        <f aca="false">IF($L1010=2012,1,0)</f>
        <v>0</v>
      </c>
      <c r="T1010" s="14" t="n">
        <f aca="false">IF($L1010=2013,1,0)</f>
        <v>1</v>
      </c>
      <c r="U1010" s="14" t="n">
        <f aca="false">IF($L1010=2014,1,0)</f>
        <v>0</v>
      </c>
      <c r="V1010" s="14" t="n">
        <f aca="false">IF($L1010=2015,1,0)</f>
        <v>0</v>
      </c>
      <c r="W1010" s="14" t="n">
        <f aca="false">IF($L1010=2016,1,0)</f>
        <v>0</v>
      </c>
      <c r="X1010" s="14" t="n">
        <f aca="false">IF($L1010=2017,1,0)</f>
        <v>0</v>
      </c>
      <c r="Y1010" s="14" t="n">
        <f aca="false">IF($H1010="Beginner Level",1,0)</f>
        <v>0</v>
      </c>
      <c r="Z1010" s="14" t="n">
        <f aca="false">IF($H1010="Expert Level",1,0)</f>
        <v>0</v>
      </c>
      <c r="AA1010" s="14" t="n">
        <f aca="false">IF($H1010="Intermediate Level",1,0)</f>
        <v>0</v>
      </c>
      <c r="AC1010" s="14" t="n">
        <f aca="false">N1010</f>
        <v>3.91222298543081</v>
      </c>
      <c r="AD1010" s="14" t="n">
        <f aca="false">G1010</f>
        <v>25</v>
      </c>
      <c r="AE1010" s="14" t="n">
        <f aca="false">J1010</f>
        <v>2</v>
      </c>
      <c r="AF1010" s="14" t="n">
        <f aca="false">IF($L1010=2012,1,0)</f>
        <v>0</v>
      </c>
      <c r="AG1010" s="14" t="n">
        <f aca="false">IF($L1010=2013,1,0)</f>
        <v>1</v>
      </c>
      <c r="AH1010" s="14" t="n">
        <f aca="false">IF($L1010=2014,1,0)</f>
        <v>0</v>
      </c>
      <c r="AI1010" s="14" t="n">
        <f aca="false">IF($L1010=2015,1,0)</f>
        <v>0</v>
      </c>
      <c r="AJ1010" s="14" t="n">
        <f aca="false">IF($L1010=2016,1,0)</f>
        <v>0</v>
      </c>
      <c r="AK1010" s="14" t="n">
        <f aca="false">IF($L1010=2017,1,0)</f>
        <v>0</v>
      </c>
      <c r="AL1010" s="14" t="n">
        <f aca="false">IF($H1010="Beginner Level",1,0)</f>
        <v>0</v>
      </c>
      <c r="AM1010" s="14" t="n">
        <f aca="false">IF($H1010="Expert Level",1,0)</f>
        <v>0</v>
      </c>
      <c r="AN1010" s="14" t="n">
        <f aca="false">IF($H1010="Intermediate Level",1,0)</f>
        <v>0</v>
      </c>
    </row>
    <row r="1011" customFormat="false" ht="46.25" hidden="false" customHeight="false" outlineLevel="0" collapsed="false">
      <c r="A1011" s="14" t="n">
        <v>958982</v>
      </c>
      <c r="B1011" s="14" t="s">
        <v>2063</v>
      </c>
      <c r="C1011" s="14" t="s">
        <v>2064</v>
      </c>
      <c r="D1011" s="14" t="n">
        <v>25</v>
      </c>
      <c r="E1011" s="14" t="n">
        <v>785</v>
      </c>
      <c r="F1011" s="14" t="n">
        <v>20</v>
      </c>
      <c r="G1011" s="14" t="n">
        <v>25</v>
      </c>
      <c r="H1011" s="14" t="s">
        <v>52</v>
      </c>
      <c r="I1011" s="14" t="n">
        <v>0.86</v>
      </c>
      <c r="J1011" s="14" t="n">
        <v>1</v>
      </c>
      <c r="K1011" s="14" t="s">
        <v>59</v>
      </c>
      <c r="L1011" s="14" t="n">
        <v>2016</v>
      </c>
      <c r="M1011" s="14" t="n">
        <v>6.66568371778241</v>
      </c>
      <c r="N1011" s="14" t="n">
        <v>3.21927574488953</v>
      </c>
      <c r="P1011" s="14" t="n">
        <f aca="false">D1011</f>
        <v>25</v>
      </c>
      <c r="Q1011" s="14" t="n">
        <f aca="false">G1011</f>
        <v>25</v>
      </c>
      <c r="R1011" s="14" t="n">
        <f aca="false">J1011</f>
        <v>1</v>
      </c>
      <c r="S1011" s="14" t="n">
        <f aca="false">IF($L1011=2012,1,0)</f>
        <v>0</v>
      </c>
      <c r="T1011" s="14" t="n">
        <f aca="false">IF($L1011=2013,1,0)</f>
        <v>0</v>
      </c>
      <c r="U1011" s="14" t="n">
        <f aca="false">IF($L1011=2014,1,0)</f>
        <v>0</v>
      </c>
      <c r="V1011" s="14" t="n">
        <f aca="false">IF($L1011=2015,1,0)</f>
        <v>0</v>
      </c>
      <c r="W1011" s="14" t="n">
        <f aca="false">IF($L1011=2016,1,0)</f>
        <v>1</v>
      </c>
      <c r="X1011" s="14" t="n">
        <f aca="false">IF($L1011=2017,1,0)</f>
        <v>0</v>
      </c>
      <c r="Y1011" s="14" t="n">
        <f aca="false">IF($H1011="Beginner Level",1,0)</f>
        <v>1</v>
      </c>
      <c r="Z1011" s="14" t="n">
        <f aca="false">IF($H1011="Expert Level",1,0)</f>
        <v>0</v>
      </c>
      <c r="AA1011" s="14" t="n">
        <f aca="false">IF($H1011="Intermediate Level",1,0)</f>
        <v>0</v>
      </c>
      <c r="AC1011" s="14" t="n">
        <f aca="false">N1011</f>
        <v>3.21927574488953</v>
      </c>
      <c r="AD1011" s="14" t="n">
        <f aca="false">G1011</f>
        <v>25</v>
      </c>
      <c r="AE1011" s="14" t="n">
        <f aca="false">J1011</f>
        <v>1</v>
      </c>
      <c r="AF1011" s="14" t="n">
        <f aca="false">IF($L1011=2012,1,0)</f>
        <v>0</v>
      </c>
      <c r="AG1011" s="14" t="n">
        <f aca="false">IF($L1011=2013,1,0)</f>
        <v>0</v>
      </c>
      <c r="AH1011" s="14" t="n">
        <f aca="false">IF($L1011=2014,1,0)</f>
        <v>0</v>
      </c>
      <c r="AI1011" s="14" t="n">
        <f aca="false">IF($L1011=2015,1,0)</f>
        <v>0</v>
      </c>
      <c r="AJ1011" s="14" t="n">
        <f aca="false">IF($L1011=2016,1,0)</f>
        <v>1</v>
      </c>
      <c r="AK1011" s="14" t="n">
        <f aca="false">IF($L1011=2017,1,0)</f>
        <v>0</v>
      </c>
      <c r="AL1011" s="14" t="n">
        <f aca="false">IF($H1011="Beginner Level",1,0)</f>
        <v>1</v>
      </c>
      <c r="AM1011" s="14" t="n">
        <f aca="false">IF($H1011="Expert Level",1,0)</f>
        <v>0</v>
      </c>
      <c r="AN1011" s="14" t="n">
        <f aca="false">IF($H1011="Intermediate Level",1,0)</f>
        <v>0</v>
      </c>
    </row>
    <row r="1012" customFormat="false" ht="57.45" hidden="false" customHeight="false" outlineLevel="0" collapsed="false">
      <c r="A1012" s="14" t="n">
        <v>913966</v>
      </c>
      <c r="B1012" s="14" t="s">
        <v>2065</v>
      </c>
      <c r="C1012" s="14" t="s">
        <v>2066</v>
      </c>
      <c r="D1012" s="14" t="n">
        <v>20</v>
      </c>
      <c r="E1012" s="14" t="n">
        <v>783</v>
      </c>
      <c r="F1012" s="14" t="n">
        <v>20</v>
      </c>
      <c r="G1012" s="14" t="n">
        <v>13</v>
      </c>
      <c r="H1012" s="14" t="s">
        <v>62</v>
      </c>
      <c r="I1012" s="14" t="n">
        <v>0.89</v>
      </c>
      <c r="J1012" s="14" t="n">
        <v>0.61666667</v>
      </c>
      <c r="K1012" s="14" t="s">
        <v>59</v>
      </c>
      <c r="L1012" s="14" t="n">
        <v>2016</v>
      </c>
      <c r="M1012" s="14" t="n">
        <v>6.6631326959908</v>
      </c>
      <c r="N1012" s="14" t="n">
        <v>2.99623214859564</v>
      </c>
      <c r="P1012" s="14" t="n">
        <f aca="false">D1012</f>
        <v>20</v>
      </c>
      <c r="Q1012" s="14" t="n">
        <f aca="false">G1012</f>
        <v>13</v>
      </c>
      <c r="R1012" s="14" t="n">
        <f aca="false">J1012</f>
        <v>0.61666667</v>
      </c>
      <c r="S1012" s="14" t="n">
        <f aca="false">IF($L1012=2012,1,0)</f>
        <v>0</v>
      </c>
      <c r="T1012" s="14" t="n">
        <f aca="false">IF($L1012=2013,1,0)</f>
        <v>0</v>
      </c>
      <c r="U1012" s="14" t="n">
        <f aca="false">IF($L1012=2014,1,0)</f>
        <v>0</v>
      </c>
      <c r="V1012" s="14" t="n">
        <f aca="false">IF($L1012=2015,1,0)</f>
        <v>0</v>
      </c>
      <c r="W1012" s="14" t="n">
        <f aca="false">IF($L1012=2016,1,0)</f>
        <v>1</v>
      </c>
      <c r="X1012" s="14" t="n">
        <f aca="false">IF($L1012=2017,1,0)</f>
        <v>0</v>
      </c>
      <c r="Y1012" s="14" t="n">
        <f aca="false">IF($H1012="Beginner Level",1,0)</f>
        <v>0</v>
      </c>
      <c r="Z1012" s="14" t="n">
        <f aca="false">IF($H1012="Expert Level",1,0)</f>
        <v>0</v>
      </c>
      <c r="AA1012" s="14" t="n">
        <f aca="false">IF($H1012="Intermediate Level",1,0)</f>
        <v>0</v>
      </c>
      <c r="AC1012" s="14" t="n">
        <f aca="false">N1012</f>
        <v>2.99623214859564</v>
      </c>
      <c r="AD1012" s="14" t="n">
        <f aca="false">G1012</f>
        <v>13</v>
      </c>
      <c r="AE1012" s="14" t="n">
        <f aca="false">J1012</f>
        <v>0.61666667</v>
      </c>
      <c r="AF1012" s="14" t="n">
        <f aca="false">IF($L1012=2012,1,0)</f>
        <v>0</v>
      </c>
      <c r="AG1012" s="14" t="n">
        <f aca="false">IF($L1012=2013,1,0)</f>
        <v>0</v>
      </c>
      <c r="AH1012" s="14" t="n">
        <f aca="false">IF($L1012=2014,1,0)</f>
        <v>0</v>
      </c>
      <c r="AI1012" s="14" t="n">
        <f aca="false">IF($L1012=2015,1,0)</f>
        <v>0</v>
      </c>
      <c r="AJ1012" s="14" t="n">
        <f aca="false">IF($L1012=2016,1,0)</f>
        <v>1</v>
      </c>
      <c r="AK1012" s="14" t="n">
        <f aca="false">IF($L1012=2017,1,0)</f>
        <v>0</v>
      </c>
      <c r="AL1012" s="14" t="n">
        <f aca="false">IF($H1012="Beginner Level",1,0)</f>
        <v>0</v>
      </c>
      <c r="AM1012" s="14" t="n">
        <f aca="false">IF($H1012="Expert Level",1,0)</f>
        <v>0</v>
      </c>
      <c r="AN1012" s="14" t="n">
        <f aca="false">IF($H1012="Intermediate Level",1,0)</f>
        <v>0</v>
      </c>
    </row>
    <row r="1013" customFormat="false" ht="79.85" hidden="false" customHeight="false" outlineLevel="0" collapsed="false">
      <c r="A1013" s="14" t="n">
        <v>1243474</v>
      </c>
      <c r="B1013" s="14" t="s">
        <v>2067</v>
      </c>
      <c r="C1013" s="14" t="s">
        <v>2068</v>
      </c>
      <c r="D1013" s="14" t="n">
        <v>115</v>
      </c>
      <c r="E1013" s="14" t="n">
        <v>783</v>
      </c>
      <c r="F1013" s="14" t="n">
        <v>5</v>
      </c>
      <c r="G1013" s="14" t="n">
        <v>13</v>
      </c>
      <c r="H1013" s="14" t="s">
        <v>52</v>
      </c>
      <c r="I1013" s="14" t="n">
        <v>0.94</v>
      </c>
      <c r="J1013" s="14" t="n">
        <v>1</v>
      </c>
      <c r="K1013" s="14" t="s">
        <v>59</v>
      </c>
      <c r="L1013" s="14" t="n">
        <v>2017</v>
      </c>
      <c r="M1013" s="14" t="n">
        <v>6.6631326959908</v>
      </c>
      <c r="N1013" s="14" t="n">
        <v>4.74501908110449</v>
      </c>
      <c r="P1013" s="14" t="n">
        <f aca="false">D1013</f>
        <v>115</v>
      </c>
      <c r="Q1013" s="14" t="n">
        <f aca="false">G1013</f>
        <v>13</v>
      </c>
      <c r="R1013" s="14" t="n">
        <f aca="false">J1013</f>
        <v>1</v>
      </c>
      <c r="S1013" s="14" t="n">
        <f aca="false">IF($L1013=2012,1,0)</f>
        <v>0</v>
      </c>
      <c r="T1013" s="14" t="n">
        <f aca="false">IF($L1013=2013,1,0)</f>
        <v>0</v>
      </c>
      <c r="U1013" s="14" t="n">
        <f aca="false">IF($L1013=2014,1,0)</f>
        <v>0</v>
      </c>
      <c r="V1013" s="14" t="n">
        <f aca="false">IF($L1013=2015,1,0)</f>
        <v>0</v>
      </c>
      <c r="W1013" s="14" t="n">
        <f aca="false">IF($L1013=2016,1,0)</f>
        <v>0</v>
      </c>
      <c r="X1013" s="14" t="n">
        <f aca="false">IF($L1013=2017,1,0)</f>
        <v>1</v>
      </c>
      <c r="Y1013" s="14" t="n">
        <f aca="false">IF($H1013="Beginner Level",1,0)</f>
        <v>1</v>
      </c>
      <c r="Z1013" s="14" t="n">
        <f aca="false">IF($H1013="Expert Level",1,0)</f>
        <v>0</v>
      </c>
      <c r="AA1013" s="14" t="n">
        <f aca="false">IF($H1013="Intermediate Level",1,0)</f>
        <v>0</v>
      </c>
      <c r="AC1013" s="14" t="n">
        <f aca="false">N1013</f>
        <v>4.74501908110449</v>
      </c>
      <c r="AD1013" s="14" t="n">
        <f aca="false">G1013</f>
        <v>13</v>
      </c>
      <c r="AE1013" s="14" t="n">
        <f aca="false">J1013</f>
        <v>1</v>
      </c>
      <c r="AF1013" s="14" t="n">
        <f aca="false">IF($L1013=2012,1,0)</f>
        <v>0</v>
      </c>
      <c r="AG1013" s="14" t="n">
        <f aca="false">IF($L1013=2013,1,0)</f>
        <v>0</v>
      </c>
      <c r="AH1013" s="14" t="n">
        <f aca="false">IF($L1013=2014,1,0)</f>
        <v>0</v>
      </c>
      <c r="AI1013" s="14" t="n">
        <f aca="false">IF($L1013=2015,1,0)</f>
        <v>0</v>
      </c>
      <c r="AJ1013" s="14" t="n">
        <f aca="false">IF($L1013=2016,1,0)</f>
        <v>0</v>
      </c>
      <c r="AK1013" s="14" t="n">
        <f aca="false">IF($L1013=2017,1,0)</f>
        <v>1</v>
      </c>
      <c r="AL1013" s="14" t="n">
        <f aca="false">IF($H1013="Beginner Level",1,0)</f>
        <v>1</v>
      </c>
      <c r="AM1013" s="14" t="n">
        <f aca="false">IF($H1013="Expert Level",1,0)</f>
        <v>0</v>
      </c>
      <c r="AN1013" s="14" t="n">
        <f aca="false">IF($H1013="Intermediate Level",1,0)</f>
        <v>0</v>
      </c>
    </row>
    <row r="1014" customFormat="false" ht="68.65" hidden="false" customHeight="false" outlineLevel="0" collapsed="false">
      <c r="A1014" s="14" t="n">
        <v>862478</v>
      </c>
      <c r="B1014" s="14" t="s">
        <v>2069</v>
      </c>
      <c r="C1014" s="14" t="s">
        <v>2070</v>
      </c>
      <c r="D1014" s="14" t="n">
        <v>30</v>
      </c>
      <c r="E1014" s="14" t="n">
        <v>775</v>
      </c>
      <c r="F1014" s="14" t="n">
        <v>245</v>
      </c>
      <c r="G1014" s="14" t="n">
        <v>82</v>
      </c>
      <c r="H1014" s="14" t="s">
        <v>52</v>
      </c>
      <c r="I1014" s="14" t="n">
        <v>0.15</v>
      </c>
      <c r="J1014" s="14" t="n">
        <v>8</v>
      </c>
      <c r="K1014" s="14" t="s">
        <v>59</v>
      </c>
      <c r="L1014" s="14" t="n">
        <v>2016</v>
      </c>
      <c r="M1014" s="14" t="n">
        <v>6.65286302935335</v>
      </c>
      <c r="N1014" s="14" t="n">
        <v>3.40153065945228</v>
      </c>
      <c r="P1014" s="14" t="n">
        <f aca="false">D1014</f>
        <v>30</v>
      </c>
      <c r="Q1014" s="14" t="n">
        <f aca="false">G1014</f>
        <v>82</v>
      </c>
      <c r="R1014" s="14" t="n">
        <f aca="false">J1014</f>
        <v>8</v>
      </c>
      <c r="S1014" s="14" t="n">
        <f aca="false">IF($L1014=2012,1,0)</f>
        <v>0</v>
      </c>
      <c r="T1014" s="14" t="n">
        <f aca="false">IF($L1014=2013,1,0)</f>
        <v>0</v>
      </c>
      <c r="U1014" s="14" t="n">
        <f aca="false">IF($L1014=2014,1,0)</f>
        <v>0</v>
      </c>
      <c r="V1014" s="14" t="n">
        <f aca="false">IF($L1014=2015,1,0)</f>
        <v>0</v>
      </c>
      <c r="W1014" s="14" t="n">
        <f aca="false">IF($L1014=2016,1,0)</f>
        <v>1</v>
      </c>
      <c r="X1014" s="14" t="n">
        <f aca="false">IF($L1014=2017,1,0)</f>
        <v>0</v>
      </c>
      <c r="Y1014" s="14" t="n">
        <f aca="false">IF($H1014="Beginner Level",1,0)</f>
        <v>1</v>
      </c>
      <c r="Z1014" s="14" t="n">
        <f aca="false">IF($H1014="Expert Level",1,0)</f>
        <v>0</v>
      </c>
      <c r="AA1014" s="14" t="n">
        <f aca="false">IF($H1014="Intermediate Level",1,0)</f>
        <v>0</v>
      </c>
      <c r="AC1014" s="14" t="n">
        <f aca="false">N1014</f>
        <v>3.40153065945228</v>
      </c>
      <c r="AD1014" s="14" t="n">
        <f aca="false">G1014</f>
        <v>82</v>
      </c>
      <c r="AE1014" s="14" t="n">
        <f aca="false">J1014</f>
        <v>8</v>
      </c>
      <c r="AF1014" s="14" t="n">
        <f aca="false">IF($L1014=2012,1,0)</f>
        <v>0</v>
      </c>
      <c r="AG1014" s="14" t="n">
        <f aca="false">IF($L1014=2013,1,0)</f>
        <v>0</v>
      </c>
      <c r="AH1014" s="14" t="n">
        <f aca="false">IF($L1014=2014,1,0)</f>
        <v>0</v>
      </c>
      <c r="AI1014" s="14" t="n">
        <f aca="false">IF($L1014=2015,1,0)</f>
        <v>0</v>
      </c>
      <c r="AJ1014" s="14" t="n">
        <f aca="false">IF($L1014=2016,1,0)</f>
        <v>1</v>
      </c>
      <c r="AK1014" s="14" t="n">
        <f aca="false">IF($L1014=2017,1,0)</f>
        <v>0</v>
      </c>
      <c r="AL1014" s="14" t="n">
        <f aca="false">IF($H1014="Beginner Level",1,0)</f>
        <v>1</v>
      </c>
      <c r="AM1014" s="14" t="n">
        <f aca="false">IF($H1014="Expert Level",1,0)</f>
        <v>0</v>
      </c>
      <c r="AN1014" s="14" t="n">
        <f aca="false">IF($H1014="Intermediate Level",1,0)</f>
        <v>0</v>
      </c>
    </row>
    <row r="1015" customFormat="false" ht="79.85" hidden="false" customHeight="false" outlineLevel="0" collapsed="false">
      <c r="A1015" s="14" t="n">
        <v>152244</v>
      </c>
      <c r="B1015" s="14" t="s">
        <v>2071</v>
      </c>
      <c r="C1015" s="14" t="s">
        <v>2072</v>
      </c>
      <c r="D1015" s="14" t="n">
        <v>35</v>
      </c>
      <c r="E1015" s="14" t="n">
        <v>770</v>
      </c>
      <c r="F1015" s="14" t="n">
        <v>65</v>
      </c>
      <c r="G1015" s="14" t="n">
        <v>84</v>
      </c>
      <c r="H1015" s="14" t="s">
        <v>52</v>
      </c>
      <c r="I1015" s="14" t="n">
        <v>0.62</v>
      </c>
      <c r="J1015" s="14" t="n">
        <v>8</v>
      </c>
      <c r="K1015" s="14" t="s">
        <v>59</v>
      </c>
      <c r="L1015" s="14" t="n">
        <v>2014</v>
      </c>
      <c r="M1015" s="14" t="n">
        <v>6.64639051484773</v>
      </c>
      <c r="N1015" s="14" t="n">
        <v>3.55563373496657</v>
      </c>
      <c r="P1015" s="14" t="n">
        <f aca="false">D1015</f>
        <v>35</v>
      </c>
      <c r="Q1015" s="14" t="n">
        <f aca="false">G1015</f>
        <v>84</v>
      </c>
      <c r="R1015" s="14" t="n">
        <f aca="false">J1015</f>
        <v>8</v>
      </c>
      <c r="S1015" s="14" t="n">
        <f aca="false">IF($L1015=2012,1,0)</f>
        <v>0</v>
      </c>
      <c r="T1015" s="14" t="n">
        <f aca="false">IF($L1015=2013,1,0)</f>
        <v>0</v>
      </c>
      <c r="U1015" s="14" t="n">
        <f aca="false">IF($L1015=2014,1,0)</f>
        <v>1</v>
      </c>
      <c r="V1015" s="14" t="n">
        <f aca="false">IF($L1015=2015,1,0)</f>
        <v>0</v>
      </c>
      <c r="W1015" s="14" t="n">
        <f aca="false">IF($L1015=2016,1,0)</f>
        <v>0</v>
      </c>
      <c r="X1015" s="14" t="n">
        <f aca="false">IF($L1015=2017,1,0)</f>
        <v>0</v>
      </c>
      <c r="Y1015" s="14" t="n">
        <f aca="false">IF($H1015="Beginner Level",1,0)</f>
        <v>1</v>
      </c>
      <c r="Z1015" s="14" t="n">
        <f aca="false">IF($H1015="Expert Level",1,0)</f>
        <v>0</v>
      </c>
      <c r="AA1015" s="14" t="n">
        <f aca="false">IF($H1015="Intermediate Level",1,0)</f>
        <v>0</v>
      </c>
      <c r="AC1015" s="14" t="n">
        <f aca="false">N1015</f>
        <v>3.55563373496657</v>
      </c>
      <c r="AD1015" s="14" t="n">
        <f aca="false">G1015</f>
        <v>84</v>
      </c>
      <c r="AE1015" s="14" t="n">
        <f aca="false">J1015</f>
        <v>8</v>
      </c>
      <c r="AF1015" s="14" t="n">
        <f aca="false">IF($L1015=2012,1,0)</f>
        <v>0</v>
      </c>
      <c r="AG1015" s="14" t="n">
        <f aca="false">IF($L1015=2013,1,0)</f>
        <v>0</v>
      </c>
      <c r="AH1015" s="14" t="n">
        <f aca="false">IF($L1015=2014,1,0)</f>
        <v>1</v>
      </c>
      <c r="AI1015" s="14" t="n">
        <f aca="false">IF($L1015=2015,1,0)</f>
        <v>0</v>
      </c>
      <c r="AJ1015" s="14" t="n">
        <f aca="false">IF($L1015=2016,1,0)</f>
        <v>0</v>
      </c>
      <c r="AK1015" s="14" t="n">
        <f aca="false">IF($L1015=2017,1,0)</f>
        <v>0</v>
      </c>
      <c r="AL1015" s="14" t="n">
        <f aca="false">IF($H1015="Beginner Level",1,0)</f>
        <v>1</v>
      </c>
      <c r="AM1015" s="14" t="n">
        <f aca="false">IF($H1015="Expert Level",1,0)</f>
        <v>0</v>
      </c>
      <c r="AN1015" s="14" t="n">
        <f aca="false">IF($H1015="Intermediate Level",1,0)</f>
        <v>0</v>
      </c>
    </row>
    <row r="1016" customFormat="false" ht="57.45" hidden="false" customHeight="false" outlineLevel="0" collapsed="false">
      <c r="A1016" s="14" t="n">
        <v>969348</v>
      </c>
      <c r="B1016" s="14" t="s">
        <v>2073</v>
      </c>
      <c r="C1016" s="14" t="s">
        <v>2074</v>
      </c>
      <c r="D1016" s="14" t="n">
        <v>30</v>
      </c>
      <c r="E1016" s="14" t="n">
        <v>770</v>
      </c>
      <c r="F1016" s="14" t="n">
        <v>0</v>
      </c>
      <c r="G1016" s="14" t="n">
        <v>8</v>
      </c>
      <c r="H1016" s="14" t="s">
        <v>52</v>
      </c>
      <c r="I1016" s="14" t="n">
        <v>0.82</v>
      </c>
      <c r="J1016" s="14" t="n">
        <v>0.63333333</v>
      </c>
      <c r="K1016" s="14" t="s">
        <v>59</v>
      </c>
      <c r="L1016" s="14" t="n">
        <v>2016</v>
      </c>
      <c r="M1016" s="14" t="n">
        <v>6.64639051484773</v>
      </c>
      <c r="N1016" s="14" t="n">
        <v>3.40153065945228</v>
      </c>
      <c r="P1016" s="14" t="n">
        <f aca="false">D1016</f>
        <v>30</v>
      </c>
      <c r="Q1016" s="14" t="n">
        <f aca="false">G1016</f>
        <v>8</v>
      </c>
      <c r="R1016" s="14" t="n">
        <f aca="false">J1016</f>
        <v>0.63333333</v>
      </c>
      <c r="S1016" s="14" t="n">
        <f aca="false">IF($L1016=2012,1,0)</f>
        <v>0</v>
      </c>
      <c r="T1016" s="14" t="n">
        <f aca="false">IF($L1016=2013,1,0)</f>
        <v>0</v>
      </c>
      <c r="U1016" s="14" t="n">
        <f aca="false">IF($L1016=2014,1,0)</f>
        <v>0</v>
      </c>
      <c r="V1016" s="14" t="n">
        <f aca="false">IF($L1016=2015,1,0)</f>
        <v>0</v>
      </c>
      <c r="W1016" s="14" t="n">
        <f aca="false">IF($L1016=2016,1,0)</f>
        <v>1</v>
      </c>
      <c r="X1016" s="14" t="n">
        <f aca="false">IF($L1016=2017,1,0)</f>
        <v>0</v>
      </c>
      <c r="Y1016" s="14" t="n">
        <f aca="false">IF($H1016="Beginner Level",1,0)</f>
        <v>1</v>
      </c>
      <c r="Z1016" s="14" t="n">
        <f aca="false">IF($H1016="Expert Level",1,0)</f>
        <v>0</v>
      </c>
      <c r="AA1016" s="14" t="n">
        <f aca="false">IF($H1016="Intermediate Level",1,0)</f>
        <v>0</v>
      </c>
      <c r="AC1016" s="14" t="n">
        <f aca="false">N1016</f>
        <v>3.40153065945228</v>
      </c>
      <c r="AD1016" s="14" t="n">
        <f aca="false">G1016</f>
        <v>8</v>
      </c>
      <c r="AE1016" s="14" t="n">
        <f aca="false">J1016</f>
        <v>0.63333333</v>
      </c>
      <c r="AF1016" s="14" t="n">
        <f aca="false">IF($L1016=2012,1,0)</f>
        <v>0</v>
      </c>
      <c r="AG1016" s="14" t="n">
        <f aca="false">IF($L1016=2013,1,0)</f>
        <v>0</v>
      </c>
      <c r="AH1016" s="14" t="n">
        <f aca="false">IF($L1016=2014,1,0)</f>
        <v>0</v>
      </c>
      <c r="AI1016" s="14" t="n">
        <f aca="false">IF($L1016=2015,1,0)</f>
        <v>0</v>
      </c>
      <c r="AJ1016" s="14" t="n">
        <f aca="false">IF($L1016=2016,1,0)</f>
        <v>1</v>
      </c>
      <c r="AK1016" s="14" t="n">
        <f aca="false">IF($L1016=2017,1,0)</f>
        <v>0</v>
      </c>
      <c r="AL1016" s="14" t="n">
        <f aca="false">IF($H1016="Beginner Level",1,0)</f>
        <v>1</v>
      </c>
      <c r="AM1016" s="14" t="n">
        <f aca="false">IF($H1016="Expert Level",1,0)</f>
        <v>0</v>
      </c>
      <c r="AN1016" s="14" t="n">
        <f aca="false">IF($H1016="Intermediate Level",1,0)</f>
        <v>0</v>
      </c>
    </row>
    <row r="1017" customFormat="false" ht="68.65" hidden="false" customHeight="false" outlineLevel="0" collapsed="false">
      <c r="A1017" s="14" t="n">
        <v>909244</v>
      </c>
      <c r="B1017" s="14" t="s">
        <v>2075</v>
      </c>
      <c r="C1017" s="14" t="s">
        <v>2076</v>
      </c>
      <c r="D1017" s="14" t="n">
        <v>95</v>
      </c>
      <c r="E1017" s="14" t="n">
        <v>767</v>
      </c>
      <c r="F1017" s="14" t="n">
        <v>104</v>
      </c>
      <c r="G1017" s="14" t="n">
        <v>81</v>
      </c>
      <c r="H1017" s="14" t="s">
        <v>52</v>
      </c>
      <c r="I1017" s="14" t="n">
        <v>0.49</v>
      </c>
      <c r="J1017" s="14" t="n">
        <v>5.5</v>
      </c>
      <c r="K1017" s="14" t="s">
        <v>59</v>
      </c>
      <c r="L1017" s="14" t="n">
        <v>2016</v>
      </c>
      <c r="M1017" s="14" t="n">
        <v>6.64248680136726</v>
      </c>
      <c r="N1017" s="14" t="n">
        <v>4.55398214921866</v>
      </c>
      <c r="P1017" s="14" t="n">
        <f aca="false">D1017</f>
        <v>95</v>
      </c>
      <c r="Q1017" s="14" t="n">
        <f aca="false">G1017</f>
        <v>81</v>
      </c>
      <c r="R1017" s="14" t="n">
        <f aca="false">J1017</f>
        <v>5.5</v>
      </c>
      <c r="S1017" s="14" t="n">
        <f aca="false">IF($L1017=2012,1,0)</f>
        <v>0</v>
      </c>
      <c r="T1017" s="14" t="n">
        <f aca="false">IF($L1017=2013,1,0)</f>
        <v>0</v>
      </c>
      <c r="U1017" s="14" t="n">
        <f aca="false">IF($L1017=2014,1,0)</f>
        <v>0</v>
      </c>
      <c r="V1017" s="14" t="n">
        <f aca="false">IF($L1017=2015,1,0)</f>
        <v>0</v>
      </c>
      <c r="W1017" s="14" t="n">
        <f aca="false">IF($L1017=2016,1,0)</f>
        <v>1</v>
      </c>
      <c r="X1017" s="14" t="n">
        <f aca="false">IF($L1017=2017,1,0)</f>
        <v>0</v>
      </c>
      <c r="Y1017" s="14" t="n">
        <f aca="false">IF($H1017="Beginner Level",1,0)</f>
        <v>1</v>
      </c>
      <c r="Z1017" s="14" t="n">
        <f aca="false">IF($H1017="Expert Level",1,0)</f>
        <v>0</v>
      </c>
      <c r="AA1017" s="14" t="n">
        <f aca="false">IF($H1017="Intermediate Level",1,0)</f>
        <v>0</v>
      </c>
      <c r="AC1017" s="14" t="n">
        <f aca="false">N1017</f>
        <v>4.55398214921866</v>
      </c>
      <c r="AD1017" s="14" t="n">
        <f aca="false">G1017</f>
        <v>81</v>
      </c>
      <c r="AE1017" s="14" t="n">
        <f aca="false">J1017</f>
        <v>5.5</v>
      </c>
      <c r="AF1017" s="14" t="n">
        <f aca="false">IF($L1017=2012,1,0)</f>
        <v>0</v>
      </c>
      <c r="AG1017" s="14" t="n">
        <f aca="false">IF($L1017=2013,1,0)</f>
        <v>0</v>
      </c>
      <c r="AH1017" s="14" t="n">
        <f aca="false">IF($L1017=2014,1,0)</f>
        <v>0</v>
      </c>
      <c r="AI1017" s="14" t="n">
        <f aca="false">IF($L1017=2015,1,0)</f>
        <v>0</v>
      </c>
      <c r="AJ1017" s="14" t="n">
        <f aca="false">IF($L1017=2016,1,0)</f>
        <v>1</v>
      </c>
      <c r="AK1017" s="14" t="n">
        <f aca="false">IF($L1017=2017,1,0)</f>
        <v>0</v>
      </c>
      <c r="AL1017" s="14" t="n">
        <f aca="false">IF($H1017="Beginner Level",1,0)</f>
        <v>1</v>
      </c>
      <c r="AM1017" s="14" t="n">
        <f aca="false">IF($H1017="Expert Level",1,0)</f>
        <v>0</v>
      </c>
      <c r="AN1017" s="14" t="n">
        <f aca="false">IF($H1017="Intermediate Level",1,0)</f>
        <v>0</v>
      </c>
    </row>
    <row r="1018" customFormat="false" ht="46.25" hidden="false" customHeight="false" outlineLevel="0" collapsed="false">
      <c r="A1018" s="14" t="n">
        <v>971022</v>
      </c>
      <c r="B1018" s="14" t="s">
        <v>2077</v>
      </c>
      <c r="C1018" s="14" t="s">
        <v>2078</v>
      </c>
      <c r="D1018" s="14" t="n">
        <v>35</v>
      </c>
      <c r="E1018" s="14" t="n">
        <v>764</v>
      </c>
      <c r="F1018" s="14" t="n">
        <v>7</v>
      </c>
      <c r="G1018" s="14" t="n">
        <v>8</v>
      </c>
      <c r="H1018" s="14" t="s">
        <v>62</v>
      </c>
      <c r="I1018" s="14" t="n">
        <v>0.11</v>
      </c>
      <c r="J1018" s="14" t="n">
        <v>1</v>
      </c>
      <c r="K1018" s="14" t="s">
        <v>59</v>
      </c>
      <c r="L1018" s="14" t="n">
        <v>2016</v>
      </c>
      <c r="M1018" s="14" t="n">
        <v>6.63856778916652</v>
      </c>
      <c r="N1018" s="14" t="n">
        <v>3.55563373496657</v>
      </c>
      <c r="P1018" s="14" t="n">
        <f aca="false">D1018</f>
        <v>35</v>
      </c>
      <c r="Q1018" s="14" t="n">
        <f aca="false">G1018</f>
        <v>8</v>
      </c>
      <c r="R1018" s="14" t="n">
        <f aca="false">J1018</f>
        <v>1</v>
      </c>
      <c r="S1018" s="14" t="n">
        <f aca="false">IF($L1018=2012,1,0)</f>
        <v>0</v>
      </c>
      <c r="T1018" s="14" t="n">
        <f aca="false">IF($L1018=2013,1,0)</f>
        <v>0</v>
      </c>
      <c r="U1018" s="14" t="n">
        <f aca="false">IF($L1018=2014,1,0)</f>
        <v>0</v>
      </c>
      <c r="V1018" s="14" t="n">
        <f aca="false">IF($L1018=2015,1,0)</f>
        <v>0</v>
      </c>
      <c r="W1018" s="14" t="n">
        <f aca="false">IF($L1018=2016,1,0)</f>
        <v>1</v>
      </c>
      <c r="X1018" s="14" t="n">
        <f aca="false">IF($L1018=2017,1,0)</f>
        <v>0</v>
      </c>
      <c r="Y1018" s="14" t="n">
        <f aca="false">IF($H1018="Beginner Level",1,0)</f>
        <v>0</v>
      </c>
      <c r="Z1018" s="14" t="n">
        <f aca="false">IF($H1018="Expert Level",1,0)</f>
        <v>0</v>
      </c>
      <c r="AA1018" s="14" t="n">
        <f aca="false">IF($H1018="Intermediate Level",1,0)</f>
        <v>0</v>
      </c>
      <c r="AC1018" s="14" t="n">
        <f aca="false">N1018</f>
        <v>3.55563373496657</v>
      </c>
      <c r="AD1018" s="14" t="n">
        <f aca="false">G1018</f>
        <v>8</v>
      </c>
      <c r="AE1018" s="14" t="n">
        <f aca="false">J1018</f>
        <v>1</v>
      </c>
      <c r="AF1018" s="14" t="n">
        <f aca="false">IF($L1018=2012,1,0)</f>
        <v>0</v>
      </c>
      <c r="AG1018" s="14" t="n">
        <f aca="false">IF($L1018=2013,1,0)</f>
        <v>0</v>
      </c>
      <c r="AH1018" s="14" t="n">
        <f aca="false">IF($L1018=2014,1,0)</f>
        <v>0</v>
      </c>
      <c r="AI1018" s="14" t="n">
        <f aca="false">IF($L1018=2015,1,0)</f>
        <v>0</v>
      </c>
      <c r="AJ1018" s="14" t="n">
        <f aca="false">IF($L1018=2016,1,0)</f>
        <v>1</v>
      </c>
      <c r="AK1018" s="14" t="n">
        <f aca="false">IF($L1018=2017,1,0)</f>
        <v>0</v>
      </c>
      <c r="AL1018" s="14" t="n">
        <f aca="false">IF($H1018="Beginner Level",1,0)</f>
        <v>0</v>
      </c>
      <c r="AM1018" s="14" t="n">
        <f aca="false">IF($H1018="Expert Level",1,0)</f>
        <v>0</v>
      </c>
      <c r="AN1018" s="14" t="n">
        <f aca="false">IF($H1018="Intermediate Level",1,0)</f>
        <v>0</v>
      </c>
    </row>
    <row r="1019" customFormat="false" ht="68.65" hidden="false" customHeight="false" outlineLevel="0" collapsed="false">
      <c r="A1019" s="14" t="n">
        <v>691760</v>
      </c>
      <c r="B1019" s="14" t="s">
        <v>2079</v>
      </c>
      <c r="C1019" s="14" t="s">
        <v>2080</v>
      </c>
      <c r="D1019" s="14" t="n">
        <v>65</v>
      </c>
      <c r="E1019" s="14" t="n">
        <v>755</v>
      </c>
      <c r="F1019" s="14" t="n">
        <v>5</v>
      </c>
      <c r="G1019" s="14" t="n">
        <v>18</v>
      </c>
      <c r="H1019" s="14" t="s">
        <v>71</v>
      </c>
      <c r="I1019" s="14" t="n">
        <v>0.74</v>
      </c>
      <c r="J1019" s="14" t="n">
        <v>2</v>
      </c>
      <c r="K1019" s="14" t="s">
        <v>59</v>
      </c>
      <c r="L1019" s="14" t="n">
        <v>2016</v>
      </c>
      <c r="M1019" s="14" t="n">
        <v>6.62671774924903</v>
      </c>
      <c r="N1019" s="14" t="n">
        <v>4.17454110421638</v>
      </c>
      <c r="P1019" s="14" t="n">
        <f aca="false">D1019</f>
        <v>65</v>
      </c>
      <c r="Q1019" s="14" t="n">
        <f aca="false">G1019</f>
        <v>18</v>
      </c>
      <c r="R1019" s="14" t="n">
        <f aca="false">J1019</f>
        <v>2</v>
      </c>
      <c r="S1019" s="14" t="n">
        <f aca="false">IF($L1019=2012,1,0)</f>
        <v>0</v>
      </c>
      <c r="T1019" s="14" t="n">
        <f aca="false">IF($L1019=2013,1,0)</f>
        <v>0</v>
      </c>
      <c r="U1019" s="14" t="n">
        <f aca="false">IF($L1019=2014,1,0)</f>
        <v>0</v>
      </c>
      <c r="V1019" s="14" t="n">
        <f aca="false">IF($L1019=2015,1,0)</f>
        <v>0</v>
      </c>
      <c r="W1019" s="14" t="n">
        <f aca="false">IF($L1019=2016,1,0)</f>
        <v>1</v>
      </c>
      <c r="X1019" s="14" t="n">
        <f aca="false">IF($L1019=2017,1,0)</f>
        <v>0</v>
      </c>
      <c r="Y1019" s="14" t="n">
        <f aca="false">IF($H1019="Beginner Level",1,0)</f>
        <v>0</v>
      </c>
      <c r="Z1019" s="14" t="n">
        <f aca="false">IF($H1019="Expert Level",1,0)</f>
        <v>0</v>
      </c>
      <c r="AA1019" s="14" t="n">
        <f aca="false">IF($H1019="Intermediate Level",1,0)</f>
        <v>1</v>
      </c>
      <c r="AC1019" s="14" t="n">
        <f aca="false">N1019</f>
        <v>4.17454110421638</v>
      </c>
      <c r="AD1019" s="14" t="n">
        <f aca="false">G1019</f>
        <v>18</v>
      </c>
      <c r="AE1019" s="14" t="n">
        <f aca="false">J1019</f>
        <v>2</v>
      </c>
      <c r="AF1019" s="14" t="n">
        <f aca="false">IF($L1019=2012,1,0)</f>
        <v>0</v>
      </c>
      <c r="AG1019" s="14" t="n">
        <f aca="false">IF($L1019=2013,1,0)</f>
        <v>0</v>
      </c>
      <c r="AH1019" s="14" t="n">
        <f aca="false">IF($L1019=2014,1,0)</f>
        <v>0</v>
      </c>
      <c r="AI1019" s="14" t="n">
        <f aca="false">IF($L1019=2015,1,0)</f>
        <v>0</v>
      </c>
      <c r="AJ1019" s="14" t="n">
        <f aca="false">IF($L1019=2016,1,0)</f>
        <v>1</v>
      </c>
      <c r="AK1019" s="14" t="n">
        <f aca="false">IF($L1019=2017,1,0)</f>
        <v>0</v>
      </c>
      <c r="AL1019" s="14" t="n">
        <f aca="false">IF($H1019="Beginner Level",1,0)</f>
        <v>0</v>
      </c>
      <c r="AM1019" s="14" t="n">
        <f aca="false">IF($H1019="Expert Level",1,0)</f>
        <v>0</v>
      </c>
      <c r="AN1019" s="14" t="n">
        <f aca="false">IF($H1019="Intermediate Level",1,0)</f>
        <v>1</v>
      </c>
    </row>
    <row r="1020" customFormat="false" ht="46.25" hidden="false" customHeight="false" outlineLevel="0" collapsed="false">
      <c r="A1020" s="14" t="n">
        <v>969170</v>
      </c>
      <c r="B1020" s="14" t="s">
        <v>2081</v>
      </c>
      <c r="C1020" s="14" t="s">
        <v>2082</v>
      </c>
      <c r="D1020" s="14" t="n">
        <v>35</v>
      </c>
      <c r="E1020" s="14" t="n">
        <v>755</v>
      </c>
      <c r="F1020" s="14" t="n">
        <v>0</v>
      </c>
      <c r="G1020" s="14" t="n">
        <v>7</v>
      </c>
      <c r="H1020" s="14" t="s">
        <v>62</v>
      </c>
      <c r="I1020" s="14" t="n">
        <v>0.24</v>
      </c>
      <c r="J1020" s="14" t="n">
        <v>0.7</v>
      </c>
      <c r="K1020" s="14" t="s">
        <v>59</v>
      </c>
      <c r="L1020" s="14" t="n">
        <v>2016</v>
      </c>
      <c r="M1020" s="14" t="n">
        <v>6.62671774924903</v>
      </c>
      <c r="N1020" s="14" t="n">
        <v>3.55563373496657</v>
      </c>
      <c r="P1020" s="14" t="n">
        <f aca="false">D1020</f>
        <v>35</v>
      </c>
      <c r="Q1020" s="14" t="n">
        <f aca="false">G1020</f>
        <v>7</v>
      </c>
      <c r="R1020" s="14" t="n">
        <f aca="false">J1020</f>
        <v>0.7</v>
      </c>
      <c r="S1020" s="14" t="n">
        <f aca="false">IF($L1020=2012,1,0)</f>
        <v>0</v>
      </c>
      <c r="T1020" s="14" t="n">
        <f aca="false">IF($L1020=2013,1,0)</f>
        <v>0</v>
      </c>
      <c r="U1020" s="14" t="n">
        <f aca="false">IF($L1020=2014,1,0)</f>
        <v>0</v>
      </c>
      <c r="V1020" s="14" t="n">
        <f aca="false">IF($L1020=2015,1,0)</f>
        <v>0</v>
      </c>
      <c r="W1020" s="14" t="n">
        <f aca="false">IF($L1020=2016,1,0)</f>
        <v>1</v>
      </c>
      <c r="X1020" s="14" t="n">
        <f aca="false">IF($L1020=2017,1,0)</f>
        <v>0</v>
      </c>
      <c r="Y1020" s="14" t="n">
        <f aca="false">IF($H1020="Beginner Level",1,0)</f>
        <v>0</v>
      </c>
      <c r="Z1020" s="14" t="n">
        <f aca="false">IF($H1020="Expert Level",1,0)</f>
        <v>0</v>
      </c>
      <c r="AA1020" s="14" t="n">
        <f aca="false">IF($H1020="Intermediate Level",1,0)</f>
        <v>0</v>
      </c>
      <c r="AC1020" s="14" t="n">
        <f aca="false">N1020</f>
        <v>3.55563373496657</v>
      </c>
      <c r="AD1020" s="14" t="n">
        <f aca="false">G1020</f>
        <v>7</v>
      </c>
      <c r="AE1020" s="14" t="n">
        <f aca="false">J1020</f>
        <v>0.7</v>
      </c>
      <c r="AF1020" s="14" t="n">
        <f aca="false">IF($L1020=2012,1,0)</f>
        <v>0</v>
      </c>
      <c r="AG1020" s="14" t="n">
        <f aca="false">IF($L1020=2013,1,0)</f>
        <v>0</v>
      </c>
      <c r="AH1020" s="14" t="n">
        <f aca="false">IF($L1020=2014,1,0)</f>
        <v>0</v>
      </c>
      <c r="AI1020" s="14" t="n">
        <f aca="false">IF($L1020=2015,1,0)</f>
        <v>0</v>
      </c>
      <c r="AJ1020" s="14" t="n">
        <f aca="false">IF($L1020=2016,1,0)</f>
        <v>1</v>
      </c>
      <c r="AK1020" s="14" t="n">
        <f aca="false">IF($L1020=2017,1,0)</f>
        <v>0</v>
      </c>
      <c r="AL1020" s="14" t="n">
        <f aca="false">IF($H1020="Beginner Level",1,0)</f>
        <v>0</v>
      </c>
      <c r="AM1020" s="14" t="n">
        <f aca="false">IF($H1020="Expert Level",1,0)</f>
        <v>0</v>
      </c>
      <c r="AN1020" s="14" t="n">
        <f aca="false">IF($H1020="Intermediate Level",1,0)</f>
        <v>0</v>
      </c>
    </row>
    <row r="1021" customFormat="false" ht="79.85" hidden="false" customHeight="false" outlineLevel="0" collapsed="false">
      <c r="A1021" s="14" t="n">
        <v>661878</v>
      </c>
      <c r="B1021" s="14" t="s">
        <v>2083</v>
      </c>
      <c r="C1021" s="14" t="s">
        <v>2084</v>
      </c>
      <c r="D1021" s="14" t="n">
        <v>30</v>
      </c>
      <c r="E1021" s="14" t="n">
        <v>746</v>
      </c>
      <c r="F1021" s="14" t="n">
        <v>93</v>
      </c>
      <c r="G1021" s="14" t="n">
        <v>39</v>
      </c>
      <c r="H1021" s="14" t="s">
        <v>62</v>
      </c>
      <c r="I1021" s="14" t="n">
        <v>0.11</v>
      </c>
      <c r="J1021" s="14" t="n">
        <v>6.5</v>
      </c>
      <c r="K1021" s="14" t="s">
        <v>59</v>
      </c>
      <c r="L1021" s="14" t="n">
        <v>2015</v>
      </c>
      <c r="M1021" s="14" t="n">
        <v>6.61472560020376</v>
      </c>
      <c r="N1021" s="14" t="n">
        <v>3.40153065945228</v>
      </c>
      <c r="P1021" s="14" t="n">
        <f aca="false">D1021</f>
        <v>30</v>
      </c>
      <c r="Q1021" s="14" t="n">
        <f aca="false">G1021</f>
        <v>39</v>
      </c>
      <c r="R1021" s="14" t="n">
        <f aca="false">J1021</f>
        <v>6.5</v>
      </c>
      <c r="S1021" s="14" t="n">
        <f aca="false">IF($L1021=2012,1,0)</f>
        <v>0</v>
      </c>
      <c r="T1021" s="14" t="n">
        <f aca="false">IF($L1021=2013,1,0)</f>
        <v>0</v>
      </c>
      <c r="U1021" s="14" t="n">
        <f aca="false">IF($L1021=2014,1,0)</f>
        <v>0</v>
      </c>
      <c r="V1021" s="14" t="n">
        <f aca="false">IF($L1021=2015,1,0)</f>
        <v>1</v>
      </c>
      <c r="W1021" s="14" t="n">
        <f aca="false">IF($L1021=2016,1,0)</f>
        <v>0</v>
      </c>
      <c r="X1021" s="14" t="n">
        <f aca="false">IF($L1021=2017,1,0)</f>
        <v>0</v>
      </c>
      <c r="Y1021" s="14" t="n">
        <f aca="false">IF($H1021="Beginner Level",1,0)</f>
        <v>0</v>
      </c>
      <c r="Z1021" s="14" t="n">
        <f aca="false">IF($H1021="Expert Level",1,0)</f>
        <v>0</v>
      </c>
      <c r="AA1021" s="14" t="n">
        <f aca="false">IF($H1021="Intermediate Level",1,0)</f>
        <v>0</v>
      </c>
      <c r="AC1021" s="14" t="n">
        <f aca="false">N1021</f>
        <v>3.40153065945228</v>
      </c>
      <c r="AD1021" s="14" t="n">
        <f aca="false">G1021</f>
        <v>39</v>
      </c>
      <c r="AE1021" s="14" t="n">
        <f aca="false">J1021</f>
        <v>6.5</v>
      </c>
      <c r="AF1021" s="14" t="n">
        <f aca="false">IF($L1021=2012,1,0)</f>
        <v>0</v>
      </c>
      <c r="AG1021" s="14" t="n">
        <f aca="false">IF($L1021=2013,1,0)</f>
        <v>0</v>
      </c>
      <c r="AH1021" s="14" t="n">
        <f aca="false">IF($L1021=2014,1,0)</f>
        <v>0</v>
      </c>
      <c r="AI1021" s="14" t="n">
        <f aca="false">IF($L1021=2015,1,0)</f>
        <v>1</v>
      </c>
      <c r="AJ1021" s="14" t="n">
        <f aca="false">IF($L1021=2016,1,0)</f>
        <v>0</v>
      </c>
      <c r="AK1021" s="14" t="n">
        <f aca="false">IF($L1021=2017,1,0)</f>
        <v>0</v>
      </c>
      <c r="AL1021" s="14" t="n">
        <f aca="false">IF($H1021="Beginner Level",1,0)</f>
        <v>0</v>
      </c>
      <c r="AM1021" s="14" t="n">
        <f aca="false">IF($H1021="Expert Level",1,0)</f>
        <v>0</v>
      </c>
      <c r="AN1021" s="14" t="n">
        <f aca="false">IF($H1021="Intermediate Level",1,0)</f>
        <v>0</v>
      </c>
    </row>
    <row r="1022" customFormat="false" ht="57.45" hidden="false" customHeight="false" outlineLevel="0" collapsed="false">
      <c r="A1022" s="14" t="n">
        <v>599628</v>
      </c>
      <c r="B1022" s="14" t="s">
        <v>2085</v>
      </c>
      <c r="C1022" s="14" t="s">
        <v>2086</v>
      </c>
      <c r="D1022" s="14" t="n">
        <v>120</v>
      </c>
      <c r="E1022" s="14" t="n">
        <v>735</v>
      </c>
      <c r="F1022" s="14" t="n">
        <v>16</v>
      </c>
      <c r="G1022" s="14" t="n">
        <v>30</v>
      </c>
      <c r="H1022" s="14" t="s">
        <v>52</v>
      </c>
      <c r="I1022" s="14" t="n">
        <v>0.14</v>
      </c>
      <c r="J1022" s="14" t="n">
        <v>1.5</v>
      </c>
      <c r="K1022" s="14" t="s">
        <v>59</v>
      </c>
      <c r="L1022" s="14" t="n">
        <v>2015</v>
      </c>
      <c r="M1022" s="14" t="n">
        <v>6.59987049921284</v>
      </c>
      <c r="N1022" s="14" t="n">
        <v>4.78757507264335</v>
      </c>
      <c r="P1022" s="14" t="n">
        <f aca="false">D1022</f>
        <v>120</v>
      </c>
      <c r="Q1022" s="14" t="n">
        <f aca="false">G1022</f>
        <v>30</v>
      </c>
      <c r="R1022" s="14" t="n">
        <f aca="false">J1022</f>
        <v>1.5</v>
      </c>
      <c r="S1022" s="14" t="n">
        <f aca="false">IF($L1022=2012,1,0)</f>
        <v>0</v>
      </c>
      <c r="T1022" s="14" t="n">
        <f aca="false">IF($L1022=2013,1,0)</f>
        <v>0</v>
      </c>
      <c r="U1022" s="14" t="n">
        <f aca="false">IF($L1022=2014,1,0)</f>
        <v>0</v>
      </c>
      <c r="V1022" s="14" t="n">
        <f aca="false">IF($L1022=2015,1,0)</f>
        <v>1</v>
      </c>
      <c r="W1022" s="14" t="n">
        <f aca="false">IF($L1022=2016,1,0)</f>
        <v>0</v>
      </c>
      <c r="X1022" s="14" t="n">
        <f aca="false">IF($L1022=2017,1,0)</f>
        <v>0</v>
      </c>
      <c r="Y1022" s="14" t="n">
        <f aca="false">IF($H1022="Beginner Level",1,0)</f>
        <v>1</v>
      </c>
      <c r="Z1022" s="14" t="n">
        <f aca="false">IF($H1022="Expert Level",1,0)</f>
        <v>0</v>
      </c>
      <c r="AA1022" s="14" t="n">
        <f aca="false">IF($H1022="Intermediate Level",1,0)</f>
        <v>0</v>
      </c>
      <c r="AC1022" s="14" t="n">
        <f aca="false">N1022</f>
        <v>4.78757507264335</v>
      </c>
      <c r="AD1022" s="14" t="n">
        <f aca="false">G1022</f>
        <v>30</v>
      </c>
      <c r="AE1022" s="14" t="n">
        <f aca="false">J1022</f>
        <v>1.5</v>
      </c>
      <c r="AF1022" s="14" t="n">
        <f aca="false">IF($L1022=2012,1,0)</f>
        <v>0</v>
      </c>
      <c r="AG1022" s="14" t="n">
        <f aca="false">IF($L1022=2013,1,0)</f>
        <v>0</v>
      </c>
      <c r="AH1022" s="14" t="n">
        <f aca="false">IF($L1022=2014,1,0)</f>
        <v>0</v>
      </c>
      <c r="AI1022" s="14" t="n">
        <f aca="false">IF($L1022=2015,1,0)</f>
        <v>1</v>
      </c>
      <c r="AJ1022" s="14" t="n">
        <f aca="false">IF($L1022=2016,1,0)</f>
        <v>0</v>
      </c>
      <c r="AK1022" s="14" t="n">
        <f aca="false">IF($L1022=2017,1,0)</f>
        <v>0</v>
      </c>
      <c r="AL1022" s="14" t="n">
        <f aca="false">IF($H1022="Beginner Level",1,0)</f>
        <v>1</v>
      </c>
      <c r="AM1022" s="14" t="n">
        <f aca="false">IF($H1022="Expert Level",1,0)</f>
        <v>0</v>
      </c>
      <c r="AN1022" s="14" t="n">
        <f aca="false">IF($H1022="Intermediate Level",1,0)</f>
        <v>0</v>
      </c>
    </row>
    <row r="1023" customFormat="false" ht="79.85" hidden="false" customHeight="false" outlineLevel="0" collapsed="false">
      <c r="A1023" s="14" t="n">
        <v>1252318</v>
      </c>
      <c r="B1023" s="14" t="s">
        <v>2087</v>
      </c>
      <c r="C1023" s="14" t="s">
        <v>2088</v>
      </c>
      <c r="D1023" s="14" t="n">
        <v>85</v>
      </c>
      <c r="E1023" s="14" t="n">
        <v>733</v>
      </c>
      <c r="F1023" s="14" t="n">
        <v>104</v>
      </c>
      <c r="G1023" s="14" t="n">
        <v>50</v>
      </c>
      <c r="H1023" s="14" t="s">
        <v>62</v>
      </c>
      <c r="I1023" s="14" t="n">
        <v>0.15</v>
      </c>
      <c r="J1023" s="14" t="n">
        <v>3</v>
      </c>
      <c r="K1023" s="14" t="s">
        <v>59</v>
      </c>
      <c r="L1023" s="14" t="n">
        <v>2017</v>
      </c>
      <c r="M1023" s="14" t="n">
        <v>6.59714570188665</v>
      </c>
      <c r="N1023" s="14" t="n">
        <v>4.44276889662927</v>
      </c>
      <c r="P1023" s="14" t="n">
        <f aca="false">D1023</f>
        <v>85</v>
      </c>
      <c r="Q1023" s="14" t="n">
        <f aca="false">G1023</f>
        <v>50</v>
      </c>
      <c r="R1023" s="14" t="n">
        <f aca="false">J1023</f>
        <v>3</v>
      </c>
      <c r="S1023" s="14" t="n">
        <f aca="false">IF($L1023=2012,1,0)</f>
        <v>0</v>
      </c>
      <c r="T1023" s="14" t="n">
        <f aca="false">IF($L1023=2013,1,0)</f>
        <v>0</v>
      </c>
      <c r="U1023" s="14" t="n">
        <f aca="false">IF($L1023=2014,1,0)</f>
        <v>0</v>
      </c>
      <c r="V1023" s="14" t="n">
        <f aca="false">IF($L1023=2015,1,0)</f>
        <v>0</v>
      </c>
      <c r="W1023" s="14" t="n">
        <f aca="false">IF($L1023=2016,1,0)</f>
        <v>0</v>
      </c>
      <c r="X1023" s="14" t="n">
        <f aca="false">IF($L1023=2017,1,0)</f>
        <v>1</v>
      </c>
      <c r="Y1023" s="14" t="n">
        <f aca="false">IF($H1023="Beginner Level",1,0)</f>
        <v>0</v>
      </c>
      <c r="Z1023" s="14" t="n">
        <f aca="false">IF($H1023="Expert Level",1,0)</f>
        <v>0</v>
      </c>
      <c r="AA1023" s="14" t="n">
        <f aca="false">IF($H1023="Intermediate Level",1,0)</f>
        <v>0</v>
      </c>
      <c r="AC1023" s="14" t="n">
        <f aca="false">N1023</f>
        <v>4.44276889662927</v>
      </c>
      <c r="AD1023" s="14" t="n">
        <f aca="false">G1023</f>
        <v>50</v>
      </c>
      <c r="AE1023" s="14" t="n">
        <f aca="false">J1023</f>
        <v>3</v>
      </c>
      <c r="AF1023" s="14" t="n">
        <f aca="false">IF($L1023=2012,1,0)</f>
        <v>0</v>
      </c>
      <c r="AG1023" s="14" t="n">
        <f aca="false">IF($L1023=2013,1,0)</f>
        <v>0</v>
      </c>
      <c r="AH1023" s="14" t="n">
        <f aca="false">IF($L1023=2014,1,0)</f>
        <v>0</v>
      </c>
      <c r="AI1023" s="14" t="n">
        <f aca="false">IF($L1023=2015,1,0)</f>
        <v>0</v>
      </c>
      <c r="AJ1023" s="14" t="n">
        <f aca="false">IF($L1023=2016,1,0)</f>
        <v>0</v>
      </c>
      <c r="AK1023" s="14" t="n">
        <f aca="false">IF($L1023=2017,1,0)</f>
        <v>1</v>
      </c>
      <c r="AL1023" s="14" t="n">
        <f aca="false">IF($H1023="Beginner Level",1,0)</f>
        <v>0</v>
      </c>
      <c r="AM1023" s="14" t="n">
        <f aca="false">IF($H1023="Expert Level",1,0)</f>
        <v>0</v>
      </c>
      <c r="AN1023" s="14" t="n">
        <f aca="false">IF($H1023="Intermediate Level",1,0)</f>
        <v>0</v>
      </c>
    </row>
    <row r="1024" customFormat="false" ht="68.65" hidden="false" customHeight="false" outlineLevel="0" collapsed="false">
      <c r="A1024" s="14" t="n">
        <v>631754</v>
      </c>
      <c r="B1024" s="14" t="s">
        <v>2089</v>
      </c>
      <c r="C1024" s="14" t="s">
        <v>2090</v>
      </c>
      <c r="D1024" s="14" t="n">
        <v>40</v>
      </c>
      <c r="E1024" s="14" t="n">
        <v>723</v>
      </c>
      <c r="F1024" s="14" t="n">
        <v>130</v>
      </c>
      <c r="G1024" s="14" t="n">
        <v>37</v>
      </c>
      <c r="H1024" s="14" t="s">
        <v>62</v>
      </c>
      <c r="I1024" s="14" t="n">
        <v>0.76</v>
      </c>
      <c r="J1024" s="14" t="n">
        <v>6.5</v>
      </c>
      <c r="K1024" s="14" t="s">
        <v>59</v>
      </c>
      <c r="L1024" s="14" t="n">
        <v>2015</v>
      </c>
      <c r="M1024" s="14" t="n">
        <v>6.58340922215877</v>
      </c>
      <c r="N1024" s="14" t="n">
        <v>3.68912942286914</v>
      </c>
      <c r="P1024" s="14" t="n">
        <f aca="false">D1024</f>
        <v>40</v>
      </c>
      <c r="Q1024" s="14" t="n">
        <f aca="false">G1024</f>
        <v>37</v>
      </c>
      <c r="R1024" s="14" t="n">
        <f aca="false">J1024</f>
        <v>6.5</v>
      </c>
      <c r="S1024" s="14" t="n">
        <f aca="false">IF($L1024=2012,1,0)</f>
        <v>0</v>
      </c>
      <c r="T1024" s="14" t="n">
        <f aca="false">IF($L1024=2013,1,0)</f>
        <v>0</v>
      </c>
      <c r="U1024" s="14" t="n">
        <f aca="false">IF($L1024=2014,1,0)</f>
        <v>0</v>
      </c>
      <c r="V1024" s="14" t="n">
        <f aca="false">IF($L1024=2015,1,0)</f>
        <v>1</v>
      </c>
      <c r="W1024" s="14" t="n">
        <f aca="false">IF($L1024=2016,1,0)</f>
        <v>0</v>
      </c>
      <c r="X1024" s="14" t="n">
        <f aca="false">IF($L1024=2017,1,0)</f>
        <v>0</v>
      </c>
      <c r="Y1024" s="14" t="n">
        <f aca="false">IF($H1024="Beginner Level",1,0)</f>
        <v>0</v>
      </c>
      <c r="Z1024" s="14" t="n">
        <f aca="false">IF($H1024="Expert Level",1,0)</f>
        <v>0</v>
      </c>
      <c r="AA1024" s="14" t="n">
        <f aca="false">IF($H1024="Intermediate Level",1,0)</f>
        <v>0</v>
      </c>
      <c r="AC1024" s="14" t="n">
        <f aca="false">N1024</f>
        <v>3.68912942286914</v>
      </c>
      <c r="AD1024" s="14" t="n">
        <f aca="false">G1024</f>
        <v>37</v>
      </c>
      <c r="AE1024" s="14" t="n">
        <f aca="false">J1024</f>
        <v>6.5</v>
      </c>
      <c r="AF1024" s="14" t="n">
        <f aca="false">IF($L1024=2012,1,0)</f>
        <v>0</v>
      </c>
      <c r="AG1024" s="14" t="n">
        <f aca="false">IF($L1024=2013,1,0)</f>
        <v>0</v>
      </c>
      <c r="AH1024" s="14" t="n">
        <f aca="false">IF($L1024=2014,1,0)</f>
        <v>0</v>
      </c>
      <c r="AI1024" s="14" t="n">
        <f aca="false">IF($L1024=2015,1,0)</f>
        <v>1</v>
      </c>
      <c r="AJ1024" s="14" t="n">
        <f aca="false">IF($L1024=2016,1,0)</f>
        <v>0</v>
      </c>
      <c r="AK1024" s="14" t="n">
        <f aca="false">IF($L1024=2017,1,0)</f>
        <v>0</v>
      </c>
      <c r="AL1024" s="14" t="n">
        <f aca="false">IF($H1024="Beginner Level",1,0)</f>
        <v>0</v>
      </c>
      <c r="AM1024" s="14" t="n">
        <f aca="false">IF($H1024="Expert Level",1,0)</f>
        <v>0</v>
      </c>
      <c r="AN1024" s="14" t="n">
        <f aca="false">IF($H1024="Intermediate Level",1,0)</f>
        <v>0</v>
      </c>
    </row>
    <row r="1025" customFormat="false" ht="46.25" hidden="false" customHeight="false" outlineLevel="0" collapsed="false">
      <c r="A1025" s="14" t="n">
        <v>563880</v>
      </c>
      <c r="B1025" s="14" t="s">
        <v>2091</v>
      </c>
      <c r="C1025" s="14" t="s">
        <v>2092</v>
      </c>
      <c r="D1025" s="14" t="n">
        <v>20</v>
      </c>
      <c r="E1025" s="14" t="n">
        <v>722</v>
      </c>
      <c r="F1025" s="14" t="n">
        <v>53</v>
      </c>
      <c r="G1025" s="14" t="n">
        <v>18</v>
      </c>
      <c r="H1025" s="14" t="s">
        <v>62</v>
      </c>
      <c r="I1025" s="14" t="n">
        <v>0.24</v>
      </c>
      <c r="J1025" s="14" t="n">
        <v>1.5</v>
      </c>
      <c r="K1025" s="14" t="s">
        <v>59</v>
      </c>
      <c r="L1025" s="14" t="n">
        <v>2015</v>
      </c>
      <c r="M1025" s="14" t="n">
        <v>6.58202513889283</v>
      </c>
      <c r="N1025" s="14" t="n">
        <v>2.99623214859564</v>
      </c>
      <c r="P1025" s="14" t="n">
        <f aca="false">D1025</f>
        <v>20</v>
      </c>
      <c r="Q1025" s="14" t="n">
        <f aca="false">G1025</f>
        <v>18</v>
      </c>
      <c r="R1025" s="14" t="n">
        <f aca="false">J1025</f>
        <v>1.5</v>
      </c>
      <c r="S1025" s="14" t="n">
        <f aca="false">IF($L1025=2012,1,0)</f>
        <v>0</v>
      </c>
      <c r="T1025" s="14" t="n">
        <f aca="false">IF($L1025=2013,1,0)</f>
        <v>0</v>
      </c>
      <c r="U1025" s="14" t="n">
        <f aca="false">IF($L1025=2014,1,0)</f>
        <v>0</v>
      </c>
      <c r="V1025" s="14" t="n">
        <f aca="false">IF($L1025=2015,1,0)</f>
        <v>1</v>
      </c>
      <c r="W1025" s="14" t="n">
        <f aca="false">IF($L1025=2016,1,0)</f>
        <v>0</v>
      </c>
      <c r="X1025" s="14" t="n">
        <f aca="false">IF($L1025=2017,1,0)</f>
        <v>0</v>
      </c>
      <c r="Y1025" s="14" t="n">
        <f aca="false">IF($H1025="Beginner Level",1,0)</f>
        <v>0</v>
      </c>
      <c r="Z1025" s="14" t="n">
        <f aca="false">IF($H1025="Expert Level",1,0)</f>
        <v>0</v>
      </c>
      <c r="AA1025" s="14" t="n">
        <f aca="false">IF($H1025="Intermediate Level",1,0)</f>
        <v>0</v>
      </c>
      <c r="AC1025" s="14" t="n">
        <f aca="false">N1025</f>
        <v>2.99623214859564</v>
      </c>
      <c r="AD1025" s="14" t="n">
        <f aca="false">G1025</f>
        <v>18</v>
      </c>
      <c r="AE1025" s="14" t="n">
        <f aca="false">J1025</f>
        <v>1.5</v>
      </c>
      <c r="AF1025" s="14" t="n">
        <f aca="false">IF($L1025=2012,1,0)</f>
        <v>0</v>
      </c>
      <c r="AG1025" s="14" t="n">
        <f aca="false">IF($L1025=2013,1,0)</f>
        <v>0</v>
      </c>
      <c r="AH1025" s="14" t="n">
        <f aca="false">IF($L1025=2014,1,0)</f>
        <v>0</v>
      </c>
      <c r="AI1025" s="14" t="n">
        <f aca="false">IF($L1025=2015,1,0)</f>
        <v>1</v>
      </c>
      <c r="AJ1025" s="14" t="n">
        <f aca="false">IF($L1025=2016,1,0)</f>
        <v>0</v>
      </c>
      <c r="AK1025" s="14" t="n">
        <f aca="false">IF($L1025=2017,1,0)</f>
        <v>0</v>
      </c>
      <c r="AL1025" s="14" t="n">
        <f aca="false">IF($H1025="Beginner Level",1,0)</f>
        <v>0</v>
      </c>
      <c r="AM1025" s="14" t="n">
        <f aca="false">IF($H1025="Expert Level",1,0)</f>
        <v>0</v>
      </c>
      <c r="AN1025" s="14" t="n">
        <f aca="false">IF($H1025="Intermediate Level",1,0)</f>
        <v>0</v>
      </c>
    </row>
    <row r="1026" customFormat="false" ht="79.85" hidden="false" customHeight="false" outlineLevel="0" collapsed="false">
      <c r="A1026" s="14" t="n">
        <v>956888</v>
      </c>
      <c r="B1026" s="14" t="s">
        <v>2093</v>
      </c>
      <c r="C1026" s="14" t="s">
        <v>2094</v>
      </c>
      <c r="D1026" s="14" t="n">
        <v>50</v>
      </c>
      <c r="E1026" s="14" t="n">
        <v>716</v>
      </c>
      <c r="F1026" s="14" t="n">
        <v>32</v>
      </c>
      <c r="G1026" s="14" t="n">
        <v>57</v>
      </c>
      <c r="H1026" s="14" t="s">
        <v>62</v>
      </c>
      <c r="I1026" s="14" t="n">
        <v>0.67</v>
      </c>
      <c r="J1026" s="14" t="n">
        <v>4</v>
      </c>
      <c r="K1026" s="14" t="s">
        <v>59</v>
      </c>
      <c r="L1026" s="14" t="n">
        <v>2016</v>
      </c>
      <c r="M1026" s="14" t="n">
        <v>6.57368016696065</v>
      </c>
      <c r="N1026" s="14" t="n">
        <v>3.91222298543081</v>
      </c>
      <c r="P1026" s="14" t="n">
        <f aca="false">D1026</f>
        <v>50</v>
      </c>
      <c r="Q1026" s="14" t="n">
        <f aca="false">G1026</f>
        <v>57</v>
      </c>
      <c r="R1026" s="14" t="n">
        <f aca="false">J1026</f>
        <v>4</v>
      </c>
      <c r="S1026" s="14" t="n">
        <f aca="false">IF($L1026=2012,1,0)</f>
        <v>0</v>
      </c>
      <c r="T1026" s="14" t="n">
        <f aca="false">IF($L1026=2013,1,0)</f>
        <v>0</v>
      </c>
      <c r="U1026" s="14" t="n">
        <f aca="false">IF($L1026=2014,1,0)</f>
        <v>0</v>
      </c>
      <c r="V1026" s="14" t="n">
        <f aca="false">IF($L1026=2015,1,0)</f>
        <v>0</v>
      </c>
      <c r="W1026" s="14" t="n">
        <f aca="false">IF($L1026=2016,1,0)</f>
        <v>1</v>
      </c>
      <c r="X1026" s="14" t="n">
        <f aca="false">IF($L1026=2017,1,0)</f>
        <v>0</v>
      </c>
      <c r="Y1026" s="14" t="n">
        <f aca="false">IF($H1026="Beginner Level",1,0)</f>
        <v>0</v>
      </c>
      <c r="Z1026" s="14" t="n">
        <f aca="false">IF($H1026="Expert Level",1,0)</f>
        <v>0</v>
      </c>
      <c r="AA1026" s="14" t="n">
        <f aca="false">IF($H1026="Intermediate Level",1,0)</f>
        <v>0</v>
      </c>
      <c r="AC1026" s="14" t="n">
        <f aca="false">N1026</f>
        <v>3.91222298543081</v>
      </c>
      <c r="AD1026" s="14" t="n">
        <f aca="false">G1026</f>
        <v>57</v>
      </c>
      <c r="AE1026" s="14" t="n">
        <f aca="false">J1026</f>
        <v>4</v>
      </c>
      <c r="AF1026" s="14" t="n">
        <f aca="false">IF($L1026=2012,1,0)</f>
        <v>0</v>
      </c>
      <c r="AG1026" s="14" t="n">
        <f aca="false">IF($L1026=2013,1,0)</f>
        <v>0</v>
      </c>
      <c r="AH1026" s="14" t="n">
        <f aca="false">IF($L1026=2014,1,0)</f>
        <v>0</v>
      </c>
      <c r="AI1026" s="14" t="n">
        <f aca="false">IF($L1026=2015,1,0)</f>
        <v>0</v>
      </c>
      <c r="AJ1026" s="14" t="n">
        <f aca="false">IF($L1026=2016,1,0)</f>
        <v>1</v>
      </c>
      <c r="AK1026" s="14" t="n">
        <f aca="false">IF($L1026=2017,1,0)</f>
        <v>0</v>
      </c>
      <c r="AL1026" s="14" t="n">
        <f aca="false">IF($H1026="Beginner Level",1,0)</f>
        <v>0</v>
      </c>
      <c r="AM1026" s="14" t="n">
        <f aca="false">IF($H1026="Expert Level",1,0)</f>
        <v>0</v>
      </c>
      <c r="AN1026" s="14" t="n">
        <f aca="false">IF($H1026="Intermediate Level",1,0)</f>
        <v>0</v>
      </c>
    </row>
    <row r="1027" customFormat="false" ht="68.65" hidden="false" customHeight="false" outlineLevel="0" collapsed="false">
      <c r="A1027" s="14" t="n">
        <v>352774</v>
      </c>
      <c r="B1027" s="14" t="s">
        <v>2095</v>
      </c>
      <c r="C1027" s="14" t="s">
        <v>2096</v>
      </c>
      <c r="D1027" s="14" t="n">
        <v>85</v>
      </c>
      <c r="E1027" s="14" t="n">
        <v>716</v>
      </c>
      <c r="F1027" s="14" t="n">
        <v>59</v>
      </c>
      <c r="G1027" s="14" t="n">
        <v>34</v>
      </c>
      <c r="H1027" s="14" t="s">
        <v>62</v>
      </c>
      <c r="I1027" s="14" t="n">
        <v>0.78</v>
      </c>
      <c r="J1027" s="14" t="n">
        <v>2</v>
      </c>
      <c r="K1027" s="14" t="s">
        <v>59</v>
      </c>
      <c r="L1027" s="14" t="n">
        <v>2014</v>
      </c>
      <c r="M1027" s="14" t="n">
        <v>6.57368016696065</v>
      </c>
      <c r="N1027" s="14" t="n">
        <v>4.44276889662927</v>
      </c>
      <c r="P1027" s="14" t="n">
        <f aca="false">D1027</f>
        <v>85</v>
      </c>
      <c r="Q1027" s="14" t="n">
        <f aca="false">G1027</f>
        <v>34</v>
      </c>
      <c r="R1027" s="14" t="n">
        <f aca="false">J1027</f>
        <v>2</v>
      </c>
      <c r="S1027" s="14" t="n">
        <f aca="false">IF($L1027=2012,1,0)</f>
        <v>0</v>
      </c>
      <c r="T1027" s="14" t="n">
        <f aca="false">IF($L1027=2013,1,0)</f>
        <v>0</v>
      </c>
      <c r="U1027" s="14" t="n">
        <f aca="false">IF($L1027=2014,1,0)</f>
        <v>1</v>
      </c>
      <c r="V1027" s="14" t="n">
        <f aca="false">IF($L1027=2015,1,0)</f>
        <v>0</v>
      </c>
      <c r="W1027" s="14" t="n">
        <f aca="false">IF($L1027=2016,1,0)</f>
        <v>0</v>
      </c>
      <c r="X1027" s="14" t="n">
        <f aca="false">IF($L1027=2017,1,0)</f>
        <v>0</v>
      </c>
      <c r="Y1027" s="14" t="n">
        <f aca="false">IF($H1027="Beginner Level",1,0)</f>
        <v>0</v>
      </c>
      <c r="Z1027" s="14" t="n">
        <f aca="false">IF($H1027="Expert Level",1,0)</f>
        <v>0</v>
      </c>
      <c r="AA1027" s="14" t="n">
        <f aca="false">IF($H1027="Intermediate Level",1,0)</f>
        <v>0</v>
      </c>
      <c r="AC1027" s="14" t="n">
        <f aca="false">N1027</f>
        <v>4.44276889662927</v>
      </c>
      <c r="AD1027" s="14" t="n">
        <f aca="false">G1027</f>
        <v>34</v>
      </c>
      <c r="AE1027" s="14" t="n">
        <f aca="false">J1027</f>
        <v>2</v>
      </c>
      <c r="AF1027" s="14" t="n">
        <f aca="false">IF($L1027=2012,1,0)</f>
        <v>0</v>
      </c>
      <c r="AG1027" s="14" t="n">
        <f aca="false">IF($L1027=2013,1,0)</f>
        <v>0</v>
      </c>
      <c r="AH1027" s="14" t="n">
        <f aca="false">IF($L1027=2014,1,0)</f>
        <v>1</v>
      </c>
      <c r="AI1027" s="14" t="n">
        <f aca="false">IF($L1027=2015,1,0)</f>
        <v>0</v>
      </c>
      <c r="AJ1027" s="14" t="n">
        <f aca="false">IF($L1027=2016,1,0)</f>
        <v>0</v>
      </c>
      <c r="AK1027" s="14" t="n">
        <f aca="false">IF($L1027=2017,1,0)</f>
        <v>0</v>
      </c>
      <c r="AL1027" s="14" t="n">
        <f aca="false">IF($H1027="Beginner Level",1,0)</f>
        <v>0</v>
      </c>
      <c r="AM1027" s="14" t="n">
        <f aca="false">IF($H1027="Expert Level",1,0)</f>
        <v>0</v>
      </c>
      <c r="AN1027" s="14" t="n">
        <f aca="false">IF($H1027="Intermediate Level",1,0)</f>
        <v>0</v>
      </c>
    </row>
    <row r="1028" customFormat="false" ht="57.45" hidden="false" customHeight="false" outlineLevel="0" collapsed="false">
      <c r="A1028" s="14" t="n">
        <v>1005610</v>
      </c>
      <c r="B1028" s="14" t="s">
        <v>2097</v>
      </c>
      <c r="C1028" s="14" t="s">
        <v>2098</v>
      </c>
      <c r="D1028" s="14" t="n">
        <v>20</v>
      </c>
      <c r="E1028" s="14" t="n">
        <v>715</v>
      </c>
      <c r="F1028" s="14" t="n">
        <v>12</v>
      </c>
      <c r="G1028" s="14" t="n">
        <v>12</v>
      </c>
      <c r="H1028" s="14" t="s">
        <v>71</v>
      </c>
      <c r="I1028" s="14" t="n">
        <v>0.96</v>
      </c>
      <c r="J1028" s="14" t="n">
        <v>1.5</v>
      </c>
      <c r="K1028" s="14" t="s">
        <v>59</v>
      </c>
      <c r="L1028" s="14" t="n">
        <v>2016</v>
      </c>
      <c r="M1028" s="14" t="n">
        <v>6.57228254269401</v>
      </c>
      <c r="N1028" s="14" t="n">
        <v>2.99623214859564</v>
      </c>
      <c r="P1028" s="14" t="n">
        <f aca="false">D1028</f>
        <v>20</v>
      </c>
      <c r="Q1028" s="14" t="n">
        <f aca="false">G1028</f>
        <v>12</v>
      </c>
      <c r="R1028" s="14" t="n">
        <f aca="false">J1028</f>
        <v>1.5</v>
      </c>
      <c r="S1028" s="14" t="n">
        <f aca="false">IF($L1028=2012,1,0)</f>
        <v>0</v>
      </c>
      <c r="T1028" s="14" t="n">
        <f aca="false">IF($L1028=2013,1,0)</f>
        <v>0</v>
      </c>
      <c r="U1028" s="14" t="n">
        <f aca="false">IF($L1028=2014,1,0)</f>
        <v>0</v>
      </c>
      <c r="V1028" s="14" t="n">
        <f aca="false">IF($L1028=2015,1,0)</f>
        <v>0</v>
      </c>
      <c r="W1028" s="14" t="n">
        <f aca="false">IF($L1028=2016,1,0)</f>
        <v>1</v>
      </c>
      <c r="X1028" s="14" t="n">
        <f aca="false">IF($L1028=2017,1,0)</f>
        <v>0</v>
      </c>
      <c r="Y1028" s="14" t="n">
        <f aca="false">IF($H1028="Beginner Level",1,0)</f>
        <v>0</v>
      </c>
      <c r="Z1028" s="14" t="n">
        <f aca="false">IF($H1028="Expert Level",1,0)</f>
        <v>0</v>
      </c>
      <c r="AA1028" s="14" t="n">
        <f aca="false">IF($H1028="Intermediate Level",1,0)</f>
        <v>1</v>
      </c>
      <c r="AC1028" s="14" t="n">
        <f aca="false">N1028</f>
        <v>2.99623214859564</v>
      </c>
      <c r="AD1028" s="14" t="n">
        <f aca="false">G1028</f>
        <v>12</v>
      </c>
      <c r="AE1028" s="14" t="n">
        <f aca="false">J1028</f>
        <v>1.5</v>
      </c>
      <c r="AF1028" s="14" t="n">
        <f aca="false">IF($L1028=2012,1,0)</f>
        <v>0</v>
      </c>
      <c r="AG1028" s="14" t="n">
        <f aca="false">IF($L1028=2013,1,0)</f>
        <v>0</v>
      </c>
      <c r="AH1028" s="14" t="n">
        <f aca="false">IF($L1028=2014,1,0)</f>
        <v>0</v>
      </c>
      <c r="AI1028" s="14" t="n">
        <f aca="false">IF($L1028=2015,1,0)</f>
        <v>0</v>
      </c>
      <c r="AJ1028" s="14" t="n">
        <f aca="false">IF($L1028=2016,1,0)</f>
        <v>1</v>
      </c>
      <c r="AK1028" s="14" t="n">
        <f aca="false">IF($L1028=2017,1,0)</f>
        <v>0</v>
      </c>
      <c r="AL1028" s="14" t="n">
        <f aca="false">IF($H1028="Beginner Level",1,0)</f>
        <v>0</v>
      </c>
      <c r="AM1028" s="14" t="n">
        <f aca="false">IF($H1028="Expert Level",1,0)</f>
        <v>0</v>
      </c>
      <c r="AN1028" s="14" t="n">
        <f aca="false">IF($H1028="Intermediate Level",1,0)</f>
        <v>1</v>
      </c>
    </row>
    <row r="1029" customFormat="false" ht="79.85" hidden="false" customHeight="false" outlineLevel="0" collapsed="false">
      <c r="A1029" s="14" t="n">
        <v>366608</v>
      </c>
      <c r="B1029" s="14" t="s">
        <v>2099</v>
      </c>
      <c r="C1029" s="14" t="s">
        <v>2100</v>
      </c>
      <c r="D1029" s="14" t="n">
        <v>85</v>
      </c>
      <c r="E1029" s="14" t="n">
        <v>714</v>
      </c>
      <c r="F1029" s="14" t="n">
        <v>48</v>
      </c>
      <c r="G1029" s="14" t="n">
        <v>28</v>
      </c>
      <c r="H1029" s="14" t="s">
        <v>62</v>
      </c>
      <c r="I1029" s="14" t="n">
        <v>0.07</v>
      </c>
      <c r="J1029" s="14" t="n">
        <v>3</v>
      </c>
      <c r="K1029" s="14" t="s">
        <v>59</v>
      </c>
      <c r="L1029" s="14" t="n">
        <v>2014</v>
      </c>
      <c r="M1029" s="14" t="n">
        <v>6.57088296233958</v>
      </c>
      <c r="N1029" s="14" t="n">
        <v>4.44276889662927</v>
      </c>
      <c r="P1029" s="14" t="n">
        <f aca="false">D1029</f>
        <v>85</v>
      </c>
      <c r="Q1029" s="14" t="n">
        <f aca="false">G1029</f>
        <v>28</v>
      </c>
      <c r="R1029" s="14" t="n">
        <f aca="false">J1029</f>
        <v>3</v>
      </c>
      <c r="S1029" s="14" t="n">
        <f aca="false">IF($L1029=2012,1,0)</f>
        <v>0</v>
      </c>
      <c r="T1029" s="14" t="n">
        <f aca="false">IF($L1029=2013,1,0)</f>
        <v>0</v>
      </c>
      <c r="U1029" s="14" t="n">
        <f aca="false">IF($L1029=2014,1,0)</f>
        <v>1</v>
      </c>
      <c r="V1029" s="14" t="n">
        <f aca="false">IF($L1029=2015,1,0)</f>
        <v>0</v>
      </c>
      <c r="W1029" s="14" t="n">
        <f aca="false">IF($L1029=2016,1,0)</f>
        <v>0</v>
      </c>
      <c r="X1029" s="14" t="n">
        <f aca="false">IF($L1029=2017,1,0)</f>
        <v>0</v>
      </c>
      <c r="Y1029" s="14" t="n">
        <f aca="false">IF($H1029="Beginner Level",1,0)</f>
        <v>0</v>
      </c>
      <c r="Z1029" s="14" t="n">
        <f aca="false">IF($H1029="Expert Level",1,0)</f>
        <v>0</v>
      </c>
      <c r="AA1029" s="14" t="n">
        <f aca="false">IF($H1029="Intermediate Level",1,0)</f>
        <v>0</v>
      </c>
      <c r="AC1029" s="14" t="n">
        <f aca="false">N1029</f>
        <v>4.44276889662927</v>
      </c>
      <c r="AD1029" s="14" t="n">
        <f aca="false">G1029</f>
        <v>28</v>
      </c>
      <c r="AE1029" s="14" t="n">
        <f aca="false">J1029</f>
        <v>3</v>
      </c>
      <c r="AF1029" s="14" t="n">
        <f aca="false">IF($L1029=2012,1,0)</f>
        <v>0</v>
      </c>
      <c r="AG1029" s="14" t="n">
        <f aca="false">IF($L1029=2013,1,0)</f>
        <v>0</v>
      </c>
      <c r="AH1029" s="14" t="n">
        <f aca="false">IF($L1029=2014,1,0)</f>
        <v>1</v>
      </c>
      <c r="AI1029" s="14" t="n">
        <f aca="false">IF($L1029=2015,1,0)</f>
        <v>0</v>
      </c>
      <c r="AJ1029" s="14" t="n">
        <f aca="false">IF($L1029=2016,1,0)</f>
        <v>0</v>
      </c>
      <c r="AK1029" s="14" t="n">
        <f aca="false">IF($L1029=2017,1,0)</f>
        <v>0</v>
      </c>
      <c r="AL1029" s="14" t="n">
        <f aca="false">IF($H1029="Beginner Level",1,0)</f>
        <v>0</v>
      </c>
      <c r="AM1029" s="14" t="n">
        <f aca="false">IF($H1029="Expert Level",1,0)</f>
        <v>0</v>
      </c>
      <c r="AN1029" s="14" t="n">
        <f aca="false">IF($H1029="Intermediate Level",1,0)</f>
        <v>0</v>
      </c>
    </row>
    <row r="1030" customFormat="false" ht="68.65" hidden="false" customHeight="false" outlineLevel="0" collapsed="false">
      <c r="A1030" s="14" t="n">
        <v>959200</v>
      </c>
      <c r="B1030" s="14" t="s">
        <v>2101</v>
      </c>
      <c r="C1030" s="14" t="s">
        <v>2102</v>
      </c>
      <c r="D1030" s="14" t="n">
        <v>65</v>
      </c>
      <c r="E1030" s="14" t="n">
        <v>713</v>
      </c>
      <c r="F1030" s="14" t="n">
        <v>80</v>
      </c>
      <c r="G1030" s="14" t="n">
        <v>8</v>
      </c>
      <c r="H1030" s="14" t="s">
        <v>62</v>
      </c>
      <c r="I1030" s="14" t="n">
        <v>0.51</v>
      </c>
      <c r="J1030" s="14" t="n">
        <v>1.5</v>
      </c>
      <c r="K1030" s="14" t="s">
        <v>59</v>
      </c>
      <c r="L1030" s="14" t="n">
        <v>2016</v>
      </c>
      <c r="M1030" s="14" t="n">
        <v>6.5694814204143</v>
      </c>
      <c r="N1030" s="14" t="n">
        <v>4.17454110421638</v>
      </c>
      <c r="P1030" s="14" t="n">
        <f aca="false">D1030</f>
        <v>65</v>
      </c>
      <c r="Q1030" s="14" t="n">
        <f aca="false">G1030</f>
        <v>8</v>
      </c>
      <c r="R1030" s="14" t="n">
        <f aca="false">J1030</f>
        <v>1.5</v>
      </c>
      <c r="S1030" s="14" t="n">
        <f aca="false">IF($L1030=2012,1,0)</f>
        <v>0</v>
      </c>
      <c r="T1030" s="14" t="n">
        <f aca="false">IF($L1030=2013,1,0)</f>
        <v>0</v>
      </c>
      <c r="U1030" s="14" t="n">
        <f aca="false">IF($L1030=2014,1,0)</f>
        <v>0</v>
      </c>
      <c r="V1030" s="14" t="n">
        <f aca="false">IF($L1030=2015,1,0)</f>
        <v>0</v>
      </c>
      <c r="W1030" s="14" t="n">
        <f aca="false">IF($L1030=2016,1,0)</f>
        <v>1</v>
      </c>
      <c r="X1030" s="14" t="n">
        <f aca="false">IF($L1030=2017,1,0)</f>
        <v>0</v>
      </c>
      <c r="Y1030" s="14" t="n">
        <f aca="false">IF($H1030="Beginner Level",1,0)</f>
        <v>0</v>
      </c>
      <c r="Z1030" s="14" t="n">
        <f aca="false">IF($H1030="Expert Level",1,0)</f>
        <v>0</v>
      </c>
      <c r="AA1030" s="14" t="n">
        <f aca="false">IF($H1030="Intermediate Level",1,0)</f>
        <v>0</v>
      </c>
      <c r="AC1030" s="14" t="n">
        <f aca="false">N1030</f>
        <v>4.17454110421638</v>
      </c>
      <c r="AD1030" s="14" t="n">
        <f aca="false">G1030</f>
        <v>8</v>
      </c>
      <c r="AE1030" s="14" t="n">
        <f aca="false">J1030</f>
        <v>1.5</v>
      </c>
      <c r="AF1030" s="14" t="n">
        <f aca="false">IF($L1030=2012,1,0)</f>
        <v>0</v>
      </c>
      <c r="AG1030" s="14" t="n">
        <f aca="false">IF($L1030=2013,1,0)</f>
        <v>0</v>
      </c>
      <c r="AH1030" s="14" t="n">
        <f aca="false">IF($L1030=2014,1,0)</f>
        <v>0</v>
      </c>
      <c r="AI1030" s="14" t="n">
        <f aca="false">IF($L1030=2015,1,0)</f>
        <v>0</v>
      </c>
      <c r="AJ1030" s="14" t="n">
        <f aca="false">IF($L1030=2016,1,0)</f>
        <v>1</v>
      </c>
      <c r="AK1030" s="14" t="n">
        <f aca="false">IF($L1030=2017,1,0)</f>
        <v>0</v>
      </c>
      <c r="AL1030" s="14" t="n">
        <f aca="false">IF($H1030="Beginner Level",1,0)</f>
        <v>0</v>
      </c>
      <c r="AM1030" s="14" t="n">
        <f aca="false">IF($H1030="Expert Level",1,0)</f>
        <v>0</v>
      </c>
      <c r="AN1030" s="14" t="n">
        <f aca="false">IF($H1030="Intermediate Level",1,0)</f>
        <v>0</v>
      </c>
    </row>
    <row r="1031" customFormat="false" ht="68.65" hidden="false" customHeight="false" outlineLevel="0" collapsed="false">
      <c r="A1031" s="14" t="n">
        <v>1128560</v>
      </c>
      <c r="B1031" s="14" t="s">
        <v>2103</v>
      </c>
      <c r="C1031" s="14" t="s">
        <v>2104</v>
      </c>
      <c r="D1031" s="14" t="n">
        <v>105</v>
      </c>
      <c r="E1031" s="14" t="n">
        <v>710</v>
      </c>
      <c r="F1031" s="14" t="n">
        <v>137</v>
      </c>
      <c r="G1031" s="14" t="n">
        <v>49</v>
      </c>
      <c r="H1031" s="14" t="s">
        <v>62</v>
      </c>
      <c r="I1031" s="14" t="n">
        <v>0.46</v>
      </c>
      <c r="J1031" s="14" t="n">
        <v>3.5</v>
      </c>
      <c r="K1031" s="14" t="s">
        <v>59</v>
      </c>
      <c r="L1031" s="14" t="n">
        <v>2017</v>
      </c>
      <c r="M1031" s="14" t="n">
        <v>6.56526497003536</v>
      </c>
      <c r="N1031" s="14" t="n">
        <v>4.6540555837179</v>
      </c>
      <c r="P1031" s="14" t="n">
        <f aca="false">D1031</f>
        <v>105</v>
      </c>
      <c r="Q1031" s="14" t="n">
        <f aca="false">G1031</f>
        <v>49</v>
      </c>
      <c r="R1031" s="14" t="n">
        <f aca="false">J1031</f>
        <v>3.5</v>
      </c>
      <c r="S1031" s="14" t="n">
        <f aca="false">IF($L1031=2012,1,0)</f>
        <v>0</v>
      </c>
      <c r="T1031" s="14" t="n">
        <f aca="false">IF($L1031=2013,1,0)</f>
        <v>0</v>
      </c>
      <c r="U1031" s="14" t="n">
        <f aca="false">IF($L1031=2014,1,0)</f>
        <v>0</v>
      </c>
      <c r="V1031" s="14" t="n">
        <f aca="false">IF($L1031=2015,1,0)</f>
        <v>0</v>
      </c>
      <c r="W1031" s="14" t="n">
        <f aca="false">IF($L1031=2016,1,0)</f>
        <v>0</v>
      </c>
      <c r="X1031" s="14" t="n">
        <f aca="false">IF($L1031=2017,1,0)</f>
        <v>1</v>
      </c>
      <c r="Y1031" s="14" t="n">
        <f aca="false">IF($H1031="Beginner Level",1,0)</f>
        <v>0</v>
      </c>
      <c r="Z1031" s="14" t="n">
        <f aca="false">IF($H1031="Expert Level",1,0)</f>
        <v>0</v>
      </c>
      <c r="AA1031" s="14" t="n">
        <f aca="false">IF($H1031="Intermediate Level",1,0)</f>
        <v>0</v>
      </c>
      <c r="AC1031" s="14" t="n">
        <f aca="false">N1031</f>
        <v>4.6540555837179</v>
      </c>
      <c r="AD1031" s="14" t="n">
        <f aca="false">G1031</f>
        <v>49</v>
      </c>
      <c r="AE1031" s="14" t="n">
        <f aca="false">J1031</f>
        <v>3.5</v>
      </c>
      <c r="AF1031" s="14" t="n">
        <f aca="false">IF($L1031=2012,1,0)</f>
        <v>0</v>
      </c>
      <c r="AG1031" s="14" t="n">
        <f aca="false">IF($L1031=2013,1,0)</f>
        <v>0</v>
      </c>
      <c r="AH1031" s="14" t="n">
        <f aca="false">IF($L1031=2014,1,0)</f>
        <v>0</v>
      </c>
      <c r="AI1031" s="14" t="n">
        <f aca="false">IF($L1031=2015,1,0)</f>
        <v>0</v>
      </c>
      <c r="AJ1031" s="14" t="n">
        <f aca="false">IF($L1031=2016,1,0)</f>
        <v>0</v>
      </c>
      <c r="AK1031" s="14" t="n">
        <f aca="false">IF($L1031=2017,1,0)</f>
        <v>1</v>
      </c>
      <c r="AL1031" s="14" t="n">
        <f aca="false">IF($H1031="Beginner Level",1,0)</f>
        <v>0</v>
      </c>
      <c r="AM1031" s="14" t="n">
        <f aca="false">IF($H1031="Expert Level",1,0)</f>
        <v>0</v>
      </c>
      <c r="AN1031" s="14" t="n">
        <f aca="false">IF($H1031="Intermediate Level",1,0)</f>
        <v>0</v>
      </c>
    </row>
    <row r="1032" customFormat="false" ht="57.45" hidden="false" customHeight="false" outlineLevel="0" collapsed="false">
      <c r="A1032" s="14" t="n">
        <v>511942</v>
      </c>
      <c r="B1032" s="14" t="s">
        <v>2105</v>
      </c>
      <c r="C1032" s="14" t="s">
        <v>2106</v>
      </c>
      <c r="D1032" s="14" t="n">
        <v>120</v>
      </c>
      <c r="E1032" s="14" t="n">
        <v>707</v>
      </c>
      <c r="F1032" s="14" t="n">
        <v>59</v>
      </c>
      <c r="G1032" s="14" t="n">
        <v>103</v>
      </c>
      <c r="H1032" s="14" t="s">
        <v>52</v>
      </c>
      <c r="I1032" s="14" t="n">
        <v>0.54</v>
      </c>
      <c r="J1032" s="14" t="n">
        <v>6.5</v>
      </c>
      <c r="K1032" s="14" t="s">
        <v>59</v>
      </c>
      <c r="L1032" s="14" t="n">
        <v>2015</v>
      </c>
      <c r="M1032" s="14" t="n">
        <v>6.56103066589657</v>
      </c>
      <c r="N1032" s="14" t="n">
        <v>4.78757507264335</v>
      </c>
      <c r="P1032" s="14" t="n">
        <f aca="false">D1032</f>
        <v>120</v>
      </c>
      <c r="Q1032" s="14" t="n">
        <f aca="false">G1032</f>
        <v>103</v>
      </c>
      <c r="R1032" s="14" t="n">
        <f aca="false">J1032</f>
        <v>6.5</v>
      </c>
      <c r="S1032" s="14" t="n">
        <f aca="false">IF($L1032=2012,1,0)</f>
        <v>0</v>
      </c>
      <c r="T1032" s="14" t="n">
        <f aca="false">IF($L1032=2013,1,0)</f>
        <v>0</v>
      </c>
      <c r="U1032" s="14" t="n">
        <f aca="false">IF($L1032=2014,1,0)</f>
        <v>0</v>
      </c>
      <c r="V1032" s="14" t="n">
        <f aca="false">IF($L1032=2015,1,0)</f>
        <v>1</v>
      </c>
      <c r="W1032" s="14" t="n">
        <f aca="false">IF($L1032=2016,1,0)</f>
        <v>0</v>
      </c>
      <c r="X1032" s="14" t="n">
        <f aca="false">IF($L1032=2017,1,0)</f>
        <v>0</v>
      </c>
      <c r="Y1032" s="14" t="n">
        <f aca="false">IF($H1032="Beginner Level",1,0)</f>
        <v>1</v>
      </c>
      <c r="Z1032" s="14" t="n">
        <f aca="false">IF($H1032="Expert Level",1,0)</f>
        <v>0</v>
      </c>
      <c r="AA1032" s="14" t="n">
        <f aca="false">IF($H1032="Intermediate Level",1,0)</f>
        <v>0</v>
      </c>
      <c r="AC1032" s="14" t="n">
        <f aca="false">N1032</f>
        <v>4.78757507264335</v>
      </c>
      <c r="AD1032" s="14" t="n">
        <f aca="false">G1032</f>
        <v>103</v>
      </c>
      <c r="AE1032" s="14" t="n">
        <f aca="false">J1032</f>
        <v>6.5</v>
      </c>
      <c r="AF1032" s="14" t="n">
        <f aca="false">IF($L1032=2012,1,0)</f>
        <v>0</v>
      </c>
      <c r="AG1032" s="14" t="n">
        <f aca="false">IF($L1032=2013,1,0)</f>
        <v>0</v>
      </c>
      <c r="AH1032" s="14" t="n">
        <f aca="false">IF($L1032=2014,1,0)</f>
        <v>0</v>
      </c>
      <c r="AI1032" s="14" t="n">
        <f aca="false">IF($L1032=2015,1,0)</f>
        <v>1</v>
      </c>
      <c r="AJ1032" s="14" t="n">
        <f aca="false">IF($L1032=2016,1,0)</f>
        <v>0</v>
      </c>
      <c r="AK1032" s="14" t="n">
        <f aca="false">IF($L1032=2017,1,0)</f>
        <v>0</v>
      </c>
      <c r="AL1032" s="14" t="n">
        <f aca="false">IF($H1032="Beginner Level",1,0)</f>
        <v>1</v>
      </c>
      <c r="AM1032" s="14" t="n">
        <f aca="false">IF($H1032="Expert Level",1,0)</f>
        <v>0</v>
      </c>
      <c r="AN1032" s="14" t="n">
        <f aca="false">IF($H1032="Intermediate Level",1,0)</f>
        <v>0</v>
      </c>
    </row>
    <row r="1033" customFormat="false" ht="57.45" hidden="false" customHeight="false" outlineLevel="0" collapsed="false">
      <c r="A1033" s="14" t="n">
        <v>825752</v>
      </c>
      <c r="B1033" s="14" t="s">
        <v>2107</v>
      </c>
      <c r="C1033" s="14" t="s">
        <v>2108</v>
      </c>
      <c r="D1033" s="14" t="n">
        <v>20</v>
      </c>
      <c r="E1033" s="14" t="n">
        <v>702</v>
      </c>
      <c r="F1033" s="14" t="n">
        <v>21</v>
      </c>
      <c r="G1033" s="14" t="n">
        <v>30</v>
      </c>
      <c r="H1033" s="14" t="s">
        <v>52</v>
      </c>
      <c r="I1033" s="14" t="n">
        <v>0.82</v>
      </c>
      <c r="J1033" s="14" t="n">
        <v>3</v>
      </c>
      <c r="K1033" s="14" t="s">
        <v>59</v>
      </c>
      <c r="L1033" s="14" t="n">
        <v>2016</v>
      </c>
      <c r="M1033" s="14" t="n">
        <v>6.55393340402581</v>
      </c>
      <c r="N1033" s="14" t="n">
        <v>2.99623214859564</v>
      </c>
      <c r="P1033" s="14" t="n">
        <f aca="false">D1033</f>
        <v>20</v>
      </c>
      <c r="Q1033" s="14" t="n">
        <f aca="false">G1033</f>
        <v>30</v>
      </c>
      <c r="R1033" s="14" t="n">
        <f aca="false">J1033</f>
        <v>3</v>
      </c>
      <c r="S1033" s="14" t="n">
        <f aca="false">IF($L1033=2012,1,0)</f>
        <v>0</v>
      </c>
      <c r="T1033" s="14" t="n">
        <f aca="false">IF($L1033=2013,1,0)</f>
        <v>0</v>
      </c>
      <c r="U1033" s="14" t="n">
        <f aca="false">IF($L1033=2014,1,0)</f>
        <v>0</v>
      </c>
      <c r="V1033" s="14" t="n">
        <f aca="false">IF($L1033=2015,1,0)</f>
        <v>0</v>
      </c>
      <c r="W1033" s="14" t="n">
        <f aca="false">IF($L1033=2016,1,0)</f>
        <v>1</v>
      </c>
      <c r="X1033" s="14" t="n">
        <f aca="false">IF($L1033=2017,1,0)</f>
        <v>0</v>
      </c>
      <c r="Y1033" s="14" t="n">
        <f aca="false">IF($H1033="Beginner Level",1,0)</f>
        <v>1</v>
      </c>
      <c r="Z1033" s="14" t="n">
        <f aca="false">IF($H1033="Expert Level",1,0)</f>
        <v>0</v>
      </c>
      <c r="AA1033" s="14" t="n">
        <f aca="false">IF($H1033="Intermediate Level",1,0)</f>
        <v>0</v>
      </c>
      <c r="AC1033" s="14" t="n">
        <f aca="false">N1033</f>
        <v>2.99623214859564</v>
      </c>
      <c r="AD1033" s="14" t="n">
        <f aca="false">G1033</f>
        <v>30</v>
      </c>
      <c r="AE1033" s="14" t="n">
        <f aca="false">J1033</f>
        <v>3</v>
      </c>
      <c r="AF1033" s="14" t="n">
        <f aca="false">IF($L1033=2012,1,0)</f>
        <v>0</v>
      </c>
      <c r="AG1033" s="14" t="n">
        <f aca="false">IF($L1033=2013,1,0)</f>
        <v>0</v>
      </c>
      <c r="AH1033" s="14" t="n">
        <f aca="false">IF($L1033=2014,1,0)</f>
        <v>0</v>
      </c>
      <c r="AI1033" s="14" t="n">
        <f aca="false">IF($L1033=2015,1,0)</f>
        <v>0</v>
      </c>
      <c r="AJ1033" s="14" t="n">
        <f aca="false">IF($L1033=2016,1,0)</f>
        <v>1</v>
      </c>
      <c r="AK1033" s="14" t="n">
        <f aca="false">IF($L1033=2017,1,0)</f>
        <v>0</v>
      </c>
      <c r="AL1033" s="14" t="n">
        <f aca="false">IF($H1033="Beginner Level",1,0)</f>
        <v>1</v>
      </c>
      <c r="AM1033" s="14" t="n">
        <f aca="false">IF($H1033="Expert Level",1,0)</f>
        <v>0</v>
      </c>
      <c r="AN1033" s="14" t="n">
        <f aca="false">IF($H1033="Intermediate Level",1,0)</f>
        <v>0</v>
      </c>
    </row>
    <row r="1034" customFormat="false" ht="46.25" hidden="false" customHeight="false" outlineLevel="0" collapsed="false">
      <c r="A1034" s="14" t="n">
        <v>602218</v>
      </c>
      <c r="B1034" s="14" t="s">
        <v>2109</v>
      </c>
      <c r="C1034" s="14" t="s">
        <v>2110</v>
      </c>
      <c r="D1034" s="14" t="n">
        <v>95</v>
      </c>
      <c r="E1034" s="14" t="n">
        <v>694</v>
      </c>
      <c r="F1034" s="14" t="n">
        <v>39</v>
      </c>
      <c r="G1034" s="14" t="n">
        <v>39</v>
      </c>
      <c r="H1034" s="14" t="s">
        <v>62</v>
      </c>
      <c r="I1034" s="14" t="n">
        <v>0.45</v>
      </c>
      <c r="J1034" s="14" t="n">
        <v>4</v>
      </c>
      <c r="K1034" s="14" t="s">
        <v>59</v>
      </c>
      <c r="L1034" s="14" t="n">
        <v>2015</v>
      </c>
      <c r="M1034" s="14" t="n">
        <v>6.54247196050681</v>
      </c>
      <c r="N1034" s="14" t="n">
        <v>4.55398214921866</v>
      </c>
      <c r="P1034" s="14" t="n">
        <f aca="false">D1034</f>
        <v>95</v>
      </c>
      <c r="Q1034" s="14" t="n">
        <f aca="false">G1034</f>
        <v>39</v>
      </c>
      <c r="R1034" s="14" t="n">
        <f aca="false">J1034</f>
        <v>4</v>
      </c>
      <c r="S1034" s="14" t="n">
        <f aca="false">IF($L1034=2012,1,0)</f>
        <v>0</v>
      </c>
      <c r="T1034" s="14" t="n">
        <f aca="false">IF($L1034=2013,1,0)</f>
        <v>0</v>
      </c>
      <c r="U1034" s="14" t="n">
        <f aca="false">IF($L1034=2014,1,0)</f>
        <v>0</v>
      </c>
      <c r="V1034" s="14" t="n">
        <f aca="false">IF($L1034=2015,1,0)</f>
        <v>1</v>
      </c>
      <c r="W1034" s="14" t="n">
        <f aca="false">IF($L1034=2016,1,0)</f>
        <v>0</v>
      </c>
      <c r="X1034" s="14" t="n">
        <f aca="false">IF($L1034=2017,1,0)</f>
        <v>0</v>
      </c>
      <c r="Y1034" s="14" t="n">
        <f aca="false">IF($H1034="Beginner Level",1,0)</f>
        <v>0</v>
      </c>
      <c r="Z1034" s="14" t="n">
        <f aca="false">IF($H1034="Expert Level",1,0)</f>
        <v>0</v>
      </c>
      <c r="AA1034" s="14" t="n">
        <f aca="false">IF($H1034="Intermediate Level",1,0)</f>
        <v>0</v>
      </c>
      <c r="AC1034" s="14" t="n">
        <f aca="false">N1034</f>
        <v>4.55398214921866</v>
      </c>
      <c r="AD1034" s="14" t="n">
        <f aca="false">G1034</f>
        <v>39</v>
      </c>
      <c r="AE1034" s="14" t="n">
        <f aca="false">J1034</f>
        <v>4</v>
      </c>
      <c r="AF1034" s="14" t="n">
        <f aca="false">IF($L1034=2012,1,0)</f>
        <v>0</v>
      </c>
      <c r="AG1034" s="14" t="n">
        <f aca="false">IF($L1034=2013,1,0)</f>
        <v>0</v>
      </c>
      <c r="AH1034" s="14" t="n">
        <f aca="false">IF($L1034=2014,1,0)</f>
        <v>0</v>
      </c>
      <c r="AI1034" s="14" t="n">
        <f aca="false">IF($L1034=2015,1,0)</f>
        <v>1</v>
      </c>
      <c r="AJ1034" s="14" t="n">
        <f aca="false">IF($L1034=2016,1,0)</f>
        <v>0</v>
      </c>
      <c r="AK1034" s="14" t="n">
        <f aca="false">IF($L1034=2017,1,0)</f>
        <v>0</v>
      </c>
      <c r="AL1034" s="14" t="n">
        <f aca="false">IF($H1034="Beginner Level",1,0)</f>
        <v>0</v>
      </c>
      <c r="AM1034" s="14" t="n">
        <f aca="false">IF($H1034="Expert Level",1,0)</f>
        <v>0</v>
      </c>
      <c r="AN1034" s="14" t="n">
        <f aca="false">IF($H1034="Intermediate Level",1,0)</f>
        <v>0</v>
      </c>
    </row>
    <row r="1035" customFormat="false" ht="57.45" hidden="false" customHeight="false" outlineLevel="0" collapsed="false">
      <c r="A1035" s="14" t="n">
        <v>738552</v>
      </c>
      <c r="B1035" s="14" t="s">
        <v>2111</v>
      </c>
      <c r="C1035" s="14" t="s">
        <v>2112</v>
      </c>
      <c r="D1035" s="14" t="n">
        <v>20</v>
      </c>
      <c r="E1035" s="14" t="n">
        <v>686</v>
      </c>
      <c r="F1035" s="14" t="n">
        <v>19</v>
      </c>
      <c r="G1035" s="14" t="n">
        <v>21</v>
      </c>
      <c r="H1035" s="14" t="s">
        <v>62</v>
      </c>
      <c r="I1035" s="14" t="n">
        <v>0.96</v>
      </c>
      <c r="J1035" s="14" t="n">
        <v>3</v>
      </c>
      <c r="K1035" s="14" t="s">
        <v>59</v>
      </c>
      <c r="L1035" s="14" t="n">
        <v>2016</v>
      </c>
      <c r="M1035" s="14" t="n">
        <v>6.53087762772589</v>
      </c>
      <c r="N1035" s="14" t="n">
        <v>2.99623214859564</v>
      </c>
      <c r="P1035" s="14" t="n">
        <f aca="false">D1035</f>
        <v>20</v>
      </c>
      <c r="Q1035" s="14" t="n">
        <f aca="false">G1035</f>
        <v>21</v>
      </c>
      <c r="R1035" s="14" t="n">
        <f aca="false">J1035</f>
        <v>3</v>
      </c>
      <c r="S1035" s="14" t="n">
        <f aca="false">IF($L1035=2012,1,0)</f>
        <v>0</v>
      </c>
      <c r="T1035" s="14" t="n">
        <f aca="false">IF($L1035=2013,1,0)</f>
        <v>0</v>
      </c>
      <c r="U1035" s="14" t="n">
        <f aca="false">IF($L1035=2014,1,0)</f>
        <v>0</v>
      </c>
      <c r="V1035" s="14" t="n">
        <f aca="false">IF($L1035=2015,1,0)</f>
        <v>0</v>
      </c>
      <c r="W1035" s="14" t="n">
        <f aca="false">IF($L1035=2016,1,0)</f>
        <v>1</v>
      </c>
      <c r="X1035" s="14" t="n">
        <f aca="false">IF($L1035=2017,1,0)</f>
        <v>0</v>
      </c>
      <c r="Y1035" s="14" t="n">
        <f aca="false">IF($H1035="Beginner Level",1,0)</f>
        <v>0</v>
      </c>
      <c r="Z1035" s="14" t="n">
        <f aca="false">IF($H1035="Expert Level",1,0)</f>
        <v>0</v>
      </c>
      <c r="AA1035" s="14" t="n">
        <f aca="false">IF($H1035="Intermediate Level",1,0)</f>
        <v>0</v>
      </c>
      <c r="AC1035" s="14" t="n">
        <f aca="false">N1035</f>
        <v>2.99623214859564</v>
      </c>
      <c r="AD1035" s="14" t="n">
        <f aca="false">G1035</f>
        <v>21</v>
      </c>
      <c r="AE1035" s="14" t="n">
        <f aca="false">J1035</f>
        <v>3</v>
      </c>
      <c r="AF1035" s="14" t="n">
        <f aca="false">IF($L1035=2012,1,0)</f>
        <v>0</v>
      </c>
      <c r="AG1035" s="14" t="n">
        <f aca="false">IF($L1035=2013,1,0)</f>
        <v>0</v>
      </c>
      <c r="AH1035" s="14" t="n">
        <f aca="false">IF($L1035=2014,1,0)</f>
        <v>0</v>
      </c>
      <c r="AI1035" s="14" t="n">
        <f aca="false">IF($L1035=2015,1,0)</f>
        <v>0</v>
      </c>
      <c r="AJ1035" s="14" t="n">
        <f aca="false">IF($L1035=2016,1,0)</f>
        <v>1</v>
      </c>
      <c r="AK1035" s="14" t="n">
        <f aca="false">IF($L1035=2017,1,0)</f>
        <v>0</v>
      </c>
      <c r="AL1035" s="14" t="n">
        <f aca="false">IF($H1035="Beginner Level",1,0)</f>
        <v>0</v>
      </c>
      <c r="AM1035" s="14" t="n">
        <f aca="false">IF($H1035="Expert Level",1,0)</f>
        <v>0</v>
      </c>
      <c r="AN1035" s="14" t="n">
        <f aca="false">IF($H1035="Intermediate Level",1,0)</f>
        <v>0</v>
      </c>
    </row>
    <row r="1036" customFormat="false" ht="68.65" hidden="false" customHeight="false" outlineLevel="0" collapsed="false">
      <c r="A1036" s="14" t="n">
        <v>756050</v>
      </c>
      <c r="B1036" s="14" t="s">
        <v>2113</v>
      </c>
      <c r="C1036" s="14" t="s">
        <v>2114</v>
      </c>
      <c r="D1036" s="14" t="n">
        <v>50</v>
      </c>
      <c r="E1036" s="14" t="n">
        <v>685</v>
      </c>
      <c r="F1036" s="14" t="n">
        <v>37</v>
      </c>
      <c r="G1036" s="14" t="n">
        <v>14</v>
      </c>
      <c r="H1036" s="14" t="s">
        <v>62</v>
      </c>
      <c r="I1036" s="14" t="n">
        <v>0.21</v>
      </c>
      <c r="J1036" s="14" t="n">
        <v>1</v>
      </c>
      <c r="K1036" s="14" t="s">
        <v>59</v>
      </c>
      <c r="L1036" s="14" t="n">
        <v>2016</v>
      </c>
      <c r="M1036" s="14" t="n">
        <v>6.52941883826223</v>
      </c>
      <c r="N1036" s="14" t="n">
        <v>3.91222298543081</v>
      </c>
      <c r="P1036" s="14" t="n">
        <f aca="false">D1036</f>
        <v>50</v>
      </c>
      <c r="Q1036" s="14" t="n">
        <f aca="false">G1036</f>
        <v>14</v>
      </c>
      <c r="R1036" s="14" t="n">
        <f aca="false">J1036</f>
        <v>1</v>
      </c>
      <c r="S1036" s="14" t="n">
        <f aca="false">IF($L1036=2012,1,0)</f>
        <v>0</v>
      </c>
      <c r="T1036" s="14" t="n">
        <f aca="false">IF($L1036=2013,1,0)</f>
        <v>0</v>
      </c>
      <c r="U1036" s="14" t="n">
        <f aca="false">IF($L1036=2014,1,0)</f>
        <v>0</v>
      </c>
      <c r="V1036" s="14" t="n">
        <f aca="false">IF($L1036=2015,1,0)</f>
        <v>0</v>
      </c>
      <c r="W1036" s="14" t="n">
        <f aca="false">IF($L1036=2016,1,0)</f>
        <v>1</v>
      </c>
      <c r="X1036" s="14" t="n">
        <f aca="false">IF($L1036=2017,1,0)</f>
        <v>0</v>
      </c>
      <c r="Y1036" s="14" t="n">
        <f aca="false">IF($H1036="Beginner Level",1,0)</f>
        <v>0</v>
      </c>
      <c r="Z1036" s="14" t="n">
        <f aca="false">IF($H1036="Expert Level",1,0)</f>
        <v>0</v>
      </c>
      <c r="AA1036" s="14" t="n">
        <f aca="false">IF($H1036="Intermediate Level",1,0)</f>
        <v>0</v>
      </c>
      <c r="AC1036" s="14" t="n">
        <f aca="false">N1036</f>
        <v>3.91222298543081</v>
      </c>
      <c r="AD1036" s="14" t="n">
        <f aca="false">G1036</f>
        <v>14</v>
      </c>
      <c r="AE1036" s="14" t="n">
        <f aca="false">J1036</f>
        <v>1</v>
      </c>
      <c r="AF1036" s="14" t="n">
        <f aca="false">IF($L1036=2012,1,0)</f>
        <v>0</v>
      </c>
      <c r="AG1036" s="14" t="n">
        <f aca="false">IF($L1036=2013,1,0)</f>
        <v>0</v>
      </c>
      <c r="AH1036" s="14" t="n">
        <f aca="false">IF($L1036=2014,1,0)</f>
        <v>0</v>
      </c>
      <c r="AI1036" s="14" t="n">
        <f aca="false">IF($L1036=2015,1,0)</f>
        <v>0</v>
      </c>
      <c r="AJ1036" s="14" t="n">
        <f aca="false">IF($L1036=2016,1,0)</f>
        <v>1</v>
      </c>
      <c r="AK1036" s="14" t="n">
        <f aca="false">IF($L1036=2017,1,0)</f>
        <v>0</v>
      </c>
      <c r="AL1036" s="14" t="n">
        <f aca="false">IF($H1036="Beginner Level",1,0)</f>
        <v>0</v>
      </c>
      <c r="AM1036" s="14" t="n">
        <f aca="false">IF($H1036="Expert Level",1,0)</f>
        <v>0</v>
      </c>
      <c r="AN1036" s="14" t="n">
        <f aca="false">IF($H1036="Intermediate Level",1,0)</f>
        <v>0</v>
      </c>
    </row>
    <row r="1037" customFormat="false" ht="46.25" hidden="false" customHeight="false" outlineLevel="0" collapsed="false">
      <c r="A1037" s="14" t="n">
        <v>1064104</v>
      </c>
      <c r="B1037" s="14" t="s">
        <v>2115</v>
      </c>
      <c r="C1037" s="14" t="s">
        <v>2116</v>
      </c>
      <c r="D1037" s="14" t="n">
        <v>200</v>
      </c>
      <c r="E1037" s="14" t="n">
        <v>676</v>
      </c>
      <c r="F1037" s="14" t="n">
        <v>119</v>
      </c>
      <c r="G1037" s="14" t="n">
        <v>125</v>
      </c>
      <c r="H1037" s="14" t="s">
        <v>62</v>
      </c>
      <c r="I1037" s="14" t="n">
        <v>0.96</v>
      </c>
      <c r="J1037" s="14" t="n">
        <v>14</v>
      </c>
      <c r="K1037" s="14" t="s">
        <v>59</v>
      </c>
      <c r="L1037" s="14" t="n">
        <v>2017</v>
      </c>
      <c r="M1037" s="14" t="n">
        <v>6.51619307604296</v>
      </c>
      <c r="N1037" s="14" t="n">
        <v>5.29836736529808</v>
      </c>
      <c r="P1037" s="14" t="n">
        <f aca="false">D1037</f>
        <v>200</v>
      </c>
      <c r="Q1037" s="14" t="n">
        <f aca="false">G1037</f>
        <v>125</v>
      </c>
      <c r="R1037" s="14" t="n">
        <f aca="false">J1037</f>
        <v>14</v>
      </c>
      <c r="S1037" s="14" t="n">
        <f aca="false">IF($L1037=2012,1,0)</f>
        <v>0</v>
      </c>
      <c r="T1037" s="14" t="n">
        <f aca="false">IF($L1037=2013,1,0)</f>
        <v>0</v>
      </c>
      <c r="U1037" s="14" t="n">
        <f aca="false">IF($L1037=2014,1,0)</f>
        <v>0</v>
      </c>
      <c r="V1037" s="14" t="n">
        <f aca="false">IF($L1037=2015,1,0)</f>
        <v>0</v>
      </c>
      <c r="W1037" s="14" t="n">
        <f aca="false">IF($L1037=2016,1,0)</f>
        <v>0</v>
      </c>
      <c r="X1037" s="14" t="n">
        <f aca="false">IF($L1037=2017,1,0)</f>
        <v>1</v>
      </c>
      <c r="Y1037" s="14" t="n">
        <f aca="false">IF($H1037="Beginner Level",1,0)</f>
        <v>0</v>
      </c>
      <c r="Z1037" s="14" t="n">
        <f aca="false">IF($H1037="Expert Level",1,0)</f>
        <v>0</v>
      </c>
      <c r="AA1037" s="14" t="n">
        <f aca="false">IF($H1037="Intermediate Level",1,0)</f>
        <v>0</v>
      </c>
      <c r="AC1037" s="14" t="n">
        <f aca="false">N1037</f>
        <v>5.29836736529808</v>
      </c>
      <c r="AD1037" s="14" t="n">
        <f aca="false">G1037</f>
        <v>125</v>
      </c>
      <c r="AE1037" s="14" t="n">
        <f aca="false">J1037</f>
        <v>14</v>
      </c>
      <c r="AF1037" s="14" t="n">
        <f aca="false">IF($L1037=2012,1,0)</f>
        <v>0</v>
      </c>
      <c r="AG1037" s="14" t="n">
        <f aca="false">IF($L1037=2013,1,0)</f>
        <v>0</v>
      </c>
      <c r="AH1037" s="14" t="n">
        <f aca="false">IF($L1037=2014,1,0)</f>
        <v>0</v>
      </c>
      <c r="AI1037" s="14" t="n">
        <f aca="false">IF($L1037=2015,1,0)</f>
        <v>0</v>
      </c>
      <c r="AJ1037" s="14" t="n">
        <f aca="false">IF($L1037=2016,1,0)</f>
        <v>0</v>
      </c>
      <c r="AK1037" s="14" t="n">
        <f aca="false">IF($L1037=2017,1,0)</f>
        <v>1</v>
      </c>
      <c r="AL1037" s="14" t="n">
        <f aca="false">IF($H1037="Beginner Level",1,0)</f>
        <v>0</v>
      </c>
      <c r="AM1037" s="14" t="n">
        <f aca="false">IF($H1037="Expert Level",1,0)</f>
        <v>0</v>
      </c>
      <c r="AN1037" s="14" t="n">
        <f aca="false">IF($H1037="Intermediate Level",1,0)</f>
        <v>0</v>
      </c>
    </row>
    <row r="1038" customFormat="false" ht="68.65" hidden="false" customHeight="false" outlineLevel="0" collapsed="false">
      <c r="A1038" s="14" t="n">
        <v>641236</v>
      </c>
      <c r="B1038" s="14" t="s">
        <v>2117</v>
      </c>
      <c r="C1038" s="14" t="s">
        <v>2118</v>
      </c>
      <c r="D1038" s="14" t="n">
        <v>40</v>
      </c>
      <c r="E1038" s="14" t="n">
        <v>670</v>
      </c>
      <c r="F1038" s="14" t="n">
        <v>33</v>
      </c>
      <c r="G1038" s="14" t="n">
        <v>37</v>
      </c>
      <c r="H1038" s="14" t="s">
        <v>52</v>
      </c>
      <c r="I1038" s="14" t="n">
        <v>0.11</v>
      </c>
      <c r="J1038" s="14" t="n">
        <v>4.5</v>
      </c>
      <c r="K1038" s="14" t="s">
        <v>59</v>
      </c>
      <c r="L1038" s="14" t="n">
        <v>2016</v>
      </c>
      <c r="M1038" s="14" t="n">
        <v>6.50727771238501</v>
      </c>
      <c r="N1038" s="14" t="n">
        <v>3.68912942286914</v>
      </c>
      <c r="P1038" s="14" t="n">
        <f aca="false">D1038</f>
        <v>40</v>
      </c>
      <c r="Q1038" s="14" t="n">
        <f aca="false">G1038</f>
        <v>37</v>
      </c>
      <c r="R1038" s="14" t="n">
        <f aca="false">J1038</f>
        <v>4.5</v>
      </c>
      <c r="S1038" s="14" t="n">
        <f aca="false">IF($L1038=2012,1,0)</f>
        <v>0</v>
      </c>
      <c r="T1038" s="14" t="n">
        <f aca="false">IF($L1038=2013,1,0)</f>
        <v>0</v>
      </c>
      <c r="U1038" s="14" t="n">
        <f aca="false">IF($L1038=2014,1,0)</f>
        <v>0</v>
      </c>
      <c r="V1038" s="14" t="n">
        <f aca="false">IF($L1038=2015,1,0)</f>
        <v>0</v>
      </c>
      <c r="W1038" s="14" t="n">
        <f aca="false">IF($L1038=2016,1,0)</f>
        <v>1</v>
      </c>
      <c r="X1038" s="14" t="n">
        <f aca="false">IF($L1038=2017,1,0)</f>
        <v>0</v>
      </c>
      <c r="Y1038" s="14" t="n">
        <f aca="false">IF($H1038="Beginner Level",1,0)</f>
        <v>1</v>
      </c>
      <c r="Z1038" s="14" t="n">
        <f aca="false">IF($H1038="Expert Level",1,0)</f>
        <v>0</v>
      </c>
      <c r="AA1038" s="14" t="n">
        <f aca="false">IF($H1038="Intermediate Level",1,0)</f>
        <v>0</v>
      </c>
      <c r="AC1038" s="14" t="n">
        <f aca="false">N1038</f>
        <v>3.68912942286914</v>
      </c>
      <c r="AD1038" s="14" t="n">
        <f aca="false">G1038</f>
        <v>37</v>
      </c>
      <c r="AE1038" s="14" t="n">
        <f aca="false">J1038</f>
        <v>4.5</v>
      </c>
      <c r="AF1038" s="14" t="n">
        <f aca="false">IF($L1038=2012,1,0)</f>
        <v>0</v>
      </c>
      <c r="AG1038" s="14" t="n">
        <f aca="false">IF($L1038=2013,1,0)</f>
        <v>0</v>
      </c>
      <c r="AH1038" s="14" t="n">
        <f aca="false">IF($L1038=2014,1,0)</f>
        <v>0</v>
      </c>
      <c r="AI1038" s="14" t="n">
        <f aca="false">IF($L1038=2015,1,0)</f>
        <v>0</v>
      </c>
      <c r="AJ1038" s="14" t="n">
        <f aca="false">IF($L1038=2016,1,0)</f>
        <v>1</v>
      </c>
      <c r="AK1038" s="14" t="n">
        <f aca="false">IF($L1038=2017,1,0)</f>
        <v>0</v>
      </c>
      <c r="AL1038" s="14" t="n">
        <f aca="false">IF($H1038="Beginner Level",1,0)</f>
        <v>1</v>
      </c>
      <c r="AM1038" s="14" t="n">
        <f aca="false">IF($H1038="Expert Level",1,0)</f>
        <v>0</v>
      </c>
      <c r="AN1038" s="14" t="n">
        <f aca="false">IF($H1038="Intermediate Level",1,0)</f>
        <v>0</v>
      </c>
    </row>
    <row r="1039" customFormat="false" ht="57.45" hidden="false" customHeight="false" outlineLevel="0" collapsed="false">
      <c r="A1039" s="14" t="n">
        <v>422012</v>
      </c>
      <c r="B1039" s="14" t="s">
        <v>2119</v>
      </c>
      <c r="C1039" s="14" t="s">
        <v>2120</v>
      </c>
      <c r="D1039" s="14" t="n">
        <v>85</v>
      </c>
      <c r="E1039" s="14" t="n">
        <v>666</v>
      </c>
      <c r="F1039" s="14" t="n">
        <v>89</v>
      </c>
      <c r="G1039" s="14" t="n">
        <v>115</v>
      </c>
      <c r="H1039" s="14" t="s">
        <v>62</v>
      </c>
      <c r="I1039" s="14" t="n">
        <v>0.06</v>
      </c>
      <c r="J1039" s="14" t="n">
        <v>6.5</v>
      </c>
      <c r="K1039" s="14" t="s">
        <v>59</v>
      </c>
      <c r="L1039" s="14" t="n">
        <v>2015</v>
      </c>
      <c r="M1039" s="14" t="n">
        <v>6.50128967054039</v>
      </c>
      <c r="N1039" s="14" t="n">
        <v>4.44276889662927</v>
      </c>
      <c r="P1039" s="14" t="n">
        <f aca="false">D1039</f>
        <v>85</v>
      </c>
      <c r="Q1039" s="14" t="n">
        <f aca="false">G1039</f>
        <v>115</v>
      </c>
      <c r="R1039" s="14" t="n">
        <f aca="false">J1039</f>
        <v>6.5</v>
      </c>
      <c r="S1039" s="14" t="n">
        <f aca="false">IF($L1039=2012,1,0)</f>
        <v>0</v>
      </c>
      <c r="T1039" s="14" t="n">
        <f aca="false">IF($L1039=2013,1,0)</f>
        <v>0</v>
      </c>
      <c r="U1039" s="14" t="n">
        <f aca="false">IF($L1039=2014,1,0)</f>
        <v>0</v>
      </c>
      <c r="V1039" s="14" t="n">
        <f aca="false">IF($L1039=2015,1,0)</f>
        <v>1</v>
      </c>
      <c r="W1039" s="14" t="n">
        <f aca="false">IF($L1039=2016,1,0)</f>
        <v>0</v>
      </c>
      <c r="X1039" s="14" t="n">
        <f aca="false">IF($L1039=2017,1,0)</f>
        <v>0</v>
      </c>
      <c r="Y1039" s="14" t="n">
        <f aca="false">IF($H1039="Beginner Level",1,0)</f>
        <v>0</v>
      </c>
      <c r="Z1039" s="14" t="n">
        <f aca="false">IF($H1039="Expert Level",1,0)</f>
        <v>0</v>
      </c>
      <c r="AA1039" s="14" t="n">
        <f aca="false">IF($H1039="Intermediate Level",1,0)</f>
        <v>0</v>
      </c>
      <c r="AC1039" s="14" t="n">
        <f aca="false">N1039</f>
        <v>4.44276889662927</v>
      </c>
      <c r="AD1039" s="14" t="n">
        <f aca="false">G1039</f>
        <v>115</v>
      </c>
      <c r="AE1039" s="14" t="n">
        <f aca="false">J1039</f>
        <v>6.5</v>
      </c>
      <c r="AF1039" s="14" t="n">
        <f aca="false">IF($L1039=2012,1,0)</f>
        <v>0</v>
      </c>
      <c r="AG1039" s="14" t="n">
        <f aca="false">IF($L1039=2013,1,0)</f>
        <v>0</v>
      </c>
      <c r="AH1039" s="14" t="n">
        <f aca="false">IF($L1039=2014,1,0)</f>
        <v>0</v>
      </c>
      <c r="AI1039" s="14" t="n">
        <f aca="false">IF($L1039=2015,1,0)</f>
        <v>1</v>
      </c>
      <c r="AJ1039" s="14" t="n">
        <f aca="false">IF($L1039=2016,1,0)</f>
        <v>0</v>
      </c>
      <c r="AK1039" s="14" t="n">
        <f aca="false">IF($L1039=2017,1,0)</f>
        <v>0</v>
      </c>
      <c r="AL1039" s="14" t="n">
        <f aca="false">IF($H1039="Beginner Level",1,0)</f>
        <v>0</v>
      </c>
      <c r="AM1039" s="14" t="n">
        <f aca="false">IF($H1039="Expert Level",1,0)</f>
        <v>0</v>
      </c>
      <c r="AN1039" s="14" t="n">
        <f aca="false">IF($H1039="Intermediate Level",1,0)</f>
        <v>0</v>
      </c>
    </row>
    <row r="1040" customFormat="false" ht="46.25" hidden="false" customHeight="false" outlineLevel="0" collapsed="false">
      <c r="A1040" s="14" t="n">
        <v>904890</v>
      </c>
      <c r="B1040" s="14" t="s">
        <v>2121</v>
      </c>
      <c r="C1040" s="14" t="s">
        <v>2122</v>
      </c>
      <c r="D1040" s="14" t="n">
        <v>20</v>
      </c>
      <c r="E1040" s="14" t="n">
        <v>659</v>
      </c>
      <c r="F1040" s="14" t="n">
        <v>64</v>
      </c>
      <c r="G1040" s="14" t="n">
        <v>26</v>
      </c>
      <c r="H1040" s="14" t="s">
        <v>52</v>
      </c>
      <c r="I1040" s="14" t="n">
        <v>0.24</v>
      </c>
      <c r="J1040" s="14" t="n">
        <v>3.5</v>
      </c>
      <c r="K1040" s="14" t="s">
        <v>59</v>
      </c>
      <c r="L1040" s="14" t="n">
        <v>2016</v>
      </c>
      <c r="M1040" s="14" t="n">
        <v>6.49072353450251</v>
      </c>
      <c r="N1040" s="14" t="n">
        <v>2.99623214859564</v>
      </c>
      <c r="P1040" s="14" t="n">
        <f aca="false">D1040</f>
        <v>20</v>
      </c>
      <c r="Q1040" s="14" t="n">
        <f aca="false">G1040</f>
        <v>26</v>
      </c>
      <c r="R1040" s="14" t="n">
        <f aca="false">J1040</f>
        <v>3.5</v>
      </c>
      <c r="S1040" s="14" t="n">
        <f aca="false">IF($L1040=2012,1,0)</f>
        <v>0</v>
      </c>
      <c r="T1040" s="14" t="n">
        <f aca="false">IF($L1040=2013,1,0)</f>
        <v>0</v>
      </c>
      <c r="U1040" s="14" t="n">
        <f aca="false">IF($L1040=2014,1,0)</f>
        <v>0</v>
      </c>
      <c r="V1040" s="14" t="n">
        <f aca="false">IF($L1040=2015,1,0)</f>
        <v>0</v>
      </c>
      <c r="W1040" s="14" t="n">
        <f aca="false">IF($L1040=2016,1,0)</f>
        <v>1</v>
      </c>
      <c r="X1040" s="14" t="n">
        <f aca="false">IF($L1040=2017,1,0)</f>
        <v>0</v>
      </c>
      <c r="Y1040" s="14" t="n">
        <f aca="false">IF($H1040="Beginner Level",1,0)</f>
        <v>1</v>
      </c>
      <c r="Z1040" s="14" t="n">
        <f aca="false">IF($H1040="Expert Level",1,0)</f>
        <v>0</v>
      </c>
      <c r="AA1040" s="14" t="n">
        <f aca="false">IF($H1040="Intermediate Level",1,0)</f>
        <v>0</v>
      </c>
      <c r="AC1040" s="14" t="n">
        <f aca="false">N1040</f>
        <v>2.99623214859564</v>
      </c>
      <c r="AD1040" s="14" t="n">
        <f aca="false">G1040</f>
        <v>26</v>
      </c>
      <c r="AE1040" s="14" t="n">
        <f aca="false">J1040</f>
        <v>3.5</v>
      </c>
      <c r="AF1040" s="14" t="n">
        <f aca="false">IF($L1040=2012,1,0)</f>
        <v>0</v>
      </c>
      <c r="AG1040" s="14" t="n">
        <f aca="false">IF($L1040=2013,1,0)</f>
        <v>0</v>
      </c>
      <c r="AH1040" s="14" t="n">
        <f aca="false">IF($L1040=2014,1,0)</f>
        <v>0</v>
      </c>
      <c r="AI1040" s="14" t="n">
        <f aca="false">IF($L1040=2015,1,0)</f>
        <v>0</v>
      </c>
      <c r="AJ1040" s="14" t="n">
        <f aca="false">IF($L1040=2016,1,0)</f>
        <v>1</v>
      </c>
      <c r="AK1040" s="14" t="n">
        <f aca="false">IF($L1040=2017,1,0)</f>
        <v>0</v>
      </c>
      <c r="AL1040" s="14" t="n">
        <f aca="false">IF($H1040="Beginner Level",1,0)</f>
        <v>1</v>
      </c>
      <c r="AM1040" s="14" t="n">
        <f aca="false">IF($H1040="Expert Level",1,0)</f>
        <v>0</v>
      </c>
      <c r="AN1040" s="14" t="n">
        <f aca="false">IF($H1040="Intermediate Level",1,0)</f>
        <v>0</v>
      </c>
    </row>
    <row r="1041" customFormat="false" ht="91" hidden="false" customHeight="false" outlineLevel="0" collapsed="false">
      <c r="A1041" s="14" t="n">
        <v>1109150</v>
      </c>
      <c r="B1041" s="14" t="s">
        <v>2123</v>
      </c>
      <c r="C1041" s="14" t="s">
        <v>2124</v>
      </c>
      <c r="D1041" s="14" t="n">
        <v>145</v>
      </c>
      <c r="E1041" s="14" t="n">
        <v>655</v>
      </c>
      <c r="F1041" s="14" t="n">
        <v>95</v>
      </c>
      <c r="G1041" s="14" t="n">
        <v>195</v>
      </c>
      <c r="H1041" s="14" t="s">
        <v>62</v>
      </c>
      <c r="I1041" s="14" t="n">
        <v>0.55</v>
      </c>
      <c r="J1041" s="14" t="n">
        <v>12.5</v>
      </c>
      <c r="K1041" s="14" t="s">
        <v>59</v>
      </c>
      <c r="L1041" s="14" t="n">
        <v>2017</v>
      </c>
      <c r="M1041" s="14" t="n">
        <v>6.48463523563525</v>
      </c>
      <c r="N1041" s="14" t="n">
        <v>4.9768027055598</v>
      </c>
      <c r="P1041" s="14" t="n">
        <f aca="false">D1041</f>
        <v>145</v>
      </c>
      <c r="Q1041" s="14" t="n">
        <f aca="false">G1041</f>
        <v>195</v>
      </c>
      <c r="R1041" s="14" t="n">
        <f aca="false">J1041</f>
        <v>12.5</v>
      </c>
      <c r="S1041" s="14" t="n">
        <f aca="false">IF($L1041=2012,1,0)</f>
        <v>0</v>
      </c>
      <c r="T1041" s="14" t="n">
        <f aca="false">IF($L1041=2013,1,0)</f>
        <v>0</v>
      </c>
      <c r="U1041" s="14" t="n">
        <f aca="false">IF($L1041=2014,1,0)</f>
        <v>0</v>
      </c>
      <c r="V1041" s="14" t="n">
        <f aca="false">IF($L1041=2015,1,0)</f>
        <v>0</v>
      </c>
      <c r="W1041" s="14" t="n">
        <f aca="false">IF($L1041=2016,1,0)</f>
        <v>0</v>
      </c>
      <c r="X1041" s="14" t="n">
        <f aca="false">IF($L1041=2017,1,0)</f>
        <v>1</v>
      </c>
      <c r="Y1041" s="14" t="n">
        <f aca="false">IF($H1041="Beginner Level",1,0)</f>
        <v>0</v>
      </c>
      <c r="Z1041" s="14" t="n">
        <f aca="false">IF($H1041="Expert Level",1,0)</f>
        <v>0</v>
      </c>
      <c r="AA1041" s="14" t="n">
        <f aca="false">IF($H1041="Intermediate Level",1,0)</f>
        <v>0</v>
      </c>
      <c r="AC1041" s="14" t="n">
        <f aca="false">N1041</f>
        <v>4.9768027055598</v>
      </c>
      <c r="AD1041" s="14" t="n">
        <f aca="false">G1041</f>
        <v>195</v>
      </c>
      <c r="AE1041" s="14" t="n">
        <f aca="false">J1041</f>
        <v>12.5</v>
      </c>
      <c r="AF1041" s="14" t="n">
        <f aca="false">IF($L1041=2012,1,0)</f>
        <v>0</v>
      </c>
      <c r="AG1041" s="14" t="n">
        <f aca="false">IF($L1041=2013,1,0)</f>
        <v>0</v>
      </c>
      <c r="AH1041" s="14" t="n">
        <f aca="false">IF($L1041=2014,1,0)</f>
        <v>0</v>
      </c>
      <c r="AI1041" s="14" t="n">
        <f aca="false">IF($L1041=2015,1,0)</f>
        <v>0</v>
      </c>
      <c r="AJ1041" s="14" t="n">
        <f aca="false">IF($L1041=2016,1,0)</f>
        <v>0</v>
      </c>
      <c r="AK1041" s="14" t="n">
        <f aca="false">IF($L1041=2017,1,0)</f>
        <v>1</v>
      </c>
      <c r="AL1041" s="14" t="n">
        <f aca="false">IF($H1041="Beginner Level",1,0)</f>
        <v>0</v>
      </c>
      <c r="AM1041" s="14" t="n">
        <f aca="false">IF($H1041="Expert Level",1,0)</f>
        <v>0</v>
      </c>
      <c r="AN1041" s="14" t="n">
        <f aca="false">IF($H1041="Intermediate Level",1,0)</f>
        <v>0</v>
      </c>
    </row>
    <row r="1042" customFormat="false" ht="68.65" hidden="false" customHeight="false" outlineLevel="0" collapsed="false">
      <c r="A1042" s="14" t="n">
        <v>826366</v>
      </c>
      <c r="B1042" s="14" t="s">
        <v>2125</v>
      </c>
      <c r="C1042" s="14" t="s">
        <v>2126</v>
      </c>
      <c r="D1042" s="14" t="n">
        <v>95</v>
      </c>
      <c r="E1042" s="14" t="n">
        <v>654</v>
      </c>
      <c r="F1042" s="14" t="n">
        <v>86</v>
      </c>
      <c r="G1042" s="14" t="n">
        <v>239</v>
      </c>
      <c r="H1042" s="14" t="s">
        <v>52</v>
      </c>
      <c r="I1042" s="14" t="n">
        <v>1</v>
      </c>
      <c r="J1042" s="14" t="n">
        <v>25.5</v>
      </c>
      <c r="K1042" s="14" t="s">
        <v>59</v>
      </c>
      <c r="L1042" s="14" t="n">
        <v>2016</v>
      </c>
      <c r="M1042" s="14" t="n">
        <v>6.4831073514572</v>
      </c>
      <c r="N1042" s="14" t="n">
        <v>4.55398214921866</v>
      </c>
      <c r="P1042" s="14" t="n">
        <f aca="false">D1042</f>
        <v>95</v>
      </c>
      <c r="Q1042" s="14" t="n">
        <f aca="false">G1042</f>
        <v>239</v>
      </c>
      <c r="R1042" s="14" t="n">
        <f aca="false">J1042</f>
        <v>25.5</v>
      </c>
      <c r="S1042" s="14" t="n">
        <f aca="false">IF($L1042=2012,1,0)</f>
        <v>0</v>
      </c>
      <c r="T1042" s="14" t="n">
        <f aca="false">IF($L1042=2013,1,0)</f>
        <v>0</v>
      </c>
      <c r="U1042" s="14" t="n">
        <f aca="false">IF($L1042=2014,1,0)</f>
        <v>0</v>
      </c>
      <c r="V1042" s="14" t="n">
        <f aca="false">IF($L1042=2015,1,0)</f>
        <v>0</v>
      </c>
      <c r="W1042" s="14" t="n">
        <f aca="false">IF($L1042=2016,1,0)</f>
        <v>1</v>
      </c>
      <c r="X1042" s="14" t="n">
        <f aca="false">IF($L1042=2017,1,0)</f>
        <v>0</v>
      </c>
      <c r="Y1042" s="14" t="n">
        <f aca="false">IF($H1042="Beginner Level",1,0)</f>
        <v>1</v>
      </c>
      <c r="Z1042" s="14" t="n">
        <f aca="false">IF($H1042="Expert Level",1,0)</f>
        <v>0</v>
      </c>
      <c r="AA1042" s="14" t="n">
        <f aca="false">IF($H1042="Intermediate Level",1,0)</f>
        <v>0</v>
      </c>
      <c r="AC1042" s="14" t="n">
        <f aca="false">N1042</f>
        <v>4.55398214921866</v>
      </c>
      <c r="AD1042" s="14" t="n">
        <f aca="false">G1042</f>
        <v>239</v>
      </c>
      <c r="AE1042" s="14" t="n">
        <f aca="false">J1042</f>
        <v>25.5</v>
      </c>
      <c r="AF1042" s="14" t="n">
        <f aca="false">IF($L1042=2012,1,0)</f>
        <v>0</v>
      </c>
      <c r="AG1042" s="14" t="n">
        <f aca="false">IF($L1042=2013,1,0)</f>
        <v>0</v>
      </c>
      <c r="AH1042" s="14" t="n">
        <f aca="false">IF($L1042=2014,1,0)</f>
        <v>0</v>
      </c>
      <c r="AI1042" s="14" t="n">
        <f aca="false">IF($L1042=2015,1,0)</f>
        <v>0</v>
      </c>
      <c r="AJ1042" s="14" t="n">
        <f aca="false">IF($L1042=2016,1,0)</f>
        <v>1</v>
      </c>
      <c r="AK1042" s="14" t="n">
        <f aca="false">IF($L1042=2017,1,0)</f>
        <v>0</v>
      </c>
      <c r="AL1042" s="14" t="n">
        <f aca="false">IF($H1042="Beginner Level",1,0)</f>
        <v>1</v>
      </c>
      <c r="AM1042" s="14" t="n">
        <f aca="false">IF($H1042="Expert Level",1,0)</f>
        <v>0</v>
      </c>
      <c r="AN1042" s="14" t="n">
        <f aca="false">IF($H1042="Intermediate Level",1,0)</f>
        <v>0</v>
      </c>
    </row>
    <row r="1043" customFormat="false" ht="57.45" hidden="false" customHeight="false" outlineLevel="0" collapsed="false">
      <c r="A1043" s="14" t="n">
        <v>1075570</v>
      </c>
      <c r="B1043" s="14" t="s">
        <v>2127</v>
      </c>
      <c r="C1043" s="14" t="s">
        <v>2128</v>
      </c>
      <c r="D1043" s="14" t="n">
        <v>200</v>
      </c>
      <c r="E1043" s="14" t="n">
        <v>653</v>
      </c>
      <c r="F1043" s="14" t="n">
        <v>20</v>
      </c>
      <c r="G1043" s="14" t="n">
        <v>25</v>
      </c>
      <c r="H1043" s="14" t="s">
        <v>52</v>
      </c>
      <c r="I1043" s="14" t="n">
        <v>0.81</v>
      </c>
      <c r="J1043" s="14" t="n">
        <v>1</v>
      </c>
      <c r="K1043" s="14" t="s">
        <v>59</v>
      </c>
      <c r="L1043" s="14" t="n">
        <v>2017</v>
      </c>
      <c r="M1043" s="14" t="n">
        <v>6.48157712927643</v>
      </c>
      <c r="N1043" s="14" t="n">
        <v>5.29836736529808</v>
      </c>
      <c r="P1043" s="14" t="n">
        <f aca="false">D1043</f>
        <v>200</v>
      </c>
      <c r="Q1043" s="14" t="n">
        <f aca="false">G1043</f>
        <v>25</v>
      </c>
      <c r="R1043" s="14" t="n">
        <f aca="false">J1043</f>
        <v>1</v>
      </c>
      <c r="S1043" s="14" t="n">
        <f aca="false">IF($L1043=2012,1,0)</f>
        <v>0</v>
      </c>
      <c r="T1043" s="14" t="n">
        <f aca="false">IF($L1043=2013,1,0)</f>
        <v>0</v>
      </c>
      <c r="U1043" s="14" t="n">
        <f aca="false">IF($L1043=2014,1,0)</f>
        <v>0</v>
      </c>
      <c r="V1043" s="14" t="n">
        <f aca="false">IF($L1043=2015,1,0)</f>
        <v>0</v>
      </c>
      <c r="W1043" s="14" t="n">
        <f aca="false">IF($L1043=2016,1,0)</f>
        <v>0</v>
      </c>
      <c r="X1043" s="14" t="n">
        <f aca="false">IF($L1043=2017,1,0)</f>
        <v>1</v>
      </c>
      <c r="Y1043" s="14" t="n">
        <f aca="false">IF($H1043="Beginner Level",1,0)</f>
        <v>1</v>
      </c>
      <c r="Z1043" s="14" t="n">
        <f aca="false">IF($H1043="Expert Level",1,0)</f>
        <v>0</v>
      </c>
      <c r="AA1043" s="14" t="n">
        <f aca="false">IF($H1043="Intermediate Level",1,0)</f>
        <v>0</v>
      </c>
      <c r="AC1043" s="14" t="n">
        <f aca="false">N1043</f>
        <v>5.29836736529808</v>
      </c>
      <c r="AD1043" s="14" t="n">
        <f aca="false">G1043</f>
        <v>25</v>
      </c>
      <c r="AE1043" s="14" t="n">
        <f aca="false">J1043</f>
        <v>1</v>
      </c>
      <c r="AF1043" s="14" t="n">
        <f aca="false">IF($L1043=2012,1,0)</f>
        <v>0</v>
      </c>
      <c r="AG1043" s="14" t="n">
        <f aca="false">IF($L1043=2013,1,0)</f>
        <v>0</v>
      </c>
      <c r="AH1043" s="14" t="n">
        <f aca="false">IF($L1043=2014,1,0)</f>
        <v>0</v>
      </c>
      <c r="AI1043" s="14" t="n">
        <f aca="false">IF($L1043=2015,1,0)</f>
        <v>0</v>
      </c>
      <c r="AJ1043" s="14" t="n">
        <f aca="false">IF($L1043=2016,1,0)</f>
        <v>0</v>
      </c>
      <c r="AK1043" s="14" t="n">
        <f aca="false">IF($L1043=2017,1,0)</f>
        <v>1</v>
      </c>
      <c r="AL1043" s="14" t="n">
        <f aca="false">IF($H1043="Beginner Level",1,0)</f>
        <v>1</v>
      </c>
      <c r="AM1043" s="14" t="n">
        <f aca="false">IF($H1043="Expert Level",1,0)</f>
        <v>0</v>
      </c>
      <c r="AN1043" s="14" t="n">
        <f aca="false">IF($H1043="Intermediate Level",1,0)</f>
        <v>0</v>
      </c>
    </row>
    <row r="1044" customFormat="false" ht="91" hidden="false" customHeight="false" outlineLevel="0" collapsed="false">
      <c r="A1044" s="14" t="n">
        <v>572270</v>
      </c>
      <c r="B1044" s="14" t="s">
        <v>2129</v>
      </c>
      <c r="C1044" s="14" t="s">
        <v>2130</v>
      </c>
      <c r="D1044" s="14" t="n">
        <v>60</v>
      </c>
      <c r="E1044" s="14" t="n">
        <v>652</v>
      </c>
      <c r="F1044" s="14" t="n">
        <v>48</v>
      </c>
      <c r="G1044" s="14" t="n">
        <v>46</v>
      </c>
      <c r="H1044" s="14" t="s">
        <v>52</v>
      </c>
      <c r="I1044" s="14" t="n">
        <v>0.93</v>
      </c>
      <c r="J1044" s="14" t="n">
        <v>6.5</v>
      </c>
      <c r="K1044" s="14" t="s">
        <v>59</v>
      </c>
      <c r="L1044" s="14" t="n">
        <v>2017</v>
      </c>
      <c r="M1044" s="14" t="n">
        <v>6.48004456192665</v>
      </c>
      <c r="N1044" s="14" t="n">
        <v>4.09451121500142</v>
      </c>
      <c r="P1044" s="14" t="n">
        <f aca="false">D1044</f>
        <v>60</v>
      </c>
      <c r="Q1044" s="14" t="n">
        <f aca="false">G1044</f>
        <v>46</v>
      </c>
      <c r="R1044" s="14" t="n">
        <f aca="false">J1044</f>
        <v>6.5</v>
      </c>
      <c r="S1044" s="14" t="n">
        <f aca="false">IF($L1044=2012,1,0)</f>
        <v>0</v>
      </c>
      <c r="T1044" s="14" t="n">
        <f aca="false">IF($L1044=2013,1,0)</f>
        <v>0</v>
      </c>
      <c r="U1044" s="14" t="n">
        <f aca="false">IF($L1044=2014,1,0)</f>
        <v>0</v>
      </c>
      <c r="V1044" s="14" t="n">
        <f aca="false">IF($L1044=2015,1,0)</f>
        <v>0</v>
      </c>
      <c r="W1044" s="14" t="n">
        <f aca="false">IF($L1044=2016,1,0)</f>
        <v>0</v>
      </c>
      <c r="X1044" s="14" t="n">
        <f aca="false">IF($L1044=2017,1,0)</f>
        <v>1</v>
      </c>
      <c r="Y1044" s="14" t="n">
        <f aca="false">IF($H1044="Beginner Level",1,0)</f>
        <v>1</v>
      </c>
      <c r="Z1044" s="14" t="n">
        <f aca="false">IF($H1044="Expert Level",1,0)</f>
        <v>0</v>
      </c>
      <c r="AA1044" s="14" t="n">
        <f aca="false">IF($H1044="Intermediate Level",1,0)</f>
        <v>0</v>
      </c>
      <c r="AC1044" s="14" t="n">
        <f aca="false">N1044</f>
        <v>4.09451121500142</v>
      </c>
      <c r="AD1044" s="14" t="n">
        <f aca="false">G1044</f>
        <v>46</v>
      </c>
      <c r="AE1044" s="14" t="n">
        <f aca="false">J1044</f>
        <v>6.5</v>
      </c>
      <c r="AF1044" s="14" t="n">
        <f aca="false">IF($L1044=2012,1,0)</f>
        <v>0</v>
      </c>
      <c r="AG1044" s="14" t="n">
        <f aca="false">IF($L1044=2013,1,0)</f>
        <v>0</v>
      </c>
      <c r="AH1044" s="14" t="n">
        <f aca="false">IF($L1044=2014,1,0)</f>
        <v>0</v>
      </c>
      <c r="AI1044" s="14" t="n">
        <f aca="false">IF($L1044=2015,1,0)</f>
        <v>0</v>
      </c>
      <c r="AJ1044" s="14" t="n">
        <f aca="false">IF($L1044=2016,1,0)</f>
        <v>0</v>
      </c>
      <c r="AK1044" s="14" t="n">
        <f aca="false">IF($L1044=2017,1,0)</f>
        <v>1</v>
      </c>
      <c r="AL1044" s="14" t="n">
        <f aca="false">IF($H1044="Beginner Level",1,0)</f>
        <v>1</v>
      </c>
      <c r="AM1044" s="14" t="n">
        <f aca="false">IF($H1044="Expert Level",1,0)</f>
        <v>0</v>
      </c>
      <c r="AN1044" s="14" t="n">
        <f aca="false">IF($H1044="Intermediate Level",1,0)</f>
        <v>0</v>
      </c>
    </row>
    <row r="1045" customFormat="false" ht="79.85" hidden="false" customHeight="false" outlineLevel="0" collapsed="false">
      <c r="A1045" s="14" t="n">
        <v>661780</v>
      </c>
      <c r="B1045" s="14" t="s">
        <v>2131</v>
      </c>
      <c r="C1045" s="14" t="s">
        <v>2132</v>
      </c>
      <c r="D1045" s="14" t="n">
        <v>75</v>
      </c>
      <c r="E1045" s="14" t="n">
        <v>651</v>
      </c>
      <c r="F1045" s="14" t="n">
        <v>52</v>
      </c>
      <c r="G1045" s="14" t="n">
        <v>20</v>
      </c>
      <c r="H1045" s="14" t="s">
        <v>52</v>
      </c>
      <c r="I1045" s="14" t="n">
        <v>0.94</v>
      </c>
      <c r="J1045" s="14" t="n">
        <v>2.5</v>
      </c>
      <c r="K1045" s="14" t="s">
        <v>59</v>
      </c>
      <c r="L1045" s="14" t="n">
        <v>2015</v>
      </c>
      <c r="M1045" s="14" t="n">
        <v>6.47850964220857</v>
      </c>
      <c r="N1045" s="14" t="n">
        <v>4.31762143798155</v>
      </c>
      <c r="P1045" s="14" t="n">
        <f aca="false">D1045</f>
        <v>75</v>
      </c>
      <c r="Q1045" s="14" t="n">
        <f aca="false">G1045</f>
        <v>20</v>
      </c>
      <c r="R1045" s="14" t="n">
        <f aca="false">J1045</f>
        <v>2.5</v>
      </c>
      <c r="S1045" s="14" t="n">
        <f aca="false">IF($L1045=2012,1,0)</f>
        <v>0</v>
      </c>
      <c r="T1045" s="14" t="n">
        <f aca="false">IF($L1045=2013,1,0)</f>
        <v>0</v>
      </c>
      <c r="U1045" s="14" t="n">
        <f aca="false">IF($L1045=2014,1,0)</f>
        <v>0</v>
      </c>
      <c r="V1045" s="14" t="n">
        <f aca="false">IF($L1045=2015,1,0)</f>
        <v>1</v>
      </c>
      <c r="W1045" s="14" t="n">
        <f aca="false">IF($L1045=2016,1,0)</f>
        <v>0</v>
      </c>
      <c r="X1045" s="14" t="n">
        <f aca="false">IF($L1045=2017,1,0)</f>
        <v>0</v>
      </c>
      <c r="Y1045" s="14" t="n">
        <f aca="false">IF($H1045="Beginner Level",1,0)</f>
        <v>1</v>
      </c>
      <c r="Z1045" s="14" t="n">
        <f aca="false">IF($H1045="Expert Level",1,0)</f>
        <v>0</v>
      </c>
      <c r="AA1045" s="14" t="n">
        <f aca="false">IF($H1045="Intermediate Level",1,0)</f>
        <v>0</v>
      </c>
      <c r="AC1045" s="14" t="n">
        <f aca="false">N1045</f>
        <v>4.31762143798155</v>
      </c>
      <c r="AD1045" s="14" t="n">
        <f aca="false">G1045</f>
        <v>20</v>
      </c>
      <c r="AE1045" s="14" t="n">
        <f aca="false">J1045</f>
        <v>2.5</v>
      </c>
      <c r="AF1045" s="14" t="n">
        <f aca="false">IF($L1045=2012,1,0)</f>
        <v>0</v>
      </c>
      <c r="AG1045" s="14" t="n">
        <f aca="false">IF($L1045=2013,1,0)</f>
        <v>0</v>
      </c>
      <c r="AH1045" s="14" t="n">
        <f aca="false">IF($L1045=2014,1,0)</f>
        <v>0</v>
      </c>
      <c r="AI1045" s="14" t="n">
        <f aca="false">IF($L1045=2015,1,0)</f>
        <v>1</v>
      </c>
      <c r="AJ1045" s="14" t="n">
        <f aca="false">IF($L1045=2016,1,0)</f>
        <v>0</v>
      </c>
      <c r="AK1045" s="14" t="n">
        <f aca="false">IF($L1045=2017,1,0)</f>
        <v>0</v>
      </c>
      <c r="AL1045" s="14" t="n">
        <f aca="false">IF($H1045="Beginner Level",1,0)</f>
        <v>1</v>
      </c>
      <c r="AM1045" s="14" t="n">
        <f aca="false">IF($H1045="Expert Level",1,0)</f>
        <v>0</v>
      </c>
      <c r="AN1045" s="14" t="n">
        <f aca="false">IF($H1045="Intermediate Level",1,0)</f>
        <v>0</v>
      </c>
    </row>
    <row r="1046" customFormat="false" ht="46.25" hidden="false" customHeight="false" outlineLevel="0" collapsed="false">
      <c r="A1046" s="14" t="n">
        <v>592352</v>
      </c>
      <c r="B1046" s="14" t="s">
        <v>2133</v>
      </c>
      <c r="C1046" s="14" t="s">
        <v>2134</v>
      </c>
      <c r="D1046" s="14" t="n">
        <v>20</v>
      </c>
      <c r="E1046" s="14" t="n">
        <v>644</v>
      </c>
      <c r="F1046" s="14" t="n">
        <v>42</v>
      </c>
      <c r="G1046" s="14" t="n">
        <v>28</v>
      </c>
      <c r="H1046" s="14" t="s">
        <v>62</v>
      </c>
      <c r="I1046" s="14" t="n">
        <v>0.87</v>
      </c>
      <c r="J1046" s="14" t="n">
        <v>1.5</v>
      </c>
      <c r="K1046" s="14" t="s">
        <v>59</v>
      </c>
      <c r="L1046" s="14" t="n">
        <v>2015</v>
      </c>
      <c r="M1046" s="14" t="n">
        <v>6.46769872610435</v>
      </c>
      <c r="N1046" s="14" t="n">
        <v>2.99623214859564</v>
      </c>
      <c r="P1046" s="14" t="n">
        <f aca="false">D1046</f>
        <v>20</v>
      </c>
      <c r="Q1046" s="14" t="n">
        <f aca="false">G1046</f>
        <v>28</v>
      </c>
      <c r="R1046" s="14" t="n">
        <f aca="false">J1046</f>
        <v>1.5</v>
      </c>
      <c r="S1046" s="14" t="n">
        <f aca="false">IF($L1046=2012,1,0)</f>
        <v>0</v>
      </c>
      <c r="T1046" s="14" t="n">
        <f aca="false">IF($L1046=2013,1,0)</f>
        <v>0</v>
      </c>
      <c r="U1046" s="14" t="n">
        <f aca="false">IF($L1046=2014,1,0)</f>
        <v>0</v>
      </c>
      <c r="V1046" s="14" t="n">
        <f aca="false">IF($L1046=2015,1,0)</f>
        <v>1</v>
      </c>
      <c r="W1046" s="14" t="n">
        <f aca="false">IF($L1046=2016,1,0)</f>
        <v>0</v>
      </c>
      <c r="X1046" s="14" t="n">
        <f aca="false">IF($L1046=2017,1,0)</f>
        <v>0</v>
      </c>
      <c r="Y1046" s="14" t="n">
        <f aca="false">IF($H1046="Beginner Level",1,0)</f>
        <v>0</v>
      </c>
      <c r="Z1046" s="14" t="n">
        <f aca="false">IF($H1046="Expert Level",1,0)</f>
        <v>0</v>
      </c>
      <c r="AA1046" s="14" t="n">
        <f aca="false">IF($H1046="Intermediate Level",1,0)</f>
        <v>0</v>
      </c>
      <c r="AC1046" s="14" t="n">
        <f aca="false">N1046</f>
        <v>2.99623214859564</v>
      </c>
      <c r="AD1046" s="14" t="n">
        <f aca="false">G1046</f>
        <v>28</v>
      </c>
      <c r="AE1046" s="14" t="n">
        <f aca="false">J1046</f>
        <v>1.5</v>
      </c>
      <c r="AF1046" s="14" t="n">
        <f aca="false">IF($L1046=2012,1,0)</f>
        <v>0</v>
      </c>
      <c r="AG1046" s="14" t="n">
        <f aca="false">IF($L1046=2013,1,0)</f>
        <v>0</v>
      </c>
      <c r="AH1046" s="14" t="n">
        <f aca="false">IF($L1046=2014,1,0)</f>
        <v>0</v>
      </c>
      <c r="AI1046" s="14" t="n">
        <f aca="false">IF($L1046=2015,1,0)</f>
        <v>1</v>
      </c>
      <c r="AJ1046" s="14" t="n">
        <f aca="false">IF($L1046=2016,1,0)</f>
        <v>0</v>
      </c>
      <c r="AK1046" s="14" t="n">
        <f aca="false">IF($L1046=2017,1,0)</f>
        <v>0</v>
      </c>
      <c r="AL1046" s="14" t="n">
        <f aca="false">IF($H1046="Beginner Level",1,0)</f>
        <v>0</v>
      </c>
      <c r="AM1046" s="14" t="n">
        <f aca="false">IF($H1046="Expert Level",1,0)</f>
        <v>0</v>
      </c>
      <c r="AN1046" s="14" t="n">
        <f aca="false">IF($H1046="Intermediate Level",1,0)</f>
        <v>0</v>
      </c>
    </row>
    <row r="1047" customFormat="false" ht="68.65" hidden="false" customHeight="false" outlineLevel="0" collapsed="false">
      <c r="A1047" s="14" t="n">
        <v>564268</v>
      </c>
      <c r="B1047" s="14" t="s">
        <v>2135</v>
      </c>
      <c r="C1047" s="14" t="s">
        <v>2136</v>
      </c>
      <c r="D1047" s="14" t="n">
        <v>50</v>
      </c>
      <c r="E1047" s="14" t="n">
        <v>636</v>
      </c>
      <c r="F1047" s="14" t="n">
        <v>33</v>
      </c>
      <c r="G1047" s="14" t="n">
        <v>54</v>
      </c>
      <c r="H1047" s="14" t="s">
        <v>62</v>
      </c>
      <c r="I1047" s="14" t="n">
        <v>0.11</v>
      </c>
      <c r="J1047" s="14" t="n">
        <v>10</v>
      </c>
      <c r="K1047" s="14" t="s">
        <v>59</v>
      </c>
      <c r="L1047" s="14" t="n">
        <v>2015</v>
      </c>
      <c r="M1047" s="14" t="n">
        <v>6.45519856334012</v>
      </c>
      <c r="N1047" s="14" t="n">
        <v>3.91222298543081</v>
      </c>
      <c r="P1047" s="14" t="n">
        <f aca="false">D1047</f>
        <v>50</v>
      </c>
      <c r="Q1047" s="14" t="n">
        <f aca="false">G1047</f>
        <v>54</v>
      </c>
      <c r="R1047" s="14" t="n">
        <f aca="false">J1047</f>
        <v>10</v>
      </c>
      <c r="S1047" s="14" t="n">
        <f aca="false">IF($L1047=2012,1,0)</f>
        <v>0</v>
      </c>
      <c r="T1047" s="14" t="n">
        <f aca="false">IF($L1047=2013,1,0)</f>
        <v>0</v>
      </c>
      <c r="U1047" s="14" t="n">
        <f aca="false">IF($L1047=2014,1,0)</f>
        <v>0</v>
      </c>
      <c r="V1047" s="14" t="n">
        <f aca="false">IF($L1047=2015,1,0)</f>
        <v>1</v>
      </c>
      <c r="W1047" s="14" t="n">
        <f aca="false">IF($L1047=2016,1,0)</f>
        <v>0</v>
      </c>
      <c r="X1047" s="14" t="n">
        <f aca="false">IF($L1047=2017,1,0)</f>
        <v>0</v>
      </c>
      <c r="Y1047" s="14" t="n">
        <f aca="false">IF($H1047="Beginner Level",1,0)</f>
        <v>0</v>
      </c>
      <c r="Z1047" s="14" t="n">
        <f aca="false">IF($H1047="Expert Level",1,0)</f>
        <v>0</v>
      </c>
      <c r="AA1047" s="14" t="n">
        <f aca="false">IF($H1047="Intermediate Level",1,0)</f>
        <v>0</v>
      </c>
      <c r="AC1047" s="14" t="n">
        <f aca="false">N1047</f>
        <v>3.91222298543081</v>
      </c>
      <c r="AD1047" s="14" t="n">
        <f aca="false">G1047</f>
        <v>54</v>
      </c>
      <c r="AE1047" s="14" t="n">
        <f aca="false">J1047</f>
        <v>10</v>
      </c>
      <c r="AF1047" s="14" t="n">
        <f aca="false">IF($L1047=2012,1,0)</f>
        <v>0</v>
      </c>
      <c r="AG1047" s="14" t="n">
        <f aca="false">IF($L1047=2013,1,0)</f>
        <v>0</v>
      </c>
      <c r="AH1047" s="14" t="n">
        <f aca="false">IF($L1047=2014,1,0)</f>
        <v>0</v>
      </c>
      <c r="AI1047" s="14" t="n">
        <f aca="false">IF($L1047=2015,1,0)</f>
        <v>1</v>
      </c>
      <c r="AJ1047" s="14" t="n">
        <f aca="false">IF($L1047=2016,1,0)</f>
        <v>0</v>
      </c>
      <c r="AK1047" s="14" t="n">
        <f aca="false">IF($L1047=2017,1,0)</f>
        <v>0</v>
      </c>
      <c r="AL1047" s="14" t="n">
        <f aca="false">IF($H1047="Beginner Level",1,0)</f>
        <v>0</v>
      </c>
      <c r="AM1047" s="14" t="n">
        <f aca="false">IF($H1047="Expert Level",1,0)</f>
        <v>0</v>
      </c>
      <c r="AN1047" s="14" t="n">
        <f aca="false">IF($H1047="Intermediate Level",1,0)</f>
        <v>0</v>
      </c>
    </row>
    <row r="1048" customFormat="false" ht="46.25" hidden="false" customHeight="false" outlineLevel="0" collapsed="false">
      <c r="A1048" s="14" t="n">
        <v>996320</v>
      </c>
      <c r="B1048" s="14" t="s">
        <v>2137</v>
      </c>
      <c r="C1048" s="14" t="s">
        <v>2138</v>
      </c>
      <c r="D1048" s="14" t="n">
        <v>200</v>
      </c>
      <c r="E1048" s="14" t="n">
        <v>633</v>
      </c>
      <c r="F1048" s="14" t="n">
        <v>39</v>
      </c>
      <c r="G1048" s="14" t="n">
        <v>54</v>
      </c>
      <c r="H1048" s="14" t="s">
        <v>52</v>
      </c>
      <c r="I1048" s="14" t="n">
        <v>0.92</v>
      </c>
      <c r="J1048" s="14" t="n">
        <v>4</v>
      </c>
      <c r="K1048" s="14" t="s">
        <v>59</v>
      </c>
      <c r="L1048" s="14" t="n">
        <v>2016</v>
      </c>
      <c r="M1048" s="14" t="n">
        <v>6.45047042214418</v>
      </c>
      <c r="N1048" s="14" t="n">
        <v>5.29836736529808</v>
      </c>
      <c r="P1048" s="14" t="n">
        <f aca="false">D1048</f>
        <v>200</v>
      </c>
      <c r="Q1048" s="14" t="n">
        <f aca="false">G1048</f>
        <v>54</v>
      </c>
      <c r="R1048" s="14" t="n">
        <f aca="false">J1048</f>
        <v>4</v>
      </c>
      <c r="S1048" s="14" t="n">
        <f aca="false">IF($L1048=2012,1,0)</f>
        <v>0</v>
      </c>
      <c r="T1048" s="14" t="n">
        <f aca="false">IF($L1048=2013,1,0)</f>
        <v>0</v>
      </c>
      <c r="U1048" s="14" t="n">
        <f aca="false">IF($L1048=2014,1,0)</f>
        <v>0</v>
      </c>
      <c r="V1048" s="14" t="n">
        <f aca="false">IF($L1048=2015,1,0)</f>
        <v>0</v>
      </c>
      <c r="W1048" s="14" t="n">
        <f aca="false">IF($L1048=2016,1,0)</f>
        <v>1</v>
      </c>
      <c r="X1048" s="14" t="n">
        <f aca="false">IF($L1048=2017,1,0)</f>
        <v>0</v>
      </c>
      <c r="Y1048" s="14" t="n">
        <f aca="false">IF($H1048="Beginner Level",1,0)</f>
        <v>1</v>
      </c>
      <c r="Z1048" s="14" t="n">
        <f aca="false">IF($H1048="Expert Level",1,0)</f>
        <v>0</v>
      </c>
      <c r="AA1048" s="14" t="n">
        <f aca="false">IF($H1048="Intermediate Level",1,0)</f>
        <v>0</v>
      </c>
      <c r="AC1048" s="14" t="n">
        <f aca="false">N1048</f>
        <v>5.29836736529808</v>
      </c>
      <c r="AD1048" s="14" t="n">
        <f aca="false">G1048</f>
        <v>54</v>
      </c>
      <c r="AE1048" s="14" t="n">
        <f aca="false">J1048</f>
        <v>4</v>
      </c>
      <c r="AF1048" s="14" t="n">
        <f aca="false">IF($L1048=2012,1,0)</f>
        <v>0</v>
      </c>
      <c r="AG1048" s="14" t="n">
        <f aca="false">IF($L1048=2013,1,0)</f>
        <v>0</v>
      </c>
      <c r="AH1048" s="14" t="n">
        <f aca="false">IF($L1048=2014,1,0)</f>
        <v>0</v>
      </c>
      <c r="AI1048" s="14" t="n">
        <f aca="false">IF($L1048=2015,1,0)</f>
        <v>0</v>
      </c>
      <c r="AJ1048" s="14" t="n">
        <f aca="false">IF($L1048=2016,1,0)</f>
        <v>1</v>
      </c>
      <c r="AK1048" s="14" t="n">
        <f aca="false">IF($L1048=2017,1,0)</f>
        <v>0</v>
      </c>
      <c r="AL1048" s="14" t="n">
        <f aca="false">IF($H1048="Beginner Level",1,0)</f>
        <v>1</v>
      </c>
      <c r="AM1048" s="14" t="n">
        <f aca="false">IF($H1048="Expert Level",1,0)</f>
        <v>0</v>
      </c>
      <c r="AN1048" s="14" t="n">
        <f aca="false">IF($H1048="Intermediate Level",1,0)</f>
        <v>0</v>
      </c>
    </row>
    <row r="1049" customFormat="false" ht="68.65" hidden="false" customHeight="false" outlineLevel="0" collapsed="false">
      <c r="A1049" s="14" t="n">
        <v>637840</v>
      </c>
      <c r="B1049" s="14" t="s">
        <v>2139</v>
      </c>
      <c r="C1049" s="14" t="s">
        <v>2140</v>
      </c>
      <c r="D1049" s="14" t="n">
        <v>40</v>
      </c>
      <c r="E1049" s="14" t="n">
        <v>633</v>
      </c>
      <c r="F1049" s="14" t="n">
        <v>104</v>
      </c>
      <c r="G1049" s="14" t="n">
        <v>31</v>
      </c>
      <c r="H1049" s="14" t="s">
        <v>62</v>
      </c>
      <c r="I1049" s="14" t="n">
        <v>0.78</v>
      </c>
      <c r="J1049" s="14" t="n">
        <v>5</v>
      </c>
      <c r="K1049" s="14" t="s">
        <v>59</v>
      </c>
      <c r="L1049" s="14" t="n">
        <v>2015</v>
      </c>
      <c r="M1049" s="14" t="n">
        <v>6.45047042214418</v>
      </c>
      <c r="N1049" s="14" t="n">
        <v>3.68912942286914</v>
      </c>
      <c r="P1049" s="14" t="n">
        <f aca="false">D1049</f>
        <v>40</v>
      </c>
      <c r="Q1049" s="14" t="n">
        <f aca="false">G1049</f>
        <v>31</v>
      </c>
      <c r="R1049" s="14" t="n">
        <f aca="false">J1049</f>
        <v>5</v>
      </c>
      <c r="S1049" s="14" t="n">
        <f aca="false">IF($L1049=2012,1,0)</f>
        <v>0</v>
      </c>
      <c r="T1049" s="14" t="n">
        <f aca="false">IF($L1049=2013,1,0)</f>
        <v>0</v>
      </c>
      <c r="U1049" s="14" t="n">
        <f aca="false">IF($L1049=2014,1,0)</f>
        <v>0</v>
      </c>
      <c r="V1049" s="14" t="n">
        <f aca="false">IF($L1049=2015,1,0)</f>
        <v>1</v>
      </c>
      <c r="W1049" s="14" t="n">
        <f aca="false">IF($L1049=2016,1,0)</f>
        <v>0</v>
      </c>
      <c r="X1049" s="14" t="n">
        <f aca="false">IF($L1049=2017,1,0)</f>
        <v>0</v>
      </c>
      <c r="Y1049" s="14" t="n">
        <f aca="false">IF($H1049="Beginner Level",1,0)</f>
        <v>0</v>
      </c>
      <c r="Z1049" s="14" t="n">
        <f aca="false">IF($H1049="Expert Level",1,0)</f>
        <v>0</v>
      </c>
      <c r="AA1049" s="14" t="n">
        <f aca="false">IF($H1049="Intermediate Level",1,0)</f>
        <v>0</v>
      </c>
      <c r="AC1049" s="14" t="n">
        <f aca="false">N1049</f>
        <v>3.68912942286914</v>
      </c>
      <c r="AD1049" s="14" t="n">
        <f aca="false">G1049</f>
        <v>31</v>
      </c>
      <c r="AE1049" s="14" t="n">
        <f aca="false">J1049</f>
        <v>5</v>
      </c>
      <c r="AF1049" s="14" t="n">
        <f aca="false">IF($L1049=2012,1,0)</f>
        <v>0</v>
      </c>
      <c r="AG1049" s="14" t="n">
        <f aca="false">IF($L1049=2013,1,0)</f>
        <v>0</v>
      </c>
      <c r="AH1049" s="14" t="n">
        <f aca="false">IF($L1049=2014,1,0)</f>
        <v>0</v>
      </c>
      <c r="AI1049" s="14" t="n">
        <f aca="false">IF($L1049=2015,1,0)</f>
        <v>1</v>
      </c>
      <c r="AJ1049" s="14" t="n">
        <f aca="false">IF($L1049=2016,1,0)</f>
        <v>0</v>
      </c>
      <c r="AK1049" s="14" t="n">
        <f aca="false">IF($L1049=2017,1,0)</f>
        <v>0</v>
      </c>
      <c r="AL1049" s="14" t="n">
        <f aca="false">IF($H1049="Beginner Level",1,0)</f>
        <v>0</v>
      </c>
      <c r="AM1049" s="14" t="n">
        <f aca="false">IF($H1049="Expert Level",1,0)</f>
        <v>0</v>
      </c>
      <c r="AN1049" s="14" t="n">
        <f aca="false">IF($H1049="Intermediate Level",1,0)</f>
        <v>0</v>
      </c>
    </row>
    <row r="1050" customFormat="false" ht="46.25" hidden="false" customHeight="false" outlineLevel="0" collapsed="false">
      <c r="A1050" s="14" t="n">
        <v>468726</v>
      </c>
      <c r="B1050" s="14" t="s">
        <v>2141</v>
      </c>
      <c r="C1050" s="14" t="s">
        <v>2142</v>
      </c>
      <c r="D1050" s="14" t="n">
        <v>75</v>
      </c>
      <c r="E1050" s="14" t="n">
        <v>631</v>
      </c>
      <c r="F1050" s="14" t="n">
        <v>103</v>
      </c>
      <c r="G1050" s="14" t="n">
        <v>65</v>
      </c>
      <c r="H1050" s="14" t="s">
        <v>52</v>
      </c>
      <c r="I1050" s="14" t="n">
        <v>0.51</v>
      </c>
      <c r="J1050" s="14" t="n">
        <v>4.5</v>
      </c>
      <c r="K1050" s="14" t="s">
        <v>59</v>
      </c>
      <c r="L1050" s="14" t="n">
        <v>2015</v>
      </c>
      <c r="M1050" s="14" t="n">
        <v>6.44730586254121</v>
      </c>
      <c r="N1050" s="14" t="n">
        <v>4.31762143798155</v>
      </c>
      <c r="P1050" s="14" t="n">
        <f aca="false">D1050</f>
        <v>75</v>
      </c>
      <c r="Q1050" s="14" t="n">
        <f aca="false">G1050</f>
        <v>65</v>
      </c>
      <c r="R1050" s="14" t="n">
        <f aca="false">J1050</f>
        <v>4.5</v>
      </c>
      <c r="S1050" s="14" t="n">
        <f aca="false">IF($L1050=2012,1,0)</f>
        <v>0</v>
      </c>
      <c r="T1050" s="14" t="n">
        <f aca="false">IF($L1050=2013,1,0)</f>
        <v>0</v>
      </c>
      <c r="U1050" s="14" t="n">
        <f aca="false">IF($L1050=2014,1,0)</f>
        <v>0</v>
      </c>
      <c r="V1050" s="14" t="n">
        <f aca="false">IF($L1050=2015,1,0)</f>
        <v>1</v>
      </c>
      <c r="W1050" s="14" t="n">
        <f aca="false">IF($L1050=2016,1,0)</f>
        <v>0</v>
      </c>
      <c r="X1050" s="14" t="n">
        <f aca="false">IF($L1050=2017,1,0)</f>
        <v>0</v>
      </c>
      <c r="Y1050" s="14" t="n">
        <f aca="false">IF($H1050="Beginner Level",1,0)</f>
        <v>1</v>
      </c>
      <c r="Z1050" s="14" t="n">
        <f aca="false">IF($H1050="Expert Level",1,0)</f>
        <v>0</v>
      </c>
      <c r="AA1050" s="14" t="n">
        <f aca="false">IF($H1050="Intermediate Level",1,0)</f>
        <v>0</v>
      </c>
      <c r="AC1050" s="14" t="n">
        <f aca="false">N1050</f>
        <v>4.31762143798155</v>
      </c>
      <c r="AD1050" s="14" t="n">
        <f aca="false">G1050</f>
        <v>65</v>
      </c>
      <c r="AE1050" s="14" t="n">
        <f aca="false">J1050</f>
        <v>4.5</v>
      </c>
      <c r="AF1050" s="14" t="n">
        <f aca="false">IF($L1050=2012,1,0)</f>
        <v>0</v>
      </c>
      <c r="AG1050" s="14" t="n">
        <f aca="false">IF($L1050=2013,1,0)</f>
        <v>0</v>
      </c>
      <c r="AH1050" s="14" t="n">
        <f aca="false">IF($L1050=2014,1,0)</f>
        <v>0</v>
      </c>
      <c r="AI1050" s="14" t="n">
        <f aca="false">IF($L1050=2015,1,0)</f>
        <v>1</v>
      </c>
      <c r="AJ1050" s="14" t="n">
        <f aca="false">IF($L1050=2016,1,0)</f>
        <v>0</v>
      </c>
      <c r="AK1050" s="14" t="n">
        <f aca="false">IF($L1050=2017,1,0)</f>
        <v>0</v>
      </c>
      <c r="AL1050" s="14" t="n">
        <f aca="false">IF($H1050="Beginner Level",1,0)</f>
        <v>1</v>
      </c>
      <c r="AM1050" s="14" t="n">
        <f aca="false">IF($H1050="Expert Level",1,0)</f>
        <v>0</v>
      </c>
      <c r="AN1050" s="14" t="n">
        <f aca="false">IF($H1050="Intermediate Level",1,0)</f>
        <v>0</v>
      </c>
    </row>
    <row r="1051" customFormat="false" ht="68.65" hidden="false" customHeight="false" outlineLevel="0" collapsed="false">
      <c r="A1051" s="14" t="n">
        <v>947120</v>
      </c>
      <c r="B1051" s="14" t="s">
        <v>2143</v>
      </c>
      <c r="C1051" s="14" t="s">
        <v>2144</v>
      </c>
      <c r="D1051" s="14" t="n">
        <v>115</v>
      </c>
      <c r="E1051" s="14" t="n">
        <v>627</v>
      </c>
      <c r="F1051" s="14" t="n">
        <v>125</v>
      </c>
      <c r="G1051" s="14" t="n">
        <v>7</v>
      </c>
      <c r="H1051" s="14" t="s">
        <v>62</v>
      </c>
      <c r="I1051" s="14" t="n">
        <v>0.96</v>
      </c>
      <c r="J1051" s="14" t="n">
        <v>1</v>
      </c>
      <c r="K1051" s="14" t="s">
        <v>59</v>
      </c>
      <c r="L1051" s="14" t="n">
        <v>2016</v>
      </c>
      <c r="M1051" s="14" t="n">
        <v>6.44094654063292</v>
      </c>
      <c r="N1051" s="14" t="n">
        <v>4.74501908110449</v>
      </c>
      <c r="P1051" s="14" t="n">
        <f aca="false">D1051</f>
        <v>115</v>
      </c>
      <c r="Q1051" s="14" t="n">
        <f aca="false">G1051</f>
        <v>7</v>
      </c>
      <c r="R1051" s="14" t="n">
        <f aca="false">J1051</f>
        <v>1</v>
      </c>
      <c r="S1051" s="14" t="n">
        <f aca="false">IF($L1051=2012,1,0)</f>
        <v>0</v>
      </c>
      <c r="T1051" s="14" t="n">
        <f aca="false">IF($L1051=2013,1,0)</f>
        <v>0</v>
      </c>
      <c r="U1051" s="14" t="n">
        <f aca="false">IF($L1051=2014,1,0)</f>
        <v>0</v>
      </c>
      <c r="V1051" s="14" t="n">
        <f aca="false">IF($L1051=2015,1,0)</f>
        <v>0</v>
      </c>
      <c r="W1051" s="14" t="n">
        <f aca="false">IF($L1051=2016,1,0)</f>
        <v>1</v>
      </c>
      <c r="X1051" s="14" t="n">
        <f aca="false">IF($L1051=2017,1,0)</f>
        <v>0</v>
      </c>
      <c r="Y1051" s="14" t="n">
        <f aca="false">IF($H1051="Beginner Level",1,0)</f>
        <v>0</v>
      </c>
      <c r="Z1051" s="14" t="n">
        <f aca="false">IF($H1051="Expert Level",1,0)</f>
        <v>0</v>
      </c>
      <c r="AA1051" s="14" t="n">
        <f aca="false">IF($H1051="Intermediate Level",1,0)</f>
        <v>0</v>
      </c>
      <c r="AC1051" s="14" t="n">
        <f aca="false">N1051</f>
        <v>4.74501908110449</v>
      </c>
      <c r="AD1051" s="14" t="n">
        <f aca="false">G1051</f>
        <v>7</v>
      </c>
      <c r="AE1051" s="14" t="n">
        <f aca="false">J1051</f>
        <v>1</v>
      </c>
      <c r="AF1051" s="14" t="n">
        <f aca="false">IF($L1051=2012,1,0)</f>
        <v>0</v>
      </c>
      <c r="AG1051" s="14" t="n">
        <f aca="false">IF($L1051=2013,1,0)</f>
        <v>0</v>
      </c>
      <c r="AH1051" s="14" t="n">
        <f aca="false">IF($L1051=2014,1,0)</f>
        <v>0</v>
      </c>
      <c r="AI1051" s="14" t="n">
        <f aca="false">IF($L1051=2015,1,0)</f>
        <v>0</v>
      </c>
      <c r="AJ1051" s="14" t="n">
        <f aca="false">IF($L1051=2016,1,0)</f>
        <v>1</v>
      </c>
      <c r="AK1051" s="14" t="n">
        <f aca="false">IF($L1051=2017,1,0)</f>
        <v>0</v>
      </c>
      <c r="AL1051" s="14" t="n">
        <f aca="false">IF($H1051="Beginner Level",1,0)</f>
        <v>0</v>
      </c>
      <c r="AM1051" s="14" t="n">
        <f aca="false">IF($H1051="Expert Level",1,0)</f>
        <v>0</v>
      </c>
      <c r="AN1051" s="14" t="n">
        <f aca="false">IF($H1051="Intermediate Level",1,0)</f>
        <v>0</v>
      </c>
    </row>
    <row r="1052" customFormat="false" ht="79.85" hidden="false" customHeight="false" outlineLevel="0" collapsed="false">
      <c r="A1052" s="14" t="n">
        <v>684794</v>
      </c>
      <c r="B1052" s="14" t="s">
        <v>2145</v>
      </c>
      <c r="C1052" s="14" t="s">
        <v>2146</v>
      </c>
      <c r="D1052" s="14" t="n">
        <v>40</v>
      </c>
      <c r="E1052" s="14" t="n">
        <v>627</v>
      </c>
      <c r="F1052" s="14" t="n">
        <v>126</v>
      </c>
      <c r="G1052" s="14" t="n">
        <v>31</v>
      </c>
      <c r="H1052" s="14" t="s">
        <v>62</v>
      </c>
      <c r="I1052" s="14" t="n">
        <v>0</v>
      </c>
      <c r="J1052" s="14" t="n">
        <v>4.5</v>
      </c>
      <c r="K1052" s="14" t="s">
        <v>59</v>
      </c>
      <c r="L1052" s="14" t="n">
        <v>2015</v>
      </c>
      <c r="M1052" s="14" t="n">
        <v>6.44094654063292</v>
      </c>
      <c r="N1052" s="14" t="n">
        <v>3.68912942286914</v>
      </c>
      <c r="P1052" s="14" t="n">
        <f aca="false">D1052</f>
        <v>40</v>
      </c>
      <c r="Q1052" s="14" t="n">
        <f aca="false">G1052</f>
        <v>31</v>
      </c>
      <c r="R1052" s="14" t="n">
        <f aca="false">J1052</f>
        <v>4.5</v>
      </c>
      <c r="S1052" s="14" t="n">
        <f aca="false">IF($L1052=2012,1,0)</f>
        <v>0</v>
      </c>
      <c r="T1052" s="14" t="n">
        <f aca="false">IF($L1052=2013,1,0)</f>
        <v>0</v>
      </c>
      <c r="U1052" s="14" t="n">
        <f aca="false">IF($L1052=2014,1,0)</f>
        <v>0</v>
      </c>
      <c r="V1052" s="14" t="n">
        <f aca="false">IF($L1052=2015,1,0)</f>
        <v>1</v>
      </c>
      <c r="W1052" s="14" t="n">
        <f aca="false">IF($L1052=2016,1,0)</f>
        <v>0</v>
      </c>
      <c r="X1052" s="14" t="n">
        <f aca="false">IF($L1052=2017,1,0)</f>
        <v>0</v>
      </c>
      <c r="Y1052" s="14" t="n">
        <f aca="false">IF($H1052="Beginner Level",1,0)</f>
        <v>0</v>
      </c>
      <c r="Z1052" s="14" t="n">
        <f aca="false">IF($H1052="Expert Level",1,0)</f>
        <v>0</v>
      </c>
      <c r="AA1052" s="14" t="n">
        <f aca="false">IF($H1052="Intermediate Level",1,0)</f>
        <v>0</v>
      </c>
      <c r="AC1052" s="14" t="n">
        <f aca="false">N1052</f>
        <v>3.68912942286914</v>
      </c>
      <c r="AD1052" s="14" t="n">
        <f aca="false">G1052</f>
        <v>31</v>
      </c>
      <c r="AE1052" s="14" t="n">
        <f aca="false">J1052</f>
        <v>4.5</v>
      </c>
      <c r="AF1052" s="14" t="n">
        <f aca="false">IF($L1052=2012,1,0)</f>
        <v>0</v>
      </c>
      <c r="AG1052" s="14" t="n">
        <f aca="false">IF($L1052=2013,1,0)</f>
        <v>0</v>
      </c>
      <c r="AH1052" s="14" t="n">
        <f aca="false">IF($L1052=2014,1,0)</f>
        <v>0</v>
      </c>
      <c r="AI1052" s="14" t="n">
        <f aca="false">IF($L1052=2015,1,0)</f>
        <v>1</v>
      </c>
      <c r="AJ1052" s="14" t="n">
        <f aca="false">IF($L1052=2016,1,0)</f>
        <v>0</v>
      </c>
      <c r="AK1052" s="14" t="n">
        <f aca="false">IF($L1052=2017,1,0)</f>
        <v>0</v>
      </c>
      <c r="AL1052" s="14" t="n">
        <f aca="false">IF($H1052="Beginner Level",1,0)</f>
        <v>0</v>
      </c>
      <c r="AM1052" s="14" t="n">
        <f aca="false">IF($H1052="Expert Level",1,0)</f>
        <v>0</v>
      </c>
      <c r="AN1052" s="14" t="n">
        <f aca="false">IF($H1052="Intermediate Level",1,0)</f>
        <v>0</v>
      </c>
    </row>
    <row r="1053" customFormat="false" ht="46.25" hidden="false" customHeight="false" outlineLevel="0" collapsed="false">
      <c r="A1053" s="14" t="n">
        <v>442580</v>
      </c>
      <c r="B1053" s="14" t="s">
        <v>2147</v>
      </c>
      <c r="C1053" s="14" t="s">
        <v>2148</v>
      </c>
      <c r="D1053" s="14" t="n">
        <v>50</v>
      </c>
      <c r="E1053" s="14" t="n">
        <v>613</v>
      </c>
      <c r="F1053" s="14" t="n">
        <v>135</v>
      </c>
      <c r="G1053" s="14" t="n">
        <v>116</v>
      </c>
      <c r="H1053" s="14" t="s">
        <v>52</v>
      </c>
      <c r="I1053" s="14" t="n">
        <v>0.34</v>
      </c>
      <c r="J1053" s="14" t="n">
        <v>16</v>
      </c>
      <c r="K1053" s="14" t="s">
        <v>59</v>
      </c>
      <c r="L1053" s="14" t="n">
        <v>2015</v>
      </c>
      <c r="M1053" s="14" t="n">
        <v>6.41836493593621</v>
      </c>
      <c r="N1053" s="14" t="n">
        <v>3.91222298543081</v>
      </c>
      <c r="P1053" s="14" t="n">
        <f aca="false">D1053</f>
        <v>50</v>
      </c>
      <c r="Q1053" s="14" t="n">
        <f aca="false">G1053</f>
        <v>116</v>
      </c>
      <c r="R1053" s="14" t="n">
        <f aca="false">J1053</f>
        <v>16</v>
      </c>
      <c r="S1053" s="14" t="n">
        <f aca="false">IF($L1053=2012,1,0)</f>
        <v>0</v>
      </c>
      <c r="T1053" s="14" t="n">
        <f aca="false">IF($L1053=2013,1,0)</f>
        <v>0</v>
      </c>
      <c r="U1053" s="14" t="n">
        <f aca="false">IF($L1053=2014,1,0)</f>
        <v>0</v>
      </c>
      <c r="V1053" s="14" t="n">
        <f aca="false">IF($L1053=2015,1,0)</f>
        <v>1</v>
      </c>
      <c r="W1053" s="14" t="n">
        <f aca="false">IF($L1053=2016,1,0)</f>
        <v>0</v>
      </c>
      <c r="X1053" s="14" t="n">
        <f aca="false">IF($L1053=2017,1,0)</f>
        <v>0</v>
      </c>
      <c r="Y1053" s="14" t="n">
        <f aca="false">IF($H1053="Beginner Level",1,0)</f>
        <v>1</v>
      </c>
      <c r="Z1053" s="14" t="n">
        <f aca="false">IF($H1053="Expert Level",1,0)</f>
        <v>0</v>
      </c>
      <c r="AA1053" s="14" t="n">
        <f aca="false">IF($H1053="Intermediate Level",1,0)</f>
        <v>0</v>
      </c>
      <c r="AC1053" s="14" t="n">
        <f aca="false">N1053</f>
        <v>3.91222298543081</v>
      </c>
      <c r="AD1053" s="14" t="n">
        <f aca="false">G1053</f>
        <v>116</v>
      </c>
      <c r="AE1053" s="14" t="n">
        <f aca="false">J1053</f>
        <v>16</v>
      </c>
      <c r="AF1053" s="14" t="n">
        <f aca="false">IF($L1053=2012,1,0)</f>
        <v>0</v>
      </c>
      <c r="AG1053" s="14" t="n">
        <f aca="false">IF($L1053=2013,1,0)</f>
        <v>0</v>
      </c>
      <c r="AH1053" s="14" t="n">
        <f aca="false">IF($L1053=2014,1,0)</f>
        <v>0</v>
      </c>
      <c r="AI1053" s="14" t="n">
        <f aca="false">IF($L1053=2015,1,0)</f>
        <v>1</v>
      </c>
      <c r="AJ1053" s="14" t="n">
        <f aca="false">IF($L1053=2016,1,0)</f>
        <v>0</v>
      </c>
      <c r="AK1053" s="14" t="n">
        <f aca="false">IF($L1053=2017,1,0)</f>
        <v>0</v>
      </c>
      <c r="AL1053" s="14" t="n">
        <f aca="false">IF($H1053="Beginner Level",1,0)</f>
        <v>1</v>
      </c>
      <c r="AM1053" s="14" t="n">
        <f aca="false">IF($H1053="Expert Level",1,0)</f>
        <v>0</v>
      </c>
      <c r="AN1053" s="14" t="n">
        <f aca="false">IF($H1053="Intermediate Level",1,0)</f>
        <v>0</v>
      </c>
    </row>
    <row r="1054" customFormat="false" ht="57.45" hidden="false" customHeight="false" outlineLevel="0" collapsed="false">
      <c r="A1054" s="14" t="n">
        <v>986442</v>
      </c>
      <c r="B1054" s="14" t="s">
        <v>2149</v>
      </c>
      <c r="C1054" s="14" t="s">
        <v>2150</v>
      </c>
      <c r="D1054" s="14" t="n">
        <v>180</v>
      </c>
      <c r="E1054" s="14" t="n">
        <v>613</v>
      </c>
      <c r="F1054" s="14" t="n">
        <v>93</v>
      </c>
      <c r="G1054" s="14" t="n">
        <v>37</v>
      </c>
      <c r="H1054" s="14" t="s">
        <v>62</v>
      </c>
      <c r="I1054" s="14" t="n">
        <v>0.78</v>
      </c>
      <c r="J1054" s="14" t="n">
        <v>4.5</v>
      </c>
      <c r="K1054" s="14" t="s">
        <v>59</v>
      </c>
      <c r="L1054" s="14" t="n">
        <v>2016</v>
      </c>
      <c r="M1054" s="14" t="n">
        <v>6.41836493593621</v>
      </c>
      <c r="N1054" s="14" t="n">
        <v>5.19301240490261</v>
      </c>
      <c r="P1054" s="14" t="n">
        <f aca="false">D1054</f>
        <v>180</v>
      </c>
      <c r="Q1054" s="14" t="n">
        <f aca="false">G1054</f>
        <v>37</v>
      </c>
      <c r="R1054" s="14" t="n">
        <f aca="false">J1054</f>
        <v>4.5</v>
      </c>
      <c r="S1054" s="14" t="n">
        <f aca="false">IF($L1054=2012,1,0)</f>
        <v>0</v>
      </c>
      <c r="T1054" s="14" t="n">
        <f aca="false">IF($L1054=2013,1,0)</f>
        <v>0</v>
      </c>
      <c r="U1054" s="14" t="n">
        <f aca="false">IF($L1054=2014,1,0)</f>
        <v>0</v>
      </c>
      <c r="V1054" s="14" t="n">
        <f aca="false">IF($L1054=2015,1,0)</f>
        <v>0</v>
      </c>
      <c r="W1054" s="14" t="n">
        <f aca="false">IF($L1054=2016,1,0)</f>
        <v>1</v>
      </c>
      <c r="X1054" s="14" t="n">
        <f aca="false">IF($L1054=2017,1,0)</f>
        <v>0</v>
      </c>
      <c r="Y1054" s="14" t="n">
        <f aca="false">IF($H1054="Beginner Level",1,0)</f>
        <v>0</v>
      </c>
      <c r="Z1054" s="14" t="n">
        <f aca="false">IF($H1054="Expert Level",1,0)</f>
        <v>0</v>
      </c>
      <c r="AA1054" s="14" t="n">
        <f aca="false">IF($H1054="Intermediate Level",1,0)</f>
        <v>0</v>
      </c>
      <c r="AC1054" s="14" t="n">
        <f aca="false">N1054</f>
        <v>5.19301240490261</v>
      </c>
      <c r="AD1054" s="14" t="n">
        <f aca="false">G1054</f>
        <v>37</v>
      </c>
      <c r="AE1054" s="14" t="n">
        <f aca="false">J1054</f>
        <v>4.5</v>
      </c>
      <c r="AF1054" s="14" t="n">
        <f aca="false">IF($L1054=2012,1,0)</f>
        <v>0</v>
      </c>
      <c r="AG1054" s="14" t="n">
        <f aca="false">IF($L1054=2013,1,0)</f>
        <v>0</v>
      </c>
      <c r="AH1054" s="14" t="n">
        <f aca="false">IF($L1054=2014,1,0)</f>
        <v>0</v>
      </c>
      <c r="AI1054" s="14" t="n">
        <f aca="false">IF($L1054=2015,1,0)</f>
        <v>0</v>
      </c>
      <c r="AJ1054" s="14" t="n">
        <f aca="false">IF($L1054=2016,1,0)</f>
        <v>1</v>
      </c>
      <c r="AK1054" s="14" t="n">
        <f aca="false">IF($L1054=2017,1,0)</f>
        <v>0</v>
      </c>
      <c r="AL1054" s="14" t="n">
        <f aca="false">IF($H1054="Beginner Level",1,0)</f>
        <v>0</v>
      </c>
      <c r="AM1054" s="14" t="n">
        <f aca="false">IF($H1054="Expert Level",1,0)</f>
        <v>0</v>
      </c>
      <c r="AN1054" s="14" t="n">
        <f aca="false">IF($H1054="Intermediate Level",1,0)</f>
        <v>0</v>
      </c>
    </row>
    <row r="1055" customFormat="false" ht="57.45" hidden="false" customHeight="false" outlineLevel="0" collapsed="false">
      <c r="A1055" s="14" t="n">
        <v>352748</v>
      </c>
      <c r="B1055" s="14" t="s">
        <v>2151</v>
      </c>
      <c r="C1055" s="14" t="s">
        <v>2152</v>
      </c>
      <c r="D1055" s="14" t="n">
        <v>85</v>
      </c>
      <c r="E1055" s="14" t="n">
        <v>608</v>
      </c>
      <c r="F1055" s="14" t="n">
        <v>88</v>
      </c>
      <c r="G1055" s="14" t="n">
        <v>48</v>
      </c>
      <c r="H1055" s="14" t="s">
        <v>62</v>
      </c>
      <c r="I1055" s="14" t="n">
        <v>0.99</v>
      </c>
      <c r="J1055" s="14" t="n">
        <v>3.5</v>
      </c>
      <c r="K1055" s="14" t="s">
        <v>59</v>
      </c>
      <c r="L1055" s="14" t="n">
        <v>2014</v>
      </c>
      <c r="M1055" s="14" t="n">
        <v>6.41017488196617</v>
      </c>
      <c r="N1055" s="14" t="n">
        <v>4.44276889662927</v>
      </c>
      <c r="P1055" s="14" t="n">
        <f aca="false">D1055</f>
        <v>85</v>
      </c>
      <c r="Q1055" s="14" t="n">
        <f aca="false">G1055</f>
        <v>48</v>
      </c>
      <c r="R1055" s="14" t="n">
        <f aca="false">J1055</f>
        <v>3.5</v>
      </c>
      <c r="S1055" s="14" t="n">
        <f aca="false">IF($L1055=2012,1,0)</f>
        <v>0</v>
      </c>
      <c r="T1055" s="14" t="n">
        <f aca="false">IF($L1055=2013,1,0)</f>
        <v>0</v>
      </c>
      <c r="U1055" s="14" t="n">
        <f aca="false">IF($L1055=2014,1,0)</f>
        <v>1</v>
      </c>
      <c r="V1055" s="14" t="n">
        <f aca="false">IF($L1055=2015,1,0)</f>
        <v>0</v>
      </c>
      <c r="W1055" s="14" t="n">
        <f aca="false">IF($L1055=2016,1,0)</f>
        <v>0</v>
      </c>
      <c r="X1055" s="14" t="n">
        <f aca="false">IF($L1055=2017,1,0)</f>
        <v>0</v>
      </c>
      <c r="Y1055" s="14" t="n">
        <f aca="false">IF($H1055="Beginner Level",1,0)</f>
        <v>0</v>
      </c>
      <c r="Z1055" s="14" t="n">
        <f aca="false">IF($H1055="Expert Level",1,0)</f>
        <v>0</v>
      </c>
      <c r="AA1055" s="14" t="n">
        <f aca="false">IF($H1055="Intermediate Level",1,0)</f>
        <v>0</v>
      </c>
      <c r="AC1055" s="14" t="n">
        <f aca="false">N1055</f>
        <v>4.44276889662927</v>
      </c>
      <c r="AD1055" s="14" t="n">
        <f aca="false">G1055</f>
        <v>48</v>
      </c>
      <c r="AE1055" s="14" t="n">
        <f aca="false">J1055</f>
        <v>3.5</v>
      </c>
      <c r="AF1055" s="14" t="n">
        <f aca="false">IF($L1055=2012,1,0)</f>
        <v>0</v>
      </c>
      <c r="AG1055" s="14" t="n">
        <f aca="false">IF($L1055=2013,1,0)</f>
        <v>0</v>
      </c>
      <c r="AH1055" s="14" t="n">
        <f aca="false">IF($L1055=2014,1,0)</f>
        <v>1</v>
      </c>
      <c r="AI1055" s="14" t="n">
        <f aca="false">IF($L1055=2015,1,0)</f>
        <v>0</v>
      </c>
      <c r="AJ1055" s="14" t="n">
        <f aca="false">IF($L1055=2016,1,0)</f>
        <v>0</v>
      </c>
      <c r="AK1055" s="14" t="n">
        <f aca="false">IF($L1055=2017,1,0)</f>
        <v>0</v>
      </c>
      <c r="AL1055" s="14" t="n">
        <f aca="false">IF($H1055="Beginner Level",1,0)</f>
        <v>0</v>
      </c>
      <c r="AM1055" s="14" t="n">
        <f aca="false">IF($H1055="Expert Level",1,0)</f>
        <v>0</v>
      </c>
      <c r="AN1055" s="14" t="n">
        <f aca="false">IF($H1055="Intermediate Level",1,0)</f>
        <v>0</v>
      </c>
    </row>
    <row r="1056" customFormat="false" ht="57.45" hidden="false" customHeight="false" outlineLevel="0" collapsed="false">
      <c r="A1056" s="14" t="n">
        <v>496006</v>
      </c>
      <c r="B1056" s="14" t="s">
        <v>2153</v>
      </c>
      <c r="C1056" s="14" t="s">
        <v>2154</v>
      </c>
      <c r="D1056" s="14" t="n">
        <v>45</v>
      </c>
      <c r="E1056" s="14" t="n">
        <v>604</v>
      </c>
      <c r="F1056" s="14" t="n">
        <v>47</v>
      </c>
      <c r="G1056" s="14" t="n">
        <v>35</v>
      </c>
      <c r="H1056" s="14" t="s">
        <v>62</v>
      </c>
      <c r="I1056" s="14" t="n">
        <v>0.57</v>
      </c>
      <c r="J1056" s="14" t="n">
        <v>4</v>
      </c>
      <c r="K1056" s="14" t="s">
        <v>59</v>
      </c>
      <c r="L1056" s="14" t="n">
        <v>2015</v>
      </c>
      <c r="M1056" s="14" t="n">
        <v>6.40357419793482</v>
      </c>
      <c r="N1056" s="14" t="n">
        <v>3.80688468730484</v>
      </c>
      <c r="P1056" s="14" t="n">
        <f aca="false">D1056</f>
        <v>45</v>
      </c>
      <c r="Q1056" s="14" t="n">
        <f aca="false">G1056</f>
        <v>35</v>
      </c>
      <c r="R1056" s="14" t="n">
        <f aca="false">J1056</f>
        <v>4</v>
      </c>
      <c r="S1056" s="14" t="n">
        <f aca="false">IF($L1056=2012,1,0)</f>
        <v>0</v>
      </c>
      <c r="T1056" s="14" t="n">
        <f aca="false">IF($L1056=2013,1,0)</f>
        <v>0</v>
      </c>
      <c r="U1056" s="14" t="n">
        <f aca="false">IF($L1056=2014,1,0)</f>
        <v>0</v>
      </c>
      <c r="V1056" s="14" t="n">
        <f aca="false">IF($L1056=2015,1,0)</f>
        <v>1</v>
      </c>
      <c r="W1056" s="14" t="n">
        <f aca="false">IF($L1056=2016,1,0)</f>
        <v>0</v>
      </c>
      <c r="X1056" s="14" t="n">
        <f aca="false">IF($L1056=2017,1,0)</f>
        <v>0</v>
      </c>
      <c r="Y1056" s="14" t="n">
        <f aca="false">IF($H1056="Beginner Level",1,0)</f>
        <v>0</v>
      </c>
      <c r="Z1056" s="14" t="n">
        <f aca="false">IF($H1056="Expert Level",1,0)</f>
        <v>0</v>
      </c>
      <c r="AA1056" s="14" t="n">
        <f aca="false">IF($H1056="Intermediate Level",1,0)</f>
        <v>0</v>
      </c>
      <c r="AC1056" s="14" t="n">
        <f aca="false">N1056</f>
        <v>3.80688468730484</v>
      </c>
      <c r="AD1056" s="14" t="n">
        <f aca="false">G1056</f>
        <v>35</v>
      </c>
      <c r="AE1056" s="14" t="n">
        <f aca="false">J1056</f>
        <v>4</v>
      </c>
      <c r="AF1056" s="14" t="n">
        <f aca="false">IF($L1056=2012,1,0)</f>
        <v>0</v>
      </c>
      <c r="AG1056" s="14" t="n">
        <f aca="false">IF($L1056=2013,1,0)</f>
        <v>0</v>
      </c>
      <c r="AH1056" s="14" t="n">
        <f aca="false">IF($L1056=2014,1,0)</f>
        <v>0</v>
      </c>
      <c r="AI1056" s="14" t="n">
        <f aca="false">IF($L1056=2015,1,0)</f>
        <v>1</v>
      </c>
      <c r="AJ1056" s="14" t="n">
        <f aca="false">IF($L1056=2016,1,0)</f>
        <v>0</v>
      </c>
      <c r="AK1056" s="14" t="n">
        <f aca="false">IF($L1056=2017,1,0)</f>
        <v>0</v>
      </c>
      <c r="AL1056" s="14" t="n">
        <f aca="false">IF($H1056="Beginner Level",1,0)</f>
        <v>0</v>
      </c>
      <c r="AM1056" s="14" t="n">
        <f aca="false">IF($H1056="Expert Level",1,0)</f>
        <v>0</v>
      </c>
      <c r="AN1056" s="14" t="n">
        <f aca="false">IF($H1056="Intermediate Level",1,0)</f>
        <v>0</v>
      </c>
    </row>
    <row r="1057" customFormat="false" ht="79.85" hidden="false" customHeight="false" outlineLevel="0" collapsed="false">
      <c r="A1057" s="14" t="n">
        <v>1127048</v>
      </c>
      <c r="B1057" s="14" t="s">
        <v>2155</v>
      </c>
      <c r="C1057" s="14" t="s">
        <v>2156</v>
      </c>
      <c r="D1057" s="14" t="n">
        <v>20</v>
      </c>
      <c r="E1057" s="14" t="n">
        <v>604</v>
      </c>
      <c r="F1057" s="14" t="n">
        <v>8</v>
      </c>
      <c r="G1057" s="14" t="n">
        <v>43</v>
      </c>
      <c r="H1057" s="14" t="s">
        <v>52</v>
      </c>
      <c r="I1057" s="14" t="n">
        <v>0.67</v>
      </c>
      <c r="J1057" s="14" t="n">
        <v>3.5</v>
      </c>
      <c r="K1057" s="14" t="s">
        <v>59</v>
      </c>
      <c r="L1057" s="14" t="n">
        <v>2017</v>
      </c>
      <c r="M1057" s="14" t="n">
        <v>6.40357419793482</v>
      </c>
      <c r="N1057" s="14" t="n">
        <v>2.99623214859564</v>
      </c>
      <c r="P1057" s="14" t="n">
        <f aca="false">D1057</f>
        <v>20</v>
      </c>
      <c r="Q1057" s="14" t="n">
        <f aca="false">G1057</f>
        <v>43</v>
      </c>
      <c r="R1057" s="14" t="n">
        <f aca="false">J1057</f>
        <v>3.5</v>
      </c>
      <c r="S1057" s="14" t="n">
        <f aca="false">IF($L1057=2012,1,0)</f>
        <v>0</v>
      </c>
      <c r="T1057" s="14" t="n">
        <f aca="false">IF($L1057=2013,1,0)</f>
        <v>0</v>
      </c>
      <c r="U1057" s="14" t="n">
        <f aca="false">IF($L1057=2014,1,0)</f>
        <v>0</v>
      </c>
      <c r="V1057" s="14" t="n">
        <f aca="false">IF($L1057=2015,1,0)</f>
        <v>0</v>
      </c>
      <c r="W1057" s="14" t="n">
        <f aca="false">IF($L1057=2016,1,0)</f>
        <v>0</v>
      </c>
      <c r="X1057" s="14" t="n">
        <f aca="false">IF($L1057=2017,1,0)</f>
        <v>1</v>
      </c>
      <c r="Y1057" s="14" t="n">
        <f aca="false">IF($H1057="Beginner Level",1,0)</f>
        <v>1</v>
      </c>
      <c r="Z1057" s="14" t="n">
        <f aca="false">IF($H1057="Expert Level",1,0)</f>
        <v>0</v>
      </c>
      <c r="AA1057" s="14" t="n">
        <f aca="false">IF($H1057="Intermediate Level",1,0)</f>
        <v>0</v>
      </c>
      <c r="AC1057" s="14" t="n">
        <f aca="false">N1057</f>
        <v>2.99623214859564</v>
      </c>
      <c r="AD1057" s="14" t="n">
        <f aca="false">G1057</f>
        <v>43</v>
      </c>
      <c r="AE1057" s="14" t="n">
        <f aca="false">J1057</f>
        <v>3.5</v>
      </c>
      <c r="AF1057" s="14" t="n">
        <f aca="false">IF($L1057=2012,1,0)</f>
        <v>0</v>
      </c>
      <c r="AG1057" s="14" t="n">
        <f aca="false">IF($L1057=2013,1,0)</f>
        <v>0</v>
      </c>
      <c r="AH1057" s="14" t="n">
        <f aca="false">IF($L1057=2014,1,0)</f>
        <v>0</v>
      </c>
      <c r="AI1057" s="14" t="n">
        <f aca="false">IF($L1057=2015,1,0)</f>
        <v>0</v>
      </c>
      <c r="AJ1057" s="14" t="n">
        <f aca="false">IF($L1057=2016,1,0)</f>
        <v>0</v>
      </c>
      <c r="AK1057" s="14" t="n">
        <f aca="false">IF($L1057=2017,1,0)</f>
        <v>1</v>
      </c>
      <c r="AL1057" s="14" t="n">
        <f aca="false">IF($H1057="Beginner Level",1,0)</f>
        <v>1</v>
      </c>
      <c r="AM1057" s="14" t="n">
        <f aca="false">IF($H1057="Expert Level",1,0)</f>
        <v>0</v>
      </c>
      <c r="AN1057" s="14" t="n">
        <f aca="false">IF($H1057="Intermediate Level",1,0)</f>
        <v>0</v>
      </c>
    </row>
    <row r="1058" customFormat="false" ht="57.45" hidden="false" customHeight="false" outlineLevel="0" collapsed="false">
      <c r="A1058" s="14" t="n">
        <v>1047968</v>
      </c>
      <c r="B1058" s="14" t="s">
        <v>2157</v>
      </c>
      <c r="C1058" s="14" t="s">
        <v>2158</v>
      </c>
      <c r="D1058" s="14" t="n">
        <v>145</v>
      </c>
      <c r="E1058" s="14" t="n">
        <v>602</v>
      </c>
      <c r="F1058" s="14" t="n">
        <v>93</v>
      </c>
      <c r="G1058" s="14" t="n">
        <v>214</v>
      </c>
      <c r="H1058" s="14" t="s">
        <v>52</v>
      </c>
      <c r="I1058" s="14" t="n">
        <v>0.34</v>
      </c>
      <c r="J1058" s="14" t="n">
        <v>15.5</v>
      </c>
      <c r="K1058" s="14" t="s">
        <v>59</v>
      </c>
      <c r="L1058" s="14" t="n">
        <v>2016</v>
      </c>
      <c r="M1058" s="14" t="n">
        <v>6.40025744530882</v>
      </c>
      <c r="N1058" s="14" t="n">
        <v>4.9768027055598</v>
      </c>
      <c r="P1058" s="14" t="n">
        <f aca="false">D1058</f>
        <v>145</v>
      </c>
      <c r="Q1058" s="14" t="n">
        <f aca="false">G1058</f>
        <v>214</v>
      </c>
      <c r="R1058" s="14" t="n">
        <f aca="false">J1058</f>
        <v>15.5</v>
      </c>
      <c r="S1058" s="14" t="n">
        <f aca="false">IF($L1058=2012,1,0)</f>
        <v>0</v>
      </c>
      <c r="T1058" s="14" t="n">
        <f aca="false">IF($L1058=2013,1,0)</f>
        <v>0</v>
      </c>
      <c r="U1058" s="14" t="n">
        <f aca="false">IF($L1058=2014,1,0)</f>
        <v>0</v>
      </c>
      <c r="V1058" s="14" t="n">
        <f aca="false">IF($L1058=2015,1,0)</f>
        <v>0</v>
      </c>
      <c r="W1058" s="14" t="n">
        <f aca="false">IF($L1058=2016,1,0)</f>
        <v>1</v>
      </c>
      <c r="X1058" s="14" t="n">
        <f aca="false">IF($L1058=2017,1,0)</f>
        <v>0</v>
      </c>
      <c r="Y1058" s="14" t="n">
        <f aca="false">IF($H1058="Beginner Level",1,0)</f>
        <v>1</v>
      </c>
      <c r="Z1058" s="14" t="n">
        <f aca="false">IF($H1058="Expert Level",1,0)</f>
        <v>0</v>
      </c>
      <c r="AA1058" s="14" t="n">
        <f aca="false">IF($H1058="Intermediate Level",1,0)</f>
        <v>0</v>
      </c>
      <c r="AC1058" s="14" t="n">
        <f aca="false">N1058</f>
        <v>4.9768027055598</v>
      </c>
      <c r="AD1058" s="14" t="n">
        <f aca="false">G1058</f>
        <v>214</v>
      </c>
      <c r="AE1058" s="14" t="n">
        <f aca="false">J1058</f>
        <v>15.5</v>
      </c>
      <c r="AF1058" s="14" t="n">
        <f aca="false">IF($L1058=2012,1,0)</f>
        <v>0</v>
      </c>
      <c r="AG1058" s="14" t="n">
        <f aca="false">IF($L1058=2013,1,0)</f>
        <v>0</v>
      </c>
      <c r="AH1058" s="14" t="n">
        <f aca="false">IF($L1058=2014,1,0)</f>
        <v>0</v>
      </c>
      <c r="AI1058" s="14" t="n">
        <f aca="false">IF($L1058=2015,1,0)</f>
        <v>0</v>
      </c>
      <c r="AJ1058" s="14" t="n">
        <f aca="false">IF($L1058=2016,1,0)</f>
        <v>1</v>
      </c>
      <c r="AK1058" s="14" t="n">
        <f aca="false">IF($L1058=2017,1,0)</f>
        <v>0</v>
      </c>
      <c r="AL1058" s="14" t="n">
        <f aca="false">IF($H1058="Beginner Level",1,0)</f>
        <v>1</v>
      </c>
      <c r="AM1058" s="14" t="n">
        <f aca="false">IF($H1058="Expert Level",1,0)</f>
        <v>0</v>
      </c>
      <c r="AN1058" s="14" t="n">
        <f aca="false">IF($H1058="Intermediate Level",1,0)</f>
        <v>0</v>
      </c>
    </row>
    <row r="1059" customFormat="false" ht="57.45" hidden="false" customHeight="false" outlineLevel="0" collapsed="false">
      <c r="A1059" s="14" t="n">
        <v>859446</v>
      </c>
      <c r="B1059" s="14" t="s">
        <v>2159</v>
      </c>
      <c r="C1059" s="14" t="s">
        <v>2160</v>
      </c>
      <c r="D1059" s="14" t="n">
        <v>35</v>
      </c>
      <c r="E1059" s="14" t="n">
        <v>601</v>
      </c>
      <c r="F1059" s="14" t="n">
        <v>126</v>
      </c>
      <c r="G1059" s="14" t="n">
        <v>64</v>
      </c>
      <c r="H1059" s="14" t="s">
        <v>62</v>
      </c>
      <c r="I1059" s="14" t="n">
        <v>0.58</v>
      </c>
      <c r="J1059" s="14" t="n">
        <v>5.5</v>
      </c>
      <c r="K1059" s="14" t="s">
        <v>59</v>
      </c>
      <c r="L1059" s="14" t="n">
        <v>2016</v>
      </c>
      <c r="M1059" s="14" t="n">
        <v>6.39859493453521</v>
      </c>
      <c r="N1059" s="14" t="n">
        <v>3.55563373496657</v>
      </c>
      <c r="P1059" s="14" t="n">
        <f aca="false">D1059</f>
        <v>35</v>
      </c>
      <c r="Q1059" s="14" t="n">
        <f aca="false">G1059</f>
        <v>64</v>
      </c>
      <c r="R1059" s="14" t="n">
        <f aca="false">J1059</f>
        <v>5.5</v>
      </c>
      <c r="S1059" s="14" t="n">
        <f aca="false">IF($L1059=2012,1,0)</f>
        <v>0</v>
      </c>
      <c r="T1059" s="14" t="n">
        <f aca="false">IF($L1059=2013,1,0)</f>
        <v>0</v>
      </c>
      <c r="U1059" s="14" t="n">
        <f aca="false">IF($L1059=2014,1,0)</f>
        <v>0</v>
      </c>
      <c r="V1059" s="14" t="n">
        <f aca="false">IF($L1059=2015,1,0)</f>
        <v>0</v>
      </c>
      <c r="W1059" s="14" t="n">
        <f aca="false">IF($L1059=2016,1,0)</f>
        <v>1</v>
      </c>
      <c r="X1059" s="14" t="n">
        <f aca="false">IF($L1059=2017,1,0)</f>
        <v>0</v>
      </c>
      <c r="Y1059" s="14" t="n">
        <f aca="false">IF($H1059="Beginner Level",1,0)</f>
        <v>0</v>
      </c>
      <c r="Z1059" s="14" t="n">
        <f aca="false">IF($H1059="Expert Level",1,0)</f>
        <v>0</v>
      </c>
      <c r="AA1059" s="14" t="n">
        <f aca="false">IF($H1059="Intermediate Level",1,0)</f>
        <v>0</v>
      </c>
      <c r="AC1059" s="14" t="n">
        <f aca="false">N1059</f>
        <v>3.55563373496657</v>
      </c>
      <c r="AD1059" s="14" t="n">
        <f aca="false">G1059</f>
        <v>64</v>
      </c>
      <c r="AE1059" s="14" t="n">
        <f aca="false">J1059</f>
        <v>5.5</v>
      </c>
      <c r="AF1059" s="14" t="n">
        <f aca="false">IF($L1059=2012,1,0)</f>
        <v>0</v>
      </c>
      <c r="AG1059" s="14" t="n">
        <f aca="false">IF($L1059=2013,1,0)</f>
        <v>0</v>
      </c>
      <c r="AH1059" s="14" t="n">
        <f aca="false">IF($L1059=2014,1,0)</f>
        <v>0</v>
      </c>
      <c r="AI1059" s="14" t="n">
        <f aca="false">IF($L1059=2015,1,0)</f>
        <v>0</v>
      </c>
      <c r="AJ1059" s="14" t="n">
        <f aca="false">IF($L1059=2016,1,0)</f>
        <v>1</v>
      </c>
      <c r="AK1059" s="14" t="n">
        <f aca="false">IF($L1059=2017,1,0)</f>
        <v>0</v>
      </c>
      <c r="AL1059" s="14" t="n">
        <f aca="false">IF($H1059="Beginner Level",1,0)</f>
        <v>0</v>
      </c>
      <c r="AM1059" s="14" t="n">
        <f aca="false">IF($H1059="Expert Level",1,0)</f>
        <v>0</v>
      </c>
      <c r="AN1059" s="14" t="n">
        <f aca="false">IF($H1059="Intermediate Level",1,0)</f>
        <v>0</v>
      </c>
    </row>
    <row r="1060" customFormat="false" ht="68.65" hidden="false" customHeight="false" outlineLevel="0" collapsed="false">
      <c r="A1060" s="14" t="n">
        <v>1016650</v>
      </c>
      <c r="B1060" s="14" t="s">
        <v>2161</v>
      </c>
      <c r="C1060" s="14" t="s">
        <v>2162</v>
      </c>
      <c r="D1060" s="14" t="n">
        <v>40</v>
      </c>
      <c r="E1060" s="14" t="n">
        <v>601</v>
      </c>
      <c r="F1060" s="14" t="n">
        <v>4</v>
      </c>
      <c r="G1060" s="14" t="n">
        <v>6</v>
      </c>
      <c r="H1060" s="14" t="s">
        <v>71</v>
      </c>
      <c r="I1060" s="14" t="n">
        <v>0.87</v>
      </c>
      <c r="J1060" s="14" t="n">
        <v>0.58333333</v>
      </c>
      <c r="K1060" s="14" t="s">
        <v>59</v>
      </c>
      <c r="L1060" s="14" t="n">
        <v>2016</v>
      </c>
      <c r="M1060" s="14" t="n">
        <v>6.39859493453521</v>
      </c>
      <c r="N1060" s="14" t="n">
        <v>3.68912942286914</v>
      </c>
      <c r="P1060" s="14" t="n">
        <f aca="false">D1060</f>
        <v>40</v>
      </c>
      <c r="Q1060" s="14" t="n">
        <f aca="false">G1060</f>
        <v>6</v>
      </c>
      <c r="R1060" s="14" t="n">
        <f aca="false">J1060</f>
        <v>0.58333333</v>
      </c>
      <c r="S1060" s="14" t="n">
        <f aca="false">IF($L1060=2012,1,0)</f>
        <v>0</v>
      </c>
      <c r="T1060" s="14" t="n">
        <f aca="false">IF($L1060=2013,1,0)</f>
        <v>0</v>
      </c>
      <c r="U1060" s="14" t="n">
        <f aca="false">IF($L1060=2014,1,0)</f>
        <v>0</v>
      </c>
      <c r="V1060" s="14" t="n">
        <f aca="false">IF($L1060=2015,1,0)</f>
        <v>0</v>
      </c>
      <c r="W1060" s="14" t="n">
        <f aca="false">IF($L1060=2016,1,0)</f>
        <v>1</v>
      </c>
      <c r="X1060" s="14" t="n">
        <f aca="false">IF($L1060=2017,1,0)</f>
        <v>0</v>
      </c>
      <c r="Y1060" s="14" t="n">
        <f aca="false">IF($H1060="Beginner Level",1,0)</f>
        <v>0</v>
      </c>
      <c r="Z1060" s="14" t="n">
        <f aca="false">IF($H1060="Expert Level",1,0)</f>
        <v>0</v>
      </c>
      <c r="AA1060" s="14" t="n">
        <f aca="false">IF($H1060="Intermediate Level",1,0)</f>
        <v>1</v>
      </c>
      <c r="AC1060" s="14" t="n">
        <f aca="false">N1060</f>
        <v>3.68912942286914</v>
      </c>
      <c r="AD1060" s="14" t="n">
        <f aca="false">G1060</f>
        <v>6</v>
      </c>
      <c r="AE1060" s="14" t="n">
        <f aca="false">J1060</f>
        <v>0.58333333</v>
      </c>
      <c r="AF1060" s="14" t="n">
        <f aca="false">IF($L1060=2012,1,0)</f>
        <v>0</v>
      </c>
      <c r="AG1060" s="14" t="n">
        <f aca="false">IF($L1060=2013,1,0)</f>
        <v>0</v>
      </c>
      <c r="AH1060" s="14" t="n">
        <f aca="false">IF($L1060=2014,1,0)</f>
        <v>0</v>
      </c>
      <c r="AI1060" s="14" t="n">
        <f aca="false">IF($L1060=2015,1,0)</f>
        <v>0</v>
      </c>
      <c r="AJ1060" s="14" t="n">
        <f aca="false">IF($L1060=2016,1,0)</f>
        <v>1</v>
      </c>
      <c r="AK1060" s="14" t="n">
        <f aca="false">IF($L1060=2017,1,0)</f>
        <v>0</v>
      </c>
      <c r="AL1060" s="14" t="n">
        <f aca="false">IF($H1060="Beginner Level",1,0)</f>
        <v>0</v>
      </c>
      <c r="AM1060" s="14" t="n">
        <f aca="false">IF($H1060="Expert Level",1,0)</f>
        <v>0</v>
      </c>
      <c r="AN1060" s="14" t="n">
        <f aca="false">IF($H1060="Intermediate Level",1,0)</f>
        <v>1</v>
      </c>
    </row>
    <row r="1061" customFormat="false" ht="57.45" hidden="false" customHeight="false" outlineLevel="0" collapsed="false">
      <c r="A1061" s="14" t="n">
        <v>1142202</v>
      </c>
      <c r="B1061" s="14" t="s">
        <v>2163</v>
      </c>
      <c r="C1061" s="14" t="s">
        <v>2164</v>
      </c>
      <c r="D1061" s="14" t="n">
        <v>195</v>
      </c>
      <c r="E1061" s="14" t="n">
        <v>596</v>
      </c>
      <c r="F1061" s="14" t="n">
        <v>32</v>
      </c>
      <c r="G1061" s="14" t="n">
        <v>84</v>
      </c>
      <c r="H1061" s="14" t="s">
        <v>52</v>
      </c>
      <c r="I1061" s="14" t="n">
        <v>0.52</v>
      </c>
      <c r="J1061" s="14" t="n">
        <v>8</v>
      </c>
      <c r="K1061" s="14" t="s">
        <v>59</v>
      </c>
      <c r="L1061" s="14" t="n">
        <v>2017</v>
      </c>
      <c r="M1061" s="14" t="n">
        <v>6.39024066706535</v>
      </c>
      <c r="N1061" s="14" t="n">
        <v>5.27305083930015</v>
      </c>
      <c r="P1061" s="14" t="n">
        <f aca="false">D1061</f>
        <v>195</v>
      </c>
      <c r="Q1061" s="14" t="n">
        <f aca="false">G1061</f>
        <v>84</v>
      </c>
      <c r="R1061" s="14" t="n">
        <f aca="false">J1061</f>
        <v>8</v>
      </c>
      <c r="S1061" s="14" t="n">
        <f aca="false">IF($L1061=2012,1,0)</f>
        <v>0</v>
      </c>
      <c r="T1061" s="14" t="n">
        <f aca="false">IF($L1061=2013,1,0)</f>
        <v>0</v>
      </c>
      <c r="U1061" s="14" t="n">
        <f aca="false">IF($L1061=2014,1,0)</f>
        <v>0</v>
      </c>
      <c r="V1061" s="14" t="n">
        <f aca="false">IF($L1061=2015,1,0)</f>
        <v>0</v>
      </c>
      <c r="W1061" s="14" t="n">
        <f aca="false">IF($L1061=2016,1,0)</f>
        <v>0</v>
      </c>
      <c r="X1061" s="14" t="n">
        <f aca="false">IF($L1061=2017,1,0)</f>
        <v>1</v>
      </c>
      <c r="Y1061" s="14" t="n">
        <f aca="false">IF($H1061="Beginner Level",1,0)</f>
        <v>1</v>
      </c>
      <c r="Z1061" s="14" t="n">
        <f aca="false">IF($H1061="Expert Level",1,0)</f>
        <v>0</v>
      </c>
      <c r="AA1061" s="14" t="n">
        <f aca="false">IF($H1061="Intermediate Level",1,0)</f>
        <v>0</v>
      </c>
      <c r="AC1061" s="14" t="n">
        <f aca="false">N1061</f>
        <v>5.27305083930015</v>
      </c>
      <c r="AD1061" s="14" t="n">
        <f aca="false">G1061</f>
        <v>84</v>
      </c>
      <c r="AE1061" s="14" t="n">
        <f aca="false">J1061</f>
        <v>8</v>
      </c>
      <c r="AF1061" s="14" t="n">
        <f aca="false">IF($L1061=2012,1,0)</f>
        <v>0</v>
      </c>
      <c r="AG1061" s="14" t="n">
        <f aca="false">IF($L1061=2013,1,0)</f>
        <v>0</v>
      </c>
      <c r="AH1061" s="14" t="n">
        <f aca="false">IF($L1061=2014,1,0)</f>
        <v>0</v>
      </c>
      <c r="AI1061" s="14" t="n">
        <f aca="false">IF($L1061=2015,1,0)</f>
        <v>0</v>
      </c>
      <c r="AJ1061" s="14" t="n">
        <f aca="false">IF($L1061=2016,1,0)</f>
        <v>0</v>
      </c>
      <c r="AK1061" s="14" t="n">
        <f aca="false">IF($L1061=2017,1,0)</f>
        <v>1</v>
      </c>
      <c r="AL1061" s="14" t="n">
        <f aca="false">IF($H1061="Beginner Level",1,0)</f>
        <v>1</v>
      </c>
      <c r="AM1061" s="14" t="n">
        <f aca="false">IF($H1061="Expert Level",1,0)</f>
        <v>0</v>
      </c>
      <c r="AN1061" s="14" t="n">
        <f aca="false">IF($H1061="Intermediate Level",1,0)</f>
        <v>0</v>
      </c>
    </row>
    <row r="1062" customFormat="false" ht="91" hidden="false" customHeight="false" outlineLevel="0" collapsed="false">
      <c r="A1062" s="14" t="n">
        <v>665686</v>
      </c>
      <c r="B1062" s="14" t="s">
        <v>2165</v>
      </c>
      <c r="C1062" s="14" t="s">
        <v>2166</v>
      </c>
      <c r="D1062" s="14" t="n">
        <v>50</v>
      </c>
      <c r="E1062" s="14" t="n">
        <v>586</v>
      </c>
      <c r="F1062" s="14" t="n">
        <v>10</v>
      </c>
      <c r="G1062" s="14" t="n">
        <v>17</v>
      </c>
      <c r="H1062" s="14" t="s">
        <v>62</v>
      </c>
      <c r="I1062" s="14" t="n">
        <v>0.2</v>
      </c>
      <c r="J1062" s="14" t="n">
        <v>0.63333333</v>
      </c>
      <c r="K1062" s="14" t="s">
        <v>59</v>
      </c>
      <c r="L1062" s="14" t="n">
        <v>2015</v>
      </c>
      <c r="M1062" s="14" t="n">
        <v>6.37331978957701</v>
      </c>
      <c r="N1062" s="14" t="n">
        <v>3.91222298543081</v>
      </c>
      <c r="P1062" s="14" t="n">
        <f aca="false">D1062</f>
        <v>50</v>
      </c>
      <c r="Q1062" s="14" t="n">
        <f aca="false">G1062</f>
        <v>17</v>
      </c>
      <c r="R1062" s="14" t="n">
        <f aca="false">J1062</f>
        <v>0.63333333</v>
      </c>
      <c r="S1062" s="14" t="n">
        <f aca="false">IF($L1062=2012,1,0)</f>
        <v>0</v>
      </c>
      <c r="T1062" s="14" t="n">
        <f aca="false">IF($L1062=2013,1,0)</f>
        <v>0</v>
      </c>
      <c r="U1062" s="14" t="n">
        <f aca="false">IF($L1062=2014,1,0)</f>
        <v>0</v>
      </c>
      <c r="V1062" s="14" t="n">
        <f aca="false">IF($L1062=2015,1,0)</f>
        <v>1</v>
      </c>
      <c r="W1062" s="14" t="n">
        <f aca="false">IF($L1062=2016,1,0)</f>
        <v>0</v>
      </c>
      <c r="X1062" s="14" t="n">
        <f aca="false">IF($L1062=2017,1,0)</f>
        <v>0</v>
      </c>
      <c r="Y1062" s="14" t="n">
        <f aca="false">IF($H1062="Beginner Level",1,0)</f>
        <v>0</v>
      </c>
      <c r="Z1062" s="14" t="n">
        <f aca="false">IF($H1062="Expert Level",1,0)</f>
        <v>0</v>
      </c>
      <c r="AA1062" s="14" t="n">
        <f aca="false">IF($H1062="Intermediate Level",1,0)</f>
        <v>0</v>
      </c>
      <c r="AC1062" s="14" t="n">
        <f aca="false">N1062</f>
        <v>3.91222298543081</v>
      </c>
      <c r="AD1062" s="14" t="n">
        <f aca="false">G1062</f>
        <v>17</v>
      </c>
      <c r="AE1062" s="14" t="n">
        <f aca="false">J1062</f>
        <v>0.63333333</v>
      </c>
      <c r="AF1062" s="14" t="n">
        <f aca="false">IF($L1062=2012,1,0)</f>
        <v>0</v>
      </c>
      <c r="AG1062" s="14" t="n">
        <f aca="false">IF($L1062=2013,1,0)</f>
        <v>0</v>
      </c>
      <c r="AH1062" s="14" t="n">
        <f aca="false">IF($L1062=2014,1,0)</f>
        <v>0</v>
      </c>
      <c r="AI1062" s="14" t="n">
        <f aca="false">IF($L1062=2015,1,0)</f>
        <v>1</v>
      </c>
      <c r="AJ1062" s="14" t="n">
        <f aca="false">IF($L1062=2016,1,0)</f>
        <v>0</v>
      </c>
      <c r="AK1062" s="14" t="n">
        <f aca="false">IF($L1062=2017,1,0)</f>
        <v>0</v>
      </c>
      <c r="AL1062" s="14" t="n">
        <f aca="false">IF($H1062="Beginner Level",1,0)</f>
        <v>0</v>
      </c>
      <c r="AM1062" s="14" t="n">
        <f aca="false">IF($H1062="Expert Level",1,0)</f>
        <v>0</v>
      </c>
      <c r="AN1062" s="14" t="n">
        <f aca="false">IF($H1062="Intermediate Level",1,0)</f>
        <v>0</v>
      </c>
    </row>
    <row r="1063" customFormat="false" ht="91" hidden="false" customHeight="false" outlineLevel="0" collapsed="false">
      <c r="A1063" s="14" t="n">
        <v>425084</v>
      </c>
      <c r="B1063" s="14" t="s">
        <v>2167</v>
      </c>
      <c r="C1063" s="14" t="s">
        <v>2168</v>
      </c>
      <c r="D1063" s="14" t="n">
        <v>60</v>
      </c>
      <c r="E1063" s="14" t="n">
        <v>586</v>
      </c>
      <c r="F1063" s="14" t="n">
        <v>65</v>
      </c>
      <c r="G1063" s="14" t="n">
        <v>98</v>
      </c>
      <c r="H1063" s="14" t="s">
        <v>62</v>
      </c>
      <c r="I1063" s="14" t="n">
        <v>0.3</v>
      </c>
      <c r="J1063" s="14" t="n">
        <v>5.5</v>
      </c>
      <c r="K1063" s="14" t="s">
        <v>59</v>
      </c>
      <c r="L1063" s="14" t="n">
        <v>2015</v>
      </c>
      <c r="M1063" s="14" t="n">
        <v>6.37331978957701</v>
      </c>
      <c r="N1063" s="14" t="n">
        <v>4.09451121500142</v>
      </c>
      <c r="P1063" s="14" t="n">
        <f aca="false">D1063</f>
        <v>60</v>
      </c>
      <c r="Q1063" s="14" t="n">
        <f aca="false">G1063</f>
        <v>98</v>
      </c>
      <c r="R1063" s="14" t="n">
        <f aca="false">J1063</f>
        <v>5.5</v>
      </c>
      <c r="S1063" s="14" t="n">
        <f aca="false">IF($L1063=2012,1,0)</f>
        <v>0</v>
      </c>
      <c r="T1063" s="14" t="n">
        <f aca="false">IF($L1063=2013,1,0)</f>
        <v>0</v>
      </c>
      <c r="U1063" s="14" t="n">
        <f aca="false">IF($L1063=2014,1,0)</f>
        <v>0</v>
      </c>
      <c r="V1063" s="14" t="n">
        <f aca="false">IF($L1063=2015,1,0)</f>
        <v>1</v>
      </c>
      <c r="W1063" s="14" t="n">
        <f aca="false">IF($L1063=2016,1,0)</f>
        <v>0</v>
      </c>
      <c r="X1063" s="14" t="n">
        <f aca="false">IF($L1063=2017,1,0)</f>
        <v>0</v>
      </c>
      <c r="Y1063" s="14" t="n">
        <f aca="false">IF($H1063="Beginner Level",1,0)</f>
        <v>0</v>
      </c>
      <c r="Z1063" s="14" t="n">
        <f aca="false">IF($H1063="Expert Level",1,0)</f>
        <v>0</v>
      </c>
      <c r="AA1063" s="14" t="n">
        <f aca="false">IF($H1063="Intermediate Level",1,0)</f>
        <v>0</v>
      </c>
      <c r="AC1063" s="14" t="n">
        <f aca="false">N1063</f>
        <v>4.09451121500142</v>
      </c>
      <c r="AD1063" s="14" t="n">
        <f aca="false">G1063</f>
        <v>98</v>
      </c>
      <c r="AE1063" s="14" t="n">
        <f aca="false">J1063</f>
        <v>5.5</v>
      </c>
      <c r="AF1063" s="14" t="n">
        <f aca="false">IF($L1063=2012,1,0)</f>
        <v>0</v>
      </c>
      <c r="AG1063" s="14" t="n">
        <f aca="false">IF($L1063=2013,1,0)</f>
        <v>0</v>
      </c>
      <c r="AH1063" s="14" t="n">
        <f aca="false">IF($L1063=2014,1,0)</f>
        <v>0</v>
      </c>
      <c r="AI1063" s="14" t="n">
        <f aca="false">IF($L1063=2015,1,0)</f>
        <v>1</v>
      </c>
      <c r="AJ1063" s="14" t="n">
        <f aca="false">IF($L1063=2016,1,0)</f>
        <v>0</v>
      </c>
      <c r="AK1063" s="14" t="n">
        <f aca="false">IF($L1063=2017,1,0)</f>
        <v>0</v>
      </c>
      <c r="AL1063" s="14" t="n">
        <f aca="false">IF($H1063="Beginner Level",1,0)</f>
        <v>0</v>
      </c>
      <c r="AM1063" s="14" t="n">
        <f aca="false">IF($H1063="Expert Level",1,0)</f>
        <v>0</v>
      </c>
      <c r="AN1063" s="14" t="n">
        <f aca="false">IF($H1063="Intermediate Level",1,0)</f>
        <v>0</v>
      </c>
    </row>
    <row r="1064" customFormat="false" ht="68.65" hidden="false" customHeight="false" outlineLevel="0" collapsed="false">
      <c r="A1064" s="14" t="n">
        <v>1075662</v>
      </c>
      <c r="B1064" s="14" t="s">
        <v>2169</v>
      </c>
      <c r="C1064" s="14" t="s">
        <v>2170</v>
      </c>
      <c r="D1064" s="14" t="n">
        <v>30</v>
      </c>
      <c r="E1064" s="14" t="n">
        <v>586</v>
      </c>
      <c r="F1064" s="14" t="n">
        <v>54</v>
      </c>
      <c r="G1064" s="14" t="n">
        <v>56</v>
      </c>
      <c r="H1064" s="14" t="s">
        <v>52</v>
      </c>
      <c r="I1064" s="14" t="n">
        <v>0.11</v>
      </c>
      <c r="J1064" s="14" t="n">
        <v>5</v>
      </c>
      <c r="K1064" s="14" t="s">
        <v>59</v>
      </c>
      <c r="L1064" s="14" t="n">
        <v>2017</v>
      </c>
      <c r="M1064" s="14" t="n">
        <v>6.37331978957701</v>
      </c>
      <c r="N1064" s="14" t="n">
        <v>3.40153065945228</v>
      </c>
      <c r="P1064" s="14" t="n">
        <f aca="false">D1064</f>
        <v>30</v>
      </c>
      <c r="Q1064" s="14" t="n">
        <f aca="false">G1064</f>
        <v>56</v>
      </c>
      <c r="R1064" s="14" t="n">
        <f aca="false">J1064</f>
        <v>5</v>
      </c>
      <c r="S1064" s="14" t="n">
        <f aca="false">IF($L1064=2012,1,0)</f>
        <v>0</v>
      </c>
      <c r="T1064" s="14" t="n">
        <f aca="false">IF($L1064=2013,1,0)</f>
        <v>0</v>
      </c>
      <c r="U1064" s="14" t="n">
        <f aca="false">IF($L1064=2014,1,0)</f>
        <v>0</v>
      </c>
      <c r="V1064" s="14" t="n">
        <f aca="false">IF($L1064=2015,1,0)</f>
        <v>0</v>
      </c>
      <c r="W1064" s="14" t="n">
        <f aca="false">IF($L1064=2016,1,0)</f>
        <v>0</v>
      </c>
      <c r="X1064" s="14" t="n">
        <f aca="false">IF($L1064=2017,1,0)</f>
        <v>1</v>
      </c>
      <c r="Y1064" s="14" t="n">
        <f aca="false">IF($H1064="Beginner Level",1,0)</f>
        <v>1</v>
      </c>
      <c r="Z1064" s="14" t="n">
        <f aca="false">IF($H1064="Expert Level",1,0)</f>
        <v>0</v>
      </c>
      <c r="AA1064" s="14" t="n">
        <f aca="false">IF($H1064="Intermediate Level",1,0)</f>
        <v>0</v>
      </c>
      <c r="AC1064" s="14" t="n">
        <f aca="false">N1064</f>
        <v>3.40153065945228</v>
      </c>
      <c r="AD1064" s="14" t="n">
        <f aca="false">G1064</f>
        <v>56</v>
      </c>
      <c r="AE1064" s="14" t="n">
        <f aca="false">J1064</f>
        <v>5</v>
      </c>
      <c r="AF1064" s="14" t="n">
        <f aca="false">IF($L1064=2012,1,0)</f>
        <v>0</v>
      </c>
      <c r="AG1064" s="14" t="n">
        <f aca="false">IF($L1064=2013,1,0)</f>
        <v>0</v>
      </c>
      <c r="AH1064" s="14" t="n">
        <f aca="false">IF($L1064=2014,1,0)</f>
        <v>0</v>
      </c>
      <c r="AI1064" s="14" t="n">
        <f aca="false">IF($L1064=2015,1,0)</f>
        <v>0</v>
      </c>
      <c r="AJ1064" s="14" t="n">
        <f aca="false">IF($L1064=2016,1,0)</f>
        <v>0</v>
      </c>
      <c r="AK1064" s="14" t="n">
        <f aca="false">IF($L1064=2017,1,0)</f>
        <v>1</v>
      </c>
      <c r="AL1064" s="14" t="n">
        <f aca="false">IF($H1064="Beginner Level",1,0)</f>
        <v>1</v>
      </c>
      <c r="AM1064" s="14" t="n">
        <f aca="false">IF($H1064="Expert Level",1,0)</f>
        <v>0</v>
      </c>
      <c r="AN1064" s="14" t="n">
        <f aca="false">IF($H1064="Intermediate Level",1,0)</f>
        <v>0</v>
      </c>
    </row>
    <row r="1065" customFormat="false" ht="79.85" hidden="false" customHeight="false" outlineLevel="0" collapsed="false">
      <c r="A1065" s="14" t="n">
        <v>1056848</v>
      </c>
      <c r="B1065" s="14" t="s">
        <v>2171</v>
      </c>
      <c r="C1065" s="14" t="s">
        <v>2172</v>
      </c>
      <c r="D1065" s="14" t="n">
        <v>95</v>
      </c>
      <c r="E1065" s="14" t="n">
        <v>583</v>
      </c>
      <c r="F1065" s="14" t="n">
        <v>7</v>
      </c>
      <c r="G1065" s="14" t="n">
        <v>35</v>
      </c>
      <c r="H1065" s="14" t="s">
        <v>52</v>
      </c>
      <c r="I1065" s="14" t="n">
        <v>0.99</v>
      </c>
      <c r="J1065" s="14" t="n">
        <v>3.5</v>
      </c>
      <c r="K1065" s="14" t="s">
        <v>59</v>
      </c>
      <c r="L1065" s="14" t="n">
        <v>2017</v>
      </c>
      <c r="M1065" s="14" t="n">
        <v>6.36818718635049</v>
      </c>
      <c r="N1065" s="14" t="n">
        <v>4.55398214921866</v>
      </c>
      <c r="P1065" s="14" t="n">
        <f aca="false">D1065</f>
        <v>95</v>
      </c>
      <c r="Q1065" s="14" t="n">
        <f aca="false">G1065</f>
        <v>35</v>
      </c>
      <c r="R1065" s="14" t="n">
        <f aca="false">J1065</f>
        <v>3.5</v>
      </c>
      <c r="S1065" s="14" t="n">
        <f aca="false">IF($L1065=2012,1,0)</f>
        <v>0</v>
      </c>
      <c r="T1065" s="14" t="n">
        <f aca="false">IF($L1065=2013,1,0)</f>
        <v>0</v>
      </c>
      <c r="U1065" s="14" t="n">
        <f aca="false">IF($L1065=2014,1,0)</f>
        <v>0</v>
      </c>
      <c r="V1065" s="14" t="n">
        <f aca="false">IF($L1065=2015,1,0)</f>
        <v>0</v>
      </c>
      <c r="W1065" s="14" t="n">
        <f aca="false">IF($L1065=2016,1,0)</f>
        <v>0</v>
      </c>
      <c r="X1065" s="14" t="n">
        <f aca="false">IF($L1065=2017,1,0)</f>
        <v>1</v>
      </c>
      <c r="Y1065" s="14" t="n">
        <f aca="false">IF($H1065="Beginner Level",1,0)</f>
        <v>1</v>
      </c>
      <c r="Z1065" s="14" t="n">
        <f aca="false">IF($H1065="Expert Level",1,0)</f>
        <v>0</v>
      </c>
      <c r="AA1065" s="14" t="n">
        <f aca="false">IF($H1065="Intermediate Level",1,0)</f>
        <v>0</v>
      </c>
      <c r="AC1065" s="14" t="n">
        <f aca="false">N1065</f>
        <v>4.55398214921866</v>
      </c>
      <c r="AD1065" s="14" t="n">
        <f aca="false">G1065</f>
        <v>35</v>
      </c>
      <c r="AE1065" s="14" t="n">
        <f aca="false">J1065</f>
        <v>3.5</v>
      </c>
      <c r="AF1065" s="14" t="n">
        <f aca="false">IF($L1065=2012,1,0)</f>
        <v>0</v>
      </c>
      <c r="AG1065" s="14" t="n">
        <f aca="false">IF($L1065=2013,1,0)</f>
        <v>0</v>
      </c>
      <c r="AH1065" s="14" t="n">
        <f aca="false">IF($L1065=2014,1,0)</f>
        <v>0</v>
      </c>
      <c r="AI1065" s="14" t="n">
        <f aca="false">IF($L1065=2015,1,0)</f>
        <v>0</v>
      </c>
      <c r="AJ1065" s="14" t="n">
        <f aca="false">IF($L1065=2016,1,0)</f>
        <v>0</v>
      </c>
      <c r="AK1065" s="14" t="n">
        <f aca="false">IF($L1065=2017,1,0)</f>
        <v>1</v>
      </c>
      <c r="AL1065" s="14" t="n">
        <f aca="false">IF($H1065="Beginner Level",1,0)</f>
        <v>1</v>
      </c>
      <c r="AM1065" s="14" t="n">
        <f aca="false">IF($H1065="Expert Level",1,0)</f>
        <v>0</v>
      </c>
      <c r="AN1065" s="14" t="n">
        <f aca="false">IF($H1065="Intermediate Level",1,0)</f>
        <v>0</v>
      </c>
    </row>
    <row r="1066" customFormat="false" ht="68.65" hidden="false" customHeight="false" outlineLevel="0" collapsed="false">
      <c r="A1066" s="14" t="n">
        <v>990532</v>
      </c>
      <c r="B1066" s="14" t="s">
        <v>2173</v>
      </c>
      <c r="C1066" s="14" t="s">
        <v>2174</v>
      </c>
      <c r="D1066" s="14" t="n">
        <v>75</v>
      </c>
      <c r="E1066" s="14" t="n">
        <v>578</v>
      </c>
      <c r="F1066" s="14" t="n">
        <v>40</v>
      </c>
      <c r="G1066" s="14" t="n">
        <v>84</v>
      </c>
      <c r="H1066" s="14" t="s">
        <v>52</v>
      </c>
      <c r="I1066" s="14" t="n">
        <v>0.44</v>
      </c>
      <c r="J1066" s="14" t="n">
        <v>5.5</v>
      </c>
      <c r="K1066" s="14" t="s">
        <v>59</v>
      </c>
      <c r="L1066" s="14" t="n">
        <v>2017</v>
      </c>
      <c r="M1066" s="14" t="n">
        <v>6.35957386867238</v>
      </c>
      <c r="N1066" s="14" t="n">
        <v>4.31762143798155</v>
      </c>
      <c r="P1066" s="14" t="n">
        <f aca="false">D1066</f>
        <v>75</v>
      </c>
      <c r="Q1066" s="14" t="n">
        <f aca="false">G1066</f>
        <v>84</v>
      </c>
      <c r="R1066" s="14" t="n">
        <f aca="false">J1066</f>
        <v>5.5</v>
      </c>
      <c r="S1066" s="14" t="n">
        <f aca="false">IF($L1066=2012,1,0)</f>
        <v>0</v>
      </c>
      <c r="T1066" s="14" t="n">
        <f aca="false">IF($L1066=2013,1,0)</f>
        <v>0</v>
      </c>
      <c r="U1066" s="14" t="n">
        <f aca="false">IF($L1066=2014,1,0)</f>
        <v>0</v>
      </c>
      <c r="V1066" s="14" t="n">
        <f aca="false">IF($L1066=2015,1,0)</f>
        <v>0</v>
      </c>
      <c r="W1066" s="14" t="n">
        <f aca="false">IF($L1066=2016,1,0)</f>
        <v>0</v>
      </c>
      <c r="X1066" s="14" t="n">
        <f aca="false">IF($L1066=2017,1,0)</f>
        <v>1</v>
      </c>
      <c r="Y1066" s="14" t="n">
        <f aca="false">IF($H1066="Beginner Level",1,0)</f>
        <v>1</v>
      </c>
      <c r="Z1066" s="14" t="n">
        <f aca="false">IF($H1066="Expert Level",1,0)</f>
        <v>0</v>
      </c>
      <c r="AA1066" s="14" t="n">
        <f aca="false">IF($H1066="Intermediate Level",1,0)</f>
        <v>0</v>
      </c>
      <c r="AC1066" s="14" t="n">
        <f aca="false">N1066</f>
        <v>4.31762143798155</v>
      </c>
      <c r="AD1066" s="14" t="n">
        <f aca="false">G1066</f>
        <v>84</v>
      </c>
      <c r="AE1066" s="14" t="n">
        <f aca="false">J1066</f>
        <v>5.5</v>
      </c>
      <c r="AF1066" s="14" t="n">
        <f aca="false">IF($L1066=2012,1,0)</f>
        <v>0</v>
      </c>
      <c r="AG1066" s="14" t="n">
        <f aca="false">IF($L1066=2013,1,0)</f>
        <v>0</v>
      </c>
      <c r="AH1066" s="14" t="n">
        <f aca="false">IF($L1066=2014,1,0)</f>
        <v>0</v>
      </c>
      <c r="AI1066" s="14" t="n">
        <f aca="false">IF($L1066=2015,1,0)</f>
        <v>0</v>
      </c>
      <c r="AJ1066" s="14" t="n">
        <f aca="false">IF($L1066=2016,1,0)</f>
        <v>0</v>
      </c>
      <c r="AK1066" s="14" t="n">
        <f aca="false">IF($L1066=2017,1,0)</f>
        <v>1</v>
      </c>
      <c r="AL1066" s="14" t="n">
        <f aca="false">IF($H1066="Beginner Level",1,0)</f>
        <v>1</v>
      </c>
      <c r="AM1066" s="14" t="n">
        <f aca="false">IF($H1066="Expert Level",1,0)</f>
        <v>0</v>
      </c>
      <c r="AN1066" s="14" t="n">
        <f aca="false">IF($H1066="Intermediate Level",1,0)</f>
        <v>0</v>
      </c>
    </row>
    <row r="1067" customFormat="false" ht="46.25" hidden="false" customHeight="false" outlineLevel="0" collapsed="false">
      <c r="A1067" s="14" t="n">
        <v>1035940</v>
      </c>
      <c r="B1067" s="14" t="s">
        <v>2175</v>
      </c>
      <c r="C1067" s="14" t="s">
        <v>2176</v>
      </c>
      <c r="D1067" s="14" t="n">
        <v>120</v>
      </c>
      <c r="E1067" s="14" t="n">
        <v>578</v>
      </c>
      <c r="F1067" s="14" t="n">
        <v>25</v>
      </c>
      <c r="G1067" s="14" t="n">
        <v>36</v>
      </c>
      <c r="H1067" s="14" t="s">
        <v>62</v>
      </c>
      <c r="I1067" s="14" t="n">
        <v>0.18</v>
      </c>
      <c r="J1067" s="14" t="n">
        <v>4.5</v>
      </c>
      <c r="K1067" s="14" t="s">
        <v>59</v>
      </c>
      <c r="L1067" s="14" t="n">
        <v>2017</v>
      </c>
      <c r="M1067" s="14" t="n">
        <v>6.35957386867238</v>
      </c>
      <c r="N1067" s="14" t="n">
        <v>4.78757507264335</v>
      </c>
      <c r="P1067" s="14" t="n">
        <f aca="false">D1067</f>
        <v>120</v>
      </c>
      <c r="Q1067" s="14" t="n">
        <f aca="false">G1067</f>
        <v>36</v>
      </c>
      <c r="R1067" s="14" t="n">
        <f aca="false">J1067</f>
        <v>4.5</v>
      </c>
      <c r="S1067" s="14" t="n">
        <f aca="false">IF($L1067=2012,1,0)</f>
        <v>0</v>
      </c>
      <c r="T1067" s="14" t="n">
        <f aca="false">IF($L1067=2013,1,0)</f>
        <v>0</v>
      </c>
      <c r="U1067" s="14" t="n">
        <f aca="false">IF($L1067=2014,1,0)</f>
        <v>0</v>
      </c>
      <c r="V1067" s="14" t="n">
        <f aca="false">IF($L1067=2015,1,0)</f>
        <v>0</v>
      </c>
      <c r="W1067" s="14" t="n">
        <f aca="false">IF($L1067=2016,1,0)</f>
        <v>0</v>
      </c>
      <c r="X1067" s="14" t="n">
        <f aca="false">IF($L1067=2017,1,0)</f>
        <v>1</v>
      </c>
      <c r="Y1067" s="14" t="n">
        <f aca="false">IF($H1067="Beginner Level",1,0)</f>
        <v>0</v>
      </c>
      <c r="Z1067" s="14" t="n">
        <f aca="false">IF($H1067="Expert Level",1,0)</f>
        <v>0</v>
      </c>
      <c r="AA1067" s="14" t="n">
        <f aca="false">IF($H1067="Intermediate Level",1,0)</f>
        <v>0</v>
      </c>
      <c r="AC1067" s="14" t="n">
        <f aca="false">N1067</f>
        <v>4.78757507264335</v>
      </c>
      <c r="AD1067" s="14" t="n">
        <f aca="false">G1067</f>
        <v>36</v>
      </c>
      <c r="AE1067" s="14" t="n">
        <f aca="false">J1067</f>
        <v>4.5</v>
      </c>
      <c r="AF1067" s="14" t="n">
        <f aca="false">IF($L1067=2012,1,0)</f>
        <v>0</v>
      </c>
      <c r="AG1067" s="14" t="n">
        <f aca="false">IF($L1067=2013,1,0)</f>
        <v>0</v>
      </c>
      <c r="AH1067" s="14" t="n">
        <f aca="false">IF($L1067=2014,1,0)</f>
        <v>0</v>
      </c>
      <c r="AI1067" s="14" t="n">
        <f aca="false">IF($L1067=2015,1,0)</f>
        <v>0</v>
      </c>
      <c r="AJ1067" s="14" t="n">
        <f aca="false">IF($L1067=2016,1,0)</f>
        <v>0</v>
      </c>
      <c r="AK1067" s="14" t="n">
        <f aca="false">IF($L1067=2017,1,0)</f>
        <v>1</v>
      </c>
      <c r="AL1067" s="14" t="n">
        <f aca="false">IF($H1067="Beginner Level",1,0)</f>
        <v>0</v>
      </c>
      <c r="AM1067" s="14" t="n">
        <f aca="false">IF($H1067="Expert Level",1,0)</f>
        <v>0</v>
      </c>
      <c r="AN1067" s="14" t="n">
        <f aca="false">IF($H1067="Intermediate Level",1,0)</f>
        <v>0</v>
      </c>
    </row>
    <row r="1068" customFormat="false" ht="79.85" hidden="false" customHeight="false" outlineLevel="0" collapsed="false">
      <c r="A1068" s="14" t="n">
        <v>1007766</v>
      </c>
      <c r="B1068" s="14" t="s">
        <v>2177</v>
      </c>
      <c r="C1068" s="14" t="s">
        <v>2178</v>
      </c>
      <c r="D1068" s="14" t="n">
        <v>65</v>
      </c>
      <c r="E1068" s="14" t="n">
        <v>578</v>
      </c>
      <c r="F1068" s="14" t="n">
        <v>6</v>
      </c>
      <c r="G1068" s="14" t="n">
        <v>8</v>
      </c>
      <c r="H1068" s="14" t="s">
        <v>52</v>
      </c>
      <c r="I1068" s="14" t="n">
        <v>0.37</v>
      </c>
      <c r="J1068" s="14" t="n">
        <v>1</v>
      </c>
      <c r="K1068" s="14" t="s">
        <v>59</v>
      </c>
      <c r="L1068" s="14" t="n">
        <v>2016</v>
      </c>
      <c r="M1068" s="14" t="n">
        <v>6.35957386867238</v>
      </c>
      <c r="N1068" s="14" t="n">
        <v>4.17454110421638</v>
      </c>
      <c r="P1068" s="14" t="n">
        <f aca="false">D1068</f>
        <v>65</v>
      </c>
      <c r="Q1068" s="14" t="n">
        <f aca="false">G1068</f>
        <v>8</v>
      </c>
      <c r="R1068" s="14" t="n">
        <f aca="false">J1068</f>
        <v>1</v>
      </c>
      <c r="S1068" s="14" t="n">
        <f aca="false">IF($L1068=2012,1,0)</f>
        <v>0</v>
      </c>
      <c r="T1068" s="14" t="n">
        <f aca="false">IF($L1068=2013,1,0)</f>
        <v>0</v>
      </c>
      <c r="U1068" s="14" t="n">
        <f aca="false">IF($L1068=2014,1,0)</f>
        <v>0</v>
      </c>
      <c r="V1068" s="14" t="n">
        <f aca="false">IF($L1068=2015,1,0)</f>
        <v>0</v>
      </c>
      <c r="W1068" s="14" t="n">
        <f aca="false">IF($L1068=2016,1,0)</f>
        <v>1</v>
      </c>
      <c r="X1068" s="14" t="n">
        <f aca="false">IF($L1068=2017,1,0)</f>
        <v>0</v>
      </c>
      <c r="Y1068" s="14" t="n">
        <f aca="false">IF($H1068="Beginner Level",1,0)</f>
        <v>1</v>
      </c>
      <c r="Z1068" s="14" t="n">
        <f aca="false">IF($H1068="Expert Level",1,0)</f>
        <v>0</v>
      </c>
      <c r="AA1068" s="14" t="n">
        <f aca="false">IF($H1068="Intermediate Level",1,0)</f>
        <v>0</v>
      </c>
      <c r="AC1068" s="14" t="n">
        <f aca="false">N1068</f>
        <v>4.17454110421638</v>
      </c>
      <c r="AD1068" s="14" t="n">
        <f aca="false">G1068</f>
        <v>8</v>
      </c>
      <c r="AE1068" s="14" t="n">
        <f aca="false">J1068</f>
        <v>1</v>
      </c>
      <c r="AF1068" s="14" t="n">
        <f aca="false">IF($L1068=2012,1,0)</f>
        <v>0</v>
      </c>
      <c r="AG1068" s="14" t="n">
        <f aca="false">IF($L1068=2013,1,0)</f>
        <v>0</v>
      </c>
      <c r="AH1068" s="14" t="n">
        <f aca="false">IF($L1068=2014,1,0)</f>
        <v>0</v>
      </c>
      <c r="AI1068" s="14" t="n">
        <f aca="false">IF($L1068=2015,1,0)</f>
        <v>0</v>
      </c>
      <c r="AJ1068" s="14" t="n">
        <f aca="false">IF($L1068=2016,1,0)</f>
        <v>1</v>
      </c>
      <c r="AK1068" s="14" t="n">
        <f aca="false">IF($L1068=2017,1,0)</f>
        <v>0</v>
      </c>
      <c r="AL1068" s="14" t="n">
        <f aca="false">IF($H1068="Beginner Level",1,0)</f>
        <v>1</v>
      </c>
      <c r="AM1068" s="14" t="n">
        <f aca="false">IF($H1068="Expert Level",1,0)</f>
        <v>0</v>
      </c>
      <c r="AN1068" s="14" t="n">
        <f aca="false">IF($H1068="Intermediate Level",1,0)</f>
        <v>0</v>
      </c>
    </row>
    <row r="1069" customFormat="false" ht="46.25" hidden="false" customHeight="false" outlineLevel="0" collapsed="false">
      <c r="A1069" s="14" t="n">
        <v>846412</v>
      </c>
      <c r="B1069" s="14" t="s">
        <v>2179</v>
      </c>
      <c r="C1069" s="14" t="s">
        <v>2180</v>
      </c>
      <c r="D1069" s="14" t="n">
        <v>50</v>
      </c>
      <c r="E1069" s="14" t="n">
        <v>577</v>
      </c>
      <c r="F1069" s="14" t="n">
        <v>97</v>
      </c>
      <c r="G1069" s="14" t="n">
        <v>101</v>
      </c>
      <c r="H1069" s="14" t="s">
        <v>52</v>
      </c>
      <c r="I1069" s="14" t="n">
        <v>0.8</v>
      </c>
      <c r="J1069" s="14" t="n">
        <v>9.5</v>
      </c>
      <c r="K1069" s="14" t="s">
        <v>59</v>
      </c>
      <c r="L1069" s="14" t="n">
        <v>2016</v>
      </c>
      <c r="M1069" s="14" t="n">
        <v>6.3578422665081</v>
      </c>
      <c r="N1069" s="14" t="n">
        <v>3.91222298543081</v>
      </c>
      <c r="P1069" s="14" t="n">
        <f aca="false">D1069</f>
        <v>50</v>
      </c>
      <c r="Q1069" s="14" t="n">
        <f aca="false">G1069</f>
        <v>101</v>
      </c>
      <c r="R1069" s="14" t="n">
        <f aca="false">J1069</f>
        <v>9.5</v>
      </c>
      <c r="S1069" s="14" t="n">
        <f aca="false">IF($L1069=2012,1,0)</f>
        <v>0</v>
      </c>
      <c r="T1069" s="14" t="n">
        <f aca="false">IF($L1069=2013,1,0)</f>
        <v>0</v>
      </c>
      <c r="U1069" s="14" t="n">
        <f aca="false">IF($L1069=2014,1,0)</f>
        <v>0</v>
      </c>
      <c r="V1069" s="14" t="n">
        <f aca="false">IF($L1069=2015,1,0)</f>
        <v>0</v>
      </c>
      <c r="W1069" s="14" t="n">
        <f aca="false">IF($L1069=2016,1,0)</f>
        <v>1</v>
      </c>
      <c r="X1069" s="14" t="n">
        <f aca="false">IF($L1069=2017,1,0)</f>
        <v>0</v>
      </c>
      <c r="Y1069" s="14" t="n">
        <f aca="false">IF($H1069="Beginner Level",1,0)</f>
        <v>1</v>
      </c>
      <c r="Z1069" s="14" t="n">
        <f aca="false">IF($H1069="Expert Level",1,0)</f>
        <v>0</v>
      </c>
      <c r="AA1069" s="14" t="n">
        <f aca="false">IF($H1069="Intermediate Level",1,0)</f>
        <v>0</v>
      </c>
      <c r="AC1069" s="14" t="n">
        <f aca="false">N1069</f>
        <v>3.91222298543081</v>
      </c>
      <c r="AD1069" s="14" t="n">
        <f aca="false">G1069</f>
        <v>101</v>
      </c>
      <c r="AE1069" s="14" t="n">
        <f aca="false">J1069</f>
        <v>9.5</v>
      </c>
      <c r="AF1069" s="14" t="n">
        <f aca="false">IF($L1069=2012,1,0)</f>
        <v>0</v>
      </c>
      <c r="AG1069" s="14" t="n">
        <f aca="false">IF($L1069=2013,1,0)</f>
        <v>0</v>
      </c>
      <c r="AH1069" s="14" t="n">
        <f aca="false">IF($L1069=2014,1,0)</f>
        <v>0</v>
      </c>
      <c r="AI1069" s="14" t="n">
        <f aca="false">IF($L1069=2015,1,0)</f>
        <v>0</v>
      </c>
      <c r="AJ1069" s="14" t="n">
        <f aca="false">IF($L1069=2016,1,0)</f>
        <v>1</v>
      </c>
      <c r="AK1069" s="14" t="n">
        <f aca="false">IF($L1069=2017,1,0)</f>
        <v>0</v>
      </c>
      <c r="AL1069" s="14" t="n">
        <f aca="false">IF($H1069="Beginner Level",1,0)</f>
        <v>1</v>
      </c>
      <c r="AM1069" s="14" t="n">
        <f aca="false">IF($H1069="Expert Level",1,0)</f>
        <v>0</v>
      </c>
      <c r="AN1069" s="14" t="n">
        <f aca="false">IF($H1069="Intermediate Level",1,0)</f>
        <v>0</v>
      </c>
    </row>
    <row r="1070" customFormat="false" ht="57.45" hidden="false" customHeight="false" outlineLevel="0" collapsed="false">
      <c r="A1070" s="14" t="n">
        <v>1009166</v>
      </c>
      <c r="B1070" s="14" t="s">
        <v>2181</v>
      </c>
      <c r="C1070" s="14" t="s">
        <v>2182</v>
      </c>
      <c r="D1070" s="14" t="n">
        <v>185</v>
      </c>
      <c r="E1070" s="14" t="n">
        <v>567</v>
      </c>
      <c r="F1070" s="14" t="n">
        <v>63</v>
      </c>
      <c r="G1070" s="14" t="n">
        <v>34</v>
      </c>
      <c r="H1070" s="14" t="s">
        <v>62</v>
      </c>
      <c r="I1070" s="14" t="n">
        <v>0.15</v>
      </c>
      <c r="J1070" s="14" t="n">
        <v>8</v>
      </c>
      <c r="K1070" s="14" t="s">
        <v>59</v>
      </c>
      <c r="L1070" s="14" t="n">
        <v>2016</v>
      </c>
      <c r="M1070" s="14" t="n">
        <v>6.34035930372775</v>
      </c>
      <c r="N1070" s="14" t="n">
        <v>5.22040987767151</v>
      </c>
      <c r="P1070" s="14" t="n">
        <f aca="false">D1070</f>
        <v>185</v>
      </c>
      <c r="Q1070" s="14" t="n">
        <f aca="false">G1070</f>
        <v>34</v>
      </c>
      <c r="R1070" s="14" t="n">
        <f aca="false">J1070</f>
        <v>8</v>
      </c>
      <c r="S1070" s="14" t="n">
        <f aca="false">IF($L1070=2012,1,0)</f>
        <v>0</v>
      </c>
      <c r="T1070" s="14" t="n">
        <f aca="false">IF($L1070=2013,1,0)</f>
        <v>0</v>
      </c>
      <c r="U1070" s="14" t="n">
        <f aca="false">IF($L1070=2014,1,0)</f>
        <v>0</v>
      </c>
      <c r="V1070" s="14" t="n">
        <f aca="false">IF($L1070=2015,1,0)</f>
        <v>0</v>
      </c>
      <c r="W1070" s="14" t="n">
        <f aca="false">IF($L1070=2016,1,0)</f>
        <v>1</v>
      </c>
      <c r="X1070" s="14" t="n">
        <f aca="false">IF($L1070=2017,1,0)</f>
        <v>0</v>
      </c>
      <c r="Y1070" s="14" t="n">
        <f aca="false">IF($H1070="Beginner Level",1,0)</f>
        <v>0</v>
      </c>
      <c r="Z1070" s="14" t="n">
        <f aca="false">IF($H1070="Expert Level",1,0)</f>
        <v>0</v>
      </c>
      <c r="AA1070" s="14" t="n">
        <f aca="false">IF($H1070="Intermediate Level",1,0)</f>
        <v>0</v>
      </c>
      <c r="AC1070" s="14" t="n">
        <f aca="false">N1070</f>
        <v>5.22040987767151</v>
      </c>
      <c r="AD1070" s="14" t="n">
        <f aca="false">G1070</f>
        <v>34</v>
      </c>
      <c r="AE1070" s="14" t="n">
        <f aca="false">J1070</f>
        <v>8</v>
      </c>
      <c r="AF1070" s="14" t="n">
        <f aca="false">IF($L1070=2012,1,0)</f>
        <v>0</v>
      </c>
      <c r="AG1070" s="14" t="n">
        <f aca="false">IF($L1070=2013,1,0)</f>
        <v>0</v>
      </c>
      <c r="AH1070" s="14" t="n">
        <f aca="false">IF($L1070=2014,1,0)</f>
        <v>0</v>
      </c>
      <c r="AI1070" s="14" t="n">
        <f aca="false">IF($L1070=2015,1,0)</f>
        <v>0</v>
      </c>
      <c r="AJ1070" s="14" t="n">
        <f aca="false">IF($L1070=2016,1,0)</f>
        <v>1</v>
      </c>
      <c r="AK1070" s="14" t="n">
        <f aca="false">IF($L1070=2017,1,0)</f>
        <v>0</v>
      </c>
      <c r="AL1070" s="14" t="n">
        <f aca="false">IF($H1070="Beginner Level",1,0)</f>
        <v>0</v>
      </c>
      <c r="AM1070" s="14" t="n">
        <f aca="false">IF($H1070="Expert Level",1,0)</f>
        <v>0</v>
      </c>
      <c r="AN1070" s="14" t="n">
        <f aca="false">IF($H1070="Intermediate Level",1,0)</f>
        <v>0</v>
      </c>
    </row>
    <row r="1071" customFormat="false" ht="68.65" hidden="false" customHeight="false" outlineLevel="0" collapsed="false">
      <c r="A1071" s="14" t="n">
        <v>929016</v>
      </c>
      <c r="B1071" s="14" t="s">
        <v>2183</v>
      </c>
      <c r="C1071" s="14" t="s">
        <v>2184</v>
      </c>
      <c r="D1071" s="14" t="n">
        <v>200</v>
      </c>
      <c r="E1071" s="14" t="n">
        <v>563</v>
      </c>
      <c r="F1071" s="14" t="n">
        <v>178</v>
      </c>
      <c r="G1071" s="14" t="n">
        <v>32</v>
      </c>
      <c r="H1071" s="14" t="s">
        <v>52</v>
      </c>
      <c r="I1071" s="14" t="n">
        <v>0.01</v>
      </c>
      <c r="J1071" s="14" t="n">
        <v>3</v>
      </c>
      <c r="K1071" s="14" t="s">
        <v>59</v>
      </c>
      <c r="L1071" s="14" t="n">
        <v>2016</v>
      </c>
      <c r="M1071" s="14" t="n">
        <v>6.33327962813969</v>
      </c>
      <c r="N1071" s="14" t="n">
        <v>5.29836736529808</v>
      </c>
      <c r="P1071" s="14" t="n">
        <f aca="false">D1071</f>
        <v>200</v>
      </c>
      <c r="Q1071" s="14" t="n">
        <f aca="false">G1071</f>
        <v>32</v>
      </c>
      <c r="R1071" s="14" t="n">
        <f aca="false">J1071</f>
        <v>3</v>
      </c>
      <c r="S1071" s="14" t="n">
        <f aca="false">IF($L1071=2012,1,0)</f>
        <v>0</v>
      </c>
      <c r="T1071" s="14" t="n">
        <f aca="false">IF($L1071=2013,1,0)</f>
        <v>0</v>
      </c>
      <c r="U1071" s="14" t="n">
        <f aca="false">IF($L1071=2014,1,0)</f>
        <v>0</v>
      </c>
      <c r="V1071" s="14" t="n">
        <f aca="false">IF($L1071=2015,1,0)</f>
        <v>0</v>
      </c>
      <c r="W1071" s="14" t="n">
        <f aca="false">IF($L1071=2016,1,0)</f>
        <v>1</v>
      </c>
      <c r="X1071" s="14" t="n">
        <f aca="false">IF($L1071=2017,1,0)</f>
        <v>0</v>
      </c>
      <c r="Y1071" s="14" t="n">
        <f aca="false">IF($H1071="Beginner Level",1,0)</f>
        <v>1</v>
      </c>
      <c r="Z1071" s="14" t="n">
        <f aca="false">IF($H1071="Expert Level",1,0)</f>
        <v>0</v>
      </c>
      <c r="AA1071" s="14" t="n">
        <f aca="false">IF($H1071="Intermediate Level",1,0)</f>
        <v>0</v>
      </c>
      <c r="AC1071" s="14" t="n">
        <f aca="false">N1071</f>
        <v>5.29836736529808</v>
      </c>
      <c r="AD1071" s="14" t="n">
        <f aca="false">G1071</f>
        <v>32</v>
      </c>
      <c r="AE1071" s="14" t="n">
        <f aca="false">J1071</f>
        <v>3</v>
      </c>
      <c r="AF1071" s="14" t="n">
        <f aca="false">IF($L1071=2012,1,0)</f>
        <v>0</v>
      </c>
      <c r="AG1071" s="14" t="n">
        <f aca="false">IF($L1071=2013,1,0)</f>
        <v>0</v>
      </c>
      <c r="AH1071" s="14" t="n">
        <f aca="false">IF($L1071=2014,1,0)</f>
        <v>0</v>
      </c>
      <c r="AI1071" s="14" t="n">
        <f aca="false">IF($L1071=2015,1,0)</f>
        <v>0</v>
      </c>
      <c r="AJ1071" s="14" t="n">
        <f aca="false">IF($L1071=2016,1,0)</f>
        <v>1</v>
      </c>
      <c r="AK1071" s="14" t="n">
        <f aca="false">IF($L1071=2017,1,0)</f>
        <v>0</v>
      </c>
      <c r="AL1071" s="14" t="n">
        <f aca="false">IF($H1071="Beginner Level",1,0)</f>
        <v>1</v>
      </c>
      <c r="AM1071" s="14" t="n">
        <f aca="false">IF($H1071="Expert Level",1,0)</f>
        <v>0</v>
      </c>
      <c r="AN1071" s="14" t="n">
        <f aca="false">IF($H1071="Intermediate Level",1,0)</f>
        <v>0</v>
      </c>
    </row>
    <row r="1072" customFormat="false" ht="91" hidden="false" customHeight="false" outlineLevel="0" collapsed="false">
      <c r="A1072" s="14" t="n">
        <v>1055322</v>
      </c>
      <c r="B1072" s="14" t="s">
        <v>2185</v>
      </c>
      <c r="C1072" s="14" t="s">
        <v>2186</v>
      </c>
      <c r="D1072" s="14" t="n">
        <v>100</v>
      </c>
      <c r="E1072" s="14" t="n">
        <v>557</v>
      </c>
      <c r="F1072" s="14" t="n">
        <v>92</v>
      </c>
      <c r="G1072" s="14" t="n">
        <v>133</v>
      </c>
      <c r="H1072" s="14" t="s">
        <v>62</v>
      </c>
      <c r="I1072" s="14" t="n">
        <v>0.15</v>
      </c>
      <c r="J1072" s="14" t="n">
        <v>9.5</v>
      </c>
      <c r="K1072" s="14" t="s">
        <v>59</v>
      </c>
      <c r="L1072" s="14" t="n">
        <v>2017</v>
      </c>
      <c r="M1072" s="14" t="n">
        <v>6.32256523992728</v>
      </c>
      <c r="N1072" s="14" t="n">
        <v>4.60527018098843</v>
      </c>
      <c r="P1072" s="14" t="n">
        <f aca="false">D1072</f>
        <v>100</v>
      </c>
      <c r="Q1072" s="14" t="n">
        <f aca="false">G1072</f>
        <v>133</v>
      </c>
      <c r="R1072" s="14" t="n">
        <f aca="false">J1072</f>
        <v>9.5</v>
      </c>
      <c r="S1072" s="14" t="n">
        <f aca="false">IF($L1072=2012,1,0)</f>
        <v>0</v>
      </c>
      <c r="T1072" s="14" t="n">
        <f aca="false">IF($L1072=2013,1,0)</f>
        <v>0</v>
      </c>
      <c r="U1072" s="14" t="n">
        <f aca="false">IF($L1072=2014,1,0)</f>
        <v>0</v>
      </c>
      <c r="V1072" s="14" t="n">
        <f aca="false">IF($L1072=2015,1,0)</f>
        <v>0</v>
      </c>
      <c r="W1072" s="14" t="n">
        <f aca="false">IF($L1072=2016,1,0)</f>
        <v>0</v>
      </c>
      <c r="X1072" s="14" t="n">
        <f aca="false">IF($L1072=2017,1,0)</f>
        <v>1</v>
      </c>
      <c r="Y1072" s="14" t="n">
        <f aca="false">IF($H1072="Beginner Level",1,0)</f>
        <v>0</v>
      </c>
      <c r="Z1072" s="14" t="n">
        <f aca="false">IF($H1072="Expert Level",1,0)</f>
        <v>0</v>
      </c>
      <c r="AA1072" s="14" t="n">
        <f aca="false">IF($H1072="Intermediate Level",1,0)</f>
        <v>0</v>
      </c>
      <c r="AC1072" s="14" t="n">
        <f aca="false">N1072</f>
        <v>4.60527018098843</v>
      </c>
      <c r="AD1072" s="14" t="n">
        <f aca="false">G1072</f>
        <v>133</v>
      </c>
      <c r="AE1072" s="14" t="n">
        <f aca="false">J1072</f>
        <v>9.5</v>
      </c>
      <c r="AF1072" s="14" t="n">
        <f aca="false">IF($L1072=2012,1,0)</f>
        <v>0</v>
      </c>
      <c r="AG1072" s="14" t="n">
        <f aca="false">IF($L1072=2013,1,0)</f>
        <v>0</v>
      </c>
      <c r="AH1072" s="14" t="n">
        <f aca="false">IF($L1072=2014,1,0)</f>
        <v>0</v>
      </c>
      <c r="AI1072" s="14" t="n">
        <f aca="false">IF($L1072=2015,1,0)</f>
        <v>0</v>
      </c>
      <c r="AJ1072" s="14" t="n">
        <f aca="false">IF($L1072=2016,1,0)</f>
        <v>0</v>
      </c>
      <c r="AK1072" s="14" t="n">
        <f aca="false">IF($L1072=2017,1,0)</f>
        <v>1</v>
      </c>
      <c r="AL1072" s="14" t="n">
        <f aca="false">IF($H1072="Beginner Level",1,0)</f>
        <v>0</v>
      </c>
      <c r="AM1072" s="14" t="n">
        <f aca="false">IF($H1072="Expert Level",1,0)</f>
        <v>0</v>
      </c>
      <c r="AN1072" s="14" t="n">
        <f aca="false">IF($H1072="Intermediate Level",1,0)</f>
        <v>0</v>
      </c>
    </row>
    <row r="1073" customFormat="false" ht="79.85" hidden="false" customHeight="false" outlineLevel="0" collapsed="false">
      <c r="A1073" s="14" t="n">
        <v>455680</v>
      </c>
      <c r="B1073" s="14" t="s">
        <v>2187</v>
      </c>
      <c r="C1073" s="14" t="s">
        <v>2188</v>
      </c>
      <c r="D1073" s="14" t="n">
        <v>95</v>
      </c>
      <c r="E1073" s="14" t="n">
        <v>557</v>
      </c>
      <c r="F1073" s="14" t="n">
        <v>39</v>
      </c>
      <c r="G1073" s="14" t="n">
        <v>28</v>
      </c>
      <c r="H1073" s="14" t="s">
        <v>52</v>
      </c>
      <c r="I1073" s="14" t="n">
        <v>0.79</v>
      </c>
      <c r="J1073" s="14" t="n">
        <v>2.5</v>
      </c>
      <c r="K1073" s="14" t="s">
        <v>59</v>
      </c>
      <c r="L1073" s="14" t="n">
        <v>2015</v>
      </c>
      <c r="M1073" s="14" t="n">
        <v>6.32256523992728</v>
      </c>
      <c r="N1073" s="14" t="n">
        <v>4.55398214921866</v>
      </c>
      <c r="P1073" s="14" t="n">
        <f aca="false">D1073</f>
        <v>95</v>
      </c>
      <c r="Q1073" s="14" t="n">
        <f aca="false">G1073</f>
        <v>28</v>
      </c>
      <c r="R1073" s="14" t="n">
        <f aca="false">J1073</f>
        <v>2.5</v>
      </c>
      <c r="S1073" s="14" t="n">
        <f aca="false">IF($L1073=2012,1,0)</f>
        <v>0</v>
      </c>
      <c r="T1073" s="14" t="n">
        <f aca="false">IF($L1073=2013,1,0)</f>
        <v>0</v>
      </c>
      <c r="U1073" s="14" t="n">
        <f aca="false">IF($L1073=2014,1,0)</f>
        <v>0</v>
      </c>
      <c r="V1073" s="14" t="n">
        <f aca="false">IF($L1073=2015,1,0)</f>
        <v>1</v>
      </c>
      <c r="W1073" s="14" t="n">
        <f aca="false">IF($L1073=2016,1,0)</f>
        <v>0</v>
      </c>
      <c r="X1073" s="14" t="n">
        <f aca="false">IF($L1073=2017,1,0)</f>
        <v>0</v>
      </c>
      <c r="Y1073" s="14" t="n">
        <f aca="false">IF($H1073="Beginner Level",1,0)</f>
        <v>1</v>
      </c>
      <c r="Z1073" s="14" t="n">
        <f aca="false">IF($H1073="Expert Level",1,0)</f>
        <v>0</v>
      </c>
      <c r="AA1073" s="14" t="n">
        <f aca="false">IF($H1073="Intermediate Level",1,0)</f>
        <v>0</v>
      </c>
      <c r="AC1073" s="14" t="n">
        <f aca="false">N1073</f>
        <v>4.55398214921866</v>
      </c>
      <c r="AD1073" s="14" t="n">
        <f aca="false">G1073</f>
        <v>28</v>
      </c>
      <c r="AE1073" s="14" t="n">
        <f aca="false">J1073</f>
        <v>2.5</v>
      </c>
      <c r="AF1073" s="14" t="n">
        <f aca="false">IF($L1073=2012,1,0)</f>
        <v>0</v>
      </c>
      <c r="AG1073" s="14" t="n">
        <f aca="false">IF($L1073=2013,1,0)</f>
        <v>0</v>
      </c>
      <c r="AH1073" s="14" t="n">
        <f aca="false">IF($L1073=2014,1,0)</f>
        <v>0</v>
      </c>
      <c r="AI1073" s="14" t="n">
        <f aca="false">IF($L1073=2015,1,0)</f>
        <v>1</v>
      </c>
      <c r="AJ1073" s="14" t="n">
        <f aca="false">IF($L1073=2016,1,0)</f>
        <v>0</v>
      </c>
      <c r="AK1073" s="14" t="n">
        <f aca="false">IF($L1073=2017,1,0)</f>
        <v>0</v>
      </c>
      <c r="AL1073" s="14" t="n">
        <f aca="false">IF($H1073="Beginner Level",1,0)</f>
        <v>1</v>
      </c>
      <c r="AM1073" s="14" t="n">
        <f aca="false">IF($H1073="Expert Level",1,0)</f>
        <v>0</v>
      </c>
      <c r="AN1073" s="14" t="n">
        <f aca="false">IF($H1073="Intermediate Level",1,0)</f>
        <v>0</v>
      </c>
    </row>
    <row r="1074" customFormat="false" ht="57.45" hidden="false" customHeight="false" outlineLevel="0" collapsed="false">
      <c r="A1074" s="14" t="n">
        <v>679992</v>
      </c>
      <c r="B1074" s="14" t="s">
        <v>2189</v>
      </c>
      <c r="C1074" s="14" t="s">
        <v>2190</v>
      </c>
      <c r="D1074" s="14" t="n">
        <v>50</v>
      </c>
      <c r="E1074" s="14" t="n">
        <v>555</v>
      </c>
      <c r="F1074" s="14" t="n">
        <v>89</v>
      </c>
      <c r="G1074" s="14" t="n">
        <v>16</v>
      </c>
      <c r="H1074" s="14" t="s">
        <v>52</v>
      </c>
      <c r="I1074" s="14" t="n">
        <v>0.3</v>
      </c>
      <c r="J1074" s="14" t="n">
        <v>2.5</v>
      </c>
      <c r="K1074" s="14" t="s">
        <v>59</v>
      </c>
      <c r="L1074" s="14" t="n">
        <v>2015</v>
      </c>
      <c r="M1074" s="14" t="n">
        <v>6.31896811374643</v>
      </c>
      <c r="N1074" s="14" t="n">
        <v>3.91222298543081</v>
      </c>
      <c r="P1074" s="14" t="n">
        <f aca="false">D1074</f>
        <v>50</v>
      </c>
      <c r="Q1074" s="14" t="n">
        <f aca="false">G1074</f>
        <v>16</v>
      </c>
      <c r="R1074" s="14" t="n">
        <f aca="false">J1074</f>
        <v>2.5</v>
      </c>
      <c r="S1074" s="14" t="n">
        <f aca="false">IF($L1074=2012,1,0)</f>
        <v>0</v>
      </c>
      <c r="T1074" s="14" t="n">
        <f aca="false">IF($L1074=2013,1,0)</f>
        <v>0</v>
      </c>
      <c r="U1074" s="14" t="n">
        <f aca="false">IF($L1074=2014,1,0)</f>
        <v>0</v>
      </c>
      <c r="V1074" s="14" t="n">
        <f aca="false">IF($L1074=2015,1,0)</f>
        <v>1</v>
      </c>
      <c r="W1074" s="14" t="n">
        <f aca="false">IF($L1074=2016,1,0)</f>
        <v>0</v>
      </c>
      <c r="X1074" s="14" t="n">
        <f aca="false">IF($L1074=2017,1,0)</f>
        <v>0</v>
      </c>
      <c r="Y1074" s="14" t="n">
        <f aca="false">IF($H1074="Beginner Level",1,0)</f>
        <v>1</v>
      </c>
      <c r="Z1074" s="14" t="n">
        <f aca="false">IF($H1074="Expert Level",1,0)</f>
        <v>0</v>
      </c>
      <c r="AA1074" s="14" t="n">
        <f aca="false">IF($H1074="Intermediate Level",1,0)</f>
        <v>0</v>
      </c>
      <c r="AC1074" s="14" t="n">
        <f aca="false">N1074</f>
        <v>3.91222298543081</v>
      </c>
      <c r="AD1074" s="14" t="n">
        <f aca="false">G1074</f>
        <v>16</v>
      </c>
      <c r="AE1074" s="14" t="n">
        <f aca="false">J1074</f>
        <v>2.5</v>
      </c>
      <c r="AF1074" s="14" t="n">
        <f aca="false">IF($L1074=2012,1,0)</f>
        <v>0</v>
      </c>
      <c r="AG1074" s="14" t="n">
        <f aca="false">IF($L1074=2013,1,0)</f>
        <v>0</v>
      </c>
      <c r="AH1074" s="14" t="n">
        <f aca="false">IF($L1074=2014,1,0)</f>
        <v>0</v>
      </c>
      <c r="AI1074" s="14" t="n">
        <f aca="false">IF($L1074=2015,1,0)</f>
        <v>1</v>
      </c>
      <c r="AJ1074" s="14" t="n">
        <f aca="false">IF($L1074=2016,1,0)</f>
        <v>0</v>
      </c>
      <c r="AK1074" s="14" t="n">
        <f aca="false">IF($L1074=2017,1,0)</f>
        <v>0</v>
      </c>
      <c r="AL1074" s="14" t="n">
        <f aca="false">IF($H1074="Beginner Level",1,0)</f>
        <v>1</v>
      </c>
      <c r="AM1074" s="14" t="n">
        <f aca="false">IF($H1074="Expert Level",1,0)</f>
        <v>0</v>
      </c>
      <c r="AN1074" s="14" t="n">
        <f aca="false">IF($H1074="Intermediate Level",1,0)</f>
        <v>0</v>
      </c>
    </row>
    <row r="1075" customFormat="false" ht="46.25" hidden="false" customHeight="false" outlineLevel="0" collapsed="false">
      <c r="A1075" s="14" t="n">
        <v>899534</v>
      </c>
      <c r="B1075" s="14" t="s">
        <v>2191</v>
      </c>
      <c r="C1075" s="14" t="s">
        <v>2192</v>
      </c>
      <c r="D1075" s="14" t="n">
        <v>40</v>
      </c>
      <c r="E1075" s="14" t="n">
        <v>553</v>
      </c>
      <c r="F1075" s="14" t="n">
        <v>84</v>
      </c>
      <c r="G1075" s="14" t="n">
        <v>31</v>
      </c>
      <c r="H1075" s="14" t="s">
        <v>62</v>
      </c>
      <c r="I1075" s="14" t="n">
        <v>0.02</v>
      </c>
      <c r="J1075" s="14" t="n">
        <v>3</v>
      </c>
      <c r="K1075" s="14" t="s">
        <v>59</v>
      </c>
      <c r="L1075" s="14" t="n">
        <v>2016</v>
      </c>
      <c r="M1075" s="14" t="n">
        <v>6.31535800152234</v>
      </c>
      <c r="N1075" s="14" t="n">
        <v>3.68912942286914</v>
      </c>
      <c r="P1075" s="14" t="n">
        <f aca="false">D1075</f>
        <v>40</v>
      </c>
      <c r="Q1075" s="14" t="n">
        <f aca="false">G1075</f>
        <v>31</v>
      </c>
      <c r="R1075" s="14" t="n">
        <f aca="false">J1075</f>
        <v>3</v>
      </c>
      <c r="S1075" s="14" t="n">
        <f aca="false">IF($L1075=2012,1,0)</f>
        <v>0</v>
      </c>
      <c r="T1075" s="14" t="n">
        <f aca="false">IF($L1075=2013,1,0)</f>
        <v>0</v>
      </c>
      <c r="U1075" s="14" t="n">
        <f aca="false">IF($L1075=2014,1,0)</f>
        <v>0</v>
      </c>
      <c r="V1075" s="14" t="n">
        <f aca="false">IF($L1075=2015,1,0)</f>
        <v>0</v>
      </c>
      <c r="W1075" s="14" t="n">
        <f aca="false">IF($L1075=2016,1,0)</f>
        <v>1</v>
      </c>
      <c r="X1075" s="14" t="n">
        <f aca="false">IF($L1075=2017,1,0)</f>
        <v>0</v>
      </c>
      <c r="Y1075" s="14" t="n">
        <f aca="false">IF($H1075="Beginner Level",1,0)</f>
        <v>0</v>
      </c>
      <c r="Z1075" s="14" t="n">
        <f aca="false">IF($H1075="Expert Level",1,0)</f>
        <v>0</v>
      </c>
      <c r="AA1075" s="14" t="n">
        <f aca="false">IF($H1075="Intermediate Level",1,0)</f>
        <v>0</v>
      </c>
      <c r="AC1075" s="14" t="n">
        <f aca="false">N1075</f>
        <v>3.68912942286914</v>
      </c>
      <c r="AD1075" s="14" t="n">
        <f aca="false">G1075</f>
        <v>31</v>
      </c>
      <c r="AE1075" s="14" t="n">
        <f aca="false">J1075</f>
        <v>3</v>
      </c>
      <c r="AF1075" s="14" t="n">
        <f aca="false">IF($L1075=2012,1,0)</f>
        <v>0</v>
      </c>
      <c r="AG1075" s="14" t="n">
        <f aca="false">IF($L1075=2013,1,0)</f>
        <v>0</v>
      </c>
      <c r="AH1075" s="14" t="n">
        <f aca="false">IF($L1075=2014,1,0)</f>
        <v>0</v>
      </c>
      <c r="AI1075" s="14" t="n">
        <f aca="false">IF($L1075=2015,1,0)</f>
        <v>0</v>
      </c>
      <c r="AJ1075" s="14" t="n">
        <f aca="false">IF($L1075=2016,1,0)</f>
        <v>1</v>
      </c>
      <c r="AK1075" s="14" t="n">
        <f aca="false">IF($L1075=2017,1,0)</f>
        <v>0</v>
      </c>
      <c r="AL1075" s="14" t="n">
        <f aca="false">IF($H1075="Beginner Level",1,0)</f>
        <v>0</v>
      </c>
      <c r="AM1075" s="14" t="n">
        <f aca="false">IF($H1075="Expert Level",1,0)</f>
        <v>0</v>
      </c>
      <c r="AN1075" s="14" t="n">
        <f aca="false">IF($H1075="Intermediate Level",1,0)</f>
        <v>0</v>
      </c>
    </row>
    <row r="1076" customFormat="false" ht="46.25" hidden="false" customHeight="false" outlineLevel="0" collapsed="false">
      <c r="A1076" s="14" t="n">
        <v>1052518</v>
      </c>
      <c r="B1076" s="14" t="s">
        <v>2193</v>
      </c>
      <c r="C1076" s="14" t="s">
        <v>2194</v>
      </c>
      <c r="D1076" s="14" t="n">
        <v>145</v>
      </c>
      <c r="E1076" s="14" t="n">
        <v>550</v>
      </c>
      <c r="F1076" s="14" t="n">
        <v>15</v>
      </c>
      <c r="G1076" s="14" t="n">
        <v>59</v>
      </c>
      <c r="H1076" s="14" t="s">
        <v>52</v>
      </c>
      <c r="I1076" s="14" t="n">
        <v>0.92</v>
      </c>
      <c r="J1076" s="14" t="n">
        <v>3</v>
      </c>
      <c r="K1076" s="14" t="s">
        <v>59</v>
      </c>
      <c r="L1076" s="14" t="n">
        <v>2016</v>
      </c>
      <c r="M1076" s="14" t="n">
        <v>6.30991827822652</v>
      </c>
      <c r="N1076" s="14" t="n">
        <v>4.9768027055598</v>
      </c>
      <c r="P1076" s="14" t="n">
        <f aca="false">D1076</f>
        <v>145</v>
      </c>
      <c r="Q1076" s="14" t="n">
        <f aca="false">G1076</f>
        <v>59</v>
      </c>
      <c r="R1076" s="14" t="n">
        <f aca="false">J1076</f>
        <v>3</v>
      </c>
      <c r="S1076" s="14" t="n">
        <f aca="false">IF($L1076=2012,1,0)</f>
        <v>0</v>
      </c>
      <c r="T1076" s="14" t="n">
        <f aca="false">IF($L1076=2013,1,0)</f>
        <v>0</v>
      </c>
      <c r="U1076" s="14" t="n">
        <f aca="false">IF($L1076=2014,1,0)</f>
        <v>0</v>
      </c>
      <c r="V1076" s="14" t="n">
        <f aca="false">IF($L1076=2015,1,0)</f>
        <v>0</v>
      </c>
      <c r="W1076" s="14" t="n">
        <f aca="false">IF($L1076=2016,1,0)</f>
        <v>1</v>
      </c>
      <c r="X1076" s="14" t="n">
        <f aca="false">IF($L1076=2017,1,0)</f>
        <v>0</v>
      </c>
      <c r="Y1076" s="14" t="n">
        <f aca="false">IF($H1076="Beginner Level",1,0)</f>
        <v>1</v>
      </c>
      <c r="Z1076" s="14" t="n">
        <f aca="false">IF($H1076="Expert Level",1,0)</f>
        <v>0</v>
      </c>
      <c r="AA1076" s="14" t="n">
        <f aca="false">IF($H1076="Intermediate Level",1,0)</f>
        <v>0</v>
      </c>
      <c r="AC1076" s="14" t="n">
        <f aca="false">N1076</f>
        <v>4.9768027055598</v>
      </c>
      <c r="AD1076" s="14" t="n">
        <f aca="false">G1076</f>
        <v>59</v>
      </c>
      <c r="AE1076" s="14" t="n">
        <f aca="false">J1076</f>
        <v>3</v>
      </c>
      <c r="AF1076" s="14" t="n">
        <f aca="false">IF($L1076=2012,1,0)</f>
        <v>0</v>
      </c>
      <c r="AG1076" s="14" t="n">
        <f aca="false">IF($L1076=2013,1,0)</f>
        <v>0</v>
      </c>
      <c r="AH1076" s="14" t="n">
        <f aca="false">IF($L1076=2014,1,0)</f>
        <v>0</v>
      </c>
      <c r="AI1076" s="14" t="n">
        <f aca="false">IF($L1076=2015,1,0)</f>
        <v>0</v>
      </c>
      <c r="AJ1076" s="14" t="n">
        <f aca="false">IF($L1076=2016,1,0)</f>
        <v>1</v>
      </c>
      <c r="AK1076" s="14" t="n">
        <f aca="false">IF($L1076=2017,1,0)</f>
        <v>0</v>
      </c>
      <c r="AL1076" s="14" t="n">
        <f aca="false">IF($H1076="Beginner Level",1,0)</f>
        <v>1</v>
      </c>
      <c r="AM1076" s="14" t="n">
        <f aca="false">IF($H1076="Expert Level",1,0)</f>
        <v>0</v>
      </c>
      <c r="AN1076" s="14" t="n">
        <f aca="false">IF($H1076="Intermediate Level",1,0)</f>
        <v>0</v>
      </c>
    </row>
    <row r="1077" customFormat="false" ht="79.85" hidden="false" customHeight="false" outlineLevel="0" collapsed="false">
      <c r="A1077" s="14" t="n">
        <v>1035923</v>
      </c>
      <c r="B1077" s="14" t="s">
        <v>2195</v>
      </c>
      <c r="C1077" s="14" t="s">
        <v>2196</v>
      </c>
      <c r="D1077" s="14" t="n">
        <v>30</v>
      </c>
      <c r="E1077" s="14" t="n">
        <v>550</v>
      </c>
      <c r="F1077" s="14" t="n">
        <v>97</v>
      </c>
      <c r="G1077" s="14" t="n">
        <v>70</v>
      </c>
      <c r="H1077" s="14" t="s">
        <v>62</v>
      </c>
      <c r="I1077" s="14" t="n">
        <v>0.24</v>
      </c>
      <c r="J1077" s="14" t="n">
        <v>9</v>
      </c>
      <c r="K1077" s="14" t="s">
        <v>59</v>
      </c>
      <c r="L1077" s="14" t="n">
        <v>2016</v>
      </c>
      <c r="M1077" s="14" t="n">
        <v>6.30991827822652</v>
      </c>
      <c r="N1077" s="14" t="n">
        <v>3.40153065945228</v>
      </c>
      <c r="P1077" s="14" t="n">
        <f aca="false">D1077</f>
        <v>30</v>
      </c>
      <c r="Q1077" s="14" t="n">
        <f aca="false">G1077</f>
        <v>70</v>
      </c>
      <c r="R1077" s="14" t="n">
        <f aca="false">J1077</f>
        <v>9</v>
      </c>
      <c r="S1077" s="14" t="n">
        <f aca="false">IF($L1077=2012,1,0)</f>
        <v>0</v>
      </c>
      <c r="T1077" s="14" t="n">
        <f aca="false">IF($L1077=2013,1,0)</f>
        <v>0</v>
      </c>
      <c r="U1077" s="14" t="n">
        <f aca="false">IF($L1077=2014,1,0)</f>
        <v>0</v>
      </c>
      <c r="V1077" s="14" t="n">
        <f aca="false">IF($L1077=2015,1,0)</f>
        <v>0</v>
      </c>
      <c r="W1077" s="14" t="n">
        <f aca="false">IF($L1077=2016,1,0)</f>
        <v>1</v>
      </c>
      <c r="X1077" s="14" t="n">
        <f aca="false">IF($L1077=2017,1,0)</f>
        <v>0</v>
      </c>
      <c r="Y1077" s="14" t="n">
        <f aca="false">IF($H1077="Beginner Level",1,0)</f>
        <v>0</v>
      </c>
      <c r="Z1077" s="14" t="n">
        <f aca="false">IF($H1077="Expert Level",1,0)</f>
        <v>0</v>
      </c>
      <c r="AA1077" s="14" t="n">
        <f aca="false">IF($H1077="Intermediate Level",1,0)</f>
        <v>0</v>
      </c>
      <c r="AC1077" s="14" t="n">
        <f aca="false">N1077</f>
        <v>3.40153065945228</v>
      </c>
      <c r="AD1077" s="14" t="n">
        <f aca="false">G1077</f>
        <v>70</v>
      </c>
      <c r="AE1077" s="14" t="n">
        <f aca="false">J1077</f>
        <v>9</v>
      </c>
      <c r="AF1077" s="14" t="n">
        <f aca="false">IF($L1077=2012,1,0)</f>
        <v>0</v>
      </c>
      <c r="AG1077" s="14" t="n">
        <f aca="false">IF($L1077=2013,1,0)</f>
        <v>0</v>
      </c>
      <c r="AH1077" s="14" t="n">
        <f aca="false">IF($L1077=2014,1,0)</f>
        <v>0</v>
      </c>
      <c r="AI1077" s="14" t="n">
        <f aca="false">IF($L1077=2015,1,0)</f>
        <v>0</v>
      </c>
      <c r="AJ1077" s="14" t="n">
        <f aca="false">IF($L1077=2016,1,0)</f>
        <v>1</v>
      </c>
      <c r="AK1077" s="14" t="n">
        <f aca="false">IF($L1077=2017,1,0)</f>
        <v>0</v>
      </c>
      <c r="AL1077" s="14" t="n">
        <f aca="false">IF($H1077="Beginner Level",1,0)</f>
        <v>0</v>
      </c>
      <c r="AM1077" s="14" t="n">
        <f aca="false">IF($H1077="Expert Level",1,0)</f>
        <v>0</v>
      </c>
      <c r="AN1077" s="14" t="n">
        <f aca="false">IF($H1077="Intermediate Level",1,0)</f>
        <v>0</v>
      </c>
    </row>
    <row r="1078" customFormat="false" ht="57.45" hidden="false" customHeight="false" outlineLevel="0" collapsed="false">
      <c r="A1078" s="14" t="n">
        <v>592594</v>
      </c>
      <c r="B1078" s="14" t="s">
        <v>2197</v>
      </c>
      <c r="C1078" s="14" t="s">
        <v>2198</v>
      </c>
      <c r="D1078" s="14" t="n">
        <v>200</v>
      </c>
      <c r="E1078" s="14" t="n">
        <v>549</v>
      </c>
      <c r="F1078" s="14" t="n">
        <v>49</v>
      </c>
      <c r="G1078" s="14" t="n">
        <v>18</v>
      </c>
      <c r="H1078" s="14" t="s">
        <v>52</v>
      </c>
      <c r="I1078" s="14" t="n">
        <v>0.96</v>
      </c>
      <c r="J1078" s="14" t="n">
        <v>2</v>
      </c>
      <c r="K1078" s="14" t="s">
        <v>59</v>
      </c>
      <c r="L1078" s="14" t="n">
        <v>2015</v>
      </c>
      <c r="M1078" s="14" t="n">
        <v>6.30809844150953</v>
      </c>
      <c r="N1078" s="14" t="n">
        <v>5.29836736529808</v>
      </c>
      <c r="P1078" s="14" t="n">
        <f aca="false">D1078</f>
        <v>200</v>
      </c>
      <c r="Q1078" s="14" t="n">
        <f aca="false">G1078</f>
        <v>18</v>
      </c>
      <c r="R1078" s="14" t="n">
        <f aca="false">J1078</f>
        <v>2</v>
      </c>
      <c r="S1078" s="14" t="n">
        <f aca="false">IF($L1078=2012,1,0)</f>
        <v>0</v>
      </c>
      <c r="T1078" s="14" t="n">
        <f aca="false">IF($L1078=2013,1,0)</f>
        <v>0</v>
      </c>
      <c r="U1078" s="14" t="n">
        <f aca="false">IF($L1078=2014,1,0)</f>
        <v>0</v>
      </c>
      <c r="V1078" s="14" t="n">
        <f aca="false">IF($L1078=2015,1,0)</f>
        <v>1</v>
      </c>
      <c r="W1078" s="14" t="n">
        <f aca="false">IF($L1078=2016,1,0)</f>
        <v>0</v>
      </c>
      <c r="X1078" s="14" t="n">
        <f aca="false">IF($L1078=2017,1,0)</f>
        <v>0</v>
      </c>
      <c r="Y1078" s="14" t="n">
        <f aca="false">IF($H1078="Beginner Level",1,0)</f>
        <v>1</v>
      </c>
      <c r="Z1078" s="14" t="n">
        <f aca="false">IF($H1078="Expert Level",1,0)</f>
        <v>0</v>
      </c>
      <c r="AA1078" s="14" t="n">
        <f aca="false">IF($H1078="Intermediate Level",1,0)</f>
        <v>0</v>
      </c>
      <c r="AC1078" s="14" t="n">
        <f aca="false">N1078</f>
        <v>5.29836736529808</v>
      </c>
      <c r="AD1078" s="14" t="n">
        <f aca="false">G1078</f>
        <v>18</v>
      </c>
      <c r="AE1078" s="14" t="n">
        <f aca="false">J1078</f>
        <v>2</v>
      </c>
      <c r="AF1078" s="14" t="n">
        <f aca="false">IF($L1078=2012,1,0)</f>
        <v>0</v>
      </c>
      <c r="AG1078" s="14" t="n">
        <f aca="false">IF($L1078=2013,1,0)</f>
        <v>0</v>
      </c>
      <c r="AH1078" s="14" t="n">
        <f aca="false">IF($L1078=2014,1,0)</f>
        <v>0</v>
      </c>
      <c r="AI1078" s="14" t="n">
        <f aca="false">IF($L1078=2015,1,0)</f>
        <v>1</v>
      </c>
      <c r="AJ1078" s="14" t="n">
        <f aca="false">IF($L1078=2016,1,0)</f>
        <v>0</v>
      </c>
      <c r="AK1078" s="14" t="n">
        <f aca="false">IF($L1078=2017,1,0)</f>
        <v>0</v>
      </c>
      <c r="AL1078" s="14" t="n">
        <f aca="false">IF($H1078="Beginner Level",1,0)</f>
        <v>1</v>
      </c>
      <c r="AM1078" s="14" t="n">
        <f aca="false">IF($H1078="Expert Level",1,0)</f>
        <v>0</v>
      </c>
      <c r="AN1078" s="14" t="n">
        <f aca="false">IF($H1078="Intermediate Level",1,0)</f>
        <v>0</v>
      </c>
    </row>
    <row r="1079" customFormat="false" ht="68.65" hidden="false" customHeight="false" outlineLevel="0" collapsed="false">
      <c r="A1079" s="14" t="n">
        <v>986742</v>
      </c>
      <c r="B1079" s="14" t="s">
        <v>2199</v>
      </c>
      <c r="C1079" s="14" t="s">
        <v>2200</v>
      </c>
      <c r="D1079" s="14" t="n">
        <v>145</v>
      </c>
      <c r="E1079" s="14" t="n">
        <v>546</v>
      </c>
      <c r="F1079" s="14" t="n">
        <v>69</v>
      </c>
      <c r="G1079" s="14" t="n">
        <v>21</v>
      </c>
      <c r="H1079" s="14" t="s">
        <v>52</v>
      </c>
      <c r="I1079" s="14" t="n">
        <v>0.03</v>
      </c>
      <c r="J1079" s="14" t="n">
        <v>3</v>
      </c>
      <c r="K1079" s="14" t="s">
        <v>59</v>
      </c>
      <c r="L1079" s="14" t="n">
        <v>2016</v>
      </c>
      <c r="M1079" s="14" t="n">
        <v>6.30261897574491</v>
      </c>
      <c r="N1079" s="14" t="n">
        <v>4.9768027055598</v>
      </c>
      <c r="P1079" s="14" t="n">
        <f aca="false">D1079</f>
        <v>145</v>
      </c>
      <c r="Q1079" s="14" t="n">
        <f aca="false">G1079</f>
        <v>21</v>
      </c>
      <c r="R1079" s="14" t="n">
        <f aca="false">J1079</f>
        <v>3</v>
      </c>
      <c r="S1079" s="14" t="n">
        <f aca="false">IF($L1079=2012,1,0)</f>
        <v>0</v>
      </c>
      <c r="T1079" s="14" t="n">
        <f aca="false">IF($L1079=2013,1,0)</f>
        <v>0</v>
      </c>
      <c r="U1079" s="14" t="n">
        <f aca="false">IF($L1079=2014,1,0)</f>
        <v>0</v>
      </c>
      <c r="V1079" s="14" t="n">
        <f aca="false">IF($L1079=2015,1,0)</f>
        <v>0</v>
      </c>
      <c r="W1079" s="14" t="n">
        <f aca="false">IF($L1079=2016,1,0)</f>
        <v>1</v>
      </c>
      <c r="X1079" s="14" t="n">
        <f aca="false">IF($L1079=2017,1,0)</f>
        <v>0</v>
      </c>
      <c r="Y1079" s="14" t="n">
        <f aca="false">IF($H1079="Beginner Level",1,0)</f>
        <v>1</v>
      </c>
      <c r="Z1079" s="14" t="n">
        <f aca="false">IF($H1079="Expert Level",1,0)</f>
        <v>0</v>
      </c>
      <c r="AA1079" s="14" t="n">
        <f aca="false">IF($H1079="Intermediate Level",1,0)</f>
        <v>0</v>
      </c>
      <c r="AC1079" s="14" t="n">
        <f aca="false">N1079</f>
        <v>4.9768027055598</v>
      </c>
      <c r="AD1079" s="14" t="n">
        <f aca="false">G1079</f>
        <v>21</v>
      </c>
      <c r="AE1079" s="14" t="n">
        <f aca="false">J1079</f>
        <v>3</v>
      </c>
      <c r="AF1079" s="14" t="n">
        <f aca="false">IF($L1079=2012,1,0)</f>
        <v>0</v>
      </c>
      <c r="AG1079" s="14" t="n">
        <f aca="false">IF($L1079=2013,1,0)</f>
        <v>0</v>
      </c>
      <c r="AH1079" s="14" t="n">
        <f aca="false">IF($L1079=2014,1,0)</f>
        <v>0</v>
      </c>
      <c r="AI1079" s="14" t="n">
        <f aca="false">IF($L1079=2015,1,0)</f>
        <v>0</v>
      </c>
      <c r="AJ1079" s="14" t="n">
        <f aca="false">IF($L1079=2016,1,0)</f>
        <v>1</v>
      </c>
      <c r="AK1079" s="14" t="n">
        <f aca="false">IF($L1079=2017,1,0)</f>
        <v>0</v>
      </c>
      <c r="AL1079" s="14" t="n">
        <f aca="false">IF($H1079="Beginner Level",1,0)</f>
        <v>1</v>
      </c>
      <c r="AM1079" s="14" t="n">
        <f aca="false">IF($H1079="Expert Level",1,0)</f>
        <v>0</v>
      </c>
      <c r="AN1079" s="14" t="n">
        <f aca="false">IF($H1079="Intermediate Level",1,0)</f>
        <v>0</v>
      </c>
    </row>
    <row r="1080" customFormat="false" ht="57.45" hidden="false" customHeight="false" outlineLevel="0" collapsed="false">
      <c r="A1080" s="14" t="n">
        <v>1176460</v>
      </c>
      <c r="B1080" s="14" t="s">
        <v>2201</v>
      </c>
      <c r="C1080" s="14" t="s">
        <v>2202</v>
      </c>
      <c r="D1080" s="14" t="n">
        <v>45</v>
      </c>
      <c r="E1080" s="14" t="n">
        <v>540</v>
      </c>
      <c r="F1080" s="14" t="n">
        <v>11</v>
      </c>
      <c r="G1080" s="14" t="n">
        <v>19</v>
      </c>
      <c r="H1080" s="14" t="s">
        <v>52</v>
      </c>
      <c r="I1080" s="14" t="n">
        <v>0.07</v>
      </c>
      <c r="J1080" s="14" t="n">
        <v>1</v>
      </c>
      <c r="K1080" s="14" t="s">
        <v>59</v>
      </c>
      <c r="L1080" s="14" t="n">
        <v>2017</v>
      </c>
      <c r="M1080" s="14" t="n">
        <v>6.29156913955832</v>
      </c>
      <c r="N1080" s="14" t="n">
        <v>3.80688468730484</v>
      </c>
      <c r="P1080" s="14" t="n">
        <f aca="false">D1080</f>
        <v>45</v>
      </c>
      <c r="Q1080" s="14" t="n">
        <f aca="false">G1080</f>
        <v>19</v>
      </c>
      <c r="R1080" s="14" t="n">
        <f aca="false">J1080</f>
        <v>1</v>
      </c>
      <c r="S1080" s="14" t="n">
        <f aca="false">IF($L1080=2012,1,0)</f>
        <v>0</v>
      </c>
      <c r="T1080" s="14" t="n">
        <f aca="false">IF($L1080=2013,1,0)</f>
        <v>0</v>
      </c>
      <c r="U1080" s="14" t="n">
        <f aca="false">IF($L1080=2014,1,0)</f>
        <v>0</v>
      </c>
      <c r="V1080" s="14" t="n">
        <f aca="false">IF($L1080=2015,1,0)</f>
        <v>0</v>
      </c>
      <c r="W1080" s="14" t="n">
        <f aca="false">IF($L1080=2016,1,0)</f>
        <v>0</v>
      </c>
      <c r="X1080" s="14" t="n">
        <f aca="false">IF($L1080=2017,1,0)</f>
        <v>1</v>
      </c>
      <c r="Y1080" s="14" t="n">
        <f aca="false">IF($H1080="Beginner Level",1,0)</f>
        <v>1</v>
      </c>
      <c r="Z1080" s="14" t="n">
        <f aca="false">IF($H1080="Expert Level",1,0)</f>
        <v>0</v>
      </c>
      <c r="AA1080" s="14" t="n">
        <f aca="false">IF($H1080="Intermediate Level",1,0)</f>
        <v>0</v>
      </c>
      <c r="AC1080" s="14" t="n">
        <f aca="false">N1080</f>
        <v>3.80688468730484</v>
      </c>
      <c r="AD1080" s="14" t="n">
        <f aca="false">G1080</f>
        <v>19</v>
      </c>
      <c r="AE1080" s="14" t="n">
        <f aca="false">J1080</f>
        <v>1</v>
      </c>
      <c r="AF1080" s="14" t="n">
        <f aca="false">IF($L1080=2012,1,0)</f>
        <v>0</v>
      </c>
      <c r="AG1080" s="14" t="n">
        <f aca="false">IF($L1080=2013,1,0)</f>
        <v>0</v>
      </c>
      <c r="AH1080" s="14" t="n">
        <f aca="false">IF($L1080=2014,1,0)</f>
        <v>0</v>
      </c>
      <c r="AI1080" s="14" t="n">
        <f aca="false">IF($L1080=2015,1,0)</f>
        <v>0</v>
      </c>
      <c r="AJ1080" s="14" t="n">
        <f aca="false">IF($L1080=2016,1,0)</f>
        <v>0</v>
      </c>
      <c r="AK1080" s="14" t="n">
        <f aca="false">IF($L1080=2017,1,0)</f>
        <v>1</v>
      </c>
      <c r="AL1080" s="14" t="n">
        <f aca="false">IF($H1080="Beginner Level",1,0)</f>
        <v>1</v>
      </c>
      <c r="AM1080" s="14" t="n">
        <f aca="false">IF($H1080="Expert Level",1,0)</f>
        <v>0</v>
      </c>
      <c r="AN1080" s="14" t="n">
        <f aca="false">IF($H1080="Intermediate Level",1,0)</f>
        <v>0</v>
      </c>
    </row>
    <row r="1081" customFormat="false" ht="79.85" hidden="false" customHeight="false" outlineLevel="0" collapsed="false">
      <c r="A1081" s="14" t="n">
        <v>667744</v>
      </c>
      <c r="B1081" s="14" t="s">
        <v>2203</v>
      </c>
      <c r="C1081" s="14" t="s">
        <v>2204</v>
      </c>
      <c r="D1081" s="14" t="n">
        <v>50</v>
      </c>
      <c r="E1081" s="14" t="n">
        <v>540</v>
      </c>
      <c r="F1081" s="14" t="n">
        <v>13</v>
      </c>
      <c r="G1081" s="14" t="n">
        <v>15</v>
      </c>
      <c r="H1081" s="14" t="s">
        <v>52</v>
      </c>
      <c r="I1081" s="14" t="n">
        <v>0.76</v>
      </c>
      <c r="J1081" s="14" t="n">
        <v>0.6</v>
      </c>
      <c r="K1081" s="14" t="s">
        <v>59</v>
      </c>
      <c r="L1081" s="14" t="n">
        <v>2015</v>
      </c>
      <c r="M1081" s="14" t="n">
        <v>6.29156913955832</v>
      </c>
      <c r="N1081" s="14" t="n">
        <v>3.91222298543081</v>
      </c>
      <c r="P1081" s="14" t="n">
        <f aca="false">D1081</f>
        <v>50</v>
      </c>
      <c r="Q1081" s="14" t="n">
        <f aca="false">G1081</f>
        <v>15</v>
      </c>
      <c r="R1081" s="14" t="n">
        <f aca="false">J1081</f>
        <v>0.6</v>
      </c>
      <c r="S1081" s="14" t="n">
        <f aca="false">IF($L1081=2012,1,0)</f>
        <v>0</v>
      </c>
      <c r="T1081" s="14" t="n">
        <f aca="false">IF($L1081=2013,1,0)</f>
        <v>0</v>
      </c>
      <c r="U1081" s="14" t="n">
        <f aca="false">IF($L1081=2014,1,0)</f>
        <v>0</v>
      </c>
      <c r="V1081" s="14" t="n">
        <f aca="false">IF($L1081=2015,1,0)</f>
        <v>1</v>
      </c>
      <c r="W1081" s="14" t="n">
        <f aca="false">IF($L1081=2016,1,0)</f>
        <v>0</v>
      </c>
      <c r="X1081" s="14" t="n">
        <f aca="false">IF($L1081=2017,1,0)</f>
        <v>0</v>
      </c>
      <c r="Y1081" s="14" t="n">
        <f aca="false">IF($H1081="Beginner Level",1,0)</f>
        <v>1</v>
      </c>
      <c r="Z1081" s="14" t="n">
        <f aca="false">IF($H1081="Expert Level",1,0)</f>
        <v>0</v>
      </c>
      <c r="AA1081" s="14" t="n">
        <f aca="false">IF($H1081="Intermediate Level",1,0)</f>
        <v>0</v>
      </c>
      <c r="AC1081" s="14" t="n">
        <f aca="false">N1081</f>
        <v>3.91222298543081</v>
      </c>
      <c r="AD1081" s="14" t="n">
        <f aca="false">G1081</f>
        <v>15</v>
      </c>
      <c r="AE1081" s="14" t="n">
        <f aca="false">J1081</f>
        <v>0.6</v>
      </c>
      <c r="AF1081" s="14" t="n">
        <f aca="false">IF($L1081=2012,1,0)</f>
        <v>0</v>
      </c>
      <c r="AG1081" s="14" t="n">
        <f aca="false">IF($L1081=2013,1,0)</f>
        <v>0</v>
      </c>
      <c r="AH1081" s="14" t="n">
        <f aca="false">IF($L1081=2014,1,0)</f>
        <v>0</v>
      </c>
      <c r="AI1081" s="14" t="n">
        <f aca="false">IF($L1081=2015,1,0)</f>
        <v>1</v>
      </c>
      <c r="AJ1081" s="14" t="n">
        <f aca="false">IF($L1081=2016,1,0)</f>
        <v>0</v>
      </c>
      <c r="AK1081" s="14" t="n">
        <f aca="false">IF($L1081=2017,1,0)</f>
        <v>0</v>
      </c>
      <c r="AL1081" s="14" t="n">
        <f aca="false">IF($H1081="Beginner Level",1,0)</f>
        <v>1</v>
      </c>
      <c r="AM1081" s="14" t="n">
        <f aca="false">IF($H1081="Expert Level",1,0)</f>
        <v>0</v>
      </c>
      <c r="AN1081" s="14" t="n">
        <f aca="false">IF($H1081="Intermediate Level",1,0)</f>
        <v>0</v>
      </c>
    </row>
    <row r="1082" customFormat="false" ht="68.65" hidden="false" customHeight="false" outlineLevel="0" collapsed="false">
      <c r="A1082" s="14" t="n">
        <v>1072248</v>
      </c>
      <c r="B1082" s="14" t="s">
        <v>2205</v>
      </c>
      <c r="C1082" s="14" t="s">
        <v>2206</v>
      </c>
      <c r="D1082" s="14" t="n">
        <v>85</v>
      </c>
      <c r="E1082" s="14" t="n">
        <v>538</v>
      </c>
      <c r="F1082" s="14" t="n">
        <v>13</v>
      </c>
      <c r="G1082" s="14" t="n">
        <v>113</v>
      </c>
      <c r="H1082" s="14" t="s">
        <v>52</v>
      </c>
      <c r="I1082" s="14" t="n">
        <v>0.75</v>
      </c>
      <c r="J1082" s="14" t="n">
        <v>18.5</v>
      </c>
      <c r="K1082" s="14" t="s">
        <v>59</v>
      </c>
      <c r="L1082" s="14" t="n">
        <v>2017</v>
      </c>
      <c r="M1082" s="14" t="n">
        <v>6.28785856016178</v>
      </c>
      <c r="N1082" s="14" t="n">
        <v>4.44276889662927</v>
      </c>
      <c r="P1082" s="14" t="n">
        <f aca="false">D1082</f>
        <v>85</v>
      </c>
      <c r="Q1082" s="14" t="n">
        <f aca="false">G1082</f>
        <v>113</v>
      </c>
      <c r="R1082" s="14" t="n">
        <f aca="false">J1082</f>
        <v>18.5</v>
      </c>
      <c r="S1082" s="14" t="n">
        <f aca="false">IF($L1082=2012,1,0)</f>
        <v>0</v>
      </c>
      <c r="T1082" s="14" t="n">
        <f aca="false">IF($L1082=2013,1,0)</f>
        <v>0</v>
      </c>
      <c r="U1082" s="14" t="n">
        <f aca="false">IF($L1082=2014,1,0)</f>
        <v>0</v>
      </c>
      <c r="V1082" s="14" t="n">
        <f aca="false">IF($L1082=2015,1,0)</f>
        <v>0</v>
      </c>
      <c r="W1082" s="14" t="n">
        <f aca="false">IF($L1082=2016,1,0)</f>
        <v>0</v>
      </c>
      <c r="X1082" s="14" t="n">
        <f aca="false">IF($L1082=2017,1,0)</f>
        <v>1</v>
      </c>
      <c r="Y1082" s="14" t="n">
        <f aca="false">IF($H1082="Beginner Level",1,0)</f>
        <v>1</v>
      </c>
      <c r="Z1082" s="14" t="n">
        <f aca="false">IF($H1082="Expert Level",1,0)</f>
        <v>0</v>
      </c>
      <c r="AA1082" s="14" t="n">
        <f aca="false">IF($H1082="Intermediate Level",1,0)</f>
        <v>0</v>
      </c>
      <c r="AC1082" s="14" t="n">
        <f aca="false">N1082</f>
        <v>4.44276889662927</v>
      </c>
      <c r="AD1082" s="14" t="n">
        <f aca="false">G1082</f>
        <v>113</v>
      </c>
      <c r="AE1082" s="14" t="n">
        <f aca="false">J1082</f>
        <v>18.5</v>
      </c>
      <c r="AF1082" s="14" t="n">
        <f aca="false">IF($L1082=2012,1,0)</f>
        <v>0</v>
      </c>
      <c r="AG1082" s="14" t="n">
        <f aca="false">IF($L1082=2013,1,0)</f>
        <v>0</v>
      </c>
      <c r="AH1082" s="14" t="n">
        <f aca="false">IF($L1082=2014,1,0)</f>
        <v>0</v>
      </c>
      <c r="AI1082" s="14" t="n">
        <f aca="false">IF($L1082=2015,1,0)</f>
        <v>0</v>
      </c>
      <c r="AJ1082" s="14" t="n">
        <f aca="false">IF($L1082=2016,1,0)</f>
        <v>0</v>
      </c>
      <c r="AK1082" s="14" t="n">
        <f aca="false">IF($L1082=2017,1,0)</f>
        <v>1</v>
      </c>
      <c r="AL1082" s="14" t="n">
        <f aca="false">IF($H1082="Beginner Level",1,0)</f>
        <v>1</v>
      </c>
      <c r="AM1082" s="14" t="n">
        <f aca="false">IF($H1082="Expert Level",1,0)</f>
        <v>0</v>
      </c>
      <c r="AN1082" s="14" t="n">
        <f aca="false">IF($H1082="Intermediate Level",1,0)</f>
        <v>0</v>
      </c>
    </row>
    <row r="1083" customFormat="false" ht="46.25" hidden="false" customHeight="false" outlineLevel="0" collapsed="false">
      <c r="A1083" s="14" t="n">
        <v>924216</v>
      </c>
      <c r="B1083" s="14" t="s">
        <v>2207</v>
      </c>
      <c r="C1083" s="14" t="s">
        <v>2208</v>
      </c>
      <c r="D1083" s="14" t="n">
        <v>175</v>
      </c>
      <c r="E1083" s="14" t="n">
        <v>534</v>
      </c>
      <c r="F1083" s="14" t="n">
        <v>16</v>
      </c>
      <c r="G1083" s="14" t="n">
        <v>51</v>
      </c>
      <c r="H1083" s="14" t="s">
        <v>52</v>
      </c>
      <c r="I1083" s="14" t="n">
        <v>0.11</v>
      </c>
      <c r="J1083" s="14" t="n">
        <v>4</v>
      </c>
      <c r="K1083" s="14" t="s">
        <v>59</v>
      </c>
      <c r="L1083" s="14" t="n">
        <v>2016</v>
      </c>
      <c r="M1083" s="14" t="n">
        <v>6.2803958389602</v>
      </c>
      <c r="N1083" s="14" t="n">
        <v>5.16484311514807</v>
      </c>
      <c r="P1083" s="14" t="n">
        <f aca="false">D1083</f>
        <v>175</v>
      </c>
      <c r="Q1083" s="14" t="n">
        <f aca="false">G1083</f>
        <v>51</v>
      </c>
      <c r="R1083" s="14" t="n">
        <f aca="false">J1083</f>
        <v>4</v>
      </c>
      <c r="S1083" s="14" t="n">
        <f aca="false">IF($L1083=2012,1,0)</f>
        <v>0</v>
      </c>
      <c r="T1083" s="14" t="n">
        <f aca="false">IF($L1083=2013,1,0)</f>
        <v>0</v>
      </c>
      <c r="U1083" s="14" t="n">
        <f aca="false">IF($L1083=2014,1,0)</f>
        <v>0</v>
      </c>
      <c r="V1083" s="14" t="n">
        <f aca="false">IF($L1083=2015,1,0)</f>
        <v>0</v>
      </c>
      <c r="W1083" s="14" t="n">
        <f aca="false">IF($L1083=2016,1,0)</f>
        <v>1</v>
      </c>
      <c r="X1083" s="14" t="n">
        <f aca="false">IF($L1083=2017,1,0)</f>
        <v>0</v>
      </c>
      <c r="Y1083" s="14" t="n">
        <f aca="false">IF($H1083="Beginner Level",1,0)</f>
        <v>1</v>
      </c>
      <c r="Z1083" s="14" t="n">
        <f aca="false">IF($H1083="Expert Level",1,0)</f>
        <v>0</v>
      </c>
      <c r="AA1083" s="14" t="n">
        <f aca="false">IF($H1083="Intermediate Level",1,0)</f>
        <v>0</v>
      </c>
      <c r="AC1083" s="14" t="n">
        <f aca="false">N1083</f>
        <v>5.16484311514807</v>
      </c>
      <c r="AD1083" s="14" t="n">
        <f aca="false">G1083</f>
        <v>51</v>
      </c>
      <c r="AE1083" s="14" t="n">
        <f aca="false">J1083</f>
        <v>4</v>
      </c>
      <c r="AF1083" s="14" t="n">
        <f aca="false">IF($L1083=2012,1,0)</f>
        <v>0</v>
      </c>
      <c r="AG1083" s="14" t="n">
        <f aca="false">IF($L1083=2013,1,0)</f>
        <v>0</v>
      </c>
      <c r="AH1083" s="14" t="n">
        <f aca="false">IF($L1083=2014,1,0)</f>
        <v>0</v>
      </c>
      <c r="AI1083" s="14" t="n">
        <f aca="false">IF($L1083=2015,1,0)</f>
        <v>0</v>
      </c>
      <c r="AJ1083" s="14" t="n">
        <f aca="false">IF($L1083=2016,1,0)</f>
        <v>1</v>
      </c>
      <c r="AK1083" s="14" t="n">
        <f aca="false">IF($L1083=2017,1,0)</f>
        <v>0</v>
      </c>
      <c r="AL1083" s="14" t="n">
        <f aca="false">IF($H1083="Beginner Level",1,0)</f>
        <v>1</v>
      </c>
      <c r="AM1083" s="14" t="n">
        <f aca="false">IF($H1083="Expert Level",1,0)</f>
        <v>0</v>
      </c>
      <c r="AN1083" s="14" t="n">
        <f aca="false">IF($H1083="Intermediate Level",1,0)</f>
        <v>0</v>
      </c>
    </row>
    <row r="1084" customFormat="false" ht="68.65" hidden="false" customHeight="false" outlineLevel="0" collapsed="false">
      <c r="A1084" s="14" t="n">
        <v>421018</v>
      </c>
      <c r="B1084" s="14" t="s">
        <v>2209</v>
      </c>
      <c r="C1084" s="14" t="s">
        <v>2210</v>
      </c>
      <c r="D1084" s="14" t="n">
        <v>75</v>
      </c>
      <c r="E1084" s="14" t="n">
        <v>533</v>
      </c>
      <c r="F1084" s="14" t="n">
        <v>54</v>
      </c>
      <c r="G1084" s="14" t="n">
        <v>23</v>
      </c>
      <c r="H1084" s="14" t="s">
        <v>62</v>
      </c>
      <c r="I1084" s="14" t="n">
        <v>0.34</v>
      </c>
      <c r="J1084" s="14" t="n">
        <v>3</v>
      </c>
      <c r="K1084" s="14" t="s">
        <v>59</v>
      </c>
      <c r="L1084" s="14" t="n">
        <v>2015</v>
      </c>
      <c r="M1084" s="14" t="n">
        <v>6.27852142416584</v>
      </c>
      <c r="N1084" s="14" t="n">
        <v>4.31762143798155</v>
      </c>
      <c r="P1084" s="14" t="n">
        <f aca="false">D1084</f>
        <v>75</v>
      </c>
      <c r="Q1084" s="14" t="n">
        <f aca="false">G1084</f>
        <v>23</v>
      </c>
      <c r="R1084" s="14" t="n">
        <f aca="false">J1084</f>
        <v>3</v>
      </c>
      <c r="S1084" s="14" t="n">
        <f aca="false">IF($L1084=2012,1,0)</f>
        <v>0</v>
      </c>
      <c r="T1084" s="14" t="n">
        <f aca="false">IF($L1084=2013,1,0)</f>
        <v>0</v>
      </c>
      <c r="U1084" s="14" t="n">
        <f aca="false">IF($L1084=2014,1,0)</f>
        <v>0</v>
      </c>
      <c r="V1084" s="14" t="n">
        <f aca="false">IF($L1084=2015,1,0)</f>
        <v>1</v>
      </c>
      <c r="W1084" s="14" t="n">
        <f aca="false">IF($L1084=2016,1,0)</f>
        <v>0</v>
      </c>
      <c r="X1084" s="14" t="n">
        <f aca="false">IF($L1084=2017,1,0)</f>
        <v>0</v>
      </c>
      <c r="Y1084" s="14" t="n">
        <f aca="false">IF($H1084="Beginner Level",1,0)</f>
        <v>0</v>
      </c>
      <c r="Z1084" s="14" t="n">
        <f aca="false">IF($H1084="Expert Level",1,0)</f>
        <v>0</v>
      </c>
      <c r="AA1084" s="14" t="n">
        <f aca="false">IF($H1084="Intermediate Level",1,0)</f>
        <v>0</v>
      </c>
      <c r="AC1084" s="14" t="n">
        <f aca="false">N1084</f>
        <v>4.31762143798155</v>
      </c>
      <c r="AD1084" s="14" t="n">
        <f aca="false">G1084</f>
        <v>23</v>
      </c>
      <c r="AE1084" s="14" t="n">
        <f aca="false">J1084</f>
        <v>3</v>
      </c>
      <c r="AF1084" s="14" t="n">
        <f aca="false">IF($L1084=2012,1,0)</f>
        <v>0</v>
      </c>
      <c r="AG1084" s="14" t="n">
        <f aca="false">IF($L1084=2013,1,0)</f>
        <v>0</v>
      </c>
      <c r="AH1084" s="14" t="n">
        <f aca="false">IF($L1084=2014,1,0)</f>
        <v>0</v>
      </c>
      <c r="AI1084" s="14" t="n">
        <f aca="false">IF($L1084=2015,1,0)</f>
        <v>1</v>
      </c>
      <c r="AJ1084" s="14" t="n">
        <f aca="false">IF($L1084=2016,1,0)</f>
        <v>0</v>
      </c>
      <c r="AK1084" s="14" t="n">
        <f aca="false">IF($L1084=2017,1,0)</f>
        <v>0</v>
      </c>
      <c r="AL1084" s="14" t="n">
        <f aca="false">IF($H1084="Beginner Level",1,0)</f>
        <v>0</v>
      </c>
      <c r="AM1084" s="14" t="n">
        <f aca="false">IF($H1084="Expert Level",1,0)</f>
        <v>0</v>
      </c>
      <c r="AN1084" s="14" t="n">
        <f aca="false">IF($H1084="Intermediate Level",1,0)</f>
        <v>0</v>
      </c>
    </row>
    <row r="1085" customFormat="false" ht="79.85" hidden="false" customHeight="false" outlineLevel="0" collapsed="false">
      <c r="A1085" s="14" t="n">
        <v>344224</v>
      </c>
      <c r="B1085" s="14" t="s">
        <v>2211</v>
      </c>
      <c r="C1085" s="14" t="s">
        <v>2212</v>
      </c>
      <c r="D1085" s="14" t="n">
        <v>40</v>
      </c>
      <c r="E1085" s="14" t="n">
        <v>527</v>
      </c>
      <c r="F1085" s="14" t="n">
        <v>63</v>
      </c>
      <c r="G1085" s="14" t="n">
        <v>11</v>
      </c>
      <c r="H1085" s="14" t="s">
        <v>62</v>
      </c>
      <c r="I1085" s="14" t="n">
        <v>0.78</v>
      </c>
      <c r="J1085" s="14" t="n">
        <v>2.5</v>
      </c>
      <c r="K1085" s="14" t="s">
        <v>59</v>
      </c>
      <c r="L1085" s="14" t="n">
        <v>2014</v>
      </c>
      <c r="M1085" s="14" t="n">
        <v>6.26720054854136</v>
      </c>
      <c r="N1085" s="14" t="n">
        <v>3.68912942286914</v>
      </c>
      <c r="P1085" s="14" t="n">
        <f aca="false">D1085</f>
        <v>40</v>
      </c>
      <c r="Q1085" s="14" t="n">
        <f aca="false">G1085</f>
        <v>11</v>
      </c>
      <c r="R1085" s="14" t="n">
        <f aca="false">J1085</f>
        <v>2.5</v>
      </c>
      <c r="S1085" s="14" t="n">
        <f aca="false">IF($L1085=2012,1,0)</f>
        <v>0</v>
      </c>
      <c r="T1085" s="14" t="n">
        <f aca="false">IF($L1085=2013,1,0)</f>
        <v>0</v>
      </c>
      <c r="U1085" s="14" t="n">
        <f aca="false">IF($L1085=2014,1,0)</f>
        <v>1</v>
      </c>
      <c r="V1085" s="14" t="n">
        <f aca="false">IF($L1085=2015,1,0)</f>
        <v>0</v>
      </c>
      <c r="W1085" s="14" t="n">
        <f aca="false">IF($L1085=2016,1,0)</f>
        <v>0</v>
      </c>
      <c r="X1085" s="14" t="n">
        <f aca="false">IF($L1085=2017,1,0)</f>
        <v>0</v>
      </c>
      <c r="Y1085" s="14" t="n">
        <f aca="false">IF($H1085="Beginner Level",1,0)</f>
        <v>0</v>
      </c>
      <c r="Z1085" s="14" t="n">
        <f aca="false">IF($H1085="Expert Level",1,0)</f>
        <v>0</v>
      </c>
      <c r="AA1085" s="14" t="n">
        <f aca="false">IF($H1085="Intermediate Level",1,0)</f>
        <v>0</v>
      </c>
      <c r="AC1085" s="14" t="n">
        <f aca="false">N1085</f>
        <v>3.68912942286914</v>
      </c>
      <c r="AD1085" s="14" t="n">
        <f aca="false">G1085</f>
        <v>11</v>
      </c>
      <c r="AE1085" s="14" t="n">
        <f aca="false">J1085</f>
        <v>2.5</v>
      </c>
      <c r="AF1085" s="14" t="n">
        <f aca="false">IF($L1085=2012,1,0)</f>
        <v>0</v>
      </c>
      <c r="AG1085" s="14" t="n">
        <f aca="false">IF($L1085=2013,1,0)</f>
        <v>0</v>
      </c>
      <c r="AH1085" s="14" t="n">
        <f aca="false">IF($L1085=2014,1,0)</f>
        <v>1</v>
      </c>
      <c r="AI1085" s="14" t="n">
        <f aca="false">IF($L1085=2015,1,0)</f>
        <v>0</v>
      </c>
      <c r="AJ1085" s="14" t="n">
        <f aca="false">IF($L1085=2016,1,0)</f>
        <v>0</v>
      </c>
      <c r="AK1085" s="14" t="n">
        <f aca="false">IF($L1085=2017,1,0)</f>
        <v>0</v>
      </c>
      <c r="AL1085" s="14" t="n">
        <f aca="false">IF($H1085="Beginner Level",1,0)</f>
        <v>0</v>
      </c>
      <c r="AM1085" s="14" t="n">
        <f aca="false">IF($H1085="Expert Level",1,0)</f>
        <v>0</v>
      </c>
      <c r="AN1085" s="14" t="n">
        <f aca="false">IF($H1085="Intermediate Level",1,0)</f>
        <v>0</v>
      </c>
    </row>
    <row r="1086" customFormat="false" ht="79.85" hidden="false" customHeight="false" outlineLevel="0" collapsed="false">
      <c r="A1086" s="14" t="n">
        <v>928040</v>
      </c>
      <c r="B1086" s="14" t="s">
        <v>2213</v>
      </c>
      <c r="C1086" s="14" t="s">
        <v>2214</v>
      </c>
      <c r="D1086" s="14" t="n">
        <v>145</v>
      </c>
      <c r="E1086" s="14" t="n">
        <v>522</v>
      </c>
      <c r="F1086" s="14" t="n">
        <v>50</v>
      </c>
      <c r="G1086" s="14" t="n">
        <v>48</v>
      </c>
      <c r="H1086" s="14" t="s">
        <v>52</v>
      </c>
      <c r="I1086" s="14" t="n">
        <v>0.79</v>
      </c>
      <c r="J1086" s="14" t="n">
        <v>5.5</v>
      </c>
      <c r="K1086" s="14" t="s">
        <v>59</v>
      </c>
      <c r="L1086" s="14" t="n">
        <v>2016</v>
      </c>
      <c r="M1086" s="14" t="n">
        <v>6.25766758788264</v>
      </c>
      <c r="N1086" s="14" t="n">
        <v>4.9768027055598</v>
      </c>
      <c r="P1086" s="14" t="n">
        <f aca="false">D1086</f>
        <v>145</v>
      </c>
      <c r="Q1086" s="14" t="n">
        <f aca="false">G1086</f>
        <v>48</v>
      </c>
      <c r="R1086" s="14" t="n">
        <f aca="false">J1086</f>
        <v>5.5</v>
      </c>
      <c r="S1086" s="14" t="n">
        <f aca="false">IF($L1086=2012,1,0)</f>
        <v>0</v>
      </c>
      <c r="T1086" s="14" t="n">
        <f aca="false">IF($L1086=2013,1,0)</f>
        <v>0</v>
      </c>
      <c r="U1086" s="14" t="n">
        <f aca="false">IF($L1086=2014,1,0)</f>
        <v>0</v>
      </c>
      <c r="V1086" s="14" t="n">
        <f aca="false">IF($L1086=2015,1,0)</f>
        <v>0</v>
      </c>
      <c r="W1086" s="14" t="n">
        <f aca="false">IF($L1086=2016,1,0)</f>
        <v>1</v>
      </c>
      <c r="X1086" s="14" t="n">
        <f aca="false">IF($L1086=2017,1,0)</f>
        <v>0</v>
      </c>
      <c r="Y1086" s="14" t="n">
        <f aca="false">IF($H1086="Beginner Level",1,0)</f>
        <v>1</v>
      </c>
      <c r="Z1086" s="14" t="n">
        <f aca="false">IF($H1086="Expert Level",1,0)</f>
        <v>0</v>
      </c>
      <c r="AA1086" s="14" t="n">
        <f aca="false">IF($H1086="Intermediate Level",1,0)</f>
        <v>0</v>
      </c>
      <c r="AC1086" s="14" t="n">
        <f aca="false">N1086</f>
        <v>4.9768027055598</v>
      </c>
      <c r="AD1086" s="14" t="n">
        <f aca="false">G1086</f>
        <v>48</v>
      </c>
      <c r="AE1086" s="14" t="n">
        <f aca="false">J1086</f>
        <v>5.5</v>
      </c>
      <c r="AF1086" s="14" t="n">
        <f aca="false">IF($L1086=2012,1,0)</f>
        <v>0</v>
      </c>
      <c r="AG1086" s="14" t="n">
        <f aca="false">IF($L1086=2013,1,0)</f>
        <v>0</v>
      </c>
      <c r="AH1086" s="14" t="n">
        <f aca="false">IF($L1086=2014,1,0)</f>
        <v>0</v>
      </c>
      <c r="AI1086" s="14" t="n">
        <f aca="false">IF($L1086=2015,1,0)</f>
        <v>0</v>
      </c>
      <c r="AJ1086" s="14" t="n">
        <f aca="false">IF($L1086=2016,1,0)</f>
        <v>1</v>
      </c>
      <c r="AK1086" s="14" t="n">
        <f aca="false">IF($L1086=2017,1,0)</f>
        <v>0</v>
      </c>
      <c r="AL1086" s="14" t="n">
        <f aca="false">IF($H1086="Beginner Level",1,0)</f>
        <v>1</v>
      </c>
      <c r="AM1086" s="14" t="n">
        <f aca="false">IF($H1086="Expert Level",1,0)</f>
        <v>0</v>
      </c>
      <c r="AN1086" s="14" t="n">
        <f aca="false">IF($H1086="Intermediate Level",1,0)</f>
        <v>0</v>
      </c>
    </row>
    <row r="1087" customFormat="false" ht="57.45" hidden="false" customHeight="false" outlineLevel="0" collapsed="false">
      <c r="A1087" s="14" t="n">
        <v>635248</v>
      </c>
      <c r="B1087" s="14" t="s">
        <v>2215</v>
      </c>
      <c r="C1087" s="14" t="s">
        <v>2216</v>
      </c>
      <c r="D1087" s="14" t="n">
        <v>40</v>
      </c>
      <c r="E1087" s="14" t="n">
        <v>513</v>
      </c>
      <c r="F1087" s="14" t="n">
        <v>169</v>
      </c>
      <c r="G1087" s="14" t="n">
        <v>48</v>
      </c>
      <c r="H1087" s="14" t="s">
        <v>56</v>
      </c>
      <c r="I1087" s="14" t="n">
        <v>0.78</v>
      </c>
      <c r="J1087" s="14" t="n">
        <v>3.5</v>
      </c>
      <c r="K1087" s="14" t="s">
        <v>59</v>
      </c>
      <c r="L1087" s="14" t="n">
        <v>2015</v>
      </c>
      <c r="M1087" s="14" t="n">
        <v>6.24027584517077</v>
      </c>
      <c r="N1087" s="14" t="n">
        <v>3.68912942286914</v>
      </c>
      <c r="P1087" s="14" t="n">
        <f aca="false">D1087</f>
        <v>40</v>
      </c>
      <c r="Q1087" s="14" t="n">
        <f aca="false">G1087</f>
        <v>48</v>
      </c>
      <c r="R1087" s="14" t="n">
        <f aca="false">J1087</f>
        <v>3.5</v>
      </c>
      <c r="S1087" s="14" t="n">
        <f aca="false">IF($L1087=2012,1,0)</f>
        <v>0</v>
      </c>
      <c r="T1087" s="14" t="n">
        <f aca="false">IF($L1087=2013,1,0)</f>
        <v>0</v>
      </c>
      <c r="U1087" s="14" t="n">
        <f aca="false">IF($L1087=2014,1,0)</f>
        <v>0</v>
      </c>
      <c r="V1087" s="14" t="n">
        <f aca="false">IF($L1087=2015,1,0)</f>
        <v>1</v>
      </c>
      <c r="W1087" s="14" t="n">
        <f aca="false">IF($L1087=2016,1,0)</f>
        <v>0</v>
      </c>
      <c r="X1087" s="14" t="n">
        <f aca="false">IF($L1087=2017,1,0)</f>
        <v>0</v>
      </c>
      <c r="Y1087" s="14" t="n">
        <f aca="false">IF($H1087="Beginner Level",1,0)</f>
        <v>0</v>
      </c>
      <c r="Z1087" s="14" t="n">
        <f aca="false">IF($H1087="Expert Level",1,0)</f>
        <v>1</v>
      </c>
      <c r="AA1087" s="14" t="n">
        <f aca="false">IF($H1087="Intermediate Level",1,0)</f>
        <v>0</v>
      </c>
      <c r="AC1087" s="14" t="n">
        <f aca="false">N1087</f>
        <v>3.68912942286914</v>
      </c>
      <c r="AD1087" s="14" t="n">
        <f aca="false">G1087</f>
        <v>48</v>
      </c>
      <c r="AE1087" s="14" t="n">
        <f aca="false">J1087</f>
        <v>3.5</v>
      </c>
      <c r="AF1087" s="14" t="n">
        <f aca="false">IF($L1087=2012,1,0)</f>
        <v>0</v>
      </c>
      <c r="AG1087" s="14" t="n">
        <f aca="false">IF($L1087=2013,1,0)</f>
        <v>0</v>
      </c>
      <c r="AH1087" s="14" t="n">
        <f aca="false">IF($L1087=2014,1,0)</f>
        <v>0</v>
      </c>
      <c r="AI1087" s="14" t="n">
        <f aca="false">IF($L1087=2015,1,0)</f>
        <v>1</v>
      </c>
      <c r="AJ1087" s="14" t="n">
        <f aca="false">IF($L1087=2016,1,0)</f>
        <v>0</v>
      </c>
      <c r="AK1087" s="14" t="n">
        <f aca="false">IF($L1087=2017,1,0)</f>
        <v>0</v>
      </c>
      <c r="AL1087" s="14" t="n">
        <f aca="false">IF($H1087="Beginner Level",1,0)</f>
        <v>0</v>
      </c>
      <c r="AM1087" s="14" t="n">
        <f aca="false">IF($H1087="Expert Level",1,0)</f>
        <v>1</v>
      </c>
      <c r="AN1087" s="14" t="n">
        <f aca="false">IF($H1087="Intermediate Level",1,0)</f>
        <v>0</v>
      </c>
    </row>
    <row r="1088" customFormat="false" ht="68.65" hidden="false" customHeight="false" outlineLevel="0" collapsed="false">
      <c r="A1088" s="14" t="n">
        <v>1022682</v>
      </c>
      <c r="B1088" s="14" t="s">
        <v>2217</v>
      </c>
      <c r="C1088" s="14" t="s">
        <v>2218</v>
      </c>
      <c r="D1088" s="14" t="n">
        <v>45</v>
      </c>
      <c r="E1088" s="14" t="n">
        <v>511</v>
      </c>
      <c r="F1088" s="14" t="n">
        <v>12</v>
      </c>
      <c r="G1088" s="14" t="n">
        <v>7</v>
      </c>
      <c r="H1088" s="14" t="s">
        <v>56</v>
      </c>
      <c r="I1088" s="14" t="n">
        <v>0.34</v>
      </c>
      <c r="J1088" s="14" t="n">
        <v>0.55</v>
      </c>
      <c r="K1088" s="14" t="s">
        <v>59</v>
      </c>
      <c r="L1088" s="14" t="n">
        <v>2016</v>
      </c>
      <c r="M1088" s="14" t="n">
        <v>6.2363695902037</v>
      </c>
      <c r="N1088" s="14" t="n">
        <v>3.80688468730484</v>
      </c>
      <c r="P1088" s="14" t="n">
        <f aca="false">D1088</f>
        <v>45</v>
      </c>
      <c r="Q1088" s="14" t="n">
        <f aca="false">G1088</f>
        <v>7</v>
      </c>
      <c r="R1088" s="14" t="n">
        <f aca="false">J1088</f>
        <v>0.55</v>
      </c>
      <c r="S1088" s="14" t="n">
        <f aca="false">IF($L1088=2012,1,0)</f>
        <v>0</v>
      </c>
      <c r="T1088" s="14" t="n">
        <f aca="false">IF($L1088=2013,1,0)</f>
        <v>0</v>
      </c>
      <c r="U1088" s="14" t="n">
        <f aca="false">IF($L1088=2014,1,0)</f>
        <v>0</v>
      </c>
      <c r="V1088" s="14" t="n">
        <f aca="false">IF($L1088=2015,1,0)</f>
        <v>0</v>
      </c>
      <c r="W1088" s="14" t="n">
        <f aca="false">IF($L1088=2016,1,0)</f>
        <v>1</v>
      </c>
      <c r="X1088" s="14" t="n">
        <f aca="false">IF($L1088=2017,1,0)</f>
        <v>0</v>
      </c>
      <c r="Y1088" s="14" t="n">
        <f aca="false">IF($H1088="Beginner Level",1,0)</f>
        <v>0</v>
      </c>
      <c r="Z1088" s="14" t="n">
        <f aca="false">IF($H1088="Expert Level",1,0)</f>
        <v>1</v>
      </c>
      <c r="AA1088" s="14" t="n">
        <f aca="false">IF($H1088="Intermediate Level",1,0)</f>
        <v>0</v>
      </c>
      <c r="AC1088" s="14" t="n">
        <f aca="false">N1088</f>
        <v>3.80688468730484</v>
      </c>
      <c r="AD1088" s="14" t="n">
        <f aca="false">G1088</f>
        <v>7</v>
      </c>
      <c r="AE1088" s="14" t="n">
        <f aca="false">J1088</f>
        <v>0.55</v>
      </c>
      <c r="AF1088" s="14" t="n">
        <f aca="false">IF($L1088=2012,1,0)</f>
        <v>0</v>
      </c>
      <c r="AG1088" s="14" t="n">
        <f aca="false">IF($L1088=2013,1,0)</f>
        <v>0</v>
      </c>
      <c r="AH1088" s="14" t="n">
        <f aca="false">IF($L1088=2014,1,0)</f>
        <v>0</v>
      </c>
      <c r="AI1088" s="14" t="n">
        <f aca="false">IF($L1088=2015,1,0)</f>
        <v>0</v>
      </c>
      <c r="AJ1088" s="14" t="n">
        <f aca="false">IF($L1088=2016,1,0)</f>
        <v>1</v>
      </c>
      <c r="AK1088" s="14" t="n">
        <f aca="false">IF($L1088=2017,1,0)</f>
        <v>0</v>
      </c>
      <c r="AL1088" s="14" t="n">
        <f aca="false">IF($H1088="Beginner Level",1,0)</f>
        <v>0</v>
      </c>
      <c r="AM1088" s="14" t="n">
        <f aca="false">IF($H1088="Expert Level",1,0)</f>
        <v>1</v>
      </c>
      <c r="AN1088" s="14" t="n">
        <f aca="false">IF($H1088="Intermediate Level",1,0)</f>
        <v>0</v>
      </c>
    </row>
    <row r="1089" customFormat="false" ht="91" hidden="false" customHeight="false" outlineLevel="0" collapsed="false">
      <c r="A1089" s="14" t="n">
        <v>964732</v>
      </c>
      <c r="B1089" s="14" t="s">
        <v>2219</v>
      </c>
      <c r="C1089" s="14" t="s">
        <v>2220</v>
      </c>
      <c r="D1089" s="14" t="n">
        <v>95</v>
      </c>
      <c r="E1089" s="14" t="n">
        <v>502</v>
      </c>
      <c r="F1089" s="14" t="n">
        <v>62</v>
      </c>
      <c r="G1089" s="14" t="n">
        <v>59</v>
      </c>
      <c r="H1089" s="14" t="s">
        <v>71</v>
      </c>
      <c r="I1089" s="14" t="n">
        <v>0.3</v>
      </c>
      <c r="J1089" s="14" t="n">
        <v>5</v>
      </c>
      <c r="K1089" s="14" t="s">
        <v>59</v>
      </c>
      <c r="L1089" s="14" t="n">
        <v>2016</v>
      </c>
      <c r="M1089" s="14" t="n">
        <v>6.21860011969173</v>
      </c>
      <c r="N1089" s="14" t="n">
        <v>4.55398214921866</v>
      </c>
      <c r="P1089" s="14" t="n">
        <f aca="false">D1089</f>
        <v>95</v>
      </c>
      <c r="Q1089" s="14" t="n">
        <f aca="false">G1089</f>
        <v>59</v>
      </c>
      <c r="R1089" s="14" t="n">
        <f aca="false">J1089</f>
        <v>5</v>
      </c>
      <c r="S1089" s="14" t="n">
        <f aca="false">IF($L1089=2012,1,0)</f>
        <v>0</v>
      </c>
      <c r="T1089" s="14" t="n">
        <f aca="false">IF($L1089=2013,1,0)</f>
        <v>0</v>
      </c>
      <c r="U1089" s="14" t="n">
        <f aca="false">IF($L1089=2014,1,0)</f>
        <v>0</v>
      </c>
      <c r="V1089" s="14" t="n">
        <f aca="false">IF($L1089=2015,1,0)</f>
        <v>0</v>
      </c>
      <c r="W1089" s="14" t="n">
        <f aca="false">IF($L1089=2016,1,0)</f>
        <v>1</v>
      </c>
      <c r="X1089" s="14" t="n">
        <f aca="false">IF($L1089=2017,1,0)</f>
        <v>0</v>
      </c>
      <c r="Y1089" s="14" t="n">
        <f aca="false">IF($H1089="Beginner Level",1,0)</f>
        <v>0</v>
      </c>
      <c r="Z1089" s="14" t="n">
        <f aca="false">IF($H1089="Expert Level",1,0)</f>
        <v>0</v>
      </c>
      <c r="AA1089" s="14" t="n">
        <f aca="false">IF($H1089="Intermediate Level",1,0)</f>
        <v>1</v>
      </c>
      <c r="AC1089" s="14" t="n">
        <f aca="false">N1089</f>
        <v>4.55398214921866</v>
      </c>
      <c r="AD1089" s="14" t="n">
        <f aca="false">G1089</f>
        <v>59</v>
      </c>
      <c r="AE1089" s="14" t="n">
        <f aca="false">J1089</f>
        <v>5</v>
      </c>
      <c r="AF1089" s="14" t="n">
        <f aca="false">IF($L1089=2012,1,0)</f>
        <v>0</v>
      </c>
      <c r="AG1089" s="14" t="n">
        <f aca="false">IF($L1089=2013,1,0)</f>
        <v>0</v>
      </c>
      <c r="AH1089" s="14" t="n">
        <f aca="false">IF($L1089=2014,1,0)</f>
        <v>0</v>
      </c>
      <c r="AI1089" s="14" t="n">
        <f aca="false">IF($L1089=2015,1,0)</f>
        <v>0</v>
      </c>
      <c r="AJ1089" s="14" t="n">
        <f aca="false">IF($L1089=2016,1,0)</f>
        <v>1</v>
      </c>
      <c r="AK1089" s="14" t="n">
        <f aca="false">IF($L1089=2017,1,0)</f>
        <v>0</v>
      </c>
      <c r="AL1089" s="14" t="n">
        <f aca="false">IF($H1089="Beginner Level",1,0)</f>
        <v>0</v>
      </c>
      <c r="AM1089" s="14" t="n">
        <f aca="false">IF($H1089="Expert Level",1,0)</f>
        <v>0</v>
      </c>
      <c r="AN1089" s="14" t="n">
        <f aca="false">IF($H1089="Intermediate Level",1,0)</f>
        <v>1</v>
      </c>
    </row>
    <row r="1090" customFormat="false" ht="68.65" hidden="false" customHeight="false" outlineLevel="0" collapsed="false">
      <c r="A1090" s="14" t="n">
        <v>330900</v>
      </c>
      <c r="B1090" s="14" t="s">
        <v>2221</v>
      </c>
      <c r="C1090" s="14" t="s">
        <v>2222</v>
      </c>
      <c r="D1090" s="14" t="n">
        <v>20</v>
      </c>
      <c r="E1090" s="14" t="n">
        <v>496</v>
      </c>
      <c r="F1090" s="14" t="n">
        <v>113</v>
      </c>
      <c r="G1090" s="14" t="n">
        <v>17</v>
      </c>
      <c r="H1090" s="14" t="s">
        <v>52</v>
      </c>
      <c r="I1090" s="14" t="n">
        <v>0.97</v>
      </c>
      <c r="J1090" s="14" t="n">
        <v>1</v>
      </c>
      <c r="K1090" s="14" t="s">
        <v>59</v>
      </c>
      <c r="L1090" s="14" t="n">
        <v>2014</v>
      </c>
      <c r="M1090" s="14" t="n">
        <v>6.20657592672493</v>
      </c>
      <c r="N1090" s="14" t="n">
        <v>2.99623214859564</v>
      </c>
      <c r="P1090" s="14" t="n">
        <f aca="false">D1090</f>
        <v>20</v>
      </c>
      <c r="Q1090" s="14" t="n">
        <f aca="false">G1090</f>
        <v>17</v>
      </c>
      <c r="R1090" s="14" t="n">
        <f aca="false">J1090</f>
        <v>1</v>
      </c>
      <c r="S1090" s="14" t="n">
        <f aca="false">IF($L1090=2012,1,0)</f>
        <v>0</v>
      </c>
      <c r="T1090" s="14" t="n">
        <f aca="false">IF($L1090=2013,1,0)</f>
        <v>0</v>
      </c>
      <c r="U1090" s="14" t="n">
        <f aca="false">IF($L1090=2014,1,0)</f>
        <v>1</v>
      </c>
      <c r="V1090" s="14" t="n">
        <f aca="false">IF($L1090=2015,1,0)</f>
        <v>0</v>
      </c>
      <c r="W1090" s="14" t="n">
        <f aca="false">IF($L1090=2016,1,0)</f>
        <v>0</v>
      </c>
      <c r="X1090" s="14" t="n">
        <f aca="false">IF($L1090=2017,1,0)</f>
        <v>0</v>
      </c>
      <c r="Y1090" s="14" t="n">
        <f aca="false">IF($H1090="Beginner Level",1,0)</f>
        <v>1</v>
      </c>
      <c r="Z1090" s="14" t="n">
        <f aca="false">IF($H1090="Expert Level",1,0)</f>
        <v>0</v>
      </c>
      <c r="AA1090" s="14" t="n">
        <f aca="false">IF($H1090="Intermediate Level",1,0)</f>
        <v>0</v>
      </c>
      <c r="AC1090" s="14" t="n">
        <f aca="false">N1090</f>
        <v>2.99623214859564</v>
      </c>
      <c r="AD1090" s="14" t="n">
        <f aca="false">G1090</f>
        <v>17</v>
      </c>
      <c r="AE1090" s="14" t="n">
        <f aca="false">J1090</f>
        <v>1</v>
      </c>
      <c r="AF1090" s="14" t="n">
        <f aca="false">IF($L1090=2012,1,0)</f>
        <v>0</v>
      </c>
      <c r="AG1090" s="14" t="n">
        <f aca="false">IF($L1090=2013,1,0)</f>
        <v>0</v>
      </c>
      <c r="AH1090" s="14" t="n">
        <f aca="false">IF($L1090=2014,1,0)</f>
        <v>1</v>
      </c>
      <c r="AI1090" s="14" t="n">
        <f aca="false">IF($L1090=2015,1,0)</f>
        <v>0</v>
      </c>
      <c r="AJ1090" s="14" t="n">
        <f aca="false">IF($L1090=2016,1,0)</f>
        <v>0</v>
      </c>
      <c r="AK1090" s="14" t="n">
        <f aca="false">IF($L1090=2017,1,0)</f>
        <v>0</v>
      </c>
      <c r="AL1090" s="14" t="n">
        <f aca="false">IF($H1090="Beginner Level",1,0)</f>
        <v>1</v>
      </c>
      <c r="AM1090" s="14" t="n">
        <f aca="false">IF($H1090="Expert Level",1,0)</f>
        <v>0</v>
      </c>
      <c r="AN1090" s="14" t="n">
        <f aca="false">IF($H1090="Intermediate Level",1,0)</f>
        <v>0</v>
      </c>
    </row>
    <row r="1091" customFormat="false" ht="79.85" hidden="false" customHeight="false" outlineLevel="0" collapsed="false">
      <c r="A1091" s="14" t="n">
        <v>693726</v>
      </c>
      <c r="B1091" s="14" t="s">
        <v>2223</v>
      </c>
      <c r="C1091" s="14" t="s">
        <v>2224</v>
      </c>
      <c r="D1091" s="14" t="n">
        <v>95</v>
      </c>
      <c r="E1091" s="14" t="n">
        <v>494</v>
      </c>
      <c r="F1091" s="14" t="n">
        <v>46</v>
      </c>
      <c r="G1091" s="14" t="n">
        <v>37</v>
      </c>
      <c r="H1091" s="14" t="s">
        <v>62</v>
      </c>
      <c r="I1091" s="14" t="n">
        <v>0.04</v>
      </c>
      <c r="J1091" s="14" t="n">
        <v>3</v>
      </c>
      <c r="K1091" s="14" t="s">
        <v>59</v>
      </c>
      <c r="L1091" s="14" t="n">
        <v>2015</v>
      </c>
      <c r="M1091" s="14" t="n">
        <v>6.20253551718792</v>
      </c>
      <c r="N1091" s="14" t="n">
        <v>4.55398214921866</v>
      </c>
      <c r="P1091" s="14" t="n">
        <f aca="false">D1091</f>
        <v>95</v>
      </c>
      <c r="Q1091" s="14" t="n">
        <f aca="false">G1091</f>
        <v>37</v>
      </c>
      <c r="R1091" s="14" t="n">
        <f aca="false">J1091</f>
        <v>3</v>
      </c>
      <c r="S1091" s="14" t="n">
        <f aca="false">IF($L1091=2012,1,0)</f>
        <v>0</v>
      </c>
      <c r="T1091" s="14" t="n">
        <f aca="false">IF($L1091=2013,1,0)</f>
        <v>0</v>
      </c>
      <c r="U1091" s="14" t="n">
        <f aca="false">IF($L1091=2014,1,0)</f>
        <v>0</v>
      </c>
      <c r="V1091" s="14" t="n">
        <f aca="false">IF($L1091=2015,1,0)</f>
        <v>1</v>
      </c>
      <c r="W1091" s="14" t="n">
        <f aca="false">IF($L1091=2016,1,0)</f>
        <v>0</v>
      </c>
      <c r="X1091" s="14" t="n">
        <f aca="false">IF($L1091=2017,1,0)</f>
        <v>0</v>
      </c>
      <c r="Y1091" s="14" t="n">
        <f aca="false">IF($H1091="Beginner Level",1,0)</f>
        <v>0</v>
      </c>
      <c r="Z1091" s="14" t="n">
        <f aca="false">IF($H1091="Expert Level",1,0)</f>
        <v>0</v>
      </c>
      <c r="AA1091" s="14" t="n">
        <f aca="false">IF($H1091="Intermediate Level",1,0)</f>
        <v>0</v>
      </c>
      <c r="AC1091" s="14" t="n">
        <f aca="false">N1091</f>
        <v>4.55398214921866</v>
      </c>
      <c r="AD1091" s="14" t="n">
        <f aca="false">G1091</f>
        <v>37</v>
      </c>
      <c r="AE1091" s="14" t="n">
        <f aca="false">J1091</f>
        <v>3</v>
      </c>
      <c r="AF1091" s="14" t="n">
        <f aca="false">IF($L1091=2012,1,0)</f>
        <v>0</v>
      </c>
      <c r="AG1091" s="14" t="n">
        <f aca="false">IF($L1091=2013,1,0)</f>
        <v>0</v>
      </c>
      <c r="AH1091" s="14" t="n">
        <f aca="false">IF($L1091=2014,1,0)</f>
        <v>0</v>
      </c>
      <c r="AI1091" s="14" t="n">
        <f aca="false">IF($L1091=2015,1,0)</f>
        <v>1</v>
      </c>
      <c r="AJ1091" s="14" t="n">
        <f aca="false">IF($L1091=2016,1,0)</f>
        <v>0</v>
      </c>
      <c r="AK1091" s="14" t="n">
        <f aca="false">IF($L1091=2017,1,0)</f>
        <v>0</v>
      </c>
      <c r="AL1091" s="14" t="n">
        <f aca="false">IF($H1091="Beginner Level",1,0)</f>
        <v>0</v>
      </c>
      <c r="AM1091" s="14" t="n">
        <f aca="false">IF($H1091="Expert Level",1,0)</f>
        <v>0</v>
      </c>
      <c r="AN1091" s="14" t="n">
        <f aca="false">IF($H1091="Intermediate Level",1,0)</f>
        <v>0</v>
      </c>
    </row>
    <row r="1092" customFormat="false" ht="68.65" hidden="false" customHeight="false" outlineLevel="0" collapsed="false">
      <c r="A1092" s="14" t="n">
        <v>923146</v>
      </c>
      <c r="B1092" s="14" t="s">
        <v>2225</v>
      </c>
      <c r="C1092" s="14" t="s">
        <v>2226</v>
      </c>
      <c r="D1092" s="14" t="n">
        <v>100</v>
      </c>
      <c r="E1092" s="14" t="n">
        <v>487</v>
      </c>
      <c r="F1092" s="14" t="n">
        <v>31</v>
      </c>
      <c r="G1092" s="14" t="n">
        <v>52</v>
      </c>
      <c r="H1092" s="14" t="s">
        <v>62</v>
      </c>
      <c r="I1092" s="14" t="n">
        <v>0.76</v>
      </c>
      <c r="J1092" s="14" t="n">
        <v>6</v>
      </c>
      <c r="K1092" s="14" t="s">
        <v>59</v>
      </c>
      <c r="L1092" s="14" t="n">
        <v>2016</v>
      </c>
      <c r="M1092" s="14" t="n">
        <v>6.18826412308259</v>
      </c>
      <c r="N1092" s="14" t="n">
        <v>4.60527018098843</v>
      </c>
      <c r="P1092" s="14" t="n">
        <f aca="false">D1092</f>
        <v>100</v>
      </c>
      <c r="Q1092" s="14" t="n">
        <f aca="false">G1092</f>
        <v>52</v>
      </c>
      <c r="R1092" s="14" t="n">
        <f aca="false">J1092</f>
        <v>6</v>
      </c>
      <c r="S1092" s="14" t="n">
        <f aca="false">IF($L1092=2012,1,0)</f>
        <v>0</v>
      </c>
      <c r="T1092" s="14" t="n">
        <f aca="false">IF($L1092=2013,1,0)</f>
        <v>0</v>
      </c>
      <c r="U1092" s="14" t="n">
        <f aca="false">IF($L1092=2014,1,0)</f>
        <v>0</v>
      </c>
      <c r="V1092" s="14" t="n">
        <f aca="false">IF($L1092=2015,1,0)</f>
        <v>0</v>
      </c>
      <c r="W1092" s="14" t="n">
        <f aca="false">IF($L1092=2016,1,0)</f>
        <v>1</v>
      </c>
      <c r="X1092" s="14" t="n">
        <f aca="false">IF($L1092=2017,1,0)</f>
        <v>0</v>
      </c>
      <c r="Y1092" s="14" t="n">
        <f aca="false">IF($H1092="Beginner Level",1,0)</f>
        <v>0</v>
      </c>
      <c r="Z1092" s="14" t="n">
        <f aca="false">IF($H1092="Expert Level",1,0)</f>
        <v>0</v>
      </c>
      <c r="AA1092" s="14" t="n">
        <f aca="false">IF($H1092="Intermediate Level",1,0)</f>
        <v>0</v>
      </c>
      <c r="AC1092" s="14" t="n">
        <f aca="false">N1092</f>
        <v>4.60527018098843</v>
      </c>
      <c r="AD1092" s="14" t="n">
        <f aca="false">G1092</f>
        <v>52</v>
      </c>
      <c r="AE1092" s="14" t="n">
        <f aca="false">J1092</f>
        <v>6</v>
      </c>
      <c r="AF1092" s="14" t="n">
        <f aca="false">IF($L1092=2012,1,0)</f>
        <v>0</v>
      </c>
      <c r="AG1092" s="14" t="n">
        <f aca="false">IF($L1092=2013,1,0)</f>
        <v>0</v>
      </c>
      <c r="AH1092" s="14" t="n">
        <f aca="false">IF($L1092=2014,1,0)</f>
        <v>0</v>
      </c>
      <c r="AI1092" s="14" t="n">
        <f aca="false">IF($L1092=2015,1,0)</f>
        <v>0</v>
      </c>
      <c r="AJ1092" s="14" t="n">
        <f aca="false">IF($L1092=2016,1,0)</f>
        <v>1</v>
      </c>
      <c r="AK1092" s="14" t="n">
        <f aca="false">IF($L1092=2017,1,0)</f>
        <v>0</v>
      </c>
      <c r="AL1092" s="14" t="n">
        <f aca="false">IF($H1092="Beginner Level",1,0)</f>
        <v>0</v>
      </c>
      <c r="AM1092" s="14" t="n">
        <f aca="false">IF($H1092="Expert Level",1,0)</f>
        <v>0</v>
      </c>
      <c r="AN1092" s="14" t="n">
        <f aca="false">IF($H1092="Intermediate Level",1,0)</f>
        <v>0</v>
      </c>
    </row>
    <row r="1093" customFormat="false" ht="57.45" hidden="false" customHeight="false" outlineLevel="0" collapsed="false">
      <c r="A1093" s="14" t="n">
        <v>1111844</v>
      </c>
      <c r="B1093" s="14" t="s">
        <v>2227</v>
      </c>
      <c r="C1093" s="14" t="s">
        <v>2228</v>
      </c>
      <c r="D1093" s="14" t="n">
        <v>60</v>
      </c>
      <c r="E1093" s="14" t="n">
        <v>486</v>
      </c>
      <c r="F1093" s="14" t="n">
        <v>59</v>
      </c>
      <c r="G1093" s="14" t="n">
        <v>27</v>
      </c>
      <c r="H1093" s="14" t="s">
        <v>62</v>
      </c>
      <c r="I1093" s="14" t="n">
        <v>0.39</v>
      </c>
      <c r="J1093" s="14" t="n">
        <v>2</v>
      </c>
      <c r="K1093" s="14" t="s">
        <v>59</v>
      </c>
      <c r="L1093" s="14" t="n">
        <v>2017</v>
      </c>
      <c r="M1093" s="14" t="n">
        <v>6.18620862390049</v>
      </c>
      <c r="N1093" s="14" t="n">
        <v>4.09451121500142</v>
      </c>
      <c r="P1093" s="14" t="n">
        <f aca="false">D1093</f>
        <v>60</v>
      </c>
      <c r="Q1093" s="14" t="n">
        <f aca="false">G1093</f>
        <v>27</v>
      </c>
      <c r="R1093" s="14" t="n">
        <f aca="false">J1093</f>
        <v>2</v>
      </c>
      <c r="S1093" s="14" t="n">
        <f aca="false">IF($L1093=2012,1,0)</f>
        <v>0</v>
      </c>
      <c r="T1093" s="14" t="n">
        <f aca="false">IF($L1093=2013,1,0)</f>
        <v>0</v>
      </c>
      <c r="U1093" s="14" t="n">
        <f aca="false">IF($L1093=2014,1,0)</f>
        <v>0</v>
      </c>
      <c r="V1093" s="14" t="n">
        <f aca="false">IF($L1093=2015,1,0)</f>
        <v>0</v>
      </c>
      <c r="W1093" s="14" t="n">
        <f aca="false">IF($L1093=2016,1,0)</f>
        <v>0</v>
      </c>
      <c r="X1093" s="14" t="n">
        <f aca="false">IF($L1093=2017,1,0)</f>
        <v>1</v>
      </c>
      <c r="Y1093" s="14" t="n">
        <f aca="false">IF($H1093="Beginner Level",1,0)</f>
        <v>0</v>
      </c>
      <c r="Z1093" s="14" t="n">
        <f aca="false">IF($H1093="Expert Level",1,0)</f>
        <v>0</v>
      </c>
      <c r="AA1093" s="14" t="n">
        <f aca="false">IF($H1093="Intermediate Level",1,0)</f>
        <v>0</v>
      </c>
      <c r="AC1093" s="14" t="n">
        <f aca="false">N1093</f>
        <v>4.09451121500142</v>
      </c>
      <c r="AD1093" s="14" t="n">
        <f aca="false">G1093</f>
        <v>27</v>
      </c>
      <c r="AE1093" s="14" t="n">
        <f aca="false">J1093</f>
        <v>2</v>
      </c>
      <c r="AF1093" s="14" t="n">
        <f aca="false">IF($L1093=2012,1,0)</f>
        <v>0</v>
      </c>
      <c r="AG1093" s="14" t="n">
        <f aca="false">IF($L1093=2013,1,0)</f>
        <v>0</v>
      </c>
      <c r="AH1093" s="14" t="n">
        <f aca="false">IF($L1093=2014,1,0)</f>
        <v>0</v>
      </c>
      <c r="AI1093" s="14" t="n">
        <f aca="false">IF($L1093=2015,1,0)</f>
        <v>0</v>
      </c>
      <c r="AJ1093" s="14" t="n">
        <f aca="false">IF($L1093=2016,1,0)</f>
        <v>0</v>
      </c>
      <c r="AK1093" s="14" t="n">
        <f aca="false">IF($L1093=2017,1,0)</f>
        <v>1</v>
      </c>
      <c r="AL1093" s="14" t="n">
        <f aca="false">IF($H1093="Beginner Level",1,0)</f>
        <v>0</v>
      </c>
      <c r="AM1093" s="14" t="n">
        <f aca="false">IF($H1093="Expert Level",1,0)</f>
        <v>0</v>
      </c>
      <c r="AN1093" s="14" t="n">
        <f aca="false">IF($H1093="Intermediate Level",1,0)</f>
        <v>0</v>
      </c>
    </row>
    <row r="1094" customFormat="false" ht="79.85" hidden="false" customHeight="false" outlineLevel="0" collapsed="false">
      <c r="A1094" s="14" t="n">
        <v>461176</v>
      </c>
      <c r="B1094" s="14" t="s">
        <v>2229</v>
      </c>
      <c r="C1094" s="14" t="s">
        <v>2230</v>
      </c>
      <c r="D1094" s="14" t="n">
        <v>95</v>
      </c>
      <c r="E1094" s="14" t="n">
        <v>481</v>
      </c>
      <c r="F1094" s="14" t="n">
        <v>75</v>
      </c>
      <c r="G1094" s="14" t="n">
        <v>77</v>
      </c>
      <c r="H1094" s="14" t="s">
        <v>62</v>
      </c>
      <c r="I1094" s="14" t="n">
        <v>0.77</v>
      </c>
      <c r="J1094" s="14" t="n">
        <v>6</v>
      </c>
      <c r="K1094" s="14" t="s">
        <v>59</v>
      </c>
      <c r="L1094" s="14" t="n">
        <v>2015</v>
      </c>
      <c r="M1094" s="14" t="n">
        <v>6.17586727010576</v>
      </c>
      <c r="N1094" s="14" t="n">
        <v>4.55398214921866</v>
      </c>
      <c r="P1094" s="14" t="n">
        <f aca="false">D1094</f>
        <v>95</v>
      </c>
      <c r="Q1094" s="14" t="n">
        <f aca="false">G1094</f>
        <v>77</v>
      </c>
      <c r="R1094" s="14" t="n">
        <f aca="false">J1094</f>
        <v>6</v>
      </c>
      <c r="S1094" s="14" t="n">
        <f aca="false">IF($L1094=2012,1,0)</f>
        <v>0</v>
      </c>
      <c r="T1094" s="14" t="n">
        <f aca="false">IF($L1094=2013,1,0)</f>
        <v>0</v>
      </c>
      <c r="U1094" s="14" t="n">
        <f aca="false">IF($L1094=2014,1,0)</f>
        <v>0</v>
      </c>
      <c r="V1094" s="14" t="n">
        <f aca="false">IF($L1094=2015,1,0)</f>
        <v>1</v>
      </c>
      <c r="W1094" s="14" t="n">
        <f aca="false">IF($L1094=2016,1,0)</f>
        <v>0</v>
      </c>
      <c r="X1094" s="14" t="n">
        <f aca="false">IF($L1094=2017,1,0)</f>
        <v>0</v>
      </c>
      <c r="Y1094" s="14" t="n">
        <f aca="false">IF($H1094="Beginner Level",1,0)</f>
        <v>0</v>
      </c>
      <c r="Z1094" s="14" t="n">
        <f aca="false">IF($H1094="Expert Level",1,0)</f>
        <v>0</v>
      </c>
      <c r="AA1094" s="14" t="n">
        <f aca="false">IF($H1094="Intermediate Level",1,0)</f>
        <v>0</v>
      </c>
      <c r="AC1094" s="14" t="n">
        <f aca="false">N1094</f>
        <v>4.55398214921866</v>
      </c>
      <c r="AD1094" s="14" t="n">
        <f aca="false">G1094</f>
        <v>77</v>
      </c>
      <c r="AE1094" s="14" t="n">
        <f aca="false">J1094</f>
        <v>6</v>
      </c>
      <c r="AF1094" s="14" t="n">
        <f aca="false">IF($L1094=2012,1,0)</f>
        <v>0</v>
      </c>
      <c r="AG1094" s="14" t="n">
        <f aca="false">IF($L1094=2013,1,0)</f>
        <v>0</v>
      </c>
      <c r="AH1094" s="14" t="n">
        <f aca="false">IF($L1094=2014,1,0)</f>
        <v>0</v>
      </c>
      <c r="AI1094" s="14" t="n">
        <f aca="false">IF($L1094=2015,1,0)</f>
        <v>1</v>
      </c>
      <c r="AJ1094" s="14" t="n">
        <f aca="false">IF($L1094=2016,1,0)</f>
        <v>0</v>
      </c>
      <c r="AK1094" s="14" t="n">
        <f aca="false">IF($L1094=2017,1,0)</f>
        <v>0</v>
      </c>
      <c r="AL1094" s="14" t="n">
        <f aca="false">IF($H1094="Beginner Level",1,0)</f>
        <v>0</v>
      </c>
      <c r="AM1094" s="14" t="n">
        <f aca="false">IF($H1094="Expert Level",1,0)</f>
        <v>0</v>
      </c>
      <c r="AN1094" s="14" t="n">
        <f aca="false">IF($H1094="Intermediate Level",1,0)</f>
        <v>0</v>
      </c>
    </row>
    <row r="1095" customFormat="false" ht="57.45" hidden="false" customHeight="false" outlineLevel="0" collapsed="false">
      <c r="A1095" s="14" t="n">
        <v>934570</v>
      </c>
      <c r="B1095" s="14" t="s">
        <v>2231</v>
      </c>
      <c r="C1095" s="14" t="s">
        <v>2232</v>
      </c>
      <c r="D1095" s="14" t="n">
        <v>95</v>
      </c>
      <c r="E1095" s="14" t="n">
        <v>478</v>
      </c>
      <c r="F1095" s="14" t="n">
        <v>37</v>
      </c>
      <c r="G1095" s="14" t="n">
        <v>18</v>
      </c>
      <c r="H1095" s="14" t="s">
        <v>52</v>
      </c>
      <c r="I1095" s="14" t="n">
        <v>0.78</v>
      </c>
      <c r="J1095" s="14" t="n">
        <v>1.5</v>
      </c>
      <c r="K1095" s="14" t="s">
        <v>59</v>
      </c>
      <c r="L1095" s="14" t="n">
        <v>2016</v>
      </c>
      <c r="M1095" s="14" t="n">
        <v>6.16961073249146</v>
      </c>
      <c r="N1095" s="14" t="n">
        <v>4.55398214921866</v>
      </c>
      <c r="P1095" s="14" t="n">
        <f aca="false">D1095</f>
        <v>95</v>
      </c>
      <c r="Q1095" s="14" t="n">
        <f aca="false">G1095</f>
        <v>18</v>
      </c>
      <c r="R1095" s="14" t="n">
        <f aca="false">J1095</f>
        <v>1.5</v>
      </c>
      <c r="S1095" s="14" t="n">
        <f aca="false">IF($L1095=2012,1,0)</f>
        <v>0</v>
      </c>
      <c r="T1095" s="14" t="n">
        <f aca="false">IF($L1095=2013,1,0)</f>
        <v>0</v>
      </c>
      <c r="U1095" s="14" t="n">
        <f aca="false">IF($L1095=2014,1,0)</f>
        <v>0</v>
      </c>
      <c r="V1095" s="14" t="n">
        <f aca="false">IF($L1095=2015,1,0)</f>
        <v>0</v>
      </c>
      <c r="W1095" s="14" t="n">
        <f aca="false">IF($L1095=2016,1,0)</f>
        <v>1</v>
      </c>
      <c r="X1095" s="14" t="n">
        <f aca="false">IF($L1095=2017,1,0)</f>
        <v>0</v>
      </c>
      <c r="Y1095" s="14" t="n">
        <f aca="false">IF($H1095="Beginner Level",1,0)</f>
        <v>1</v>
      </c>
      <c r="Z1095" s="14" t="n">
        <f aca="false">IF($H1095="Expert Level",1,0)</f>
        <v>0</v>
      </c>
      <c r="AA1095" s="14" t="n">
        <f aca="false">IF($H1095="Intermediate Level",1,0)</f>
        <v>0</v>
      </c>
      <c r="AC1095" s="14" t="n">
        <f aca="false">N1095</f>
        <v>4.55398214921866</v>
      </c>
      <c r="AD1095" s="14" t="n">
        <f aca="false">G1095</f>
        <v>18</v>
      </c>
      <c r="AE1095" s="14" t="n">
        <f aca="false">J1095</f>
        <v>1.5</v>
      </c>
      <c r="AF1095" s="14" t="n">
        <f aca="false">IF($L1095=2012,1,0)</f>
        <v>0</v>
      </c>
      <c r="AG1095" s="14" t="n">
        <f aca="false">IF($L1095=2013,1,0)</f>
        <v>0</v>
      </c>
      <c r="AH1095" s="14" t="n">
        <f aca="false">IF($L1095=2014,1,0)</f>
        <v>0</v>
      </c>
      <c r="AI1095" s="14" t="n">
        <f aca="false">IF($L1095=2015,1,0)</f>
        <v>0</v>
      </c>
      <c r="AJ1095" s="14" t="n">
        <f aca="false">IF($L1095=2016,1,0)</f>
        <v>1</v>
      </c>
      <c r="AK1095" s="14" t="n">
        <f aca="false">IF($L1095=2017,1,0)</f>
        <v>0</v>
      </c>
      <c r="AL1095" s="14" t="n">
        <f aca="false">IF($H1095="Beginner Level",1,0)</f>
        <v>1</v>
      </c>
      <c r="AM1095" s="14" t="n">
        <f aca="false">IF($H1095="Expert Level",1,0)</f>
        <v>0</v>
      </c>
      <c r="AN1095" s="14" t="n">
        <f aca="false">IF($H1095="Intermediate Level",1,0)</f>
        <v>0</v>
      </c>
    </row>
    <row r="1096" customFormat="false" ht="68.65" hidden="false" customHeight="false" outlineLevel="0" collapsed="false">
      <c r="A1096" s="14" t="n">
        <v>1012096</v>
      </c>
      <c r="B1096" s="14" t="s">
        <v>2233</v>
      </c>
      <c r="C1096" s="14" t="s">
        <v>2234</v>
      </c>
      <c r="D1096" s="14" t="n">
        <v>195</v>
      </c>
      <c r="E1096" s="14" t="n">
        <v>467</v>
      </c>
      <c r="F1096" s="14" t="n">
        <v>20</v>
      </c>
      <c r="G1096" s="14" t="n">
        <v>126</v>
      </c>
      <c r="H1096" s="14" t="s">
        <v>62</v>
      </c>
      <c r="I1096" s="14" t="n">
        <v>0.73</v>
      </c>
      <c r="J1096" s="14" t="n">
        <v>13.5</v>
      </c>
      <c r="K1096" s="14" t="s">
        <v>59</v>
      </c>
      <c r="L1096" s="14" t="n">
        <v>2016</v>
      </c>
      <c r="M1096" s="14" t="n">
        <v>6.1463292576689</v>
      </c>
      <c r="N1096" s="14" t="n">
        <v>5.27305083930015</v>
      </c>
      <c r="P1096" s="14" t="n">
        <f aca="false">D1096</f>
        <v>195</v>
      </c>
      <c r="Q1096" s="14" t="n">
        <f aca="false">G1096</f>
        <v>126</v>
      </c>
      <c r="R1096" s="14" t="n">
        <f aca="false">J1096</f>
        <v>13.5</v>
      </c>
      <c r="S1096" s="14" t="n">
        <f aca="false">IF($L1096=2012,1,0)</f>
        <v>0</v>
      </c>
      <c r="T1096" s="14" t="n">
        <f aca="false">IF($L1096=2013,1,0)</f>
        <v>0</v>
      </c>
      <c r="U1096" s="14" t="n">
        <f aca="false">IF($L1096=2014,1,0)</f>
        <v>0</v>
      </c>
      <c r="V1096" s="14" t="n">
        <f aca="false">IF($L1096=2015,1,0)</f>
        <v>0</v>
      </c>
      <c r="W1096" s="14" t="n">
        <f aca="false">IF($L1096=2016,1,0)</f>
        <v>1</v>
      </c>
      <c r="X1096" s="14" t="n">
        <f aca="false">IF($L1096=2017,1,0)</f>
        <v>0</v>
      </c>
      <c r="Y1096" s="14" t="n">
        <f aca="false">IF($H1096="Beginner Level",1,0)</f>
        <v>0</v>
      </c>
      <c r="Z1096" s="14" t="n">
        <f aca="false">IF($H1096="Expert Level",1,0)</f>
        <v>0</v>
      </c>
      <c r="AA1096" s="14" t="n">
        <f aca="false">IF($H1096="Intermediate Level",1,0)</f>
        <v>0</v>
      </c>
      <c r="AC1096" s="14" t="n">
        <f aca="false">N1096</f>
        <v>5.27305083930015</v>
      </c>
      <c r="AD1096" s="14" t="n">
        <f aca="false">G1096</f>
        <v>126</v>
      </c>
      <c r="AE1096" s="14" t="n">
        <f aca="false">J1096</f>
        <v>13.5</v>
      </c>
      <c r="AF1096" s="14" t="n">
        <f aca="false">IF($L1096=2012,1,0)</f>
        <v>0</v>
      </c>
      <c r="AG1096" s="14" t="n">
        <f aca="false">IF($L1096=2013,1,0)</f>
        <v>0</v>
      </c>
      <c r="AH1096" s="14" t="n">
        <f aca="false">IF($L1096=2014,1,0)</f>
        <v>0</v>
      </c>
      <c r="AI1096" s="14" t="n">
        <f aca="false">IF($L1096=2015,1,0)</f>
        <v>0</v>
      </c>
      <c r="AJ1096" s="14" t="n">
        <f aca="false">IF($L1096=2016,1,0)</f>
        <v>1</v>
      </c>
      <c r="AK1096" s="14" t="n">
        <f aca="false">IF($L1096=2017,1,0)</f>
        <v>0</v>
      </c>
      <c r="AL1096" s="14" t="n">
        <f aca="false">IF($H1096="Beginner Level",1,0)</f>
        <v>0</v>
      </c>
      <c r="AM1096" s="14" t="n">
        <f aca="false">IF($H1096="Expert Level",1,0)</f>
        <v>0</v>
      </c>
      <c r="AN1096" s="14" t="n">
        <f aca="false">IF($H1096="Intermediate Level",1,0)</f>
        <v>0</v>
      </c>
    </row>
    <row r="1097" customFormat="false" ht="46.25" hidden="false" customHeight="false" outlineLevel="0" collapsed="false">
      <c r="A1097" s="14" t="n">
        <v>1182108</v>
      </c>
      <c r="B1097" s="14" t="s">
        <v>2235</v>
      </c>
      <c r="C1097" s="14" t="s">
        <v>2236</v>
      </c>
      <c r="D1097" s="14" t="n">
        <v>20</v>
      </c>
      <c r="E1097" s="14" t="n">
        <v>466</v>
      </c>
      <c r="F1097" s="14" t="n">
        <v>11</v>
      </c>
      <c r="G1097" s="14" t="n">
        <v>25</v>
      </c>
      <c r="H1097" s="14" t="s">
        <v>62</v>
      </c>
      <c r="I1097" s="14" t="n">
        <v>0.2</v>
      </c>
      <c r="J1097" s="14" t="n">
        <v>2</v>
      </c>
      <c r="K1097" s="14" t="s">
        <v>59</v>
      </c>
      <c r="L1097" s="14" t="n">
        <v>2017</v>
      </c>
      <c r="M1097" s="14" t="n">
        <v>6.14418563412565</v>
      </c>
      <c r="N1097" s="14" t="n">
        <v>2.99623214859564</v>
      </c>
      <c r="P1097" s="14" t="n">
        <f aca="false">D1097</f>
        <v>20</v>
      </c>
      <c r="Q1097" s="14" t="n">
        <f aca="false">G1097</f>
        <v>25</v>
      </c>
      <c r="R1097" s="14" t="n">
        <f aca="false">J1097</f>
        <v>2</v>
      </c>
      <c r="S1097" s="14" t="n">
        <f aca="false">IF($L1097=2012,1,0)</f>
        <v>0</v>
      </c>
      <c r="T1097" s="14" t="n">
        <f aca="false">IF($L1097=2013,1,0)</f>
        <v>0</v>
      </c>
      <c r="U1097" s="14" t="n">
        <f aca="false">IF($L1097=2014,1,0)</f>
        <v>0</v>
      </c>
      <c r="V1097" s="14" t="n">
        <f aca="false">IF($L1097=2015,1,0)</f>
        <v>0</v>
      </c>
      <c r="W1097" s="14" t="n">
        <f aca="false">IF($L1097=2016,1,0)</f>
        <v>0</v>
      </c>
      <c r="X1097" s="14" t="n">
        <f aca="false">IF($L1097=2017,1,0)</f>
        <v>1</v>
      </c>
      <c r="Y1097" s="14" t="n">
        <f aca="false">IF($H1097="Beginner Level",1,0)</f>
        <v>0</v>
      </c>
      <c r="Z1097" s="14" t="n">
        <f aca="false">IF($H1097="Expert Level",1,0)</f>
        <v>0</v>
      </c>
      <c r="AA1097" s="14" t="n">
        <f aca="false">IF($H1097="Intermediate Level",1,0)</f>
        <v>0</v>
      </c>
      <c r="AC1097" s="14" t="n">
        <f aca="false">N1097</f>
        <v>2.99623214859564</v>
      </c>
      <c r="AD1097" s="14" t="n">
        <f aca="false">G1097</f>
        <v>25</v>
      </c>
      <c r="AE1097" s="14" t="n">
        <f aca="false">J1097</f>
        <v>2</v>
      </c>
      <c r="AF1097" s="14" t="n">
        <f aca="false">IF($L1097=2012,1,0)</f>
        <v>0</v>
      </c>
      <c r="AG1097" s="14" t="n">
        <f aca="false">IF($L1097=2013,1,0)</f>
        <v>0</v>
      </c>
      <c r="AH1097" s="14" t="n">
        <f aca="false">IF($L1097=2014,1,0)</f>
        <v>0</v>
      </c>
      <c r="AI1097" s="14" t="n">
        <f aca="false">IF($L1097=2015,1,0)</f>
        <v>0</v>
      </c>
      <c r="AJ1097" s="14" t="n">
        <f aca="false">IF($L1097=2016,1,0)</f>
        <v>0</v>
      </c>
      <c r="AK1097" s="14" t="n">
        <f aca="false">IF($L1097=2017,1,0)</f>
        <v>1</v>
      </c>
      <c r="AL1097" s="14" t="n">
        <f aca="false">IF($H1097="Beginner Level",1,0)</f>
        <v>0</v>
      </c>
      <c r="AM1097" s="14" t="n">
        <f aca="false">IF($H1097="Expert Level",1,0)</f>
        <v>0</v>
      </c>
      <c r="AN1097" s="14" t="n">
        <f aca="false">IF($H1097="Intermediate Level",1,0)</f>
        <v>0</v>
      </c>
    </row>
    <row r="1098" customFormat="false" ht="57.45" hidden="false" customHeight="false" outlineLevel="0" collapsed="false">
      <c r="A1098" s="14" t="n">
        <v>601260</v>
      </c>
      <c r="B1098" s="14" t="s">
        <v>2237</v>
      </c>
      <c r="C1098" s="14" t="s">
        <v>2238</v>
      </c>
      <c r="D1098" s="14" t="n">
        <v>95</v>
      </c>
      <c r="E1098" s="14" t="n">
        <v>464</v>
      </c>
      <c r="F1098" s="14" t="n">
        <v>26</v>
      </c>
      <c r="G1098" s="14" t="n">
        <v>22</v>
      </c>
      <c r="H1098" s="14" t="s">
        <v>62</v>
      </c>
      <c r="I1098" s="14" t="n">
        <v>0.86</v>
      </c>
      <c r="J1098" s="14" t="n">
        <v>1.5</v>
      </c>
      <c r="K1098" s="14" t="s">
        <v>59</v>
      </c>
      <c r="L1098" s="14" t="n">
        <v>2015</v>
      </c>
      <c r="M1098" s="14" t="n">
        <v>6.13988455222626</v>
      </c>
      <c r="N1098" s="14" t="n">
        <v>4.55398214921866</v>
      </c>
      <c r="P1098" s="14" t="n">
        <f aca="false">D1098</f>
        <v>95</v>
      </c>
      <c r="Q1098" s="14" t="n">
        <f aca="false">G1098</f>
        <v>22</v>
      </c>
      <c r="R1098" s="14" t="n">
        <f aca="false">J1098</f>
        <v>1.5</v>
      </c>
      <c r="S1098" s="14" t="n">
        <f aca="false">IF($L1098=2012,1,0)</f>
        <v>0</v>
      </c>
      <c r="T1098" s="14" t="n">
        <f aca="false">IF($L1098=2013,1,0)</f>
        <v>0</v>
      </c>
      <c r="U1098" s="14" t="n">
        <f aca="false">IF($L1098=2014,1,0)</f>
        <v>0</v>
      </c>
      <c r="V1098" s="14" t="n">
        <f aca="false">IF($L1098=2015,1,0)</f>
        <v>1</v>
      </c>
      <c r="W1098" s="14" t="n">
        <f aca="false">IF($L1098=2016,1,0)</f>
        <v>0</v>
      </c>
      <c r="X1098" s="14" t="n">
        <f aca="false">IF($L1098=2017,1,0)</f>
        <v>0</v>
      </c>
      <c r="Y1098" s="14" t="n">
        <f aca="false">IF($H1098="Beginner Level",1,0)</f>
        <v>0</v>
      </c>
      <c r="Z1098" s="14" t="n">
        <f aca="false">IF($H1098="Expert Level",1,0)</f>
        <v>0</v>
      </c>
      <c r="AA1098" s="14" t="n">
        <f aca="false">IF($H1098="Intermediate Level",1,0)</f>
        <v>0</v>
      </c>
      <c r="AC1098" s="14" t="n">
        <f aca="false">N1098</f>
        <v>4.55398214921866</v>
      </c>
      <c r="AD1098" s="14" t="n">
        <f aca="false">G1098</f>
        <v>22</v>
      </c>
      <c r="AE1098" s="14" t="n">
        <f aca="false">J1098</f>
        <v>1.5</v>
      </c>
      <c r="AF1098" s="14" t="n">
        <f aca="false">IF($L1098=2012,1,0)</f>
        <v>0</v>
      </c>
      <c r="AG1098" s="14" t="n">
        <f aca="false">IF($L1098=2013,1,0)</f>
        <v>0</v>
      </c>
      <c r="AH1098" s="14" t="n">
        <f aca="false">IF($L1098=2014,1,0)</f>
        <v>0</v>
      </c>
      <c r="AI1098" s="14" t="n">
        <f aca="false">IF($L1098=2015,1,0)</f>
        <v>1</v>
      </c>
      <c r="AJ1098" s="14" t="n">
        <f aca="false">IF($L1098=2016,1,0)</f>
        <v>0</v>
      </c>
      <c r="AK1098" s="14" t="n">
        <f aca="false">IF($L1098=2017,1,0)</f>
        <v>0</v>
      </c>
      <c r="AL1098" s="14" t="n">
        <f aca="false">IF($H1098="Beginner Level",1,0)</f>
        <v>0</v>
      </c>
      <c r="AM1098" s="14" t="n">
        <f aca="false">IF($H1098="Expert Level",1,0)</f>
        <v>0</v>
      </c>
      <c r="AN1098" s="14" t="n">
        <f aca="false">IF($H1098="Intermediate Level",1,0)</f>
        <v>0</v>
      </c>
    </row>
    <row r="1099" customFormat="false" ht="79.85" hidden="false" customHeight="false" outlineLevel="0" collapsed="false">
      <c r="A1099" s="14" t="n">
        <v>402508</v>
      </c>
      <c r="B1099" s="14" t="s">
        <v>2239</v>
      </c>
      <c r="C1099" s="14" t="s">
        <v>2240</v>
      </c>
      <c r="D1099" s="14" t="n">
        <v>50</v>
      </c>
      <c r="E1099" s="14" t="n">
        <v>461</v>
      </c>
      <c r="F1099" s="14" t="n">
        <v>67</v>
      </c>
      <c r="G1099" s="14" t="n">
        <v>46</v>
      </c>
      <c r="H1099" s="14" t="s">
        <v>62</v>
      </c>
      <c r="I1099" s="14" t="n">
        <v>0.64</v>
      </c>
      <c r="J1099" s="14" t="n">
        <v>3.5</v>
      </c>
      <c r="K1099" s="14" t="s">
        <v>59</v>
      </c>
      <c r="L1099" s="14" t="n">
        <v>2015</v>
      </c>
      <c r="M1099" s="14" t="n">
        <v>6.13339804299665</v>
      </c>
      <c r="N1099" s="14" t="n">
        <v>3.91222298543081</v>
      </c>
      <c r="P1099" s="14" t="n">
        <f aca="false">D1099</f>
        <v>50</v>
      </c>
      <c r="Q1099" s="14" t="n">
        <f aca="false">G1099</f>
        <v>46</v>
      </c>
      <c r="R1099" s="14" t="n">
        <f aca="false">J1099</f>
        <v>3.5</v>
      </c>
      <c r="S1099" s="14" t="n">
        <f aca="false">IF($L1099=2012,1,0)</f>
        <v>0</v>
      </c>
      <c r="T1099" s="14" t="n">
        <f aca="false">IF($L1099=2013,1,0)</f>
        <v>0</v>
      </c>
      <c r="U1099" s="14" t="n">
        <f aca="false">IF($L1099=2014,1,0)</f>
        <v>0</v>
      </c>
      <c r="V1099" s="14" t="n">
        <f aca="false">IF($L1099=2015,1,0)</f>
        <v>1</v>
      </c>
      <c r="W1099" s="14" t="n">
        <f aca="false">IF($L1099=2016,1,0)</f>
        <v>0</v>
      </c>
      <c r="X1099" s="14" t="n">
        <f aca="false">IF($L1099=2017,1,0)</f>
        <v>0</v>
      </c>
      <c r="Y1099" s="14" t="n">
        <f aca="false">IF($H1099="Beginner Level",1,0)</f>
        <v>0</v>
      </c>
      <c r="Z1099" s="14" t="n">
        <f aca="false">IF($H1099="Expert Level",1,0)</f>
        <v>0</v>
      </c>
      <c r="AA1099" s="14" t="n">
        <f aca="false">IF($H1099="Intermediate Level",1,0)</f>
        <v>0</v>
      </c>
      <c r="AC1099" s="14" t="n">
        <f aca="false">N1099</f>
        <v>3.91222298543081</v>
      </c>
      <c r="AD1099" s="14" t="n">
        <f aca="false">G1099</f>
        <v>46</v>
      </c>
      <c r="AE1099" s="14" t="n">
        <f aca="false">J1099</f>
        <v>3.5</v>
      </c>
      <c r="AF1099" s="14" t="n">
        <f aca="false">IF($L1099=2012,1,0)</f>
        <v>0</v>
      </c>
      <c r="AG1099" s="14" t="n">
        <f aca="false">IF($L1099=2013,1,0)</f>
        <v>0</v>
      </c>
      <c r="AH1099" s="14" t="n">
        <f aca="false">IF($L1099=2014,1,0)</f>
        <v>0</v>
      </c>
      <c r="AI1099" s="14" t="n">
        <f aca="false">IF($L1099=2015,1,0)</f>
        <v>1</v>
      </c>
      <c r="AJ1099" s="14" t="n">
        <f aca="false">IF($L1099=2016,1,0)</f>
        <v>0</v>
      </c>
      <c r="AK1099" s="14" t="n">
        <f aca="false">IF($L1099=2017,1,0)</f>
        <v>0</v>
      </c>
      <c r="AL1099" s="14" t="n">
        <f aca="false">IF($H1099="Beginner Level",1,0)</f>
        <v>0</v>
      </c>
      <c r="AM1099" s="14" t="n">
        <f aca="false">IF($H1099="Expert Level",1,0)</f>
        <v>0</v>
      </c>
      <c r="AN1099" s="14" t="n">
        <f aca="false">IF($H1099="Intermediate Level",1,0)</f>
        <v>0</v>
      </c>
    </row>
    <row r="1100" customFormat="false" ht="57.45" hidden="false" customHeight="false" outlineLevel="0" collapsed="false">
      <c r="A1100" s="14" t="n">
        <v>525818</v>
      </c>
      <c r="B1100" s="14" t="s">
        <v>2241</v>
      </c>
      <c r="C1100" s="14" t="s">
        <v>2242</v>
      </c>
      <c r="D1100" s="14" t="n">
        <v>95</v>
      </c>
      <c r="E1100" s="14" t="n">
        <v>458</v>
      </c>
      <c r="F1100" s="14" t="n">
        <v>28</v>
      </c>
      <c r="G1100" s="14" t="n">
        <v>40</v>
      </c>
      <c r="H1100" s="14" t="s">
        <v>52</v>
      </c>
      <c r="I1100" s="14" t="n">
        <v>0.64</v>
      </c>
      <c r="J1100" s="14" t="n">
        <v>4.5</v>
      </c>
      <c r="K1100" s="14" t="s">
        <v>59</v>
      </c>
      <c r="L1100" s="14" t="n">
        <v>2015</v>
      </c>
      <c r="M1100" s="14" t="n">
        <v>6.12686918411419</v>
      </c>
      <c r="N1100" s="14" t="n">
        <v>4.55398214921866</v>
      </c>
      <c r="P1100" s="14" t="n">
        <f aca="false">D1100</f>
        <v>95</v>
      </c>
      <c r="Q1100" s="14" t="n">
        <f aca="false">G1100</f>
        <v>40</v>
      </c>
      <c r="R1100" s="14" t="n">
        <f aca="false">J1100</f>
        <v>4.5</v>
      </c>
      <c r="S1100" s="14" t="n">
        <f aca="false">IF($L1100=2012,1,0)</f>
        <v>0</v>
      </c>
      <c r="T1100" s="14" t="n">
        <f aca="false">IF($L1100=2013,1,0)</f>
        <v>0</v>
      </c>
      <c r="U1100" s="14" t="n">
        <f aca="false">IF($L1100=2014,1,0)</f>
        <v>0</v>
      </c>
      <c r="V1100" s="14" t="n">
        <f aca="false">IF($L1100=2015,1,0)</f>
        <v>1</v>
      </c>
      <c r="W1100" s="14" t="n">
        <f aca="false">IF($L1100=2016,1,0)</f>
        <v>0</v>
      </c>
      <c r="X1100" s="14" t="n">
        <f aca="false">IF($L1100=2017,1,0)</f>
        <v>0</v>
      </c>
      <c r="Y1100" s="14" t="n">
        <f aca="false">IF($H1100="Beginner Level",1,0)</f>
        <v>1</v>
      </c>
      <c r="Z1100" s="14" t="n">
        <f aca="false">IF($H1100="Expert Level",1,0)</f>
        <v>0</v>
      </c>
      <c r="AA1100" s="14" t="n">
        <f aca="false">IF($H1100="Intermediate Level",1,0)</f>
        <v>0</v>
      </c>
      <c r="AC1100" s="14" t="n">
        <f aca="false">N1100</f>
        <v>4.55398214921866</v>
      </c>
      <c r="AD1100" s="14" t="n">
        <f aca="false">G1100</f>
        <v>40</v>
      </c>
      <c r="AE1100" s="14" t="n">
        <f aca="false">J1100</f>
        <v>4.5</v>
      </c>
      <c r="AF1100" s="14" t="n">
        <f aca="false">IF($L1100=2012,1,0)</f>
        <v>0</v>
      </c>
      <c r="AG1100" s="14" t="n">
        <f aca="false">IF($L1100=2013,1,0)</f>
        <v>0</v>
      </c>
      <c r="AH1100" s="14" t="n">
        <f aca="false">IF($L1100=2014,1,0)</f>
        <v>0</v>
      </c>
      <c r="AI1100" s="14" t="n">
        <f aca="false">IF($L1100=2015,1,0)</f>
        <v>1</v>
      </c>
      <c r="AJ1100" s="14" t="n">
        <f aca="false">IF($L1100=2016,1,0)</f>
        <v>0</v>
      </c>
      <c r="AK1100" s="14" t="n">
        <f aca="false">IF($L1100=2017,1,0)</f>
        <v>0</v>
      </c>
      <c r="AL1100" s="14" t="n">
        <f aca="false">IF($H1100="Beginner Level",1,0)</f>
        <v>1</v>
      </c>
      <c r="AM1100" s="14" t="n">
        <f aca="false">IF($H1100="Expert Level",1,0)</f>
        <v>0</v>
      </c>
      <c r="AN1100" s="14" t="n">
        <f aca="false">IF($H1100="Intermediate Level",1,0)</f>
        <v>0</v>
      </c>
    </row>
    <row r="1101" customFormat="false" ht="57.45" hidden="false" customHeight="false" outlineLevel="0" collapsed="false">
      <c r="A1101" s="14" t="n">
        <v>990284</v>
      </c>
      <c r="B1101" s="14" t="s">
        <v>2243</v>
      </c>
      <c r="C1101" s="14" t="s">
        <v>2244</v>
      </c>
      <c r="D1101" s="14" t="n">
        <v>20</v>
      </c>
      <c r="E1101" s="14" t="n">
        <v>458</v>
      </c>
      <c r="F1101" s="14" t="n">
        <v>2</v>
      </c>
      <c r="G1101" s="14" t="n">
        <v>12</v>
      </c>
      <c r="H1101" s="14" t="s">
        <v>62</v>
      </c>
      <c r="I1101" s="14" t="n">
        <v>0.75</v>
      </c>
      <c r="J1101" s="14" t="n">
        <v>1</v>
      </c>
      <c r="K1101" s="14" t="s">
        <v>59</v>
      </c>
      <c r="L1101" s="14" t="n">
        <v>2017</v>
      </c>
      <c r="M1101" s="14" t="n">
        <v>6.12686918411419</v>
      </c>
      <c r="N1101" s="14" t="n">
        <v>2.99623214859564</v>
      </c>
      <c r="P1101" s="14" t="n">
        <f aca="false">D1101</f>
        <v>20</v>
      </c>
      <c r="Q1101" s="14" t="n">
        <f aca="false">G1101</f>
        <v>12</v>
      </c>
      <c r="R1101" s="14" t="n">
        <f aca="false">J1101</f>
        <v>1</v>
      </c>
      <c r="S1101" s="14" t="n">
        <f aca="false">IF($L1101=2012,1,0)</f>
        <v>0</v>
      </c>
      <c r="T1101" s="14" t="n">
        <f aca="false">IF($L1101=2013,1,0)</f>
        <v>0</v>
      </c>
      <c r="U1101" s="14" t="n">
        <f aca="false">IF($L1101=2014,1,0)</f>
        <v>0</v>
      </c>
      <c r="V1101" s="14" t="n">
        <f aca="false">IF($L1101=2015,1,0)</f>
        <v>0</v>
      </c>
      <c r="W1101" s="14" t="n">
        <f aca="false">IF($L1101=2016,1,0)</f>
        <v>0</v>
      </c>
      <c r="X1101" s="14" t="n">
        <f aca="false">IF($L1101=2017,1,0)</f>
        <v>1</v>
      </c>
      <c r="Y1101" s="14" t="n">
        <f aca="false">IF($H1101="Beginner Level",1,0)</f>
        <v>0</v>
      </c>
      <c r="Z1101" s="14" t="n">
        <f aca="false">IF($H1101="Expert Level",1,0)</f>
        <v>0</v>
      </c>
      <c r="AA1101" s="14" t="n">
        <f aca="false">IF($H1101="Intermediate Level",1,0)</f>
        <v>0</v>
      </c>
      <c r="AC1101" s="14" t="n">
        <f aca="false">N1101</f>
        <v>2.99623214859564</v>
      </c>
      <c r="AD1101" s="14" t="n">
        <f aca="false">G1101</f>
        <v>12</v>
      </c>
      <c r="AE1101" s="14" t="n">
        <f aca="false">J1101</f>
        <v>1</v>
      </c>
      <c r="AF1101" s="14" t="n">
        <f aca="false">IF($L1101=2012,1,0)</f>
        <v>0</v>
      </c>
      <c r="AG1101" s="14" t="n">
        <f aca="false">IF($L1101=2013,1,0)</f>
        <v>0</v>
      </c>
      <c r="AH1101" s="14" t="n">
        <f aca="false">IF($L1101=2014,1,0)</f>
        <v>0</v>
      </c>
      <c r="AI1101" s="14" t="n">
        <f aca="false">IF($L1101=2015,1,0)</f>
        <v>0</v>
      </c>
      <c r="AJ1101" s="14" t="n">
        <f aca="false">IF($L1101=2016,1,0)</f>
        <v>0</v>
      </c>
      <c r="AK1101" s="14" t="n">
        <f aca="false">IF($L1101=2017,1,0)</f>
        <v>1</v>
      </c>
      <c r="AL1101" s="14" t="n">
        <f aca="false">IF($H1101="Beginner Level",1,0)</f>
        <v>0</v>
      </c>
      <c r="AM1101" s="14" t="n">
        <f aca="false">IF($H1101="Expert Level",1,0)</f>
        <v>0</v>
      </c>
      <c r="AN1101" s="14" t="n">
        <f aca="false">IF($H1101="Intermediate Level",1,0)</f>
        <v>0</v>
      </c>
    </row>
    <row r="1102" customFormat="false" ht="68.65" hidden="false" customHeight="false" outlineLevel="0" collapsed="false">
      <c r="A1102" s="14" t="n">
        <v>821788</v>
      </c>
      <c r="B1102" s="14" t="s">
        <v>2245</v>
      </c>
      <c r="C1102" s="14" t="s">
        <v>2246</v>
      </c>
      <c r="D1102" s="14" t="n">
        <v>40</v>
      </c>
      <c r="E1102" s="14" t="n">
        <v>450</v>
      </c>
      <c r="F1102" s="14" t="n">
        <v>61</v>
      </c>
      <c r="G1102" s="14" t="n">
        <v>41</v>
      </c>
      <c r="H1102" s="14" t="s">
        <v>52</v>
      </c>
      <c r="I1102" s="14" t="n">
        <v>0.88</v>
      </c>
      <c r="J1102" s="14" t="n">
        <v>6</v>
      </c>
      <c r="K1102" s="14" t="s">
        <v>59</v>
      </c>
      <c r="L1102" s="14" t="n">
        <v>2016</v>
      </c>
      <c r="M1102" s="14" t="n">
        <v>6.10924758276437</v>
      </c>
      <c r="N1102" s="14" t="n">
        <v>3.68912942286914</v>
      </c>
      <c r="P1102" s="14" t="n">
        <f aca="false">D1102</f>
        <v>40</v>
      </c>
      <c r="Q1102" s="14" t="n">
        <f aca="false">G1102</f>
        <v>41</v>
      </c>
      <c r="R1102" s="14" t="n">
        <f aca="false">J1102</f>
        <v>6</v>
      </c>
      <c r="S1102" s="14" t="n">
        <f aca="false">IF($L1102=2012,1,0)</f>
        <v>0</v>
      </c>
      <c r="T1102" s="14" t="n">
        <f aca="false">IF($L1102=2013,1,0)</f>
        <v>0</v>
      </c>
      <c r="U1102" s="14" t="n">
        <f aca="false">IF($L1102=2014,1,0)</f>
        <v>0</v>
      </c>
      <c r="V1102" s="14" t="n">
        <f aca="false">IF($L1102=2015,1,0)</f>
        <v>0</v>
      </c>
      <c r="W1102" s="14" t="n">
        <f aca="false">IF($L1102=2016,1,0)</f>
        <v>1</v>
      </c>
      <c r="X1102" s="14" t="n">
        <f aca="false">IF($L1102=2017,1,0)</f>
        <v>0</v>
      </c>
      <c r="Y1102" s="14" t="n">
        <f aca="false">IF($H1102="Beginner Level",1,0)</f>
        <v>1</v>
      </c>
      <c r="Z1102" s="14" t="n">
        <f aca="false">IF($H1102="Expert Level",1,0)</f>
        <v>0</v>
      </c>
      <c r="AA1102" s="14" t="n">
        <f aca="false">IF($H1102="Intermediate Level",1,0)</f>
        <v>0</v>
      </c>
      <c r="AC1102" s="14" t="n">
        <f aca="false">N1102</f>
        <v>3.68912942286914</v>
      </c>
      <c r="AD1102" s="14" t="n">
        <f aca="false">G1102</f>
        <v>41</v>
      </c>
      <c r="AE1102" s="14" t="n">
        <f aca="false">J1102</f>
        <v>6</v>
      </c>
      <c r="AF1102" s="14" t="n">
        <f aca="false">IF($L1102=2012,1,0)</f>
        <v>0</v>
      </c>
      <c r="AG1102" s="14" t="n">
        <f aca="false">IF($L1102=2013,1,0)</f>
        <v>0</v>
      </c>
      <c r="AH1102" s="14" t="n">
        <f aca="false">IF($L1102=2014,1,0)</f>
        <v>0</v>
      </c>
      <c r="AI1102" s="14" t="n">
        <f aca="false">IF($L1102=2015,1,0)</f>
        <v>0</v>
      </c>
      <c r="AJ1102" s="14" t="n">
        <f aca="false">IF($L1102=2016,1,0)</f>
        <v>1</v>
      </c>
      <c r="AK1102" s="14" t="n">
        <f aca="false">IF($L1102=2017,1,0)</f>
        <v>0</v>
      </c>
      <c r="AL1102" s="14" t="n">
        <f aca="false">IF($H1102="Beginner Level",1,0)</f>
        <v>1</v>
      </c>
      <c r="AM1102" s="14" t="n">
        <f aca="false">IF($H1102="Expert Level",1,0)</f>
        <v>0</v>
      </c>
      <c r="AN1102" s="14" t="n">
        <f aca="false">IF($H1102="Intermediate Level",1,0)</f>
        <v>0</v>
      </c>
    </row>
    <row r="1103" customFormat="false" ht="46.25" hidden="false" customHeight="false" outlineLevel="0" collapsed="false">
      <c r="A1103" s="14" t="n">
        <v>709324</v>
      </c>
      <c r="B1103" s="14" t="s">
        <v>2247</v>
      </c>
      <c r="C1103" s="14" t="s">
        <v>2248</v>
      </c>
      <c r="D1103" s="14" t="n">
        <v>200</v>
      </c>
      <c r="E1103" s="14" t="n">
        <v>442</v>
      </c>
      <c r="F1103" s="14" t="n">
        <v>48</v>
      </c>
      <c r="G1103" s="14" t="n">
        <v>80</v>
      </c>
      <c r="H1103" s="14" t="s">
        <v>52</v>
      </c>
      <c r="I1103" s="14" t="n">
        <v>0.45</v>
      </c>
      <c r="J1103" s="14" t="n">
        <v>6.5</v>
      </c>
      <c r="K1103" s="14" t="s">
        <v>59</v>
      </c>
      <c r="L1103" s="14" t="n">
        <v>2015</v>
      </c>
      <c r="M1103" s="14" t="n">
        <v>6.0913098820777</v>
      </c>
      <c r="N1103" s="14" t="n">
        <v>5.29836736529808</v>
      </c>
      <c r="P1103" s="14" t="n">
        <f aca="false">D1103</f>
        <v>200</v>
      </c>
      <c r="Q1103" s="14" t="n">
        <f aca="false">G1103</f>
        <v>80</v>
      </c>
      <c r="R1103" s="14" t="n">
        <f aca="false">J1103</f>
        <v>6.5</v>
      </c>
      <c r="S1103" s="14" t="n">
        <f aca="false">IF($L1103=2012,1,0)</f>
        <v>0</v>
      </c>
      <c r="T1103" s="14" t="n">
        <f aca="false">IF($L1103=2013,1,0)</f>
        <v>0</v>
      </c>
      <c r="U1103" s="14" t="n">
        <f aca="false">IF($L1103=2014,1,0)</f>
        <v>0</v>
      </c>
      <c r="V1103" s="14" t="n">
        <f aca="false">IF($L1103=2015,1,0)</f>
        <v>1</v>
      </c>
      <c r="W1103" s="14" t="n">
        <f aca="false">IF($L1103=2016,1,0)</f>
        <v>0</v>
      </c>
      <c r="X1103" s="14" t="n">
        <f aca="false">IF($L1103=2017,1,0)</f>
        <v>0</v>
      </c>
      <c r="Y1103" s="14" t="n">
        <f aca="false">IF($H1103="Beginner Level",1,0)</f>
        <v>1</v>
      </c>
      <c r="Z1103" s="14" t="n">
        <f aca="false">IF($H1103="Expert Level",1,0)</f>
        <v>0</v>
      </c>
      <c r="AA1103" s="14" t="n">
        <f aca="false">IF($H1103="Intermediate Level",1,0)</f>
        <v>0</v>
      </c>
      <c r="AC1103" s="14" t="n">
        <f aca="false">N1103</f>
        <v>5.29836736529808</v>
      </c>
      <c r="AD1103" s="14" t="n">
        <f aca="false">G1103</f>
        <v>80</v>
      </c>
      <c r="AE1103" s="14" t="n">
        <f aca="false">J1103</f>
        <v>6.5</v>
      </c>
      <c r="AF1103" s="14" t="n">
        <f aca="false">IF($L1103=2012,1,0)</f>
        <v>0</v>
      </c>
      <c r="AG1103" s="14" t="n">
        <f aca="false">IF($L1103=2013,1,0)</f>
        <v>0</v>
      </c>
      <c r="AH1103" s="14" t="n">
        <f aca="false">IF($L1103=2014,1,0)</f>
        <v>0</v>
      </c>
      <c r="AI1103" s="14" t="n">
        <f aca="false">IF($L1103=2015,1,0)</f>
        <v>1</v>
      </c>
      <c r="AJ1103" s="14" t="n">
        <f aca="false">IF($L1103=2016,1,0)</f>
        <v>0</v>
      </c>
      <c r="AK1103" s="14" t="n">
        <f aca="false">IF($L1103=2017,1,0)</f>
        <v>0</v>
      </c>
      <c r="AL1103" s="14" t="n">
        <f aca="false">IF($H1103="Beginner Level",1,0)</f>
        <v>1</v>
      </c>
      <c r="AM1103" s="14" t="n">
        <f aca="false">IF($H1103="Expert Level",1,0)</f>
        <v>0</v>
      </c>
      <c r="AN1103" s="14" t="n">
        <f aca="false">IF($H1103="Intermediate Level",1,0)</f>
        <v>0</v>
      </c>
    </row>
    <row r="1104" customFormat="false" ht="68.65" hidden="false" customHeight="false" outlineLevel="0" collapsed="false">
      <c r="A1104" s="14" t="n">
        <v>667122</v>
      </c>
      <c r="B1104" s="14" t="s">
        <v>2249</v>
      </c>
      <c r="C1104" s="14" t="s">
        <v>2250</v>
      </c>
      <c r="D1104" s="14" t="n">
        <v>20</v>
      </c>
      <c r="E1104" s="14" t="n">
        <v>436</v>
      </c>
      <c r="F1104" s="14" t="n">
        <v>36</v>
      </c>
      <c r="G1104" s="14" t="n">
        <v>22</v>
      </c>
      <c r="H1104" s="14" t="s">
        <v>62</v>
      </c>
      <c r="I1104" s="14" t="n">
        <v>0.3</v>
      </c>
      <c r="J1104" s="14" t="n">
        <v>1.5</v>
      </c>
      <c r="K1104" s="14" t="s">
        <v>59</v>
      </c>
      <c r="L1104" s="14" t="n">
        <v>2015</v>
      </c>
      <c r="M1104" s="14" t="n">
        <v>6.07764224334903</v>
      </c>
      <c r="N1104" s="14" t="n">
        <v>2.99623214859564</v>
      </c>
      <c r="P1104" s="14" t="n">
        <f aca="false">D1104</f>
        <v>20</v>
      </c>
      <c r="Q1104" s="14" t="n">
        <f aca="false">G1104</f>
        <v>22</v>
      </c>
      <c r="R1104" s="14" t="n">
        <f aca="false">J1104</f>
        <v>1.5</v>
      </c>
      <c r="S1104" s="14" t="n">
        <f aca="false">IF($L1104=2012,1,0)</f>
        <v>0</v>
      </c>
      <c r="T1104" s="14" t="n">
        <f aca="false">IF($L1104=2013,1,0)</f>
        <v>0</v>
      </c>
      <c r="U1104" s="14" t="n">
        <f aca="false">IF($L1104=2014,1,0)</f>
        <v>0</v>
      </c>
      <c r="V1104" s="14" t="n">
        <f aca="false">IF($L1104=2015,1,0)</f>
        <v>1</v>
      </c>
      <c r="W1104" s="14" t="n">
        <f aca="false">IF($L1104=2016,1,0)</f>
        <v>0</v>
      </c>
      <c r="X1104" s="14" t="n">
        <f aca="false">IF($L1104=2017,1,0)</f>
        <v>0</v>
      </c>
      <c r="Y1104" s="14" t="n">
        <f aca="false">IF($H1104="Beginner Level",1,0)</f>
        <v>0</v>
      </c>
      <c r="Z1104" s="14" t="n">
        <f aca="false">IF($H1104="Expert Level",1,0)</f>
        <v>0</v>
      </c>
      <c r="AA1104" s="14" t="n">
        <f aca="false">IF($H1104="Intermediate Level",1,0)</f>
        <v>0</v>
      </c>
      <c r="AC1104" s="14" t="n">
        <f aca="false">N1104</f>
        <v>2.99623214859564</v>
      </c>
      <c r="AD1104" s="14" t="n">
        <f aca="false">G1104</f>
        <v>22</v>
      </c>
      <c r="AE1104" s="14" t="n">
        <f aca="false">J1104</f>
        <v>1.5</v>
      </c>
      <c r="AF1104" s="14" t="n">
        <f aca="false">IF($L1104=2012,1,0)</f>
        <v>0</v>
      </c>
      <c r="AG1104" s="14" t="n">
        <f aca="false">IF($L1104=2013,1,0)</f>
        <v>0</v>
      </c>
      <c r="AH1104" s="14" t="n">
        <f aca="false">IF($L1104=2014,1,0)</f>
        <v>0</v>
      </c>
      <c r="AI1104" s="14" t="n">
        <f aca="false">IF($L1104=2015,1,0)</f>
        <v>1</v>
      </c>
      <c r="AJ1104" s="14" t="n">
        <f aca="false">IF($L1104=2016,1,0)</f>
        <v>0</v>
      </c>
      <c r="AK1104" s="14" t="n">
        <f aca="false">IF($L1104=2017,1,0)</f>
        <v>0</v>
      </c>
      <c r="AL1104" s="14" t="n">
        <f aca="false">IF($H1104="Beginner Level",1,0)</f>
        <v>0</v>
      </c>
      <c r="AM1104" s="14" t="n">
        <f aca="false">IF($H1104="Expert Level",1,0)</f>
        <v>0</v>
      </c>
      <c r="AN1104" s="14" t="n">
        <f aca="false">IF($H1104="Intermediate Level",1,0)</f>
        <v>0</v>
      </c>
    </row>
    <row r="1105" customFormat="false" ht="68.65" hidden="false" customHeight="false" outlineLevel="0" collapsed="false">
      <c r="A1105" s="14" t="n">
        <v>851560</v>
      </c>
      <c r="B1105" s="14" t="s">
        <v>2251</v>
      </c>
      <c r="C1105" s="14" t="s">
        <v>2252</v>
      </c>
      <c r="D1105" s="14" t="n">
        <v>40</v>
      </c>
      <c r="E1105" s="14" t="n">
        <v>434</v>
      </c>
      <c r="F1105" s="14" t="n">
        <v>69</v>
      </c>
      <c r="G1105" s="14" t="n">
        <v>23</v>
      </c>
      <c r="H1105" s="14" t="s">
        <v>62</v>
      </c>
      <c r="I1105" s="14" t="n">
        <v>0.66</v>
      </c>
      <c r="J1105" s="14" t="n">
        <v>5.5</v>
      </c>
      <c r="K1105" s="14" t="s">
        <v>59</v>
      </c>
      <c r="L1105" s="14" t="n">
        <v>2016</v>
      </c>
      <c r="M1105" s="14" t="n">
        <v>6.07304453410041</v>
      </c>
      <c r="N1105" s="14" t="n">
        <v>3.68912942286914</v>
      </c>
      <c r="P1105" s="14" t="n">
        <f aca="false">D1105</f>
        <v>40</v>
      </c>
      <c r="Q1105" s="14" t="n">
        <f aca="false">G1105</f>
        <v>23</v>
      </c>
      <c r="R1105" s="14" t="n">
        <f aca="false">J1105</f>
        <v>5.5</v>
      </c>
      <c r="S1105" s="14" t="n">
        <f aca="false">IF($L1105=2012,1,0)</f>
        <v>0</v>
      </c>
      <c r="T1105" s="14" t="n">
        <f aca="false">IF($L1105=2013,1,0)</f>
        <v>0</v>
      </c>
      <c r="U1105" s="14" t="n">
        <f aca="false">IF($L1105=2014,1,0)</f>
        <v>0</v>
      </c>
      <c r="V1105" s="14" t="n">
        <f aca="false">IF($L1105=2015,1,0)</f>
        <v>0</v>
      </c>
      <c r="W1105" s="14" t="n">
        <f aca="false">IF($L1105=2016,1,0)</f>
        <v>1</v>
      </c>
      <c r="X1105" s="14" t="n">
        <f aca="false">IF($L1105=2017,1,0)</f>
        <v>0</v>
      </c>
      <c r="Y1105" s="14" t="n">
        <f aca="false">IF($H1105="Beginner Level",1,0)</f>
        <v>0</v>
      </c>
      <c r="Z1105" s="14" t="n">
        <f aca="false">IF($H1105="Expert Level",1,0)</f>
        <v>0</v>
      </c>
      <c r="AA1105" s="14" t="n">
        <f aca="false">IF($H1105="Intermediate Level",1,0)</f>
        <v>0</v>
      </c>
      <c r="AC1105" s="14" t="n">
        <f aca="false">N1105</f>
        <v>3.68912942286914</v>
      </c>
      <c r="AD1105" s="14" t="n">
        <f aca="false">G1105</f>
        <v>23</v>
      </c>
      <c r="AE1105" s="14" t="n">
        <f aca="false">J1105</f>
        <v>5.5</v>
      </c>
      <c r="AF1105" s="14" t="n">
        <f aca="false">IF($L1105=2012,1,0)</f>
        <v>0</v>
      </c>
      <c r="AG1105" s="14" t="n">
        <f aca="false">IF($L1105=2013,1,0)</f>
        <v>0</v>
      </c>
      <c r="AH1105" s="14" t="n">
        <f aca="false">IF($L1105=2014,1,0)</f>
        <v>0</v>
      </c>
      <c r="AI1105" s="14" t="n">
        <f aca="false">IF($L1105=2015,1,0)</f>
        <v>0</v>
      </c>
      <c r="AJ1105" s="14" t="n">
        <f aca="false">IF($L1105=2016,1,0)</f>
        <v>1</v>
      </c>
      <c r="AK1105" s="14" t="n">
        <f aca="false">IF($L1105=2017,1,0)</f>
        <v>0</v>
      </c>
      <c r="AL1105" s="14" t="n">
        <f aca="false">IF($H1105="Beginner Level",1,0)</f>
        <v>0</v>
      </c>
      <c r="AM1105" s="14" t="n">
        <f aca="false">IF($H1105="Expert Level",1,0)</f>
        <v>0</v>
      </c>
      <c r="AN1105" s="14" t="n">
        <f aca="false">IF($H1105="Intermediate Level",1,0)</f>
        <v>0</v>
      </c>
    </row>
    <row r="1106" customFormat="false" ht="79.85" hidden="false" customHeight="false" outlineLevel="0" collapsed="false">
      <c r="A1106" s="14" t="n">
        <v>1140232</v>
      </c>
      <c r="B1106" s="14" t="s">
        <v>2253</v>
      </c>
      <c r="C1106" s="14" t="s">
        <v>2254</v>
      </c>
      <c r="D1106" s="14" t="n">
        <v>125</v>
      </c>
      <c r="E1106" s="14" t="n">
        <v>430</v>
      </c>
      <c r="F1106" s="14" t="n">
        <v>54</v>
      </c>
      <c r="G1106" s="14" t="n">
        <v>39</v>
      </c>
      <c r="H1106" s="14" t="s">
        <v>71</v>
      </c>
      <c r="I1106" s="14" t="n">
        <v>0.96</v>
      </c>
      <c r="J1106" s="14" t="n">
        <v>2.5</v>
      </c>
      <c r="K1106" s="14" t="s">
        <v>59</v>
      </c>
      <c r="L1106" s="14" t="n">
        <v>2017</v>
      </c>
      <c r="M1106" s="14" t="n">
        <v>6.06378520868761</v>
      </c>
      <c r="N1106" s="14" t="n">
        <v>4.82839373410247</v>
      </c>
      <c r="P1106" s="14" t="n">
        <f aca="false">D1106</f>
        <v>125</v>
      </c>
      <c r="Q1106" s="14" t="n">
        <f aca="false">G1106</f>
        <v>39</v>
      </c>
      <c r="R1106" s="14" t="n">
        <f aca="false">J1106</f>
        <v>2.5</v>
      </c>
      <c r="S1106" s="14" t="n">
        <f aca="false">IF($L1106=2012,1,0)</f>
        <v>0</v>
      </c>
      <c r="T1106" s="14" t="n">
        <f aca="false">IF($L1106=2013,1,0)</f>
        <v>0</v>
      </c>
      <c r="U1106" s="14" t="n">
        <f aca="false">IF($L1106=2014,1,0)</f>
        <v>0</v>
      </c>
      <c r="V1106" s="14" t="n">
        <f aca="false">IF($L1106=2015,1,0)</f>
        <v>0</v>
      </c>
      <c r="W1106" s="14" t="n">
        <f aca="false">IF($L1106=2016,1,0)</f>
        <v>0</v>
      </c>
      <c r="X1106" s="14" t="n">
        <f aca="false">IF($L1106=2017,1,0)</f>
        <v>1</v>
      </c>
      <c r="Y1106" s="14" t="n">
        <f aca="false">IF($H1106="Beginner Level",1,0)</f>
        <v>0</v>
      </c>
      <c r="Z1106" s="14" t="n">
        <f aca="false">IF($H1106="Expert Level",1,0)</f>
        <v>0</v>
      </c>
      <c r="AA1106" s="14" t="n">
        <f aca="false">IF($H1106="Intermediate Level",1,0)</f>
        <v>1</v>
      </c>
      <c r="AC1106" s="14" t="n">
        <f aca="false">N1106</f>
        <v>4.82839373410247</v>
      </c>
      <c r="AD1106" s="14" t="n">
        <f aca="false">G1106</f>
        <v>39</v>
      </c>
      <c r="AE1106" s="14" t="n">
        <f aca="false">J1106</f>
        <v>2.5</v>
      </c>
      <c r="AF1106" s="14" t="n">
        <f aca="false">IF($L1106=2012,1,0)</f>
        <v>0</v>
      </c>
      <c r="AG1106" s="14" t="n">
        <f aca="false">IF($L1106=2013,1,0)</f>
        <v>0</v>
      </c>
      <c r="AH1106" s="14" t="n">
        <f aca="false">IF($L1106=2014,1,0)</f>
        <v>0</v>
      </c>
      <c r="AI1106" s="14" t="n">
        <f aca="false">IF($L1106=2015,1,0)</f>
        <v>0</v>
      </c>
      <c r="AJ1106" s="14" t="n">
        <f aca="false">IF($L1106=2016,1,0)</f>
        <v>0</v>
      </c>
      <c r="AK1106" s="14" t="n">
        <f aca="false">IF($L1106=2017,1,0)</f>
        <v>1</v>
      </c>
      <c r="AL1106" s="14" t="n">
        <f aca="false">IF($H1106="Beginner Level",1,0)</f>
        <v>0</v>
      </c>
      <c r="AM1106" s="14" t="n">
        <f aca="false">IF($H1106="Expert Level",1,0)</f>
        <v>0</v>
      </c>
      <c r="AN1106" s="14" t="n">
        <f aca="false">IF($H1106="Intermediate Level",1,0)</f>
        <v>1</v>
      </c>
    </row>
    <row r="1107" customFormat="false" ht="57.45" hidden="false" customHeight="false" outlineLevel="0" collapsed="false">
      <c r="A1107" s="14" t="n">
        <v>1115126</v>
      </c>
      <c r="B1107" s="14" t="s">
        <v>2255</v>
      </c>
      <c r="C1107" s="14" t="s">
        <v>2256</v>
      </c>
      <c r="D1107" s="14" t="n">
        <v>45</v>
      </c>
      <c r="E1107" s="14" t="n">
        <v>426</v>
      </c>
      <c r="F1107" s="14" t="n">
        <v>4</v>
      </c>
      <c r="G1107" s="14" t="n">
        <v>9</v>
      </c>
      <c r="H1107" s="14" t="s">
        <v>62</v>
      </c>
      <c r="I1107" s="14" t="n">
        <v>0.02</v>
      </c>
      <c r="J1107" s="14" t="n">
        <v>1</v>
      </c>
      <c r="K1107" s="14" t="s">
        <v>59</v>
      </c>
      <c r="L1107" s="14" t="n">
        <v>2017</v>
      </c>
      <c r="M1107" s="14" t="n">
        <v>6.05443934626937</v>
      </c>
      <c r="N1107" s="14" t="n">
        <v>3.80688468730484</v>
      </c>
      <c r="P1107" s="14" t="n">
        <f aca="false">D1107</f>
        <v>45</v>
      </c>
      <c r="Q1107" s="14" t="n">
        <f aca="false">G1107</f>
        <v>9</v>
      </c>
      <c r="R1107" s="14" t="n">
        <f aca="false">J1107</f>
        <v>1</v>
      </c>
      <c r="S1107" s="14" t="n">
        <f aca="false">IF($L1107=2012,1,0)</f>
        <v>0</v>
      </c>
      <c r="T1107" s="14" t="n">
        <f aca="false">IF($L1107=2013,1,0)</f>
        <v>0</v>
      </c>
      <c r="U1107" s="14" t="n">
        <f aca="false">IF($L1107=2014,1,0)</f>
        <v>0</v>
      </c>
      <c r="V1107" s="14" t="n">
        <f aca="false">IF($L1107=2015,1,0)</f>
        <v>0</v>
      </c>
      <c r="W1107" s="14" t="n">
        <f aca="false">IF($L1107=2016,1,0)</f>
        <v>0</v>
      </c>
      <c r="X1107" s="14" t="n">
        <f aca="false">IF($L1107=2017,1,0)</f>
        <v>1</v>
      </c>
      <c r="Y1107" s="14" t="n">
        <f aca="false">IF($H1107="Beginner Level",1,0)</f>
        <v>0</v>
      </c>
      <c r="Z1107" s="14" t="n">
        <f aca="false">IF($H1107="Expert Level",1,0)</f>
        <v>0</v>
      </c>
      <c r="AA1107" s="14" t="n">
        <f aca="false">IF($H1107="Intermediate Level",1,0)</f>
        <v>0</v>
      </c>
      <c r="AC1107" s="14" t="n">
        <f aca="false">N1107</f>
        <v>3.80688468730484</v>
      </c>
      <c r="AD1107" s="14" t="n">
        <f aca="false">G1107</f>
        <v>9</v>
      </c>
      <c r="AE1107" s="14" t="n">
        <f aca="false">J1107</f>
        <v>1</v>
      </c>
      <c r="AF1107" s="14" t="n">
        <f aca="false">IF($L1107=2012,1,0)</f>
        <v>0</v>
      </c>
      <c r="AG1107" s="14" t="n">
        <f aca="false">IF($L1107=2013,1,0)</f>
        <v>0</v>
      </c>
      <c r="AH1107" s="14" t="n">
        <f aca="false">IF($L1107=2014,1,0)</f>
        <v>0</v>
      </c>
      <c r="AI1107" s="14" t="n">
        <f aca="false">IF($L1107=2015,1,0)</f>
        <v>0</v>
      </c>
      <c r="AJ1107" s="14" t="n">
        <f aca="false">IF($L1107=2016,1,0)</f>
        <v>0</v>
      </c>
      <c r="AK1107" s="14" t="n">
        <f aca="false">IF($L1107=2017,1,0)</f>
        <v>1</v>
      </c>
      <c r="AL1107" s="14" t="n">
        <f aca="false">IF($H1107="Beginner Level",1,0)</f>
        <v>0</v>
      </c>
      <c r="AM1107" s="14" t="n">
        <f aca="false">IF($H1107="Expert Level",1,0)</f>
        <v>0</v>
      </c>
      <c r="AN1107" s="14" t="n">
        <f aca="false">IF($H1107="Intermediate Level",1,0)</f>
        <v>0</v>
      </c>
    </row>
    <row r="1108" customFormat="false" ht="57.45" hidden="false" customHeight="false" outlineLevel="0" collapsed="false">
      <c r="A1108" s="14" t="n">
        <v>1115132</v>
      </c>
      <c r="B1108" s="14" t="s">
        <v>2257</v>
      </c>
      <c r="C1108" s="14" t="s">
        <v>2258</v>
      </c>
      <c r="D1108" s="14" t="n">
        <v>45</v>
      </c>
      <c r="E1108" s="14" t="n">
        <v>426</v>
      </c>
      <c r="F1108" s="14" t="n">
        <v>4</v>
      </c>
      <c r="G1108" s="14" t="n">
        <v>10</v>
      </c>
      <c r="H1108" s="14" t="s">
        <v>62</v>
      </c>
      <c r="I1108" s="14" t="n">
        <v>0.29</v>
      </c>
      <c r="J1108" s="14" t="n">
        <v>1</v>
      </c>
      <c r="K1108" s="14" t="s">
        <v>59</v>
      </c>
      <c r="L1108" s="14" t="n">
        <v>2017</v>
      </c>
      <c r="M1108" s="14" t="n">
        <v>6.05443934626937</v>
      </c>
      <c r="N1108" s="14" t="n">
        <v>3.80688468730484</v>
      </c>
      <c r="P1108" s="14" t="n">
        <f aca="false">D1108</f>
        <v>45</v>
      </c>
      <c r="Q1108" s="14" t="n">
        <f aca="false">G1108</f>
        <v>10</v>
      </c>
      <c r="R1108" s="14" t="n">
        <f aca="false">J1108</f>
        <v>1</v>
      </c>
      <c r="S1108" s="14" t="n">
        <f aca="false">IF($L1108=2012,1,0)</f>
        <v>0</v>
      </c>
      <c r="T1108" s="14" t="n">
        <f aca="false">IF($L1108=2013,1,0)</f>
        <v>0</v>
      </c>
      <c r="U1108" s="14" t="n">
        <f aca="false">IF($L1108=2014,1,0)</f>
        <v>0</v>
      </c>
      <c r="V1108" s="14" t="n">
        <f aca="false">IF($L1108=2015,1,0)</f>
        <v>0</v>
      </c>
      <c r="W1108" s="14" t="n">
        <f aca="false">IF($L1108=2016,1,0)</f>
        <v>0</v>
      </c>
      <c r="X1108" s="14" t="n">
        <f aca="false">IF($L1108=2017,1,0)</f>
        <v>1</v>
      </c>
      <c r="Y1108" s="14" t="n">
        <f aca="false">IF($H1108="Beginner Level",1,0)</f>
        <v>0</v>
      </c>
      <c r="Z1108" s="14" t="n">
        <f aca="false">IF($H1108="Expert Level",1,0)</f>
        <v>0</v>
      </c>
      <c r="AA1108" s="14" t="n">
        <f aca="false">IF($H1108="Intermediate Level",1,0)</f>
        <v>0</v>
      </c>
      <c r="AC1108" s="14" t="n">
        <f aca="false">N1108</f>
        <v>3.80688468730484</v>
      </c>
      <c r="AD1108" s="14" t="n">
        <f aca="false">G1108</f>
        <v>10</v>
      </c>
      <c r="AE1108" s="14" t="n">
        <f aca="false">J1108</f>
        <v>1</v>
      </c>
      <c r="AF1108" s="14" t="n">
        <f aca="false">IF($L1108=2012,1,0)</f>
        <v>0</v>
      </c>
      <c r="AG1108" s="14" t="n">
        <f aca="false">IF($L1108=2013,1,0)</f>
        <v>0</v>
      </c>
      <c r="AH1108" s="14" t="n">
        <f aca="false">IF($L1108=2014,1,0)</f>
        <v>0</v>
      </c>
      <c r="AI1108" s="14" t="n">
        <f aca="false">IF($L1108=2015,1,0)</f>
        <v>0</v>
      </c>
      <c r="AJ1108" s="14" t="n">
        <f aca="false">IF($L1108=2016,1,0)</f>
        <v>0</v>
      </c>
      <c r="AK1108" s="14" t="n">
        <f aca="false">IF($L1108=2017,1,0)</f>
        <v>1</v>
      </c>
      <c r="AL1108" s="14" t="n">
        <f aca="false">IF($H1108="Beginner Level",1,0)</f>
        <v>0</v>
      </c>
      <c r="AM1108" s="14" t="n">
        <f aca="false">IF($H1108="Expert Level",1,0)</f>
        <v>0</v>
      </c>
      <c r="AN1108" s="14" t="n">
        <f aca="false">IF($H1108="Intermediate Level",1,0)</f>
        <v>0</v>
      </c>
    </row>
    <row r="1109" customFormat="false" ht="68.65" hidden="false" customHeight="false" outlineLevel="0" collapsed="false">
      <c r="A1109" s="14" t="n">
        <v>963378</v>
      </c>
      <c r="B1109" s="14" t="s">
        <v>2259</v>
      </c>
      <c r="C1109" s="14" t="s">
        <v>2260</v>
      </c>
      <c r="D1109" s="14" t="n">
        <v>30</v>
      </c>
      <c r="E1109" s="14" t="n">
        <v>424</v>
      </c>
      <c r="F1109" s="14" t="n">
        <v>85</v>
      </c>
      <c r="G1109" s="14" t="n">
        <v>9</v>
      </c>
      <c r="H1109" s="14" t="s">
        <v>62</v>
      </c>
      <c r="I1109" s="14" t="n">
        <v>0.39</v>
      </c>
      <c r="J1109" s="14" t="n">
        <v>1</v>
      </c>
      <c r="K1109" s="14" t="s">
        <v>59</v>
      </c>
      <c r="L1109" s="14" t="n">
        <v>2016</v>
      </c>
      <c r="M1109" s="14" t="n">
        <v>6.04973345523196</v>
      </c>
      <c r="N1109" s="14" t="n">
        <v>3.40153065945228</v>
      </c>
      <c r="P1109" s="14" t="n">
        <f aca="false">D1109</f>
        <v>30</v>
      </c>
      <c r="Q1109" s="14" t="n">
        <f aca="false">G1109</f>
        <v>9</v>
      </c>
      <c r="R1109" s="14" t="n">
        <f aca="false">J1109</f>
        <v>1</v>
      </c>
      <c r="S1109" s="14" t="n">
        <f aca="false">IF($L1109=2012,1,0)</f>
        <v>0</v>
      </c>
      <c r="T1109" s="14" t="n">
        <f aca="false">IF($L1109=2013,1,0)</f>
        <v>0</v>
      </c>
      <c r="U1109" s="14" t="n">
        <f aca="false">IF($L1109=2014,1,0)</f>
        <v>0</v>
      </c>
      <c r="V1109" s="14" t="n">
        <f aca="false">IF($L1109=2015,1,0)</f>
        <v>0</v>
      </c>
      <c r="W1109" s="14" t="n">
        <f aca="false">IF($L1109=2016,1,0)</f>
        <v>1</v>
      </c>
      <c r="X1109" s="14" t="n">
        <f aca="false">IF($L1109=2017,1,0)</f>
        <v>0</v>
      </c>
      <c r="Y1109" s="14" t="n">
        <f aca="false">IF($H1109="Beginner Level",1,0)</f>
        <v>0</v>
      </c>
      <c r="Z1109" s="14" t="n">
        <f aca="false">IF($H1109="Expert Level",1,0)</f>
        <v>0</v>
      </c>
      <c r="AA1109" s="14" t="n">
        <f aca="false">IF($H1109="Intermediate Level",1,0)</f>
        <v>0</v>
      </c>
      <c r="AC1109" s="14" t="n">
        <f aca="false">N1109</f>
        <v>3.40153065945228</v>
      </c>
      <c r="AD1109" s="14" t="n">
        <f aca="false">G1109</f>
        <v>9</v>
      </c>
      <c r="AE1109" s="14" t="n">
        <f aca="false">J1109</f>
        <v>1</v>
      </c>
      <c r="AF1109" s="14" t="n">
        <f aca="false">IF($L1109=2012,1,0)</f>
        <v>0</v>
      </c>
      <c r="AG1109" s="14" t="n">
        <f aca="false">IF($L1109=2013,1,0)</f>
        <v>0</v>
      </c>
      <c r="AH1109" s="14" t="n">
        <f aca="false">IF($L1109=2014,1,0)</f>
        <v>0</v>
      </c>
      <c r="AI1109" s="14" t="n">
        <f aca="false">IF($L1109=2015,1,0)</f>
        <v>0</v>
      </c>
      <c r="AJ1109" s="14" t="n">
        <f aca="false">IF($L1109=2016,1,0)</f>
        <v>1</v>
      </c>
      <c r="AK1109" s="14" t="n">
        <f aca="false">IF($L1109=2017,1,0)</f>
        <v>0</v>
      </c>
      <c r="AL1109" s="14" t="n">
        <f aca="false">IF($H1109="Beginner Level",1,0)</f>
        <v>0</v>
      </c>
      <c r="AM1109" s="14" t="n">
        <f aca="false">IF($H1109="Expert Level",1,0)</f>
        <v>0</v>
      </c>
      <c r="AN1109" s="14" t="n">
        <f aca="false">IF($H1109="Intermediate Level",1,0)</f>
        <v>0</v>
      </c>
    </row>
    <row r="1110" customFormat="false" ht="57.45" hidden="false" customHeight="false" outlineLevel="0" collapsed="false">
      <c r="A1110" s="14" t="n">
        <v>591116</v>
      </c>
      <c r="B1110" s="14" t="s">
        <v>2261</v>
      </c>
      <c r="C1110" s="14" t="s">
        <v>2262</v>
      </c>
      <c r="D1110" s="14" t="n">
        <v>95</v>
      </c>
      <c r="E1110" s="14" t="n">
        <v>424</v>
      </c>
      <c r="F1110" s="14" t="n">
        <v>45</v>
      </c>
      <c r="G1110" s="14" t="n">
        <v>60</v>
      </c>
      <c r="H1110" s="14" t="s">
        <v>62</v>
      </c>
      <c r="I1110" s="14" t="n">
        <v>0.77</v>
      </c>
      <c r="J1110" s="14" t="n">
        <v>3.5</v>
      </c>
      <c r="K1110" s="14" t="s">
        <v>59</v>
      </c>
      <c r="L1110" s="14" t="n">
        <v>2015</v>
      </c>
      <c r="M1110" s="14" t="n">
        <v>6.04973345523196</v>
      </c>
      <c r="N1110" s="14" t="n">
        <v>4.55398214921866</v>
      </c>
      <c r="P1110" s="14" t="n">
        <f aca="false">D1110</f>
        <v>95</v>
      </c>
      <c r="Q1110" s="14" t="n">
        <f aca="false">G1110</f>
        <v>60</v>
      </c>
      <c r="R1110" s="14" t="n">
        <f aca="false">J1110</f>
        <v>3.5</v>
      </c>
      <c r="S1110" s="14" t="n">
        <f aca="false">IF($L1110=2012,1,0)</f>
        <v>0</v>
      </c>
      <c r="T1110" s="14" t="n">
        <f aca="false">IF($L1110=2013,1,0)</f>
        <v>0</v>
      </c>
      <c r="U1110" s="14" t="n">
        <f aca="false">IF($L1110=2014,1,0)</f>
        <v>0</v>
      </c>
      <c r="V1110" s="14" t="n">
        <f aca="false">IF($L1110=2015,1,0)</f>
        <v>1</v>
      </c>
      <c r="W1110" s="14" t="n">
        <f aca="false">IF($L1110=2016,1,0)</f>
        <v>0</v>
      </c>
      <c r="X1110" s="14" t="n">
        <f aca="false">IF($L1110=2017,1,0)</f>
        <v>0</v>
      </c>
      <c r="Y1110" s="14" t="n">
        <f aca="false">IF($H1110="Beginner Level",1,0)</f>
        <v>0</v>
      </c>
      <c r="Z1110" s="14" t="n">
        <f aca="false">IF($H1110="Expert Level",1,0)</f>
        <v>0</v>
      </c>
      <c r="AA1110" s="14" t="n">
        <f aca="false">IF($H1110="Intermediate Level",1,0)</f>
        <v>0</v>
      </c>
      <c r="AC1110" s="14" t="n">
        <f aca="false">N1110</f>
        <v>4.55398214921866</v>
      </c>
      <c r="AD1110" s="14" t="n">
        <f aca="false">G1110</f>
        <v>60</v>
      </c>
      <c r="AE1110" s="14" t="n">
        <f aca="false">J1110</f>
        <v>3.5</v>
      </c>
      <c r="AF1110" s="14" t="n">
        <f aca="false">IF($L1110=2012,1,0)</f>
        <v>0</v>
      </c>
      <c r="AG1110" s="14" t="n">
        <f aca="false">IF($L1110=2013,1,0)</f>
        <v>0</v>
      </c>
      <c r="AH1110" s="14" t="n">
        <f aca="false">IF($L1110=2014,1,0)</f>
        <v>0</v>
      </c>
      <c r="AI1110" s="14" t="n">
        <f aca="false">IF($L1110=2015,1,0)</f>
        <v>1</v>
      </c>
      <c r="AJ1110" s="14" t="n">
        <f aca="false">IF($L1110=2016,1,0)</f>
        <v>0</v>
      </c>
      <c r="AK1110" s="14" t="n">
        <f aca="false">IF($L1110=2017,1,0)</f>
        <v>0</v>
      </c>
      <c r="AL1110" s="14" t="n">
        <f aca="false">IF($H1110="Beginner Level",1,0)</f>
        <v>0</v>
      </c>
      <c r="AM1110" s="14" t="n">
        <f aca="false">IF($H1110="Expert Level",1,0)</f>
        <v>0</v>
      </c>
      <c r="AN1110" s="14" t="n">
        <f aca="false">IF($H1110="Intermediate Level",1,0)</f>
        <v>0</v>
      </c>
    </row>
    <row r="1111" customFormat="false" ht="79.85" hidden="false" customHeight="false" outlineLevel="0" collapsed="false">
      <c r="A1111" s="14" t="n">
        <v>835346</v>
      </c>
      <c r="B1111" s="14" t="s">
        <v>2263</v>
      </c>
      <c r="C1111" s="14" t="s">
        <v>2264</v>
      </c>
      <c r="D1111" s="14" t="n">
        <v>145</v>
      </c>
      <c r="E1111" s="14" t="n">
        <v>422</v>
      </c>
      <c r="F1111" s="14" t="n">
        <v>86</v>
      </c>
      <c r="G1111" s="14" t="n">
        <v>69</v>
      </c>
      <c r="H1111" s="14" t="s">
        <v>52</v>
      </c>
      <c r="I1111" s="14" t="n">
        <v>0.96</v>
      </c>
      <c r="J1111" s="14" t="n">
        <v>12.5</v>
      </c>
      <c r="K1111" s="14" t="s">
        <v>59</v>
      </c>
      <c r="L1111" s="14" t="n">
        <v>2016</v>
      </c>
      <c r="M1111" s="14" t="n">
        <v>6.04500531403601</v>
      </c>
      <c r="N1111" s="14" t="n">
        <v>4.9768027055598</v>
      </c>
      <c r="P1111" s="14" t="n">
        <f aca="false">D1111</f>
        <v>145</v>
      </c>
      <c r="Q1111" s="14" t="n">
        <f aca="false">G1111</f>
        <v>69</v>
      </c>
      <c r="R1111" s="14" t="n">
        <f aca="false">J1111</f>
        <v>12.5</v>
      </c>
      <c r="S1111" s="14" t="n">
        <f aca="false">IF($L1111=2012,1,0)</f>
        <v>0</v>
      </c>
      <c r="T1111" s="14" t="n">
        <f aca="false">IF($L1111=2013,1,0)</f>
        <v>0</v>
      </c>
      <c r="U1111" s="14" t="n">
        <f aca="false">IF($L1111=2014,1,0)</f>
        <v>0</v>
      </c>
      <c r="V1111" s="14" t="n">
        <f aca="false">IF($L1111=2015,1,0)</f>
        <v>0</v>
      </c>
      <c r="W1111" s="14" t="n">
        <f aca="false">IF($L1111=2016,1,0)</f>
        <v>1</v>
      </c>
      <c r="X1111" s="14" t="n">
        <f aca="false">IF($L1111=2017,1,0)</f>
        <v>0</v>
      </c>
      <c r="Y1111" s="14" t="n">
        <f aca="false">IF($H1111="Beginner Level",1,0)</f>
        <v>1</v>
      </c>
      <c r="Z1111" s="14" t="n">
        <f aca="false">IF($H1111="Expert Level",1,0)</f>
        <v>0</v>
      </c>
      <c r="AA1111" s="14" t="n">
        <f aca="false">IF($H1111="Intermediate Level",1,0)</f>
        <v>0</v>
      </c>
      <c r="AC1111" s="14" t="n">
        <f aca="false">N1111</f>
        <v>4.9768027055598</v>
      </c>
      <c r="AD1111" s="14" t="n">
        <f aca="false">G1111</f>
        <v>69</v>
      </c>
      <c r="AE1111" s="14" t="n">
        <f aca="false">J1111</f>
        <v>12.5</v>
      </c>
      <c r="AF1111" s="14" t="n">
        <f aca="false">IF($L1111=2012,1,0)</f>
        <v>0</v>
      </c>
      <c r="AG1111" s="14" t="n">
        <f aca="false">IF($L1111=2013,1,0)</f>
        <v>0</v>
      </c>
      <c r="AH1111" s="14" t="n">
        <f aca="false">IF($L1111=2014,1,0)</f>
        <v>0</v>
      </c>
      <c r="AI1111" s="14" t="n">
        <f aca="false">IF($L1111=2015,1,0)</f>
        <v>0</v>
      </c>
      <c r="AJ1111" s="14" t="n">
        <f aca="false">IF($L1111=2016,1,0)</f>
        <v>1</v>
      </c>
      <c r="AK1111" s="14" t="n">
        <f aca="false">IF($L1111=2017,1,0)</f>
        <v>0</v>
      </c>
      <c r="AL1111" s="14" t="n">
        <f aca="false">IF($H1111="Beginner Level",1,0)</f>
        <v>1</v>
      </c>
      <c r="AM1111" s="14" t="n">
        <f aca="false">IF($H1111="Expert Level",1,0)</f>
        <v>0</v>
      </c>
      <c r="AN1111" s="14" t="n">
        <f aca="false">IF($H1111="Intermediate Level",1,0)</f>
        <v>0</v>
      </c>
    </row>
    <row r="1112" customFormat="false" ht="57.45" hidden="false" customHeight="false" outlineLevel="0" collapsed="false">
      <c r="A1112" s="14" t="n">
        <v>1205894</v>
      </c>
      <c r="B1112" s="14" t="s">
        <v>2265</v>
      </c>
      <c r="C1112" s="14" t="s">
        <v>2266</v>
      </c>
      <c r="D1112" s="14" t="n">
        <v>50</v>
      </c>
      <c r="E1112" s="14" t="n">
        <v>421</v>
      </c>
      <c r="F1112" s="14" t="n">
        <v>26</v>
      </c>
      <c r="G1112" s="14" t="n">
        <v>33</v>
      </c>
      <c r="H1112" s="14" t="s">
        <v>62</v>
      </c>
      <c r="I1112" s="14" t="n">
        <v>0.47</v>
      </c>
      <c r="J1112" s="14" t="n">
        <v>3.5</v>
      </c>
      <c r="K1112" s="14" t="s">
        <v>59</v>
      </c>
      <c r="L1112" s="14" t="n">
        <v>2017</v>
      </c>
      <c r="M1112" s="14" t="n">
        <v>6.04263283368238</v>
      </c>
      <c r="N1112" s="14" t="n">
        <v>3.91222298543081</v>
      </c>
      <c r="P1112" s="14" t="n">
        <f aca="false">D1112</f>
        <v>50</v>
      </c>
      <c r="Q1112" s="14" t="n">
        <f aca="false">G1112</f>
        <v>33</v>
      </c>
      <c r="R1112" s="14" t="n">
        <f aca="false">J1112</f>
        <v>3.5</v>
      </c>
      <c r="S1112" s="14" t="n">
        <f aca="false">IF($L1112=2012,1,0)</f>
        <v>0</v>
      </c>
      <c r="T1112" s="14" t="n">
        <f aca="false">IF($L1112=2013,1,0)</f>
        <v>0</v>
      </c>
      <c r="U1112" s="14" t="n">
        <f aca="false">IF($L1112=2014,1,0)</f>
        <v>0</v>
      </c>
      <c r="V1112" s="14" t="n">
        <f aca="false">IF($L1112=2015,1,0)</f>
        <v>0</v>
      </c>
      <c r="W1112" s="14" t="n">
        <f aca="false">IF($L1112=2016,1,0)</f>
        <v>0</v>
      </c>
      <c r="X1112" s="14" t="n">
        <f aca="false">IF($L1112=2017,1,0)</f>
        <v>1</v>
      </c>
      <c r="Y1112" s="14" t="n">
        <f aca="false">IF($H1112="Beginner Level",1,0)</f>
        <v>0</v>
      </c>
      <c r="Z1112" s="14" t="n">
        <f aca="false">IF($H1112="Expert Level",1,0)</f>
        <v>0</v>
      </c>
      <c r="AA1112" s="14" t="n">
        <f aca="false">IF($H1112="Intermediate Level",1,0)</f>
        <v>0</v>
      </c>
      <c r="AC1112" s="14" t="n">
        <f aca="false">N1112</f>
        <v>3.91222298543081</v>
      </c>
      <c r="AD1112" s="14" t="n">
        <f aca="false">G1112</f>
        <v>33</v>
      </c>
      <c r="AE1112" s="14" t="n">
        <f aca="false">J1112</f>
        <v>3.5</v>
      </c>
      <c r="AF1112" s="14" t="n">
        <f aca="false">IF($L1112=2012,1,0)</f>
        <v>0</v>
      </c>
      <c r="AG1112" s="14" t="n">
        <f aca="false">IF($L1112=2013,1,0)</f>
        <v>0</v>
      </c>
      <c r="AH1112" s="14" t="n">
        <f aca="false">IF($L1112=2014,1,0)</f>
        <v>0</v>
      </c>
      <c r="AI1112" s="14" t="n">
        <f aca="false">IF($L1112=2015,1,0)</f>
        <v>0</v>
      </c>
      <c r="AJ1112" s="14" t="n">
        <f aca="false">IF($L1112=2016,1,0)</f>
        <v>0</v>
      </c>
      <c r="AK1112" s="14" t="n">
        <f aca="false">IF($L1112=2017,1,0)</f>
        <v>1</v>
      </c>
      <c r="AL1112" s="14" t="n">
        <f aca="false">IF($H1112="Beginner Level",1,0)</f>
        <v>0</v>
      </c>
      <c r="AM1112" s="14" t="n">
        <f aca="false">IF($H1112="Expert Level",1,0)</f>
        <v>0</v>
      </c>
      <c r="AN1112" s="14" t="n">
        <f aca="false">IF($H1112="Intermediate Level",1,0)</f>
        <v>0</v>
      </c>
    </row>
    <row r="1113" customFormat="false" ht="57.45" hidden="false" customHeight="false" outlineLevel="0" collapsed="false">
      <c r="A1113" s="14" t="n">
        <v>994634</v>
      </c>
      <c r="B1113" s="14" t="s">
        <v>2267</v>
      </c>
      <c r="C1113" s="14" t="s">
        <v>2268</v>
      </c>
      <c r="D1113" s="14" t="n">
        <v>50</v>
      </c>
      <c r="E1113" s="14" t="n">
        <v>417</v>
      </c>
      <c r="F1113" s="14" t="n">
        <v>65</v>
      </c>
      <c r="G1113" s="14" t="n">
        <v>109</v>
      </c>
      <c r="H1113" s="14" t="s">
        <v>71</v>
      </c>
      <c r="I1113" s="14" t="n">
        <v>0.22</v>
      </c>
      <c r="J1113" s="14" t="n">
        <v>13</v>
      </c>
      <c r="K1113" s="14" t="s">
        <v>59</v>
      </c>
      <c r="L1113" s="14" t="n">
        <v>2016</v>
      </c>
      <c r="M1113" s="14" t="n">
        <v>6.0330862217988</v>
      </c>
      <c r="N1113" s="14" t="n">
        <v>3.91222298543081</v>
      </c>
      <c r="P1113" s="14" t="n">
        <f aca="false">D1113</f>
        <v>50</v>
      </c>
      <c r="Q1113" s="14" t="n">
        <f aca="false">G1113</f>
        <v>109</v>
      </c>
      <c r="R1113" s="14" t="n">
        <f aca="false">J1113</f>
        <v>13</v>
      </c>
      <c r="S1113" s="14" t="n">
        <f aca="false">IF($L1113=2012,1,0)</f>
        <v>0</v>
      </c>
      <c r="T1113" s="14" t="n">
        <f aca="false">IF($L1113=2013,1,0)</f>
        <v>0</v>
      </c>
      <c r="U1113" s="14" t="n">
        <f aca="false">IF($L1113=2014,1,0)</f>
        <v>0</v>
      </c>
      <c r="V1113" s="14" t="n">
        <f aca="false">IF($L1113=2015,1,0)</f>
        <v>0</v>
      </c>
      <c r="W1113" s="14" t="n">
        <f aca="false">IF($L1113=2016,1,0)</f>
        <v>1</v>
      </c>
      <c r="X1113" s="14" t="n">
        <f aca="false">IF($L1113=2017,1,0)</f>
        <v>0</v>
      </c>
      <c r="Y1113" s="14" t="n">
        <f aca="false">IF($H1113="Beginner Level",1,0)</f>
        <v>0</v>
      </c>
      <c r="Z1113" s="14" t="n">
        <f aca="false">IF($H1113="Expert Level",1,0)</f>
        <v>0</v>
      </c>
      <c r="AA1113" s="14" t="n">
        <f aca="false">IF($H1113="Intermediate Level",1,0)</f>
        <v>1</v>
      </c>
      <c r="AC1113" s="14" t="n">
        <f aca="false">N1113</f>
        <v>3.91222298543081</v>
      </c>
      <c r="AD1113" s="14" t="n">
        <f aca="false">G1113</f>
        <v>109</v>
      </c>
      <c r="AE1113" s="14" t="n">
        <f aca="false">J1113</f>
        <v>13</v>
      </c>
      <c r="AF1113" s="14" t="n">
        <f aca="false">IF($L1113=2012,1,0)</f>
        <v>0</v>
      </c>
      <c r="AG1113" s="14" t="n">
        <f aca="false">IF($L1113=2013,1,0)</f>
        <v>0</v>
      </c>
      <c r="AH1113" s="14" t="n">
        <f aca="false">IF($L1113=2014,1,0)</f>
        <v>0</v>
      </c>
      <c r="AI1113" s="14" t="n">
        <f aca="false">IF($L1113=2015,1,0)</f>
        <v>0</v>
      </c>
      <c r="AJ1113" s="14" t="n">
        <f aca="false">IF($L1113=2016,1,0)</f>
        <v>1</v>
      </c>
      <c r="AK1113" s="14" t="n">
        <f aca="false">IF($L1113=2017,1,0)</f>
        <v>0</v>
      </c>
      <c r="AL1113" s="14" t="n">
        <f aca="false">IF($H1113="Beginner Level",1,0)</f>
        <v>0</v>
      </c>
      <c r="AM1113" s="14" t="n">
        <f aca="false">IF($H1113="Expert Level",1,0)</f>
        <v>0</v>
      </c>
      <c r="AN1113" s="14" t="n">
        <f aca="false">IF($H1113="Intermediate Level",1,0)</f>
        <v>1</v>
      </c>
    </row>
    <row r="1114" customFormat="false" ht="46.25" hidden="false" customHeight="false" outlineLevel="0" collapsed="false">
      <c r="A1114" s="14" t="n">
        <v>676554</v>
      </c>
      <c r="B1114" s="14" t="s">
        <v>2269</v>
      </c>
      <c r="C1114" s="14" t="s">
        <v>2270</v>
      </c>
      <c r="D1114" s="14" t="n">
        <v>50</v>
      </c>
      <c r="E1114" s="14" t="n">
        <v>415</v>
      </c>
      <c r="F1114" s="14" t="n">
        <v>67</v>
      </c>
      <c r="G1114" s="14" t="n">
        <v>53</v>
      </c>
      <c r="H1114" s="14" t="s">
        <v>52</v>
      </c>
      <c r="I1114" s="14" t="n">
        <v>0.17</v>
      </c>
      <c r="J1114" s="14" t="n">
        <v>7</v>
      </c>
      <c r="K1114" s="14" t="s">
        <v>59</v>
      </c>
      <c r="L1114" s="14" t="n">
        <v>2015</v>
      </c>
      <c r="M1114" s="14" t="n">
        <v>6.0282785202307</v>
      </c>
      <c r="N1114" s="14" t="n">
        <v>3.91222298543081</v>
      </c>
      <c r="P1114" s="14" t="n">
        <f aca="false">D1114</f>
        <v>50</v>
      </c>
      <c r="Q1114" s="14" t="n">
        <f aca="false">G1114</f>
        <v>53</v>
      </c>
      <c r="R1114" s="14" t="n">
        <f aca="false">J1114</f>
        <v>7</v>
      </c>
      <c r="S1114" s="14" t="n">
        <f aca="false">IF($L1114=2012,1,0)</f>
        <v>0</v>
      </c>
      <c r="T1114" s="14" t="n">
        <f aca="false">IF($L1114=2013,1,0)</f>
        <v>0</v>
      </c>
      <c r="U1114" s="14" t="n">
        <f aca="false">IF($L1114=2014,1,0)</f>
        <v>0</v>
      </c>
      <c r="V1114" s="14" t="n">
        <f aca="false">IF($L1114=2015,1,0)</f>
        <v>1</v>
      </c>
      <c r="W1114" s="14" t="n">
        <f aca="false">IF($L1114=2016,1,0)</f>
        <v>0</v>
      </c>
      <c r="X1114" s="14" t="n">
        <f aca="false">IF($L1114=2017,1,0)</f>
        <v>0</v>
      </c>
      <c r="Y1114" s="14" t="n">
        <f aca="false">IF($H1114="Beginner Level",1,0)</f>
        <v>1</v>
      </c>
      <c r="Z1114" s="14" t="n">
        <f aca="false">IF($H1114="Expert Level",1,0)</f>
        <v>0</v>
      </c>
      <c r="AA1114" s="14" t="n">
        <f aca="false">IF($H1114="Intermediate Level",1,0)</f>
        <v>0</v>
      </c>
      <c r="AC1114" s="14" t="n">
        <f aca="false">N1114</f>
        <v>3.91222298543081</v>
      </c>
      <c r="AD1114" s="14" t="n">
        <f aca="false">G1114</f>
        <v>53</v>
      </c>
      <c r="AE1114" s="14" t="n">
        <f aca="false">J1114</f>
        <v>7</v>
      </c>
      <c r="AF1114" s="14" t="n">
        <f aca="false">IF($L1114=2012,1,0)</f>
        <v>0</v>
      </c>
      <c r="AG1114" s="14" t="n">
        <f aca="false">IF($L1114=2013,1,0)</f>
        <v>0</v>
      </c>
      <c r="AH1114" s="14" t="n">
        <f aca="false">IF($L1114=2014,1,0)</f>
        <v>0</v>
      </c>
      <c r="AI1114" s="14" t="n">
        <f aca="false">IF($L1114=2015,1,0)</f>
        <v>1</v>
      </c>
      <c r="AJ1114" s="14" t="n">
        <f aca="false">IF($L1114=2016,1,0)</f>
        <v>0</v>
      </c>
      <c r="AK1114" s="14" t="n">
        <f aca="false">IF($L1114=2017,1,0)</f>
        <v>0</v>
      </c>
      <c r="AL1114" s="14" t="n">
        <f aca="false">IF($H1114="Beginner Level",1,0)</f>
        <v>1</v>
      </c>
      <c r="AM1114" s="14" t="n">
        <f aca="false">IF($H1114="Expert Level",1,0)</f>
        <v>0</v>
      </c>
      <c r="AN1114" s="14" t="n">
        <f aca="false">IF($H1114="Intermediate Level",1,0)</f>
        <v>0</v>
      </c>
    </row>
    <row r="1115" customFormat="false" ht="46.25" hidden="false" customHeight="false" outlineLevel="0" collapsed="false">
      <c r="A1115" s="14" t="n">
        <v>1112604</v>
      </c>
      <c r="B1115" s="14" t="s">
        <v>2271</v>
      </c>
      <c r="C1115" s="14" t="s">
        <v>2272</v>
      </c>
      <c r="D1115" s="14" t="n">
        <v>200</v>
      </c>
      <c r="E1115" s="14" t="n">
        <v>408</v>
      </c>
      <c r="F1115" s="14" t="n">
        <v>39</v>
      </c>
      <c r="G1115" s="14" t="n">
        <v>80</v>
      </c>
      <c r="H1115" s="14" t="s">
        <v>62</v>
      </c>
      <c r="I1115" s="14" t="n">
        <v>0.32</v>
      </c>
      <c r="J1115" s="14" t="n">
        <v>8</v>
      </c>
      <c r="K1115" s="14" t="s">
        <v>59</v>
      </c>
      <c r="L1115" s="14" t="n">
        <v>2017</v>
      </c>
      <c r="M1115" s="14" t="n">
        <v>6.01126717440416</v>
      </c>
      <c r="N1115" s="14" t="n">
        <v>5.29836736529808</v>
      </c>
      <c r="P1115" s="14" t="n">
        <f aca="false">D1115</f>
        <v>200</v>
      </c>
      <c r="Q1115" s="14" t="n">
        <f aca="false">G1115</f>
        <v>80</v>
      </c>
      <c r="R1115" s="14" t="n">
        <f aca="false">J1115</f>
        <v>8</v>
      </c>
      <c r="S1115" s="14" t="n">
        <f aca="false">IF($L1115=2012,1,0)</f>
        <v>0</v>
      </c>
      <c r="T1115" s="14" t="n">
        <f aca="false">IF($L1115=2013,1,0)</f>
        <v>0</v>
      </c>
      <c r="U1115" s="14" t="n">
        <f aca="false">IF($L1115=2014,1,0)</f>
        <v>0</v>
      </c>
      <c r="V1115" s="14" t="n">
        <f aca="false">IF($L1115=2015,1,0)</f>
        <v>0</v>
      </c>
      <c r="W1115" s="14" t="n">
        <f aca="false">IF($L1115=2016,1,0)</f>
        <v>0</v>
      </c>
      <c r="X1115" s="14" t="n">
        <f aca="false">IF($L1115=2017,1,0)</f>
        <v>1</v>
      </c>
      <c r="Y1115" s="14" t="n">
        <f aca="false">IF($H1115="Beginner Level",1,0)</f>
        <v>0</v>
      </c>
      <c r="Z1115" s="14" t="n">
        <f aca="false">IF($H1115="Expert Level",1,0)</f>
        <v>0</v>
      </c>
      <c r="AA1115" s="14" t="n">
        <f aca="false">IF($H1115="Intermediate Level",1,0)</f>
        <v>0</v>
      </c>
      <c r="AC1115" s="14" t="n">
        <f aca="false">N1115</f>
        <v>5.29836736529808</v>
      </c>
      <c r="AD1115" s="14" t="n">
        <f aca="false">G1115</f>
        <v>80</v>
      </c>
      <c r="AE1115" s="14" t="n">
        <f aca="false">J1115</f>
        <v>8</v>
      </c>
      <c r="AF1115" s="14" t="n">
        <f aca="false">IF($L1115=2012,1,0)</f>
        <v>0</v>
      </c>
      <c r="AG1115" s="14" t="n">
        <f aca="false">IF($L1115=2013,1,0)</f>
        <v>0</v>
      </c>
      <c r="AH1115" s="14" t="n">
        <f aca="false">IF($L1115=2014,1,0)</f>
        <v>0</v>
      </c>
      <c r="AI1115" s="14" t="n">
        <f aca="false">IF($L1115=2015,1,0)</f>
        <v>0</v>
      </c>
      <c r="AJ1115" s="14" t="n">
        <f aca="false">IF($L1115=2016,1,0)</f>
        <v>0</v>
      </c>
      <c r="AK1115" s="14" t="n">
        <f aca="false">IF($L1115=2017,1,0)</f>
        <v>1</v>
      </c>
      <c r="AL1115" s="14" t="n">
        <f aca="false">IF($H1115="Beginner Level",1,0)</f>
        <v>0</v>
      </c>
      <c r="AM1115" s="14" t="n">
        <f aca="false">IF($H1115="Expert Level",1,0)</f>
        <v>0</v>
      </c>
      <c r="AN1115" s="14" t="n">
        <f aca="false">IF($H1115="Intermediate Level",1,0)</f>
        <v>0</v>
      </c>
    </row>
    <row r="1116" customFormat="false" ht="79.85" hidden="false" customHeight="false" outlineLevel="0" collapsed="false">
      <c r="A1116" s="14" t="n">
        <v>877036</v>
      </c>
      <c r="B1116" s="14" t="s">
        <v>2273</v>
      </c>
      <c r="C1116" s="14" t="s">
        <v>2274</v>
      </c>
      <c r="D1116" s="14" t="n">
        <v>60</v>
      </c>
      <c r="E1116" s="14" t="n">
        <v>402</v>
      </c>
      <c r="F1116" s="14" t="n">
        <v>20</v>
      </c>
      <c r="G1116" s="14" t="n">
        <v>35</v>
      </c>
      <c r="H1116" s="14" t="s">
        <v>62</v>
      </c>
      <c r="I1116" s="14" t="n">
        <v>0.51</v>
      </c>
      <c r="J1116" s="14" t="n">
        <v>4</v>
      </c>
      <c r="K1116" s="14" t="s">
        <v>59</v>
      </c>
      <c r="L1116" s="14" t="n">
        <v>2016</v>
      </c>
      <c r="M1116" s="14" t="n">
        <v>5.99645208861902</v>
      </c>
      <c r="N1116" s="14" t="n">
        <v>4.09451121500142</v>
      </c>
      <c r="P1116" s="14" t="n">
        <f aca="false">D1116</f>
        <v>60</v>
      </c>
      <c r="Q1116" s="14" t="n">
        <f aca="false">G1116</f>
        <v>35</v>
      </c>
      <c r="R1116" s="14" t="n">
        <f aca="false">J1116</f>
        <v>4</v>
      </c>
      <c r="S1116" s="14" t="n">
        <f aca="false">IF($L1116=2012,1,0)</f>
        <v>0</v>
      </c>
      <c r="T1116" s="14" t="n">
        <f aca="false">IF($L1116=2013,1,0)</f>
        <v>0</v>
      </c>
      <c r="U1116" s="14" t="n">
        <f aca="false">IF($L1116=2014,1,0)</f>
        <v>0</v>
      </c>
      <c r="V1116" s="14" t="n">
        <f aca="false">IF($L1116=2015,1,0)</f>
        <v>0</v>
      </c>
      <c r="W1116" s="14" t="n">
        <f aca="false">IF($L1116=2016,1,0)</f>
        <v>1</v>
      </c>
      <c r="X1116" s="14" t="n">
        <f aca="false">IF($L1116=2017,1,0)</f>
        <v>0</v>
      </c>
      <c r="Y1116" s="14" t="n">
        <f aca="false">IF($H1116="Beginner Level",1,0)</f>
        <v>0</v>
      </c>
      <c r="Z1116" s="14" t="n">
        <f aca="false">IF($H1116="Expert Level",1,0)</f>
        <v>0</v>
      </c>
      <c r="AA1116" s="14" t="n">
        <f aca="false">IF($H1116="Intermediate Level",1,0)</f>
        <v>0</v>
      </c>
      <c r="AC1116" s="14" t="n">
        <f aca="false">N1116</f>
        <v>4.09451121500142</v>
      </c>
      <c r="AD1116" s="14" t="n">
        <f aca="false">G1116</f>
        <v>35</v>
      </c>
      <c r="AE1116" s="14" t="n">
        <f aca="false">J1116</f>
        <v>4</v>
      </c>
      <c r="AF1116" s="14" t="n">
        <f aca="false">IF($L1116=2012,1,0)</f>
        <v>0</v>
      </c>
      <c r="AG1116" s="14" t="n">
        <f aca="false">IF($L1116=2013,1,0)</f>
        <v>0</v>
      </c>
      <c r="AH1116" s="14" t="n">
        <f aca="false">IF($L1116=2014,1,0)</f>
        <v>0</v>
      </c>
      <c r="AI1116" s="14" t="n">
        <f aca="false">IF($L1116=2015,1,0)</f>
        <v>0</v>
      </c>
      <c r="AJ1116" s="14" t="n">
        <f aca="false">IF($L1116=2016,1,0)</f>
        <v>1</v>
      </c>
      <c r="AK1116" s="14" t="n">
        <f aca="false">IF($L1116=2017,1,0)</f>
        <v>0</v>
      </c>
      <c r="AL1116" s="14" t="n">
        <f aca="false">IF($H1116="Beginner Level",1,0)</f>
        <v>0</v>
      </c>
      <c r="AM1116" s="14" t="n">
        <f aca="false">IF($H1116="Expert Level",1,0)</f>
        <v>0</v>
      </c>
      <c r="AN1116" s="14" t="n">
        <f aca="false">IF($H1116="Intermediate Level",1,0)</f>
        <v>0</v>
      </c>
    </row>
    <row r="1117" customFormat="false" ht="35.05" hidden="false" customHeight="false" outlineLevel="0" collapsed="false">
      <c r="A1117" s="14" t="n">
        <v>772224</v>
      </c>
      <c r="B1117" s="14" t="s">
        <v>2275</v>
      </c>
      <c r="C1117" s="14" t="s">
        <v>2276</v>
      </c>
      <c r="D1117" s="14" t="n">
        <v>35</v>
      </c>
      <c r="E1117" s="14" t="n">
        <v>396</v>
      </c>
      <c r="F1117" s="14" t="n">
        <v>130</v>
      </c>
      <c r="G1117" s="14" t="n">
        <v>21</v>
      </c>
      <c r="H1117" s="14" t="s">
        <v>52</v>
      </c>
      <c r="I1117" s="14" t="n">
        <v>0.06</v>
      </c>
      <c r="J1117" s="14" t="n">
        <v>0.71666667</v>
      </c>
      <c r="K1117" s="14" t="s">
        <v>59</v>
      </c>
      <c r="L1117" s="14" t="n">
        <v>2016</v>
      </c>
      <c r="M1117" s="14" t="n">
        <v>5.98141421125448</v>
      </c>
      <c r="N1117" s="14" t="n">
        <v>3.55563373496657</v>
      </c>
      <c r="P1117" s="14" t="n">
        <f aca="false">D1117</f>
        <v>35</v>
      </c>
      <c r="Q1117" s="14" t="n">
        <f aca="false">G1117</f>
        <v>21</v>
      </c>
      <c r="R1117" s="14" t="n">
        <f aca="false">J1117</f>
        <v>0.71666667</v>
      </c>
      <c r="S1117" s="14" t="n">
        <f aca="false">IF($L1117=2012,1,0)</f>
        <v>0</v>
      </c>
      <c r="T1117" s="14" t="n">
        <f aca="false">IF($L1117=2013,1,0)</f>
        <v>0</v>
      </c>
      <c r="U1117" s="14" t="n">
        <f aca="false">IF($L1117=2014,1,0)</f>
        <v>0</v>
      </c>
      <c r="V1117" s="14" t="n">
        <f aca="false">IF($L1117=2015,1,0)</f>
        <v>0</v>
      </c>
      <c r="W1117" s="14" t="n">
        <f aca="false">IF($L1117=2016,1,0)</f>
        <v>1</v>
      </c>
      <c r="X1117" s="14" t="n">
        <f aca="false">IF($L1117=2017,1,0)</f>
        <v>0</v>
      </c>
      <c r="Y1117" s="14" t="n">
        <f aca="false">IF($H1117="Beginner Level",1,0)</f>
        <v>1</v>
      </c>
      <c r="Z1117" s="14" t="n">
        <f aca="false">IF($H1117="Expert Level",1,0)</f>
        <v>0</v>
      </c>
      <c r="AA1117" s="14" t="n">
        <f aca="false">IF($H1117="Intermediate Level",1,0)</f>
        <v>0</v>
      </c>
      <c r="AC1117" s="14" t="n">
        <f aca="false">N1117</f>
        <v>3.55563373496657</v>
      </c>
      <c r="AD1117" s="14" t="n">
        <f aca="false">G1117</f>
        <v>21</v>
      </c>
      <c r="AE1117" s="14" t="n">
        <f aca="false">J1117</f>
        <v>0.71666667</v>
      </c>
      <c r="AF1117" s="14" t="n">
        <f aca="false">IF($L1117=2012,1,0)</f>
        <v>0</v>
      </c>
      <c r="AG1117" s="14" t="n">
        <f aca="false">IF($L1117=2013,1,0)</f>
        <v>0</v>
      </c>
      <c r="AH1117" s="14" t="n">
        <f aca="false">IF($L1117=2014,1,0)</f>
        <v>0</v>
      </c>
      <c r="AI1117" s="14" t="n">
        <f aca="false">IF($L1117=2015,1,0)</f>
        <v>0</v>
      </c>
      <c r="AJ1117" s="14" t="n">
        <f aca="false">IF($L1117=2016,1,0)</f>
        <v>1</v>
      </c>
      <c r="AK1117" s="14" t="n">
        <f aca="false">IF($L1117=2017,1,0)</f>
        <v>0</v>
      </c>
      <c r="AL1117" s="14" t="n">
        <f aca="false">IF($H1117="Beginner Level",1,0)</f>
        <v>1</v>
      </c>
      <c r="AM1117" s="14" t="n">
        <f aca="false">IF($H1117="Expert Level",1,0)</f>
        <v>0</v>
      </c>
      <c r="AN1117" s="14" t="n">
        <f aca="false">IF($H1117="Intermediate Level",1,0)</f>
        <v>0</v>
      </c>
    </row>
    <row r="1118" customFormat="false" ht="57.45" hidden="false" customHeight="false" outlineLevel="0" collapsed="false">
      <c r="A1118" s="14" t="n">
        <v>1115128</v>
      </c>
      <c r="B1118" s="14" t="s">
        <v>2277</v>
      </c>
      <c r="C1118" s="14" t="s">
        <v>2278</v>
      </c>
      <c r="D1118" s="14" t="n">
        <v>45</v>
      </c>
      <c r="E1118" s="14" t="n">
        <v>396</v>
      </c>
      <c r="F1118" s="14" t="n">
        <v>6</v>
      </c>
      <c r="G1118" s="14" t="n">
        <v>8</v>
      </c>
      <c r="H1118" s="14" t="s">
        <v>52</v>
      </c>
      <c r="I1118" s="14" t="n">
        <v>0.83</v>
      </c>
      <c r="J1118" s="14" t="n">
        <v>0.56666667</v>
      </c>
      <c r="K1118" s="14" t="s">
        <v>59</v>
      </c>
      <c r="L1118" s="14" t="n">
        <v>2017</v>
      </c>
      <c r="M1118" s="14" t="n">
        <v>5.98141421125448</v>
      </c>
      <c r="N1118" s="14" t="n">
        <v>3.80688468730484</v>
      </c>
      <c r="P1118" s="14" t="n">
        <f aca="false">D1118</f>
        <v>45</v>
      </c>
      <c r="Q1118" s="14" t="n">
        <f aca="false">G1118</f>
        <v>8</v>
      </c>
      <c r="R1118" s="14" t="n">
        <f aca="false">J1118</f>
        <v>0.56666667</v>
      </c>
      <c r="S1118" s="14" t="n">
        <f aca="false">IF($L1118=2012,1,0)</f>
        <v>0</v>
      </c>
      <c r="T1118" s="14" t="n">
        <f aca="false">IF($L1118=2013,1,0)</f>
        <v>0</v>
      </c>
      <c r="U1118" s="14" t="n">
        <f aca="false">IF($L1118=2014,1,0)</f>
        <v>0</v>
      </c>
      <c r="V1118" s="14" t="n">
        <f aca="false">IF($L1118=2015,1,0)</f>
        <v>0</v>
      </c>
      <c r="W1118" s="14" t="n">
        <f aca="false">IF($L1118=2016,1,0)</f>
        <v>0</v>
      </c>
      <c r="X1118" s="14" t="n">
        <f aca="false">IF($L1118=2017,1,0)</f>
        <v>1</v>
      </c>
      <c r="Y1118" s="14" t="n">
        <f aca="false">IF($H1118="Beginner Level",1,0)</f>
        <v>1</v>
      </c>
      <c r="Z1118" s="14" t="n">
        <f aca="false">IF($H1118="Expert Level",1,0)</f>
        <v>0</v>
      </c>
      <c r="AA1118" s="14" t="n">
        <f aca="false">IF($H1118="Intermediate Level",1,0)</f>
        <v>0</v>
      </c>
      <c r="AC1118" s="14" t="n">
        <f aca="false">N1118</f>
        <v>3.80688468730484</v>
      </c>
      <c r="AD1118" s="14" t="n">
        <f aca="false">G1118</f>
        <v>8</v>
      </c>
      <c r="AE1118" s="14" t="n">
        <f aca="false">J1118</f>
        <v>0.56666667</v>
      </c>
      <c r="AF1118" s="14" t="n">
        <f aca="false">IF($L1118=2012,1,0)</f>
        <v>0</v>
      </c>
      <c r="AG1118" s="14" t="n">
        <f aca="false">IF($L1118=2013,1,0)</f>
        <v>0</v>
      </c>
      <c r="AH1118" s="14" t="n">
        <f aca="false">IF($L1118=2014,1,0)</f>
        <v>0</v>
      </c>
      <c r="AI1118" s="14" t="n">
        <f aca="false">IF($L1118=2015,1,0)</f>
        <v>0</v>
      </c>
      <c r="AJ1118" s="14" t="n">
        <f aca="false">IF($L1118=2016,1,0)</f>
        <v>0</v>
      </c>
      <c r="AK1118" s="14" t="n">
        <f aca="false">IF($L1118=2017,1,0)</f>
        <v>1</v>
      </c>
      <c r="AL1118" s="14" t="n">
        <f aca="false">IF($H1118="Beginner Level",1,0)</f>
        <v>1</v>
      </c>
      <c r="AM1118" s="14" t="n">
        <f aca="false">IF($H1118="Expert Level",1,0)</f>
        <v>0</v>
      </c>
      <c r="AN1118" s="14" t="n">
        <f aca="false">IF($H1118="Intermediate Level",1,0)</f>
        <v>0</v>
      </c>
    </row>
    <row r="1119" customFormat="false" ht="79.85" hidden="false" customHeight="false" outlineLevel="0" collapsed="false">
      <c r="A1119" s="14" t="n">
        <v>655298</v>
      </c>
      <c r="B1119" s="14" t="s">
        <v>2279</v>
      </c>
      <c r="C1119" s="14" t="s">
        <v>2280</v>
      </c>
      <c r="D1119" s="14" t="n">
        <v>40</v>
      </c>
      <c r="E1119" s="14" t="n">
        <v>395</v>
      </c>
      <c r="F1119" s="14" t="n">
        <v>26</v>
      </c>
      <c r="G1119" s="14" t="n">
        <v>36</v>
      </c>
      <c r="H1119" s="14" t="s">
        <v>52</v>
      </c>
      <c r="I1119" s="14" t="n">
        <v>0.54</v>
      </c>
      <c r="J1119" s="14" t="n">
        <v>6.5</v>
      </c>
      <c r="K1119" s="14" t="s">
        <v>59</v>
      </c>
      <c r="L1119" s="14" t="n">
        <v>2015</v>
      </c>
      <c r="M1119" s="14" t="n">
        <v>5.97888576490112</v>
      </c>
      <c r="N1119" s="14" t="n">
        <v>3.68912942286914</v>
      </c>
      <c r="P1119" s="14" t="n">
        <f aca="false">D1119</f>
        <v>40</v>
      </c>
      <c r="Q1119" s="14" t="n">
        <f aca="false">G1119</f>
        <v>36</v>
      </c>
      <c r="R1119" s="14" t="n">
        <f aca="false">J1119</f>
        <v>6.5</v>
      </c>
      <c r="S1119" s="14" t="n">
        <f aca="false">IF($L1119=2012,1,0)</f>
        <v>0</v>
      </c>
      <c r="T1119" s="14" t="n">
        <f aca="false">IF($L1119=2013,1,0)</f>
        <v>0</v>
      </c>
      <c r="U1119" s="14" t="n">
        <f aca="false">IF($L1119=2014,1,0)</f>
        <v>0</v>
      </c>
      <c r="V1119" s="14" t="n">
        <f aca="false">IF($L1119=2015,1,0)</f>
        <v>1</v>
      </c>
      <c r="W1119" s="14" t="n">
        <f aca="false">IF($L1119=2016,1,0)</f>
        <v>0</v>
      </c>
      <c r="X1119" s="14" t="n">
        <f aca="false">IF($L1119=2017,1,0)</f>
        <v>0</v>
      </c>
      <c r="Y1119" s="14" t="n">
        <f aca="false">IF($H1119="Beginner Level",1,0)</f>
        <v>1</v>
      </c>
      <c r="Z1119" s="14" t="n">
        <f aca="false">IF($H1119="Expert Level",1,0)</f>
        <v>0</v>
      </c>
      <c r="AA1119" s="14" t="n">
        <f aca="false">IF($H1119="Intermediate Level",1,0)</f>
        <v>0</v>
      </c>
      <c r="AC1119" s="14" t="n">
        <f aca="false">N1119</f>
        <v>3.68912942286914</v>
      </c>
      <c r="AD1119" s="14" t="n">
        <f aca="false">G1119</f>
        <v>36</v>
      </c>
      <c r="AE1119" s="14" t="n">
        <f aca="false">J1119</f>
        <v>6.5</v>
      </c>
      <c r="AF1119" s="14" t="n">
        <f aca="false">IF($L1119=2012,1,0)</f>
        <v>0</v>
      </c>
      <c r="AG1119" s="14" t="n">
        <f aca="false">IF($L1119=2013,1,0)</f>
        <v>0</v>
      </c>
      <c r="AH1119" s="14" t="n">
        <f aca="false">IF($L1119=2014,1,0)</f>
        <v>0</v>
      </c>
      <c r="AI1119" s="14" t="n">
        <f aca="false">IF($L1119=2015,1,0)</f>
        <v>1</v>
      </c>
      <c r="AJ1119" s="14" t="n">
        <f aca="false">IF($L1119=2016,1,0)</f>
        <v>0</v>
      </c>
      <c r="AK1119" s="14" t="n">
        <f aca="false">IF($L1119=2017,1,0)</f>
        <v>0</v>
      </c>
      <c r="AL1119" s="14" t="n">
        <f aca="false">IF($H1119="Beginner Level",1,0)</f>
        <v>1</v>
      </c>
      <c r="AM1119" s="14" t="n">
        <f aca="false">IF($H1119="Expert Level",1,0)</f>
        <v>0</v>
      </c>
      <c r="AN1119" s="14" t="n">
        <f aca="false">IF($H1119="Intermediate Level",1,0)</f>
        <v>0</v>
      </c>
    </row>
    <row r="1120" customFormat="false" ht="57.45" hidden="false" customHeight="false" outlineLevel="0" collapsed="false">
      <c r="A1120" s="14" t="n">
        <v>1038786</v>
      </c>
      <c r="B1120" s="14" t="s">
        <v>2281</v>
      </c>
      <c r="C1120" s="14" t="s">
        <v>2282</v>
      </c>
      <c r="D1120" s="14" t="n">
        <v>195</v>
      </c>
      <c r="E1120" s="14" t="n">
        <v>395</v>
      </c>
      <c r="F1120" s="14" t="n">
        <v>18</v>
      </c>
      <c r="G1120" s="14" t="n">
        <v>57</v>
      </c>
      <c r="H1120" s="14" t="s">
        <v>62</v>
      </c>
      <c r="I1120" s="14" t="n">
        <v>0.57</v>
      </c>
      <c r="J1120" s="14" t="n">
        <v>17</v>
      </c>
      <c r="K1120" s="14" t="s">
        <v>59</v>
      </c>
      <c r="L1120" s="14" t="n">
        <v>2016</v>
      </c>
      <c r="M1120" s="14" t="n">
        <v>5.97888576490112</v>
      </c>
      <c r="N1120" s="14" t="n">
        <v>5.27305083930015</v>
      </c>
      <c r="P1120" s="14" t="n">
        <f aca="false">D1120</f>
        <v>195</v>
      </c>
      <c r="Q1120" s="14" t="n">
        <f aca="false">G1120</f>
        <v>57</v>
      </c>
      <c r="R1120" s="14" t="n">
        <f aca="false">J1120</f>
        <v>17</v>
      </c>
      <c r="S1120" s="14" t="n">
        <f aca="false">IF($L1120=2012,1,0)</f>
        <v>0</v>
      </c>
      <c r="T1120" s="14" t="n">
        <f aca="false">IF($L1120=2013,1,0)</f>
        <v>0</v>
      </c>
      <c r="U1120" s="14" t="n">
        <f aca="false">IF($L1120=2014,1,0)</f>
        <v>0</v>
      </c>
      <c r="V1120" s="14" t="n">
        <f aca="false">IF($L1120=2015,1,0)</f>
        <v>0</v>
      </c>
      <c r="W1120" s="14" t="n">
        <f aca="false">IF($L1120=2016,1,0)</f>
        <v>1</v>
      </c>
      <c r="X1120" s="14" t="n">
        <f aca="false">IF($L1120=2017,1,0)</f>
        <v>0</v>
      </c>
      <c r="Y1120" s="14" t="n">
        <f aca="false">IF($H1120="Beginner Level",1,0)</f>
        <v>0</v>
      </c>
      <c r="Z1120" s="14" t="n">
        <f aca="false">IF($H1120="Expert Level",1,0)</f>
        <v>0</v>
      </c>
      <c r="AA1120" s="14" t="n">
        <f aca="false">IF($H1120="Intermediate Level",1,0)</f>
        <v>0</v>
      </c>
      <c r="AC1120" s="14" t="n">
        <f aca="false">N1120</f>
        <v>5.27305083930015</v>
      </c>
      <c r="AD1120" s="14" t="n">
        <f aca="false">G1120</f>
        <v>57</v>
      </c>
      <c r="AE1120" s="14" t="n">
        <f aca="false">J1120</f>
        <v>17</v>
      </c>
      <c r="AF1120" s="14" t="n">
        <f aca="false">IF($L1120=2012,1,0)</f>
        <v>0</v>
      </c>
      <c r="AG1120" s="14" t="n">
        <f aca="false">IF($L1120=2013,1,0)</f>
        <v>0</v>
      </c>
      <c r="AH1120" s="14" t="n">
        <f aca="false">IF($L1120=2014,1,0)</f>
        <v>0</v>
      </c>
      <c r="AI1120" s="14" t="n">
        <f aca="false">IF($L1120=2015,1,0)</f>
        <v>0</v>
      </c>
      <c r="AJ1120" s="14" t="n">
        <f aca="false">IF($L1120=2016,1,0)</f>
        <v>1</v>
      </c>
      <c r="AK1120" s="14" t="n">
        <f aca="false">IF($L1120=2017,1,0)</f>
        <v>0</v>
      </c>
      <c r="AL1120" s="14" t="n">
        <f aca="false">IF($H1120="Beginner Level",1,0)</f>
        <v>0</v>
      </c>
      <c r="AM1120" s="14" t="n">
        <f aca="false">IF($H1120="Expert Level",1,0)</f>
        <v>0</v>
      </c>
      <c r="AN1120" s="14" t="n">
        <f aca="false">IF($H1120="Intermediate Level",1,0)</f>
        <v>0</v>
      </c>
    </row>
    <row r="1121" customFormat="false" ht="46.25" hidden="false" customHeight="false" outlineLevel="0" collapsed="false">
      <c r="A1121" s="14" t="n">
        <v>755932</v>
      </c>
      <c r="B1121" s="14" t="s">
        <v>2283</v>
      </c>
      <c r="C1121" s="14" t="s">
        <v>2284</v>
      </c>
      <c r="D1121" s="14" t="n">
        <v>50</v>
      </c>
      <c r="E1121" s="14" t="n">
        <v>394</v>
      </c>
      <c r="F1121" s="14" t="n">
        <v>78</v>
      </c>
      <c r="G1121" s="14" t="n">
        <v>22</v>
      </c>
      <c r="H1121" s="14" t="s">
        <v>71</v>
      </c>
      <c r="I1121" s="14" t="n">
        <v>0.47</v>
      </c>
      <c r="J1121" s="14" t="n">
        <v>1.5</v>
      </c>
      <c r="K1121" s="14" t="s">
        <v>59</v>
      </c>
      <c r="L1121" s="14" t="n">
        <v>2016</v>
      </c>
      <c r="M1121" s="14" t="n">
        <v>5.97635090929793</v>
      </c>
      <c r="N1121" s="14" t="n">
        <v>3.91222298543081</v>
      </c>
      <c r="P1121" s="14" t="n">
        <f aca="false">D1121</f>
        <v>50</v>
      </c>
      <c r="Q1121" s="14" t="n">
        <f aca="false">G1121</f>
        <v>22</v>
      </c>
      <c r="R1121" s="14" t="n">
        <f aca="false">J1121</f>
        <v>1.5</v>
      </c>
      <c r="S1121" s="14" t="n">
        <f aca="false">IF($L1121=2012,1,0)</f>
        <v>0</v>
      </c>
      <c r="T1121" s="14" t="n">
        <f aca="false">IF($L1121=2013,1,0)</f>
        <v>0</v>
      </c>
      <c r="U1121" s="14" t="n">
        <f aca="false">IF($L1121=2014,1,0)</f>
        <v>0</v>
      </c>
      <c r="V1121" s="14" t="n">
        <f aca="false">IF($L1121=2015,1,0)</f>
        <v>0</v>
      </c>
      <c r="W1121" s="14" t="n">
        <f aca="false">IF($L1121=2016,1,0)</f>
        <v>1</v>
      </c>
      <c r="X1121" s="14" t="n">
        <f aca="false">IF($L1121=2017,1,0)</f>
        <v>0</v>
      </c>
      <c r="Y1121" s="14" t="n">
        <f aca="false">IF($H1121="Beginner Level",1,0)</f>
        <v>0</v>
      </c>
      <c r="Z1121" s="14" t="n">
        <f aca="false">IF($H1121="Expert Level",1,0)</f>
        <v>0</v>
      </c>
      <c r="AA1121" s="14" t="n">
        <f aca="false">IF($H1121="Intermediate Level",1,0)</f>
        <v>1</v>
      </c>
      <c r="AC1121" s="14" t="n">
        <f aca="false">N1121</f>
        <v>3.91222298543081</v>
      </c>
      <c r="AD1121" s="14" t="n">
        <f aca="false">G1121</f>
        <v>22</v>
      </c>
      <c r="AE1121" s="14" t="n">
        <f aca="false">J1121</f>
        <v>1.5</v>
      </c>
      <c r="AF1121" s="14" t="n">
        <f aca="false">IF($L1121=2012,1,0)</f>
        <v>0</v>
      </c>
      <c r="AG1121" s="14" t="n">
        <f aca="false">IF($L1121=2013,1,0)</f>
        <v>0</v>
      </c>
      <c r="AH1121" s="14" t="n">
        <f aca="false">IF($L1121=2014,1,0)</f>
        <v>0</v>
      </c>
      <c r="AI1121" s="14" t="n">
        <f aca="false">IF($L1121=2015,1,0)</f>
        <v>0</v>
      </c>
      <c r="AJ1121" s="14" t="n">
        <f aca="false">IF($L1121=2016,1,0)</f>
        <v>1</v>
      </c>
      <c r="AK1121" s="14" t="n">
        <f aca="false">IF($L1121=2017,1,0)</f>
        <v>0</v>
      </c>
      <c r="AL1121" s="14" t="n">
        <f aca="false">IF($H1121="Beginner Level",1,0)</f>
        <v>0</v>
      </c>
      <c r="AM1121" s="14" t="n">
        <f aca="false">IF($H1121="Expert Level",1,0)</f>
        <v>0</v>
      </c>
      <c r="AN1121" s="14" t="n">
        <f aca="false">IF($H1121="Intermediate Level",1,0)</f>
        <v>1</v>
      </c>
    </row>
    <row r="1122" customFormat="false" ht="57.45" hidden="false" customHeight="false" outlineLevel="0" collapsed="false">
      <c r="A1122" s="14" t="n">
        <v>1036028</v>
      </c>
      <c r="B1122" s="14" t="s">
        <v>2285</v>
      </c>
      <c r="C1122" s="14" t="s">
        <v>2286</v>
      </c>
      <c r="D1122" s="14" t="n">
        <v>150</v>
      </c>
      <c r="E1122" s="14" t="n">
        <v>392</v>
      </c>
      <c r="F1122" s="14" t="n">
        <v>81</v>
      </c>
      <c r="G1122" s="14" t="n">
        <v>63</v>
      </c>
      <c r="H1122" s="14" t="s">
        <v>62</v>
      </c>
      <c r="I1122" s="14" t="n">
        <v>0.26</v>
      </c>
      <c r="J1122" s="14" t="n">
        <v>8.5</v>
      </c>
      <c r="K1122" s="14" t="s">
        <v>59</v>
      </c>
      <c r="L1122" s="14" t="n">
        <v>2016</v>
      </c>
      <c r="M1122" s="14" t="n">
        <v>5.97126183979046</v>
      </c>
      <c r="N1122" s="14" t="n">
        <v>5.0107019585408</v>
      </c>
      <c r="P1122" s="14" t="n">
        <f aca="false">D1122</f>
        <v>150</v>
      </c>
      <c r="Q1122" s="14" t="n">
        <f aca="false">G1122</f>
        <v>63</v>
      </c>
      <c r="R1122" s="14" t="n">
        <f aca="false">J1122</f>
        <v>8.5</v>
      </c>
      <c r="S1122" s="14" t="n">
        <f aca="false">IF($L1122=2012,1,0)</f>
        <v>0</v>
      </c>
      <c r="T1122" s="14" t="n">
        <f aca="false">IF($L1122=2013,1,0)</f>
        <v>0</v>
      </c>
      <c r="U1122" s="14" t="n">
        <f aca="false">IF($L1122=2014,1,0)</f>
        <v>0</v>
      </c>
      <c r="V1122" s="14" t="n">
        <f aca="false">IF($L1122=2015,1,0)</f>
        <v>0</v>
      </c>
      <c r="W1122" s="14" t="n">
        <f aca="false">IF($L1122=2016,1,0)</f>
        <v>1</v>
      </c>
      <c r="X1122" s="14" t="n">
        <f aca="false">IF($L1122=2017,1,0)</f>
        <v>0</v>
      </c>
      <c r="Y1122" s="14" t="n">
        <f aca="false">IF($H1122="Beginner Level",1,0)</f>
        <v>0</v>
      </c>
      <c r="Z1122" s="14" t="n">
        <f aca="false">IF($H1122="Expert Level",1,0)</f>
        <v>0</v>
      </c>
      <c r="AA1122" s="14" t="n">
        <f aca="false">IF($H1122="Intermediate Level",1,0)</f>
        <v>0</v>
      </c>
      <c r="AC1122" s="14" t="n">
        <f aca="false">N1122</f>
        <v>5.0107019585408</v>
      </c>
      <c r="AD1122" s="14" t="n">
        <f aca="false">G1122</f>
        <v>63</v>
      </c>
      <c r="AE1122" s="14" t="n">
        <f aca="false">J1122</f>
        <v>8.5</v>
      </c>
      <c r="AF1122" s="14" t="n">
        <f aca="false">IF($L1122=2012,1,0)</f>
        <v>0</v>
      </c>
      <c r="AG1122" s="14" t="n">
        <f aca="false">IF($L1122=2013,1,0)</f>
        <v>0</v>
      </c>
      <c r="AH1122" s="14" t="n">
        <f aca="false">IF($L1122=2014,1,0)</f>
        <v>0</v>
      </c>
      <c r="AI1122" s="14" t="n">
        <f aca="false">IF($L1122=2015,1,0)</f>
        <v>0</v>
      </c>
      <c r="AJ1122" s="14" t="n">
        <f aca="false">IF($L1122=2016,1,0)</f>
        <v>1</v>
      </c>
      <c r="AK1122" s="14" t="n">
        <f aca="false">IF($L1122=2017,1,0)</f>
        <v>0</v>
      </c>
      <c r="AL1122" s="14" t="n">
        <f aca="false">IF($H1122="Beginner Level",1,0)</f>
        <v>0</v>
      </c>
      <c r="AM1122" s="14" t="n">
        <f aca="false">IF($H1122="Expert Level",1,0)</f>
        <v>0</v>
      </c>
      <c r="AN1122" s="14" t="n">
        <f aca="false">IF($H1122="Intermediate Level",1,0)</f>
        <v>0</v>
      </c>
    </row>
    <row r="1123" customFormat="false" ht="57.45" hidden="false" customHeight="false" outlineLevel="0" collapsed="false">
      <c r="A1123" s="14" t="n">
        <v>1183094</v>
      </c>
      <c r="B1123" s="14" t="s">
        <v>2287</v>
      </c>
      <c r="C1123" s="14" t="s">
        <v>2288</v>
      </c>
      <c r="D1123" s="14" t="n">
        <v>20</v>
      </c>
      <c r="E1123" s="14" t="n">
        <v>387</v>
      </c>
      <c r="F1123" s="14" t="n">
        <v>5</v>
      </c>
      <c r="G1123" s="14" t="n">
        <v>30</v>
      </c>
      <c r="H1123" s="14" t="s">
        <v>62</v>
      </c>
      <c r="I1123" s="14" t="n">
        <v>0.74</v>
      </c>
      <c r="J1123" s="14" t="n">
        <v>2.5</v>
      </c>
      <c r="K1123" s="14" t="s">
        <v>59</v>
      </c>
      <c r="L1123" s="14" t="n">
        <v>2017</v>
      </c>
      <c r="M1123" s="14" t="n">
        <v>5.95842469302978</v>
      </c>
      <c r="N1123" s="14" t="n">
        <v>2.99623214859564</v>
      </c>
      <c r="P1123" s="14" t="n">
        <f aca="false">D1123</f>
        <v>20</v>
      </c>
      <c r="Q1123" s="14" t="n">
        <f aca="false">G1123</f>
        <v>30</v>
      </c>
      <c r="R1123" s="14" t="n">
        <f aca="false">J1123</f>
        <v>2.5</v>
      </c>
      <c r="S1123" s="14" t="n">
        <f aca="false">IF($L1123=2012,1,0)</f>
        <v>0</v>
      </c>
      <c r="T1123" s="14" t="n">
        <f aca="false">IF($L1123=2013,1,0)</f>
        <v>0</v>
      </c>
      <c r="U1123" s="14" t="n">
        <f aca="false">IF($L1123=2014,1,0)</f>
        <v>0</v>
      </c>
      <c r="V1123" s="14" t="n">
        <f aca="false">IF($L1123=2015,1,0)</f>
        <v>0</v>
      </c>
      <c r="W1123" s="14" t="n">
        <f aca="false">IF($L1123=2016,1,0)</f>
        <v>0</v>
      </c>
      <c r="X1123" s="14" t="n">
        <f aca="false">IF($L1123=2017,1,0)</f>
        <v>1</v>
      </c>
      <c r="Y1123" s="14" t="n">
        <f aca="false">IF($H1123="Beginner Level",1,0)</f>
        <v>0</v>
      </c>
      <c r="Z1123" s="14" t="n">
        <f aca="false">IF($H1123="Expert Level",1,0)</f>
        <v>0</v>
      </c>
      <c r="AA1123" s="14" t="n">
        <f aca="false">IF($H1123="Intermediate Level",1,0)</f>
        <v>0</v>
      </c>
      <c r="AC1123" s="14" t="n">
        <f aca="false">N1123</f>
        <v>2.99623214859564</v>
      </c>
      <c r="AD1123" s="14" t="n">
        <f aca="false">G1123</f>
        <v>30</v>
      </c>
      <c r="AE1123" s="14" t="n">
        <f aca="false">J1123</f>
        <v>2.5</v>
      </c>
      <c r="AF1123" s="14" t="n">
        <f aca="false">IF($L1123=2012,1,0)</f>
        <v>0</v>
      </c>
      <c r="AG1123" s="14" t="n">
        <f aca="false">IF($L1123=2013,1,0)</f>
        <v>0</v>
      </c>
      <c r="AH1123" s="14" t="n">
        <f aca="false">IF($L1123=2014,1,0)</f>
        <v>0</v>
      </c>
      <c r="AI1123" s="14" t="n">
        <f aca="false">IF($L1123=2015,1,0)</f>
        <v>0</v>
      </c>
      <c r="AJ1123" s="14" t="n">
        <f aca="false">IF($L1123=2016,1,0)</f>
        <v>0</v>
      </c>
      <c r="AK1123" s="14" t="n">
        <f aca="false">IF($L1123=2017,1,0)</f>
        <v>1</v>
      </c>
      <c r="AL1123" s="14" t="n">
        <f aca="false">IF($H1123="Beginner Level",1,0)</f>
        <v>0</v>
      </c>
      <c r="AM1123" s="14" t="n">
        <f aca="false">IF($H1123="Expert Level",1,0)</f>
        <v>0</v>
      </c>
      <c r="AN1123" s="14" t="n">
        <f aca="false">IF($H1123="Intermediate Level",1,0)</f>
        <v>0</v>
      </c>
    </row>
    <row r="1124" customFormat="false" ht="57.45" hidden="false" customHeight="false" outlineLevel="0" collapsed="false">
      <c r="A1124" s="14" t="n">
        <v>642940</v>
      </c>
      <c r="B1124" s="14" t="s">
        <v>2289</v>
      </c>
      <c r="C1124" s="14" t="s">
        <v>2290</v>
      </c>
      <c r="D1124" s="14" t="n">
        <v>20</v>
      </c>
      <c r="E1124" s="14" t="n">
        <v>385</v>
      </c>
      <c r="F1124" s="14" t="n">
        <v>39</v>
      </c>
      <c r="G1124" s="14" t="n">
        <v>32</v>
      </c>
      <c r="H1124" s="14" t="s">
        <v>71</v>
      </c>
      <c r="I1124" s="14" t="n">
        <v>0.3</v>
      </c>
      <c r="J1124" s="14" t="n">
        <v>2.5</v>
      </c>
      <c r="K1124" s="14" t="s">
        <v>59</v>
      </c>
      <c r="L1124" s="14" t="n">
        <v>2015</v>
      </c>
      <c r="M1124" s="14" t="n">
        <v>5.95324333428779</v>
      </c>
      <c r="N1124" s="14" t="n">
        <v>2.99623214859564</v>
      </c>
      <c r="P1124" s="14" t="n">
        <f aca="false">D1124</f>
        <v>20</v>
      </c>
      <c r="Q1124" s="14" t="n">
        <f aca="false">G1124</f>
        <v>32</v>
      </c>
      <c r="R1124" s="14" t="n">
        <f aca="false">J1124</f>
        <v>2.5</v>
      </c>
      <c r="S1124" s="14" t="n">
        <f aca="false">IF($L1124=2012,1,0)</f>
        <v>0</v>
      </c>
      <c r="T1124" s="14" t="n">
        <f aca="false">IF($L1124=2013,1,0)</f>
        <v>0</v>
      </c>
      <c r="U1124" s="14" t="n">
        <f aca="false">IF($L1124=2014,1,0)</f>
        <v>0</v>
      </c>
      <c r="V1124" s="14" t="n">
        <f aca="false">IF($L1124=2015,1,0)</f>
        <v>1</v>
      </c>
      <c r="W1124" s="14" t="n">
        <f aca="false">IF($L1124=2016,1,0)</f>
        <v>0</v>
      </c>
      <c r="X1124" s="14" t="n">
        <f aca="false">IF($L1124=2017,1,0)</f>
        <v>0</v>
      </c>
      <c r="Y1124" s="14" t="n">
        <f aca="false">IF($H1124="Beginner Level",1,0)</f>
        <v>0</v>
      </c>
      <c r="Z1124" s="14" t="n">
        <f aca="false">IF($H1124="Expert Level",1,0)</f>
        <v>0</v>
      </c>
      <c r="AA1124" s="14" t="n">
        <f aca="false">IF($H1124="Intermediate Level",1,0)</f>
        <v>1</v>
      </c>
      <c r="AC1124" s="14" t="n">
        <f aca="false">N1124</f>
        <v>2.99623214859564</v>
      </c>
      <c r="AD1124" s="14" t="n">
        <f aca="false">G1124</f>
        <v>32</v>
      </c>
      <c r="AE1124" s="14" t="n">
        <f aca="false">J1124</f>
        <v>2.5</v>
      </c>
      <c r="AF1124" s="14" t="n">
        <f aca="false">IF($L1124=2012,1,0)</f>
        <v>0</v>
      </c>
      <c r="AG1124" s="14" t="n">
        <f aca="false">IF($L1124=2013,1,0)</f>
        <v>0</v>
      </c>
      <c r="AH1124" s="14" t="n">
        <f aca="false">IF($L1124=2014,1,0)</f>
        <v>0</v>
      </c>
      <c r="AI1124" s="14" t="n">
        <f aca="false">IF($L1124=2015,1,0)</f>
        <v>1</v>
      </c>
      <c r="AJ1124" s="14" t="n">
        <f aca="false">IF($L1124=2016,1,0)</f>
        <v>0</v>
      </c>
      <c r="AK1124" s="14" t="n">
        <f aca="false">IF($L1124=2017,1,0)</f>
        <v>0</v>
      </c>
      <c r="AL1124" s="14" t="n">
        <f aca="false">IF($H1124="Beginner Level",1,0)</f>
        <v>0</v>
      </c>
      <c r="AM1124" s="14" t="n">
        <f aca="false">IF($H1124="Expert Level",1,0)</f>
        <v>0</v>
      </c>
      <c r="AN1124" s="14" t="n">
        <f aca="false">IF($H1124="Intermediate Level",1,0)</f>
        <v>1</v>
      </c>
    </row>
    <row r="1125" customFormat="false" ht="68.65" hidden="false" customHeight="false" outlineLevel="0" collapsed="false">
      <c r="A1125" s="14" t="n">
        <v>865438</v>
      </c>
      <c r="B1125" s="14" t="s">
        <v>2291</v>
      </c>
      <c r="C1125" s="14" t="s">
        <v>2292</v>
      </c>
      <c r="D1125" s="14" t="n">
        <v>150</v>
      </c>
      <c r="E1125" s="14" t="n">
        <v>382</v>
      </c>
      <c r="F1125" s="14" t="n">
        <v>28</v>
      </c>
      <c r="G1125" s="14" t="n">
        <v>140</v>
      </c>
      <c r="H1125" s="14" t="s">
        <v>52</v>
      </c>
      <c r="I1125" s="14" t="n">
        <v>0.37</v>
      </c>
      <c r="J1125" s="14" t="n">
        <v>15.5</v>
      </c>
      <c r="K1125" s="14" t="s">
        <v>59</v>
      </c>
      <c r="L1125" s="14" t="n">
        <v>2016</v>
      </c>
      <c r="M1125" s="14" t="n">
        <v>5.94542060860658</v>
      </c>
      <c r="N1125" s="14" t="n">
        <v>5.0107019585408</v>
      </c>
      <c r="P1125" s="14" t="n">
        <f aca="false">D1125</f>
        <v>150</v>
      </c>
      <c r="Q1125" s="14" t="n">
        <f aca="false">G1125</f>
        <v>140</v>
      </c>
      <c r="R1125" s="14" t="n">
        <f aca="false">J1125</f>
        <v>15.5</v>
      </c>
      <c r="S1125" s="14" t="n">
        <f aca="false">IF($L1125=2012,1,0)</f>
        <v>0</v>
      </c>
      <c r="T1125" s="14" t="n">
        <f aca="false">IF($L1125=2013,1,0)</f>
        <v>0</v>
      </c>
      <c r="U1125" s="14" t="n">
        <f aca="false">IF($L1125=2014,1,0)</f>
        <v>0</v>
      </c>
      <c r="V1125" s="14" t="n">
        <f aca="false">IF($L1125=2015,1,0)</f>
        <v>0</v>
      </c>
      <c r="W1125" s="14" t="n">
        <f aca="false">IF($L1125=2016,1,0)</f>
        <v>1</v>
      </c>
      <c r="X1125" s="14" t="n">
        <f aca="false">IF($L1125=2017,1,0)</f>
        <v>0</v>
      </c>
      <c r="Y1125" s="14" t="n">
        <f aca="false">IF($H1125="Beginner Level",1,0)</f>
        <v>1</v>
      </c>
      <c r="Z1125" s="14" t="n">
        <f aca="false">IF($H1125="Expert Level",1,0)</f>
        <v>0</v>
      </c>
      <c r="AA1125" s="14" t="n">
        <f aca="false">IF($H1125="Intermediate Level",1,0)</f>
        <v>0</v>
      </c>
      <c r="AC1125" s="14" t="n">
        <f aca="false">N1125</f>
        <v>5.0107019585408</v>
      </c>
      <c r="AD1125" s="14" t="n">
        <f aca="false">G1125</f>
        <v>140</v>
      </c>
      <c r="AE1125" s="14" t="n">
        <f aca="false">J1125</f>
        <v>15.5</v>
      </c>
      <c r="AF1125" s="14" t="n">
        <f aca="false">IF($L1125=2012,1,0)</f>
        <v>0</v>
      </c>
      <c r="AG1125" s="14" t="n">
        <f aca="false">IF($L1125=2013,1,0)</f>
        <v>0</v>
      </c>
      <c r="AH1125" s="14" t="n">
        <f aca="false">IF($L1125=2014,1,0)</f>
        <v>0</v>
      </c>
      <c r="AI1125" s="14" t="n">
        <f aca="false">IF($L1125=2015,1,0)</f>
        <v>0</v>
      </c>
      <c r="AJ1125" s="14" t="n">
        <f aca="false">IF($L1125=2016,1,0)</f>
        <v>1</v>
      </c>
      <c r="AK1125" s="14" t="n">
        <f aca="false">IF($L1125=2017,1,0)</f>
        <v>0</v>
      </c>
      <c r="AL1125" s="14" t="n">
        <f aca="false">IF($H1125="Beginner Level",1,0)</f>
        <v>1</v>
      </c>
      <c r="AM1125" s="14" t="n">
        <f aca="false">IF($H1125="Expert Level",1,0)</f>
        <v>0</v>
      </c>
      <c r="AN1125" s="14" t="n">
        <f aca="false">IF($H1125="Intermediate Level",1,0)</f>
        <v>0</v>
      </c>
    </row>
    <row r="1126" customFormat="false" ht="79.85" hidden="false" customHeight="false" outlineLevel="0" collapsed="false">
      <c r="A1126" s="14" t="n">
        <v>1085064</v>
      </c>
      <c r="B1126" s="14" t="s">
        <v>2293</v>
      </c>
      <c r="C1126" s="14" t="s">
        <v>2294</v>
      </c>
      <c r="D1126" s="14" t="n">
        <v>35</v>
      </c>
      <c r="E1126" s="14" t="n">
        <v>380</v>
      </c>
      <c r="F1126" s="14" t="n">
        <v>10</v>
      </c>
      <c r="G1126" s="14" t="n">
        <v>30</v>
      </c>
      <c r="H1126" s="14" t="s">
        <v>52</v>
      </c>
      <c r="I1126" s="14" t="n">
        <v>0.88</v>
      </c>
      <c r="J1126" s="14" t="n">
        <v>2</v>
      </c>
      <c r="K1126" s="14" t="s">
        <v>59</v>
      </c>
      <c r="L1126" s="14" t="n">
        <v>2017</v>
      </c>
      <c r="M1126" s="14" t="n">
        <v>5.94017125272043</v>
      </c>
      <c r="N1126" s="14" t="n">
        <v>3.55563373496657</v>
      </c>
      <c r="P1126" s="14" t="n">
        <f aca="false">D1126</f>
        <v>35</v>
      </c>
      <c r="Q1126" s="14" t="n">
        <f aca="false">G1126</f>
        <v>30</v>
      </c>
      <c r="R1126" s="14" t="n">
        <f aca="false">J1126</f>
        <v>2</v>
      </c>
      <c r="S1126" s="14" t="n">
        <f aca="false">IF($L1126=2012,1,0)</f>
        <v>0</v>
      </c>
      <c r="T1126" s="14" t="n">
        <f aca="false">IF($L1126=2013,1,0)</f>
        <v>0</v>
      </c>
      <c r="U1126" s="14" t="n">
        <f aca="false">IF($L1126=2014,1,0)</f>
        <v>0</v>
      </c>
      <c r="V1126" s="14" t="n">
        <f aca="false">IF($L1126=2015,1,0)</f>
        <v>0</v>
      </c>
      <c r="W1126" s="14" t="n">
        <f aca="false">IF($L1126=2016,1,0)</f>
        <v>0</v>
      </c>
      <c r="X1126" s="14" t="n">
        <f aca="false">IF($L1126=2017,1,0)</f>
        <v>1</v>
      </c>
      <c r="Y1126" s="14" t="n">
        <f aca="false">IF($H1126="Beginner Level",1,0)</f>
        <v>1</v>
      </c>
      <c r="Z1126" s="14" t="n">
        <f aca="false">IF($H1126="Expert Level",1,0)</f>
        <v>0</v>
      </c>
      <c r="AA1126" s="14" t="n">
        <f aca="false">IF($H1126="Intermediate Level",1,0)</f>
        <v>0</v>
      </c>
      <c r="AC1126" s="14" t="n">
        <f aca="false">N1126</f>
        <v>3.55563373496657</v>
      </c>
      <c r="AD1126" s="14" t="n">
        <f aca="false">G1126</f>
        <v>30</v>
      </c>
      <c r="AE1126" s="14" t="n">
        <f aca="false">J1126</f>
        <v>2</v>
      </c>
      <c r="AF1126" s="14" t="n">
        <f aca="false">IF($L1126=2012,1,0)</f>
        <v>0</v>
      </c>
      <c r="AG1126" s="14" t="n">
        <f aca="false">IF($L1126=2013,1,0)</f>
        <v>0</v>
      </c>
      <c r="AH1126" s="14" t="n">
        <f aca="false">IF($L1126=2014,1,0)</f>
        <v>0</v>
      </c>
      <c r="AI1126" s="14" t="n">
        <f aca="false">IF($L1126=2015,1,0)</f>
        <v>0</v>
      </c>
      <c r="AJ1126" s="14" t="n">
        <f aca="false">IF($L1126=2016,1,0)</f>
        <v>0</v>
      </c>
      <c r="AK1126" s="14" t="n">
        <f aca="false">IF($L1126=2017,1,0)</f>
        <v>1</v>
      </c>
      <c r="AL1126" s="14" t="n">
        <f aca="false">IF($H1126="Beginner Level",1,0)</f>
        <v>1</v>
      </c>
      <c r="AM1126" s="14" t="n">
        <f aca="false">IF($H1126="Expert Level",1,0)</f>
        <v>0</v>
      </c>
      <c r="AN1126" s="14" t="n">
        <f aca="false">IF($H1126="Intermediate Level",1,0)</f>
        <v>0</v>
      </c>
    </row>
    <row r="1127" customFormat="false" ht="46.25" hidden="false" customHeight="false" outlineLevel="0" collapsed="false">
      <c r="A1127" s="14" t="n">
        <v>770526</v>
      </c>
      <c r="B1127" s="14" t="s">
        <v>2295</v>
      </c>
      <c r="C1127" s="14" t="s">
        <v>2296</v>
      </c>
      <c r="D1127" s="14" t="n">
        <v>40</v>
      </c>
      <c r="E1127" s="14" t="n">
        <v>379</v>
      </c>
      <c r="F1127" s="14" t="n">
        <v>58</v>
      </c>
      <c r="G1127" s="14" t="n">
        <v>45</v>
      </c>
      <c r="H1127" s="14" t="s">
        <v>52</v>
      </c>
      <c r="I1127" s="14" t="n">
        <v>0.66</v>
      </c>
      <c r="J1127" s="14" t="n">
        <v>2</v>
      </c>
      <c r="K1127" s="14" t="s">
        <v>59</v>
      </c>
      <c r="L1127" s="14" t="n">
        <v>2016</v>
      </c>
      <c r="M1127" s="14" t="n">
        <v>5.93753620508243</v>
      </c>
      <c r="N1127" s="14" t="n">
        <v>3.68912942286914</v>
      </c>
      <c r="P1127" s="14" t="n">
        <f aca="false">D1127</f>
        <v>40</v>
      </c>
      <c r="Q1127" s="14" t="n">
        <f aca="false">G1127</f>
        <v>45</v>
      </c>
      <c r="R1127" s="14" t="n">
        <f aca="false">J1127</f>
        <v>2</v>
      </c>
      <c r="S1127" s="14" t="n">
        <f aca="false">IF($L1127=2012,1,0)</f>
        <v>0</v>
      </c>
      <c r="T1127" s="14" t="n">
        <f aca="false">IF($L1127=2013,1,0)</f>
        <v>0</v>
      </c>
      <c r="U1127" s="14" t="n">
        <f aca="false">IF($L1127=2014,1,0)</f>
        <v>0</v>
      </c>
      <c r="V1127" s="14" t="n">
        <f aca="false">IF($L1127=2015,1,0)</f>
        <v>0</v>
      </c>
      <c r="W1127" s="14" t="n">
        <f aca="false">IF($L1127=2016,1,0)</f>
        <v>1</v>
      </c>
      <c r="X1127" s="14" t="n">
        <f aca="false">IF($L1127=2017,1,0)</f>
        <v>0</v>
      </c>
      <c r="Y1127" s="14" t="n">
        <f aca="false">IF($H1127="Beginner Level",1,0)</f>
        <v>1</v>
      </c>
      <c r="Z1127" s="14" t="n">
        <f aca="false">IF($H1127="Expert Level",1,0)</f>
        <v>0</v>
      </c>
      <c r="AA1127" s="14" t="n">
        <f aca="false">IF($H1127="Intermediate Level",1,0)</f>
        <v>0</v>
      </c>
      <c r="AC1127" s="14" t="n">
        <f aca="false">N1127</f>
        <v>3.68912942286914</v>
      </c>
      <c r="AD1127" s="14" t="n">
        <f aca="false">G1127</f>
        <v>45</v>
      </c>
      <c r="AE1127" s="14" t="n">
        <f aca="false">J1127</f>
        <v>2</v>
      </c>
      <c r="AF1127" s="14" t="n">
        <f aca="false">IF($L1127=2012,1,0)</f>
        <v>0</v>
      </c>
      <c r="AG1127" s="14" t="n">
        <f aca="false">IF($L1127=2013,1,0)</f>
        <v>0</v>
      </c>
      <c r="AH1127" s="14" t="n">
        <f aca="false">IF($L1127=2014,1,0)</f>
        <v>0</v>
      </c>
      <c r="AI1127" s="14" t="n">
        <f aca="false">IF($L1127=2015,1,0)</f>
        <v>0</v>
      </c>
      <c r="AJ1127" s="14" t="n">
        <f aca="false">IF($L1127=2016,1,0)</f>
        <v>1</v>
      </c>
      <c r="AK1127" s="14" t="n">
        <f aca="false">IF($L1127=2017,1,0)</f>
        <v>0</v>
      </c>
      <c r="AL1127" s="14" t="n">
        <f aca="false">IF($H1127="Beginner Level",1,0)</f>
        <v>1</v>
      </c>
      <c r="AM1127" s="14" t="n">
        <f aca="false">IF($H1127="Expert Level",1,0)</f>
        <v>0</v>
      </c>
      <c r="AN1127" s="14" t="n">
        <f aca="false">IF($H1127="Intermediate Level",1,0)</f>
        <v>0</v>
      </c>
    </row>
    <row r="1128" customFormat="false" ht="79.85" hidden="false" customHeight="false" outlineLevel="0" collapsed="false">
      <c r="A1128" s="14" t="n">
        <v>1030774</v>
      </c>
      <c r="B1128" s="14" t="s">
        <v>2297</v>
      </c>
      <c r="C1128" s="14" t="s">
        <v>2298</v>
      </c>
      <c r="D1128" s="14" t="n">
        <v>50</v>
      </c>
      <c r="E1128" s="14" t="n">
        <v>376</v>
      </c>
      <c r="F1128" s="14" t="n">
        <v>19</v>
      </c>
      <c r="G1128" s="14" t="n">
        <v>49</v>
      </c>
      <c r="H1128" s="14" t="s">
        <v>62</v>
      </c>
      <c r="I1128" s="14" t="n">
        <v>0.76</v>
      </c>
      <c r="J1128" s="14" t="n">
        <v>3</v>
      </c>
      <c r="K1128" s="14" t="s">
        <v>59</v>
      </c>
      <c r="L1128" s="14" t="n">
        <v>2017</v>
      </c>
      <c r="M1128" s="14" t="n">
        <v>5.9295891433899</v>
      </c>
      <c r="N1128" s="14" t="n">
        <v>3.91222298543081</v>
      </c>
      <c r="P1128" s="14" t="n">
        <f aca="false">D1128</f>
        <v>50</v>
      </c>
      <c r="Q1128" s="14" t="n">
        <f aca="false">G1128</f>
        <v>49</v>
      </c>
      <c r="R1128" s="14" t="n">
        <f aca="false">J1128</f>
        <v>3</v>
      </c>
      <c r="S1128" s="14" t="n">
        <f aca="false">IF($L1128=2012,1,0)</f>
        <v>0</v>
      </c>
      <c r="T1128" s="14" t="n">
        <f aca="false">IF($L1128=2013,1,0)</f>
        <v>0</v>
      </c>
      <c r="U1128" s="14" t="n">
        <f aca="false">IF($L1128=2014,1,0)</f>
        <v>0</v>
      </c>
      <c r="V1128" s="14" t="n">
        <f aca="false">IF($L1128=2015,1,0)</f>
        <v>0</v>
      </c>
      <c r="W1128" s="14" t="n">
        <f aca="false">IF($L1128=2016,1,0)</f>
        <v>0</v>
      </c>
      <c r="X1128" s="14" t="n">
        <f aca="false">IF($L1128=2017,1,0)</f>
        <v>1</v>
      </c>
      <c r="Y1128" s="14" t="n">
        <f aca="false">IF($H1128="Beginner Level",1,0)</f>
        <v>0</v>
      </c>
      <c r="Z1128" s="14" t="n">
        <f aca="false">IF($H1128="Expert Level",1,0)</f>
        <v>0</v>
      </c>
      <c r="AA1128" s="14" t="n">
        <f aca="false">IF($H1128="Intermediate Level",1,0)</f>
        <v>0</v>
      </c>
      <c r="AC1128" s="14" t="n">
        <f aca="false">N1128</f>
        <v>3.91222298543081</v>
      </c>
      <c r="AD1128" s="14" t="n">
        <f aca="false">G1128</f>
        <v>49</v>
      </c>
      <c r="AE1128" s="14" t="n">
        <f aca="false">J1128</f>
        <v>3</v>
      </c>
      <c r="AF1128" s="14" t="n">
        <f aca="false">IF($L1128=2012,1,0)</f>
        <v>0</v>
      </c>
      <c r="AG1128" s="14" t="n">
        <f aca="false">IF($L1128=2013,1,0)</f>
        <v>0</v>
      </c>
      <c r="AH1128" s="14" t="n">
        <f aca="false">IF($L1128=2014,1,0)</f>
        <v>0</v>
      </c>
      <c r="AI1128" s="14" t="n">
        <f aca="false">IF($L1128=2015,1,0)</f>
        <v>0</v>
      </c>
      <c r="AJ1128" s="14" t="n">
        <f aca="false">IF($L1128=2016,1,0)</f>
        <v>0</v>
      </c>
      <c r="AK1128" s="14" t="n">
        <f aca="false">IF($L1128=2017,1,0)</f>
        <v>1</v>
      </c>
      <c r="AL1128" s="14" t="n">
        <f aca="false">IF($H1128="Beginner Level",1,0)</f>
        <v>0</v>
      </c>
      <c r="AM1128" s="14" t="n">
        <f aca="false">IF($H1128="Expert Level",1,0)</f>
        <v>0</v>
      </c>
      <c r="AN1128" s="14" t="n">
        <f aca="false">IF($H1128="Intermediate Level",1,0)</f>
        <v>0</v>
      </c>
    </row>
    <row r="1129" customFormat="false" ht="68.65" hidden="false" customHeight="false" outlineLevel="0" collapsed="false">
      <c r="A1129" s="14" t="n">
        <v>1036170</v>
      </c>
      <c r="B1129" s="14" t="s">
        <v>2299</v>
      </c>
      <c r="C1129" s="14" t="s">
        <v>2300</v>
      </c>
      <c r="D1129" s="14" t="n">
        <v>20</v>
      </c>
      <c r="E1129" s="14" t="n">
        <v>362</v>
      </c>
      <c r="F1129" s="14" t="n">
        <v>19</v>
      </c>
      <c r="G1129" s="14" t="n">
        <v>8</v>
      </c>
      <c r="H1129" s="14" t="s">
        <v>52</v>
      </c>
      <c r="I1129" s="14" t="n">
        <v>0.78</v>
      </c>
      <c r="J1129" s="14" t="n">
        <v>1</v>
      </c>
      <c r="K1129" s="14" t="s">
        <v>59</v>
      </c>
      <c r="L1129" s="14" t="n">
        <v>2017</v>
      </c>
      <c r="M1129" s="14" t="n">
        <v>5.89164421182577</v>
      </c>
      <c r="N1129" s="14" t="n">
        <v>2.99623214859564</v>
      </c>
      <c r="P1129" s="14" t="n">
        <f aca="false">D1129</f>
        <v>20</v>
      </c>
      <c r="Q1129" s="14" t="n">
        <f aca="false">G1129</f>
        <v>8</v>
      </c>
      <c r="R1129" s="14" t="n">
        <f aca="false">J1129</f>
        <v>1</v>
      </c>
      <c r="S1129" s="14" t="n">
        <f aca="false">IF($L1129=2012,1,0)</f>
        <v>0</v>
      </c>
      <c r="T1129" s="14" t="n">
        <f aca="false">IF($L1129=2013,1,0)</f>
        <v>0</v>
      </c>
      <c r="U1129" s="14" t="n">
        <f aca="false">IF($L1129=2014,1,0)</f>
        <v>0</v>
      </c>
      <c r="V1129" s="14" t="n">
        <f aca="false">IF($L1129=2015,1,0)</f>
        <v>0</v>
      </c>
      <c r="W1129" s="14" t="n">
        <f aca="false">IF($L1129=2016,1,0)</f>
        <v>0</v>
      </c>
      <c r="X1129" s="14" t="n">
        <f aca="false">IF($L1129=2017,1,0)</f>
        <v>1</v>
      </c>
      <c r="Y1129" s="14" t="n">
        <f aca="false">IF($H1129="Beginner Level",1,0)</f>
        <v>1</v>
      </c>
      <c r="Z1129" s="14" t="n">
        <f aca="false">IF($H1129="Expert Level",1,0)</f>
        <v>0</v>
      </c>
      <c r="AA1129" s="14" t="n">
        <f aca="false">IF($H1129="Intermediate Level",1,0)</f>
        <v>0</v>
      </c>
      <c r="AC1129" s="14" t="n">
        <f aca="false">N1129</f>
        <v>2.99623214859564</v>
      </c>
      <c r="AD1129" s="14" t="n">
        <f aca="false">G1129</f>
        <v>8</v>
      </c>
      <c r="AE1129" s="14" t="n">
        <f aca="false">J1129</f>
        <v>1</v>
      </c>
      <c r="AF1129" s="14" t="n">
        <f aca="false">IF($L1129=2012,1,0)</f>
        <v>0</v>
      </c>
      <c r="AG1129" s="14" t="n">
        <f aca="false">IF($L1129=2013,1,0)</f>
        <v>0</v>
      </c>
      <c r="AH1129" s="14" t="n">
        <f aca="false">IF($L1129=2014,1,0)</f>
        <v>0</v>
      </c>
      <c r="AI1129" s="14" t="n">
        <f aca="false">IF($L1129=2015,1,0)</f>
        <v>0</v>
      </c>
      <c r="AJ1129" s="14" t="n">
        <f aca="false">IF($L1129=2016,1,0)</f>
        <v>0</v>
      </c>
      <c r="AK1129" s="14" t="n">
        <f aca="false">IF($L1129=2017,1,0)</f>
        <v>1</v>
      </c>
      <c r="AL1129" s="14" t="n">
        <f aca="false">IF($H1129="Beginner Level",1,0)</f>
        <v>1</v>
      </c>
      <c r="AM1129" s="14" t="n">
        <f aca="false">IF($H1129="Expert Level",1,0)</f>
        <v>0</v>
      </c>
      <c r="AN1129" s="14" t="n">
        <f aca="false">IF($H1129="Intermediate Level",1,0)</f>
        <v>0</v>
      </c>
    </row>
    <row r="1130" customFormat="false" ht="68.65" hidden="false" customHeight="false" outlineLevel="0" collapsed="false">
      <c r="A1130" s="14" t="n">
        <v>1031780</v>
      </c>
      <c r="B1130" s="14" t="s">
        <v>2301</v>
      </c>
      <c r="C1130" s="14" t="s">
        <v>2302</v>
      </c>
      <c r="D1130" s="14" t="n">
        <v>55</v>
      </c>
      <c r="E1130" s="14" t="n">
        <v>361</v>
      </c>
      <c r="F1130" s="14" t="n">
        <v>26</v>
      </c>
      <c r="G1130" s="14" t="n">
        <v>49</v>
      </c>
      <c r="H1130" s="14" t="s">
        <v>56</v>
      </c>
      <c r="I1130" s="14" t="n">
        <v>0.31</v>
      </c>
      <c r="J1130" s="14" t="n">
        <v>2.5</v>
      </c>
      <c r="K1130" s="14" t="s">
        <v>59</v>
      </c>
      <c r="L1130" s="14" t="n">
        <v>2017</v>
      </c>
      <c r="M1130" s="14" t="n">
        <v>5.88887795833288</v>
      </c>
      <c r="N1130" s="14" t="n">
        <v>4.00751498688737</v>
      </c>
      <c r="P1130" s="14" t="n">
        <f aca="false">D1130</f>
        <v>55</v>
      </c>
      <c r="Q1130" s="14" t="n">
        <f aca="false">G1130</f>
        <v>49</v>
      </c>
      <c r="R1130" s="14" t="n">
        <f aca="false">J1130</f>
        <v>2.5</v>
      </c>
      <c r="S1130" s="14" t="n">
        <f aca="false">IF($L1130=2012,1,0)</f>
        <v>0</v>
      </c>
      <c r="T1130" s="14" t="n">
        <f aca="false">IF($L1130=2013,1,0)</f>
        <v>0</v>
      </c>
      <c r="U1130" s="14" t="n">
        <f aca="false">IF($L1130=2014,1,0)</f>
        <v>0</v>
      </c>
      <c r="V1130" s="14" t="n">
        <f aca="false">IF($L1130=2015,1,0)</f>
        <v>0</v>
      </c>
      <c r="W1130" s="14" t="n">
        <f aca="false">IF($L1130=2016,1,0)</f>
        <v>0</v>
      </c>
      <c r="X1130" s="14" t="n">
        <f aca="false">IF($L1130=2017,1,0)</f>
        <v>1</v>
      </c>
      <c r="Y1130" s="14" t="n">
        <f aca="false">IF($H1130="Beginner Level",1,0)</f>
        <v>0</v>
      </c>
      <c r="Z1130" s="14" t="n">
        <f aca="false">IF($H1130="Expert Level",1,0)</f>
        <v>1</v>
      </c>
      <c r="AA1130" s="14" t="n">
        <f aca="false">IF($H1130="Intermediate Level",1,0)</f>
        <v>0</v>
      </c>
      <c r="AC1130" s="14" t="n">
        <f aca="false">N1130</f>
        <v>4.00751498688737</v>
      </c>
      <c r="AD1130" s="14" t="n">
        <f aca="false">G1130</f>
        <v>49</v>
      </c>
      <c r="AE1130" s="14" t="n">
        <f aca="false">J1130</f>
        <v>2.5</v>
      </c>
      <c r="AF1130" s="14" t="n">
        <f aca="false">IF($L1130=2012,1,0)</f>
        <v>0</v>
      </c>
      <c r="AG1130" s="14" t="n">
        <f aca="false">IF($L1130=2013,1,0)</f>
        <v>0</v>
      </c>
      <c r="AH1130" s="14" t="n">
        <f aca="false">IF($L1130=2014,1,0)</f>
        <v>0</v>
      </c>
      <c r="AI1130" s="14" t="n">
        <f aca="false">IF($L1130=2015,1,0)</f>
        <v>0</v>
      </c>
      <c r="AJ1130" s="14" t="n">
        <f aca="false">IF($L1130=2016,1,0)</f>
        <v>0</v>
      </c>
      <c r="AK1130" s="14" t="n">
        <f aca="false">IF($L1130=2017,1,0)</f>
        <v>1</v>
      </c>
      <c r="AL1130" s="14" t="n">
        <f aca="false">IF($H1130="Beginner Level",1,0)</f>
        <v>0</v>
      </c>
      <c r="AM1130" s="14" t="n">
        <f aca="false">IF($H1130="Expert Level",1,0)</f>
        <v>1</v>
      </c>
      <c r="AN1130" s="14" t="n">
        <f aca="false">IF($H1130="Intermediate Level",1,0)</f>
        <v>0</v>
      </c>
    </row>
    <row r="1131" customFormat="false" ht="57.45" hidden="false" customHeight="false" outlineLevel="0" collapsed="false">
      <c r="A1131" s="14" t="n">
        <v>656522</v>
      </c>
      <c r="B1131" s="14" t="s">
        <v>2303</v>
      </c>
      <c r="C1131" s="14" t="s">
        <v>2304</v>
      </c>
      <c r="D1131" s="14" t="n">
        <v>20</v>
      </c>
      <c r="E1131" s="14" t="n">
        <v>359</v>
      </c>
      <c r="F1131" s="14" t="n">
        <v>45</v>
      </c>
      <c r="G1131" s="14" t="n">
        <v>73</v>
      </c>
      <c r="H1131" s="14" t="s">
        <v>62</v>
      </c>
      <c r="I1131" s="14" t="n">
        <v>0.4</v>
      </c>
      <c r="J1131" s="14" t="n">
        <v>6.5</v>
      </c>
      <c r="K1131" s="14" t="s">
        <v>59</v>
      </c>
      <c r="L1131" s="14" t="n">
        <v>2015</v>
      </c>
      <c r="M1131" s="14" t="n">
        <v>5.88332238848828</v>
      </c>
      <c r="N1131" s="14" t="n">
        <v>2.99623214859564</v>
      </c>
      <c r="P1131" s="14" t="n">
        <f aca="false">D1131</f>
        <v>20</v>
      </c>
      <c r="Q1131" s="14" t="n">
        <f aca="false">G1131</f>
        <v>73</v>
      </c>
      <c r="R1131" s="14" t="n">
        <f aca="false">J1131</f>
        <v>6.5</v>
      </c>
      <c r="S1131" s="14" t="n">
        <f aca="false">IF($L1131=2012,1,0)</f>
        <v>0</v>
      </c>
      <c r="T1131" s="14" t="n">
        <f aca="false">IF($L1131=2013,1,0)</f>
        <v>0</v>
      </c>
      <c r="U1131" s="14" t="n">
        <f aca="false">IF($L1131=2014,1,0)</f>
        <v>0</v>
      </c>
      <c r="V1131" s="14" t="n">
        <f aca="false">IF($L1131=2015,1,0)</f>
        <v>1</v>
      </c>
      <c r="W1131" s="14" t="n">
        <f aca="false">IF($L1131=2016,1,0)</f>
        <v>0</v>
      </c>
      <c r="X1131" s="14" t="n">
        <f aca="false">IF($L1131=2017,1,0)</f>
        <v>0</v>
      </c>
      <c r="Y1131" s="14" t="n">
        <f aca="false">IF($H1131="Beginner Level",1,0)</f>
        <v>0</v>
      </c>
      <c r="Z1131" s="14" t="n">
        <f aca="false">IF($H1131="Expert Level",1,0)</f>
        <v>0</v>
      </c>
      <c r="AA1131" s="14" t="n">
        <f aca="false">IF($H1131="Intermediate Level",1,0)</f>
        <v>0</v>
      </c>
      <c r="AC1131" s="14" t="n">
        <f aca="false">N1131</f>
        <v>2.99623214859564</v>
      </c>
      <c r="AD1131" s="14" t="n">
        <f aca="false">G1131</f>
        <v>73</v>
      </c>
      <c r="AE1131" s="14" t="n">
        <f aca="false">J1131</f>
        <v>6.5</v>
      </c>
      <c r="AF1131" s="14" t="n">
        <f aca="false">IF($L1131=2012,1,0)</f>
        <v>0</v>
      </c>
      <c r="AG1131" s="14" t="n">
        <f aca="false">IF($L1131=2013,1,0)</f>
        <v>0</v>
      </c>
      <c r="AH1131" s="14" t="n">
        <f aca="false">IF($L1131=2014,1,0)</f>
        <v>0</v>
      </c>
      <c r="AI1131" s="14" t="n">
        <f aca="false">IF($L1131=2015,1,0)</f>
        <v>1</v>
      </c>
      <c r="AJ1131" s="14" t="n">
        <f aca="false">IF($L1131=2016,1,0)</f>
        <v>0</v>
      </c>
      <c r="AK1131" s="14" t="n">
        <f aca="false">IF($L1131=2017,1,0)</f>
        <v>0</v>
      </c>
      <c r="AL1131" s="14" t="n">
        <f aca="false">IF($H1131="Beginner Level",1,0)</f>
        <v>0</v>
      </c>
      <c r="AM1131" s="14" t="n">
        <f aca="false">IF($H1131="Expert Level",1,0)</f>
        <v>0</v>
      </c>
      <c r="AN1131" s="14" t="n">
        <f aca="false">IF($H1131="Intermediate Level",1,0)</f>
        <v>0</v>
      </c>
    </row>
    <row r="1132" customFormat="false" ht="57.45" hidden="false" customHeight="false" outlineLevel="0" collapsed="false">
      <c r="A1132" s="14" t="n">
        <v>1159822</v>
      </c>
      <c r="B1132" s="14" t="s">
        <v>2305</v>
      </c>
      <c r="C1132" s="14" t="s">
        <v>2306</v>
      </c>
      <c r="D1132" s="14" t="n">
        <v>20</v>
      </c>
      <c r="E1132" s="14" t="n">
        <v>358</v>
      </c>
      <c r="F1132" s="14" t="n">
        <v>0</v>
      </c>
      <c r="G1132" s="14" t="n">
        <v>23</v>
      </c>
      <c r="H1132" s="14" t="s">
        <v>52</v>
      </c>
      <c r="I1132" s="14" t="n">
        <v>0.39</v>
      </c>
      <c r="J1132" s="14" t="n">
        <v>2</v>
      </c>
      <c r="K1132" s="14" t="s">
        <v>59</v>
      </c>
      <c r="L1132" s="14" t="n">
        <v>2017</v>
      </c>
      <c r="M1132" s="14" t="n">
        <v>5.8805329864007</v>
      </c>
      <c r="N1132" s="14" t="n">
        <v>2.99623214859564</v>
      </c>
      <c r="P1132" s="14" t="n">
        <f aca="false">D1132</f>
        <v>20</v>
      </c>
      <c r="Q1132" s="14" t="n">
        <f aca="false">G1132</f>
        <v>23</v>
      </c>
      <c r="R1132" s="14" t="n">
        <f aca="false">J1132</f>
        <v>2</v>
      </c>
      <c r="S1132" s="14" t="n">
        <f aca="false">IF($L1132=2012,1,0)</f>
        <v>0</v>
      </c>
      <c r="T1132" s="14" t="n">
        <f aca="false">IF($L1132=2013,1,0)</f>
        <v>0</v>
      </c>
      <c r="U1132" s="14" t="n">
        <f aca="false">IF($L1132=2014,1,0)</f>
        <v>0</v>
      </c>
      <c r="V1132" s="14" t="n">
        <f aca="false">IF($L1132=2015,1,0)</f>
        <v>0</v>
      </c>
      <c r="W1132" s="14" t="n">
        <f aca="false">IF($L1132=2016,1,0)</f>
        <v>0</v>
      </c>
      <c r="X1132" s="14" t="n">
        <f aca="false">IF($L1132=2017,1,0)</f>
        <v>1</v>
      </c>
      <c r="Y1132" s="14" t="n">
        <f aca="false">IF($H1132="Beginner Level",1,0)</f>
        <v>1</v>
      </c>
      <c r="Z1132" s="14" t="n">
        <f aca="false">IF($H1132="Expert Level",1,0)</f>
        <v>0</v>
      </c>
      <c r="AA1132" s="14" t="n">
        <f aca="false">IF($H1132="Intermediate Level",1,0)</f>
        <v>0</v>
      </c>
      <c r="AC1132" s="14" t="n">
        <f aca="false">N1132</f>
        <v>2.99623214859564</v>
      </c>
      <c r="AD1132" s="14" t="n">
        <f aca="false">G1132</f>
        <v>23</v>
      </c>
      <c r="AE1132" s="14" t="n">
        <f aca="false">J1132</f>
        <v>2</v>
      </c>
      <c r="AF1132" s="14" t="n">
        <f aca="false">IF($L1132=2012,1,0)</f>
        <v>0</v>
      </c>
      <c r="AG1132" s="14" t="n">
        <f aca="false">IF($L1132=2013,1,0)</f>
        <v>0</v>
      </c>
      <c r="AH1132" s="14" t="n">
        <f aca="false">IF($L1132=2014,1,0)</f>
        <v>0</v>
      </c>
      <c r="AI1132" s="14" t="n">
        <f aca="false">IF($L1132=2015,1,0)</f>
        <v>0</v>
      </c>
      <c r="AJ1132" s="14" t="n">
        <f aca="false">IF($L1132=2016,1,0)</f>
        <v>0</v>
      </c>
      <c r="AK1132" s="14" t="n">
        <f aca="false">IF($L1132=2017,1,0)</f>
        <v>1</v>
      </c>
      <c r="AL1132" s="14" t="n">
        <f aca="false">IF($H1132="Beginner Level",1,0)</f>
        <v>1</v>
      </c>
      <c r="AM1132" s="14" t="n">
        <f aca="false">IF($H1132="Expert Level",1,0)</f>
        <v>0</v>
      </c>
      <c r="AN1132" s="14" t="n">
        <f aca="false">IF($H1132="Intermediate Level",1,0)</f>
        <v>0</v>
      </c>
    </row>
    <row r="1133" customFormat="false" ht="46.25" hidden="false" customHeight="false" outlineLevel="0" collapsed="false">
      <c r="A1133" s="14" t="n">
        <v>708514</v>
      </c>
      <c r="B1133" s="14" t="s">
        <v>2307</v>
      </c>
      <c r="C1133" s="14" t="s">
        <v>2308</v>
      </c>
      <c r="D1133" s="14" t="n">
        <v>95</v>
      </c>
      <c r="E1133" s="14" t="n">
        <v>353</v>
      </c>
      <c r="F1133" s="14" t="n">
        <v>34</v>
      </c>
      <c r="G1133" s="14" t="n">
        <v>41</v>
      </c>
      <c r="H1133" s="14" t="s">
        <v>52</v>
      </c>
      <c r="I1133" s="14" t="n">
        <v>0.11</v>
      </c>
      <c r="J1133" s="14" t="n">
        <v>3</v>
      </c>
      <c r="K1133" s="14" t="s">
        <v>59</v>
      </c>
      <c r="L1133" s="14" t="n">
        <v>2015</v>
      </c>
      <c r="M1133" s="14" t="n">
        <v>5.8664680569333</v>
      </c>
      <c r="N1133" s="14" t="n">
        <v>4.55398214921866</v>
      </c>
      <c r="P1133" s="14" t="n">
        <f aca="false">D1133</f>
        <v>95</v>
      </c>
      <c r="Q1133" s="14" t="n">
        <f aca="false">G1133</f>
        <v>41</v>
      </c>
      <c r="R1133" s="14" t="n">
        <f aca="false">J1133</f>
        <v>3</v>
      </c>
      <c r="S1133" s="14" t="n">
        <f aca="false">IF($L1133=2012,1,0)</f>
        <v>0</v>
      </c>
      <c r="T1133" s="14" t="n">
        <f aca="false">IF($L1133=2013,1,0)</f>
        <v>0</v>
      </c>
      <c r="U1133" s="14" t="n">
        <f aca="false">IF($L1133=2014,1,0)</f>
        <v>0</v>
      </c>
      <c r="V1133" s="14" t="n">
        <f aca="false">IF($L1133=2015,1,0)</f>
        <v>1</v>
      </c>
      <c r="W1133" s="14" t="n">
        <f aca="false">IF($L1133=2016,1,0)</f>
        <v>0</v>
      </c>
      <c r="X1133" s="14" t="n">
        <f aca="false">IF($L1133=2017,1,0)</f>
        <v>0</v>
      </c>
      <c r="Y1133" s="14" t="n">
        <f aca="false">IF($H1133="Beginner Level",1,0)</f>
        <v>1</v>
      </c>
      <c r="Z1133" s="14" t="n">
        <f aca="false">IF($H1133="Expert Level",1,0)</f>
        <v>0</v>
      </c>
      <c r="AA1133" s="14" t="n">
        <f aca="false">IF($H1133="Intermediate Level",1,0)</f>
        <v>0</v>
      </c>
      <c r="AC1133" s="14" t="n">
        <f aca="false">N1133</f>
        <v>4.55398214921866</v>
      </c>
      <c r="AD1133" s="14" t="n">
        <f aca="false">G1133</f>
        <v>41</v>
      </c>
      <c r="AE1133" s="14" t="n">
        <f aca="false">J1133</f>
        <v>3</v>
      </c>
      <c r="AF1133" s="14" t="n">
        <f aca="false">IF($L1133=2012,1,0)</f>
        <v>0</v>
      </c>
      <c r="AG1133" s="14" t="n">
        <f aca="false">IF($L1133=2013,1,0)</f>
        <v>0</v>
      </c>
      <c r="AH1133" s="14" t="n">
        <f aca="false">IF($L1133=2014,1,0)</f>
        <v>0</v>
      </c>
      <c r="AI1133" s="14" t="n">
        <f aca="false">IF($L1133=2015,1,0)</f>
        <v>1</v>
      </c>
      <c r="AJ1133" s="14" t="n">
        <f aca="false">IF($L1133=2016,1,0)</f>
        <v>0</v>
      </c>
      <c r="AK1133" s="14" t="n">
        <f aca="false">IF($L1133=2017,1,0)</f>
        <v>0</v>
      </c>
      <c r="AL1133" s="14" t="n">
        <f aca="false">IF($H1133="Beginner Level",1,0)</f>
        <v>1</v>
      </c>
      <c r="AM1133" s="14" t="n">
        <f aca="false">IF($H1133="Expert Level",1,0)</f>
        <v>0</v>
      </c>
      <c r="AN1133" s="14" t="n">
        <f aca="false">IF($H1133="Intermediate Level",1,0)</f>
        <v>0</v>
      </c>
    </row>
    <row r="1134" customFormat="false" ht="68.65" hidden="false" customHeight="false" outlineLevel="0" collapsed="false">
      <c r="A1134" s="14" t="n">
        <v>1210652</v>
      </c>
      <c r="B1134" s="14" t="s">
        <v>2309</v>
      </c>
      <c r="C1134" s="14" t="s">
        <v>2310</v>
      </c>
      <c r="D1134" s="14" t="n">
        <v>200</v>
      </c>
      <c r="E1134" s="14" t="n">
        <v>346</v>
      </c>
      <c r="F1134" s="14" t="n">
        <v>28</v>
      </c>
      <c r="G1134" s="14" t="n">
        <v>74</v>
      </c>
      <c r="H1134" s="14" t="s">
        <v>62</v>
      </c>
      <c r="I1134" s="14" t="n">
        <v>0.16</v>
      </c>
      <c r="J1134" s="14" t="n">
        <v>8.5</v>
      </c>
      <c r="K1134" s="14" t="s">
        <v>59</v>
      </c>
      <c r="L1134" s="14" t="n">
        <v>2017</v>
      </c>
      <c r="M1134" s="14" t="n">
        <v>5.84643877505773</v>
      </c>
      <c r="N1134" s="14" t="n">
        <v>5.29836736529808</v>
      </c>
      <c r="P1134" s="14" t="n">
        <f aca="false">D1134</f>
        <v>200</v>
      </c>
      <c r="Q1134" s="14" t="n">
        <f aca="false">G1134</f>
        <v>74</v>
      </c>
      <c r="R1134" s="14" t="n">
        <f aca="false">J1134</f>
        <v>8.5</v>
      </c>
      <c r="S1134" s="14" t="n">
        <f aca="false">IF($L1134=2012,1,0)</f>
        <v>0</v>
      </c>
      <c r="T1134" s="14" t="n">
        <f aca="false">IF($L1134=2013,1,0)</f>
        <v>0</v>
      </c>
      <c r="U1134" s="14" t="n">
        <f aca="false">IF($L1134=2014,1,0)</f>
        <v>0</v>
      </c>
      <c r="V1134" s="14" t="n">
        <f aca="false">IF($L1134=2015,1,0)</f>
        <v>0</v>
      </c>
      <c r="W1134" s="14" t="n">
        <f aca="false">IF($L1134=2016,1,0)</f>
        <v>0</v>
      </c>
      <c r="X1134" s="14" t="n">
        <f aca="false">IF($L1134=2017,1,0)</f>
        <v>1</v>
      </c>
      <c r="Y1134" s="14" t="n">
        <f aca="false">IF($H1134="Beginner Level",1,0)</f>
        <v>0</v>
      </c>
      <c r="Z1134" s="14" t="n">
        <f aca="false">IF($H1134="Expert Level",1,0)</f>
        <v>0</v>
      </c>
      <c r="AA1134" s="14" t="n">
        <f aca="false">IF($H1134="Intermediate Level",1,0)</f>
        <v>0</v>
      </c>
      <c r="AC1134" s="14" t="n">
        <f aca="false">N1134</f>
        <v>5.29836736529808</v>
      </c>
      <c r="AD1134" s="14" t="n">
        <f aca="false">G1134</f>
        <v>74</v>
      </c>
      <c r="AE1134" s="14" t="n">
        <f aca="false">J1134</f>
        <v>8.5</v>
      </c>
      <c r="AF1134" s="14" t="n">
        <f aca="false">IF($L1134=2012,1,0)</f>
        <v>0</v>
      </c>
      <c r="AG1134" s="14" t="n">
        <f aca="false">IF($L1134=2013,1,0)</f>
        <v>0</v>
      </c>
      <c r="AH1134" s="14" t="n">
        <f aca="false">IF($L1134=2014,1,0)</f>
        <v>0</v>
      </c>
      <c r="AI1134" s="14" t="n">
        <f aca="false">IF($L1134=2015,1,0)</f>
        <v>0</v>
      </c>
      <c r="AJ1134" s="14" t="n">
        <f aca="false">IF($L1134=2016,1,0)</f>
        <v>0</v>
      </c>
      <c r="AK1134" s="14" t="n">
        <f aca="false">IF($L1134=2017,1,0)</f>
        <v>1</v>
      </c>
      <c r="AL1134" s="14" t="n">
        <f aca="false">IF($H1134="Beginner Level",1,0)</f>
        <v>0</v>
      </c>
      <c r="AM1134" s="14" t="n">
        <f aca="false">IF($H1134="Expert Level",1,0)</f>
        <v>0</v>
      </c>
      <c r="AN1134" s="14" t="n">
        <f aca="false">IF($H1134="Intermediate Level",1,0)</f>
        <v>0</v>
      </c>
    </row>
    <row r="1135" customFormat="false" ht="68.65" hidden="false" customHeight="false" outlineLevel="0" collapsed="false">
      <c r="A1135" s="14" t="n">
        <v>551072</v>
      </c>
      <c r="B1135" s="14" t="s">
        <v>2311</v>
      </c>
      <c r="C1135" s="14" t="s">
        <v>2312</v>
      </c>
      <c r="D1135" s="14" t="n">
        <v>50</v>
      </c>
      <c r="E1135" s="14" t="n">
        <v>342</v>
      </c>
      <c r="F1135" s="14" t="n">
        <v>53</v>
      </c>
      <c r="G1135" s="14" t="n">
        <v>60</v>
      </c>
      <c r="H1135" s="14" t="s">
        <v>62</v>
      </c>
      <c r="I1135" s="14" t="n">
        <v>0.24</v>
      </c>
      <c r="J1135" s="14" t="n">
        <v>3.5</v>
      </c>
      <c r="K1135" s="14" t="s">
        <v>59</v>
      </c>
      <c r="L1135" s="14" t="n">
        <v>2015</v>
      </c>
      <c r="M1135" s="14" t="n">
        <v>5.83481073706261</v>
      </c>
      <c r="N1135" s="14" t="n">
        <v>3.91222298543081</v>
      </c>
      <c r="P1135" s="14" t="n">
        <f aca="false">D1135</f>
        <v>50</v>
      </c>
      <c r="Q1135" s="14" t="n">
        <f aca="false">G1135</f>
        <v>60</v>
      </c>
      <c r="R1135" s="14" t="n">
        <f aca="false">J1135</f>
        <v>3.5</v>
      </c>
      <c r="S1135" s="14" t="n">
        <f aca="false">IF($L1135=2012,1,0)</f>
        <v>0</v>
      </c>
      <c r="T1135" s="14" t="n">
        <f aca="false">IF($L1135=2013,1,0)</f>
        <v>0</v>
      </c>
      <c r="U1135" s="14" t="n">
        <f aca="false">IF($L1135=2014,1,0)</f>
        <v>0</v>
      </c>
      <c r="V1135" s="14" t="n">
        <f aca="false">IF($L1135=2015,1,0)</f>
        <v>1</v>
      </c>
      <c r="W1135" s="14" t="n">
        <f aca="false">IF($L1135=2016,1,0)</f>
        <v>0</v>
      </c>
      <c r="X1135" s="14" t="n">
        <f aca="false">IF($L1135=2017,1,0)</f>
        <v>0</v>
      </c>
      <c r="Y1135" s="14" t="n">
        <f aca="false">IF($H1135="Beginner Level",1,0)</f>
        <v>0</v>
      </c>
      <c r="Z1135" s="14" t="n">
        <f aca="false">IF($H1135="Expert Level",1,0)</f>
        <v>0</v>
      </c>
      <c r="AA1135" s="14" t="n">
        <f aca="false">IF($H1135="Intermediate Level",1,0)</f>
        <v>0</v>
      </c>
      <c r="AC1135" s="14" t="n">
        <f aca="false">N1135</f>
        <v>3.91222298543081</v>
      </c>
      <c r="AD1135" s="14" t="n">
        <f aca="false">G1135</f>
        <v>60</v>
      </c>
      <c r="AE1135" s="14" t="n">
        <f aca="false">J1135</f>
        <v>3.5</v>
      </c>
      <c r="AF1135" s="14" t="n">
        <f aca="false">IF($L1135=2012,1,0)</f>
        <v>0</v>
      </c>
      <c r="AG1135" s="14" t="n">
        <f aca="false">IF($L1135=2013,1,0)</f>
        <v>0</v>
      </c>
      <c r="AH1135" s="14" t="n">
        <f aca="false">IF($L1135=2014,1,0)</f>
        <v>0</v>
      </c>
      <c r="AI1135" s="14" t="n">
        <f aca="false">IF($L1135=2015,1,0)</f>
        <v>1</v>
      </c>
      <c r="AJ1135" s="14" t="n">
        <f aca="false">IF($L1135=2016,1,0)</f>
        <v>0</v>
      </c>
      <c r="AK1135" s="14" t="n">
        <f aca="false">IF($L1135=2017,1,0)</f>
        <v>0</v>
      </c>
      <c r="AL1135" s="14" t="n">
        <f aca="false">IF($H1135="Beginner Level",1,0)</f>
        <v>0</v>
      </c>
      <c r="AM1135" s="14" t="n">
        <f aca="false">IF($H1135="Expert Level",1,0)</f>
        <v>0</v>
      </c>
      <c r="AN1135" s="14" t="n">
        <f aca="false">IF($H1135="Intermediate Level",1,0)</f>
        <v>0</v>
      </c>
    </row>
    <row r="1136" customFormat="false" ht="79.85" hidden="false" customHeight="false" outlineLevel="0" collapsed="false">
      <c r="A1136" s="14" t="n">
        <v>845794</v>
      </c>
      <c r="B1136" s="14" t="s">
        <v>2313</v>
      </c>
      <c r="C1136" s="14" t="s">
        <v>2314</v>
      </c>
      <c r="D1136" s="14" t="n">
        <v>40</v>
      </c>
      <c r="E1136" s="14" t="n">
        <v>334</v>
      </c>
      <c r="F1136" s="14" t="n">
        <v>41</v>
      </c>
      <c r="G1136" s="14" t="n">
        <v>54</v>
      </c>
      <c r="H1136" s="14" t="s">
        <v>71</v>
      </c>
      <c r="I1136" s="14" t="n">
        <v>0.76</v>
      </c>
      <c r="J1136" s="14" t="n">
        <v>11.5</v>
      </c>
      <c r="K1136" s="14" t="s">
        <v>59</v>
      </c>
      <c r="L1136" s="14" t="n">
        <v>2016</v>
      </c>
      <c r="M1136" s="14" t="n">
        <v>5.8111409929767</v>
      </c>
      <c r="N1136" s="14" t="n">
        <v>3.68912942286914</v>
      </c>
      <c r="P1136" s="14" t="n">
        <f aca="false">D1136</f>
        <v>40</v>
      </c>
      <c r="Q1136" s="14" t="n">
        <f aca="false">G1136</f>
        <v>54</v>
      </c>
      <c r="R1136" s="14" t="n">
        <f aca="false">J1136</f>
        <v>11.5</v>
      </c>
      <c r="S1136" s="14" t="n">
        <f aca="false">IF($L1136=2012,1,0)</f>
        <v>0</v>
      </c>
      <c r="T1136" s="14" t="n">
        <f aca="false">IF($L1136=2013,1,0)</f>
        <v>0</v>
      </c>
      <c r="U1136" s="14" t="n">
        <f aca="false">IF($L1136=2014,1,0)</f>
        <v>0</v>
      </c>
      <c r="V1136" s="14" t="n">
        <f aca="false">IF($L1136=2015,1,0)</f>
        <v>0</v>
      </c>
      <c r="W1136" s="14" t="n">
        <f aca="false">IF($L1136=2016,1,0)</f>
        <v>1</v>
      </c>
      <c r="X1136" s="14" t="n">
        <f aca="false">IF($L1136=2017,1,0)</f>
        <v>0</v>
      </c>
      <c r="Y1136" s="14" t="n">
        <f aca="false">IF($H1136="Beginner Level",1,0)</f>
        <v>0</v>
      </c>
      <c r="Z1136" s="14" t="n">
        <f aca="false">IF($H1136="Expert Level",1,0)</f>
        <v>0</v>
      </c>
      <c r="AA1136" s="14" t="n">
        <f aca="false">IF($H1136="Intermediate Level",1,0)</f>
        <v>1</v>
      </c>
      <c r="AC1136" s="14" t="n">
        <f aca="false">N1136</f>
        <v>3.68912942286914</v>
      </c>
      <c r="AD1136" s="14" t="n">
        <f aca="false">G1136</f>
        <v>54</v>
      </c>
      <c r="AE1136" s="14" t="n">
        <f aca="false">J1136</f>
        <v>11.5</v>
      </c>
      <c r="AF1136" s="14" t="n">
        <f aca="false">IF($L1136=2012,1,0)</f>
        <v>0</v>
      </c>
      <c r="AG1136" s="14" t="n">
        <f aca="false">IF($L1136=2013,1,0)</f>
        <v>0</v>
      </c>
      <c r="AH1136" s="14" t="n">
        <f aca="false">IF($L1136=2014,1,0)</f>
        <v>0</v>
      </c>
      <c r="AI1136" s="14" t="n">
        <f aca="false">IF($L1136=2015,1,0)</f>
        <v>0</v>
      </c>
      <c r="AJ1136" s="14" t="n">
        <f aca="false">IF($L1136=2016,1,0)</f>
        <v>1</v>
      </c>
      <c r="AK1136" s="14" t="n">
        <f aca="false">IF($L1136=2017,1,0)</f>
        <v>0</v>
      </c>
      <c r="AL1136" s="14" t="n">
        <f aca="false">IF($H1136="Beginner Level",1,0)</f>
        <v>0</v>
      </c>
      <c r="AM1136" s="14" t="n">
        <f aca="false">IF($H1136="Expert Level",1,0)</f>
        <v>0</v>
      </c>
      <c r="AN1136" s="14" t="n">
        <f aca="false">IF($H1136="Intermediate Level",1,0)</f>
        <v>1</v>
      </c>
    </row>
    <row r="1137" customFormat="false" ht="79.85" hidden="false" customHeight="false" outlineLevel="0" collapsed="false">
      <c r="A1137" s="14" t="n">
        <v>1093608</v>
      </c>
      <c r="B1137" s="14" t="s">
        <v>2315</v>
      </c>
      <c r="C1137" s="14" t="s">
        <v>2316</v>
      </c>
      <c r="D1137" s="14" t="n">
        <v>200</v>
      </c>
      <c r="E1137" s="14" t="n">
        <v>333</v>
      </c>
      <c r="F1137" s="14" t="n">
        <v>22</v>
      </c>
      <c r="G1137" s="14" t="n">
        <v>353</v>
      </c>
      <c r="H1137" s="14" t="s">
        <v>62</v>
      </c>
      <c r="I1137" s="14" t="n">
        <v>0.34</v>
      </c>
      <c r="J1137" s="14" t="n">
        <v>42</v>
      </c>
      <c r="K1137" s="14" t="s">
        <v>59</v>
      </c>
      <c r="L1137" s="14" t="n">
        <v>2017</v>
      </c>
      <c r="M1137" s="14" t="n">
        <v>5.80814248998044</v>
      </c>
      <c r="N1137" s="14" t="n">
        <v>5.29836736529808</v>
      </c>
      <c r="P1137" s="14" t="n">
        <f aca="false">D1137</f>
        <v>200</v>
      </c>
      <c r="Q1137" s="14" t="n">
        <f aca="false">G1137</f>
        <v>353</v>
      </c>
      <c r="R1137" s="14" t="n">
        <f aca="false">J1137</f>
        <v>42</v>
      </c>
      <c r="S1137" s="14" t="n">
        <f aca="false">IF($L1137=2012,1,0)</f>
        <v>0</v>
      </c>
      <c r="T1137" s="14" t="n">
        <f aca="false">IF($L1137=2013,1,0)</f>
        <v>0</v>
      </c>
      <c r="U1137" s="14" t="n">
        <f aca="false">IF($L1137=2014,1,0)</f>
        <v>0</v>
      </c>
      <c r="V1137" s="14" t="n">
        <f aca="false">IF($L1137=2015,1,0)</f>
        <v>0</v>
      </c>
      <c r="W1137" s="14" t="n">
        <f aca="false">IF($L1137=2016,1,0)</f>
        <v>0</v>
      </c>
      <c r="X1137" s="14" t="n">
        <f aca="false">IF($L1137=2017,1,0)</f>
        <v>1</v>
      </c>
      <c r="Y1137" s="14" t="n">
        <f aca="false">IF($H1137="Beginner Level",1,0)</f>
        <v>0</v>
      </c>
      <c r="Z1137" s="14" t="n">
        <f aca="false">IF($H1137="Expert Level",1,0)</f>
        <v>0</v>
      </c>
      <c r="AA1137" s="14" t="n">
        <f aca="false">IF($H1137="Intermediate Level",1,0)</f>
        <v>0</v>
      </c>
      <c r="AC1137" s="14" t="n">
        <f aca="false">N1137</f>
        <v>5.29836736529808</v>
      </c>
      <c r="AD1137" s="14" t="n">
        <f aca="false">G1137</f>
        <v>353</v>
      </c>
      <c r="AE1137" s="14" t="n">
        <f aca="false">J1137</f>
        <v>42</v>
      </c>
      <c r="AF1137" s="14" t="n">
        <f aca="false">IF($L1137=2012,1,0)</f>
        <v>0</v>
      </c>
      <c r="AG1137" s="14" t="n">
        <f aca="false">IF($L1137=2013,1,0)</f>
        <v>0</v>
      </c>
      <c r="AH1137" s="14" t="n">
        <f aca="false">IF($L1137=2014,1,0)</f>
        <v>0</v>
      </c>
      <c r="AI1137" s="14" t="n">
        <f aca="false">IF($L1137=2015,1,0)</f>
        <v>0</v>
      </c>
      <c r="AJ1137" s="14" t="n">
        <f aca="false">IF($L1137=2016,1,0)</f>
        <v>0</v>
      </c>
      <c r="AK1137" s="14" t="n">
        <f aca="false">IF($L1137=2017,1,0)</f>
        <v>1</v>
      </c>
      <c r="AL1137" s="14" t="n">
        <f aca="false">IF($H1137="Beginner Level",1,0)</f>
        <v>0</v>
      </c>
      <c r="AM1137" s="14" t="n">
        <f aca="false">IF($H1137="Expert Level",1,0)</f>
        <v>0</v>
      </c>
      <c r="AN1137" s="14" t="n">
        <f aca="false">IF($H1137="Intermediate Level",1,0)</f>
        <v>0</v>
      </c>
    </row>
    <row r="1138" customFormat="false" ht="46.25" hidden="false" customHeight="false" outlineLevel="0" collapsed="false">
      <c r="A1138" s="14" t="n">
        <v>551962</v>
      </c>
      <c r="B1138" s="14" t="s">
        <v>2317</v>
      </c>
      <c r="C1138" s="14" t="s">
        <v>2318</v>
      </c>
      <c r="D1138" s="14" t="n">
        <v>35</v>
      </c>
      <c r="E1138" s="14" t="n">
        <v>333</v>
      </c>
      <c r="F1138" s="14" t="n">
        <v>15</v>
      </c>
      <c r="G1138" s="14" t="n">
        <v>14</v>
      </c>
      <c r="H1138" s="14" t="s">
        <v>52</v>
      </c>
      <c r="I1138" s="14" t="n">
        <v>0.76</v>
      </c>
      <c r="J1138" s="14" t="n">
        <v>1</v>
      </c>
      <c r="K1138" s="14" t="s">
        <v>59</v>
      </c>
      <c r="L1138" s="14" t="n">
        <v>2015</v>
      </c>
      <c r="M1138" s="14" t="n">
        <v>5.80814248998044</v>
      </c>
      <c r="N1138" s="14" t="n">
        <v>3.55563373496657</v>
      </c>
      <c r="P1138" s="14" t="n">
        <f aca="false">D1138</f>
        <v>35</v>
      </c>
      <c r="Q1138" s="14" t="n">
        <f aca="false">G1138</f>
        <v>14</v>
      </c>
      <c r="R1138" s="14" t="n">
        <f aca="false">J1138</f>
        <v>1</v>
      </c>
      <c r="S1138" s="14" t="n">
        <f aca="false">IF($L1138=2012,1,0)</f>
        <v>0</v>
      </c>
      <c r="T1138" s="14" t="n">
        <f aca="false">IF($L1138=2013,1,0)</f>
        <v>0</v>
      </c>
      <c r="U1138" s="14" t="n">
        <f aca="false">IF($L1138=2014,1,0)</f>
        <v>0</v>
      </c>
      <c r="V1138" s="14" t="n">
        <f aca="false">IF($L1138=2015,1,0)</f>
        <v>1</v>
      </c>
      <c r="W1138" s="14" t="n">
        <f aca="false">IF($L1138=2016,1,0)</f>
        <v>0</v>
      </c>
      <c r="X1138" s="14" t="n">
        <f aca="false">IF($L1138=2017,1,0)</f>
        <v>0</v>
      </c>
      <c r="Y1138" s="14" t="n">
        <f aca="false">IF($H1138="Beginner Level",1,0)</f>
        <v>1</v>
      </c>
      <c r="Z1138" s="14" t="n">
        <f aca="false">IF($H1138="Expert Level",1,0)</f>
        <v>0</v>
      </c>
      <c r="AA1138" s="14" t="n">
        <f aca="false">IF($H1138="Intermediate Level",1,0)</f>
        <v>0</v>
      </c>
      <c r="AC1138" s="14" t="n">
        <f aca="false">N1138</f>
        <v>3.55563373496657</v>
      </c>
      <c r="AD1138" s="14" t="n">
        <f aca="false">G1138</f>
        <v>14</v>
      </c>
      <c r="AE1138" s="14" t="n">
        <f aca="false">J1138</f>
        <v>1</v>
      </c>
      <c r="AF1138" s="14" t="n">
        <f aca="false">IF($L1138=2012,1,0)</f>
        <v>0</v>
      </c>
      <c r="AG1138" s="14" t="n">
        <f aca="false">IF($L1138=2013,1,0)</f>
        <v>0</v>
      </c>
      <c r="AH1138" s="14" t="n">
        <f aca="false">IF($L1138=2014,1,0)</f>
        <v>0</v>
      </c>
      <c r="AI1138" s="14" t="n">
        <f aca="false">IF($L1138=2015,1,0)</f>
        <v>1</v>
      </c>
      <c r="AJ1138" s="14" t="n">
        <f aca="false">IF($L1138=2016,1,0)</f>
        <v>0</v>
      </c>
      <c r="AK1138" s="14" t="n">
        <f aca="false">IF($L1138=2017,1,0)</f>
        <v>0</v>
      </c>
      <c r="AL1138" s="14" t="n">
        <f aca="false">IF($H1138="Beginner Level",1,0)</f>
        <v>1</v>
      </c>
      <c r="AM1138" s="14" t="n">
        <f aca="false">IF($H1138="Expert Level",1,0)</f>
        <v>0</v>
      </c>
      <c r="AN1138" s="14" t="n">
        <f aca="false">IF($H1138="Intermediate Level",1,0)</f>
        <v>0</v>
      </c>
    </row>
    <row r="1139" customFormat="false" ht="91" hidden="false" customHeight="false" outlineLevel="0" collapsed="false">
      <c r="A1139" s="14" t="n">
        <v>975916</v>
      </c>
      <c r="B1139" s="14" t="s">
        <v>2319</v>
      </c>
      <c r="C1139" s="14" t="s">
        <v>2320</v>
      </c>
      <c r="D1139" s="14" t="n">
        <v>185</v>
      </c>
      <c r="E1139" s="14" t="n">
        <v>327</v>
      </c>
      <c r="F1139" s="14" t="n">
        <v>26</v>
      </c>
      <c r="G1139" s="14" t="n">
        <v>106</v>
      </c>
      <c r="H1139" s="14" t="s">
        <v>62</v>
      </c>
      <c r="I1139" s="14" t="n">
        <v>0.11</v>
      </c>
      <c r="J1139" s="14" t="n">
        <v>9.5</v>
      </c>
      <c r="K1139" s="14" t="s">
        <v>59</v>
      </c>
      <c r="L1139" s="14" t="n">
        <v>2016</v>
      </c>
      <c r="M1139" s="14" t="n">
        <v>5.78996017089725</v>
      </c>
      <c r="N1139" s="14" t="n">
        <v>5.22040987767151</v>
      </c>
      <c r="P1139" s="14" t="n">
        <f aca="false">D1139</f>
        <v>185</v>
      </c>
      <c r="Q1139" s="14" t="n">
        <f aca="false">G1139</f>
        <v>106</v>
      </c>
      <c r="R1139" s="14" t="n">
        <f aca="false">J1139</f>
        <v>9.5</v>
      </c>
      <c r="S1139" s="14" t="n">
        <f aca="false">IF($L1139=2012,1,0)</f>
        <v>0</v>
      </c>
      <c r="T1139" s="14" t="n">
        <f aca="false">IF($L1139=2013,1,0)</f>
        <v>0</v>
      </c>
      <c r="U1139" s="14" t="n">
        <f aca="false">IF($L1139=2014,1,0)</f>
        <v>0</v>
      </c>
      <c r="V1139" s="14" t="n">
        <f aca="false">IF($L1139=2015,1,0)</f>
        <v>0</v>
      </c>
      <c r="W1139" s="14" t="n">
        <f aca="false">IF($L1139=2016,1,0)</f>
        <v>1</v>
      </c>
      <c r="X1139" s="14" t="n">
        <f aca="false">IF($L1139=2017,1,0)</f>
        <v>0</v>
      </c>
      <c r="Y1139" s="14" t="n">
        <f aca="false">IF($H1139="Beginner Level",1,0)</f>
        <v>0</v>
      </c>
      <c r="Z1139" s="14" t="n">
        <f aca="false">IF($H1139="Expert Level",1,0)</f>
        <v>0</v>
      </c>
      <c r="AA1139" s="14" t="n">
        <f aca="false">IF($H1139="Intermediate Level",1,0)</f>
        <v>0</v>
      </c>
      <c r="AC1139" s="14" t="n">
        <f aca="false">N1139</f>
        <v>5.22040987767151</v>
      </c>
      <c r="AD1139" s="14" t="n">
        <f aca="false">G1139</f>
        <v>106</v>
      </c>
      <c r="AE1139" s="14" t="n">
        <f aca="false">J1139</f>
        <v>9.5</v>
      </c>
      <c r="AF1139" s="14" t="n">
        <f aca="false">IF($L1139=2012,1,0)</f>
        <v>0</v>
      </c>
      <c r="AG1139" s="14" t="n">
        <f aca="false">IF($L1139=2013,1,0)</f>
        <v>0</v>
      </c>
      <c r="AH1139" s="14" t="n">
        <f aca="false">IF($L1139=2014,1,0)</f>
        <v>0</v>
      </c>
      <c r="AI1139" s="14" t="n">
        <f aca="false">IF($L1139=2015,1,0)</f>
        <v>0</v>
      </c>
      <c r="AJ1139" s="14" t="n">
        <f aca="false">IF($L1139=2016,1,0)</f>
        <v>1</v>
      </c>
      <c r="AK1139" s="14" t="n">
        <f aca="false">IF($L1139=2017,1,0)</f>
        <v>0</v>
      </c>
      <c r="AL1139" s="14" t="n">
        <f aca="false">IF($H1139="Beginner Level",1,0)</f>
        <v>0</v>
      </c>
      <c r="AM1139" s="14" t="n">
        <f aca="false">IF($H1139="Expert Level",1,0)</f>
        <v>0</v>
      </c>
      <c r="AN1139" s="14" t="n">
        <f aca="false">IF($H1139="Intermediate Level",1,0)</f>
        <v>0</v>
      </c>
    </row>
    <row r="1140" customFormat="false" ht="91" hidden="false" customHeight="false" outlineLevel="0" collapsed="false">
      <c r="A1140" s="14" t="n">
        <v>672090</v>
      </c>
      <c r="B1140" s="14" t="s">
        <v>2321</v>
      </c>
      <c r="C1140" s="14" t="s">
        <v>2322</v>
      </c>
      <c r="D1140" s="14" t="n">
        <v>40</v>
      </c>
      <c r="E1140" s="14" t="n">
        <v>325</v>
      </c>
      <c r="F1140" s="14" t="n">
        <v>37</v>
      </c>
      <c r="G1140" s="14" t="n">
        <v>27</v>
      </c>
      <c r="H1140" s="14" t="s">
        <v>52</v>
      </c>
      <c r="I1140" s="14" t="n">
        <v>0.08</v>
      </c>
      <c r="J1140" s="14" t="n">
        <v>3.5</v>
      </c>
      <c r="K1140" s="14" t="s">
        <v>59</v>
      </c>
      <c r="L1140" s="14" t="n">
        <v>2015</v>
      </c>
      <c r="M1140" s="14" t="n">
        <v>5.78382518232974</v>
      </c>
      <c r="N1140" s="14" t="n">
        <v>3.68912942286914</v>
      </c>
      <c r="P1140" s="14" t="n">
        <f aca="false">D1140</f>
        <v>40</v>
      </c>
      <c r="Q1140" s="14" t="n">
        <f aca="false">G1140</f>
        <v>27</v>
      </c>
      <c r="R1140" s="14" t="n">
        <f aca="false">J1140</f>
        <v>3.5</v>
      </c>
      <c r="S1140" s="14" t="n">
        <f aca="false">IF($L1140=2012,1,0)</f>
        <v>0</v>
      </c>
      <c r="T1140" s="14" t="n">
        <f aca="false">IF($L1140=2013,1,0)</f>
        <v>0</v>
      </c>
      <c r="U1140" s="14" t="n">
        <f aca="false">IF($L1140=2014,1,0)</f>
        <v>0</v>
      </c>
      <c r="V1140" s="14" t="n">
        <f aca="false">IF($L1140=2015,1,0)</f>
        <v>1</v>
      </c>
      <c r="W1140" s="14" t="n">
        <f aca="false">IF($L1140=2016,1,0)</f>
        <v>0</v>
      </c>
      <c r="X1140" s="14" t="n">
        <f aca="false">IF($L1140=2017,1,0)</f>
        <v>0</v>
      </c>
      <c r="Y1140" s="14" t="n">
        <f aca="false">IF($H1140="Beginner Level",1,0)</f>
        <v>1</v>
      </c>
      <c r="Z1140" s="14" t="n">
        <f aca="false">IF($H1140="Expert Level",1,0)</f>
        <v>0</v>
      </c>
      <c r="AA1140" s="14" t="n">
        <f aca="false">IF($H1140="Intermediate Level",1,0)</f>
        <v>0</v>
      </c>
      <c r="AC1140" s="14" t="n">
        <f aca="false">N1140</f>
        <v>3.68912942286914</v>
      </c>
      <c r="AD1140" s="14" t="n">
        <f aca="false">G1140</f>
        <v>27</v>
      </c>
      <c r="AE1140" s="14" t="n">
        <f aca="false">J1140</f>
        <v>3.5</v>
      </c>
      <c r="AF1140" s="14" t="n">
        <f aca="false">IF($L1140=2012,1,0)</f>
        <v>0</v>
      </c>
      <c r="AG1140" s="14" t="n">
        <f aca="false">IF($L1140=2013,1,0)</f>
        <v>0</v>
      </c>
      <c r="AH1140" s="14" t="n">
        <f aca="false">IF($L1140=2014,1,0)</f>
        <v>0</v>
      </c>
      <c r="AI1140" s="14" t="n">
        <f aca="false">IF($L1140=2015,1,0)</f>
        <v>1</v>
      </c>
      <c r="AJ1140" s="14" t="n">
        <f aca="false">IF($L1140=2016,1,0)</f>
        <v>0</v>
      </c>
      <c r="AK1140" s="14" t="n">
        <f aca="false">IF($L1140=2017,1,0)</f>
        <v>0</v>
      </c>
      <c r="AL1140" s="14" t="n">
        <f aca="false">IF($H1140="Beginner Level",1,0)</f>
        <v>1</v>
      </c>
      <c r="AM1140" s="14" t="n">
        <f aca="false">IF($H1140="Expert Level",1,0)</f>
        <v>0</v>
      </c>
      <c r="AN1140" s="14" t="n">
        <f aca="false">IF($H1140="Intermediate Level",1,0)</f>
        <v>0</v>
      </c>
    </row>
    <row r="1141" customFormat="false" ht="68.65" hidden="false" customHeight="false" outlineLevel="0" collapsed="false">
      <c r="A1141" s="14" t="n">
        <v>884988</v>
      </c>
      <c r="B1141" s="14" t="s">
        <v>2323</v>
      </c>
      <c r="C1141" s="14" t="s">
        <v>2324</v>
      </c>
      <c r="D1141" s="14" t="n">
        <v>80</v>
      </c>
      <c r="E1141" s="14" t="n">
        <v>325</v>
      </c>
      <c r="F1141" s="14" t="n">
        <v>50</v>
      </c>
      <c r="G1141" s="14" t="n">
        <v>106</v>
      </c>
      <c r="H1141" s="14" t="s">
        <v>71</v>
      </c>
      <c r="I1141" s="14" t="n">
        <v>0.6</v>
      </c>
      <c r="J1141" s="14" t="n">
        <v>5</v>
      </c>
      <c r="K1141" s="14" t="s">
        <v>59</v>
      </c>
      <c r="L1141" s="14" t="n">
        <v>2017</v>
      </c>
      <c r="M1141" s="14" t="n">
        <v>5.78382518232974</v>
      </c>
      <c r="N1141" s="14" t="n">
        <v>4.38215162686203</v>
      </c>
      <c r="P1141" s="14" t="n">
        <f aca="false">D1141</f>
        <v>80</v>
      </c>
      <c r="Q1141" s="14" t="n">
        <f aca="false">G1141</f>
        <v>106</v>
      </c>
      <c r="R1141" s="14" t="n">
        <f aca="false">J1141</f>
        <v>5</v>
      </c>
      <c r="S1141" s="14" t="n">
        <f aca="false">IF($L1141=2012,1,0)</f>
        <v>0</v>
      </c>
      <c r="T1141" s="14" t="n">
        <f aca="false">IF($L1141=2013,1,0)</f>
        <v>0</v>
      </c>
      <c r="U1141" s="14" t="n">
        <f aca="false">IF($L1141=2014,1,0)</f>
        <v>0</v>
      </c>
      <c r="V1141" s="14" t="n">
        <f aca="false">IF($L1141=2015,1,0)</f>
        <v>0</v>
      </c>
      <c r="W1141" s="14" t="n">
        <f aca="false">IF($L1141=2016,1,0)</f>
        <v>0</v>
      </c>
      <c r="X1141" s="14" t="n">
        <f aca="false">IF($L1141=2017,1,0)</f>
        <v>1</v>
      </c>
      <c r="Y1141" s="14" t="n">
        <f aca="false">IF($H1141="Beginner Level",1,0)</f>
        <v>0</v>
      </c>
      <c r="Z1141" s="14" t="n">
        <f aca="false">IF($H1141="Expert Level",1,0)</f>
        <v>0</v>
      </c>
      <c r="AA1141" s="14" t="n">
        <f aca="false">IF($H1141="Intermediate Level",1,0)</f>
        <v>1</v>
      </c>
      <c r="AC1141" s="14" t="n">
        <f aca="false">N1141</f>
        <v>4.38215162686203</v>
      </c>
      <c r="AD1141" s="14" t="n">
        <f aca="false">G1141</f>
        <v>106</v>
      </c>
      <c r="AE1141" s="14" t="n">
        <f aca="false">J1141</f>
        <v>5</v>
      </c>
      <c r="AF1141" s="14" t="n">
        <f aca="false">IF($L1141=2012,1,0)</f>
        <v>0</v>
      </c>
      <c r="AG1141" s="14" t="n">
        <f aca="false">IF($L1141=2013,1,0)</f>
        <v>0</v>
      </c>
      <c r="AH1141" s="14" t="n">
        <f aca="false">IF($L1141=2014,1,0)</f>
        <v>0</v>
      </c>
      <c r="AI1141" s="14" t="n">
        <f aca="false">IF($L1141=2015,1,0)</f>
        <v>0</v>
      </c>
      <c r="AJ1141" s="14" t="n">
        <f aca="false">IF($L1141=2016,1,0)</f>
        <v>0</v>
      </c>
      <c r="AK1141" s="14" t="n">
        <f aca="false">IF($L1141=2017,1,0)</f>
        <v>1</v>
      </c>
      <c r="AL1141" s="14" t="n">
        <f aca="false">IF($H1141="Beginner Level",1,0)</f>
        <v>0</v>
      </c>
      <c r="AM1141" s="14" t="n">
        <f aca="false">IF($H1141="Expert Level",1,0)</f>
        <v>0</v>
      </c>
      <c r="AN1141" s="14" t="n">
        <f aca="false">IF($H1141="Intermediate Level",1,0)</f>
        <v>1</v>
      </c>
    </row>
    <row r="1142" customFormat="false" ht="68.65" hidden="false" customHeight="false" outlineLevel="0" collapsed="false">
      <c r="A1142" s="14" t="n">
        <v>910624</v>
      </c>
      <c r="B1142" s="14" t="s">
        <v>2325</v>
      </c>
      <c r="C1142" s="14" t="s">
        <v>2326</v>
      </c>
      <c r="D1142" s="14" t="n">
        <v>50</v>
      </c>
      <c r="E1142" s="14" t="n">
        <v>322</v>
      </c>
      <c r="F1142" s="14" t="n">
        <v>9</v>
      </c>
      <c r="G1142" s="14" t="n">
        <v>9</v>
      </c>
      <c r="H1142" s="14" t="s">
        <v>62</v>
      </c>
      <c r="I1142" s="14" t="n">
        <v>0.96</v>
      </c>
      <c r="J1142" s="14" t="n">
        <v>0.51666667</v>
      </c>
      <c r="K1142" s="14" t="s">
        <v>59</v>
      </c>
      <c r="L1142" s="14" t="n">
        <v>2016</v>
      </c>
      <c r="M1142" s="14" t="n">
        <v>5.77455154554441</v>
      </c>
      <c r="N1142" s="14" t="n">
        <v>3.91222298543081</v>
      </c>
      <c r="P1142" s="14" t="n">
        <f aca="false">D1142</f>
        <v>50</v>
      </c>
      <c r="Q1142" s="14" t="n">
        <f aca="false">G1142</f>
        <v>9</v>
      </c>
      <c r="R1142" s="14" t="n">
        <f aca="false">J1142</f>
        <v>0.51666667</v>
      </c>
      <c r="S1142" s="14" t="n">
        <f aca="false">IF($L1142=2012,1,0)</f>
        <v>0</v>
      </c>
      <c r="T1142" s="14" t="n">
        <f aca="false">IF($L1142=2013,1,0)</f>
        <v>0</v>
      </c>
      <c r="U1142" s="14" t="n">
        <f aca="false">IF($L1142=2014,1,0)</f>
        <v>0</v>
      </c>
      <c r="V1142" s="14" t="n">
        <f aca="false">IF($L1142=2015,1,0)</f>
        <v>0</v>
      </c>
      <c r="W1142" s="14" t="n">
        <f aca="false">IF($L1142=2016,1,0)</f>
        <v>1</v>
      </c>
      <c r="X1142" s="14" t="n">
        <f aca="false">IF($L1142=2017,1,0)</f>
        <v>0</v>
      </c>
      <c r="Y1142" s="14" t="n">
        <f aca="false">IF($H1142="Beginner Level",1,0)</f>
        <v>0</v>
      </c>
      <c r="Z1142" s="14" t="n">
        <f aca="false">IF($H1142="Expert Level",1,0)</f>
        <v>0</v>
      </c>
      <c r="AA1142" s="14" t="n">
        <f aca="false">IF($H1142="Intermediate Level",1,0)</f>
        <v>0</v>
      </c>
      <c r="AC1142" s="14" t="n">
        <f aca="false">N1142</f>
        <v>3.91222298543081</v>
      </c>
      <c r="AD1142" s="14" t="n">
        <f aca="false">G1142</f>
        <v>9</v>
      </c>
      <c r="AE1142" s="14" t="n">
        <f aca="false">J1142</f>
        <v>0.51666667</v>
      </c>
      <c r="AF1142" s="14" t="n">
        <f aca="false">IF($L1142=2012,1,0)</f>
        <v>0</v>
      </c>
      <c r="AG1142" s="14" t="n">
        <f aca="false">IF($L1142=2013,1,0)</f>
        <v>0</v>
      </c>
      <c r="AH1142" s="14" t="n">
        <f aca="false">IF($L1142=2014,1,0)</f>
        <v>0</v>
      </c>
      <c r="AI1142" s="14" t="n">
        <f aca="false">IF($L1142=2015,1,0)</f>
        <v>0</v>
      </c>
      <c r="AJ1142" s="14" t="n">
        <f aca="false">IF($L1142=2016,1,0)</f>
        <v>1</v>
      </c>
      <c r="AK1142" s="14" t="n">
        <f aca="false">IF($L1142=2017,1,0)</f>
        <v>0</v>
      </c>
      <c r="AL1142" s="14" t="n">
        <f aca="false">IF($H1142="Beginner Level",1,0)</f>
        <v>0</v>
      </c>
      <c r="AM1142" s="14" t="n">
        <f aca="false">IF($H1142="Expert Level",1,0)</f>
        <v>0</v>
      </c>
      <c r="AN1142" s="14" t="n">
        <f aca="false">IF($H1142="Intermediate Level",1,0)</f>
        <v>0</v>
      </c>
    </row>
    <row r="1143" customFormat="false" ht="79.85" hidden="false" customHeight="false" outlineLevel="0" collapsed="false">
      <c r="A1143" s="14" t="n">
        <v>826568</v>
      </c>
      <c r="B1143" s="14" t="s">
        <v>2327</v>
      </c>
      <c r="C1143" s="14" t="s">
        <v>2328</v>
      </c>
      <c r="D1143" s="14" t="n">
        <v>95</v>
      </c>
      <c r="E1143" s="14" t="n">
        <v>314</v>
      </c>
      <c r="F1143" s="14" t="n">
        <v>43</v>
      </c>
      <c r="G1143" s="14" t="n">
        <v>49</v>
      </c>
      <c r="H1143" s="14" t="s">
        <v>52</v>
      </c>
      <c r="I1143" s="14" t="n">
        <v>0.34</v>
      </c>
      <c r="J1143" s="14" t="n">
        <v>6.5</v>
      </c>
      <c r="K1143" s="14" t="s">
        <v>59</v>
      </c>
      <c r="L1143" s="14" t="n">
        <v>2016</v>
      </c>
      <c r="M1143" s="14" t="n">
        <v>5.74939298590825</v>
      </c>
      <c r="N1143" s="14" t="n">
        <v>4.55398214921866</v>
      </c>
      <c r="P1143" s="14" t="n">
        <f aca="false">D1143</f>
        <v>95</v>
      </c>
      <c r="Q1143" s="14" t="n">
        <f aca="false">G1143</f>
        <v>49</v>
      </c>
      <c r="R1143" s="14" t="n">
        <f aca="false">J1143</f>
        <v>6.5</v>
      </c>
      <c r="S1143" s="14" t="n">
        <f aca="false">IF($L1143=2012,1,0)</f>
        <v>0</v>
      </c>
      <c r="T1143" s="14" t="n">
        <f aca="false">IF($L1143=2013,1,0)</f>
        <v>0</v>
      </c>
      <c r="U1143" s="14" t="n">
        <f aca="false">IF($L1143=2014,1,0)</f>
        <v>0</v>
      </c>
      <c r="V1143" s="14" t="n">
        <f aca="false">IF($L1143=2015,1,0)</f>
        <v>0</v>
      </c>
      <c r="W1143" s="14" t="n">
        <f aca="false">IF($L1143=2016,1,0)</f>
        <v>1</v>
      </c>
      <c r="X1143" s="14" t="n">
        <f aca="false">IF($L1143=2017,1,0)</f>
        <v>0</v>
      </c>
      <c r="Y1143" s="14" t="n">
        <f aca="false">IF($H1143="Beginner Level",1,0)</f>
        <v>1</v>
      </c>
      <c r="Z1143" s="14" t="n">
        <f aca="false">IF($H1143="Expert Level",1,0)</f>
        <v>0</v>
      </c>
      <c r="AA1143" s="14" t="n">
        <f aca="false">IF($H1143="Intermediate Level",1,0)</f>
        <v>0</v>
      </c>
      <c r="AC1143" s="14" t="n">
        <f aca="false">N1143</f>
        <v>4.55398214921866</v>
      </c>
      <c r="AD1143" s="14" t="n">
        <f aca="false">G1143</f>
        <v>49</v>
      </c>
      <c r="AE1143" s="14" t="n">
        <f aca="false">J1143</f>
        <v>6.5</v>
      </c>
      <c r="AF1143" s="14" t="n">
        <f aca="false">IF($L1143=2012,1,0)</f>
        <v>0</v>
      </c>
      <c r="AG1143" s="14" t="n">
        <f aca="false">IF($L1143=2013,1,0)</f>
        <v>0</v>
      </c>
      <c r="AH1143" s="14" t="n">
        <f aca="false">IF($L1143=2014,1,0)</f>
        <v>0</v>
      </c>
      <c r="AI1143" s="14" t="n">
        <f aca="false">IF($L1143=2015,1,0)</f>
        <v>0</v>
      </c>
      <c r="AJ1143" s="14" t="n">
        <f aca="false">IF($L1143=2016,1,0)</f>
        <v>1</v>
      </c>
      <c r="AK1143" s="14" t="n">
        <f aca="false">IF($L1143=2017,1,0)</f>
        <v>0</v>
      </c>
      <c r="AL1143" s="14" t="n">
        <f aca="false">IF($H1143="Beginner Level",1,0)</f>
        <v>1</v>
      </c>
      <c r="AM1143" s="14" t="n">
        <f aca="false">IF($H1143="Expert Level",1,0)</f>
        <v>0</v>
      </c>
      <c r="AN1143" s="14" t="n">
        <f aca="false">IF($H1143="Intermediate Level",1,0)</f>
        <v>0</v>
      </c>
    </row>
    <row r="1144" customFormat="false" ht="79.85" hidden="false" customHeight="false" outlineLevel="0" collapsed="false">
      <c r="A1144" s="14" t="n">
        <v>1088178</v>
      </c>
      <c r="B1144" s="14" t="s">
        <v>2329</v>
      </c>
      <c r="C1144" s="14" t="s">
        <v>2330</v>
      </c>
      <c r="D1144" s="14" t="n">
        <v>25</v>
      </c>
      <c r="E1144" s="14" t="n">
        <v>306</v>
      </c>
      <c r="F1144" s="14" t="n">
        <v>3</v>
      </c>
      <c r="G1144" s="14" t="n">
        <v>42</v>
      </c>
      <c r="H1144" s="14" t="s">
        <v>62</v>
      </c>
      <c r="I1144" s="14" t="n">
        <v>0.15</v>
      </c>
      <c r="J1144" s="14" t="n">
        <v>3.5</v>
      </c>
      <c r="K1144" s="14" t="s">
        <v>59</v>
      </c>
      <c r="L1144" s="14" t="n">
        <v>2017</v>
      </c>
      <c r="M1144" s="14" t="n">
        <v>5.72358510195238</v>
      </c>
      <c r="N1144" s="14" t="n">
        <v>3.21927574488953</v>
      </c>
      <c r="P1144" s="14" t="n">
        <f aca="false">D1144</f>
        <v>25</v>
      </c>
      <c r="Q1144" s="14" t="n">
        <f aca="false">G1144</f>
        <v>42</v>
      </c>
      <c r="R1144" s="14" t="n">
        <f aca="false">J1144</f>
        <v>3.5</v>
      </c>
      <c r="S1144" s="14" t="n">
        <f aca="false">IF($L1144=2012,1,0)</f>
        <v>0</v>
      </c>
      <c r="T1144" s="14" t="n">
        <f aca="false">IF($L1144=2013,1,0)</f>
        <v>0</v>
      </c>
      <c r="U1144" s="14" t="n">
        <f aca="false">IF($L1144=2014,1,0)</f>
        <v>0</v>
      </c>
      <c r="V1144" s="14" t="n">
        <f aca="false">IF($L1144=2015,1,0)</f>
        <v>0</v>
      </c>
      <c r="W1144" s="14" t="n">
        <f aca="false">IF($L1144=2016,1,0)</f>
        <v>0</v>
      </c>
      <c r="X1144" s="14" t="n">
        <f aca="false">IF($L1144=2017,1,0)</f>
        <v>1</v>
      </c>
      <c r="Y1144" s="14" t="n">
        <f aca="false">IF($H1144="Beginner Level",1,0)</f>
        <v>0</v>
      </c>
      <c r="Z1144" s="14" t="n">
        <f aca="false">IF($H1144="Expert Level",1,0)</f>
        <v>0</v>
      </c>
      <c r="AA1144" s="14" t="n">
        <f aca="false">IF($H1144="Intermediate Level",1,0)</f>
        <v>0</v>
      </c>
      <c r="AC1144" s="14" t="n">
        <f aca="false">N1144</f>
        <v>3.21927574488953</v>
      </c>
      <c r="AD1144" s="14" t="n">
        <f aca="false">G1144</f>
        <v>42</v>
      </c>
      <c r="AE1144" s="14" t="n">
        <f aca="false">J1144</f>
        <v>3.5</v>
      </c>
      <c r="AF1144" s="14" t="n">
        <f aca="false">IF($L1144=2012,1,0)</f>
        <v>0</v>
      </c>
      <c r="AG1144" s="14" t="n">
        <f aca="false">IF($L1144=2013,1,0)</f>
        <v>0</v>
      </c>
      <c r="AH1144" s="14" t="n">
        <f aca="false">IF($L1144=2014,1,0)</f>
        <v>0</v>
      </c>
      <c r="AI1144" s="14" t="n">
        <f aca="false">IF($L1144=2015,1,0)</f>
        <v>0</v>
      </c>
      <c r="AJ1144" s="14" t="n">
        <f aca="false">IF($L1144=2016,1,0)</f>
        <v>0</v>
      </c>
      <c r="AK1144" s="14" t="n">
        <f aca="false">IF($L1144=2017,1,0)</f>
        <v>1</v>
      </c>
      <c r="AL1144" s="14" t="n">
        <f aca="false">IF($H1144="Beginner Level",1,0)</f>
        <v>0</v>
      </c>
      <c r="AM1144" s="14" t="n">
        <f aca="false">IF($H1144="Expert Level",1,0)</f>
        <v>0</v>
      </c>
      <c r="AN1144" s="14" t="n">
        <f aca="false">IF($H1144="Intermediate Level",1,0)</f>
        <v>0</v>
      </c>
    </row>
    <row r="1145" customFormat="false" ht="79.85" hidden="false" customHeight="false" outlineLevel="0" collapsed="false">
      <c r="A1145" s="14" t="n">
        <v>520870</v>
      </c>
      <c r="B1145" s="14" t="s">
        <v>2331</v>
      </c>
      <c r="C1145" s="14" t="s">
        <v>2332</v>
      </c>
      <c r="D1145" s="14" t="n">
        <v>40</v>
      </c>
      <c r="E1145" s="14" t="n">
        <v>305</v>
      </c>
      <c r="F1145" s="14" t="n">
        <v>40</v>
      </c>
      <c r="G1145" s="14" t="n">
        <v>9</v>
      </c>
      <c r="H1145" s="14" t="s">
        <v>62</v>
      </c>
      <c r="I1145" s="14" t="n">
        <v>0.94</v>
      </c>
      <c r="J1145" s="14" t="n">
        <v>2</v>
      </c>
      <c r="K1145" s="14" t="s">
        <v>59</v>
      </c>
      <c r="L1145" s="14" t="n">
        <v>2015</v>
      </c>
      <c r="M1145" s="14" t="n">
        <v>5.72031177660741</v>
      </c>
      <c r="N1145" s="14" t="n">
        <v>3.68912942286914</v>
      </c>
      <c r="P1145" s="14" t="n">
        <f aca="false">D1145</f>
        <v>40</v>
      </c>
      <c r="Q1145" s="14" t="n">
        <f aca="false">G1145</f>
        <v>9</v>
      </c>
      <c r="R1145" s="14" t="n">
        <f aca="false">J1145</f>
        <v>2</v>
      </c>
      <c r="S1145" s="14" t="n">
        <f aca="false">IF($L1145=2012,1,0)</f>
        <v>0</v>
      </c>
      <c r="T1145" s="14" t="n">
        <f aca="false">IF($L1145=2013,1,0)</f>
        <v>0</v>
      </c>
      <c r="U1145" s="14" t="n">
        <f aca="false">IF($L1145=2014,1,0)</f>
        <v>0</v>
      </c>
      <c r="V1145" s="14" t="n">
        <f aca="false">IF($L1145=2015,1,0)</f>
        <v>1</v>
      </c>
      <c r="W1145" s="14" t="n">
        <f aca="false">IF($L1145=2016,1,0)</f>
        <v>0</v>
      </c>
      <c r="X1145" s="14" t="n">
        <f aca="false">IF($L1145=2017,1,0)</f>
        <v>0</v>
      </c>
      <c r="Y1145" s="14" t="n">
        <f aca="false">IF($H1145="Beginner Level",1,0)</f>
        <v>0</v>
      </c>
      <c r="Z1145" s="14" t="n">
        <f aca="false">IF($H1145="Expert Level",1,0)</f>
        <v>0</v>
      </c>
      <c r="AA1145" s="14" t="n">
        <f aca="false">IF($H1145="Intermediate Level",1,0)</f>
        <v>0</v>
      </c>
      <c r="AC1145" s="14" t="n">
        <f aca="false">N1145</f>
        <v>3.68912942286914</v>
      </c>
      <c r="AD1145" s="14" t="n">
        <f aca="false">G1145</f>
        <v>9</v>
      </c>
      <c r="AE1145" s="14" t="n">
        <f aca="false">J1145</f>
        <v>2</v>
      </c>
      <c r="AF1145" s="14" t="n">
        <f aca="false">IF($L1145=2012,1,0)</f>
        <v>0</v>
      </c>
      <c r="AG1145" s="14" t="n">
        <f aca="false">IF($L1145=2013,1,0)</f>
        <v>0</v>
      </c>
      <c r="AH1145" s="14" t="n">
        <f aca="false">IF($L1145=2014,1,0)</f>
        <v>0</v>
      </c>
      <c r="AI1145" s="14" t="n">
        <f aca="false">IF($L1145=2015,1,0)</f>
        <v>1</v>
      </c>
      <c r="AJ1145" s="14" t="n">
        <f aca="false">IF($L1145=2016,1,0)</f>
        <v>0</v>
      </c>
      <c r="AK1145" s="14" t="n">
        <f aca="false">IF($L1145=2017,1,0)</f>
        <v>0</v>
      </c>
      <c r="AL1145" s="14" t="n">
        <f aca="false">IF($H1145="Beginner Level",1,0)</f>
        <v>0</v>
      </c>
      <c r="AM1145" s="14" t="n">
        <f aca="false">IF($H1145="Expert Level",1,0)</f>
        <v>0</v>
      </c>
      <c r="AN1145" s="14" t="n">
        <f aca="false">IF($H1145="Intermediate Level",1,0)</f>
        <v>0</v>
      </c>
    </row>
    <row r="1146" customFormat="false" ht="79.85" hidden="false" customHeight="false" outlineLevel="0" collapsed="false">
      <c r="A1146" s="14" t="n">
        <v>774648</v>
      </c>
      <c r="B1146" s="14" t="s">
        <v>2333</v>
      </c>
      <c r="C1146" s="14" t="s">
        <v>2334</v>
      </c>
      <c r="D1146" s="14" t="n">
        <v>50</v>
      </c>
      <c r="E1146" s="14" t="n">
        <v>305</v>
      </c>
      <c r="F1146" s="14" t="n">
        <v>45</v>
      </c>
      <c r="G1146" s="14" t="n">
        <v>13</v>
      </c>
      <c r="H1146" s="14" t="s">
        <v>62</v>
      </c>
      <c r="I1146" s="14" t="n">
        <v>0.98</v>
      </c>
      <c r="J1146" s="14" t="n">
        <v>2</v>
      </c>
      <c r="K1146" s="14" t="s">
        <v>59</v>
      </c>
      <c r="L1146" s="14" t="n">
        <v>2016</v>
      </c>
      <c r="M1146" s="14" t="n">
        <v>5.72031177660741</v>
      </c>
      <c r="N1146" s="14" t="n">
        <v>3.91222298543081</v>
      </c>
      <c r="P1146" s="14" t="n">
        <f aca="false">D1146</f>
        <v>50</v>
      </c>
      <c r="Q1146" s="14" t="n">
        <f aca="false">G1146</f>
        <v>13</v>
      </c>
      <c r="R1146" s="14" t="n">
        <f aca="false">J1146</f>
        <v>2</v>
      </c>
      <c r="S1146" s="14" t="n">
        <f aca="false">IF($L1146=2012,1,0)</f>
        <v>0</v>
      </c>
      <c r="T1146" s="14" t="n">
        <f aca="false">IF($L1146=2013,1,0)</f>
        <v>0</v>
      </c>
      <c r="U1146" s="14" t="n">
        <f aca="false">IF($L1146=2014,1,0)</f>
        <v>0</v>
      </c>
      <c r="V1146" s="14" t="n">
        <f aca="false">IF($L1146=2015,1,0)</f>
        <v>0</v>
      </c>
      <c r="W1146" s="14" t="n">
        <f aca="false">IF($L1146=2016,1,0)</f>
        <v>1</v>
      </c>
      <c r="X1146" s="14" t="n">
        <f aca="false">IF($L1146=2017,1,0)</f>
        <v>0</v>
      </c>
      <c r="Y1146" s="14" t="n">
        <f aca="false">IF($H1146="Beginner Level",1,0)</f>
        <v>0</v>
      </c>
      <c r="Z1146" s="14" t="n">
        <f aca="false">IF($H1146="Expert Level",1,0)</f>
        <v>0</v>
      </c>
      <c r="AA1146" s="14" t="n">
        <f aca="false">IF($H1146="Intermediate Level",1,0)</f>
        <v>0</v>
      </c>
      <c r="AC1146" s="14" t="n">
        <f aca="false">N1146</f>
        <v>3.91222298543081</v>
      </c>
      <c r="AD1146" s="14" t="n">
        <f aca="false">G1146</f>
        <v>13</v>
      </c>
      <c r="AE1146" s="14" t="n">
        <f aca="false">J1146</f>
        <v>2</v>
      </c>
      <c r="AF1146" s="14" t="n">
        <f aca="false">IF($L1146=2012,1,0)</f>
        <v>0</v>
      </c>
      <c r="AG1146" s="14" t="n">
        <f aca="false">IF($L1146=2013,1,0)</f>
        <v>0</v>
      </c>
      <c r="AH1146" s="14" t="n">
        <f aca="false">IF($L1146=2014,1,0)</f>
        <v>0</v>
      </c>
      <c r="AI1146" s="14" t="n">
        <f aca="false">IF($L1146=2015,1,0)</f>
        <v>0</v>
      </c>
      <c r="AJ1146" s="14" t="n">
        <f aca="false">IF($L1146=2016,1,0)</f>
        <v>1</v>
      </c>
      <c r="AK1146" s="14" t="n">
        <f aca="false">IF($L1146=2017,1,0)</f>
        <v>0</v>
      </c>
      <c r="AL1146" s="14" t="n">
        <f aca="false">IF($H1146="Beginner Level",1,0)</f>
        <v>0</v>
      </c>
      <c r="AM1146" s="14" t="n">
        <f aca="false">IF($H1146="Expert Level",1,0)</f>
        <v>0</v>
      </c>
      <c r="AN1146" s="14" t="n">
        <f aca="false">IF($H1146="Intermediate Level",1,0)</f>
        <v>0</v>
      </c>
    </row>
    <row r="1147" customFormat="false" ht="91" hidden="false" customHeight="false" outlineLevel="0" collapsed="false">
      <c r="A1147" s="14" t="n">
        <v>866384</v>
      </c>
      <c r="B1147" s="14" t="s">
        <v>2335</v>
      </c>
      <c r="C1147" s="14" t="s">
        <v>2336</v>
      </c>
      <c r="D1147" s="14" t="n">
        <v>95</v>
      </c>
      <c r="E1147" s="14" t="n">
        <v>301</v>
      </c>
      <c r="F1147" s="14" t="n">
        <v>44</v>
      </c>
      <c r="G1147" s="14" t="n">
        <v>91</v>
      </c>
      <c r="H1147" s="14" t="s">
        <v>62</v>
      </c>
      <c r="I1147" s="14" t="n">
        <v>0.98</v>
      </c>
      <c r="J1147" s="14" t="n">
        <v>7.5</v>
      </c>
      <c r="K1147" s="14" t="s">
        <v>59</v>
      </c>
      <c r="L1147" s="14" t="n">
        <v>2016</v>
      </c>
      <c r="M1147" s="14" t="n">
        <v>5.70711026474888</v>
      </c>
      <c r="N1147" s="14" t="n">
        <v>4.55398214921866</v>
      </c>
      <c r="P1147" s="14" t="n">
        <f aca="false">D1147</f>
        <v>95</v>
      </c>
      <c r="Q1147" s="14" t="n">
        <f aca="false">G1147</f>
        <v>91</v>
      </c>
      <c r="R1147" s="14" t="n">
        <f aca="false">J1147</f>
        <v>7.5</v>
      </c>
      <c r="S1147" s="14" t="n">
        <f aca="false">IF($L1147=2012,1,0)</f>
        <v>0</v>
      </c>
      <c r="T1147" s="14" t="n">
        <f aca="false">IF($L1147=2013,1,0)</f>
        <v>0</v>
      </c>
      <c r="U1147" s="14" t="n">
        <f aca="false">IF($L1147=2014,1,0)</f>
        <v>0</v>
      </c>
      <c r="V1147" s="14" t="n">
        <f aca="false">IF($L1147=2015,1,0)</f>
        <v>0</v>
      </c>
      <c r="W1147" s="14" t="n">
        <f aca="false">IF($L1147=2016,1,0)</f>
        <v>1</v>
      </c>
      <c r="X1147" s="14" t="n">
        <f aca="false">IF($L1147=2017,1,0)</f>
        <v>0</v>
      </c>
      <c r="Y1147" s="14" t="n">
        <f aca="false">IF($H1147="Beginner Level",1,0)</f>
        <v>0</v>
      </c>
      <c r="Z1147" s="14" t="n">
        <f aca="false">IF($H1147="Expert Level",1,0)</f>
        <v>0</v>
      </c>
      <c r="AA1147" s="14" t="n">
        <f aca="false">IF($H1147="Intermediate Level",1,0)</f>
        <v>0</v>
      </c>
      <c r="AC1147" s="14" t="n">
        <f aca="false">N1147</f>
        <v>4.55398214921866</v>
      </c>
      <c r="AD1147" s="14" t="n">
        <f aca="false">G1147</f>
        <v>91</v>
      </c>
      <c r="AE1147" s="14" t="n">
        <f aca="false">J1147</f>
        <v>7.5</v>
      </c>
      <c r="AF1147" s="14" t="n">
        <f aca="false">IF($L1147=2012,1,0)</f>
        <v>0</v>
      </c>
      <c r="AG1147" s="14" t="n">
        <f aca="false">IF($L1147=2013,1,0)</f>
        <v>0</v>
      </c>
      <c r="AH1147" s="14" t="n">
        <f aca="false">IF($L1147=2014,1,0)</f>
        <v>0</v>
      </c>
      <c r="AI1147" s="14" t="n">
        <f aca="false">IF($L1147=2015,1,0)</f>
        <v>0</v>
      </c>
      <c r="AJ1147" s="14" t="n">
        <f aca="false">IF($L1147=2016,1,0)</f>
        <v>1</v>
      </c>
      <c r="AK1147" s="14" t="n">
        <f aca="false">IF($L1147=2017,1,0)</f>
        <v>0</v>
      </c>
      <c r="AL1147" s="14" t="n">
        <f aca="false">IF($H1147="Beginner Level",1,0)</f>
        <v>0</v>
      </c>
      <c r="AM1147" s="14" t="n">
        <f aca="false">IF($H1147="Expert Level",1,0)</f>
        <v>0</v>
      </c>
      <c r="AN1147" s="14" t="n">
        <f aca="false">IF($H1147="Intermediate Level",1,0)</f>
        <v>0</v>
      </c>
    </row>
    <row r="1148" customFormat="false" ht="91" hidden="false" customHeight="false" outlineLevel="0" collapsed="false">
      <c r="A1148" s="14" t="n">
        <v>1089652</v>
      </c>
      <c r="B1148" s="14" t="s">
        <v>2337</v>
      </c>
      <c r="C1148" s="14" t="s">
        <v>2338</v>
      </c>
      <c r="D1148" s="14" t="n">
        <v>200</v>
      </c>
      <c r="E1148" s="14" t="n">
        <v>300</v>
      </c>
      <c r="F1148" s="14" t="n">
        <v>16</v>
      </c>
      <c r="G1148" s="14" t="n">
        <v>66</v>
      </c>
      <c r="H1148" s="14" t="s">
        <v>62</v>
      </c>
      <c r="I1148" s="14" t="n">
        <v>0.98</v>
      </c>
      <c r="J1148" s="14" t="n">
        <v>6</v>
      </c>
      <c r="K1148" s="14" t="s">
        <v>59</v>
      </c>
      <c r="L1148" s="14" t="n">
        <v>2017</v>
      </c>
      <c r="M1148" s="14" t="n">
        <v>5.7037824746562</v>
      </c>
      <c r="N1148" s="14" t="n">
        <v>5.29836736529808</v>
      </c>
      <c r="P1148" s="14" t="n">
        <f aca="false">D1148</f>
        <v>200</v>
      </c>
      <c r="Q1148" s="14" t="n">
        <f aca="false">G1148</f>
        <v>66</v>
      </c>
      <c r="R1148" s="14" t="n">
        <f aca="false">J1148</f>
        <v>6</v>
      </c>
      <c r="S1148" s="14" t="n">
        <f aca="false">IF($L1148=2012,1,0)</f>
        <v>0</v>
      </c>
      <c r="T1148" s="14" t="n">
        <f aca="false">IF($L1148=2013,1,0)</f>
        <v>0</v>
      </c>
      <c r="U1148" s="14" t="n">
        <f aca="false">IF($L1148=2014,1,0)</f>
        <v>0</v>
      </c>
      <c r="V1148" s="14" t="n">
        <f aca="false">IF($L1148=2015,1,0)</f>
        <v>0</v>
      </c>
      <c r="W1148" s="14" t="n">
        <f aca="false">IF($L1148=2016,1,0)</f>
        <v>0</v>
      </c>
      <c r="X1148" s="14" t="n">
        <f aca="false">IF($L1148=2017,1,0)</f>
        <v>1</v>
      </c>
      <c r="Y1148" s="14" t="n">
        <f aca="false">IF($H1148="Beginner Level",1,0)</f>
        <v>0</v>
      </c>
      <c r="Z1148" s="14" t="n">
        <f aca="false">IF($H1148="Expert Level",1,0)</f>
        <v>0</v>
      </c>
      <c r="AA1148" s="14" t="n">
        <f aca="false">IF($H1148="Intermediate Level",1,0)</f>
        <v>0</v>
      </c>
      <c r="AC1148" s="14" t="n">
        <f aca="false">N1148</f>
        <v>5.29836736529808</v>
      </c>
      <c r="AD1148" s="14" t="n">
        <f aca="false">G1148</f>
        <v>66</v>
      </c>
      <c r="AE1148" s="14" t="n">
        <f aca="false">J1148</f>
        <v>6</v>
      </c>
      <c r="AF1148" s="14" t="n">
        <f aca="false">IF($L1148=2012,1,0)</f>
        <v>0</v>
      </c>
      <c r="AG1148" s="14" t="n">
        <f aca="false">IF($L1148=2013,1,0)</f>
        <v>0</v>
      </c>
      <c r="AH1148" s="14" t="n">
        <f aca="false">IF($L1148=2014,1,0)</f>
        <v>0</v>
      </c>
      <c r="AI1148" s="14" t="n">
        <f aca="false">IF($L1148=2015,1,0)</f>
        <v>0</v>
      </c>
      <c r="AJ1148" s="14" t="n">
        <f aca="false">IF($L1148=2016,1,0)</f>
        <v>0</v>
      </c>
      <c r="AK1148" s="14" t="n">
        <f aca="false">IF($L1148=2017,1,0)</f>
        <v>1</v>
      </c>
      <c r="AL1148" s="14" t="n">
        <f aca="false">IF($H1148="Beginner Level",1,0)</f>
        <v>0</v>
      </c>
      <c r="AM1148" s="14" t="n">
        <f aca="false">IF($H1148="Expert Level",1,0)</f>
        <v>0</v>
      </c>
      <c r="AN1148" s="14" t="n">
        <f aca="false">IF($H1148="Intermediate Level",1,0)</f>
        <v>0</v>
      </c>
    </row>
    <row r="1149" customFormat="false" ht="91" hidden="false" customHeight="false" outlineLevel="0" collapsed="false">
      <c r="A1149" s="14" t="n">
        <v>905096</v>
      </c>
      <c r="B1149" s="14" t="s">
        <v>2339</v>
      </c>
      <c r="C1149" s="14" t="s">
        <v>2340</v>
      </c>
      <c r="D1149" s="14" t="n">
        <v>50</v>
      </c>
      <c r="E1149" s="14" t="n">
        <v>300</v>
      </c>
      <c r="F1149" s="14" t="n">
        <v>31</v>
      </c>
      <c r="G1149" s="14" t="n">
        <v>38</v>
      </c>
      <c r="H1149" s="14" t="s">
        <v>62</v>
      </c>
      <c r="I1149" s="14" t="n">
        <v>0.98</v>
      </c>
      <c r="J1149" s="14" t="n">
        <v>3</v>
      </c>
      <c r="K1149" s="14" t="s">
        <v>59</v>
      </c>
      <c r="L1149" s="14" t="n">
        <v>2016</v>
      </c>
      <c r="M1149" s="14" t="n">
        <v>5.7037824746562</v>
      </c>
      <c r="N1149" s="14" t="n">
        <v>3.91222298543081</v>
      </c>
      <c r="P1149" s="14" t="n">
        <f aca="false">D1149</f>
        <v>50</v>
      </c>
      <c r="Q1149" s="14" t="n">
        <f aca="false">G1149</f>
        <v>38</v>
      </c>
      <c r="R1149" s="14" t="n">
        <f aca="false">J1149</f>
        <v>3</v>
      </c>
      <c r="S1149" s="14" t="n">
        <f aca="false">IF($L1149=2012,1,0)</f>
        <v>0</v>
      </c>
      <c r="T1149" s="14" t="n">
        <f aca="false">IF($L1149=2013,1,0)</f>
        <v>0</v>
      </c>
      <c r="U1149" s="14" t="n">
        <f aca="false">IF($L1149=2014,1,0)</f>
        <v>0</v>
      </c>
      <c r="V1149" s="14" t="n">
        <f aca="false">IF($L1149=2015,1,0)</f>
        <v>0</v>
      </c>
      <c r="W1149" s="14" t="n">
        <f aca="false">IF($L1149=2016,1,0)</f>
        <v>1</v>
      </c>
      <c r="X1149" s="14" t="n">
        <f aca="false">IF($L1149=2017,1,0)</f>
        <v>0</v>
      </c>
      <c r="Y1149" s="14" t="n">
        <f aca="false">IF($H1149="Beginner Level",1,0)</f>
        <v>0</v>
      </c>
      <c r="Z1149" s="14" t="n">
        <f aca="false">IF($H1149="Expert Level",1,0)</f>
        <v>0</v>
      </c>
      <c r="AA1149" s="14" t="n">
        <f aca="false">IF($H1149="Intermediate Level",1,0)</f>
        <v>0</v>
      </c>
      <c r="AC1149" s="14" t="n">
        <f aca="false">N1149</f>
        <v>3.91222298543081</v>
      </c>
      <c r="AD1149" s="14" t="n">
        <f aca="false">G1149</f>
        <v>38</v>
      </c>
      <c r="AE1149" s="14" t="n">
        <f aca="false">J1149</f>
        <v>3</v>
      </c>
      <c r="AF1149" s="14" t="n">
        <f aca="false">IF($L1149=2012,1,0)</f>
        <v>0</v>
      </c>
      <c r="AG1149" s="14" t="n">
        <f aca="false">IF($L1149=2013,1,0)</f>
        <v>0</v>
      </c>
      <c r="AH1149" s="14" t="n">
        <f aca="false">IF($L1149=2014,1,0)</f>
        <v>0</v>
      </c>
      <c r="AI1149" s="14" t="n">
        <f aca="false">IF($L1149=2015,1,0)</f>
        <v>0</v>
      </c>
      <c r="AJ1149" s="14" t="n">
        <f aca="false">IF($L1149=2016,1,0)</f>
        <v>1</v>
      </c>
      <c r="AK1149" s="14" t="n">
        <f aca="false">IF($L1149=2017,1,0)</f>
        <v>0</v>
      </c>
      <c r="AL1149" s="14" t="n">
        <f aca="false">IF($H1149="Beginner Level",1,0)</f>
        <v>0</v>
      </c>
      <c r="AM1149" s="14" t="n">
        <f aca="false">IF($H1149="Expert Level",1,0)</f>
        <v>0</v>
      </c>
      <c r="AN1149" s="14" t="n">
        <f aca="false">IF($H1149="Intermediate Level",1,0)</f>
        <v>0</v>
      </c>
    </row>
    <row r="1150" customFormat="false" ht="35.05" hidden="false" customHeight="false" outlineLevel="0" collapsed="false">
      <c r="A1150" s="14" t="n">
        <v>806536</v>
      </c>
      <c r="B1150" s="14" t="s">
        <v>2341</v>
      </c>
      <c r="C1150" s="14" t="s">
        <v>2342</v>
      </c>
      <c r="D1150" s="14" t="n">
        <v>125</v>
      </c>
      <c r="E1150" s="14" t="n">
        <v>299</v>
      </c>
      <c r="F1150" s="14" t="n">
        <v>75</v>
      </c>
      <c r="G1150" s="14" t="n">
        <v>34</v>
      </c>
      <c r="H1150" s="14" t="s">
        <v>62</v>
      </c>
      <c r="I1150" s="14" t="n">
        <v>0.98</v>
      </c>
      <c r="J1150" s="14" t="n">
        <v>3.5</v>
      </c>
      <c r="K1150" s="14" t="s">
        <v>59</v>
      </c>
      <c r="L1150" s="14" t="n">
        <v>2016</v>
      </c>
      <c r="M1150" s="14" t="n">
        <v>5.70044357339069</v>
      </c>
      <c r="N1150" s="14" t="n">
        <v>4.82839373410247</v>
      </c>
      <c r="P1150" s="14" t="n">
        <f aca="false">D1150</f>
        <v>125</v>
      </c>
      <c r="Q1150" s="14" t="n">
        <f aca="false">G1150</f>
        <v>34</v>
      </c>
      <c r="R1150" s="14" t="n">
        <f aca="false">J1150</f>
        <v>3.5</v>
      </c>
      <c r="S1150" s="14" t="n">
        <f aca="false">IF($L1150=2012,1,0)</f>
        <v>0</v>
      </c>
      <c r="T1150" s="14" t="n">
        <f aca="false">IF($L1150=2013,1,0)</f>
        <v>0</v>
      </c>
      <c r="U1150" s="14" t="n">
        <f aca="false">IF($L1150=2014,1,0)</f>
        <v>0</v>
      </c>
      <c r="V1150" s="14" t="n">
        <f aca="false">IF($L1150=2015,1,0)</f>
        <v>0</v>
      </c>
      <c r="W1150" s="14" t="n">
        <f aca="false">IF($L1150=2016,1,0)</f>
        <v>1</v>
      </c>
      <c r="X1150" s="14" t="n">
        <f aca="false">IF($L1150=2017,1,0)</f>
        <v>0</v>
      </c>
      <c r="Y1150" s="14" t="n">
        <f aca="false">IF($H1150="Beginner Level",1,0)</f>
        <v>0</v>
      </c>
      <c r="Z1150" s="14" t="n">
        <f aca="false">IF($H1150="Expert Level",1,0)</f>
        <v>0</v>
      </c>
      <c r="AA1150" s="14" t="n">
        <f aca="false">IF($H1150="Intermediate Level",1,0)</f>
        <v>0</v>
      </c>
      <c r="AC1150" s="14" t="n">
        <f aca="false">N1150</f>
        <v>4.82839373410247</v>
      </c>
      <c r="AD1150" s="14" t="n">
        <f aca="false">G1150</f>
        <v>34</v>
      </c>
      <c r="AE1150" s="14" t="n">
        <f aca="false">J1150</f>
        <v>3.5</v>
      </c>
      <c r="AF1150" s="14" t="n">
        <f aca="false">IF($L1150=2012,1,0)</f>
        <v>0</v>
      </c>
      <c r="AG1150" s="14" t="n">
        <f aca="false">IF($L1150=2013,1,0)</f>
        <v>0</v>
      </c>
      <c r="AH1150" s="14" t="n">
        <f aca="false">IF($L1150=2014,1,0)</f>
        <v>0</v>
      </c>
      <c r="AI1150" s="14" t="n">
        <f aca="false">IF($L1150=2015,1,0)</f>
        <v>0</v>
      </c>
      <c r="AJ1150" s="14" t="n">
        <f aca="false">IF($L1150=2016,1,0)</f>
        <v>1</v>
      </c>
      <c r="AK1150" s="14" t="n">
        <f aca="false">IF($L1150=2017,1,0)</f>
        <v>0</v>
      </c>
      <c r="AL1150" s="14" t="n">
        <f aca="false">IF($H1150="Beginner Level",1,0)</f>
        <v>0</v>
      </c>
      <c r="AM1150" s="14" t="n">
        <f aca="false">IF($H1150="Expert Level",1,0)</f>
        <v>0</v>
      </c>
      <c r="AN1150" s="14" t="n">
        <f aca="false">IF($H1150="Intermediate Level",1,0)</f>
        <v>0</v>
      </c>
    </row>
    <row r="1151" customFormat="false" ht="68.65" hidden="false" customHeight="false" outlineLevel="0" collapsed="false">
      <c r="A1151" s="14" t="n">
        <v>687642</v>
      </c>
      <c r="B1151" s="14" t="s">
        <v>2343</v>
      </c>
      <c r="C1151" s="14" t="s">
        <v>2344</v>
      </c>
      <c r="D1151" s="14" t="n">
        <v>35</v>
      </c>
      <c r="E1151" s="14" t="n">
        <v>298</v>
      </c>
      <c r="F1151" s="14" t="n">
        <v>20</v>
      </c>
      <c r="G1151" s="14" t="n">
        <v>24</v>
      </c>
      <c r="H1151" s="14" t="s">
        <v>62</v>
      </c>
      <c r="I1151" s="14" t="n">
        <v>0.98</v>
      </c>
      <c r="J1151" s="14" t="n">
        <v>1.5</v>
      </c>
      <c r="K1151" s="14" t="s">
        <v>59</v>
      </c>
      <c r="L1151" s="14" t="n">
        <v>2015</v>
      </c>
      <c r="M1151" s="14" t="n">
        <v>5.69709348650541</v>
      </c>
      <c r="N1151" s="14" t="n">
        <v>3.55563373496657</v>
      </c>
      <c r="P1151" s="14" t="n">
        <f aca="false">D1151</f>
        <v>35</v>
      </c>
      <c r="Q1151" s="14" t="n">
        <f aca="false">G1151</f>
        <v>24</v>
      </c>
      <c r="R1151" s="14" t="n">
        <f aca="false">J1151</f>
        <v>1.5</v>
      </c>
      <c r="S1151" s="14" t="n">
        <f aca="false">IF($L1151=2012,1,0)</f>
        <v>0</v>
      </c>
      <c r="T1151" s="14" t="n">
        <f aca="false">IF($L1151=2013,1,0)</f>
        <v>0</v>
      </c>
      <c r="U1151" s="14" t="n">
        <f aca="false">IF($L1151=2014,1,0)</f>
        <v>0</v>
      </c>
      <c r="V1151" s="14" t="n">
        <f aca="false">IF($L1151=2015,1,0)</f>
        <v>1</v>
      </c>
      <c r="W1151" s="14" t="n">
        <f aca="false">IF($L1151=2016,1,0)</f>
        <v>0</v>
      </c>
      <c r="X1151" s="14" t="n">
        <f aca="false">IF($L1151=2017,1,0)</f>
        <v>0</v>
      </c>
      <c r="Y1151" s="14" t="n">
        <f aca="false">IF($H1151="Beginner Level",1,0)</f>
        <v>0</v>
      </c>
      <c r="Z1151" s="14" t="n">
        <f aca="false">IF($H1151="Expert Level",1,0)</f>
        <v>0</v>
      </c>
      <c r="AA1151" s="14" t="n">
        <f aca="false">IF($H1151="Intermediate Level",1,0)</f>
        <v>0</v>
      </c>
      <c r="AC1151" s="14" t="n">
        <f aca="false">N1151</f>
        <v>3.55563373496657</v>
      </c>
      <c r="AD1151" s="14" t="n">
        <f aca="false">G1151</f>
        <v>24</v>
      </c>
      <c r="AE1151" s="14" t="n">
        <f aca="false">J1151</f>
        <v>1.5</v>
      </c>
      <c r="AF1151" s="14" t="n">
        <f aca="false">IF($L1151=2012,1,0)</f>
        <v>0</v>
      </c>
      <c r="AG1151" s="14" t="n">
        <f aca="false">IF($L1151=2013,1,0)</f>
        <v>0</v>
      </c>
      <c r="AH1151" s="14" t="n">
        <f aca="false">IF($L1151=2014,1,0)</f>
        <v>0</v>
      </c>
      <c r="AI1151" s="14" t="n">
        <f aca="false">IF($L1151=2015,1,0)</f>
        <v>1</v>
      </c>
      <c r="AJ1151" s="14" t="n">
        <f aca="false">IF($L1151=2016,1,0)</f>
        <v>0</v>
      </c>
      <c r="AK1151" s="14" t="n">
        <f aca="false">IF($L1151=2017,1,0)</f>
        <v>0</v>
      </c>
      <c r="AL1151" s="14" t="n">
        <f aca="false">IF($H1151="Beginner Level",1,0)</f>
        <v>0</v>
      </c>
      <c r="AM1151" s="14" t="n">
        <f aca="false">IF($H1151="Expert Level",1,0)</f>
        <v>0</v>
      </c>
      <c r="AN1151" s="14" t="n">
        <f aca="false">IF($H1151="Intermediate Level",1,0)</f>
        <v>0</v>
      </c>
    </row>
    <row r="1152" customFormat="false" ht="79.85" hidden="false" customHeight="false" outlineLevel="0" collapsed="false">
      <c r="A1152" s="14" t="n">
        <v>1107986</v>
      </c>
      <c r="B1152" s="14" t="s">
        <v>2345</v>
      </c>
      <c r="C1152" s="14" t="s">
        <v>2346</v>
      </c>
      <c r="D1152" s="14" t="n">
        <v>125</v>
      </c>
      <c r="E1152" s="14" t="n">
        <v>293</v>
      </c>
      <c r="F1152" s="14" t="n">
        <v>30</v>
      </c>
      <c r="G1152" s="14" t="n">
        <v>31</v>
      </c>
      <c r="H1152" s="14" t="s">
        <v>62</v>
      </c>
      <c r="I1152" s="14" t="n">
        <v>0.98</v>
      </c>
      <c r="J1152" s="14" t="n">
        <v>3.5</v>
      </c>
      <c r="K1152" s="14" t="s">
        <v>59</v>
      </c>
      <c r="L1152" s="14" t="n">
        <v>2017</v>
      </c>
      <c r="M1152" s="14" t="n">
        <v>5.68017260901707</v>
      </c>
      <c r="N1152" s="14" t="n">
        <v>4.82839373410247</v>
      </c>
      <c r="P1152" s="14" t="n">
        <f aca="false">D1152</f>
        <v>125</v>
      </c>
      <c r="Q1152" s="14" t="n">
        <f aca="false">G1152</f>
        <v>31</v>
      </c>
      <c r="R1152" s="14" t="n">
        <f aca="false">J1152</f>
        <v>3.5</v>
      </c>
      <c r="S1152" s="14" t="n">
        <f aca="false">IF($L1152=2012,1,0)</f>
        <v>0</v>
      </c>
      <c r="T1152" s="14" t="n">
        <f aca="false">IF($L1152=2013,1,0)</f>
        <v>0</v>
      </c>
      <c r="U1152" s="14" t="n">
        <f aca="false">IF($L1152=2014,1,0)</f>
        <v>0</v>
      </c>
      <c r="V1152" s="14" t="n">
        <f aca="false">IF($L1152=2015,1,0)</f>
        <v>0</v>
      </c>
      <c r="W1152" s="14" t="n">
        <f aca="false">IF($L1152=2016,1,0)</f>
        <v>0</v>
      </c>
      <c r="X1152" s="14" t="n">
        <f aca="false">IF($L1152=2017,1,0)</f>
        <v>1</v>
      </c>
      <c r="Y1152" s="14" t="n">
        <f aca="false">IF($H1152="Beginner Level",1,0)</f>
        <v>0</v>
      </c>
      <c r="Z1152" s="14" t="n">
        <f aca="false">IF($H1152="Expert Level",1,0)</f>
        <v>0</v>
      </c>
      <c r="AA1152" s="14" t="n">
        <f aca="false">IF($H1152="Intermediate Level",1,0)</f>
        <v>0</v>
      </c>
      <c r="AC1152" s="14" t="n">
        <f aca="false">N1152</f>
        <v>4.82839373410247</v>
      </c>
      <c r="AD1152" s="14" t="n">
        <f aca="false">G1152</f>
        <v>31</v>
      </c>
      <c r="AE1152" s="14" t="n">
        <f aca="false">J1152</f>
        <v>3.5</v>
      </c>
      <c r="AF1152" s="14" t="n">
        <f aca="false">IF($L1152=2012,1,0)</f>
        <v>0</v>
      </c>
      <c r="AG1152" s="14" t="n">
        <f aca="false">IF($L1152=2013,1,0)</f>
        <v>0</v>
      </c>
      <c r="AH1152" s="14" t="n">
        <f aca="false">IF($L1152=2014,1,0)</f>
        <v>0</v>
      </c>
      <c r="AI1152" s="14" t="n">
        <f aca="false">IF($L1152=2015,1,0)</f>
        <v>0</v>
      </c>
      <c r="AJ1152" s="14" t="n">
        <f aca="false">IF($L1152=2016,1,0)</f>
        <v>0</v>
      </c>
      <c r="AK1152" s="14" t="n">
        <f aca="false">IF($L1152=2017,1,0)</f>
        <v>1</v>
      </c>
      <c r="AL1152" s="14" t="n">
        <f aca="false">IF($H1152="Beginner Level",1,0)</f>
        <v>0</v>
      </c>
      <c r="AM1152" s="14" t="n">
        <f aca="false">IF($H1152="Expert Level",1,0)</f>
        <v>0</v>
      </c>
      <c r="AN1152" s="14" t="n">
        <f aca="false">IF($H1152="Intermediate Level",1,0)</f>
        <v>0</v>
      </c>
    </row>
    <row r="1153" customFormat="false" ht="91" hidden="false" customHeight="false" outlineLevel="0" collapsed="false">
      <c r="A1153" s="14" t="n">
        <v>966794</v>
      </c>
      <c r="B1153" s="14" t="s">
        <v>2347</v>
      </c>
      <c r="C1153" s="14" t="s">
        <v>2348</v>
      </c>
      <c r="D1153" s="14" t="n">
        <v>25</v>
      </c>
      <c r="E1153" s="14" t="n">
        <v>289</v>
      </c>
      <c r="F1153" s="14" t="n">
        <v>30</v>
      </c>
      <c r="G1153" s="14" t="n">
        <v>30</v>
      </c>
      <c r="H1153" s="14" t="s">
        <v>62</v>
      </c>
      <c r="I1153" s="14" t="n">
        <v>0.98</v>
      </c>
      <c r="J1153" s="14" t="n">
        <v>4</v>
      </c>
      <c r="K1153" s="14" t="s">
        <v>59</v>
      </c>
      <c r="L1153" s="14" t="n">
        <v>2016</v>
      </c>
      <c r="M1153" s="14" t="n">
        <v>5.66642668811243</v>
      </c>
      <c r="N1153" s="14" t="n">
        <v>3.21927574488953</v>
      </c>
      <c r="P1153" s="14" t="n">
        <f aca="false">D1153</f>
        <v>25</v>
      </c>
      <c r="Q1153" s="14" t="n">
        <f aca="false">G1153</f>
        <v>30</v>
      </c>
      <c r="R1153" s="14" t="n">
        <f aca="false">J1153</f>
        <v>4</v>
      </c>
      <c r="S1153" s="14" t="n">
        <f aca="false">IF($L1153=2012,1,0)</f>
        <v>0</v>
      </c>
      <c r="T1153" s="14" t="n">
        <f aca="false">IF($L1153=2013,1,0)</f>
        <v>0</v>
      </c>
      <c r="U1153" s="14" t="n">
        <f aca="false">IF($L1153=2014,1,0)</f>
        <v>0</v>
      </c>
      <c r="V1153" s="14" t="n">
        <f aca="false">IF($L1153=2015,1,0)</f>
        <v>0</v>
      </c>
      <c r="W1153" s="14" t="n">
        <f aca="false">IF($L1153=2016,1,0)</f>
        <v>1</v>
      </c>
      <c r="X1153" s="14" t="n">
        <f aca="false">IF($L1153=2017,1,0)</f>
        <v>0</v>
      </c>
      <c r="Y1153" s="14" t="n">
        <f aca="false">IF($H1153="Beginner Level",1,0)</f>
        <v>0</v>
      </c>
      <c r="Z1153" s="14" t="n">
        <f aca="false">IF($H1153="Expert Level",1,0)</f>
        <v>0</v>
      </c>
      <c r="AA1153" s="14" t="n">
        <f aca="false">IF($H1153="Intermediate Level",1,0)</f>
        <v>0</v>
      </c>
      <c r="AC1153" s="14" t="n">
        <f aca="false">N1153</f>
        <v>3.21927574488953</v>
      </c>
      <c r="AD1153" s="14" t="n">
        <f aca="false">G1153</f>
        <v>30</v>
      </c>
      <c r="AE1153" s="14" t="n">
        <f aca="false">J1153</f>
        <v>4</v>
      </c>
      <c r="AF1153" s="14" t="n">
        <f aca="false">IF($L1153=2012,1,0)</f>
        <v>0</v>
      </c>
      <c r="AG1153" s="14" t="n">
        <f aca="false">IF($L1153=2013,1,0)</f>
        <v>0</v>
      </c>
      <c r="AH1153" s="14" t="n">
        <f aca="false">IF($L1153=2014,1,0)</f>
        <v>0</v>
      </c>
      <c r="AI1153" s="14" t="n">
        <f aca="false">IF($L1153=2015,1,0)</f>
        <v>0</v>
      </c>
      <c r="AJ1153" s="14" t="n">
        <f aca="false">IF($L1153=2016,1,0)</f>
        <v>1</v>
      </c>
      <c r="AK1153" s="14" t="n">
        <f aca="false">IF($L1153=2017,1,0)</f>
        <v>0</v>
      </c>
      <c r="AL1153" s="14" t="n">
        <f aca="false">IF($H1153="Beginner Level",1,0)</f>
        <v>0</v>
      </c>
      <c r="AM1153" s="14" t="n">
        <f aca="false">IF($H1153="Expert Level",1,0)</f>
        <v>0</v>
      </c>
      <c r="AN1153" s="14" t="n">
        <f aca="false">IF($H1153="Intermediate Level",1,0)</f>
        <v>0</v>
      </c>
    </row>
    <row r="1154" customFormat="false" ht="91" hidden="false" customHeight="false" outlineLevel="0" collapsed="false">
      <c r="A1154" s="14" t="n">
        <v>919354</v>
      </c>
      <c r="B1154" s="14" t="s">
        <v>2349</v>
      </c>
      <c r="C1154" s="14" t="s">
        <v>2350</v>
      </c>
      <c r="D1154" s="14" t="n">
        <v>200</v>
      </c>
      <c r="E1154" s="14" t="n">
        <v>279</v>
      </c>
      <c r="F1154" s="14" t="n">
        <v>37</v>
      </c>
      <c r="G1154" s="14" t="n">
        <v>119</v>
      </c>
      <c r="H1154" s="14" t="s">
        <v>62</v>
      </c>
      <c r="I1154" s="14" t="n">
        <v>0.98</v>
      </c>
      <c r="J1154" s="14" t="n">
        <v>10</v>
      </c>
      <c r="K1154" s="14" t="s">
        <v>59</v>
      </c>
      <c r="L1154" s="14" t="n">
        <v>2017</v>
      </c>
      <c r="M1154" s="14" t="n">
        <v>5.63121178182137</v>
      </c>
      <c r="N1154" s="14" t="n">
        <v>5.29836736529808</v>
      </c>
      <c r="P1154" s="14" t="n">
        <f aca="false">D1154</f>
        <v>200</v>
      </c>
      <c r="Q1154" s="14" t="n">
        <f aca="false">G1154</f>
        <v>119</v>
      </c>
      <c r="R1154" s="14" t="n">
        <f aca="false">J1154</f>
        <v>10</v>
      </c>
      <c r="S1154" s="14" t="n">
        <f aca="false">IF($L1154=2012,1,0)</f>
        <v>0</v>
      </c>
      <c r="T1154" s="14" t="n">
        <f aca="false">IF($L1154=2013,1,0)</f>
        <v>0</v>
      </c>
      <c r="U1154" s="14" t="n">
        <f aca="false">IF($L1154=2014,1,0)</f>
        <v>0</v>
      </c>
      <c r="V1154" s="14" t="n">
        <f aca="false">IF($L1154=2015,1,0)</f>
        <v>0</v>
      </c>
      <c r="W1154" s="14" t="n">
        <f aca="false">IF($L1154=2016,1,0)</f>
        <v>0</v>
      </c>
      <c r="X1154" s="14" t="n">
        <f aca="false">IF($L1154=2017,1,0)</f>
        <v>1</v>
      </c>
      <c r="Y1154" s="14" t="n">
        <f aca="false">IF($H1154="Beginner Level",1,0)</f>
        <v>0</v>
      </c>
      <c r="Z1154" s="14" t="n">
        <f aca="false">IF($H1154="Expert Level",1,0)</f>
        <v>0</v>
      </c>
      <c r="AA1154" s="14" t="n">
        <f aca="false">IF($H1154="Intermediate Level",1,0)</f>
        <v>0</v>
      </c>
      <c r="AC1154" s="14" t="n">
        <f aca="false">N1154</f>
        <v>5.29836736529808</v>
      </c>
      <c r="AD1154" s="14" t="n">
        <f aca="false">G1154</f>
        <v>119</v>
      </c>
      <c r="AE1154" s="14" t="n">
        <f aca="false">J1154</f>
        <v>10</v>
      </c>
      <c r="AF1154" s="14" t="n">
        <f aca="false">IF($L1154=2012,1,0)</f>
        <v>0</v>
      </c>
      <c r="AG1154" s="14" t="n">
        <f aca="false">IF($L1154=2013,1,0)</f>
        <v>0</v>
      </c>
      <c r="AH1154" s="14" t="n">
        <f aca="false">IF($L1154=2014,1,0)</f>
        <v>0</v>
      </c>
      <c r="AI1154" s="14" t="n">
        <f aca="false">IF($L1154=2015,1,0)</f>
        <v>0</v>
      </c>
      <c r="AJ1154" s="14" t="n">
        <f aca="false">IF($L1154=2016,1,0)</f>
        <v>0</v>
      </c>
      <c r="AK1154" s="14" t="n">
        <f aca="false">IF($L1154=2017,1,0)</f>
        <v>1</v>
      </c>
      <c r="AL1154" s="14" t="n">
        <f aca="false">IF($H1154="Beginner Level",1,0)</f>
        <v>0</v>
      </c>
      <c r="AM1154" s="14" t="n">
        <f aca="false">IF($H1154="Expert Level",1,0)</f>
        <v>0</v>
      </c>
      <c r="AN1154" s="14" t="n">
        <f aca="false">IF($H1154="Intermediate Level",1,0)</f>
        <v>0</v>
      </c>
    </row>
    <row r="1155" customFormat="false" ht="79.85" hidden="false" customHeight="false" outlineLevel="0" collapsed="false">
      <c r="A1155" s="14" t="n">
        <v>1031620</v>
      </c>
      <c r="B1155" s="14" t="s">
        <v>2351</v>
      </c>
      <c r="C1155" s="14" t="s">
        <v>2352</v>
      </c>
      <c r="D1155" s="14" t="n">
        <v>20</v>
      </c>
      <c r="E1155" s="14" t="n">
        <v>263</v>
      </c>
      <c r="F1155" s="14" t="n">
        <v>14</v>
      </c>
      <c r="G1155" s="14" t="n">
        <v>7</v>
      </c>
      <c r="H1155" s="14" t="s">
        <v>62</v>
      </c>
      <c r="I1155" s="14" t="n">
        <v>0.98</v>
      </c>
      <c r="J1155" s="14" t="n">
        <v>1</v>
      </c>
      <c r="K1155" s="14" t="s">
        <v>59</v>
      </c>
      <c r="L1155" s="14" t="n">
        <v>2017</v>
      </c>
      <c r="M1155" s="14" t="n">
        <v>5.57215403217777</v>
      </c>
      <c r="N1155" s="14" t="n">
        <v>2.99623214859564</v>
      </c>
      <c r="P1155" s="14" t="n">
        <f aca="false">D1155</f>
        <v>20</v>
      </c>
      <c r="Q1155" s="14" t="n">
        <f aca="false">G1155</f>
        <v>7</v>
      </c>
      <c r="R1155" s="14" t="n">
        <f aca="false">J1155</f>
        <v>1</v>
      </c>
      <c r="S1155" s="14" t="n">
        <f aca="false">IF($L1155=2012,1,0)</f>
        <v>0</v>
      </c>
      <c r="T1155" s="14" t="n">
        <f aca="false">IF($L1155=2013,1,0)</f>
        <v>0</v>
      </c>
      <c r="U1155" s="14" t="n">
        <f aca="false">IF($L1155=2014,1,0)</f>
        <v>0</v>
      </c>
      <c r="V1155" s="14" t="n">
        <f aca="false">IF($L1155=2015,1,0)</f>
        <v>0</v>
      </c>
      <c r="W1155" s="14" t="n">
        <f aca="false">IF($L1155=2016,1,0)</f>
        <v>0</v>
      </c>
      <c r="X1155" s="14" t="n">
        <f aca="false">IF($L1155=2017,1,0)</f>
        <v>1</v>
      </c>
      <c r="Y1155" s="14" t="n">
        <f aca="false">IF($H1155="Beginner Level",1,0)</f>
        <v>0</v>
      </c>
      <c r="Z1155" s="14" t="n">
        <f aca="false">IF($H1155="Expert Level",1,0)</f>
        <v>0</v>
      </c>
      <c r="AA1155" s="14" t="n">
        <f aca="false">IF($H1155="Intermediate Level",1,0)</f>
        <v>0</v>
      </c>
      <c r="AC1155" s="14" t="n">
        <f aca="false">N1155</f>
        <v>2.99623214859564</v>
      </c>
      <c r="AD1155" s="14" t="n">
        <f aca="false">G1155</f>
        <v>7</v>
      </c>
      <c r="AE1155" s="14" t="n">
        <f aca="false">J1155</f>
        <v>1</v>
      </c>
      <c r="AF1155" s="14" t="n">
        <f aca="false">IF($L1155=2012,1,0)</f>
        <v>0</v>
      </c>
      <c r="AG1155" s="14" t="n">
        <f aca="false">IF($L1155=2013,1,0)</f>
        <v>0</v>
      </c>
      <c r="AH1155" s="14" t="n">
        <f aca="false">IF($L1155=2014,1,0)</f>
        <v>0</v>
      </c>
      <c r="AI1155" s="14" t="n">
        <f aca="false">IF($L1155=2015,1,0)</f>
        <v>0</v>
      </c>
      <c r="AJ1155" s="14" t="n">
        <f aca="false">IF($L1155=2016,1,0)</f>
        <v>0</v>
      </c>
      <c r="AK1155" s="14" t="n">
        <f aca="false">IF($L1155=2017,1,0)</f>
        <v>1</v>
      </c>
      <c r="AL1155" s="14" t="n">
        <f aca="false">IF($H1155="Beginner Level",1,0)</f>
        <v>0</v>
      </c>
      <c r="AM1155" s="14" t="n">
        <f aca="false">IF($H1155="Expert Level",1,0)</f>
        <v>0</v>
      </c>
      <c r="AN1155" s="14" t="n">
        <f aca="false">IF($H1155="Intermediate Level",1,0)</f>
        <v>0</v>
      </c>
    </row>
    <row r="1156" customFormat="false" ht="79.85" hidden="false" customHeight="false" outlineLevel="0" collapsed="false">
      <c r="A1156" s="14" t="n">
        <v>1002210</v>
      </c>
      <c r="B1156" s="14" t="s">
        <v>2353</v>
      </c>
      <c r="C1156" s="14" t="s">
        <v>2354</v>
      </c>
      <c r="D1156" s="14" t="n">
        <v>200</v>
      </c>
      <c r="E1156" s="14" t="n">
        <v>260</v>
      </c>
      <c r="F1156" s="14" t="n">
        <v>22</v>
      </c>
      <c r="G1156" s="14" t="n">
        <v>64</v>
      </c>
      <c r="H1156" s="14" t="s">
        <v>62</v>
      </c>
      <c r="I1156" s="14" t="n">
        <v>0.98</v>
      </c>
      <c r="J1156" s="14" t="n">
        <v>11</v>
      </c>
      <c r="K1156" s="14" t="s">
        <v>59</v>
      </c>
      <c r="L1156" s="14" t="n">
        <v>2016</v>
      </c>
      <c r="M1156" s="14" t="n">
        <v>5.56068163101553</v>
      </c>
      <c r="N1156" s="14" t="n">
        <v>5.29836736529808</v>
      </c>
      <c r="P1156" s="14" t="n">
        <f aca="false">D1156</f>
        <v>200</v>
      </c>
      <c r="Q1156" s="14" t="n">
        <f aca="false">G1156</f>
        <v>64</v>
      </c>
      <c r="R1156" s="14" t="n">
        <f aca="false">J1156</f>
        <v>11</v>
      </c>
      <c r="S1156" s="14" t="n">
        <f aca="false">IF($L1156=2012,1,0)</f>
        <v>0</v>
      </c>
      <c r="T1156" s="14" t="n">
        <f aca="false">IF($L1156=2013,1,0)</f>
        <v>0</v>
      </c>
      <c r="U1156" s="14" t="n">
        <f aca="false">IF($L1156=2014,1,0)</f>
        <v>0</v>
      </c>
      <c r="V1156" s="14" t="n">
        <f aca="false">IF($L1156=2015,1,0)</f>
        <v>0</v>
      </c>
      <c r="W1156" s="14" t="n">
        <f aca="false">IF($L1156=2016,1,0)</f>
        <v>1</v>
      </c>
      <c r="X1156" s="14" t="n">
        <f aca="false">IF($L1156=2017,1,0)</f>
        <v>0</v>
      </c>
      <c r="Y1156" s="14" t="n">
        <f aca="false">IF($H1156="Beginner Level",1,0)</f>
        <v>0</v>
      </c>
      <c r="Z1156" s="14" t="n">
        <f aca="false">IF($H1156="Expert Level",1,0)</f>
        <v>0</v>
      </c>
      <c r="AA1156" s="14" t="n">
        <f aca="false">IF($H1156="Intermediate Level",1,0)</f>
        <v>0</v>
      </c>
      <c r="AC1156" s="14" t="n">
        <f aca="false">N1156</f>
        <v>5.29836736529808</v>
      </c>
      <c r="AD1156" s="14" t="n">
        <f aca="false">G1156</f>
        <v>64</v>
      </c>
      <c r="AE1156" s="14" t="n">
        <f aca="false">J1156</f>
        <v>11</v>
      </c>
      <c r="AF1156" s="14" t="n">
        <f aca="false">IF($L1156=2012,1,0)</f>
        <v>0</v>
      </c>
      <c r="AG1156" s="14" t="n">
        <f aca="false">IF($L1156=2013,1,0)</f>
        <v>0</v>
      </c>
      <c r="AH1156" s="14" t="n">
        <f aca="false">IF($L1156=2014,1,0)</f>
        <v>0</v>
      </c>
      <c r="AI1156" s="14" t="n">
        <f aca="false">IF($L1156=2015,1,0)</f>
        <v>0</v>
      </c>
      <c r="AJ1156" s="14" t="n">
        <f aca="false">IF($L1156=2016,1,0)</f>
        <v>1</v>
      </c>
      <c r="AK1156" s="14" t="n">
        <f aca="false">IF($L1156=2017,1,0)</f>
        <v>0</v>
      </c>
      <c r="AL1156" s="14" t="n">
        <f aca="false">IF($H1156="Beginner Level",1,0)</f>
        <v>0</v>
      </c>
      <c r="AM1156" s="14" t="n">
        <f aca="false">IF($H1156="Expert Level",1,0)</f>
        <v>0</v>
      </c>
      <c r="AN1156" s="14" t="n">
        <f aca="false">IF($H1156="Intermediate Level",1,0)</f>
        <v>0</v>
      </c>
    </row>
    <row r="1157" customFormat="false" ht="91" hidden="false" customHeight="false" outlineLevel="0" collapsed="false">
      <c r="A1157" s="14" t="n">
        <v>982328</v>
      </c>
      <c r="B1157" s="14" t="s">
        <v>2355</v>
      </c>
      <c r="C1157" s="14" t="s">
        <v>2356</v>
      </c>
      <c r="D1157" s="14" t="n">
        <v>30</v>
      </c>
      <c r="E1157" s="14" t="n">
        <v>255</v>
      </c>
      <c r="F1157" s="14" t="n">
        <v>5</v>
      </c>
      <c r="G1157" s="14" t="n">
        <v>9</v>
      </c>
      <c r="H1157" s="14" t="s">
        <v>52</v>
      </c>
      <c r="I1157" s="14" t="n">
        <v>0.11</v>
      </c>
      <c r="J1157" s="14" t="n">
        <v>1</v>
      </c>
      <c r="K1157" s="14" t="s">
        <v>59</v>
      </c>
      <c r="L1157" s="14" t="n">
        <v>2016</v>
      </c>
      <c r="M1157" s="14" t="n">
        <v>5.54126354515843</v>
      </c>
      <c r="N1157" s="14" t="n">
        <v>3.40153065945228</v>
      </c>
      <c r="P1157" s="14" t="n">
        <f aca="false">D1157</f>
        <v>30</v>
      </c>
      <c r="Q1157" s="14" t="n">
        <f aca="false">G1157</f>
        <v>9</v>
      </c>
      <c r="R1157" s="14" t="n">
        <f aca="false">J1157</f>
        <v>1</v>
      </c>
      <c r="S1157" s="14" t="n">
        <f aca="false">IF($L1157=2012,1,0)</f>
        <v>0</v>
      </c>
      <c r="T1157" s="14" t="n">
        <f aca="false">IF($L1157=2013,1,0)</f>
        <v>0</v>
      </c>
      <c r="U1157" s="14" t="n">
        <f aca="false">IF($L1157=2014,1,0)</f>
        <v>0</v>
      </c>
      <c r="V1157" s="14" t="n">
        <f aca="false">IF($L1157=2015,1,0)</f>
        <v>0</v>
      </c>
      <c r="W1157" s="14" t="n">
        <f aca="false">IF($L1157=2016,1,0)</f>
        <v>1</v>
      </c>
      <c r="X1157" s="14" t="n">
        <f aca="false">IF($L1157=2017,1,0)</f>
        <v>0</v>
      </c>
      <c r="Y1157" s="14" t="n">
        <f aca="false">IF($H1157="Beginner Level",1,0)</f>
        <v>1</v>
      </c>
      <c r="Z1157" s="14" t="n">
        <f aca="false">IF($H1157="Expert Level",1,0)</f>
        <v>0</v>
      </c>
      <c r="AA1157" s="14" t="n">
        <f aca="false">IF($H1157="Intermediate Level",1,0)</f>
        <v>0</v>
      </c>
      <c r="AC1157" s="14" t="n">
        <f aca="false">N1157</f>
        <v>3.40153065945228</v>
      </c>
      <c r="AD1157" s="14" t="n">
        <f aca="false">G1157</f>
        <v>9</v>
      </c>
      <c r="AE1157" s="14" t="n">
        <f aca="false">J1157</f>
        <v>1</v>
      </c>
      <c r="AF1157" s="14" t="n">
        <f aca="false">IF($L1157=2012,1,0)</f>
        <v>0</v>
      </c>
      <c r="AG1157" s="14" t="n">
        <f aca="false">IF($L1157=2013,1,0)</f>
        <v>0</v>
      </c>
      <c r="AH1157" s="14" t="n">
        <f aca="false">IF($L1157=2014,1,0)</f>
        <v>0</v>
      </c>
      <c r="AI1157" s="14" t="n">
        <f aca="false">IF($L1157=2015,1,0)</f>
        <v>0</v>
      </c>
      <c r="AJ1157" s="14" t="n">
        <f aca="false">IF($L1157=2016,1,0)</f>
        <v>1</v>
      </c>
      <c r="AK1157" s="14" t="n">
        <f aca="false">IF($L1157=2017,1,0)</f>
        <v>0</v>
      </c>
      <c r="AL1157" s="14" t="n">
        <f aca="false">IF($H1157="Beginner Level",1,0)</f>
        <v>1</v>
      </c>
      <c r="AM1157" s="14" t="n">
        <f aca="false">IF($H1157="Expert Level",1,0)</f>
        <v>0</v>
      </c>
      <c r="AN1157" s="14" t="n">
        <f aca="false">IF($H1157="Intermediate Level",1,0)</f>
        <v>0</v>
      </c>
    </row>
    <row r="1158" customFormat="false" ht="68.65" hidden="false" customHeight="false" outlineLevel="0" collapsed="false">
      <c r="A1158" s="14" t="n">
        <v>1012040</v>
      </c>
      <c r="B1158" s="14" t="s">
        <v>2357</v>
      </c>
      <c r="C1158" s="14" t="s">
        <v>2358</v>
      </c>
      <c r="D1158" s="14" t="n">
        <v>100</v>
      </c>
      <c r="E1158" s="14" t="n">
        <v>253</v>
      </c>
      <c r="F1158" s="14" t="n">
        <v>34</v>
      </c>
      <c r="G1158" s="14" t="n">
        <v>45</v>
      </c>
      <c r="H1158" s="14" t="s">
        <v>52</v>
      </c>
      <c r="I1158" s="14" t="n">
        <v>0.3</v>
      </c>
      <c r="J1158" s="14" t="n">
        <v>7</v>
      </c>
      <c r="K1158" s="14" t="s">
        <v>59</v>
      </c>
      <c r="L1158" s="14" t="n">
        <v>2016</v>
      </c>
      <c r="M1158" s="14" t="n">
        <v>5.53338948872752</v>
      </c>
      <c r="N1158" s="14" t="n">
        <v>4.60527018098843</v>
      </c>
      <c r="P1158" s="14" t="n">
        <f aca="false">D1158</f>
        <v>100</v>
      </c>
      <c r="Q1158" s="14" t="n">
        <f aca="false">G1158</f>
        <v>45</v>
      </c>
      <c r="R1158" s="14" t="n">
        <f aca="false">J1158</f>
        <v>7</v>
      </c>
      <c r="S1158" s="14" t="n">
        <f aca="false">IF($L1158=2012,1,0)</f>
        <v>0</v>
      </c>
      <c r="T1158" s="14" t="n">
        <f aca="false">IF($L1158=2013,1,0)</f>
        <v>0</v>
      </c>
      <c r="U1158" s="14" t="n">
        <f aca="false">IF($L1158=2014,1,0)</f>
        <v>0</v>
      </c>
      <c r="V1158" s="14" t="n">
        <f aca="false">IF($L1158=2015,1,0)</f>
        <v>0</v>
      </c>
      <c r="W1158" s="14" t="n">
        <f aca="false">IF($L1158=2016,1,0)</f>
        <v>1</v>
      </c>
      <c r="X1158" s="14" t="n">
        <f aca="false">IF($L1158=2017,1,0)</f>
        <v>0</v>
      </c>
      <c r="Y1158" s="14" t="n">
        <f aca="false">IF($H1158="Beginner Level",1,0)</f>
        <v>1</v>
      </c>
      <c r="Z1158" s="14" t="n">
        <f aca="false">IF($H1158="Expert Level",1,0)</f>
        <v>0</v>
      </c>
      <c r="AA1158" s="14" t="n">
        <f aca="false">IF($H1158="Intermediate Level",1,0)</f>
        <v>0</v>
      </c>
      <c r="AC1158" s="14" t="n">
        <f aca="false">N1158</f>
        <v>4.60527018098843</v>
      </c>
      <c r="AD1158" s="14" t="n">
        <f aca="false">G1158</f>
        <v>45</v>
      </c>
      <c r="AE1158" s="14" t="n">
        <f aca="false">J1158</f>
        <v>7</v>
      </c>
      <c r="AF1158" s="14" t="n">
        <f aca="false">IF($L1158=2012,1,0)</f>
        <v>0</v>
      </c>
      <c r="AG1158" s="14" t="n">
        <f aca="false">IF($L1158=2013,1,0)</f>
        <v>0</v>
      </c>
      <c r="AH1158" s="14" t="n">
        <f aca="false">IF($L1158=2014,1,0)</f>
        <v>0</v>
      </c>
      <c r="AI1158" s="14" t="n">
        <f aca="false">IF($L1158=2015,1,0)</f>
        <v>0</v>
      </c>
      <c r="AJ1158" s="14" t="n">
        <f aca="false">IF($L1158=2016,1,0)</f>
        <v>1</v>
      </c>
      <c r="AK1158" s="14" t="n">
        <f aca="false">IF($L1158=2017,1,0)</f>
        <v>0</v>
      </c>
      <c r="AL1158" s="14" t="n">
        <f aca="false">IF($H1158="Beginner Level",1,0)</f>
        <v>1</v>
      </c>
      <c r="AM1158" s="14" t="n">
        <f aca="false">IF($H1158="Expert Level",1,0)</f>
        <v>0</v>
      </c>
      <c r="AN1158" s="14" t="n">
        <f aca="false">IF($H1158="Intermediate Level",1,0)</f>
        <v>0</v>
      </c>
    </row>
    <row r="1159" customFormat="false" ht="57.45" hidden="false" customHeight="false" outlineLevel="0" collapsed="false">
      <c r="A1159" s="14" t="n">
        <v>1037666</v>
      </c>
      <c r="B1159" s="14" t="s">
        <v>2359</v>
      </c>
      <c r="C1159" s="14" t="s">
        <v>2360</v>
      </c>
      <c r="D1159" s="14" t="n">
        <v>40</v>
      </c>
      <c r="E1159" s="14" t="n">
        <v>252</v>
      </c>
      <c r="F1159" s="14" t="n">
        <v>46</v>
      </c>
      <c r="G1159" s="14" t="n">
        <v>79</v>
      </c>
      <c r="H1159" s="14" t="s">
        <v>71</v>
      </c>
      <c r="I1159" s="14" t="n">
        <v>0.71</v>
      </c>
      <c r="J1159" s="14" t="n">
        <v>6.5</v>
      </c>
      <c r="K1159" s="14" t="s">
        <v>59</v>
      </c>
      <c r="L1159" s="14" t="n">
        <v>2017</v>
      </c>
      <c r="M1159" s="14" t="n">
        <v>5.52942908751142</v>
      </c>
      <c r="N1159" s="14" t="n">
        <v>3.68912942286914</v>
      </c>
      <c r="P1159" s="14" t="n">
        <f aca="false">D1159</f>
        <v>40</v>
      </c>
      <c r="Q1159" s="14" t="n">
        <f aca="false">G1159</f>
        <v>79</v>
      </c>
      <c r="R1159" s="14" t="n">
        <f aca="false">J1159</f>
        <v>6.5</v>
      </c>
      <c r="S1159" s="14" t="n">
        <f aca="false">IF($L1159=2012,1,0)</f>
        <v>0</v>
      </c>
      <c r="T1159" s="14" t="n">
        <f aca="false">IF($L1159=2013,1,0)</f>
        <v>0</v>
      </c>
      <c r="U1159" s="14" t="n">
        <f aca="false">IF($L1159=2014,1,0)</f>
        <v>0</v>
      </c>
      <c r="V1159" s="14" t="n">
        <f aca="false">IF($L1159=2015,1,0)</f>
        <v>0</v>
      </c>
      <c r="W1159" s="14" t="n">
        <f aca="false">IF($L1159=2016,1,0)</f>
        <v>0</v>
      </c>
      <c r="X1159" s="14" t="n">
        <f aca="false">IF($L1159=2017,1,0)</f>
        <v>1</v>
      </c>
      <c r="Y1159" s="14" t="n">
        <f aca="false">IF($H1159="Beginner Level",1,0)</f>
        <v>0</v>
      </c>
      <c r="Z1159" s="14" t="n">
        <f aca="false">IF($H1159="Expert Level",1,0)</f>
        <v>0</v>
      </c>
      <c r="AA1159" s="14" t="n">
        <f aca="false">IF($H1159="Intermediate Level",1,0)</f>
        <v>1</v>
      </c>
      <c r="AC1159" s="14" t="n">
        <f aca="false">N1159</f>
        <v>3.68912942286914</v>
      </c>
      <c r="AD1159" s="14" t="n">
        <f aca="false">G1159</f>
        <v>79</v>
      </c>
      <c r="AE1159" s="14" t="n">
        <f aca="false">J1159</f>
        <v>6.5</v>
      </c>
      <c r="AF1159" s="14" t="n">
        <f aca="false">IF($L1159=2012,1,0)</f>
        <v>0</v>
      </c>
      <c r="AG1159" s="14" t="n">
        <f aca="false">IF($L1159=2013,1,0)</f>
        <v>0</v>
      </c>
      <c r="AH1159" s="14" t="n">
        <f aca="false">IF($L1159=2014,1,0)</f>
        <v>0</v>
      </c>
      <c r="AI1159" s="14" t="n">
        <f aca="false">IF($L1159=2015,1,0)</f>
        <v>0</v>
      </c>
      <c r="AJ1159" s="14" t="n">
        <f aca="false">IF($L1159=2016,1,0)</f>
        <v>0</v>
      </c>
      <c r="AK1159" s="14" t="n">
        <f aca="false">IF($L1159=2017,1,0)</f>
        <v>1</v>
      </c>
      <c r="AL1159" s="14" t="n">
        <f aca="false">IF($H1159="Beginner Level",1,0)</f>
        <v>0</v>
      </c>
      <c r="AM1159" s="14" t="n">
        <f aca="false">IF($H1159="Expert Level",1,0)</f>
        <v>0</v>
      </c>
      <c r="AN1159" s="14" t="n">
        <f aca="false">IF($H1159="Intermediate Level",1,0)</f>
        <v>1</v>
      </c>
    </row>
    <row r="1160" customFormat="false" ht="91" hidden="false" customHeight="false" outlineLevel="0" collapsed="false">
      <c r="A1160" s="14" t="n">
        <v>1024844</v>
      </c>
      <c r="B1160" s="14" t="s">
        <v>2361</v>
      </c>
      <c r="C1160" s="14" t="s">
        <v>2362</v>
      </c>
      <c r="D1160" s="14" t="n">
        <v>145</v>
      </c>
      <c r="E1160" s="14" t="n">
        <v>251</v>
      </c>
      <c r="F1160" s="14" t="n">
        <v>32</v>
      </c>
      <c r="G1160" s="14" t="n">
        <v>25</v>
      </c>
      <c r="H1160" s="14" t="s">
        <v>52</v>
      </c>
      <c r="I1160" s="14" t="n">
        <v>0.8</v>
      </c>
      <c r="J1160" s="14" t="n">
        <v>3.5</v>
      </c>
      <c r="K1160" s="14" t="s">
        <v>59</v>
      </c>
      <c r="L1160" s="14" t="n">
        <v>2016</v>
      </c>
      <c r="M1160" s="14" t="n">
        <v>5.52545293913178</v>
      </c>
      <c r="N1160" s="14" t="n">
        <v>4.9768027055598</v>
      </c>
      <c r="P1160" s="14" t="n">
        <f aca="false">D1160</f>
        <v>145</v>
      </c>
      <c r="Q1160" s="14" t="n">
        <f aca="false">G1160</f>
        <v>25</v>
      </c>
      <c r="R1160" s="14" t="n">
        <f aca="false">J1160</f>
        <v>3.5</v>
      </c>
      <c r="S1160" s="14" t="n">
        <f aca="false">IF($L1160=2012,1,0)</f>
        <v>0</v>
      </c>
      <c r="T1160" s="14" t="n">
        <f aca="false">IF($L1160=2013,1,0)</f>
        <v>0</v>
      </c>
      <c r="U1160" s="14" t="n">
        <f aca="false">IF($L1160=2014,1,0)</f>
        <v>0</v>
      </c>
      <c r="V1160" s="14" t="n">
        <f aca="false">IF($L1160=2015,1,0)</f>
        <v>0</v>
      </c>
      <c r="W1160" s="14" t="n">
        <f aca="false">IF($L1160=2016,1,0)</f>
        <v>1</v>
      </c>
      <c r="X1160" s="14" t="n">
        <f aca="false">IF($L1160=2017,1,0)</f>
        <v>0</v>
      </c>
      <c r="Y1160" s="14" t="n">
        <f aca="false">IF($H1160="Beginner Level",1,0)</f>
        <v>1</v>
      </c>
      <c r="Z1160" s="14" t="n">
        <f aca="false">IF($H1160="Expert Level",1,0)</f>
        <v>0</v>
      </c>
      <c r="AA1160" s="14" t="n">
        <f aca="false">IF($H1160="Intermediate Level",1,0)</f>
        <v>0</v>
      </c>
      <c r="AC1160" s="14" t="n">
        <f aca="false">N1160</f>
        <v>4.9768027055598</v>
      </c>
      <c r="AD1160" s="14" t="n">
        <f aca="false">G1160</f>
        <v>25</v>
      </c>
      <c r="AE1160" s="14" t="n">
        <f aca="false">J1160</f>
        <v>3.5</v>
      </c>
      <c r="AF1160" s="14" t="n">
        <f aca="false">IF($L1160=2012,1,0)</f>
        <v>0</v>
      </c>
      <c r="AG1160" s="14" t="n">
        <f aca="false">IF($L1160=2013,1,0)</f>
        <v>0</v>
      </c>
      <c r="AH1160" s="14" t="n">
        <f aca="false">IF($L1160=2014,1,0)</f>
        <v>0</v>
      </c>
      <c r="AI1160" s="14" t="n">
        <f aca="false">IF($L1160=2015,1,0)</f>
        <v>0</v>
      </c>
      <c r="AJ1160" s="14" t="n">
        <f aca="false">IF($L1160=2016,1,0)</f>
        <v>1</v>
      </c>
      <c r="AK1160" s="14" t="n">
        <f aca="false">IF($L1160=2017,1,0)</f>
        <v>0</v>
      </c>
      <c r="AL1160" s="14" t="n">
        <f aca="false">IF($H1160="Beginner Level",1,0)</f>
        <v>1</v>
      </c>
      <c r="AM1160" s="14" t="n">
        <f aca="false">IF($H1160="Expert Level",1,0)</f>
        <v>0</v>
      </c>
      <c r="AN1160" s="14" t="n">
        <f aca="false">IF($H1160="Intermediate Level",1,0)</f>
        <v>0</v>
      </c>
    </row>
    <row r="1161" customFormat="false" ht="91" hidden="false" customHeight="false" outlineLevel="0" collapsed="false">
      <c r="A1161" s="14" t="n">
        <v>469678</v>
      </c>
      <c r="B1161" s="14" t="s">
        <v>2363</v>
      </c>
      <c r="C1161" s="14" t="s">
        <v>2364</v>
      </c>
      <c r="D1161" s="14" t="n">
        <v>40</v>
      </c>
      <c r="E1161" s="14" t="n">
        <v>245</v>
      </c>
      <c r="F1161" s="14" t="n">
        <v>23</v>
      </c>
      <c r="G1161" s="14" t="n">
        <v>36</v>
      </c>
      <c r="H1161" s="14" t="s">
        <v>62</v>
      </c>
      <c r="I1161" s="14" t="n">
        <v>0.55</v>
      </c>
      <c r="J1161" s="14" t="n">
        <v>1</v>
      </c>
      <c r="K1161" s="14" t="s">
        <v>59</v>
      </c>
      <c r="L1161" s="14" t="n">
        <v>2015</v>
      </c>
      <c r="M1161" s="14" t="n">
        <v>5.50125821054473</v>
      </c>
      <c r="N1161" s="14" t="n">
        <v>3.68912942286914</v>
      </c>
      <c r="P1161" s="14" t="n">
        <f aca="false">D1161</f>
        <v>40</v>
      </c>
      <c r="Q1161" s="14" t="n">
        <f aca="false">G1161</f>
        <v>36</v>
      </c>
      <c r="R1161" s="14" t="n">
        <f aca="false">J1161</f>
        <v>1</v>
      </c>
      <c r="S1161" s="14" t="n">
        <f aca="false">IF($L1161=2012,1,0)</f>
        <v>0</v>
      </c>
      <c r="T1161" s="14" t="n">
        <f aca="false">IF($L1161=2013,1,0)</f>
        <v>0</v>
      </c>
      <c r="U1161" s="14" t="n">
        <f aca="false">IF($L1161=2014,1,0)</f>
        <v>0</v>
      </c>
      <c r="V1161" s="14" t="n">
        <f aca="false">IF($L1161=2015,1,0)</f>
        <v>1</v>
      </c>
      <c r="W1161" s="14" t="n">
        <f aca="false">IF($L1161=2016,1,0)</f>
        <v>0</v>
      </c>
      <c r="X1161" s="14" t="n">
        <f aca="false">IF($L1161=2017,1,0)</f>
        <v>0</v>
      </c>
      <c r="Y1161" s="14" t="n">
        <f aca="false">IF($H1161="Beginner Level",1,0)</f>
        <v>0</v>
      </c>
      <c r="Z1161" s="14" t="n">
        <f aca="false">IF($H1161="Expert Level",1,0)</f>
        <v>0</v>
      </c>
      <c r="AA1161" s="14" t="n">
        <f aca="false">IF($H1161="Intermediate Level",1,0)</f>
        <v>0</v>
      </c>
      <c r="AC1161" s="14" t="n">
        <f aca="false">N1161</f>
        <v>3.68912942286914</v>
      </c>
      <c r="AD1161" s="14" t="n">
        <f aca="false">G1161</f>
        <v>36</v>
      </c>
      <c r="AE1161" s="14" t="n">
        <f aca="false">J1161</f>
        <v>1</v>
      </c>
      <c r="AF1161" s="14" t="n">
        <f aca="false">IF($L1161=2012,1,0)</f>
        <v>0</v>
      </c>
      <c r="AG1161" s="14" t="n">
        <f aca="false">IF($L1161=2013,1,0)</f>
        <v>0</v>
      </c>
      <c r="AH1161" s="14" t="n">
        <f aca="false">IF($L1161=2014,1,0)</f>
        <v>0</v>
      </c>
      <c r="AI1161" s="14" t="n">
        <f aca="false">IF($L1161=2015,1,0)</f>
        <v>1</v>
      </c>
      <c r="AJ1161" s="14" t="n">
        <f aca="false">IF($L1161=2016,1,0)</f>
        <v>0</v>
      </c>
      <c r="AK1161" s="14" t="n">
        <f aca="false">IF($L1161=2017,1,0)</f>
        <v>0</v>
      </c>
      <c r="AL1161" s="14" t="n">
        <f aca="false">IF($H1161="Beginner Level",1,0)</f>
        <v>0</v>
      </c>
      <c r="AM1161" s="14" t="n">
        <f aca="false">IF($H1161="Expert Level",1,0)</f>
        <v>0</v>
      </c>
      <c r="AN1161" s="14" t="n">
        <f aca="false">IF($H1161="Intermediate Level",1,0)</f>
        <v>0</v>
      </c>
    </row>
    <row r="1162" customFormat="false" ht="91" hidden="false" customHeight="false" outlineLevel="0" collapsed="false">
      <c r="A1162" s="14" t="n">
        <v>1270392</v>
      </c>
      <c r="B1162" s="14" t="s">
        <v>2365</v>
      </c>
      <c r="C1162" s="14" t="s">
        <v>2366</v>
      </c>
      <c r="D1162" s="14" t="n">
        <v>35</v>
      </c>
      <c r="E1162" s="14" t="n">
        <v>244</v>
      </c>
      <c r="F1162" s="14" t="n">
        <v>44</v>
      </c>
      <c r="G1162" s="14" t="n">
        <v>21</v>
      </c>
      <c r="H1162" s="14" t="s">
        <v>52</v>
      </c>
      <c r="I1162" s="14" t="n">
        <v>0.3</v>
      </c>
      <c r="J1162" s="14" t="n">
        <v>3</v>
      </c>
      <c r="K1162" s="14" t="s">
        <v>59</v>
      </c>
      <c r="L1162" s="14" t="n">
        <v>2017</v>
      </c>
      <c r="M1162" s="14" t="n">
        <v>5.4971682252932</v>
      </c>
      <c r="N1162" s="14" t="n">
        <v>3.55563373496657</v>
      </c>
      <c r="P1162" s="14" t="n">
        <f aca="false">D1162</f>
        <v>35</v>
      </c>
      <c r="Q1162" s="14" t="n">
        <f aca="false">G1162</f>
        <v>21</v>
      </c>
      <c r="R1162" s="14" t="n">
        <f aca="false">J1162</f>
        <v>3</v>
      </c>
      <c r="S1162" s="14" t="n">
        <f aca="false">IF($L1162=2012,1,0)</f>
        <v>0</v>
      </c>
      <c r="T1162" s="14" t="n">
        <f aca="false">IF($L1162=2013,1,0)</f>
        <v>0</v>
      </c>
      <c r="U1162" s="14" t="n">
        <f aca="false">IF($L1162=2014,1,0)</f>
        <v>0</v>
      </c>
      <c r="V1162" s="14" t="n">
        <f aca="false">IF($L1162=2015,1,0)</f>
        <v>0</v>
      </c>
      <c r="W1162" s="14" t="n">
        <f aca="false">IF($L1162=2016,1,0)</f>
        <v>0</v>
      </c>
      <c r="X1162" s="14" t="n">
        <f aca="false">IF($L1162=2017,1,0)</f>
        <v>1</v>
      </c>
      <c r="Y1162" s="14" t="n">
        <f aca="false">IF($H1162="Beginner Level",1,0)</f>
        <v>1</v>
      </c>
      <c r="Z1162" s="14" t="n">
        <f aca="false">IF($H1162="Expert Level",1,0)</f>
        <v>0</v>
      </c>
      <c r="AA1162" s="14" t="n">
        <f aca="false">IF($H1162="Intermediate Level",1,0)</f>
        <v>0</v>
      </c>
      <c r="AC1162" s="14" t="n">
        <f aca="false">N1162</f>
        <v>3.55563373496657</v>
      </c>
      <c r="AD1162" s="14" t="n">
        <f aca="false">G1162</f>
        <v>21</v>
      </c>
      <c r="AE1162" s="14" t="n">
        <f aca="false">J1162</f>
        <v>3</v>
      </c>
      <c r="AF1162" s="14" t="n">
        <f aca="false">IF($L1162=2012,1,0)</f>
        <v>0</v>
      </c>
      <c r="AG1162" s="14" t="n">
        <f aca="false">IF($L1162=2013,1,0)</f>
        <v>0</v>
      </c>
      <c r="AH1162" s="14" t="n">
        <f aca="false">IF($L1162=2014,1,0)</f>
        <v>0</v>
      </c>
      <c r="AI1162" s="14" t="n">
        <f aca="false">IF($L1162=2015,1,0)</f>
        <v>0</v>
      </c>
      <c r="AJ1162" s="14" t="n">
        <f aca="false">IF($L1162=2016,1,0)</f>
        <v>0</v>
      </c>
      <c r="AK1162" s="14" t="n">
        <f aca="false">IF($L1162=2017,1,0)</f>
        <v>1</v>
      </c>
      <c r="AL1162" s="14" t="n">
        <f aca="false">IF($H1162="Beginner Level",1,0)</f>
        <v>1</v>
      </c>
      <c r="AM1162" s="14" t="n">
        <f aca="false">IF($H1162="Expert Level",1,0)</f>
        <v>0</v>
      </c>
      <c r="AN1162" s="14" t="n">
        <f aca="false">IF($H1162="Intermediate Level",1,0)</f>
        <v>0</v>
      </c>
    </row>
    <row r="1163" customFormat="false" ht="79.85" hidden="false" customHeight="false" outlineLevel="0" collapsed="false">
      <c r="A1163" s="14" t="n">
        <v>1008246</v>
      </c>
      <c r="B1163" s="14" t="s">
        <v>2367</v>
      </c>
      <c r="C1163" s="14" t="s">
        <v>2368</v>
      </c>
      <c r="D1163" s="14" t="n">
        <v>50</v>
      </c>
      <c r="E1163" s="14" t="n">
        <v>240</v>
      </c>
      <c r="F1163" s="14" t="n">
        <v>45</v>
      </c>
      <c r="G1163" s="14" t="n">
        <v>358</v>
      </c>
      <c r="H1163" s="14" t="s">
        <v>62</v>
      </c>
      <c r="I1163" s="14" t="n">
        <v>0.7</v>
      </c>
      <c r="J1163" s="14" t="n">
        <v>66.5</v>
      </c>
      <c r="K1163" s="14" t="s">
        <v>59</v>
      </c>
      <c r="L1163" s="14" t="n">
        <v>2016</v>
      </c>
      <c r="M1163" s="14" t="n">
        <v>5.48063892334199</v>
      </c>
      <c r="N1163" s="14" t="n">
        <v>3.91222298543081</v>
      </c>
      <c r="P1163" s="14" t="n">
        <f aca="false">D1163</f>
        <v>50</v>
      </c>
      <c r="Q1163" s="14" t="n">
        <f aca="false">G1163</f>
        <v>358</v>
      </c>
      <c r="R1163" s="14" t="n">
        <f aca="false">J1163</f>
        <v>66.5</v>
      </c>
      <c r="S1163" s="14" t="n">
        <f aca="false">IF($L1163=2012,1,0)</f>
        <v>0</v>
      </c>
      <c r="T1163" s="14" t="n">
        <f aca="false">IF($L1163=2013,1,0)</f>
        <v>0</v>
      </c>
      <c r="U1163" s="14" t="n">
        <f aca="false">IF($L1163=2014,1,0)</f>
        <v>0</v>
      </c>
      <c r="V1163" s="14" t="n">
        <f aca="false">IF($L1163=2015,1,0)</f>
        <v>0</v>
      </c>
      <c r="W1163" s="14" t="n">
        <f aca="false">IF($L1163=2016,1,0)</f>
        <v>1</v>
      </c>
      <c r="X1163" s="14" t="n">
        <f aca="false">IF($L1163=2017,1,0)</f>
        <v>0</v>
      </c>
      <c r="Y1163" s="14" t="n">
        <f aca="false">IF($H1163="Beginner Level",1,0)</f>
        <v>0</v>
      </c>
      <c r="Z1163" s="14" t="n">
        <f aca="false">IF($H1163="Expert Level",1,0)</f>
        <v>0</v>
      </c>
      <c r="AA1163" s="14" t="n">
        <f aca="false">IF($H1163="Intermediate Level",1,0)</f>
        <v>0</v>
      </c>
      <c r="AC1163" s="14" t="n">
        <f aca="false">N1163</f>
        <v>3.91222298543081</v>
      </c>
      <c r="AD1163" s="14" t="n">
        <f aca="false">G1163</f>
        <v>358</v>
      </c>
      <c r="AE1163" s="14" t="n">
        <f aca="false">J1163</f>
        <v>66.5</v>
      </c>
      <c r="AF1163" s="14" t="n">
        <f aca="false">IF($L1163=2012,1,0)</f>
        <v>0</v>
      </c>
      <c r="AG1163" s="14" t="n">
        <f aca="false">IF($L1163=2013,1,0)</f>
        <v>0</v>
      </c>
      <c r="AH1163" s="14" t="n">
        <f aca="false">IF($L1163=2014,1,0)</f>
        <v>0</v>
      </c>
      <c r="AI1163" s="14" t="n">
        <f aca="false">IF($L1163=2015,1,0)</f>
        <v>0</v>
      </c>
      <c r="AJ1163" s="14" t="n">
        <f aca="false">IF($L1163=2016,1,0)</f>
        <v>1</v>
      </c>
      <c r="AK1163" s="14" t="n">
        <f aca="false">IF($L1163=2017,1,0)</f>
        <v>0</v>
      </c>
      <c r="AL1163" s="14" t="n">
        <f aca="false">IF($H1163="Beginner Level",1,0)</f>
        <v>0</v>
      </c>
      <c r="AM1163" s="14" t="n">
        <f aca="false">IF($H1163="Expert Level",1,0)</f>
        <v>0</v>
      </c>
      <c r="AN1163" s="14" t="n">
        <f aca="false">IF($H1163="Intermediate Level",1,0)</f>
        <v>0</v>
      </c>
    </row>
    <row r="1164" customFormat="false" ht="91" hidden="false" customHeight="false" outlineLevel="0" collapsed="false">
      <c r="A1164" s="14" t="n">
        <v>897314</v>
      </c>
      <c r="B1164" s="14" t="s">
        <v>2369</v>
      </c>
      <c r="C1164" s="14" t="s">
        <v>2370</v>
      </c>
      <c r="D1164" s="14" t="n">
        <v>65</v>
      </c>
      <c r="E1164" s="14" t="n">
        <v>237</v>
      </c>
      <c r="F1164" s="14" t="n">
        <v>22</v>
      </c>
      <c r="G1164" s="14" t="n">
        <v>52</v>
      </c>
      <c r="H1164" s="14" t="s">
        <v>52</v>
      </c>
      <c r="I1164" s="14" t="n">
        <v>0.34</v>
      </c>
      <c r="J1164" s="14" t="n">
        <v>3.5</v>
      </c>
      <c r="K1164" s="14" t="s">
        <v>59</v>
      </c>
      <c r="L1164" s="14" t="n">
        <v>2016</v>
      </c>
      <c r="M1164" s="14" t="n">
        <v>5.46806014113513</v>
      </c>
      <c r="N1164" s="14" t="n">
        <v>4.17454110421638</v>
      </c>
      <c r="P1164" s="14" t="n">
        <f aca="false">D1164</f>
        <v>65</v>
      </c>
      <c r="Q1164" s="14" t="n">
        <f aca="false">G1164</f>
        <v>52</v>
      </c>
      <c r="R1164" s="14" t="n">
        <f aca="false">J1164</f>
        <v>3.5</v>
      </c>
      <c r="S1164" s="14" t="n">
        <f aca="false">IF($L1164=2012,1,0)</f>
        <v>0</v>
      </c>
      <c r="T1164" s="14" t="n">
        <f aca="false">IF($L1164=2013,1,0)</f>
        <v>0</v>
      </c>
      <c r="U1164" s="14" t="n">
        <f aca="false">IF($L1164=2014,1,0)</f>
        <v>0</v>
      </c>
      <c r="V1164" s="14" t="n">
        <f aca="false">IF($L1164=2015,1,0)</f>
        <v>0</v>
      </c>
      <c r="W1164" s="14" t="n">
        <f aca="false">IF($L1164=2016,1,0)</f>
        <v>1</v>
      </c>
      <c r="X1164" s="14" t="n">
        <f aca="false">IF($L1164=2017,1,0)</f>
        <v>0</v>
      </c>
      <c r="Y1164" s="14" t="n">
        <f aca="false">IF($H1164="Beginner Level",1,0)</f>
        <v>1</v>
      </c>
      <c r="Z1164" s="14" t="n">
        <f aca="false">IF($H1164="Expert Level",1,0)</f>
        <v>0</v>
      </c>
      <c r="AA1164" s="14" t="n">
        <f aca="false">IF($H1164="Intermediate Level",1,0)</f>
        <v>0</v>
      </c>
      <c r="AC1164" s="14" t="n">
        <f aca="false">N1164</f>
        <v>4.17454110421638</v>
      </c>
      <c r="AD1164" s="14" t="n">
        <f aca="false">G1164</f>
        <v>52</v>
      </c>
      <c r="AE1164" s="14" t="n">
        <f aca="false">J1164</f>
        <v>3.5</v>
      </c>
      <c r="AF1164" s="14" t="n">
        <f aca="false">IF($L1164=2012,1,0)</f>
        <v>0</v>
      </c>
      <c r="AG1164" s="14" t="n">
        <f aca="false">IF($L1164=2013,1,0)</f>
        <v>0</v>
      </c>
      <c r="AH1164" s="14" t="n">
        <f aca="false">IF($L1164=2014,1,0)</f>
        <v>0</v>
      </c>
      <c r="AI1164" s="14" t="n">
        <f aca="false">IF($L1164=2015,1,0)</f>
        <v>0</v>
      </c>
      <c r="AJ1164" s="14" t="n">
        <f aca="false">IF($L1164=2016,1,0)</f>
        <v>1</v>
      </c>
      <c r="AK1164" s="14" t="n">
        <f aca="false">IF($L1164=2017,1,0)</f>
        <v>0</v>
      </c>
      <c r="AL1164" s="14" t="n">
        <f aca="false">IF($H1164="Beginner Level",1,0)</f>
        <v>1</v>
      </c>
      <c r="AM1164" s="14" t="n">
        <f aca="false">IF($H1164="Expert Level",1,0)</f>
        <v>0</v>
      </c>
      <c r="AN1164" s="14" t="n">
        <f aca="false">IF($H1164="Intermediate Level",1,0)</f>
        <v>0</v>
      </c>
    </row>
    <row r="1165" customFormat="false" ht="57.45" hidden="false" customHeight="false" outlineLevel="0" collapsed="false">
      <c r="A1165" s="14" t="n">
        <v>980114</v>
      </c>
      <c r="B1165" s="14" t="s">
        <v>2371</v>
      </c>
      <c r="C1165" s="14" t="s">
        <v>2372</v>
      </c>
      <c r="D1165" s="14" t="n">
        <v>40</v>
      </c>
      <c r="E1165" s="14" t="n">
        <v>236</v>
      </c>
      <c r="F1165" s="14" t="n">
        <v>31</v>
      </c>
      <c r="G1165" s="14" t="n">
        <v>35</v>
      </c>
      <c r="H1165" s="14" t="s">
        <v>62</v>
      </c>
      <c r="I1165" s="14" t="n">
        <v>0.96</v>
      </c>
      <c r="J1165" s="14" t="n">
        <v>4</v>
      </c>
      <c r="K1165" s="14" t="s">
        <v>59</v>
      </c>
      <c r="L1165" s="14" t="n">
        <v>2016</v>
      </c>
      <c r="M1165" s="14" t="n">
        <v>5.46383180502561</v>
      </c>
      <c r="N1165" s="14" t="n">
        <v>3.68912942286914</v>
      </c>
      <c r="P1165" s="14" t="n">
        <f aca="false">D1165</f>
        <v>40</v>
      </c>
      <c r="Q1165" s="14" t="n">
        <f aca="false">G1165</f>
        <v>35</v>
      </c>
      <c r="R1165" s="14" t="n">
        <f aca="false">J1165</f>
        <v>4</v>
      </c>
      <c r="S1165" s="14" t="n">
        <f aca="false">IF($L1165=2012,1,0)</f>
        <v>0</v>
      </c>
      <c r="T1165" s="14" t="n">
        <f aca="false">IF($L1165=2013,1,0)</f>
        <v>0</v>
      </c>
      <c r="U1165" s="14" t="n">
        <f aca="false">IF($L1165=2014,1,0)</f>
        <v>0</v>
      </c>
      <c r="V1165" s="14" t="n">
        <f aca="false">IF($L1165=2015,1,0)</f>
        <v>0</v>
      </c>
      <c r="W1165" s="14" t="n">
        <f aca="false">IF($L1165=2016,1,0)</f>
        <v>1</v>
      </c>
      <c r="X1165" s="14" t="n">
        <f aca="false">IF($L1165=2017,1,0)</f>
        <v>0</v>
      </c>
      <c r="Y1165" s="14" t="n">
        <f aca="false">IF($H1165="Beginner Level",1,0)</f>
        <v>0</v>
      </c>
      <c r="Z1165" s="14" t="n">
        <f aca="false">IF($H1165="Expert Level",1,0)</f>
        <v>0</v>
      </c>
      <c r="AA1165" s="14" t="n">
        <f aca="false">IF($H1165="Intermediate Level",1,0)</f>
        <v>0</v>
      </c>
      <c r="AC1165" s="14" t="n">
        <f aca="false">N1165</f>
        <v>3.68912942286914</v>
      </c>
      <c r="AD1165" s="14" t="n">
        <f aca="false">G1165</f>
        <v>35</v>
      </c>
      <c r="AE1165" s="14" t="n">
        <f aca="false">J1165</f>
        <v>4</v>
      </c>
      <c r="AF1165" s="14" t="n">
        <f aca="false">IF($L1165=2012,1,0)</f>
        <v>0</v>
      </c>
      <c r="AG1165" s="14" t="n">
        <f aca="false">IF($L1165=2013,1,0)</f>
        <v>0</v>
      </c>
      <c r="AH1165" s="14" t="n">
        <f aca="false">IF($L1165=2014,1,0)</f>
        <v>0</v>
      </c>
      <c r="AI1165" s="14" t="n">
        <f aca="false">IF($L1165=2015,1,0)</f>
        <v>0</v>
      </c>
      <c r="AJ1165" s="14" t="n">
        <f aca="false">IF($L1165=2016,1,0)</f>
        <v>1</v>
      </c>
      <c r="AK1165" s="14" t="n">
        <f aca="false">IF($L1165=2017,1,0)</f>
        <v>0</v>
      </c>
      <c r="AL1165" s="14" t="n">
        <f aca="false">IF($H1165="Beginner Level",1,0)</f>
        <v>0</v>
      </c>
      <c r="AM1165" s="14" t="n">
        <f aca="false">IF($H1165="Expert Level",1,0)</f>
        <v>0</v>
      </c>
      <c r="AN1165" s="14" t="n">
        <f aca="false">IF($H1165="Intermediate Level",1,0)</f>
        <v>0</v>
      </c>
    </row>
    <row r="1166" customFormat="false" ht="57.45" hidden="false" customHeight="false" outlineLevel="0" collapsed="false">
      <c r="A1166" s="14" t="n">
        <v>1204590</v>
      </c>
      <c r="B1166" s="14" t="s">
        <v>2373</v>
      </c>
      <c r="C1166" s="14" t="s">
        <v>2374</v>
      </c>
      <c r="D1166" s="14" t="n">
        <v>150</v>
      </c>
      <c r="E1166" s="14" t="n">
        <v>228</v>
      </c>
      <c r="F1166" s="14" t="n">
        <v>9</v>
      </c>
      <c r="G1166" s="14" t="n">
        <v>72</v>
      </c>
      <c r="H1166" s="14" t="s">
        <v>52</v>
      </c>
      <c r="I1166" s="14" t="n">
        <v>0.61</v>
      </c>
      <c r="J1166" s="14" t="n">
        <v>6.5</v>
      </c>
      <c r="K1166" s="14" t="s">
        <v>59</v>
      </c>
      <c r="L1166" s="14" t="n">
        <v>2017</v>
      </c>
      <c r="M1166" s="14" t="n">
        <v>5.42934562895444</v>
      </c>
      <c r="N1166" s="14" t="n">
        <v>5.0107019585408</v>
      </c>
      <c r="P1166" s="14" t="n">
        <f aca="false">D1166</f>
        <v>150</v>
      </c>
      <c r="Q1166" s="14" t="n">
        <f aca="false">G1166</f>
        <v>72</v>
      </c>
      <c r="R1166" s="14" t="n">
        <f aca="false">J1166</f>
        <v>6.5</v>
      </c>
      <c r="S1166" s="14" t="n">
        <f aca="false">IF($L1166=2012,1,0)</f>
        <v>0</v>
      </c>
      <c r="T1166" s="14" t="n">
        <f aca="false">IF($L1166=2013,1,0)</f>
        <v>0</v>
      </c>
      <c r="U1166" s="14" t="n">
        <f aca="false">IF($L1166=2014,1,0)</f>
        <v>0</v>
      </c>
      <c r="V1166" s="14" t="n">
        <f aca="false">IF($L1166=2015,1,0)</f>
        <v>0</v>
      </c>
      <c r="W1166" s="14" t="n">
        <f aca="false">IF($L1166=2016,1,0)</f>
        <v>0</v>
      </c>
      <c r="X1166" s="14" t="n">
        <f aca="false">IF($L1166=2017,1,0)</f>
        <v>1</v>
      </c>
      <c r="Y1166" s="14" t="n">
        <f aca="false">IF($H1166="Beginner Level",1,0)</f>
        <v>1</v>
      </c>
      <c r="Z1166" s="14" t="n">
        <f aca="false">IF($H1166="Expert Level",1,0)</f>
        <v>0</v>
      </c>
      <c r="AA1166" s="14" t="n">
        <f aca="false">IF($H1166="Intermediate Level",1,0)</f>
        <v>0</v>
      </c>
      <c r="AC1166" s="14" t="n">
        <f aca="false">N1166</f>
        <v>5.0107019585408</v>
      </c>
      <c r="AD1166" s="14" t="n">
        <f aca="false">G1166</f>
        <v>72</v>
      </c>
      <c r="AE1166" s="14" t="n">
        <f aca="false">J1166</f>
        <v>6.5</v>
      </c>
      <c r="AF1166" s="14" t="n">
        <f aca="false">IF($L1166=2012,1,0)</f>
        <v>0</v>
      </c>
      <c r="AG1166" s="14" t="n">
        <f aca="false">IF($L1166=2013,1,0)</f>
        <v>0</v>
      </c>
      <c r="AH1166" s="14" t="n">
        <f aca="false">IF($L1166=2014,1,0)</f>
        <v>0</v>
      </c>
      <c r="AI1166" s="14" t="n">
        <f aca="false">IF($L1166=2015,1,0)</f>
        <v>0</v>
      </c>
      <c r="AJ1166" s="14" t="n">
        <f aca="false">IF($L1166=2016,1,0)</f>
        <v>0</v>
      </c>
      <c r="AK1166" s="14" t="n">
        <f aca="false">IF($L1166=2017,1,0)</f>
        <v>1</v>
      </c>
      <c r="AL1166" s="14" t="n">
        <f aca="false">IF($H1166="Beginner Level",1,0)</f>
        <v>1</v>
      </c>
      <c r="AM1166" s="14" t="n">
        <f aca="false">IF($H1166="Expert Level",1,0)</f>
        <v>0</v>
      </c>
      <c r="AN1166" s="14" t="n">
        <f aca="false">IF($H1166="Intermediate Level",1,0)</f>
        <v>0</v>
      </c>
    </row>
    <row r="1167" customFormat="false" ht="68.65" hidden="false" customHeight="false" outlineLevel="0" collapsed="false">
      <c r="A1167" s="14" t="n">
        <v>973932</v>
      </c>
      <c r="B1167" s="14" t="s">
        <v>2375</v>
      </c>
      <c r="C1167" s="14" t="s">
        <v>2376</v>
      </c>
      <c r="D1167" s="14" t="n">
        <v>95</v>
      </c>
      <c r="E1167" s="14" t="n">
        <v>227</v>
      </c>
      <c r="F1167" s="14" t="n">
        <v>16</v>
      </c>
      <c r="G1167" s="14" t="n">
        <v>20</v>
      </c>
      <c r="H1167" s="14" t="s">
        <v>62</v>
      </c>
      <c r="I1167" s="14" t="n">
        <v>0.96</v>
      </c>
      <c r="J1167" s="14" t="n">
        <v>2</v>
      </c>
      <c r="K1167" s="14" t="s">
        <v>59</v>
      </c>
      <c r="L1167" s="14" t="n">
        <v>2016</v>
      </c>
      <c r="M1167" s="14" t="n">
        <v>5.4249500174814</v>
      </c>
      <c r="N1167" s="14" t="n">
        <v>4.55398214921866</v>
      </c>
      <c r="P1167" s="14" t="n">
        <f aca="false">D1167</f>
        <v>95</v>
      </c>
      <c r="Q1167" s="14" t="n">
        <f aca="false">G1167</f>
        <v>20</v>
      </c>
      <c r="R1167" s="14" t="n">
        <f aca="false">J1167</f>
        <v>2</v>
      </c>
      <c r="S1167" s="14" t="n">
        <f aca="false">IF($L1167=2012,1,0)</f>
        <v>0</v>
      </c>
      <c r="T1167" s="14" t="n">
        <f aca="false">IF($L1167=2013,1,0)</f>
        <v>0</v>
      </c>
      <c r="U1167" s="14" t="n">
        <f aca="false">IF($L1167=2014,1,0)</f>
        <v>0</v>
      </c>
      <c r="V1167" s="14" t="n">
        <f aca="false">IF($L1167=2015,1,0)</f>
        <v>0</v>
      </c>
      <c r="W1167" s="14" t="n">
        <f aca="false">IF($L1167=2016,1,0)</f>
        <v>1</v>
      </c>
      <c r="X1167" s="14" t="n">
        <f aca="false">IF($L1167=2017,1,0)</f>
        <v>0</v>
      </c>
      <c r="Y1167" s="14" t="n">
        <f aca="false">IF($H1167="Beginner Level",1,0)</f>
        <v>0</v>
      </c>
      <c r="Z1167" s="14" t="n">
        <f aca="false">IF($H1167="Expert Level",1,0)</f>
        <v>0</v>
      </c>
      <c r="AA1167" s="14" t="n">
        <f aca="false">IF($H1167="Intermediate Level",1,0)</f>
        <v>0</v>
      </c>
      <c r="AC1167" s="14" t="n">
        <f aca="false">N1167</f>
        <v>4.55398214921866</v>
      </c>
      <c r="AD1167" s="14" t="n">
        <f aca="false">G1167</f>
        <v>20</v>
      </c>
      <c r="AE1167" s="14" t="n">
        <f aca="false">J1167</f>
        <v>2</v>
      </c>
      <c r="AF1167" s="14" t="n">
        <f aca="false">IF($L1167=2012,1,0)</f>
        <v>0</v>
      </c>
      <c r="AG1167" s="14" t="n">
        <f aca="false">IF($L1167=2013,1,0)</f>
        <v>0</v>
      </c>
      <c r="AH1167" s="14" t="n">
        <f aca="false">IF($L1167=2014,1,0)</f>
        <v>0</v>
      </c>
      <c r="AI1167" s="14" t="n">
        <f aca="false">IF($L1167=2015,1,0)</f>
        <v>0</v>
      </c>
      <c r="AJ1167" s="14" t="n">
        <f aca="false">IF($L1167=2016,1,0)</f>
        <v>1</v>
      </c>
      <c r="AK1167" s="14" t="n">
        <f aca="false">IF($L1167=2017,1,0)</f>
        <v>0</v>
      </c>
      <c r="AL1167" s="14" t="n">
        <f aca="false">IF($H1167="Beginner Level",1,0)</f>
        <v>0</v>
      </c>
      <c r="AM1167" s="14" t="n">
        <f aca="false">IF($H1167="Expert Level",1,0)</f>
        <v>0</v>
      </c>
      <c r="AN1167" s="14" t="n">
        <f aca="false">IF($H1167="Intermediate Level",1,0)</f>
        <v>0</v>
      </c>
    </row>
    <row r="1168" customFormat="false" ht="79.85" hidden="false" customHeight="false" outlineLevel="0" collapsed="false">
      <c r="A1168" s="14" t="n">
        <v>1039596</v>
      </c>
      <c r="B1168" s="14" t="s">
        <v>2377</v>
      </c>
      <c r="C1168" s="14" t="s">
        <v>2378</v>
      </c>
      <c r="D1168" s="14" t="n">
        <v>125</v>
      </c>
      <c r="E1168" s="14" t="n">
        <v>223</v>
      </c>
      <c r="F1168" s="14" t="n">
        <v>26</v>
      </c>
      <c r="G1168" s="14" t="n">
        <v>27</v>
      </c>
      <c r="H1168" s="14" t="s">
        <v>56</v>
      </c>
      <c r="I1168" s="14" t="n">
        <v>0.26</v>
      </c>
      <c r="J1168" s="14" t="n">
        <v>3.5</v>
      </c>
      <c r="K1168" s="14" t="s">
        <v>59</v>
      </c>
      <c r="L1168" s="14" t="n">
        <v>2016</v>
      </c>
      <c r="M1168" s="14" t="n">
        <v>5.40717177146012</v>
      </c>
      <c r="N1168" s="14" t="n">
        <v>4.82839373410247</v>
      </c>
      <c r="P1168" s="14" t="n">
        <f aca="false">D1168</f>
        <v>125</v>
      </c>
      <c r="Q1168" s="14" t="n">
        <f aca="false">G1168</f>
        <v>27</v>
      </c>
      <c r="R1168" s="14" t="n">
        <f aca="false">J1168</f>
        <v>3.5</v>
      </c>
      <c r="S1168" s="14" t="n">
        <f aca="false">IF($L1168=2012,1,0)</f>
        <v>0</v>
      </c>
      <c r="T1168" s="14" t="n">
        <f aca="false">IF($L1168=2013,1,0)</f>
        <v>0</v>
      </c>
      <c r="U1168" s="14" t="n">
        <f aca="false">IF($L1168=2014,1,0)</f>
        <v>0</v>
      </c>
      <c r="V1168" s="14" t="n">
        <f aca="false">IF($L1168=2015,1,0)</f>
        <v>0</v>
      </c>
      <c r="W1168" s="14" t="n">
        <f aca="false">IF($L1168=2016,1,0)</f>
        <v>1</v>
      </c>
      <c r="X1168" s="14" t="n">
        <f aca="false">IF($L1168=2017,1,0)</f>
        <v>0</v>
      </c>
      <c r="Y1168" s="14" t="n">
        <f aca="false">IF($H1168="Beginner Level",1,0)</f>
        <v>0</v>
      </c>
      <c r="Z1168" s="14" t="n">
        <f aca="false">IF($H1168="Expert Level",1,0)</f>
        <v>1</v>
      </c>
      <c r="AA1168" s="14" t="n">
        <f aca="false">IF($H1168="Intermediate Level",1,0)</f>
        <v>0</v>
      </c>
      <c r="AC1168" s="14" t="n">
        <f aca="false">N1168</f>
        <v>4.82839373410247</v>
      </c>
      <c r="AD1168" s="14" t="n">
        <f aca="false">G1168</f>
        <v>27</v>
      </c>
      <c r="AE1168" s="14" t="n">
        <f aca="false">J1168</f>
        <v>3.5</v>
      </c>
      <c r="AF1168" s="14" t="n">
        <f aca="false">IF($L1168=2012,1,0)</f>
        <v>0</v>
      </c>
      <c r="AG1168" s="14" t="n">
        <f aca="false">IF($L1168=2013,1,0)</f>
        <v>0</v>
      </c>
      <c r="AH1168" s="14" t="n">
        <f aca="false">IF($L1168=2014,1,0)</f>
        <v>0</v>
      </c>
      <c r="AI1168" s="14" t="n">
        <f aca="false">IF($L1168=2015,1,0)</f>
        <v>0</v>
      </c>
      <c r="AJ1168" s="14" t="n">
        <f aca="false">IF($L1168=2016,1,0)</f>
        <v>1</v>
      </c>
      <c r="AK1168" s="14" t="n">
        <f aca="false">IF($L1168=2017,1,0)</f>
        <v>0</v>
      </c>
      <c r="AL1168" s="14" t="n">
        <f aca="false">IF($H1168="Beginner Level",1,0)</f>
        <v>0</v>
      </c>
      <c r="AM1168" s="14" t="n">
        <f aca="false">IF($H1168="Expert Level",1,0)</f>
        <v>1</v>
      </c>
      <c r="AN1168" s="14" t="n">
        <f aca="false">IF($H1168="Intermediate Level",1,0)</f>
        <v>0</v>
      </c>
    </row>
    <row r="1169" customFormat="false" ht="68.65" hidden="false" customHeight="false" outlineLevel="0" collapsed="false">
      <c r="A1169" s="14" t="n">
        <v>1009236</v>
      </c>
      <c r="B1169" s="14" t="s">
        <v>2379</v>
      </c>
      <c r="C1169" s="14" t="s">
        <v>2380</v>
      </c>
      <c r="D1169" s="14" t="n">
        <v>50</v>
      </c>
      <c r="E1169" s="14" t="n">
        <v>222</v>
      </c>
      <c r="F1169" s="14" t="n">
        <v>9</v>
      </c>
      <c r="G1169" s="14" t="n">
        <v>60</v>
      </c>
      <c r="H1169" s="14" t="s">
        <v>62</v>
      </c>
      <c r="I1169" s="14" t="n">
        <v>0.78</v>
      </c>
      <c r="J1169" s="14" t="n">
        <v>8.5</v>
      </c>
      <c r="K1169" s="14" t="s">
        <v>59</v>
      </c>
      <c r="L1169" s="14" t="n">
        <v>2017</v>
      </c>
      <c r="M1169" s="14" t="n">
        <v>5.40267738187228</v>
      </c>
      <c r="N1169" s="14" t="n">
        <v>3.91222298543081</v>
      </c>
      <c r="P1169" s="14" t="n">
        <f aca="false">D1169</f>
        <v>50</v>
      </c>
      <c r="Q1169" s="14" t="n">
        <f aca="false">G1169</f>
        <v>60</v>
      </c>
      <c r="R1169" s="14" t="n">
        <f aca="false">J1169</f>
        <v>8.5</v>
      </c>
      <c r="S1169" s="14" t="n">
        <f aca="false">IF($L1169=2012,1,0)</f>
        <v>0</v>
      </c>
      <c r="T1169" s="14" t="n">
        <f aca="false">IF($L1169=2013,1,0)</f>
        <v>0</v>
      </c>
      <c r="U1169" s="14" t="n">
        <f aca="false">IF($L1169=2014,1,0)</f>
        <v>0</v>
      </c>
      <c r="V1169" s="14" t="n">
        <f aca="false">IF($L1169=2015,1,0)</f>
        <v>0</v>
      </c>
      <c r="W1169" s="14" t="n">
        <f aca="false">IF($L1169=2016,1,0)</f>
        <v>0</v>
      </c>
      <c r="X1169" s="14" t="n">
        <f aca="false">IF($L1169=2017,1,0)</f>
        <v>1</v>
      </c>
      <c r="Y1169" s="14" t="n">
        <f aca="false">IF($H1169="Beginner Level",1,0)</f>
        <v>0</v>
      </c>
      <c r="Z1169" s="14" t="n">
        <f aca="false">IF($H1169="Expert Level",1,0)</f>
        <v>0</v>
      </c>
      <c r="AA1169" s="14" t="n">
        <f aca="false">IF($H1169="Intermediate Level",1,0)</f>
        <v>0</v>
      </c>
      <c r="AC1169" s="14" t="n">
        <f aca="false">N1169</f>
        <v>3.91222298543081</v>
      </c>
      <c r="AD1169" s="14" t="n">
        <f aca="false">G1169</f>
        <v>60</v>
      </c>
      <c r="AE1169" s="14" t="n">
        <f aca="false">J1169</f>
        <v>8.5</v>
      </c>
      <c r="AF1169" s="14" t="n">
        <f aca="false">IF($L1169=2012,1,0)</f>
        <v>0</v>
      </c>
      <c r="AG1169" s="14" t="n">
        <f aca="false">IF($L1169=2013,1,0)</f>
        <v>0</v>
      </c>
      <c r="AH1169" s="14" t="n">
        <f aca="false">IF($L1169=2014,1,0)</f>
        <v>0</v>
      </c>
      <c r="AI1169" s="14" t="n">
        <f aca="false">IF($L1169=2015,1,0)</f>
        <v>0</v>
      </c>
      <c r="AJ1169" s="14" t="n">
        <f aca="false">IF($L1169=2016,1,0)</f>
        <v>0</v>
      </c>
      <c r="AK1169" s="14" t="n">
        <f aca="false">IF($L1169=2017,1,0)</f>
        <v>1</v>
      </c>
      <c r="AL1169" s="14" t="n">
        <f aca="false">IF($H1169="Beginner Level",1,0)</f>
        <v>0</v>
      </c>
      <c r="AM1169" s="14" t="n">
        <f aca="false">IF($H1169="Expert Level",1,0)</f>
        <v>0</v>
      </c>
      <c r="AN1169" s="14" t="n">
        <f aca="false">IF($H1169="Intermediate Level",1,0)</f>
        <v>0</v>
      </c>
    </row>
    <row r="1170" customFormat="false" ht="68.65" hidden="false" customHeight="false" outlineLevel="0" collapsed="false">
      <c r="A1170" s="14" t="n">
        <v>961508</v>
      </c>
      <c r="B1170" s="14" t="s">
        <v>2381</v>
      </c>
      <c r="C1170" s="14" t="s">
        <v>2382</v>
      </c>
      <c r="D1170" s="14" t="n">
        <v>95</v>
      </c>
      <c r="E1170" s="14" t="n">
        <v>216</v>
      </c>
      <c r="F1170" s="14" t="n">
        <v>28</v>
      </c>
      <c r="G1170" s="14" t="n">
        <v>16</v>
      </c>
      <c r="H1170" s="14" t="s">
        <v>71</v>
      </c>
      <c r="I1170" s="14" t="n">
        <v>0.89</v>
      </c>
      <c r="J1170" s="14" t="n">
        <v>2</v>
      </c>
      <c r="K1170" s="14" t="s">
        <v>59</v>
      </c>
      <c r="L1170" s="14" t="n">
        <v>2016</v>
      </c>
      <c r="M1170" s="14" t="n">
        <v>5.37527840768417</v>
      </c>
      <c r="N1170" s="14" t="n">
        <v>4.55398214921866</v>
      </c>
      <c r="P1170" s="14" t="n">
        <f aca="false">D1170</f>
        <v>95</v>
      </c>
      <c r="Q1170" s="14" t="n">
        <f aca="false">G1170</f>
        <v>16</v>
      </c>
      <c r="R1170" s="14" t="n">
        <f aca="false">J1170</f>
        <v>2</v>
      </c>
      <c r="S1170" s="14" t="n">
        <f aca="false">IF($L1170=2012,1,0)</f>
        <v>0</v>
      </c>
      <c r="T1170" s="14" t="n">
        <f aca="false">IF($L1170=2013,1,0)</f>
        <v>0</v>
      </c>
      <c r="U1170" s="14" t="n">
        <f aca="false">IF($L1170=2014,1,0)</f>
        <v>0</v>
      </c>
      <c r="V1170" s="14" t="n">
        <f aca="false">IF($L1170=2015,1,0)</f>
        <v>0</v>
      </c>
      <c r="W1170" s="14" t="n">
        <f aca="false">IF($L1170=2016,1,0)</f>
        <v>1</v>
      </c>
      <c r="X1170" s="14" t="n">
        <f aca="false">IF($L1170=2017,1,0)</f>
        <v>0</v>
      </c>
      <c r="Y1170" s="14" t="n">
        <f aca="false">IF($H1170="Beginner Level",1,0)</f>
        <v>0</v>
      </c>
      <c r="Z1170" s="14" t="n">
        <f aca="false">IF($H1170="Expert Level",1,0)</f>
        <v>0</v>
      </c>
      <c r="AA1170" s="14" t="n">
        <f aca="false">IF($H1170="Intermediate Level",1,0)</f>
        <v>1</v>
      </c>
      <c r="AC1170" s="14" t="n">
        <f aca="false">N1170</f>
        <v>4.55398214921866</v>
      </c>
      <c r="AD1170" s="14" t="n">
        <f aca="false">G1170</f>
        <v>16</v>
      </c>
      <c r="AE1170" s="14" t="n">
        <f aca="false">J1170</f>
        <v>2</v>
      </c>
      <c r="AF1170" s="14" t="n">
        <f aca="false">IF($L1170=2012,1,0)</f>
        <v>0</v>
      </c>
      <c r="AG1170" s="14" t="n">
        <f aca="false">IF($L1170=2013,1,0)</f>
        <v>0</v>
      </c>
      <c r="AH1170" s="14" t="n">
        <f aca="false">IF($L1170=2014,1,0)</f>
        <v>0</v>
      </c>
      <c r="AI1170" s="14" t="n">
        <f aca="false">IF($L1170=2015,1,0)</f>
        <v>0</v>
      </c>
      <c r="AJ1170" s="14" t="n">
        <f aca="false">IF($L1170=2016,1,0)</f>
        <v>1</v>
      </c>
      <c r="AK1170" s="14" t="n">
        <f aca="false">IF($L1170=2017,1,0)</f>
        <v>0</v>
      </c>
      <c r="AL1170" s="14" t="n">
        <f aca="false">IF($H1170="Beginner Level",1,0)</f>
        <v>0</v>
      </c>
      <c r="AM1170" s="14" t="n">
        <f aca="false">IF($H1170="Expert Level",1,0)</f>
        <v>0</v>
      </c>
      <c r="AN1170" s="14" t="n">
        <f aca="false">IF($H1170="Intermediate Level",1,0)</f>
        <v>1</v>
      </c>
    </row>
    <row r="1171" customFormat="false" ht="79.85" hidden="false" customHeight="false" outlineLevel="0" collapsed="false">
      <c r="A1171" s="14" t="n">
        <v>858762</v>
      </c>
      <c r="B1171" s="14" t="s">
        <v>2383</v>
      </c>
      <c r="C1171" s="14" t="s">
        <v>2384</v>
      </c>
      <c r="D1171" s="14" t="n">
        <v>25</v>
      </c>
      <c r="E1171" s="14" t="n">
        <v>214</v>
      </c>
      <c r="F1171" s="14" t="n">
        <v>34</v>
      </c>
      <c r="G1171" s="14" t="n">
        <v>24</v>
      </c>
      <c r="H1171" s="14" t="s">
        <v>52</v>
      </c>
      <c r="I1171" s="14" t="n">
        <v>0.1</v>
      </c>
      <c r="J1171" s="14" t="n">
        <v>2</v>
      </c>
      <c r="K1171" s="14" t="s">
        <v>59</v>
      </c>
      <c r="L1171" s="14" t="n">
        <v>2016</v>
      </c>
      <c r="M1171" s="14" t="n">
        <v>5.36597601502185</v>
      </c>
      <c r="N1171" s="14" t="n">
        <v>3.21927574488953</v>
      </c>
      <c r="P1171" s="14" t="n">
        <f aca="false">D1171</f>
        <v>25</v>
      </c>
      <c r="Q1171" s="14" t="n">
        <f aca="false">G1171</f>
        <v>24</v>
      </c>
      <c r="R1171" s="14" t="n">
        <f aca="false">J1171</f>
        <v>2</v>
      </c>
      <c r="S1171" s="14" t="n">
        <f aca="false">IF($L1171=2012,1,0)</f>
        <v>0</v>
      </c>
      <c r="T1171" s="14" t="n">
        <f aca="false">IF($L1171=2013,1,0)</f>
        <v>0</v>
      </c>
      <c r="U1171" s="14" t="n">
        <f aca="false">IF($L1171=2014,1,0)</f>
        <v>0</v>
      </c>
      <c r="V1171" s="14" t="n">
        <f aca="false">IF($L1171=2015,1,0)</f>
        <v>0</v>
      </c>
      <c r="W1171" s="14" t="n">
        <f aca="false">IF($L1171=2016,1,0)</f>
        <v>1</v>
      </c>
      <c r="X1171" s="14" t="n">
        <f aca="false">IF($L1171=2017,1,0)</f>
        <v>0</v>
      </c>
      <c r="Y1171" s="14" t="n">
        <f aca="false">IF($H1171="Beginner Level",1,0)</f>
        <v>1</v>
      </c>
      <c r="Z1171" s="14" t="n">
        <f aca="false">IF($H1171="Expert Level",1,0)</f>
        <v>0</v>
      </c>
      <c r="AA1171" s="14" t="n">
        <f aca="false">IF($H1171="Intermediate Level",1,0)</f>
        <v>0</v>
      </c>
      <c r="AC1171" s="14" t="n">
        <f aca="false">N1171</f>
        <v>3.21927574488953</v>
      </c>
      <c r="AD1171" s="14" t="n">
        <f aca="false">G1171</f>
        <v>24</v>
      </c>
      <c r="AE1171" s="14" t="n">
        <f aca="false">J1171</f>
        <v>2</v>
      </c>
      <c r="AF1171" s="14" t="n">
        <f aca="false">IF($L1171=2012,1,0)</f>
        <v>0</v>
      </c>
      <c r="AG1171" s="14" t="n">
        <f aca="false">IF($L1171=2013,1,0)</f>
        <v>0</v>
      </c>
      <c r="AH1171" s="14" t="n">
        <f aca="false">IF($L1171=2014,1,0)</f>
        <v>0</v>
      </c>
      <c r="AI1171" s="14" t="n">
        <f aca="false">IF($L1171=2015,1,0)</f>
        <v>0</v>
      </c>
      <c r="AJ1171" s="14" t="n">
        <f aca="false">IF($L1171=2016,1,0)</f>
        <v>1</v>
      </c>
      <c r="AK1171" s="14" t="n">
        <f aca="false">IF($L1171=2017,1,0)</f>
        <v>0</v>
      </c>
      <c r="AL1171" s="14" t="n">
        <f aca="false">IF($H1171="Beginner Level",1,0)</f>
        <v>1</v>
      </c>
      <c r="AM1171" s="14" t="n">
        <f aca="false">IF($H1171="Expert Level",1,0)</f>
        <v>0</v>
      </c>
      <c r="AN1171" s="14" t="n">
        <f aca="false">IF($H1171="Intermediate Level",1,0)</f>
        <v>0</v>
      </c>
    </row>
    <row r="1172" customFormat="false" ht="68.65" hidden="false" customHeight="false" outlineLevel="0" collapsed="false">
      <c r="A1172" s="14" t="n">
        <v>1097778</v>
      </c>
      <c r="B1172" s="14" t="s">
        <v>2385</v>
      </c>
      <c r="C1172" s="14" t="s">
        <v>2386</v>
      </c>
      <c r="D1172" s="14" t="n">
        <v>30</v>
      </c>
      <c r="E1172" s="14" t="n">
        <v>210</v>
      </c>
      <c r="F1172" s="14" t="n">
        <v>19</v>
      </c>
      <c r="G1172" s="14" t="n">
        <v>41</v>
      </c>
      <c r="H1172" s="14" t="s">
        <v>62</v>
      </c>
      <c r="I1172" s="14" t="n">
        <v>0.47</v>
      </c>
      <c r="J1172" s="14" t="n">
        <v>5</v>
      </c>
      <c r="K1172" s="14" t="s">
        <v>59</v>
      </c>
      <c r="L1172" s="14" t="n">
        <v>2017</v>
      </c>
      <c r="M1172" s="14" t="n">
        <v>5.34710753071747</v>
      </c>
      <c r="N1172" s="14" t="n">
        <v>3.40153065945228</v>
      </c>
      <c r="P1172" s="14" t="n">
        <f aca="false">D1172</f>
        <v>30</v>
      </c>
      <c r="Q1172" s="14" t="n">
        <f aca="false">G1172</f>
        <v>41</v>
      </c>
      <c r="R1172" s="14" t="n">
        <f aca="false">J1172</f>
        <v>5</v>
      </c>
      <c r="S1172" s="14" t="n">
        <f aca="false">IF($L1172=2012,1,0)</f>
        <v>0</v>
      </c>
      <c r="T1172" s="14" t="n">
        <f aca="false">IF($L1172=2013,1,0)</f>
        <v>0</v>
      </c>
      <c r="U1172" s="14" t="n">
        <f aca="false">IF($L1172=2014,1,0)</f>
        <v>0</v>
      </c>
      <c r="V1172" s="14" t="n">
        <f aca="false">IF($L1172=2015,1,0)</f>
        <v>0</v>
      </c>
      <c r="W1172" s="14" t="n">
        <f aca="false">IF($L1172=2016,1,0)</f>
        <v>0</v>
      </c>
      <c r="X1172" s="14" t="n">
        <f aca="false">IF($L1172=2017,1,0)</f>
        <v>1</v>
      </c>
      <c r="Y1172" s="14" t="n">
        <f aca="false">IF($H1172="Beginner Level",1,0)</f>
        <v>0</v>
      </c>
      <c r="Z1172" s="14" t="n">
        <f aca="false">IF($H1172="Expert Level",1,0)</f>
        <v>0</v>
      </c>
      <c r="AA1172" s="14" t="n">
        <f aca="false">IF($H1172="Intermediate Level",1,0)</f>
        <v>0</v>
      </c>
      <c r="AC1172" s="14" t="n">
        <f aca="false">N1172</f>
        <v>3.40153065945228</v>
      </c>
      <c r="AD1172" s="14" t="n">
        <f aca="false">G1172</f>
        <v>41</v>
      </c>
      <c r="AE1172" s="14" t="n">
        <f aca="false">J1172</f>
        <v>5</v>
      </c>
      <c r="AF1172" s="14" t="n">
        <f aca="false">IF($L1172=2012,1,0)</f>
        <v>0</v>
      </c>
      <c r="AG1172" s="14" t="n">
        <f aca="false">IF($L1172=2013,1,0)</f>
        <v>0</v>
      </c>
      <c r="AH1172" s="14" t="n">
        <f aca="false">IF($L1172=2014,1,0)</f>
        <v>0</v>
      </c>
      <c r="AI1172" s="14" t="n">
        <f aca="false">IF($L1172=2015,1,0)</f>
        <v>0</v>
      </c>
      <c r="AJ1172" s="14" t="n">
        <f aca="false">IF($L1172=2016,1,0)</f>
        <v>0</v>
      </c>
      <c r="AK1172" s="14" t="n">
        <f aca="false">IF($L1172=2017,1,0)</f>
        <v>1</v>
      </c>
      <c r="AL1172" s="14" t="n">
        <f aca="false">IF($H1172="Beginner Level",1,0)</f>
        <v>0</v>
      </c>
      <c r="AM1172" s="14" t="n">
        <f aca="false">IF($H1172="Expert Level",1,0)</f>
        <v>0</v>
      </c>
      <c r="AN1172" s="14" t="n">
        <f aca="false">IF($H1172="Intermediate Level",1,0)</f>
        <v>0</v>
      </c>
    </row>
    <row r="1173" customFormat="false" ht="57.45" hidden="false" customHeight="false" outlineLevel="0" collapsed="false">
      <c r="A1173" s="14" t="n">
        <v>873824</v>
      </c>
      <c r="B1173" s="14" t="s">
        <v>2387</v>
      </c>
      <c r="C1173" s="14" t="s">
        <v>2388</v>
      </c>
      <c r="D1173" s="14" t="n">
        <v>50</v>
      </c>
      <c r="E1173" s="14" t="n">
        <v>208</v>
      </c>
      <c r="F1173" s="14" t="n">
        <v>48</v>
      </c>
      <c r="G1173" s="14" t="n">
        <v>29</v>
      </c>
      <c r="H1173" s="14" t="s">
        <v>62</v>
      </c>
      <c r="I1173" s="14" t="n">
        <v>0.35</v>
      </c>
      <c r="J1173" s="14" t="n">
        <v>2</v>
      </c>
      <c r="K1173" s="14" t="s">
        <v>59</v>
      </c>
      <c r="L1173" s="14" t="n">
        <v>2016</v>
      </c>
      <c r="M1173" s="14" t="n">
        <v>5.33753807970132</v>
      </c>
      <c r="N1173" s="14" t="n">
        <v>3.91222298543081</v>
      </c>
      <c r="P1173" s="14" t="n">
        <f aca="false">D1173</f>
        <v>50</v>
      </c>
      <c r="Q1173" s="14" t="n">
        <f aca="false">G1173</f>
        <v>29</v>
      </c>
      <c r="R1173" s="14" t="n">
        <f aca="false">J1173</f>
        <v>2</v>
      </c>
      <c r="S1173" s="14" t="n">
        <f aca="false">IF($L1173=2012,1,0)</f>
        <v>0</v>
      </c>
      <c r="T1173" s="14" t="n">
        <f aca="false">IF($L1173=2013,1,0)</f>
        <v>0</v>
      </c>
      <c r="U1173" s="14" t="n">
        <f aca="false">IF($L1173=2014,1,0)</f>
        <v>0</v>
      </c>
      <c r="V1173" s="14" t="n">
        <f aca="false">IF($L1173=2015,1,0)</f>
        <v>0</v>
      </c>
      <c r="W1173" s="14" t="n">
        <f aca="false">IF($L1173=2016,1,0)</f>
        <v>1</v>
      </c>
      <c r="X1173" s="14" t="n">
        <f aca="false">IF($L1173=2017,1,0)</f>
        <v>0</v>
      </c>
      <c r="Y1173" s="14" t="n">
        <f aca="false">IF($H1173="Beginner Level",1,0)</f>
        <v>0</v>
      </c>
      <c r="Z1173" s="14" t="n">
        <f aca="false">IF($H1173="Expert Level",1,0)</f>
        <v>0</v>
      </c>
      <c r="AA1173" s="14" t="n">
        <f aca="false">IF($H1173="Intermediate Level",1,0)</f>
        <v>0</v>
      </c>
      <c r="AC1173" s="14" t="n">
        <f aca="false">N1173</f>
        <v>3.91222298543081</v>
      </c>
      <c r="AD1173" s="14" t="n">
        <f aca="false">G1173</f>
        <v>29</v>
      </c>
      <c r="AE1173" s="14" t="n">
        <f aca="false">J1173</f>
        <v>2</v>
      </c>
      <c r="AF1173" s="14" t="n">
        <f aca="false">IF($L1173=2012,1,0)</f>
        <v>0</v>
      </c>
      <c r="AG1173" s="14" t="n">
        <f aca="false">IF($L1173=2013,1,0)</f>
        <v>0</v>
      </c>
      <c r="AH1173" s="14" t="n">
        <f aca="false">IF($L1173=2014,1,0)</f>
        <v>0</v>
      </c>
      <c r="AI1173" s="14" t="n">
        <f aca="false">IF($L1173=2015,1,0)</f>
        <v>0</v>
      </c>
      <c r="AJ1173" s="14" t="n">
        <f aca="false">IF($L1173=2016,1,0)</f>
        <v>1</v>
      </c>
      <c r="AK1173" s="14" t="n">
        <f aca="false">IF($L1173=2017,1,0)</f>
        <v>0</v>
      </c>
      <c r="AL1173" s="14" t="n">
        <f aca="false">IF($H1173="Beginner Level",1,0)</f>
        <v>0</v>
      </c>
      <c r="AM1173" s="14" t="n">
        <f aca="false">IF($H1173="Expert Level",1,0)</f>
        <v>0</v>
      </c>
      <c r="AN1173" s="14" t="n">
        <f aca="false">IF($H1173="Intermediate Level",1,0)</f>
        <v>0</v>
      </c>
    </row>
    <row r="1174" customFormat="false" ht="57.45" hidden="false" customHeight="false" outlineLevel="0" collapsed="false">
      <c r="A1174" s="14" t="n">
        <v>961996</v>
      </c>
      <c r="B1174" s="14" t="s">
        <v>2389</v>
      </c>
      <c r="C1174" s="14" t="s">
        <v>2390</v>
      </c>
      <c r="D1174" s="14" t="n">
        <v>40</v>
      </c>
      <c r="E1174" s="14" t="n">
        <v>207</v>
      </c>
      <c r="F1174" s="14" t="n">
        <v>32</v>
      </c>
      <c r="G1174" s="14" t="n">
        <v>32</v>
      </c>
      <c r="H1174" s="14" t="s">
        <v>52</v>
      </c>
      <c r="I1174" s="14" t="n">
        <v>0.74</v>
      </c>
      <c r="J1174" s="14" t="n">
        <v>5</v>
      </c>
      <c r="K1174" s="14" t="s">
        <v>59</v>
      </c>
      <c r="L1174" s="14" t="n">
        <v>2016</v>
      </c>
      <c r="M1174" s="14" t="n">
        <v>5.33271879326537</v>
      </c>
      <c r="N1174" s="14" t="n">
        <v>3.68912942286914</v>
      </c>
      <c r="P1174" s="14" t="n">
        <f aca="false">D1174</f>
        <v>40</v>
      </c>
      <c r="Q1174" s="14" t="n">
        <f aca="false">G1174</f>
        <v>32</v>
      </c>
      <c r="R1174" s="14" t="n">
        <f aca="false">J1174</f>
        <v>5</v>
      </c>
      <c r="S1174" s="14" t="n">
        <f aca="false">IF($L1174=2012,1,0)</f>
        <v>0</v>
      </c>
      <c r="T1174" s="14" t="n">
        <f aca="false">IF($L1174=2013,1,0)</f>
        <v>0</v>
      </c>
      <c r="U1174" s="14" t="n">
        <f aca="false">IF($L1174=2014,1,0)</f>
        <v>0</v>
      </c>
      <c r="V1174" s="14" t="n">
        <f aca="false">IF($L1174=2015,1,0)</f>
        <v>0</v>
      </c>
      <c r="W1174" s="14" t="n">
        <f aca="false">IF($L1174=2016,1,0)</f>
        <v>1</v>
      </c>
      <c r="X1174" s="14" t="n">
        <f aca="false">IF($L1174=2017,1,0)</f>
        <v>0</v>
      </c>
      <c r="Y1174" s="14" t="n">
        <f aca="false">IF($H1174="Beginner Level",1,0)</f>
        <v>1</v>
      </c>
      <c r="Z1174" s="14" t="n">
        <f aca="false">IF($H1174="Expert Level",1,0)</f>
        <v>0</v>
      </c>
      <c r="AA1174" s="14" t="n">
        <f aca="false">IF($H1174="Intermediate Level",1,0)</f>
        <v>0</v>
      </c>
      <c r="AC1174" s="14" t="n">
        <f aca="false">N1174</f>
        <v>3.68912942286914</v>
      </c>
      <c r="AD1174" s="14" t="n">
        <f aca="false">G1174</f>
        <v>32</v>
      </c>
      <c r="AE1174" s="14" t="n">
        <f aca="false">J1174</f>
        <v>5</v>
      </c>
      <c r="AF1174" s="14" t="n">
        <f aca="false">IF($L1174=2012,1,0)</f>
        <v>0</v>
      </c>
      <c r="AG1174" s="14" t="n">
        <f aca="false">IF($L1174=2013,1,0)</f>
        <v>0</v>
      </c>
      <c r="AH1174" s="14" t="n">
        <f aca="false">IF($L1174=2014,1,0)</f>
        <v>0</v>
      </c>
      <c r="AI1174" s="14" t="n">
        <f aca="false">IF($L1174=2015,1,0)</f>
        <v>0</v>
      </c>
      <c r="AJ1174" s="14" t="n">
        <f aca="false">IF($L1174=2016,1,0)</f>
        <v>1</v>
      </c>
      <c r="AK1174" s="14" t="n">
        <f aca="false">IF($L1174=2017,1,0)</f>
        <v>0</v>
      </c>
      <c r="AL1174" s="14" t="n">
        <f aca="false">IF($H1174="Beginner Level",1,0)</f>
        <v>1</v>
      </c>
      <c r="AM1174" s="14" t="n">
        <f aca="false">IF($H1174="Expert Level",1,0)</f>
        <v>0</v>
      </c>
      <c r="AN1174" s="14" t="n">
        <f aca="false">IF($H1174="Intermediate Level",1,0)</f>
        <v>0</v>
      </c>
    </row>
    <row r="1175" customFormat="false" ht="79.85" hidden="false" customHeight="false" outlineLevel="0" collapsed="false">
      <c r="A1175" s="14" t="n">
        <v>1004008</v>
      </c>
      <c r="B1175" s="14" t="s">
        <v>2391</v>
      </c>
      <c r="C1175" s="14" t="s">
        <v>2392</v>
      </c>
      <c r="D1175" s="14" t="n">
        <v>100</v>
      </c>
      <c r="E1175" s="14" t="n">
        <v>205</v>
      </c>
      <c r="F1175" s="14" t="n">
        <v>38</v>
      </c>
      <c r="G1175" s="14" t="n">
        <v>97</v>
      </c>
      <c r="H1175" s="14" t="s">
        <v>52</v>
      </c>
      <c r="I1175" s="14" t="n">
        <v>0.7</v>
      </c>
      <c r="J1175" s="14" t="n">
        <v>13.5</v>
      </c>
      <c r="K1175" s="14" t="s">
        <v>59</v>
      </c>
      <c r="L1175" s="14" t="n">
        <v>2017</v>
      </c>
      <c r="M1175" s="14" t="n">
        <v>5.32300997913841</v>
      </c>
      <c r="N1175" s="14" t="n">
        <v>4.60527018098843</v>
      </c>
      <c r="P1175" s="14" t="n">
        <f aca="false">D1175</f>
        <v>100</v>
      </c>
      <c r="Q1175" s="14" t="n">
        <f aca="false">G1175</f>
        <v>97</v>
      </c>
      <c r="R1175" s="14" t="n">
        <f aca="false">J1175</f>
        <v>13.5</v>
      </c>
      <c r="S1175" s="14" t="n">
        <f aca="false">IF($L1175=2012,1,0)</f>
        <v>0</v>
      </c>
      <c r="T1175" s="14" t="n">
        <f aca="false">IF($L1175=2013,1,0)</f>
        <v>0</v>
      </c>
      <c r="U1175" s="14" t="n">
        <f aca="false">IF($L1175=2014,1,0)</f>
        <v>0</v>
      </c>
      <c r="V1175" s="14" t="n">
        <f aca="false">IF($L1175=2015,1,0)</f>
        <v>0</v>
      </c>
      <c r="W1175" s="14" t="n">
        <f aca="false">IF($L1175=2016,1,0)</f>
        <v>0</v>
      </c>
      <c r="X1175" s="14" t="n">
        <f aca="false">IF($L1175=2017,1,0)</f>
        <v>1</v>
      </c>
      <c r="Y1175" s="14" t="n">
        <f aca="false">IF($H1175="Beginner Level",1,0)</f>
        <v>1</v>
      </c>
      <c r="Z1175" s="14" t="n">
        <f aca="false">IF($H1175="Expert Level",1,0)</f>
        <v>0</v>
      </c>
      <c r="AA1175" s="14" t="n">
        <f aca="false">IF($H1175="Intermediate Level",1,0)</f>
        <v>0</v>
      </c>
      <c r="AC1175" s="14" t="n">
        <f aca="false">N1175</f>
        <v>4.60527018098843</v>
      </c>
      <c r="AD1175" s="14" t="n">
        <f aca="false">G1175</f>
        <v>97</v>
      </c>
      <c r="AE1175" s="14" t="n">
        <f aca="false">J1175</f>
        <v>13.5</v>
      </c>
      <c r="AF1175" s="14" t="n">
        <f aca="false">IF($L1175=2012,1,0)</f>
        <v>0</v>
      </c>
      <c r="AG1175" s="14" t="n">
        <f aca="false">IF($L1175=2013,1,0)</f>
        <v>0</v>
      </c>
      <c r="AH1175" s="14" t="n">
        <f aca="false">IF($L1175=2014,1,0)</f>
        <v>0</v>
      </c>
      <c r="AI1175" s="14" t="n">
        <f aca="false">IF($L1175=2015,1,0)</f>
        <v>0</v>
      </c>
      <c r="AJ1175" s="14" t="n">
        <f aca="false">IF($L1175=2016,1,0)</f>
        <v>0</v>
      </c>
      <c r="AK1175" s="14" t="n">
        <f aca="false">IF($L1175=2017,1,0)</f>
        <v>1</v>
      </c>
      <c r="AL1175" s="14" t="n">
        <f aca="false">IF($H1175="Beginner Level",1,0)</f>
        <v>1</v>
      </c>
      <c r="AM1175" s="14" t="n">
        <f aca="false">IF($H1175="Expert Level",1,0)</f>
        <v>0</v>
      </c>
      <c r="AN1175" s="14" t="n">
        <f aca="false">IF($H1175="Intermediate Level",1,0)</f>
        <v>0</v>
      </c>
    </row>
    <row r="1176" customFormat="false" ht="57.45" hidden="false" customHeight="false" outlineLevel="0" collapsed="false">
      <c r="A1176" s="14" t="n">
        <v>628356</v>
      </c>
      <c r="B1176" s="14" t="s">
        <v>2393</v>
      </c>
      <c r="C1176" s="14" t="s">
        <v>2394</v>
      </c>
      <c r="D1176" s="14" t="n">
        <v>50</v>
      </c>
      <c r="E1176" s="14" t="n">
        <v>203</v>
      </c>
      <c r="F1176" s="14" t="n">
        <v>33</v>
      </c>
      <c r="G1176" s="14" t="n">
        <v>15</v>
      </c>
      <c r="H1176" s="14" t="s">
        <v>52</v>
      </c>
      <c r="I1176" s="14" t="n">
        <v>0.34</v>
      </c>
      <c r="J1176" s="14" t="n">
        <v>3</v>
      </c>
      <c r="K1176" s="14" t="s">
        <v>59</v>
      </c>
      <c r="L1176" s="14" t="n">
        <v>2015</v>
      </c>
      <c r="M1176" s="14" t="n">
        <v>5.31320597904179</v>
      </c>
      <c r="N1176" s="14" t="n">
        <v>3.91222298543081</v>
      </c>
      <c r="P1176" s="14" t="n">
        <f aca="false">D1176</f>
        <v>50</v>
      </c>
      <c r="Q1176" s="14" t="n">
        <f aca="false">G1176</f>
        <v>15</v>
      </c>
      <c r="R1176" s="14" t="n">
        <f aca="false">J1176</f>
        <v>3</v>
      </c>
      <c r="S1176" s="14" t="n">
        <f aca="false">IF($L1176=2012,1,0)</f>
        <v>0</v>
      </c>
      <c r="T1176" s="14" t="n">
        <f aca="false">IF($L1176=2013,1,0)</f>
        <v>0</v>
      </c>
      <c r="U1176" s="14" t="n">
        <f aca="false">IF($L1176=2014,1,0)</f>
        <v>0</v>
      </c>
      <c r="V1176" s="14" t="n">
        <f aca="false">IF($L1176=2015,1,0)</f>
        <v>1</v>
      </c>
      <c r="W1176" s="14" t="n">
        <f aca="false">IF($L1176=2016,1,0)</f>
        <v>0</v>
      </c>
      <c r="X1176" s="14" t="n">
        <f aca="false">IF($L1176=2017,1,0)</f>
        <v>0</v>
      </c>
      <c r="Y1176" s="14" t="n">
        <f aca="false">IF($H1176="Beginner Level",1,0)</f>
        <v>1</v>
      </c>
      <c r="Z1176" s="14" t="n">
        <f aca="false">IF($H1176="Expert Level",1,0)</f>
        <v>0</v>
      </c>
      <c r="AA1176" s="14" t="n">
        <f aca="false">IF($H1176="Intermediate Level",1,0)</f>
        <v>0</v>
      </c>
      <c r="AC1176" s="14" t="n">
        <f aca="false">N1176</f>
        <v>3.91222298543081</v>
      </c>
      <c r="AD1176" s="14" t="n">
        <f aca="false">G1176</f>
        <v>15</v>
      </c>
      <c r="AE1176" s="14" t="n">
        <f aca="false">J1176</f>
        <v>3</v>
      </c>
      <c r="AF1176" s="14" t="n">
        <f aca="false">IF($L1176=2012,1,0)</f>
        <v>0</v>
      </c>
      <c r="AG1176" s="14" t="n">
        <f aca="false">IF($L1176=2013,1,0)</f>
        <v>0</v>
      </c>
      <c r="AH1176" s="14" t="n">
        <f aca="false">IF($L1176=2014,1,0)</f>
        <v>0</v>
      </c>
      <c r="AI1176" s="14" t="n">
        <f aca="false">IF($L1176=2015,1,0)</f>
        <v>1</v>
      </c>
      <c r="AJ1176" s="14" t="n">
        <f aca="false">IF($L1176=2016,1,0)</f>
        <v>0</v>
      </c>
      <c r="AK1176" s="14" t="n">
        <f aca="false">IF($L1176=2017,1,0)</f>
        <v>0</v>
      </c>
      <c r="AL1176" s="14" t="n">
        <f aca="false">IF($H1176="Beginner Level",1,0)</f>
        <v>1</v>
      </c>
      <c r="AM1176" s="14" t="n">
        <f aca="false">IF($H1176="Expert Level",1,0)</f>
        <v>0</v>
      </c>
      <c r="AN1176" s="14" t="n">
        <f aca="false">IF($H1176="Intermediate Level",1,0)</f>
        <v>0</v>
      </c>
    </row>
    <row r="1177" customFormat="false" ht="57.45" hidden="false" customHeight="false" outlineLevel="0" collapsed="false">
      <c r="A1177" s="14" t="n">
        <v>1038538</v>
      </c>
      <c r="B1177" s="14" t="s">
        <v>2395</v>
      </c>
      <c r="C1177" s="14" t="s">
        <v>2396</v>
      </c>
      <c r="D1177" s="14" t="n">
        <v>85</v>
      </c>
      <c r="E1177" s="14" t="n">
        <v>197</v>
      </c>
      <c r="F1177" s="14" t="n">
        <v>26</v>
      </c>
      <c r="G1177" s="14" t="n">
        <v>28</v>
      </c>
      <c r="H1177" s="14" t="s">
        <v>62</v>
      </c>
      <c r="I1177" s="14" t="n">
        <v>0.78</v>
      </c>
      <c r="J1177" s="14" t="n">
        <v>3.5</v>
      </c>
      <c r="K1177" s="14" t="s">
        <v>59</v>
      </c>
      <c r="L1177" s="14" t="n">
        <v>2016</v>
      </c>
      <c r="M1177" s="14" t="n">
        <v>5.28320372873799</v>
      </c>
      <c r="N1177" s="14" t="n">
        <v>4.44276889662927</v>
      </c>
      <c r="P1177" s="14" t="n">
        <f aca="false">D1177</f>
        <v>85</v>
      </c>
      <c r="Q1177" s="14" t="n">
        <f aca="false">G1177</f>
        <v>28</v>
      </c>
      <c r="R1177" s="14" t="n">
        <f aca="false">J1177</f>
        <v>3.5</v>
      </c>
      <c r="S1177" s="14" t="n">
        <f aca="false">IF($L1177=2012,1,0)</f>
        <v>0</v>
      </c>
      <c r="T1177" s="14" t="n">
        <f aca="false">IF($L1177=2013,1,0)</f>
        <v>0</v>
      </c>
      <c r="U1177" s="14" t="n">
        <f aca="false">IF($L1177=2014,1,0)</f>
        <v>0</v>
      </c>
      <c r="V1177" s="14" t="n">
        <f aca="false">IF($L1177=2015,1,0)</f>
        <v>0</v>
      </c>
      <c r="W1177" s="14" t="n">
        <f aca="false">IF($L1177=2016,1,0)</f>
        <v>1</v>
      </c>
      <c r="X1177" s="14" t="n">
        <f aca="false">IF($L1177=2017,1,0)</f>
        <v>0</v>
      </c>
      <c r="Y1177" s="14" t="n">
        <f aca="false">IF($H1177="Beginner Level",1,0)</f>
        <v>0</v>
      </c>
      <c r="Z1177" s="14" t="n">
        <f aca="false">IF($H1177="Expert Level",1,0)</f>
        <v>0</v>
      </c>
      <c r="AA1177" s="14" t="n">
        <f aca="false">IF($H1177="Intermediate Level",1,0)</f>
        <v>0</v>
      </c>
      <c r="AC1177" s="14" t="n">
        <f aca="false">N1177</f>
        <v>4.44276889662927</v>
      </c>
      <c r="AD1177" s="14" t="n">
        <f aca="false">G1177</f>
        <v>28</v>
      </c>
      <c r="AE1177" s="14" t="n">
        <f aca="false">J1177</f>
        <v>3.5</v>
      </c>
      <c r="AF1177" s="14" t="n">
        <f aca="false">IF($L1177=2012,1,0)</f>
        <v>0</v>
      </c>
      <c r="AG1177" s="14" t="n">
        <f aca="false">IF($L1177=2013,1,0)</f>
        <v>0</v>
      </c>
      <c r="AH1177" s="14" t="n">
        <f aca="false">IF($L1177=2014,1,0)</f>
        <v>0</v>
      </c>
      <c r="AI1177" s="14" t="n">
        <f aca="false">IF($L1177=2015,1,0)</f>
        <v>0</v>
      </c>
      <c r="AJ1177" s="14" t="n">
        <f aca="false">IF($L1177=2016,1,0)</f>
        <v>1</v>
      </c>
      <c r="AK1177" s="14" t="n">
        <f aca="false">IF($L1177=2017,1,0)</f>
        <v>0</v>
      </c>
      <c r="AL1177" s="14" t="n">
        <f aca="false">IF($H1177="Beginner Level",1,0)</f>
        <v>0</v>
      </c>
      <c r="AM1177" s="14" t="n">
        <f aca="false">IF($H1177="Expert Level",1,0)</f>
        <v>0</v>
      </c>
      <c r="AN1177" s="14" t="n">
        <f aca="false">IF($H1177="Intermediate Level",1,0)</f>
        <v>0</v>
      </c>
    </row>
    <row r="1178" customFormat="false" ht="57.45" hidden="false" customHeight="false" outlineLevel="0" collapsed="false">
      <c r="A1178" s="14" t="n">
        <v>1158836</v>
      </c>
      <c r="B1178" s="14" t="s">
        <v>2397</v>
      </c>
      <c r="C1178" s="14" t="s">
        <v>2398</v>
      </c>
      <c r="D1178" s="14" t="n">
        <v>100</v>
      </c>
      <c r="E1178" s="14" t="n">
        <v>197</v>
      </c>
      <c r="F1178" s="14" t="n">
        <v>11</v>
      </c>
      <c r="G1178" s="14" t="n">
        <v>53</v>
      </c>
      <c r="H1178" s="14" t="s">
        <v>52</v>
      </c>
      <c r="I1178" s="14" t="n">
        <v>0.64</v>
      </c>
      <c r="J1178" s="14" t="n">
        <v>3.5</v>
      </c>
      <c r="K1178" s="14" t="s">
        <v>59</v>
      </c>
      <c r="L1178" s="14" t="n">
        <v>2017</v>
      </c>
      <c r="M1178" s="14" t="n">
        <v>5.28320372873799</v>
      </c>
      <c r="N1178" s="14" t="n">
        <v>4.60527018098843</v>
      </c>
      <c r="P1178" s="14" t="n">
        <f aca="false">D1178</f>
        <v>100</v>
      </c>
      <c r="Q1178" s="14" t="n">
        <f aca="false">G1178</f>
        <v>53</v>
      </c>
      <c r="R1178" s="14" t="n">
        <f aca="false">J1178</f>
        <v>3.5</v>
      </c>
      <c r="S1178" s="14" t="n">
        <f aca="false">IF($L1178=2012,1,0)</f>
        <v>0</v>
      </c>
      <c r="T1178" s="14" t="n">
        <f aca="false">IF($L1178=2013,1,0)</f>
        <v>0</v>
      </c>
      <c r="U1178" s="14" t="n">
        <f aca="false">IF($L1178=2014,1,0)</f>
        <v>0</v>
      </c>
      <c r="V1178" s="14" t="n">
        <f aca="false">IF($L1178=2015,1,0)</f>
        <v>0</v>
      </c>
      <c r="W1178" s="14" t="n">
        <f aca="false">IF($L1178=2016,1,0)</f>
        <v>0</v>
      </c>
      <c r="X1178" s="14" t="n">
        <f aca="false">IF($L1178=2017,1,0)</f>
        <v>1</v>
      </c>
      <c r="Y1178" s="14" t="n">
        <f aca="false">IF($H1178="Beginner Level",1,0)</f>
        <v>1</v>
      </c>
      <c r="Z1178" s="14" t="n">
        <f aca="false">IF($H1178="Expert Level",1,0)</f>
        <v>0</v>
      </c>
      <c r="AA1178" s="14" t="n">
        <f aca="false">IF($H1178="Intermediate Level",1,0)</f>
        <v>0</v>
      </c>
      <c r="AC1178" s="14" t="n">
        <f aca="false">N1178</f>
        <v>4.60527018098843</v>
      </c>
      <c r="AD1178" s="14" t="n">
        <f aca="false">G1178</f>
        <v>53</v>
      </c>
      <c r="AE1178" s="14" t="n">
        <f aca="false">J1178</f>
        <v>3.5</v>
      </c>
      <c r="AF1178" s="14" t="n">
        <f aca="false">IF($L1178=2012,1,0)</f>
        <v>0</v>
      </c>
      <c r="AG1178" s="14" t="n">
        <f aca="false">IF($L1178=2013,1,0)</f>
        <v>0</v>
      </c>
      <c r="AH1178" s="14" t="n">
        <f aca="false">IF($L1178=2014,1,0)</f>
        <v>0</v>
      </c>
      <c r="AI1178" s="14" t="n">
        <f aca="false">IF($L1178=2015,1,0)</f>
        <v>0</v>
      </c>
      <c r="AJ1178" s="14" t="n">
        <f aca="false">IF($L1178=2016,1,0)</f>
        <v>0</v>
      </c>
      <c r="AK1178" s="14" t="n">
        <f aca="false">IF($L1178=2017,1,0)</f>
        <v>1</v>
      </c>
      <c r="AL1178" s="14" t="n">
        <f aca="false">IF($H1178="Beginner Level",1,0)</f>
        <v>1</v>
      </c>
      <c r="AM1178" s="14" t="n">
        <f aca="false">IF($H1178="Expert Level",1,0)</f>
        <v>0</v>
      </c>
      <c r="AN1178" s="14" t="n">
        <f aca="false">IF($H1178="Intermediate Level",1,0)</f>
        <v>0</v>
      </c>
    </row>
    <row r="1179" customFormat="false" ht="57.45" hidden="false" customHeight="false" outlineLevel="0" collapsed="false">
      <c r="A1179" s="14" t="n">
        <v>954710</v>
      </c>
      <c r="B1179" s="14" t="s">
        <v>2399</v>
      </c>
      <c r="C1179" s="14" t="s">
        <v>2400</v>
      </c>
      <c r="D1179" s="14" t="n">
        <v>40</v>
      </c>
      <c r="E1179" s="14" t="n">
        <v>194</v>
      </c>
      <c r="F1179" s="14" t="n">
        <v>26</v>
      </c>
      <c r="G1179" s="14" t="n">
        <v>87</v>
      </c>
      <c r="H1179" s="14" t="s">
        <v>62</v>
      </c>
      <c r="I1179" s="14" t="n">
        <v>0.36</v>
      </c>
      <c r="J1179" s="14" t="n">
        <v>10</v>
      </c>
      <c r="K1179" s="14" t="s">
        <v>59</v>
      </c>
      <c r="L1179" s="14" t="n">
        <v>2016</v>
      </c>
      <c r="M1179" s="14" t="n">
        <v>5.26785815906333</v>
      </c>
      <c r="N1179" s="14" t="n">
        <v>3.68912942286914</v>
      </c>
      <c r="P1179" s="14" t="n">
        <f aca="false">D1179</f>
        <v>40</v>
      </c>
      <c r="Q1179" s="14" t="n">
        <f aca="false">G1179</f>
        <v>87</v>
      </c>
      <c r="R1179" s="14" t="n">
        <f aca="false">J1179</f>
        <v>10</v>
      </c>
      <c r="S1179" s="14" t="n">
        <f aca="false">IF($L1179=2012,1,0)</f>
        <v>0</v>
      </c>
      <c r="T1179" s="14" t="n">
        <f aca="false">IF($L1179=2013,1,0)</f>
        <v>0</v>
      </c>
      <c r="U1179" s="14" t="n">
        <f aca="false">IF($L1179=2014,1,0)</f>
        <v>0</v>
      </c>
      <c r="V1179" s="14" t="n">
        <f aca="false">IF($L1179=2015,1,0)</f>
        <v>0</v>
      </c>
      <c r="W1179" s="14" t="n">
        <f aca="false">IF($L1179=2016,1,0)</f>
        <v>1</v>
      </c>
      <c r="X1179" s="14" t="n">
        <f aca="false">IF($L1179=2017,1,0)</f>
        <v>0</v>
      </c>
      <c r="Y1179" s="14" t="n">
        <f aca="false">IF($H1179="Beginner Level",1,0)</f>
        <v>0</v>
      </c>
      <c r="Z1179" s="14" t="n">
        <f aca="false">IF($H1179="Expert Level",1,0)</f>
        <v>0</v>
      </c>
      <c r="AA1179" s="14" t="n">
        <f aca="false">IF($H1179="Intermediate Level",1,0)</f>
        <v>0</v>
      </c>
      <c r="AC1179" s="14" t="n">
        <f aca="false">N1179</f>
        <v>3.68912942286914</v>
      </c>
      <c r="AD1179" s="14" t="n">
        <f aca="false">G1179</f>
        <v>87</v>
      </c>
      <c r="AE1179" s="14" t="n">
        <f aca="false">J1179</f>
        <v>10</v>
      </c>
      <c r="AF1179" s="14" t="n">
        <f aca="false">IF($L1179=2012,1,0)</f>
        <v>0</v>
      </c>
      <c r="AG1179" s="14" t="n">
        <f aca="false">IF($L1179=2013,1,0)</f>
        <v>0</v>
      </c>
      <c r="AH1179" s="14" t="n">
        <f aca="false">IF($L1179=2014,1,0)</f>
        <v>0</v>
      </c>
      <c r="AI1179" s="14" t="n">
        <f aca="false">IF($L1179=2015,1,0)</f>
        <v>0</v>
      </c>
      <c r="AJ1179" s="14" t="n">
        <f aca="false">IF($L1179=2016,1,0)</f>
        <v>1</v>
      </c>
      <c r="AK1179" s="14" t="n">
        <f aca="false">IF($L1179=2017,1,0)</f>
        <v>0</v>
      </c>
      <c r="AL1179" s="14" t="n">
        <f aca="false">IF($H1179="Beginner Level",1,0)</f>
        <v>0</v>
      </c>
      <c r="AM1179" s="14" t="n">
        <f aca="false">IF($H1179="Expert Level",1,0)</f>
        <v>0</v>
      </c>
      <c r="AN1179" s="14" t="n">
        <f aca="false">IF($H1179="Intermediate Level",1,0)</f>
        <v>0</v>
      </c>
    </row>
    <row r="1180" customFormat="false" ht="57.45" hidden="false" customHeight="false" outlineLevel="0" collapsed="false">
      <c r="A1180" s="14" t="n">
        <v>1160196</v>
      </c>
      <c r="B1180" s="14" t="s">
        <v>2401</v>
      </c>
      <c r="C1180" s="14" t="s">
        <v>2402</v>
      </c>
      <c r="D1180" s="14" t="n">
        <v>35</v>
      </c>
      <c r="E1180" s="14" t="n">
        <v>189</v>
      </c>
      <c r="F1180" s="14" t="n">
        <v>7</v>
      </c>
      <c r="G1180" s="14" t="n">
        <v>16</v>
      </c>
      <c r="H1180" s="14" t="s">
        <v>52</v>
      </c>
      <c r="I1180" s="14" t="n">
        <v>0.76</v>
      </c>
      <c r="J1180" s="14" t="n">
        <v>1</v>
      </c>
      <c r="K1180" s="14" t="s">
        <v>59</v>
      </c>
      <c r="L1180" s="14" t="n">
        <v>2017</v>
      </c>
      <c r="M1180" s="14" t="n">
        <v>5.24174701505964</v>
      </c>
      <c r="N1180" s="14" t="n">
        <v>3.55563373496657</v>
      </c>
      <c r="P1180" s="14" t="n">
        <f aca="false">D1180</f>
        <v>35</v>
      </c>
      <c r="Q1180" s="14" t="n">
        <f aca="false">G1180</f>
        <v>16</v>
      </c>
      <c r="R1180" s="14" t="n">
        <f aca="false">J1180</f>
        <v>1</v>
      </c>
      <c r="S1180" s="14" t="n">
        <f aca="false">IF($L1180=2012,1,0)</f>
        <v>0</v>
      </c>
      <c r="T1180" s="14" t="n">
        <f aca="false">IF($L1180=2013,1,0)</f>
        <v>0</v>
      </c>
      <c r="U1180" s="14" t="n">
        <f aca="false">IF($L1180=2014,1,0)</f>
        <v>0</v>
      </c>
      <c r="V1180" s="14" t="n">
        <f aca="false">IF($L1180=2015,1,0)</f>
        <v>0</v>
      </c>
      <c r="W1180" s="14" t="n">
        <f aca="false">IF($L1180=2016,1,0)</f>
        <v>0</v>
      </c>
      <c r="X1180" s="14" t="n">
        <f aca="false">IF($L1180=2017,1,0)</f>
        <v>1</v>
      </c>
      <c r="Y1180" s="14" t="n">
        <f aca="false">IF($H1180="Beginner Level",1,0)</f>
        <v>1</v>
      </c>
      <c r="Z1180" s="14" t="n">
        <f aca="false">IF($H1180="Expert Level",1,0)</f>
        <v>0</v>
      </c>
      <c r="AA1180" s="14" t="n">
        <f aca="false">IF($H1180="Intermediate Level",1,0)</f>
        <v>0</v>
      </c>
      <c r="AC1180" s="14" t="n">
        <f aca="false">N1180</f>
        <v>3.55563373496657</v>
      </c>
      <c r="AD1180" s="14" t="n">
        <f aca="false">G1180</f>
        <v>16</v>
      </c>
      <c r="AE1180" s="14" t="n">
        <f aca="false">J1180</f>
        <v>1</v>
      </c>
      <c r="AF1180" s="14" t="n">
        <f aca="false">IF($L1180=2012,1,0)</f>
        <v>0</v>
      </c>
      <c r="AG1180" s="14" t="n">
        <f aca="false">IF($L1180=2013,1,0)</f>
        <v>0</v>
      </c>
      <c r="AH1180" s="14" t="n">
        <f aca="false">IF($L1180=2014,1,0)</f>
        <v>0</v>
      </c>
      <c r="AI1180" s="14" t="n">
        <f aca="false">IF($L1180=2015,1,0)</f>
        <v>0</v>
      </c>
      <c r="AJ1180" s="14" t="n">
        <f aca="false">IF($L1180=2016,1,0)</f>
        <v>0</v>
      </c>
      <c r="AK1180" s="14" t="n">
        <f aca="false">IF($L1180=2017,1,0)</f>
        <v>1</v>
      </c>
      <c r="AL1180" s="14" t="n">
        <f aca="false">IF($H1180="Beginner Level",1,0)</f>
        <v>1</v>
      </c>
      <c r="AM1180" s="14" t="n">
        <f aca="false">IF($H1180="Expert Level",1,0)</f>
        <v>0</v>
      </c>
      <c r="AN1180" s="14" t="n">
        <f aca="false">IF($H1180="Intermediate Level",1,0)</f>
        <v>0</v>
      </c>
    </row>
    <row r="1181" customFormat="false" ht="68.65" hidden="false" customHeight="false" outlineLevel="0" collapsed="false">
      <c r="A1181" s="14" t="n">
        <v>1063430</v>
      </c>
      <c r="B1181" s="14" t="s">
        <v>2403</v>
      </c>
      <c r="C1181" s="14" t="s">
        <v>2404</v>
      </c>
      <c r="D1181" s="14" t="n">
        <v>165</v>
      </c>
      <c r="E1181" s="14" t="n">
        <v>183</v>
      </c>
      <c r="F1181" s="14" t="n">
        <v>30</v>
      </c>
      <c r="G1181" s="14" t="n">
        <v>47</v>
      </c>
      <c r="H1181" s="14" t="s">
        <v>52</v>
      </c>
      <c r="I1181" s="14" t="n">
        <v>1</v>
      </c>
      <c r="J1181" s="14" t="n">
        <v>5.5</v>
      </c>
      <c r="K1181" s="14" t="s">
        <v>59</v>
      </c>
      <c r="L1181" s="14" t="n">
        <v>2017</v>
      </c>
      <c r="M1181" s="14" t="n">
        <v>5.20948615284142</v>
      </c>
      <c r="N1181" s="14" t="n">
        <v>5.10600607812471</v>
      </c>
      <c r="P1181" s="14" t="n">
        <f aca="false">D1181</f>
        <v>165</v>
      </c>
      <c r="Q1181" s="14" t="n">
        <f aca="false">G1181</f>
        <v>47</v>
      </c>
      <c r="R1181" s="14" t="n">
        <f aca="false">J1181</f>
        <v>5.5</v>
      </c>
      <c r="S1181" s="14" t="n">
        <f aca="false">IF($L1181=2012,1,0)</f>
        <v>0</v>
      </c>
      <c r="T1181" s="14" t="n">
        <f aca="false">IF($L1181=2013,1,0)</f>
        <v>0</v>
      </c>
      <c r="U1181" s="14" t="n">
        <f aca="false">IF($L1181=2014,1,0)</f>
        <v>0</v>
      </c>
      <c r="V1181" s="14" t="n">
        <f aca="false">IF($L1181=2015,1,0)</f>
        <v>0</v>
      </c>
      <c r="W1181" s="14" t="n">
        <f aca="false">IF($L1181=2016,1,0)</f>
        <v>0</v>
      </c>
      <c r="X1181" s="14" t="n">
        <f aca="false">IF($L1181=2017,1,0)</f>
        <v>1</v>
      </c>
      <c r="Y1181" s="14" t="n">
        <f aca="false">IF($H1181="Beginner Level",1,0)</f>
        <v>1</v>
      </c>
      <c r="Z1181" s="14" t="n">
        <f aca="false">IF($H1181="Expert Level",1,0)</f>
        <v>0</v>
      </c>
      <c r="AA1181" s="14" t="n">
        <f aca="false">IF($H1181="Intermediate Level",1,0)</f>
        <v>0</v>
      </c>
      <c r="AC1181" s="14" t="n">
        <f aca="false">N1181</f>
        <v>5.10600607812471</v>
      </c>
      <c r="AD1181" s="14" t="n">
        <f aca="false">G1181</f>
        <v>47</v>
      </c>
      <c r="AE1181" s="14" t="n">
        <f aca="false">J1181</f>
        <v>5.5</v>
      </c>
      <c r="AF1181" s="14" t="n">
        <f aca="false">IF($L1181=2012,1,0)</f>
        <v>0</v>
      </c>
      <c r="AG1181" s="14" t="n">
        <f aca="false">IF($L1181=2013,1,0)</f>
        <v>0</v>
      </c>
      <c r="AH1181" s="14" t="n">
        <f aca="false">IF($L1181=2014,1,0)</f>
        <v>0</v>
      </c>
      <c r="AI1181" s="14" t="n">
        <f aca="false">IF($L1181=2015,1,0)</f>
        <v>0</v>
      </c>
      <c r="AJ1181" s="14" t="n">
        <f aca="false">IF($L1181=2016,1,0)</f>
        <v>0</v>
      </c>
      <c r="AK1181" s="14" t="n">
        <f aca="false">IF($L1181=2017,1,0)</f>
        <v>1</v>
      </c>
      <c r="AL1181" s="14" t="n">
        <f aca="false">IF($H1181="Beginner Level",1,0)</f>
        <v>1</v>
      </c>
      <c r="AM1181" s="14" t="n">
        <f aca="false">IF($H1181="Expert Level",1,0)</f>
        <v>0</v>
      </c>
      <c r="AN1181" s="14" t="n">
        <f aca="false">IF($H1181="Intermediate Level",1,0)</f>
        <v>0</v>
      </c>
    </row>
    <row r="1182" customFormat="false" ht="91" hidden="false" customHeight="false" outlineLevel="0" collapsed="false">
      <c r="A1182" s="14" t="n">
        <v>921560</v>
      </c>
      <c r="B1182" s="14" t="s">
        <v>2405</v>
      </c>
      <c r="C1182" s="14" t="s">
        <v>2406</v>
      </c>
      <c r="D1182" s="14" t="n">
        <v>95</v>
      </c>
      <c r="E1182" s="14" t="n">
        <v>177</v>
      </c>
      <c r="F1182" s="14" t="n">
        <v>19</v>
      </c>
      <c r="G1182" s="14" t="n">
        <v>10</v>
      </c>
      <c r="H1182" s="14" t="s">
        <v>62</v>
      </c>
      <c r="I1182" s="14" t="n">
        <v>0.98</v>
      </c>
      <c r="J1182" s="14" t="n">
        <v>1</v>
      </c>
      <c r="K1182" s="14" t="s">
        <v>59</v>
      </c>
      <c r="L1182" s="14" t="n">
        <v>2016</v>
      </c>
      <c r="M1182" s="14" t="n">
        <v>5.17614973257383</v>
      </c>
      <c r="N1182" s="14" t="n">
        <v>4.55398214921866</v>
      </c>
      <c r="P1182" s="14" t="n">
        <f aca="false">D1182</f>
        <v>95</v>
      </c>
      <c r="Q1182" s="14" t="n">
        <f aca="false">G1182</f>
        <v>10</v>
      </c>
      <c r="R1182" s="14" t="n">
        <f aca="false">J1182</f>
        <v>1</v>
      </c>
      <c r="S1182" s="14" t="n">
        <f aca="false">IF($L1182=2012,1,0)</f>
        <v>0</v>
      </c>
      <c r="T1182" s="14" t="n">
        <f aca="false">IF($L1182=2013,1,0)</f>
        <v>0</v>
      </c>
      <c r="U1182" s="14" t="n">
        <f aca="false">IF($L1182=2014,1,0)</f>
        <v>0</v>
      </c>
      <c r="V1182" s="14" t="n">
        <f aca="false">IF($L1182=2015,1,0)</f>
        <v>0</v>
      </c>
      <c r="W1182" s="14" t="n">
        <f aca="false">IF($L1182=2016,1,0)</f>
        <v>1</v>
      </c>
      <c r="X1182" s="14" t="n">
        <f aca="false">IF($L1182=2017,1,0)</f>
        <v>0</v>
      </c>
      <c r="Y1182" s="14" t="n">
        <f aca="false">IF($H1182="Beginner Level",1,0)</f>
        <v>0</v>
      </c>
      <c r="Z1182" s="14" t="n">
        <f aca="false">IF($H1182="Expert Level",1,0)</f>
        <v>0</v>
      </c>
      <c r="AA1182" s="14" t="n">
        <f aca="false">IF($H1182="Intermediate Level",1,0)</f>
        <v>0</v>
      </c>
      <c r="AC1182" s="14" t="n">
        <f aca="false">N1182</f>
        <v>4.55398214921866</v>
      </c>
      <c r="AD1182" s="14" t="n">
        <f aca="false">G1182</f>
        <v>10</v>
      </c>
      <c r="AE1182" s="14" t="n">
        <f aca="false">J1182</f>
        <v>1</v>
      </c>
      <c r="AF1182" s="14" t="n">
        <f aca="false">IF($L1182=2012,1,0)</f>
        <v>0</v>
      </c>
      <c r="AG1182" s="14" t="n">
        <f aca="false">IF($L1182=2013,1,0)</f>
        <v>0</v>
      </c>
      <c r="AH1182" s="14" t="n">
        <f aca="false">IF($L1182=2014,1,0)</f>
        <v>0</v>
      </c>
      <c r="AI1182" s="14" t="n">
        <f aca="false">IF($L1182=2015,1,0)</f>
        <v>0</v>
      </c>
      <c r="AJ1182" s="14" t="n">
        <f aca="false">IF($L1182=2016,1,0)</f>
        <v>1</v>
      </c>
      <c r="AK1182" s="14" t="n">
        <f aca="false">IF($L1182=2017,1,0)</f>
        <v>0</v>
      </c>
      <c r="AL1182" s="14" t="n">
        <f aca="false">IF($H1182="Beginner Level",1,0)</f>
        <v>0</v>
      </c>
      <c r="AM1182" s="14" t="n">
        <f aca="false">IF($H1182="Expert Level",1,0)</f>
        <v>0</v>
      </c>
      <c r="AN1182" s="14" t="n">
        <f aca="false">IF($H1182="Intermediate Level",1,0)</f>
        <v>0</v>
      </c>
    </row>
    <row r="1183" customFormat="false" ht="46.25" hidden="false" customHeight="false" outlineLevel="0" collapsed="false">
      <c r="A1183" s="14" t="n">
        <v>1071060</v>
      </c>
      <c r="B1183" s="14" t="s">
        <v>2407</v>
      </c>
      <c r="C1183" s="14" t="s">
        <v>2408</v>
      </c>
      <c r="D1183" s="14" t="n">
        <v>125</v>
      </c>
      <c r="E1183" s="14" t="n">
        <v>170</v>
      </c>
      <c r="F1183" s="14" t="n">
        <v>21</v>
      </c>
      <c r="G1183" s="14" t="n">
        <v>78</v>
      </c>
      <c r="H1183" s="14" t="s">
        <v>62</v>
      </c>
      <c r="I1183" s="14" t="n">
        <v>1</v>
      </c>
      <c r="J1183" s="14" t="n">
        <v>9</v>
      </c>
      <c r="K1183" s="14" t="s">
        <v>59</v>
      </c>
      <c r="L1183" s="14" t="n">
        <v>2017</v>
      </c>
      <c r="M1183" s="14" t="n">
        <v>5.13579843705026</v>
      </c>
      <c r="N1183" s="14" t="n">
        <v>4.82839373410247</v>
      </c>
      <c r="P1183" s="14" t="n">
        <f aca="false">D1183</f>
        <v>125</v>
      </c>
      <c r="Q1183" s="14" t="n">
        <f aca="false">G1183</f>
        <v>78</v>
      </c>
      <c r="R1183" s="14" t="n">
        <f aca="false">J1183</f>
        <v>9</v>
      </c>
      <c r="S1183" s="14" t="n">
        <f aca="false">IF($L1183=2012,1,0)</f>
        <v>0</v>
      </c>
      <c r="T1183" s="14" t="n">
        <f aca="false">IF($L1183=2013,1,0)</f>
        <v>0</v>
      </c>
      <c r="U1183" s="14" t="n">
        <f aca="false">IF($L1183=2014,1,0)</f>
        <v>0</v>
      </c>
      <c r="V1183" s="14" t="n">
        <f aca="false">IF($L1183=2015,1,0)</f>
        <v>0</v>
      </c>
      <c r="W1183" s="14" t="n">
        <f aca="false">IF($L1183=2016,1,0)</f>
        <v>0</v>
      </c>
      <c r="X1183" s="14" t="n">
        <f aca="false">IF($L1183=2017,1,0)</f>
        <v>1</v>
      </c>
      <c r="Y1183" s="14" t="n">
        <f aca="false">IF($H1183="Beginner Level",1,0)</f>
        <v>0</v>
      </c>
      <c r="Z1183" s="14" t="n">
        <f aca="false">IF($H1183="Expert Level",1,0)</f>
        <v>0</v>
      </c>
      <c r="AA1183" s="14" t="n">
        <f aca="false">IF($H1183="Intermediate Level",1,0)</f>
        <v>0</v>
      </c>
      <c r="AC1183" s="14" t="n">
        <f aca="false">N1183</f>
        <v>4.82839373410247</v>
      </c>
      <c r="AD1183" s="14" t="n">
        <f aca="false">G1183</f>
        <v>78</v>
      </c>
      <c r="AE1183" s="14" t="n">
        <f aca="false">J1183</f>
        <v>9</v>
      </c>
      <c r="AF1183" s="14" t="n">
        <f aca="false">IF($L1183=2012,1,0)</f>
        <v>0</v>
      </c>
      <c r="AG1183" s="14" t="n">
        <f aca="false">IF($L1183=2013,1,0)</f>
        <v>0</v>
      </c>
      <c r="AH1183" s="14" t="n">
        <f aca="false">IF($L1183=2014,1,0)</f>
        <v>0</v>
      </c>
      <c r="AI1183" s="14" t="n">
        <f aca="false">IF($L1183=2015,1,0)</f>
        <v>0</v>
      </c>
      <c r="AJ1183" s="14" t="n">
        <f aca="false">IF($L1183=2016,1,0)</f>
        <v>0</v>
      </c>
      <c r="AK1183" s="14" t="n">
        <f aca="false">IF($L1183=2017,1,0)</f>
        <v>1</v>
      </c>
      <c r="AL1183" s="14" t="n">
        <f aca="false">IF($H1183="Beginner Level",1,0)</f>
        <v>0</v>
      </c>
      <c r="AM1183" s="14" t="n">
        <f aca="false">IF($H1183="Expert Level",1,0)</f>
        <v>0</v>
      </c>
      <c r="AN1183" s="14" t="n">
        <f aca="false">IF($H1183="Intermediate Level",1,0)</f>
        <v>0</v>
      </c>
    </row>
    <row r="1184" customFormat="false" ht="68.65" hidden="false" customHeight="false" outlineLevel="0" collapsed="false">
      <c r="A1184" s="14" t="n">
        <v>873844</v>
      </c>
      <c r="B1184" s="14" t="s">
        <v>2409</v>
      </c>
      <c r="C1184" s="14" t="s">
        <v>2410</v>
      </c>
      <c r="D1184" s="14" t="n">
        <v>50</v>
      </c>
      <c r="E1184" s="14" t="n">
        <v>166</v>
      </c>
      <c r="F1184" s="14" t="n">
        <v>21</v>
      </c>
      <c r="G1184" s="14" t="n">
        <v>37</v>
      </c>
      <c r="H1184" s="14" t="s">
        <v>62</v>
      </c>
      <c r="I1184" s="14" t="n">
        <v>0.75</v>
      </c>
      <c r="J1184" s="14" t="n">
        <v>2.5</v>
      </c>
      <c r="K1184" s="14" t="s">
        <v>59</v>
      </c>
      <c r="L1184" s="14" t="n">
        <v>2016</v>
      </c>
      <c r="M1184" s="14" t="n">
        <v>5.11198778835654</v>
      </c>
      <c r="N1184" s="14" t="n">
        <v>3.91222298543081</v>
      </c>
      <c r="P1184" s="14" t="n">
        <f aca="false">D1184</f>
        <v>50</v>
      </c>
      <c r="Q1184" s="14" t="n">
        <f aca="false">G1184</f>
        <v>37</v>
      </c>
      <c r="R1184" s="14" t="n">
        <f aca="false">J1184</f>
        <v>2.5</v>
      </c>
      <c r="S1184" s="14" t="n">
        <f aca="false">IF($L1184=2012,1,0)</f>
        <v>0</v>
      </c>
      <c r="T1184" s="14" t="n">
        <f aca="false">IF($L1184=2013,1,0)</f>
        <v>0</v>
      </c>
      <c r="U1184" s="14" t="n">
        <f aca="false">IF($L1184=2014,1,0)</f>
        <v>0</v>
      </c>
      <c r="V1184" s="14" t="n">
        <f aca="false">IF($L1184=2015,1,0)</f>
        <v>0</v>
      </c>
      <c r="W1184" s="14" t="n">
        <f aca="false">IF($L1184=2016,1,0)</f>
        <v>1</v>
      </c>
      <c r="X1184" s="14" t="n">
        <f aca="false">IF($L1184=2017,1,0)</f>
        <v>0</v>
      </c>
      <c r="Y1184" s="14" t="n">
        <f aca="false">IF($H1184="Beginner Level",1,0)</f>
        <v>0</v>
      </c>
      <c r="Z1184" s="14" t="n">
        <f aca="false">IF($H1184="Expert Level",1,0)</f>
        <v>0</v>
      </c>
      <c r="AA1184" s="14" t="n">
        <f aca="false">IF($H1184="Intermediate Level",1,0)</f>
        <v>0</v>
      </c>
      <c r="AC1184" s="14" t="n">
        <f aca="false">N1184</f>
        <v>3.91222298543081</v>
      </c>
      <c r="AD1184" s="14" t="n">
        <f aca="false">G1184</f>
        <v>37</v>
      </c>
      <c r="AE1184" s="14" t="n">
        <f aca="false">J1184</f>
        <v>2.5</v>
      </c>
      <c r="AF1184" s="14" t="n">
        <f aca="false">IF($L1184=2012,1,0)</f>
        <v>0</v>
      </c>
      <c r="AG1184" s="14" t="n">
        <f aca="false">IF($L1184=2013,1,0)</f>
        <v>0</v>
      </c>
      <c r="AH1184" s="14" t="n">
        <f aca="false">IF($L1184=2014,1,0)</f>
        <v>0</v>
      </c>
      <c r="AI1184" s="14" t="n">
        <f aca="false">IF($L1184=2015,1,0)</f>
        <v>0</v>
      </c>
      <c r="AJ1184" s="14" t="n">
        <f aca="false">IF($L1184=2016,1,0)</f>
        <v>1</v>
      </c>
      <c r="AK1184" s="14" t="n">
        <f aca="false">IF($L1184=2017,1,0)</f>
        <v>0</v>
      </c>
      <c r="AL1184" s="14" t="n">
        <f aca="false">IF($H1184="Beginner Level",1,0)</f>
        <v>0</v>
      </c>
      <c r="AM1184" s="14" t="n">
        <f aca="false">IF($H1184="Expert Level",1,0)</f>
        <v>0</v>
      </c>
      <c r="AN1184" s="14" t="n">
        <f aca="false">IF($H1184="Intermediate Level",1,0)</f>
        <v>0</v>
      </c>
    </row>
    <row r="1185" customFormat="false" ht="79.85" hidden="false" customHeight="false" outlineLevel="0" collapsed="false">
      <c r="A1185" s="14" t="n">
        <v>1163894</v>
      </c>
      <c r="B1185" s="14" t="s">
        <v>2411</v>
      </c>
      <c r="C1185" s="14" t="s">
        <v>2412</v>
      </c>
      <c r="D1185" s="14" t="n">
        <v>50</v>
      </c>
      <c r="E1185" s="14" t="n">
        <v>165</v>
      </c>
      <c r="F1185" s="14" t="n">
        <v>13</v>
      </c>
      <c r="G1185" s="14" t="n">
        <v>28</v>
      </c>
      <c r="H1185" s="14" t="s">
        <v>52</v>
      </c>
      <c r="I1185" s="14" t="n">
        <v>0.89</v>
      </c>
      <c r="J1185" s="14" t="n">
        <v>3</v>
      </c>
      <c r="K1185" s="14" t="s">
        <v>59</v>
      </c>
      <c r="L1185" s="14" t="n">
        <v>2017</v>
      </c>
      <c r="M1185" s="14" t="n">
        <v>5.10594547390058</v>
      </c>
      <c r="N1185" s="14" t="n">
        <v>3.91222298543081</v>
      </c>
      <c r="P1185" s="14" t="n">
        <f aca="false">D1185</f>
        <v>50</v>
      </c>
      <c r="Q1185" s="14" t="n">
        <f aca="false">G1185</f>
        <v>28</v>
      </c>
      <c r="R1185" s="14" t="n">
        <f aca="false">J1185</f>
        <v>3</v>
      </c>
      <c r="S1185" s="14" t="n">
        <f aca="false">IF($L1185=2012,1,0)</f>
        <v>0</v>
      </c>
      <c r="T1185" s="14" t="n">
        <f aca="false">IF($L1185=2013,1,0)</f>
        <v>0</v>
      </c>
      <c r="U1185" s="14" t="n">
        <f aca="false">IF($L1185=2014,1,0)</f>
        <v>0</v>
      </c>
      <c r="V1185" s="14" t="n">
        <f aca="false">IF($L1185=2015,1,0)</f>
        <v>0</v>
      </c>
      <c r="W1185" s="14" t="n">
        <f aca="false">IF($L1185=2016,1,0)</f>
        <v>0</v>
      </c>
      <c r="X1185" s="14" t="n">
        <f aca="false">IF($L1185=2017,1,0)</f>
        <v>1</v>
      </c>
      <c r="Y1185" s="14" t="n">
        <f aca="false">IF($H1185="Beginner Level",1,0)</f>
        <v>1</v>
      </c>
      <c r="Z1185" s="14" t="n">
        <f aca="false">IF($H1185="Expert Level",1,0)</f>
        <v>0</v>
      </c>
      <c r="AA1185" s="14" t="n">
        <f aca="false">IF($H1185="Intermediate Level",1,0)</f>
        <v>0</v>
      </c>
      <c r="AC1185" s="14" t="n">
        <f aca="false">N1185</f>
        <v>3.91222298543081</v>
      </c>
      <c r="AD1185" s="14" t="n">
        <f aca="false">G1185</f>
        <v>28</v>
      </c>
      <c r="AE1185" s="14" t="n">
        <f aca="false">J1185</f>
        <v>3</v>
      </c>
      <c r="AF1185" s="14" t="n">
        <f aca="false">IF($L1185=2012,1,0)</f>
        <v>0</v>
      </c>
      <c r="AG1185" s="14" t="n">
        <f aca="false">IF($L1185=2013,1,0)</f>
        <v>0</v>
      </c>
      <c r="AH1185" s="14" t="n">
        <f aca="false">IF($L1185=2014,1,0)</f>
        <v>0</v>
      </c>
      <c r="AI1185" s="14" t="n">
        <f aca="false">IF($L1185=2015,1,0)</f>
        <v>0</v>
      </c>
      <c r="AJ1185" s="14" t="n">
        <f aca="false">IF($L1185=2016,1,0)</f>
        <v>0</v>
      </c>
      <c r="AK1185" s="14" t="n">
        <f aca="false">IF($L1185=2017,1,0)</f>
        <v>1</v>
      </c>
      <c r="AL1185" s="14" t="n">
        <f aca="false">IF($H1185="Beginner Level",1,0)</f>
        <v>1</v>
      </c>
      <c r="AM1185" s="14" t="n">
        <f aca="false">IF($H1185="Expert Level",1,0)</f>
        <v>0</v>
      </c>
      <c r="AN1185" s="14" t="n">
        <f aca="false">IF($H1185="Intermediate Level",1,0)</f>
        <v>0</v>
      </c>
    </row>
    <row r="1186" customFormat="false" ht="91" hidden="false" customHeight="false" outlineLevel="0" collapsed="false">
      <c r="A1186" s="14" t="n">
        <v>1225030</v>
      </c>
      <c r="B1186" s="14" t="s">
        <v>2413</v>
      </c>
      <c r="C1186" s="14" t="s">
        <v>2414</v>
      </c>
      <c r="D1186" s="14" t="n">
        <v>200</v>
      </c>
      <c r="E1186" s="14" t="n">
        <v>155</v>
      </c>
      <c r="F1186" s="14" t="n">
        <v>9</v>
      </c>
      <c r="G1186" s="14" t="n">
        <v>37</v>
      </c>
      <c r="H1186" s="14" t="s">
        <v>71</v>
      </c>
      <c r="I1186" s="14" t="n">
        <v>0.89</v>
      </c>
      <c r="J1186" s="14" t="n">
        <v>6</v>
      </c>
      <c r="K1186" s="14" t="s">
        <v>59</v>
      </c>
      <c r="L1186" s="14" t="n">
        <v>2017</v>
      </c>
      <c r="M1186" s="14" t="n">
        <v>5.04342511691925</v>
      </c>
      <c r="N1186" s="14" t="n">
        <v>5.29836736529808</v>
      </c>
      <c r="P1186" s="14" t="n">
        <f aca="false">D1186</f>
        <v>200</v>
      </c>
      <c r="Q1186" s="14" t="n">
        <f aca="false">G1186</f>
        <v>37</v>
      </c>
      <c r="R1186" s="14" t="n">
        <f aca="false">J1186</f>
        <v>6</v>
      </c>
      <c r="S1186" s="14" t="n">
        <f aca="false">IF($L1186=2012,1,0)</f>
        <v>0</v>
      </c>
      <c r="T1186" s="14" t="n">
        <f aca="false">IF($L1186=2013,1,0)</f>
        <v>0</v>
      </c>
      <c r="U1186" s="14" t="n">
        <f aca="false">IF($L1186=2014,1,0)</f>
        <v>0</v>
      </c>
      <c r="V1186" s="14" t="n">
        <f aca="false">IF($L1186=2015,1,0)</f>
        <v>0</v>
      </c>
      <c r="W1186" s="14" t="n">
        <f aca="false">IF($L1186=2016,1,0)</f>
        <v>0</v>
      </c>
      <c r="X1186" s="14" t="n">
        <f aca="false">IF($L1186=2017,1,0)</f>
        <v>1</v>
      </c>
      <c r="Y1186" s="14" t="n">
        <f aca="false">IF($H1186="Beginner Level",1,0)</f>
        <v>0</v>
      </c>
      <c r="Z1186" s="14" t="n">
        <f aca="false">IF($H1186="Expert Level",1,0)</f>
        <v>0</v>
      </c>
      <c r="AA1186" s="14" t="n">
        <f aca="false">IF($H1186="Intermediate Level",1,0)</f>
        <v>1</v>
      </c>
      <c r="AC1186" s="14" t="n">
        <f aca="false">N1186</f>
        <v>5.29836736529808</v>
      </c>
      <c r="AD1186" s="14" t="n">
        <f aca="false">G1186</f>
        <v>37</v>
      </c>
      <c r="AE1186" s="14" t="n">
        <f aca="false">J1186</f>
        <v>6</v>
      </c>
      <c r="AF1186" s="14" t="n">
        <f aca="false">IF($L1186=2012,1,0)</f>
        <v>0</v>
      </c>
      <c r="AG1186" s="14" t="n">
        <f aca="false">IF($L1186=2013,1,0)</f>
        <v>0</v>
      </c>
      <c r="AH1186" s="14" t="n">
        <f aca="false">IF($L1186=2014,1,0)</f>
        <v>0</v>
      </c>
      <c r="AI1186" s="14" t="n">
        <f aca="false">IF($L1186=2015,1,0)</f>
        <v>0</v>
      </c>
      <c r="AJ1186" s="14" t="n">
        <f aca="false">IF($L1186=2016,1,0)</f>
        <v>0</v>
      </c>
      <c r="AK1186" s="14" t="n">
        <f aca="false">IF($L1186=2017,1,0)</f>
        <v>1</v>
      </c>
      <c r="AL1186" s="14" t="n">
        <f aca="false">IF($H1186="Beginner Level",1,0)</f>
        <v>0</v>
      </c>
      <c r="AM1186" s="14" t="n">
        <f aca="false">IF($H1186="Expert Level",1,0)</f>
        <v>0</v>
      </c>
      <c r="AN1186" s="14" t="n">
        <f aca="false">IF($H1186="Intermediate Level",1,0)</f>
        <v>1</v>
      </c>
    </row>
    <row r="1187" customFormat="false" ht="46.25" hidden="false" customHeight="false" outlineLevel="0" collapsed="false">
      <c r="A1187" s="14" t="n">
        <v>735796</v>
      </c>
      <c r="B1187" s="14" t="s">
        <v>2415</v>
      </c>
      <c r="C1187" s="14" t="s">
        <v>2416</v>
      </c>
      <c r="D1187" s="14" t="n">
        <v>20</v>
      </c>
      <c r="E1187" s="14" t="n">
        <v>151</v>
      </c>
      <c r="F1187" s="14" t="n">
        <v>40</v>
      </c>
      <c r="G1187" s="14" t="n">
        <v>30</v>
      </c>
      <c r="H1187" s="14" t="s">
        <v>62</v>
      </c>
      <c r="I1187" s="14" t="n">
        <v>0.89</v>
      </c>
      <c r="J1187" s="14" t="n">
        <v>5</v>
      </c>
      <c r="K1187" s="14" t="s">
        <v>59</v>
      </c>
      <c r="L1187" s="14" t="n">
        <v>2016</v>
      </c>
      <c r="M1187" s="14" t="n">
        <v>5.01727983681492</v>
      </c>
      <c r="N1187" s="14" t="n">
        <v>2.99623214859564</v>
      </c>
      <c r="P1187" s="14" t="n">
        <f aca="false">D1187</f>
        <v>20</v>
      </c>
      <c r="Q1187" s="14" t="n">
        <f aca="false">G1187</f>
        <v>30</v>
      </c>
      <c r="R1187" s="14" t="n">
        <f aca="false">J1187</f>
        <v>5</v>
      </c>
      <c r="S1187" s="14" t="n">
        <f aca="false">IF($L1187=2012,1,0)</f>
        <v>0</v>
      </c>
      <c r="T1187" s="14" t="n">
        <f aca="false">IF($L1187=2013,1,0)</f>
        <v>0</v>
      </c>
      <c r="U1187" s="14" t="n">
        <f aca="false">IF($L1187=2014,1,0)</f>
        <v>0</v>
      </c>
      <c r="V1187" s="14" t="n">
        <f aca="false">IF($L1187=2015,1,0)</f>
        <v>0</v>
      </c>
      <c r="W1187" s="14" t="n">
        <f aca="false">IF($L1187=2016,1,0)</f>
        <v>1</v>
      </c>
      <c r="X1187" s="14" t="n">
        <f aca="false">IF($L1187=2017,1,0)</f>
        <v>0</v>
      </c>
      <c r="Y1187" s="14" t="n">
        <f aca="false">IF($H1187="Beginner Level",1,0)</f>
        <v>0</v>
      </c>
      <c r="Z1187" s="14" t="n">
        <f aca="false">IF($H1187="Expert Level",1,0)</f>
        <v>0</v>
      </c>
      <c r="AA1187" s="14" t="n">
        <f aca="false">IF($H1187="Intermediate Level",1,0)</f>
        <v>0</v>
      </c>
      <c r="AC1187" s="14" t="n">
        <f aca="false">N1187</f>
        <v>2.99623214859564</v>
      </c>
      <c r="AD1187" s="14" t="n">
        <f aca="false">G1187</f>
        <v>30</v>
      </c>
      <c r="AE1187" s="14" t="n">
        <f aca="false">J1187</f>
        <v>5</v>
      </c>
      <c r="AF1187" s="14" t="n">
        <f aca="false">IF($L1187=2012,1,0)</f>
        <v>0</v>
      </c>
      <c r="AG1187" s="14" t="n">
        <f aca="false">IF($L1187=2013,1,0)</f>
        <v>0</v>
      </c>
      <c r="AH1187" s="14" t="n">
        <f aca="false">IF($L1187=2014,1,0)</f>
        <v>0</v>
      </c>
      <c r="AI1187" s="14" t="n">
        <f aca="false">IF($L1187=2015,1,0)</f>
        <v>0</v>
      </c>
      <c r="AJ1187" s="14" t="n">
        <f aca="false">IF($L1187=2016,1,0)</f>
        <v>1</v>
      </c>
      <c r="AK1187" s="14" t="n">
        <f aca="false">IF($L1187=2017,1,0)</f>
        <v>0</v>
      </c>
      <c r="AL1187" s="14" t="n">
        <f aca="false">IF($H1187="Beginner Level",1,0)</f>
        <v>0</v>
      </c>
      <c r="AM1187" s="14" t="n">
        <f aca="false">IF($H1187="Expert Level",1,0)</f>
        <v>0</v>
      </c>
      <c r="AN1187" s="14" t="n">
        <f aca="false">IF($H1187="Intermediate Level",1,0)</f>
        <v>0</v>
      </c>
    </row>
    <row r="1188" customFormat="false" ht="35.05" hidden="false" customHeight="false" outlineLevel="0" collapsed="false">
      <c r="A1188" s="14" t="n">
        <v>598970</v>
      </c>
      <c r="B1188" s="14" t="s">
        <v>2417</v>
      </c>
      <c r="C1188" s="14" t="s">
        <v>2418</v>
      </c>
      <c r="D1188" s="14" t="n">
        <v>20</v>
      </c>
      <c r="E1188" s="14" t="n">
        <v>130</v>
      </c>
      <c r="F1188" s="14" t="n">
        <v>14</v>
      </c>
      <c r="G1188" s="14" t="n">
        <v>20</v>
      </c>
      <c r="H1188" s="14" t="s">
        <v>62</v>
      </c>
      <c r="I1188" s="14" t="n">
        <v>0.89</v>
      </c>
      <c r="J1188" s="14" t="n">
        <v>0.61666667</v>
      </c>
      <c r="K1188" s="14" t="s">
        <v>59</v>
      </c>
      <c r="L1188" s="14" t="n">
        <v>2015</v>
      </c>
      <c r="M1188" s="14" t="n">
        <v>4.86753445045558</v>
      </c>
      <c r="N1188" s="14" t="n">
        <v>2.99623214859564</v>
      </c>
      <c r="P1188" s="14" t="n">
        <f aca="false">D1188</f>
        <v>20</v>
      </c>
      <c r="Q1188" s="14" t="n">
        <f aca="false">G1188</f>
        <v>20</v>
      </c>
      <c r="R1188" s="14" t="n">
        <f aca="false">J1188</f>
        <v>0.61666667</v>
      </c>
      <c r="S1188" s="14" t="n">
        <f aca="false">IF($L1188=2012,1,0)</f>
        <v>0</v>
      </c>
      <c r="T1188" s="14" t="n">
        <f aca="false">IF($L1188=2013,1,0)</f>
        <v>0</v>
      </c>
      <c r="U1188" s="14" t="n">
        <f aca="false">IF($L1188=2014,1,0)</f>
        <v>0</v>
      </c>
      <c r="V1188" s="14" t="n">
        <f aca="false">IF($L1188=2015,1,0)</f>
        <v>1</v>
      </c>
      <c r="W1188" s="14" t="n">
        <f aca="false">IF($L1188=2016,1,0)</f>
        <v>0</v>
      </c>
      <c r="X1188" s="14" t="n">
        <f aca="false">IF($L1188=2017,1,0)</f>
        <v>0</v>
      </c>
      <c r="Y1188" s="14" t="n">
        <f aca="false">IF($H1188="Beginner Level",1,0)</f>
        <v>0</v>
      </c>
      <c r="Z1188" s="14" t="n">
        <f aca="false">IF($H1188="Expert Level",1,0)</f>
        <v>0</v>
      </c>
      <c r="AA1188" s="14" t="n">
        <f aca="false">IF($H1188="Intermediate Level",1,0)</f>
        <v>0</v>
      </c>
      <c r="AC1188" s="14" t="n">
        <f aca="false">N1188</f>
        <v>2.99623214859564</v>
      </c>
      <c r="AD1188" s="14" t="n">
        <f aca="false">G1188</f>
        <v>20</v>
      </c>
      <c r="AE1188" s="14" t="n">
        <f aca="false">J1188</f>
        <v>0.61666667</v>
      </c>
      <c r="AF1188" s="14" t="n">
        <f aca="false">IF($L1188=2012,1,0)</f>
        <v>0</v>
      </c>
      <c r="AG1188" s="14" t="n">
        <f aca="false">IF($L1188=2013,1,0)</f>
        <v>0</v>
      </c>
      <c r="AH1188" s="14" t="n">
        <f aca="false">IF($L1188=2014,1,0)</f>
        <v>0</v>
      </c>
      <c r="AI1188" s="14" t="n">
        <f aca="false">IF($L1188=2015,1,0)</f>
        <v>1</v>
      </c>
      <c r="AJ1188" s="14" t="n">
        <f aca="false">IF($L1188=2016,1,0)</f>
        <v>0</v>
      </c>
      <c r="AK1188" s="14" t="n">
        <f aca="false">IF($L1188=2017,1,0)</f>
        <v>0</v>
      </c>
      <c r="AL1188" s="14" t="n">
        <f aca="false">IF($H1188="Beginner Level",1,0)</f>
        <v>0</v>
      </c>
      <c r="AM1188" s="14" t="n">
        <f aca="false">IF($H1188="Expert Level",1,0)</f>
        <v>0</v>
      </c>
      <c r="AN1188" s="14" t="n">
        <f aca="false">IF($H1188="Intermediate Level",1,0)</f>
        <v>0</v>
      </c>
    </row>
    <row r="1189" customFormat="false" ht="79.85" hidden="false" customHeight="false" outlineLevel="0" collapsed="false">
      <c r="A1189" s="14" t="n">
        <v>1076424</v>
      </c>
      <c r="B1189" s="14" t="s">
        <v>2419</v>
      </c>
      <c r="C1189" s="14" t="s">
        <v>2420</v>
      </c>
      <c r="D1189" s="14" t="n">
        <v>50</v>
      </c>
      <c r="E1189" s="14" t="n">
        <v>122</v>
      </c>
      <c r="F1189" s="14" t="n">
        <v>10</v>
      </c>
      <c r="G1189" s="14" t="n">
        <v>116</v>
      </c>
      <c r="H1189" s="14" t="s">
        <v>52</v>
      </c>
      <c r="I1189" s="14" t="n">
        <v>0.89</v>
      </c>
      <c r="J1189" s="14" t="n">
        <v>10.5</v>
      </c>
      <c r="K1189" s="14" t="s">
        <v>59</v>
      </c>
      <c r="L1189" s="14" t="n">
        <v>2017</v>
      </c>
      <c r="M1189" s="14" t="n">
        <v>4.80402104473326</v>
      </c>
      <c r="N1189" s="14" t="n">
        <v>3.91222298543081</v>
      </c>
      <c r="P1189" s="14" t="n">
        <f aca="false">D1189</f>
        <v>50</v>
      </c>
      <c r="Q1189" s="14" t="n">
        <f aca="false">G1189</f>
        <v>116</v>
      </c>
      <c r="R1189" s="14" t="n">
        <f aca="false">J1189</f>
        <v>10.5</v>
      </c>
      <c r="S1189" s="14" t="n">
        <f aca="false">IF($L1189=2012,1,0)</f>
        <v>0</v>
      </c>
      <c r="T1189" s="14" t="n">
        <f aca="false">IF($L1189=2013,1,0)</f>
        <v>0</v>
      </c>
      <c r="U1189" s="14" t="n">
        <f aca="false">IF($L1189=2014,1,0)</f>
        <v>0</v>
      </c>
      <c r="V1189" s="14" t="n">
        <f aca="false">IF($L1189=2015,1,0)</f>
        <v>0</v>
      </c>
      <c r="W1189" s="14" t="n">
        <f aca="false">IF($L1189=2016,1,0)</f>
        <v>0</v>
      </c>
      <c r="X1189" s="14" t="n">
        <f aca="false">IF($L1189=2017,1,0)</f>
        <v>1</v>
      </c>
      <c r="Y1189" s="14" t="n">
        <f aca="false">IF($H1189="Beginner Level",1,0)</f>
        <v>1</v>
      </c>
      <c r="Z1189" s="14" t="n">
        <f aca="false">IF($H1189="Expert Level",1,0)</f>
        <v>0</v>
      </c>
      <c r="AA1189" s="14" t="n">
        <f aca="false">IF($H1189="Intermediate Level",1,0)</f>
        <v>0</v>
      </c>
      <c r="AC1189" s="14" t="n">
        <f aca="false">N1189</f>
        <v>3.91222298543081</v>
      </c>
      <c r="AD1189" s="14" t="n">
        <f aca="false">G1189</f>
        <v>116</v>
      </c>
      <c r="AE1189" s="14" t="n">
        <f aca="false">J1189</f>
        <v>10.5</v>
      </c>
      <c r="AF1189" s="14" t="n">
        <f aca="false">IF($L1189=2012,1,0)</f>
        <v>0</v>
      </c>
      <c r="AG1189" s="14" t="n">
        <f aca="false">IF($L1189=2013,1,0)</f>
        <v>0</v>
      </c>
      <c r="AH1189" s="14" t="n">
        <f aca="false">IF($L1189=2014,1,0)</f>
        <v>0</v>
      </c>
      <c r="AI1189" s="14" t="n">
        <f aca="false">IF($L1189=2015,1,0)</f>
        <v>0</v>
      </c>
      <c r="AJ1189" s="14" t="n">
        <f aca="false">IF($L1189=2016,1,0)</f>
        <v>0</v>
      </c>
      <c r="AK1189" s="14" t="n">
        <f aca="false">IF($L1189=2017,1,0)</f>
        <v>1</v>
      </c>
      <c r="AL1189" s="14" t="n">
        <f aca="false">IF($H1189="Beginner Level",1,0)</f>
        <v>1</v>
      </c>
      <c r="AM1189" s="14" t="n">
        <f aca="false">IF($H1189="Expert Level",1,0)</f>
        <v>0</v>
      </c>
      <c r="AN1189" s="14" t="n">
        <f aca="false">IF($H1189="Intermediate Level",1,0)</f>
        <v>0</v>
      </c>
    </row>
    <row r="1190" customFormat="false" ht="79.85" hidden="false" customHeight="false" outlineLevel="0" collapsed="false">
      <c r="A1190" s="14" t="n">
        <v>1250824</v>
      </c>
      <c r="B1190" s="14" t="s">
        <v>2421</v>
      </c>
      <c r="C1190" s="14" t="s">
        <v>2422</v>
      </c>
      <c r="D1190" s="14" t="n">
        <v>50</v>
      </c>
      <c r="E1190" s="14" t="n">
        <v>119</v>
      </c>
      <c r="F1190" s="14" t="n">
        <v>6</v>
      </c>
      <c r="G1190" s="14" t="n">
        <v>70</v>
      </c>
      <c r="H1190" s="14" t="s">
        <v>52</v>
      </c>
      <c r="I1190" s="14" t="n">
        <v>0.89</v>
      </c>
      <c r="J1190" s="14" t="n">
        <v>10.5</v>
      </c>
      <c r="K1190" s="14" t="s">
        <v>59</v>
      </c>
      <c r="L1190" s="14" t="n">
        <v>2017</v>
      </c>
      <c r="M1190" s="14" t="n">
        <v>4.77912349311153</v>
      </c>
      <c r="N1190" s="14" t="n">
        <v>3.91222298543081</v>
      </c>
      <c r="P1190" s="14" t="n">
        <f aca="false">D1190</f>
        <v>50</v>
      </c>
      <c r="Q1190" s="14" t="n">
        <f aca="false">G1190</f>
        <v>70</v>
      </c>
      <c r="R1190" s="14" t="n">
        <f aca="false">J1190</f>
        <v>10.5</v>
      </c>
      <c r="S1190" s="14" t="n">
        <f aca="false">IF($L1190=2012,1,0)</f>
        <v>0</v>
      </c>
      <c r="T1190" s="14" t="n">
        <f aca="false">IF($L1190=2013,1,0)</f>
        <v>0</v>
      </c>
      <c r="U1190" s="14" t="n">
        <f aca="false">IF($L1190=2014,1,0)</f>
        <v>0</v>
      </c>
      <c r="V1190" s="14" t="n">
        <f aca="false">IF($L1190=2015,1,0)</f>
        <v>0</v>
      </c>
      <c r="W1190" s="14" t="n">
        <f aca="false">IF($L1190=2016,1,0)</f>
        <v>0</v>
      </c>
      <c r="X1190" s="14" t="n">
        <f aca="false">IF($L1190=2017,1,0)</f>
        <v>1</v>
      </c>
      <c r="Y1190" s="14" t="n">
        <f aca="false">IF($H1190="Beginner Level",1,0)</f>
        <v>1</v>
      </c>
      <c r="Z1190" s="14" t="n">
        <f aca="false">IF($H1190="Expert Level",1,0)</f>
        <v>0</v>
      </c>
      <c r="AA1190" s="14" t="n">
        <f aca="false">IF($H1190="Intermediate Level",1,0)</f>
        <v>0</v>
      </c>
      <c r="AC1190" s="14" t="n">
        <f aca="false">N1190</f>
        <v>3.91222298543081</v>
      </c>
      <c r="AD1190" s="14" t="n">
        <f aca="false">G1190</f>
        <v>70</v>
      </c>
      <c r="AE1190" s="14" t="n">
        <f aca="false">J1190</f>
        <v>10.5</v>
      </c>
      <c r="AF1190" s="14" t="n">
        <f aca="false">IF($L1190=2012,1,0)</f>
        <v>0</v>
      </c>
      <c r="AG1190" s="14" t="n">
        <f aca="false">IF($L1190=2013,1,0)</f>
        <v>0</v>
      </c>
      <c r="AH1190" s="14" t="n">
        <f aca="false">IF($L1190=2014,1,0)</f>
        <v>0</v>
      </c>
      <c r="AI1190" s="14" t="n">
        <f aca="false">IF($L1190=2015,1,0)</f>
        <v>0</v>
      </c>
      <c r="AJ1190" s="14" t="n">
        <f aca="false">IF($L1190=2016,1,0)</f>
        <v>0</v>
      </c>
      <c r="AK1190" s="14" t="n">
        <f aca="false">IF($L1190=2017,1,0)</f>
        <v>1</v>
      </c>
      <c r="AL1190" s="14" t="n">
        <f aca="false">IF($H1190="Beginner Level",1,0)</f>
        <v>1</v>
      </c>
      <c r="AM1190" s="14" t="n">
        <f aca="false">IF($H1190="Expert Level",1,0)</f>
        <v>0</v>
      </c>
      <c r="AN1190" s="14" t="n">
        <f aca="false">IF($H1190="Intermediate Level",1,0)</f>
        <v>0</v>
      </c>
    </row>
    <row r="1191" customFormat="false" ht="79.85" hidden="false" customHeight="false" outlineLevel="0" collapsed="false">
      <c r="A1191" s="14" t="n">
        <v>1013380</v>
      </c>
      <c r="B1191" s="14" t="s">
        <v>2423</v>
      </c>
      <c r="C1191" s="14" t="s">
        <v>2424</v>
      </c>
      <c r="D1191" s="14" t="n">
        <v>30</v>
      </c>
      <c r="E1191" s="14" t="n">
        <v>116</v>
      </c>
      <c r="F1191" s="14" t="n">
        <v>12</v>
      </c>
      <c r="G1191" s="14" t="n">
        <v>7</v>
      </c>
      <c r="H1191" s="14" t="s">
        <v>52</v>
      </c>
      <c r="I1191" s="14" t="n">
        <v>0.89</v>
      </c>
      <c r="J1191" s="14" t="n">
        <v>1</v>
      </c>
      <c r="K1191" s="14" t="s">
        <v>59</v>
      </c>
      <c r="L1191" s="14" t="n">
        <v>2016</v>
      </c>
      <c r="M1191" s="14" t="n">
        <v>4.75359019110636</v>
      </c>
      <c r="N1191" s="14" t="n">
        <v>3.40153065945228</v>
      </c>
      <c r="P1191" s="14" t="n">
        <f aca="false">D1191</f>
        <v>30</v>
      </c>
      <c r="Q1191" s="14" t="n">
        <f aca="false">G1191</f>
        <v>7</v>
      </c>
      <c r="R1191" s="14" t="n">
        <f aca="false">J1191</f>
        <v>1</v>
      </c>
      <c r="S1191" s="14" t="n">
        <f aca="false">IF($L1191=2012,1,0)</f>
        <v>0</v>
      </c>
      <c r="T1191" s="14" t="n">
        <f aca="false">IF($L1191=2013,1,0)</f>
        <v>0</v>
      </c>
      <c r="U1191" s="14" t="n">
        <f aca="false">IF($L1191=2014,1,0)</f>
        <v>0</v>
      </c>
      <c r="V1191" s="14" t="n">
        <f aca="false">IF($L1191=2015,1,0)</f>
        <v>0</v>
      </c>
      <c r="W1191" s="14" t="n">
        <f aca="false">IF($L1191=2016,1,0)</f>
        <v>1</v>
      </c>
      <c r="X1191" s="14" t="n">
        <f aca="false">IF($L1191=2017,1,0)</f>
        <v>0</v>
      </c>
      <c r="Y1191" s="14" t="n">
        <f aca="false">IF($H1191="Beginner Level",1,0)</f>
        <v>1</v>
      </c>
      <c r="Z1191" s="14" t="n">
        <f aca="false">IF($H1191="Expert Level",1,0)</f>
        <v>0</v>
      </c>
      <c r="AA1191" s="14" t="n">
        <f aca="false">IF($H1191="Intermediate Level",1,0)</f>
        <v>0</v>
      </c>
      <c r="AC1191" s="14" t="n">
        <f aca="false">N1191</f>
        <v>3.40153065945228</v>
      </c>
      <c r="AD1191" s="14" t="n">
        <f aca="false">G1191</f>
        <v>7</v>
      </c>
      <c r="AE1191" s="14" t="n">
        <f aca="false">J1191</f>
        <v>1</v>
      </c>
      <c r="AF1191" s="14" t="n">
        <f aca="false">IF($L1191=2012,1,0)</f>
        <v>0</v>
      </c>
      <c r="AG1191" s="14" t="n">
        <f aca="false">IF($L1191=2013,1,0)</f>
        <v>0</v>
      </c>
      <c r="AH1191" s="14" t="n">
        <f aca="false">IF($L1191=2014,1,0)</f>
        <v>0</v>
      </c>
      <c r="AI1191" s="14" t="n">
        <f aca="false">IF($L1191=2015,1,0)</f>
        <v>0</v>
      </c>
      <c r="AJ1191" s="14" t="n">
        <f aca="false">IF($L1191=2016,1,0)</f>
        <v>1</v>
      </c>
      <c r="AK1191" s="14" t="n">
        <f aca="false">IF($L1191=2017,1,0)</f>
        <v>0</v>
      </c>
      <c r="AL1191" s="14" t="n">
        <f aca="false">IF($H1191="Beginner Level",1,0)</f>
        <v>1</v>
      </c>
      <c r="AM1191" s="14" t="n">
        <f aca="false">IF($H1191="Expert Level",1,0)</f>
        <v>0</v>
      </c>
      <c r="AN1191" s="14" t="n">
        <f aca="false">IF($H1191="Intermediate Level",1,0)</f>
        <v>0</v>
      </c>
    </row>
    <row r="1192" customFormat="false" ht="79.85" hidden="false" customHeight="false" outlineLevel="0" collapsed="false">
      <c r="A1192" s="14" t="n">
        <v>1193538</v>
      </c>
      <c r="B1192" s="14" t="s">
        <v>2425</v>
      </c>
      <c r="C1192" s="14" t="s">
        <v>2426</v>
      </c>
      <c r="D1192" s="14" t="n">
        <v>175</v>
      </c>
      <c r="E1192" s="14" t="n">
        <v>109</v>
      </c>
      <c r="F1192" s="14" t="n">
        <v>17</v>
      </c>
      <c r="G1192" s="14" t="n">
        <v>69</v>
      </c>
      <c r="H1192" s="14" t="s">
        <v>62</v>
      </c>
      <c r="I1192" s="14" t="n">
        <v>0.96</v>
      </c>
      <c r="J1192" s="14" t="n">
        <v>9.5</v>
      </c>
      <c r="K1192" s="14" t="s">
        <v>59</v>
      </c>
      <c r="L1192" s="14" t="n">
        <v>2017</v>
      </c>
      <c r="M1192" s="14" t="n">
        <v>4.69134788222914</v>
      </c>
      <c r="N1192" s="14" t="n">
        <v>5.16484311514807</v>
      </c>
      <c r="P1192" s="14" t="n">
        <f aca="false">D1192</f>
        <v>175</v>
      </c>
      <c r="Q1192" s="14" t="n">
        <f aca="false">G1192</f>
        <v>69</v>
      </c>
      <c r="R1192" s="14" t="n">
        <f aca="false">J1192</f>
        <v>9.5</v>
      </c>
      <c r="S1192" s="14" t="n">
        <f aca="false">IF($L1192=2012,1,0)</f>
        <v>0</v>
      </c>
      <c r="T1192" s="14" t="n">
        <f aca="false">IF($L1192=2013,1,0)</f>
        <v>0</v>
      </c>
      <c r="U1192" s="14" t="n">
        <f aca="false">IF($L1192=2014,1,0)</f>
        <v>0</v>
      </c>
      <c r="V1192" s="14" t="n">
        <f aca="false">IF($L1192=2015,1,0)</f>
        <v>0</v>
      </c>
      <c r="W1192" s="14" t="n">
        <f aca="false">IF($L1192=2016,1,0)</f>
        <v>0</v>
      </c>
      <c r="X1192" s="14" t="n">
        <f aca="false">IF($L1192=2017,1,0)</f>
        <v>1</v>
      </c>
      <c r="Y1192" s="14" t="n">
        <f aca="false">IF($H1192="Beginner Level",1,0)</f>
        <v>0</v>
      </c>
      <c r="Z1192" s="14" t="n">
        <f aca="false">IF($H1192="Expert Level",1,0)</f>
        <v>0</v>
      </c>
      <c r="AA1192" s="14" t="n">
        <f aca="false">IF($H1192="Intermediate Level",1,0)</f>
        <v>0</v>
      </c>
      <c r="AC1192" s="14" t="n">
        <f aca="false">N1192</f>
        <v>5.16484311514807</v>
      </c>
      <c r="AD1192" s="14" t="n">
        <f aca="false">G1192</f>
        <v>69</v>
      </c>
      <c r="AE1192" s="14" t="n">
        <f aca="false">J1192</f>
        <v>9.5</v>
      </c>
      <c r="AF1192" s="14" t="n">
        <f aca="false">IF($L1192=2012,1,0)</f>
        <v>0</v>
      </c>
      <c r="AG1192" s="14" t="n">
        <f aca="false">IF($L1192=2013,1,0)</f>
        <v>0</v>
      </c>
      <c r="AH1192" s="14" t="n">
        <f aca="false">IF($L1192=2014,1,0)</f>
        <v>0</v>
      </c>
      <c r="AI1192" s="14" t="n">
        <f aca="false">IF($L1192=2015,1,0)</f>
        <v>0</v>
      </c>
      <c r="AJ1192" s="14" t="n">
        <f aca="false">IF($L1192=2016,1,0)</f>
        <v>0</v>
      </c>
      <c r="AK1192" s="14" t="n">
        <f aca="false">IF($L1192=2017,1,0)</f>
        <v>1</v>
      </c>
      <c r="AL1192" s="14" t="n">
        <f aca="false">IF($H1192="Beginner Level",1,0)</f>
        <v>0</v>
      </c>
      <c r="AM1192" s="14" t="n">
        <f aca="false">IF($H1192="Expert Level",1,0)</f>
        <v>0</v>
      </c>
      <c r="AN1192" s="14" t="n">
        <f aca="false">IF($H1192="Intermediate Level",1,0)</f>
        <v>0</v>
      </c>
    </row>
    <row r="1193" customFormat="false" ht="79.85" hidden="false" customHeight="false" outlineLevel="0" collapsed="false">
      <c r="A1193" s="14" t="n">
        <v>1178762</v>
      </c>
      <c r="B1193" s="14" t="s">
        <v>2427</v>
      </c>
      <c r="C1193" s="14" t="s">
        <v>2428</v>
      </c>
      <c r="D1193" s="14" t="n">
        <v>200</v>
      </c>
      <c r="E1193" s="14" t="n">
        <v>103</v>
      </c>
      <c r="F1193" s="14" t="n">
        <v>11</v>
      </c>
      <c r="G1193" s="14" t="n">
        <v>72</v>
      </c>
      <c r="H1193" s="14" t="s">
        <v>62</v>
      </c>
      <c r="I1193" s="14" t="n">
        <v>0.47</v>
      </c>
      <c r="J1193" s="14" t="n">
        <v>5.5</v>
      </c>
      <c r="K1193" s="14" t="s">
        <v>59</v>
      </c>
      <c r="L1193" s="14" t="n">
        <v>2017</v>
      </c>
      <c r="M1193" s="14" t="n">
        <v>4.63472898822964</v>
      </c>
      <c r="N1193" s="14" t="n">
        <v>5.29836736529808</v>
      </c>
      <c r="P1193" s="14" t="n">
        <f aca="false">D1193</f>
        <v>200</v>
      </c>
      <c r="Q1193" s="14" t="n">
        <f aca="false">G1193</f>
        <v>72</v>
      </c>
      <c r="R1193" s="14" t="n">
        <f aca="false">J1193</f>
        <v>5.5</v>
      </c>
      <c r="S1193" s="14" t="n">
        <f aca="false">IF($L1193=2012,1,0)</f>
        <v>0</v>
      </c>
      <c r="T1193" s="14" t="n">
        <f aca="false">IF($L1193=2013,1,0)</f>
        <v>0</v>
      </c>
      <c r="U1193" s="14" t="n">
        <f aca="false">IF($L1193=2014,1,0)</f>
        <v>0</v>
      </c>
      <c r="V1193" s="14" t="n">
        <f aca="false">IF($L1193=2015,1,0)</f>
        <v>0</v>
      </c>
      <c r="W1193" s="14" t="n">
        <f aca="false">IF($L1193=2016,1,0)</f>
        <v>0</v>
      </c>
      <c r="X1193" s="14" t="n">
        <f aca="false">IF($L1193=2017,1,0)</f>
        <v>1</v>
      </c>
      <c r="Y1193" s="14" t="n">
        <f aca="false">IF($H1193="Beginner Level",1,0)</f>
        <v>0</v>
      </c>
      <c r="Z1193" s="14" t="n">
        <f aca="false">IF($H1193="Expert Level",1,0)</f>
        <v>0</v>
      </c>
      <c r="AA1193" s="14" t="n">
        <f aca="false">IF($H1193="Intermediate Level",1,0)</f>
        <v>0</v>
      </c>
      <c r="AC1193" s="14" t="n">
        <f aca="false">N1193</f>
        <v>5.29836736529808</v>
      </c>
      <c r="AD1193" s="14" t="n">
        <f aca="false">G1193</f>
        <v>72</v>
      </c>
      <c r="AE1193" s="14" t="n">
        <f aca="false">J1193</f>
        <v>5.5</v>
      </c>
      <c r="AF1193" s="14" t="n">
        <f aca="false">IF($L1193=2012,1,0)</f>
        <v>0</v>
      </c>
      <c r="AG1193" s="14" t="n">
        <f aca="false">IF($L1193=2013,1,0)</f>
        <v>0</v>
      </c>
      <c r="AH1193" s="14" t="n">
        <f aca="false">IF($L1193=2014,1,0)</f>
        <v>0</v>
      </c>
      <c r="AI1193" s="14" t="n">
        <f aca="false">IF($L1193=2015,1,0)</f>
        <v>0</v>
      </c>
      <c r="AJ1193" s="14" t="n">
        <f aca="false">IF($L1193=2016,1,0)</f>
        <v>0</v>
      </c>
      <c r="AK1193" s="14" t="n">
        <f aca="false">IF($L1193=2017,1,0)</f>
        <v>1</v>
      </c>
      <c r="AL1193" s="14" t="n">
        <f aca="false">IF($H1193="Beginner Level",1,0)</f>
        <v>0</v>
      </c>
      <c r="AM1193" s="14" t="n">
        <f aca="false">IF($H1193="Expert Level",1,0)</f>
        <v>0</v>
      </c>
      <c r="AN1193" s="14" t="n">
        <f aca="false">IF($H1193="Intermediate Level",1,0)</f>
        <v>0</v>
      </c>
    </row>
    <row r="1194" customFormat="false" ht="46.25" hidden="false" customHeight="false" outlineLevel="0" collapsed="false">
      <c r="A1194" s="14" t="n">
        <v>1019918</v>
      </c>
      <c r="B1194" s="14" t="s">
        <v>2429</v>
      </c>
      <c r="C1194" s="14" t="s">
        <v>2430</v>
      </c>
      <c r="D1194" s="14" t="n">
        <v>25</v>
      </c>
      <c r="E1194" s="14" t="n">
        <v>102</v>
      </c>
      <c r="F1194" s="14" t="n">
        <v>27</v>
      </c>
      <c r="G1194" s="14" t="n">
        <v>36</v>
      </c>
      <c r="H1194" s="14" t="s">
        <v>62</v>
      </c>
      <c r="I1194" s="14" t="n">
        <v>0.62</v>
      </c>
      <c r="J1194" s="14" t="n">
        <v>2.5</v>
      </c>
      <c r="K1194" s="14" t="s">
        <v>59</v>
      </c>
      <c r="L1194" s="14" t="n">
        <v>2016</v>
      </c>
      <c r="M1194" s="14" t="n">
        <v>4.62497281328427</v>
      </c>
      <c r="N1194" s="14" t="n">
        <v>3.21927574488953</v>
      </c>
      <c r="P1194" s="14" t="n">
        <f aca="false">D1194</f>
        <v>25</v>
      </c>
      <c r="Q1194" s="14" t="n">
        <f aca="false">G1194</f>
        <v>36</v>
      </c>
      <c r="R1194" s="14" t="n">
        <f aca="false">J1194</f>
        <v>2.5</v>
      </c>
      <c r="S1194" s="14" t="n">
        <f aca="false">IF($L1194=2012,1,0)</f>
        <v>0</v>
      </c>
      <c r="T1194" s="14" t="n">
        <f aca="false">IF($L1194=2013,1,0)</f>
        <v>0</v>
      </c>
      <c r="U1194" s="14" t="n">
        <f aca="false">IF($L1194=2014,1,0)</f>
        <v>0</v>
      </c>
      <c r="V1194" s="14" t="n">
        <f aca="false">IF($L1194=2015,1,0)</f>
        <v>0</v>
      </c>
      <c r="W1194" s="14" t="n">
        <f aca="false">IF($L1194=2016,1,0)</f>
        <v>1</v>
      </c>
      <c r="X1194" s="14" t="n">
        <f aca="false">IF($L1194=2017,1,0)</f>
        <v>0</v>
      </c>
      <c r="Y1194" s="14" t="n">
        <f aca="false">IF($H1194="Beginner Level",1,0)</f>
        <v>0</v>
      </c>
      <c r="Z1194" s="14" t="n">
        <f aca="false">IF($H1194="Expert Level",1,0)</f>
        <v>0</v>
      </c>
      <c r="AA1194" s="14" t="n">
        <f aca="false">IF($H1194="Intermediate Level",1,0)</f>
        <v>0</v>
      </c>
      <c r="AC1194" s="14" t="n">
        <f aca="false">N1194</f>
        <v>3.21927574488953</v>
      </c>
      <c r="AD1194" s="14" t="n">
        <f aca="false">G1194</f>
        <v>36</v>
      </c>
      <c r="AE1194" s="14" t="n">
        <f aca="false">J1194</f>
        <v>2.5</v>
      </c>
      <c r="AF1194" s="14" t="n">
        <f aca="false">IF($L1194=2012,1,0)</f>
        <v>0</v>
      </c>
      <c r="AG1194" s="14" t="n">
        <f aca="false">IF($L1194=2013,1,0)</f>
        <v>0</v>
      </c>
      <c r="AH1194" s="14" t="n">
        <f aca="false">IF($L1194=2014,1,0)</f>
        <v>0</v>
      </c>
      <c r="AI1194" s="14" t="n">
        <f aca="false">IF($L1194=2015,1,0)</f>
        <v>0</v>
      </c>
      <c r="AJ1194" s="14" t="n">
        <f aca="false">IF($L1194=2016,1,0)</f>
        <v>1</v>
      </c>
      <c r="AK1194" s="14" t="n">
        <f aca="false">IF($L1194=2017,1,0)</f>
        <v>0</v>
      </c>
      <c r="AL1194" s="14" t="n">
        <f aca="false">IF($H1194="Beginner Level",1,0)</f>
        <v>0</v>
      </c>
      <c r="AM1194" s="14" t="n">
        <f aca="false">IF($H1194="Expert Level",1,0)</f>
        <v>0</v>
      </c>
      <c r="AN1194" s="14" t="n">
        <f aca="false">IF($H1194="Intermediate Level",1,0)</f>
        <v>0</v>
      </c>
    </row>
    <row r="1195" customFormat="false" ht="68.65" hidden="false" customHeight="false" outlineLevel="0" collapsed="false">
      <c r="A1195" s="14" t="n">
        <v>1179104</v>
      </c>
      <c r="B1195" s="14" t="s">
        <v>2431</v>
      </c>
      <c r="C1195" s="14" t="s">
        <v>2432</v>
      </c>
      <c r="D1195" s="14" t="n">
        <v>200</v>
      </c>
      <c r="E1195" s="14" t="n">
        <v>91</v>
      </c>
      <c r="F1195" s="14" t="n">
        <v>5</v>
      </c>
      <c r="G1195" s="14" t="n">
        <v>53</v>
      </c>
      <c r="H1195" s="14" t="s">
        <v>52</v>
      </c>
      <c r="I1195" s="14" t="n">
        <v>0.55</v>
      </c>
      <c r="J1195" s="14" t="n">
        <v>6.5</v>
      </c>
      <c r="K1195" s="14" t="s">
        <v>59</v>
      </c>
      <c r="L1195" s="14" t="n">
        <v>2017</v>
      </c>
      <c r="M1195" s="14" t="n">
        <v>4.51085950651685</v>
      </c>
      <c r="N1195" s="14" t="n">
        <v>5.29836736529808</v>
      </c>
      <c r="P1195" s="14" t="n">
        <f aca="false">D1195</f>
        <v>200</v>
      </c>
      <c r="Q1195" s="14" t="n">
        <f aca="false">G1195</f>
        <v>53</v>
      </c>
      <c r="R1195" s="14" t="n">
        <f aca="false">J1195</f>
        <v>6.5</v>
      </c>
      <c r="S1195" s="14" t="n">
        <f aca="false">IF($L1195=2012,1,0)</f>
        <v>0</v>
      </c>
      <c r="T1195" s="14" t="n">
        <f aca="false">IF($L1195=2013,1,0)</f>
        <v>0</v>
      </c>
      <c r="U1195" s="14" t="n">
        <f aca="false">IF($L1195=2014,1,0)</f>
        <v>0</v>
      </c>
      <c r="V1195" s="14" t="n">
        <f aca="false">IF($L1195=2015,1,0)</f>
        <v>0</v>
      </c>
      <c r="W1195" s="14" t="n">
        <f aca="false">IF($L1195=2016,1,0)</f>
        <v>0</v>
      </c>
      <c r="X1195" s="14" t="n">
        <f aca="false">IF($L1195=2017,1,0)</f>
        <v>1</v>
      </c>
      <c r="Y1195" s="14" t="n">
        <f aca="false">IF($H1195="Beginner Level",1,0)</f>
        <v>1</v>
      </c>
      <c r="Z1195" s="14" t="n">
        <f aca="false">IF($H1195="Expert Level",1,0)</f>
        <v>0</v>
      </c>
      <c r="AA1195" s="14" t="n">
        <f aca="false">IF($H1195="Intermediate Level",1,0)</f>
        <v>0</v>
      </c>
      <c r="AC1195" s="14" t="n">
        <f aca="false">N1195</f>
        <v>5.29836736529808</v>
      </c>
      <c r="AD1195" s="14" t="n">
        <f aca="false">G1195</f>
        <v>53</v>
      </c>
      <c r="AE1195" s="14" t="n">
        <f aca="false">J1195</f>
        <v>6.5</v>
      </c>
      <c r="AF1195" s="14" t="n">
        <f aca="false">IF($L1195=2012,1,0)</f>
        <v>0</v>
      </c>
      <c r="AG1195" s="14" t="n">
        <f aca="false">IF($L1195=2013,1,0)</f>
        <v>0</v>
      </c>
      <c r="AH1195" s="14" t="n">
        <f aca="false">IF($L1195=2014,1,0)</f>
        <v>0</v>
      </c>
      <c r="AI1195" s="14" t="n">
        <f aca="false">IF($L1195=2015,1,0)</f>
        <v>0</v>
      </c>
      <c r="AJ1195" s="14" t="n">
        <f aca="false">IF($L1195=2016,1,0)</f>
        <v>0</v>
      </c>
      <c r="AK1195" s="14" t="n">
        <f aca="false">IF($L1195=2017,1,0)</f>
        <v>1</v>
      </c>
      <c r="AL1195" s="14" t="n">
        <f aca="false">IF($H1195="Beginner Level",1,0)</f>
        <v>1</v>
      </c>
      <c r="AM1195" s="14" t="n">
        <f aca="false">IF($H1195="Expert Level",1,0)</f>
        <v>0</v>
      </c>
      <c r="AN1195" s="14" t="n">
        <f aca="false">IF($H1195="Intermediate Level",1,0)</f>
        <v>0</v>
      </c>
    </row>
    <row r="1196" customFormat="false" ht="91" hidden="false" customHeight="false" outlineLevel="0" collapsed="false">
      <c r="A1196" s="14" t="n">
        <v>1194232</v>
      </c>
      <c r="B1196" s="14" t="s">
        <v>2433</v>
      </c>
      <c r="C1196" s="14" t="s">
        <v>2434</v>
      </c>
      <c r="D1196" s="14" t="n">
        <v>200</v>
      </c>
      <c r="E1196" s="14" t="n">
        <v>88</v>
      </c>
      <c r="F1196" s="14" t="n">
        <v>8</v>
      </c>
      <c r="G1196" s="14" t="n">
        <v>55</v>
      </c>
      <c r="H1196" s="14" t="s">
        <v>52</v>
      </c>
      <c r="I1196" s="14" t="n">
        <v>0.19</v>
      </c>
      <c r="J1196" s="14" t="n">
        <v>4.5</v>
      </c>
      <c r="K1196" s="14" t="s">
        <v>59</v>
      </c>
      <c r="L1196" s="14" t="n">
        <v>2017</v>
      </c>
      <c r="M1196" s="14" t="n">
        <v>4.47733681447821</v>
      </c>
      <c r="N1196" s="14" t="n">
        <v>5.29836736529808</v>
      </c>
      <c r="P1196" s="14" t="n">
        <f aca="false">D1196</f>
        <v>200</v>
      </c>
      <c r="Q1196" s="14" t="n">
        <f aca="false">G1196</f>
        <v>55</v>
      </c>
      <c r="R1196" s="14" t="n">
        <f aca="false">J1196</f>
        <v>4.5</v>
      </c>
      <c r="S1196" s="14" t="n">
        <f aca="false">IF($L1196=2012,1,0)</f>
        <v>0</v>
      </c>
      <c r="T1196" s="14" t="n">
        <f aca="false">IF($L1196=2013,1,0)</f>
        <v>0</v>
      </c>
      <c r="U1196" s="14" t="n">
        <f aca="false">IF($L1196=2014,1,0)</f>
        <v>0</v>
      </c>
      <c r="V1196" s="14" t="n">
        <f aca="false">IF($L1196=2015,1,0)</f>
        <v>0</v>
      </c>
      <c r="W1196" s="14" t="n">
        <f aca="false">IF($L1196=2016,1,0)</f>
        <v>0</v>
      </c>
      <c r="X1196" s="14" t="n">
        <f aca="false">IF($L1196=2017,1,0)</f>
        <v>1</v>
      </c>
      <c r="Y1196" s="14" t="n">
        <f aca="false">IF($H1196="Beginner Level",1,0)</f>
        <v>1</v>
      </c>
      <c r="Z1196" s="14" t="n">
        <f aca="false">IF($H1196="Expert Level",1,0)</f>
        <v>0</v>
      </c>
      <c r="AA1196" s="14" t="n">
        <f aca="false">IF($H1196="Intermediate Level",1,0)</f>
        <v>0</v>
      </c>
      <c r="AC1196" s="14" t="n">
        <f aca="false">N1196</f>
        <v>5.29836736529808</v>
      </c>
      <c r="AD1196" s="14" t="n">
        <f aca="false">G1196</f>
        <v>55</v>
      </c>
      <c r="AE1196" s="14" t="n">
        <f aca="false">J1196</f>
        <v>4.5</v>
      </c>
      <c r="AF1196" s="14" t="n">
        <f aca="false">IF($L1196=2012,1,0)</f>
        <v>0</v>
      </c>
      <c r="AG1196" s="14" t="n">
        <f aca="false">IF($L1196=2013,1,0)</f>
        <v>0</v>
      </c>
      <c r="AH1196" s="14" t="n">
        <f aca="false">IF($L1196=2014,1,0)</f>
        <v>0</v>
      </c>
      <c r="AI1196" s="14" t="n">
        <f aca="false">IF($L1196=2015,1,0)</f>
        <v>0</v>
      </c>
      <c r="AJ1196" s="14" t="n">
        <f aca="false">IF($L1196=2016,1,0)</f>
        <v>0</v>
      </c>
      <c r="AK1196" s="14" t="n">
        <f aca="false">IF($L1196=2017,1,0)</f>
        <v>1</v>
      </c>
      <c r="AL1196" s="14" t="n">
        <f aca="false">IF($H1196="Beginner Level",1,0)</f>
        <v>1</v>
      </c>
      <c r="AM1196" s="14" t="n">
        <f aca="false">IF($H1196="Expert Level",1,0)</f>
        <v>0</v>
      </c>
      <c r="AN1196" s="14" t="n">
        <f aca="false">IF($H1196="Intermediate Level",1,0)</f>
        <v>0</v>
      </c>
    </row>
    <row r="1197" customFormat="false" ht="68.65" hidden="false" customHeight="false" outlineLevel="0" collapsed="false">
      <c r="A1197" s="14" t="n">
        <v>1152012</v>
      </c>
      <c r="B1197" s="14" t="s">
        <v>2435</v>
      </c>
      <c r="C1197" s="14" t="s">
        <v>2436</v>
      </c>
      <c r="D1197" s="14" t="n">
        <v>35</v>
      </c>
      <c r="E1197" s="14" t="n">
        <v>81</v>
      </c>
      <c r="F1197" s="14" t="n">
        <v>14</v>
      </c>
      <c r="G1197" s="14" t="n">
        <v>33</v>
      </c>
      <c r="H1197" s="14" t="s">
        <v>62</v>
      </c>
      <c r="I1197" s="14" t="n">
        <v>0.46</v>
      </c>
      <c r="J1197" s="14" t="n">
        <v>1</v>
      </c>
      <c r="K1197" s="14" t="s">
        <v>59</v>
      </c>
      <c r="L1197" s="14" t="n">
        <v>2017</v>
      </c>
      <c r="M1197" s="14" t="n">
        <v>4.39444915467244</v>
      </c>
      <c r="N1197" s="14" t="n">
        <v>3.55563373496657</v>
      </c>
      <c r="P1197" s="14" t="n">
        <f aca="false">D1197</f>
        <v>35</v>
      </c>
      <c r="Q1197" s="14" t="n">
        <f aca="false">G1197</f>
        <v>33</v>
      </c>
      <c r="R1197" s="14" t="n">
        <f aca="false">J1197</f>
        <v>1</v>
      </c>
      <c r="S1197" s="14" t="n">
        <f aca="false">IF($L1197=2012,1,0)</f>
        <v>0</v>
      </c>
      <c r="T1197" s="14" t="n">
        <f aca="false">IF($L1197=2013,1,0)</f>
        <v>0</v>
      </c>
      <c r="U1197" s="14" t="n">
        <f aca="false">IF($L1197=2014,1,0)</f>
        <v>0</v>
      </c>
      <c r="V1197" s="14" t="n">
        <f aca="false">IF($L1197=2015,1,0)</f>
        <v>0</v>
      </c>
      <c r="W1197" s="14" t="n">
        <f aca="false">IF($L1197=2016,1,0)</f>
        <v>0</v>
      </c>
      <c r="X1197" s="14" t="n">
        <f aca="false">IF($L1197=2017,1,0)</f>
        <v>1</v>
      </c>
      <c r="Y1197" s="14" t="n">
        <f aca="false">IF($H1197="Beginner Level",1,0)</f>
        <v>0</v>
      </c>
      <c r="Z1197" s="14" t="n">
        <f aca="false">IF($H1197="Expert Level",1,0)</f>
        <v>0</v>
      </c>
      <c r="AA1197" s="14" t="n">
        <f aca="false">IF($H1197="Intermediate Level",1,0)</f>
        <v>0</v>
      </c>
      <c r="AC1197" s="14" t="n">
        <f aca="false">N1197</f>
        <v>3.55563373496657</v>
      </c>
      <c r="AD1197" s="14" t="n">
        <f aca="false">G1197</f>
        <v>33</v>
      </c>
      <c r="AE1197" s="14" t="n">
        <f aca="false">J1197</f>
        <v>1</v>
      </c>
      <c r="AF1197" s="14" t="n">
        <f aca="false">IF($L1197=2012,1,0)</f>
        <v>0</v>
      </c>
      <c r="AG1197" s="14" t="n">
        <f aca="false">IF($L1197=2013,1,0)</f>
        <v>0</v>
      </c>
      <c r="AH1197" s="14" t="n">
        <f aca="false">IF($L1197=2014,1,0)</f>
        <v>0</v>
      </c>
      <c r="AI1197" s="14" t="n">
        <f aca="false">IF($L1197=2015,1,0)</f>
        <v>0</v>
      </c>
      <c r="AJ1197" s="14" t="n">
        <f aca="false">IF($L1197=2016,1,0)</f>
        <v>0</v>
      </c>
      <c r="AK1197" s="14" t="n">
        <f aca="false">IF($L1197=2017,1,0)</f>
        <v>1</v>
      </c>
      <c r="AL1197" s="14" t="n">
        <f aca="false">IF($H1197="Beginner Level",1,0)</f>
        <v>0</v>
      </c>
      <c r="AM1197" s="14" t="n">
        <f aca="false">IF($H1197="Expert Level",1,0)</f>
        <v>0</v>
      </c>
      <c r="AN1197" s="14" t="n">
        <f aca="false">IF($H1197="Intermediate Level",1,0)</f>
        <v>0</v>
      </c>
    </row>
    <row r="1198" customFormat="false" ht="68.65" hidden="false" customHeight="false" outlineLevel="0" collapsed="false">
      <c r="A1198" s="14" t="n">
        <v>1170920</v>
      </c>
      <c r="B1198" s="14" t="s">
        <v>2437</v>
      </c>
      <c r="C1198" s="14" t="s">
        <v>2438</v>
      </c>
      <c r="D1198" s="14" t="n">
        <v>100</v>
      </c>
      <c r="E1198" s="14" t="n">
        <v>61</v>
      </c>
      <c r="F1198" s="14" t="n">
        <v>9</v>
      </c>
      <c r="G1198" s="14" t="n">
        <v>44</v>
      </c>
      <c r="H1198" s="14" t="s">
        <v>62</v>
      </c>
      <c r="I1198" s="14" t="n">
        <v>0.11</v>
      </c>
      <c r="J1198" s="14" t="n">
        <v>2</v>
      </c>
      <c r="K1198" s="14" t="s">
        <v>59</v>
      </c>
      <c r="L1198" s="14" t="n">
        <v>2017</v>
      </c>
      <c r="M1198" s="14" t="n">
        <v>4.11087386417331</v>
      </c>
      <c r="N1198" s="14" t="n">
        <v>4.60527018098843</v>
      </c>
      <c r="P1198" s="14" t="n">
        <f aca="false">D1198</f>
        <v>100</v>
      </c>
      <c r="Q1198" s="14" t="n">
        <f aca="false">G1198</f>
        <v>44</v>
      </c>
      <c r="R1198" s="14" t="n">
        <f aca="false">J1198</f>
        <v>2</v>
      </c>
      <c r="S1198" s="14" t="n">
        <f aca="false">IF($L1198=2012,1,0)</f>
        <v>0</v>
      </c>
      <c r="T1198" s="14" t="n">
        <f aca="false">IF($L1198=2013,1,0)</f>
        <v>0</v>
      </c>
      <c r="U1198" s="14" t="n">
        <f aca="false">IF($L1198=2014,1,0)</f>
        <v>0</v>
      </c>
      <c r="V1198" s="14" t="n">
        <f aca="false">IF($L1198=2015,1,0)</f>
        <v>0</v>
      </c>
      <c r="W1198" s="14" t="n">
        <f aca="false">IF($L1198=2016,1,0)</f>
        <v>0</v>
      </c>
      <c r="X1198" s="14" t="n">
        <f aca="false">IF($L1198=2017,1,0)</f>
        <v>1</v>
      </c>
      <c r="Y1198" s="14" t="n">
        <f aca="false">IF($H1198="Beginner Level",1,0)</f>
        <v>0</v>
      </c>
      <c r="Z1198" s="14" t="n">
        <f aca="false">IF($H1198="Expert Level",1,0)</f>
        <v>0</v>
      </c>
      <c r="AA1198" s="14" t="n">
        <f aca="false">IF($H1198="Intermediate Level",1,0)</f>
        <v>0</v>
      </c>
      <c r="AC1198" s="14" t="n">
        <f aca="false">N1198</f>
        <v>4.60527018098843</v>
      </c>
      <c r="AD1198" s="14" t="n">
        <f aca="false">G1198</f>
        <v>44</v>
      </c>
      <c r="AE1198" s="14" t="n">
        <f aca="false">J1198</f>
        <v>2</v>
      </c>
      <c r="AF1198" s="14" t="n">
        <f aca="false">IF($L1198=2012,1,0)</f>
        <v>0</v>
      </c>
      <c r="AG1198" s="14" t="n">
        <f aca="false">IF($L1198=2013,1,0)</f>
        <v>0</v>
      </c>
      <c r="AH1198" s="14" t="n">
        <f aca="false">IF($L1198=2014,1,0)</f>
        <v>0</v>
      </c>
      <c r="AI1198" s="14" t="n">
        <f aca="false">IF($L1198=2015,1,0)</f>
        <v>0</v>
      </c>
      <c r="AJ1198" s="14" t="n">
        <f aca="false">IF($L1198=2016,1,0)</f>
        <v>0</v>
      </c>
      <c r="AK1198" s="14" t="n">
        <f aca="false">IF($L1198=2017,1,0)</f>
        <v>1</v>
      </c>
      <c r="AL1198" s="14" t="n">
        <f aca="false">IF($H1198="Beginner Level",1,0)</f>
        <v>0</v>
      </c>
      <c r="AM1198" s="14" t="n">
        <f aca="false">IF($H1198="Expert Level",1,0)</f>
        <v>0</v>
      </c>
      <c r="AN1198" s="14" t="n">
        <f aca="false">IF($H1198="Intermediate Level",1,0)</f>
        <v>0</v>
      </c>
    </row>
    <row r="1199" customFormat="false" ht="57.45" hidden="false" customHeight="false" outlineLevel="0" collapsed="false">
      <c r="A1199" s="14" t="n">
        <v>1131732</v>
      </c>
      <c r="B1199" s="14" t="s">
        <v>2439</v>
      </c>
      <c r="C1199" s="14" t="s">
        <v>2440</v>
      </c>
      <c r="D1199" s="14" t="n">
        <v>30</v>
      </c>
      <c r="E1199" s="14" t="n">
        <v>55</v>
      </c>
      <c r="F1199" s="14" t="n">
        <v>13</v>
      </c>
      <c r="G1199" s="14" t="n">
        <v>31</v>
      </c>
      <c r="H1199" s="14" t="s">
        <v>62</v>
      </c>
      <c r="I1199" s="14" t="n">
        <v>0.88</v>
      </c>
      <c r="J1199" s="14" t="n">
        <v>1.5</v>
      </c>
      <c r="K1199" s="14" t="s">
        <v>59</v>
      </c>
      <c r="L1199" s="14" t="n">
        <v>2017</v>
      </c>
      <c r="M1199" s="14" t="n">
        <v>4.00733318523247</v>
      </c>
      <c r="N1199" s="14" t="n">
        <v>3.40153065945228</v>
      </c>
      <c r="P1199" s="14" t="n">
        <f aca="false">D1199</f>
        <v>30</v>
      </c>
      <c r="Q1199" s="14" t="n">
        <f aca="false">G1199</f>
        <v>31</v>
      </c>
      <c r="R1199" s="14" t="n">
        <f aca="false">J1199</f>
        <v>1.5</v>
      </c>
      <c r="S1199" s="14" t="n">
        <f aca="false">IF($L1199=2012,1,0)</f>
        <v>0</v>
      </c>
      <c r="T1199" s="14" t="n">
        <f aca="false">IF($L1199=2013,1,0)</f>
        <v>0</v>
      </c>
      <c r="U1199" s="14" t="n">
        <f aca="false">IF($L1199=2014,1,0)</f>
        <v>0</v>
      </c>
      <c r="V1199" s="14" t="n">
        <f aca="false">IF($L1199=2015,1,0)</f>
        <v>0</v>
      </c>
      <c r="W1199" s="14" t="n">
        <f aca="false">IF($L1199=2016,1,0)</f>
        <v>0</v>
      </c>
      <c r="X1199" s="14" t="n">
        <f aca="false">IF($L1199=2017,1,0)</f>
        <v>1</v>
      </c>
      <c r="Y1199" s="14" t="n">
        <f aca="false">IF($H1199="Beginner Level",1,0)</f>
        <v>0</v>
      </c>
      <c r="Z1199" s="14" t="n">
        <f aca="false">IF($H1199="Expert Level",1,0)</f>
        <v>0</v>
      </c>
      <c r="AA1199" s="14" t="n">
        <f aca="false">IF($H1199="Intermediate Level",1,0)</f>
        <v>0</v>
      </c>
      <c r="AC1199" s="14" t="n">
        <f aca="false">N1199</f>
        <v>3.40153065945228</v>
      </c>
      <c r="AD1199" s="14" t="n">
        <f aca="false">G1199</f>
        <v>31</v>
      </c>
      <c r="AE1199" s="14" t="n">
        <f aca="false">J1199</f>
        <v>1.5</v>
      </c>
      <c r="AF1199" s="14" t="n">
        <f aca="false">IF($L1199=2012,1,0)</f>
        <v>0</v>
      </c>
      <c r="AG1199" s="14" t="n">
        <f aca="false">IF($L1199=2013,1,0)</f>
        <v>0</v>
      </c>
      <c r="AH1199" s="14" t="n">
        <f aca="false">IF($L1199=2014,1,0)</f>
        <v>0</v>
      </c>
      <c r="AI1199" s="14" t="n">
        <f aca="false">IF($L1199=2015,1,0)</f>
        <v>0</v>
      </c>
      <c r="AJ1199" s="14" t="n">
        <f aca="false">IF($L1199=2016,1,0)</f>
        <v>0</v>
      </c>
      <c r="AK1199" s="14" t="n">
        <f aca="false">IF($L1199=2017,1,0)</f>
        <v>1</v>
      </c>
      <c r="AL1199" s="14" t="n">
        <f aca="false">IF($H1199="Beginner Level",1,0)</f>
        <v>0</v>
      </c>
      <c r="AM1199" s="14" t="n">
        <f aca="false">IF($H1199="Expert Level",1,0)</f>
        <v>0</v>
      </c>
      <c r="AN1199" s="14" t="n">
        <f aca="false">IF($H1199="Intermediate Level",1,0)</f>
        <v>0</v>
      </c>
    </row>
    <row r="1200" customFormat="false" ht="68.65" hidden="false" customHeight="false" outlineLevel="0" collapsed="false">
      <c r="A1200" s="14" t="n">
        <v>1227578</v>
      </c>
      <c r="B1200" s="14" t="s">
        <v>2441</v>
      </c>
      <c r="C1200" s="14" t="s">
        <v>2442</v>
      </c>
      <c r="D1200" s="14" t="n">
        <v>200</v>
      </c>
      <c r="E1200" s="14" t="n">
        <v>50</v>
      </c>
      <c r="F1200" s="14" t="n">
        <v>5</v>
      </c>
      <c r="G1200" s="14" t="n">
        <v>60</v>
      </c>
      <c r="H1200" s="14" t="s">
        <v>52</v>
      </c>
      <c r="I1200" s="14" t="n">
        <v>0.96</v>
      </c>
      <c r="J1200" s="14" t="n">
        <v>5</v>
      </c>
      <c r="K1200" s="14" t="s">
        <v>59</v>
      </c>
      <c r="L1200" s="14" t="n">
        <v>2017</v>
      </c>
      <c r="M1200" s="14" t="n">
        <v>3.91202300542815</v>
      </c>
      <c r="N1200" s="14" t="n">
        <v>5.29836736529808</v>
      </c>
      <c r="P1200" s="14" t="n">
        <f aca="false">D1200</f>
        <v>200</v>
      </c>
      <c r="Q1200" s="14" t="n">
        <f aca="false">G1200</f>
        <v>60</v>
      </c>
      <c r="R1200" s="14" t="n">
        <f aca="false">J1200</f>
        <v>5</v>
      </c>
      <c r="S1200" s="14" t="n">
        <f aca="false">IF($L1200=2012,1,0)</f>
        <v>0</v>
      </c>
      <c r="T1200" s="14" t="n">
        <f aca="false">IF($L1200=2013,1,0)</f>
        <v>0</v>
      </c>
      <c r="U1200" s="14" t="n">
        <f aca="false">IF($L1200=2014,1,0)</f>
        <v>0</v>
      </c>
      <c r="V1200" s="14" t="n">
        <f aca="false">IF($L1200=2015,1,0)</f>
        <v>0</v>
      </c>
      <c r="W1200" s="14" t="n">
        <f aca="false">IF($L1200=2016,1,0)</f>
        <v>0</v>
      </c>
      <c r="X1200" s="14" t="n">
        <f aca="false">IF($L1200=2017,1,0)</f>
        <v>1</v>
      </c>
      <c r="Y1200" s="14" t="n">
        <f aca="false">IF($H1200="Beginner Level",1,0)</f>
        <v>1</v>
      </c>
      <c r="Z1200" s="14" t="n">
        <f aca="false">IF($H1200="Expert Level",1,0)</f>
        <v>0</v>
      </c>
      <c r="AA1200" s="14" t="n">
        <f aca="false">IF($H1200="Intermediate Level",1,0)</f>
        <v>0</v>
      </c>
      <c r="AC1200" s="14" t="n">
        <f aca="false">N1200</f>
        <v>5.29836736529808</v>
      </c>
      <c r="AD1200" s="14" t="n">
        <f aca="false">G1200</f>
        <v>60</v>
      </c>
      <c r="AE1200" s="14" t="n">
        <f aca="false">J1200</f>
        <v>5</v>
      </c>
      <c r="AF1200" s="14" t="n">
        <f aca="false">IF($L1200=2012,1,0)</f>
        <v>0</v>
      </c>
      <c r="AG1200" s="14" t="n">
        <f aca="false">IF($L1200=2013,1,0)</f>
        <v>0</v>
      </c>
      <c r="AH1200" s="14" t="n">
        <f aca="false">IF($L1200=2014,1,0)</f>
        <v>0</v>
      </c>
      <c r="AI1200" s="14" t="n">
        <f aca="false">IF($L1200=2015,1,0)</f>
        <v>0</v>
      </c>
      <c r="AJ1200" s="14" t="n">
        <f aca="false">IF($L1200=2016,1,0)</f>
        <v>0</v>
      </c>
      <c r="AK1200" s="14" t="n">
        <f aca="false">IF($L1200=2017,1,0)</f>
        <v>1</v>
      </c>
      <c r="AL1200" s="14" t="n">
        <f aca="false">IF($H1200="Beginner Level",1,0)</f>
        <v>1</v>
      </c>
      <c r="AM1200" s="14" t="n">
        <f aca="false">IF($H1200="Expert Level",1,0)</f>
        <v>0</v>
      </c>
      <c r="AN1200" s="14" t="n">
        <f aca="false">IF($H1200="Intermediate Level",1,0)</f>
        <v>0</v>
      </c>
    </row>
    <row r="1201" customFormat="false" ht="46.25" hidden="false" customHeight="false" outlineLevel="0" collapsed="false">
      <c r="A1201" s="14" t="n">
        <v>1277924</v>
      </c>
      <c r="B1201" s="14" t="s">
        <v>2443</v>
      </c>
      <c r="C1201" s="14" t="s">
        <v>2444</v>
      </c>
      <c r="D1201" s="14" t="n">
        <v>40</v>
      </c>
      <c r="E1201" s="14" t="n">
        <v>44</v>
      </c>
      <c r="F1201" s="14" t="n">
        <v>0</v>
      </c>
      <c r="G1201" s="14" t="n">
        <v>68</v>
      </c>
      <c r="H1201" s="14" t="s">
        <v>62</v>
      </c>
      <c r="I1201" s="14" t="n">
        <v>0.15</v>
      </c>
      <c r="J1201" s="14" t="n">
        <v>8.5</v>
      </c>
      <c r="K1201" s="14" t="s">
        <v>59</v>
      </c>
      <c r="L1201" s="14" t="n">
        <v>2017</v>
      </c>
      <c r="M1201" s="14" t="n">
        <v>3.78418963391826</v>
      </c>
      <c r="N1201" s="14" t="n">
        <v>3.68912942286914</v>
      </c>
      <c r="P1201" s="14" t="n">
        <f aca="false">D1201</f>
        <v>40</v>
      </c>
      <c r="Q1201" s="14" t="n">
        <f aca="false">G1201</f>
        <v>68</v>
      </c>
      <c r="R1201" s="14" t="n">
        <f aca="false">J1201</f>
        <v>8.5</v>
      </c>
      <c r="S1201" s="14" t="n">
        <f aca="false">IF($L1201=2012,1,0)</f>
        <v>0</v>
      </c>
      <c r="T1201" s="14" t="n">
        <f aca="false">IF($L1201=2013,1,0)</f>
        <v>0</v>
      </c>
      <c r="U1201" s="14" t="n">
        <f aca="false">IF($L1201=2014,1,0)</f>
        <v>0</v>
      </c>
      <c r="V1201" s="14" t="n">
        <f aca="false">IF($L1201=2015,1,0)</f>
        <v>0</v>
      </c>
      <c r="W1201" s="14" t="n">
        <f aca="false">IF($L1201=2016,1,0)</f>
        <v>0</v>
      </c>
      <c r="X1201" s="14" t="n">
        <f aca="false">IF($L1201=2017,1,0)</f>
        <v>1</v>
      </c>
      <c r="Y1201" s="14" t="n">
        <f aca="false">IF($H1201="Beginner Level",1,0)</f>
        <v>0</v>
      </c>
      <c r="Z1201" s="14" t="n">
        <f aca="false">IF($H1201="Expert Level",1,0)</f>
        <v>0</v>
      </c>
      <c r="AA1201" s="14" t="n">
        <f aca="false">IF($H1201="Intermediate Level",1,0)</f>
        <v>0</v>
      </c>
      <c r="AC1201" s="14" t="n">
        <f aca="false">N1201</f>
        <v>3.68912942286914</v>
      </c>
      <c r="AD1201" s="14" t="n">
        <f aca="false">G1201</f>
        <v>68</v>
      </c>
      <c r="AE1201" s="14" t="n">
        <f aca="false">J1201</f>
        <v>8.5</v>
      </c>
      <c r="AF1201" s="14" t="n">
        <f aca="false">IF($L1201=2012,1,0)</f>
        <v>0</v>
      </c>
      <c r="AG1201" s="14" t="n">
        <f aca="false">IF($L1201=2013,1,0)</f>
        <v>0</v>
      </c>
      <c r="AH1201" s="14" t="n">
        <f aca="false">IF($L1201=2014,1,0)</f>
        <v>0</v>
      </c>
      <c r="AI1201" s="14" t="n">
        <f aca="false">IF($L1201=2015,1,0)</f>
        <v>0</v>
      </c>
      <c r="AJ1201" s="14" t="n">
        <f aca="false">IF($L1201=2016,1,0)</f>
        <v>0</v>
      </c>
      <c r="AK1201" s="14" t="n">
        <f aca="false">IF($L1201=2017,1,0)</f>
        <v>1</v>
      </c>
      <c r="AL1201" s="14" t="n">
        <f aca="false">IF($H1201="Beginner Level",1,0)</f>
        <v>0</v>
      </c>
      <c r="AM1201" s="14" t="n">
        <f aca="false">IF($H1201="Expert Level",1,0)</f>
        <v>0</v>
      </c>
      <c r="AN1201" s="14" t="n">
        <f aca="false">IF($H1201="Intermediate Level",1,0)</f>
        <v>0</v>
      </c>
    </row>
    <row r="1202" customFormat="false" ht="57.45" hidden="false" customHeight="false" outlineLevel="0" collapsed="false">
      <c r="A1202" s="14" t="n">
        <v>1248172</v>
      </c>
      <c r="B1202" s="14" t="s">
        <v>2445</v>
      </c>
      <c r="C1202" s="14" t="s">
        <v>2446</v>
      </c>
      <c r="D1202" s="14" t="n">
        <v>125</v>
      </c>
      <c r="E1202" s="14" t="n">
        <v>34</v>
      </c>
      <c r="F1202" s="14" t="n">
        <v>2</v>
      </c>
      <c r="G1202" s="14" t="n">
        <v>21</v>
      </c>
      <c r="H1202" s="14" t="s">
        <v>52</v>
      </c>
      <c r="I1202" s="14" t="n">
        <v>0.46</v>
      </c>
      <c r="J1202" s="14" t="n">
        <v>1.5</v>
      </c>
      <c r="K1202" s="14" t="s">
        <v>59</v>
      </c>
      <c r="L1202" s="14" t="n">
        <v>2017</v>
      </c>
      <c r="M1202" s="14" t="n">
        <v>3.52636052461616</v>
      </c>
      <c r="N1202" s="14" t="n">
        <v>4.82839373410247</v>
      </c>
      <c r="P1202" s="14" t="n">
        <f aca="false">D1202</f>
        <v>125</v>
      </c>
      <c r="Q1202" s="14" t="n">
        <f aca="false">G1202</f>
        <v>21</v>
      </c>
      <c r="R1202" s="14" t="n">
        <f aca="false">J1202</f>
        <v>1.5</v>
      </c>
      <c r="S1202" s="14" t="n">
        <f aca="false">IF($L1202=2012,1,0)</f>
        <v>0</v>
      </c>
      <c r="T1202" s="14" t="n">
        <f aca="false">IF($L1202=2013,1,0)</f>
        <v>0</v>
      </c>
      <c r="U1202" s="14" t="n">
        <f aca="false">IF($L1202=2014,1,0)</f>
        <v>0</v>
      </c>
      <c r="V1202" s="14" t="n">
        <f aca="false">IF($L1202=2015,1,0)</f>
        <v>0</v>
      </c>
      <c r="W1202" s="14" t="n">
        <f aca="false">IF($L1202=2016,1,0)</f>
        <v>0</v>
      </c>
      <c r="X1202" s="14" t="n">
        <f aca="false">IF($L1202=2017,1,0)</f>
        <v>1</v>
      </c>
      <c r="Y1202" s="14" t="n">
        <f aca="false">IF($H1202="Beginner Level",1,0)</f>
        <v>1</v>
      </c>
      <c r="Z1202" s="14" t="n">
        <f aca="false">IF($H1202="Expert Level",1,0)</f>
        <v>0</v>
      </c>
      <c r="AA1202" s="14" t="n">
        <f aca="false">IF($H1202="Intermediate Level",1,0)</f>
        <v>0</v>
      </c>
      <c r="AC1202" s="14" t="n">
        <f aca="false">N1202</f>
        <v>4.82839373410247</v>
      </c>
      <c r="AD1202" s="14" t="n">
        <f aca="false">G1202</f>
        <v>21</v>
      </c>
      <c r="AE1202" s="14" t="n">
        <f aca="false">J1202</f>
        <v>1.5</v>
      </c>
      <c r="AF1202" s="14" t="n">
        <f aca="false">IF($L1202=2012,1,0)</f>
        <v>0</v>
      </c>
      <c r="AG1202" s="14" t="n">
        <f aca="false">IF($L1202=2013,1,0)</f>
        <v>0</v>
      </c>
      <c r="AH1202" s="14" t="n">
        <f aca="false">IF($L1202=2014,1,0)</f>
        <v>0</v>
      </c>
      <c r="AI1202" s="14" t="n">
        <f aca="false">IF($L1202=2015,1,0)</f>
        <v>0</v>
      </c>
      <c r="AJ1202" s="14" t="n">
        <f aca="false">IF($L1202=2016,1,0)</f>
        <v>0</v>
      </c>
      <c r="AK1202" s="14" t="n">
        <f aca="false">IF($L1202=2017,1,0)</f>
        <v>1</v>
      </c>
      <c r="AL1202" s="14" t="n">
        <f aca="false">IF($H1202="Beginner Level",1,0)</f>
        <v>1</v>
      </c>
      <c r="AM1202" s="14" t="n">
        <f aca="false">IF($H1202="Expert Level",1,0)</f>
        <v>0</v>
      </c>
      <c r="AN1202" s="14" t="n">
        <f aca="false">IF($H1202="Intermediate Level",1,0)</f>
        <v>0</v>
      </c>
    </row>
    <row r="1203" customFormat="false" ht="68.65" hidden="false" customHeight="false" outlineLevel="0" collapsed="false">
      <c r="A1203" s="14" t="n">
        <v>1250934</v>
      </c>
      <c r="B1203" s="14" t="s">
        <v>2447</v>
      </c>
      <c r="C1203" s="14" t="s">
        <v>2448</v>
      </c>
      <c r="D1203" s="14" t="n">
        <v>100</v>
      </c>
      <c r="E1203" s="14" t="n">
        <v>25</v>
      </c>
      <c r="F1203" s="14" t="n">
        <v>4</v>
      </c>
      <c r="G1203" s="14" t="n">
        <v>66</v>
      </c>
      <c r="H1203" s="14" t="s">
        <v>52</v>
      </c>
      <c r="I1203" s="14" t="n">
        <v>0.67</v>
      </c>
      <c r="J1203" s="14" t="n">
        <v>12.5</v>
      </c>
      <c r="K1203" s="14" t="s">
        <v>59</v>
      </c>
      <c r="L1203" s="14" t="n">
        <v>2017</v>
      </c>
      <c r="M1203" s="14" t="n">
        <v>3.2188758248682</v>
      </c>
      <c r="N1203" s="14" t="n">
        <v>4.60527018098843</v>
      </c>
      <c r="P1203" s="14" t="n">
        <f aca="false">D1203</f>
        <v>100</v>
      </c>
      <c r="Q1203" s="14" t="n">
        <f aca="false">G1203</f>
        <v>66</v>
      </c>
      <c r="R1203" s="14" t="n">
        <f aca="false">J1203</f>
        <v>12.5</v>
      </c>
      <c r="S1203" s="14" t="n">
        <f aca="false">IF($L1203=2012,1,0)</f>
        <v>0</v>
      </c>
      <c r="T1203" s="14" t="n">
        <f aca="false">IF($L1203=2013,1,0)</f>
        <v>0</v>
      </c>
      <c r="U1203" s="14" t="n">
        <f aca="false">IF($L1203=2014,1,0)</f>
        <v>0</v>
      </c>
      <c r="V1203" s="14" t="n">
        <f aca="false">IF($L1203=2015,1,0)</f>
        <v>0</v>
      </c>
      <c r="W1203" s="14" t="n">
        <f aca="false">IF($L1203=2016,1,0)</f>
        <v>0</v>
      </c>
      <c r="X1203" s="14" t="n">
        <f aca="false">IF($L1203=2017,1,0)</f>
        <v>1</v>
      </c>
      <c r="Y1203" s="14" t="n">
        <f aca="false">IF($H1203="Beginner Level",1,0)</f>
        <v>1</v>
      </c>
      <c r="Z1203" s="14" t="n">
        <f aca="false">IF($H1203="Expert Level",1,0)</f>
        <v>0</v>
      </c>
      <c r="AA1203" s="14" t="n">
        <f aca="false">IF($H1203="Intermediate Level",1,0)</f>
        <v>0</v>
      </c>
      <c r="AC1203" s="14" t="n">
        <f aca="false">N1203</f>
        <v>4.60527018098843</v>
      </c>
      <c r="AD1203" s="14" t="n">
        <f aca="false">G1203</f>
        <v>66</v>
      </c>
      <c r="AE1203" s="14" t="n">
        <f aca="false">J1203</f>
        <v>12.5</v>
      </c>
      <c r="AF1203" s="14" t="n">
        <f aca="false">IF($L1203=2012,1,0)</f>
        <v>0</v>
      </c>
      <c r="AG1203" s="14" t="n">
        <f aca="false">IF($L1203=2013,1,0)</f>
        <v>0</v>
      </c>
      <c r="AH1203" s="14" t="n">
        <f aca="false">IF($L1203=2014,1,0)</f>
        <v>0</v>
      </c>
      <c r="AI1203" s="14" t="n">
        <f aca="false">IF($L1203=2015,1,0)</f>
        <v>0</v>
      </c>
      <c r="AJ1203" s="14" t="n">
        <f aca="false">IF($L1203=2016,1,0)</f>
        <v>0</v>
      </c>
      <c r="AK1203" s="14" t="n">
        <f aca="false">IF($L1203=2017,1,0)</f>
        <v>1</v>
      </c>
      <c r="AL1203" s="14" t="n">
        <f aca="false">IF($H1203="Beginner Level",1,0)</f>
        <v>1</v>
      </c>
      <c r="AM1203" s="14" t="n">
        <f aca="false">IF($H1203="Expert Level",1,0)</f>
        <v>0</v>
      </c>
      <c r="AN1203" s="14" t="n">
        <f aca="false">IF($H1203="Intermediate Level",1,0)</f>
        <v>0</v>
      </c>
    </row>
    <row r="1204" customFormat="false" ht="79.85" hidden="false" customHeight="false" outlineLevel="0" collapsed="false">
      <c r="A1204" s="14" t="n">
        <v>1270222</v>
      </c>
      <c r="B1204" s="14" t="s">
        <v>2449</v>
      </c>
      <c r="C1204" s="14" t="s">
        <v>2450</v>
      </c>
      <c r="D1204" s="14" t="n">
        <v>200</v>
      </c>
      <c r="E1204" s="14" t="n">
        <v>19</v>
      </c>
      <c r="F1204" s="14" t="n">
        <v>2</v>
      </c>
      <c r="G1204" s="14" t="n">
        <v>33</v>
      </c>
      <c r="H1204" s="14" t="s">
        <v>52</v>
      </c>
      <c r="I1204" s="14" t="n">
        <v>0.12</v>
      </c>
      <c r="J1204" s="14" t="n">
        <v>4</v>
      </c>
      <c r="K1204" s="14" t="s">
        <v>59</v>
      </c>
      <c r="L1204" s="14" t="n">
        <v>2017</v>
      </c>
      <c r="M1204" s="14" t="n">
        <v>2.94443897916644</v>
      </c>
      <c r="N1204" s="14" t="n">
        <v>5.29836736529808</v>
      </c>
      <c r="P1204" s="14" t="n">
        <f aca="false">D1204</f>
        <v>200</v>
      </c>
      <c r="Q1204" s="14" t="n">
        <f aca="false">G1204</f>
        <v>33</v>
      </c>
      <c r="R1204" s="14" t="n">
        <f aca="false">J1204</f>
        <v>4</v>
      </c>
      <c r="S1204" s="14" t="n">
        <f aca="false">IF($L1204=2012,1,0)</f>
        <v>0</v>
      </c>
      <c r="T1204" s="14" t="n">
        <f aca="false">IF($L1204=2013,1,0)</f>
        <v>0</v>
      </c>
      <c r="U1204" s="14" t="n">
        <f aca="false">IF($L1204=2014,1,0)</f>
        <v>0</v>
      </c>
      <c r="V1204" s="14" t="n">
        <f aca="false">IF($L1204=2015,1,0)</f>
        <v>0</v>
      </c>
      <c r="W1204" s="14" t="n">
        <f aca="false">IF($L1204=2016,1,0)</f>
        <v>0</v>
      </c>
      <c r="X1204" s="14" t="n">
        <f aca="false">IF($L1204=2017,1,0)</f>
        <v>1</v>
      </c>
      <c r="Y1204" s="14" t="n">
        <f aca="false">IF($H1204="Beginner Level",1,0)</f>
        <v>1</v>
      </c>
      <c r="Z1204" s="14" t="n">
        <f aca="false">IF($H1204="Expert Level",1,0)</f>
        <v>0</v>
      </c>
      <c r="AA1204" s="14" t="n">
        <f aca="false">IF($H1204="Intermediate Level",1,0)</f>
        <v>0</v>
      </c>
      <c r="AC1204" s="14" t="n">
        <f aca="false">N1204</f>
        <v>5.29836736529808</v>
      </c>
      <c r="AD1204" s="14" t="n">
        <f aca="false">G1204</f>
        <v>33</v>
      </c>
      <c r="AE1204" s="14" t="n">
        <f aca="false">J1204</f>
        <v>4</v>
      </c>
      <c r="AF1204" s="14" t="n">
        <f aca="false">IF($L1204=2012,1,0)</f>
        <v>0</v>
      </c>
      <c r="AG1204" s="14" t="n">
        <f aca="false">IF($L1204=2013,1,0)</f>
        <v>0</v>
      </c>
      <c r="AH1204" s="14" t="n">
        <f aca="false">IF($L1204=2014,1,0)</f>
        <v>0</v>
      </c>
      <c r="AI1204" s="14" t="n">
        <f aca="false">IF($L1204=2015,1,0)</f>
        <v>0</v>
      </c>
      <c r="AJ1204" s="14" t="n">
        <f aca="false">IF($L1204=2016,1,0)</f>
        <v>0</v>
      </c>
      <c r="AK1204" s="14" t="n">
        <f aca="false">IF($L1204=2017,1,0)</f>
        <v>1</v>
      </c>
      <c r="AL1204" s="14" t="n">
        <f aca="false">IF($H1204="Beginner Level",1,0)</f>
        <v>1</v>
      </c>
      <c r="AM1204" s="14" t="n">
        <f aca="false">IF($H1204="Expert Level",1,0)</f>
        <v>0</v>
      </c>
      <c r="AN1204" s="14" t="n">
        <f aca="false">IF($H1204="Intermediate Level",1,0)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3"/>
  </cols>
  <sheetData>
    <row r="1" customFormat="false" ht="25.5" hidden="false" customHeight="true" outlineLevel="0" collapsed="false">
      <c r="A1" s="1" t="s">
        <v>2451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2452</v>
      </c>
      <c r="B3" s="15" t="s">
        <v>2453</v>
      </c>
      <c r="C3" s="15" t="s">
        <v>2454</v>
      </c>
      <c r="D3" s="15" t="s">
        <v>2455</v>
      </c>
      <c r="E3" s="15" t="s">
        <v>2456</v>
      </c>
      <c r="F3" s="15" t="s">
        <v>2457</v>
      </c>
      <c r="G3" s="15" t="s">
        <v>2458</v>
      </c>
    </row>
    <row r="4" customFormat="false" ht="15" hidden="false" customHeight="false" outlineLevel="0" collapsed="false">
      <c r="A4" s="9" t="s">
        <v>26</v>
      </c>
      <c r="B4" s="16" t="n">
        <f aca="false">AVERAGE(資料!D2:D1204)</f>
        <v>77.0365752285952</v>
      </c>
      <c r="C4" s="16" t="n">
        <f aca="false">MEDIAN(資料!D2:D1204)</f>
        <v>50</v>
      </c>
      <c r="D4" s="16" t="n">
        <f aca="false">MODE(資料!D2:D1204)</f>
        <v>20</v>
      </c>
      <c r="E4" s="16" t="n">
        <f aca="false">STDEV(資料!D2:D1204)</f>
        <v>66.1454203342121</v>
      </c>
      <c r="F4" s="16" t="n">
        <f aca="false">MIN(資料!D2:D1204)</f>
        <v>0</v>
      </c>
      <c r="G4" s="16" t="n">
        <f aca="false">MAX(資料!D2:D1204)</f>
        <v>200</v>
      </c>
    </row>
    <row r="5" customFormat="false" ht="15" hidden="false" customHeight="false" outlineLevel="0" collapsed="false">
      <c r="A5" s="9" t="s">
        <v>27</v>
      </c>
      <c r="B5" s="16" t="n">
        <f aca="false">AVERAGE(資料!E2:E1204)</f>
        <v>6635.02493765586</v>
      </c>
      <c r="C5" s="16" t="n">
        <f aca="false">MEDIAN(資料!E2:E1204)</f>
        <v>2430</v>
      </c>
      <c r="D5" s="16" t="n">
        <f aca="false">MODE(資料!E2:E1204)</f>
        <v>578</v>
      </c>
      <c r="E5" s="16" t="n">
        <f aca="false">STDEV(資料!E2:E1204)</f>
        <v>14559.4190072268</v>
      </c>
      <c r="F5" s="16" t="n">
        <f aca="false">MIN(資料!E2:E1204)</f>
        <v>19</v>
      </c>
      <c r="G5" s="16" t="n">
        <f aca="false">MAX(資料!E2:E1204)</f>
        <v>268923</v>
      </c>
    </row>
    <row r="6" customFormat="false" ht="15" hidden="false" customHeight="false" outlineLevel="0" collapsed="false">
      <c r="A6" s="9" t="s">
        <v>28</v>
      </c>
      <c r="B6" s="16" t="n">
        <f aca="false">AVERAGE(資料!F2:F1204)</f>
        <v>357.355777223608</v>
      </c>
      <c r="C6" s="16" t="n">
        <f aca="false">MEDIAN(資料!F2:F1204)</f>
        <v>65</v>
      </c>
      <c r="D6" s="16" t="n">
        <f aca="false">MODE(資料!F2:F1204)</f>
        <v>16</v>
      </c>
      <c r="E6" s="16" t="n">
        <f aca="false">STDEV(資料!F2:F1204)</f>
        <v>1572.91768529008</v>
      </c>
      <c r="F6" s="16" t="n">
        <f aca="false">MIN(資料!F2:F1204)</f>
        <v>0</v>
      </c>
      <c r="G6" s="16" t="n">
        <f aca="false">MAX(資料!F2:F1204)</f>
        <v>27445</v>
      </c>
    </row>
    <row r="7" customFormat="false" ht="15" hidden="false" customHeight="false" outlineLevel="0" collapsed="false">
      <c r="A7" s="9" t="s">
        <v>29</v>
      </c>
      <c r="B7" s="16" t="n">
        <f aca="false">AVERAGE(資料!G2:G1204)</f>
        <v>52.7672485453034</v>
      </c>
      <c r="C7" s="16" t="n">
        <f aca="false">MEDIAN(資料!G2:G1204)</f>
        <v>32</v>
      </c>
      <c r="D7" s="16" t="n">
        <f aca="false">MODE(資料!G2:G1204)</f>
        <v>20</v>
      </c>
      <c r="E7" s="16" t="n">
        <f aca="false">STDEV(資料!G2:G1204)</f>
        <v>62.7622672286552</v>
      </c>
      <c r="F7" s="16" t="n">
        <f aca="false">MIN(資料!G2:G1204)</f>
        <v>5</v>
      </c>
      <c r="G7" s="16" t="n">
        <f aca="false">MAX(資料!G2:G1204)</f>
        <v>779</v>
      </c>
    </row>
    <row r="8" customFormat="false" ht="15" hidden="false" customHeight="false" outlineLevel="0" collapsed="false">
      <c r="A8" s="9" t="s">
        <v>31</v>
      </c>
      <c r="B8" s="16" t="n">
        <f aca="false">AVERAGE(資料!I2:I1204)</f>
        <v>0.643050706566916</v>
      </c>
      <c r="C8" s="16" t="n">
        <f aca="false">MEDIAN(資料!I2:I1204)</f>
        <v>0.76</v>
      </c>
      <c r="D8" s="16" t="n">
        <f aca="false">MODE(資料!I2:I1204)</f>
        <v>0.96</v>
      </c>
      <c r="E8" s="16" t="n">
        <f aca="false">STDEV(資料!I2:I1204)</f>
        <v>0.306003577767328</v>
      </c>
      <c r="F8" s="16" t="n">
        <f aca="false">MIN(資料!I2:I1204)</f>
        <v>0</v>
      </c>
      <c r="G8" s="16" t="n">
        <f aca="false">MAX(資料!I2:I1204)</f>
        <v>1</v>
      </c>
    </row>
    <row r="9" customFormat="false" ht="15" hidden="false" customHeight="false" outlineLevel="0" collapsed="false">
      <c r="A9" s="9" t="s">
        <v>32</v>
      </c>
      <c r="B9" s="16" t="n">
        <f aca="false">AVERAGE(資料!J2:J1204)</f>
        <v>5.58665835412303</v>
      </c>
      <c r="C9" s="16" t="n">
        <f aca="false">MEDIAN(資料!J2:J1204)</f>
        <v>3</v>
      </c>
      <c r="D9" s="16" t="n">
        <f aca="false">MODE(資料!J2:J1204)</f>
        <v>1</v>
      </c>
      <c r="E9" s="16" t="n">
        <f aca="false">STDEV(資料!J2:J1204)</f>
        <v>7.24285519063258</v>
      </c>
      <c r="F9" s="16" t="n">
        <f aca="false">MIN(資料!J2:J1204)</f>
        <v>0.5</v>
      </c>
      <c r="G9" s="16" t="n">
        <f aca="false">MAX(資料!J2:J1204)</f>
        <v>76.5</v>
      </c>
    </row>
    <row r="11" customFormat="false" ht="11.9" hidden="false" customHeight="false" outlineLevel="0" collapsed="false">
      <c r="A11" s="17" t="s">
        <v>2459</v>
      </c>
      <c r="B11" s="17"/>
      <c r="C11" s="17"/>
      <c r="D11" s="17"/>
      <c r="E11" s="17"/>
      <c r="F11" s="17"/>
      <c r="G11" s="17"/>
    </row>
  </sheetData>
  <mergeCells count="2">
    <mergeCell ref="A1:G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2460</v>
      </c>
      <c r="B1" s="1"/>
      <c r="C1" s="1"/>
      <c r="D1" s="1"/>
    </row>
    <row r="3" customFormat="false" ht="15" hidden="false" customHeight="false" outlineLevel="0" collapsed="false">
      <c r="A3" s="11" t="s">
        <v>30</v>
      </c>
      <c r="B3" s="15" t="s">
        <v>2461</v>
      </c>
      <c r="C3" s="15" t="s">
        <v>2462</v>
      </c>
      <c r="D3" s="15" t="s">
        <v>2463</v>
      </c>
    </row>
    <row r="4" customFormat="false" ht="15" hidden="false" customHeight="false" outlineLevel="0" collapsed="false">
      <c r="A4" s="9" t="s">
        <v>62</v>
      </c>
      <c r="B4" s="18" t="n">
        <f aca="false">COUNTIF(資料!H2:H1204,A4)</f>
        <v>633</v>
      </c>
      <c r="C4" s="19" t="n">
        <f aca="false">B4/1203</f>
        <v>0.526184538653367</v>
      </c>
      <c r="D4" s="20" t="s">
        <v>2464</v>
      </c>
    </row>
    <row r="5" customFormat="false" ht="15" hidden="false" customHeight="false" outlineLevel="0" collapsed="false">
      <c r="A5" s="9" t="s">
        <v>52</v>
      </c>
      <c r="B5" s="18" t="n">
        <f aca="false">COUNTIF(資料!H2:H1204,A5)</f>
        <v>422</v>
      </c>
      <c r="C5" s="19" t="n">
        <f aca="false">B5/1203</f>
        <v>0.350789692435578</v>
      </c>
      <c r="D5" s="20" t="s">
        <v>2464</v>
      </c>
    </row>
    <row r="6" customFormat="false" ht="15" hidden="false" customHeight="false" outlineLevel="0" collapsed="false">
      <c r="A6" s="9" t="s">
        <v>71</v>
      </c>
      <c r="B6" s="18" t="n">
        <f aca="false">COUNTIF(資料!H2:H1204,A6)</f>
        <v>134</v>
      </c>
      <c r="C6" s="19" t="n">
        <f aca="false">B6/1203</f>
        <v>0.111388196176226</v>
      </c>
      <c r="D6" s="20" t="s">
        <v>2464</v>
      </c>
    </row>
    <row r="7" customFormat="false" ht="15" hidden="false" customHeight="false" outlineLevel="0" collapsed="false">
      <c r="A7" s="9" t="s">
        <v>56</v>
      </c>
      <c r="B7" s="18" t="n">
        <f aca="false">COUNTIF(資料!H2:H1204,A7)</f>
        <v>14</v>
      </c>
      <c r="C7" s="19" t="n">
        <f aca="false">B7/1203</f>
        <v>0.0116375727348296</v>
      </c>
      <c r="D7" s="20" t="s">
        <v>2464</v>
      </c>
    </row>
    <row r="9" customFormat="false" ht="15" hidden="false" customHeight="false" outlineLevel="0" collapsed="false">
      <c r="A9" s="11" t="s">
        <v>34</v>
      </c>
      <c r="B9" s="15" t="s">
        <v>2461</v>
      </c>
      <c r="C9" s="15" t="s">
        <v>2462</v>
      </c>
      <c r="D9" s="15" t="s">
        <v>2463</v>
      </c>
    </row>
    <row r="10" customFormat="false" ht="15" hidden="false" customHeight="false" outlineLevel="0" collapsed="false">
      <c r="A10" s="21" t="n">
        <v>2011</v>
      </c>
      <c r="B10" s="18" t="n">
        <f aca="false">COUNTIF(資料!L2:L1204,A10)</f>
        <v>5</v>
      </c>
      <c r="C10" s="19" t="n">
        <f aca="false">B10/1203</f>
        <v>0.00415627597672486</v>
      </c>
      <c r="D10" s="20" t="s">
        <v>2465</v>
      </c>
    </row>
    <row r="11" customFormat="false" ht="15" hidden="false" customHeight="false" outlineLevel="0" collapsed="false">
      <c r="A11" s="21" t="n">
        <v>2012</v>
      </c>
      <c r="B11" s="18" t="n">
        <f aca="false">COUNTIF(資料!L2:L1204,A11)</f>
        <v>19</v>
      </c>
      <c r="C11" s="19" t="n">
        <f aca="false">B11/1203</f>
        <v>0.0157938487115544</v>
      </c>
      <c r="D11" s="20" t="s">
        <v>2465</v>
      </c>
    </row>
    <row r="12" customFormat="false" ht="15" hidden="false" customHeight="false" outlineLevel="0" collapsed="false">
      <c r="A12" s="21" t="n">
        <v>2013</v>
      </c>
      <c r="B12" s="18" t="n">
        <f aca="false">COUNTIF(資料!L2:L1204,A12)</f>
        <v>55</v>
      </c>
      <c r="C12" s="19" t="n">
        <f aca="false">B12/1203</f>
        <v>0.0457190357439734</v>
      </c>
      <c r="D12" s="20" t="s">
        <v>2465</v>
      </c>
    </row>
    <row r="13" customFormat="false" ht="15" hidden="false" customHeight="false" outlineLevel="0" collapsed="false">
      <c r="A13" s="21" t="n">
        <v>2014</v>
      </c>
      <c r="B13" s="18" t="n">
        <f aca="false">COUNTIF(資料!L2:L1204,A13)</f>
        <v>115</v>
      </c>
      <c r="C13" s="19" t="n">
        <f aca="false">B13/1203</f>
        <v>0.0955943474646717</v>
      </c>
      <c r="D13" s="20" t="s">
        <v>2465</v>
      </c>
    </row>
    <row r="14" customFormat="false" ht="15" hidden="false" customHeight="false" outlineLevel="0" collapsed="false">
      <c r="A14" s="21" t="n">
        <v>2015</v>
      </c>
      <c r="B14" s="18" t="n">
        <f aca="false">COUNTIF(資料!L2:L1204,A14)</f>
        <v>336</v>
      </c>
      <c r="C14" s="19" t="n">
        <f aca="false">B14/1203</f>
        <v>0.27930174563591</v>
      </c>
      <c r="D14" s="20" t="s">
        <v>2465</v>
      </c>
    </row>
    <row r="15" customFormat="false" ht="15" hidden="false" customHeight="false" outlineLevel="0" collapsed="false">
      <c r="A15" s="21" t="n">
        <v>2016</v>
      </c>
      <c r="B15" s="18" t="n">
        <f aca="false">COUNTIF(資料!L2:L1204,A15)</f>
        <v>449</v>
      </c>
      <c r="C15" s="19" t="n">
        <f aca="false">B15/1203</f>
        <v>0.373233582709892</v>
      </c>
      <c r="D15" s="20" t="s">
        <v>2465</v>
      </c>
    </row>
    <row r="16" customFormat="false" ht="15" hidden="false" customHeight="false" outlineLevel="0" collapsed="false">
      <c r="A16" s="21" t="n">
        <v>2017</v>
      </c>
      <c r="B16" s="18" t="n">
        <f aca="false">COUNTIF(資料!L2:L1204,A16)</f>
        <v>224</v>
      </c>
      <c r="C16" s="19" t="n">
        <f aca="false">B16/1203</f>
        <v>0.186201163757274</v>
      </c>
      <c r="D16" s="20" t="s">
        <v>2465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" t="s">
        <v>2466</v>
      </c>
      <c r="B1" s="1"/>
      <c r="C1" s="1"/>
    </row>
    <row r="2" customFormat="false" ht="11.9" hidden="false" customHeight="false" outlineLevel="0" collapsed="false">
      <c r="A2" s="22" t="s">
        <v>2467</v>
      </c>
      <c r="B2" s="22"/>
      <c r="C2" s="22"/>
    </row>
    <row r="4" customFormat="false" ht="15" hidden="false" customHeight="false" outlineLevel="0" collapsed="false">
      <c r="A4" s="7" t="s">
        <v>2468</v>
      </c>
      <c r="B4" s="18" t="n">
        <f aca="false">COUNT(資料!I2:I1204)</f>
        <v>1203</v>
      </c>
    </row>
    <row r="5" customFormat="false" ht="15" hidden="false" customHeight="false" outlineLevel="0" collapsed="false">
      <c r="A5" s="7" t="s">
        <v>2469</v>
      </c>
      <c r="B5" s="23" t="n">
        <f aca="false">AVERAGE(資料!I2:I1204)</f>
        <v>0.643050706566916</v>
      </c>
    </row>
    <row r="6" customFormat="false" ht="15" hidden="false" customHeight="false" outlineLevel="0" collapsed="false">
      <c r="A6" s="7" t="s">
        <v>2470</v>
      </c>
      <c r="B6" s="23" t="n">
        <f aca="false">STDEV(資料!I2:I1204)</f>
        <v>0.306003577767328</v>
      </c>
    </row>
    <row r="7" customFormat="false" ht="15" hidden="false" customHeight="false" outlineLevel="0" collapsed="false">
      <c r="A7" s="7" t="s">
        <v>2471</v>
      </c>
      <c r="B7" s="16" t="s">
        <v>2472</v>
      </c>
    </row>
    <row r="8" customFormat="false" ht="15" hidden="false" customHeight="false" outlineLevel="0" collapsed="false">
      <c r="A8" s="7" t="s">
        <v>2473</v>
      </c>
      <c r="B8" s="24" t="n">
        <f aca="false">B6/SQRT(B4)</f>
        <v>0.00882254110747134</v>
      </c>
    </row>
    <row r="9" customFormat="false" ht="15" hidden="false" customHeight="false" outlineLevel="0" collapsed="false">
      <c r="A9" s="9" t="s">
        <v>2474</v>
      </c>
      <c r="B9" s="25" t="n">
        <f aca="false">(B5-B7)/B8</f>
        <v>-0.787674814821655</v>
      </c>
    </row>
    <row r="10" customFormat="false" ht="15" hidden="false" customHeight="false" outlineLevel="0" collapsed="false">
      <c r="A10" s="7" t="s">
        <v>2475</v>
      </c>
      <c r="B10" s="18" t="n">
        <f aca="false">B4-1</f>
        <v>1202</v>
      </c>
    </row>
    <row r="11" customFormat="false" ht="15" hidden="false" customHeight="false" outlineLevel="0" collapsed="false">
      <c r="A11" s="9" t="s">
        <v>2476</v>
      </c>
      <c r="B11" s="26" t="n">
        <f aca="false">TDIST(ABS(B9),B10,2)</f>
        <v>0.431042234226991</v>
      </c>
    </row>
    <row r="13" customFormat="false" ht="15" hidden="false" customHeight="true" outlineLevel="0" collapsed="false">
      <c r="A13" s="15" t="s">
        <v>2477</v>
      </c>
      <c r="B13" s="15"/>
      <c r="C13" s="15"/>
    </row>
    <row r="14" customFormat="false" ht="30" hidden="false" customHeight="true" outlineLevel="0" collapsed="false">
      <c r="A14" s="27" t="str">
        <f aca="false">IF(B11&lt;0.05,"p &lt; 0.05,拒絕 H0:平均評分與 65% 有顯著差異。","p = "&amp;TEXT(B11,"0.000")&amp;" ≥ 0.05,無法拒絕 H0:平均評分與 65% 無顯著差異。")</f>
        <v>p = 0.431 ≥ 0.05,無法拒絕 H0:平均評分與 65% 無顯著差異。</v>
      </c>
      <c r="B14" s="27"/>
      <c r="C14" s="27"/>
    </row>
    <row r="15" customFormat="false" ht="15" hidden="false" customHeight="false" outlineLevel="0" collapsed="false">
      <c r="A15" s="27"/>
      <c r="B15" s="27"/>
      <c r="C15" s="27"/>
    </row>
  </sheetData>
  <mergeCells count="4">
    <mergeCell ref="A1:C1"/>
    <mergeCell ref="A2:C2"/>
    <mergeCell ref="A13:C13"/>
    <mergeCell ref="A14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" t="s">
        <v>2478</v>
      </c>
      <c r="B1" s="1"/>
      <c r="C1" s="1"/>
    </row>
    <row r="3" customFormat="false" ht="15" hidden="false" customHeight="false" outlineLevel="0" collapsed="false">
      <c r="A3" s="15" t="s">
        <v>2479</v>
      </c>
      <c r="B3" s="15" t="s">
        <v>2480</v>
      </c>
      <c r="C3" s="15" t="s">
        <v>7</v>
      </c>
    </row>
    <row r="4" customFormat="false" ht="15" hidden="false" customHeight="false" outlineLevel="0" collapsed="false">
      <c r="A4" s="7" t="s">
        <v>2481</v>
      </c>
      <c r="B4" s="28" t="s">
        <v>2482</v>
      </c>
      <c r="C4" s="29" t="s">
        <v>2483</v>
      </c>
    </row>
    <row r="5" customFormat="false" ht="15" hidden="false" customHeight="false" outlineLevel="0" collapsed="false">
      <c r="A5" s="9" t="s">
        <v>2484</v>
      </c>
      <c r="B5" s="26" t="n">
        <f aca="false">CORREL(資料!D2:D1204,資料!E2:E1204)</f>
        <v>0.0139788440603934</v>
      </c>
      <c r="C5" s="20" t="s">
        <v>2485</v>
      </c>
    </row>
    <row r="7" customFormat="false" ht="15" hidden="false" customHeight="true" outlineLevel="0" collapsed="false">
      <c r="A7" s="15" t="s">
        <v>2477</v>
      </c>
      <c r="B7" s="15"/>
      <c r="C7" s="15"/>
    </row>
    <row r="8" customFormat="false" ht="30" hidden="false" customHeight="true" outlineLevel="0" collapsed="false">
      <c r="A8" s="30" t="s">
        <v>2486</v>
      </c>
      <c r="B8" s="30"/>
      <c r="C8" s="30"/>
    </row>
    <row r="9" customFormat="false" ht="15" hidden="false" customHeight="false" outlineLevel="0" collapsed="false">
      <c r="A9" s="30"/>
      <c r="B9" s="30"/>
      <c r="C9" s="30"/>
    </row>
  </sheetData>
  <mergeCells count="3">
    <mergeCell ref="A1:C1"/>
    <mergeCell ref="A7:C7"/>
    <mergeCell ref="A8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2487</v>
      </c>
      <c r="B1" s="1"/>
      <c r="C1" s="1"/>
      <c r="D1" s="1"/>
      <c r="E1" s="1"/>
      <c r="F1" s="1"/>
    </row>
    <row r="3" customFormat="false" ht="12.65" hidden="false" customHeight="false" outlineLevel="0" collapsed="false">
      <c r="A3" s="31" t="s">
        <v>2488</v>
      </c>
      <c r="B3" s="31"/>
      <c r="C3" s="31"/>
      <c r="D3" s="31"/>
      <c r="E3" s="31"/>
      <c r="F3" s="31"/>
    </row>
    <row r="4" customFormat="false" ht="15" hidden="false" customHeight="false" outlineLevel="0" collapsed="false">
      <c r="A4" s="15" t="s">
        <v>2479</v>
      </c>
      <c r="B4" s="15" t="s">
        <v>2489</v>
      </c>
      <c r="C4" s="15" t="s">
        <v>2490</v>
      </c>
      <c r="D4" s="11" t="s">
        <v>2491</v>
      </c>
      <c r="E4" s="11" t="s">
        <v>2492</v>
      </c>
    </row>
    <row r="5" customFormat="false" ht="15" hidden="false" customHeight="false" outlineLevel="0" collapsed="false">
      <c r="A5" s="7" t="s">
        <v>2493</v>
      </c>
      <c r="B5" s="25" t="n">
        <f aca="false">INDEX(LINEST(資料!E2:E1204,資料!D2:D1204,TRUE(),TRUE()),1,2)</f>
        <v>6397.98992992196</v>
      </c>
      <c r="C5" s="25" t="n">
        <f aca="false">INDEX(LINEST(資料!E2:E1204,資料!D2:D1204,TRUE(),TRUE()),2,2)</f>
        <v>644.732991974065</v>
      </c>
      <c r="D5" s="16" t="n">
        <f aca="false">B5/C5</f>
        <v>9.92347221185685</v>
      </c>
      <c r="E5" s="23" t="n">
        <f aca="false">TDIST(ABS(D5),$C$8,2)</f>
        <v>2.32207493819752E-022</v>
      </c>
    </row>
    <row r="6" customFormat="false" ht="15" hidden="false" customHeight="false" outlineLevel="0" collapsed="false">
      <c r="A6" s="9" t="s">
        <v>26</v>
      </c>
      <c r="B6" s="25" t="n">
        <f aca="false">INDEX(LINEST(資料!E2:E1204,資料!D2:D1204,TRUE(),TRUE()),1,1)</f>
        <v>3.07691517997177</v>
      </c>
      <c r="C6" s="25" t="n">
        <f aca="false">INDEX(LINEST(資料!E2:E1204,資料!D2:D1204,TRUE(),TRUE()),2,1)</f>
        <v>6.35082760776476</v>
      </c>
      <c r="D6" s="16" t="n">
        <f aca="false">B6/C6</f>
        <v>0.484490427075963</v>
      </c>
      <c r="E6" s="23" t="n">
        <f aca="false">TDIST(ABS(D6),$C$8,2)</f>
        <v>0.62812619878008</v>
      </c>
    </row>
    <row r="8" customFormat="false" ht="15" hidden="false" customHeight="false" outlineLevel="0" collapsed="false">
      <c r="A8" s="7" t="s">
        <v>2475</v>
      </c>
      <c r="B8" s="18" t="n">
        <f aca="false">INDEX(LINEST(資料!E2:E1204,資料!D2:D1204,TRUE(),TRUE()),4,2)</f>
        <v>1201</v>
      </c>
      <c r="C8" s="18" t="n">
        <f aca="false">INDEX(LINEST(資料!E2:E1204,資料!D2:D1204,TRUE(),TRUE()),4,2)</f>
        <v>1201</v>
      </c>
      <c r="D8" s="9" t="s">
        <v>2494</v>
      </c>
      <c r="E8" s="23" t="n">
        <f aca="false">INDEX(LINEST(資料!E2:E1204,資料!D2:D1204,TRUE(),TRUE()),3,1)</f>
        <v>0.000195408081264796</v>
      </c>
    </row>
    <row r="11" customFormat="false" ht="12.65" hidden="false" customHeight="false" outlineLevel="0" collapsed="false">
      <c r="A11" s="31" t="s">
        <v>2495</v>
      </c>
      <c r="B11" s="31"/>
      <c r="C11" s="31"/>
      <c r="D11" s="31"/>
      <c r="E11" s="31"/>
      <c r="F11" s="31"/>
    </row>
    <row r="12" customFormat="false" ht="15" hidden="false" customHeight="false" outlineLevel="0" collapsed="false">
      <c r="A12" s="15" t="s">
        <v>2479</v>
      </c>
      <c r="B12" s="15" t="s">
        <v>2489</v>
      </c>
      <c r="C12" s="15" t="s">
        <v>2490</v>
      </c>
      <c r="D12" s="11" t="s">
        <v>2491</v>
      </c>
      <c r="E12" s="11" t="s">
        <v>2492</v>
      </c>
    </row>
    <row r="13" customFormat="false" ht="15" hidden="false" customHeight="false" outlineLevel="0" collapsed="false">
      <c r="A13" s="7" t="s">
        <v>2493</v>
      </c>
      <c r="B13" s="25" t="n">
        <f aca="false">INDEX(LINEST(資料!E2:E1204,資料!P2:AA1204,TRUE(),TRUE()),1,13)</f>
        <v>20778.842152229</v>
      </c>
      <c r="C13" s="25" t="n">
        <f aca="false">INDEX(LINEST(資料!E2:E1204,資料!P2:AA1204,TRUE(),TRUE()),2,13)</f>
        <v>6229.25619376422</v>
      </c>
      <c r="D13" s="16" t="n">
        <f aca="false">B13/C13</f>
        <v>3.33568591592518</v>
      </c>
      <c r="E13" s="23" t="n">
        <f aca="false">TDIST(ABS(D13),$C$27,2)</f>
        <v>0.000877141785129152</v>
      </c>
    </row>
    <row r="14" customFormat="false" ht="15" hidden="false" customHeight="false" outlineLevel="0" collapsed="false">
      <c r="A14" s="9" t="s">
        <v>26</v>
      </c>
      <c r="B14" s="25" t="n">
        <f aca="false">INDEX(LINEST(資料!E2:E1204,資料!P2:AA1204,TRUE(),TRUE()),1,12)</f>
        <v>-4.42532452511088</v>
      </c>
      <c r="C14" s="25" t="n">
        <f aca="false">INDEX(LINEST(資料!E2:E1204,資料!P2:AA1204,TRUE(),TRUE()),2,12)</f>
        <v>6.68338715858272</v>
      </c>
      <c r="D14" s="16" t="n">
        <f aca="false">B14/C14</f>
        <v>-0.662137987835694</v>
      </c>
      <c r="E14" s="23" t="n">
        <f aca="false">TDIST(ABS(D14),$C$27,2)</f>
        <v>0.508010995566061</v>
      </c>
    </row>
    <row r="15" customFormat="false" ht="15" hidden="false" customHeight="false" outlineLevel="0" collapsed="false">
      <c r="A15" s="9" t="s">
        <v>29</v>
      </c>
      <c r="B15" s="25" t="n">
        <f aca="false">INDEX(LINEST(資料!E2:E1204,資料!P2:AA1204,TRUE(),TRUE()),1,11)</f>
        <v>0.226268791883058</v>
      </c>
      <c r="C15" s="25" t="n">
        <f aca="false">INDEX(LINEST(資料!E2:E1204,資料!P2:AA1204,TRUE(),TRUE()),2,11)</f>
        <v>12.6096386188734</v>
      </c>
      <c r="D15" s="16" t="n">
        <f aca="false">B15/C15</f>
        <v>0.0179441139212659</v>
      </c>
      <c r="E15" s="23" t="n">
        <f aca="false">TDIST(ABS(D15),$C$27,2)</f>
        <v>0.985686444860233</v>
      </c>
    </row>
    <row r="16" customFormat="false" ht="15" hidden="false" customHeight="false" outlineLevel="0" collapsed="false">
      <c r="A16" s="9" t="s">
        <v>32</v>
      </c>
      <c r="B16" s="25" t="n">
        <f aca="false">INDEX(LINEST(資料!E2:E1204,資料!P2:AA1204,TRUE(),TRUE()),1,10)</f>
        <v>300.730306990041</v>
      </c>
      <c r="C16" s="25" t="n">
        <f aca="false">INDEX(LINEST(資料!E2:E1204,資料!P2:AA1204,TRUE(),TRUE()),2,10)</f>
        <v>108.606055764055</v>
      </c>
      <c r="D16" s="16" t="n">
        <f aca="false">B16/C16</f>
        <v>2.76900127598201</v>
      </c>
      <c r="E16" s="23" t="n">
        <f aca="false">TDIST(ABS(D16),$C$27,2)</f>
        <v>0.00571017261032306</v>
      </c>
    </row>
    <row r="17" customFormat="false" ht="15" hidden="false" customHeight="false" outlineLevel="0" collapsed="false">
      <c r="A17" s="9" t="s">
        <v>2496</v>
      </c>
      <c r="B17" s="25" t="n">
        <f aca="false">INDEX(LINEST(資料!E2:E1204,資料!P2:AA1204,TRUE(),TRUE()),1,9)</f>
        <v>-6174.2817253295</v>
      </c>
      <c r="C17" s="25" t="n">
        <f aca="false">INDEX(LINEST(資料!E2:E1204,資料!P2:AA1204,TRUE(),TRUE()),2,9)</f>
        <v>6954.13260609128</v>
      </c>
      <c r="D17" s="16" t="n">
        <f aca="false">B17/C17</f>
        <v>-0.887857922053615</v>
      </c>
      <c r="E17" s="23" t="n">
        <f aca="false">TDIST(ABS(D17),$C$27,2)</f>
        <v>0.374796595208757</v>
      </c>
    </row>
    <row r="18" customFormat="false" ht="15" hidden="false" customHeight="false" outlineLevel="0" collapsed="false">
      <c r="A18" s="9" t="s">
        <v>2497</v>
      </c>
      <c r="B18" s="25" t="n">
        <f aca="false">INDEX(LINEST(資料!E2:E1204,資料!P2:AA1204,TRUE(),TRUE()),1,8)</f>
        <v>-1641.50417386853</v>
      </c>
      <c r="C18" s="25" t="n">
        <f aca="false">INDEX(LINEST(資料!E2:E1204,資料!P2:AA1204,TRUE(),TRUE()),2,8)</f>
        <v>6480.09355410512</v>
      </c>
      <c r="D18" s="16" t="n">
        <f aca="false">B18/C18</f>
        <v>-0.253314888151366</v>
      </c>
      <c r="E18" s="23" t="n">
        <f aca="false">TDIST(ABS(D18),$C$27,2)</f>
        <v>0.800068646595707</v>
      </c>
    </row>
    <row r="19" customFormat="false" ht="15" hidden="false" customHeight="false" outlineLevel="0" collapsed="false">
      <c r="A19" s="9" t="s">
        <v>2498</v>
      </c>
      <c r="B19" s="25" t="n">
        <f aca="false">INDEX(LINEST(資料!E2:E1204,資料!P2:AA1204,TRUE(),TRUE()),1,7)</f>
        <v>-12845.6982566708</v>
      </c>
      <c r="C19" s="25" t="n">
        <f aca="false">INDEX(LINEST(資料!E2:E1204,資料!P2:AA1204,TRUE(),TRUE()),2,7)</f>
        <v>6339.82476841495</v>
      </c>
      <c r="D19" s="16" t="n">
        <f aca="false">B19/C19</f>
        <v>-2.02619137372191</v>
      </c>
      <c r="E19" s="23" t="n">
        <f aca="false">TDIST(ABS(D19),$C$27,2)</f>
        <v>0.0429678958691145</v>
      </c>
    </row>
    <row r="20" customFormat="false" ht="15" hidden="false" customHeight="false" outlineLevel="0" collapsed="false">
      <c r="A20" s="9" t="s">
        <v>2499</v>
      </c>
      <c r="B20" s="25" t="n">
        <f aca="false">INDEX(LINEST(資料!E2:E1204,資料!P2:AA1204,TRUE(),TRUE()),1,6)</f>
        <v>-15160.559038679</v>
      </c>
      <c r="C20" s="25" t="n">
        <f aca="false">INDEX(LINEST(資料!E2:E1204,資料!P2:AA1204,TRUE(),TRUE()),2,6)</f>
        <v>6250.41417051148</v>
      </c>
      <c r="D20" s="16" t="n">
        <f aca="false">B20/C20</f>
        <v>-2.42552871299382</v>
      </c>
      <c r="E20" s="23" t="n">
        <f aca="false">TDIST(ABS(D20),$C$27,2)</f>
        <v>0.0154340689505022</v>
      </c>
    </row>
    <row r="21" customFormat="false" ht="15" hidden="false" customHeight="false" outlineLevel="0" collapsed="false">
      <c r="A21" s="9" t="s">
        <v>2500</v>
      </c>
      <c r="B21" s="25" t="n">
        <f aca="false">INDEX(LINEST(資料!E2:E1204,資料!P2:AA1204,TRUE(),TRUE()),1,5)</f>
        <v>-17797.349543546</v>
      </c>
      <c r="C21" s="25" t="n">
        <f aca="false">INDEX(LINEST(資料!E2:E1204,資料!P2:AA1204,TRUE(),TRUE()),2,5)</f>
        <v>6238.68904136408</v>
      </c>
      <c r="D21" s="16" t="n">
        <f aca="false">B21/C21</f>
        <v>-2.85273868044154</v>
      </c>
      <c r="E21" s="23" t="n">
        <f aca="false">TDIST(ABS(D21),$C$27,2)</f>
        <v>0.00440943552193759</v>
      </c>
    </row>
    <row r="22" customFormat="false" ht="15" hidden="false" customHeight="false" outlineLevel="0" collapsed="false">
      <c r="A22" s="9" t="s">
        <v>2501</v>
      </c>
      <c r="B22" s="25" t="n">
        <f aca="false">INDEX(LINEST(資料!E2:E1204,資料!P2:AA1204,TRUE(),TRUE()),1,4)</f>
        <v>-19433.1359360025</v>
      </c>
      <c r="C22" s="25" t="n">
        <f aca="false">INDEX(LINEST(資料!E2:E1204,資料!P2:AA1204,TRUE(),TRUE()),2,4)</f>
        <v>6278.63683909302</v>
      </c>
      <c r="D22" s="16" t="n">
        <f aca="false">B22/C22</f>
        <v>-3.0951202361323</v>
      </c>
      <c r="E22" s="23" t="n">
        <f aca="false">TDIST(ABS(D22),$C$27,2)</f>
        <v>0.00201325657911525</v>
      </c>
    </row>
    <row r="23" customFormat="false" ht="15" hidden="false" customHeight="false" outlineLevel="0" collapsed="false">
      <c r="A23" s="9" t="s">
        <v>2502</v>
      </c>
      <c r="B23" s="25" t="n">
        <f aca="false">INDEX(LINEST(資料!E2:E1204,資料!P2:AA1204,TRUE(),TRUE()),1,3)</f>
        <v>1038.51589860667</v>
      </c>
      <c r="C23" s="25" t="n">
        <f aca="false">INDEX(LINEST(資料!E2:E1204,資料!P2:AA1204,TRUE(),TRUE()),2,3)</f>
        <v>870.201079401453</v>
      </c>
      <c r="D23" s="16" t="n">
        <f aca="false">B23/C23</f>
        <v>1.19342060494913</v>
      </c>
      <c r="E23" s="23" t="n">
        <f aca="false">TDIST(ABS(D23),$C$27,2)</f>
        <v>0.232942556020048</v>
      </c>
    </row>
    <row r="24" customFormat="false" ht="15" hidden="false" customHeight="false" outlineLevel="0" collapsed="false">
      <c r="A24" s="9" t="s">
        <v>2503</v>
      </c>
      <c r="B24" s="25" t="n">
        <f aca="false">INDEX(LINEST(資料!E2:E1204,資料!P2:AA1204,TRUE(),TRUE()),1,2)</f>
        <v>8671.54450242947</v>
      </c>
      <c r="C24" s="25" t="n">
        <f aca="false">INDEX(LINEST(資料!E2:E1204,資料!P2:AA1204,TRUE(),TRUE()),2,2)</f>
        <v>3744.40523523311</v>
      </c>
      <c r="D24" s="16" t="n">
        <f aca="false">B24/C24</f>
        <v>2.31586699560033</v>
      </c>
      <c r="E24" s="23" t="n">
        <f aca="false">TDIST(ABS(D24),$C$27,2)</f>
        <v>0.0207348347250395</v>
      </c>
    </row>
    <row r="25" customFormat="false" ht="15" hidden="false" customHeight="false" outlineLevel="0" collapsed="false">
      <c r="A25" s="9" t="s">
        <v>2504</v>
      </c>
      <c r="B25" s="25" t="n">
        <f aca="false">INDEX(LINEST(資料!E2:E1204,資料!P2:AA1204,TRUE(),TRUE()),1,1)</f>
        <v>-576.249289440917</v>
      </c>
      <c r="C25" s="25" t="n">
        <f aca="false">INDEX(LINEST(資料!E2:E1204,資料!P2:AA1204,TRUE(),TRUE()),2,1)</f>
        <v>1318.52261098625</v>
      </c>
      <c r="D25" s="16" t="n">
        <f aca="false">B25/C25</f>
        <v>-0.43704164391226</v>
      </c>
      <c r="E25" s="23" t="n">
        <f aca="false">TDIST(ABS(D25),$C$27,2)</f>
        <v>0.662160441092842</v>
      </c>
    </row>
    <row r="27" customFormat="false" ht="15" hidden="false" customHeight="false" outlineLevel="0" collapsed="false">
      <c r="A27" s="7" t="s">
        <v>2475</v>
      </c>
      <c r="B27" s="18" t="n">
        <f aca="false">INDEX(LINEST(資料!E2:E1204,資料!P2:AA1204,TRUE(),TRUE()),4,2)</f>
        <v>1190</v>
      </c>
      <c r="C27" s="18" t="n">
        <f aca="false">INDEX(LINEST(資料!E2:E1204,資料!P2:AA1204,TRUE(),TRUE()),4,2)</f>
        <v>1190</v>
      </c>
      <c r="D27" s="9" t="s">
        <v>2494</v>
      </c>
      <c r="E27" s="32" t="n">
        <f aca="false">INDEX(LINEST(資料!E2:E1204,資料!P2:AA1204,TRUE(),TRUE()),3,1)</f>
        <v>0.10779686548074</v>
      </c>
    </row>
    <row r="30" customFormat="false" ht="12.65" hidden="false" customHeight="false" outlineLevel="0" collapsed="false">
      <c r="A30" s="31" t="s">
        <v>2505</v>
      </c>
      <c r="B30" s="31"/>
      <c r="C30" s="31"/>
      <c r="D30" s="31"/>
      <c r="E30" s="31"/>
      <c r="F30" s="31"/>
    </row>
    <row r="31" customFormat="false" ht="15" hidden="false" customHeight="false" outlineLevel="0" collapsed="false">
      <c r="A31" s="15" t="s">
        <v>2479</v>
      </c>
      <c r="B31" s="15" t="s">
        <v>2489</v>
      </c>
      <c r="C31" s="15" t="s">
        <v>2490</v>
      </c>
      <c r="D31" s="11" t="s">
        <v>2491</v>
      </c>
      <c r="E31" s="11" t="s">
        <v>2492</v>
      </c>
    </row>
    <row r="32" customFormat="false" ht="15" hidden="false" customHeight="false" outlineLevel="0" collapsed="false">
      <c r="A32" s="7" t="s">
        <v>2493</v>
      </c>
      <c r="B32" s="25" t="n">
        <f aca="false">INDEX(LINEST(資料!M2:M1204,資料!AC2:AN1204,TRUE(),TRUE()),1,13)</f>
        <v>9.7487600555948</v>
      </c>
      <c r="C32" s="25" t="n">
        <f aca="false">INDEX(LINEST(資料!M2:M1204,資料!AC2:AN1204,TRUE(),TRUE()),2,13)</f>
        <v>0.531703163857242</v>
      </c>
      <c r="D32" s="16" t="n">
        <f aca="false">B32/C32</f>
        <v>18.3349671739254</v>
      </c>
      <c r="E32" s="23" t="n">
        <f aca="false">TDIST(ABS(D32),$C$46,2)</f>
        <v>2.49949785967583E-066</v>
      </c>
    </row>
    <row r="33" customFormat="false" ht="15" hidden="false" customHeight="false" outlineLevel="0" collapsed="false">
      <c r="A33" s="9" t="s">
        <v>2506</v>
      </c>
      <c r="B33" s="25" t="n">
        <f aca="false">INDEX(LINEST(資料!M2:M1204,資料!AC2:AN1204,TRUE(),TRUE()),1,12)</f>
        <v>-0.154351159420359</v>
      </c>
      <c r="C33" s="25" t="n">
        <f aca="false">INDEX(LINEST(資料!M2:M1204,資料!AC2:AN1204,TRUE(),TRUE()),2,12)</f>
        <v>0.0124045443268253</v>
      </c>
      <c r="D33" s="16" t="n">
        <f aca="false">B33/C33</f>
        <v>-12.4431140196395</v>
      </c>
      <c r="E33" s="23" t="n">
        <f aca="false">TDIST(ABS(D33),$C$46,2)</f>
        <v>1.67440529386834E-033</v>
      </c>
    </row>
    <row r="34" customFormat="false" ht="15" hidden="false" customHeight="false" outlineLevel="0" collapsed="false">
      <c r="A34" s="9" t="s">
        <v>29</v>
      </c>
      <c r="B34" s="25" t="n">
        <f aca="false">INDEX(LINEST(資料!M2:M1204,資料!AC2:AN1204,TRUE(),TRUE()),1,11)</f>
        <v>0.0016423110937804</v>
      </c>
      <c r="C34" s="25" t="n">
        <f aca="false">INDEX(LINEST(資料!M2:M1204,資料!AC2:AN1204,TRUE(),TRUE()),2,11)</f>
        <v>0.0010683067123204</v>
      </c>
      <c r="D34" s="16" t="n">
        <f aca="false">B34/C34</f>
        <v>1.53730298128825</v>
      </c>
      <c r="E34" s="23" t="n">
        <f aca="false">TDIST(ABS(D34),$C$46,2)</f>
        <v>0.124484964998051</v>
      </c>
    </row>
    <row r="35" customFormat="false" ht="15" hidden="false" customHeight="false" outlineLevel="0" collapsed="false">
      <c r="A35" s="9" t="s">
        <v>32</v>
      </c>
      <c r="B35" s="25" t="n">
        <f aca="false">INDEX(LINEST(資料!M2:M1204,資料!AC2:AN1204,TRUE(),TRUE()),1,10)</f>
        <v>0.0216613527903708</v>
      </c>
      <c r="C35" s="25" t="n">
        <f aca="false">INDEX(LINEST(資料!M2:M1204,資料!AC2:AN1204,TRUE(),TRUE()),2,10)</f>
        <v>0.00922057268394486</v>
      </c>
      <c r="D35" s="16" t="n">
        <f aca="false">B35/C35</f>
        <v>2.3492415854048</v>
      </c>
      <c r="E35" s="23" t="n">
        <f aca="false">TDIST(ABS(D35),$C$46,2)</f>
        <v>0.0189744846591885</v>
      </c>
    </row>
    <row r="36" customFormat="false" ht="15" hidden="false" customHeight="false" outlineLevel="0" collapsed="false">
      <c r="A36" s="9" t="s">
        <v>2496</v>
      </c>
      <c r="B36" s="25" t="n">
        <f aca="false">INDEX(LINEST(資料!M2:M1204,資料!AC2:AN1204,TRUE(),TRUE()),1,9)</f>
        <v>-0.555518454182329</v>
      </c>
      <c r="C36" s="25" t="n">
        <f aca="false">INDEX(LINEST(資料!M2:M1204,資料!AC2:AN1204,TRUE(),TRUE()),2,9)</f>
        <v>0.592516766685228</v>
      </c>
      <c r="D36" s="16" t="n">
        <f aca="false">B36/C36</f>
        <v>-0.937557357726969</v>
      </c>
      <c r="E36" s="23" t="n">
        <f aca="false">TDIST(ABS(D36),$C$46,2)</f>
        <v>0.348662172676674</v>
      </c>
    </row>
    <row r="37" customFormat="false" ht="15" hidden="false" customHeight="false" outlineLevel="0" collapsed="false">
      <c r="A37" s="9" t="s">
        <v>2497</v>
      </c>
      <c r="B37" s="25" t="n">
        <f aca="false">INDEX(LINEST(資料!M2:M1204,資料!AC2:AN1204,TRUE(),TRUE()),1,8)</f>
        <v>-0.591848599103593</v>
      </c>
      <c r="C37" s="25" t="n">
        <f aca="false">INDEX(LINEST(資料!M2:M1204,資料!AC2:AN1204,TRUE(),TRUE()),2,8)</f>
        <v>0.551703300349964</v>
      </c>
      <c r="D37" s="16" t="n">
        <f aca="false">B37/C37</f>
        <v>-1.07276610222952</v>
      </c>
      <c r="E37" s="23" t="n">
        <f aca="false">TDIST(ABS(D37),$C$46,2)</f>
        <v>0.283593568605835</v>
      </c>
    </row>
    <row r="38" customFormat="false" ht="15" hidden="false" customHeight="false" outlineLevel="0" collapsed="false">
      <c r="A38" s="9" t="s">
        <v>2498</v>
      </c>
      <c r="B38" s="25" t="n">
        <f aca="false">INDEX(LINEST(資料!M2:M1204,資料!AC2:AN1204,TRUE(),TRUE()),1,7)</f>
        <v>-1.14219940642259</v>
      </c>
      <c r="C38" s="25" t="n">
        <f aca="false">INDEX(LINEST(資料!M2:M1204,資料!AC2:AN1204,TRUE(),TRUE()),2,7)</f>
        <v>0.540363459789915</v>
      </c>
      <c r="D38" s="16" t="n">
        <f aca="false">B38/C38</f>
        <v>-2.11376136881398</v>
      </c>
      <c r="E38" s="23" t="n">
        <f aca="false">TDIST(ABS(D38),$C$46,2)</f>
        <v>0.0347432838121606</v>
      </c>
    </row>
    <row r="39" customFormat="false" ht="15" hidden="false" customHeight="false" outlineLevel="0" collapsed="false">
      <c r="A39" s="9" t="s">
        <v>2499</v>
      </c>
      <c r="B39" s="25" t="n">
        <f aca="false">INDEX(LINEST(資料!M2:M1204,資料!AC2:AN1204,TRUE(),TRUE()),1,6)</f>
        <v>-1.37830816935352</v>
      </c>
      <c r="C39" s="25" t="n">
        <f aca="false">INDEX(LINEST(資料!M2:M1204,資料!AC2:AN1204,TRUE(),TRUE()),2,6)</f>
        <v>0.532150425672596</v>
      </c>
      <c r="D39" s="16" t="n">
        <f aca="false">B39/C39</f>
        <v>-2.59007247360829</v>
      </c>
      <c r="E39" s="23" t="n">
        <f aca="false">TDIST(ABS(D39),$C$46,2)</f>
        <v>0.00971278603983772</v>
      </c>
    </row>
    <row r="40" customFormat="false" ht="15" hidden="false" customHeight="false" outlineLevel="0" collapsed="false">
      <c r="A40" s="9" t="s">
        <v>2500</v>
      </c>
      <c r="B40" s="25" t="n">
        <f aca="false">INDEX(LINEST(資料!M2:M1204,資料!AC2:AN1204,TRUE(),TRUE()),1,5)</f>
        <v>-1.75216473994136</v>
      </c>
      <c r="C40" s="25" t="n">
        <f aca="false">INDEX(LINEST(資料!M2:M1204,資料!AC2:AN1204,TRUE(),TRUE()),2,5)</f>
        <v>0.531094467267499</v>
      </c>
      <c r="D40" s="16" t="n">
        <f aca="false">B40/C40</f>
        <v>-3.2991583379814</v>
      </c>
      <c r="E40" s="23" t="n">
        <f aca="false">TDIST(ABS(D40),$C$46,2)</f>
        <v>0.000998459161868167</v>
      </c>
    </row>
    <row r="41" customFormat="false" ht="15" hidden="false" customHeight="false" outlineLevel="0" collapsed="false">
      <c r="A41" s="9" t="s">
        <v>2501</v>
      </c>
      <c r="B41" s="25" t="n">
        <f aca="false">INDEX(LINEST(資料!M2:M1204,資料!AC2:AN1204,TRUE(),TRUE()),1,4)</f>
        <v>-2.23148973576433</v>
      </c>
      <c r="C41" s="25" t="n">
        <f aca="false">INDEX(LINEST(資料!M2:M1204,資料!AC2:AN1204,TRUE(),TRUE()),2,4)</f>
        <v>0.534305389673031</v>
      </c>
      <c r="D41" s="16" t="n">
        <f aca="false">B41/C41</f>
        <v>-4.17643126738792</v>
      </c>
      <c r="E41" s="23" t="n">
        <f aca="false">TDIST(ABS(D41),$C$46,2)</f>
        <v>3.17726330531286E-005</v>
      </c>
    </row>
    <row r="42" customFormat="false" ht="15" hidden="false" customHeight="false" outlineLevel="0" collapsed="false">
      <c r="A42" s="9" t="s">
        <v>2502</v>
      </c>
      <c r="B42" s="25" t="n">
        <f aca="false">INDEX(LINEST(資料!M2:M1204,資料!AC2:AN1204,TRUE(),TRUE()),1,3)</f>
        <v>0.0244002440493025</v>
      </c>
      <c r="C42" s="25" t="n">
        <f aca="false">INDEX(LINEST(資料!M2:M1204,資料!AC2:AN1204,TRUE(),TRUE()),2,3)</f>
        <v>0.074112124644061</v>
      </c>
      <c r="D42" s="16" t="n">
        <f aca="false">B42/C42</f>
        <v>0.329234172768487</v>
      </c>
      <c r="E42" s="23" t="n">
        <f aca="false">TDIST(ABS(D42),$C$46,2)</f>
        <v>0.742036630840619</v>
      </c>
    </row>
    <row r="43" customFormat="false" ht="15" hidden="false" customHeight="false" outlineLevel="0" collapsed="false">
      <c r="A43" s="9" t="s">
        <v>2503</v>
      </c>
      <c r="B43" s="25" t="n">
        <f aca="false">INDEX(LINEST(資料!M2:M1204,資料!AC2:AN1204,TRUE(),TRUE()),1,2)</f>
        <v>0.00323199670242966</v>
      </c>
      <c r="C43" s="25" t="n">
        <f aca="false">INDEX(LINEST(資料!M2:M1204,資料!AC2:AN1204,TRUE(),TRUE()),2,2)</f>
        <v>0.31903408775869</v>
      </c>
      <c r="D43" s="16" t="n">
        <f aca="false">B43/C43</f>
        <v>0.0101305685706985</v>
      </c>
      <c r="E43" s="23" t="n">
        <f aca="false">TDIST(ABS(D43),$C$46,2)</f>
        <v>0.991918812020089</v>
      </c>
    </row>
    <row r="44" customFormat="false" ht="15" hidden="false" customHeight="false" outlineLevel="0" collapsed="false">
      <c r="A44" s="9" t="s">
        <v>2504</v>
      </c>
      <c r="B44" s="25" t="n">
        <f aca="false">INDEX(LINEST(資料!M2:M1204,資料!AC2:AN1204,TRUE(),TRUE()),1,1)</f>
        <v>0.154853348516869</v>
      </c>
      <c r="C44" s="25" t="n">
        <f aca="false">INDEX(LINEST(資料!M2:M1204,資料!AC2:AN1204,TRUE(),TRUE()),2,1)</f>
        <v>0.112312569100029</v>
      </c>
      <c r="D44" s="16" t="n">
        <f aca="false">B44/C44</f>
        <v>1.3787713143571</v>
      </c>
      <c r="E44" s="23" t="n">
        <f aca="false">TDIST(ABS(D44),$C$46,2)</f>
        <v>0.168224384428768</v>
      </c>
    </row>
    <row r="46" customFormat="false" ht="15" hidden="false" customHeight="false" outlineLevel="0" collapsed="false">
      <c r="A46" s="7" t="s">
        <v>2475</v>
      </c>
      <c r="B46" s="18" t="n">
        <f aca="false">INDEX(LINEST(資料!M2:M1204,資料!AC2:AN1204,TRUE(),TRUE()),4,2)</f>
        <v>1190</v>
      </c>
      <c r="C46" s="18" t="n">
        <f aca="false">INDEX(LINEST(資料!M2:M1204,資料!AC2:AN1204,TRUE(),TRUE()),4,2)</f>
        <v>1190</v>
      </c>
      <c r="D46" s="9" t="s">
        <v>2494</v>
      </c>
      <c r="E46" s="32" t="n">
        <f aca="false">INDEX(LINEST(資料!M2:M1204,資料!AC2:AN1204,TRUE(),TRUE()),3,1)</f>
        <v>0.229443520820744</v>
      </c>
    </row>
    <row r="48" customFormat="false" ht="15" hidden="false" customHeight="false" outlineLevel="0" collapsed="false">
      <c r="A48" s="17" t="s">
        <v>2507</v>
      </c>
      <c r="B48" s="17"/>
      <c r="C48" s="17"/>
      <c r="D48" s="17"/>
      <c r="E48" s="17"/>
      <c r="F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</row>
  </sheetData>
  <mergeCells count="5">
    <mergeCell ref="A1:F1"/>
    <mergeCell ref="A3:F3"/>
    <mergeCell ref="A11:F11"/>
    <mergeCell ref="A30:F30"/>
    <mergeCell ref="A48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" t="s">
        <v>2508</v>
      </c>
      <c r="B1" s="1"/>
      <c r="C1" s="1"/>
    </row>
    <row r="2" customFormat="false" ht="11.9" hidden="false" customHeight="false" outlineLevel="0" collapsed="false">
      <c r="A2" s="17" t="s">
        <v>2509</v>
      </c>
      <c r="B2" s="17"/>
      <c r="C2" s="17"/>
    </row>
    <row r="4" customFormat="false" ht="15" hidden="false" customHeight="false" outlineLevel="0" collapsed="false">
      <c r="A4" s="15" t="s">
        <v>2510</v>
      </c>
      <c r="B4" s="15" t="s">
        <v>2511</v>
      </c>
      <c r="C4" s="15" t="s">
        <v>2512</v>
      </c>
    </row>
    <row r="5" customFormat="false" ht="15" hidden="false" customHeight="false" outlineLevel="0" collapsed="false">
      <c r="A5" s="33" t="n">
        <v>0</v>
      </c>
      <c r="B5" s="18" t="n">
        <f aca="false">Q5_Q10_迴歸!B13 + Q5_Q10_迴歸!B14*A5 + Q5_Q10_迴歸!B15*50 + Q5_Q10_迴歸!B16*10 + Q5_Q10_迴歸!B22 + Q5_Q10_迴歸!B23</f>
        <v>5402.83862432771</v>
      </c>
      <c r="C5" s="29" t="s">
        <v>2513</v>
      </c>
    </row>
    <row r="6" customFormat="false" ht="15" hidden="false" customHeight="false" outlineLevel="0" collapsed="false">
      <c r="A6" s="33" t="n">
        <v>50</v>
      </c>
      <c r="B6" s="18" t="n">
        <f aca="false">Q5_Q10_迴歸!B13 + Q5_Q10_迴歸!B14*A6 + Q5_Q10_迴歸!B15*50 + Q5_Q10_迴歸!B16*10 + Q5_Q10_迴歸!B22 + Q5_Q10_迴歸!B23</f>
        <v>5181.57239807217</v>
      </c>
      <c r="C6" s="29" t="s">
        <v>2513</v>
      </c>
    </row>
    <row r="7" customFormat="false" ht="15" hidden="false" customHeight="false" outlineLevel="0" collapsed="false">
      <c r="A7" s="33" t="n">
        <v>100</v>
      </c>
      <c r="B7" s="18" t="n">
        <f aca="false">Q5_Q10_迴歸!B13 + Q5_Q10_迴歸!B14*A7 + Q5_Q10_迴歸!B15*50 + Q5_Q10_迴歸!B16*10 + Q5_Q10_迴歸!B22 + Q5_Q10_迴歸!B23</f>
        <v>4960.30617181663</v>
      </c>
      <c r="C7" s="29" t="s">
        <v>2513</v>
      </c>
    </row>
    <row r="8" customFormat="false" ht="15" hidden="false" customHeight="false" outlineLevel="0" collapsed="false">
      <c r="A8" s="33" t="n">
        <v>150</v>
      </c>
      <c r="B8" s="18" t="n">
        <f aca="false">Q5_Q10_迴歸!B13 + Q5_Q10_迴歸!B14*A8 + Q5_Q10_迴歸!B15*50 + Q5_Q10_迴歸!B16*10 + Q5_Q10_迴歸!B22 + Q5_Q10_迴歸!B23</f>
        <v>4739.03994556108</v>
      </c>
      <c r="C8" s="29" t="s">
        <v>2513</v>
      </c>
    </row>
    <row r="9" customFormat="false" ht="15" hidden="false" customHeight="false" outlineLevel="0" collapsed="false">
      <c r="A9" s="33" t="n">
        <v>200</v>
      </c>
      <c r="B9" s="18" t="n">
        <f aca="false">Q5_Q10_迴歸!B13 + Q5_Q10_迴歸!B14*A9 + Q5_Q10_迴歸!B15*50 + Q5_Q10_迴歸!B16*10 + Q5_Q10_迴歸!B22 + Q5_Q10_迴歸!B23</f>
        <v>4517.77371930554</v>
      </c>
      <c r="C9" s="29" t="s">
        <v>2513</v>
      </c>
    </row>
    <row r="11" customFormat="false" ht="15" hidden="false" customHeight="true" outlineLevel="0" collapsed="false">
      <c r="A11" s="7" t="s">
        <v>2514</v>
      </c>
      <c r="B11" s="7"/>
      <c r="C11" s="16" t="n">
        <f aca="false">Q5_Q10_迴歸!B14</f>
        <v>-4.42532452511088</v>
      </c>
    </row>
    <row r="13" customFormat="false" ht="15" hidden="false" customHeight="false" outlineLevel="0" collapsed="false">
      <c r="A13" s="17" t="s">
        <v>2515</v>
      </c>
      <c r="B13" s="17"/>
      <c r="C13" s="17"/>
    </row>
    <row r="14" customFormat="false" ht="15" hidden="false" customHeight="false" outlineLevel="0" collapsed="false">
      <c r="A14" s="17"/>
      <c r="B14" s="17"/>
      <c r="C14" s="17"/>
    </row>
  </sheetData>
  <mergeCells count="4">
    <mergeCell ref="A1:C1"/>
    <mergeCell ref="A2:C2"/>
    <mergeCell ref="A11:B11"/>
    <mergeCell ref="A13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2026-05-23T06:47:21Z</dcterms:created>
  <dc:creator>openpyxl</dc:creator>
  <dc:description/>
  <dc:language>en-US</dc:language>
  <cp:lastModifiedBy/>
  <dcterms:modified xsi:type="dcterms:W3CDTF">2026-05-23T06:47:21Z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